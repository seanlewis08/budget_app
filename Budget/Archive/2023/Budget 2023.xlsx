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7"/>
  <workbookPr hidePivotFieldList="1"/>
  <mc:AlternateContent xmlns:mc="http://schemas.openxmlformats.org/markup-compatibility/2006">
    <mc:Choice Requires="x15">
      <x15ac:absPath xmlns:x15ac="http://schemas.microsoft.com/office/spreadsheetml/2010/11/ac" url="D:\Sean\Documents\Personal\Budget\Archive\2023\"/>
    </mc:Choice>
  </mc:AlternateContent>
  <xr:revisionPtr revIDLastSave="0" documentId="13_ncr:1_{C732EADC-6455-414B-BF05-8E14BC317177}" xr6:coauthVersionLast="47" xr6:coauthVersionMax="47" xr10:uidLastSave="{00000000-0000-0000-0000-000000000000}"/>
  <bookViews>
    <workbookView xWindow="19095" yWindow="0" windowWidth="19410" windowHeight="15585" tabRatio="862" firstSheet="5" activeTab="13" xr2:uid="{00000000-000D-0000-FFFF-FFFF00000000}"/>
  </bookViews>
  <sheets>
    <sheet name="June Plan" sheetId="29" r:id="rId1"/>
    <sheet name="Student Loan Amort" sheetId="30" r:id="rId2"/>
    <sheet name="Lasik" sheetId="31" r:id="rId3"/>
    <sheet name="Wells Fargo" sheetId="7" r:id="rId4"/>
    <sheet name="SOFI_CHECKING" sheetId="18" r:id="rId5"/>
    <sheet name="SOFI_SAVINGS" sheetId="5" r:id="rId6"/>
    <sheet name="HSA" sheetId="19" r:id="rId7"/>
    <sheet name="Fidelity" sheetId="26" r:id="rId8"/>
    <sheet name="Discover Data" sheetId="1" r:id="rId9"/>
    <sheet name="Care_Credit" sheetId="22" r:id="rId10"/>
    <sheet name="Best Buy" sheetId="6" r:id="rId11"/>
    <sheet name="American Express" sheetId="32" r:id="rId12"/>
    <sheet name="Vincent" sheetId="25" r:id="rId13"/>
    <sheet name="Summary" sheetId="24" r:id="rId14"/>
    <sheet name="Detailed Summary" sheetId="23" r:id="rId15"/>
    <sheet name="Cat Sum" sheetId="17" r:id="rId16"/>
    <sheet name="People Summary" sheetId="16" r:id="rId17"/>
    <sheet name="Personal Spending" sheetId="15" r:id="rId18"/>
    <sheet name="Transportation" sheetId="20" r:id="rId19"/>
    <sheet name="Groceries" sheetId="27" r:id="rId20"/>
    <sheet name="Europe" sheetId="28" r:id="rId21"/>
    <sheet name="Reoccuring" sheetId="14" r:id="rId22"/>
    <sheet name="Count_Check" sheetId="21" r:id="rId23"/>
    <sheet name="The plan" sheetId="13" state="hidden" r:id="rId24"/>
  </sheets>
  <definedNames>
    <definedName name="_xlnm._FilterDatabase" localSheetId="9" hidden="1">Care_Credit!$B$1:$D$1</definedName>
    <definedName name="_xlnm._FilterDatabase" localSheetId="8" hidden="1">'Discover Data'!$A$2:$A$670</definedName>
    <definedName name="_xlnm._FilterDatabase" localSheetId="7" hidden="1">Fidelity!$C$1:$E$1</definedName>
    <definedName name="_xlnm._FilterDatabase" localSheetId="6" hidden="1">HSA!$B$1:$D$1</definedName>
    <definedName name="_xlnm._FilterDatabase" localSheetId="4" hidden="1">SOFI_CHECKING!$B$1:$E$1</definedName>
    <definedName name="_xlnm._FilterDatabase" localSheetId="5" hidden="1">SOFI_SAVINGS!$B$1:$E$1</definedName>
    <definedName name="_xlnm._FilterDatabase" localSheetId="12" hidden="1">Vincent!$B$1:$D$1</definedName>
    <definedName name="_xlnm._FilterDatabase" localSheetId="3" hidden="1">'Wells Fargo'!$B$1:$I$233</definedName>
  </definedNames>
  <calcPr calcId="191029"/>
  <pivotCaches>
    <pivotCache cacheId="7" r:id="rId25"/>
    <pivotCache cacheId="8" r:id="rId2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97" i="7" l="1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I28" i="23"/>
  <c r="J28" i="23"/>
  <c r="K28" i="23"/>
  <c r="L28" i="23"/>
  <c r="M28" i="23"/>
  <c r="N28" i="23"/>
  <c r="L58" i="23"/>
  <c r="M58" i="23"/>
  <c r="N58" i="23"/>
  <c r="L7" i="24" a="1"/>
  <c r="L7" i="24" s="1"/>
  <c r="M7" i="24" a="1"/>
  <c r="M7" i="24" s="1"/>
  <c r="N7" i="24" a="1"/>
  <c r="N7" i="24" s="1"/>
  <c r="O7" i="24" a="1"/>
  <c r="O7" i="24" s="1"/>
  <c r="P7" i="24" a="1"/>
  <c r="P7" i="24" s="1"/>
  <c r="L13" i="24"/>
  <c r="M13" i="24"/>
  <c r="N13" i="24"/>
  <c r="O13" i="24"/>
  <c r="P13" i="24"/>
  <c r="L16" i="24"/>
  <c r="M16" i="24"/>
  <c r="N16" i="24"/>
  <c r="O16" i="24"/>
  <c r="P16" i="24"/>
  <c r="L17" i="24"/>
  <c r="M17" i="24"/>
  <c r="N17" i="24"/>
  <c r="O17" i="24"/>
  <c r="P17" i="24"/>
  <c r="L19" i="24"/>
  <c r="M19" i="24"/>
  <c r="N19" i="24"/>
  <c r="O19" i="24"/>
  <c r="P19" i="24"/>
  <c r="V19" i="1"/>
  <c r="W19" i="1"/>
  <c r="X19" i="1"/>
  <c r="Y19" i="1"/>
  <c r="Z19" i="1"/>
  <c r="AA19" i="1"/>
  <c r="AB19" i="1"/>
  <c r="AC19" i="1"/>
  <c r="AD19" i="1"/>
  <c r="U19" i="1"/>
  <c r="T19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H19" i="6"/>
  <c r="J13" i="29"/>
  <c r="K13" i="29"/>
  <c r="L13" i="29"/>
  <c r="M13" i="29"/>
  <c r="N13" i="29"/>
  <c r="O13" i="29"/>
  <c r="P13" i="29"/>
  <c r="Q13" i="29"/>
  <c r="R13" i="29"/>
  <c r="S13" i="29"/>
  <c r="T13" i="29"/>
  <c r="U13" i="29"/>
  <c r="V13" i="29"/>
  <c r="W13" i="29"/>
  <c r="X13" i="29"/>
  <c r="Y13" i="29"/>
  <c r="Z13" i="29"/>
  <c r="AA13" i="29"/>
  <c r="AB13" i="29"/>
  <c r="AC13" i="29"/>
  <c r="AD13" i="29"/>
  <c r="AE13" i="29"/>
  <c r="AF13" i="29"/>
  <c r="AG13" i="29"/>
  <c r="AH13" i="29"/>
  <c r="AI13" i="29"/>
  <c r="I13" i="29"/>
  <c r="A19" i="6"/>
  <c r="A39" i="22"/>
  <c r="A38" i="22"/>
  <c r="A37" i="22"/>
  <c r="A36" i="22"/>
  <c r="A35" i="22"/>
  <c r="A34" i="22"/>
  <c r="A33" i="22"/>
  <c r="A31" i="22"/>
  <c r="A32" i="22"/>
  <c r="A19" i="26"/>
  <c r="A20" i="26"/>
  <c r="A21" i="26"/>
  <c r="A22" i="26"/>
  <c r="A23" i="26"/>
  <c r="E54" i="19"/>
  <c r="E55" i="19" s="1"/>
  <c r="E56" i="19" s="1"/>
  <c r="E57" i="19" s="1"/>
  <c r="E58" i="19" s="1"/>
  <c r="E59" i="19" s="1"/>
  <c r="E60" i="19" s="1"/>
  <c r="E61" i="19" s="1"/>
  <c r="E62" i="19" s="1"/>
  <c r="E63" i="19" s="1"/>
  <c r="E53" i="19"/>
  <c r="A63" i="19"/>
  <c r="A62" i="19"/>
  <c r="A61" i="19"/>
  <c r="A60" i="19"/>
  <c r="A59" i="19"/>
  <c r="A58" i="19"/>
  <c r="A57" i="19"/>
  <c r="A56" i="19"/>
  <c r="A55" i="19"/>
  <c r="A54" i="19"/>
  <c r="A53" i="19"/>
  <c r="F75" i="5"/>
  <c r="A103" i="5"/>
  <c r="A102" i="5"/>
  <c r="A101" i="5"/>
  <c r="A100" i="5"/>
  <c r="A98" i="5"/>
  <c r="A99" i="5"/>
  <c r="A96" i="5"/>
  <c r="A97" i="5"/>
  <c r="A93" i="5"/>
  <c r="A94" i="5"/>
  <c r="A95" i="5"/>
  <c r="A92" i="5"/>
  <c r="A91" i="5"/>
  <c r="A90" i="5"/>
  <c r="A88" i="5"/>
  <c r="A89" i="5"/>
  <c r="A87" i="5"/>
  <c r="A86" i="5"/>
  <c r="A84" i="5"/>
  <c r="A85" i="5"/>
  <c r="A83" i="5"/>
  <c r="A82" i="5"/>
  <c r="A79" i="5"/>
  <c r="A80" i="5"/>
  <c r="A81" i="5"/>
  <c r="A78" i="5"/>
  <c r="A77" i="5"/>
  <c r="A76" i="5"/>
  <c r="A75" i="5"/>
  <c r="A93" i="18"/>
  <c r="A92" i="18"/>
  <c r="A91" i="18"/>
  <c r="A89" i="18"/>
  <c r="A90" i="18"/>
  <c r="A88" i="18"/>
  <c r="A87" i="18"/>
  <c r="A86" i="18"/>
  <c r="A85" i="18"/>
  <c r="A84" i="18"/>
  <c r="A82" i="18"/>
  <c r="A83" i="18"/>
  <c r="A81" i="18"/>
  <c r="A79" i="18"/>
  <c r="A80" i="18"/>
  <c r="A78" i="18"/>
  <c r="A77" i="18"/>
  <c r="A75" i="18"/>
  <c r="A76" i="18"/>
  <c r="A74" i="18"/>
  <c r="A73" i="18"/>
  <c r="A72" i="18"/>
  <c r="A71" i="18"/>
  <c r="A70" i="18"/>
  <c r="A193" i="7"/>
  <c r="A194" i="7"/>
  <c r="A195" i="7"/>
  <c r="A196" i="7"/>
  <c r="E193" i="7"/>
  <c r="E194" i="7"/>
  <c r="E195" i="7"/>
  <c r="E196" i="7"/>
  <c r="A192" i="7"/>
  <c r="E192" i="7"/>
  <c r="A191" i="7"/>
  <c r="E191" i="7"/>
  <c r="A190" i="7"/>
  <c r="E190" i="7"/>
  <c r="A188" i="7"/>
  <c r="A189" i="7"/>
  <c r="E188" i="7"/>
  <c r="E189" i="7"/>
  <c r="A187" i="7"/>
  <c r="E187" i="7"/>
  <c r="A185" i="7"/>
  <c r="A186" i="7"/>
  <c r="E185" i="7"/>
  <c r="E186" i="7"/>
  <c r="A184" i="7"/>
  <c r="E184" i="7"/>
  <c r="A182" i="7"/>
  <c r="A183" i="7"/>
  <c r="E182" i="7"/>
  <c r="E183" i="7"/>
  <c r="A181" i="7"/>
  <c r="E181" i="7"/>
  <c r="A180" i="7"/>
  <c r="E180" i="7"/>
  <c r="A179" i="7"/>
  <c r="E179" i="7"/>
  <c r="A176" i="7"/>
  <c r="A177" i="7"/>
  <c r="A178" i="7"/>
  <c r="E176" i="7"/>
  <c r="E177" i="7"/>
  <c r="E178" i="7"/>
  <c r="A175" i="7"/>
  <c r="E175" i="7"/>
  <c r="A174" i="7"/>
  <c r="E174" i="7"/>
  <c r="A171" i="7"/>
  <c r="A172" i="7"/>
  <c r="A173" i="7"/>
  <c r="E171" i="7"/>
  <c r="E172" i="7"/>
  <c r="E173" i="7"/>
  <c r="A169" i="7"/>
  <c r="A170" i="7"/>
  <c r="E169" i="7"/>
  <c r="E170" i="7"/>
  <c r="A167" i="7"/>
  <c r="A168" i="7"/>
  <c r="E167" i="7"/>
  <c r="E168" i="7"/>
  <c r="A166" i="7"/>
  <c r="E166" i="7"/>
  <c r="A165" i="7"/>
  <c r="E165" i="7"/>
  <c r="A162" i="7"/>
  <c r="A163" i="7"/>
  <c r="A164" i="7"/>
  <c r="E162" i="7"/>
  <c r="E163" i="7"/>
  <c r="E164" i="7"/>
  <c r="A161" i="7"/>
  <c r="E161" i="7"/>
  <c r="A160" i="7"/>
  <c r="E160" i="7"/>
  <c r="A159" i="7"/>
  <c r="E159" i="7"/>
  <c r="A157" i="7"/>
  <c r="A158" i="7"/>
  <c r="E157" i="7"/>
  <c r="E158" i="7"/>
  <c r="A154" i="7"/>
  <c r="A155" i="7"/>
  <c r="A156" i="7"/>
  <c r="E154" i="7"/>
  <c r="E155" i="7"/>
  <c r="E156" i="7"/>
  <c r="J6" i="29"/>
  <c r="K58" i="23"/>
  <c r="J58" i="23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F80" i="24"/>
  <c r="G80" i="24"/>
  <c r="H80" i="24"/>
  <c r="I80" i="24"/>
  <c r="J80" i="24"/>
  <c r="K80" i="24"/>
  <c r="L80" i="24"/>
  <c r="M80" i="24"/>
  <c r="N80" i="24"/>
  <c r="O80" i="24"/>
  <c r="P80" i="24"/>
  <c r="E80" i="24"/>
  <c r="F74" i="24"/>
  <c r="G74" i="24"/>
  <c r="H74" i="24"/>
  <c r="I74" i="24"/>
  <c r="J74" i="24"/>
  <c r="K74" i="24"/>
  <c r="L74" i="24"/>
  <c r="M74" i="24"/>
  <c r="N74" i="24"/>
  <c r="O74" i="24"/>
  <c r="P74" i="24"/>
  <c r="E74" i="24"/>
  <c r="F64" i="24"/>
  <c r="G64" i="24"/>
  <c r="H64" i="24"/>
  <c r="I64" i="24"/>
  <c r="J64" i="24"/>
  <c r="K64" i="24"/>
  <c r="L64" i="24"/>
  <c r="M64" i="24"/>
  <c r="N64" i="24"/>
  <c r="O64" i="24"/>
  <c r="P64" i="24"/>
  <c r="E64" i="24"/>
  <c r="F45" i="24"/>
  <c r="G45" i="24"/>
  <c r="H45" i="24"/>
  <c r="I45" i="24"/>
  <c r="J45" i="24"/>
  <c r="K45" i="24"/>
  <c r="L45" i="24"/>
  <c r="M45" i="24"/>
  <c r="N45" i="24"/>
  <c r="O45" i="24"/>
  <c r="P45" i="24"/>
  <c r="E45" i="24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4" i="31"/>
  <c r="C4" i="31" s="1"/>
  <c r="C5" i="31" s="1"/>
  <c r="C6" i="31" s="1"/>
  <c r="C7" i="31" s="1"/>
  <c r="A28" i="31"/>
  <c r="A5" i="31"/>
  <c r="A6" i="31" s="1"/>
  <c r="A7" i="31" s="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4" i="31"/>
  <c r="D2" i="23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2" i="1"/>
  <c r="B3" i="1"/>
  <c r="B4" i="1"/>
  <c r="B5" i="1"/>
  <c r="B6" i="1"/>
  <c r="B7" i="1"/>
  <c r="B8" i="1"/>
  <c r="C29" i="23" s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C20" i="23" s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C53" i="23" s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C16" i="23" s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C19" i="23" s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C11" i="23" s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C18" i="23" s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C41" i="23" s="1" a="1"/>
  <c r="C41" i="23" s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D16" i="25"/>
  <c r="K21" i="30"/>
  <c r="K22" i="30"/>
  <c r="K23" i="30"/>
  <c r="K24" i="30"/>
  <c r="K25" i="30"/>
  <c r="K37" i="30"/>
  <c r="K38" i="30"/>
  <c r="K39" i="30"/>
  <c r="K40" i="30"/>
  <c r="K41" i="30"/>
  <c r="K53" i="30"/>
  <c r="K54" i="30"/>
  <c r="K55" i="30"/>
  <c r="K56" i="30"/>
  <c r="K57" i="30"/>
  <c r="K68" i="30"/>
  <c r="K69" i="30"/>
  <c r="K70" i="30"/>
  <c r="K71" i="30"/>
  <c r="K72" i="30"/>
  <c r="K73" i="30"/>
  <c r="K78" i="30"/>
  <c r="G11" i="30"/>
  <c r="G12" i="30"/>
  <c r="G13" i="30"/>
  <c r="G14" i="30"/>
  <c r="G15" i="30"/>
  <c r="G16" i="30"/>
  <c r="G17" i="30"/>
  <c r="G20" i="30"/>
  <c r="G21" i="30"/>
  <c r="G22" i="30"/>
  <c r="G27" i="30"/>
  <c r="G28" i="30"/>
  <c r="G29" i="30"/>
  <c r="G30" i="30"/>
  <c r="G31" i="30"/>
  <c r="G32" i="30"/>
  <c r="G33" i="30"/>
  <c r="G36" i="30"/>
  <c r="G37" i="30"/>
  <c r="G38" i="30"/>
  <c r="G43" i="30"/>
  <c r="G44" i="30"/>
  <c r="G45" i="30"/>
  <c r="G46" i="30"/>
  <c r="G47" i="30"/>
  <c r="G48" i="30"/>
  <c r="G49" i="30"/>
  <c r="G52" i="30"/>
  <c r="G53" i="30"/>
  <c r="G54" i="30"/>
  <c r="G59" i="30"/>
  <c r="G60" i="30"/>
  <c r="G61" i="30"/>
  <c r="G62" i="30"/>
  <c r="G63" i="30"/>
  <c r="G64" i="30"/>
  <c r="G65" i="30"/>
  <c r="G68" i="30"/>
  <c r="G69" i="30"/>
  <c r="G70" i="30"/>
  <c r="G75" i="30"/>
  <c r="G76" i="30"/>
  <c r="G77" i="30"/>
  <c r="G78" i="30"/>
  <c r="G79" i="30"/>
  <c r="G80" i="30"/>
  <c r="G9" i="30"/>
  <c r="C4" i="30"/>
  <c r="E9" i="30" s="1"/>
  <c r="D4" i="30"/>
  <c r="I9" i="30" s="1"/>
  <c r="E4" i="30"/>
  <c r="M9" i="30" s="1"/>
  <c r="A9" i="30" a="1"/>
  <c r="A9" i="30" s="1"/>
  <c r="B10" i="30"/>
  <c r="B11" i="30" s="1"/>
  <c r="B12" i="30" s="1"/>
  <c r="B13" i="30" s="1"/>
  <c r="B14" i="30" s="1"/>
  <c r="B15" i="30" s="1"/>
  <c r="B16" i="30" s="1"/>
  <c r="B17" i="30" s="1"/>
  <c r="B18" i="30" s="1"/>
  <c r="B19" i="30" s="1"/>
  <c r="B20" i="30" s="1"/>
  <c r="B21" i="30" s="1"/>
  <c r="B22" i="30" s="1"/>
  <c r="B23" i="30" s="1"/>
  <c r="B24" i="30" s="1"/>
  <c r="B25" i="30" s="1"/>
  <c r="B26" i="30" s="1"/>
  <c r="B27" i="30" s="1"/>
  <c r="B28" i="30" s="1"/>
  <c r="B29" i="30" s="1"/>
  <c r="B30" i="30" s="1"/>
  <c r="B31" i="30" s="1"/>
  <c r="B32" i="30" s="1"/>
  <c r="B33" i="30" s="1"/>
  <c r="B34" i="30" s="1"/>
  <c r="B35" i="30" s="1"/>
  <c r="B36" i="30" s="1"/>
  <c r="B37" i="30" s="1"/>
  <c r="B38" i="30" s="1"/>
  <c r="B39" i="30" s="1"/>
  <c r="B40" i="30" s="1"/>
  <c r="B41" i="30" s="1"/>
  <c r="B42" i="30" s="1"/>
  <c r="B43" i="30" s="1"/>
  <c r="B44" i="30" s="1"/>
  <c r="B45" i="30" s="1"/>
  <c r="B46" i="30" s="1"/>
  <c r="B47" i="30" s="1"/>
  <c r="B48" i="30" s="1"/>
  <c r="B49" i="30" s="1"/>
  <c r="B50" i="30" s="1"/>
  <c r="B51" i="30" s="1"/>
  <c r="B52" i="30" s="1"/>
  <c r="B53" i="30" s="1"/>
  <c r="B54" i="30" s="1"/>
  <c r="B55" i="30" s="1"/>
  <c r="B56" i="30" s="1"/>
  <c r="B57" i="30" s="1"/>
  <c r="B58" i="30" s="1"/>
  <c r="B59" i="30" s="1"/>
  <c r="B60" i="30" s="1"/>
  <c r="B61" i="30" s="1"/>
  <c r="B62" i="30" s="1"/>
  <c r="B63" i="30" s="1"/>
  <c r="B64" i="30" s="1"/>
  <c r="B65" i="30" s="1"/>
  <c r="B66" i="30" s="1"/>
  <c r="B67" i="30" s="1"/>
  <c r="B68" i="30" s="1"/>
  <c r="B69" i="30" s="1"/>
  <c r="B70" i="30" s="1"/>
  <c r="B71" i="30" s="1"/>
  <c r="B72" i="30" s="1"/>
  <c r="B73" i="30" s="1"/>
  <c r="B74" i="30" s="1"/>
  <c r="B75" i="30" s="1"/>
  <c r="B76" i="30" s="1"/>
  <c r="B77" i="30" s="1"/>
  <c r="B78" i="30" s="1"/>
  <c r="B79" i="30" s="1"/>
  <c r="B80" i="30" s="1"/>
  <c r="C6" i="30"/>
  <c r="C10" i="30" s="1"/>
  <c r="D6" i="30"/>
  <c r="G19" i="30" s="1"/>
  <c r="E6" i="30"/>
  <c r="L9" i="30" s="1"/>
  <c r="N9" i="30" s="1"/>
  <c r="G75" i="5" l="1"/>
  <c r="F76" i="5"/>
  <c r="F77" i="5" s="1"/>
  <c r="P15" i="24"/>
  <c r="O15" i="24"/>
  <c r="L15" i="24"/>
  <c r="M15" i="24"/>
  <c r="N15" i="24"/>
  <c r="F78" i="5"/>
  <c r="G77" i="5"/>
  <c r="G76" i="5"/>
  <c r="C48" i="23" a="1"/>
  <c r="C48" i="23" s="1"/>
  <c r="C28" i="23"/>
  <c r="C42" i="23" a="1"/>
  <c r="C42" i="23" s="1"/>
  <c r="C24" i="23"/>
  <c r="C54" i="23" a="1"/>
  <c r="C54" i="23" s="1"/>
  <c r="C13" i="23"/>
  <c r="C26" i="23"/>
  <c r="C27" i="23"/>
  <c r="C5" i="23"/>
  <c r="C46" i="23" a="1"/>
  <c r="C46" i="23" s="1"/>
  <c r="C10" i="23"/>
  <c r="C23" i="23"/>
  <c r="C35" i="23" a="1"/>
  <c r="C35" i="23" s="1"/>
  <c r="C33" i="23" a="1"/>
  <c r="C33" i="23" s="1"/>
  <c r="C17" i="23"/>
  <c r="C21" i="23"/>
  <c r="C44" i="23"/>
  <c r="C38" i="23" a="1"/>
  <c r="C38" i="23" s="1"/>
  <c r="C47" i="23" a="1"/>
  <c r="C47" i="23" s="1"/>
  <c r="C9" i="23"/>
  <c r="C6" i="23"/>
  <c r="C51" i="23" a="1"/>
  <c r="C51" i="23" s="1"/>
  <c r="C39" i="23"/>
  <c r="C36" i="23" a="1"/>
  <c r="C36" i="23" s="1"/>
  <c r="C14" i="23"/>
  <c r="C40" i="23" a="1"/>
  <c r="C40" i="23" s="1"/>
  <c r="C50" i="23" a="1"/>
  <c r="C50" i="23" s="1"/>
  <c r="C52" i="23" a="1"/>
  <c r="C52" i="23" s="1"/>
  <c r="C25" i="23"/>
  <c r="C45" i="23"/>
  <c r="C31" i="23"/>
  <c r="C30" i="23" a="1"/>
  <c r="C30" i="23" s="1"/>
  <c r="C49" i="23"/>
  <c r="C32" i="23" a="1"/>
  <c r="C32" i="23" s="1"/>
  <c r="C15" i="23"/>
  <c r="C37" i="23"/>
  <c r="C22" i="23"/>
  <c r="D54" i="23" a="1"/>
  <c r="D54" i="23" s="1"/>
  <c r="C34" i="23" a="1"/>
  <c r="C34" i="23" s="1"/>
  <c r="C43" i="23"/>
  <c r="C12" i="23"/>
  <c r="D5" i="23"/>
  <c r="C8" i="31"/>
  <c r="C9" i="31" s="1"/>
  <c r="C10" i="31" s="1"/>
  <c r="C11" i="31" s="1"/>
  <c r="C12" i="31" s="1"/>
  <c r="C13" i="31" s="1"/>
  <c r="C14" i="31" s="1"/>
  <c r="C15" i="31" s="1"/>
  <c r="C16" i="31"/>
  <c r="C17" i="31" s="1"/>
  <c r="C18" i="31" s="1"/>
  <c r="C19" i="31" s="1"/>
  <c r="C20" i="31" s="1"/>
  <c r="C21" i="31" s="1"/>
  <c r="C22" i="31" s="1"/>
  <c r="C23" i="31" s="1"/>
  <c r="C24" i="31" s="1"/>
  <c r="C25" i="31" s="1"/>
  <c r="C26" i="31" s="1"/>
  <c r="C27" i="31" s="1"/>
  <c r="C28" i="31" s="1"/>
  <c r="D49" i="23"/>
  <c r="D44" i="23"/>
  <c r="D40" i="23" a="1"/>
  <c r="D40" i="23" s="1"/>
  <c r="D36" i="23" a="1"/>
  <c r="D36" i="23" s="1"/>
  <c r="D32" i="23" a="1"/>
  <c r="D32" i="23" s="1"/>
  <c r="D28" i="23"/>
  <c r="D24" i="23"/>
  <c r="D20" i="23"/>
  <c r="D16" i="23"/>
  <c r="D12" i="23"/>
  <c r="D6" i="23"/>
  <c r="D50" i="23" a="1"/>
  <c r="D50" i="23" s="1"/>
  <c r="D45" i="23"/>
  <c r="D41" i="23" a="1"/>
  <c r="D41" i="23" s="1"/>
  <c r="D37" i="23"/>
  <c r="D33" i="23" a="1"/>
  <c r="D33" i="23" s="1"/>
  <c r="D51" i="23" a="1"/>
  <c r="D51" i="23" s="1"/>
  <c r="D29" i="23"/>
  <c r="D25" i="23"/>
  <c r="D21" i="23"/>
  <c r="D17" i="23"/>
  <c r="D13" i="23"/>
  <c r="D9" i="23"/>
  <c r="D46" i="23" a="1"/>
  <c r="D46" i="23" s="1"/>
  <c r="D42" i="23" a="1"/>
  <c r="D42" i="23" s="1"/>
  <c r="D38" i="23" a="1"/>
  <c r="D38" i="23" s="1"/>
  <c r="D34" i="23" a="1"/>
  <c r="D34" i="23" s="1"/>
  <c r="D52" i="23" a="1"/>
  <c r="D52" i="23" s="1"/>
  <c r="D53" i="23"/>
  <c r="D47" i="23" a="1"/>
  <c r="D47" i="23" s="1"/>
  <c r="D30" i="23" a="1"/>
  <c r="D30" i="23" s="1"/>
  <c r="D26" i="23"/>
  <c r="D22" i="23"/>
  <c r="D18" i="23"/>
  <c r="D14" i="23"/>
  <c r="D10" i="23"/>
  <c r="D43" i="23"/>
  <c r="D39" i="23"/>
  <c r="D35" i="23" a="1"/>
  <c r="D35" i="23" s="1"/>
  <c r="D31" i="23"/>
  <c r="D48" i="23" a="1"/>
  <c r="D48" i="23" s="1"/>
  <c r="D27" i="23"/>
  <c r="D23" i="23"/>
  <c r="D19" i="23"/>
  <c r="D15" i="23"/>
  <c r="D11" i="23"/>
  <c r="E2" i="23"/>
  <c r="E54" i="23" s="1" a="1"/>
  <c r="E54" i="23" s="1"/>
  <c r="C71" i="30"/>
  <c r="C55" i="30"/>
  <c r="C39" i="30"/>
  <c r="C23" i="30"/>
  <c r="C40" i="30"/>
  <c r="C70" i="30"/>
  <c r="C54" i="30"/>
  <c r="C38" i="30"/>
  <c r="C22" i="30"/>
  <c r="C69" i="30"/>
  <c r="C53" i="30"/>
  <c r="C37" i="30"/>
  <c r="C21" i="30"/>
  <c r="C25" i="30"/>
  <c r="C56" i="30"/>
  <c r="C68" i="30"/>
  <c r="C52" i="30"/>
  <c r="C36" i="30"/>
  <c r="C20" i="30"/>
  <c r="K52" i="30"/>
  <c r="K36" i="30"/>
  <c r="K20" i="30"/>
  <c r="C24" i="30"/>
  <c r="C67" i="30"/>
  <c r="C51" i="30"/>
  <c r="C35" i="30"/>
  <c r="C19" i="30"/>
  <c r="K67" i="30"/>
  <c r="K51" i="30"/>
  <c r="K35" i="30"/>
  <c r="K19" i="30"/>
  <c r="C66" i="30"/>
  <c r="C50" i="30"/>
  <c r="C34" i="30"/>
  <c r="C18" i="30"/>
  <c r="G74" i="30"/>
  <c r="G58" i="30"/>
  <c r="G42" i="30"/>
  <c r="G26" i="30"/>
  <c r="G10" i="30"/>
  <c r="K66" i="30"/>
  <c r="K50" i="30"/>
  <c r="K34" i="30"/>
  <c r="K18" i="30"/>
  <c r="C9" i="30"/>
  <c r="C65" i="30"/>
  <c r="C49" i="30"/>
  <c r="C33" i="30"/>
  <c r="C17" i="30"/>
  <c r="G73" i="30"/>
  <c r="G57" i="30"/>
  <c r="G41" i="30"/>
  <c r="G25" i="30"/>
  <c r="K9" i="30"/>
  <c r="K65" i="30"/>
  <c r="K49" i="30"/>
  <c r="K33" i="30"/>
  <c r="K17" i="30"/>
  <c r="C57" i="30"/>
  <c r="C80" i="30"/>
  <c r="C64" i="30"/>
  <c r="C48" i="30"/>
  <c r="C32" i="30"/>
  <c r="C16" i="30"/>
  <c r="G72" i="30"/>
  <c r="G56" i="30"/>
  <c r="G40" i="30"/>
  <c r="G24" i="30"/>
  <c r="K80" i="30"/>
  <c r="K64" i="30"/>
  <c r="K48" i="30"/>
  <c r="K32" i="30"/>
  <c r="K16" i="30"/>
  <c r="C73" i="30"/>
  <c r="C79" i="30"/>
  <c r="C63" i="30"/>
  <c r="C47" i="30"/>
  <c r="C31" i="30"/>
  <c r="C15" i="30"/>
  <c r="G71" i="30"/>
  <c r="G55" i="30"/>
  <c r="G39" i="30"/>
  <c r="G23" i="30"/>
  <c r="K79" i="30"/>
  <c r="K63" i="30"/>
  <c r="K47" i="30"/>
  <c r="K31" i="30"/>
  <c r="K15" i="30"/>
  <c r="C78" i="30"/>
  <c r="C62" i="30"/>
  <c r="C46" i="30"/>
  <c r="C30" i="30"/>
  <c r="C14" i="30"/>
  <c r="K62" i="30"/>
  <c r="K46" i="30"/>
  <c r="K30" i="30"/>
  <c r="K14" i="30"/>
  <c r="C77" i="30"/>
  <c r="C61" i="30"/>
  <c r="C45" i="30"/>
  <c r="C29" i="30"/>
  <c r="C13" i="30"/>
  <c r="K77" i="30"/>
  <c r="K61" i="30"/>
  <c r="K45" i="30"/>
  <c r="K29" i="30"/>
  <c r="K13" i="30"/>
  <c r="C72" i="30"/>
  <c r="C76" i="30"/>
  <c r="C60" i="30"/>
  <c r="C44" i="30"/>
  <c r="C28" i="30"/>
  <c r="C12" i="30"/>
  <c r="K76" i="30"/>
  <c r="K60" i="30"/>
  <c r="K44" i="30"/>
  <c r="K28" i="30"/>
  <c r="K12" i="30"/>
  <c r="C75" i="30"/>
  <c r="C59" i="30"/>
  <c r="C43" i="30"/>
  <c r="C27" i="30"/>
  <c r="C11" i="30"/>
  <c r="G67" i="30"/>
  <c r="G51" i="30"/>
  <c r="G35" i="30"/>
  <c r="K75" i="30"/>
  <c r="K59" i="30"/>
  <c r="K43" i="30"/>
  <c r="K27" i="30"/>
  <c r="K11" i="30"/>
  <c r="C41" i="30"/>
  <c r="H9" i="30"/>
  <c r="J9" i="30" s="1"/>
  <c r="I10" i="30" s="1"/>
  <c r="H10" i="30" s="1"/>
  <c r="J10" i="30" s="1"/>
  <c r="C74" i="30"/>
  <c r="C58" i="30"/>
  <c r="C42" i="30"/>
  <c r="C26" i="30"/>
  <c r="G66" i="30"/>
  <c r="G50" i="30"/>
  <c r="G34" i="30"/>
  <c r="G18" i="30"/>
  <c r="K74" i="30"/>
  <c r="K58" i="30"/>
  <c r="K42" i="30"/>
  <c r="K26" i="30"/>
  <c r="K10" i="30"/>
  <c r="M10" i="30"/>
  <c r="L10" i="30" s="1"/>
  <c r="N10" i="30" s="1"/>
  <c r="M11" i="30" s="1"/>
  <c r="L11" i="30" s="1"/>
  <c r="N11" i="30" s="1"/>
  <c r="F6" i="30"/>
  <c r="F79" i="5" l="1"/>
  <c r="G78" i="5"/>
  <c r="D57" i="23"/>
  <c r="C57" i="23"/>
  <c r="E32" i="23" a="1"/>
  <c r="E32" i="23" s="1"/>
  <c r="E36" i="23" a="1"/>
  <c r="E36" i="23" s="1"/>
  <c r="E40" i="23" a="1"/>
  <c r="E40" i="23" s="1"/>
  <c r="E44" i="23"/>
  <c r="E49" i="23"/>
  <c r="E5" i="23"/>
  <c r="E11" i="23"/>
  <c r="E15" i="23"/>
  <c r="E19" i="23"/>
  <c r="E23" i="23"/>
  <c r="E27" i="23"/>
  <c r="E48" i="23" a="1"/>
  <c r="E48" i="23" s="1"/>
  <c r="E31" i="23"/>
  <c r="E35" i="23" a="1"/>
  <c r="E35" i="23" s="1"/>
  <c r="E39" i="23"/>
  <c r="E43" i="23"/>
  <c r="E10" i="23"/>
  <c r="E14" i="23"/>
  <c r="E18" i="23"/>
  <c r="E22" i="23"/>
  <c r="E26" i="23"/>
  <c r="E30" i="23" a="1"/>
  <c r="E30" i="23" s="1"/>
  <c r="E47" i="23" a="1"/>
  <c r="E47" i="23" s="1"/>
  <c r="E53" i="23"/>
  <c r="E52" i="23" a="1"/>
  <c r="E52" i="23" s="1"/>
  <c r="E34" i="23" a="1"/>
  <c r="E34" i="23" s="1"/>
  <c r="E38" i="23" a="1"/>
  <c r="E38" i="23" s="1"/>
  <c r="E42" i="23" a="1"/>
  <c r="E42" i="23" s="1"/>
  <c r="E46" i="23" a="1"/>
  <c r="E46" i="23" s="1"/>
  <c r="E9" i="23"/>
  <c r="E13" i="23"/>
  <c r="E17" i="23"/>
  <c r="E21" i="23"/>
  <c r="E25" i="23"/>
  <c r="E29" i="23"/>
  <c r="E51" i="23" a="1"/>
  <c r="E51" i="23" s="1"/>
  <c r="E33" i="23" a="1"/>
  <c r="E33" i="23" s="1"/>
  <c r="E37" i="23"/>
  <c r="E41" i="23" a="1"/>
  <c r="E41" i="23" s="1"/>
  <c r="E45" i="23"/>
  <c r="E50" i="23" a="1"/>
  <c r="E50" i="23" s="1"/>
  <c r="E6" i="23"/>
  <c r="E12" i="23"/>
  <c r="E16" i="23"/>
  <c r="E20" i="23"/>
  <c r="E24" i="23"/>
  <c r="E28" i="23"/>
  <c r="F2" i="23"/>
  <c r="F54" i="23" s="1" a="1"/>
  <c r="F54" i="23" s="1"/>
  <c r="I11" i="30"/>
  <c r="H11" i="30" s="1"/>
  <c r="J11" i="30" s="1"/>
  <c r="I12" i="30" s="1"/>
  <c r="H12" i="30" s="1"/>
  <c r="J12" i="30" s="1"/>
  <c r="I13" i="30" s="1"/>
  <c r="H13" i="30" s="1"/>
  <c r="J13" i="30" s="1"/>
  <c r="I14" i="30" s="1"/>
  <c r="H14" i="30" s="1"/>
  <c r="J14" i="30" s="1"/>
  <c r="M12" i="30"/>
  <c r="L12" i="30" s="1"/>
  <c r="N12" i="30" s="1"/>
  <c r="F80" i="5" l="1"/>
  <c r="G79" i="5"/>
  <c r="E57" i="23"/>
  <c r="D59" i="23"/>
  <c r="D60" i="23"/>
  <c r="C59" i="23"/>
  <c r="C60" i="23"/>
  <c r="F32" i="23" a="1"/>
  <c r="F32" i="23" s="1"/>
  <c r="F36" i="23" a="1"/>
  <c r="F36" i="23" s="1"/>
  <c r="F40" i="23" a="1"/>
  <c r="F40" i="23" s="1"/>
  <c r="F44" i="23"/>
  <c r="F49" i="23"/>
  <c r="F5" i="23"/>
  <c r="F11" i="23"/>
  <c r="F15" i="23"/>
  <c r="F19" i="23"/>
  <c r="F23" i="23"/>
  <c r="F27" i="23"/>
  <c r="F48" i="23" a="1"/>
  <c r="F48" i="23" s="1"/>
  <c r="F31" i="23"/>
  <c r="F35" i="23" a="1"/>
  <c r="F35" i="23" s="1"/>
  <c r="F39" i="23"/>
  <c r="F43" i="23"/>
  <c r="F10" i="23"/>
  <c r="F14" i="23"/>
  <c r="F18" i="23"/>
  <c r="F22" i="23"/>
  <c r="F26" i="23"/>
  <c r="F53" i="23"/>
  <c r="F30" i="23" a="1"/>
  <c r="F30" i="23" s="1"/>
  <c r="F47" i="23" a="1"/>
  <c r="F47" i="23" s="1"/>
  <c r="F52" i="23" a="1"/>
  <c r="F52" i="23" s="1"/>
  <c r="F34" i="23" a="1"/>
  <c r="F34" i="23" s="1"/>
  <c r="F38" i="23" a="1"/>
  <c r="F38" i="23" s="1"/>
  <c r="F42" i="23" a="1"/>
  <c r="F42" i="23" s="1"/>
  <c r="F46" i="23" a="1"/>
  <c r="F46" i="23" s="1"/>
  <c r="F9" i="23"/>
  <c r="F13" i="23"/>
  <c r="F17" i="23"/>
  <c r="F21" i="23"/>
  <c r="F25" i="23"/>
  <c r="F29" i="23"/>
  <c r="F51" i="23" a="1"/>
  <c r="F51" i="23" s="1"/>
  <c r="F33" i="23" a="1"/>
  <c r="F33" i="23" s="1"/>
  <c r="F37" i="23"/>
  <c r="F41" i="23" a="1"/>
  <c r="F41" i="23" s="1"/>
  <c r="F45" i="23"/>
  <c r="F50" i="23" a="1"/>
  <c r="F50" i="23" s="1"/>
  <c r="F6" i="23"/>
  <c r="F12" i="23"/>
  <c r="F16" i="23"/>
  <c r="F20" i="23"/>
  <c r="F24" i="23"/>
  <c r="F28" i="23"/>
  <c r="G2" i="23"/>
  <c r="G54" i="23" s="1" a="1"/>
  <c r="G54" i="23" s="1"/>
  <c r="M13" i="30"/>
  <c r="L13" i="30" s="1"/>
  <c r="N13" i="30"/>
  <c r="M14" i="30"/>
  <c r="L14" i="30" s="1"/>
  <c r="N14" i="30" s="1"/>
  <c r="I15" i="30"/>
  <c r="H15" i="30" s="1"/>
  <c r="J15" i="30" s="1"/>
  <c r="G80" i="5" l="1"/>
  <c r="F81" i="5"/>
  <c r="F57" i="23"/>
  <c r="E59" i="23"/>
  <c r="E60" i="23"/>
  <c r="G32" i="23" a="1"/>
  <c r="G32" i="23" s="1"/>
  <c r="G36" i="23" a="1"/>
  <c r="G36" i="23" s="1"/>
  <c r="G40" i="23" a="1"/>
  <c r="G40" i="23" s="1"/>
  <c r="G44" i="23"/>
  <c r="G49" i="23"/>
  <c r="G5" i="23"/>
  <c r="G11" i="23"/>
  <c r="G15" i="23"/>
  <c r="G19" i="23"/>
  <c r="G23" i="23"/>
  <c r="G27" i="23"/>
  <c r="G48" i="23" a="1"/>
  <c r="G48" i="23" s="1"/>
  <c r="G31" i="23"/>
  <c r="G35" i="23" a="1"/>
  <c r="G35" i="23" s="1"/>
  <c r="G39" i="23"/>
  <c r="G43" i="23"/>
  <c r="G10" i="23"/>
  <c r="G14" i="23"/>
  <c r="G18" i="23"/>
  <c r="G22" i="23"/>
  <c r="G26" i="23"/>
  <c r="G53" i="23"/>
  <c r="G30" i="23" a="1"/>
  <c r="G30" i="23" s="1"/>
  <c r="G47" i="23" a="1"/>
  <c r="G47" i="23" s="1"/>
  <c r="G52" i="23" a="1"/>
  <c r="G52" i="23" s="1"/>
  <c r="G34" i="23" a="1"/>
  <c r="G34" i="23" s="1"/>
  <c r="G38" i="23" a="1"/>
  <c r="G38" i="23" s="1"/>
  <c r="G42" i="23" a="1"/>
  <c r="G42" i="23" s="1"/>
  <c r="G46" i="23" a="1"/>
  <c r="G46" i="23" s="1"/>
  <c r="G9" i="23"/>
  <c r="G13" i="23"/>
  <c r="G17" i="23"/>
  <c r="G21" i="23"/>
  <c r="G25" i="23"/>
  <c r="G29" i="23"/>
  <c r="G51" i="23" a="1"/>
  <c r="G51" i="23" s="1"/>
  <c r="G33" i="23" a="1"/>
  <c r="G33" i="23" s="1"/>
  <c r="G37" i="23"/>
  <c r="G41" i="23" a="1"/>
  <c r="G41" i="23" s="1"/>
  <c r="G45" i="23"/>
  <c r="G50" i="23" a="1"/>
  <c r="G50" i="23" s="1"/>
  <c r="G6" i="23"/>
  <c r="G12" i="23"/>
  <c r="G16" i="23"/>
  <c r="G20" i="23"/>
  <c r="G24" i="23"/>
  <c r="G28" i="23"/>
  <c r="H2" i="23"/>
  <c r="H54" i="23" s="1" a="1"/>
  <c r="H54" i="23" s="1"/>
  <c r="M15" i="30"/>
  <c r="L15" i="30" s="1"/>
  <c r="N15" i="30"/>
  <c r="I16" i="30"/>
  <c r="H16" i="30" s="1"/>
  <c r="J16" i="30" s="1"/>
  <c r="G81" i="5" l="1"/>
  <c r="F82" i="5"/>
  <c r="G57" i="23"/>
  <c r="F59" i="23"/>
  <c r="F60" i="23"/>
  <c r="H6" i="23"/>
  <c r="H12" i="23"/>
  <c r="H16" i="23"/>
  <c r="H20" i="23"/>
  <c r="H24" i="23"/>
  <c r="H28" i="23"/>
  <c r="H50" i="23" a="1"/>
  <c r="H50" i="23" s="1"/>
  <c r="H32" i="23" a="1"/>
  <c r="H32" i="23" s="1"/>
  <c r="H36" i="23" a="1"/>
  <c r="H36" i="23" s="1"/>
  <c r="H40" i="23" a="1"/>
  <c r="H40" i="23" s="1"/>
  <c r="H44" i="23"/>
  <c r="H49" i="23"/>
  <c r="H5" i="23"/>
  <c r="H11" i="23"/>
  <c r="H15" i="23"/>
  <c r="H19" i="23"/>
  <c r="H23" i="23"/>
  <c r="H27" i="23"/>
  <c r="H48" i="23" a="1"/>
  <c r="H48" i="23" s="1"/>
  <c r="H31" i="23"/>
  <c r="H35" i="23" a="1"/>
  <c r="H35" i="23" s="1"/>
  <c r="H39" i="23"/>
  <c r="H43" i="23"/>
  <c r="H10" i="23"/>
  <c r="H14" i="23"/>
  <c r="H18" i="23"/>
  <c r="H22" i="23"/>
  <c r="H26" i="23"/>
  <c r="H53" i="23"/>
  <c r="H47" i="23" a="1"/>
  <c r="H47" i="23" s="1"/>
  <c r="H30" i="23" a="1"/>
  <c r="H30" i="23" s="1"/>
  <c r="H34" i="23" a="1"/>
  <c r="H34" i="23" s="1"/>
  <c r="H38" i="23" a="1"/>
  <c r="H38" i="23" s="1"/>
  <c r="H42" i="23" a="1"/>
  <c r="H42" i="23" s="1"/>
  <c r="H46" i="23" a="1"/>
  <c r="H46" i="23" s="1"/>
  <c r="H52" i="23" a="1"/>
  <c r="H52" i="23" s="1"/>
  <c r="H9" i="23"/>
  <c r="H13" i="23"/>
  <c r="H17" i="23"/>
  <c r="H21" i="23"/>
  <c r="H25" i="23"/>
  <c r="H29" i="23"/>
  <c r="H51" i="23" a="1"/>
  <c r="H51" i="23" s="1"/>
  <c r="H33" i="23" a="1"/>
  <c r="H33" i="23" s="1"/>
  <c r="H37" i="23"/>
  <c r="H41" i="23" a="1"/>
  <c r="H41" i="23" s="1"/>
  <c r="H45" i="23"/>
  <c r="I2" i="23"/>
  <c r="M16" i="30"/>
  <c r="L16" i="30" s="1"/>
  <c r="N16" i="30" s="1"/>
  <c r="I17" i="30"/>
  <c r="H17" i="30" s="1"/>
  <c r="J17" i="30" s="1"/>
  <c r="F5" i="30"/>
  <c r="U21" i="29"/>
  <c r="W21" i="29"/>
  <c r="Z21" i="29"/>
  <c r="AB21" i="29"/>
  <c r="AD21" i="29"/>
  <c r="AF21" i="29"/>
  <c r="AH21" i="29"/>
  <c r="B18" i="29"/>
  <c r="D35" i="29"/>
  <c r="E35" i="29" s="1"/>
  <c r="F35" i="29" s="1"/>
  <c r="G35" i="29" s="1"/>
  <c r="H35" i="29" s="1"/>
  <c r="I35" i="29" s="1"/>
  <c r="J35" i="29" s="1"/>
  <c r="K35" i="29" s="1"/>
  <c r="L35" i="29" s="1"/>
  <c r="M35" i="29" s="1"/>
  <c r="N35" i="29" s="1"/>
  <c r="O35" i="29" s="1"/>
  <c r="P35" i="29" s="1"/>
  <c r="Q35" i="29" s="1"/>
  <c r="R35" i="29" s="1"/>
  <c r="S35" i="29" s="1"/>
  <c r="T35" i="29" s="1"/>
  <c r="D4" i="29"/>
  <c r="C3" i="29"/>
  <c r="B15" i="29"/>
  <c r="D14" i="25"/>
  <c r="D13" i="25"/>
  <c r="A13" i="25"/>
  <c r="A27" i="22"/>
  <c r="A28" i="22"/>
  <c r="A29" i="22"/>
  <c r="A30" i="22"/>
  <c r="A50" i="19"/>
  <c r="A51" i="19"/>
  <c r="A52" i="19"/>
  <c r="A15" i="25"/>
  <c r="A68" i="5"/>
  <c r="A69" i="5"/>
  <c r="A70" i="5"/>
  <c r="A71" i="5"/>
  <c r="A72" i="5"/>
  <c r="A73" i="5"/>
  <c r="A74" i="5"/>
  <c r="G68" i="5"/>
  <c r="G69" i="5"/>
  <c r="G70" i="5"/>
  <c r="G71" i="5"/>
  <c r="G72" i="5"/>
  <c r="G73" i="5"/>
  <c r="G74" i="5"/>
  <c r="A65" i="18"/>
  <c r="A66" i="18"/>
  <c r="A67" i="18"/>
  <c r="A68" i="18"/>
  <c r="A69" i="18"/>
  <c r="C11" i="29"/>
  <c r="C10" i="29"/>
  <c r="D10" i="29" s="1"/>
  <c r="E10" i="29" s="1"/>
  <c r="F10" i="29" s="1"/>
  <c r="G10" i="29" s="1"/>
  <c r="H10" i="29" s="1"/>
  <c r="I10" i="29" s="1"/>
  <c r="J10" i="29" s="1"/>
  <c r="K10" i="29" s="1"/>
  <c r="L10" i="29" s="1"/>
  <c r="M10" i="29" s="1"/>
  <c r="N10" i="29" s="1"/>
  <c r="O10" i="29" s="1"/>
  <c r="P10" i="29" s="1"/>
  <c r="Q10" i="29" s="1"/>
  <c r="R10" i="29" s="1"/>
  <c r="S10" i="29" s="1"/>
  <c r="T10" i="29" s="1"/>
  <c r="U10" i="29" s="1"/>
  <c r="V10" i="29" s="1"/>
  <c r="W10" i="29" s="1"/>
  <c r="X10" i="29" s="1"/>
  <c r="Y10" i="29" s="1"/>
  <c r="Z10" i="29" s="1"/>
  <c r="AA10" i="29" s="1"/>
  <c r="AB10" i="29" s="1"/>
  <c r="C1" i="29"/>
  <c r="S29" i="29" s="1"/>
  <c r="D76" i="24"/>
  <c r="U35" i="29" l="1"/>
  <c r="V35" i="29" s="1"/>
  <c r="W35" i="29" s="1"/>
  <c r="X35" i="29" s="1"/>
  <c r="Y35" i="29" s="1"/>
  <c r="Z35" i="29" s="1"/>
  <c r="AA35" i="29" s="1"/>
  <c r="AB35" i="29" s="1"/>
  <c r="AC35" i="29" s="1"/>
  <c r="AD35" i="29" s="1"/>
  <c r="AE35" i="29" s="1"/>
  <c r="AF35" i="29" s="1"/>
  <c r="AG35" i="29" s="1"/>
  <c r="AH35" i="29" s="1"/>
  <c r="AI35" i="29" s="1"/>
  <c r="C2" i="29"/>
  <c r="E2" i="29" s="1"/>
  <c r="G82" i="5"/>
  <c r="F83" i="5"/>
  <c r="I54" i="23" a="1"/>
  <c r="I54" i="23" s="1"/>
  <c r="I27" i="23"/>
  <c r="I31" i="23"/>
  <c r="I30" i="23" a="1"/>
  <c r="I30" i="23" s="1"/>
  <c r="I32" i="23" a="1"/>
  <c r="I32" i="23" s="1"/>
  <c r="I29" i="23"/>
  <c r="I26" i="23"/>
  <c r="H57" i="23"/>
  <c r="G59" i="23"/>
  <c r="G60" i="23"/>
  <c r="I33" i="23" a="1"/>
  <c r="I33" i="23" s="1"/>
  <c r="I37" i="23"/>
  <c r="I41" i="23" a="1"/>
  <c r="I41" i="23" s="1"/>
  <c r="I45" i="23"/>
  <c r="I6" i="23"/>
  <c r="I12" i="23"/>
  <c r="I16" i="23"/>
  <c r="I20" i="23"/>
  <c r="I24" i="23"/>
  <c r="I50" i="23" a="1"/>
  <c r="I50" i="23" s="1"/>
  <c r="I36" i="23" a="1"/>
  <c r="I36" i="23" s="1"/>
  <c r="I40" i="23" a="1"/>
  <c r="I40" i="23" s="1"/>
  <c r="I44" i="23"/>
  <c r="I49" i="23"/>
  <c r="I5" i="23"/>
  <c r="I11" i="23"/>
  <c r="I15" i="23"/>
  <c r="I19" i="23"/>
  <c r="I23" i="23"/>
  <c r="I48" i="23" a="1"/>
  <c r="I48" i="23" s="1"/>
  <c r="I35" i="23" a="1"/>
  <c r="I35" i="23" s="1"/>
  <c r="I39" i="23"/>
  <c r="I43" i="23"/>
  <c r="I10" i="23"/>
  <c r="I14" i="23"/>
  <c r="I18" i="23"/>
  <c r="I22" i="23"/>
  <c r="I53" i="23"/>
  <c r="I47" i="23" a="1"/>
  <c r="I47" i="23" s="1"/>
  <c r="I34" i="23" a="1"/>
  <c r="I34" i="23" s="1"/>
  <c r="I38" i="23" a="1"/>
  <c r="I38" i="23" s="1"/>
  <c r="I42" i="23" a="1"/>
  <c r="I42" i="23" s="1"/>
  <c r="I46" i="23" a="1"/>
  <c r="I46" i="23" s="1"/>
  <c r="I52" i="23" a="1"/>
  <c r="I52" i="23" s="1"/>
  <c r="I9" i="23"/>
  <c r="I13" i="23"/>
  <c r="I17" i="23"/>
  <c r="I21" i="23"/>
  <c r="I25" i="23"/>
  <c r="I51" i="23" a="1"/>
  <c r="I51" i="23" s="1"/>
  <c r="J2" i="23"/>
  <c r="M17" i="30"/>
  <c r="L17" i="30" s="1"/>
  <c r="N17" i="30"/>
  <c r="I18" i="30"/>
  <c r="H18" i="30" s="1"/>
  <c r="J18" i="30" s="1"/>
  <c r="S18" i="29"/>
  <c r="Q18" i="29"/>
  <c r="W18" i="29"/>
  <c r="Z18" i="29"/>
  <c r="AD29" i="29"/>
  <c r="AF29" i="29"/>
  <c r="AH29" i="29"/>
  <c r="Z29" i="29"/>
  <c r="D18" i="29"/>
  <c r="F18" i="29"/>
  <c r="U18" i="29"/>
  <c r="H18" i="29"/>
  <c r="O18" i="29"/>
  <c r="AB18" i="29"/>
  <c r="AC10" i="29"/>
  <c r="AD10" i="29" s="1"/>
  <c r="AB29" i="29"/>
  <c r="J18" i="29"/>
  <c r="M18" i="29"/>
  <c r="E3" i="29"/>
  <c r="D11" i="29"/>
  <c r="E11" i="29" s="1"/>
  <c r="U29" i="29"/>
  <c r="W29" i="29"/>
  <c r="B29" i="29"/>
  <c r="D29" i="29"/>
  <c r="F29" i="29"/>
  <c r="H29" i="29"/>
  <c r="M29" i="29"/>
  <c r="O29" i="29"/>
  <c r="J29" i="29"/>
  <c r="Q29" i="29"/>
  <c r="G83" i="5" l="1"/>
  <c r="F84" i="5"/>
  <c r="J6" i="23"/>
  <c r="K6" i="23" s="1"/>
  <c r="L6" i="23" s="1"/>
  <c r="J19" i="23"/>
  <c r="J51" i="23" a="1"/>
  <c r="J51" i="23" s="1"/>
  <c r="J32" i="23" a="1"/>
  <c r="J32" i="23" s="1"/>
  <c r="J33" i="23" a="1"/>
  <c r="J33" i="23" s="1"/>
  <c r="J31" i="23"/>
  <c r="J42" i="23" a="1"/>
  <c r="J42" i="23" s="1"/>
  <c r="J21" i="23"/>
  <c r="J20" i="23"/>
  <c r="J44" i="23"/>
  <c r="J45" i="23"/>
  <c r="J47" i="23" a="1"/>
  <c r="J47" i="23" s="1"/>
  <c r="J48" i="23" a="1"/>
  <c r="J48" i="23" s="1"/>
  <c r="J24" i="23"/>
  <c r="J41" i="23" a="1"/>
  <c r="J41" i="23" s="1"/>
  <c r="J54" i="23" a="1"/>
  <c r="J54" i="23" s="1"/>
  <c r="J46" i="23" a="1"/>
  <c r="J46" i="23" s="1"/>
  <c r="J10" i="23"/>
  <c r="J30" i="23" a="1"/>
  <c r="J30" i="23" s="1"/>
  <c r="J18" i="23"/>
  <c r="J12" i="23"/>
  <c r="J29" i="23"/>
  <c r="J36" i="23" a="1"/>
  <c r="J36" i="23" s="1"/>
  <c r="J49" i="23"/>
  <c r="J17" i="23"/>
  <c r="K17" i="23" s="1"/>
  <c r="L17" i="23" s="1"/>
  <c r="M17" i="23" s="1"/>
  <c r="N17" i="23" s="1"/>
  <c r="J23" i="23"/>
  <c r="J16" i="23"/>
  <c r="J38" i="23" a="1"/>
  <c r="J38" i="23" s="1"/>
  <c r="J15" i="23"/>
  <c r="K15" i="23" s="1"/>
  <c r="L15" i="23" s="1"/>
  <c r="M15" i="23" s="1"/>
  <c r="N15" i="23" s="1"/>
  <c r="J14" i="23"/>
  <c r="J37" i="23"/>
  <c r="J27" i="23"/>
  <c r="J40" i="23" a="1"/>
  <c r="J40" i="23" s="1"/>
  <c r="J22" i="23"/>
  <c r="J50" i="23" a="1"/>
  <c r="J50" i="23" s="1"/>
  <c r="J34" i="23" a="1"/>
  <c r="J34" i="23" s="1"/>
  <c r="J26" i="23"/>
  <c r="J13" i="23"/>
  <c r="J43" i="23"/>
  <c r="J11" i="23"/>
  <c r="J52" i="23" a="1"/>
  <c r="J52" i="23" s="1"/>
  <c r="J25" i="23"/>
  <c r="J35" i="23" a="1"/>
  <c r="J35" i="23" s="1"/>
  <c r="J39" i="23"/>
  <c r="J9" i="23"/>
  <c r="J53" i="23"/>
  <c r="I57" i="23"/>
  <c r="H59" i="23"/>
  <c r="H60" i="23"/>
  <c r="K2" i="23"/>
  <c r="M18" i="30"/>
  <c r="L18" i="30" s="1"/>
  <c r="N18" i="30"/>
  <c r="I19" i="30"/>
  <c r="H19" i="30" s="1"/>
  <c r="J19" i="30" s="1"/>
  <c r="Z20" i="29"/>
  <c r="Y20" i="29"/>
  <c r="AA20" i="29"/>
  <c r="AD18" i="29"/>
  <c r="AE10" i="29"/>
  <c r="AF10" i="29" s="1"/>
  <c r="AG10" i="29" s="1"/>
  <c r="I20" i="29"/>
  <c r="T20" i="29"/>
  <c r="J20" i="29"/>
  <c r="U20" i="29"/>
  <c r="K20" i="29"/>
  <c r="V20" i="29"/>
  <c r="L20" i="29"/>
  <c r="W20" i="29"/>
  <c r="M20" i="29"/>
  <c r="X20" i="29"/>
  <c r="N20" i="29"/>
  <c r="O20" i="29"/>
  <c r="P20" i="29"/>
  <c r="Q20" i="29"/>
  <c r="R20" i="29"/>
  <c r="S20" i="29"/>
  <c r="D34" i="29"/>
  <c r="F11" i="29"/>
  <c r="G11" i="29" s="1"/>
  <c r="M6" i="23" l="1"/>
  <c r="G84" i="5"/>
  <c r="F85" i="5"/>
  <c r="J57" i="23"/>
  <c r="J60" i="23" s="1"/>
  <c r="K19" i="23"/>
  <c r="K31" i="23"/>
  <c r="K37" i="23"/>
  <c r="K22" i="23"/>
  <c r="K14" i="23"/>
  <c r="K42" i="23" a="1"/>
  <c r="K42" i="23" s="1"/>
  <c r="K34" i="23" a="1"/>
  <c r="K34" i="23" s="1"/>
  <c r="K40" i="23" a="1"/>
  <c r="K40" i="23" s="1"/>
  <c r="K54" i="23" a="1"/>
  <c r="K54" i="23" s="1"/>
  <c r="K12" i="23"/>
  <c r="K50" i="23" a="1"/>
  <c r="K50" i="23" s="1"/>
  <c r="K26" i="23"/>
  <c r="K35" i="23" a="1"/>
  <c r="K35" i="23" s="1"/>
  <c r="K48" i="23" a="1"/>
  <c r="K48" i="23" s="1"/>
  <c r="K27" i="23"/>
  <c r="K9" i="23"/>
  <c r="K13" i="23"/>
  <c r="K45" i="23"/>
  <c r="K33" i="23" a="1"/>
  <c r="K33" i="23" s="1"/>
  <c r="K52" i="23" a="1"/>
  <c r="K52" i="23" s="1"/>
  <c r="K39" i="23"/>
  <c r="K25" i="23"/>
  <c r="K43" i="23"/>
  <c r="K21" i="23"/>
  <c r="K53" i="23"/>
  <c r="K46" i="23" a="1"/>
  <c r="K46" i="23" s="1"/>
  <c r="K44" i="23"/>
  <c r="K20" i="23"/>
  <c r="K10" i="23"/>
  <c r="K38" i="23" a="1"/>
  <c r="K38" i="23" s="1"/>
  <c r="K18" i="23"/>
  <c r="K30" i="23" a="1"/>
  <c r="K30" i="23" s="1"/>
  <c r="K24" i="23"/>
  <c r="K16" i="23"/>
  <c r="K49" i="23"/>
  <c r="K11" i="23"/>
  <c r="K29" i="23"/>
  <c r="K32" i="23" a="1"/>
  <c r="K32" i="23" s="1"/>
  <c r="K47" i="23" a="1"/>
  <c r="K47" i="23" s="1"/>
  <c r="K41" i="23" a="1"/>
  <c r="K41" i="23" s="1"/>
  <c r="K23" i="23"/>
  <c r="K36" i="23" a="1"/>
  <c r="K36" i="23" s="1"/>
  <c r="K51" i="23" a="1"/>
  <c r="K51" i="23" s="1"/>
  <c r="I59" i="23"/>
  <c r="I60" i="23"/>
  <c r="E34" i="29"/>
  <c r="F34" i="29" s="1"/>
  <c r="G34" i="29" s="1"/>
  <c r="H34" i="29" s="1"/>
  <c r="I34" i="29" s="1"/>
  <c r="J34" i="29" s="1"/>
  <c r="K34" i="29" s="1"/>
  <c r="L34" i="29" s="1"/>
  <c r="M34" i="29" s="1"/>
  <c r="N34" i="29" s="1"/>
  <c r="O34" i="29" s="1"/>
  <c r="P34" i="29" s="1"/>
  <c r="Q34" i="29" s="1"/>
  <c r="R34" i="29" s="1"/>
  <c r="S34" i="29" s="1"/>
  <c r="T34" i="29" s="1"/>
  <c r="U34" i="29" s="1"/>
  <c r="V34" i="29" s="1"/>
  <c r="W34" i="29" s="1"/>
  <c r="X34" i="29" s="1"/>
  <c r="Y34" i="29" s="1"/>
  <c r="Z34" i="29" s="1"/>
  <c r="AA34" i="29" s="1"/>
  <c r="AB34" i="29" s="1"/>
  <c r="AC34" i="29" s="1"/>
  <c r="AD34" i="29" s="1"/>
  <c r="AE34" i="29" s="1"/>
  <c r="AF34" i="29" s="1"/>
  <c r="AG34" i="29" s="1"/>
  <c r="AH34" i="29" s="1"/>
  <c r="AI34" i="29" s="1"/>
  <c r="L2" i="23"/>
  <c r="AF18" i="29"/>
  <c r="M19" i="30"/>
  <c r="L19" i="30" s="1"/>
  <c r="N19" i="30"/>
  <c r="I20" i="30"/>
  <c r="H20" i="30" s="1"/>
  <c r="J20" i="30" s="1"/>
  <c r="AH10" i="29"/>
  <c r="H11" i="29"/>
  <c r="N19" i="29"/>
  <c r="M19" i="29"/>
  <c r="P19" i="29"/>
  <c r="L19" i="29"/>
  <c r="S19" i="29"/>
  <c r="K19" i="29"/>
  <c r="J19" i="29"/>
  <c r="I19" i="29"/>
  <c r="H19" i="29"/>
  <c r="D19" i="29"/>
  <c r="G19" i="29"/>
  <c r="O19" i="29"/>
  <c r="F19" i="29"/>
  <c r="R19" i="29"/>
  <c r="E19" i="29"/>
  <c r="Q19" i="29"/>
  <c r="L19" i="23" l="1"/>
  <c r="L29" i="23"/>
  <c r="L36" i="23" a="1"/>
  <c r="L36" i="23" s="1"/>
  <c r="L26" i="23"/>
  <c r="L51" i="23" a="1"/>
  <c r="L51" i="23" s="1"/>
  <c r="L45" i="23"/>
  <c r="L30" i="23" a="1"/>
  <c r="L30" i="23" s="1"/>
  <c r="L42" i="23" a="1"/>
  <c r="L42" i="23" s="1"/>
  <c r="L44" i="23"/>
  <c r="L31" i="23"/>
  <c r="L27" i="23"/>
  <c r="L39" i="23"/>
  <c r="L21" i="23"/>
  <c r="L46" i="23" a="1"/>
  <c r="L46" i="23" s="1"/>
  <c r="L23" i="23"/>
  <c r="L24" i="23"/>
  <c r="L14" i="23"/>
  <c r="L43" i="23"/>
  <c r="L38" i="23" a="1"/>
  <c r="L38" i="23" s="1"/>
  <c r="L20" i="23"/>
  <c r="L50" i="23" a="1"/>
  <c r="L50" i="23" s="1"/>
  <c r="L37" i="23"/>
  <c r="L40" i="23" a="1"/>
  <c r="L40" i="23" s="1"/>
  <c r="L22" i="23"/>
  <c r="L47" i="23" a="1"/>
  <c r="L47" i="23" s="1"/>
  <c r="L54" i="23" a="1"/>
  <c r="L54" i="23" s="1"/>
  <c r="L53" i="23"/>
  <c r="L13" i="23"/>
  <c r="L32" i="23" a="1"/>
  <c r="L32" i="23" s="1"/>
  <c r="L35" i="23" a="1"/>
  <c r="L35" i="23" s="1"/>
  <c r="L41" i="23" a="1"/>
  <c r="L41" i="23" s="1"/>
  <c r="L49" i="23"/>
  <c r="L48" i="23" a="1"/>
  <c r="L48" i="23" s="1"/>
  <c r="L34" i="23" a="1"/>
  <c r="L34" i="23" s="1"/>
  <c r="L52" i="23" a="1"/>
  <c r="L52" i="23" s="1"/>
  <c r="L9" i="23"/>
  <c r="L12" i="23"/>
  <c r="L16" i="23"/>
  <c r="L18" i="23"/>
  <c r="L10" i="23"/>
  <c r="L25" i="23"/>
  <c r="L33" i="23" a="1"/>
  <c r="L33" i="23" s="1"/>
  <c r="L11" i="23"/>
  <c r="N6" i="23"/>
  <c r="G85" i="5"/>
  <c r="F86" i="5"/>
  <c r="F2" i="29"/>
  <c r="J59" i="23"/>
  <c r="D33" i="29"/>
  <c r="E33" i="29" s="1"/>
  <c r="F33" i="29" s="1"/>
  <c r="G33" i="29" s="1"/>
  <c r="H33" i="29" s="1"/>
  <c r="I33" i="29" s="1"/>
  <c r="J33" i="29" s="1"/>
  <c r="K33" i="29" s="1"/>
  <c r="L33" i="29" s="1"/>
  <c r="M33" i="29" s="1"/>
  <c r="N33" i="29" s="1"/>
  <c r="O33" i="29" s="1"/>
  <c r="P33" i="29" s="1"/>
  <c r="Q33" i="29" s="1"/>
  <c r="R33" i="29" s="1"/>
  <c r="S33" i="29" s="1"/>
  <c r="T33" i="29" s="1"/>
  <c r="U33" i="29" s="1"/>
  <c r="V33" i="29" s="1"/>
  <c r="W33" i="29" s="1"/>
  <c r="X33" i="29" s="1"/>
  <c r="Y33" i="29" s="1"/>
  <c r="Z33" i="29" s="1"/>
  <c r="AA33" i="29" s="1"/>
  <c r="AB33" i="29" s="1"/>
  <c r="AC33" i="29" s="1"/>
  <c r="AD33" i="29" s="1"/>
  <c r="AE33" i="29" s="1"/>
  <c r="AF33" i="29" s="1"/>
  <c r="AG33" i="29" s="1"/>
  <c r="AH33" i="29" s="1"/>
  <c r="AI33" i="29" s="1"/>
  <c r="K57" i="23"/>
  <c r="M2" i="23"/>
  <c r="M20" i="30"/>
  <c r="L20" i="30" s="1"/>
  <c r="N20" i="30" s="1"/>
  <c r="I21" i="30"/>
  <c r="H21" i="30" s="1"/>
  <c r="J21" i="30" s="1"/>
  <c r="AH18" i="29"/>
  <c r="AI10" i="29"/>
  <c r="M11" i="23" l="1"/>
  <c r="M19" i="23"/>
  <c r="M43" i="23"/>
  <c r="M33" i="23" a="1"/>
  <c r="M33" i="23" s="1"/>
  <c r="M53" i="23"/>
  <c r="M9" i="23"/>
  <c r="M51" i="23" a="1"/>
  <c r="M51" i="23" s="1"/>
  <c r="M38" i="23" a="1"/>
  <c r="M38" i="23" s="1"/>
  <c r="M35" i="23" a="1"/>
  <c r="M35" i="23" s="1"/>
  <c r="M31" i="23"/>
  <c r="M40" i="23" a="1"/>
  <c r="M40" i="23" s="1"/>
  <c r="M44" i="23"/>
  <c r="M30" i="23" a="1"/>
  <c r="M30" i="23" s="1"/>
  <c r="M29" i="23"/>
  <c r="M26" i="23"/>
  <c r="M25" i="23"/>
  <c r="M52" i="23" a="1"/>
  <c r="M52" i="23" s="1"/>
  <c r="M13" i="23"/>
  <c r="M22" i="23"/>
  <c r="M21" i="23"/>
  <c r="M50" i="23" a="1"/>
  <c r="M50" i="23" s="1"/>
  <c r="M10" i="23"/>
  <c r="M18" i="23"/>
  <c r="M39" i="23"/>
  <c r="M41" i="23" a="1"/>
  <c r="M41" i="23" s="1"/>
  <c r="M23" i="23"/>
  <c r="M24" i="23"/>
  <c r="M32" i="23" a="1"/>
  <c r="M32" i="23" s="1"/>
  <c r="M42" i="23" a="1"/>
  <c r="M42" i="23" s="1"/>
  <c r="M45" i="23"/>
  <c r="M27" i="23"/>
  <c r="M37" i="23"/>
  <c r="M12" i="23"/>
  <c r="M46" i="23" a="1"/>
  <c r="M46" i="23" s="1"/>
  <c r="M47" i="23" a="1"/>
  <c r="M47" i="23" s="1"/>
  <c r="M20" i="23"/>
  <c r="M48" i="23" a="1"/>
  <c r="M48" i="23" s="1"/>
  <c r="M49" i="23"/>
  <c r="M34" i="23" a="1"/>
  <c r="M34" i="23" s="1"/>
  <c r="M36" i="23" a="1"/>
  <c r="M36" i="23" s="1"/>
  <c r="M16" i="23"/>
  <c r="M14" i="23"/>
  <c r="M54" i="23" a="1"/>
  <c r="M54" i="23" s="1"/>
  <c r="L57" i="23"/>
  <c r="L59" i="23" s="1"/>
  <c r="G86" i="5"/>
  <c r="F87" i="5"/>
  <c r="K59" i="23"/>
  <c r="K60" i="23"/>
  <c r="N2" i="23"/>
  <c r="M21" i="30"/>
  <c r="L21" i="30" s="1"/>
  <c r="N21" i="30" s="1"/>
  <c r="I22" i="30"/>
  <c r="H22" i="30" s="1"/>
  <c r="J22" i="30" s="1"/>
  <c r="M57" i="23" l="1"/>
  <c r="M59" i="23" s="1"/>
  <c r="N12" i="23"/>
  <c r="N19" i="23"/>
  <c r="N46" i="23" a="1"/>
  <c r="N46" i="23" s="1"/>
  <c r="N54" i="23" a="1"/>
  <c r="N54" i="23" s="1"/>
  <c r="N45" i="23"/>
  <c r="N13" i="23"/>
  <c r="N29" i="23"/>
  <c r="N20" i="23"/>
  <c r="N38" i="23" a="1"/>
  <c r="N38" i="23" s="1"/>
  <c r="N41" i="23" a="1"/>
  <c r="N41" i="23" s="1"/>
  <c r="N25" i="23"/>
  <c r="N42" i="23" a="1"/>
  <c r="N42" i="23" s="1"/>
  <c r="N40" i="23" a="1"/>
  <c r="N40" i="23" s="1"/>
  <c r="N21" i="23"/>
  <c r="N27" i="23"/>
  <c r="N23" i="23"/>
  <c r="N37" i="23"/>
  <c r="N24" i="23"/>
  <c r="N14" i="23"/>
  <c r="N48" i="23" a="1"/>
  <c r="N48" i="23" s="1"/>
  <c r="N16" i="23"/>
  <c r="N26" i="23"/>
  <c r="N52" i="23" a="1"/>
  <c r="N52" i="23" s="1"/>
  <c r="N47" i="23" a="1"/>
  <c r="N47" i="23" s="1"/>
  <c r="N11" i="23"/>
  <c r="N43" i="23"/>
  <c r="N30" i="23" a="1"/>
  <c r="N30" i="23" s="1"/>
  <c r="N39" i="23"/>
  <c r="N36" i="23" a="1"/>
  <c r="N36" i="23" s="1"/>
  <c r="N49" i="23"/>
  <c r="N34" i="23" a="1"/>
  <c r="N34" i="23" s="1"/>
  <c r="N51" i="23" a="1"/>
  <c r="N51" i="23" s="1"/>
  <c r="N33" i="23" a="1"/>
  <c r="N33" i="23" s="1"/>
  <c r="N53" i="23"/>
  <c r="N35" i="23" a="1"/>
  <c r="N35" i="23" s="1"/>
  <c r="N9" i="23"/>
  <c r="N32" i="23" a="1"/>
  <c r="N32" i="23" s="1"/>
  <c r="N31" i="23"/>
  <c r="N22" i="23"/>
  <c r="N50" i="23" a="1"/>
  <c r="N50" i="23" s="1"/>
  <c r="N10" i="23"/>
  <c r="N44" i="23"/>
  <c r="N18" i="23"/>
  <c r="F88" i="5"/>
  <c r="G87" i="5"/>
  <c r="L60" i="23"/>
  <c r="M22" i="30"/>
  <c r="L22" i="30" s="1"/>
  <c r="N22" i="30"/>
  <c r="I23" i="30"/>
  <c r="H23" i="30" s="1"/>
  <c r="J23" i="30" s="1"/>
  <c r="N57" i="23" l="1"/>
  <c r="N59" i="23" s="1"/>
  <c r="G88" i="5"/>
  <c r="F89" i="5"/>
  <c r="M60" i="23"/>
  <c r="M23" i="30"/>
  <c r="L23" i="30" s="1"/>
  <c r="N23" i="30"/>
  <c r="I24" i="30"/>
  <c r="H24" i="30" s="1"/>
  <c r="J24" i="30" s="1"/>
  <c r="G89" i="5" l="1"/>
  <c r="F90" i="5"/>
  <c r="N60" i="23"/>
  <c r="M24" i="30"/>
  <c r="L24" i="30" s="1"/>
  <c r="N24" i="30"/>
  <c r="I25" i="30"/>
  <c r="H25" i="30" s="1"/>
  <c r="J25" i="30" s="1"/>
  <c r="G90" i="5" l="1"/>
  <c r="F91" i="5"/>
  <c r="M25" i="30"/>
  <c r="L25" i="30" s="1"/>
  <c r="N25" i="30"/>
  <c r="I26" i="30"/>
  <c r="H26" i="30" s="1"/>
  <c r="J26" i="30" s="1"/>
  <c r="F92" i="5" l="1"/>
  <c r="G91" i="5"/>
  <c r="M26" i="30"/>
  <c r="L26" i="30" s="1"/>
  <c r="N26" i="30"/>
  <c r="I27" i="30"/>
  <c r="H27" i="30" s="1"/>
  <c r="J27" i="30" s="1"/>
  <c r="F93" i="5" l="1"/>
  <c r="G92" i="5"/>
  <c r="M27" i="30"/>
  <c r="L27" i="30" s="1"/>
  <c r="N27" i="30"/>
  <c r="I28" i="30"/>
  <c r="H28" i="30" s="1"/>
  <c r="J28" i="30" s="1"/>
  <c r="F94" i="5" l="1"/>
  <c r="G93" i="5"/>
  <c r="M28" i="30"/>
  <c r="L28" i="30" s="1"/>
  <c r="N28" i="30"/>
  <c r="I29" i="30"/>
  <c r="H29" i="30" s="1"/>
  <c r="J29" i="30" s="1"/>
  <c r="F95" i="5" l="1"/>
  <c r="G94" i="5"/>
  <c r="M29" i="30"/>
  <c r="L29" i="30" s="1"/>
  <c r="N29" i="30"/>
  <c r="I30" i="30"/>
  <c r="H30" i="30" s="1"/>
  <c r="J30" i="30" s="1"/>
  <c r="B28" i="29"/>
  <c r="B32" i="29" s="1"/>
  <c r="C15" i="29" s="1"/>
  <c r="C32" i="29" s="1"/>
  <c r="D15" i="29" s="1"/>
  <c r="D32" i="29" s="1"/>
  <c r="E15" i="29" s="1"/>
  <c r="E32" i="29" s="1"/>
  <c r="F15" i="29" s="1"/>
  <c r="F32" i="29" s="1"/>
  <c r="G15" i="29" s="1"/>
  <c r="G32" i="29" s="1"/>
  <c r="H15" i="29" s="1"/>
  <c r="H32" i="29" s="1"/>
  <c r="I15" i="29" s="1"/>
  <c r="I32" i="29" s="1"/>
  <c r="J15" i="29" s="1"/>
  <c r="J32" i="29" s="1"/>
  <c r="K15" i="29" s="1"/>
  <c r="K32" i="29" s="1"/>
  <c r="L15" i="29" s="1"/>
  <c r="L32" i="29" s="1"/>
  <c r="M15" i="29" s="1"/>
  <c r="M32" i="29" s="1"/>
  <c r="N15" i="29" s="1"/>
  <c r="N32" i="29" s="1"/>
  <c r="O15" i="29" s="1"/>
  <c r="O32" i="29" s="1"/>
  <c r="P15" i="29" s="1"/>
  <c r="P32" i="29" s="1"/>
  <c r="Q15" i="29" s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9" i="7"/>
  <c r="E50" i="7"/>
  <c r="E51" i="7"/>
  <c r="E52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3" i="7"/>
  <c r="E29" i="24"/>
  <c r="E34" i="24" s="1"/>
  <c r="F29" i="24"/>
  <c r="F34" i="24" s="1"/>
  <c r="G29" i="24"/>
  <c r="G34" i="24" s="1"/>
  <c r="H29" i="24"/>
  <c r="H34" i="24" s="1"/>
  <c r="I29" i="24"/>
  <c r="I34" i="24" s="1"/>
  <c r="J29" i="24"/>
  <c r="J34" i="24" s="1"/>
  <c r="K29" i="24"/>
  <c r="K34" i="24" s="1"/>
  <c r="L29" i="24"/>
  <c r="L34" i="24" s="1"/>
  <c r="M29" i="24"/>
  <c r="M34" i="24" s="1"/>
  <c r="N29" i="24"/>
  <c r="N34" i="24" s="1"/>
  <c r="O29" i="24"/>
  <c r="O34" i="24" s="1"/>
  <c r="P29" i="24"/>
  <c r="P34" i="24" s="1"/>
  <c r="E11" i="24"/>
  <c r="E23" i="24" s="1"/>
  <c r="E31" i="24" s="1"/>
  <c r="A2" i="26"/>
  <c r="A3" i="26"/>
  <c r="A4" i="26"/>
  <c r="A5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6" i="25"/>
  <c r="A7" i="25"/>
  <c r="A8" i="25"/>
  <c r="A9" i="25"/>
  <c r="A10" i="25"/>
  <c r="A12" i="25"/>
  <c r="A11" i="25"/>
  <c r="A5" i="25"/>
  <c r="A4" i="25"/>
  <c r="A3" i="25"/>
  <c r="A2" i="25"/>
  <c r="E18" i="24" s="1"/>
  <c r="E28" i="24" s="1"/>
  <c r="F96" i="5" l="1"/>
  <c r="G95" i="5"/>
  <c r="M30" i="30"/>
  <c r="L30" i="30" s="1"/>
  <c r="N30" i="30" s="1"/>
  <c r="I31" i="30"/>
  <c r="H31" i="30" s="1"/>
  <c r="J31" i="30" s="1"/>
  <c r="E19" i="24"/>
  <c r="Q32" i="29"/>
  <c r="R15" i="29" s="1"/>
  <c r="R32" i="29" s="1"/>
  <c r="S15" i="29" s="1"/>
  <c r="D74" i="24"/>
  <c r="D45" i="24"/>
  <c r="D64" i="24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A2" i="22"/>
  <c r="A3" i="22"/>
  <c r="A4" i="22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E2" i="5"/>
  <c r="A2" i="5"/>
  <c r="G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E2" i="18"/>
  <c r="A2" i="18"/>
  <c r="A3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F3" i="24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C2" i="7"/>
  <c r="E2" i="7" s="1"/>
  <c r="Q85" i="1"/>
  <c r="S19" i="1"/>
  <c r="F39" i="20"/>
  <c r="E39" i="20"/>
  <c r="P5" i="24" l="1"/>
  <c r="N5" i="24"/>
  <c r="L5" i="24"/>
  <c r="M5" i="24"/>
  <c r="O5" i="24"/>
  <c r="E17" i="24"/>
  <c r="E16" i="24"/>
  <c r="G96" i="5"/>
  <c r="F97" i="5"/>
  <c r="E8" i="24"/>
  <c r="E25" i="24" s="1"/>
  <c r="E6" i="24"/>
  <c r="E85" i="24"/>
  <c r="F85" i="24"/>
  <c r="F19" i="24"/>
  <c r="M31" i="30"/>
  <c r="L31" i="30" s="1"/>
  <c r="N31" i="30" s="1"/>
  <c r="I32" i="30"/>
  <c r="H32" i="30" s="1"/>
  <c r="J32" i="30" s="1"/>
  <c r="E13" i="24"/>
  <c r="F84" i="24" a="1"/>
  <c r="F84" i="24" s="1"/>
  <c r="E84" i="24" a="1"/>
  <c r="E84" i="24" s="1"/>
  <c r="E7" i="24" a="1"/>
  <c r="E7" i="24" s="1"/>
  <c r="S32" i="29"/>
  <c r="T15" i="29" s="1"/>
  <c r="E15" i="24"/>
  <c r="F13" i="24"/>
  <c r="F7" i="24" a="1"/>
  <c r="F7" i="24" s="1"/>
  <c r="E4" i="24"/>
  <c r="F5" i="24"/>
  <c r="E5" i="24"/>
  <c r="F15" i="24"/>
  <c r="F17" i="24"/>
  <c r="F11" i="24"/>
  <c r="F18" i="24"/>
  <c r="E27" i="24"/>
  <c r="E33" i="24" s="1"/>
  <c r="E10" i="24"/>
  <c r="E26" i="24" s="1"/>
  <c r="F8" i="24"/>
  <c r="F25" i="24" s="1"/>
  <c r="F6" i="24"/>
  <c r="G6" i="24" s="1"/>
  <c r="F16" i="24"/>
  <c r="G3" i="24"/>
  <c r="D4" i="7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N1" i="7" a="1"/>
  <c r="N1" i="7" s="1"/>
  <c r="G97" i="5" l="1"/>
  <c r="F98" i="5"/>
  <c r="E24" i="24"/>
  <c r="E32" i="24" s="1"/>
  <c r="E37" i="24" s="1"/>
  <c r="E86" i="24"/>
  <c r="E88" i="24" s="1"/>
  <c r="F86" i="24"/>
  <c r="F88" i="24" s="1"/>
  <c r="G16" i="24"/>
  <c r="G85" i="24"/>
  <c r="G19" i="24"/>
  <c r="M32" i="30"/>
  <c r="L32" i="30" s="1"/>
  <c r="N32" i="30"/>
  <c r="I33" i="30"/>
  <c r="H33" i="30" s="1"/>
  <c r="J33" i="30" s="1"/>
  <c r="G84" i="24" a="1"/>
  <c r="G84" i="24" s="1"/>
  <c r="T32" i="29"/>
  <c r="U15" i="29" s="1"/>
  <c r="E41" i="24"/>
  <c r="G5" i="24"/>
  <c r="G7" i="24" a="1"/>
  <c r="G7" i="24" s="1"/>
  <c r="F41" i="24"/>
  <c r="F46" i="24" s="1"/>
  <c r="F65" i="24" s="1"/>
  <c r="F75" i="24" s="1"/>
  <c r="F77" i="24" s="1"/>
  <c r="F81" i="24" s="1"/>
  <c r="F4" i="24"/>
  <c r="F24" i="24" s="1"/>
  <c r="F10" i="24"/>
  <c r="F26" i="24" s="1"/>
  <c r="G17" i="24"/>
  <c r="G13" i="24"/>
  <c r="H3" i="24"/>
  <c r="H19" i="24" s="1"/>
  <c r="G15" i="24"/>
  <c r="G11" i="24"/>
  <c r="F23" i="24"/>
  <c r="F31" i="24" s="1"/>
  <c r="G18" i="24"/>
  <c r="F28" i="24"/>
  <c r="F27" i="24"/>
  <c r="G8" i="24"/>
  <c r="G25" i="24" s="1"/>
  <c r="F87" i="24" l="1"/>
  <c r="F89" i="24" s="1"/>
  <c r="G98" i="5"/>
  <c r="F99" i="5"/>
  <c r="G86" i="24"/>
  <c r="G88" i="24" s="1"/>
  <c r="H6" i="24"/>
  <c r="F91" i="24"/>
  <c r="M33" i="30"/>
  <c r="L33" i="30" s="1"/>
  <c r="N33" i="30" s="1"/>
  <c r="I34" i="30"/>
  <c r="H34" i="30" s="1"/>
  <c r="J34" i="30" s="1"/>
  <c r="H85" i="24"/>
  <c r="H84" i="24" a="1"/>
  <c r="H84" i="24" s="1"/>
  <c r="U32" i="29"/>
  <c r="V15" i="29" s="1"/>
  <c r="E46" i="24"/>
  <c r="E65" i="24" s="1"/>
  <c r="E75" i="24" s="1"/>
  <c r="E77" i="24" s="1"/>
  <c r="E81" i="24" s="1"/>
  <c r="E87" i="24" s="1"/>
  <c r="E36" i="24"/>
  <c r="H5" i="24"/>
  <c r="H7" i="24" a="1"/>
  <c r="H7" i="24" s="1"/>
  <c r="G41" i="24"/>
  <c r="G46" i="24" s="1"/>
  <c r="G65" i="24" s="1"/>
  <c r="G75" i="24" s="1"/>
  <c r="G77" i="24" s="1"/>
  <c r="G81" i="24" s="1"/>
  <c r="F32" i="24"/>
  <c r="G10" i="24"/>
  <c r="G26" i="24" s="1"/>
  <c r="G4" i="24"/>
  <c r="G24" i="24" s="1"/>
  <c r="H17" i="24"/>
  <c r="H13" i="24"/>
  <c r="I3" i="24"/>
  <c r="I19" i="24" s="1"/>
  <c r="H15" i="24"/>
  <c r="F33" i="24"/>
  <c r="H18" i="24"/>
  <c r="G28" i="24"/>
  <c r="H11" i="24"/>
  <c r="G23" i="24"/>
  <c r="G31" i="24" s="1"/>
  <c r="G27" i="24"/>
  <c r="H8" i="24"/>
  <c r="H25" i="24" s="1"/>
  <c r="V3" i="1"/>
  <c r="W3" i="1"/>
  <c r="X3" i="1"/>
  <c r="Y3" i="1"/>
  <c r="Z3" i="1"/>
  <c r="AA3" i="1"/>
  <c r="AB3" i="1"/>
  <c r="AC3" i="1"/>
  <c r="AD3" i="1"/>
  <c r="V4" i="1"/>
  <c r="W4" i="1"/>
  <c r="X4" i="1"/>
  <c r="Y4" i="1"/>
  <c r="Z4" i="1"/>
  <c r="AA4" i="1"/>
  <c r="AB4" i="1"/>
  <c r="AC4" i="1"/>
  <c r="AD4" i="1"/>
  <c r="V5" i="1"/>
  <c r="W5" i="1"/>
  <c r="X5" i="1"/>
  <c r="Y5" i="1"/>
  <c r="Z5" i="1"/>
  <c r="AA5" i="1"/>
  <c r="AB5" i="1"/>
  <c r="AC5" i="1"/>
  <c r="AD5" i="1"/>
  <c r="V6" i="1"/>
  <c r="W6" i="1"/>
  <c r="X6" i="1"/>
  <c r="Y6" i="1"/>
  <c r="Z6" i="1"/>
  <c r="AA6" i="1"/>
  <c r="AB6" i="1"/>
  <c r="AC6" i="1"/>
  <c r="AD6" i="1"/>
  <c r="V7" i="1"/>
  <c r="W7" i="1"/>
  <c r="X7" i="1"/>
  <c r="Y7" i="1"/>
  <c r="Z7" i="1"/>
  <c r="AA7" i="1"/>
  <c r="AB7" i="1"/>
  <c r="AC7" i="1"/>
  <c r="AD7" i="1"/>
  <c r="V8" i="1"/>
  <c r="W8" i="1"/>
  <c r="X8" i="1"/>
  <c r="Y8" i="1"/>
  <c r="Z8" i="1"/>
  <c r="AA8" i="1"/>
  <c r="AB8" i="1"/>
  <c r="AC8" i="1"/>
  <c r="AD8" i="1"/>
  <c r="V9" i="1"/>
  <c r="W9" i="1"/>
  <c r="X9" i="1"/>
  <c r="Y9" i="1"/>
  <c r="Z9" i="1"/>
  <c r="AA9" i="1"/>
  <c r="AB9" i="1"/>
  <c r="AC9" i="1"/>
  <c r="AD9" i="1"/>
  <c r="V10" i="1"/>
  <c r="W10" i="1"/>
  <c r="X10" i="1"/>
  <c r="Y10" i="1"/>
  <c r="Z10" i="1"/>
  <c r="AA10" i="1"/>
  <c r="AB10" i="1"/>
  <c r="AC10" i="1"/>
  <c r="AD10" i="1"/>
  <c r="V11" i="1"/>
  <c r="W11" i="1"/>
  <c r="X11" i="1"/>
  <c r="Y11" i="1"/>
  <c r="Z11" i="1"/>
  <c r="AA11" i="1"/>
  <c r="AB11" i="1"/>
  <c r="AC11" i="1"/>
  <c r="AD11" i="1"/>
  <c r="V12" i="1"/>
  <c r="W12" i="1"/>
  <c r="X12" i="1"/>
  <c r="Y12" i="1"/>
  <c r="Z12" i="1"/>
  <c r="AA12" i="1"/>
  <c r="AB12" i="1"/>
  <c r="AC12" i="1"/>
  <c r="AD12" i="1"/>
  <c r="V13" i="1"/>
  <c r="W13" i="1"/>
  <c r="X13" i="1"/>
  <c r="Y13" i="1"/>
  <c r="Z13" i="1"/>
  <c r="AA13" i="1"/>
  <c r="AB13" i="1"/>
  <c r="AC13" i="1"/>
  <c r="AD13" i="1"/>
  <c r="V14" i="1"/>
  <c r="W14" i="1"/>
  <c r="X14" i="1"/>
  <c r="Y14" i="1"/>
  <c r="Z14" i="1"/>
  <c r="AA14" i="1"/>
  <c r="AB14" i="1"/>
  <c r="AC14" i="1"/>
  <c r="AD14" i="1"/>
  <c r="V15" i="1"/>
  <c r="V20" i="1" s="1"/>
  <c r="W15" i="1"/>
  <c r="W20" i="1" s="1"/>
  <c r="X15" i="1"/>
  <c r="X20" i="1" s="1"/>
  <c r="Y15" i="1"/>
  <c r="Y20" i="1" s="1"/>
  <c r="Z15" i="1"/>
  <c r="Z20" i="1" s="1"/>
  <c r="AA15" i="1"/>
  <c r="AA20" i="1" s="1"/>
  <c r="AB15" i="1"/>
  <c r="AB20" i="1" s="1"/>
  <c r="AC15" i="1"/>
  <c r="AC20" i="1" s="1"/>
  <c r="AD15" i="1"/>
  <c r="AD20" i="1" s="1"/>
  <c r="V16" i="1"/>
  <c r="W16" i="1"/>
  <c r="X16" i="1"/>
  <c r="Y16" i="1"/>
  <c r="Z16" i="1"/>
  <c r="AA16" i="1"/>
  <c r="AB16" i="1"/>
  <c r="AC16" i="1"/>
  <c r="AD16" i="1"/>
  <c r="AD2" i="1"/>
  <c r="AC2" i="1"/>
  <c r="AB2" i="1"/>
  <c r="AA2" i="1"/>
  <c r="Z2" i="1"/>
  <c r="Y2" i="1"/>
  <c r="W2" i="1"/>
  <c r="X2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20" i="1" s="1"/>
  <c r="U16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20" i="1" s="1"/>
  <c r="T16" i="1"/>
  <c r="T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20" i="1" s="1"/>
  <c r="S16" i="1"/>
  <c r="R19" i="1"/>
  <c r="R20" i="1"/>
  <c r="O5" i="13"/>
  <c r="P5" i="13" s="1"/>
  <c r="P4" i="13"/>
  <c r="F41" i="13"/>
  <c r="G41" i="13"/>
  <c r="H41" i="13"/>
  <c r="E41" i="13"/>
  <c r="K4" i="13"/>
  <c r="C16" i="13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I12" i="13"/>
  <c r="I41" i="13" s="1"/>
  <c r="C3" i="13"/>
  <c r="A5" i="13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B4" i="13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J5" i="13"/>
  <c r="C4" i="13"/>
  <c r="C5" i="13" s="1"/>
  <c r="C6" i="13" s="1"/>
  <c r="C7" i="13" s="1"/>
  <c r="C8" i="13" s="1"/>
  <c r="C9" i="13" s="1"/>
  <c r="C10" i="13" s="1"/>
  <c r="C11" i="13" s="1"/>
  <c r="C12" i="13" s="1"/>
  <c r="C13" i="13" s="1"/>
  <c r="C14" i="13" s="1"/>
  <c r="G87" i="24" l="1"/>
  <c r="G89" i="24" s="1"/>
  <c r="G99" i="5"/>
  <c r="F100" i="5"/>
  <c r="H86" i="24"/>
  <c r="H88" i="24" s="1"/>
  <c r="G91" i="24"/>
  <c r="E89" i="24"/>
  <c r="E91" i="24"/>
  <c r="M34" i="30"/>
  <c r="L34" i="30" s="1"/>
  <c r="N34" i="30"/>
  <c r="I35" i="30"/>
  <c r="H35" i="30" s="1"/>
  <c r="J35" i="30" s="1"/>
  <c r="I85" i="24"/>
  <c r="I84" i="24" a="1"/>
  <c r="I84" i="24" s="1"/>
  <c r="V32" i="29"/>
  <c r="W15" i="29" s="1"/>
  <c r="F36" i="24"/>
  <c r="F39" i="24" s="1"/>
  <c r="G33" i="24"/>
  <c r="I5" i="24"/>
  <c r="I7" i="24" a="1"/>
  <c r="I7" i="24" s="1"/>
  <c r="H41" i="24"/>
  <c r="H46" i="24" s="1"/>
  <c r="H65" i="24" s="1"/>
  <c r="H75" i="24" s="1"/>
  <c r="H77" i="24" s="1"/>
  <c r="H81" i="24" s="1"/>
  <c r="H4" i="24"/>
  <c r="H24" i="24" s="1"/>
  <c r="H10" i="24"/>
  <c r="H26" i="24" s="1"/>
  <c r="G32" i="24"/>
  <c r="I17" i="24"/>
  <c r="I13" i="24"/>
  <c r="J3" i="24"/>
  <c r="J19" i="24" s="1"/>
  <c r="I15" i="24"/>
  <c r="I6" i="24"/>
  <c r="J6" i="24" s="1"/>
  <c r="F37" i="24"/>
  <c r="I11" i="24"/>
  <c r="H23" i="24"/>
  <c r="H31" i="24" s="1"/>
  <c r="I18" i="24"/>
  <c r="H28" i="24"/>
  <c r="H27" i="24"/>
  <c r="I8" i="24"/>
  <c r="I25" i="24" s="1"/>
  <c r="K5" i="13"/>
  <c r="J6" i="13"/>
  <c r="H87" i="24" l="1"/>
  <c r="H89" i="24" s="1"/>
  <c r="G100" i="5"/>
  <c r="F101" i="5"/>
  <c r="I86" i="24"/>
  <c r="I88" i="24" s="1"/>
  <c r="H91" i="24"/>
  <c r="M35" i="30"/>
  <c r="L35" i="30" s="1"/>
  <c r="N35" i="30" s="1"/>
  <c r="I36" i="30"/>
  <c r="H36" i="30" s="1"/>
  <c r="J36" i="30" s="1"/>
  <c r="J85" i="24"/>
  <c r="J14" i="24"/>
  <c r="J84" i="24" a="1"/>
  <c r="J84" i="24" s="1"/>
  <c r="W32" i="29"/>
  <c r="X15" i="29" s="1"/>
  <c r="G36" i="24"/>
  <c r="G39" i="24" s="1"/>
  <c r="J5" i="24"/>
  <c r="J7" i="24" a="1"/>
  <c r="J7" i="24" s="1"/>
  <c r="I41" i="24"/>
  <c r="I46" i="24" s="1"/>
  <c r="I65" i="24" s="1"/>
  <c r="I75" i="24" s="1"/>
  <c r="I77" i="24" s="1"/>
  <c r="I81" i="24" s="1"/>
  <c r="I10" i="24"/>
  <c r="I26" i="24" s="1"/>
  <c r="H32" i="24"/>
  <c r="I4" i="24"/>
  <c r="I24" i="24" s="1"/>
  <c r="G37" i="24"/>
  <c r="J17" i="24"/>
  <c r="J13" i="24"/>
  <c r="J15" i="24"/>
  <c r="K3" i="24"/>
  <c r="J12" i="24"/>
  <c r="K12" i="24" s="1"/>
  <c r="L12" i="24" s="1"/>
  <c r="M12" i="24" s="1"/>
  <c r="N12" i="24" s="1"/>
  <c r="O12" i="24" s="1"/>
  <c r="P12" i="24" s="1"/>
  <c r="J16" i="24"/>
  <c r="H33" i="24"/>
  <c r="J18" i="24"/>
  <c r="I28" i="24"/>
  <c r="J11" i="24"/>
  <c r="I23" i="24"/>
  <c r="I31" i="24" s="1"/>
  <c r="I27" i="24"/>
  <c r="J8" i="24"/>
  <c r="K6" i="13"/>
  <c r="J7" i="13"/>
  <c r="K7" i="13" s="1"/>
  <c r="I87" i="24" l="1"/>
  <c r="I89" i="24" s="1"/>
  <c r="G101" i="5"/>
  <c r="F102" i="5"/>
  <c r="J86" i="24"/>
  <c r="J88" i="24" s="1"/>
  <c r="K84" i="24" a="1"/>
  <c r="K84" i="24" s="1"/>
  <c r="K7" i="24" a="1"/>
  <c r="K7" i="24" s="1"/>
  <c r="K85" i="24"/>
  <c r="K19" i="24"/>
  <c r="I91" i="24"/>
  <c r="M36" i="30"/>
  <c r="L36" i="30" s="1"/>
  <c r="N36" i="30" s="1"/>
  <c r="I37" i="30"/>
  <c r="H37" i="30" s="1"/>
  <c r="J37" i="30" s="1"/>
  <c r="K16" i="24"/>
  <c r="K14" i="24"/>
  <c r="J28" i="24"/>
  <c r="K18" i="24"/>
  <c r="J23" i="24"/>
  <c r="J31" i="24" s="1"/>
  <c r="K11" i="24"/>
  <c r="J25" i="24"/>
  <c r="K8" i="24"/>
  <c r="X32" i="29"/>
  <c r="Y15" i="29" s="1"/>
  <c r="H36" i="24"/>
  <c r="H39" i="24" s="1"/>
  <c r="K5" i="24"/>
  <c r="J41" i="24"/>
  <c r="J46" i="24" s="1"/>
  <c r="J65" i="24" s="1"/>
  <c r="J75" i="24" s="1"/>
  <c r="J77" i="24" s="1"/>
  <c r="J81" i="24" s="1"/>
  <c r="J10" i="24"/>
  <c r="I32" i="24"/>
  <c r="J4" i="24"/>
  <c r="J24" i="24" s="1"/>
  <c r="K17" i="24"/>
  <c r="K13" i="24"/>
  <c r="J27" i="24"/>
  <c r="K15" i="24"/>
  <c r="L3" i="24"/>
  <c r="K6" i="24"/>
  <c r="L6" i="24" s="1"/>
  <c r="M6" i="24" s="1"/>
  <c r="N6" i="24" s="1"/>
  <c r="O6" i="24" s="1"/>
  <c r="P6" i="24" s="1"/>
  <c r="H37" i="24"/>
  <c r="I33" i="24"/>
  <c r="J8" i="13"/>
  <c r="K8" i="13" s="1"/>
  <c r="J87" i="24" l="1"/>
  <c r="J89" i="24" s="1"/>
  <c r="K27" i="24"/>
  <c r="L14" i="24"/>
  <c r="M14" i="24" s="1"/>
  <c r="N14" i="24" s="1"/>
  <c r="O14" i="24" s="1"/>
  <c r="P14" i="24" s="1"/>
  <c r="K28" i="24"/>
  <c r="L18" i="24"/>
  <c r="K23" i="24"/>
  <c r="K31" i="24" s="1"/>
  <c r="L11" i="24"/>
  <c r="K25" i="24"/>
  <c r="L8" i="24"/>
  <c r="G102" i="5"/>
  <c r="F103" i="5"/>
  <c r="G103" i="5" s="1"/>
  <c r="K41" i="24"/>
  <c r="K46" i="24" s="1"/>
  <c r="K65" i="24" s="1"/>
  <c r="K75" i="24" s="1"/>
  <c r="K77" i="24" s="1"/>
  <c r="K81" i="24" s="1"/>
  <c r="K86" i="24"/>
  <c r="K88" i="24" s="1"/>
  <c r="L84" i="24" a="1"/>
  <c r="L84" i="24" s="1"/>
  <c r="L85" i="24"/>
  <c r="J91" i="24"/>
  <c r="M37" i="30"/>
  <c r="L37" i="30" s="1"/>
  <c r="N37" i="30" s="1"/>
  <c r="I38" i="30"/>
  <c r="H38" i="30" s="1"/>
  <c r="J38" i="30" s="1"/>
  <c r="Y32" i="29"/>
  <c r="Z15" i="29" s="1"/>
  <c r="J33" i="24"/>
  <c r="J26" i="24"/>
  <c r="J32" i="24" s="1"/>
  <c r="K10" i="24"/>
  <c r="K4" i="24"/>
  <c r="I37" i="24"/>
  <c r="M3" i="24"/>
  <c r="I36" i="24"/>
  <c r="I39" i="24" s="1"/>
  <c r="J9" i="13"/>
  <c r="K9" i="13" s="1"/>
  <c r="K33" i="24" l="1"/>
  <c r="L23" i="24"/>
  <c r="L31" i="24" s="1"/>
  <c r="M11" i="24"/>
  <c r="M18" i="24"/>
  <c r="L28" i="24"/>
  <c r="M8" i="24"/>
  <c r="L25" i="24"/>
  <c r="K26" i="24"/>
  <c r="L10" i="24"/>
  <c r="K24" i="24"/>
  <c r="L4" i="24"/>
  <c r="M4" i="24" s="1"/>
  <c r="N4" i="24" s="1"/>
  <c r="O4" i="24" s="1"/>
  <c r="P4" i="24" s="1"/>
  <c r="K91" i="24"/>
  <c r="K87" i="24"/>
  <c r="K89" i="24" s="1"/>
  <c r="M84" i="24" a="1"/>
  <c r="M84" i="24" s="1"/>
  <c r="M85" i="24"/>
  <c r="L86" i="24"/>
  <c r="L27" i="24"/>
  <c r="M38" i="30"/>
  <c r="L38" i="30" s="1"/>
  <c r="N38" i="30" s="1"/>
  <c r="I39" i="30"/>
  <c r="H39" i="30" s="1"/>
  <c r="J39" i="30" s="1"/>
  <c r="Z32" i="29"/>
  <c r="AA15" i="29" s="1"/>
  <c r="J37" i="24"/>
  <c r="J36" i="24"/>
  <c r="L41" i="24"/>
  <c r="L46" i="24" s="1"/>
  <c r="L65" i="24" s="1"/>
  <c r="L75" i="24" s="1"/>
  <c r="L77" i="24" s="1"/>
  <c r="L81" i="24" s="1"/>
  <c r="N3" i="24"/>
  <c r="J10" i="13"/>
  <c r="K10" i="13" s="1"/>
  <c r="K32" i="24" l="1"/>
  <c r="L33" i="24"/>
  <c r="N18" i="24"/>
  <c r="M28" i="24"/>
  <c r="N8" i="24"/>
  <c r="M25" i="24"/>
  <c r="M23" i="24"/>
  <c r="M31" i="24" s="1"/>
  <c r="N11" i="24"/>
  <c r="L26" i="24"/>
  <c r="M10" i="24"/>
  <c r="N84" i="24" a="1"/>
  <c r="N84" i="24" s="1"/>
  <c r="N85" i="24"/>
  <c r="L88" i="24"/>
  <c r="M86" i="24"/>
  <c r="M88" i="24" s="1"/>
  <c r="L91" i="24"/>
  <c r="L87" i="24"/>
  <c r="L24" i="24"/>
  <c r="M39" i="30"/>
  <c r="L39" i="30" s="1"/>
  <c r="N39" i="30"/>
  <c r="I40" i="30"/>
  <c r="H40" i="30" s="1"/>
  <c r="J40" i="30" s="1"/>
  <c r="AA32" i="29"/>
  <c r="AB15" i="29" s="1"/>
  <c r="M24" i="24"/>
  <c r="J39" i="24"/>
  <c r="M27" i="24"/>
  <c r="M41" i="24"/>
  <c r="M46" i="24" s="1"/>
  <c r="M65" i="24" s="1"/>
  <c r="M75" i="24" s="1"/>
  <c r="M77" i="24" s="1"/>
  <c r="M81" i="24" s="1"/>
  <c r="O3" i="24"/>
  <c r="J11" i="13"/>
  <c r="K11" i="13" s="1"/>
  <c r="L89" i="24" l="1"/>
  <c r="K36" i="24"/>
  <c r="K39" i="24" s="1"/>
  <c r="K37" i="24"/>
  <c r="M33" i="24"/>
  <c r="O18" i="24"/>
  <c r="N28" i="24"/>
  <c r="O8" i="24"/>
  <c r="N25" i="24"/>
  <c r="N23" i="24"/>
  <c r="N31" i="24" s="1"/>
  <c r="O11" i="24"/>
  <c r="M26" i="24"/>
  <c r="M32" i="24" s="1"/>
  <c r="N10" i="24"/>
  <c r="L32" i="24"/>
  <c r="N86" i="24"/>
  <c r="N88" i="24" s="1"/>
  <c r="O84" i="24" a="1"/>
  <c r="O84" i="24" s="1"/>
  <c r="O85" i="24"/>
  <c r="M91" i="24"/>
  <c r="M87" i="24"/>
  <c r="M89" i="24" s="1"/>
  <c r="M40" i="30"/>
  <c r="L40" i="30" s="1"/>
  <c r="N40" i="30"/>
  <c r="I41" i="30"/>
  <c r="H41" i="30" s="1"/>
  <c r="J41" i="30" s="1"/>
  <c r="AB32" i="29"/>
  <c r="AC15" i="29" s="1"/>
  <c r="N27" i="24"/>
  <c r="N24" i="24"/>
  <c r="N41" i="24"/>
  <c r="N46" i="24" s="1"/>
  <c r="N65" i="24" s="1"/>
  <c r="N75" i="24" s="1"/>
  <c r="N77" i="24" s="1"/>
  <c r="N81" i="24" s="1"/>
  <c r="P3" i="24"/>
  <c r="J12" i="13"/>
  <c r="K12" i="13" s="1"/>
  <c r="P18" i="24" l="1"/>
  <c r="P28" i="24" s="1"/>
  <c r="O28" i="24"/>
  <c r="P8" i="24"/>
  <c r="P25" i="24" s="1"/>
  <c r="O25" i="24"/>
  <c r="N33" i="24"/>
  <c r="O23" i="24"/>
  <c r="O31" i="24" s="1"/>
  <c r="P11" i="24"/>
  <c r="P23" i="24" s="1"/>
  <c r="P31" i="24" s="1"/>
  <c r="N26" i="24"/>
  <c r="N32" i="24" s="1"/>
  <c r="O10" i="24"/>
  <c r="M36" i="24"/>
  <c r="M37" i="24"/>
  <c r="L36" i="24"/>
  <c r="L39" i="24" s="1"/>
  <c r="L37" i="24"/>
  <c r="O86" i="24"/>
  <c r="O88" i="24" s="1"/>
  <c r="P84" i="24" a="1"/>
  <c r="P84" i="24" s="1"/>
  <c r="P85" i="24"/>
  <c r="N91" i="24"/>
  <c r="N87" i="24"/>
  <c r="N89" i="24" s="1"/>
  <c r="O27" i="24"/>
  <c r="M41" i="30"/>
  <c r="L41" i="30" s="1"/>
  <c r="N41" i="30" s="1"/>
  <c r="I42" i="30"/>
  <c r="H42" i="30" s="1"/>
  <c r="J42" i="30" s="1"/>
  <c r="AC32" i="29"/>
  <c r="AD15" i="29" s="1"/>
  <c r="O24" i="24"/>
  <c r="O41" i="24"/>
  <c r="O46" i="24" s="1"/>
  <c r="O65" i="24" s="1"/>
  <c r="O75" i="24" s="1"/>
  <c r="O77" i="24" s="1"/>
  <c r="O81" i="24" s="1"/>
  <c r="P27" i="24"/>
  <c r="J13" i="13"/>
  <c r="K13" i="13" s="1"/>
  <c r="O33" i="24" l="1"/>
  <c r="N36" i="24"/>
  <c r="N39" i="24" s="1"/>
  <c r="N37" i="24"/>
  <c r="M39" i="24"/>
  <c r="O26" i="24"/>
  <c r="O32" i="24" s="1"/>
  <c r="P10" i="24"/>
  <c r="P26" i="24" s="1"/>
  <c r="P86" i="24"/>
  <c r="P88" i="24" s="1"/>
  <c r="O91" i="24"/>
  <c r="O87" i="24"/>
  <c r="O89" i="24" s="1"/>
  <c r="M42" i="30"/>
  <c r="L42" i="30" s="1"/>
  <c r="N42" i="30" s="1"/>
  <c r="I43" i="30"/>
  <c r="H43" i="30" s="1"/>
  <c r="J43" i="30" s="1"/>
  <c r="P33" i="24"/>
  <c r="AD32" i="29"/>
  <c r="AE15" i="29" s="1"/>
  <c r="P41" i="24"/>
  <c r="P46" i="24" s="1"/>
  <c r="P65" i="24" s="1"/>
  <c r="P75" i="24" s="1"/>
  <c r="P77" i="24" s="1"/>
  <c r="P81" i="24" s="1"/>
  <c r="P24" i="24"/>
  <c r="J14" i="13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J33" i="13" s="1"/>
  <c r="J34" i="13" s="1"/>
  <c r="J35" i="13" s="1"/>
  <c r="J36" i="13" s="1"/>
  <c r="J37" i="13" s="1"/>
  <c r="J38" i="13" s="1"/>
  <c r="J39" i="13" s="1"/>
  <c r="J40" i="13" s="1"/>
  <c r="O36" i="24" l="1"/>
  <c r="O39" i="24" s="1"/>
  <c r="O37" i="24"/>
  <c r="P32" i="24"/>
  <c r="D86" i="24"/>
  <c r="P91" i="24"/>
  <c r="P87" i="24"/>
  <c r="P89" i="24" s="1"/>
  <c r="M43" i="30"/>
  <c r="L43" i="30" s="1"/>
  <c r="N43" i="30"/>
  <c r="I44" i="30"/>
  <c r="H44" i="30" s="1"/>
  <c r="J44" i="30"/>
  <c r="AE32" i="29"/>
  <c r="AF15" i="29" s="1"/>
  <c r="K14" i="13"/>
  <c r="K15" i="13" s="1"/>
  <c r="K16" i="13" s="1"/>
  <c r="K17" i="13" s="1"/>
  <c r="K18" i="13" s="1"/>
  <c r="K19" i="13" s="1"/>
  <c r="K20" i="13" s="1"/>
  <c r="K21" i="13" s="1"/>
  <c r="K22" i="13" s="1"/>
  <c r="K23" i="13" s="1"/>
  <c r="K24" i="13" s="1"/>
  <c r="K25" i="13" s="1"/>
  <c r="K26" i="13" s="1"/>
  <c r="K27" i="13" s="1"/>
  <c r="K28" i="13" s="1"/>
  <c r="K29" i="13" s="1"/>
  <c r="K30" i="13" s="1"/>
  <c r="K31" i="13" s="1"/>
  <c r="K32" i="13" s="1"/>
  <c r="K33" i="13" s="1"/>
  <c r="K34" i="13" s="1"/>
  <c r="K35" i="13" s="1"/>
  <c r="K36" i="13" s="1"/>
  <c r="K37" i="13" s="1"/>
  <c r="K38" i="13" s="1"/>
  <c r="K39" i="13" s="1"/>
  <c r="K40" i="13" s="1"/>
  <c r="P36" i="24" l="1"/>
  <c r="P39" i="24" s="1"/>
  <c r="P37" i="24"/>
  <c r="M44" i="30"/>
  <c r="L44" i="30" s="1"/>
  <c r="N44" i="30"/>
  <c r="I45" i="30"/>
  <c r="H45" i="30" s="1"/>
  <c r="J45" i="30" s="1"/>
  <c r="AF32" i="29"/>
  <c r="AG15" i="29" s="1"/>
  <c r="M45" i="30" l="1"/>
  <c r="L45" i="30" s="1"/>
  <c r="N45" i="30"/>
  <c r="I46" i="30"/>
  <c r="H46" i="30" s="1"/>
  <c r="J46" i="30" s="1"/>
  <c r="AG32" i="29"/>
  <c r="AH15" i="29" s="1"/>
  <c r="M46" i="30" l="1"/>
  <c r="L46" i="30" s="1"/>
  <c r="N46" i="30"/>
  <c r="I47" i="30"/>
  <c r="H47" i="30" s="1"/>
  <c r="J47" i="30" s="1"/>
  <c r="AH32" i="29"/>
  <c r="AI15" i="29" s="1"/>
  <c r="AI32" i="29" s="1"/>
  <c r="P9" i="30"/>
  <c r="Q9" i="30" s="1"/>
  <c r="D9" i="30"/>
  <c r="O9" i="30" s="1"/>
  <c r="M47" i="30" l="1"/>
  <c r="L47" i="30" s="1"/>
  <c r="N47" i="30"/>
  <c r="I48" i="30"/>
  <c r="H48" i="30" s="1"/>
  <c r="J48" i="30" s="1"/>
  <c r="F9" i="30"/>
  <c r="R9" i="30" l="1"/>
  <c r="E10" i="30"/>
  <c r="M48" i="30"/>
  <c r="L48" i="30" s="1"/>
  <c r="N48" i="30"/>
  <c r="I49" i="30"/>
  <c r="H49" i="30" s="1"/>
  <c r="J49" i="30" s="1"/>
  <c r="P10" i="30" l="1"/>
  <c r="Q10" i="30" s="1"/>
  <c r="D10" i="30"/>
  <c r="M49" i="30"/>
  <c r="L49" i="30" s="1"/>
  <c r="N49" i="30" s="1"/>
  <c r="I50" i="30"/>
  <c r="H50" i="30" s="1"/>
  <c r="J50" i="30" s="1"/>
  <c r="O10" i="30" l="1"/>
  <c r="F10" i="30"/>
  <c r="M50" i="30"/>
  <c r="L50" i="30" s="1"/>
  <c r="N50" i="30"/>
  <c r="I51" i="30"/>
  <c r="H51" i="30" s="1"/>
  <c r="J51" i="30" s="1"/>
  <c r="R10" i="30" l="1"/>
  <c r="E11" i="30"/>
  <c r="M51" i="30"/>
  <c r="L51" i="30" s="1"/>
  <c r="N51" i="30" s="1"/>
  <c r="I52" i="30"/>
  <c r="H52" i="30" s="1"/>
  <c r="J52" i="30" s="1"/>
  <c r="P11" i="30" l="1"/>
  <c r="Q11" i="30" s="1"/>
  <c r="D11" i="30"/>
  <c r="M52" i="30"/>
  <c r="L52" i="30" s="1"/>
  <c r="N52" i="30" s="1"/>
  <c r="I53" i="30"/>
  <c r="H53" i="30" s="1"/>
  <c r="J53" i="30" s="1"/>
  <c r="O11" i="30" l="1"/>
  <c r="F11" i="30"/>
  <c r="M53" i="30"/>
  <c r="L53" i="30" s="1"/>
  <c r="N53" i="30" s="1"/>
  <c r="I54" i="30"/>
  <c r="H54" i="30" s="1"/>
  <c r="J54" i="30" s="1"/>
  <c r="R11" i="30" l="1"/>
  <c r="E12" i="30"/>
  <c r="M54" i="30"/>
  <c r="L54" i="30" s="1"/>
  <c r="N54" i="30"/>
  <c r="I55" i="30"/>
  <c r="H55" i="30" s="1"/>
  <c r="J55" i="30" s="1"/>
  <c r="D12" i="30" l="1"/>
  <c r="P12" i="30"/>
  <c r="Q12" i="30" s="1"/>
  <c r="M55" i="30"/>
  <c r="L55" i="30" s="1"/>
  <c r="N55" i="30" s="1"/>
  <c r="I56" i="30"/>
  <c r="H56" i="30" s="1"/>
  <c r="J56" i="30" s="1"/>
  <c r="F12" i="30" l="1"/>
  <c r="O12" i="30"/>
  <c r="M56" i="30"/>
  <c r="L56" i="30" s="1"/>
  <c r="N56" i="30"/>
  <c r="I57" i="30"/>
  <c r="H57" i="30" s="1"/>
  <c r="J57" i="30" s="1"/>
  <c r="R12" i="30" l="1"/>
  <c r="E13" i="30"/>
  <c r="M57" i="30"/>
  <c r="L57" i="30" s="1"/>
  <c r="N57" i="30" s="1"/>
  <c r="I58" i="30"/>
  <c r="H58" i="30" s="1"/>
  <c r="J58" i="30" s="1"/>
  <c r="D13" i="30" l="1"/>
  <c r="P13" i="30"/>
  <c r="Q13" i="30" s="1"/>
  <c r="M58" i="30"/>
  <c r="L58" i="30" s="1"/>
  <c r="N58" i="30" s="1"/>
  <c r="I59" i="30"/>
  <c r="H59" i="30" s="1"/>
  <c r="J59" i="30" s="1"/>
  <c r="F13" i="30" l="1"/>
  <c r="O13" i="30"/>
  <c r="M59" i="30"/>
  <c r="L59" i="30" s="1"/>
  <c r="N59" i="30" s="1"/>
  <c r="I60" i="30"/>
  <c r="H60" i="30" s="1"/>
  <c r="J60" i="30" s="1"/>
  <c r="R13" i="30" l="1"/>
  <c r="E14" i="30"/>
  <c r="M60" i="30"/>
  <c r="L60" i="30" s="1"/>
  <c r="N60" i="30" s="1"/>
  <c r="I61" i="30"/>
  <c r="H61" i="30" s="1"/>
  <c r="J61" i="30" s="1"/>
  <c r="D14" i="30" l="1"/>
  <c r="P14" i="30"/>
  <c r="Q14" i="30" s="1"/>
  <c r="M61" i="30"/>
  <c r="L61" i="30" s="1"/>
  <c r="N61" i="30" s="1"/>
  <c r="I62" i="30"/>
  <c r="H62" i="30" s="1"/>
  <c r="J62" i="30" s="1"/>
  <c r="F14" i="30" l="1"/>
  <c r="O14" i="30"/>
  <c r="M62" i="30"/>
  <c r="L62" i="30" s="1"/>
  <c r="N62" i="30" s="1"/>
  <c r="I63" i="30"/>
  <c r="H63" i="30" s="1"/>
  <c r="J63" i="30" s="1"/>
  <c r="R14" i="30" l="1"/>
  <c r="E15" i="30"/>
  <c r="M63" i="30"/>
  <c r="L63" i="30" s="1"/>
  <c r="N63" i="30" s="1"/>
  <c r="I64" i="30"/>
  <c r="H64" i="30" s="1"/>
  <c r="J64" i="30" s="1"/>
  <c r="D15" i="30" l="1"/>
  <c r="P15" i="30"/>
  <c r="Q15" i="30" s="1"/>
  <c r="M64" i="30"/>
  <c r="L64" i="30" s="1"/>
  <c r="N64" i="30"/>
  <c r="I65" i="30"/>
  <c r="H65" i="30" s="1"/>
  <c r="J65" i="30" s="1"/>
  <c r="O15" i="30" l="1"/>
  <c r="F15" i="30"/>
  <c r="M65" i="30"/>
  <c r="L65" i="30" s="1"/>
  <c r="N65" i="30" s="1"/>
  <c r="I66" i="30"/>
  <c r="H66" i="30" s="1"/>
  <c r="J66" i="30" s="1"/>
  <c r="R15" i="30" l="1"/>
  <c r="E16" i="30"/>
  <c r="M66" i="30"/>
  <c r="L66" i="30" s="1"/>
  <c r="N66" i="30" s="1"/>
  <c r="I67" i="30"/>
  <c r="H67" i="30" s="1"/>
  <c r="J67" i="30" s="1"/>
  <c r="D16" i="30" l="1"/>
  <c r="P16" i="30"/>
  <c r="Q16" i="30" s="1"/>
  <c r="M67" i="30"/>
  <c r="L67" i="30" s="1"/>
  <c r="N67" i="30" s="1"/>
  <c r="I68" i="30"/>
  <c r="H68" i="30" s="1"/>
  <c r="J68" i="30" s="1"/>
  <c r="F16" i="30" l="1"/>
  <c r="O16" i="30"/>
  <c r="M68" i="30"/>
  <c r="L68" i="30" s="1"/>
  <c r="N68" i="30" s="1"/>
  <c r="I69" i="30"/>
  <c r="H69" i="30" s="1"/>
  <c r="J69" i="30" s="1"/>
  <c r="R16" i="30" l="1"/>
  <c r="E17" i="30"/>
  <c r="M69" i="30"/>
  <c r="L69" i="30" s="1"/>
  <c r="N69" i="30" s="1"/>
  <c r="I70" i="30"/>
  <c r="H70" i="30" s="1"/>
  <c r="J70" i="30" s="1"/>
  <c r="D17" i="30" l="1"/>
  <c r="P17" i="30"/>
  <c r="Q17" i="30" s="1"/>
  <c r="M70" i="30"/>
  <c r="L70" i="30" s="1"/>
  <c r="N70" i="30"/>
  <c r="I71" i="30"/>
  <c r="H71" i="30" s="1"/>
  <c r="J71" i="30" s="1"/>
  <c r="F17" i="30" l="1"/>
  <c r="O17" i="30"/>
  <c r="M71" i="30"/>
  <c r="L71" i="30" s="1"/>
  <c r="N71" i="30"/>
  <c r="I72" i="30"/>
  <c r="H72" i="30" s="1"/>
  <c r="J72" i="30" s="1"/>
  <c r="R17" i="30" l="1"/>
  <c r="E18" i="30"/>
  <c r="M72" i="30"/>
  <c r="L72" i="30" s="1"/>
  <c r="N72" i="30" s="1"/>
  <c r="I73" i="30"/>
  <c r="H73" i="30" s="1"/>
  <c r="J73" i="30"/>
  <c r="D18" i="30" l="1"/>
  <c r="P18" i="30"/>
  <c r="Q18" i="30" s="1"/>
  <c r="M73" i="30"/>
  <c r="L73" i="30" s="1"/>
  <c r="N73" i="30" s="1"/>
  <c r="I74" i="30"/>
  <c r="H74" i="30" s="1"/>
  <c r="J74" i="30" s="1"/>
  <c r="O18" i="30" l="1"/>
  <c r="F18" i="30"/>
  <c r="M74" i="30"/>
  <c r="L74" i="30" s="1"/>
  <c r="N74" i="30" s="1"/>
  <c r="I75" i="30"/>
  <c r="H75" i="30" s="1"/>
  <c r="J75" i="30" s="1"/>
  <c r="R18" i="30" l="1"/>
  <c r="E19" i="30"/>
  <c r="M75" i="30"/>
  <c r="L75" i="30" s="1"/>
  <c r="N75" i="30" s="1"/>
  <c r="I76" i="30"/>
  <c r="H76" i="30" s="1"/>
  <c r="J76" i="30" s="1"/>
  <c r="D19" i="30" l="1"/>
  <c r="P19" i="30"/>
  <c r="Q19" i="30" s="1"/>
  <c r="M76" i="30"/>
  <c r="L76" i="30" s="1"/>
  <c r="N76" i="30" s="1"/>
  <c r="I77" i="30"/>
  <c r="H77" i="30" s="1"/>
  <c r="J77" i="30" s="1"/>
  <c r="O19" i="30" l="1"/>
  <c r="F19" i="30"/>
  <c r="M77" i="30"/>
  <c r="L77" i="30" s="1"/>
  <c r="N77" i="30" s="1"/>
  <c r="I78" i="30"/>
  <c r="H78" i="30" s="1"/>
  <c r="J78" i="30" s="1"/>
  <c r="R19" i="30" l="1"/>
  <c r="E20" i="30"/>
  <c r="M78" i="30"/>
  <c r="L78" i="30" s="1"/>
  <c r="N78" i="30" s="1"/>
  <c r="I79" i="30"/>
  <c r="H79" i="30" s="1"/>
  <c r="J79" i="30" s="1"/>
  <c r="D20" i="30" l="1"/>
  <c r="P20" i="30"/>
  <c r="Q20" i="30" s="1"/>
  <c r="M79" i="30"/>
  <c r="L79" i="30" s="1"/>
  <c r="N79" i="30" s="1"/>
  <c r="I80" i="30"/>
  <c r="H80" i="30" s="1"/>
  <c r="J80" i="30" s="1"/>
  <c r="O20" i="30" l="1"/>
  <c r="F20" i="30"/>
  <c r="M80" i="30"/>
  <c r="L80" i="30" s="1"/>
  <c r="N80" i="30" s="1"/>
  <c r="R20" i="30" l="1"/>
  <c r="E21" i="30"/>
  <c r="D21" i="30" l="1"/>
  <c r="P21" i="30"/>
  <c r="Q21" i="30" s="1"/>
  <c r="O21" i="30" l="1"/>
  <c r="F21" i="30"/>
  <c r="R21" i="30" l="1"/>
  <c r="E22" i="30"/>
  <c r="D22" i="30" l="1"/>
  <c r="P22" i="30"/>
  <c r="Q22" i="30" s="1"/>
  <c r="O22" i="30" l="1"/>
  <c r="F22" i="30"/>
  <c r="R22" i="30" l="1"/>
  <c r="E23" i="30"/>
  <c r="D23" i="30" l="1"/>
  <c r="P23" i="30"/>
  <c r="Q23" i="30" s="1"/>
  <c r="O23" i="30" l="1"/>
  <c r="F23" i="30"/>
  <c r="R23" i="30" l="1"/>
  <c r="E24" i="30"/>
  <c r="D24" i="30" l="1"/>
  <c r="P24" i="30"/>
  <c r="Q24" i="30" s="1"/>
  <c r="O24" i="30" l="1"/>
  <c r="F24" i="30"/>
  <c r="R24" i="30" l="1"/>
  <c r="E25" i="30"/>
  <c r="D25" i="30" l="1"/>
  <c r="P25" i="30"/>
  <c r="Q25" i="30" s="1"/>
  <c r="O25" i="30" l="1"/>
  <c r="F25" i="30"/>
  <c r="R25" i="30" l="1"/>
  <c r="E26" i="30"/>
  <c r="D26" i="30" l="1"/>
  <c r="P26" i="30"/>
  <c r="Q26" i="30" s="1"/>
  <c r="O26" i="30" l="1"/>
  <c r="F26" i="30"/>
  <c r="R26" i="30" l="1"/>
  <c r="E27" i="30"/>
  <c r="D27" i="30" l="1"/>
  <c r="P27" i="30"/>
  <c r="Q27" i="30" s="1"/>
  <c r="O27" i="30" l="1"/>
  <c r="F27" i="30"/>
  <c r="R27" i="30" l="1"/>
  <c r="E28" i="30"/>
  <c r="D28" i="30" l="1"/>
  <c r="P28" i="30"/>
  <c r="Q28" i="30" s="1"/>
  <c r="F28" i="30" l="1"/>
  <c r="O28" i="30"/>
  <c r="R28" i="30" l="1"/>
  <c r="E29" i="30"/>
  <c r="D29" i="30" l="1"/>
  <c r="P29" i="30"/>
  <c r="Q29" i="30" s="1"/>
  <c r="F29" i="30" l="1"/>
  <c r="O29" i="30"/>
  <c r="R29" i="30" l="1"/>
  <c r="E30" i="30"/>
  <c r="D30" i="30" l="1"/>
  <c r="P30" i="30"/>
  <c r="Q30" i="30" s="1"/>
  <c r="F30" i="30" l="1"/>
  <c r="O30" i="30"/>
  <c r="R30" i="30" l="1"/>
  <c r="E31" i="30"/>
  <c r="D31" i="30" l="1"/>
  <c r="P31" i="30"/>
  <c r="Q31" i="30" s="1"/>
  <c r="F31" i="30" l="1"/>
  <c r="O31" i="30"/>
  <c r="R31" i="30" l="1"/>
  <c r="E32" i="30"/>
  <c r="D32" i="30" l="1"/>
  <c r="P32" i="30"/>
  <c r="Q32" i="30" s="1"/>
  <c r="F32" i="30" l="1"/>
  <c r="O32" i="30"/>
  <c r="R32" i="30" l="1"/>
  <c r="E33" i="30"/>
  <c r="D33" i="30" l="1"/>
  <c r="P33" i="30"/>
  <c r="Q33" i="30" s="1"/>
  <c r="F33" i="30" l="1"/>
  <c r="O33" i="30"/>
  <c r="R33" i="30" l="1"/>
  <c r="E34" i="30"/>
  <c r="D34" i="30" l="1"/>
  <c r="P34" i="30"/>
  <c r="Q34" i="30" s="1"/>
  <c r="O34" i="30" l="1"/>
  <c r="F34" i="30"/>
  <c r="R34" i="30" l="1"/>
  <c r="E35" i="30"/>
  <c r="D35" i="30" l="1"/>
  <c r="P35" i="30"/>
  <c r="Q35" i="30" s="1"/>
  <c r="O35" i="30" l="1"/>
  <c r="F35" i="30"/>
  <c r="R35" i="30" l="1"/>
  <c r="E36" i="30"/>
  <c r="D36" i="30" l="1"/>
  <c r="P36" i="30"/>
  <c r="Q36" i="30" s="1"/>
  <c r="F36" i="30" l="1"/>
  <c r="O36" i="30"/>
  <c r="R36" i="30" l="1"/>
  <c r="E37" i="30"/>
  <c r="D37" i="30" l="1"/>
  <c r="P37" i="30"/>
  <c r="Q37" i="30" s="1"/>
  <c r="O37" i="30" l="1"/>
  <c r="F37" i="30"/>
  <c r="R37" i="30" l="1"/>
  <c r="E38" i="30"/>
  <c r="D38" i="30" l="1"/>
  <c r="P38" i="30"/>
  <c r="Q38" i="30" s="1"/>
  <c r="O38" i="30" l="1"/>
  <c r="F38" i="30"/>
  <c r="R38" i="30" l="1"/>
  <c r="E39" i="30"/>
  <c r="D39" i="30" l="1"/>
  <c r="P39" i="30"/>
  <c r="Q39" i="30" s="1"/>
  <c r="O39" i="30" l="1"/>
  <c r="F39" i="30"/>
  <c r="R39" i="30" l="1"/>
  <c r="E40" i="30"/>
  <c r="D40" i="30" l="1"/>
  <c r="P40" i="30"/>
  <c r="Q40" i="30" s="1"/>
  <c r="O40" i="30" l="1"/>
  <c r="F40" i="30"/>
  <c r="R40" i="30" l="1"/>
  <c r="E41" i="30"/>
  <c r="D41" i="30" l="1"/>
  <c r="P41" i="30"/>
  <c r="Q41" i="30" s="1"/>
  <c r="O41" i="30" l="1"/>
  <c r="F41" i="30"/>
  <c r="R41" i="30" l="1"/>
  <c r="E42" i="30"/>
  <c r="D42" i="30" l="1"/>
  <c r="P42" i="30"/>
  <c r="Q42" i="30" s="1"/>
  <c r="O42" i="30" l="1"/>
  <c r="F42" i="30"/>
  <c r="R42" i="30" l="1"/>
  <c r="E43" i="30"/>
  <c r="D43" i="30" l="1"/>
  <c r="P43" i="30"/>
  <c r="Q43" i="30" s="1"/>
  <c r="F43" i="30" l="1"/>
  <c r="O43" i="30"/>
  <c r="R43" i="30" l="1"/>
  <c r="E44" i="30"/>
  <c r="D44" i="30" l="1"/>
  <c r="P44" i="30"/>
  <c r="Q44" i="30" s="1"/>
  <c r="F44" i="30" l="1"/>
  <c r="O44" i="30"/>
  <c r="R44" i="30" l="1"/>
  <c r="E45" i="30"/>
  <c r="D45" i="30" l="1"/>
  <c r="P45" i="30"/>
  <c r="Q45" i="30" s="1"/>
  <c r="F45" i="30" l="1"/>
  <c r="O45" i="30"/>
  <c r="R45" i="30" l="1"/>
  <c r="E46" i="30"/>
  <c r="D46" i="30" l="1"/>
  <c r="P46" i="30"/>
  <c r="Q46" i="30" s="1"/>
  <c r="F46" i="30" l="1"/>
  <c r="O46" i="30"/>
  <c r="R46" i="30" l="1"/>
  <c r="E47" i="30"/>
  <c r="D47" i="30" l="1"/>
  <c r="P47" i="30"/>
  <c r="Q47" i="30" s="1"/>
  <c r="F47" i="30" l="1"/>
  <c r="O47" i="30"/>
  <c r="R47" i="30" l="1"/>
  <c r="E48" i="30"/>
  <c r="D48" i="30" l="1"/>
  <c r="P48" i="30"/>
  <c r="Q48" i="30" s="1"/>
  <c r="F48" i="30" l="1"/>
  <c r="O48" i="30"/>
  <c r="R48" i="30" l="1"/>
  <c r="E49" i="30"/>
  <c r="D49" i="30" l="1"/>
  <c r="P49" i="30"/>
  <c r="Q49" i="30" s="1"/>
  <c r="F49" i="30" l="1"/>
  <c r="O49" i="30"/>
  <c r="R49" i="30" l="1"/>
  <c r="E50" i="30"/>
  <c r="D50" i="30" l="1"/>
  <c r="P50" i="30"/>
  <c r="Q50" i="30" s="1"/>
  <c r="F50" i="30" l="1"/>
  <c r="O50" i="30"/>
  <c r="R50" i="30" l="1"/>
  <c r="E51" i="30"/>
  <c r="D51" i="30" l="1"/>
  <c r="P51" i="30"/>
  <c r="Q51" i="30" s="1"/>
  <c r="F51" i="30" l="1"/>
  <c r="O51" i="30"/>
  <c r="R51" i="30" l="1"/>
  <c r="E52" i="30"/>
  <c r="D52" i="30" l="1"/>
  <c r="P52" i="30"/>
  <c r="Q52" i="30" s="1"/>
  <c r="O52" i="30" l="1"/>
  <c r="F52" i="30"/>
  <c r="R52" i="30" l="1"/>
  <c r="E53" i="30"/>
  <c r="D53" i="30" l="1"/>
  <c r="P53" i="30"/>
  <c r="Q53" i="30" s="1"/>
  <c r="F53" i="30" l="1"/>
  <c r="O53" i="30"/>
  <c r="R53" i="30" l="1"/>
  <c r="E54" i="30"/>
  <c r="D54" i="30" l="1"/>
  <c r="P54" i="30"/>
  <c r="Q54" i="30" s="1"/>
  <c r="O54" i="30" l="1"/>
  <c r="F54" i="30"/>
  <c r="R54" i="30" l="1"/>
  <c r="E55" i="30"/>
  <c r="D55" i="30" l="1"/>
  <c r="P55" i="30"/>
  <c r="Q55" i="30" s="1"/>
  <c r="O55" i="30" l="1"/>
  <c r="F55" i="30"/>
  <c r="R55" i="30" l="1"/>
  <c r="E56" i="30"/>
  <c r="D56" i="30" l="1"/>
  <c r="P56" i="30"/>
  <c r="Q56" i="30" s="1"/>
  <c r="O56" i="30" l="1"/>
  <c r="F56" i="30"/>
  <c r="R56" i="30" l="1"/>
  <c r="E57" i="30"/>
  <c r="D57" i="30" l="1"/>
  <c r="P57" i="30"/>
  <c r="Q57" i="30" s="1"/>
  <c r="O57" i="30" l="1"/>
  <c r="F57" i="30"/>
  <c r="R57" i="30" l="1"/>
  <c r="E58" i="30"/>
  <c r="D58" i="30" l="1"/>
  <c r="P58" i="30"/>
  <c r="Q58" i="30" s="1"/>
  <c r="O58" i="30" l="1"/>
  <c r="F58" i="30"/>
  <c r="R58" i="30" l="1"/>
  <c r="E59" i="30"/>
  <c r="D59" i="30" l="1"/>
  <c r="P59" i="30"/>
  <c r="Q59" i="30" s="1"/>
  <c r="F59" i="30" l="1"/>
  <c r="O59" i="30"/>
  <c r="R59" i="30" l="1"/>
  <c r="E60" i="30"/>
  <c r="D60" i="30" l="1"/>
  <c r="P60" i="30"/>
  <c r="Q60" i="30" s="1"/>
  <c r="F60" i="30" l="1"/>
  <c r="O60" i="30"/>
  <c r="R60" i="30" l="1"/>
  <c r="E61" i="30"/>
  <c r="D61" i="30" l="1"/>
  <c r="P61" i="30"/>
  <c r="Q61" i="30" s="1"/>
  <c r="F61" i="30" l="1"/>
  <c r="O61" i="30"/>
  <c r="R61" i="30" l="1"/>
  <c r="E62" i="30"/>
  <c r="D62" i="30" l="1"/>
  <c r="P62" i="30"/>
  <c r="Q62" i="30" s="1"/>
  <c r="F62" i="30" l="1"/>
  <c r="O62" i="30"/>
  <c r="R62" i="30" l="1"/>
  <c r="E63" i="30"/>
  <c r="D63" i="30" l="1"/>
  <c r="P63" i="30"/>
  <c r="Q63" i="30" s="1"/>
  <c r="F63" i="30" l="1"/>
  <c r="O63" i="30"/>
  <c r="R63" i="30" l="1"/>
  <c r="E64" i="30"/>
  <c r="D64" i="30" l="1"/>
  <c r="P64" i="30"/>
  <c r="Q64" i="30" s="1"/>
  <c r="F64" i="30" l="1"/>
  <c r="O64" i="30"/>
  <c r="R64" i="30" l="1"/>
  <c r="E65" i="30"/>
  <c r="D65" i="30" l="1"/>
  <c r="P65" i="30"/>
  <c r="Q65" i="30" s="1"/>
  <c r="F65" i="30" l="1"/>
  <c r="O65" i="30"/>
  <c r="R65" i="30" l="1"/>
  <c r="E66" i="30"/>
  <c r="D66" i="30" l="1"/>
  <c r="P66" i="30"/>
  <c r="Q66" i="30" s="1"/>
  <c r="O66" i="30" l="1"/>
  <c r="F66" i="30"/>
  <c r="R66" i="30" l="1"/>
  <c r="E67" i="30"/>
  <c r="D67" i="30" l="1"/>
  <c r="P67" i="30"/>
  <c r="Q67" i="30" s="1"/>
  <c r="O67" i="30" l="1"/>
  <c r="F67" i="30"/>
  <c r="R67" i="30" l="1"/>
  <c r="E68" i="30"/>
  <c r="D68" i="30" l="1"/>
  <c r="P68" i="30"/>
  <c r="Q68" i="30" s="1"/>
  <c r="O68" i="30" l="1"/>
  <c r="F68" i="30"/>
  <c r="R68" i="30" l="1"/>
  <c r="E69" i="30"/>
  <c r="D69" i="30" l="1"/>
  <c r="P69" i="30"/>
  <c r="Q69" i="30" s="1"/>
  <c r="F69" i="30" l="1"/>
  <c r="O69" i="30"/>
  <c r="R69" i="30" l="1"/>
  <c r="E70" i="30"/>
  <c r="D70" i="30" l="1"/>
  <c r="P70" i="30"/>
  <c r="Q70" i="30" s="1"/>
  <c r="O70" i="30" l="1"/>
  <c r="F70" i="30"/>
  <c r="R70" i="30" l="1"/>
  <c r="E71" i="30"/>
  <c r="D71" i="30" l="1"/>
  <c r="P71" i="30"/>
  <c r="Q71" i="30" s="1"/>
  <c r="O71" i="30" l="1"/>
  <c r="F71" i="30"/>
  <c r="R71" i="30" l="1"/>
  <c r="E72" i="30"/>
  <c r="D72" i="30" l="1"/>
  <c r="P72" i="30"/>
  <c r="Q72" i="30" s="1"/>
  <c r="F72" i="30" l="1"/>
  <c r="O72" i="30"/>
  <c r="R72" i="30" l="1"/>
  <c r="E73" i="30"/>
  <c r="D73" i="30" l="1"/>
  <c r="P73" i="30"/>
  <c r="Q73" i="30" s="1"/>
  <c r="O73" i="30" l="1"/>
  <c r="F73" i="30"/>
  <c r="R73" i="30" l="1"/>
  <c r="E74" i="30"/>
  <c r="D74" i="30" l="1"/>
  <c r="P74" i="30"/>
  <c r="Q74" i="30" s="1"/>
  <c r="F74" i="30" l="1"/>
  <c r="O74" i="30"/>
  <c r="R74" i="30" l="1"/>
  <c r="E75" i="30"/>
  <c r="D75" i="30" l="1"/>
  <c r="P75" i="30"/>
  <c r="Q75" i="30" s="1"/>
  <c r="F75" i="30" l="1"/>
  <c r="O75" i="30"/>
  <c r="R75" i="30" l="1"/>
  <c r="E76" i="30"/>
  <c r="D76" i="30" l="1"/>
  <c r="P76" i="30"/>
  <c r="Q76" i="30" s="1"/>
  <c r="F76" i="30" l="1"/>
  <c r="O76" i="30"/>
  <c r="R76" i="30" l="1"/>
  <c r="E77" i="30"/>
  <c r="D77" i="30" l="1"/>
  <c r="P77" i="30"/>
  <c r="Q77" i="30" s="1"/>
  <c r="F77" i="30" l="1"/>
  <c r="O77" i="30"/>
  <c r="R77" i="30" l="1"/>
  <c r="E78" i="30"/>
  <c r="D78" i="30" l="1"/>
  <c r="P78" i="30"/>
  <c r="Q78" i="30" s="1"/>
  <c r="O78" i="30" l="1"/>
  <c r="F78" i="30"/>
  <c r="R78" i="30" l="1"/>
  <c r="E79" i="30"/>
  <c r="D79" i="30" l="1"/>
  <c r="P79" i="30"/>
  <c r="Q79" i="30" s="1"/>
  <c r="F79" i="30" l="1"/>
  <c r="O79" i="30"/>
  <c r="R79" i="30" l="1"/>
  <c r="E80" i="30"/>
  <c r="D80" i="30" l="1"/>
  <c r="P80" i="30"/>
  <c r="Q80" i="30" s="1"/>
  <c r="F80" i="30" l="1"/>
  <c r="O80" i="30"/>
  <c r="R80" i="30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<sst xmlns="http://schemas.openxmlformats.org/spreadsheetml/2006/main" count="7277" uniqueCount="1346">
  <si>
    <t>Description</t>
  </si>
  <si>
    <t>Amount</t>
  </si>
  <si>
    <t>Category</t>
  </si>
  <si>
    <t>Short_Desc</t>
  </si>
  <si>
    <t>Date</t>
  </si>
  <si>
    <t>Reoccurring_Flag</t>
  </si>
  <si>
    <t>Category_2</t>
  </si>
  <si>
    <t>CumAmount</t>
  </si>
  <si>
    <t>Balance</t>
  </si>
  <si>
    <t>Restaurants</t>
  </si>
  <si>
    <t>fast_food</t>
  </si>
  <si>
    <t>01/2022</t>
  </si>
  <si>
    <t>No</t>
  </si>
  <si>
    <t>Food</t>
  </si>
  <si>
    <t>restaurant</t>
  </si>
  <si>
    <t>NETFLIX.COM NETFLIX.COM CAITEM TRANSFERRED FROM PREV ACCOUNT</t>
  </si>
  <si>
    <t>Merchandise</t>
  </si>
  <si>
    <t>netflix</t>
  </si>
  <si>
    <t>Yes</t>
  </si>
  <si>
    <t>Recreation_Entertainment</t>
  </si>
  <si>
    <t>spotify</t>
  </si>
  <si>
    <t>amazon</t>
  </si>
  <si>
    <t>Travel/ Entertainment</t>
  </si>
  <si>
    <t>gym</t>
  </si>
  <si>
    <t>Personal_Spending</t>
  </si>
  <si>
    <t>conv_store</t>
  </si>
  <si>
    <t>INTERNET PAYMENT - THANK YOU</t>
  </si>
  <si>
    <t>Payments and Credits</t>
  </si>
  <si>
    <t>payment</t>
  </si>
  <si>
    <t>Gasoline</t>
  </si>
  <si>
    <t>gas_station</t>
  </si>
  <si>
    <t>Transportation</t>
  </si>
  <si>
    <t>Awards and Rebate Credits</t>
  </si>
  <si>
    <t>hbo</t>
  </si>
  <si>
    <t>Supermarkets</t>
  </si>
  <si>
    <t>groceries</t>
  </si>
  <si>
    <t>Services</t>
  </si>
  <si>
    <t>Misc</t>
  </si>
  <si>
    <t>TMOBILE*AUTO PAY 800-937-8997 WAITEM TRANSFERRED FROM PREV ACCOUNT</t>
  </si>
  <si>
    <t>cell_phone</t>
  </si>
  <si>
    <t>Utilities</t>
  </si>
  <si>
    <t>apple_tv</t>
  </si>
  <si>
    <t>ride_share</t>
  </si>
  <si>
    <t>KRYSTAL AND SAAGAR 2025317527 DCITEM TRANSFERRED FROM PREV ACCOUNT</t>
  </si>
  <si>
    <t>breaking_points</t>
  </si>
  <si>
    <t>onlyfans</t>
  </si>
  <si>
    <t>learning</t>
  </si>
  <si>
    <t>sport_stuff</t>
  </si>
  <si>
    <t>Automotive</t>
  </si>
  <si>
    <t>car</t>
  </si>
  <si>
    <t>STATE FARM INSURANCE 800-956-6310 ILITEM TRANSFERRED FROM PREV ACCOUNT</t>
  </si>
  <si>
    <t>state_farm</t>
  </si>
  <si>
    <t>Insurance</t>
  </si>
  <si>
    <t>People</t>
  </si>
  <si>
    <t>youtube_tv</t>
  </si>
  <si>
    <t>air_travel</t>
  </si>
  <si>
    <t>crunchy_roll</t>
  </si>
  <si>
    <t>movies</t>
  </si>
  <si>
    <t>Medical Services</t>
  </si>
  <si>
    <t>Medical</t>
  </si>
  <si>
    <t>Government Services</t>
  </si>
  <si>
    <t>museum</t>
  </si>
  <si>
    <t>coffee</t>
  </si>
  <si>
    <t>parking</t>
  </si>
  <si>
    <t>barbershop</t>
  </si>
  <si>
    <t>live_event</t>
  </si>
  <si>
    <t>clothing</t>
  </si>
  <si>
    <t>concerts</t>
  </si>
  <si>
    <t>Housing</t>
  </si>
  <si>
    <t>Education</t>
  </si>
  <si>
    <t>UBER TRIP 866-576-1039 CA</t>
  </si>
  <si>
    <t>TARGET.COM * 800-591-3869 MN</t>
  </si>
  <si>
    <t>professional</t>
  </si>
  <si>
    <t>vr_arcade</t>
  </si>
  <si>
    <t>live_nba</t>
  </si>
  <si>
    <t>INTEREST CHARGE ON PURCHASES</t>
  </si>
  <si>
    <t>Interest</t>
  </si>
  <si>
    <t>CAFFE CENTRAL BURLINGAME CA</t>
  </si>
  <si>
    <t>UNITED AIRLINES 18004214655 TX</t>
  </si>
  <si>
    <t>STEAM PURCHASE 425-952-2985 WA</t>
  </si>
  <si>
    <t>video_games</t>
  </si>
  <si>
    <t>CCBILL.COM 888-5969279 AZ</t>
  </si>
  <si>
    <t>DUNKIN DONUTSBALTIMORE BALTIMORE MD</t>
  </si>
  <si>
    <t>PLANNED PARENTHOOD ACTIO NEW YORK NY</t>
  </si>
  <si>
    <t>political_cause</t>
  </si>
  <si>
    <t>SAFEWAY #1547 BURLINGAME CA</t>
  </si>
  <si>
    <t>Home Improvement</t>
  </si>
  <si>
    <t>Transaction Date</t>
  </si>
  <si>
    <t>ONLINE PAYMENT           DEERFIELD    IL</t>
  </si>
  <si>
    <t>Trans Date</t>
  </si>
  <si>
    <t>NON-WELLS FARGO ATM TRANSACTION FEE</t>
  </si>
  <si>
    <t>Debit_Amount</t>
  </si>
  <si>
    <t>mom</t>
  </si>
  <si>
    <t>jayelin</t>
  </si>
  <si>
    <t>taxes</t>
  </si>
  <si>
    <t>Discover</t>
  </si>
  <si>
    <t>Care Credit</t>
  </si>
  <si>
    <t>Best Buy</t>
  </si>
  <si>
    <t>Income</t>
  </si>
  <si>
    <t>Nationwide</t>
  </si>
  <si>
    <t>Vincet</t>
  </si>
  <si>
    <t>Spending</t>
  </si>
  <si>
    <t>Saving</t>
  </si>
  <si>
    <t>Today</t>
  </si>
  <si>
    <t>V. Payment</t>
  </si>
  <si>
    <t>D.Payment</t>
  </si>
  <si>
    <t>Rent</t>
  </si>
  <si>
    <t>Actual Payment</t>
  </si>
  <si>
    <t>Actual Savings</t>
  </si>
  <si>
    <t>Actual Spending</t>
  </si>
  <si>
    <t>Student Loans</t>
  </si>
  <si>
    <t>Cum. Leftover</t>
  </si>
  <si>
    <t>Acutal Leftover</t>
  </si>
  <si>
    <t>Actual WF BAL</t>
  </si>
  <si>
    <t>Actual Dis BAL</t>
  </si>
  <si>
    <t>moving</t>
  </si>
  <si>
    <t>Actual Income</t>
  </si>
  <si>
    <t>Row Labels</t>
  </si>
  <si>
    <t>Grand Total</t>
  </si>
  <si>
    <t>Column Labels</t>
  </si>
  <si>
    <t>Sum of Amount</t>
  </si>
  <si>
    <t>Sum of Debit_Amount</t>
  </si>
  <si>
    <t>Payment_and_Interest</t>
  </si>
  <si>
    <t>OBSIDIAN.MD 2262203323 CAN</t>
  </si>
  <si>
    <t>EXTRA SPACE 1461 BURLINGAME CA</t>
  </si>
  <si>
    <t>TARGET 00011221091 SAN MATEO CA</t>
  </si>
  <si>
    <t>WHOLEFDS SMT 10150 SAN MATEO CA</t>
  </si>
  <si>
    <t>electronics</t>
  </si>
  <si>
    <t>SPORTSLINE 888-508-3055 CA</t>
  </si>
  <si>
    <t>SAFEWAY #0970 SAN MATEO CA</t>
  </si>
  <si>
    <t>WWW.WEWORK.COM 6467604450 NY</t>
  </si>
  <si>
    <t>mailing</t>
  </si>
  <si>
    <t>Year</t>
  </si>
  <si>
    <t>everything_store</t>
  </si>
  <si>
    <t>lodging</t>
  </si>
  <si>
    <t>apple_care</t>
  </si>
  <si>
    <t>LGND GOLDEN 1 CONCESSION SACRAMENTO CA</t>
  </si>
  <si>
    <t>SHELL57444215701 SAN MATEO CA</t>
  </si>
  <si>
    <t>dental</t>
  </si>
  <si>
    <t>WALGREENS #0625 MILLBRAE CA</t>
  </si>
  <si>
    <t>FIVE GUYS CA 1370 QSR BURLINGAME CA</t>
  </si>
  <si>
    <t>FD *CA DMV 593 *SVC 800-777-0133 CA</t>
  </si>
  <si>
    <t>FD *CA DMV 593 SAN MATEO CA</t>
  </si>
  <si>
    <t>AUTOMATIC STATEMENT CREDIT</t>
  </si>
  <si>
    <t>COURSRA5IM7YPM1EY6M1D 650-963-9884 CA</t>
  </si>
  <si>
    <t>coursera</t>
  </si>
  <si>
    <t>APPLE.COM/BILL 111-111-1111 CA</t>
  </si>
  <si>
    <t>Sort_Date</t>
  </si>
  <si>
    <t>SPOTIFY P1FEF894B5 8777781161 NY</t>
  </si>
  <si>
    <t>A PLUS DENTAL CENTER - S SAN MATEO CA</t>
  </si>
  <si>
    <t>AMAZON.COM*7H1T34W33 AMZN.COM/BILLWA7CGLY7QDYF3</t>
  </si>
  <si>
    <t>CAMINO PETROLEUM S SAN FRANCISCA</t>
  </si>
  <si>
    <t>GOOGLE *YT PRIMETIME G.CO/HELPPAY#CAP0OW57KF</t>
  </si>
  <si>
    <t>TACO BELL 30785 SOUTH SAN FRACA</t>
  </si>
  <si>
    <t>WALGREENS #3346 S SAN FRAN CA</t>
  </si>
  <si>
    <t>AMAZON.COM*533DL0GN3 AMZN.COM/BILLWA656UQI8895R</t>
  </si>
  <si>
    <t>AMZN MKTP US*RZ4YB1HY3 AMZN.COM/BILLWA2IAOP636RTD</t>
  </si>
  <si>
    <t>SQ *LOVE BURN CHICKEN SOUTH SAN FRACA0001152921512348130249</t>
  </si>
  <si>
    <t>LYFT *2 RIDES 01-04 855-865-9553 CAITEM TRANSFERRED FROM PREV ACCOUNT</t>
  </si>
  <si>
    <t>SEE TICKETS *FRED ARMISE 323-908-0607 CASEE TICKETS *FRED ARMISE</t>
  </si>
  <si>
    <t>SQ *HILARY CHIEM, O.D. SAN MATEO CA0001152921512353344153</t>
  </si>
  <si>
    <t>vision</t>
  </si>
  <si>
    <t>LYFT *2 RIDES 01-07 855-865-9553 CAITEM TRANSFERRED FROM PREV ACCOUNT</t>
  </si>
  <si>
    <t>AMZN MKTP US*O74QU7HY3 AMZN.COM/BILLWA77RIRA85W99</t>
  </si>
  <si>
    <t>AMZN MKTP US*P98A92243 AMZN.COM/BILLWA1F2157UKMEK</t>
  </si>
  <si>
    <t>GOOGLE *YOUTUBE TV G.CO/HELPPAY#CAP0OFLGPQ</t>
  </si>
  <si>
    <t>LYFT *1 RIDE 01-08 855-865-9553 CAITEM TRANSFERRED FROM PREV ACCOUNT</t>
  </si>
  <si>
    <t>PANDA EXPRESS #907 P 800-877-8988 CA</t>
  </si>
  <si>
    <t>APPLE.COM/BILL 866-712-7753 CAAPPLE PAY ENDING IN 1455MMWBZ5629BA0</t>
  </si>
  <si>
    <t>EB OPEN MIKE EAGLEES 801-413-7200 CA</t>
  </si>
  <si>
    <t>TRAVEL GUARD GROUP INC 877-934-8308 WI</t>
  </si>
  <si>
    <t>PAYPAL *CRUNCHYROLL 402-935-7733 CA</t>
  </si>
  <si>
    <t>UNITED AIRLINES 18004214655 TXAPPLE PAY ENDING IN 1455</t>
  </si>
  <si>
    <t>KATSU KEI* KEI KATSUCO 8668646522 VA</t>
  </si>
  <si>
    <t>convention</t>
  </si>
  <si>
    <t>LEANPUB 6049168017 CAN</t>
  </si>
  <si>
    <t>AMZN MKTP US*OJ2B68JK3 AMZN.COM/BILLWA6GMHPXEC3MX</t>
  </si>
  <si>
    <t>CRACKED &amp; BATTERED LLC 540-898-4343 CAAPPLE PAY ENDING IN 1455</t>
  </si>
  <si>
    <t>TM *SACRAMENTO KINGS 800-653-8000 CANCA/22-39690</t>
  </si>
  <si>
    <t>TST* COPENHAGEN BAKERY BURLINGAME CA</t>
  </si>
  <si>
    <t>AMAZON.COM*587BA3543 AMZN.COM/BILLWA1VXP8IG0UT8</t>
  </si>
  <si>
    <t>FUZE TECHNOLOGY, INC. 2134516667 CA</t>
  </si>
  <si>
    <t>HOUSE KITCHEN AND BAR SACRAMENTO CA</t>
  </si>
  <si>
    <t>PAYPAL *PARKMOBILE 402-935-7733 CA</t>
  </si>
  <si>
    <t>02738 PF SAN BRUNO CA SAN BRUNO CA</t>
  </si>
  <si>
    <t>BLUE LINE TRANSFER SOUTH SAN FRACA</t>
  </si>
  <si>
    <t>dump</t>
  </si>
  <si>
    <t>FASTRAK CSC 415-486-8655 CA</t>
  </si>
  <si>
    <t>tolls</t>
  </si>
  <si>
    <t>MCDONALD'S F13001 MILLBRAE CA</t>
  </si>
  <si>
    <t>O'REILLY AUTO PARTS 2581 MILLBRAE CA</t>
  </si>
  <si>
    <t>MARKET MAYFLOWER &amp; DELI SAN FRANCISCOCA</t>
  </si>
  <si>
    <t>SQ *GREAT AMERICAN MUS SAN FRANCISCOCA0001152921512413106170</t>
  </si>
  <si>
    <t>HI - SD DOWNTOWN HOSTEL SAN DIEGO CA</t>
  </si>
  <si>
    <t>TST* FARLEYS CAFE - SF SAN RAFAEL CA00035384010198819089AA</t>
  </si>
  <si>
    <t>SQ *BORDER X BREWING- SAN DIEGO CA0001152921512418764739</t>
  </si>
  <si>
    <t>SQ *NEVERIA LOS MOCHIS SAN DIEGO CA0001152921512419051683</t>
  </si>
  <si>
    <t>SWAMIS NORTH PARK SAN DIEGO CA</t>
  </si>
  <si>
    <t>SQ *SANDBOX VR MISSION GOSQ.COM CA0002305843016976425532</t>
  </si>
  <si>
    <t>TST* SMOKING GUN - SAN SAN DIEGO CA00013131010229654110AA</t>
  </si>
  <si>
    <t>TST* TACO STAND DOWNTO SAN DIEGO CA00072507010231353549AA</t>
  </si>
  <si>
    <t>THE DONUT BAR SAN DIEGO CA</t>
  </si>
  <si>
    <t>PARAMOUNT^ 888-274-5343 CA</t>
  </si>
  <si>
    <t>paramount_plus</t>
  </si>
  <si>
    <t>SPOTIFY P20DD0B7D1 8777781161 NY</t>
  </si>
  <si>
    <t>SQ *MAMA MADE THAI FOO SAN DIEGO CA0001152921512428151675</t>
  </si>
  <si>
    <t>SQ *WICKED POPCORN SAN DIEGO CA0001152921512428214340</t>
  </si>
  <si>
    <t>STONE BREWING - LIBE 619-2692100 CA</t>
  </si>
  <si>
    <t>SQ *AYURBLISS PHYSICAL SAN MATEO CAAPPLE PAY ENDING IN 14550002305843016991252943</t>
  </si>
  <si>
    <t>physical_therapy</t>
  </si>
  <si>
    <t>GOOGLE *YT PRIMETIME G.CO/HELPPAY#CAP0PFG0KA</t>
  </si>
  <si>
    <t>HAPPY LEMON FOSTER CITY CA</t>
  </si>
  <si>
    <t>POPEYES 12669 SOUTH SAN FRACA</t>
  </si>
  <si>
    <t>SAN MATEO SPORTS NUTRITI SAN MATEO CA</t>
  </si>
  <si>
    <t>fitness</t>
  </si>
  <si>
    <t>GALILEO BARR B22 ORD CHICAGO IL4524</t>
  </si>
  <si>
    <t>GALILEO BARR B22 ORD CHICAGO IL8741426392052847</t>
  </si>
  <si>
    <t>PIZZA JOHNS ESSEX MD</t>
  </si>
  <si>
    <t>AMAZON.COM*CA2JS6DR3 AMZN.COM/BILLWA4S3TD5QHMJM</t>
  </si>
  <si>
    <t>APPLE.COM/BILL 866-712-7753 CAMMWD0WQFLHA0</t>
  </si>
  <si>
    <t>INTL SPY MUSEUM MUSEUM WASHINGTON DC</t>
  </si>
  <si>
    <t>PAYPAL *TICKETMASTER 402-935-7733 CA</t>
  </si>
  <si>
    <t>365 MARKET J 888 432-329 TROY MI</t>
  </si>
  <si>
    <t>AMK CAPITAL ONE ARENA CN WASHINGTON DC</t>
  </si>
  <si>
    <t>WISEGUY NY PIZZA- CHINAT WASHINGTON DC</t>
  </si>
  <si>
    <t>GOOGLE *YOUTUBE TV G.CO/HELPPAY#CAP0PPUHRV</t>
  </si>
  <si>
    <t>HILL PRINCE WASHINGTON DC</t>
  </si>
  <si>
    <t>SQ *AYURBLISS PHYSICAL SAN MATEO CA0002305843017028948187</t>
  </si>
  <si>
    <t>TST* DIVE BAR AND GRIL SAVAGE MD00060644010365207788AA</t>
  </si>
  <si>
    <t>ACE PARKING 4603 WASHINGTON DC</t>
  </si>
  <si>
    <t>CVS/PHARMACY #10415 WASHINGTON DC</t>
  </si>
  <si>
    <t>GOLDEN CORRAL #2486 LARGO MD</t>
  </si>
  <si>
    <t>HARRISTEETER #392 BALTIMORE MD</t>
  </si>
  <si>
    <t>72600 - NH FLEET GARAGE OXON HILL MD</t>
  </si>
  <si>
    <t>APPLE.COM/BILL 866-712-7753 CAAPPLE PAY ENDING IN 1455MMWD14ZXBNA0</t>
  </si>
  <si>
    <t>BLUE MOON CAFE BALTIMORE MD</t>
  </si>
  <si>
    <t>COURSRA9SQDK9PPG1VBLF 650-963-9884 CA</t>
  </si>
  <si>
    <t>PABC MULTI SPACE 3 BALTIMORE MD</t>
  </si>
  <si>
    <t>SPORTS COLLECTIBLES 8557419003 NJ</t>
  </si>
  <si>
    <t>sports_gear</t>
  </si>
  <si>
    <t>SQ *BEN &amp; JERRY'S NATI OXON HILL MD0002305843017047935394</t>
  </si>
  <si>
    <t>SQ *NH ENTERTAINMENT L OXON HILL MD0002305843017048063290</t>
  </si>
  <si>
    <t>SQ *SCRAMBLE ALEXANDRI ALEXANDRIA VA0002305843017048455554</t>
  </si>
  <si>
    <t>kids</t>
  </si>
  <si>
    <t>SQ *SCRAMBLE ALEXANDRI ALEXANDRIA VA0002305843017048226229</t>
  </si>
  <si>
    <t>THE CAPITAL WHEEL OXON HILL MD</t>
  </si>
  <si>
    <t>SAMOS GREEK ISLAND GRI BALTIMORE MD</t>
  </si>
  <si>
    <t>TARGET 00028456091 BALTIMORE MD</t>
  </si>
  <si>
    <t>SQ *AYURBLISS PHYSICAL SAN MATEO CA0002305843017062540240</t>
  </si>
  <si>
    <t>AMZN MKTP US*HE1FY4851 AMZN.COM/BILLWA4DZ6YUN4D48</t>
  </si>
  <si>
    <t>ANDPIZZA 2024505059 DC</t>
  </si>
  <si>
    <t>BONOBOS 1-877-294-7737 NEW YORK NY</t>
  </si>
  <si>
    <t>MCDONALDS 10876 BALTIMORE MD</t>
  </si>
  <si>
    <t>72601 - NH MARINER GARAG OXON HILL MD</t>
  </si>
  <si>
    <t>CHARLEYS PHILLY STEAKS 9 ARLINGTON VA</t>
  </si>
  <si>
    <t>CVS/PHARMACY #02149 ALEXANDRIA VA</t>
  </si>
  <si>
    <t>PANDA EXPRESS #128 ARLINGTON VA</t>
  </si>
  <si>
    <t>PARKWHIZ, INC. 888-472-7594 ILAPPLE PAY ENDING IN 1455</t>
  </si>
  <si>
    <t>PHO NAM ALEXANDRIA VA</t>
  </si>
  <si>
    <t>SQ *HEALTH PUB- FASHIO ARLINGTON VA0002305843017070678524</t>
  </si>
  <si>
    <t>SQ *NEON CULTURE RIDGELAND MS0002305843017072974051</t>
  </si>
  <si>
    <t>SQ *SALE PRICE TAXES FORT WASHINGTMD0002305843017073374408</t>
  </si>
  <si>
    <t>SQ *SWSS T/A THE CRUCI WASHINGTON DC0002305843017075390817</t>
  </si>
  <si>
    <t>SQ *SWSS T/A THE CRUCI WASHINGTON DC0002305843017075650872</t>
  </si>
  <si>
    <t>ROYAL FARMS #311 WHITE MARSH MD</t>
  </si>
  <si>
    <t>AMAZON.COM*HP58L4FE1 AMZN.COM/BILLWA4GCZ8GW76B6</t>
  </si>
  <si>
    <t>CREATIVE FOOD BWI BALTIMORE MD</t>
  </si>
  <si>
    <t>AUTOZONE #2854 SAN MATEO CA</t>
  </si>
  <si>
    <t>FSP*303 -OIL CHANGER, IN PLEASANTON CA</t>
  </si>
  <si>
    <t>CAFFE STELLATO BURLINGAME CA</t>
  </si>
  <si>
    <t>DOORDASH*CJS GOURMET D 6506819470 CAAPPLE PAY ENDING IN 1455</t>
  </si>
  <si>
    <t>NISSAN OF BURLINGAME BURLINGAME CA</t>
  </si>
  <si>
    <t>FREETAXUSA.COM 877-2699027 UT</t>
  </si>
  <si>
    <t>Government</t>
  </si>
  <si>
    <t>DOORDASH*C&amp;C CURRY HOU 6506819470 CAAPPLE PAY ENDING IN 1455</t>
  </si>
  <si>
    <t>NBA*SACRAMENTO KINGS 916-928-3683 CAMIC715B900-F7IVS</t>
  </si>
  <si>
    <t>SQ *AYURBLISS LLC SAN MATEO CA0002305843017109071920</t>
  </si>
  <si>
    <t>GHIRARDELLI #138 GCE SAN FRANCISCOCA</t>
  </si>
  <si>
    <t>GHIRARDELLI SQ GARAGE PA SAN FRANCISCOCA</t>
  </si>
  <si>
    <t>AMZN MKTP US*HP7FE0IE2 AMZN.COM/BILLWA59RU8AG1QCM</t>
  </si>
  <si>
    <t>PAYPAL *ESPN PLUS 402-935-7733 CA</t>
  </si>
  <si>
    <t>IM* KEYCHRON.COM 9293322099 NY</t>
  </si>
  <si>
    <t>SQ *OCEANIC FOOT SPA BURLINGAME CA0001152921512511485984</t>
  </si>
  <si>
    <t>SPOTIFY P2174B78B2 8777781161 NY</t>
  </si>
  <si>
    <t>PIZZA MY HEART BURLINGAME CA</t>
  </si>
  <si>
    <t>ONEPASS 877-515-9364 MN76128</t>
  </si>
  <si>
    <t>onepass</t>
  </si>
  <si>
    <t>FRG*TEAMFANSHOP 855-210-8831 FL</t>
  </si>
  <si>
    <t>SQ *AYURBLISS LLC SAN MATEO CA0001152921512522245314</t>
  </si>
  <si>
    <t>SQ *TWISTED ST. CAFE SAN FRANCISCOCA0001152921512521081983</t>
  </si>
  <si>
    <t>GOOGLE *YT PRIMETIME G.CO/HELPPAY#CAP0PX5NOT</t>
  </si>
  <si>
    <t>TACO BELL 26850 MILLBRAE CA</t>
  </si>
  <si>
    <t>YOLO FRUIT STAND DAVIS CA</t>
  </si>
  <si>
    <t>A&amp;A GAS BURLINGAME CA</t>
  </si>
  <si>
    <t>CITYOFSAC-PARKMOBILE 916-808-5110 CA749064904</t>
  </si>
  <si>
    <t>CITYOFSAC-PARKMOBILE 916-808-5110 CA749660159</t>
  </si>
  <si>
    <t>FINNEGANS PUB SACRAMENTO CA</t>
  </si>
  <si>
    <t>SQ *LOU?S CAFE SAN FRANCISCOCA0001152921512530496109</t>
  </si>
  <si>
    <t>UPS*1ZA407020364466528 800-811-1648 GA1ZA407020364466528</t>
  </si>
  <si>
    <t>AMZN MKTP US*H500J0L02 AMZN.COM/BILLWA5NBVHMK06CU</t>
  </si>
  <si>
    <t>AMZN MKTP US*H56C927E0 AMZN.COM/BILLWA3M2ST0SZ5VY</t>
  </si>
  <si>
    <t>SQ *HELLA KINKETSU HAYWARD CA0001152921512535172822</t>
  </si>
  <si>
    <t>TARGET 00014274091 SAN JOSE CA</t>
  </si>
  <si>
    <t>TCKTWEB*JAWNYWALLICE 800-965-4827 CA748228446EPS5E6Z</t>
  </si>
  <si>
    <t>APPLE.COM/BILL 866-712-7753 CAMMWD2S6439A0</t>
  </si>
  <si>
    <t>ATI8363-030677116 310-627-2866 CAAPPLE PAY ENDING IN 1455</t>
  </si>
  <si>
    <t>USPS PO 0510320110 BURLINGAME CA</t>
  </si>
  <si>
    <t>AMAZON.COM*HG6EN3ZP0 AMZN.COM/BILLWAITEM TRANSFERRED FROM PREV ACCOUNT</t>
  </si>
  <si>
    <t>BIMBOS 365 CLUB SAN FRANCISCOCA</t>
  </si>
  <si>
    <t>CURRY LEAF SAN FRANCISCOCA</t>
  </si>
  <si>
    <t>SQ *AYURBLISS PHYSICAL SAN MATEO CA0001152921512541037226</t>
  </si>
  <si>
    <t>TRADER JOE'S #170 QPS MILLBRAE CA</t>
  </si>
  <si>
    <t>GOOGLE *YOUTUBE TV G.CO/HELPPAY#CAP0Q74KLW</t>
  </si>
  <si>
    <t>HOMEROOM TO GO OAKLAND CA</t>
  </si>
  <si>
    <t>PP*COASTAL CURL OAKLAND CA</t>
  </si>
  <si>
    <t>APPLE.COM/BILL 866-712-7753 CAAPPLE PAY ENDING IN 1455MMWD31LF78A0</t>
  </si>
  <si>
    <t>SQ *HAPA'S BREWING COM SAN JOSE CA0002305843017204153884</t>
  </si>
  <si>
    <t>SUMUP *JOSE A MARTINEZ V CAMPBELL CA</t>
  </si>
  <si>
    <t>CLR*YOGASIX6505342692 650-534-2692 CACLR*YOGASIX6505342692</t>
  </si>
  <si>
    <t>PRIME VIDEO *HG9HR5TX2 888-802-3080 WA1NYMU5STVWY</t>
  </si>
  <si>
    <t>TRADER JOE'S #078 QPS SANFRANCISCO CA</t>
  </si>
  <si>
    <t>WWW.DIGISTORE24.COM - 8003567947 FL</t>
  </si>
  <si>
    <t>SQ *DONUT DELITE SAN MATEO CA0001152921512561484525</t>
  </si>
  <si>
    <t>BART-PARKING MILLBRAE MILLBRAE CA</t>
  </si>
  <si>
    <t>OTF SOUTH SAN FRAN 1266 650-8262009 CA</t>
  </si>
  <si>
    <t>SQ *FICTION COFFEE @ W SAN FRANCISCOCA0001152921512569931186</t>
  </si>
  <si>
    <t>TARGET 00027664091 SAN FRANCISCOCA</t>
  </si>
  <si>
    <t>8CHICK-FIL-A #04448 DALY CITY CA</t>
  </si>
  <si>
    <t>CLAIRE'S #6154 DALY CITY CA</t>
  </si>
  <si>
    <t>jewelry</t>
  </si>
  <si>
    <t>UNIQLO USA LLC NEW YORK NY</t>
  </si>
  <si>
    <t>PAMF PA ONLINE BILL PAY 877-252-1777 CA</t>
  </si>
  <si>
    <t>THE BLACKSMITH REDWOOD CITY CA</t>
  </si>
  <si>
    <t>99 RANCH #1782 FOSTER CITY CA</t>
  </si>
  <si>
    <t>AMAZON.COM*HC36Y7EF2 AMZN.COM/BILLWA34CR0MRNJL8</t>
  </si>
  <si>
    <t>AMZN MKTP US*HC2FL3H21 AMZN.COM/BILLWA5X42XPX36E6</t>
  </si>
  <si>
    <t>APPLE.COM/BILL 866-712-7753 CAAPPLE PAY ENDING IN 1455MMWD3HW7YFA0</t>
  </si>
  <si>
    <t>ONEPASS 877-515-9364 MN77847</t>
  </si>
  <si>
    <t>SQ *SPECIAL POPUP MENLO PARK CA0001152921512584397815</t>
  </si>
  <si>
    <t>CHATGPT SUBSCRIPTION 4158799686 CA</t>
  </si>
  <si>
    <t>chatgpt</t>
  </si>
  <si>
    <t>TIXR* MIDWAYSF BOILER 8189626635 CA</t>
  </si>
  <si>
    <t>ATI8363-032236444 310-627-2866 CAAPPLE PAY ENDING IN 1455</t>
  </si>
  <si>
    <t>O'REILLY AUTO PARTS 6178 SOUTH SAN FRACA</t>
  </si>
  <si>
    <t>TCKTWEB*CRUMBAUTOMATIC 800-965-4827 CA945734576F17G0X2</t>
  </si>
  <si>
    <t>TM *UNKNOWN MORTAL ORC 800-653-8000 CANCA/43-24774</t>
  </si>
  <si>
    <t>WOODLANDS MARKETS SAN FRANCISCOCA</t>
  </si>
  <si>
    <t>APPLE.COM/BILL 866-712-7753 CAAPPLE PAY ENDING IN 1455MMWD3KNN9SA0</t>
  </si>
  <si>
    <t>shiloh</t>
  </si>
  <si>
    <t>CARLS JR SID 1101051 SAN JOSE CA</t>
  </si>
  <si>
    <t>GP SPORTS - CA SAN JOSE CA</t>
  </si>
  <si>
    <t>motor_gear</t>
  </si>
  <si>
    <t>PACIFIC MOTORCYCLE TRAIN LIVERMORE CA</t>
  </si>
  <si>
    <t>motor_cycle_license</t>
  </si>
  <si>
    <t>CLR*STRETCHLAB SAN FRANCISCOCACLR*STRETCHLAB</t>
  </si>
  <si>
    <t>SQ *NICK THE GREEK OYS SOUTH SAN FRACA0002305843017289917533</t>
  </si>
  <si>
    <t>TARGET 00010546091 SAN BRUNO CA</t>
  </si>
  <si>
    <t>UNION 76 MILLBRAE CA</t>
  </si>
  <si>
    <t>CITY OF SM PW PARKING ME SAN MATEO CA</t>
  </si>
  <si>
    <t>OTF SAN MATEO 650-4870404 CA</t>
  </si>
  <si>
    <t>SPROUTS FARMERS MARSSS DALY CITY CA</t>
  </si>
  <si>
    <t>SQ *THE FILLMORE SAN F LOS ANGELES CA0002305843017301326405</t>
  </si>
  <si>
    <t>TIXR* MIDWAYSF ELECTRI 8189626635 CA</t>
  </si>
  <si>
    <t>08/2023</t>
  </si>
  <si>
    <t>09/2023</t>
  </si>
  <si>
    <t>10/2023</t>
  </si>
  <si>
    <t>11/2023</t>
  </si>
  <si>
    <t>12/2023</t>
  </si>
  <si>
    <t>self_care</t>
  </si>
  <si>
    <t>obsidian</t>
  </si>
  <si>
    <t>Column1</t>
  </si>
  <si>
    <t>BESTBUY.COM, 888-BESTBUY</t>
  </si>
  <si>
    <t>purchase</t>
  </si>
  <si>
    <t>interest charged</t>
  </si>
  <si>
    <t>INTEREST CHARGE ON CASH ADVANCES</t>
  </si>
  <si>
    <t>PURCHASE AUTHORIZED ON 01/01 CASH APP*ANUSH ROH 8774174551 CA S383001689612697 CARD 6659</t>
  </si>
  <si>
    <t>ZELLE TO LEWIS SHEVON ON 01/10 REF #RP0QXXRHQF EARLY INVESTMENT</t>
  </si>
  <si>
    <t>PURCHASE AUTHORIZED ON 01/09 CASH APP*CYANFACE 8774174551 CA S463009600364898 CARD 6659</t>
  </si>
  <si>
    <t>VENMO PAYMENT 230111 1024637239631 SEAN LEWIS</t>
  </si>
  <si>
    <t>VENMO PAYMENT 230111 1024637259890 SEAN LEWIS</t>
  </si>
  <si>
    <t>Nationwide PAYROLL 01 HRP0008984397 Sean Lewis</t>
  </si>
  <si>
    <t>TRANSFER TO LEWIS SHARON ON 01/13 REF #PP0QY4HH2S TAX PT2</t>
  </si>
  <si>
    <t>TRANSFER TO LEWIS SHARON ON 01/13 REF #PP0QY4CRFP FOR TAXES</t>
  </si>
  <si>
    <t>ATM CASH DEPOSIT ON 01/13 1435 Burlingame Ave Burlingame CA 0000637 ATM ID 0165J CARD 6659</t>
  </si>
  <si>
    <t>MONEY TRANSFER AUTHORIZED ON 01/13 FROM Sean Lewis VA S463013513474302 CARD 6659</t>
  </si>
  <si>
    <t>PLANET FIT CLUB FEES 2301306620293 623-439-5550</t>
  </si>
  <si>
    <t>VENMO PAYMENT 230121 1024827296273 SEAN LEWIS</t>
  </si>
  <si>
    <t>PURCHASE AUTHORIZED ON 01/20 STREET FOOD CAFE SAN MATEO CA S303021134090263 CARD 6659</t>
  </si>
  <si>
    <t>ZELLE TO LEWIS SHEVON ON 01/26 REF #RP0QYXPP3Q FOR GAS</t>
  </si>
  <si>
    <t>Nationwide PAYROLL 01 HRP0009017504 Sean Lewis</t>
  </si>
  <si>
    <t>Square Inc * Cash App 230126 T3EC2YGP8SHTR06 Sean Lewis</t>
  </si>
  <si>
    <t>VENMO PAYMENT 230201 1025016489585 SEAN LEWIS</t>
  </si>
  <si>
    <t>PURCHASE AUTHORIZED ON 02/03 CHEVRON/CSI-092600/1556 FOSTER CITY CA P383035071538454 CARD 1081</t>
  </si>
  <si>
    <t>SoFi Bank TRANSFER SD1300 SLewis Sean Lewis:66513:690</t>
  </si>
  <si>
    <t>VENMO CASHOUT 230207 1025155149107 SEAN LEWIS</t>
  </si>
  <si>
    <t>Nationwide PAYROLL 01 HRP0009061376 Sean Lewis</t>
  </si>
  <si>
    <t>VENMO PAYMENT 230210 1025196796049 SEAN LEWIS</t>
  </si>
  <si>
    <t>VENMO PAYMENT 230213 1025255412913 SEAN LEWIS</t>
  </si>
  <si>
    <t>VENMO PAYMENT 230211 1025215575532 SEAN LEWIS</t>
  </si>
  <si>
    <t>ATM CASH DEPOSIT ON 02/13 632 Eastern Blvd Essex MD 0008972 ATM ID 0282M CARD 1081</t>
  </si>
  <si>
    <t>PLANET FIT CLUB FEES 2304706550250 623-439-5550</t>
  </si>
  <si>
    <t>HEALTHEQUITY INC HealthEqui 16 Feb 22317048 Sean Lewis (22317048)</t>
  </si>
  <si>
    <t>VENMO PAYMENT 230218 1025351910082 SEAN LEWIS</t>
  </si>
  <si>
    <t>ZELLE TO LEWIS SHARON ON 02/20 REF #PP0R2LTMPW BDAY PARTY EXCEPT DON SEAN</t>
  </si>
  <si>
    <t>NON-WF ATM WITHDRAWAL AUTHORIZED ON 02/18 M&amp;T 5980 KINGSTOWN ALEXANDR1A VA 463049709972404 ATM ID SA1847 CARD 1081</t>
  </si>
  <si>
    <t>SoFi Bank TRANSFER SD1700 SLewis Sean Lewis:66526:32382</t>
  </si>
  <si>
    <t>ZELLE TO LEWIS SHEVON ON 02/22 REF #RP0R2Q2L33 MARCH SUB</t>
  </si>
  <si>
    <t>VENMO CASHOUT 230222 1025416238701 SEAN LEWIS</t>
  </si>
  <si>
    <t>SoFi Bank TRANSFER SD1300 SLewis Sean Lewis:66527:4972</t>
  </si>
  <si>
    <t>IRS USATAXPYMT 021623 200345444646377 SEAN E LEWIS</t>
  </si>
  <si>
    <t>Nationwide PAYROLL 01 HRP0009097551 Sean Lewis</t>
  </si>
  <si>
    <t>VENMO PAYMENT 230224 1025467247438 SEAN LEWIS</t>
  </si>
  <si>
    <t>VENMO CASHOUT 230228 1025553018053 SEAN LEWIS</t>
  </si>
  <si>
    <t>VENMO PAYMENT 230305 1025655165895 SEAN LEWIS</t>
  </si>
  <si>
    <t>VENMO PAYMENT 230305 1025654640471 SEAN LEWIS</t>
  </si>
  <si>
    <t>ATM WITHDRAWAL AUTHORIZED ON 03/07 1435 Burlingame Ave Burlingame CA 0006103 ATM ID 0165J CARD 1081</t>
  </si>
  <si>
    <t>VENMO PAYMENT 230308 1025696123572 SEAN LEWIS</t>
  </si>
  <si>
    <t>Nationwide PAYROLL 01 HRP0009139641 Sean Lewis</t>
  </si>
  <si>
    <t>Cash App * Cash App 230309 T36VMBW9GF2GB15 Sean Lewis</t>
  </si>
  <si>
    <t>SoFi Bank TRANSFER SD1300 SLewis Sean Lewis:66543:1977</t>
  </si>
  <si>
    <t>BEST BUY PAYMENT 230309 631006869237022 SEAN LEWIS</t>
  </si>
  <si>
    <t>ATM CASH DEPOSIT ON 03/12 655 8th Street San Francisco CA 0007219 ATM ID 1568E CARD 1081</t>
  </si>
  <si>
    <t>PURCHASE AUTHORIZED ON 03/14 CHEVRON 0093989 SAN MATEO CA S463073731068937 CARD 1081</t>
  </si>
  <si>
    <t>DEPT OF COMM FCU ACH Item MAR 15 000000006906695 LEWIS,SEAN</t>
  </si>
  <si>
    <t>SoFi Bank TRANSFER SD1700 SLewis Sean Lewis:66550:11734</t>
  </si>
  <si>
    <t>ATM WITHDRAWAL AUTHORIZED ON 03/17 2075 Broadway St Redwood City CA 0004578 ATM ID 0003T CARD 1081</t>
  </si>
  <si>
    <t>ZELLE FROM LEWIS SHARON ON 03/17 REF # PP0R4BR8MM THANKS FOR THE LOAN</t>
  </si>
  <si>
    <t>PURCHASE AUTHORIZED ON 03/19 SHELL SERVICE STATION SAN MATEO CA P463078717139825 CARD 1081</t>
  </si>
  <si>
    <t>VENMO CASHOUT 230320 1025934244148 SEAN LEWIS</t>
  </si>
  <si>
    <t>ATM WITHDRAWAL AUTHORIZED ON 03/21 1435 Burlingame Ave Burlingame CA 0007476 ATM ID 0165J CARD 1081</t>
  </si>
  <si>
    <t>ZELLE TO LEWIS SHEVON ON 03/22 REF #RP0R4NJ6DM APRIL RENT</t>
  </si>
  <si>
    <t>SoFi Bank TRANSFER SD1300 SLewis Sean Lewis:66555:4733</t>
  </si>
  <si>
    <t>VENMO CASHOUT 230323 1025985341278 SEAN LEWIS</t>
  </si>
  <si>
    <t>Nationwide PAYROLL 01 HRP0009182441 Sean Lewis</t>
  </si>
  <si>
    <t>Cash App * Cash App 230325 T3RMNME7PX9EYE2 Sean Lewis</t>
  </si>
  <si>
    <t>shevon</t>
  </si>
  <si>
    <t>people</t>
  </si>
  <si>
    <t>vincent</t>
  </si>
  <si>
    <t>To Checking - 8930</t>
  </si>
  <si>
    <t>DISCOVER</t>
  </si>
  <si>
    <t>From Emergency Fund Vault</t>
  </si>
  <si>
    <t>BOARD OF REGENTS</t>
  </si>
  <si>
    <t>SoFi Rewards Redemption</t>
  </si>
  <si>
    <t>Interest earned</t>
  </si>
  <si>
    <t>WELLS FARGO BANK NA</t>
  </si>
  <si>
    <t>FRANCHISE TAX BD</t>
  </si>
  <si>
    <t>AZ DEPT OF REV</t>
  </si>
  <si>
    <t>Type</t>
  </si>
  <si>
    <t>Withdrawal</t>
  </si>
  <si>
    <t>Direct Deposit</t>
  </si>
  <si>
    <t>Direct Payment</t>
  </si>
  <si>
    <t>Deposit</t>
  </si>
  <si>
    <t>Other</t>
  </si>
  <si>
    <t>Interest Earned</t>
  </si>
  <si>
    <t>OAKLAND PARKMOBILE PAY</t>
  </si>
  <si>
    <t>From Savings - 3552</t>
  </si>
  <si>
    <t>VENMO</t>
  </si>
  <si>
    <t>1435 Burlingame Ave</t>
  </si>
  <si>
    <t>To Emergency Fund Vault</t>
  </si>
  <si>
    <t>Roundup *CITY OF SM PARKPAYBYPH</t>
  </si>
  <si>
    <t>Roundup *PENINSULA JEWISH COMMU</t>
  </si>
  <si>
    <t>CITY OF SM PARKPAYBYPH</t>
  </si>
  <si>
    <t>PENINSULA JEWISH COMMU</t>
  </si>
  <si>
    <t>CITY OF BURLINGAME-PAR</t>
  </si>
  <si>
    <t>CASH APP*CYANFACE</t>
  </si>
  <si>
    <t>CASH APP*KAIYA</t>
  </si>
  <si>
    <t>CASH APP*ROBIN JOSEPH</t>
  </si>
  <si>
    <t>CVS STORE #09940</t>
  </si>
  <si>
    <t>Debit Card</t>
  </si>
  <si>
    <t>ATM</t>
  </si>
  <si>
    <t>Roundup</t>
  </si>
  <si>
    <t>transportation</t>
  </si>
  <si>
    <t>SOFI Savings</t>
  </si>
  <si>
    <t>Cumulative</t>
  </si>
  <si>
    <t>incremental</t>
  </si>
  <si>
    <t>Employer Contribution (Tax year: 2023) (Tax year: 2023)</t>
  </si>
  <si>
    <t>Employee Contribution (Tax year: 2023) (Tax year: 2023)</t>
  </si>
  <si>
    <t>Balance Forward</t>
  </si>
  <si>
    <t>A Plus Dental Center - Sa, San Mateo, CA (Card Transaction ID: 0it8ihn)</t>
  </si>
  <si>
    <t>Interest for Jan-23</t>
  </si>
  <si>
    <t>Med*more Physical Therapy, 408-248-6886, CA (Card Transaction ID: z1t3w31)</t>
  </si>
  <si>
    <t>Med*more Physical Therapy, 408-248-6886, CA (Card Transaction ID: u3epk8s)</t>
  </si>
  <si>
    <t>Med*more Physical Therapy, 408-248-6886, CA (Card Transaction ID: qe544m3)</t>
  </si>
  <si>
    <t>Med*more Physical Therapy, 408-248-6886, CA (Card Transaction ID: 4gg458y)</t>
  </si>
  <si>
    <t>Med*pp Mar Monte, 408-795-3660, CA (Card Transaction ID: 7e9heha)</t>
  </si>
  <si>
    <t>Arman Kirakosian Dpm (Claim ID:22317048-0006)</t>
  </si>
  <si>
    <t>Wells Fargo (Claim ID:22317048-0005)</t>
  </si>
  <si>
    <t>Sq *ayurbliss Physical, San Mateo, CA (Card Transaction ID: vp35vwm)</t>
  </si>
  <si>
    <t>Sq *ayurbliss Physical Th, San Mateo, CA (Card Transaction ID: nt9xxgb)</t>
  </si>
  <si>
    <t>Interest for Feb-23</t>
  </si>
  <si>
    <t>Sq *ayurbliss Physical, San Mateo, CA (Card Transaction ID: qba3k11)</t>
  </si>
  <si>
    <t>Sq *ayurbliss Physical, San Mateo, CA (Card Transaction ID: wey8tz2)</t>
  </si>
  <si>
    <t>Sq *ayurbliss Physical, San Mateo, CA (Card Transaction ID: g6tvwvb)</t>
  </si>
  <si>
    <t>Sq *ayurbliss Physical Th, San Mateo, CA (Card Transaction ID: 938bs1s)</t>
  </si>
  <si>
    <t>Sq *ayurbliss Physical Th, San Mateo, CA (Card Transaction ID: bp3na4n)</t>
  </si>
  <si>
    <t>Wells Fargo</t>
  </si>
  <si>
    <t>SOFI Checking</t>
  </si>
  <si>
    <t>nba_league_pass</t>
  </si>
  <si>
    <t>UNKNOWN MORTAL ORCHEST 6502396947 ME</t>
  </si>
  <si>
    <t>STORE*BENS FAST FOOD 6506819470 CA</t>
  </si>
  <si>
    <t>DISNEYPLUS 888-905-7888 CADISNEYPLUS</t>
  </si>
  <si>
    <t>disney</t>
  </si>
  <si>
    <t>MQ HEALTHY FAST FOOD MILLBRAE CA</t>
  </si>
  <si>
    <t>CA ACAD. OF SCIENCES O SAN FRANCISCOCATXNREF12345</t>
  </si>
  <si>
    <t>CALIFORNIA ACAD SCIENCES SAN FRANCISCOCA</t>
  </si>
  <si>
    <t>SPOTIFY P221EA32B1 8777781161 NY</t>
  </si>
  <si>
    <t>SQ *LUCHO?S SAN FRANCISCOCA0001152921512631103478</t>
  </si>
  <si>
    <t>ONEPASS 877-515-9364 MN89085</t>
  </si>
  <si>
    <t>ONEPASS 877-515-9364 MN87520</t>
  </si>
  <si>
    <t>AMAZON.COM*HS1342CV1 AMZN.COM/BILLWA1E81FBKFHJL</t>
  </si>
  <si>
    <t>AMZN MKTP US*HS5FE4ER0 AMZN.COM/BILLWA4340TRTHK9K</t>
  </si>
  <si>
    <t>GOOGLE *YT PRIMETIME G.CO/HELPPAY#CAP0QJ0JW7</t>
  </si>
  <si>
    <t>SPROUTS FARMERS MARSSS DALY CITY CAAPPLE PAY ENDING IN 1455</t>
  </si>
  <si>
    <t>UNION STREET PLAZA GARAG SAN FRANCISCOCA</t>
  </si>
  <si>
    <t>CLAIRE'S #6827 SAN MATEO CA</t>
  </si>
  <si>
    <t>CLR*RUMBLEBOX 415-651-2297 CACLR*RUMBLEBOX</t>
  </si>
  <si>
    <t>EDDYS MARKET SAN FRANCISCOCA</t>
  </si>
  <si>
    <t>KJ PRODUCE MARKET SAN FRANCISCOCA</t>
  </si>
  <si>
    <t>A MEDIUM CORPORATION 415-508-5008 CA</t>
  </si>
  <si>
    <t>AMZN MKTP US*HS5PF6200 AMZN.COM/BILLWAI0JU9V579DE</t>
  </si>
  <si>
    <t>SQ *OCEANIC FOOT SPA BURLINGAME CA0001152921512650004010</t>
  </si>
  <si>
    <t>APPLE.COM/BILL 866-712-7753 CAAPPLE PAY ENDING IN 1455MMWD4T3J6FA0</t>
  </si>
  <si>
    <t>ANDERSEN BAKERY #03 SAN FRANCISCOCA</t>
  </si>
  <si>
    <t>IMPARK00270201A SAN FRANCISCOCA00811R</t>
  </si>
  <si>
    <t>SP YN MOTO 5125372651 TX</t>
  </si>
  <si>
    <t>GOOGLE *YOUTUBE TV G.CO/HELPPAY#CAP0QT7VHG</t>
  </si>
  <si>
    <t>SPEEDWAY 04976 501 SERRA DALY CITY CAAPPLE PAY ENDING IN 1455</t>
  </si>
  <si>
    <t>TST* RAD RADISH - HAYES SAN FRANCISCOCAAPPLE PAY ENDING IN 1455</t>
  </si>
  <si>
    <t>AMZN MKTP US*HS98J9992 AMZN.COM/BILLWA10V0LDVGEHP</t>
  </si>
  <si>
    <t>APPLE.COM/BILL 111-111-1111 CAAPPLE PAY ENDING IN 1455</t>
  </si>
  <si>
    <t>CARBON HEALTH 4152002133 CA</t>
  </si>
  <si>
    <t>medical</t>
  </si>
  <si>
    <t>AMZN MKTP US*HJ93E3E01 AMZN.COM/BILLWA1URTK5EZBVP</t>
  </si>
  <si>
    <t>ETSY.COM BROOKLYN NY</t>
  </si>
  <si>
    <t>AMZN MKTP US*HJ60P7VT1 AMZN.COM/BILLWA75F0LN503JI</t>
  </si>
  <si>
    <t>APPLE.COM/BILL 866-712-7753 CAAPPLE PAY ENDING IN 1455MMWD54F3Z0A0</t>
  </si>
  <si>
    <t>LOWE'S OF SAN BRUNO, CA SAN BRUNO CA</t>
  </si>
  <si>
    <t>home</t>
  </si>
  <si>
    <t>SP HOOOYI 3037328232 COAPPLE PAY ENDING IN 1455</t>
  </si>
  <si>
    <t>Pre_Europe_Trip</t>
  </si>
  <si>
    <t>2OAKLAND ARENA OAKLAND CA</t>
  </si>
  <si>
    <t>DELTA AIR LINES 18002211212 ESP</t>
  </si>
  <si>
    <t>SAN FRANCISCO GIFT BASKE SAN FRANCISCOCA</t>
  </si>
  <si>
    <t>dad</t>
  </si>
  <si>
    <t>CYCLE GEAR # 7 REDWOOD CITY CA</t>
  </si>
  <si>
    <t>AMAZON.COM*HJ7H69R52 AMZN.COM/BILLWA57IRUNRC7SV</t>
  </si>
  <si>
    <t>AMZN MKTP US*HV6D31LD1 AMZN.COM/BILLWA14WFRYTH47Q</t>
  </si>
  <si>
    <t>AMAZON.COM*HV4IJ05Z0 AMZN.COM/BILLWA29M6LQUY1BI</t>
  </si>
  <si>
    <t>AMZN MKTP US*HV90Z6VC1 AMZN.COM/BILLWA6STDXXU2MRT</t>
  </si>
  <si>
    <t>AMZN MKTP US*HV9ED2S00 AMZN.COM/BILLWA2XDC3WJ46KV</t>
  </si>
  <si>
    <t>CLR*CLUBPILATE6507537022 650-753-7022 CACLR*CLUBPILATE6507537022</t>
  </si>
  <si>
    <t>SHELL57444214001 PALO ALTO CA</t>
  </si>
  <si>
    <t>TACO BELL #28833 PALO ALTO CA</t>
  </si>
  <si>
    <t>AMZN MKTP US*HV1OO79T0 AMZN.COM/BILLWA10EAGXVLDT8</t>
  </si>
  <si>
    <t>CHIPOTLE 2028 SAN MATEO CA</t>
  </si>
  <si>
    <t>AMZN MKTP US AMZN.COM/BILLWA5M9FP4POTTV</t>
  </si>
  <si>
    <t>AMZN MKTP US*HV1M40IE2 AMZN.COM/BILLWA1APFOI5XAOD</t>
  </si>
  <si>
    <t>AMZN MKTP US*HV9NY89Q2 AMZN.COM/BILLWANOP9X4US30V</t>
  </si>
  <si>
    <t>SP LONELY PLANET 7049712300 SC</t>
  </si>
  <si>
    <t>SQ *CURRY UP NOW REDWOOD CITY CA0001152921512707391632</t>
  </si>
  <si>
    <t>SQ *NEIGHBOR SAN FRANCISCOCA0001152921512705647885</t>
  </si>
  <si>
    <t>SQ *WOOLY PIG SAN FRANCISCOCA0002305843017457924686</t>
  </si>
  <si>
    <t>ALASKA AIRLINES 2064333200 WA</t>
  </si>
  <si>
    <t>AMZN MKTP US*HF1PU7QE0 AMZN.COM/BILLWA17OPPZ38VUH</t>
  </si>
  <si>
    <t>AMZN MKTP US*HF3HV8SM0 AMZN.COM/BILLWA2ZA3WREJCJF</t>
  </si>
  <si>
    <t>ARCO#04495SINO AMERICAN SAN MATEO CA</t>
  </si>
  <si>
    <t>DELTA AIR LINES 18002211212 CA</t>
  </si>
  <si>
    <t>THE SPORTS PAGE INC MOUNTAIN VIEWCA</t>
  </si>
  <si>
    <t>AMZN MKTP US*HF1UJ6BP1 AMZN.COM/BILLWA7I8XIMJAU3F</t>
  </si>
  <si>
    <t>AFFIRM.COM PAYMENTS 8554233729 CA</t>
  </si>
  <si>
    <t>BEST BUY 00001404295 SAN CARLOS CA</t>
  </si>
  <si>
    <t>MIDWAY CATERING SAN FRANCISCOCA</t>
  </si>
  <si>
    <t>SQ *MY FAVORITE SAN FRANCISCOCA0001152921512729075030</t>
  </si>
  <si>
    <t>SQ *ROSE GOLD'S TATTOO SAN FRANCISCOCA0002305843017492799212</t>
  </si>
  <si>
    <t>SQ *WAKE CUP* GOSQ.COM CAAPPLE PAY ENDING IN 14550001152921512729126492</t>
  </si>
  <si>
    <t>TCB*MTA METER MTA P 415-701-2311 CA</t>
  </si>
  <si>
    <t>AMAZON.COM*HM0XF3PK1 AMZN.COM/BILLWA1DY6V72UBYO</t>
  </si>
  <si>
    <t>SPOTIFY P22C8F28A6 8777781161 NY</t>
  </si>
  <si>
    <t>ONEPASS 877-515-9364 MN101843</t>
  </si>
  <si>
    <t>ONEPASS 877-515-9364 MN100417</t>
  </si>
  <si>
    <t>BROADWAY VALERO BURLINGAME CA</t>
  </si>
  <si>
    <t>GOLDEN BOY PIZZA SM SAN MATEO CA</t>
  </si>
  <si>
    <t>GOOGLE *YT PRIMETIME G.CO/HELPPAY#CAP0RU2YP6</t>
  </si>
  <si>
    <t>STORE*STICK &amp; STEAM 6506819470 CAAPPLE PAY ENDING IN 1455</t>
  </si>
  <si>
    <t>VENMO *ASACKOFPOTATOE 312-257-2300 NY</t>
  </si>
  <si>
    <t>AMZN MKTP US*L72039SM3 AMZN.COM/BILLWA7I09WRJXWE2</t>
  </si>
  <si>
    <t>COURSRA155309EGAS725U 650-963-9884 CA</t>
  </si>
  <si>
    <t>COURSRA92N5SOTLK7TT8U 650-963-9884 CA</t>
  </si>
  <si>
    <t>INTERVIEW QUERY 6504513704 CA</t>
  </si>
  <si>
    <t>SP MANDUKA 3104261495 CAAPPLE PAY ENDING IN 1455</t>
  </si>
  <si>
    <t>SP PACSAFE 2067227233 WA</t>
  </si>
  <si>
    <t>TARGET 00014076091 DALY CITY CA</t>
  </si>
  <si>
    <t>ATI10845-05060180 310-627-2866 CAAPPLE PAY ENDING IN 1455</t>
  </si>
  <si>
    <t>CENTURY THEATRES 494 SAN BRUNO CA0494008A7A38</t>
  </si>
  <si>
    <t>SQ *MATCHA CAFE MAIKO SAN FRANCISCOCA0001152921512757654100</t>
  </si>
  <si>
    <t>APPLE.COM/BILL 866-712-7753 CAAPPLE PAY ENDING IN 1455MMWD6V6T19A0</t>
  </si>
  <si>
    <t>APPLE.COM/BILL 866-712-7753 CAAPPLE PAY ENDING IN 1455MMWD6MTHKDA0</t>
  </si>
  <si>
    <t>babbel</t>
  </si>
  <si>
    <t>CRUMBL* SHIPPING 8014101313 UT</t>
  </si>
  <si>
    <t>Kaiya_Birthday</t>
  </si>
  <si>
    <t>DAISO BA07 JPN TOWN UBOC SAN FRANCISCOCA</t>
  </si>
  <si>
    <t>SQ *THE EPICUREAN TRAD SAN FRANCISCOCA0001152921512760635944</t>
  </si>
  <si>
    <t>WEST COAST CONFECTION 4252207805 CA</t>
  </si>
  <si>
    <t>7-ELEVEN 27768 SUNNYVALE CA</t>
  </si>
  <si>
    <t>AAA REDWOOD CITY REDWOOD CITY CA22314</t>
  </si>
  <si>
    <t>SQ *TACOS EL NOA NOA SUNNYVALE CA0001152921512766409329</t>
  </si>
  <si>
    <t>BERT'S STADIUM SPORTS BA SUNNYVALE CA</t>
  </si>
  <si>
    <t>GOOGLE *YOUTUBE TV G.CO/HELPPAY#CAP0RE6BVI</t>
  </si>
  <si>
    <t>TST* CHE FICO SAN FRANCISCOCA00043356011644879331AA</t>
  </si>
  <si>
    <t>USPS PO 0568940251 SAN MATEO CA</t>
  </si>
  <si>
    <t>AMZN MKTP US*1Q97M66P3 AMZN.COM/BILLWA31PBDZEL4IV</t>
  </si>
  <si>
    <t>APPLE.COM/BILL 866-712-7753 CAAPPLE PAY ENDING IN 1455MMWD73MWTBA0</t>
  </si>
  <si>
    <t>BEST OF THAI NOODLE SAN FRANCISCOCA</t>
  </si>
  <si>
    <t>CROSSROADS TRADING CO- SAN FRANCISCOCA</t>
  </si>
  <si>
    <t>GOODWILL OF SAN FRANCI SAN FRANCISCOCA</t>
  </si>
  <si>
    <t>SP KAYO ANIME CLOT 6463129658 CA</t>
  </si>
  <si>
    <t>SQUARE ENIX 310-846-0345 CASQUARE ENIX</t>
  </si>
  <si>
    <t>DOG PATCH SFO T1 SAN FRANCISCOCA</t>
  </si>
  <si>
    <t>MOTEL SAKURA GLENDALE CA</t>
  </si>
  <si>
    <t>SQ *ROSE BOWL SPECIAL PASADENA CA0001152921512786603081</t>
  </si>
  <si>
    <t>SQ *ROSE BOWL SPECIAL SAN DIEGO CA0001152921512785339827</t>
  </si>
  <si>
    <t>UBER* TRIP 8665761039 CA</t>
  </si>
  <si>
    <t>HARVARD BUS EDUCATION 617-783-7600 MA4373424</t>
  </si>
  <si>
    <t>PY *URBAN REMEDY UNION S SAN FRANCISCOCA</t>
  </si>
  <si>
    <t>SQ *GIO GELATO ITALIAN SAN FRANCISCOCA0001152921512789145824</t>
  </si>
  <si>
    <t>SQ *THE ITALIAN HOMEMA SAN FRANCISCOCA0001152921512788602132</t>
  </si>
  <si>
    <t>LYFT *1 RIDE 05-13 855-865-9553 CA</t>
  </si>
  <si>
    <t>AMAZON.COM*QU3PZ72H3 AMZN.COM/BILLWA38UH4KR2QQY</t>
  </si>
  <si>
    <t>AMZN MKTP US*FY8F70SH3 AMZN.COM/BILLWA7E3FBWDH7Z7</t>
  </si>
  <si>
    <t>F45 REDWOOD CITY 4085987324 CA</t>
  </si>
  <si>
    <t>AMZN MKTP US*DJ7439SE3 AMZN.COM/BILLWA6QCKAISGTB5</t>
  </si>
  <si>
    <t>APPLE.COM/BILL 866-712-7753 CAAPPLE PAY ENDING IN 1455MMWD782JWVA0</t>
  </si>
  <si>
    <t>meal_lime</t>
  </si>
  <si>
    <t>ONNIT 6827428 855-666-4899 TX</t>
  </si>
  <si>
    <t>POPEYES 12433 MILPITAS CA</t>
  </si>
  <si>
    <t>SAN ANTONIO VALERO MOUNTAIN VIEWCA</t>
  </si>
  <si>
    <t>APPLE.COM/BILL 866-712-7753 CAAPPLE PAY ENDING IN 1455MMWD7LYDGHA0</t>
  </si>
  <si>
    <t>F45 TRAINING SAN MATEO 6502740896 CA</t>
  </si>
  <si>
    <t>ASICS CORPORATION IRVINE CA</t>
  </si>
  <si>
    <t>FEDEX940837088448 901-4348994 TN</t>
  </si>
  <si>
    <t>LA DOLCE VITA GELATO MILPITAS CA</t>
  </si>
  <si>
    <t>MINISO GREAT MALL MILPITAS CA</t>
  </si>
  <si>
    <t>TARGET 00003202091 DALY CITY CA</t>
  </si>
  <si>
    <t>REI #83 SAN FRANCISCO SAN FRANCISCOCA2008440830256457</t>
  </si>
  <si>
    <t>THE SPORTS BASEMENT REDW REDWOOD CITY CA</t>
  </si>
  <si>
    <t>1-800 CONTACTS, INC. 800-266-8228 UT</t>
  </si>
  <si>
    <t>AMZN MKTP US*0B1421OH3 AMZN.COM/BILLWA14Q5CF71KPK</t>
  </si>
  <si>
    <t>AMZN MKTP US*GR55S7T43 AMZN.COM/BILLWA4C1XM6PKYDW</t>
  </si>
  <si>
    <t>GA INST TECH PAYPATH 9135996699 KS</t>
  </si>
  <si>
    <t>TN GA INST TECH PAYPATH 9135996699 KS</t>
  </si>
  <si>
    <t>ADIDAS 6531 SAN FRANCI SAN FRANCISCOCA</t>
  </si>
  <si>
    <t>AMZN MKTP US*NT1FI7NP3 AMZN.COM/BILLWA38ZGIH88Q02</t>
  </si>
  <si>
    <t>FANTASYMATH.COM 9204509068 WI</t>
  </si>
  <si>
    <t>SAFEWAY #2878 MILLBRAE CA</t>
  </si>
  <si>
    <t>SQ *SHAKE SHACK SAN MATEO CA0001152921512819154137</t>
  </si>
  <si>
    <t>VENMO 855-812-4430 NY</t>
  </si>
  <si>
    <t>adity</t>
  </si>
  <si>
    <t>AMZN MKTP US*E264Z7NR3 AMZN.COM/BILLWA7IFZAHK9H1Z</t>
  </si>
  <si>
    <t>AMZN MKTP US*NW3PJ48T3 AMZN.COM/BILLWA1VLDO5GHAK1</t>
  </si>
  <si>
    <t>LEETCODE.COM 9167018853 CA</t>
  </si>
  <si>
    <t>TST* SIMPLYCAKE SF SAN MATEO CA00082246011888581925AA</t>
  </si>
  <si>
    <t>FARMER'S FRIDGE CHICAGO IL02677R</t>
  </si>
  <si>
    <t>SFO THE PLANT SAN FRANCISCOCA02667R</t>
  </si>
  <si>
    <t>UNUSUAL TIMES EWR NEWARK NJ1593</t>
  </si>
  <si>
    <t>LIM*RIDE COST 0974595221 FRAAPPLE PAY ENDING IN 14557.25 @ 00000001.0739293 EUR</t>
  </si>
  <si>
    <t>LIM*SUBSCRIPTION COST 0974595221 FRAAPPLE PAY ENDING IN 14557.99 @ 00000001.0739293 EUR</t>
  </si>
  <si>
    <t>TIQETS INC PA PAAPPLE PAY ENDING IN 1455</t>
  </si>
  <si>
    <t>Europe_Trip</t>
  </si>
  <si>
    <t>AMAZON.COM*VS7RX0HD3 AMZN.COM/BILLWAQ8UCZKHE08I</t>
  </si>
  <si>
    <t>LIM*RIDE COST 0974595221 FRAAPPLE PAY ENDING IN 14552.75 @ 00000001.0739293 EUR</t>
  </si>
  <si>
    <t>DENT 036416349688 DEUAPPLE PAY ENDING IN 1455</t>
  </si>
  <si>
    <t>SPOTIFY P2372B5402 8777781161 NY</t>
  </si>
  <si>
    <t>ONEPASS 877-515-9364 MN115996</t>
  </si>
  <si>
    <t>ONEPASS 877-515-9364 MN114582</t>
  </si>
  <si>
    <t>GOOGLE *YT PRIMETIME G.CO/HELPPAY#CAP0SGQC6O</t>
  </si>
  <si>
    <t>ATI8363-060519302 310-627-2866 CAAPPLE PAY ENDING IN 1455</t>
  </si>
  <si>
    <t>APPLE.COM/BILL 866-712-7753 CAAPPLE PAY ENDING IN 1455MMWD90BDDSA0</t>
  </si>
  <si>
    <t>GOOGLE *YOUTUBE TV G.CO/HELPPAY#CAP0SQDURP</t>
  </si>
  <si>
    <t>AMAZON.COM*8Y6XC4UF3 AMZN.COM/BILLWA4DQ9YX77JH4</t>
  </si>
  <si>
    <t>ETSY.COM BROOKLYN NYAPPLE PAY ENDING IN 1455</t>
  </si>
  <si>
    <t>PANDA EXPRESS #907 P 800-877-8988 CAAPPLE PAY ENDING IN 1455</t>
  </si>
  <si>
    <t>FASTRAK VIOLATION CENT 415-486-8655 CA</t>
  </si>
  <si>
    <t>LYFT *MEMB JUN 8552800278 CA</t>
  </si>
  <si>
    <t>Counter</t>
  </si>
  <si>
    <t>Max of Counter</t>
  </si>
  <si>
    <t>Month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</si>
  <si>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</si>
  <si>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</si>
  <si>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</si>
  <si>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</si>
  <si>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</si>
  <si>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</si>
  <si>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</si>
  <si>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</si>
  <si>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</si>
  <si>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</si>
  <si>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</si>
  <si>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</si>
  <si>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Fixed Expenses</t>
  </si>
  <si>
    <t>-</t>
  </si>
  <si>
    <t>Subscriptions</t>
  </si>
  <si>
    <t>Health and Medical</t>
  </si>
  <si>
    <t>LASIK</t>
  </si>
  <si>
    <t>Sports Consumables</t>
  </si>
  <si>
    <t>Grocery</t>
  </si>
  <si>
    <t>Eating Out</t>
  </si>
  <si>
    <t>Shopping</t>
  </si>
  <si>
    <t>Electronics</t>
  </si>
  <si>
    <t>Other Shopping</t>
  </si>
  <si>
    <t>Entertainment and Leisure</t>
  </si>
  <si>
    <t>Movies</t>
  </si>
  <si>
    <t>Tickets</t>
  </si>
  <si>
    <t>Social Events</t>
  </si>
  <si>
    <t>Other Entertainment</t>
  </si>
  <si>
    <t>Travel</t>
  </si>
  <si>
    <t>Accommodation</t>
  </si>
  <si>
    <t>Other Expenses</t>
  </si>
  <si>
    <t>Fees</t>
  </si>
  <si>
    <t>Education and Hobbies</t>
  </si>
  <si>
    <t>Total</t>
  </si>
  <si>
    <t>853481255GFRW8XE5 SCOTT HYVER VISIONCARE   SANTA CLARA  CA</t>
  </si>
  <si>
    <t>PYMT CARD SECURITY 800-8154051</t>
  </si>
  <si>
    <t>75402054T07KQXG01 MC DONALDS RONDA SANT    BARCELONA    ES</t>
  </si>
  <si>
    <t>75402054T07K6L5FE LCCB                     LHOSPITALET  ES</t>
  </si>
  <si>
    <t>02709754TA1F8YGRT SQ *PRIMAVERA SOUND SL   BARCELONA    CT</t>
  </si>
  <si>
    <t>75413114R0GYMAR67 SUPERMERCADO VIA LAIET   BARCELONA    ES</t>
  </si>
  <si>
    <t>75468014R63M425EP PULL AND BEAR            NARON        ES</t>
  </si>
  <si>
    <t>02709754RA1F2S7AG SQ *PRIMAVERA SOUND SL   BARCELONA    CT</t>
  </si>
  <si>
    <t>75468014P63LG1RF9 RENFE CERCANIAS TNA 08   BARCELONA    ES</t>
  </si>
  <si>
    <t>75468014P63LTGAN5 RENFE CERCANIAS TNA 08   BARCELONA    ES</t>
  </si>
  <si>
    <t>75260714P07KSPQ1V NEWREST WAGONS LITS FR   PARIS        FR</t>
  </si>
  <si>
    <t>15132494PR65W5A0X SM CASINO CS962          PARIS        FR</t>
  </si>
  <si>
    <t>15132494PR65W5A27 SM CASINO CS962          PARIS        FR</t>
  </si>
  <si>
    <t>05137004R95GRXMHZ GRIBAUDO                 PARIS 9      FR</t>
  </si>
  <si>
    <t>05133004P95FLD7Z6 OSSTINA                  PARIS        FR</t>
  </si>
  <si>
    <t>85348124P01R9R8PH PAYMENT - THANK YOU</t>
  </si>
  <si>
    <t>75542354M8THNPG98 FFT                      PARIS        FR</t>
  </si>
  <si>
    <t>15132494M36PNSPB0 MUSIAM16282STAR2         PARIS        FR</t>
  </si>
  <si>
    <t>05130124N95Q3Y1FL RATP                     PARIS        FR</t>
  </si>
  <si>
    <t>75139114N687R72XE ETS PUBLIC DU MUSEE DU   PARIS 1      FR</t>
  </si>
  <si>
    <t>15136004L8YXE532B RESTAURANT AQUAR         PARIS        FR</t>
  </si>
  <si>
    <t>15136004M8YXDL17F PERLE PARMENTIER         PARIS        FR</t>
  </si>
  <si>
    <t>75131824M532HY8J8 CULTURESPACES            PARIS 8      FR</t>
  </si>
  <si>
    <t>05135064M598NA6Q8 LE CAFE DES VEDE         PARIS        FR</t>
  </si>
  <si>
    <t>5548077486132SF6W NORTH PENINSULA PODIAT   SAN BRUNO    CA</t>
  </si>
  <si>
    <t>Grade</t>
  </si>
  <si>
    <t>Cash</t>
  </si>
  <si>
    <t>A</t>
  </si>
  <si>
    <t>Investments</t>
  </si>
  <si>
    <t>B</t>
  </si>
  <si>
    <t>Medical Debt</t>
  </si>
  <si>
    <t>D</t>
  </si>
  <si>
    <t>Credit Card Debt</t>
  </si>
  <si>
    <t>Debt</t>
  </si>
  <si>
    <t>Notes</t>
  </si>
  <si>
    <t>Growth</t>
  </si>
  <si>
    <t>PURCHASE AUTHORIZED ON 04/02 SHELL SERVICE STATION SAN MATEO CA P303092745786604 CARD 1081</t>
  </si>
  <si>
    <t>PURCHASE AUTHORIZED ON 04/02 CASH APP*CYANFACE 8774174551 CA S463092590316949 CARD 1081</t>
  </si>
  <si>
    <t>VENMO CASHOUT 230403 1026206756036 SEAN LEWIS</t>
  </si>
  <si>
    <t>ATM CASH DEPOSIT ON 04/01 1435 Burlingame Ave Burlingame CA 0008502 ATM ID 0165J CARD 1081</t>
  </si>
  <si>
    <t>ATM CASH DEPOSIT ON 04/01 1435 Burlingame Ave Burlingame CA 0008501 ATM ID 0165J CARD 1081</t>
  </si>
  <si>
    <t>PURCHASE AUTHORIZED ON 04/03 CASH APP*CYANFACE 8774174551 CA S583093644926287 CARD 1081</t>
  </si>
  <si>
    <t>MOBILE DEPOSIT : REF NUMBER :014040501256</t>
  </si>
  <si>
    <t>Cash App * Cash App 230404 T3SK4TZHB4P1HAS Sean Lewis</t>
  </si>
  <si>
    <t>VENMO PAYMENT 230405 1026246105110 SEAN LEWIS</t>
  </si>
  <si>
    <t>SoFi Bank TRANSFER SD1300 SLewis Sean Lewis:66569:829</t>
  </si>
  <si>
    <t>SoFi Bank TRANSFER SD1300 SLewis Sean Lewis:66569:830</t>
  </si>
  <si>
    <t>ATM WITHDRAWAL AUTHORIZED ON 04/06 1435 Burlingame Ave Burlingame CA 0009077 ATM ID 0165J CARD 1081</t>
  </si>
  <si>
    <t>Nationwide PAYROLL 01 HRP0009197834 Sean Lewis</t>
  </si>
  <si>
    <t>PURCHASE AUTHORIZED ON 04/07 SHELL SERVICE STATION SAN FRANCISCO CA P303098027924484 CARD 1081</t>
  </si>
  <si>
    <t>MONEY TRANSFER AUTHORIZED ON 04/07 FROM Sean Lewis VA S583097501342948 CARD 1081</t>
  </si>
  <si>
    <t>ZELLE TO LEWIS DORRY ON 04/08 REF #PP0R5VMVRT FOR MOMS CAKE</t>
  </si>
  <si>
    <t>ZELLE TO LEWIS SHARON ON 04/08 REF #PP0R5VLC65 HAPPY BIRTHDAY</t>
  </si>
  <si>
    <t>VENMO CASHOUT 230408 1026306767303 SEAN LEWIS</t>
  </si>
  <si>
    <t>ZELLE TO LEWIS SHARON ON 04/17 REF #PP0R6H8XTV FOR BDAY FUN</t>
  </si>
  <si>
    <t>ZELLE TO LEWIS SHARON ON 04/16 REF #PP0R6FF793 4 21 RETURN</t>
  </si>
  <si>
    <t>SoFi Bank TRANSFER SD1300 SLewis Sean Lewis:66581:17523</t>
  </si>
  <si>
    <t>ZELLE TO LEWIS SHEVON ON 04/19 REF #RP0R6M2J76 MAY RENT</t>
  </si>
  <si>
    <t>SoFi Bank TRANSFER SD1300 SLewis Sean Lewis:66583:5671</t>
  </si>
  <si>
    <t>Nationwide PAYROLL 01 HRP0009254185 Sean Lewis</t>
  </si>
  <si>
    <t>ATM WITHDRAWAL AUTHORIZED ON 04/23 655 8th Street San Francisco CA 0009349 ATM ID 1568E CARD 1081</t>
  </si>
  <si>
    <t>Credit Karma Transfer 230503 7569763190 Sean Lewis</t>
  </si>
  <si>
    <t>Nationwide PAYROLL 01 HRP0009291854 Sean Lewis</t>
  </si>
  <si>
    <t>VENMO PAYMENT 230511 1026954938969 SEAN LEWIS</t>
  </si>
  <si>
    <t>ATM WITHDRAWAL AUTHORIZED ON 05/12 1435 Burlingame Ave Burlingame CA 0002981 ATM ID 0165J CARD 1081</t>
  </si>
  <si>
    <t>VENMO PAYMENT 230513 1026999598173 SEAN LEWIS</t>
  </si>
  <si>
    <t>VENMO CASHOUT 230515 1027038784162 SEAN LEWIS</t>
  </si>
  <si>
    <t>ZELLE TO LEWIS SHEVON ON 05/16 REF #RP0R8LMDVF JUNE RENT</t>
  </si>
  <si>
    <t>Nationwide PAYROLL 01 HRP0009321511 Sean Lewis</t>
  </si>
  <si>
    <t>BEST BUY PAYMENT 230521 601069035023175 SEAN LEWIS</t>
  </si>
  <si>
    <t>INTERNATIONAL PURCHASE TRANSACTION FEE</t>
  </si>
  <si>
    <t>PURCHASE INTL AUTHORIZED ON 05/27 RATP PARIS FRA S303147423332504 CARD 1081</t>
  </si>
  <si>
    <t>Nationwide PAYROLL 01 HRP0009361777 Sean Lewis</t>
  </si>
  <si>
    <t>PURCHASE INTL AUTHORIZED ON 06/04 GELAAATI DI MARCO BARCELONA ESP S303155757160995 CARD 1081</t>
  </si>
  <si>
    <t>PURCHASE INTL AUTHORIZED ON 06/04 AKATSUKI BARCELONA ESP S303155541745657 CARD 1081</t>
  </si>
  <si>
    <t>PURCHASE INTL AUTHORIZED ON 06/03 SQ *PRIMAVERA SOUN Barcelona IRL S463154804564412 CARD 1081</t>
  </si>
  <si>
    <t>PURCHASE INTL AUTHORIZED ON 06/03 SQ *BABY JALEBI Barcelona IRL S303154708777719 CARD 1081</t>
  </si>
  <si>
    <t>PURCHASE INTL AUTHORIZED ON 06/03 SQ *PRIMAVERA SOUN Barcelona IRL S303154702125358 CARD 1081</t>
  </si>
  <si>
    <t>PURCHASE INTL AUTHORIZED ON 06/03 SUPAGRU SUPERMERCA BARCELONA ESP S303154465690802 CARD 1081</t>
  </si>
  <si>
    <t>PURCHASE INTL AUTHORIZED ON 06/05 EL CAFE DEL TREN MADRID ESP S303156273834047 CARD 1081</t>
  </si>
  <si>
    <t>PURCHASE INTL AUTHORIZED ON 06/06 CAFETERIA HEMISFER VALENCIA ESP S383157512826944 CARD 1081</t>
  </si>
  <si>
    <t>PURCHASE INTL AUTHORIZED ON 06/06 TIENDA HEMISFERIC VALENCIA ESP S383157501804395 CARD 1081</t>
  </si>
  <si>
    <t>PURCHASE INTL AUTHORIZED ON 06/06 CARRO DELFINARIO VALENCIA ESP S383157384413133 CARD 1081</t>
  </si>
  <si>
    <t>PURCHASE INTL AUTHORIZED ON 06/06 FARMACIA JOSE M CA VALENCIA ESP S383157299187316 CARD 1081</t>
  </si>
  <si>
    <t>PURCHASE INTL AUTHORIZED ON 06/07 SAWDA FRUTAS Y ALI MADRID ESP S383158754864429 CARD 1081</t>
  </si>
  <si>
    <t>PURCHASE INTL AUTHORIZED ON 06/07 FRUTAS PLAZA LAVAP MADRID ESP S383158513496646 CARD 1081</t>
  </si>
  <si>
    <t>PURCHASE INTL AUTHORIZED ON 06/07 NWHITE MADRID ESP S383158429935372 CARD 1081</t>
  </si>
  <si>
    <t>PURCHASE INTL AUTHORIZED ON 06/07 TCH HOSTEL BURGOS MADRID ESP S383158288162494 CARD 1081</t>
  </si>
  <si>
    <t>PURCHASE INTL AUTHORIZED ON 06/06 METRO DE MADRID S. MADRID ESP S583158251831049 CARD 1081</t>
  </si>
  <si>
    <t>PURCHASE INTL AUTHORIZED ON 06/08 CHOCOLATERIA 1902 MADRID ESP S383159613105377 CARD 1081</t>
  </si>
  <si>
    <t>PURCHASE INTL AUTHORIZED ON 06/08 CHOCOLATERIA 1902 MADRID ESP S383159602777721 CARD 1081</t>
  </si>
  <si>
    <t>PURCHASE INTL AUTHORIZED ON 06/08 PALACIO REAL DE MA MADRID ESP S383159592927019 CARD 1081</t>
  </si>
  <si>
    <t>PURCHASE INTL AUTHORIZED ON 06/08 PAY*DALE CAFE MADRlD ESP S383159374587867 CARD 1081</t>
  </si>
  <si>
    <t>PURCHASE INTL AUTHORIZED ON 06/08 PAY*DALE CAFE MADRlD ESP S383159374153879 CARD 1081</t>
  </si>
  <si>
    <t>PURCHASE INTL AUTHORIZED ON 06/10 NAKED 29 TREMBL302150/ FRA S383161253732739 CARD 1081</t>
  </si>
  <si>
    <t>PURCHASE INTL AUTHORIZED ON 06/09 NYX*ABServiciosSel Madrid ESP S383161085646483 CARD 1081</t>
  </si>
  <si>
    <t>PURCHASE INTL AUTHORIZED ON 06/09 NYX*ABServiciosSel Madrid ESP S383161085351173 CARD 1081</t>
  </si>
  <si>
    <t>PURCHASE INTL AUTHORIZED ON 06/09 PAY*Croffles Madri Madrid ESP S383160521192447 CARD 1081</t>
  </si>
  <si>
    <t>VENMO PAYMENT 230613 1027594599507 SEAN LEWIS</t>
  </si>
  <si>
    <t>SoFi Bank TRANSFER SD1300 SLewis Sean Lewis:66639:792</t>
  </si>
  <si>
    <t>Nationwide PAYROLL 01 HRP0009402413 Sean Lewis</t>
  </si>
  <si>
    <t>DOCFU</t>
  </si>
  <si>
    <t>Health Equity</t>
  </si>
  <si>
    <t>TCB*MTA METER MTA PBP</t>
  </si>
  <si>
    <t>Mobile Check Deposit</t>
  </si>
  <si>
    <t>Check Deposit</t>
  </si>
  <si>
    <t>BEST BUY</t>
  </si>
  <si>
    <t>To Savings - 3552</t>
  </si>
  <si>
    <t>Cash App</t>
  </si>
  <si>
    <t>Nintendo CB980593250</t>
  </si>
  <si>
    <t>Synchrony Bank</t>
  </si>
  <si>
    <t>AIRALO</t>
  </si>
  <si>
    <t>From Checking - 8930</t>
  </si>
  <si>
    <t>V</t>
  </si>
  <si>
    <t>S</t>
  </si>
  <si>
    <t>H</t>
  </si>
  <si>
    <t>Interest for Mar-23</t>
  </si>
  <si>
    <t>Sq *ayurbliss Physical, San Mateo, CA (Card Transaction ID: 7ro75c4)</t>
  </si>
  <si>
    <t>Sq *ayurbliss Physical Th, San Mateo, CA (Card Transaction ID: y5tvj9o)</t>
  </si>
  <si>
    <t>Sq *ayurbliss Llc, San Mateo, CA (Card Transaction ID: 8snuzfn)</t>
  </si>
  <si>
    <t>Sq *ayurbliss Physical Th, San Mateo, CA (Card Transaction ID: fem0gng)</t>
  </si>
  <si>
    <t>Sq *ayurbliss Physical Th, Hillsborough, CA (Card Transaction ID: 93j4c1p)</t>
  </si>
  <si>
    <t>Interest for Apr-23</t>
  </si>
  <si>
    <t>Sq *ayurbliss Physical, San Mateo, CA (Card Transaction ID: jsa50bo)</t>
  </si>
  <si>
    <t>Sq *ayurbliss Physical, San Mateo, CA (Card Transaction ID: k2ptd8j)</t>
  </si>
  <si>
    <t>Sq *ayurbliss Physical Th, Hillsborough, CA (Card Transaction ID: otdbxj7)</t>
  </si>
  <si>
    <t>Interest for May-23</t>
  </si>
  <si>
    <t>Sq *ayurbliss Physical, Hillsborough, CA (Card Transaction ID: hsoyi6p)</t>
  </si>
  <si>
    <t>Lca Vision, 513-792-9292, OH (Card Transaction ID: ycgf1vf)</t>
  </si>
  <si>
    <t>Transaction</t>
  </si>
  <si>
    <t>HSA Cash Balance</t>
  </si>
  <si>
    <t>Column2</t>
  </si>
  <si>
    <t>Date of Item</t>
  </si>
  <si>
    <t>One Pass</t>
  </si>
  <si>
    <t>Pre Europe</t>
  </si>
  <si>
    <t>Europe</t>
  </si>
  <si>
    <t>Loan</t>
  </si>
  <si>
    <t>Weddings</t>
  </si>
  <si>
    <t>Ga Tech</t>
  </si>
  <si>
    <t>Fidelity</t>
  </si>
  <si>
    <t>Nelnet</t>
  </si>
  <si>
    <t>Investment</t>
  </si>
  <si>
    <t>Transaction Type</t>
  </si>
  <si>
    <t>Shares/Unit</t>
  </si>
  <si>
    <t>2055 FUND</t>
  </si>
  <si>
    <t>Contributions</t>
  </si>
  <si>
    <t>RECORDKEEPING FEE</t>
  </si>
  <si>
    <t>Change in Market Value</t>
  </si>
  <si>
    <t>I</t>
  </si>
  <si>
    <t xml:space="preserve">Assets - Debts </t>
  </si>
  <si>
    <t>Assets - Debts &amp; Student Loans</t>
  </si>
  <si>
    <t>p</t>
  </si>
  <si>
    <t>Column3</t>
  </si>
  <si>
    <t>Column4</t>
  </si>
  <si>
    <t>Column22</t>
  </si>
  <si>
    <t>Total Spending</t>
  </si>
  <si>
    <t>Total Fixed Spending</t>
  </si>
  <si>
    <t>-Rent</t>
  </si>
  <si>
    <t>-Cell Phone</t>
  </si>
  <si>
    <t>-Insurance</t>
  </si>
  <si>
    <t>Spending - Fixed</t>
  </si>
  <si>
    <t>Spending - Subs</t>
  </si>
  <si>
    <t>- GA tech</t>
  </si>
  <si>
    <t>Spending - Medical</t>
  </si>
  <si>
    <t>Spending - Education</t>
  </si>
  <si>
    <t>deposit</t>
  </si>
  <si>
    <t>Total Income</t>
  </si>
  <si>
    <t>Variable Spending/Income</t>
  </si>
  <si>
    <t>Fixed Spending/Income</t>
  </si>
  <si>
    <t>TOMO SUSHI AND TERIYAKI DALY CITY CA</t>
  </si>
  <si>
    <t>nick&amp;julie</t>
  </si>
  <si>
    <t>APPLE.COM/BILL 866-712-7753 CAAPPLE PAY ENDING IN 1455MMWD99VN1VA0</t>
  </si>
  <si>
    <t>1XDATASPELL SAN MATEO CA</t>
  </si>
  <si>
    <t>ATI49980-06020339 310-627-2866 CAAPPLE PAY ENDING IN 1455</t>
  </si>
  <si>
    <t>s</t>
  </si>
  <si>
    <t>Sofi</t>
  </si>
  <si>
    <t>Vincent Principal</t>
  </si>
  <si>
    <t>Pay Date</t>
  </si>
  <si>
    <t>Prev balance</t>
  </si>
  <si>
    <t>Vincent Payment</t>
  </si>
  <si>
    <t>Bills (Fixed Expense)</t>
  </si>
  <si>
    <t>Spending Estimate</t>
  </si>
  <si>
    <t>Cash Flow</t>
  </si>
  <si>
    <t>Vincent Debt Princpal</t>
  </si>
  <si>
    <t>LASIK Debt Principal</t>
  </si>
  <si>
    <t>AMZN MKTP US*EH8WL46Y3 AMZN.COM/BILLWA4NEEZLU4KD4</t>
  </si>
  <si>
    <t>USPS PO 0510350110 BURLINGAME CA</t>
  </si>
  <si>
    <t>AMAZON.COM*GP1TT39Y3 AMZN.COM/BILLWA5VH657BXUC9</t>
  </si>
  <si>
    <t>AMZN MKTP US*D998272J3 AMZN.COM/BILLWA2HON34BLB2I</t>
  </si>
  <si>
    <t>SQ *HOLY GELATO SAN FRANCISCOCA0001152921512929882524</t>
  </si>
  <si>
    <t>UDEMY: ONLINE COURSES 8888385432 CA</t>
  </si>
  <si>
    <t>SPOTIFY P2410D44F9 8777781161 NY</t>
  </si>
  <si>
    <t>ONEPASS 877-515-9364 MN131030</t>
  </si>
  <si>
    <t>ONEPASS 877-515-9364 MN129885</t>
  </si>
  <si>
    <t>BEVERAGES &amp; MORE #119 BURLINGAME CA</t>
  </si>
  <si>
    <t>Vincent</t>
  </si>
  <si>
    <t>HEALTHEQUITY INC</t>
  </si>
  <si>
    <t>6/29/2023</t>
  </si>
  <si>
    <t>6/30/2023</t>
  </si>
  <si>
    <t>Interest for Jun-23</t>
  </si>
  <si>
    <t>7/6/2023</t>
  </si>
  <si>
    <t>SOFI (Claim ID:22317048-0008)</t>
  </si>
  <si>
    <t>F8395005M000Q5001 ADJUSTMENT-PAYMENTS</t>
  </si>
  <si>
    <t>85348125L01SV1ZHH PAYMENT - THANK YOU</t>
  </si>
  <si>
    <t>85348125L01SV26AM PAYMENT - THANK YOU</t>
  </si>
  <si>
    <t>85348125P01V6FE46 PAYMENT - THANK YOU</t>
  </si>
  <si>
    <t>Europe CC Split</t>
  </si>
  <si>
    <t>Europe D Split</t>
  </si>
  <si>
    <t>Lasik</t>
  </si>
  <si>
    <t>Lasik Payment</t>
  </si>
  <si>
    <t>Student Loan Principal</t>
  </si>
  <si>
    <t>Student Loan</t>
  </si>
  <si>
    <t>Student Loan Payment</t>
  </si>
  <si>
    <t>Milestone 1</t>
  </si>
  <si>
    <t>Milestone 2</t>
  </si>
  <si>
    <t>Sean Account Start</t>
  </si>
  <si>
    <t>Payment</t>
  </si>
  <si>
    <t>Annual Interest Rate</t>
  </si>
  <si>
    <t>Principal</t>
  </si>
  <si>
    <t>Estimated Years</t>
  </si>
  <si>
    <t>AA</t>
  </si>
  <si>
    <t>AC</t>
  </si>
  <si>
    <t>AE</t>
  </si>
  <si>
    <t>Total Interest</t>
  </si>
  <si>
    <t>AA Principal</t>
  </si>
  <si>
    <t>AC Principal</t>
  </si>
  <si>
    <t>AE Principal</t>
  </si>
  <si>
    <t>AA Interest</t>
  </si>
  <si>
    <t>AC Interest</t>
  </si>
  <si>
    <t>AE Interest</t>
  </si>
  <si>
    <t>AA Payment</t>
  </si>
  <si>
    <t>AC Payment</t>
  </si>
  <si>
    <t>AE Payment</t>
  </si>
  <si>
    <t>AA Balance</t>
  </si>
  <si>
    <t>AC Balance</t>
  </si>
  <si>
    <t>AE Balance</t>
  </si>
  <si>
    <t>Total Balance</t>
  </si>
  <si>
    <t>Monthly Interest Rate</t>
  </si>
  <si>
    <t>One Pass July - February</t>
  </si>
  <si>
    <t>SAFEWAY #0999 FOSTER CITY CA</t>
  </si>
  <si>
    <t>SFMOMA MUSEUM STORE SAN FRANCISCOCA00690R</t>
  </si>
  <si>
    <t>TARGET 00033530091 DALY CITY CA</t>
  </si>
  <si>
    <t>MOVEMENT SANTA CLARA 5413165747 CO</t>
  </si>
  <si>
    <t>OAKLEY B004 MILPITAS CA</t>
  </si>
  <si>
    <t>SQ *CAFE SIETE BURLINGAME CA0001152921512960337074</t>
  </si>
  <si>
    <t>AMAZON.COM*9N7KY81L3 AMZN.COM/BILLWA1RWA4YTUU2S</t>
  </si>
  <si>
    <t>AMZN MKTP US*YQ7W86013 AMZN.COM/BILLWA5W8CMM91JWI</t>
  </si>
  <si>
    <t>MCDONALDS 416 REDWOOD CITY CA</t>
  </si>
  <si>
    <t>SQ *CAFE SIETE BURLINGAME CA0001152921512976380865</t>
  </si>
  <si>
    <t>SQ *BOBA GUYS POTRERO SAN FRANCISCOCA0001152921512980421691</t>
  </si>
  <si>
    <t>SQ *MONARCH BEVERAGE C SAN FRANCISCOCA0002305843018002898080</t>
  </si>
  <si>
    <t>ATI10845-07510043 310-627-2866 CAAPPLE PAY ENDING IN 1455</t>
  </si>
  <si>
    <t>MCDONALDS 16932 SAN FRANCISCOCA</t>
  </si>
  <si>
    <t>GOFUNDME HOMOSEXUAL WA REDWOOD CITY CA</t>
  </si>
  <si>
    <t>AMZN MKTP US*C815N4833 AMZN.COM/BILLWA40G984MFQ73</t>
  </si>
  <si>
    <t>ATI10113-07910185 310-627-2866 CAAPPLE PAY ENDING IN 1455</t>
  </si>
  <si>
    <t>medium</t>
  </si>
  <si>
    <t>Other Health</t>
  </si>
  <si>
    <t>Car Repairs/Maintanence</t>
  </si>
  <si>
    <t>Family</t>
  </si>
  <si>
    <t>Debt Payments</t>
  </si>
  <si>
    <t>Car Repair</t>
  </si>
  <si>
    <t>Spending -Food</t>
  </si>
  <si>
    <t>CENTURY THEATRES 399 MOUNTAIN VIEWCA03990093B758</t>
  </si>
  <si>
    <t>WALGREENS #2126 SAN CARLOS CA</t>
  </si>
  <si>
    <t>CENTURY THEATRES 494 SAN BRUNO CA0494008BE7A2</t>
  </si>
  <si>
    <t>AMAZON.COM*T68KE55Q0 AMZN.COM/BILLWAJILV9LLC61T</t>
  </si>
  <si>
    <t>LUCKY #748 SAN BRUNS9H SAN BRUNO CA</t>
  </si>
  <si>
    <t>QUIZLET.COM 510-495-6550 CAP-08481062</t>
  </si>
  <si>
    <t>SHIPT* ORDER 2055022500 AL</t>
  </si>
  <si>
    <t>SPOTIFY P24B9D83D8 8777781161 NY</t>
  </si>
  <si>
    <t>ONEPASS 877-515-9364 MN147627</t>
  </si>
  <si>
    <t>ONEPASS 877-515-9364 MN146573</t>
  </si>
  <si>
    <t>EB GOLDEN HOUR NIGHT 801-413-7200 CAAPPLE PAY ENDING IN 1455</t>
  </si>
  <si>
    <t>COURSRA3WTI8LK0RLU4UF 650-963-9884 CA</t>
  </si>
  <si>
    <t>PUBLIC WORKS SAN FRANCISCOCA</t>
  </si>
  <si>
    <t>SQ *A.D.P DEPALMA FARM SAN FRANCISCOCA0001152921513049170106</t>
  </si>
  <si>
    <t>SQ *ADORABLE BAKERY LL SAN FRANCISCOCA0001152921513049179594</t>
  </si>
  <si>
    <t>SQ *THAO FAMILY FARM SAN FRANCISCOCA0001152921513049149557</t>
  </si>
  <si>
    <t>AMAZON.COM*TA8MI0G90 AMZN.COM/BILLWA4267TUMJLTQ</t>
  </si>
  <si>
    <t>APPLE.COM/BILL 866-712-7753 CAAPPLE PAY ENDING IN 1455MMWDGB1MG0A0</t>
  </si>
  <si>
    <t>APPY PIE 7039964429 VA</t>
  </si>
  <si>
    <t>DIRTY HABIT HOTEL ZELOS SAN FRANCISCOCA</t>
  </si>
  <si>
    <t>SQ *PAW PATCH PASTRIES DALY CITY CA0002305843018176564959</t>
  </si>
  <si>
    <t>Julie_Birthday</t>
  </si>
  <si>
    <t>CASCAL RESTAURANT MOUNTAIN VIEWCA</t>
  </si>
  <si>
    <t>DROPDECK 7372426703 MD</t>
  </si>
  <si>
    <t>SQ *CAFE SIETE BURLINGAME CA0001152921513063763890</t>
  </si>
  <si>
    <t>AMZN MKTP US*TO2DO8TK0 AMZN.COM/BILLWA2K73N62JRGD</t>
  </si>
  <si>
    <t>AMZN MKTP US*TO48J1AB0 AMZN.COM/BILLWA6KIHKD2ZOEB</t>
  </si>
  <si>
    <t>OUTSIDELAND MERCH 6502396947 VA</t>
  </si>
  <si>
    <t>music_festival</t>
  </si>
  <si>
    <t>TST* B STAR SAN FRANCISCOCA00003059013180319112AA</t>
  </si>
  <si>
    <t>AMZN MKTP US*TO0RK9P20 AMZN.COM/BILLWA5LKW8W7QYXO</t>
  </si>
  <si>
    <t>APPLE.COM/BILL 866-712-7753 CAAPPLE PAY ENDING IN 1455MMWDGN21ZJA0</t>
  </si>
  <si>
    <t>AT THE SHOP SAN MATEO CA</t>
  </si>
  <si>
    <t>A ONE GAS SAN LORENZO CA</t>
  </si>
  <si>
    <t>AMAZON.COM*TQ2JM1XX0 AMZN.COM/BILLWA3RN7P73TZQF</t>
  </si>
  <si>
    <t>CENTRAL COMPUTERS OF S SANTA CLARA CA02156R</t>
  </si>
  <si>
    <t>WALMART STORE 05434 SAN LEANDRO CA</t>
  </si>
  <si>
    <t>SQ *THE GREEK THEATER SAN FRANCISCOCA0001152921513116617060</t>
  </si>
  <si>
    <t>CENTRAL COMPUTERS OF S SANTA CLARA CA02925R</t>
  </si>
  <si>
    <t>CENTRAL COMPUTERS OF S SANTA CLARA CA02937R</t>
  </si>
  <si>
    <t>SPOTIFY P257B01D39 8777781161 NY</t>
  </si>
  <si>
    <t>ONEPASS 877-515-9364 MN166398</t>
  </si>
  <si>
    <t>ONEPASS 877-515-9364 MN165439</t>
  </si>
  <si>
    <t>MOLLIE STONES #6 BURLINGAME CA</t>
  </si>
  <si>
    <t>credits</t>
  </si>
  <si>
    <t>Sofi Bank, Transfer, Sd1700 Slewis, Sean Lewis:x6653:x1375</t>
  </si>
  <si>
    <t>Purchase, Authorized On, 06/27 Shell Service Station, San Mateo, Ca, Px1288, Card 1081</t>
  </si>
  <si>
    <t>Zelle to Lewis Shevon on 06/28 Ref #rp0rcmpspf July Rent</t>
  </si>
  <si>
    <t>Nationwide, Payroll 01, HRPx7700, Sean Lewis</t>
  </si>
  <si>
    <t>Synchrony Bank, Cc Pymt, Jun Xx x0321 Sean Lewis</t>
  </si>
  <si>
    <t>Cash App, * Cash App Xx0704 T34v0xwtzwyzf9x Sean Lewis</t>
  </si>
  <si>
    <t>Purchase, Authorized On, 07/06 Speedway, 2195 Juniper, Daly City, Px5133, Card 1081</t>
  </si>
  <si>
    <t>Nationwide, Payroll 01, HRPx7147, Sean Lewis</t>
  </si>
  <si>
    <t>Purchase, Authorized On, 07/14 I Dumpling, Redwood City, Ca, Sx6268, Card 1081</t>
  </si>
  <si>
    <t>Purchase, Authorized On, 07/14 I Dumpling, Redwood City, Ca, Sx7869, Card 1081</t>
  </si>
  <si>
    <t>Venmo, Payment, x x4724, Sean Lewis</t>
  </si>
  <si>
    <t>St of CA Dmv, Internet, x x0717 Sean Lewis</t>
  </si>
  <si>
    <t>Atm Cash Deposit, On, 07/19 1435 Burlingame Ave, Burlingame, Ca, x0407, Atm ID 0165j, Card 1081</t>
  </si>
  <si>
    <t>Purchase, Authorized On, 07/22 Shell Oil x4215, Daly City, Ca, Sx2019, Card 1081</t>
  </si>
  <si>
    <t>Zelle to Lewis Shevon on 07/25 Ref #rp0rfmlg5q August Rent Final Payment, Its Been Fun</t>
  </si>
  <si>
    <t>Nationwide, Payroll 01, HRPx5135, Sean Lewis</t>
  </si>
  <si>
    <t>Purchase, Authorized On, 07/25 Century Theatres 4, Redwood City, Ca, Sx8667, Card 1081</t>
  </si>
  <si>
    <t>Sofi Bank, Transfer, Sd1300 Slewis, Sean Lewis:x6686:x8757</t>
  </si>
  <si>
    <t>Zelle to Lewis Jayelin on 07/30 Ref #pp0rfzcsvg Money to Get to Work Until Fri</t>
  </si>
  <si>
    <t>Zelle to Lewis Jayelin on 07/31 Ref #pp0rg2pmvy 2nd $50 for Work, Return $100 Friday</t>
  </si>
  <si>
    <t>Nationwide, Payroll 01, HRPx5690, Sean Lewis</t>
  </si>
  <si>
    <t>Purchase, Authorized On, 08/10 Sheng Kee Bakery, Daly City, Ca, Sx7086, Card 1081</t>
  </si>
  <si>
    <t>Zelle to Lewis Sharon on 08/12 Ref #pp0rgzv3zj Simone Birthday</t>
  </si>
  <si>
    <t>Atm Withdrawal, Authorized On, 08/12 1435 Burlingame Ave, Burlingame, Ca, x3394, Atm ID 0165j, Card 1081</t>
  </si>
  <si>
    <t>Venmo, Payment, x x7705, Sean Lewis</t>
  </si>
  <si>
    <t>Money Transfer, Authorized On, 08/14 Cash App*cyanface, x4551, Ca, Sx3399, Card 1081</t>
  </si>
  <si>
    <t>Discover Bank, Prearrange, 7416, 0XX*x0583</t>
  </si>
  <si>
    <t>Purchase, Authorized On, 08/13 Freelancer.com, London, Gbr Sx9804, Card 1081</t>
  </si>
  <si>
    <t>Nationwide, Payroll 01, HRPx5310, Sean Lewis</t>
  </si>
  <si>
    <t>Zelle to Lewis Sharon on 08/24 Ref #pp0rhw979r for Bills From Sean Sep 11</t>
  </si>
  <si>
    <t>Sofi Bank, Transfer, Sd1300 Slewis, Sean Lewis:x6714:2897</t>
  </si>
  <si>
    <t>Discover Bank, Prearrange, 7416, Sean Lewis</t>
  </si>
  <si>
    <t>Zelle to Lewis Jayelin on 09/02 Ref #pp0rjlmbbb From Savings</t>
  </si>
  <si>
    <t>Nationwide, Payroll 01, HRPx4838, Sean Lewis</t>
  </si>
  <si>
    <t>Synchrony Bank, Cc Pymt, Sep Xx x0321 Sean Lewis</t>
  </si>
  <si>
    <t>Zelle From Lewis Sharon on 09/08 Ref # Pp0rk3kvqq Thanks</t>
  </si>
  <si>
    <t>T-mobile, Pcs Svc, x x9035, Don Lewis</t>
  </si>
  <si>
    <t>Nationwide, Payroll 01, HRPx2605, Sean Lewis</t>
  </si>
  <si>
    <t>Non-wf Atm Balance Inquiry Fee 09/21 443 Divisade San Francisco Ca, Atm ID Axx9600, Card 1081</t>
  </si>
  <si>
    <t>Non-wf Atm Withdrawal, Authorized On, 09/21 *buena Vista Park, San Francisco Ca, x4233, Atm ID Icah7853 Card 1081</t>
  </si>
  <si>
    <t>Non-wells Fargo Atm Transaction Fee</t>
  </si>
  <si>
    <t>Cash App*engagetm</t>
  </si>
  <si>
    <t>City of Sm Parkpaybyph</t>
  </si>
  <si>
    <t>Venmo</t>
  </si>
  <si>
    <t>Instamed</t>
  </si>
  <si>
    <t>Healthequity Inc</t>
  </si>
  <si>
    <t>Wells Fargo Bank Na</t>
  </si>
  <si>
    <t>Employee Contribution (tax year: 2023)</t>
  </si>
  <si>
    <t>Sofi (claim ID:x-0008) Eft to Sofi</t>
  </si>
  <si>
    <t>Interest for Jul-23</t>
  </si>
  <si>
    <t>Suttr Hlth Pcr Mho Hosp, x-x-1633, CA (card Transaction Id: iqbxey8)</t>
  </si>
  <si>
    <t>Interest for Aug-23</t>
  </si>
  <si>
    <t>North Peninsula Podiatry, San Bruno, CA (card Transaction Id: 3t62tix)</t>
  </si>
  <si>
    <t>Rewards Statement Credit</t>
  </si>
  <si>
    <t>Pymt Card Security x-x4051</t>
  </si>
  <si>
    <t>Payment - Thank You</t>
  </si>
  <si>
    <t>State of the Art Dental Grockville MD</t>
  </si>
  <si>
    <t>Automatic Payment - Thank You</t>
  </si>
  <si>
    <t>Target x8978 District Heigmd</t>
  </si>
  <si>
    <t>Description2</t>
  </si>
  <si>
    <t>Don</t>
  </si>
  <si>
    <t>Bestbuy.com, 888-bestbuy</t>
  </si>
  <si>
    <t>Safeway #x 1547 Burlingame CA</t>
  </si>
  <si>
    <t>United Airlines Houston TX</t>
  </si>
  <si>
    <t>Best  Buy Payment</t>
  </si>
  <si>
    <t>American Express Payment</t>
  </si>
  <si>
    <t>Slinger Payment</t>
  </si>
  <si>
    <t>Category_3</t>
  </si>
  <si>
    <t>Stutter Health</t>
  </si>
  <si>
    <t>AMAZON.COM*TL9IJ5292 AMZN.COM/BILLWA2UJIAHNSZ70</t>
  </si>
  <si>
    <t>JERSEY MIKES ONLINE ORDE 732-223-4044 NJAPPLE PAY ENDING IN 1455</t>
  </si>
  <si>
    <t>MUIR SPACE 4288 MILL VALLEY CA</t>
  </si>
  <si>
    <t>parks_rec</t>
  </si>
  <si>
    <t>APPLE.COM/BILL 866-712-7753 CAAPPLE PAY ENDING IN 1455MMWDJFY29ZA0</t>
  </si>
  <si>
    <t>PALO ALTO TENNIS SHOP PALO ALTO CA</t>
  </si>
  <si>
    <t>tennis</t>
  </si>
  <si>
    <t>SAN MATEO PARKS AND RECR 650-522-7408 CA</t>
  </si>
  <si>
    <t>SAN MATEO SERVICE FEE 650-522-7408 CA</t>
  </si>
  <si>
    <t>TMOBILE*POSTPAID PDA 800-937-8997 WAITEM TRANSFERRED FROM PREV ACCOUNT</t>
  </si>
  <si>
    <t>RAIN TREE CAFE. SAN FRANCISCOCA</t>
  </si>
  <si>
    <t>SP^AFF* SLINGERBAG 8554233729 CA</t>
  </si>
  <si>
    <t>APPLE.COM/BILL 866-712-7753 CAAPPLE PAY ENDING IN 1455MMWDJT7BH5A0</t>
  </si>
  <si>
    <t>TACO BELL 730746 650-403-0395 CAAPPLE PAY ENDING IN 1455</t>
  </si>
  <si>
    <t>TENNIS WAREHOUSE 8008836647 CA</t>
  </si>
  <si>
    <t>SQ *MELLOW COFFEE SAN FRANCISCOCA0001152921513197525747</t>
  </si>
  <si>
    <t>SQ *ROSE GOLD'S TATTOO SAN FRANCISCOCA0001152921513197662543</t>
  </si>
  <si>
    <t>TST* SANDYS SAN FRANCISCOCA00104288013715099959AA</t>
  </si>
  <si>
    <t>SQ *CAFE SIETE BURLINGAME CA0001152921513201455985</t>
  </si>
  <si>
    <t>TST* URBAN KITCHEN BURLINGAME CA00113802013738256804AA</t>
  </si>
  <si>
    <t>AMAZON.COM*TX8CC92K2 AMZN.COM/BILLWA12X9MM88BMR</t>
  </si>
  <si>
    <t>AARTI PETROLEUM REDWOOD CITY CA</t>
  </si>
  <si>
    <t>TCKTWEB*BENNYSINGSDANA 800-965-4827 CA93192760IM97FQUQ</t>
  </si>
  <si>
    <t>REPRESENTED INTERNET PAYMENT - THANK YOU</t>
  </si>
  <si>
    <t>RETURNED INTERNET PMT</t>
  </si>
  <si>
    <t>Trans. date</t>
  </si>
  <si>
    <t>Post date</t>
  </si>
  <si>
    <t>RETURNED CHECK CHARGE</t>
  </si>
  <si>
    <t>fees</t>
  </si>
  <si>
    <t>STARBUCKS STORE 00613 SAN MATEO CA8FD9D0D67479710842</t>
  </si>
  <si>
    <t>SPOTIFY P262EACB2F 8777781161 NY</t>
  </si>
  <si>
    <t>ONEPASS 877-515-9364 MN186703</t>
  </si>
  <si>
    <t>ONEPASS 877-515-9364 MN185761</t>
  </si>
  <si>
    <t>AMAZON.COM*T91E50GG0 AMZN.COM/BILLWA1EDQVVBW10H</t>
  </si>
  <si>
    <t>PRESIDIO COMMUNITY YMCA SAN FRANCISCOCA</t>
  </si>
  <si>
    <t>SNACK* SWEET MOMENT 8668682146 CA</t>
  </si>
  <si>
    <t>TST* KAJIKEN SAN MATEO CA00115516014004555143AA</t>
  </si>
  <si>
    <t>WALGREENS #893 SAN FRANCISCOCA</t>
  </si>
  <si>
    <t>APPLE.COM/BILL 866-712-7753 CAAPPLE PAY ENDING IN 1455MMWDLK42GYA0</t>
  </si>
  <si>
    <t>NIJIYA MARKET #62 SAN FRANCISCOCA</t>
  </si>
  <si>
    <t>SAN JOSE CONVENTION CE SAN JOSE CA</t>
  </si>
  <si>
    <t>STORE*SABY THAI RESTAU 6506819470 CA</t>
  </si>
  <si>
    <t>SQ *SHAKE SHACK SAN MATEO CA0001152921513279898541</t>
  </si>
  <si>
    <t>GITHUB, INC. 8774484820 CA</t>
  </si>
  <si>
    <t>STUBHUB, INC. 866-788-2482 CAAPPLE PAY ENDING IN 1455</t>
  </si>
  <si>
    <t>APPLE.COM/BILL 866-712-7753 CAAPPLE PAY ENDING IN 1455MMWDLS4TG6A0</t>
  </si>
  <si>
    <t>the_athletic</t>
  </si>
  <si>
    <t>APPLE STORE #R029 BURLINGAME CAR029110720901</t>
  </si>
  <si>
    <t>BY ME BOBA TEA 3127305592 IL</t>
  </si>
  <si>
    <t>TM *TICKETMASTER 865-512-6326 CAWDC/28-23809</t>
  </si>
  <si>
    <t>SQ *IRVING SUBS - 12TH SAN FRANCISCOCA0001152921513282869411</t>
  </si>
  <si>
    <t>EB BLACK TECH GATHERI 801-413-7200 CAAPPLE PAY ENDING IN 1455</t>
  </si>
  <si>
    <t>black_in_tech</t>
  </si>
  <si>
    <t>SQ *SHAKE SHACK PALO ALTO CA0001152921513292191314</t>
  </si>
  <si>
    <t>TCKTWEB*REGALSQUALORYU 800-965-4827 CA92971449JNLDW2U6</t>
  </si>
  <si>
    <t>CKE*MILLBRAE KEBABS 675 MILLBRAE CA</t>
  </si>
  <si>
    <t>SEE TICKETS *NIA ARCHIVE 323-908-0607 CASEE TICKETS *NIA ARCHIVE</t>
  </si>
  <si>
    <t>SQ *GREAT AMERICAN MUS SAN FRANCISCOCA0001152921513308822302</t>
  </si>
  <si>
    <t>EDINBURGH CASTLE SAN FRANCISCOCA</t>
  </si>
  <si>
    <t>AMAZON.COM*TP51X89N0 AMZN.COM/BILLWA1KYXBYKZM6K</t>
  </si>
  <si>
    <t>TST* ICICLES - SAN MAT SAN MATEO CA00095112014216852516AA</t>
  </si>
  <si>
    <t>MCDONALDS 1386 SAN MATEO CA</t>
  </si>
  <si>
    <t>CVS/PHARMACY #09811 BURLINGAME CA</t>
  </si>
  <si>
    <t>CENTURY THEATRES 485 REDWOOD CITY CA0485009ED4B7</t>
  </si>
  <si>
    <t>BASKETBALL MONSTER 262-684-9090 WI</t>
  </si>
  <si>
    <t>basketball_monster</t>
  </si>
  <si>
    <t>ATI10113-01120970 310-627-2866 CAAPPLE PAY ENDING IN 1455</t>
  </si>
  <si>
    <t>TM *YOUNG THE GIANT 800-653-8000 CAWDC/44-32173</t>
  </si>
  <si>
    <t>SQ *BAGEL STREET CAFE MILLBRAE CA0001152921513332617171</t>
  </si>
  <si>
    <t>DEAN'S PRODUCE. MILLBRAE CA</t>
  </si>
  <si>
    <t>SQ *BAGEL STREET CAFE MILLBRAE CA0001152921513332613682</t>
  </si>
  <si>
    <t>ZOOM.US 888-799-9666 8887999666 CA</t>
  </si>
  <si>
    <t>zoo</t>
  </si>
  <si>
    <t>SQ *CAFE ENCORE COFFEE SAN FRANCISCOCA0001152921513343945683</t>
  </si>
  <si>
    <t>PRESTIGE PARK LLC SAN FRANCISCOCA</t>
  </si>
  <si>
    <t>LAZ PARKING 680399-WC SAN FRANCISCOCA</t>
  </si>
  <si>
    <t>SQ *AMORINO SAN FRANCI SAN FRANCISCOCA0001152921513354151401</t>
  </si>
  <si>
    <t>AMZN MKTP US*O619E3LH3 AMZN.COM/BILLWA6K0ETQ6A8O8</t>
  </si>
  <si>
    <t>AMZN MKTP US*QH7CE6D93 AMZN.COM/BILLWA793OBTA3B2X</t>
  </si>
  <si>
    <t>AMAZON.COM*OL8O80KS3 AMZN.COM/BILLWAJR2XBXK4IDL</t>
  </si>
  <si>
    <t>TRADER JOE S #067 SAN MATEO CA</t>
  </si>
  <si>
    <t>SPOTIFY P26E3F1FB8 8777781161 NY</t>
  </si>
  <si>
    <t>POPEYES 10707 415-309-7816 CAAPPLE PAY ENDING IN 1455</t>
  </si>
  <si>
    <t>POPEYES 10707 REDWOOD CITY CA</t>
  </si>
  <si>
    <t>VAN NESS MARKET SAN FRANCISCOCA</t>
  </si>
  <si>
    <t>ONEPASS 877-515-9364 MN207237</t>
  </si>
  <si>
    <t>ONEPASS 877-515-9364 MN208138</t>
  </si>
  <si>
    <t>MCDONALD'S F3942 BALTIMORE MD</t>
  </si>
  <si>
    <t>MW TUX #3561 GLEN BURNIE MD</t>
  </si>
  <si>
    <t>TST* KABOD COFFEE - B1 DENVER CO00143219014476140933AA</t>
  </si>
  <si>
    <t>DUET, INC. 5407368490 FL</t>
  </si>
  <si>
    <t>Duet</t>
  </si>
  <si>
    <t>BRYANSTATIONHIGHSCHOOL 2062850906 KYAPPLE PAY ENDING IN 1455</t>
  </si>
  <si>
    <t>ALL STAR PLUMBING LLC 410-841-9214 MD</t>
  </si>
  <si>
    <t>APPLE.COM/BILL 866-712-7753 CAAPPLE PAY ENDING IN 1455MMWDNSF7BJA0</t>
  </si>
  <si>
    <t>TST* OPEN CITY - DC WASHINGTON DC00020378014561529354AA</t>
  </si>
  <si>
    <t>WL *SQUARE ENIX 310-846-0345 CAWL *SQUARE ENIX</t>
  </si>
  <si>
    <t>CHICK-FIL-A #02222 4102882211 MDAPPLE PAY ENDING IN 1455</t>
  </si>
  <si>
    <t>TARGET 00019703091 MIDDLE RIVER MD</t>
  </si>
  <si>
    <t>DIAMOND CITGO PIKESVILLE MDL13612066</t>
  </si>
  <si>
    <t>live_baseball</t>
  </si>
  <si>
    <t>TARGET 00015412091 PIKESVILLE MD</t>
  </si>
  <si>
    <t>TYPESET 7372426703 MDREVERSAL OF TEMPORARY CREDIT</t>
  </si>
  <si>
    <t>TYPESET 7372426703 MD</t>
  </si>
  <si>
    <t>SUBWAY 27648 BALTIMORE MD</t>
  </si>
  <si>
    <t>TYPESET 7372426703 MDTEMPORARY CREDIT PENDING INVESTIGATION</t>
  </si>
  <si>
    <t>CYBERGRANTS* DONATION 6072291295 MA</t>
  </si>
  <si>
    <t>DD *STOREPIZZABOLIS 6506819470 CA</t>
  </si>
  <si>
    <t>AMAZON.COM*H086P18C3 AMZN.COM/BILLWA5RGYENM691O</t>
  </si>
  <si>
    <t>AMAZON.COM*P14C508S3 AMZN.COM/BILLWA35DY90A7H7E</t>
  </si>
  <si>
    <t>GROUPGREETING 4155626079 CA</t>
  </si>
  <si>
    <t>home_supplies</t>
  </si>
  <si>
    <t>LA FITNESS PRY HAL-RTE 1 NOTTINGHAM MD</t>
  </si>
  <si>
    <t>AMAZON.COM AMZN.COM/BILLWA6KJ5ABXOFWE</t>
  </si>
  <si>
    <t>TARGET 00011429091 TOWSON MD</t>
  </si>
  <si>
    <t>WEIS MARKETS 206 NOTTINGHAM MD</t>
  </si>
  <si>
    <t>SHELL RECHARGE 855-900-7584 CA</t>
  </si>
  <si>
    <t>DICKS SPORTING GOODS OSAGEBEACH TN</t>
  </si>
  <si>
    <t>FH* KRAKEN KOURTS SKA 8333880106 CO</t>
  </si>
  <si>
    <t>WALMART STORE 02799 CLINTON MD</t>
  </si>
  <si>
    <t>TACO BELL 739964 203-305-4323 MDAPPLE PAY ENDING IN 1455</t>
  </si>
  <si>
    <t>PREMIUM PARKING 8442362011 LA</t>
  </si>
  <si>
    <t>TST* KRAKEN KOURTS WASHINGTON DC00114791014746150922AA</t>
  </si>
  <si>
    <t>TST* KRAKEN KOURTS WASHINGTON DC00114791014745601083AA</t>
  </si>
  <si>
    <t>TST* KRAKEN KOURTS WASHINGTON DC00114791014745783811AA</t>
  </si>
  <si>
    <t>ELECTRIFY AMERICA 8336322778 VA</t>
  </si>
  <si>
    <t>CVS/PHARMACY #02005 DISTRICT HEIGMD</t>
  </si>
  <si>
    <t>CHARLEYS PHILLY STEAKS 5 SILVER SPRINGMD</t>
  </si>
  <si>
    <t>AMZN MKTP US*TR31A3YC3 AMZN.COM/BILLWA2CYI6TQ9ZV5</t>
  </si>
  <si>
    <t>MCDONALDS 28182 BALTIMORE MD</t>
  </si>
  <si>
    <t>BLINK CHARGING CO 888-998-2546 FLBLINK CHARGING CO</t>
  </si>
  <si>
    <t>E-TEA 49 SW 2026608399 DC</t>
  </si>
  <si>
    <t>MCDONALDS 12225 NOTTINGHAM MD</t>
  </si>
  <si>
    <t>PY *KUNG FU TEA BETHESDA BETHESDA MD</t>
  </si>
  <si>
    <t>UNIQLO USA LLC UNIQLO N BETHESDA MD</t>
  </si>
  <si>
    <t>SQ *OLNEY THEATRE CENT OLNEY MD0002305843018860064998</t>
  </si>
  <si>
    <t>RUBY THAI KITCHEN MONTGO BETHESDA MD</t>
  </si>
  <si>
    <t>MINISO DEPOT MONTGOMERY BETHESDA MD</t>
  </si>
  <si>
    <t>AMC 0368 WHEATON MALL WHEATON MD</t>
  </si>
  <si>
    <t>DUNKIN #330619 Q35 SILVER SPRINGMD</t>
  </si>
  <si>
    <t>0795 HOLIDAY PHOTO BETHESDA MD</t>
  </si>
  <si>
    <t>POMODORO PASTA PIZZA AND STERLING VA</t>
  </si>
  <si>
    <t>CSP* AUTOBAHN - DULLES STERLING VA</t>
  </si>
  <si>
    <t>CSP* AUTOBAHN CC - DUL 571-353-1220 VA</t>
  </si>
  <si>
    <t>CSP*CONVENIENCE FEE 877-751-3200 CA</t>
  </si>
  <si>
    <t>EVGO SERVICES LOS ANGELES CA</t>
  </si>
  <si>
    <t>WALGREENS #19650 ARLINGTON VA</t>
  </si>
  <si>
    <t>MICRO CENTER-TOWSON EAST BALTIMORE MD</t>
  </si>
  <si>
    <t>CHARLEYS PHILLY STEAKS 0 4104975469 MD</t>
  </si>
  <si>
    <t>AMAZON.COM*QJ4XY7Z63 AMZN.COM/BILLWA34DK8ND627F</t>
  </si>
  <si>
    <t>AMZN MKTP US*JA1MY9YF3 AMZN.COM/BILLWA7AQVTXO0PIB</t>
  </si>
  <si>
    <t>APPLE.COM/BILL 866-712-7753 CAAPPLE PAY ENDING IN 1455MMWDS2T7X0A0</t>
  </si>
  <si>
    <t>MCDONALDS 20966 PARKVILLE MD</t>
  </si>
  <si>
    <t>WALMART STORE 03489 BALTIMORE MD</t>
  </si>
  <si>
    <t>ARLINGTON DRAFTHOUSE ARLINGTON VA</t>
  </si>
  <si>
    <t>THE ANTHEM WASHINGTON DC00168P</t>
  </si>
  <si>
    <t>THE ANTHEM WASHINGTON DC00193P</t>
  </si>
  <si>
    <t>SPOTIFY P279F05226 8777781161 NY</t>
  </si>
  <si>
    <t>SQ *DONKEYS &amp; SCOOTERS WASHINGTON DC0002305843018899495122</t>
  </si>
  <si>
    <t>COLUMBIA PIKE CITGO ARLINGTON VAL15867007</t>
  </si>
  <si>
    <t>AMC 2817 WHITE MARSH 1 BALTIMORE MDAPPLE PAY ENDING IN 1455</t>
  </si>
  <si>
    <t>ATI3808-210212823 310-627-2866 CAAPPLE PAY ENDING IN 1455</t>
  </si>
  <si>
    <t>BOB &amp; EDITHS DINER ARLINGTON VA</t>
  </si>
  <si>
    <t>ONEPASS 877-515-9364 MN230795</t>
  </si>
  <si>
    <t>ONEPASS 877-515-9364 MN229964</t>
  </si>
  <si>
    <t>DUNKIN #348747 Q35 BALTIMORE MD</t>
  </si>
  <si>
    <t>A S C</t>
  </si>
  <si>
    <t>SQ *TENNIS STATION BUR BURLINGAME CA0001152921513474031125</t>
  </si>
  <si>
    <t>AMAZON.COM*LD0YV9H23 AMZN.COM/BILLWA7VW87A9X7J4</t>
  </si>
  <si>
    <t>AMAZON.COM*V869J8XS3 AMZN.COM/BILLWA63V41SEAME2</t>
  </si>
  <si>
    <t>AMZN MKTP US*TL5FN3DM3 AMZN.COM/BILLWA4CGUWRHEIYY</t>
  </si>
  <si>
    <t>SQ *47 HILLS BREWING C SOUTH SAN FRACA0001152921513481417731</t>
  </si>
  <si>
    <t>ATG USA LLC 727-2824429 FL</t>
  </si>
  <si>
    <t>AMZN MKTP US*U91N19NO3 AMZN.COM/BILLWA6K4XJ96HAMF</t>
  </si>
  <si>
    <t>AMAZON.COM*YZ2367I43 AMZN.COM/BILLWA2QH41IQDXWK</t>
  </si>
  <si>
    <t>APPLE.COM/BILL 866-712-7753 CAAPPLE PAY ENDING IN 1455MMWDT26SV2A0</t>
  </si>
  <si>
    <t>SOFAR SOUNDS 6468465019 MA</t>
  </si>
  <si>
    <t>WALGREENS #12257 BURLINGAME CA</t>
  </si>
  <si>
    <t>GRUBHUBTAQUERIALACUMB 877-585-1085 NYAPPLE PAY ENDING IN 1455</t>
  </si>
  <si>
    <t>DICKS SPORTING GOODS DALY CITY TN</t>
  </si>
  <si>
    <t>UNRECOGNIZED TRAN CHRGBKAN ADJUSTMENT TO YOUR ACCOUNT</t>
  </si>
  <si>
    <t>SNACK* SOMI SOMI SAN M 8668682146 CA</t>
  </si>
  <si>
    <t>TST* DAEHO KALBIJJIM - SAN MATEO CA00076211015087355906AA</t>
  </si>
  <si>
    <t>CASHBACK BONUS REDEMPTION PYMT/STMT CRDT</t>
  </si>
  <si>
    <t>cashback_bonus</t>
  </si>
  <si>
    <t>BEARD PAPA'S SAN MATEO CA</t>
  </si>
  <si>
    <t>LA FITNESS 949-255-8100 CA</t>
  </si>
  <si>
    <t>AMZN MKTP US*1M1M54X43 AMZN.COM/BILLWA1HZWR94JT3W</t>
  </si>
  <si>
    <t>MI RANCHO MARKET SAN MATEO CA</t>
  </si>
  <si>
    <t>TST* LIVING ROOM COFFE CAMPBELL CA00003021015208543689AA</t>
  </si>
  <si>
    <t>JIFFY LUBE #297 CAMPBELL CA12202023</t>
  </si>
  <si>
    <t>GRUBHUBTAQUERIALASPEN 877-585-1085 NYAPPLE PAY ENDING IN 1455</t>
  </si>
  <si>
    <t>1946 THE MOVIE 3232208730 CAAPPLE PAY ENDING IN 1455</t>
  </si>
  <si>
    <t>1946</t>
  </si>
  <si>
    <t>AMAZON.COM*000Q12Z53 AMZN.COM/BILLWA67WZTPZFQ4W</t>
  </si>
  <si>
    <t>TM TICKETMASTER 800-653-8000 CA</t>
  </si>
  <si>
    <t>ZHANGLIANG MALATANG SAN MATEO CA</t>
  </si>
  <si>
    <t>NOODLES &amp; THINGS MILLBRAE CA</t>
  </si>
  <si>
    <t>SQ *SAN MATEO SOMISOMI SAN MATEO CA0001152921513527577846</t>
  </si>
  <si>
    <t>TRADER JOE S #170 MILLBRAE CA</t>
  </si>
  <si>
    <t>APPLE.COM/BILL 866-712-7753 CAAPPLE PAY ENDING IN 1455</t>
  </si>
  <si>
    <t>STUBHUB, INC. 866-788-2482 CA</t>
  </si>
  <si>
    <t>ADOBE INC. 408-536-6000 CA</t>
  </si>
  <si>
    <t>adobe</t>
  </si>
  <si>
    <t>AMZN MKTP US*JH0C67TF3 AMZN.COM/BILLWA5MHP0ZC66PB</t>
  </si>
  <si>
    <t>TARGET 00011221091 SAN MATEO CAAPPLE PAY ENDING IN 1455</t>
  </si>
  <si>
    <t>SQ *LEVY @ REGENCY BAL SAN FRANCISCOCA0001152921513544240976</t>
  </si>
  <si>
    <t>SQ *LEVY @ REGENCY BAL SAN FRANCISCOCA0001152921513544218720</t>
  </si>
  <si>
    <t>SQ *ZAREEN'S RESTAURAN REDWOOD CITY CA0001152921513546327493</t>
  </si>
  <si>
    <t>TST* LIVING ROOM COFFEE CAMPBELL CA</t>
  </si>
  <si>
    <t>APPLE FRITTER SAN MATEO CA</t>
  </si>
  <si>
    <t>SQ *ZAREEN'S RESTAURAN REDWOOD CITY CA0001152921513549215564</t>
  </si>
  <si>
    <t>Synchrony Bank CC PYMT SEP 23 524306003390321 SEAN LEWIS</t>
  </si>
  <si>
    <t>VENMO PAYMENT 231004 1029794729114 SEAN LEWIS</t>
  </si>
  <si>
    <t>Nationwide PAYROLL 01 HRP0009721439 Sean Lewis</t>
  </si>
  <si>
    <t>PURCHASE AUTHORIZED ON 10/08 A&amp;A GAS BURLINGAME CA P583281765406659 CARD 1081</t>
  </si>
  <si>
    <t>VENMO PAYMENT 231014 1030000482236 SEAN LEWIS</t>
  </si>
  <si>
    <t>MONEY TRANSFER AUTHORIZED ON 10/15 CASH APP*SHEVON LE 800-9691940 CA S303288848919925 CARD 1081</t>
  </si>
  <si>
    <t>T-MOBILE PCS SVC 231017 3433709 DON LEWIS</t>
  </si>
  <si>
    <t>ZELLE TO LEWIS JAYELIN ON 10/18 REF #PP0RN4RH5L FLIGHT</t>
  </si>
  <si>
    <t>ZELLE FROM LEWIS SHARON ON 10/19 REF # PP0RN7PPHT PLEASE SEND TO SHEVON FOR ME</t>
  </si>
  <si>
    <t>ZELLE FROM GONZALEZ JONATHAN ON 10/19 REF # PP0RN6JQ63</t>
  </si>
  <si>
    <t>Nationwide PAYROLL 01 HRP0009759852 Sean Lewis</t>
  </si>
  <si>
    <t>MONEY TRANSFER AUTHORIZED ON 10/19 CASH APP*SHEVON LE 800-9691940 CA S383292820192002 CARD 1081</t>
  </si>
  <si>
    <t>PURCHASE AUTHORIZED ON 10/18 ACE PARKING 4826 REDWOOD CITY CA S463292194112999 CARD 1081</t>
  </si>
  <si>
    <t>ZELLE TO BATKITAR MUHAMMED SUKRU ON 10/25 REF #PP0RNNHJZN FOR HAIRCUT THANK YOU</t>
  </si>
  <si>
    <t>Nationwide PAYROLL 01 HRP0009800222 Sean Lewis</t>
  </si>
  <si>
    <t>MONEY TRANSFER AUTHORIZED ON 11/12 CASH APP*KAIYA 800-9691940 CA S463316597039027 CARD 1081</t>
  </si>
  <si>
    <t>VENMO PAYMENT 231115 1030632950804 SEAN LEWIS</t>
  </si>
  <si>
    <t>ZELLE TO LEWIS DORRY ON 11/15 REF #PP0RQBFHCK FOR BILLS</t>
  </si>
  <si>
    <t>Nationwide PAYROLL 01 HRP0009835502 Sean Lewis</t>
  </si>
  <si>
    <t>T-MOBILE PCS SVC 231117 2414638 DON LEWIS</t>
  </si>
  <si>
    <t>PURCHASE AUTHORIZED ON 11/19 WAL-MART #3489 BALTIMORE MD P000000271890237 CARD 1081</t>
  </si>
  <si>
    <t>PURCHASE AUTHORIZED ON 11/19 WALMART.COM 800-966-6546 AR S583323436381063 CARD 1081</t>
  </si>
  <si>
    <t>PURCHASE AUTHORIZED ON 11/20 LEGEND FOOD SERVIC LINTHICUM HEI MD S303324481470052 CARD 1081</t>
  </si>
  <si>
    <t>ZELLE FROM LEWIS SHARON ON 11/21 REF # PP0RQSYKSP</t>
  </si>
  <si>
    <t>SoFi Bank TRANSFER SD1300 SLewis Sean Lewis:66806:585</t>
  </si>
  <si>
    <t>Nationwide PAYROLL 01 HRP0009885267 Sean Lewis</t>
  </si>
  <si>
    <t>MONEY TRANSFER AUTHORIZED ON 11/30 CASH APP*KAIYA 800-9691940 CA S303334508096256 CARD 1081</t>
  </si>
  <si>
    <t>PURCHASE AUTHORIZED ON 12/10 SHELL SERVICE STATION SAN MATEO CA P583345020617941 CARD 1081</t>
  </si>
  <si>
    <t>ZELLE TO LEWIS DORRY ON 12/10 REF #PP0RS9RBY9 FOR SKYLAR WIG</t>
  </si>
  <si>
    <t>PURCHASE AUTHORIZED ON 12/08 QuickCard 877-371- San Diego CA S383343022223549 CARD 1081</t>
  </si>
  <si>
    <t>Nationwide PAYROLL 01 HRP0009913992 Sean Lewis</t>
  </si>
  <si>
    <t>T-MOBILE PCS SVC 231217 1862727 DON LEWIS</t>
  </si>
  <si>
    <t>ZELLE TO LEWIS SHARON ON 12/20 REF #PP0RT3TSH8 DINING OUT</t>
  </si>
  <si>
    <t>ZELLE TO LEWIS JAYELIN ON 12/21 REF #PP0RT5GTWD FOR SUIT</t>
  </si>
  <si>
    <t>Cash eWithdrawal in Branch 12/26/2023 10:37 AM 100 E 4TH AVE SAN MATEO CA 1081</t>
  </si>
  <si>
    <t>Nationwide PAYROLL 01 HRP0009951674 Sean Lewis</t>
  </si>
  <si>
    <t>ZELLE FROM LEWIS SHARON ON 12/29 REF # PP0RTQR9Z7 THANKS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</si>
</sst>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yyyy\-mm\-dd\ hh:mm:ss"/>
    <numFmt numFmtId="166" formatCode="&quot;$&quot;#,##0.00"/>
    <numFmt numFmtId="167" formatCode="_(* #,##0_);_(* \(#,##0\);_(* &quot;-&quot;??_);_(@_)"/>
    <numFmt numFmtId="168" formatCode="[$-409]d\-mmm\-yy;@"/>
    <numFmt numFmtId="169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sz val="10"/>
      <color theme="1" tint="4.9989318521683403E-2"/>
      <name val="Arial"/>
      <family val="2"/>
    </font>
    <font>
      <sz val="11"/>
      <color theme="1" tint="4.9989318521683403E-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2E86DE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2">
    <xf numFmtId="0" fontId="0" fillId="0" borderId="0" xfId="0"/>
    <xf numFmtId="43" fontId="0" fillId="0" borderId="0" xfId="1" applyFont="1"/>
    <xf numFmtId="44" fontId="0" fillId="0" borderId="0" xfId="2" applyFont="1"/>
    <xf numFmtId="164" fontId="0" fillId="0" borderId="0" xfId="0" applyNumberFormat="1"/>
    <xf numFmtId="14" fontId="0" fillId="0" borderId="0" xfId="0" applyNumberFormat="1"/>
    <xf numFmtId="8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4" fillId="0" borderId="3" xfId="0" applyFont="1" applyBorder="1"/>
    <xf numFmtId="0" fontId="4" fillId="0" borderId="4" xfId="0" applyFont="1" applyBorder="1"/>
    <xf numFmtId="0" fontId="0" fillId="0" borderId="0" xfId="1" applyNumberFormat="1" applyFont="1"/>
    <xf numFmtId="0" fontId="3" fillId="0" borderId="0" xfId="0" applyFont="1"/>
    <xf numFmtId="44" fontId="0" fillId="0" borderId="0" xfId="0" applyNumberFormat="1"/>
    <xf numFmtId="0" fontId="0" fillId="0" borderId="0" xfId="0" applyAlignment="1">
      <alignment horizontal="right"/>
    </xf>
    <xf numFmtId="44" fontId="0" fillId="3" borderId="0" xfId="2" applyFont="1" applyFill="1"/>
    <xf numFmtId="0" fontId="0" fillId="4" borderId="0" xfId="0" applyFill="1"/>
    <xf numFmtId="44" fontId="0" fillId="2" borderId="0" xfId="2" applyFont="1" applyFill="1"/>
    <xf numFmtId="0" fontId="0" fillId="5" borderId="0" xfId="0" applyFill="1"/>
    <xf numFmtId="44" fontId="0" fillId="5" borderId="0" xfId="0" applyNumberFormat="1" applyFill="1"/>
    <xf numFmtId="44" fontId="0" fillId="4" borderId="0" xfId="2" applyFont="1" applyFill="1"/>
    <xf numFmtId="44" fontId="0" fillId="5" borderId="0" xfId="2" applyFont="1" applyFill="1"/>
    <xf numFmtId="44" fontId="0" fillId="4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pivotButton="1" applyNumberFormat="1"/>
    <xf numFmtId="0" fontId="3" fillId="0" borderId="0" xfId="0" applyFont="1" applyAlignment="1">
      <alignment horizontal="center" vertical="top"/>
    </xf>
    <xf numFmtId="17" fontId="0" fillId="0" borderId="0" xfId="0" applyNumberFormat="1"/>
    <xf numFmtId="166" fontId="0" fillId="0" borderId="0" xfId="0" applyNumberFormat="1"/>
    <xf numFmtId="44" fontId="0" fillId="2" borderId="0" xfId="0" applyNumberFormat="1" applyFill="1"/>
    <xf numFmtId="9" fontId="0" fillId="0" borderId="0" xfId="3" applyFont="1"/>
    <xf numFmtId="167" fontId="0" fillId="0" borderId="0" xfId="1" applyNumberFormat="1" applyFont="1"/>
    <xf numFmtId="167" fontId="3" fillId="0" borderId="0" xfId="1" applyNumberFormat="1" applyFont="1" applyBorder="1" applyAlignment="1">
      <alignment horizontal="center" vertical="top"/>
    </xf>
    <xf numFmtId="0" fontId="6" fillId="0" borderId="7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0" borderId="9" xfId="0" applyFont="1" applyBorder="1" applyAlignment="1">
      <alignment horizontal="right" wrapText="1"/>
    </xf>
    <xf numFmtId="0" fontId="7" fillId="0" borderId="10" xfId="0" applyFont="1" applyBorder="1" applyAlignment="1">
      <alignment wrapText="1"/>
    </xf>
    <xf numFmtId="0" fontId="6" fillId="0" borderId="11" xfId="0" applyFont="1" applyBorder="1" applyAlignment="1">
      <alignment horizontal="right" wrapText="1"/>
    </xf>
    <xf numFmtId="0" fontId="6" fillId="0" borderId="11" xfId="0" applyFont="1" applyBorder="1" applyAlignment="1">
      <alignment wrapText="1"/>
    </xf>
    <xf numFmtId="0" fontId="6" fillId="0" borderId="0" xfId="0" applyFont="1" applyAlignment="1">
      <alignment horizontal="right" wrapText="1"/>
    </xf>
    <xf numFmtId="0" fontId="7" fillId="0" borderId="7" xfId="0" applyFont="1" applyBorder="1" applyAlignment="1">
      <alignment wrapText="1"/>
    </xf>
    <xf numFmtId="0" fontId="6" fillId="0" borderId="0" xfId="0" applyFont="1" applyAlignment="1">
      <alignment wrapText="1"/>
    </xf>
    <xf numFmtId="0" fontId="4" fillId="0" borderId="0" xfId="0" applyFont="1"/>
    <xf numFmtId="166" fontId="0" fillId="0" borderId="5" xfId="0" applyNumberFormat="1" applyBorder="1"/>
    <xf numFmtId="43" fontId="0" fillId="0" borderId="0" xfId="1" applyFont="1" applyBorder="1"/>
    <xf numFmtId="1" fontId="4" fillId="0" borderId="16" xfId="0" applyNumberFormat="1" applyFont="1" applyBorder="1"/>
    <xf numFmtId="1" fontId="0" fillId="0" borderId="0" xfId="0" applyNumberForma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right"/>
    </xf>
    <xf numFmtId="8" fontId="6" fillId="0" borderId="0" xfId="0" applyNumberFormat="1" applyFont="1" applyAlignment="1">
      <alignment horizontal="right"/>
    </xf>
    <xf numFmtId="44" fontId="6" fillId="0" borderId="0" xfId="2" applyFont="1" applyBorder="1" applyAlignment="1">
      <alignment horizontal="right"/>
    </xf>
    <xf numFmtId="1" fontId="3" fillId="0" borderId="6" xfId="0" applyNumberFormat="1" applyFont="1" applyBorder="1" applyAlignment="1">
      <alignment horizontal="center" vertical="top"/>
    </xf>
    <xf numFmtId="1" fontId="2" fillId="0" borderId="3" xfId="0" applyNumberFormat="1" applyFont="1" applyBorder="1"/>
    <xf numFmtId="1" fontId="0" fillId="0" borderId="0" xfId="0" applyNumberFormat="1" applyAlignment="1">
      <alignment vertical="center"/>
    </xf>
    <xf numFmtId="6" fontId="6" fillId="0" borderId="0" xfId="3" applyNumberFormat="1" applyFont="1" applyAlignment="1">
      <alignment horizontal="right"/>
    </xf>
    <xf numFmtId="44" fontId="6" fillId="0" borderId="1" xfId="2" applyFont="1" applyBorder="1" applyAlignment="1">
      <alignment horizontal="right"/>
    </xf>
    <xf numFmtId="6" fontId="6" fillId="6" borderId="1" xfId="0" applyNumberFormat="1" applyFont="1" applyFill="1" applyBorder="1" applyAlignment="1">
      <alignment horizontal="right"/>
    </xf>
    <xf numFmtId="6" fontId="6" fillId="7" borderId="1" xfId="0" applyNumberFormat="1" applyFont="1" applyFill="1" applyBorder="1" applyAlignment="1">
      <alignment horizontal="right"/>
    </xf>
    <xf numFmtId="166" fontId="0" fillId="0" borderId="0" xfId="0" quotePrefix="1" applyNumberFormat="1"/>
    <xf numFmtId="6" fontId="0" fillId="0" borderId="0" xfId="0" applyNumberFormat="1"/>
    <xf numFmtId="0" fontId="0" fillId="2" borderId="0" xfId="0" applyFill="1"/>
    <xf numFmtId="44" fontId="0" fillId="8" borderId="0" xfId="2" applyFont="1" applyFill="1"/>
    <xf numFmtId="44" fontId="0" fillId="8" borderId="0" xfId="0" applyNumberFormat="1" applyFill="1"/>
    <xf numFmtId="0" fontId="6" fillId="0" borderId="0" xfId="0" quotePrefix="1" applyFont="1" applyAlignment="1">
      <alignment horizontal="left" indent="1"/>
    </xf>
    <xf numFmtId="0" fontId="0" fillId="0" borderId="0" xfId="0" quotePrefix="1" applyAlignment="1">
      <alignment horizontal="left" indent="1"/>
    </xf>
    <xf numFmtId="0" fontId="0" fillId="8" borderId="0" xfId="0" applyFill="1"/>
    <xf numFmtId="0" fontId="3" fillId="0" borderId="0" xfId="0" applyFont="1" applyAlignment="1">
      <alignment horizontal="left"/>
    </xf>
    <xf numFmtId="44" fontId="8" fillId="9" borderId="0" xfId="0" applyNumberFormat="1" applyFont="1" applyFill="1"/>
    <xf numFmtId="44" fontId="0" fillId="9" borderId="0" xfId="0" applyNumberFormat="1" applyFill="1"/>
    <xf numFmtId="9" fontId="0" fillId="0" borderId="0" xfId="0" applyNumberFormat="1"/>
    <xf numFmtId="43" fontId="0" fillId="0" borderId="0" xfId="0" applyNumberFormat="1"/>
    <xf numFmtId="8" fontId="0" fillId="11" borderId="0" xfId="2" applyNumberFormat="1" applyFont="1" applyFill="1"/>
    <xf numFmtId="44" fontId="9" fillId="0" borderId="0" xfId="2" applyFont="1"/>
    <xf numFmtId="4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40" fontId="0" fillId="0" borderId="0" xfId="1" applyNumberFormat="1" applyFont="1"/>
    <xf numFmtId="8" fontId="10" fillId="11" borderId="0" xfId="2" applyNumberFormat="1" applyFont="1" applyFill="1"/>
    <xf numFmtId="14" fontId="0" fillId="10" borderId="0" xfId="0" applyNumberFormat="1" applyFill="1"/>
    <xf numFmtId="168" fontId="0" fillId="10" borderId="0" xfId="0" applyNumberFormat="1" applyFill="1"/>
    <xf numFmtId="168" fontId="0" fillId="0" borderId="0" xfId="0" applyNumberFormat="1"/>
    <xf numFmtId="8" fontId="0" fillId="2" borderId="0" xfId="0" applyNumberFormat="1" applyFill="1"/>
    <xf numFmtId="169" fontId="0" fillId="0" borderId="0" xfId="3" applyNumberFormat="1" applyFont="1"/>
    <xf numFmtId="10" fontId="0" fillId="0" borderId="0" xfId="3" applyNumberFormat="1" applyFont="1"/>
    <xf numFmtId="8" fontId="0" fillId="0" borderId="0" xfId="2" applyNumberFormat="1" applyFont="1"/>
    <xf numFmtId="0" fontId="0" fillId="9" borderId="0" xfId="0" applyFill="1"/>
    <xf numFmtId="0" fontId="0" fillId="12" borderId="0" xfId="0" applyFill="1"/>
    <xf numFmtId="44" fontId="6" fillId="0" borderId="0" xfId="2" applyFont="1" applyAlignment="1">
      <alignment horizontal="right" wrapText="1"/>
    </xf>
    <xf numFmtId="44" fontId="6" fillId="0" borderId="11" xfId="2" applyFont="1" applyBorder="1" applyAlignment="1">
      <alignment horizontal="right" wrapText="1"/>
    </xf>
    <xf numFmtId="44" fontId="6" fillId="0" borderId="11" xfId="2" applyFont="1" applyBorder="1" applyAlignment="1">
      <alignment wrapText="1"/>
    </xf>
    <xf numFmtId="164" fontId="0" fillId="0" borderId="0" xfId="2" applyNumberFormat="1" applyFont="1"/>
    <xf numFmtId="0" fontId="11" fillId="0" borderId="1" xfId="0" applyFont="1" applyBorder="1" applyAlignment="1">
      <alignment horizontal="center" vertical="top"/>
    </xf>
    <xf numFmtId="44" fontId="12" fillId="0" borderId="0" xfId="2" applyFont="1" applyAlignment="1">
      <alignment horizontal="right" wrapText="1"/>
    </xf>
    <xf numFmtId="0" fontId="12" fillId="0" borderId="0" xfId="0" applyFont="1" applyAlignment="1">
      <alignment horizontal="right" wrapText="1"/>
    </xf>
    <xf numFmtId="44" fontId="12" fillId="0" borderId="11" xfId="2" applyFont="1" applyBorder="1" applyAlignment="1">
      <alignment horizontal="right" wrapText="1"/>
    </xf>
    <xf numFmtId="44" fontId="12" fillId="0" borderId="11" xfId="2" applyFont="1" applyBorder="1" applyAlignment="1">
      <alignment wrapText="1"/>
    </xf>
    <xf numFmtId="44" fontId="13" fillId="0" borderId="0" xfId="0" applyNumberFormat="1" applyFont="1"/>
    <xf numFmtId="9" fontId="13" fillId="0" borderId="0" xfId="3" applyFont="1"/>
    <xf numFmtId="40" fontId="0" fillId="0" borderId="0" xfId="1" applyNumberFormat="1" applyFont="1" applyAlignment="1">
      <alignment vertical="center"/>
    </xf>
    <xf numFmtId="14" fontId="14" fillId="13" borderId="0" xfId="0" applyNumberFormat="1" applyFont="1" applyFill="1" applyAlignment="1">
      <alignment horizontal="center" vertical="center"/>
    </xf>
    <xf numFmtId="0" fontId="14" fillId="13" borderId="0" xfId="0" applyFont="1" applyFill="1" applyAlignment="1">
      <alignment horizontal="left" vertical="center"/>
    </xf>
    <xf numFmtId="166" fontId="14" fillId="13" borderId="0" xfId="0" applyNumberFormat="1" applyFont="1" applyFill="1" applyAlignment="1">
      <alignment horizontal="center" vertical="center"/>
    </xf>
    <xf numFmtId="0" fontId="15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15" fillId="0" borderId="1" xfId="0" applyNumberFormat="1" applyFont="1" applyBorder="1" applyAlignment="1">
      <alignment horizontal="center" vertical="top"/>
    </xf>
    <xf numFmtId="14" fontId="0" fillId="0" borderId="0" xfId="2" applyNumberFormat="1" applyFont="1"/>
    <xf numFmtId="14" fontId="0" fillId="0" borderId="0" xfId="1" applyNumberFormat="1" applyFont="1"/>
    <xf numFmtId="44" fontId="15" fillId="0" borderId="1" xfId="2" applyFont="1" applyBorder="1" applyAlignment="1">
      <alignment horizontal="center" vertical="top"/>
    </xf>
    <xf numFmtId="0" fontId="7" fillId="0" borderId="15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44" fontId="0" fillId="0" borderId="0" xfId="2" applyNumberFormat="1" applyFont="1"/>
    <xf numFmtId="1" fontId="0" fillId="0" borderId="0" xfId="0" applyNumberFormat="1" applyBorder="1"/>
    <xf numFmtId="14" fontId="0" fillId="0" borderId="0" xfId="0" applyNumberFormat="1" applyBorder="1"/>
    <xf numFmtId="166" fontId="0" fillId="0" borderId="0" xfId="0" applyNumberFormat="1" applyBorder="1"/>
    <xf numFmtId="0" fontId="0" fillId="0" borderId="0" xfId="0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03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  <dxf>
      <numFmt numFmtId="19" formatCode="m/d/yyyy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  <dxf>
      <numFmt numFmtId="19" formatCode="m/d/yyyy"/>
    </dxf>
    <dxf>
      <numFmt numFmtId="19" formatCode="m/d/yyyy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9" formatCode="m/d/yyyy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9" formatCode="m/d/yyyy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12" formatCode="&quot;$&quot;#,##0.00_);[Red]\(&quot;$&quot;#,##0.00\)"/>
    </dxf>
    <dxf>
      <numFmt numFmtId="19" formatCode="m/d/yyyy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12" formatCode="&quot;$&quot;#,##0.00_);[Red]\(&quot;$&quot;#,##0.00\)"/>
    </dxf>
    <dxf>
      <numFmt numFmtId="19" formatCode="m/d/yyyy"/>
    </dxf>
    <dxf>
      <numFmt numFmtId="1" formatCode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</dxf>
    <dxf>
      <numFmt numFmtId="12" formatCode="&quot;$&quot;#,##0.00_);[Red]\(&quot;$&quot;#,##0.00\)"/>
    </dxf>
    <dxf>
      <numFmt numFmtId="19" formatCode="m/d/yyyy"/>
    </dxf>
    <dxf>
      <numFmt numFmtId="1" formatCode="0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  <dxf>
      <numFmt numFmtId="1" formatCode="0"/>
    </dxf>
    <dxf>
      <numFmt numFmtId="1" formatCode="0"/>
    </dxf>
    <dxf>
      <numFmt numFmtId="8" formatCode="#,##0.00_);[Red]\(#,##0.00\)"/>
      <alignment horizontal="general" vertical="center" textRotation="0" wrapText="0" indent="0" justifyLastLine="0" shrinkToFit="0" readingOrder="0"/>
    </dxf>
    <dxf>
      <numFmt numFmtId="8" formatCode="#,##0.00_);[Red]\(#,##0.00\)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19" formatCode="m/d/yyyy"/>
      <alignment horizontal="general" vertical="center" textRotation="0" wrapText="0" indent="0" justifyLastLine="0" shrinkToFit="0" readingOrder="0"/>
    </dxf>
    <dxf>
      <numFmt numFmtId="1" formatCode="0"/>
      <alignment horizontal="general" vertical="center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19" formatCode="m/d/yyyy"/>
    </dxf>
    <dxf>
      <numFmt numFmtId="1" formatCode="0"/>
    </dxf>
    <dxf>
      <numFmt numFmtId="12" formatCode="&quot;$&quot;#,##0.00_);[Red]\(&quot;$&quot;#,##0.00\)"/>
    </dxf>
    <dxf>
      <numFmt numFmtId="19" formatCode="m/d/yyyy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$&quot;#,##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19" formatCode="m/d/yyyy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'Discover Data'!$R$19</c:f>
              <c:strCache>
                <c:ptCount val="1"/>
                <c:pt idx="0">
                  <c:v>Balance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'Discover Data'!$S$19:$AD$19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'Discover Data'!$S$18:$AD$18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01E-4B68-AE6B-F7FA7B6E341C}"/>
            </c:ext>
          </c:extLst>
        </c:ser>
        <c:ser>
          <c:idx val="1"/>
          <c:order val="1"/>
          <c:tx>
            <c:strRef>
              <c:f>'Discover Data'!$R$20</c:f>
              <c:strCache>
                <c:ptCount val="1"/>
                <c:pt idx="0">
                  <c:v>Payments and Credits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'Discover Data'!$S$20:$AD$20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'Discover Data'!$S$18:$AD$18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01E-4B68-AE6B-F7FA7B6E3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9232127"/>
        <c:axId val="1019232959"/>
      </c:lineChart>
      <c:catAx>
        <c:axId val="101923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32959"/>
        <c:crosses val="autoZero"/>
        <c:auto val="1"/>
        <c:lblAlgn val="ctr"/>
        <c:lblOffset val="100"/>
        <c:noMultiLvlLbl val="0"/>
      </c:catAx>
      <c:valAx>
        <c:axId val="101923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3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$B$17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fmlaLink="C17" lockText="1" noThreeD="1"/>
</file>

<file path=xl/ctrlProps/ctrlProp25.xml><?xml version="1.0" encoding="utf-8"?>
<formControlPr xmlns="http://schemas.microsoft.com/office/spreadsheetml/2009/9/main" objectType="CheckBox" checked="Checked" fmlaLink="D17" lockText="1" noThreeD="1"/>
</file>

<file path=xl/ctrlProps/ctrlProp26.xml><?xml version="1.0" encoding="utf-8"?>
<formControlPr xmlns="http://schemas.microsoft.com/office/spreadsheetml/2009/9/main" objectType="CheckBox" checked="Checked" fmlaLink="E17" lockText="1" noThreeD="1"/>
</file>

<file path=xl/ctrlProps/ctrlProp27.xml><?xml version="1.0" encoding="utf-8"?>
<formControlPr xmlns="http://schemas.microsoft.com/office/spreadsheetml/2009/9/main" objectType="CheckBox" checked="Checked" fmlaLink="F17" lockText="1" noThreeD="1"/>
</file>

<file path=xl/ctrlProps/ctrlProp28.xml><?xml version="1.0" encoding="utf-8"?>
<formControlPr xmlns="http://schemas.microsoft.com/office/spreadsheetml/2009/9/main" objectType="CheckBox" checked="Checked" fmlaLink="G17" lockText="1" noThreeD="1"/>
</file>

<file path=xl/ctrlProps/ctrlProp29.xml><?xml version="1.0" encoding="utf-8"?>
<formControlPr xmlns="http://schemas.microsoft.com/office/spreadsheetml/2009/9/main" objectType="CheckBox" checked="Checked" fmlaLink="H17" lockText="1" noThreeD="1"/>
</file>

<file path=xl/ctrlProps/ctrlProp30.xml><?xml version="1.0" encoding="utf-8"?>
<formControlPr xmlns="http://schemas.microsoft.com/office/spreadsheetml/2009/9/main" objectType="CheckBox" checked="Checked" fmlaLink="I17" lockText="1" noThreeD="1"/>
</file>

<file path=xl/ctrlProps/ctrlProp31.xml><?xml version="1.0" encoding="utf-8"?>
<formControlPr xmlns="http://schemas.microsoft.com/office/spreadsheetml/2009/9/main" objectType="CheckBox" checked="Checked" fmlaLink="J17" lockText="1" noThreeD="1"/>
</file>

<file path=xl/ctrlProps/ctrlProp32.xml><?xml version="1.0" encoding="utf-8"?>
<formControlPr xmlns="http://schemas.microsoft.com/office/spreadsheetml/2009/9/main" objectType="CheckBox" checked="Checked" fmlaLink="K17" lockText="1" noThreeD="1"/>
</file>

<file path=xl/ctrlProps/ctrlProp33.xml><?xml version="1.0" encoding="utf-8"?>
<formControlPr xmlns="http://schemas.microsoft.com/office/spreadsheetml/2009/9/main" objectType="CheckBox" checked="Checked" fmlaLink="L17" lockText="1" noThreeD="1"/>
</file>

<file path=xl/ctrlProps/ctrlProp34.xml><?xml version="1.0" encoding="utf-8"?>
<formControlPr xmlns="http://schemas.microsoft.com/office/spreadsheetml/2009/9/main" objectType="CheckBox" checked="Checked" fmlaLink="M17" lockText="1" noThreeD="1"/>
</file>

<file path=xl/ctrlProps/ctrlProp35.xml><?xml version="1.0" encoding="utf-8"?>
<formControlPr xmlns="http://schemas.microsoft.com/office/spreadsheetml/2009/9/main" objectType="CheckBox" checked="Checked" fmlaLink="N17" lockText="1" noThreeD="1"/>
</file>

<file path=xl/ctrlProps/ctrlProp36.xml><?xml version="1.0" encoding="utf-8"?>
<formControlPr xmlns="http://schemas.microsoft.com/office/spreadsheetml/2009/9/main" objectType="CheckBox" checked="Checked" fmlaLink="O17" lockText="1" noThreeD="1"/>
</file>

<file path=xl/ctrlProps/ctrlProp37.xml><?xml version="1.0" encoding="utf-8"?>
<formControlPr xmlns="http://schemas.microsoft.com/office/spreadsheetml/2009/9/main" objectType="CheckBox" checked="Checked" fmlaLink="P17" lockText="1" noThreeD="1"/>
</file>

<file path=xl/ctrlProps/ctrlProp38.xml><?xml version="1.0" encoding="utf-8"?>
<formControlPr xmlns="http://schemas.microsoft.com/office/spreadsheetml/2009/9/main" objectType="CheckBox" checked="Checked" fmlaLink="Q17" lockText="1" noThreeD="1"/>
</file>

<file path=xl/ctrlProps/ctrlProp39.xml><?xml version="1.0" encoding="utf-8"?>
<formControlPr xmlns="http://schemas.microsoft.com/office/spreadsheetml/2009/9/main" objectType="CheckBox" checked="Checked" fmlaLink="R17" lockText="1" noThreeD="1"/>
</file>

<file path=xl/ctrlProps/ctrlProp40.xml><?xml version="1.0" encoding="utf-8"?>
<formControlPr xmlns="http://schemas.microsoft.com/office/spreadsheetml/2009/9/main" objectType="CheckBox" fmlaLink="S17" lockText="1" noThreeD="1"/>
</file>

<file path=xl/ctrlProps/ctrlProp41.xml><?xml version="1.0" encoding="utf-8"?>
<formControlPr xmlns="http://schemas.microsoft.com/office/spreadsheetml/2009/9/main" objectType="CheckBox" fmlaLink="T17" lockText="1" noThreeD="1"/>
</file>

<file path=xl/ctrlProps/ctrlProp42.xml><?xml version="1.0" encoding="utf-8"?>
<formControlPr xmlns="http://schemas.microsoft.com/office/spreadsheetml/2009/9/main" objectType="CheckBox" fmlaLink="U17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</xdr:row>
          <xdr:rowOff>171450</xdr:rowOff>
        </xdr:from>
        <xdr:to>
          <xdr:col>1</xdr:col>
          <xdr:colOff>257175</xdr:colOff>
          <xdr:row>17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</xdr:row>
          <xdr:rowOff>0</xdr:rowOff>
        </xdr:from>
        <xdr:to>
          <xdr:col>3</xdr:col>
          <xdr:colOff>66675</xdr:colOff>
          <xdr:row>17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</xdr:row>
          <xdr:rowOff>0</xdr:rowOff>
        </xdr:from>
        <xdr:to>
          <xdr:col>4</xdr:col>
          <xdr:colOff>57150</xdr:colOff>
          <xdr:row>17</xdr:row>
          <xdr:rowOff>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0</xdr:rowOff>
        </xdr:from>
        <xdr:to>
          <xdr:col>5</xdr:col>
          <xdr:colOff>28575</xdr:colOff>
          <xdr:row>17</xdr:row>
          <xdr:rowOff>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16</xdr:row>
          <xdr:rowOff>0</xdr:rowOff>
        </xdr:from>
        <xdr:to>
          <xdr:col>6</xdr:col>
          <xdr:colOff>9525</xdr:colOff>
          <xdr:row>17</xdr:row>
          <xdr:rowOff>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0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</xdr:row>
          <xdr:rowOff>0</xdr:rowOff>
        </xdr:from>
        <xdr:to>
          <xdr:col>7</xdr:col>
          <xdr:colOff>19050</xdr:colOff>
          <xdr:row>17</xdr:row>
          <xdr:rowOff>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0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16</xdr:row>
          <xdr:rowOff>0</xdr:rowOff>
        </xdr:from>
        <xdr:to>
          <xdr:col>8</xdr:col>
          <xdr:colOff>9525</xdr:colOff>
          <xdr:row>17</xdr:row>
          <xdr:rowOff>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0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16</xdr:row>
          <xdr:rowOff>0</xdr:rowOff>
        </xdr:from>
        <xdr:to>
          <xdr:col>9</xdr:col>
          <xdr:colOff>9525</xdr:colOff>
          <xdr:row>17</xdr:row>
          <xdr:rowOff>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0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16</xdr:row>
          <xdr:rowOff>0</xdr:rowOff>
        </xdr:from>
        <xdr:to>
          <xdr:col>10</xdr:col>
          <xdr:colOff>9525</xdr:colOff>
          <xdr:row>17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0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16</xdr:row>
          <xdr:rowOff>0</xdr:rowOff>
        </xdr:from>
        <xdr:to>
          <xdr:col>11</xdr:col>
          <xdr:colOff>9525</xdr:colOff>
          <xdr:row>17</xdr:row>
          <xdr:rowOff>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0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19050</xdr:colOff>
          <xdr:row>16</xdr:row>
          <xdr:rowOff>0</xdr:rowOff>
        </xdr:from>
        <xdr:to>
          <xdr:col>12</xdr:col>
          <xdr:colOff>9525</xdr:colOff>
          <xdr:row>17</xdr:row>
          <xdr:rowOff>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0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19050</xdr:colOff>
          <xdr:row>16</xdr:row>
          <xdr:rowOff>0</xdr:rowOff>
        </xdr:from>
        <xdr:to>
          <xdr:col>13</xdr:col>
          <xdr:colOff>9525</xdr:colOff>
          <xdr:row>17</xdr:row>
          <xdr:rowOff>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0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16</xdr:row>
          <xdr:rowOff>0</xdr:rowOff>
        </xdr:from>
        <xdr:to>
          <xdr:col>14</xdr:col>
          <xdr:colOff>9525</xdr:colOff>
          <xdr:row>17</xdr:row>
          <xdr:rowOff>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0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</xdr:colOff>
          <xdr:row>16</xdr:row>
          <xdr:rowOff>0</xdr:rowOff>
        </xdr:from>
        <xdr:to>
          <xdr:col>15</xdr:col>
          <xdr:colOff>9525</xdr:colOff>
          <xdr:row>17</xdr:row>
          <xdr:rowOff>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0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16</xdr:row>
          <xdr:rowOff>0</xdr:rowOff>
        </xdr:from>
        <xdr:to>
          <xdr:col>16</xdr:col>
          <xdr:colOff>9525</xdr:colOff>
          <xdr:row>17</xdr:row>
          <xdr:rowOff>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0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16</xdr:row>
          <xdr:rowOff>0</xdr:rowOff>
        </xdr:from>
        <xdr:to>
          <xdr:col>17</xdr:col>
          <xdr:colOff>9525</xdr:colOff>
          <xdr:row>17</xdr:row>
          <xdr:rowOff>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0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19050</xdr:colOff>
          <xdr:row>16</xdr:row>
          <xdr:rowOff>0</xdr:rowOff>
        </xdr:from>
        <xdr:to>
          <xdr:col>18</xdr:col>
          <xdr:colOff>9525</xdr:colOff>
          <xdr:row>17</xdr:row>
          <xdr:rowOff>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0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19050</xdr:colOff>
          <xdr:row>16</xdr:row>
          <xdr:rowOff>0</xdr:rowOff>
        </xdr:from>
        <xdr:to>
          <xdr:col>19</xdr:col>
          <xdr:colOff>9525</xdr:colOff>
          <xdr:row>17</xdr:row>
          <xdr:rowOff>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0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19050</xdr:colOff>
          <xdr:row>16</xdr:row>
          <xdr:rowOff>0</xdr:rowOff>
        </xdr:from>
        <xdr:to>
          <xdr:col>20</xdr:col>
          <xdr:colOff>9525</xdr:colOff>
          <xdr:row>17</xdr:row>
          <xdr:rowOff>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0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19050</xdr:colOff>
          <xdr:row>16</xdr:row>
          <xdr:rowOff>0</xdr:rowOff>
        </xdr:from>
        <xdr:to>
          <xdr:col>21</xdr:col>
          <xdr:colOff>9525</xdr:colOff>
          <xdr:row>17</xdr:row>
          <xdr:rowOff>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0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19050</xdr:colOff>
          <xdr:row>16</xdr:row>
          <xdr:rowOff>0</xdr:rowOff>
        </xdr:from>
        <xdr:to>
          <xdr:col>22</xdr:col>
          <xdr:colOff>9525</xdr:colOff>
          <xdr:row>17</xdr:row>
          <xdr:rowOff>0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0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19050</xdr:colOff>
          <xdr:row>16</xdr:row>
          <xdr:rowOff>0</xdr:rowOff>
        </xdr:from>
        <xdr:to>
          <xdr:col>23</xdr:col>
          <xdr:colOff>9525</xdr:colOff>
          <xdr:row>17</xdr:row>
          <xdr:rowOff>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0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16</xdr:row>
          <xdr:rowOff>0</xdr:rowOff>
        </xdr:from>
        <xdr:to>
          <xdr:col>24</xdr:col>
          <xdr:colOff>9525</xdr:colOff>
          <xdr:row>17</xdr:row>
          <xdr:rowOff>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0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</xdr:row>
          <xdr:rowOff>171450</xdr:rowOff>
        </xdr:from>
        <xdr:to>
          <xdr:col>2</xdr:col>
          <xdr:colOff>257175</xdr:colOff>
          <xdr:row>17</xdr:row>
          <xdr:rowOff>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0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</xdr:row>
          <xdr:rowOff>171450</xdr:rowOff>
        </xdr:from>
        <xdr:to>
          <xdr:col>3</xdr:col>
          <xdr:colOff>257175</xdr:colOff>
          <xdr:row>17</xdr:row>
          <xdr:rowOff>0</xdr:rowOff>
        </xdr:to>
        <xdr:sp macro="" textlink="">
          <xdr:nvSpPr>
            <xdr:cNvPr id="4121" name="Check Box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0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171450</xdr:rowOff>
        </xdr:from>
        <xdr:to>
          <xdr:col>4</xdr:col>
          <xdr:colOff>257175</xdr:colOff>
          <xdr:row>17</xdr:row>
          <xdr:rowOff>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0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15</xdr:row>
          <xdr:rowOff>171450</xdr:rowOff>
        </xdr:from>
        <xdr:to>
          <xdr:col>5</xdr:col>
          <xdr:colOff>257175</xdr:colOff>
          <xdr:row>17</xdr:row>
          <xdr:rowOff>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0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</xdr:row>
          <xdr:rowOff>171450</xdr:rowOff>
        </xdr:from>
        <xdr:to>
          <xdr:col>6</xdr:col>
          <xdr:colOff>257175</xdr:colOff>
          <xdr:row>17</xdr:row>
          <xdr:rowOff>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0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15</xdr:row>
          <xdr:rowOff>171450</xdr:rowOff>
        </xdr:from>
        <xdr:to>
          <xdr:col>7</xdr:col>
          <xdr:colOff>257175</xdr:colOff>
          <xdr:row>17</xdr:row>
          <xdr:rowOff>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0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15</xdr:row>
          <xdr:rowOff>171450</xdr:rowOff>
        </xdr:from>
        <xdr:to>
          <xdr:col>8</xdr:col>
          <xdr:colOff>257175</xdr:colOff>
          <xdr:row>17</xdr:row>
          <xdr:rowOff>0</xdr:rowOff>
        </xdr:to>
        <xdr:sp macro="" textlink="">
          <xdr:nvSpPr>
            <xdr:cNvPr id="4126" name="Check Box 30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0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171450</xdr:rowOff>
        </xdr:from>
        <xdr:to>
          <xdr:col>9</xdr:col>
          <xdr:colOff>257175</xdr:colOff>
          <xdr:row>17</xdr:row>
          <xdr:rowOff>0</xdr:rowOff>
        </xdr:to>
        <xdr:sp macro="" textlink="">
          <xdr:nvSpPr>
            <xdr:cNvPr id="4127" name="Check Box 31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0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15</xdr:row>
          <xdr:rowOff>171450</xdr:rowOff>
        </xdr:from>
        <xdr:to>
          <xdr:col>10</xdr:col>
          <xdr:colOff>257175</xdr:colOff>
          <xdr:row>17</xdr:row>
          <xdr:rowOff>0</xdr:rowOff>
        </xdr:to>
        <xdr:sp macro="" textlink="">
          <xdr:nvSpPr>
            <xdr:cNvPr id="4128" name="Check Box 32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0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19050</xdr:colOff>
          <xdr:row>15</xdr:row>
          <xdr:rowOff>171450</xdr:rowOff>
        </xdr:from>
        <xdr:to>
          <xdr:col>11</xdr:col>
          <xdr:colOff>257175</xdr:colOff>
          <xdr:row>17</xdr:row>
          <xdr:rowOff>0</xdr:rowOff>
        </xdr:to>
        <xdr:sp macro="" textlink="">
          <xdr:nvSpPr>
            <xdr:cNvPr id="4129" name="Check Box 33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0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19050</xdr:colOff>
          <xdr:row>15</xdr:row>
          <xdr:rowOff>171450</xdr:rowOff>
        </xdr:from>
        <xdr:to>
          <xdr:col>12</xdr:col>
          <xdr:colOff>257175</xdr:colOff>
          <xdr:row>17</xdr:row>
          <xdr:rowOff>0</xdr:rowOff>
        </xdr:to>
        <xdr:sp macro="" textlink="">
          <xdr:nvSpPr>
            <xdr:cNvPr id="4130" name="Check Box 34" hidden="1">
              <a:extLst>
                <a:ext uri="{63B3BB69-23CF-44E3-9099-C40C66FF867C}">
                  <a14:compatExt spid="_x0000_s4130"/>
                </a:ext>
                <a:ext uri="{FF2B5EF4-FFF2-40B4-BE49-F238E27FC236}">
                  <a16:creationId xmlns:a16="http://schemas.microsoft.com/office/drawing/2014/main" id="{00000000-0008-0000-0000-00002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15</xdr:row>
          <xdr:rowOff>171450</xdr:rowOff>
        </xdr:from>
        <xdr:to>
          <xdr:col>13</xdr:col>
          <xdr:colOff>257175</xdr:colOff>
          <xdr:row>17</xdr:row>
          <xdr:rowOff>0</xdr:rowOff>
        </xdr:to>
        <xdr:sp macro="" textlink="">
          <xdr:nvSpPr>
            <xdr:cNvPr id="4131" name="Check Box 35" hidden="1">
              <a:extLst>
                <a:ext uri="{63B3BB69-23CF-44E3-9099-C40C66FF867C}">
                  <a14:compatExt spid="_x0000_s4131"/>
                </a:ext>
                <a:ext uri="{FF2B5EF4-FFF2-40B4-BE49-F238E27FC236}">
                  <a16:creationId xmlns:a16="http://schemas.microsoft.com/office/drawing/2014/main" id="{00000000-0008-0000-0000-00002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</xdr:colOff>
          <xdr:row>15</xdr:row>
          <xdr:rowOff>171450</xdr:rowOff>
        </xdr:from>
        <xdr:to>
          <xdr:col>14</xdr:col>
          <xdr:colOff>257175</xdr:colOff>
          <xdr:row>17</xdr:row>
          <xdr:rowOff>0</xdr:rowOff>
        </xdr:to>
        <xdr:sp macro="" textlink="">
          <xdr:nvSpPr>
            <xdr:cNvPr id="4132" name="Check Box 36" hidden="1">
              <a:extLst>
                <a:ext uri="{63B3BB69-23CF-44E3-9099-C40C66FF867C}">
                  <a14:compatExt spid="_x0000_s4132"/>
                </a:ext>
                <a:ext uri="{FF2B5EF4-FFF2-40B4-BE49-F238E27FC236}">
                  <a16:creationId xmlns:a16="http://schemas.microsoft.com/office/drawing/2014/main" id="{00000000-0008-0000-0000-00002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15</xdr:row>
          <xdr:rowOff>171450</xdr:rowOff>
        </xdr:from>
        <xdr:to>
          <xdr:col>15</xdr:col>
          <xdr:colOff>257175</xdr:colOff>
          <xdr:row>17</xdr:row>
          <xdr:rowOff>0</xdr:rowOff>
        </xdr:to>
        <xdr:sp macro="" textlink="">
          <xdr:nvSpPr>
            <xdr:cNvPr id="4133" name="Check Box 37" hidden="1">
              <a:extLst>
                <a:ext uri="{63B3BB69-23CF-44E3-9099-C40C66FF867C}">
                  <a14:compatExt spid="_x0000_s4133"/>
                </a:ext>
                <a:ext uri="{FF2B5EF4-FFF2-40B4-BE49-F238E27FC236}">
                  <a16:creationId xmlns:a16="http://schemas.microsoft.com/office/drawing/2014/main" id="{00000000-0008-0000-0000-00002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15</xdr:row>
          <xdr:rowOff>171450</xdr:rowOff>
        </xdr:from>
        <xdr:to>
          <xdr:col>16</xdr:col>
          <xdr:colOff>257175</xdr:colOff>
          <xdr:row>17</xdr:row>
          <xdr:rowOff>0</xdr:rowOff>
        </xdr:to>
        <xdr:sp macro="" textlink="">
          <xdr:nvSpPr>
            <xdr:cNvPr id="4134" name="Check Box 38" hidden="1">
              <a:extLst>
                <a:ext uri="{63B3BB69-23CF-44E3-9099-C40C66FF867C}">
                  <a14:compatExt spid="_x0000_s4134"/>
                </a:ext>
                <a:ext uri="{FF2B5EF4-FFF2-40B4-BE49-F238E27FC236}">
                  <a16:creationId xmlns:a16="http://schemas.microsoft.com/office/drawing/2014/main" id="{00000000-0008-0000-0000-00002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19050</xdr:colOff>
          <xdr:row>15</xdr:row>
          <xdr:rowOff>171450</xdr:rowOff>
        </xdr:from>
        <xdr:to>
          <xdr:col>17</xdr:col>
          <xdr:colOff>257175</xdr:colOff>
          <xdr:row>17</xdr:row>
          <xdr:rowOff>0</xdr:rowOff>
        </xdr:to>
        <xdr:sp macro="" textlink="">
          <xdr:nvSpPr>
            <xdr:cNvPr id="4135" name="Check Box 39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00000000-0008-0000-0000-00002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19050</xdr:colOff>
          <xdr:row>15</xdr:row>
          <xdr:rowOff>171450</xdr:rowOff>
        </xdr:from>
        <xdr:to>
          <xdr:col>18</xdr:col>
          <xdr:colOff>257175</xdr:colOff>
          <xdr:row>17</xdr:row>
          <xdr:rowOff>0</xdr:rowOff>
        </xdr:to>
        <xdr:sp macro="" textlink="">
          <xdr:nvSpPr>
            <xdr:cNvPr id="4136" name="Check Box 40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00000000-0008-0000-0000-00002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19050</xdr:colOff>
          <xdr:row>15</xdr:row>
          <xdr:rowOff>171450</xdr:rowOff>
        </xdr:from>
        <xdr:to>
          <xdr:col>19</xdr:col>
          <xdr:colOff>257175</xdr:colOff>
          <xdr:row>17</xdr:row>
          <xdr:rowOff>0</xdr:rowOff>
        </xdr:to>
        <xdr:sp macro="" textlink="">
          <xdr:nvSpPr>
            <xdr:cNvPr id="4137" name="Check Box 41" hidden="1">
              <a:extLst>
                <a:ext uri="{63B3BB69-23CF-44E3-9099-C40C66FF867C}">
                  <a14:compatExt spid="_x0000_s4137"/>
                </a:ext>
                <a:ext uri="{FF2B5EF4-FFF2-40B4-BE49-F238E27FC236}">
                  <a16:creationId xmlns:a16="http://schemas.microsoft.com/office/drawing/2014/main" id="{00000000-0008-0000-0000-00002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19050</xdr:colOff>
          <xdr:row>15</xdr:row>
          <xdr:rowOff>171450</xdr:rowOff>
        </xdr:from>
        <xdr:to>
          <xdr:col>20</xdr:col>
          <xdr:colOff>257175</xdr:colOff>
          <xdr:row>17</xdr:row>
          <xdr:rowOff>0</xdr:rowOff>
        </xdr:to>
        <xdr:sp macro="" textlink="">
          <xdr:nvSpPr>
            <xdr:cNvPr id="4138" name="Check Box 42" hidden="1">
              <a:extLst>
                <a:ext uri="{63B3BB69-23CF-44E3-9099-C40C66FF867C}">
                  <a14:compatExt spid="_x0000_s4138"/>
                </a:ext>
                <a:ext uri="{FF2B5EF4-FFF2-40B4-BE49-F238E27FC236}">
                  <a16:creationId xmlns:a16="http://schemas.microsoft.com/office/drawing/2014/main" id="{00000000-0008-0000-0000-00002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19050</xdr:colOff>
          <xdr:row>15</xdr:row>
          <xdr:rowOff>171450</xdr:rowOff>
        </xdr:from>
        <xdr:to>
          <xdr:col>21</xdr:col>
          <xdr:colOff>257175</xdr:colOff>
          <xdr:row>17</xdr:row>
          <xdr:rowOff>0</xdr:rowOff>
        </xdr:to>
        <xdr:sp macro="" textlink="">
          <xdr:nvSpPr>
            <xdr:cNvPr id="4139" name="Check Box 43" hidden="1">
              <a:extLst>
                <a:ext uri="{63B3BB69-23CF-44E3-9099-C40C66FF867C}">
                  <a14:compatExt spid="_x0000_s4139"/>
                </a:ext>
                <a:ext uri="{FF2B5EF4-FFF2-40B4-BE49-F238E27FC236}">
                  <a16:creationId xmlns:a16="http://schemas.microsoft.com/office/drawing/2014/main" id="{00000000-0008-0000-0000-00002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19050</xdr:colOff>
          <xdr:row>15</xdr:row>
          <xdr:rowOff>171450</xdr:rowOff>
        </xdr:from>
        <xdr:to>
          <xdr:col>22</xdr:col>
          <xdr:colOff>257175</xdr:colOff>
          <xdr:row>17</xdr:row>
          <xdr:rowOff>0</xdr:rowOff>
        </xdr:to>
        <xdr:sp macro="" textlink="">
          <xdr:nvSpPr>
            <xdr:cNvPr id="4140" name="Check Box 44" hidden="1">
              <a:extLst>
                <a:ext uri="{63B3BB69-23CF-44E3-9099-C40C66FF867C}">
                  <a14:compatExt spid="_x0000_s4140"/>
                </a:ext>
                <a:ext uri="{FF2B5EF4-FFF2-40B4-BE49-F238E27FC236}">
                  <a16:creationId xmlns:a16="http://schemas.microsoft.com/office/drawing/2014/main" id="{00000000-0008-0000-0000-00002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15</xdr:row>
          <xdr:rowOff>171450</xdr:rowOff>
        </xdr:from>
        <xdr:to>
          <xdr:col>23</xdr:col>
          <xdr:colOff>257175</xdr:colOff>
          <xdr:row>17</xdr:row>
          <xdr:rowOff>0</xdr:rowOff>
        </xdr:to>
        <xdr:sp macro="" textlink="">
          <xdr:nvSpPr>
            <xdr:cNvPr id="4141" name="Check Box 45" hidden="1">
              <a:extLst>
                <a:ext uri="{63B3BB69-23CF-44E3-9099-C40C66FF867C}">
                  <a14:compatExt spid="_x0000_s4141"/>
                </a:ext>
                <a:ext uri="{FF2B5EF4-FFF2-40B4-BE49-F238E27FC236}">
                  <a16:creationId xmlns:a16="http://schemas.microsoft.com/office/drawing/2014/main" id="{00000000-0008-0000-0000-00002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16</xdr:row>
          <xdr:rowOff>0</xdr:rowOff>
        </xdr:from>
        <xdr:to>
          <xdr:col>24</xdr:col>
          <xdr:colOff>9525</xdr:colOff>
          <xdr:row>17</xdr:row>
          <xdr:rowOff>0</xdr:rowOff>
        </xdr:to>
        <xdr:sp macro="" textlink="">
          <xdr:nvSpPr>
            <xdr:cNvPr id="4142" name="Check Box 46" hidden="1">
              <a:extLst>
                <a:ext uri="{63B3BB69-23CF-44E3-9099-C40C66FF867C}">
                  <a14:compatExt spid="_x0000_s4142"/>
                </a:ext>
                <a:ext uri="{FF2B5EF4-FFF2-40B4-BE49-F238E27FC236}">
                  <a16:creationId xmlns:a16="http://schemas.microsoft.com/office/drawing/2014/main" id="{00000000-0008-0000-0000-00002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19050</xdr:colOff>
          <xdr:row>16</xdr:row>
          <xdr:rowOff>0</xdr:rowOff>
        </xdr:from>
        <xdr:to>
          <xdr:col>25</xdr:col>
          <xdr:colOff>9525</xdr:colOff>
          <xdr:row>17</xdr:row>
          <xdr:rowOff>0</xdr:rowOff>
        </xdr:to>
        <xdr:sp macro="" textlink="">
          <xdr:nvSpPr>
            <xdr:cNvPr id="4143" name="Check Box 47" hidden="1">
              <a:extLst>
                <a:ext uri="{63B3BB69-23CF-44E3-9099-C40C66FF867C}">
                  <a14:compatExt spid="_x0000_s4143"/>
                </a:ext>
                <a:ext uri="{FF2B5EF4-FFF2-40B4-BE49-F238E27FC236}">
                  <a16:creationId xmlns:a16="http://schemas.microsoft.com/office/drawing/2014/main" id="{00000000-0008-0000-0000-00002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19050</xdr:colOff>
          <xdr:row>16</xdr:row>
          <xdr:rowOff>0</xdr:rowOff>
        </xdr:from>
        <xdr:to>
          <xdr:col>26</xdr:col>
          <xdr:colOff>9525</xdr:colOff>
          <xdr:row>17</xdr:row>
          <xdr:rowOff>0</xdr:rowOff>
        </xdr:to>
        <xdr:sp macro="" textlink="">
          <xdr:nvSpPr>
            <xdr:cNvPr id="4144" name="Check Box 48" hidden="1">
              <a:extLst>
                <a:ext uri="{63B3BB69-23CF-44E3-9099-C40C66FF867C}">
                  <a14:compatExt spid="_x0000_s4144"/>
                </a:ext>
                <a:ext uri="{FF2B5EF4-FFF2-40B4-BE49-F238E27FC236}">
                  <a16:creationId xmlns:a16="http://schemas.microsoft.com/office/drawing/2014/main" id="{00000000-0008-0000-0000-00003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19050</xdr:colOff>
          <xdr:row>15</xdr:row>
          <xdr:rowOff>171450</xdr:rowOff>
        </xdr:from>
        <xdr:to>
          <xdr:col>24</xdr:col>
          <xdr:colOff>257175</xdr:colOff>
          <xdr:row>17</xdr:row>
          <xdr:rowOff>0</xdr:rowOff>
        </xdr:to>
        <xdr:sp macro="" textlink="">
          <xdr:nvSpPr>
            <xdr:cNvPr id="4145" name="Check Box 49" hidden="1">
              <a:extLst>
                <a:ext uri="{63B3BB69-23CF-44E3-9099-C40C66FF867C}">
                  <a14:compatExt spid="_x0000_s4145"/>
                </a:ext>
                <a:ext uri="{FF2B5EF4-FFF2-40B4-BE49-F238E27FC236}">
                  <a16:creationId xmlns:a16="http://schemas.microsoft.com/office/drawing/2014/main" id="{00000000-0008-0000-0000-00003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19050</xdr:colOff>
          <xdr:row>15</xdr:row>
          <xdr:rowOff>171450</xdr:rowOff>
        </xdr:from>
        <xdr:to>
          <xdr:col>25</xdr:col>
          <xdr:colOff>257175</xdr:colOff>
          <xdr:row>17</xdr:row>
          <xdr:rowOff>0</xdr:rowOff>
        </xdr:to>
        <xdr:sp macro="" textlink="">
          <xdr:nvSpPr>
            <xdr:cNvPr id="4146" name="Check Box 50" hidden="1">
              <a:extLst>
                <a:ext uri="{63B3BB69-23CF-44E3-9099-C40C66FF867C}">
                  <a14:compatExt spid="_x0000_s4146"/>
                </a:ext>
                <a:ext uri="{FF2B5EF4-FFF2-40B4-BE49-F238E27FC236}">
                  <a16:creationId xmlns:a16="http://schemas.microsoft.com/office/drawing/2014/main" id="{00000000-0008-0000-0000-00003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19050</xdr:colOff>
          <xdr:row>16</xdr:row>
          <xdr:rowOff>0</xdr:rowOff>
        </xdr:from>
        <xdr:to>
          <xdr:col>26</xdr:col>
          <xdr:colOff>9525</xdr:colOff>
          <xdr:row>17</xdr:row>
          <xdr:rowOff>0</xdr:rowOff>
        </xdr:to>
        <xdr:sp macro="" textlink="">
          <xdr:nvSpPr>
            <xdr:cNvPr id="4147" name="Check Box 51" hidden="1">
              <a:extLst>
                <a:ext uri="{63B3BB69-23CF-44E3-9099-C40C66FF867C}">
                  <a14:compatExt spid="_x0000_s4147"/>
                </a:ext>
                <a:ext uri="{FF2B5EF4-FFF2-40B4-BE49-F238E27FC236}">
                  <a16:creationId xmlns:a16="http://schemas.microsoft.com/office/drawing/2014/main" id="{00000000-0008-0000-0000-00003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16</xdr:row>
          <xdr:rowOff>0</xdr:rowOff>
        </xdr:from>
        <xdr:to>
          <xdr:col>27</xdr:col>
          <xdr:colOff>9525</xdr:colOff>
          <xdr:row>17</xdr:row>
          <xdr:rowOff>0</xdr:rowOff>
        </xdr:to>
        <xdr:sp macro="" textlink="">
          <xdr:nvSpPr>
            <xdr:cNvPr id="4148" name="Check Box 52" hidden="1">
              <a:extLst>
                <a:ext uri="{63B3BB69-23CF-44E3-9099-C40C66FF867C}">
                  <a14:compatExt spid="_x0000_s4148"/>
                </a:ext>
                <a:ext uri="{FF2B5EF4-FFF2-40B4-BE49-F238E27FC236}">
                  <a16:creationId xmlns:a16="http://schemas.microsoft.com/office/drawing/2014/main" id="{00000000-0008-0000-0000-00003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15</xdr:row>
          <xdr:rowOff>171450</xdr:rowOff>
        </xdr:from>
        <xdr:to>
          <xdr:col>26</xdr:col>
          <xdr:colOff>257175</xdr:colOff>
          <xdr:row>17</xdr:row>
          <xdr:rowOff>0</xdr:rowOff>
        </xdr:to>
        <xdr:sp macro="" textlink="">
          <xdr:nvSpPr>
            <xdr:cNvPr id="4149" name="Check Box 53" hidden="1">
              <a:extLst>
                <a:ext uri="{63B3BB69-23CF-44E3-9099-C40C66FF867C}">
                  <a14:compatExt spid="_x0000_s4149"/>
                </a:ext>
                <a:ext uri="{FF2B5EF4-FFF2-40B4-BE49-F238E27FC236}">
                  <a16:creationId xmlns:a16="http://schemas.microsoft.com/office/drawing/2014/main" id="{00000000-0008-0000-0000-00003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16</xdr:row>
          <xdr:rowOff>0</xdr:rowOff>
        </xdr:from>
        <xdr:to>
          <xdr:col>27</xdr:col>
          <xdr:colOff>9525</xdr:colOff>
          <xdr:row>17</xdr:row>
          <xdr:rowOff>0</xdr:rowOff>
        </xdr:to>
        <xdr:sp macro="" textlink="">
          <xdr:nvSpPr>
            <xdr:cNvPr id="4150" name="Check Box 54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00000000-0008-0000-0000-00003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19050</xdr:colOff>
          <xdr:row>16</xdr:row>
          <xdr:rowOff>0</xdr:rowOff>
        </xdr:from>
        <xdr:to>
          <xdr:col>28</xdr:col>
          <xdr:colOff>9525</xdr:colOff>
          <xdr:row>17</xdr:row>
          <xdr:rowOff>0</xdr:rowOff>
        </xdr:to>
        <xdr:sp macro="" textlink="">
          <xdr:nvSpPr>
            <xdr:cNvPr id="4151" name="Check Box 55" hidden="1">
              <a:extLst>
                <a:ext uri="{63B3BB69-23CF-44E3-9099-C40C66FF867C}">
                  <a14:compatExt spid="_x0000_s4151"/>
                </a:ext>
                <a:ext uri="{FF2B5EF4-FFF2-40B4-BE49-F238E27FC236}">
                  <a16:creationId xmlns:a16="http://schemas.microsoft.com/office/drawing/2014/main" id="{00000000-0008-0000-0000-00003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19050</xdr:colOff>
          <xdr:row>15</xdr:row>
          <xdr:rowOff>171450</xdr:rowOff>
        </xdr:from>
        <xdr:to>
          <xdr:col>27</xdr:col>
          <xdr:colOff>257175</xdr:colOff>
          <xdr:row>17</xdr:row>
          <xdr:rowOff>0</xdr:rowOff>
        </xdr:to>
        <xdr:sp macro="" textlink="">
          <xdr:nvSpPr>
            <xdr:cNvPr id="4152" name="Check Box 56" hidden="1">
              <a:extLst>
                <a:ext uri="{63B3BB69-23CF-44E3-9099-C40C66FF867C}">
                  <a14:compatExt spid="_x0000_s4152"/>
                </a:ext>
                <a:ext uri="{FF2B5EF4-FFF2-40B4-BE49-F238E27FC236}">
                  <a16:creationId xmlns:a16="http://schemas.microsoft.com/office/drawing/2014/main" id="{00000000-0008-0000-0000-00003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19050</xdr:colOff>
          <xdr:row>16</xdr:row>
          <xdr:rowOff>0</xdr:rowOff>
        </xdr:from>
        <xdr:to>
          <xdr:col>28</xdr:col>
          <xdr:colOff>9525</xdr:colOff>
          <xdr:row>17</xdr:row>
          <xdr:rowOff>0</xdr:rowOff>
        </xdr:to>
        <xdr:sp macro="" textlink="">
          <xdr:nvSpPr>
            <xdr:cNvPr id="4153" name="Check Box 57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00000000-0008-0000-0000-00003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19050</xdr:colOff>
          <xdr:row>16</xdr:row>
          <xdr:rowOff>0</xdr:rowOff>
        </xdr:from>
        <xdr:to>
          <xdr:col>28</xdr:col>
          <xdr:colOff>9525</xdr:colOff>
          <xdr:row>17</xdr:row>
          <xdr:rowOff>0</xdr:rowOff>
        </xdr:to>
        <xdr:sp macro="" textlink="">
          <xdr:nvSpPr>
            <xdr:cNvPr id="4154" name="Check Box 58" hidden="1">
              <a:extLst>
                <a:ext uri="{63B3BB69-23CF-44E3-9099-C40C66FF867C}">
                  <a14:compatExt spid="_x0000_s4154"/>
                </a:ext>
                <a:ext uri="{FF2B5EF4-FFF2-40B4-BE49-F238E27FC236}">
                  <a16:creationId xmlns:a16="http://schemas.microsoft.com/office/drawing/2014/main" id="{00000000-0008-0000-0000-00003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19050</xdr:colOff>
          <xdr:row>16</xdr:row>
          <xdr:rowOff>0</xdr:rowOff>
        </xdr:from>
        <xdr:to>
          <xdr:col>29</xdr:col>
          <xdr:colOff>9525</xdr:colOff>
          <xdr:row>17</xdr:row>
          <xdr:rowOff>0</xdr:rowOff>
        </xdr:to>
        <xdr:sp macro="" textlink="">
          <xdr:nvSpPr>
            <xdr:cNvPr id="4155" name="Check Box 59" hidden="1">
              <a:extLst>
                <a:ext uri="{63B3BB69-23CF-44E3-9099-C40C66FF867C}">
                  <a14:compatExt spid="_x0000_s4155"/>
                </a:ext>
                <a:ext uri="{FF2B5EF4-FFF2-40B4-BE49-F238E27FC236}">
                  <a16:creationId xmlns:a16="http://schemas.microsoft.com/office/drawing/2014/main" id="{00000000-0008-0000-0000-00003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19050</xdr:colOff>
          <xdr:row>15</xdr:row>
          <xdr:rowOff>171450</xdr:rowOff>
        </xdr:from>
        <xdr:to>
          <xdr:col>28</xdr:col>
          <xdr:colOff>257175</xdr:colOff>
          <xdr:row>17</xdr:row>
          <xdr:rowOff>0</xdr:rowOff>
        </xdr:to>
        <xdr:sp macro="" textlink="">
          <xdr:nvSpPr>
            <xdr:cNvPr id="4156" name="Check Box 60" hidden="1">
              <a:extLst>
                <a:ext uri="{63B3BB69-23CF-44E3-9099-C40C66FF867C}">
                  <a14:compatExt spid="_x0000_s4156"/>
                </a:ext>
                <a:ext uri="{FF2B5EF4-FFF2-40B4-BE49-F238E27FC236}">
                  <a16:creationId xmlns:a16="http://schemas.microsoft.com/office/drawing/2014/main" id="{00000000-0008-0000-0000-00003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19050</xdr:colOff>
          <xdr:row>16</xdr:row>
          <xdr:rowOff>0</xdr:rowOff>
        </xdr:from>
        <xdr:to>
          <xdr:col>29</xdr:col>
          <xdr:colOff>9525</xdr:colOff>
          <xdr:row>17</xdr:row>
          <xdr:rowOff>0</xdr:rowOff>
        </xdr:to>
        <xdr:sp macro="" textlink="">
          <xdr:nvSpPr>
            <xdr:cNvPr id="4157" name="Check Box 61" hidden="1">
              <a:extLst>
                <a:ext uri="{63B3BB69-23CF-44E3-9099-C40C66FF867C}">
                  <a14:compatExt spid="_x0000_s4157"/>
                </a:ext>
                <a:ext uri="{FF2B5EF4-FFF2-40B4-BE49-F238E27FC236}">
                  <a16:creationId xmlns:a16="http://schemas.microsoft.com/office/drawing/2014/main" id="{00000000-0008-0000-0000-00003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19050</xdr:colOff>
          <xdr:row>16</xdr:row>
          <xdr:rowOff>0</xdr:rowOff>
        </xdr:from>
        <xdr:to>
          <xdr:col>29</xdr:col>
          <xdr:colOff>9525</xdr:colOff>
          <xdr:row>17</xdr:row>
          <xdr:rowOff>0</xdr:rowOff>
        </xdr:to>
        <xdr:sp macro="" textlink="">
          <xdr:nvSpPr>
            <xdr:cNvPr id="4158" name="Check Box 62" hidden="1">
              <a:extLst>
                <a:ext uri="{63B3BB69-23CF-44E3-9099-C40C66FF867C}">
                  <a14:compatExt spid="_x0000_s4158"/>
                </a:ext>
                <a:ext uri="{FF2B5EF4-FFF2-40B4-BE49-F238E27FC236}">
                  <a16:creationId xmlns:a16="http://schemas.microsoft.com/office/drawing/2014/main" id="{00000000-0008-0000-0000-00003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19050</xdr:colOff>
          <xdr:row>16</xdr:row>
          <xdr:rowOff>0</xdr:rowOff>
        </xdr:from>
        <xdr:to>
          <xdr:col>30</xdr:col>
          <xdr:colOff>9525</xdr:colOff>
          <xdr:row>17</xdr:row>
          <xdr:rowOff>0</xdr:rowOff>
        </xdr:to>
        <xdr:sp macro="" textlink="">
          <xdr:nvSpPr>
            <xdr:cNvPr id="4159" name="Check Box 63" hidden="1">
              <a:extLst>
                <a:ext uri="{63B3BB69-23CF-44E3-9099-C40C66FF867C}">
                  <a14:compatExt spid="_x0000_s4159"/>
                </a:ext>
                <a:ext uri="{FF2B5EF4-FFF2-40B4-BE49-F238E27FC236}">
                  <a16:creationId xmlns:a16="http://schemas.microsoft.com/office/drawing/2014/main" id="{00000000-0008-0000-0000-00003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19050</xdr:colOff>
          <xdr:row>15</xdr:row>
          <xdr:rowOff>171450</xdr:rowOff>
        </xdr:from>
        <xdr:to>
          <xdr:col>29</xdr:col>
          <xdr:colOff>257175</xdr:colOff>
          <xdr:row>17</xdr:row>
          <xdr:rowOff>0</xdr:rowOff>
        </xdr:to>
        <xdr:sp macro="" textlink="">
          <xdr:nvSpPr>
            <xdr:cNvPr id="4160" name="Check Box 64" hidden="1">
              <a:extLst>
                <a:ext uri="{63B3BB69-23CF-44E3-9099-C40C66FF867C}">
                  <a14:compatExt spid="_x0000_s4160"/>
                </a:ext>
                <a:ext uri="{FF2B5EF4-FFF2-40B4-BE49-F238E27FC236}">
                  <a16:creationId xmlns:a16="http://schemas.microsoft.com/office/drawing/2014/main" id="{00000000-0008-0000-0000-00004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19050</xdr:colOff>
          <xdr:row>16</xdr:row>
          <xdr:rowOff>0</xdr:rowOff>
        </xdr:from>
        <xdr:to>
          <xdr:col>30</xdr:col>
          <xdr:colOff>9525</xdr:colOff>
          <xdr:row>17</xdr:row>
          <xdr:rowOff>0</xdr:rowOff>
        </xdr:to>
        <xdr:sp macro="" textlink="">
          <xdr:nvSpPr>
            <xdr:cNvPr id="4161" name="Check Box 65" hidden="1">
              <a:extLst>
                <a:ext uri="{63B3BB69-23CF-44E3-9099-C40C66FF867C}">
                  <a14:compatExt spid="_x0000_s4161"/>
                </a:ext>
                <a:ext uri="{FF2B5EF4-FFF2-40B4-BE49-F238E27FC236}">
                  <a16:creationId xmlns:a16="http://schemas.microsoft.com/office/drawing/2014/main" id="{00000000-0008-0000-0000-00004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19050</xdr:colOff>
          <xdr:row>16</xdr:row>
          <xdr:rowOff>0</xdr:rowOff>
        </xdr:from>
        <xdr:to>
          <xdr:col>30</xdr:col>
          <xdr:colOff>9525</xdr:colOff>
          <xdr:row>17</xdr:row>
          <xdr:rowOff>0</xdr:rowOff>
        </xdr:to>
        <xdr:sp macro="" textlink="">
          <xdr:nvSpPr>
            <xdr:cNvPr id="4162" name="Check Box 66" hidden="1">
              <a:extLst>
                <a:ext uri="{63B3BB69-23CF-44E3-9099-C40C66FF867C}">
                  <a14:compatExt spid="_x0000_s4162"/>
                </a:ext>
                <a:ext uri="{FF2B5EF4-FFF2-40B4-BE49-F238E27FC236}">
                  <a16:creationId xmlns:a16="http://schemas.microsoft.com/office/drawing/2014/main" id="{00000000-0008-0000-0000-00004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19050</xdr:colOff>
          <xdr:row>16</xdr:row>
          <xdr:rowOff>0</xdr:rowOff>
        </xdr:from>
        <xdr:to>
          <xdr:col>31</xdr:col>
          <xdr:colOff>9525</xdr:colOff>
          <xdr:row>17</xdr:row>
          <xdr:rowOff>0</xdr:rowOff>
        </xdr:to>
        <xdr:sp macro="" textlink="">
          <xdr:nvSpPr>
            <xdr:cNvPr id="4163" name="Check Box 67" hidden="1">
              <a:extLst>
                <a:ext uri="{63B3BB69-23CF-44E3-9099-C40C66FF867C}">
                  <a14:compatExt spid="_x0000_s4163"/>
                </a:ext>
                <a:ext uri="{FF2B5EF4-FFF2-40B4-BE49-F238E27FC236}">
                  <a16:creationId xmlns:a16="http://schemas.microsoft.com/office/drawing/2014/main" id="{00000000-0008-0000-0000-00004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19050</xdr:colOff>
          <xdr:row>15</xdr:row>
          <xdr:rowOff>171450</xdr:rowOff>
        </xdr:from>
        <xdr:to>
          <xdr:col>30</xdr:col>
          <xdr:colOff>257175</xdr:colOff>
          <xdr:row>17</xdr:row>
          <xdr:rowOff>0</xdr:rowOff>
        </xdr:to>
        <xdr:sp macro="" textlink="">
          <xdr:nvSpPr>
            <xdr:cNvPr id="4164" name="Check Box 68" hidden="1">
              <a:extLst>
                <a:ext uri="{63B3BB69-23CF-44E3-9099-C40C66FF867C}">
                  <a14:compatExt spid="_x0000_s4164"/>
                </a:ext>
                <a:ext uri="{FF2B5EF4-FFF2-40B4-BE49-F238E27FC236}">
                  <a16:creationId xmlns:a16="http://schemas.microsoft.com/office/drawing/2014/main" id="{00000000-0008-0000-0000-00004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19050</xdr:colOff>
          <xdr:row>16</xdr:row>
          <xdr:rowOff>0</xdr:rowOff>
        </xdr:from>
        <xdr:to>
          <xdr:col>31</xdr:col>
          <xdr:colOff>9525</xdr:colOff>
          <xdr:row>17</xdr:row>
          <xdr:rowOff>0</xdr:rowOff>
        </xdr:to>
        <xdr:sp macro="" textlink="">
          <xdr:nvSpPr>
            <xdr:cNvPr id="4165" name="Check Box 69" hidden="1">
              <a:extLst>
                <a:ext uri="{63B3BB69-23CF-44E3-9099-C40C66FF867C}">
                  <a14:compatExt spid="_x0000_s4165"/>
                </a:ext>
                <a:ext uri="{FF2B5EF4-FFF2-40B4-BE49-F238E27FC236}">
                  <a16:creationId xmlns:a16="http://schemas.microsoft.com/office/drawing/2014/main" id="{00000000-0008-0000-0000-00004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19050</xdr:colOff>
          <xdr:row>16</xdr:row>
          <xdr:rowOff>0</xdr:rowOff>
        </xdr:from>
        <xdr:to>
          <xdr:col>31</xdr:col>
          <xdr:colOff>9525</xdr:colOff>
          <xdr:row>17</xdr:row>
          <xdr:rowOff>0</xdr:rowOff>
        </xdr:to>
        <xdr:sp macro="" textlink="">
          <xdr:nvSpPr>
            <xdr:cNvPr id="4166" name="Check Box 70" hidden="1">
              <a:extLst>
                <a:ext uri="{63B3BB69-23CF-44E3-9099-C40C66FF867C}">
                  <a14:compatExt spid="_x0000_s4166"/>
                </a:ext>
                <a:ext uri="{FF2B5EF4-FFF2-40B4-BE49-F238E27FC236}">
                  <a16:creationId xmlns:a16="http://schemas.microsoft.com/office/drawing/2014/main" id="{00000000-0008-0000-0000-00004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19050</xdr:colOff>
          <xdr:row>16</xdr:row>
          <xdr:rowOff>0</xdr:rowOff>
        </xdr:from>
        <xdr:to>
          <xdr:col>32</xdr:col>
          <xdr:colOff>9525</xdr:colOff>
          <xdr:row>17</xdr:row>
          <xdr:rowOff>0</xdr:rowOff>
        </xdr:to>
        <xdr:sp macro="" textlink="">
          <xdr:nvSpPr>
            <xdr:cNvPr id="4167" name="Check Box 71" hidden="1">
              <a:extLst>
                <a:ext uri="{63B3BB69-23CF-44E3-9099-C40C66FF867C}">
                  <a14:compatExt spid="_x0000_s4167"/>
                </a:ext>
                <a:ext uri="{FF2B5EF4-FFF2-40B4-BE49-F238E27FC236}">
                  <a16:creationId xmlns:a16="http://schemas.microsoft.com/office/drawing/2014/main" id="{00000000-0008-0000-0000-00004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19050</xdr:colOff>
          <xdr:row>15</xdr:row>
          <xdr:rowOff>171450</xdr:rowOff>
        </xdr:from>
        <xdr:to>
          <xdr:col>31</xdr:col>
          <xdr:colOff>257175</xdr:colOff>
          <xdr:row>17</xdr:row>
          <xdr:rowOff>0</xdr:rowOff>
        </xdr:to>
        <xdr:sp macro="" textlink="">
          <xdr:nvSpPr>
            <xdr:cNvPr id="4168" name="Check Box 72" hidden="1">
              <a:extLst>
                <a:ext uri="{63B3BB69-23CF-44E3-9099-C40C66FF867C}">
                  <a14:compatExt spid="_x0000_s4168"/>
                </a:ext>
                <a:ext uri="{FF2B5EF4-FFF2-40B4-BE49-F238E27FC236}">
                  <a16:creationId xmlns:a16="http://schemas.microsoft.com/office/drawing/2014/main" id="{00000000-0008-0000-0000-00004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19050</xdr:colOff>
          <xdr:row>16</xdr:row>
          <xdr:rowOff>0</xdr:rowOff>
        </xdr:from>
        <xdr:to>
          <xdr:col>32</xdr:col>
          <xdr:colOff>9525</xdr:colOff>
          <xdr:row>17</xdr:row>
          <xdr:rowOff>0</xdr:rowOff>
        </xdr:to>
        <xdr:sp macro="" textlink="">
          <xdr:nvSpPr>
            <xdr:cNvPr id="4169" name="Check Box 73" hidden="1">
              <a:extLst>
                <a:ext uri="{63B3BB69-23CF-44E3-9099-C40C66FF867C}">
                  <a14:compatExt spid="_x0000_s4169"/>
                </a:ext>
                <a:ext uri="{FF2B5EF4-FFF2-40B4-BE49-F238E27FC236}">
                  <a16:creationId xmlns:a16="http://schemas.microsoft.com/office/drawing/2014/main" id="{00000000-0008-0000-0000-00004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19050</xdr:colOff>
          <xdr:row>16</xdr:row>
          <xdr:rowOff>0</xdr:rowOff>
        </xdr:from>
        <xdr:to>
          <xdr:col>32</xdr:col>
          <xdr:colOff>9525</xdr:colOff>
          <xdr:row>17</xdr:row>
          <xdr:rowOff>0</xdr:rowOff>
        </xdr:to>
        <xdr:sp macro="" textlink="">
          <xdr:nvSpPr>
            <xdr:cNvPr id="4170" name="Check Box 74" hidden="1">
              <a:extLst>
                <a:ext uri="{63B3BB69-23CF-44E3-9099-C40C66FF867C}">
                  <a14:compatExt spid="_x0000_s4170"/>
                </a:ext>
                <a:ext uri="{FF2B5EF4-FFF2-40B4-BE49-F238E27FC236}">
                  <a16:creationId xmlns:a16="http://schemas.microsoft.com/office/drawing/2014/main" id="{00000000-0008-0000-0000-00004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19050</xdr:colOff>
          <xdr:row>16</xdr:row>
          <xdr:rowOff>0</xdr:rowOff>
        </xdr:from>
        <xdr:to>
          <xdr:col>33</xdr:col>
          <xdr:colOff>9525</xdr:colOff>
          <xdr:row>17</xdr:row>
          <xdr:rowOff>0</xdr:rowOff>
        </xdr:to>
        <xdr:sp macro="" textlink="">
          <xdr:nvSpPr>
            <xdr:cNvPr id="4171" name="Check Box 75" hidden="1">
              <a:extLst>
                <a:ext uri="{63B3BB69-23CF-44E3-9099-C40C66FF867C}">
                  <a14:compatExt spid="_x0000_s4171"/>
                </a:ext>
                <a:ext uri="{FF2B5EF4-FFF2-40B4-BE49-F238E27FC236}">
                  <a16:creationId xmlns:a16="http://schemas.microsoft.com/office/drawing/2014/main" id="{00000000-0008-0000-0000-00004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19050</xdr:colOff>
          <xdr:row>15</xdr:row>
          <xdr:rowOff>171450</xdr:rowOff>
        </xdr:from>
        <xdr:to>
          <xdr:col>32</xdr:col>
          <xdr:colOff>257175</xdr:colOff>
          <xdr:row>17</xdr:row>
          <xdr:rowOff>0</xdr:rowOff>
        </xdr:to>
        <xdr:sp macro="" textlink="">
          <xdr:nvSpPr>
            <xdr:cNvPr id="4172" name="Check Box 76" hidden="1">
              <a:extLst>
                <a:ext uri="{63B3BB69-23CF-44E3-9099-C40C66FF867C}">
                  <a14:compatExt spid="_x0000_s4172"/>
                </a:ext>
                <a:ext uri="{FF2B5EF4-FFF2-40B4-BE49-F238E27FC236}">
                  <a16:creationId xmlns:a16="http://schemas.microsoft.com/office/drawing/2014/main" id="{00000000-0008-0000-0000-00004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19050</xdr:colOff>
          <xdr:row>16</xdr:row>
          <xdr:rowOff>0</xdr:rowOff>
        </xdr:from>
        <xdr:to>
          <xdr:col>33</xdr:col>
          <xdr:colOff>9525</xdr:colOff>
          <xdr:row>17</xdr:row>
          <xdr:rowOff>0</xdr:rowOff>
        </xdr:to>
        <xdr:sp macro="" textlink="">
          <xdr:nvSpPr>
            <xdr:cNvPr id="4173" name="Check Box 77" hidden="1">
              <a:extLst>
                <a:ext uri="{63B3BB69-23CF-44E3-9099-C40C66FF867C}">
                  <a14:compatExt spid="_x0000_s4173"/>
                </a:ext>
                <a:ext uri="{FF2B5EF4-FFF2-40B4-BE49-F238E27FC236}">
                  <a16:creationId xmlns:a16="http://schemas.microsoft.com/office/drawing/2014/main" id="{00000000-0008-0000-0000-00004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19050</xdr:colOff>
          <xdr:row>16</xdr:row>
          <xdr:rowOff>0</xdr:rowOff>
        </xdr:from>
        <xdr:to>
          <xdr:col>33</xdr:col>
          <xdr:colOff>9525</xdr:colOff>
          <xdr:row>17</xdr:row>
          <xdr:rowOff>0</xdr:rowOff>
        </xdr:to>
        <xdr:sp macro="" textlink="">
          <xdr:nvSpPr>
            <xdr:cNvPr id="4174" name="Check Box 78" hidden="1">
              <a:extLst>
                <a:ext uri="{63B3BB69-23CF-44E3-9099-C40C66FF867C}">
                  <a14:compatExt spid="_x0000_s4174"/>
                </a:ext>
                <a:ext uri="{FF2B5EF4-FFF2-40B4-BE49-F238E27FC236}">
                  <a16:creationId xmlns:a16="http://schemas.microsoft.com/office/drawing/2014/main" id="{00000000-0008-0000-0000-00004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19050</xdr:colOff>
          <xdr:row>16</xdr:row>
          <xdr:rowOff>0</xdr:rowOff>
        </xdr:from>
        <xdr:to>
          <xdr:col>34</xdr:col>
          <xdr:colOff>9525</xdr:colOff>
          <xdr:row>17</xdr:row>
          <xdr:rowOff>0</xdr:rowOff>
        </xdr:to>
        <xdr:sp macro="" textlink="">
          <xdr:nvSpPr>
            <xdr:cNvPr id="4175" name="Check Box 79" hidden="1">
              <a:extLst>
                <a:ext uri="{63B3BB69-23CF-44E3-9099-C40C66FF867C}">
                  <a14:compatExt spid="_x0000_s4175"/>
                </a:ext>
                <a:ext uri="{FF2B5EF4-FFF2-40B4-BE49-F238E27FC236}">
                  <a16:creationId xmlns:a16="http://schemas.microsoft.com/office/drawing/2014/main" id="{00000000-0008-0000-0000-00004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19050</xdr:colOff>
          <xdr:row>15</xdr:row>
          <xdr:rowOff>171450</xdr:rowOff>
        </xdr:from>
        <xdr:to>
          <xdr:col>33</xdr:col>
          <xdr:colOff>257175</xdr:colOff>
          <xdr:row>17</xdr:row>
          <xdr:rowOff>0</xdr:rowOff>
        </xdr:to>
        <xdr:sp macro="" textlink="">
          <xdr:nvSpPr>
            <xdr:cNvPr id="4176" name="Check Box 80" hidden="1">
              <a:extLst>
                <a:ext uri="{63B3BB69-23CF-44E3-9099-C40C66FF867C}">
                  <a14:compatExt spid="_x0000_s4176"/>
                </a:ext>
                <a:ext uri="{FF2B5EF4-FFF2-40B4-BE49-F238E27FC236}">
                  <a16:creationId xmlns:a16="http://schemas.microsoft.com/office/drawing/2014/main" id="{00000000-0008-0000-0000-00005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19050</xdr:colOff>
          <xdr:row>16</xdr:row>
          <xdr:rowOff>0</xdr:rowOff>
        </xdr:from>
        <xdr:to>
          <xdr:col>34</xdr:col>
          <xdr:colOff>9525</xdr:colOff>
          <xdr:row>17</xdr:row>
          <xdr:rowOff>0</xdr:rowOff>
        </xdr:to>
        <xdr:sp macro="" textlink="">
          <xdr:nvSpPr>
            <xdr:cNvPr id="4177" name="Check Box 81" hidden="1">
              <a:extLst>
                <a:ext uri="{63B3BB69-23CF-44E3-9099-C40C66FF867C}">
                  <a14:compatExt spid="_x0000_s4177"/>
                </a:ext>
                <a:ext uri="{FF2B5EF4-FFF2-40B4-BE49-F238E27FC236}">
                  <a16:creationId xmlns:a16="http://schemas.microsoft.com/office/drawing/2014/main" id="{00000000-0008-0000-0000-00005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19050</xdr:colOff>
          <xdr:row>16</xdr:row>
          <xdr:rowOff>0</xdr:rowOff>
        </xdr:from>
        <xdr:to>
          <xdr:col>34</xdr:col>
          <xdr:colOff>9525</xdr:colOff>
          <xdr:row>17</xdr:row>
          <xdr:rowOff>0</xdr:rowOff>
        </xdr:to>
        <xdr:sp macro="" textlink="">
          <xdr:nvSpPr>
            <xdr:cNvPr id="4178" name="Check Box 82" hidden="1">
              <a:extLst>
                <a:ext uri="{63B3BB69-23CF-44E3-9099-C40C66FF867C}">
                  <a14:compatExt spid="_x0000_s4178"/>
                </a:ext>
                <a:ext uri="{FF2B5EF4-FFF2-40B4-BE49-F238E27FC236}">
                  <a16:creationId xmlns:a16="http://schemas.microsoft.com/office/drawing/2014/main" id="{00000000-0008-0000-0000-00005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19050</xdr:colOff>
          <xdr:row>16</xdr:row>
          <xdr:rowOff>0</xdr:rowOff>
        </xdr:from>
        <xdr:to>
          <xdr:col>35</xdr:col>
          <xdr:colOff>9525</xdr:colOff>
          <xdr:row>17</xdr:row>
          <xdr:rowOff>0</xdr:rowOff>
        </xdr:to>
        <xdr:sp macro="" textlink="">
          <xdr:nvSpPr>
            <xdr:cNvPr id="4179" name="Check Box 83" hidden="1">
              <a:extLst>
                <a:ext uri="{63B3BB69-23CF-44E3-9099-C40C66FF867C}">
                  <a14:compatExt spid="_x0000_s4179"/>
                </a:ext>
                <a:ext uri="{FF2B5EF4-FFF2-40B4-BE49-F238E27FC236}">
                  <a16:creationId xmlns:a16="http://schemas.microsoft.com/office/drawing/2014/main" id="{00000000-0008-0000-0000-00005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19050</xdr:colOff>
          <xdr:row>15</xdr:row>
          <xdr:rowOff>171450</xdr:rowOff>
        </xdr:from>
        <xdr:to>
          <xdr:col>34</xdr:col>
          <xdr:colOff>257175</xdr:colOff>
          <xdr:row>17</xdr:row>
          <xdr:rowOff>0</xdr:rowOff>
        </xdr:to>
        <xdr:sp macro="" textlink="">
          <xdr:nvSpPr>
            <xdr:cNvPr id="4180" name="Check Box 84" hidden="1">
              <a:extLst>
                <a:ext uri="{63B3BB69-23CF-44E3-9099-C40C66FF867C}">
                  <a14:compatExt spid="_x0000_s4180"/>
                </a:ext>
                <a:ext uri="{FF2B5EF4-FFF2-40B4-BE49-F238E27FC236}">
                  <a16:creationId xmlns:a16="http://schemas.microsoft.com/office/drawing/2014/main" id="{00000000-0008-0000-0000-00005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19050</xdr:colOff>
          <xdr:row>16</xdr:row>
          <xdr:rowOff>0</xdr:rowOff>
        </xdr:from>
        <xdr:to>
          <xdr:col>35</xdr:col>
          <xdr:colOff>9525</xdr:colOff>
          <xdr:row>17</xdr:row>
          <xdr:rowOff>0</xdr:rowOff>
        </xdr:to>
        <xdr:sp macro="" textlink="">
          <xdr:nvSpPr>
            <xdr:cNvPr id="4181" name="Check Box 85" hidden="1">
              <a:extLst>
                <a:ext uri="{63B3BB69-23CF-44E3-9099-C40C66FF867C}">
                  <a14:compatExt spid="_x0000_s4181"/>
                </a:ext>
                <a:ext uri="{FF2B5EF4-FFF2-40B4-BE49-F238E27FC236}">
                  <a16:creationId xmlns:a16="http://schemas.microsoft.com/office/drawing/2014/main" id="{00000000-0008-0000-0000-00005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19050</xdr:colOff>
          <xdr:row>16</xdr:row>
          <xdr:rowOff>0</xdr:rowOff>
        </xdr:from>
        <xdr:to>
          <xdr:col>19</xdr:col>
          <xdr:colOff>9525</xdr:colOff>
          <xdr:row>17</xdr:row>
          <xdr:rowOff>0</xdr:rowOff>
        </xdr:to>
        <xdr:sp macro="" textlink="">
          <xdr:nvSpPr>
            <xdr:cNvPr id="4182" name="Check Box 86" hidden="1">
              <a:extLst>
                <a:ext uri="{63B3BB69-23CF-44E3-9099-C40C66FF867C}">
                  <a14:compatExt spid="_x0000_s4182"/>
                </a:ext>
                <a:ext uri="{FF2B5EF4-FFF2-40B4-BE49-F238E27FC236}">
                  <a16:creationId xmlns:a16="http://schemas.microsoft.com/office/drawing/2014/main" id="{00000000-0008-0000-0000-00005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19050</xdr:colOff>
          <xdr:row>16</xdr:row>
          <xdr:rowOff>0</xdr:rowOff>
        </xdr:from>
        <xdr:to>
          <xdr:col>20</xdr:col>
          <xdr:colOff>9525</xdr:colOff>
          <xdr:row>17</xdr:row>
          <xdr:rowOff>0</xdr:rowOff>
        </xdr:to>
        <xdr:sp macro="" textlink="">
          <xdr:nvSpPr>
            <xdr:cNvPr id="4183" name="Check Box 87" hidden="1">
              <a:extLst>
                <a:ext uri="{63B3BB69-23CF-44E3-9099-C40C66FF867C}">
                  <a14:compatExt spid="_x0000_s4183"/>
                </a:ext>
                <a:ext uri="{FF2B5EF4-FFF2-40B4-BE49-F238E27FC236}">
                  <a16:creationId xmlns:a16="http://schemas.microsoft.com/office/drawing/2014/main" id="{00000000-0008-0000-0000-00005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19050</xdr:colOff>
          <xdr:row>15</xdr:row>
          <xdr:rowOff>171450</xdr:rowOff>
        </xdr:from>
        <xdr:to>
          <xdr:col>19</xdr:col>
          <xdr:colOff>257175</xdr:colOff>
          <xdr:row>17</xdr:row>
          <xdr:rowOff>0</xdr:rowOff>
        </xdr:to>
        <xdr:sp macro="" textlink="">
          <xdr:nvSpPr>
            <xdr:cNvPr id="4184" name="Check Box 88" hidden="1">
              <a:extLst>
                <a:ext uri="{63B3BB69-23CF-44E3-9099-C40C66FF867C}">
                  <a14:compatExt spid="_x0000_s4184"/>
                </a:ext>
                <a:ext uri="{FF2B5EF4-FFF2-40B4-BE49-F238E27FC236}">
                  <a16:creationId xmlns:a16="http://schemas.microsoft.com/office/drawing/2014/main" id="{00000000-0008-0000-0000-00005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19050</xdr:colOff>
          <xdr:row>16</xdr:row>
          <xdr:rowOff>0</xdr:rowOff>
        </xdr:from>
        <xdr:to>
          <xdr:col>20</xdr:col>
          <xdr:colOff>9525</xdr:colOff>
          <xdr:row>17</xdr:row>
          <xdr:rowOff>0</xdr:rowOff>
        </xdr:to>
        <xdr:sp macro="" textlink="">
          <xdr:nvSpPr>
            <xdr:cNvPr id="4185" name="Check Box 89" hidden="1">
              <a:extLst>
                <a:ext uri="{63B3BB69-23CF-44E3-9099-C40C66FF867C}">
                  <a14:compatExt spid="_x0000_s4185"/>
                </a:ext>
                <a:ext uri="{FF2B5EF4-FFF2-40B4-BE49-F238E27FC236}">
                  <a16:creationId xmlns:a16="http://schemas.microsoft.com/office/drawing/2014/main" id="{00000000-0008-0000-0000-00005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19050</xdr:colOff>
          <xdr:row>16</xdr:row>
          <xdr:rowOff>0</xdr:rowOff>
        </xdr:from>
        <xdr:to>
          <xdr:col>21</xdr:col>
          <xdr:colOff>9525</xdr:colOff>
          <xdr:row>17</xdr:row>
          <xdr:rowOff>0</xdr:rowOff>
        </xdr:to>
        <xdr:sp macro="" textlink="">
          <xdr:nvSpPr>
            <xdr:cNvPr id="4186" name="Check Box 90" hidden="1">
              <a:extLst>
                <a:ext uri="{63B3BB69-23CF-44E3-9099-C40C66FF867C}">
                  <a14:compatExt spid="_x0000_s4186"/>
                </a:ext>
                <a:ext uri="{FF2B5EF4-FFF2-40B4-BE49-F238E27FC236}">
                  <a16:creationId xmlns:a16="http://schemas.microsoft.com/office/drawing/2014/main" id="{00000000-0008-0000-0000-00005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19050</xdr:colOff>
          <xdr:row>15</xdr:row>
          <xdr:rowOff>171450</xdr:rowOff>
        </xdr:from>
        <xdr:to>
          <xdr:col>20</xdr:col>
          <xdr:colOff>257175</xdr:colOff>
          <xdr:row>17</xdr:row>
          <xdr:rowOff>0</xdr:rowOff>
        </xdr:to>
        <xdr:sp macro="" textlink="">
          <xdr:nvSpPr>
            <xdr:cNvPr id="4187" name="Check Box 91" hidden="1">
              <a:extLst>
                <a:ext uri="{63B3BB69-23CF-44E3-9099-C40C66FF867C}">
                  <a14:compatExt spid="_x0000_s4187"/>
                </a:ext>
                <a:ext uri="{FF2B5EF4-FFF2-40B4-BE49-F238E27FC236}">
                  <a16:creationId xmlns:a16="http://schemas.microsoft.com/office/drawing/2014/main" id="{00000000-0008-0000-0000-00005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1568823</xdr:colOff>
      <xdr:row>22</xdr:row>
      <xdr:rowOff>29135</xdr:rowOff>
    </xdr:from>
    <xdr:to>
      <xdr:col>23</xdr:col>
      <xdr:colOff>661147</xdr:colOff>
      <xdr:row>36</xdr:row>
      <xdr:rowOff>105335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n Lewis" refreshedDate="45016.566733333333" createdVersion="8" refreshedVersion="8" minRefreshableVersion="3" recordCount="61" xr:uid="{E29D3AF9-F677-4472-B0F5-9AD8B24D6A78}">
  <cacheSource type="worksheet">
    <worksheetSource name="wf_table"/>
  </cacheSource>
  <cacheFields count="6">
    <cacheField name="Trans Date" numFmtId="14">
      <sharedItems containsSemiMixedTypes="0" containsNonDate="0" containsDate="1" containsString="0" minDate="2023-01-03T00:00:00" maxDate="2023-03-28T00:00:00"/>
    </cacheField>
    <cacheField name="Debit_Amount" numFmtId="166">
      <sharedItems containsSemiMixedTypes="0" containsString="0" containsNumber="1" minValue="-700" maxValue="650"/>
    </cacheField>
    <cacheField name="Column1" numFmtId="166">
      <sharedItems containsSemiMixedTypes="0" containsString="0" containsNumber="1" minValue="-609.45000000000005" maxValue="759.45999999999992"/>
    </cacheField>
    <cacheField name="Description" numFmtId="0">
      <sharedItems/>
    </cacheField>
    <cacheField name="Short_Desc" numFmtId="0">
      <sharedItems containsBlank="1" count="45">
        <m/>
        <s v="shevon"/>
        <s v="jayelin"/>
        <s v="income"/>
        <s v="mom"/>
        <s v="gym"/>
        <s v="gas_station"/>
        <s v="refund"/>
        <s v="taxes"/>
        <s v="vincent"/>
        <s v="Amanda" u="1"/>
        <s v="groceries" u="1"/>
        <s v="restaurant" u="1"/>
        <s v="ticket_sale" u="1"/>
        <s v="Don" u="1"/>
        <s v="comedy" u="1"/>
        <s v="Melanie" u="1"/>
        <s v="td_ameritrade" u="1"/>
        <s v="Rajat" u="1"/>
        <s v="best_buy" u="1"/>
        <s v="Gambling" u="1"/>
        <s v="occulus" u="1"/>
        <s v="Dorry" u="1"/>
        <s v="atm" u="1"/>
        <s v="zoo" u="1"/>
        <s v="nationwide" u="1"/>
        <s v="aps" u="1"/>
        <s v="care_credit" u="1"/>
        <s v="Nick" u="1"/>
        <s v="rent" u="1"/>
        <s v="tahjei" u="1"/>
        <s v="Kabir" u="1"/>
        <s v="Carmen" u="1"/>
        <s v="Michael" u="1"/>
        <s v="Maricela" u="1"/>
        <s v="Jon" u="1"/>
        <s v="fast_food" u="1"/>
        <s v="conv_store" u="1"/>
        <s v="Venmo" u="1"/>
        <s v="discover" u="1"/>
        <s v="light_rail" u="1"/>
        <s v="unsure" u="1"/>
        <s v="movies" u="1"/>
        <s v="Logan" u="1"/>
        <s v="Kim" u="1"/>
      </sharedItems>
    </cacheField>
    <cacheField name="Category_2" numFmtId="0">
      <sharedItems containsBlank="1" containsMixedTypes="1" containsNumber="1" containsInteger="1" minValue="0" maxValue="0" count="5">
        <m/>
        <s v="people"/>
        <s v="Personal_Spending"/>
        <s v="Medical_Refund"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n Lewis" refreshedDate="45388.333945023151" createdVersion="8" refreshedVersion="8" minRefreshableVersion="3" recordCount="1154" xr:uid="{B239220F-05AB-467C-ABA1-C6AD2B9F5965}">
  <cacheSource type="worksheet">
    <worksheetSource name="dis_table"/>
  </cacheSource>
  <cacheFields count="14">
    <cacheField name="Month" numFmtId="1">
      <sharedItems containsSemiMixedTypes="0" containsString="0" containsNumber="1" containsInteger="1" minValue="1" maxValue="12"/>
    </cacheField>
    <cacheField name="Trans. date" numFmtId="14">
      <sharedItems containsSemiMixedTypes="0" containsNonDate="0" containsDate="1" containsString="0" minDate="2023-01-01T00:00:00" maxDate="2024-01-01T00:00:00"/>
    </cacheField>
    <cacheField name="Post date" numFmtId="14">
      <sharedItems containsSemiMixedTypes="0" containsNonDate="0" containsDate="1" containsString="0" minDate="2023-01-01T00:00:00" maxDate="2024-01-01T00:00:00"/>
    </cacheField>
    <cacheField name="Description" numFmtId="0">
      <sharedItems containsBlank="1" count="676">
        <s v="Balance"/>
        <s v="SPOTIFY P1FEF894B5 8777781161 NY"/>
        <s v="NETFLIX.COM NETFLIX.COM CAITEM TRANSFERRED FROM PREV ACCOUNT"/>
        <s v="SAFEWAY #1547 BURLINGAME CA"/>
        <s v="KRYSTAL AND SAAGAR 2025317527 DCITEM TRANSFERRED FROM PREV ACCOUNT"/>
        <s v="OBSIDIAN.MD 2262203323 CAN"/>
        <s v="A PLUS DENTAL CENTER - S SAN MATEO CA"/>
        <s v="AMAZON.COM*7H1T34W33 AMZN.COM/BILLWA7CGLY7QDYF3"/>
        <s v="AUTOMATIC STATEMENT CREDIT"/>
        <s v="CAMINO PETROLEUM S SAN FRANCISCA"/>
        <s v="GOOGLE *YT PRIMETIME G.CO/HELPPAY#CAP0OW57KF"/>
        <s v="TACO BELL 30785 SOUTH SAN FRACA"/>
        <s v="WALGREENS #3346 S SAN FRAN CA"/>
        <s v="COURSRA5IM7YPM1EY6M1D 650-963-9884 CA"/>
        <s v="EXTRA SPACE 1461 BURLINGAME CA"/>
        <s v="STATE FARM INSURANCE 800-956-6310 ILITEM TRANSFERRED FROM PREV ACCOUNT"/>
        <s v="SQ *LOVE BURN CHICKEN SOUTH SAN FRACA0001152921512348130249"/>
        <s v="AMZN MKTP US*RZ4YB1HY3 AMZN.COM/BILLWA2IAOP636RTD"/>
        <s v="AMAZON.COM*533DL0GN3 AMZN.COM/BILLWA656UQI8895R"/>
        <s v="APPLE.COM/BILL 111-111-1111 CA"/>
        <s v="LYFT *2 RIDES 01-04 855-865-9553 CAITEM TRANSFERRED FROM PREV ACCOUNT"/>
        <s v="SEE TICKETS *FRED ARMISE 323-908-0607 CASEE TICKETS *FRED ARMISE"/>
        <s v="SQ *HILARY CHIEM, O.D. SAN MATEO CA0001152921512353344153"/>
        <s v="LYFT *2 RIDES 01-07 855-865-9553 CAITEM TRANSFERRED FROM PREV ACCOUNT"/>
        <s v="STEAM PURCHASE 425-952-2985 WA"/>
        <s v="GOOGLE *YOUTUBE TV G.CO/HELPPAY#CAP0OFLGPQ"/>
        <s v="AMZN MKTP US*O74QU7HY3 AMZN.COM/BILLWA77RIRA85W99"/>
        <s v="AMZN MKTP US*P98A92243 AMZN.COM/BILLWA1F2157UKMEK"/>
        <s v="LYFT *1 RIDE 01-08 855-865-9553 CAITEM TRANSFERRED FROM PREV ACCOUNT"/>
        <s v="PANDA EXPRESS #907 P 800-877-8988 CA"/>
        <s v="TRAVEL GUARD GROUP INC 877-934-8308 WI"/>
        <s v="APPLE.COM/BILL 866-712-7753 CAAPPLE PAY ENDING IN 1455MMWBZ5629BA0"/>
        <s v="EB OPEN MIKE EAGLEES 801-413-7200 CA"/>
        <s v="INTERNET PAYMENT - THANK YOU"/>
        <s v="UNITED AIRLINES 18004214655 TX"/>
        <s v="CAFFE CENTRAL BURLINGAME CA"/>
        <s v="PAYPAL *CRUNCHYROLL 402-935-7733 CA"/>
        <s v="WALGREENS #0625 MILLBRAE CA"/>
        <s v="SHELL57444215701 SAN MATEO CA"/>
        <s v="SPORTSLINE 888-508-3055 CA"/>
        <s v="TMOBILE*AUTO PAY 800-937-8997 WAITEM TRANSFERRED FROM PREV ACCOUNT"/>
        <s v="UNITED AIRLINES 18004214655 TXAPPLE PAY ENDING IN 1455"/>
        <s v="KATSU KEI* KEI KATSUCO 8668646522 VA"/>
        <s v="LEANPUB 6049168017 CAN"/>
        <s v="AMZN MKTP US*OJ2B68JK3 AMZN.COM/BILLWA6GMHPXEC3MX"/>
        <s v="CRACKED &amp; BATTERED LLC 540-898-4343 CAAPPLE PAY ENDING IN 1455"/>
        <s v="TM *SACRAMENTO KINGS 800-653-8000 CANCA/22-39690"/>
        <s v="TST* COPENHAGEN BAKERY BURLINGAME CA"/>
        <s v="PAYPAL *PARKMOBILE 402-935-7733 CA"/>
        <s v="LGND GOLDEN 1 CONCESSION SACRAMENTO CA"/>
        <s v="FUZE TECHNOLOGY, INC. 2134516667 CA"/>
        <s v="AMAZON.COM*587BA3543 AMZN.COM/BILLWA1VXP8IG0UT8"/>
        <s v="HOUSE KITCHEN AND BAR SACRAMENTO CA"/>
        <s v="02738 PF SAN BRUNO CA SAN BRUNO CA"/>
        <s v="BLUE LINE TRANSFER SOUTH SAN FRACA"/>
        <s v="FASTRAK CSC 415-486-8655 CA"/>
        <s v="FD *CA DMV 593 *SVC 800-777-0133 CA"/>
        <s v="FD *CA DMV 593 SAN MATEO CA"/>
        <s v="MCDONALD'S F13001 MILLBRAE CA"/>
        <s v="O'REILLY AUTO PARTS 2581 MILLBRAE CA"/>
        <s v="SQ *GREAT AMERICAN MUS SAN FRANCISCOCA0001152921512413106170"/>
        <s v="MARKET MAYFLOWER &amp; DELI SAN FRANCISCOCA"/>
        <s v="CCBILL.COM 888-5969279 AZ"/>
        <s v="HI - SD DOWNTOWN HOSTEL SAN DIEGO CA"/>
        <s v="TST* FARLEYS CAFE - SF SAN RAFAEL CA00035384010198819089AA"/>
        <s v="UBER TRIP 866-576-1039 CA"/>
        <s v="SQ *BORDER X BREWING- SAN DIEGO CA0001152921512418764739"/>
        <s v="SQ *NEVERIA LOS MOCHIS SAN DIEGO CA0001152921512419051683"/>
        <s v="SWAMIS NORTH PARK SAN DIEGO CA"/>
        <s v="WWW.WEWORK.COM 6467604450 NY"/>
        <s v="SQ *SANDBOX VR MISSION GOSQ.COM CA0002305843016976425532"/>
        <s v="TST* SMOKING GUN - SAN SAN DIEGO CA00013131010229654110AA"/>
        <s v="TST* TACO STAND DOWNTO SAN DIEGO CA00072507010231353549AA"/>
        <s v="THE DONUT BAR SAN DIEGO CA"/>
        <s v="STONE BREWING - LIBE 619-2692100 CA"/>
        <s v="SQ *WICKED POPCORN SAN DIEGO CA0001152921512428214340"/>
        <s v="SQ *MAMA MADE THAI FOO SAN DIEGO CA0001152921512428151675"/>
        <s v="SPOTIFY P20DD0B7D1 8777781161 NY"/>
        <s v="PARAMOUNT^ 888-274-5343 CA"/>
        <s v="SQ *AYURBLISS PHYSICAL SAN MATEO CAAPPLE PAY ENDING IN 14550002305843016991252943"/>
        <s v="POPEYES 12669 SOUTH SAN FRACA"/>
        <s v="HAPPY LEMON FOSTER CITY CA"/>
        <s v="GOOGLE *YT PRIMETIME G.CO/HELPPAY#CAP0PFG0KA"/>
        <s v="SAN MATEO SPORTS NUTRITI SAN MATEO CA"/>
        <s v="TARGET 00011221091 SAN MATEO CA"/>
        <s v="PIZZA JOHNS ESSEX MD"/>
        <s v="GALILEO BARR B22 ORD CHICAGO IL8741426392052847"/>
        <s v="GALILEO BARR B22 ORD CHICAGO IL4524"/>
        <s v="INTL SPY MUSEUM MUSEUM WASHINGTON DC"/>
        <s v="PAYPAL *TICKETMASTER 402-935-7733 CA"/>
        <s v="APPLE.COM/BILL 866-712-7753 CAMMWD0WQFLHA0"/>
        <s v="AMAZON.COM*CA2JS6DR3 AMZN.COM/BILLWA4S3TD5QHMJM"/>
        <s v="WISEGUY NY PIZZA- CHINAT WASHINGTON DC"/>
        <s v="AMK CAPITAL ONE ARENA CN WASHINGTON DC"/>
        <s v="DUNKIN DONUTSBALTIMORE BALTIMORE MD"/>
        <s v="365 MARKET J 888 432-329 TROY MI"/>
        <s v="GOOGLE *YOUTUBE TV G.CO/HELPPAY#CAP0PPUHRV"/>
        <s v="HILL PRINCE WASHINGTON DC"/>
        <s v="SQ *AYURBLISS PHYSICAL SAN MATEO CA0002305843017028948187"/>
        <s v="TST* DIVE BAR AND GRIL SAVAGE MD00060644010365207788AA"/>
        <s v="HARRISTEETER #392 BALTIMORE MD"/>
        <s v="PLANNED PARENTHOOD ACTIO NEW YORK NY"/>
        <s v="GOLDEN CORRAL #2486 LARGO MD"/>
        <s v="ACE PARKING 4603 WASHINGTON DC"/>
        <s v="CVS/PHARMACY #10415 WASHINGTON DC"/>
        <s v="72600 - NH FLEET GARAGE OXON HILL MD"/>
        <s v="APPLE.COM/BILL 866-712-7753 CAAPPLE PAY ENDING IN 1455MMWD14ZXBNA0"/>
        <s v="BLUE MOON CAFE BALTIMORE MD"/>
        <s v="COURSRA9SQDK9PPG1VBLF 650-963-9884 CA"/>
        <s v="PABC MULTI SPACE 3 BALTIMORE MD"/>
        <s v="SPORTS COLLECTIBLES 8557419003 NJ"/>
        <s v="SQ *BEN &amp; JERRY'S NATI OXON HILL MD0002305843017047935394"/>
        <s v="SQ *NH ENTERTAINMENT L OXON HILL MD0002305843017048063290"/>
        <s v="SQ *SCRAMBLE ALEXANDRI ALEXANDRIA VA0002305843017048455554"/>
        <s v="SQ *SCRAMBLE ALEXANDRI ALEXANDRIA VA0002305843017048226229"/>
        <s v="THE CAPITAL WHEEL OXON HILL MD"/>
        <s v="TARGET 00028456091 BALTIMORE MD"/>
        <s v="SAMOS GREEK ISLAND GRI BALTIMORE MD"/>
        <s v="SQ *AYURBLISS PHYSICAL SAN MATEO CA0002305843017062540240"/>
        <s v="AMZN MKTP US*HE1FY4851 AMZN.COM/BILLWA4DZ6YUN4D48"/>
        <s v="ANDPIZZA 2024505059 DC"/>
        <s v="BONOBOS 1-877-294-7737 NEW YORK NY"/>
        <s v="MCDONALDS 10876 BALTIMORE MD"/>
        <s v="SQ *HEALTH PUB- FASHIO ARLINGTON VA0002305843017070678524"/>
        <s v="SQ *SWSS T/A THE CRUCI WASHINGTON DC0002305843017075390817"/>
        <s v="SQ *SALE PRICE TAXES FORT WASHINGTMD0002305843017073374408"/>
        <s v="SQ *NEON CULTURE RIDGELAND MS0002305843017072974051"/>
        <s v="PHO NAM ALEXANDRIA VA"/>
        <s v="SQ *SWSS T/A THE CRUCI WASHINGTON DC0002305843017075650872"/>
        <s v="PANDA EXPRESS #128 ARLINGTON VA"/>
        <s v="72601 - NH MARINER GARAG OXON HILL MD"/>
        <s v="PARKWHIZ, INC. 888-472-7594 ILAPPLE PAY ENDING IN 1455"/>
        <s v="CVS/PHARMACY #02149 ALEXANDRIA VA"/>
        <s v="CHARLEYS PHILLY STEAKS 9 ARLINGTON VA"/>
        <s v="ROYAL FARMS #311 WHITE MARSH MD"/>
        <s v="AMAZON.COM*HP58L4FE1 AMZN.COM/BILLWA4GCZ8GW76B6"/>
        <s v="CREATIVE FOOD BWI BALTIMORE MD"/>
        <s v="AUTOZONE #2854 SAN MATEO CA"/>
        <s v="FSP*303 -OIL CHANGER, IN PLEASANTON CA"/>
        <s v="DOORDASH*CJS GOURMET D 6506819470 CAAPPLE PAY ENDING IN 1455"/>
        <s v="NISSAN OF BURLINGAME BURLINGAME CA"/>
        <s v="CAFFE STELLATO BURLINGAME CA"/>
        <s v="FREETAXUSA.COM 877-2699027 UT"/>
        <s v="DOORDASH*C&amp;C CURRY HOU 6506819470 CAAPPLE PAY ENDING IN 1455"/>
        <s v="NBA*SACRAMENTO KINGS 916-928-3683 CAMIC715B900-F7IVS"/>
        <s v="SQ *AYURBLISS LLC SAN MATEO CA0002305843017109071920"/>
        <s v="SAFEWAY #0970 SAN MATEO CA"/>
        <s v="GHIRARDELLI SQ GARAGE PA SAN FRANCISCOCA"/>
        <s v="GHIRARDELLI #138 GCE SAN FRANCISCOCA"/>
        <s v="PAYPAL *ESPN PLUS 402-935-7733 CA"/>
        <s v="AMZN MKTP US*HP7FE0IE2 AMZN.COM/BILLWA59RU8AG1QCM"/>
        <s v="FIVE GUYS CA 1370 QSR BURLINGAME CA"/>
        <s v="IM* KEYCHRON.COM 9293322099 NY"/>
        <s v="SQ *OCEANIC FOOT SPA BURLINGAME CA0001152921512511485984"/>
        <s v="PIZZA MY HEART BURLINGAME CA"/>
        <s v="SPOTIFY P2174B78B2 8777781161 NY"/>
        <s v="ONEPASS 877-515-9364 MN76128"/>
        <s v="FRG*TEAMFANSHOP 855-210-8831 FL"/>
        <s v="SQ *AYURBLISS LLC SAN MATEO CA0001152921512522245314"/>
        <s v="SQ *TWISTED ST. CAFE SAN FRANCISCOCA0001152921512521081983"/>
        <s v="YOLO FRUIT STAND DAVIS CA"/>
        <s v="TACO BELL 26850 MILLBRAE CA"/>
        <s v="GOOGLE *YT PRIMETIME G.CO/HELPPAY#CAP0PX5NOT"/>
        <s v="UPS*1ZA407020364466528 800-811-1648 GA1ZA407020364466528"/>
        <s v="SQ *LOU?S CAFE SAN FRANCISCOCA0001152921512530496109"/>
        <s v="CITYOFSAC-PARKMOBILE 916-808-5110 CA749660159"/>
        <s v="CITYOFSAC-PARKMOBILE 916-808-5110 CA749064904"/>
        <s v="A&amp;A GAS BURLINGAME CA"/>
        <s v="FINNEGANS PUB SACRAMENTO CA"/>
        <s v="TCKTWEB*JAWNYWALLICE 800-965-4827 CA748228446EPS5E6Z"/>
        <s v="SQ *HELLA KINKETSU HAYWARD CA0001152921512535172822"/>
        <s v="TARGET 00014274091 SAN JOSE CA"/>
        <s v="AMZN MKTP US*H56C927E0 AMZN.COM/BILLWA3M2ST0SZ5VY"/>
        <s v="AMZN MKTP US*H500J0L02 AMZN.COM/BILLWA5NBVHMK06CU"/>
        <s v="APPLE.COM/BILL 866-712-7753 CAMMWD2S6439A0"/>
        <s v="ATI8363-030677116 310-627-2866 CAAPPLE PAY ENDING IN 1455"/>
        <s v="USPS PO 0510320110 BURLINGAME CA"/>
        <s v="CURRY LEAF SAN FRANCISCOCA"/>
        <s v="SQ *AYURBLISS PHYSICAL SAN MATEO CA0001152921512541037226"/>
        <s v="BIMBOS 365 CLUB SAN FRANCISCOCA"/>
        <s v="AMAZON.COM*HG6EN3ZP0 AMZN.COM/BILLWAITEM TRANSFERRED FROM PREV ACCOUNT"/>
        <s v="TRADER JOE'S #170 QPS MILLBRAE CA"/>
        <s v="PP*COASTAL CURL OAKLAND CA"/>
        <s v="HOMEROOM TO GO OAKLAND CA"/>
        <s v="GOOGLE *YOUTUBE TV G.CO/HELPPAY#CAP0Q74KLW"/>
        <s v="TARGET.COM * 800-591-3869 MN"/>
        <s v="APPLE.COM/BILL 866-712-7753 CAAPPLE PAY ENDING IN 1455MMWD31LF78A0"/>
        <s v="SQ *HAPA'S BREWING COM SAN JOSE CA0002305843017204153884"/>
        <s v="SUMUP *JOSE A MARTINEZ V CAMPBELL CA"/>
        <s v="WWW.DIGISTORE24.COM - 8003567947 FL"/>
        <s v="TRADER JOE'S #078 QPS SANFRANCISCO CA"/>
        <s v="CLR*YOGASIX6505342692 650-534-2692 CACLR*YOGASIX6505342692"/>
        <s v="PRIME VIDEO *HG9HR5TX2 888-802-3080 WA1NYMU5STVWY"/>
        <s v="SQ *DONUT DELITE SAN MATEO CA0001152921512561484525"/>
        <s v="BART-PARKING MILLBRAE MILLBRAE CA"/>
        <s v="OTF SOUTH SAN FRAN 1266 650-8262009 CA"/>
        <s v="SQ *FICTION COFFEE @ W SAN FRANCISCOCA0001152921512569931186"/>
        <s v="TARGET 00027664091 SAN FRANCISCOCA"/>
        <s v="UNIQLO USA LLC NEW YORK NY"/>
        <s v="8CHICK-FIL-A #04448 DALY CITY CA"/>
        <s v="CLAIRE'S #6154 DALY CITY CA"/>
        <s v="THE BLACKSMITH REDWOOD CITY CA"/>
        <s v="PAMF PA ONLINE BILL PAY 877-252-1777 CA"/>
        <s v="WHOLEFDS SMT 10150 SAN MATEO CA"/>
        <s v="99 RANCH #1782 FOSTER CITY CA"/>
        <s v="AMAZON.COM*HC36Y7EF2 AMZN.COM/BILLWA34CR0MRNJL8"/>
        <s v="AMZN MKTP US*HC2FL3H21 AMZN.COM/BILLWA5X42XPX36E6"/>
        <s v="APPLE.COM/BILL 866-712-7753 CAAPPLE PAY ENDING IN 1455MMWD3HW7YFA0"/>
        <s v="ONEPASS 877-515-9364 MN77847"/>
        <s v="SQ *SPECIAL POPUP MENLO PARK CA0001152921512584397815"/>
        <s v="CHATGPT SUBSCRIPTION 4158799686 CA"/>
        <s v="TIXR* MIDWAYSF BOILER 8189626635 CA"/>
        <s v="TM *UNKNOWN MORTAL ORC 800-653-8000 CANCA/43-24774"/>
        <s v="WOODLANDS MARKETS SAN FRANCISCOCA"/>
        <s v="TCKTWEB*CRUMBAUTOMATIC 800-965-4827 CA945734576F17G0X2"/>
        <s v="O'REILLY AUTO PARTS 6178 SOUTH SAN FRACA"/>
        <s v="ATI8363-032236444 310-627-2866 CAAPPLE PAY ENDING IN 1455"/>
        <s v="APPLE.COM/BILL 866-712-7753 CAAPPLE PAY ENDING IN 1455MMWD3KNN9SA0"/>
        <s v="CARLS JR SID 1101051 SAN JOSE CA"/>
        <s v="GP SPORTS - CA SAN JOSE CA"/>
        <s v="PACIFIC MOTORCYCLE TRAIN LIVERMORE CA"/>
        <s v="CLR*STRETCHLAB SAN FRANCISCOCACLR*STRETCHLAB"/>
        <s v="SQ *NICK THE GREEK OYS SOUTH SAN FRACA0002305843017289917533"/>
        <s v="TARGET 00010546091 SAN BRUNO CA"/>
        <s v="UNION 76 MILLBRAE CA"/>
        <s v="OTF SAN MATEO 650-4870404 CA"/>
        <s v="CITY OF SM PW PARKING ME SAN MATEO CA"/>
        <s v="SPROUTS FARMERS MARSSS DALY CITY CA"/>
        <s v="UNKNOWN MORTAL ORCHEST 6502396947 ME"/>
        <s v="TIXR* MIDWAYSF ELECTRI 8189626635 CA"/>
        <s v="SQ *THE FILLMORE SAN F LOS ANGELES CA0002305843017301326405"/>
        <s v="STORE*BENS FAST FOOD 6506819470 CA"/>
        <s v="DISNEYPLUS 888-905-7888 CADISNEYPLUS"/>
        <s v="MQ HEALTHY FAST FOOD MILLBRAE CA"/>
        <s v="SQ *LUCHO?S SAN FRANCISCOCA0001152921512631103478"/>
        <s v="CALIFORNIA ACAD SCIENCES SAN FRANCISCOCA"/>
        <s v="CA ACAD. OF SCIENCES O SAN FRANCISCOCATXNREF12345"/>
        <s v="SPOTIFY P221EA32B1 8777781161 NY"/>
        <s v="ONEPASS 877-515-9364 MN89085"/>
        <s v="ONEPASS 877-515-9364 MN87520"/>
        <s v="SPROUTS FARMERS MARSSS DALY CITY CAAPPLE PAY ENDING IN 1455"/>
        <s v="UNION STREET PLAZA GARAG SAN FRANCISCOCA"/>
        <s v="GOOGLE *YT PRIMETIME G.CO/HELPPAY#CAP0QJ0JW7"/>
        <s v="AMZN MKTP US*HS5FE4ER0 AMZN.COM/BILLWA4340TRTHK9K"/>
        <s v="AMAZON.COM*HS1342CV1 AMZN.COM/BILLWA1E81FBKFHJL"/>
        <s v="CLAIRE'S #6827 SAN MATEO CA"/>
        <s v="CLR*RUMBLEBOX 415-651-2297 CACLR*RUMBLEBOX"/>
        <s v="EDDYS MARKET SAN FRANCISCOCA"/>
        <s v="KJ PRODUCE MARKET SAN FRANCISCOCA"/>
        <s v="SQ *OCEANIC FOOT SPA BURLINGAME CA0001152921512650004010"/>
        <s v="A MEDIUM CORPORATION 415-508-5008 CA"/>
        <s v="AMZN MKTP US*HS5PF6200 AMZN.COM/BILLWAI0JU9V579DE"/>
        <s v="APPLE.COM/BILL 866-712-7753 CAAPPLE PAY ENDING IN 1455MMWD4T3J6FA0"/>
        <s v="ANDERSEN BAKERY #03 SAN FRANCISCOCA"/>
        <s v="IMPARK00270201A SAN FRANCISCOCA00811R"/>
        <s v="SP YN MOTO 5125372651 TX"/>
        <s v="TST* RAD RADISH - HAYES SAN FRANCISCOCAAPPLE PAY ENDING IN 1455"/>
        <s v="SPEEDWAY 04976 501 SERRA DALY CITY CAAPPLE PAY ENDING IN 1455"/>
        <s v="GOOGLE *YOUTUBE TV G.CO/HELPPAY#CAP0QT7VHG"/>
        <s v="AMZN MKTP US*HS98J9992 AMZN.COM/BILLWA10V0LDVGEHP"/>
        <s v="APPLE.COM/BILL 111-111-1111 CAAPPLE PAY ENDING IN 1455"/>
        <s v="CARBON HEALTH 4152002133 CA"/>
        <s v="ETSY.COM BROOKLYN NY"/>
        <s v="AMZN MKTP US*HJ93E3E01 AMZN.COM/BILLWA1URTK5EZBVP"/>
        <s v="AMZN MKTP US*HJ60P7VT1 AMZN.COM/BILLWA75F0LN503JI"/>
        <s v="APPLE.COM/BILL 866-712-7753 CAAPPLE PAY ENDING IN 1455MMWD54F3Z0A0"/>
        <s v="LOWE'S OF SAN BRUNO, CA SAN BRUNO CA"/>
        <s v="SP HOOOYI 3037328232 COAPPLE PAY ENDING IN 1455"/>
        <s v="2OAKLAND ARENA OAKLAND CA"/>
        <s v="DELTA AIR LINES 18002211212 ESP"/>
        <s v="SAN FRANCISCO GIFT BASKE SAN FRANCISCOCA"/>
        <s v="CYCLE GEAR # 7 REDWOOD CITY CA"/>
        <s v="AMAZON.COM*HJ7H69R52 AMZN.COM/BILLWA57IRUNRC7SV"/>
        <s v="AMZN MKTP US*HV6D31LD1 AMZN.COM/BILLWA14WFRYTH47Q"/>
        <s v="AMAZON.COM*HV4IJ05Z0 AMZN.COM/BILLWA29M6LQUY1BI"/>
        <s v="AMZN MKTP US*HV90Z6VC1 AMZN.COM/BILLWA6STDXXU2MRT"/>
        <s v="AMZN MKTP US*HV9ED2S00 AMZN.COM/BILLWA2XDC3WJ46KV"/>
        <s v="CLR*CLUBPILATE6507537022 650-753-7022 CACLR*CLUBPILATE6507537022"/>
        <s v="SHELL57444214001 PALO ALTO CA"/>
        <s v="TACO BELL #28833 PALO ALTO CA"/>
        <s v="AMZN MKTP US*HV1OO79T0 AMZN.COM/BILLWA10EAGXVLDT8"/>
        <s v="CHIPOTLE 2028 SAN MATEO CA"/>
        <s v="AMZN MKTP US AMZN.COM/BILLWA5M9FP4POTTV"/>
        <s v="AMZN MKTP US*HV1M40IE2 AMZN.COM/BILLWA1APFOI5XAOD"/>
        <s v="AMZN MKTP US*HV9NY89Q2 AMZN.COM/BILLWANOP9X4US30V"/>
        <s v="SP LONELY PLANET 7049712300 SC"/>
        <s v="SQ *CURRY UP NOW REDWOOD CITY CA0001152921512707391632"/>
        <s v="SQ *NEIGHBOR SAN FRANCISCOCA0001152921512705647885"/>
        <s v="SQ *WOOLY PIG SAN FRANCISCOCA0002305843017457924686"/>
        <s v="THE SPORTS PAGE INC MOUNTAIN VIEWCA"/>
        <s v="ALASKA AIRLINES 2064333200 WA"/>
        <s v="AMZN MKTP US*HF1PU7QE0 AMZN.COM/BILLWA17OPPZ38VUH"/>
        <s v="AMZN MKTP US*HF3HV8SM0 AMZN.COM/BILLWA2ZA3WREJCJF"/>
        <s v="ARCO#04495SINO AMERICAN SAN MATEO CA"/>
        <s v="DELTA AIR LINES 18002211212 CA"/>
        <s v="AMZN MKTP US*HF1UJ6BP1 AMZN.COM/BILLWA7I8XIMJAU3F"/>
        <s v="AFFIRM.COM PAYMENTS 8554233729 CA"/>
        <s v="BEST BUY 00001404295 SAN CARLOS CA"/>
        <s v="MIDWAY CATERING SAN FRANCISCOCA"/>
        <s v="SQ *MY FAVORITE SAN FRANCISCOCA0001152921512729075030"/>
        <s v="SQ *ROSE GOLD'S TATTOO SAN FRANCISCOCA0002305843017492799212"/>
        <s v="SQ *WAKE CUP* GOSQ.COM CAAPPLE PAY ENDING IN 14550001152921512729126492"/>
        <s v="TCB*MTA METER MTA P 415-701-2311 CA"/>
        <s v="SPOTIFY P22C8F28A6 8777781161 NY"/>
        <s v="AMAZON.COM*HM0XF3PK1 AMZN.COM/BILLWA1DY6V72UBYO"/>
        <s v="ONEPASS 877-515-9364 MN101843"/>
        <s v="ONEPASS 877-515-9364 MN100417"/>
        <s v="BROADWAY VALERO BURLINGAME CA"/>
        <s v="GOLDEN BOY PIZZA SM SAN MATEO CA"/>
        <s v="VENMO *ASACKOFPOTATOE 312-257-2300 NY"/>
        <s v="STORE*STICK &amp; STEAM 6506819470 CAAPPLE PAY ENDING IN 1455"/>
        <s v="GOOGLE *YT PRIMETIME G.CO/HELPPAY#CAP0RU2YP6"/>
        <s v="TARGET 00014076091 DALY CITY CA"/>
        <s v="SP PACSAFE 2067227233 WA"/>
        <s v="SP MANDUKA 3104261495 CAAPPLE PAY ENDING IN 1455"/>
        <s v="INTERVIEW QUERY 6504513704 CA"/>
        <s v="COURSRA92N5SOTLK7TT8U 650-963-9884 CA"/>
        <s v="COURSRA155309EGAS725U 650-963-9884 CA"/>
        <s v="AMZN MKTP US*L72039SM3 AMZN.COM/BILLWA7I09WRJXWE2"/>
        <s v="ATI10845-05060180 310-627-2866 CAAPPLE PAY ENDING IN 1455"/>
        <s v="CENTURY THEATRES 494 SAN BRUNO CA0494008A7A38"/>
        <s v="SQ *MATCHA CAFE MAIKO SAN FRANCISCOCA0001152921512757654100"/>
        <s v="APPLE.COM/BILL 866-712-7753 CAAPPLE PAY ENDING IN 1455MMWD6V6T19A0"/>
        <s v="APPLE.COM/BILL 866-712-7753 CAAPPLE PAY ENDING IN 1455MMWD6MTHKDA0"/>
        <s v="CRUMBL* SHIPPING 8014101313 UT"/>
        <s v="DAISO BA07 JPN TOWN UBOC SAN FRANCISCOCA"/>
        <s v="SQ *THE EPICUREAN TRAD SAN FRANCISCOCA0001152921512760635944"/>
        <s v="WEST COAST CONFECTION 4252207805 CA"/>
        <s v="AAA REDWOOD CITY REDWOOD CITY CA22314"/>
        <s v="SQ *TACOS EL NOA NOA SUNNYVALE CA0001152921512766409329"/>
        <s v="7-ELEVEN 27768 SUNNYVALE CA"/>
        <s v="BERT'S STADIUM SPORTS BA SUNNYVALE CA"/>
        <s v="GOOGLE *YOUTUBE TV G.CO/HELPPAY#CAP0RE6BVI"/>
        <s v="TST* CHE FICO SAN FRANCISCOCA00043356011644879331AA"/>
        <s v="USPS PO 0568940251 SAN MATEO CA"/>
        <s v="AMZN MKTP US*1Q97M66P3 AMZN.COM/BILLWA31PBDZEL4IV"/>
        <s v="APPLE.COM/BILL 866-712-7753 CAAPPLE PAY ENDING IN 1455MMWD73MWTBA0"/>
        <s v="SQUARE ENIX 310-846-0345 CASQUARE ENIX"/>
        <s v="GOODWILL OF SAN FRANCI SAN FRANCISCOCA"/>
        <s v="SP KAYO ANIME CLOT 6463129658 CA"/>
        <s v="BEST OF THAI NOODLE SAN FRANCISCOCA"/>
        <s v="CROSSROADS TRADING CO- SAN FRANCISCOCA"/>
        <s v="DOG PATCH SFO T1 SAN FRANCISCOCA"/>
        <s v="MOTEL SAKURA GLENDALE CA"/>
        <s v="SQ *ROSE BOWL SPECIAL PASADENA CA0001152921512786603081"/>
        <s v="SQ *ROSE BOWL SPECIAL SAN DIEGO CA0001152921512785339827"/>
        <s v="UBER* TRIP 8665761039 CA"/>
        <s v="HARVARD BUS EDUCATION 617-783-7600 MA4373424"/>
        <s v="PY *URBAN REMEDY UNION S SAN FRANCISCOCA"/>
        <s v="SQ *GIO GELATO ITALIAN SAN FRANCISCOCA0001152921512789145824"/>
        <s v="SQ *THE ITALIAN HOMEMA SAN FRANCISCOCA0001152921512788602132"/>
        <s v="LYFT *1 RIDE 05-13 855-865-9553 CA"/>
        <s v="AMAZON.COM*QU3PZ72H3 AMZN.COM/BILLWA38UH4KR2QQY"/>
        <s v="F45 REDWOOD CITY 4085987324 CA"/>
        <s v="AMZN MKTP US*FY8F70SH3 AMZN.COM/BILLWA7E3FBWDH7Z7"/>
        <s v="AMZN MKTP US*DJ7439SE3 AMZN.COM/BILLWA6QCKAISGTB5"/>
        <s v="APPLE.COM/BILL 866-712-7753 CAAPPLE PAY ENDING IN 1455MMWD782JWVA0"/>
        <s v="ONNIT 6827428 855-666-4899 TX"/>
        <s v="POPEYES 12433 MILPITAS CA"/>
        <s v="SAN ANTONIO VALERO MOUNTAIN VIEWCA"/>
        <s v="F45 TRAINING SAN MATEO 6502740896 CA"/>
        <s v="APPLE.COM/BILL 866-712-7753 CAAPPLE PAY ENDING IN 1455MMWD7LYDGHA0"/>
        <s v="ASICS CORPORATION IRVINE CA"/>
        <s v="FEDEX940837088448 901-4348994 TN"/>
        <s v="LA DOLCE VITA GELATO MILPITAS CA"/>
        <s v="MINISO GREAT MALL MILPITAS CA"/>
        <s v="TARGET 00003202091 DALY CITY CA"/>
        <s v="REI #83 SAN FRANCISCO SAN FRANCISCOCA2008440830256457"/>
        <s v="THE SPORTS BASEMENT REDW REDWOOD CITY CA"/>
        <s v="TN GA INST TECH PAYPATH 9135996699 KS"/>
        <s v="GA INST TECH PAYPATH 9135996699 KS"/>
        <s v="AMZN MKTP US*0B1421OH3 AMZN.COM/BILLWA14Q5CF71KPK"/>
        <s v="1-800 CONTACTS, INC. 800-266-8228 UT"/>
        <s v="AMZN MKTP US*GR55S7T43 AMZN.COM/BILLWA4C1XM6PKYDW"/>
        <s v="VENMO 855-812-4430 NY"/>
        <s v="SQ *SHAKE SHACK SAN MATEO CA0001152921512819154137"/>
        <s v="SAFEWAY #2878 MILLBRAE CA"/>
        <s v="FANTASYMATH.COM 9204509068 WI"/>
        <s v="AMZN MKTP US*NT1FI7NP3 AMZN.COM/BILLWA38ZGIH88Q02"/>
        <s v="ADIDAS 6531 SAN FRANCI SAN FRANCISCOCA"/>
        <s v="TST* SIMPLYCAKE SF SAN MATEO CA00082246011888581925AA"/>
        <s v="AMZN MKTP US*NW3PJ48T3 AMZN.COM/BILLWA1VLDO5GHAK1"/>
        <s v="AMZN MKTP US*E264Z7NR3 AMZN.COM/BILLWA7IFZAHK9H1Z"/>
        <s v="LEETCODE.COM 9167018853 CA"/>
        <s v="UNUSUAL TIMES EWR NEWARK NJ1593"/>
        <s v="SFO THE PLANT SAN FRANCISCOCA02667R"/>
        <s v="FARMER'S FRIDGE CHICAGO IL02677R"/>
        <s v="LIM*RIDE COST 0974595221 FRAAPPLE PAY ENDING IN 14557.25 @ 00000001.0739293 EUR"/>
        <s v="LIM*SUBSCRIPTION COST 0974595221 FRAAPPLE PAY ENDING IN 14557.99 @ 00000001.0739293 EUR"/>
        <s v="TIQETS INC PA PAAPPLE PAY ENDING IN 1455"/>
        <s v="AMAZON.COM*VS7RX0HD3 AMZN.COM/BILLWAQ8UCZKHE08I"/>
        <s v="LIM*RIDE COST 0974595221 FRAAPPLE PAY ENDING IN 14552.75 @ 00000001.0739293 EUR"/>
        <s v="SPOTIFY P2372B5402 8777781161 NY"/>
        <s v="DENT 036416349688 DEUAPPLE PAY ENDING IN 1455"/>
        <s v="ONEPASS 877-515-9364 MN115996"/>
        <s v="ONEPASS 877-515-9364 MN114582"/>
        <s v="GOOGLE *YT PRIMETIME G.CO/HELPPAY#CAP0SGQC6O"/>
        <s v="ATI8363-060519302 310-627-2866 CAAPPLE PAY ENDING IN 1455"/>
        <s v="APPLE.COM/BILL 866-712-7753 CAAPPLE PAY ENDING IN 1455MMWD90BDDSA0"/>
        <s v="GOOGLE *YOUTUBE TV G.CO/HELPPAY#CAP0SQDURP"/>
        <s v="PANDA EXPRESS #907 P 800-877-8988 CAAPPLE PAY ENDING IN 1455"/>
        <s v="AMAZON.COM*8Y6XC4UF3 AMZN.COM/BILLWA4DQ9YX77JH4"/>
        <s v="ETSY.COM BROOKLYN NYAPPLE PAY ENDING IN 1455"/>
        <s v="FASTRAK VIOLATION CENT 415-486-8655 CA"/>
        <s v="LYFT *MEMB JUN 8552800278 CA"/>
        <s v="TOMO SUSHI AND TERIYAKI DALY CITY CA"/>
        <s v="APPLE.COM/BILL 866-712-7753 CAAPPLE PAY ENDING IN 1455MMWD99VN1VA0"/>
        <s v="1XDATASPELL SAN MATEO CA"/>
        <s v="ATI49980-06020339 310-627-2866 CAAPPLE PAY ENDING IN 1455"/>
        <s v="AMZN MKTP US*EH8WL46Y3 AMZN.COM/BILLWA4NEEZLU4KD4"/>
        <s v="USPS PO 0510350110 BURLINGAME CA"/>
        <s v="AMAZON.COM*GP1TT39Y3 AMZN.COM/BILLWA5VH657BXUC9"/>
        <s v="AMZN MKTP US*D998272J3 AMZN.COM/BILLWA2HON34BLB2I"/>
        <s v="SQ *HOLY GELATO SAN FRANCISCOCA0001152921512929882524"/>
        <s v="UDEMY: ONLINE COURSES 8888385432 CA"/>
        <s v="SPOTIFY P2410D44F9 8777781161 NY"/>
        <s v="ONEPASS 877-515-9364 MN131030"/>
        <s v="ONEPASS 877-515-9364 MN129885"/>
        <s v="BEVERAGES &amp; MORE #119 BURLINGAME CA"/>
        <s v="SAFEWAY #0999 FOSTER CITY CA"/>
        <s v="SFMOMA MUSEUM STORE SAN FRANCISCOCA00690R"/>
        <s v="TARGET 00033530091 DALY CITY CA"/>
        <s v="MOVEMENT SANTA CLARA 5413165747 CO"/>
        <s v="OAKLEY B004 MILPITAS CA"/>
        <s v="SQ *CAFE SIETE BURLINGAME CA0001152921512960337074"/>
        <s v="AMAZON.COM*9N7KY81L3 AMZN.COM/BILLWA1RWA4YTUU2S"/>
        <s v="AMZN MKTP US*YQ7W86013 AMZN.COM/BILLWA5W8CMM91JWI"/>
        <s v="MCDONALDS 416 REDWOOD CITY CA"/>
        <s v="SQ *CAFE SIETE BURLINGAME CA0001152921512976380865"/>
        <s v="SQ *BOBA GUYS POTRERO SAN FRANCISCOCA0001152921512980421691"/>
        <s v="SQ *MONARCH BEVERAGE C SAN FRANCISCOCA0002305843018002898080"/>
        <s v="MCDONALDS 16932 SAN FRANCISCOCA"/>
        <s v="ATI10845-07510043 310-627-2866 CAAPPLE PAY ENDING IN 1455"/>
        <s v="GOFUNDME HOMOSEXUAL WA REDWOOD CITY CA"/>
        <s v="AMZN MKTP US*C815N4833 AMZN.COM/BILLWA40G984MFQ73"/>
        <s v="WALGREENS #2126 SAN CARLOS CA"/>
        <s v="ATI10113-07910185 310-627-2866 CAAPPLE PAY ENDING IN 1455"/>
        <s v="CENTURY THEATRES 399 MOUNTAIN VIEWCA03990093B758"/>
        <s v="CENTURY THEATRES 494 SAN BRUNO CA0494008BE7A2"/>
        <s v="AMAZON.COM*T68KE55Q0 AMZN.COM/BILLWAJILV9LLC61T"/>
        <s v="LUCKY #748 SAN BRUNS9H SAN BRUNO CA"/>
        <s v="QUIZLET.COM 510-495-6550 CAP-08481062"/>
        <s v="SPOTIFY P24B9D83D8 8777781161 NY"/>
        <s v="SHIPT* ORDER 2055022500 AL"/>
        <s v="ONEPASS 877-515-9364 MN147627"/>
        <s v="ONEPASS 877-515-9364 MN146573"/>
        <s v="EB GOLDEN HOUR NIGHT 801-413-7200 CAAPPLE PAY ENDING IN 1455"/>
        <s v="COURSRA3WTI8LK0RLU4UF 650-963-9884 CA"/>
        <s v="PUBLIC WORKS SAN FRANCISCOCA"/>
        <s v="SQ *A.D.P DEPALMA FARM SAN FRANCISCOCA0001152921513049170106"/>
        <s v="SQ *ADORABLE BAKERY LL SAN FRANCISCOCA0001152921513049179594"/>
        <s v="SQ *THAO FAMILY FARM SAN FRANCISCOCA0001152921513049149557"/>
        <s v="APPLE.COM/BILL 866-712-7753 CAAPPLE PAY ENDING IN 1455MMWDGB1MG0A0"/>
        <s v="AMAZON.COM*TA8MI0G90 AMZN.COM/BILLWA4267TUMJLTQ"/>
        <s v="APPY PIE 7039964429 VA"/>
        <s v="SQ *PAW PATCH PASTRIES DALY CITY CA0002305843018176564959"/>
        <s v="DIRTY HABIT HOTEL ZELOS SAN FRANCISCOCA"/>
        <s v="CASCAL RESTAURANT MOUNTAIN VIEWCA"/>
        <s v="DROPDECK 7372426703 MD"/>
        <s v="SQ *CAFE SIETE BURLINGAME CA0001152921513063763890"/>
        <s v="TST* B STAR SAN FRANCISCOCA00003059013180319112AA"/>
        <s v="AMZN MKTP US*TO48J1AB0 AMZN.COM/BILLWA6KIHKD2ZOEB"/>
        <s v="AMZN MKTP US*TO2DO8TK0 AMZN.COM/BILLWA2K73N62JRGD"/>
        <s v="OUTSIDELAND MERCH 6502396947 VA"/>
        <s v="AMZN MKTP US*TO0RK9P20 AMZN.COM/BILLWA5LKW8W7QYXO"/>
        <s v="APPLE.COM/BILL 866-712-7753 CAAPPLE PAY ENDING IN 1455MMWDGN21ZJA0"/>
        <s v="AT THE SHOP SAN MATEO CA"/>
        <s v="CENTRAL COMPUTERS OF S SANTA CLARA CA02156R"/>
        <s v="WALMART STORE 05434 SAN LEANDRO CA"/>
        <s v="A ONE GAS SAN LORENZO CA"/>
        <s v="AMAZON.COM*TQ2JM1XX0 AMZN.COM/BILLWA3RN7P73TZQF"/>
        <s v="SQ *THE GREEK THEATER SAN FRANCISCOCA0001152921513116617060"/>
        <s v="CENTRAL COMPUTERS OF S SANTA CLARA CA02925R"/>
        <s v="CENTRAL COMPUTERS OF S SANTA CLARA CA02937R"/>
        <s v="SPOTIFY P257B01D39 8777781161 NY"/>
        <s v="ONEPASS 877-515-9364 MN166398"/>
        <s v="ONEPASS 877-515-9364 MN165439"/>
        <s v="MOLLIE STONES #6 BURLINGAME CA"/>
        <s v="AMAZON.COM*TL9IJ5292 AMZN.COM/BILLWA2UJIAHNSZ70"/>
        <s v="JERSEY MIKES ONLINE ORDE 732-223-4044 NJAPPLE PAY ENDING IN 1455"/>
        <s v="MUIR SPACE 4288 MILL VALLEY CA"/>
        <s v="APPLE.COM/BILL 866-712-7753 CAAPPLE PAY ENDING IN 1455MMWDJFY29ZA0"/>
        <s v="TMOBILE*POSTPAID PDA 800-937-8997 WAITEM TRANSFERRED FROM PREV ACCOUNT"/>
        <s v="SAN MATEO SERVICE FEE 650-522-7408 CA"/>
        <s v="SAN MATEO PARKS AND RECR 650-522-7408 CA"/>
        <s v="PALO ALTO TENNIS SHOP PALO ALTO CA"/>
        <s v="RAIN TREE CAFE. SAN FRANCISCOCA"/>
        <s v="SP^AFF* SLINGERBAG 8554233729 CA"/>
        <s v="APPLE.COM/BILL 866-712-7753 CAAPPLE PAY ENDING IN 1455MMWDJT7BH5A0"/>
        <s v="TACO BELL 730746 650-403-0395 CAAPPLE PAY ENDING IN 1455"/>
        <s v="TENNIS WAREHOUSE 8008836647 CA"/>
        <s v="SQ *MELLOW COFFEE SAN FRANCISCOCA0001152921513197525747"/>
        <s v="SQ *ROSE GOLD'S TATTOO SAN FRANCISCOCA0001152921513197662543"/>
        <s v="TST* SANDYS SAN FRANCISCOCA00104288013715099959AA"/>
        <s v="TST* URBAN KITCHEN BURLINGAME CA00113802013738256804AA"/>
        <s v="SQ *CAFE SIETE BURLINGAME CA0001152921513201455985"/>
        <s v="AMAZON.COM*TX8CC92K2 AMZN.COM/BILLWA12X9MM88BMR"/>
        <s v="AARTI PETROLEUM REDWOOD CITY CA"/>
        <s v="TCKTWEB*BENNYSINGSDANA 800-965-4827 CA93192760IM97FQUQ"/>
        <s v="REPRESENTED INTERNET PAYMENT - THANK YOU"/>
        <s v="RETURNED INTERNET PMT"/>
        <s v="RETURNED CHECK CHARGE"/>
        <s v="STARBUCKS STORE 00613 SAN MATEO CA8FD9D0D67479710842"/>
        <s v="SPOTIFY P262EACB2F 8777781161 NY"/>
        <s v="ONEPASS 877-515-9364 MN186703"/>
        <s v="ONEPASS 877-515-9364 MN185761"/>
        <s v="AMAZON.COM*T91E50GG0 AMZN.COM/BILLWA1EDQVVBW10H"/>
        <s v="PRESIDIO COMMUNITY YMCA SAN FRANCISCOCA"/>
        <s v="SNACK* SWEET MOMENT 8668682146 CA"/>
        <s v="TST* KAJIKEN SAN MATEO CA00115516014004555143AA"/>
        <s v="WALGREENS #893 SAN FRANCISCOCA"/>
        <s v="APPLE.COM/BILL 866-712-7753 CAAPPLE PAY ENDING IN 1455MMWDLK42GYA0"/>
        <s v="NIJIYA MARKET #62 SAN FRANCISCOCA"/>
        <s v="SAN JOSE CONVENTION CE SAN JOSE CA"/>
        <s v="STORE*SABY THAI RESTAU 6506819470 CA"/>
        <s v="SQ *SHAKE SHACK SAN MATEO CA0001152921513279898541"/>
        <s v="GITHUB, INC. 8774484820 CA"/>
        <s v="STUBHUB, INC. 866-788-2482 CAAPPLE PAY ENDING IN 1455"/>
        <s v="APPLE.COM/BILL 866-712-7753 CAAPPLE PAY ENDING IN 1455MMWDLS4TG6A0"/>
        <s v="APPLE STORE #R029 BURLINGAME CAR029110720901"/>
        <s v="BY ME BOBA TEA 3127305592 IL"/>
        <s v="TM *TICKETMASTER 865-512-6326 CAWDC/28-23809"/>
        <s v="SQ *IRVING SUBS - 12TH SAN FRANCISCOCA0001152921513282869411"/>
        <s v="EB BLACK TECH GATHERI 801-413-7200 CAAPPLE PAY ENDING IN 1455"/>
        <s v="SQ *SHAKE SHACK PALO ALTO CA0001152921513292191314"/>
        <s v="TCKTWEB*REGALSQUALORYU 800-965-4827 CA92971449JNLDW2U6"/>
        <s v="CKE*MILLBRAE KEBABS 675 MILLBRAE CA"/>
        <s v="SEE TICKETS *NIA ARCHIVE 323-908-0607 CASEE TICKETS *NIA ARCHIVE"/>
        <s v="SQ *GREAT AMERICAN MUS SAN FRANCISCOCA0001152921513308822302"/>
        <s v="EDINBURGH CASTLE SAN FRANCISCOCA"/>
        <s v="AMAZON.COM*TP51X89N0 AMZN.COM/BILLWA1KYXBYKZM6K"/>
        <s v="TST* ICICLES - SAN MAT SAN MATEO CA00095112014216852516AA"/>
        <s v="MCDONALDS 1386 SAN MATEO CA"/>
        <s v="CVS/PHARMACY #09811 BURLINGAME CA"/>
        <s v="CENTURY THEATRES 485 REDWOOD CITY CA0485009ED4B7"/>
        <s v="BASKETBALL MONSTER 262-684-9090 WI"/>
        <s v="ATI10113-01120970 310-627-2866 CAAPPLE PAY ENDING IN 1455"/>
        <s v="TM *YOUNG THE GIANT 800-653-8000 CAWDC/44-32173"/>
        <s v="SQ *BAGEL STREET CAFE MILLBRAE CA0001152921513332617171"/>
        <s v="DEAN'S PRODUCE. MILLBRAE CA"/>
        <s v="SQ *BAGEL STREET CAFE MILLBRAE CA0001152921513332613682"/>
        <s v="ZOOM.US 888-799-9666 8887999666 CA"/>
        <s v="SQ *CAFE ENCORE COFFEE SAN FRANCISCOCA0001152921513343945683"/>
        <s v="PRESTIGE PARK LLC SAN FRANCISCOCA"/>
        <s v="LAZ PARKING 680399-WC SAN FRANCISCOCA"/>
        <s v="SQ *AMORINO SAN FRANCI SAN FRANCISCOCA0001152921513354151401"/>
        <s v="AMZN MKTP US*O619E3LH3 AMZN.COM/BILLWA6K0ETQ6A8O8"/>
        <s v="AMZN MKTP US*QH7CE6D93 AMZN.COM/BILLWA793OBTA3B2X"/>
        <s v="AMAZON.COM*OL8O80KS3 AMZN.COM/BILLWAJR2XBXK4IDL"/>
        <s v="TRADER JOE S #067 SAN MATEO CA"/>
        <s v="SPOTIFY P26E3F1FB8 8777781161 NY"/>
        <s v="POPEYES 10707 415-309-7816 CAAPPLE PAY ENDING IN 1455"/>
        <s v="POPEYES 10707 REDWOOD CITY CA"/>
        <s v="VAN NESS MARKET SAN FRANCISCOCA"/>
        <s v="ONEPASS 877-515-9364 MN207237"/>
        <s v="ONEPASS 877-515-9364 MN208138"/>
        <s v="MCDONALD'S F3942 BALTIMORE MD"/>
        <s v="MW TUX #3561 GLEN BURNIE MD"/>
        <s v="TST* KABOD COFFEE - B1 DENVER CO00143219014476140933AA"/>
        <s v="DUET, INC. 5407368490 FL"/>
        <s v="BRYANSTATIONHIGHSCHOOL 2062850906 KYAPPLE PAY ENDING IN 1455"/>
        <s v="ALL STAR PLUMBING LLC 410-841-9214 MD"/>
        <s v="APPLE.COM/BILL 866-712-7753 CAAPPLE PAY ENDING IN 1455MMWDNSF7BJA0"/>
        <s v="TST* OPEN CITY - DC WASHINGTON DC00020378014561529354AA"/>
        <s v="WL *SQUARE ENIX 310-846-0345 CAWL *SQUARE ENIX"/>
        <s v="CHICK-FIL-A #02222 4102882211 MDAPPLE PAY ENDING IN 1455"/>
        <s v="TARGET 00019703091 MIDDLE RIVER MD"/>
        <s v="DIAMOND CITGO PIKESVILLE MDL13612066"/>
        <s v="TARGET 00015412091 PIKESVILLE MD"/>
        <s v="TYPESET 7372426703 MDREVERSAL OF TEMPORARY CREDIT"/>
        <s v="TYPESET 7372426703 MD"/>
        <s v="SUBWAY 27648 BALTIMORE MD"/>
        <s v="TYPESET 7372426703 MDTEMPORARY CREDIT PENDING INVESTIGATION"/>
        <s v="CYBERGRANTS* DONATION 6072291295 MA"/>
        <s v="DD *STOREPIZZABOLIS 6506819470 CA"/>
        <s v="AMAZON.COM*H086P18C3 AMZN.COM/BILLWA5RGYENM691O"/>
        <s v="AMAZON.COM*P14C508S3 AMZN.COM/BILLWA35DY90A7H7E"/>
        <s v="GROUPGREETING 4155626079 CA"/>
        <s v="LA FITNESS PRY HAL-RTE 1 NOTTINGHAM MD"/>
        <s v="AMAZON.COM AMZN.COM/BILLWA6KJ5ABXOFWE"/>
        <s v="TARGET 00011429091 TOWSON MD"/>
        <s v="WEIS MARKETS 206 NOTTINGHAM MD"/>
        <s v="SHELL RECHARGE 855-900-7584 CA"/>
        <s v="DICKS SPORTING GOODS OSAGEBEACH TN"/>
        <s v="FH* KRAKEN KOURTS SKA 8333880106 CO"/>
        <s v="WALMART STORE 02799 CLINTON MD"/>
        <s v="TACO BELL 739964 203-305-4323 MDAPPLE PAY ENDING IN 1455"/>
        <s v="PREMIUM PARKING 8442362011 LA"/>
        <s v="TST* KRAKEN KOURTS WASHINGTON DC00114791014746150922AA"/>
        <s v="TST* KRAKEN KOURTS WASHINGTON DC00114791014745601083AA"/>
        <s v="TST* KRAKEN KOURTS WASHINGTON DC00114791014745783811AA"/>
        <s v="ELECTRIFY AMERICA 8336322778 VA"/>
        <s v="CVS/PHARMACY #02005 DISTRICT HEIGMD"/>
        <s v="CHARLEYS PHILLY STEAKS 5 SILVER SPRINGMD"/>
        <s v="AMZN MKTP US*TR31A3YC3 AMZN.COM/BILLWA2CYI6TQ9ZV5"/>
        <s v="MCDONALDS 28182 BALTIMORE MD"/>
        <s v="BLINK CHARGING CO 888-998-2546 FLBLINK CHARGING CO"/>
        <s v="E-TEA 49 SW 2026608399 DC"/>
        <s v="MCDONALDS 12225 NOTTINGHAM MD"/>
        <s v="PY *KUNG FU TEA BETHESDA BETHESDA MD"/>
        <s v="UNIQLO USA LLC UNIQLO N BETHESDA MD"/>
        <s v="SQ *OLNEY THEATRE CENT OLNEY MD0002305843018860064998"/>
        <s v="RUBY THAI KITCHEN MONTGO BETHESDA MD"/>
        <s v="MINISO DEPOT MONTGOMERY BETHESDA MD"/>
        <s v="AMC 0368 WHEATON MALL WHEATON MD"/>
        <s v="DUNKIN #330619 Q35 SILVER SPRINGMD"/>
        <s v="0795 HOLIDAY PHOTO BETHESDA MD"/>
        <s v="POMODORO PASTA PIZZA AND STERLING VA"/>
        <s v="CSP* AUTOBAHN - DULLES STERLING VA"/>
        <s v="CSP* AUTOBAHN CC - DUL 571-353-1220 VA"/>
        <s v="CSP*CONVENIENCE FEE 877-751-3200 CA"/>
        <s v="EVGO SERVICES LOS ANGELES CA"/>
        <s v="WALGREENS #19650 ARLINGTON VA"/>
        <s v="MICRO CENTER-TOWSON EAST BALTIMORE MD"/>
        <s v="CHARLEYS PHILLY STEAKS 0 4104975469 MD"/>
        <s v="AMAZON.COM*QJ4XY7Z63 AMZN.COM/BILLWA34DK8ND627F"/>
        <s v="AMZN MKTP US*JA1MY9YF3 AMZN.COM/BILLWA7AQVTXO0PIB"/>
        <s v="APPLE.COM/BILL 866-712-7753 CAAPPLE PAY ENDING IN 1455MMWDS2T7X0A0"/>
        <s v="MCDONALDS 20966 PARKVILLE MD"/>
        <s v="WALMART STORE 03489 BALTIMORE MD"/>
        <s v="ARLINGTON DRAFTHOUSE ARLINGTON VA"/>
        <s v="THE ANTHEM WASHINGTON DC00168P"/>
        <s v="THE ANTHEM WASHINGTON DC00193P"/>
        <s v="SPOTIFY P279F05226 8777781161 NY"/>
        <s v="SQ *DONKEYS &amp; SCOOTERS WASHINGTON DC0002305843018899495122"/>
        <s v="COLUMBIA PIKE CITGO ARLINGTON VAL15867007"/>
        <s v="AMC 2817 WHITE MARSH 1 BALTIMORE MDAPPLE PAY ENDING IN 1455"/>
        <s v="ATI3808-210212823 310-627-2866 CAAPPLE PAY ENDING IN 1455"/>
        <s v="BOB &amp; EDITHS DINER ARLINGTON VA"/>
        <s v="ONEPASS 877-515-9364 MN230795"/>
        <s v="ONEPASS 877-515-9364 MN229964"/>
        <s v="DUNKIN #348747 Q35 BALTIMORE MD"/>
        <s v="A S C"/>
        <s v="SQ *TENNIS STATION BUR BURLINGAME CA0001152921513474031125"/>
        <s v="AMAZON.COM*LD0YV9H23 AMZN.COM/BILLWA7VW87A9X7J4"/>
        <s v="AMAZON.COM*V869J8XS3 AMZN.COM/BILLWA63V41SEAME2"/>
        <s v="AMZN MKTP US*TL5FN3DM3 AMZN.COM/BILLWA4CGUWRHEIYY"/>
        <s v="SQ *47 HILLS BREWING C SOUTH SAN FRACA0001152921513481417731"/>
        <s v="ATG USA LLC 727-2824429 FL"/>
        <s v="AMZN MKTP US*U91N19NO3 AMZN.COM/BILLWA6K4XJ96HAMF"/>
        <s v="AMAZON.COM*YZ2367I43 AMZN.COM/BILLWA2QH41IQDXWK"/>
        <s v="APPLE.COM/BILL 866-712-7753 CAAPPLE PAY ENDING IN 1455MMWDT26SV2A0"/>
        <s v="SOFAR SOUNDS 6468465019 MA"/>
        <s v="WALGREENS #12257 BURLINGAME CA"/>
        <s v="GRUBHUBTAQUERIALACUMB 877-585-1085 NYAPPLE PAY ENDING IN 1455"/>
        <s v="DICKS SPORTING GOODS DALY CITY TN"/>
        <s v="UNRECOGNIZED TRAN CHRGBKAN ADJUSTMENT TO YOUR ACCOUNT"/>
        <s v="SNACK* SOMI SOMI SAN M 8668682146 CA"/>
        <s v="TST* DAEHO KALBIJJIM - SAN MATEO CA00076211015087355906AA"/>
        <s v="CASHBACK BONUS REDEMPTION PYMT/STMT CRDT"/>
        <s v="BEARD PAPA'S SAN MATEO CA"/>
        <s v="LA FITNESS 949-255-8100 CA"/>
        <s v="AMZN MKTP US*1M1M54X43 AMZN.COM/BILLWA1HZWR94JT3W"/>
        <s v="MI RANCHO MARKET SAN MATEO CA"/>
        <s v="TST* LIVING ROOM COFFE CAMPBELL CA00003021015208543689AA"/>
        <s v="JIFFY LUBE #297 CAMPBELL CA12202023"/>
        <s v="GRUBHUBTAQUERIALASPEN 877-585-1085 NYAPPLE PAY ENDING IN 1455"/>
        <s v="1946 THE MOVIE 3232208730 CAAPPLE PAY ENDING IN 1455"/>
        <s v="AMAZON.COM*000Q12Z53 AMZN.COM/BILLWA67WZTPZFQ4W"/>
        <s v="TM TICKETMASTER 800-653-8000 CA"/>
        <s v="ZHANGLIANG MALATANG SAN MATEO CA"/>
        <s v="NOODLES &amp; THINGS MILLBRAE CA"/>
        <s v="SQ *SAN MATEO SOMISOMI SAN MATEO CA0001152921513527577846"/>
        <s v="TRADER JOE S #170 MILLBRAE CA"/>
        <s v="APPLE.COM/BILL 866-712-7753 CAAPPLE PAY ENDING IN 1455"/>
        <s v="STUBHUB, INC. 866-788-2482 CA"/>
        <s v="ADOBE INC. 408-536-6000 CA"/>
        <s v="AMZN MKTP US*JH0C67TF3 AMZN.COM/BILLWA5MHP0ZC66PB"/>
        <s v="TARGET 00011221091 SAN MATEO CAAPPLE PAY ENDING IN 1455"/>
        <s v="SQ *LEVY @ REGENCY BAL SAN FRANCISCOCA0001152921513544240976"/>
        <s v="SQ *LEVY @ REGENCY BAL SAN FRANCISCOCA0001152921513544218720"/>
        <s v="SQ *ZAREEN'S RESTAURAN REDWOOD CITY CA0001152921513546327493"/>
        <s v="TST* LIVING ROOM COFFEE CAMPBELL CA"/>
        <s v="APPLE FRITTER SAN MATEO CA"/>
        <s v="SQ *ZAREEN'S RESTAURAN REDWOOD CITY CA0001152921513549215564"/>
        <m u="1"/>
      </sharedItems>
    </cacheField>
    <cacheField name="Amount" numFmtId="0">
      <sharedItems containsSemiMixedTypes="0" containsString="0" containsNumber="1" minValue="-2889.63" maxValue="2019.8"/>
    </cacheField>
    <cacheField name="Category" numFmtId="0">
      <sharedItems count="15">
        <s v="Balance"/>
        <s v="Merchandise"/>
        <s v="Supermarkets"/>
        <s v="Medical Services"/>
        <s v="Awards and Rebate Credits"/>
        <s v="Gasoline"/>
        <s v="Services"/>
        <s v="Restaurants"/>
        <s v="Education"/>
        <s v="Travel/ Entertainment"/>
        <s v="Payments and Credits"/>
        <s v="Government Services"/>
        <s v="Automotive"/>
        <s v="Home Improvement"/>
        <s v="Fees"/>
      </sharedItems>
    </cacheField>
    <cacheField name="Short_Desc" numFmtId="0">
      <sharedItems containsBlank="1" count="132">
        <s v="Balance"/>
        <s v="spotify"/>
        <s v="netflix"/>
        <s v="groceries"/>
        <s v="breaking_points"/>
        <s v="obsidian"/>
        <s v="dental"/>
        <s v="everything_store"/>
        <s v="credits"/>
        <s v="gas_station"/>
        <s v="youtube_tv"/>
        <s v="fast_food"/>
        <s v="conv_store"/>
        <s v="coursera"/>
        <s v="moving"/>
        <s v="state_farm"/>
        <s v="restaurant"/>
        <s v="amazon"/>
        <s v="apple_care"/>
        <s v="ride_share"/>
        <s v="jewelry"/>
        <s v="vision"/>
        <s v="video_games"/>
        <s v="air_travel"/>
        <s v="hbo"/>
        <s v="payment"/>
        <s v="coffee"/>
        <s v="crunchy_roll"/>
        <s v="sport_stuff"/>
        <s v="cell_phone"/>
        <s v="convention"/>
        <s v="learning"/>
        <s v="parking"/>
        <s v="live_nba"/>
        <s v="fitness"/>
        <s v="dump"/>
        <s v="tolls"/>
        <s v="car"/>
        <s v="clothing"/>
        <s v="concerts"/>
        <s v="onlyfans"/>
        <s v="lodging"/>
        <s v="professional"/>
        <s v="vr_arcade"/>
        <s v="paramount_plus"/>
        <s v="physical_therapy"/>
        <s v="museum"/>
        <s v="political_cause"/>
        <s v="sports_gear"/>
        <s v="movies"/>
        <s v="kids"/>
        <s v="taxes"/>
        <s v="nba_league_pass"/>
        <s v="live_event"/>
        <s v="electronics"/>
        <s v="onepass"/>
        <s v="mailing"/>
        <s v="barbershop"/>
        <s v="apple_tv"/>
        <s v="chatgpt"/>
        <s v="shiloh"/>
        <s v="motor_gear"/>
        <s v="motor_cycle_license"/>
        <s v="self_care"/>
        <s v="disney"/>
        <s v="medical"/>
        <s v="home"/>
        <s v="Pre_Europe_Trip"/>
        <s v="dad"/>
        <s v="babbel"/>
        <s v="Kaiya_Birthday"/>
        <s v="meal_lime"/>
        <s v="adity"/>
        <s v="Europe_Trip"/>
        <s v="nick&amp;julie"/>
        <s v="Julie_Birthday"/>
        <s v="music_festival"/>
        <s v="parks_rec"/>
        <s v="tennis"/>
        <s v="fees"/>
        <s v="the_athletic"/>
        <s v="black_in_tech"/>
        <s v="basketball_monster"/>
        <s v="zoo"/>
        <s v="Duet"/>
        <s v="mom"/>
        <s v="live_baseball"/>
        <s v="home_supplies"/>
        <s v="gym"/>
        <s v="cashback_bonus"/>
        <s v="1946"/>
        <s v="adobe"/>
        <m u="1"/>
        <s v="stretch_zone" u="1"/>
        <s v="big_5_sporting_goods" u="1"/>
        <s v="bowling" u="1"/>
        <s v="bed_bath_and_beyond" u="1"/>
        <s v="don" u="1"/>
        <s v="comedy" u="1"/>
        <s v="bus_fare" u="1"/>
        <s v="work_lunch" u="1"/>
        <s v="wallet" u="1"/>
        <s v="five_below" u="1"/>
        <s v="hostel" u="1"/>
        <s v="viki" u="1"/>
        <s v="medium" u="1"/>
        <s v="clothes" u="1"/>
        <s v="walmart" u="1"/>
        <s v="blossom" u="1"/>
        <s v="hair_supplies" u="1"/>
        <s v="youtube" u="1"/>
        <s v="interest" u="1"/>
        <s v="pay_wall" u="1"/>
        <s v="aps" u="1"/>
        <s v="hulu" u="1"/>
        <s v="hoover_dam" u="1"/>
        <s v="tahjei" u="1"/>
        <s v="bookstore" u="1"/>
        <s v="oculus" u="1"/>
        <s v="target" u="1"/>
        <s v="leet_code" u="1"/>
        <s v="nvidia" u="1"/>
        <s v="Jayelin" u="1"/>
        <s v="sports_line" u="1"/>
        <s v="concert" u="1"/>
        <s v="staples" u="1"/>
        <s v="fubo_tv" u="1"/>
        <s v="unsure" u="1"/>
        <s v="vending" u="1"/>
        <s v="storage" u="1"/>
        <s v="grammarly" u="1"/>
        <s v="airport" u="1"/>
      </sharedItems>
    </cacheField>
    <cacheField name="Reoccurring_Flag" numFmtId="0">
      <sharedItems containsBlank="1" count="3">
        <s v="No"/>
        <s v="Yes"/>
        <m u="1"/>
      </sharedItems>
    </cacheField>
    <cacheField name="Category_2" numFmtId="0">
      <sharedItems containsBlank="1" count="14">
        <s v="Balance"/>
        <s v="Recreation_Entertainment"/>
        <s v="Food"/>
        <s v="Personal_Spending"/>
        <s v="Medical"/>
        <s v="Payment_and_Interest"/>
        <s v="Transportation"/>
        <s v="Misc"/>
        <s v="Insurance"/>
        <s v="Utilities"/>
        <s v="Housing"/>
        <s v="People"/>
        <s v="Government"/>
        <m u="1"/>
      </sharedItems>
    </cacheField>
    <cacheField name="Date" numFmtId="14">
      <sharedItems containsSemiMixedTypes="0" containsNonDate="0" containsDate="1" containsString="0" minDate="2023-01-01T00:00:00" maxDate="2023-12-02T00:00:00" count="12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</sharedItems>
    </cacheField>
    <cacheField name="Year" numFmtId="0">
      <sharedItems containsSemiMixedTypes="0" containsString="0" containsNumber="1" containsInteger="1" minValue="2023" maxValue="2023"/>
    </cacheField>
    <cacheField name="Sort_Date" numFmtId="14">
      <sharedItems containsSemiMixedTypes="0" containsNonDate="0" containsDate="1" containsString="0" minDate="2023-01-01T00:00:00" maxDate="2024-01-01T00:00:00"/>
    </cacheField>
    <cacheField name="CumAmount" numFmtId="0">
      <sharedItems containsSemiMixedTypes="0" containsString="0" containsNumber="1" minValue="-1189.590000000004" maxValue="4783.9799999999996"/>
    </cacheField>
    <cacheField name="Counter" numFmtId="0">
      <sharedItems containsSemiMixedTypes="0" containsString="0" containsNumber="1" containsInteger="1" minValue="1" maxValue="1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d v="2023-01-03T00:00:00"/>
    <n v="-80"/>
    <n v="326.52"/>
    <s v="PURCHASE AUTHORIZED ON 01/01 CASH APP*ANUSH ROH 8774174551 CA S383001689612697 CARD 6659"/>
    <x v="0"/>
    <x v="0"/>
  </r>
  <r>
    <d v="2023-01-10T00:00:00"/>
    <n v="-200"/>
    <n v="126.51999999999998"/>
    <s v="ZELLE TO LEWIS SHEVON ON 01/10 REF #RP0QXXRHQF EARLY INVESTMENT"/>
    <x v="1"/>
    <x v="1"/>
  </r>
  <r>
    <d v="2023-01-10T00:00:00"/>
    <n v="-50"/>
    <n v="76.519999999999982"/>
    <s v="PURCHASE AUTHORIZED ON 01/09 CASH APP*CYANFACE 8774174551 CA S463009600364898 CARD 6659"/>
    <x v="2"/>
    <x v="1"/>
  </r>
  <r>
    <d v="2023-01-11T00:00:00"/>
    <n v="-182"/>
    <n v="-105.48000000000002"/>
    <s v="VENMO PAYMENT 230111 1024637239631 SEAN LEWIS"/>
    <x v="0"/>
    <x v="0"/>
  </r>
  <r>
    <d v="2023-01-11T00:00:00"/>
    <n v="-24.14"/>
    <n v="-129.62"/>
    <s v="VENMO PAYMENT 230111 1024637259890 SEAN LEWIS"/>
    <x v="0"/>
    <x v="0"/>
  </r>
  <r>
    <d v="2023-01-12T00:00:00"/>
    <n v="541.16"/>
    <n v="411.53999999999996"/>
    <s v="Nationwide PAYROLL 01 HRP0008984397 Sean Lewis"/>
    <x v="3"/>
    <x v="0"/>
  </r>
  <r>
    <d v="2023-01-13T00:00:00"/>
    <n v="-200"/>
    <n v="211.53999999999996"/>
    <s v="TRANSFER TO LEWIS SHARON ON 01/13 REF #PP0QY4HH2S TAX PT2"/>
    <x v="4"/>
    <x v="1"/>
  </r>
  <r>
    <d v="2023-01-13T00:00:00"/>
    <n v="-500"/>
    <n v="-288.46000000000004"/>
    <s v="TRANSFER TO LEWIS SHARON ON 01/13 REF #PP0QY4CRFP FOR TAXES"/>
    <x v="4"/>
    <x v="1"/>
  </r>
  <r>
    <d v="2023-01-13T00:00:00"/>
    <n v="400"/>
    <n v="111.53999999999996"/>
    <s v="ATM CASH DEPOSIT ON 01/13 1435 Burlingame Ave Burlingame CA 0000637 ATM ID 0165J CARD 6659"/>
    <x v="0"/>
    <x v="0"/>
  </r>
  <r>
    <d v="2023-01-13T00:00:00"/>
    <n v="106"/>
    <n v="217.53999999999996"/>
    <s v="MONEY TRANSFER AUTHORIZED ON 01/13 FROM Sean Lewis VA S463013513474302 CARD 6659"/>
    <x v="0"/>
    <x v="0"/>
  </r>
  <r>
    <d v="2023-01-17T00:00:00"/>
    <n v="-25.48"/>
    <n v="192.05999999999997"/>
    <s v="PLANET FIT CLUB FEES 2301306620293 623-439-5550"/>
    <x v="5"/>
    <x v="2"/>
  </r>
  <r>
    <d v="2023-01-23T00:00:00"/>
    <n v="-25"/>
    <n v="167.05999999999997"/>
    <s v="VENMO PAYMENT 230121 1024827296273 SEAN LEWIS"/>
    <x v="0"/>
    <x v="0"/>
  </r>
  <r>
    <d v="2023-01-23T00:00:00"/>
    <n v="-65.61"/>
    <n v="101.44999999999997"/>
    <s v="PURCHASE AUTHORIZED ON 01/20 STREET FOOD CAFE SAN MATEO CA S303021134090263 CARD 6659"/>
    <x v="0"/>
    <x v="0"/>
  </r>
  <r>
    <d v="2023-01-26T00:00:00"/>
    <n v="-100"/>
    <n v="1.4499999999999744"/>
    <s v="ZELLE TO LEWIS SHEVON ON 01/26 REF #RP0QYXPP3Q FOR GAS"/>
    <x v="1"/>
    <x v="1"/>
  </r>
  <r>
    <d v="2023-01-26T00:00:00"/>
    <n v="477.52"/>
    <n v="478.96999999999997"/>
    <s v="Nationwide PAYROLL 01 HRP0009017504 Sean Lewis"/>
    <x v="3"/>
    <x v="0"/>
  </r>
  <r>
    <d v="2023-01-26T00:00:00"/>
    <n v="75"/>
    <n v="553.97"/>
    <s v="Square Inc * Cash App 230126 T3EC2YGP8SHTR06 Sean Lewis"/>
    <x v="0"/>
    <x v="0"/>
  </r>
  <r>
    <d v="2023-02-01T00:00:00"/>
    <n v="-158"/>
    <n v="395.97"/>
    <s v="VENMO PAYMENT 230201 1025016489585 SEAN LEWIS"/>
    <x v="0"/>
    <x v="0"/>
  </r>
  <r>
    <d v="2023-02-06T00:00:00"/>
    <n v="-53.01"/>
    <n v="342.96000000000004"/>
    <s v="PURCHASE AUTHORIZED ON 02/03 CHEVRON/CSI-092600/1556 FOSTER CITY CA P383035071538454 CARD 1081"/>
    <x v="6"/>
    <x v="0"/>
  </r>
  <r>
    <d v="2023-02-08T00:00:00"/>
    <n v="-500"/>
    <n v="-157.03999999999996"/>
    <s v="SoFi Bank TRANSFER SD1300 SLewis Sean Lewis:66513:690"/>
    <x v="0"/>
    <x v="0"/>
  </r>
  <r>
    <d v="2023-02-08T00:00:00"/>
    <n v="87"/>
    <n v="-70.039999999999964"/>
    <s v="VENMO CASHOUT 230207 1025155149107 SEAN LEWIS"/>
    <x v="0"/>
    <x v="0"/>
  </r>
  <r>
    <d v="2023-02-09T00:00:00"/>
    <n v="267.17"/>
    <n v="197.13000000000005"/>
    <s v="Nationwide PAYROLL 01 HRP0009061376 Sean Lewis"/>
    <x v="3"/>
    <x v="0"/>
  </r>
  <r>
    <d v="2023-02-10T00:00:00"/>
    <n v="-21.21"/>
    <n v="175.92000000000004"/>
    <s v="VENMO PAYMENT 230210 1025196796049 SEAN LEWIS"/>
    <x v="0"/>
    <x v="0"/>
  </r>
  <r>
    <d v="2023-02-13T00:00:00"/>
    <n v="-43.39"/>
    <n v="132.53000000000003"/>
    <s v="VENMO PAYMENT 230213 1025255412913 SEAN LEWIS"/>
    <x v="0"/>
    <x v="0"/>
  </r>
  <r>
    <d v="2023-02-13T00:00:00"/>
    <n v="-17.5"/>
    <n v="115.03000000000003"/>
    <s v="VENMO PAYMENT 230211 1025215575532 SEAN LEWIS"/>
    <x v="0"/>
    <x v="0"/>
  </r>
  <r>
    <d v="2023-02-14T00:00:00"/>
    <n v="200"/>
    <n v="315.03000000000003"/>
    <s v="ATM CASH DEPOSIT ON 02/13 632 Eastern Blvd Essex MD 0008972 ATM ID 0282M CARD 1081"/>
    <x v="0"/>
    <x v="0"/>
  </r>
  <r>
    <d v="2023-02-17T00:00:00"/>
    <n v="-25.48"/>
    <n v="289.55"/>
    <s v="PLANET FIT CLUB FEES 2304706550250 623-439-5550"/>
    <x v="5"/>
    <x v="0"/>
  </r>
  <r>
    <d v="2023-02-17T00:00:00"/>
    <n v="136"/>
    <n v="425.55"/>
    <s v="HEALTHEQUITY INC HealthEqui 16 Feb 22317048 Sean Lewis (22317048)"/>
    <x v="7"/>
    <x v="3"/>
  </r>
  <r>
    <d v="2023-02-21T00:00:00"/>
    <n v="-194.5"/>
    <n v="231.05"/>
    <s v="VENMO PAYMENT 230218 1025351910082 SEAN LEWIS"/>
    <x v="0"/>
    <x v="0"/>
  </r>
  <r>
    <d v="2023-02-21T00:00:00"/>
    <n v="-265"/>
    <n v="-33.949999999999989"/>
    <s v="ZELLE TO LEWIS SHARON ON 02/20 REF #PP0R2LTMPW BDAY PARTY EXCEPT DON SEAN"/>
    <x v="4"/>
    <x v="1"/>
  </r>
  <r>
    <d v="2023-02-21T00:00:00"/>
    <n v="-2.5"/>
    <n v="-36.449999999999989"/>
    <s v="NON-WELLS FARGO ATM TRANSACTION FEE"/>
    <x v="0"/>
    <x v="0"/>
  </r>
  <r>
    <d v="2023-02-21T00:00:00"/>
    <n v="-23"/>
    <n v="-59.449999999999989"/>
    <s v="NON-WF ATM WITHDRAWAL AUTHORIZED ON 02/18 M&amp;T 5980 KINGSTOWN ALEXANDR1A VA 463049709972404 ATM ID SA1847 CARD 1081"/>
    <x v="0"/>
    <x v="0"/>
  </r>
  <r>
    <d v="2023-02-21T00:00:00"/>
    <n v="100"/>
    <n v="40.550000000000011"/>
    <s v="SoFi Bank TRANSFER SD1700 SLewis Sean Lewis:66526:32382"/>
    <x v="0"/>
    <x v="0"/>
  </r>
  <r>
    <d v="2023-02-22T00:00:00"/>
    <n v="-650"/>
    <n v="-609.45000000000005"/>
    <s v="ZELLE TO LEWIS SHEVON ON 02/22 REF #RP0R2Q2L33 MARCH SUB"/>
    <x v="1"/>
    <x v="1"/>
  </r>
  <r>
    <d v="2023-02-22T00:00:00"/>
    <n v="100"/>
    <n v="-509.45000000000005"/>
    <s v="VENMO CASHOUT 230222 1025416238701 SEAN LEWIS"/>
    <x v="0"/>
    <x v="0"/>
  </r>
  <r>
    <d v="2023-02-22T00:00:00"/>
    <n v="650"/>
    <n v="140.54999999999995"/>
    <s v="SoFi Bank TRANSFER SD1300 SLewis Sean Lewis:66527:4972"/>
    <x v="0"/>
    <x v="0"/>
  </r>
  <r>
    <d v="2023-02-23T00:00:00"/>
    <n v="-12"/>
    <n v="128.54999999999995"/>
    <s v="IRS USATAXPYMT 021623 200345444646377 SEAN E LEWIS"/>
    <x v="8"/>
    <x v="0"/>
  </r>
  <r>
    <d v="2023-02-23T00:00:00"/>
    <n v="267.32"/>
    <n v="395.86999999999995"/>
    <s v="Nationwide PAYROLL 01 HRP0009097551 Sean Lewis"/>
    <x v="3"/>
    <x v="0"/>
  </r>
  <r>
    <d v="2023-02-24T00:00:00"/>
    <n v="-172.76"/>
    <n v="223.10999999999996"/>
    <s v="VENMO PAYMENT 230224 1025467247438 SEAN LEWIS"/>
    <x v="0"/>
    <x v="0"/>
  </r>
  <r>
    <d v="2023-03-01T00:00:00"/>
    <n v="205"/>
    <n v="428.10999999999996"/>
    <s v="VENMO CASHOUT 230228 1025553018053 SEAN LEWIS"/>
    <x v="0"/>
    <x v="0"/>
  </r>
  <r>
    <d v="2023-03-06T00:00:00"/>
    <n v="-25"/>
    <n v="403.10999999999996"/>
    <s v="VENMO PAYMENT 230305 1025655165895 SEAN LEWIS"/>
    <x v="0"/>
    <x v="0"/>
  </r>
  <r>
    <d v="2023-03-06T00:00:00"/>
    <n v="-18"/>
    <n v="385.10999999999996"/>
    <s v="VENMO PAYMENT 230305 1025654640471 SEAN LEWIS"/>
    <x v="0"/>
    <x v="0"/>
  </r>
  <r>
    <d v="2023-03-07T00:00:00"/>
    <n v="-80"/>
    <n v="305.10999999999996"/>
    <s v="ATM WITHDRAWAL AUTHORIZED ON 03/07 1435 Burlingame Ave Burlingame CA 0006103 ATM ID 0165J CARD 1081"/>
    <x v="0"/>
    <x v="0"/>
  </r>
  <r>
    <d v="2023-03-08T00:00:00"/>
    <n v="-2"/>
    <n v="303.10999999999996"/>
    <s v="VENMO PAYMENT 230308 1025696123572 SEAN LEWIS"/>
    <x v="0"/>
    <x v="0"/>
  </r>
  <r>
    <d v="2023-03-09T00:00:00"/>
    <n v="290.51"/>
    <n v="593.61999999999989"/>
    <s v="Nationwide PAYROLL 01 HRP0009139641 Sean Lewis"/>
    <x v="3"/>
    <x v="0"/>
  </r>
  <r>
    <d v="2023-03-09T00:00:00"/>
    <n v="165.84"/>
    <n v="759.45999999999992"/>
    <s v="Cash App * Cash App 230309 T36VMBW9GF2GB15 Sean Lewis"/>
    <x v="9"/>
    <x v="1"/>
  </r>
  <r>
    <d v="2023-03-10T00:00:00"/>
    <n v="-500"/>
    <n v="259.45999999999992"/>
    <s v="SoFi Bank TRANSFER SD1300 SLewis Sean Lewis:66543:1977"/>
    <x v="0"/>
    <x v="0"/>
  </r>
  <r>
    <d v="2023-03-10T00:00:00"/>
    <n v="-180.41"/>
    <n v="79.049999999999926"/>
    <s v="BEST BUY PAYMENT 230309 631006869237022 SEAN LEWIS"/>
    <x v="0"/>
    <x v="0"/>
  </r>
  <r>
    <d v="2023-03-13T00:00:00"/>
    <n v="210"/>
    <n v="289.04999999999995"/>
    <s v="ATM CASH DEPOSIT ON 03/12 655 8th Street San Francisco CA 0007219 ATM ID 1568E CARD 1081"/>
    <x v="0"/>
    <x v="0"/>
  </r>
  <r>
    <d v="2023-03-15T00:00:00"/>
    <n v="-28.63"/>
    <n v="260.41999999999996"/>
    <s v="PURCHASE AUTHORIZED ON 03/14 CHEVRON 0093989 SAN MATEO CA S463073731068937 CARD 1081"/>
    <x v="0"/>
    <x v="0"/>
  </r>
  <r>
    <d v="2023-03-16T00:00:00"/>
    <n v="-5"/>
    <n v="255.41999999999996"/>
    <s v="DEPT OF COMM FCU ACH Item MAR 15 000000006906695 LEWIS,SEAN"/>
    <x v="0"/>
    <x v="0"/>
  </r>
  <r>
    <d v="2023-03-17T00:00:00"/>
    <n v="-700"/>
    <n v="-444.58000000000004"/>
    <s v="SoFi Bank TRANSFER SD1700 SLewis Sean Lewis:66550:11734"/>
    <x v="0"/>
    <x v="0"/>
  </r>
  <r>
    <d v="2023-03-17T00:00:00"/>
    <n v="-20"/>
    <n v="-464.58000000000004"/>
    <s v="ATM WITHDRAWAL AUTHORIZED ON 03/17 2075 Broadway St Redwood City CA 0004578 ATM ID 0003T CARD 1081"/>
    <x v="0"/>
    <x v="0"/>
  </r>
  <r>
    <d v="2023-03-17T00:00:00"/>
    <n v="600"/>
    <n v="135.41999999999996"/>
    <s v="ZELLE FROM LEWIS SHARON ON 03/17 REF # PP0R4BR8MM THANKS FOR THE LOAN"/>
    <x v="4"/>
    <x v="0"/>
  </r>
  <r>
    <d v="2023-03-20T00:00:00"/>
    <n v="-49.02"/>
    <n v="86.399999999999949"/>
    <s v="PURCHASE AUTHORIZED ON 03/19 SHELL SERVICE STATION SAN MATEO CA P463078717139825 CARD 1081"/>
    <x v="0"/>
    <x v="0"/>
  </r>
  <r>
    <d v="2023-03-20T00:00:00"/>
    <n v="125.1"/>
    <n v="211.49999999999994"/>
    <s v="VENMO CASHOUT 230320 1025934244148 SEAN LEWIS"/>
    <x v="0"/>
    <x v="0"/>
  </r>
  <r>
    <d v="2023-03-21T00:00:00"/>
    <n v="-80"/>
    <n v="131.49999999999994"/>
    <s v="ATM WITHDRAWAL AUTHORIZED ON 03/21 1435 Burlingame Ave Burlingame CA 0007476 ATM ID 0165J CARD 1081"/>
    <x v="0"/>
    <x v="0"/>
  </r>
  <r>
    <d v="2023-03-22T00:00:00"/>
    <n v="-650"/>
    <n v="-518.5"/>
    <s v="ZELLE TO LEWIS SHEVON ON 03/22 REF #RP0R4NJ6DM APRIL RENT"/>
    <x v="1"/>
    <x v="1"/>
  </r>
  <r>
    <d v="2023-03-22T00:00:00"/>
    <n v="300"/>
    <n v="-218.5"/>
    <s v="SoFi Bank TRANSFER SD1300 SLewis Sean Lewis:66555:4733"/>
    <x v="0"/>
    <x v="0"/>
  </r>
  <r>
    <d v="2023-03-23T00:00:00"/>
    <n v="70"/>
    <n v="-148.5"/>
    <s v="VENMO CASHOUT 230323 1025985341278 SEAN LEWIS"/>
    <x v="0"/>
    <x v="0"/>
  </r>
  <r>
    <d v="2023-03-23T00:00:00"/>
    <n v="398.54"/>
    <n v="250.04000000000002"/>
    <s v="Nationwide PAYROLL 01 HRP0009182441 Sean Lewis"/>
    <x v="3"/>
    <x v="0"/>
  </r>
  <r>
    <d v="2023-03-27T00:00:00"/>
    <n v="15"/>
    <n v="265.04000000000002"/>
    <s v="Cash App * Cash App 230325 T3RMNME7PX9EYE2 Sean Lewis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4">
  <r>
    <n v="1"/>
    <d v="2023-01-01T00:00:00"/>
    <d v="2023-01-01T00:00:00"/>
    <x v="0"/>
    <n v="577.5"/>
    <x v="0"/>
    <x v="0"/>
    <x v="0"/>
    <x v="0"/>
    <x v="0"/>
    <n v="2023"/>
    <d v="2023-01-01T00:00:00"/>
    <n v="577.5"/>
    <n v="1"/>
  </r>
  <r>
    <n v="1"/>
    <d v="2023-01-01T00:00:00"/>
    <d v="2023-01-01T00:00:00"/>
    <x v="1"/>
    <n v="4.99"/>
    <x v="1"/>
    <x v="1"/>
    <x v="1"/>
    <x v="1"/>
    <x v="0"/>
    <n v="2023"/>
    <d v="2023-01-01T00:00:00"/>
    <n v="582.49"/>
    <n v="1"/>
  </r>
  <r>
    <n v="1"/>
    <d v="2023-01-01T00:00:00"/>
    <d v="2023-01-03T00:00:00"/>
    <x v="2"/>
    <n v="10.59"/>
    <x v="1"/>
    <x v="2"/>
    <x v="1"/>
    <x v="1"/>
    <x v="0"/>
    <n v="2023"/>
    <d v="2023-01-01T00:00:00"/>
    <n v="593.08000000000004"/>
    <n v="1"/>
  </r>
  <r>
    <n v="1"/>
    <d v="2023-01-01T00:00:00"/>
    <d v="2023-01-03T00:00:00"/>
    <x v="3"/>
    <n v="34.46"/>
    <x v="2"/>
    <x v="3"/>
    <x v="0"/>
    <x v="2"/>
    <x v="0"/>
    <n v="2023"/>
    <d v="2023-01-01T00:00:00"/>
    <n v="627.54000000000008"/>
    <n v="1"/>
  </r>
  <r>
    <n v="1"/>
    <d v="2023-01-02T00:00:00"/>
    <d v="2023-01-03T00:00:00"/>
    <x v="4"/>
    <n v="10"/>
    <x v="1"/>
    <x v="4"/>
    <x v="1"/>
    <x v="1"/>
    <x v="0"/>
    <n v="2023"/>
    <d v="2023-01-02T00:00:00"/>
    <n v="637.54000000000008"/>
    <n v="1"/>
  </r>
  <r>
    <n v="1"/>
    <d v="2023-01-02T00:00:00"/>
    <d v="2023-01-03T00:00:00"/>
    <x v="5"/>
    <n v="10"/>
    <x v="1"/>
    <x v="5"/>
    <x v="1"/>
    <x v="3"/>
    <x v="0"/>
    <n v="2023"/>
    <d v="2023-01-02T00:00:00"/>
    <n v="647.54000000000008"/>
    <n v="1"/>
  </r>
  <r>
    <n v="1"/>
    <d v="2023-01-03T00:00:00"/>
    <d v="2023-01-03T00:00:00"/>
    <x v="6"/>
    <n v="549.6"/>
    <x v="3"/>
    <x v="6"/>
    <x v="0"/>
    <x v="4"/>
    <x v="0"/>
    <n v="2023"/>
    <d v="2023-01-03T00:00:00"/>
    <n v="1197.1400000000001"/>
    <n v="1"/>
  </r>
  <r>
    <n v="1"/>
    <d v="2023-01-03T00:00:00"/>
    <d v="2023-01-03T00:00:00"/>
    <x v="7"/>
    <n v="42.12"/>
    <x v="1"/>
    <x v="7"/>
    <x v="0"/>
    <x v="3"/>
    <x v="0"/>
    <n v="2023"/>
    <d v="2023-01-03T00:00:00"/>
    <n v="1239.26"/>
    <n v="1"/>
  </r>
  <r>
    <n v="1"/>
    <d v="2023-01-03T00:00:00"/>
    <d v="2023-01-03T00:00:00"/>
    <x v="8"/>
    <n v="-41.41"/>
    <x v="4"/>
    <x v="8"/>
    <x v="0"/>
    <x v="5"/>
    <x v="0"/>
    <n v="2023"/>
    <d v="2023-01-03T00:00:00"/>
    <n v="1197.8499999999999"/>
    <n v="1"/>
  </r>
  <r>
    <n v="1"/>
    <d v="2023-01-03T00:00:00"/>
    <d v="2023-01-03T00:00:00"/>
    <x v="9"/>
    <n v="40.96"/>
    <x v="5"/>
    <x v="9"/>
    <x v="0"/>
    <x v="6"/>
    <x v="0"/>
    <n v="2023"/>
    <d v="2023-01-03T00:00:00"/>
    <n v="1238.81"/>
    <n v="1"/>
  </r>
  <r>
    <n v="1"/>
    <d v="2023-01-03T00:00:00"/>
    <d v="2023-01-03T00:00:00"/>
    <x v="10"/>
    <n v="15.89"/>
    <x v="6"/>
    <x v="10"/>
    <x v="1"/>
    <x v="1"/>
    <x v="0"/>
    <n v="2023"/>
    <d v="2023-01-03T00:00:00"/>
    <n v="1254.7"/>
    <n v="1"/>
  </r>
  <r>
    <n v="1"/>
    <d v="2023-01-03T00:00:00"/>
    <d v="2023-01-03T00:00:00"/>
    <x v="11"/>
    <n v="7.13"/>
    <x v="7"/>
    <x v="11"/>
    <x v="0"/>
    <x v="2"/>
    <x v="0"/>
    <n v="2023"/>
    <d v="2023-01-03T00:00:00"/>
    <n v="1261.83"/>
    <n v="1"/>
  </r>
  <r>
    <n v="1"/>
    <d v="2023-01-03T00:00:00"/>
    <d v="2023-01-03T00:00:00"/>
    <x v="12"/>
    <n v="27.15"/>
    <x v="1"/>
    <x v="12"/>
    <x v="0"/>
    <x v="3"/>
    <x v="0"/>
    <n v="2023"/>
    <d v="2023-01-03T00:00:00"/>
    <n v="1288.98"/>
    <n v="1"/>
  </r>
  <r>
    <n v="1"/>
    <d v="2023-01-04T00:00:00"/>
    <d v="2023-01-04T00:00:00"/>
    <x v="13"/>
    <n v="49"/>
    <x v="8"/>
    <x v="13"/>
    <x v="1"/>
    <x v="3"/>
    <x v="0"/>
    <n v="2023"/>
    <d v="2023-01-04T00:00:00"/>
    <n v="1337.98"/>
    <n v="1"/>
  </r>
  <r>
    <n v="1"/>
    <d v="2023-01-04T00:00:00"/>
    <d v="2023-01-04T00:00:00"/>
    <x v="14"/>
    <n v="241.6"/>
    <x v="6"/>
    <x v="14"/>
    <x v="0"/>
    <x v="7"/>
    <x v="0"/>
    <n v="2023"/>
    <d v="2023-01-04T00:00:00"/>
    <n v="1579.58"/>
    <n v="1"/>
  </r>
  <r>
    <n v="1"/>
    <d v="2023-01-04T00:00:00"/>
    <d v="2023-01-04T00:00:00"/>
    <x v="15"/>
    <n v="90.09"/>
    <x v="1"/>
    <x v="15"/>
    <x v="1"/>
    <x v="8"/>
    <x v="0"/>
    <n v="2023"/>
    <d v="2023-01-04T00:00:00"/>
    <n v="1669.67"/>
    <n v="1"/>
  </r>
  <r>
    <n v="1"/>
    <d v="2023-01-05T00:00:00"/>
    <d v="2023-01-05T00:00:00"/>
    <x v="16"/>
    <n v="36.26"/>
    <x v="7"/>
    <x v="16"/>
    <x v="0"/>
    <x v="2"/>
    <x v="0"/>
    <n v="2023"/>
    <d v="2023-01-05T00:00:00"/>
    <n v="1705.93"/>
    <n v="1"/>
  </r>
  <r>
    <n v="1"/>
    <d v="2023-01-05T00:00:00"/>
    <d v="2023-01-05T00:00:00"/>
    <x v="17"/>
    <n v="54.8"/>
    <x v="1"/>
    <x v="17"/>
    <x v="0"/>
    <x v="3"/>
    <x v="0"/>
    <n v="2023"/>
    <d v="2023-01-05T00:00:00"/>
    <n v="1760.73"/>
    <n v="1"/>
  </r>
  <r>
    <n v="1"/>
    <d v="2023-01-05T00:00:00"/>
    <d v="2023-01-05T00:00:00"/>
    <x v="18"/>
    <n v="13.85"/>
    <x v="1"/>
    <x v="7"/>
    <x v="0"/>
    <x v="3"/>
    <x v="0"/>
    <n v="2023"/>
    <d v="2023-01-05T00:00:00"/>
    <n v="1774.58"/>
    <n v="2"/>
  </r>
  <r>
    <n v="1"/>
    <d v="2023-01-06T00:00:00"/>
    <d v="2023-01-06T00:00:00"/>
    <x v="19"/>
    <n v="9.99"/>
    <x v="1"/>
    <x v="18"/>
    <x v="1"/>
    <x v="3"/>
    <x v="0"/>
    <n v="2023"/>
    <d v="2023-01-06T00:00:00"/>
    <n v="1784.57"/>
    <n v="1"/>
  </r>
  <r>
    <n v="1"/>
    <d v="2023-01-06T00:00:00"/>
    <d v="2023-01-06T00:00:00"/>
    <x v="20"/>
    <n v="24.59"/>
    <x v="1"/>
    <x v="19"/>
    <x v="0"/>
    <x v="6"/>
    <x v="0"/>
    <n v="2023"/>
    <d v="2023-01-06T00:00:00"/>
    <n v="1809.16"/>
    <n v="1"/>
  </r>
  <r>
    <n v="1"/>
    <d v="2023-01-07T00:00:00"/>
    <d v="2023-01-07T00:00:00"/>
    <x v="21"/>
    <n v="102.02"/>
    <x v="9"/>
    <x v="20"/>
    <x v="0"/>
    <x v="3"/>
    <x v="0"/>
    <n v="2023"/>
    <d v="2023-01-07T00:00:00"/>
    <n v="1911.18"/>
    <n v="1"/>
  </r>
  <r>
    <n v="1"/>
    <d v="2023-01-07T00:00:00"/>
    <d v="2023-01-07T00:00:00"/>
    <x v="22"/>
    <n v="106.5"/>
    <x v="3"/>
    <x v="21"/>
    <x v="0"/>
    <x v="4"/>
    <x v="0"/>
    <n v="2023"/>
    <d v="2023-01-07T00:00:00"/>
    <n v="2017.68"/>
    <n v="1"/>
  </r>
  <r>
    <n v="1"/>
    <d v="2023-01-08T00:00:00"/>
    <d v="2023-01-08T00:00:00"/>
    <x v="23"/>
    <n v="28.67"/>
    <x v="1"/>
    <x v="19"/>
    <x v="0"/>
    <x v="6"/>
    <x v="0"/>
    <n v="2023"/>
    <d v="2023-01-08T00:00:00"/>
    <n v="2046.35"/>
    <n v="2"/>
  </r>
  <r>
    <n v="1"/>
    <d v="2023-01-09T00:00:00"/>
    <d v="2023-01-09T00:00:00"/>
    <x v="24"/>
    <n v="29.99"/>
    <x v="9"/>
    <x v="22"/>
    <x v="0"/>
    <x v="1"/>
    <x v="0"/>
    <n v="2023"/>
    <d v="2023-01-09T00:00:00"/>
    <n v="2076.34"/>
    <n v="1"/>
  </r>
  <r>
    <n v="1"/>
    <d v="2023-01-09T00:00:00"/>
    <d v="2023-01-09T00:00:00"/>
    <x v="25"/>
    <n v="64.989999999999995"/>
    <x v="6"/>
    <x v="10"/>
    <x v="1"/>
    <x v="1"/>
    <x v="0"/>
    <n v="2023"/>
    <d v="2023-01-09T00:00:00"/>
    <n v="2141.329999999999"/>
    <n v="2"/>
  </r>
  <r>
    <n v="1"/>
    <d v="2023-01-09T00:00:00"/>
    <d v="2023-01-09T00:00:00"/>
    <x v="26"/>
    <n v="9.86"/>
    <x v="1"/>
    <x v="17"/>
    <x v="0"/>
    <x v="3"/>
    <x v="0"/>
    <n v="2023"/>
    <d v="2023-01-09T00:00:00"/>
    <n v="2151.19"/>
    <n v="2"/>
  </r>
  <r>
    <n v="1"/>
    <d v="2023-01-09T00:00:00"/>
    <d v="2023-01-09T00:00:00"/>
    <x v="27"/>
    <n v="32.880000000000003"/>
    <x v="1"/>
    <x v="17"/>
    <x v="0"/>
    <x v="3"/>
    <x v="0"/>
    <n v="2023"/>
    <d v="2023-01-09T00:00:00"/>
    <n v="2184.0700000000002"/>
    <n v="3"/>
  </r>
  <r>
    <n v="1"/>
    <d v="2023-01-10T00:00:00"/>
    <d v="2023-01-10T00:00:00"/>
    <x v="28"/>
    <n v="11.99"/>
    <x v="1"/>
    <x v="19"/>
    <x v="0"/>
    <x v="6"/>
    <x v="0"/>
    <n v="2023"/>
    <d v="2023-01-10T00:00:00"/>
    <n v="2196.059999999999"/>
    <n v="3"/>
  </r>
  <r>
    <n v="1"/>
    <d v="2023-01-10T00:00:00"/>
    <d v="2023-01-10T00:00:00"/>
    <x v="29"/>
    <n v="10.85"/>
    <x v="7"/>
    <x v="11"/>
    <x v="0"/>
    <x v="2"/>
    <x v="0"/>
    <n v="2023"/>
    <d v="2023-01-10T00:00:00"/>
    <n v="2206.9099999999989"/>
    <n v="2"/>
  </r>
  <r>
    <n v="1"/>
    <d v="2023-01-11T00:00:00"/>
    <d v="2023-01-11T00:00:00"/>
    <x v="30"/>
    <n v="21.91"/>
    <x v="6"/>
    <x v="23"/>
    <x v="0"/>
    <x v="6"/>
    <x v="0"/>
    <n v="2023"/>
    <d v="2023-01-11T00:00:00"/>
    <n v="2228.8199999999988"/>
    <n v="1"/>
  </r>
  <r>
    <n v="1"/>
    <d v="2023-01-11T00:00:00"/>
    <d v="2023-01-11T00:00:00"/>
    <x v="31"/>
    <n v="15.89"/>
    <x v="1"/>
    <x v="24"/>
    <x v="1"/>
    <x v="1"/>
    <x v="0"/>
    <n v="2023"/>
    <d v="2023-01-11T00:00:00"/>
    <n v="2244.7099999999991"/>
    <n v="1"/>
  </r>
  <r>
    <n v="1"/>
    <d v="2023-01-11T00:00:00"/>
    <d v="2023-01-11T00:00:00"/>
    <x v="32"/>
    <n v="24.97"/>
    <x v="6"/>
    <x v="11"/>
    <x v="0"/>
    <x v="2"/>
    <x v="0"/>
    <n v="2023"/>
    <d v="2023-01-11T00:00:00"/>
    <n v="2269.6799999999989"/>
    <n v="3"/>
  </r>
  <r>
    <n v="1"/>
    <d v="2023-01-11T00:00:00"/>
    <d v="2023-01-11T00:00:00"/>
    <x v="33"/>
    <n v="-552.53"/>
    <x v="10"/>
    <x v="25"/>
    <x v="0"/>
    <x v="5"/>
    <x v="0"/>
    <n v="2023"/>
    <d v="2023-01-11T00:00:00"/>
    <n v="1717.149999999999"/>
    <n v="1"/>
  </r>
  <r>
    <n v="1"/>
    <d v="2023-01-11T00:00:00"/>
    <d v="2023-01-11T00:00:00"/>
    <x v="34"/>
    <n v="337.1"/>
    <x v="9"/>
    <x v="23"/>
    <x v="0"/>
    <x v="6"/>
    <x v="0"/>
    <n v="2023"/>
    <d v="2023-01-11T00:00:00"/>
    <n v="2054.2499999999991"/>
    <n v="2"/>
  </r>
  <r>
    <n v="1"/>
    <d v="2023-01-12T00:00:00"/>
    <d v="2023-01-12T00:00:00"/>
    <x v="3"/>
    <n v="64.819999999999993"/>
    <x v="2"/>
    <x v="3"/>
    <x v="0"/>
    <x v="2"/>
    <x v="0"/>
    <n v="2023"/>
    <d v="2023-01-12T00:00:00"/>
    <n v="2119.0699999999988"/>
    <n v="2"/>
  </r>
  <r>
    <n v="1"/>
    <d v="2023-01-13T00:00:00"/>
    <d v="2023-01-13T00:00:00"/>
    <x v="35"/>
    <n v="27.05"/>
    <x v="7"/>
    <x v="26"/>
    <x v="0"/>
    <x v="2"/>
    <x v="0"/>
    <n v="2023"/>
    <d v="2023-01-13T00:00:00"/>
    <n v="2146.119999999999"/>
    <n v="1"/>
  </r>
  <r>
    <n v="1"/>
    <d v="2023-01-15T00:00:00"/>
    <d v="2023-01-15T00:00:00"/>
    <x v="36"/>
    <n v="7.99"/>
    <x v="6"/>
    <x v="27"/>
    <x v="1"/>
    <x v="1"/>
    <x v="0"/>
    <n v="2023"/>
    <d v="2023-01-15T00:00:00"/>
    <n v="2154.1099999999992"/>
    <n v="1"/>
  </r>
  <r>
    <n v="1"/>
    <d v="2023-01-15T00:00:00"/>
    <d v="2023-01-15T00:00:00"/>
    <x v="37"/>
    <n v="46.63"/>
    <x v="1"/>
    <x v="12"/>
    <x v="0"/>
    <x v="3"/>
    <x v="0"/>
    <n v="2023"/>
    <d v="2023-01-15T00:00:00"/>
    <n v="2200.7399999999989"/>
    <n v="2"/>
  </r>
  <r>
    <n v="1"/>
    <d v="2023-01-17T00:00:00"/>
    <d v="2023-01-17T00:00:00"/>
    <x v="38"/>
    <n v="45.28"/>
    <x v="5"/>
    <x v="9"/>
    <x v="0"/>
    <x v="6"/>
    <x v="0"/>
    <n v="2023"/>
    <d v="2023-01-17T00:00:00"/>
    <n v="2246.02"/>
    <n v="2"/>
  </r>
  <r>
    <n v="1"/>
    <d v="2023-01-17T00:00:00"/>
    <d v="2023-01-17T00:00:00"/>
    <x v="39"/>
    <n v="24.99"/>
    <x v="1"/>
    <x v="28"/>
    <x v="0"/>
    <x v="1"/>
    <x v="0"/>
    <n v="2023"/>
    <d v="2023-01-17T00:00:00"/>
    <n v="2271.0099999999989"/>
    <n v="1"/>
  </r>
  <r>
    <n v="1"/>
    <d v="2023-01-17T00:00:00"/>
    <d v="2023-01-17T00:00:00"/>
    <x v="40"/>
    <n v="111.63"/>
    <x v="1"/>
    <x v="29"/>
    <x v="1"/>
    <x v="9"/>
    <x v="0"/>
    <n v="2023"/>
    <d v="2023-01-17T00:00:00"/>
    <n v="2382.639999999999"/>
    <n v="1"/>
  </r>
  <r>
    <n v="1"/>
    <d v="2023-01-19T00:00:00"/>
    <d v="2023-01-19T00:00:00"/>
    <x v="29"/>
    <n v="10.85"/>
    <x v="7"/>
    <x v="11"/>
    <x v="0"/>
    <x v="2"/>
    <x v="0"/>
    <n v="2023"/>
    <d v="2023-01-19T00:00:00"/>
    <n v="2393.4899999999989"/>
    <n v="4"/>
  </r>
  <r>
    <n v="1"/>
    <d v="2023-01-20T00:00:00"/>
    <d v="2023-01-20T00:00:00"/>
    <x v="41"/>
    <n v="372.8"/>
    <x v="9"/>
    <x v="23"/>
    <x v="0"/>
    <x v="6"/>
    <x v="0"/>
    <n v="2023"/>
    <d v="2023-01-20T00:00:00"/>
    <n v="2766.29"/>
    <n v="3"/>
  </r>
  <r>
    <n v="1"/>
    <d v="2023-01-20T00:00:00"/>
    <d v="2023-01-20T00:00:00"/>
    <x v="33"/>
    <n v="-1000"/>
    <x v="10"/>
    <x v="25"/>
    <x v="0"/>
    <x v="5"/>
    <x v="0"/>
    <n v="2023"/>
    <d v="2023-01-20T00:00:00"/>
    <n v="1766.29"/>
    <n v="2"/>
  </r>
  <r>
    <n v="1"/>
    <d v="2023-01-21T00:00:00"/>
    <d v="2023-01-21T00:00:00"/>
    <x v="42"/>
    <n v="150"/>
    <x v="9"/>
    <x v="30"/>
    <x v="0"/>
    <x v="1"/>
    <x v="0"/>
    <n v="2023"/>
    <d v="2023-01-21T00:00:00"/>
    <n v="1916.29"/>
    <n v="1"/>
  </r>
  <r>
    <n v="1"/>
    <d v="2023-01-21T00:00:00"/>
    <d v="2023-01-21T00:00:00"/>
    <x v="43"/>
    <n v="14.99"/>
    <x v="1"/>
    <x v="31"/>
    <x v="0"/>
    <x v="3"/>
    <x v="0"/>
    <n v="2023"/>
    <d v="2023-01-21T00:00:00"/>
    <n v="1931.28"/>
    <n v="1"/>
  </r>
  <r>
    <n v="1"/>
    <d v="2023-01-22T00:00:00"/>
    <d v="2023-01-22T00:00:00"/>
    <x v="44"/>
    <n v="10.4"/>
    <x v="1"/>
    <x v="17"/>
    <x v="0"/>
    <x v="3"/>
    <x v="0"/>
    <n v="2023"/>
    <d v="2023-01-22T00:00:00"/>
    <n v="1941.68"/>
    <n v="4"/>
  </r>
  <r>
    <n v="1"/>
    <d v="2023-01-22T00:00:00"/>
    <d v="2023-01-22T00:00:00"/>
    <x v="45"/>
    <n v="43.1"/>
    <x v="7"/>
    <x v="16"/>
    <x v="0"/>
    <x v="2"/>
    <x v="0"/>
    <n v="2023"/>
    <d v="2023-01-22T00:00:00"/>
    <n v="1984.78"/>
    <n v="2"/>
  </r>
  <r>
    <n v="1"/>
    <d v="2023-01-22T00:00:00"/>
    <d v="2023-01-22T00:00:00"/>
    <x v="46"/>
    <n v="66.52"/>
    <x v="9"/>
    <x v="16"/>
    <x v="0"/>
    <x v="2"/>
    <x v="0"/>
    <n v="2023"/>
    <d v="2023-01-22T00:00:00"/>
    <n v="2051.3000000000002"/>
    <n v="3"/>
  </r>
  <r>
    <n v="1"/>
    <d v="2023-01-22T00:00:00"/>
    <d v="2023-01-22T00:00:00"/>
    <x v="47"/>
    <n v="23.04"/>
    <x v="7"/>
    <x v="16"/>
    <x v="0"/>
    <x v="2"/>
    <x v="0"/>
    <n v="2023"/>
    <d v="2023-01-22T00:00:00"/>
    <n v="2074.34"/>
    <n v="4"/>
  </r>
  <r>
    <n v="1"/>
    <d v="2023-01-23T00:00:00"/>
    <d v="2023-01-23T00:00:00"/>
    <x v="48"/>
    <n v="12.35"/>
    <x v="9"/>
    <x v="32"/>
    <x v="0"/>
    <x v="6"/>
    <x v="0"/>
    <n v="2023"/>
    <d v="2023-01-23T00:00:00"/>
    <n v="2086.69"/>
    <n v="1"/>
  </r>
  <r>
    <n v="1"/>
    <d v="2023-01-23T00:00:00"/>
    <d v="2023-01-23T00:00:00"/>
    <x v="38"/>
    <n v="46.25"/>
    <x v="5"/>
    <x v="9"/>
    <x v="0"/>
    <x v="6"/>
    <x v="0"/>
    <n v="2023"/>
    <d v="2023-01-23T00:00:00"/>
    <n v="2132.94"/>
    <n v="3"/>
  </r>
  <r>
    <n v="1"/>
    <d v="2023-01-23T00:00:00"/>
    <d v="2023-01-23T00:00:00"/>
    <x v="49"/>
    <n v="5.44"/>
    <x v="7"/>
    <x v="16"/>
    <x v="0"/>
    <x v="2"/>
    <x v="0"/>
    <n v="2023"/>
    <d v="2023-01-23T00:00:00"/>
    <n v="2138.38"/>
    <n v="5"/>
  </r>
  <r>
    <n v="1"/>
    <d v="2023-01-23T00:00:00"/>
    <d v="2023-01-23T00:00:00"/>
    <x v="50"/>
    <n v="1"/>
    <x v="1"/>
    <x v="33"/>
    <x v="0"/>
    <x v="1"/>
    <x v="0"/>
    <n v="2023"/>
    <d v="2023-01-23T00:00:00"/>
    <n v="2139.38"/>
    <n v="1"/>
  </r>
  <r>
    <n v="1"/>
    <d v="2023-01-23T00:00:00"/>
    <d v="2023-01-23T00:00:00"/>
    <x v="51"/>
    <n v="13.85"/>
    <x v="1"/>
    <x v="7"/>
    <x v="0"/>
    <x v="3"/>
    <x v="0"/>
    <n v="2023"/>
    <d v="2023-01-23T00:00:00"/>
    <n v="2153.23"/>
    <n v="3"/>
  </r>
  <r>
    <n v="1"/>
    <d v="2023-01-23T00:00:00"/>
    <d v="2023-01-23T00:00:00"/>
    <x v="52"/>
    <n v="25.12"/>
    <x v="7"/>
    <x v="16"/>
    <x v="0"/>
    <x v="2"/>
    <x v="0"/>
    <n v="2023"/>
    <d v="2023-01-23T00:00:00"/>
    <n v="2178.349999999999"/>
    <n v="6"/>
  </r>
  <r>
    <n v="1"/>
    <d v="2023-01-24T00:00:00"/>
    <d v="2023-01-24T00:00:00"/>
    <x v="53"/>
    <n v="1.75"/>
    <x v="9"/>
    <x v="34"/>
    <x v="0"/>
    <x v="3"/>
    <x v="0"/>
    <n v="2023"/>
    <d v="2023-01-24T00:00:00"/>
    <n v="2180.099999999999"/>
    <n v="1"/>
  </r>
  <r>
    <n v="1"/>
    <d v="2023-01-24T00:00:00"/>
    <d v="2023-01-24T00:00:00"/>
    <x v="3"/>
    <n v="97.08"/>
    <x v="2"/>
    <x v="3"/>
    <x v="0"/>
    <x v="2"/>
    <x v="0"/>
    <n v="2023"/>
    <d v="2023-01-24T00:00:00"/>
    <n v="2277.1799999999989"/>
    <n v="3"/>
  </r>
  <r>
    <n v="1"/>
    <d v="2023-01-24T00:00:00"/>
    <d v="2023-01-24T00:00:00"/>
    <x v="41"/>
    <n v="5"/>
    <x v="9"/>
    <x v="23"/>
    <x v="0"/>
    <x v="6"/>
    <x v="0"/>
    <n v="2023"/>
    <d v="2023-01-24T00:00:00"/>
    <n v="2282.1799999999989"/>
    <n v="4"/>
  </r>
  <r>
    <n v="1"/>
    <d v="2023-01-25T00:00:00"/>
    <d v="2023-01-25T00:00:00"/>
    <x v="33"/>
    <n v="-2071.58"/>
    <x v="10"/>
    <x v="25"/>
    <x v="0"/>
    <x v="5"/>
    <x v="0"/>
    <n v="2023"/>
    <d v="2023-01-25T00:00:00"/>
    <n v="210.59999999999951"/>
    <n v="3"/>
  </r>
  <r>
    <n v="1"/>
    <d v="2023-01-26T00:00:00"/>
    <d v="2023-01-26T00:00:00"/>
    <x v="54"/>
    <n v="38"/>
    <x v="6"/>
    <x v="35"/>
    <x v="0"/>
    <x v="7"/>
    <x v="0"/>
    <n v="2023"/>
    <d v="2023-01-26T00:00:00"/>
    <n v="248.59999999999951"/>
    <n v="1"/>
  </r>
  <r>
    <n v="1"/>
    <d v="2023-01-26T00:00:00"/>
    <d v="2023-01-26T00:00:00"/>
    <x v="55"/>
    <n v="25"/>
    <x v="9"/>
    <x v="36"/>
    <x v="0"/>
    <x v="6"/>
    <x v="0"/>
    <n v="2023"/>
    <d v="2023-01-26T00:00:00"/>
    <n v="273.59999999999951"/>
    <n v="1"/>
  </r>
  <r>
    <n v="1"/>
    <d v="2023-01-26T00:00:00"/>
    <d v="2023-01-26T00:00:00"/>
    <x v="55"/>
    <n v="75"/>
    <x v="9"/>
    <x v="36"/>
    <x v="0"/>
    <x v="6"/>
    <x v="0"/>
    <n v="2023"/>
    <d v="2023-01-26T00:00:00"/>
    <n v="348.59999999999951"/>
    <n v="2"/>
  </r>
  <r>
    <n v="1"/>
    <d v="2023-01-26T00:00:00"/>
    <d v="2023-01-26T00:00:00"/>
    <x v="56"/>
    <n v="5.36"/>
    <x v="11"/>
    <x v="37"/>
    <x v="0"/>
    <x v="9"/>
    <x v="0"/>
    <n v="2023"/>
    <d v="2023-01-26T00:00:00"/>
    <n v="353.95999999999952"/>
    <n v="1"/>
  </r>
  <r>
    <n v="1"/>
    <d v="2023-01-26T00:00:00"/>
    <d v="2023-01-26T00:00:00"/>
    <x v="57"/>
    <n v="255"/>
    <x v="11"/>
    <x v="37"/>
    <x v="0"/>
    <x v="9"/>
    <x v="0"/>
    <n v="2023"/>
    <d v="2023-01-26T00:00:00"/>
    <n v="608.95999999999947"/>
    <n v="2"/>
  </r>
  <r>
    <n v="1"/>
    <d v="2023-01-26T00:00:00"/>
    <d v="2023-01-26T00:00:00"/>
    <x v="58"/>
    <n v="11.68"/>
    <x v="7"/>
    <x v="11"/>
    <x v="0"/>
    <x v="2"/>
    <x v="0"/>
    <n v="2023"/>
    <d v="2023-01-26T00:00:00"/>
    <n v="620.63999999999942"/>
    <n v="5"/>
  </r>
  <r>
    <n v="1"/>
    <d v="2023-01-26T00:00:00"/>
    <d v="2023-01-26T00:00:00"/>
    <x v="59"/>
    <n v="16.399999999999999"/>
    <x v="12"/>
    <x v="38"/>
    <x v="0"/>
    <x v="3"/>
    <x v="0"/>
    <n v="2023"/>
    <d v="2023-01-26T00:00:00"/>
    <n v="637.0399999999994"/>
    <n v="1"/>
  </r>
  <r>
    <n v="1"/>
    <d v="2023-01-27T00:00:00"/>
    <d v="2023-01-27T00:00:00"/>
    <x v="60"/>
    <n v="10.8"/>
    <x v="9"/>
    <x v="39"/>
    <x v="0"/>
    <x v="1"/>
    <x v="0"/>
    <n v="2023"/>
    <d v="2023-01-27T00:00:00"/>
    <n v="647.83999999999935"/>
    <n v="1"/>
  </r>
  <r>
    <n v="1"/>
    <d v="2023-01-27T00:00:00"/>
    <d v="2023-01-27T00:00:00"/>
    <x v="61"/>
    <n v="7.98"/>
    <x v="2"/>
    <x v="3"/>
    <x v="0"/>
    <x v="2"/>
    <x v="0"/>
    <n v="2023"/>
    <d v="2023-01-27T00:00:00"/>
    <n v="655.81999999999937"/>
    <n v="4"/>
  </r>
  <r>
    <n v="1"/>
    <d v="2023-01-27T00:00:00"/>
    <d v="2023-01-27T00:00:00"/>
    <x v="55"/>
    <n v="25"/>
    <x v="9"/>
    <x v="36"/>
    <x v="0"/>
    <x v="6"/>
    <x v="0"/>
    <n v="2023"/>
    <d v="2023-01-27T00:00:00"/>
    <n v="680.81999999999937"/>
    <n v="3"/>
  </r>
  <r>
    <n v="1"/>
    <d v="2023-01-27T00:00:00"/>
    <d v="2023-01-27T00:00:00"/>
    <x v="62"/>
    <n v="4.25"/>
    <x v="1"/>
    <x v="40"/>
    <x v="0"/>
    <x v="1"/>
    <x v="0"/>
    <n v="2023"/>
    <d v="2023-01-27T00:00:00"/>
    <n v="685.06999999999937"/>
    <n v="1"/>
  </r>
  <r>
    <n v="1"/>
    <d v="2023-01-28T00:00:00"/>
    <d v="2023-01-28T00:00:00"/>
    <x v="63"/>
    <n v="6"/>
    <x v="9"/>
    <x v="41"/>
    <x v="0"/>
    <x v="10"/>
    <x v="0"/>
    <n v="2023"/>
    <d v="2023-01-28T00:00:00"/>
    <n v="691.06999999999937"/>
    <n v="1"/>
  </r>
  <r>
    <n v="1"/>
    <d v="2023-01-28T00:00:00"/>
    <d v="2023-01-28T00:00:00"/>
    <x v="63"/>
    <n v="96.14"/>
    <x v="9"/>
    <x v="41"/>
    <x v="0"/>
    <x v="10"/>
    <x v="0"/>
    <n v="2023"/>
    <d v="2023-01-28T00:00:00"/>
    <n v="787.20999999999935"/>
    <n v="2"/>
  </r>
  <r>
    <n v="1"/>
    <d v="2023-01-28T00:00:00"/>
    <d v="2023-01-28T00:00:00"/>
    <x v="64"/>
    <n v="25.78"/>
    <x v="7"/>
    <x v="11"/>
    <x v="0"/>
    <x v="2"/>
    <x v="0"/>
    <n v="2023"/>
    <d v="2023-01-28T00:00:00"/>
    <n v="812.98999999999933"/>
    <n v="6"/>
  </r>
  <r>
    <n v="1"/>
    <d v="2023-01-28T00:00:00"/>
    <d v="2023-01-28T00:00:00"/>
    <x v="65"/>
    <n v="5"/>
    <x v="9"/>
    <x v="19"/>
    <x v="0"/>
    <x v="6"/>
    <x v="0"/>
    <n v="2023"/>
    <d v="2023-01-28T00:00:00"/>
    <n v="817.98999999999933"/>
    <n v="4"/>
  </r>
  <r>
    <n v="1"/>
    <d v="2023-01-28T00:00:00"/>
    <d v="2023-01-28T00:00:00"/>
    <x v="65"/>
    <n v="5"/>
    <x v="9"/>
    <x v="19"/>
    <x v="0"/>
    <x v="6"/>
    <x v="0"/>
    <n v="2023"/>
    <d v="2023-01-28T00:00:00"/>
    <n v="822.98999999999933"/>
    <n v="5"/>
  </r>
  <r>
    <n v="1"/>
    <d v="2023-01-28T00:00:00"/>
    <d v="2023-01-28T00:00:00"/>
    <x v="65"/>
    <n v="13.91"/>
    <x v="9"/>
    <x v="19"/>
    <x v="0"/>
    <x v="6"/>
    <x v="0"/>
    <n v="2023"/>
    <d v="2023-01-28T00:00:00"/>
    <n v="836.8999999999993"/>
    <n v="6"/>
  </r>
  <r>
    <n v="1"/>
    <d v="2023-01-28T00:00:00"/>
    <d v="2023-01-28T00:00:00"/>
    <x v="65"/>
    <n v="19.899999999999999"/>
    <x v="9"/>
    <x v="19"/>
    <x v="0"/>
    <x v="6"/>
    <x v="0"/>
    <n v="2023"/>
    <d v="2023-01-28T00:00:00"/>
    <n v="856.79999999999927"/>
    <n v="7"/>
  </r>
  <r>
    <n v="1"/>
    <d v="2023-01-28T00:00:00"/>
    <d v="2023-01-28T00:00:00"/>
    <x v="65"/>
    <n v="19.96"/>
    <x v="9"/>
    <x v="19"/>
    <x v="0"/>
    <x v="6"/>
    <x v="0"/>
    <n v="2023"/>
    <d v="2023-01-28T00:00:00"/>
    <n v="876.75999999999931"/>
    <n v="8"/>
  </r>
  <r>
    <n v="1"/>
    <d v="2023-01-29T00:00:00"/>
    <d v="2023-01-29T00:00:00"/>
    <x v="65"/>
    <n v="8.93"/>
    <x v="9"/>
    <x v="19"/>
    <x v="0"/>
    <x v="6"/>
    <x v="0"/>
    <n v="2023"/>
    <d v="2023-01-29T00:00:00"/>
    <n v="885.68999999999926"/>
    <n v="9"/>
  </r>
  <r>
    <n v="1"/>
    <d v="2023-01-29T00:00:00"/>
    <d v="2023-01-29T00:00:00"/>
    <x v="65"/>
    <n v="5"/>
    <x v="9"/>
    <x v="19"/>
    <x v="0"/>
    <x v="6"/>
    <x v="0"/>
    <n v="2023"/>
    <d v="2023-01-29T00:00:00"/>
    <n v="890.68999999999926"/>
    <n v="10"/>
  </r>
  <r>
    <n v="1"/>
    <d v="2023-01-29T00:00:00"/>
    <d v="2023-01-29T00:00:00"/>
    <x v="65"/>
    <n v="5"/>
    <x v="9"/>
    <x v="19"/>
    <x v="0"/>
    <x v="6"/>
    <x v="0"/>
    <n v="2023"/>
    <d v="2023-01-29T00:00:00"/>
    <n v="895.68999999999926"/>
    <n v="11"/>
  </r>
  <r>
    <n v="1"/>
    <d v="2023-01-29T00:00:00"/>
    <d v="2023-01-29T00:00:00"/>
    <x v="66"/>
    <n v="12.16"/>
    <x v="7"/>
    <x v="16"/>
    <x v="0"/>
    <x v="2"/>
    <x v="0"/>
    <n v="2023"/>
    <d v="2023-01-29T00:00:00"/>
    <n v="907.84999999999923"/>
    <n v="7"/>
  </r>
  <r>
    <n v="1"/>
    <d v="2023-01-29T00:00:00"/>
    <d v="2023-01-29T00:00:00"/>
    <x v="67"/>
    <n v="11.75"/>
    <x v="7"/>
    <x v="16"/>
    <x v="0"/>
    <x v="2"/>
    <x v="0"/>
    <n v="2023"/>
    <d v="2023-01-29T00:00:00"/>
    <n v="919.59999999999923"/>
    <n v="8"/>
  </r>
  <r>
    <n v="1"/>
    <d v="2023-01-29T00:00:00"/>
    <d v="2023-01-29T00:00:00"/>
    <x v="68"/>
    <n v="31.22"/>
    <x v="7"/>
    <x v="16"/>
    <x v="0"/>
    <x v="2"/>
    <x v="0"/>
    <n v="2023"/>
    <d v="2023-01-29T00:00:00"/>
    <n v="950.81999999999925"/>
    <n v="9"/>
  </r>
  <r>
    <n v="1"/>
    <d v="2023-01-30T00:00:00"/>
    <d v="2023-01-30T00:00:00"/>
    <x v="65"/>
    <n v="5"/>
    <x v="9"/>
    <x v="19"/>
    <x v="0"/>
    <x v="6"/>
    <x v="0"/>
    <n v="2023"/>
    <d v="2023-01-30T00:00:00"/>
    <n v="955.81999999999925"/>
    <n v="12"/>
  </r>
  <r>
    <n v="1"/>
    <d v="2023-01-30T00:00:00"/>
    <d v="2023-01-30T00:00:00"/>
    <x v="69"/>
    <n v="29"/>
    <x v="6"/>
    <x v="42"/>
    <x v="0"/>
    <x v="3"/>
    <x v="0"/>
    <n v="2023"/>
    <d v="2023-01-30T00:00:00"/>
    <n v="984.81999999999925"/>
    <n v="1"/>
  </r>
  <r>
    <n v="1"/>
    <d v="2023-01-30T00:00:00"/>
    <d v="2023-01-30T00:00:00"/>
    <x v="65"/>
    <n v="22.04"/>
    <x v="9"/>
    <x v="19"/>
    <x v="0"/>
    <x v="6"/>
    <x v="0"/>
    <n v="2023"/>
    <d v="2023-01-30T00:00:00"/>
    <n v="1006.859999999999"/>
    <n v="13"/>
  </r>
  <r>
    <n v="1"/>
    <d v="2023-01-30T00:00:00"/>
    <d v="2023-01-30T00:00:00"/>
    <x v="65"/>
    <n v="8.66"/>
    <x v="9"/>
    <x v="19"/>
    <x v="0"/>
    <x v="6"/>
    <x v="0"/>
    <n v="2023"/>
    <d v="2023-01-30T00:00:00"/>
    <n v="1015.519999999999"/>
    <n v="14"/>
  </r>
  <r>
    <n v="1"/>
    <d v="2023-01-30T00:00:00"/>
    <d v="2023-01-30T00:00:00"/>
    <x v="65"/>
    <n v="3.28"/>
    <x v="9"/>
    <x v="19"/>
    <x v="0"/>
    <x v="6"/>
    <x v="0"/>
    <n v="2023"/>
    <d v="2023-01-30T00:00:00"/>
    <n v="1018.799999999999"/>
    <n v="15"/>
  </r>
  <r>
    <n v="1"/>
    <d v="2023-01-30T00:00:00"/>
    <d v="2023-01-30T00:00:00"/>
    <x v="70"/>
    <n v="150"/>
    <x v="9"/>
    <x v="43"/>
    <x v="0"/>
    <x v="1"/>
    <x v="0"/>
    <n v="2023"/>
    <d v="2023-01-30T00:00:00"/>
    <n v="1168.799999999999"/>
    <n v="1"/>
  </r>
  <r>
    <n v="1"/>
    <d v="2023-01-30T00:00:00"/>
    <d v="2023-01-30T00:00:00"/>
    <x v="71"/>
    <n v="8.52"/>
    <x v="7"/>
    <x v="16"/>
    <x v="0"/>
    <x v="2"/>
    <x v="0"/>
    <n v="2023"/>
    <d v="2023-01-30T00:00:00"/>
    <n v="1177.319999999999"/>
    <n v="10"/>
  </r>
  <r>
    <n v="1"/>
    <d v="2023-01-30T00:00:00"/>
    <d v="2023-01-30T00:00:00"/>
    <x v="62"/>
    <n v="12.76"/>
    <x v="1"/>
    <x v="40"/>
    <x v="0"/>
    <x v="1"/>
    <x v="0"/>
    <n v="2023"/>
    <d v="2023-01-30T00:00:00"/>
    <n v="1190.079999999999"/>
    <n v="2"/>
  </r>
  <r>
    <n v="1"/>
    <d v="2023-01-30T00:00:00"/>
    <d v="2023-01-30T00:00:00"/>
    <x v="62"/>
    <n v="7.43"/>
    <x v="1"/>
    <x v="40"/>
    <x v="0"/>
    <x v="1"/>
    <x v="0"/>
    <n v="2023"/>
    <d v="2023-01-30T00:00:00"/>
    <n v="1197.5099999999991"/>
    <n v="3"/>
  </r>
  <r>
    <n v="1"/>
    <d v="2023-01-30T00:00:00"/>
    <d v="2023-01-30T00:00:00"/>
    <x v="72"/>
    <n v="28.35"/>
    <x v="7"/>
    <x v="11"/>
    <x v="0"/>
    <x v="2"/>
    <x v="0"/>
    <n v="2023"/>
    <d v="2023-01-30T00:00:00"/>
    <n v="1225.859999999999"/>
    <n v="7"/>
  </r>
  <r>
    <n v="1"/>
    <d v="2023-01-31T00:00:00"/>
    <d v="2023-01-31T00:00:00"/>
    <x v="73"/>
    <n v="9.35"/>
    <x v="1"/>
    <x v="16"/>
    <x v="0"/>
    <x v="2"/>
    <x v="0"/>
    <n v="2023"/>
    <d v="2023-01-31T00:00:00"/>
    <n v="1235.2099999999989"/>
    <n v="11"/>
  </r>
  <r>
    <n v="1"/>
    <d v="2023-01-31T00:00:00"/>
    <d v="2023-01-31T00:00:00"/>
    <x v="65"/>
    <n v="5"/>
    <x v="9"/>
    <x v="19"/>
    <x v="0"/>
    <x v="6"/>
    <x v="0"/>
    <n v="2023"/>
    <d v="2023-01-31T00:00:00"/>
    <n v="1240.2099999999989"/>
    <n v="16"/>
  </r>
  <r>
    <n v="1"/>
    <d v="2023-01-31T00:00:00"/>
    <d v="2023-01-31T00:00:00"/>
    <x v="65"/>
    <n v="13.94"/>
    <x v="9"/>
    <x v="19"/>
    <x v="0"/>
    <x v="6"/>
    <x v="0"/>
    <n v="2023"/>
    <d v="2023-01-31T00:00:00"/>
    <n v="1254.149999999999"/>
    <n v="17"/>
  </r>
  <r>
    <n v="1"/>
    <d v="2023-01-31T00:00:00"/>
    <d v="2023-01-31T00:00:00"/>
    <x v="65"/>
    <n v="17.97"/>
    <x v="9"/>
    <x v="19"/>
    <x v="0"/>
    <x v="6"/>
    <x v="0"/>
    <n v="2023"/>
    <d v="2023-01-31T00:00:00"/>
    <n v="1272.119999999999"/>
    <n v="18"/>
  </r>
  <r>
    <n v="1"/>
    <d v="2023-01-31T00:00:00"/>
    <d v="2023-01-31T00:00:00"/>
    <x v="69"/>
    <n v="29"/>
    <x v="6"/>
    <x v="42"/>
    <x v="0"/>
    <x v="3"/>
    <x v="0"/>
    <n v="2023"/>
    <d v="2023-01-31T00:00:00"/>
    <n v="1301.119999999999"/>
    <n v="2"/>
  </r>
  <r>
    <n v="2"/>
    <d v="2023-02-01T00:00:00"/>
    <d v="2023-02-01T00:00:00"/>
    <x v="65"/>
    <n v="18.91"/>
    <x v="9"/>
    <x v="19"/>
    <x v="0"/>
    <x v="6"/>
    <x v="1"/>
    <n v="2023"/>
    <d v="2023-02-01T00:00:00"/>
    <n v="1320.0299999999991"/>
    <n v="19"/>
  </r>
  <r>
    <n v="2"/>
    <d v="2023-02-01T00:00:00"/>
    <d v="2023-02-03T00:00:00"/>
    <x v="74"/>
    <n v="21.55"/>
    <x v="7"/>
    <x v="16"/>
    <x v="0"/>
    <x v="2"/>
    <x v="1"/>
    <n v="2023"/>
    <d v="2023-02-01T00:00:00"/>
    <n v="1341.579999999999"/>
    <n v="12"/>
  </r>
  <r>
    <n v="2"/>
    <d v="2023-02-01T00:00:00"/>
    <d v="2023-02-03T00:00:00"/>
    <x v="74"/>
    <n v="5"/>
    <x v="7"/>
    <x v="16"/>
    <x v="0"/>
    <x v="2"/>
    <x v="1"/>
    <n v="2023"/>
    <d v="2023-02-01T00:00:00"/>
    <n v="1346.579999999999"/>
    <n v="13"/>
  </r>
  <r>
    <n v="2"/>
    <d v="2023-02-01T00:00:00"/>
    <d v="2023-02-03T00:00:00"/>
    <x v="2"/>
    <n v="10.59"/>
    <x v="1"/>
    <x v="2"/>
    <x v="1"/>
    <x v="1"/>
    <x v="1"/>
    <n v="2023"/>
    <d v="2023-02-01T00:00:00"/>
    <n v="1357.1699999999989"/>
    <n v="2"/>
  </r>
  <r>
    <n v="2"/>
    <d v="2023-02-01T00:00:00"/>
    <d v="2023-02-01T00:00:00"/>
    <x v="69"/>
    <n v="29"/>
    <x v="6"/>
    <x v="42"/>
    <x v="0"/>
    <x v="3"/>
    <x v="1"/>
    <n v="2023"/>
    <d v="2023-02-01T00:00:00"/>
    <n v="1386.1699999999989"/>
    <n v="3"/>
  </r>
  <r>
    <n v="2"/>
    <d v="2023-02-01T00:00:00"/>
    <d v="2023-02-01T00:00:00"/>
    <x v="65"/>
    <n v="11.91"/>
    <x v="9"/>
    <x v="19"/>
    <x v="0"/>
    <x v="6"/>
    <x v="1"/>
    <n v="2023"/>
    <d v="2023-02-01T00:00:00"/>
    <n v="1398.079999999999"/>
    <n v="20"/>
  </r>
  <r>
    <n v="2"/>
    <d v="2023-02-01T00:00:00"/>
    <d v="2023-02-01T00:00:00"/>
    <x v="75"/>
    <n v="8.99"/>
    <x v="7"/>
    <x v="16"/>
    <x v="0"/>
    <x v="2"/>
    <x v="1"/>
    <n v="2023"/>
    <d v="2023-02-01T00:00:00"/>
    <n v="1407.069999999999"/>
    <n v="14"/>
  </r>
  <r>
    <n v="2"/>
    <d v="2023-02-01T00:00:00"/>
    <d v="2023-02-01T00:00:00"/>
    <x v="65"/>
    <n v="5"/>
    <x v="9"/>
    <x v="19"/>
    <x v="0"/>
    <x v="6"/>
    <x v="1"/>
    <n v="2023"/>
    <d v="2023-02-01T00:00:00"/>
    <n v="1412.069999999999"/>
    <n v="21"/>
  </r>
  <r>
    <n v="2"/>
    <d v="2023-02-01T00:00:00"/>
    <d v="2023-02-01T00:00:00"/>
    <x v="65"/>
    <n v="5"/>
    <x v="9"/>
    <x v="19"/>
    <x v="0"/>
    <x v="6"/>
    <x v="1"/>
    <n v="2023"/>
    <d v="2023-02-01T00:00:00"/>
    <n v="1417.069999999999"/>
    <n v="22"/>
  </r>
  <r>
    <n v="2"/>
    <d v="2023-02-01T00:00:00"/>
    <d v="2023-02-01T00:00:00"/>
    <x v="65"/>
    <n v="5"/>
    <x v="9"/>
    <x v="19"/>
    <x v="0"/>
    <x v="6"/>
    <x v="1"/>
    <n v="2023"/>
    <d v="2023-02-01T00:00:00"/>
    <n v="1422.069999999999"/>
    <n v="23"/>
  </r>
  <r>
    <n v="2"/>
    <d v="2023-02-01T00:00:00"/>
    <d v="2023-02-01T00:00:00"/>
    <x v="76"/>
    <n v="33.06"/>
    <x v="2"/>
    <x v="16"/>
    <x v="0"/>
    <x v="2"/>
    <x v="1"/>
    <n v="2023"/>
    <d v="2023-02-01T00:00:00"/>
    <n v="1455.129999999999"/>
    <n v="15"/>
  </r>
  <r>
    <n v="2"/>
    <d v="2023-02-01T00:00:00"/>
    <d v="2023-02-01T00:00:00"/>
    <x v="77"/>
    <n v="4.99"/>
    <x v="1"/>
    <x v="1"/>
    <x v="1"/>
    <x v="1"/>
    <x v="1"/>
    <n v="2023"/>
    <d v="2023-02-01T00:00:00"/>
    <n v="1460.119999999999"/>
    <n v="2"/>
  </r>
  <r>
    <n v="2"/>
    <d v="2023-02-01T00:00:00"/>
    <d v="2023-02-01T00:00:00"/>
    <x v="78"/>
    <n v="5.42"/>
    <x v="6"/>
    <x v="44"/>
    <x v="1"/>
    <x v="1"/>
    <x v="1"/>
    <n v="2023"/>
    <d v="2023-02-01T00:00:00"/>
    <n v="1465.5399999999991"/>
    <n v="1"/>
  </r>
  <r>
    <n v="2"/>
    <d v="2023-02-02T00:00:00"/>
    <d v="2023-02-03T00:00:00"/>
    <x v="79"/>
    <n v="68"/>
    <x v="3"/>
    <x v="45"/>
    <x v="1"/>
    <x v="4"/>
    <x v="1"/>
    <n v="2023"/>
    <d v="2023-02-02T00:00:00"/>
    <n v="1533.5399999999991"/>
    <n v="1"/>
  </r>
  <r>
    <n v="2"/>
    <d v="2023-02-02T00:00:00"/>
    <d v="2023-02-03T00:00:00"/>
    <x v="5"/>
    <n v="10"/>
    <x v="1"/>
    <x v="5"/>
    <x v="1"/>
    <x v="3"/>
    <x v="1"/>
    <n v="2023"/>
    <d v="2023-02-02T00:00:00"/>
    <n v="1543.5399999999991"/>
    <n v="2"/>
  </r>
  <r>
    <n v="2"/>
    <d v="2023-02-02T00:00:00"/>
    <d v="2023-02-03T00:00:00"/>
    <x v="4"/>
    <n v="10"/>
    <x v="1"/>
    <x v="4"/>
    <x v="1"/>
    <x v="1"/>
    <x v="1"/>
    <n v="2023"/>
    <d v="2023-02-02T00:00:00"/>
    <n v="1553.5399999999991"/>
    <n v="2"/>
  </r>
  <r>
    <n v="2"/>
    <d v="2023-02-02T00:00:00"/>
    <d v="2023-02-03T00:00:00"/>
    <x v="62"/>
    <n v="10.63"/>
    <x v="1"/>
    <x v="40"/>
    <x v="0"/>
    <x v="1"/>
    <x v="1"/>
    <n v="2023"/>
    <d v="2023-02-02T00:00:00"/>
    <n v="1564.1699999999989"/>
    <n v="4"/>
  </r>
  <r>
    <n v="2"/>
    <d v="2023-02-02T00:00:00"/>
    <d v="2023-02-02T00:00:00"/>
    <x v="65"/>
    <n v="15.99"/>
    <x v="9"/>
    <x v="19"/>
    <x v="0"/>
    <x v="6"/>
    <x v="1"/>
    <n v="2023"/>
    <d v="2023-02-02T00:00:00"/>
    <n v="1580.1599999999989"/>
    <n v="24"/>
  </r>
  <r>
    <n v="2"/>
    <d v="2023-02-02T00:00:00"/>
    <d v="2023-02-02T00:00:00"/>
    <x v="65"/>
    <n v="12.96"/>
    <x v="9"/>
    <x v="19"/>
    <x v="0"/>
    <x v="6"/>
    <x v="1"/>
    <n v="2023"/>
    <d v="2023-02-02T00:00:00"/>
    <n v="1593.119999999999"/>
    <n v="25"/>
  </r>
  <r>
    <n v="2"/>
    <d v="2023-02-02T00:00:00"/>
    <d v="2023-02-02T00:00:00"/>
    <x v="65"/>
    <n v="5"/>
    <x v="9"/>
    <x v="19"/>
    <x v="0"/>
    <x v="6"/>
    <x v="1"/>
    <n v="2023"/>
    <d v="2023-02-02T00:00:00"/>
    <n v="1598.119999999999"/>
    <n v="26"/>
  </r>
  <r>
    <n v="2"/>
    <d v="2023-02-02T00:00:00"/>
    <d v="2023-02-03T00:00:00"/>
    <x v="62"/>
    <n v="3.72"/>
    <x v="1"/>
    <x v="40"/>
    <x v="0"/>
    <x v="1"/>
    <x v="1"/>
    <n v="2023"/>
    <d v="2023-02-02T00:00:00"/>
    <n v="1601.839999999999"/>
    <n v="5"/>
  </r>
  <r>
    <n v="2"/>
    <d v="2023-02-03T00:00:00"/>
    <d v="2023-02-03T00:00:00"/>
    <x v="80"/>
    <n v="12.08"/>
    <x v="7"/>
    <x v="11"/>
    <x v="0"/>
    <x v="2"/>
    <x v="1"/>
    <n v="2023"/>
    <d v="2023-02-03T00:00:00"/>
    <n v="1613.9199999999989"/>
    <n v="8"/>
  </r>
  <r>
    <n v="2"/>
    <d v="2023-02-03T00:00:00"/>
    <d v="2023-02-03T00:00:00"/>
    <x v="65"/>
    <n v="5"/>
    <x v="9"/>
    <x v="19"/>
    <x v="0"/>
    <x v="6"/>
    <x v="1"/>
    <n v="2023"/>
    <d v="2023-02-03T00:00:00"/>
    <n v="1618.9199999999989"/>
    <n v="27"/>
  </r>
  <r>
    <n v="2"/>
    <d v="2023-02-03T00:00:00"/>
    <d v="2023-02-03T00:00:00"/>
    <x v="15"/>
    <n v="90.09"/>
    <x v="1"/>
    <x v="15"/>
    <x v="1"/>
    <x v="8"/>
    <x v="1"/>
    <n v="2023"/>
    <d v="2023-02-03T00:00:00"/>
    <n v="1709.0099999999991"/>
    <n v="2"/>
  </r>
  <r>
    <n v="2"/>
    <d v="2023-02-03T00:00:00"/>
    <d v="2023-02-03T00:00:00"/>
    <x v="81"/>
    <n v="6.05"/>
    <x v="7"/>
    <x v="16"/>
    <x v="0"/>
    <x v="2"/>
    <x v="1"/>
    <n v="2023"/>
    <d v="2023-02-03T00:00:00"/>
    <n v="1715.059999999999"/>
    <n v="16"/>
  </r>
  <r>
    <n v="2"/>
    <d v="2023-02-03T00:00:00"/>
    <d v="2023-02-03T00:00:00"/>
    <x v="8"/>
    <n v="-55.37"/>
    <x v="4"/>
    <x v="8"/>
    <x v="0"/>
    <x v="5"/>
    <x v="1"/>
    <n v="2023"/>
    <d v="2023-02-03T00:00:00"/>
    <n v="1659.6899999999989"/>
    <n v="2"/>
  </r>
  <r>
    <n v="2"/>
    <d v="2023-02-03T00:00:00"/>
    <d v="2023-02-03T00:00:00"/>
    <x v="62"/>
    <n v="12.75"/>
    <x v="1"/>
    <x v="40"/>
    <x v="0"/>
    <x v="1"/>
    <x v="1"/>
    <n v="2023"/>
    <d v="2023-02-03T00:00:00"/>
    <n v="1672.4399999999989"/>
    <n v="6"/>
  </r>
  <r>
    <n v="2"/>
    <d v="2023-02-03T00:00:00"/>
    <d v="2023-02-03T00:00:00"/>
    <x v="54"/>
    <n v="38"/>
    <x v="6"/>
    <x v="35"/>
    <x v="0"/>
    <x v="7"/>
    <x v="1"/>
    <n v="2023"/>
    <d v="2023-02-03T00:00:00"/>
    <n v="1710.4399999999989"/>
    <n v="2"/>
  </r>
  <r>
    <n v="2"/>
    <d v="2023-02-03T00:00:00"/>
    <d v="2023-02-03T00:00:00"/>
    <x v="82"/>
    <n v="15.89"/>
    <x v="6"/>
    <x v="10"/>
    <x v="1"/>
    <x v="1"/>
    <x v="1"/>
    <n v="2023"/>
    <d v="2023-02-03T00:00:00"/>
    <n v="1726.329999999999"/>
    <n v="3"/>
  </r>
  <r>
    <n v="2"/>
    <d v="2023-02-04T00:00:00"/>
    <d v="2023-02-04T00:00:00"/>
    <x v="62"/>
    <n v="17"/>
    <x v="1"/>
    <x v="40"/>
    <x v="0"/>
    <x v="1"/>
    <x v="1"/>
    <n v="2023"/>
    <d v="2023-02-04T00:00:00"/>
    <n v="1743.329999999999"/>
    <n v="7"/>
  </r>
  <r>
    <n v="2"/>
    <d v="2023-02-04T00:00:00"/>
    <d v="2023-02-04T00:00:00"/>
    <x v="13"/>
    <n v="49"/>
    <x v="8"/>
    <x v="13"/>
    <x v="1"/>
    <x v="3"/>
    <x v="1"/>
    <n v="2023"/>
    <d v="2023-02-04T00:00:00"/>
    <n v="1792.329999999999"/>
    <n v="2"/>
  </r>
  <r>
    <n v="2"/>
    <d v="2023-02-04T00:00:00"/>
    <d v="2023-02-04T00:00:00"/>
    <x v="83"/>
    <n v="152.88999999999999"/>
    <x v="2"/>
    <x v="34"/>
    <x v="0"/>
    <x v="3"/>
    <x v="1"/>
    <n v="2023"/>
    <d v="2023-02-04T00:00:00"/>
    <n v="1945.2199999999989"/>
    <n v="2"/>
  </r>
  <r>
    <n v="2"/>
    <d v="2023-02-04T00:00:00"/>
    <d v="2023-02-04T00:00:00"/>
    <x v="84"/>
    <n v="18.829999999999998"/>
    <x v="2"/>
    <x v="7"/>
    <x v="0"/>
    <x v="3"/>
    <x v="1"/>
    <n v="2023"/>
    <d v="2023-02-04T00:00:00"/>
    <n v="1964.049999999999"/>
    <n v="4"/>
  </r>
  <r>
    <n v="2"/>
    <d v="2023-02-05T00:00:00"/>
    <d v="2023-02-05T00:00:00"/>
    <x v="65"/>
    <n v="48.9"/>
    <x v="9"/>
    <x v="19"/>
    <x v="0"/>
    <x v="6"/>
    <x v="1"/>
    <n v="2023"/>
    <d v="2023-02-05T00:00:00"/>
    <n v="2012.9499999999989"/>
    <n v="28"/>
  </r>
  <r>
    <n v="2"/>
    <d v="2023-02-05T00:00:00"/>
    <d v="2023-02-05T00:00:00"/>
    <x v="34"/>
    <n v="8"/>
    <x v="9"/>
    <x v="23"/>
    <x v="0"/>
    <x v="6"/>
    <x v="1"/>
    <n v="2023"/>
    <d v="2023-02-05T00:00:00"/>
    <n v="2020.9499999999989"/>
    <n v="5"/>
  </r>
  <r>
    <n v="2"/>
    <d v="2023-02-05T00:00:00"/>
    <d v="2023-02-05T00:00:00"/>
    <x v="34"/>
    <n v="8"/>
    <x v="9"/>
    <x v="23"/>
    <x v="0"/>
    <x v="6"/>
    <x v="1"/>
    <n v="2023"/>
    <d v="2023-02-05T00:00:00"/>
    <n v="2028.9499999999989"/>
    <n v="6"/>
  </r>
  <r>
    <n v="2"/>
    <d v="2023-02-05T00:00:00"/>
    <d v="2023-02-05T00:00:00"/>
    <x v="65"/>
    <n v="12.22"/>
    <x v="9"/>
    <x v="19"/>
    <x v="0"/>
    <x v="6"/>
    <x v="1"/>
    <n v="2023"/>
    <d v="2023-02-05T00:00:00"/>
    <n v="2041.1699999999989"/>
    <n v="29"/>
  </r>
  <r>
    <n v="2"/>
    <d v="2023-02-05T00:00:00"/>
    <d v="2023-02-05T00:00:00"/>
    <x v="41"/>
    <n v="35"/>
    <x v="9"/>
    <x v="23"/>
    <x v="0"/>
    <x v="6"/>
    <x v="1"/>
    <n v="2023"/>
    <d v="2023-02-05T00:00:00"/>
    <n v="2076.1699999999992"/>
    <n v="7"/>
  </r>
  <r>
    <n v="2"/>
    <d v="2023-02-05T00:00:00"/>
    <d v="2023-02-05T00:00:00"/>
    <x v="85"/>
    <n v="4.4000000000000004"/>
    <x v="7"/>
    <x v="11"/>
    <x v="0"/>
    <x v="2"/>
    <x v="1"/>
    <n v="2023"/>
    <d v="2023-02-05T00:00:00"/>
    <n v="2080.5699999999988"/>
    <n v="9"/>
  </r>
  <r>
    <n v="2"/>
    <d v="2023-02-05T00:00:00"/>
    <d v="2023-02-05T00:00:00"/>
    <x v="86"/>
    <n v="12.27"/>
    <x v="7"/>
    <x v="16"/>
    <x v="0"/>
    <x v="2"/>
    <x v="1"/>
    <n v="2023"/>
    <d v="2023-02-05T00:00:00"/>
    <n v="2092.8399999999988"/>
    <n v="17"/>
  </r>
  <r>
    <n v="2"/>
    <d v="2023-02-05T00:00:00"/>
    <d v="2023-02-05T00:00:00"/>
    <x v="87"/>
    <n v="9.81"/>
    <x v="7"/>
    <x v="16"/>
    <x v="0"/>
    <x v="2"/>
    <x v="1"/>
    <n v="2023"/>
    <d v="2023-02-05T00:00:00"/>
    <n v="2102.6499999999992"/>
    <n v="18"/>
  </r>
  <r>
    <n v="2"/>
    <d v="2023-02-05T00:00:00"/>
    <d v="2023-02-05T00:00:00"/>
    <x v="85"/>
    <n v="26.45"/>
    <x v="7"/>
    <x v="11"/>
    <x v="0"/>
    <x v="2"/>
    <x v="1"/>
    <n v="2023"/>
    <d v="2023-02-05T00:00:00"/>
    <n v="2129.099999999999"/>
    <n v="10"/>
  </r>
  <r>
    <n v="2"/>
    <d v="2023-02-06T00:00:00"/>
    <d v="2023-02-06T00:00:00"/>
    <x v="88"/>
    <n v="63.37"/>
    <x v="6"/>
    <x v="46"/>
    <x v="0"/>
    <x v="1"/>
    <x v="1"/>
    <n v="2023"/>
    <d v="2023-02-06T00:00:00"/>
    <n v="2192.4699999999989"/>
    <n v="1"/>
  </r>
  <r>
    <n v="2"/>
    <d v="2023-02-06T00:00:00"/>
    <d v="2023-02-06T00:00:00"/>
    <x v="62"/>
    <n v="10.62"/>
    <x v="1"/>
    <x v="40"/>
    <x v="0"/>
    <x v="1"/>
    <x v="1"/>
    <n v="2023"/>
    <d v="2023-02-06T00:00:00"/>
    <n v="2203.0899999999988"/>
    <n v="8"/>
  </r>
  <r>
    <n v="2"/>
    <d v="2023-02-06T00:00:00"/>
    <d v="2023-02-06T00:00:00"/>
    <x v="89"/>
    <n v="111.7"/>
    <x v="9"/>
    <x v="33"/>
    <x v="0"/>
    <x v="1"/>
    <x v="1"/>
    <n v="2023"/>
    <d v="2023-02-06T00:00:00"/>
    <n v="2314.7899999999991"/>
    <n v="2"/>
  </r>
  <r>
    <n v="2"/>
    <d v="2023-02-06T00:00:00"/>
    <d v="2023-02-06T00:00:00"/>
    <x v="90"/>
    <n v="9.99"/>
    <x v="1"/>
    <x v="18"/>
    <x v="1"/>
    <x v="3"/>
    <x v="1"/>
    <n v="2023"/>
    <d v="2023-02-06T00:00:00"/>
    <n v="2324.7799999999979"/>
    <n v="2"/>
  </r>
  <r>
    <n v="2"/>
    <d v="2023-02-06T00:00:00"/>
    <d v="2023-02-06T00:00:00"/>
    <x v="91"/>
    <n v="15.19"/>
    <x v="1"/>
    <x v="7"/>
    <x v="0"/>
    <x v="3"/>
    <x v="1"/>
    <n v="2023"/>
    <d v="2023-02-06T00:00:00"/>
    <n v="2339.969999999998"/>
    <n v="5"/>
  </r>
  <r>
    <n v="2"/>
    <d v="2023-02-06T00:00:00"/>
    <d v="2023-02-06T00:00:00"/>
    <x v="62"/>
    <n v="5.3"/>
    <x v="1"/>
    <x v="40"/>
    <x v="0"/>
    <x v="1"/>
    <x v="1"/>
    <n v="2023"/>
    <d v="2023-02-06T00:00:00"/>
    <n v="2345.2699999999991"/>
    <n v="9"/>
  </r>
  <r>
    <n v="2"/>
    <d v="2023-02-07T00:00:00"/>
    <d v="2023-02-07T00:00:00"/>
    <x v="62"/>
    <n v="3.51"/>
    <x v="1"/>
    <x v="40"/>
    <x v="0"/>
    <x v="1"/>
    <x v="1"/>
    <n v="2023"/>
    <d v="2023-02-07T00:00:00"/>
    <n v="2348.7799999999988"/>
    <n v="10"/>
  </r>
  <r>
    <n v="2"/>
    <d v="2023-02-07T00:00:00"/>
    <d v="2023-02-07T00:00:00"/>
    <x v="62"/>
    <n v="10.62"/>
    <x v="1"/>
    <x v="40"/>
    <x v="0"/>
    <x v="1"/>
    <x v="1"/>
    <n v="2023"/>
    <d v="2023-02-07T00:00:00"/>
    <n v="2359.3999999999992"/>
    <n v="11"/>
  </r>
  <r>
    <n v="2"/>
    <d v="2023-02-07T00:00:00"/>
    <d v="2023-02-07T00:00:00"/>
    <x v="62"/>
    <n v="10.63"/>
    <x v="1"/>
    <x v="40"/>
    <x v="0"/>
    <x v="1"/>
    <x v="1"/>
    <n v="2023"/>
    <d v="2023-02-07T00:00:00"/>
    <n v="2370.0299999999988"/>
    <n v="12"/>
  </r>
  <r>
    <n v="2"/>
    <d v="2023-02-07T00:00:00"/>
    <d v="2023-02-07T00:00:00"/>
    <x v="62"/>
    <n v="10.63"/>
    <x v="1"/>
    <x v="40"/>
    <x v="0"/>
    <x v="1"/>
    <x v="1"/>
    <n v="2023"/>
    <d v="2023-02-07T00:00:00"/>
    <n v="2380.6599999999989"/>
    <n v="13"/>
  </r>
  <r>
    <n v="2"/>
    <d v="2023-02-07T00:00:00"/>
    <d v="2023-02-07T00:00:00"/>
    <x v="62"/>
    <n v="17.010000000000002"/>
    <x v="1"/>
    <x v="40"/>
    <x v="0"/>
    <x v="1"/>
    <x v="1"/>
    <n v="2023"/>
    <d v="2023-02-07T00:00:00"/>
    <n v="2397.6699999999992"/>
    <n v="14"/>
  </r>
  <r>
    <n v="2"/>
    <d v="2023-02-07T00:00:00"/>
    <d v="2023-02-07T00:00:00"/>
    <x v="33"/>
    <n v="-1995.21"/>
    <x v="10"/>
    <x v="25"/>
    <x v="0"/>
    <x v="5"/>
    <x v="1"/>
    <n v="2023"/>
    <d v="2023-02-07T00:00:00"/>
    <n v="402.45999999999913"/>
    <n v="4"/>
  </r>
  <r>
    <n v="2"/>
    <d v="2023-02-08T00:00:00"/>
    <d v="2023-02-08T00:00:00"/>
    <x v="65"/>
    <n v="24.95"/>
    <x v="9"/>
    <x v="19"/>
    <x v="0"/>
    <x v="6"/>
    <x v="1"/>
    <n v="2023"/>
    <d v="2023-02-08T00:00:00"/>
    <n v="427.40999999999912"/>
    <n v="30"/>
  </r>
  <r>
    <n v="2"/>
    <d v="2023-02-08T00:00:00"/>
    <d v="2023-02-08T00:00:00"/>
    <x v="69"/>
    <n v="29"/>
    <x v="6"/>
    <x v="42"/>
    <x v="0"/>
    <x v="3"/>
    <x v="1"/>
    <n v="2023"/>
    <d v="2023-02-08T00:00:00"/>
    <n v="456.40999999999912"/>
    <n v="4"/>
  </r>
  <r>
    <n v="2"/>
    <d v="2023-02-08T00:00:00"/>
    <d v="2023-02-08T00:00:00"/>
    <x v="92"/>
    <n v="10.54"/>
    <x v="7"/>
    <x v="11"/>
    <x v="0"/>
    <x v="2"/>
    <x v="1"/>
    <n v="2023"/>
    <d v="2023-02-08T00:00:00"/>
    <n v="466.94999999999908"/>
    <n v="11"/>
  </r>
  <r>
    <n v="2"/>
    <d v="2023-02-08T00:00:00"/>
    <d v="2023-02-08T00:00:00"/>
    <x v="65"/>
    <n v="8.81"/>
    <x v="9"/>
    <x v="19"/>
    <x v="0"/>
    <x v="6"/>
    <x v="1"/>
    <n v="2023"/>
    <d v="2023-02-08T00:00:00"/>
    <n v="475.75999999999908"/>
    <n v="31"/>
  </r>
  <r>
    <n v="2"/>
    <d v="2023-02-08T00:00:00"/>
    <d v="2023-02-08T00:00:00"/>
    <x v="93"/>
    <n v="20.22"/>
    <x v="7"/>
    <x v="33"/>
    <x v="0"/>
    <x v="1"/>
    <x v="1"/>
    <n v="2023"/>
    <d v="2023-02-08T00:00:00"/>
    <n v="495.97999999999911"/>
    <n v="3"/>
  </r>
  <r>
    <n v="2"/>
    <d v="2023-02-08T00:00:00"/>
    <d v="2023-02-08T00:00:00"/>
    <x v="94"/>
    <n v="10.26"/>
    <x v="7"/>
    <x v="26"/>
    <x v="0"/>
    <x v="2"/>
    <x v="1"/>
    <n v="2023"/>
    <d v="2023-02-08T00:00:00"/>
    <n v="506.2399999999991"/>
    <n v="2"/>
  </r>
  <r>
    <n v="2"/>
    <d v="2023-02-08T00:00:00"/>
    <d v="2023-02-08T00:00:00"/>
    <x v="93"/>
    <n v="35.18"/>
    <x v="7"/>
    <x v="33"/>
    <x v="0"/>
    <x v="1"/>
    <x v="1"/>
    <n v="2023"/>
    <d v="2023-02-08T00:00:00"/>
    <n v="541.41999999999905"/>
    <n v="4"/>
  </r>
  <r>
    <n v="2"/>
    <d v="2023-02-08T00:00:00"/>
    <d v="2023-02-08T00:00:00"/>
    <x v="95"/>
    <n v="2.63"/>
    <x v="7"/>
    <x v="3"/>
    <x v="0"/>
    <x v="2"/>
    <x v="1"/>
    <n v="2023"/>
    <d v="2023-02-08T00:00:00"/>
    <n v="544.04999999999905"/>
    <n v="5"/>
  </r>
  <r>
    <n v="2"/>
    <d v="2023-02-08T00:00:00"/>
    <d v="2023-02-08T00:00:00"/>
    <x v="65"/>
    <n v="6.23"/>
    <x v="9"/>
    <x v="19"/>
    <x v="0"/>
    <x v="6"/>
    <x v="1"/>
    <n v="2023"/>
    <d v="2023-02-08T00:00:00"/>
    <n v="550.27999999999906"/>
    <n v="32"/>
  </r>
  <r>
    <n v="2"/>
    <d v="2023-02-09T00:00:00"/>
    <d v="2023-02-09T00:00:00"/>
    <x v="62"/>
    <n v="7.43"/>
    <x v="1"/>
    <x v="40"/>
    <x v="0"/>
    <x v="1"/>
    <x v="1"/>
    <n v="2023"/>
    <d v="2023-02-09T00:00:00"/>
    <n v="557.70999999999901"/>
    <n v="15"/>
  </r>
  <r>
    <n v="2"/>
    <d v="2023-02-09T00:00:00"/>
    <d v="2023-02-09T00:00:00"/>
    <x v="96"/>
    <n v="64.989999999999995"/>
    <x v="6"/>
    <x v="10"/>
    <x v="1"/>
    <x v="1"/>
    <x v="1"/>
    <n v="2023"/>
    <d v="2023-02-09T00:00:00"/>
    <n v="622.69999999999902"/>
    <n v="4"/>
  </r>
  <r>
    <n v="2"/>
    <d v="2023-02-09T00:00:00"/>
    <d v="2023-02-09T00:00:00"/>
    <x v="97"/>
    <n v="15.56"/>
    <x v="7"/>
    <x v="16"/>
    <x v="0"/>
    <x v="2"/>
    <x v="1"/>
    <n v="2023"/>
    <d v="2023-02-09T00:00:00"/>
    <n v="638.25999999999897"/>
    <n v="19"/>
  </r>
  <r>
    <n v="2"/>
    <d v="2023-02-09T00:00:00"/>
    <d v="2023-02-09T00:00:00"/>
    <x v="98"/>
    <n v="136"/>
    <x v="3"/>
    <x v="45"/>
    <x v="1"/>
    <x v="4"/>
    <x v="1"/>
    <n v="2023"/>
    <d v="2023-02-09T00:00:00"/>
    <n v="774.25999999999897"/>
    <n v="2"/>
  </r>
  <r>
    <n v="2"/>
    <d v="2023-02-09T00:00:00"/>
    <d v="2023-02-09T00:00:00"/>
    <x v="65"/>
    <n v="5"/>
    <x v="9"/>
    <x v="19"/>
    <x v="0"/>
    <x v="6"/>
    <x v="1"/>
    <n v="2023"/>
    <d v="2023-02-09T00:00:00"/>
    <n v="779.25999999999897"/>
    <n v="33"/>
  </r>
  <r>
    <n v="2"/>
    <d v="2023-02-09T00:00:00"/>
    <d v="2023-02-09T00:00:00"/>
    <x v="65"/>
    <n v="11.91"/>
    <x v="9"/>
    <x v="19"/>
    <x v="0"/>
    <x v="6"/>
    <x v="1"/>
    <n v="2023"/>
    <d v="2023-02-09T00:00:00"/>
    <n v="791.16999999999894"/>
    <n v="34"/>
  </r>
  <r>
    <n v="2"/>
    <d v="2023-02-10T00:00:00"/>
    <d v="2023-02-10T00:00:00"/>
    <x v="99"/>
    <n v="36.880000000000003"/>
    <x v="7"/>
    <x v="16"/>
    <x v="0"/>
    <x v="2"/>
    <x v="1"/>
    <n v="2023"/>
    <d v="2023-02-10T00:00:00"/>
    <n v="828.04999999999893"/>
    <n v="20"/>
  </r>
  <r>
    <n v="2"/>
    <d v="2023-02-11T00:00:00"/>
    <d v="2023-02-11T00:00:00"/>
    <x v="100"/>
    <n v="9.99"/>
    <x v="2"/>
    <x v="3"/>
    <x v="0"/>
    <x v="2"/>
    <x v="1"/>
    <n v="2023"/>
    <d v="2023-02-11T00:00:00"/>
    <n v="838.03999999999894"/>
    <n v="6"/>
  </r>
  <r>
    <n v="2"/>
    <d v="2023-02-11T00:00:00"/>
    <d v="2023-02-11T00:00:00"/>
    <x v="101"/>
    <n v="5"/>
    <x v="6"/>
    <x v="47"/>
    <x v="1"/>
    <x v="3"/>
    <x v="1"/>
    <n v="2023"/>
    <d v="2023-02-11T00:00:00"/>
    <n v="843.03999999999894"/>
    <n v="1"/>
  </r>
  <r>
    <n v="2"/>
    <d v="2023-02-11T00:00:00"/>
    <d v="2023-02-11T00:00:00"/>
    <x v="102"/>
    <n v="39.93"/>
    <x v="7"/>
    <x v="16"/>
    <x v="0"/>
    <x v="2"/>
    <x v="1"/>
    <n v="2023"/>
    <d v="2023-02-11T00:00:00"/>
    <n v="882.96999999999889"/>
    <n v="21"/>
  </r>
  <r>
    <n v="2"/>
    <d v="2023-02-11T00:00:00"/>
    <d v="2023-02-11T00:00:00"/>
    <x v="103"/>
    <n v="30"/>
    <x v="6"/>
    <x v="32"/>
    <x v="0"/>
    <x v="6"/>
    <x v="1"/>
    <n v="2023"/>
    <d v="2023-02-11T00:00:00"/>
    <n v="912.96999999999889"/>
    <n v="2"/>
  </r>
  <r>
    <n v="2"/>
    <d v="2023-02-11T00:00:00"/>
    <d v="2023-02-11T00:00:00"/>
    <x v="62"/>
    <n v="8.49"/>
    <x v="1"/>
    <x v="40"/>
    <x v="0"/>
    <x v="1"/>
    <x v="1"/>
    <n v="2023"/>
    <d v="2023-02-11T00:00:00"/>
    <n v="921.4599999999989"/>
    <n v="16"/>
  </r>
  <r>
    <n v="2"/>
    <d v="2023-02-11T00:00:00"/>
    <d v="2023-02-11T00:00:00"/>
    <x v="104"/>
    <n v="10.59"/>
    <x v="1"/>
    <x v="12"/>
    <x v="0"/>
    <x v="3"/>
    <x v="1"/>
    <n v="2023"/>
    <d v="2023-02-11T00:00:00"/>
    <n v="932.04999999999893"/>
    <n v="3"/>
  </r>
  <r>
    <n v="2"/>
    <d v="2023-02-12T00:00:00"/>
    <d v="2023-02-12T00:00:00"/>
    <x v="105"/>
    <n v="5"/>
    <x v="6"/>
    <x v="39"/>
    <x v="0"/>
    <x v="1"/>
    <x v="1"/>
    <n v="2023"/>
    <d v="2023-02-12T00:00:00"/>
    <n v="937.04999999999893"/>
    <n v="2"/>
  </r>
  <r>
    <n v="2"/>
    <d v="2023-02-12T00:00:00"/>
    <d v="2023-02-12T00:00:00"/>
    <x v="106"/>
    <n v="15.89"/>
    <x v="1"/>
    <x v="24"/>
    <x v="1"/>
    <x v="1"/>
    <x v="1"/>
    <n v="2023"/>
    <d v="2023-02-12T00:00:00"/>
    <n v="952.93999999999892"/>
    <n v="2"/>
  </r>
  <r>
    <n v="2"/>
    <d v="2023-02-12T00:00:00"/>
    <d v="2023-02-12T00:00:00"/>
    <x v="107"/>
    <n v="95.6"/>
    <x v="7"/>
    <x v="11"/>
    <x v="0"/>
    <x v="2"/>
    <x v="1"/>
    <n v="2023"/>
    <d v="2023-02-12T00:00:00"/>
    <n v="1048.5399999999991"/>
    <n v="12"/>
  </r>
  <r>
    <n v="2"/>
    <d v="2023-02-12T00:00:00"/>
    <d v="2023-02-12T00:00:00"/>
    <x v="108"/>
    <n v="49"/>
    <x v="8"/>
    <x v="13"/>
    <x v="1"/>
    <x v="3"/>
    <x v="1"/>
    <n v="2023"/>
    <d v="2023-02-12T00:00:00"/>
    <n v="1097.5399999999991"/>
    <n v="3"/>
  </r>
  <r>
    <n v="2"/>
    <d v="2023-02-12T00:00:00"/>
    <d v="2023-02-12T00:00:00"/>
    <x v="109"/>
    <n v="3.23"/>
    <x v="6"/>
    <x v="32"/>
    <x v="0"/>
    <x v="6"/>
    <x v="1"/>
    <n v="2023"/>
    <d v="2023-02-12T00:00:00"/>
    <n v="1100.7699999999991"/>
    <n v="3"/>
  </r>
  <r>
    <n v="2"/>
    <d v="2023-02-12T00:00:00"/>
    <d v="2023-02-12T00:00:00"/>
    <x v="110"/>
    <n v="9.17"/>
    <x v="1"/>
    <x v="48"/>
    <x v="0"/>
    <x v="3"/>
    <x v="1"/>
    <n v="2023"/>
    <d v="2023-02-12T00:00:00"/>
    <n v="1109.9399999999989"/>
    <n v="1"/>
  </r>
  <r>
    <n v="2"/>
    <d v="2023-02-12T00:00:00"/>
    <d v="2023-02-12T00:00:00"/>
    <x v="110"/>
    <n v="9.17"/>
    <x v="1"/>
    <x v="48"/>
    <x v="0"/>
    <x v="3"/>
    <x v="1"/>
    <n v="2023"/>
    <d v="2023-02-12T00:00:00"/>
    <n v="1119.109999999999"/>
    <n v="2"/>
  </r>
  <r>
    <n v="2"/>
    <d v="2023-02-12T00:00:00"/>
    <d v="2023-02-12T00:00:00"/>
    <x v="111"/>
    <n v="19.350000000000001"/>
    <x v="7"/>
    <x v="49"/>
    <x v="0"/>
    <x v="1"/>
    <x v="1"/>
    <n v="2023"/>
    <d v="2023-02-12T00:00:00"/>
    <n v="1138.4599999999989"/>
    <n v="1"/>
  </r>
  <r>
    <n v="2"/>
    <d v="2023-02-12T00:00:00"/>
    <d v="2023-02-12T00:00:00"/>
    <x v="112"/>
    <n v="25"/>
    <x v="9"/>
    <x v="48"/>
    <x v="0"/>
    <x v="3"/>
    <x v="1"/>
    <n v="2023"/>
    <d v="2023-02-12T00:00:00"/>
    <n v="1163.4599999999989"/>
    <n v="3"/>
  </r>
  <r>
    <n v="2"/>
    <d v="2023-02-12T00:00:00"/>
    <d v="2023-02-12T00:00:00"/>
    <x v="113"/>
    <n v="7.24"/>
    <x v="1"/>
    <x v="50"/>
    <x v="0"/>
    <x v="11"/>
    <x v="1"/>
    <n v="2023"/>
    <d v="2023-02-12T00:00:00"/>
    <n v="1170.6999999999989"/>
    <n v="1"/>
  </r>
  <r>
    <n v="2"/>
    <d v="2023-02-12T00:00:00"/>
    <d v="2023-02-12T00:00:00"/>
    <x v="114"/>
    <n v="20.96"/>
    <x v="1"/>
    <x v="50"/>
    <x v="0"/>
    <x v="11"/>
    <x v="1"/>
    <n v="2023"/>
    <d v="2023-02-12T00:00:00"/>
    <n v="1191.6599999999989"/>
    <n v="2"/>
  </r>
  <r>
    <n v="2"/>
    <d v="2023-02-12T00:00:00"/>
    <d v="2023-02-12T00:00:00"/>
    <x v="115"/>
    <n v="16.5"/>
    <x v="9"/>
    <x v="50"/>
    <x v="0"/>
    <x v="11"/>
    <x v="1"/>
    <n v="2023"/>
    <d v="2023-02-12T00:00:00"/>
    <n v="1208.1599999999989"/>
    <n v="3"/>
  </r>
  <r>
    <n v="2"/>
    <d v="2023-02-14T00:00:00"/>
    <d v="2023-02-14T00:00:00"/>
    <x v="116"/>
    <n v="54.05"/>
    <x v="2"/>
    <x v="7"/>
    <x v="0"/>
    <x v="3"/>
    <x v="1"/>
    <n v="2023"/>
    <d v="2023-02-14T00:00:00"/>
    <n v="1262.2099999999989"/>
    <n v="6"/>
  </r>
  <r>
    <n v="2"/>
    <d v="2023-02-14T00:00:00"/>
    <d v="2023-02-14T00:00:00"/>
    <x v="117"/>
    <n v="18.02"/>
    <x v="7"/>
    <x v="16"/>
    <x v="0"/>
    <x v="2"/>
    <x v="1"/>
    <n v="2023"/>
    <d v="2023-02-14T00:00:00"/>
    <n v="1280.2299999999991"/>
    <n v="22"/>
  </r>
  <r>
    <n v="2"/>
    <d v="2023-02-14T00:00:00"/>
    <d v="2023-02-14T00:00:00"/>
    <x v="15"/>
    <n v="88.02"/>
    <x v="1"/>
    <x v="15"/>
    <x v="1"/>
    <x v="8"/>
    <x v="1"/>
    <n v="2023"/>
    <d v="2023-02-14T00:00:00"/>
    <n v="1368.2499999999991"/>
    <n v="3"/>
  </r>
  <r>
    <n v="2"/>
    <d v="2023-02-15T00:00:00"/>
    <d v="2023-02-15T00:00:00"/>
    <x v="62"/>
    <n v="4.68"/>
    <x v="1"/>
    <x v="40"/>
    <x v="0"/>
    <x v="1"/>
    <x v="1"/>
    <n v="2023"/>
    <d v="2023-02-15T00:00:00"/>
    <n v="1372.9299999999989"/>
    <n v="17"/>
  </r>
  <r>
    <n v="2"/>
    <d v="2023-02-15T00:00:00"/>
    <d v="2023-02-15T00:00:00"/>
    <x v="118"/>
    <n v="68"/>
    <x v="3"/>
    <x v="45"/>
    <x v="1"/>
    <x v="4"/>
    <x v="1"/>
    <n v="2023"/>
    <d v="2023-02-15T00:00:00"/>
    <n v="1440.9299999999989"/>
    <n v="3"/>
  </r>
  <r>
    <n v="2"/>
    <d v="2023-02-16T00:00:00"/>
    <d v="2023-02-16T00:00:00"/>
    <x v="119"/>
    <n v="40.51"/>
    <x v="1"/>
    <x v="17"/>
    <x v="0"/>
    <x v="3"/>
    <x v="1"/>
    <n v="2023"/>
    <d v="2023-02-16T00:00:00"/>
    <n v="1481.4399999999989"/>
    <n v="5"/>
  </r>
  <r>
    <n v="2"/>
    <d v="2023-02-16T00:00:00"/>
    <d v="2023-02-16T00:00:00"/>
    <x v="120"/>
    <n v="31.63"/>
    <x v="7"/>
    <x v="11"/>
    <x v="0"/>
    <x v="2"/>
    <x v="1"/>
    <n v="2023"/>
    <d v="2023-02-16T00:00:00"/>
    <n v="1513.069999999999"/>
    <n v="13"/>
  </r>
  <r>
    <n v="2"/>
    <d v="2023-02-16T00:00:00"/>
    <d v="2023-02-16T00:00:00"/>
    <x v="121"/>
    <n v="98.88"/>
    <x v="1"/>
    <x v="38"/>
    <x v="0"/>
    <x v="3"/>
    <x v="1"/>
    <n v="2023"/>
    <d v="2023-02-16T00:00:00"/>
    <n v="1611.9499999999989"/>
    <n v="2"/>
  </r>
  <r>
    <n v="2"/>
    <d v="2023-02-16T00:00:00"/>
    <d v="2023-02-16T00:00:00"/>
    <x v="122"/>
    <n v="7.4"/>
    <x v="7"/>
    <x v="11"/>
    <x v="0"/>
    <x v="2"/>
    <x v="1"/>
    <n v="2023"/>
    <d v="2023-02-16T00:00:00"/>
    <n v="1619.349999999999"/>
    <n v="14"/>
  </r>
  <r>
    <n v="2"/>
    <d v="2023-02-16T00:00:00"/>
    <d v="2023-02-16T00:00:00"/>
    <x v="36"/>
    <n v="7.99"/>
    <x v="6"/>
    <x v="27"/>
    <x v="1"/>
    <x v="1"/>
    <x v="1"/>
    <n v="2023"/>
    <d v="2023-02-16T00:00:00"/>
    <n v="1627.339999999999"/>
    <n v="2"/>
  </r>
  <r>
    <n v="2"/>
    <d v="2023-02-17T00:00:00"/>
    <d v="2023-02-17T00:00:00"/>
    <x v="123"/>
    <n v="9.9"/>
    <x v="7"/>
    <x v="16"/>
    <x v="0"/>
    <x v="2"/>
    <x v="1"/>
    <n v="2023"/>
    <d v="2023-02-17T00:00:00"/>
    <n v="1637.2399999999991"/>
    <n v="23"/>
  </r>
  <r>
    <n v="2"/>
    <d v="2023-02-17T00:00:00"/>
    <d v="2023-02-17T00:00:00"/>
    <x v="40"/>
    <n v="111.63"/>
    <x v="1"/>
    <x v="29"/>
    <x v="1"/>
    <x v="9"/>
    <x v="1"/>
    <n v="2023"/>
    <d v="2023-02-17T00:00:00"/>
    <n v="1748.869999999999"/>
    <n v="2"/>
  </r>
  <r>
    <n v="2"/>
    <d v="2023-02-17T00:00:00"/>
    <d v="2023-02-17T00:00:00"/>
    <x v="124"/>
    <n v="1.25"/>
    <x v="7"/>
    <x v="16"/>
    <x v="0"/>
    <x v="2"/>
    <x v="1"/>
    <n v="2023"/>
    <d v="2023-02-17T00:00:00"/>
    <n v="1750.119999999999"/>
    <n v="24"/>
  </r>
  <r>
    <n v="2"/>
    <d v="2023-02-17T00:00:00"/>
    <d v="2023-02-17T00:00:00"/>
    <x v="125"/>
    <n v="152.41999999999999"/>
    <x v="1"/>
    <x v="30"/>
    <x v="0"/>
    <x v="1"/>
    <x v="1"/>
    <n v="2023"/>
    <d v="2023-02-17T00:00:00"/>
    <n v="1902.5399999999991"/>
    <n v="2"/>
  </r>
  <r>
    <n v="2"/>
    <d v="2023-02-17T00:00:00"/>
    <d v="2023-02-17T00:00:00"/>
    <x v="126"/>
    <n v="51.75"/>
    <x v="1"/>
    <x v="30"/>
    <x v="0"/>
    <x v="1"/>
    <x v="1"/>
    <n v="2023"/>
    <d v="2023-02-17T00:00:00"/>
    <n v="1954.2899999999991"/>
    <n v="3"/>
  </r>
  <r>
    <n v="2"/>
    <d v="2023-02-17T00:00:00"/>
    <d v="2023-02-17T00:00:00"/>
    <x v="127"/>
    <n v="45.74"/>
    <x v="7"/>
    <x v="16"/>
    <x v="0"/>
    <x v="2"/>
    <x v="1"/>
    <n v="2023"/>
    <d v="2023-02-17T00:00:00"/>
    <n v="2000.0299999999991"/>
    <n v="25"/>
  </r>
  <r>
    <n v="2"/>
    <d v="2023-02-17T00:00:00"/>
    <d v="2023-02-17T00:00:00"/>
    <x v="128"/>
    <n v="7.2"/>
    <x v="7"/>
    <x v="16"/>
    <x v="0"/>
    <x v="2"/>
    <x v="1"/>
    <n v="2023"/>
    <d v="2023-02-17T00:00:00"/>
    <n v="2007.2299999999991"/>
    <n v="26"/>
  </r>
  <r>
    <n v="2"/>
    <d v="2023-02-17T00:00:00"/>
    <d v="2023-02-17T00:00:00"/>
    <x v="129"/>
    <n v="9.1300000000000008"/>
    <x v="7"/>
    <x v="11"/>
    <x v="0"/>
    <x v="2"/>
    <x v="1"/>
    <n v="2023"/>
    <d v="2023-02-17T00:00:00"/>
    <n v="2016.359999999999"/>
    <n v="15"/>
  </r>
  <r>
    <n v="2"/>
    <d v="2023-02-17T00:00:00"/>
    <d v="2023-02-17T00:00:00"/>
    <x v="130"/>
    <n v="5"/>
    <x v="6"/>
    <x v="32"/>
    <x v="0"/>
    <x v="6"/>
    <x v="1"/>
    <n v="2023"/>
    <d v="2023-02-17T00:00:00"/>
    <n v="2021.359999999999"/>
    <n v="4"/>
  </r>
  <r>
    <n v="2"/>
    <d v="2023-02-17T00:00:00"/>
    <d v="2023-02-17T00:00:00"/>
    <x v="130"/>
    <n v="15"/>
    <x v="6"/>
    <x v="32"/>
    <x v="0"/>
    <x v="6"/>
    <x v="1"/>
    <n v="2023"/>
    <d v="2023-02-17T00:00:00"/>
    <n v="2036.359999999999"/>
    <n v="5"/>
  </r>
  <r>
    <n v="2"/>
    <d v="2023-02-17T00:00:00"/>
    <d v="2023-02-17T00:00:00"/>
    <x v="131"/>
    <n v="4"/>
    <x v="6"/>
    <x v="32"/>
    <x v="0"/>
    <x v="6"/>
    <x v="1"/>
    <n v="2023"/>
    <d v="2023-02-17T00:00:00"/>
    <n v="2040.359999999999"/>
    <n v="6"/>
  </r>
  <r>
    <n v="2"/>
    <d v="2023-02-17T00:00:00"/>
    <d v="2023-02-17T00:00:00"/>
    <x v="132"/>
    <n v="27.62"/>
    <x v="1"/>
    <x v="12"/>
    <x v="0"/>
    <x v="3"/>
    <x v="1"/>
    <n v="2023"/>
    <d v="2023-02-17T00:00:00"/>
    <n v="2067.9799999999991"/>
    <n v="4"/>
  </r>
  <r>
    <n v="2"/>
    <d v="2023-02-17T00:00:00"/>
    <d v="2023-02-17T00:00:00"/>
    <x v="100"/>
    <n v="29.16"/>
    <x v="2"/>
    <x v="3"/>
    <x v="0"/>
    <x v="2"/>
    <x v="1"/>
    <n v="2023"/>
    <d v="2023-02-17T00:00:00"/>
    <n v="2097.139999999999"/>
    <n v="7"/>
  </r>
  <r>
    <n v="2"/>
    <d v="2023-02-17T00:00:00"/>
    <d v="2023-02-17T00:00:00"/>
    <x v="133"/>
    <n v="18.11"/>
    <x v="7"/>
    <x v="16"/>
    <x v="0"/>
    <x v="2"/>
    <x v="1"/>
    <n v="2023"/>
    <d v="2023-02-17T00:00:00"/>
    <n v="2115.2499999999991"/>
    <n v="27"/>
  </r>
  <r>
    <n v="2"/>
    <d v="2023-02-18T00:00:00"/>
    <d v="2023-02-18T00:00:00"/>
    <x v="134"/>
    <n v="5.66"/>
    <x v="5"/>
    <x v="9"/>
    <x v="0"/>
    <x v="6"/>
    <x v="1"/>
    <n v="2023"/>
    <d v="2023-02-18T00:00:00"/>
    <n v="2120.9099999999989"/>
    <n v="4"/>
  </r>
  <r>
    <n v="2"/>
    <d v="2023-02-18T00:00:00"/>
    <d v="2023-02-18T00:00:00"/>
    <x v="134"/>
    <n v="9.84"/>
    <x v="5"/>
    <x v="9"/>
    <x v="0"/>
    <x v="6"/>
    <x v="1"/>
    <n v="2023"/>
    <d v="2023-02-18T00:00:00"/>
    <n v="2130.7499999999991"/>
    <n v="5"/>
  </r>
  <r>
    <n v="2"/>
    <d v="2023-02-18T00:00:00"/>
    <d v="2023-02-18T00:00:00"/>
    <x v="41"/>
    <n v="35"/>
    <x v="9"/>
    <x v="23"/>
    <x v="0"/>
    <x v="6"/>
    <x v="1"/>
    <n v="2023"/>
    <d v="2023-02-18T00:00:00"/>
    <n v="2165.7499999999991"/>
    <n v="8"/>
  </r>
  <r>
    <n v="2"/>
    <d v="2023-02-19T00:00:00"/>
    <d v="2023-02-19T00:00:00"/>
    <x v="135"/>
    <n v="15.19"/>
    <x v="1"/>
    <x v="7"/>
    <x v="0"/>
    <x v="3"/>
    <x v="1"/>
    <n v="2023"/>
    <d v="2023-02-19T00:00:00"/>
    <n v="2180.9399999999991"/>
    <n v="7"/>
  </r>
  <r>
    <n v="2"/>
    <d v="2023-02-19T00:00:00"/>
    <d v="2023-02-19T00:00:00"/>
    <x v="62"/>
    <n v="7.44"/>
    <x v="1"/>
    <x v="40"/>
    <x v="0"/>
    <x v="1"/>
    <x v="1"/>
    <n v="2023"/>
    <d v="2023-02-19T00:00:00"/>
    <n v="2188.3799999999992"/>
    <n v="18"/>
  </r>
  <r>
    <n v="2"/>
    <d v="2023-02-19T00:00:00"/>
    <d v="2023-02-19T00:00:00"/>
    <x v="136"/>
    <n v="3.17"/>
    <x v="7"/>
    <x v="49"/>
    <x v="0"/>
    <x v="1"/>
    <x v="1"/>
    <n v="2023"/>
    <d v="2023-02-19T00:00:00"/>
    <n v="2191.5499999999988"/>
    <n v="2"/>
  </r>
  <r>
    <n v="2"/>
    <d v="2023-02-20T00:00:00"/>
    <d v="2023-02-20T00:00:00"/>
    <x v="137"/>
    <n v="17.52"/>
    <x v="12"/>
    <x v="37"/>
    <x v="0"/>
    <x v="9"/>
    <x v="1"/>
    <n v="2023"/>
    <d v="2023-02-20T00:00:00"/>
    <n v="2209.0699999999988"/>
    <n v="3"/>
  </r>
  <r>
    <n v="2"/>
    <d v="2023-02-20T00:00:00"/>
    <d v="2023-02-20T00:00:00"/>
    <x v="62"/>
    <n v="13.81"/>
    <x v="1"/>
    <x v="40"/>
    <x v="0"/>
    <x v="1"/>
    <x v="1"/>
    <n v="2023"/>
    <d v="2023-02-20T00:00:00"/>
    <n v="2222.8799999999992"/>
    <n v="19"/>
  </r>
  <r>
    <n v="2"/>
    <d v="2023-02-20T00:00:00"/>
    <d v="2023-02-20T00:00:00"/>
    <x v="138"/>
    <n v="62.37"/>
    <x v="12"/>
    <x v="37"/>
    <x v="0"/>
    <x v="9"/>
    <x v="1"/>
    <n v="2023"/>
    <d v="2023-02-20T00:00:00"/>
    <n v="2285.2499999999991"/>
    <n v="4"/>
  </r>
  <r>
    <n v="2"/>
    <d v="2023-02-20T00:00:00"/>
    <d v="2023-02-20T00:00:00"/>
    <x v="84"/>
    <n v="40.54"/>
    <x v="2"/>
    <x v="7"/>
    <x v="0"/>
    <x v="3"/>
    <x v="1"/>
    <n v="2023"/>
    <d v="2023-02-20T00:00:00"/>
    <n v="2325.7899999999991"/>
    <n v="8"/>
  </r>
  <r>
    <n v="2"/>
    <d v="2023-02-21T00:00:00"/>
    <d v="2023-02-21T00:00:00"/>
    <x v="139"/>
    <n v="35.89"/>
    <x v="7"/>
    <x v="11"/>
    <x v="0"/>
    <x v="2"/>
    <x v="1"/>
    <n v="2023"/>
    <d v="2023-02-21T00:00:00"/>
    <n v="2361.6799999999989"/>
    <n v="16"/>
  </r>
  <r>
    <n v="2"/>
    <d v="2023-02-21T00:00:00"/>
    <d v="2023-02-21T00:00:00"/>
    <x v="140"/>
    <n v="200"/>
    <x v="12"/>
    <x v="37"/>
    <x v="0"/>
    <x v="9"/>
    <x v="1"/>
    <n v="2023"/>
    <d v="2023-02-21T00:00:00"/>
    <n v="2561.6799999999989"/>
    <n v="5"/>
  </r>
  <r>
    <n v="2"/>
    <d v="2023-02-21T00:00:00"/>
    <d v="2023-02-21T00:00:00"/>
    <x v="141"/>
    <n v="18.690000000000001"/>
    <x v="7"/>
    <x v="26"/>
    <x v="0"/>
    <x v="2"/>
    <x v="1"/>
    <n v="2023"/>
    <d v="2023-02-21T00:00:00"/>
    <n v="2580.369999999999"/>
    <n v="3"/>
  </r>
  <r>
    <n v="2"/>
    <d v="2023-02-21T00:00:00"/>
    <d v="2023-02-21T00:00:00"/>
    <x v="62"/>
    <n v="7.43"/>
    <x v="1"/>
    <x v="40"/>
    <x v="0"/>
    <x v="1"/>
    <x v="1"/>
    <n v="2023"/>
    <d v="2023-02-21T00:00:00"/>
    <n v="2587.7999999999988"/>
    <n v="20"/>
  </r>
  <r>
    <n v="2"/>
    <d v="2023-02-22T00:00:00"/>
    <d v="2023-02-22T00:00:00"/>
    <x v="142"/>
    <n v="29.98"/>
    <x v="6"/>
    <x v="51"/>
    <x v="0"/>
    <x v="12"/>
    <x v="1"/>
    <n v="2023"/>
    <d v="2023-02-22T00:00:00"/>
    <n v="2617.7799999999988"/>
    <n v="1"/>
  </r>
  <r>
    <n v="2"/>
    <d v="2023-02-23T00:00:00"/>
    <d v="2023-02-23T00:00:00"/>
    <x v="143"/>
    <n v="43.43"/>
    <x v="7"/>
    <x v="11"/>
    <x v="0"/>
    <x v="2"/>
    <x v="1"/>
    <n v="2023"/>
    <d v="2023-02-23T00:00:00"/>
    <n v="2661.2099999999991"/>
    <n v="17"/>
  </r>
  <r>
    <n v="2"/>
    <d v="2023-02-23T00:00:00"/>
    <d v="2023-02-23T00:00:00"/>
    <x v="144"/>
    <n v="142"/>
    <x v="9"/>
    <x v="52"/>
    <x v="1"/>
    <x v="1"/>
    <x v="1"/>
    <n v="2023"/>
    <d v="2023-02-23T00:00:00"/>
    <n v="2803.2099999999991"/>
    <n v="1"/>
  </r>
  <r>
    <n v="2"/>
    <d v="2023-02-23T00:00:00"/>
    <d v="2023-02-23T00:00:00"/>
    <x v="145"/>
    <n v="27.32"/>
    <x v="3"/>
    <x v="45"/>
    <x v="1"/>
    <x v="4"/>
    <x v="1"/>
    <n v="2023"/>
    <d v="2023-02-23T00:00:00"/>
    <n v="2830.5299999999988"/>
    <n v="4"/>
  </r>
  <r>
    <n v="2"/>
    <d v="2023-02-24T00:00:00"/>
    <d v="2023-02-24T00:00:00"/>
    <x v="33"/>
    <n v="-1432.39"/>
    <x v="10"/>
    <x v="25"/>
    <x v="0"/>
    <x v="5"/>
    <x v="1"/>
    <n v="2023"/>
    <d v="2023-02-24T00:00:00"/>
    <n v="1398.139999999999"/>
    <n v="5"/>
  </r>
  <r>
    <n v="2"/>
    <d v="2023-02-24T00:00:00"/>
    <d v="2023-02-24T00:00:00"/>
    <x v="146"/>
    <n v="84.59"/>
    <x v="2"/>
    <x v="3"/>
    <x v="0"/>
    <x v="2"/>
    <x v="1"/>
    <n v="2023"/>
    <d v="2023-02-24T00:00:00"/>
    <n v="1482.7299999999991"/>
    <n v="8"/>
  </r>
  <r>
    <n v="2"/>
    <d v="2023-02-25T00:00:00"/>
    <d v="2023-02-25T00:00:00"/>
    <x v="147"/>
    <n v="18"/>
    <x v="6"/>
    <x v="16"/>
    <x v="0"/>
    <x v="2"/>
    <x v="1"/>
    <n v="2023"/>
    <d v="2023-02-25T00:00:00"/>
    <n v="1500.7299999999991"/>
    <n v="28"/>
  </r>
  <r>
    <n v="2"/>
    <d v="2023-02-25T00:00:00"/>
    <d v="2023-02-25T00:00:00"/>
    <x v="148"/>
    <n v="16.89"/>
    <x v="1"/>
    <x v="16"/>
    <x v="0"/>
    <x v="2"/>
    <x v="1"/>
    <n v="2023"/>
    <d v="2023-02-25T00:00:00"/>
    <n v="1517.619999999999"/>
    <n v="29"/>
  </r>
  <r>
    <n v="2"/>
    <d v="2023-02-26T00:00:00"/>
    <d v="2023-02-26T00:00:00"/>
    <x v="149"/>
    <n v="65.14"/>
    <x v="6"/>
    <x v="53"/>
    <x v="0"/>
    <x v="1"/>
    <x v="1"/>
    <n v="2023"/>
    <d v="2023-02-26T00:00:00"/>
    <n v="1582.7599999999991"/>
    <n v="1"/>
  </r>
  <r>
    <n v="2"/>
    <d v="2023-02-26T00:00:00"/>
    <d v="2023-02-26T00:00:00"/>
    <x v="150"/>
    <n v="32.880000000000003"/>
    <x v="1"/>
    <x v="17"/>
    <x v="0"/>
    <x v="3"/>
    <x v="1"/>
    <n v="2023"/>
    <d v="2023-02-26T00:00:00"/>
    <n v="1615.639999999999"/>
    <n v="6"/>
  </r>
  <r>
    <n v="2"/>
    <d v="2023-02-27T00:00:00"/>
    <d v="2023-02-27T00:00:00"/>
    <x v="151"/>
    <n v="15.17"/>
    <x v="7"/>
    <x v="11"/>
    <x v="0"/>
    <x v="2"/>
    <x v="1"/>
    <n v="2023"/>
    <d v="2023-02-27T00:00:00"/>
    <n v="1630.809999999999"/>
    <n v="18"/>
  </r>
  <r>
    <n v="2"/>
    <d v="2023-02-27T00:00:00"/>
    <d v="2023-02-27T00:00:00"/>
    <x v="152"/>
    <n v="225"/>
    <x v="1"/>
    <x v="54"/>
    <x v="0"/>
    <x v="1"/>
    <x v="1"/>
    <n v="2023"/>
    <d v="2023-02-27T00:00:00"/>
    <n v="1855.809999999999"/>
    <n v="1"/>
  </r>
  <r>
    <n v="2"/>
    <d v="2023-02-27T00:00:00"/>
    <d v="2023-02-27T00:00:00"/>
    <x v="153"/>
    <n v="40"/>
    <x v="6"/>
    <x v="38"/>
    <x v="0"/>
    <x v="3"/>
    <x v="1"/>
    <n v="2023"/>
    <d v="2023-02-27T00:00:00"/>
    <n v="1895.809999999999"/>
    <n v="3"/>
  </r>
  <r>
    <n v="2"/>
    <d v="2023-02-28T00:00:00"/>
    <d v="2023-02-28T00:00:00"/>
    <x v="33"/>
    <n v="-1000"/>
    <x v="10"/>
    <x v="25"/>
    <x v="0"/>
    <x v="5"/>
    <x v="1"/>
    <n v="2023"/>
    <d v="2023-02-28T00:00:00"/>
    <n v="895.80999999999904"/>
    <n v="6"/>
  </r>
  <r>
    <n v="3"/>
    <d v="2023-03-01T00:00:00"/>
    <d v="2023-03-03T00:00:00"/>
    <x v="2"/>
    <n v="10.59"/>
    <x v="1"/>
    <x v="2"/>
    <x v="1"/>
    <x v="1"/>
    <x v="2"/>
    <n v="2023"/>
    <d v="2023-03-01T00:00:00"/>
    <n v="906.39999999999907"/>
    <n v="3"/>
  </r>
  <r>
    <n v="3"/>
    <d v="2023-03-01T00:00:00"/>
    <d v="2023-03-03T00:00:00"/>
    <x v="101"/>
    <n v="5"/>
    <x v="6"/>
    <x v="47"/>
    <x v="1"/>
    <x v="3"/>
    <x v="2"/>
    <n v="2023"/>
    <d v="2023-03-01T00:00:00"/>
    <n v="911.39999999999907"/>
    <n v="2"/>
  </r>
  <r>
    <n v="3"/>
    <d v="2023-03-01T00:00:00"/>
    <d v="2023-03-03T00:00:00"/>
    <x v="154"/>
    <n v="13.26"/>
    <x v="7"/>
    <x v="11"/>
    <x v="0"/>
    <x v="2"/>
    <x v="2"/>
    <n v="2023"/>
    <d v="2023-03-01T00:00:00"/>
    <n v="924.65999999999906"/>
    <n v="19"/>
  </r>
  <r>
    <n v="3"/>
    <d v="2023-03-01T00:00:00"/>
    <d v="2023-03-01T00:00:00"/>
    <x v="65"/>
    <n v="15.94"/>
    <x v="9"/>
    <x v="19"/>
    <x v="0"/>
    <x v="6"/>
    <x v="2"/>
    <n v="2023"/>
    <d v="2023-03-01T00:00:00"/>
    <n v="940.59999999999911"/>
    <n v="35"/>
  </r>
  <r>
    <n v="3"/>
    <d v="2023-03-01T00:00:00"/>
    <d v="2023-03-01T00:00:00"/>
    <x v="65"/>
    <n v="8.67"/>
    <x v="9"/>
    <x v="19"/>
    <x v="0"/>
    <x v="6"/>
    <x v="2"/>
    <n v="2023"/>
    <d v="2023-03-01T00:00:00"/>
    <n v="949.26999999999907"/>
    <n v="36"/>
  </r>
  <r>
    <n v="3"/>
    <d v="2023-03-01T00:00:00"/>
    <d v="2023-03-01T00:00:00"/>
    <x v="78"/>
    <n v="5.42"/>
    <x v="6"/>
    <x v="44"/>
    <x v="1"/>
    <x v="1"/>
    <x v="2"/>
    <n v="2023"/>
    <d v="2023-03-01T00:00:00"/>
    <n v="954.68999999999903"/>
    <n v="2"/>
  </r>
  <r>
    <n v="3"/>
    <d v="2023-03-01T00:00:00"/>
    <d v="2023-03-01T00:00:00"/>
    <x v="65"/>
    <n v="14.95"/>
    <x v="9"/>
    <x v="19"/>
    <x v="0"/>
    <x v="6"/>
    <x v="2"/>
    <n v="2023"/>
    <d v="2023-03-01T00:00:00"/>
    <n v="969.63999999999908"/>
    <n v="37"/>
  </r>
  <r>
    <n v="3"/>
    <d v="2023-03-01T00:00:00"/>
    <d v="2023-03-01T00:00:00"/>
    <x v="155"/>
    <n v="4.99"/>
    <x v="1"/>
    <x v="1"/>
    <x v="1"/>
    <x v="1"/>
    <x v="2"/>
    <n v="2023"/>
    <d v="2023-03-01T00:00:00"/>
    <n v="974.62999999999909"/>
    <n v="3"/>
  </r>
  <r>
    <n v="3"/>
    <d v="2023-03-02T00:00:00"/>
    <d v="2023-03-02T00:00:00"/>
    <x v="156"/>
    <n v="164"/>
    <x v="6"/>
    <x v="55"/>
    <x v="1"/>
    <x v="3"/>
    <x v="2"/>
    <n v="2023"/>
    <d v="2023-03-02T00:00:00"/>
    <n v="1138.629999999999"/>
    <n v="1"/>
  </r>
  <r>
    <n v="3"/>
    <d v="2023-03-02T00:00:00"/>
    <d v="2023-03-03T00:00:00"/>
    <x v="157"/>
    <n v="105.41"/>
    <x v="1"/>
    <x v="48"/>
    <x v="0"/>
    <x v="3"/>
    <x v="2"/>
    <n v="2023"/>
    <d v="2023-03-02T00:00:00"/>
    <n v="1244.0399999999991"/>
    <n v="4"/>
  </r>
  <r>
    <n v="3"/>
    <d v="2023-03-02T00:00:00"/>
    <d v="2023-03-03T00:00:00"/>
    <x v="4"/>
    <n v="10"/>
    <x v="1"/>
    <x v="4"/>
    <x v="1"/>
    <x v="1"/>
    <x v="2"/>
    <n v="2023"/>
    <d v="2023-03-02T00:00:00"/>
    <n v="1254.0399999999991"/>
    <n v="3"/>
  </r>
  <r>
    <n v="3"/>
    <d v="2023-03-02T00:00:00"/>
    <d v="2023-03-03T00:00:00"/>
    <x v="158"/>
    <n v="150"/>
    <x v="3"/>
    <x v="45"/>
    <x v="1"/>
    <x v="4"/>
    <x v="2"/>
    <n v="2023"/>
    <d v="2023-03-02T00:00:00"/>
    <n v="1404.0399999999991"/>
    <n v="5"/>
  </r>
  <r>
    <n v="3"/>
    <d v="2023-03-02T00:00:00"/>
    <d v="2023-03-03T00:00:00"/>
    <x v="159"/>
    <n v="18.82"/>
    <x v="7"/>
    <x v="11"/>
    <x v="0"/>
    <x v="2"/>
    <x v="2"/>
    <n v="2023"/>
    <d v="2023-03-02T00:00:00"/>
    <n v="1422.859999999999"/>
    <n v="20"/>
  </r>
  <r>
    <n v="3"/>
    <d v="2023-03-03T00:00:00"/>
    <d v="2023-03-03T00:00:00"/>
    <x v="49"/>
    <n v="5.44"/>
    <x v="7"/>
    <x v="16"/>
    <x v="0"/>
    <x v="2"/>
    <x v="2"/>
    <n v="2023"/>
    <d v="2023-03-03T00:00:00"/>
    <n v="1428.299999999999"/>
    <n v="30"/>
  </r>
  <r>
    <n v="3"/>
    <d v="2023-03-03T00:00:00"/>
    <d v="2023-03-03T00:00:00"/>
    <x v="160"/>
    <n v="5.34"/>
    <x v="2"/>
    <x v="3"/>
    <x v="0"/>
    <x v="2"/>
    <x v="2"/>
    <n v="2023"/>
    <d v="2023-03-03T00:00:00"/>
    <n v="1433.639999999999"/>
    <n v="9"/>
  </r>
  <r>
    <n v="3"/>
    <d v="2023-03-03T00:00:00"/>
    <d v="2023-03-03T00:00:00"/>
    <x v="161"/>
    <n v="11.9"/>
    <x v="7"/>
    <x v="11"/>
    <x v="0"/>
    <x v="2"/>
    <x v="2"/>
    <n v="2023"/>
    <d v="2023-03-03T00:00:00"/>
    <n v="1445.5399999999991"/>
    <n v="21"/>
  </r>
  <r>
    <n v="3"/>
    <d v="2023-03-03T00:00:00"/>
    <d v="2023-03-03T00:00:00"/>
    <x v="8"/>
    <n v="-47.46"/>
    <x v="4"/>
    <x v="8"/>
    <x v="0"/>
    <x v="5"/>
    <x v="2"/>
    <n v="2023"/>
    <d v="2023-03-03T00:00:00"/>
    <n v="1398.079999999999"/>
    <n v="3"/>
  </r>
  <r>
    <n v="3"/>
    <d v="2023-03-03T00:00:00"/>
    <d v="2023-03-03T00:00:00"/>
    <x v="162"/>
    <n v="15.89"/>
    <x v="1"/>
    <x v="10"/>
    <x v="1"/>
    <x v="1"/>
    <x v="2"/>
    <n v="2023"/>
    <d v="2023-03-03T00:00:00"/>
    <n v="1413.9699999999989"/>
    <n v="5"/>
  </r>
  <r>
    <n v="3"/>
    <d v="2023-03-03T00:00:00"/>
    <d v="2023-03-03T00:00:00"/>
    <x v="49"/>
    <n v="16.75"/>
    <x v="7"/>
    <x v="16"/>
    <x v="0"/>
    <x v="2"/>
    <x v="2"/>
    <n v="2023"/>
    <d v="2023-03-03T00:00:00"/>
    <n v="1430.7199999999989"/>
    <n v="31"/>
  </r>
  <r>
    <n v="3"/>
    <d v="2023-03-04T00:00:00"/>
    <d v="2023-03-04T00:00:00"/>
    <x v="50"/>
    <n v="6"/>
    <x v="1"/>
    <x v="33"/>
    <x v="0"/>
    <x v="1"/>
    <x v="2"/>
    <n v="2023"/>
    <d v="2023-03-04T00:00:00"/>
    <n v="1436.7199999999989"/>
    <n v="5"/>
  </r>
  <r>
    <n v="3"/>
    <d v="2023-03-04T00:00:00"/>
    <d v="2023-03-04T00:00:00"/>
    <x v="163"/>
    <n v="5.99"/>
    <x v="9"/>
    <x v="56"/>
    <x v="0"/>
    <x v="7"/>
    <x v="2"/>
    <n v="2023"/>
    <d v="2023-03-04T00:00:00"/>
    <n v="1442.7099999999989"/>
    <n v="1"/>
  </r>
  <r>
    <n v="3"/>
    <d v="2023-03-04T00:00:00"/>
    <d v="2023-03-04T00:00:00"/>
    <x v="164"/>
    <n v="19.309999999999999"/>
    <x v="7"/>
    <x v="11"/>
    <x v="0"/>
    <x v="2"/>
    <x v="2"/>
    <n v="2023"/>
    <d v="2023-03-04T00:00:00"/>
    <n v="1462.0199999999991"/>
    <n v="22"/>
  </r>
  <r>
    <n v="3"/>
    <d v="2023-03-04T00:00:00"/>
    <d v="2023-03-04T00:00:00"/>
    <x v="49"/>
    <n v="21.54"/>
    <x v="7"/>
    <x v="16"/>
    <x v="0"/>
    <x v="2"/>
    <x v="2"/>
    <n v="2023"/>
    <d v="2023-03-04T00:00:00"/>
    <n v="1483.559999999999"/>
    <n v="32"/>
  </r>
  <r>
    <n v="3"/>
    <d v="2023-03-04T00:00:00"/>
    <d v="2023-03-04T00:00:00"/>
    <x v="37"/>
    <n v="27.32"/>
    <x v="1"/>
    <x v="12"/>
    <x v="0"/>
    <x v="3"/>
    <x v="2"/>
    <n v="2023"/>
    <d v="2023-03-04T00:00:00"/>
    <n v="1510.879999999999"/>
    <n v="5"/>
  </r>
  <r>
    <n v="3"/>
    <d v="2023-03-04T00:00:00"/>
    <d v="2023-03-04T00:00:00"/>
    <x v="55"/>
    <n v="25"/>
    <x v="9"/>
    <x v="36"/>
    <x v="0"/>
    <x v="6"/>
    <x v="2"/>
    <n v="2023"/>
    <d v="2023-03-04T00:00:00"/>
    <n v="1535.879999999999"/>
    <n v="4"/>
  </r>
  <r>
    <n v="3"/>
    <d v="2023-03-04T00:00:00"/>
    <d v="2023-03-04T00:00:00"/>
    <x v="13"/>
    <n v="49"/>
    <x v="8"/>
    <x v="13"/>
    <x v="1"/>
    <x v="3"/>
    <x v="2"/>
    <n v="2023"/>
    <d v="2023-03-04T00:00:00"/>
    <n v="1584.879999999999"/>
    <n v="4"/>
  </r>
  <r>
    <n v="3"/>
    <d v="2023-03-04T00:00:00"/>
    <d v="2023-03-04T00:00:00"/>
    <x v="165"/>
    <n v="12.35"/>
    <x v="6"/>
    <x v="32"/>
    <x v="0"/>
    <x v="6"/>
    <x v="2"/>
    <n v="2023"/>
    <d v="2023-03-04T00:00:00"/>
    <n v="1597.2299999999991"/>
    <n v="7"/>
  </r>
  <r>
    <n v="3"/>
    <d v="2023-03-04T00:00:00"/>
    <d v="2023-03-04T00:00:00"/>
    <x v="166"/>
    <n v="12.35"/>
    <x v="6"/>
    <x v="32"/>
    <x v="0"/>
    <x v="6"/>
    <x v="2"/>
    <n v="2023"/>
    <d v="2023-03-04T00:00:00"/>
    <n v="1609.579999999999"/>
    <n v="8"/>
  </r>
  <r>
    <n v="3"/>
    <d v="2023-03-04T00:00:00"/>
    <d v="2023-03-04T00:00:00"/>
    <x v="167"/>
    <n v="48.12"/>
    <x v="5"/>
    <x v="9"/>
    <x v="0"/>
    <x v="6"/>
    <x v="2"/>
    <n v="2023"/>
    <d v="2023-03-04T00:00:00"/>
    <n v="1657.6999999999989"/>
    <n v="6"/>
  </r>
  <r>
    <n v="3"/>
    <d v="2023-03-04T00:00:00"/>
    <d v="2023-03-04T00:00:00"/>
    <x v="168"/>
    <n v="63.75"/>
    <x v="7"/>
    <x v="16"/>
    <x v="0"/>
    <x v="2"/>
    <x v="2"/>
    <n v="2023"/>
    <d v="2023-03-04T00:00:00"/>
    <n v="1721.4499999999989"/>
    <n v="33"/>
  </r>
  <r>
    <n v="3"/>
    <d v="2023-03-05T00:00:00"/>
    <d v="2023-03-05T00:00:00"/>
    <x v="169"/>
    <n v="30.34"/>
    <x v="9"/>
    <x v="39"/>
    <x v="0"/>
    <x v="1"/>
    <x v="2"/>
    <n v="2023"/>
    <d v="2023-03-05T00:00:00"/>
    <n v="1751.7899999999991"/>
    <n v="3"/>
  </r>
  <r>
    <n v="3"/>
    <d v="2023-03-05T00:00:00"/>
    <d v="2023-03-05T00:00:00"/>
    <x v="170"/>
    <n v="62.89"/>
    <x v="6"/>
    <x v="20"/>
    <x v="0"/>
    <x v="3"/>
    <x v="2"/>
    <n v="2023"/>
    <d v="2023-03-05T00:00:00"/>
    <n v="1814.6799999999989"/>
    <n v="2"/>
  </r>
  <r>
    <n v="3"/>
    <d v="2023-03-05T00:00:00"/>
    <d v="2023-03-05T00:00:00"/>
    <x v="171"/>
    <n v="10.93"/>
    <x v="2"/>
    <x v="7"/>
    <x v="0"/>
    <x v="3"/>
    <x v="2"/>
    <n v="2023"/>
    <d v="2023-03-05T00:00:00"/>
    <n v="1825.609999999999"/>
    <n v="9"/>
  </r>
  <r>
    <n v="3"/>
    <d v="2023-03-05T00:00:00"/>
    <d v="2023-03-05T00:00:00"/>
    <x v="172"/>
    <n v="152.12"/>
    <x v="1"/>
    <x v="17"/>
    <x v="0"/>
    <x v="3"/>
    <x v="2"/>
    <n v="2023"/>
    <d v="2023-03-05T00:00:00"/>
    <n v="1977.7299999999991"/>
    <n v="7"/>
  </r>
  <r>
    <n v="3"/>
    <d v="2023-03-05T00:00:00"/>
    <d v="2023-03-05T00:00:00"/>
    <x v="173"/>
    <n v="43.84"/>
    <x v="1"/>
    <x v="17"/>
    <x v="0"/>
    <x v="3"/>
    <x v="2"/>
    <n v="2023"/>
    <d v="2023-03-05T00:00:00"/>
    <n v="2021.569999999999"/>
    <n v="8"/>
  </r>
  <r>
    <n v="3"/>
    <d v="2023-03-05T00:00:00"/>
    <d v="2023-03-05T00:00:00"/>
    <x v="5"/>
    <n v="10"/>
    <x v="1"/>
    <x v="5"/>
    <x v="1"/>
    <x v="3"/>
    <x v="2"/>
    <n v="2023"/>
    <d v="2023-03-05T00:00:00"/>
    <n v="2031.569999999999"/>
    <n v="3"/>
  </r>
  <r>
    <n v="3"/>
    <d v="2023-03-06T00:00:00"/>
    <d v="2023-03-06T00:00:00"/>
    <x v="174"/>
    <n v="9.99"/>
    <x v="1"/>
    <x v="18"/>
    <x v="1"/>
    <x v="3"/>
    <x v="2"/>
    <n v="2023"/>
    <d v="2023-03-06T00:00:00"/>
    <n v="2041.559999999999"/>
    <n v="3"/>
  </r>
  <r>
    <n v="3"/>
    <d v="2023-03-06T00:00:00"/>
    <d v="2023-03-06T00:00:00"/>
    <x v="175"/>
    <n v="5"/>
    <x v="9"/>
    <x v="49"/>
    <x v="0"/>
    <x v="1"/>
    <x v="2"/>
    <n v="2023"/>
    <d v="2023-03-06T00:00:00"/>
    <n v="2046.559999999999"/>
    <n v="3"/>
  </r>
  <r>
    <n v="3"/>
    <d v="2023-03-06T00:00:00"/>
    <d v="2023-03-06T00:00:00"/>
    <x v="141"/>
    <n v="8.34"/>
    <x v="7"/>
    <x v="26"/>
    <x v="0"/>
    <x v="2"/>
    <x v="2"/>
    <n v="2023"/>
    <d v="2023-03-06T00:00:00"/>
    <n v="2054.8999999999992"/>
    <n v="4"/>
  </r>
  <r>
    <n v="3"/>
    <d v="2023-03-06T00:00:00"/>
    <d v="2023-03-06T00:00:00"/>
    <x v="62"/>
    <n v="13.81"/>
    <x v="1"/>
    <x v="40"/>
    <x v="0"/>
    <x v="1"/>
    <x v="2"/>
    <n v="2023"/>
    <d v="2023-03-06T00:00:00"/>
    <n v="2068.7099999999991"/>
    <n v="21"/>
  </r>
  <r>
    <n v="3"/>
    <d v="2023-03-06T00:00:00"/>
    <d v="2023-03-06T00:00:00"/>
    <x v="176"/>
    <n v="17.100000000000001"/>
    <x v="11"/>
    <x v="56"/>
    <x v="0"/>
    <x v="7"/>
    <x v="2"/>
    <n v="2023"/>
    <d v="2023-03-06T00:00:00"/>
    <n v="2085.809999999999"/>
    <n v="2"/>
  </r>
  <r>
    <n v="3"/>
    <d v="2023-03-07T00:00:00"/>
    <d v="2023-03-07T00:00:00"/>
    <x v="177"/>
    <n v="24.32"/>
    <x v="7"/>
    <x v="16"/>
    <x v="0"/>
    <x v="2"/>
    <x v="2"/>
    <n v="2023"/>
    <d v="2023-03-07T00:00:00"/>
    <n v="2110.1299999999992"/>
    <n v="34"/>
  </r>
  <r>
    <n v="3"/>
    <d v="2023-03-07T00:00:00"/>
    <d v="2023-03-07T00:00:00"/>
    <x v="178"/>
    <n v="68"/>
    <x v="3"/>
    <x v="45"/>
    <x v="1"/>
    <x v="4"/>
    <x v="2"/>
    <n v="2023"/>
    <d v="2023-03-07T00:00:00"/>
    <n v="2178.1299999999992"/>
    <n v="6"/>
  </r>
  <r>
    <n v="3"/>
    <d v="2023-03-07T00:00:00"/>
    <d v="2023-03-07T00:00:00"/>
    <x v="62"/>
    <n v="4.51"/>
    <x v="1"/>
    <x v="40"/>
    <x v="0"/>
    <x v="1"/>
    <x v="2"/>
    <n v="2023"/>
    <d v="2023-03-07T00:00:00"/>
    <n v="2182.639999999999"/>
    <n v="22"/>
  </r>
  <r>
    <n v="3"/>
    <d v="2023-03-07T00:00:00"/>
    <d v="2023-03-07T00:00:00"/>
    <x v="33"/>
    <n v="-1079.82"/>
    <x v="10"/>
    <x v="25"/>
    <x v="0"/>
    <x v="5"/>
    <x v="2"/>
    <n v="2023"/>
    <d v="2023-03-07T00:00:00"/>
    <n v="1102.819999999999"/>
    <n v="7"/>
  </r>
  <r>
    <n v="3"/>
    <d v="2023-03-07T00:00:00"/>
    <d v="2023-03-07T00:00:00"/>
    <x v="179"/>
    <n v="13.73"/>
    <x v="7"/>
    <x v="16"/>
    <x v="0"/>
    <x v="2"/>
    <x v="2"/>
    <n v="2023"/>
    <d v="2023-03-07T00:00:00"/>
    <n v="1116.549999999999"/>
    <n v="35"/>
  </r>
  <r>
    <n v="3"/>
    <d v="2023-03-07T00:00:00"/>
    <d v="2023-03-07T00:00:00"/>
    <x v="179"/>
    <n v="13.73"/>
    <x v="7"/>
    <x v="16"/>
    <x v="0"/>
    <x v="2"/>
    <x v="2"/>
    <n v="2023"/>
    <d v="2023-03-07T00:00:00"/>
    <n v="1130.28"/>
    <n v="36"/>
  </r>
  <r>
    <n v="3"/>
    <d v="2023-03-07T00:00:00"/>
    <d v="2023-03-07T00:00:00"/>
    <x v="180"/>
    <n v="13.85"/>
    <x v="1"/>
    <x v="7"/>
    <x v="0"/>
    <x v="3"/>
    <x v="2"/>
    <n v="2023"/>
    <d v="2023-03-07T00:00:00"/>
    <n v="1144.129999999999"/>
    <n v="10"/>
  </r>
  <r>
    <n v="3"/>
    <d v="2023-03-08T00:00:00"/>
    <d v="2023-03-08T00:00:00"/>
    <x v="181"/>
    <n v="2.99"/>
    <x v="2"/>
    <x v="3"/>
    <x v="0"/>
    <x v="2"/>
    <x v="2"/>
    <n v="2023"/>
    <d v="2023-03-08T00:00:00"/>
    <n v="1147.119999999999"/>
    <n v="10"/>
  </r>
  <r>
    <n v="3"/>
    <d v="2023-03-08T00:00:00"/>
    <d v="2023-03-08T00:00:00"/>
    <x v="181"/>
    <n v="58.26"/>
    <x v="2"/>
    <x v="3"/>
    <x v="0"/>
    <x v="2"/>
    <x v="2"/>
    <n v="2023"/>
    <d v="2023-03-08T00:00:00"/>
    <n v="1205.379999999999"/>
    <n v="11"/>
  </r>
  <r>
    <n v="3"/>
    <d v="2023-03-08T00:00:00"/>
    <d v="2023-03-08T00:00:00"/>
    <x v="65"/>
    <n v="48.9"/>
    <x v="9"/>
    <x v="19"/>
    <x v="0"/>
    <x v="6"/>
    <x v="2"/>
    <n v="2023"/>
    <d v="2023-03-08T00:00:00"/>
    <n v="1254.28"/>
    <n v="38"/>
  </r>
  <r>
    <n v="3"/>
    <d v="2023-03-08T00:00:00"/>
    <d v="2023-03-08T00:00:00"/>
    <x v="37"/>
    <n v="66.430000000000007"/>
    <x v="1"/>
    <x v="12"/>
    <x v="0"/>
    <x v="3"/>
    <x v="2"/>
    <n v="2023"/>
    <d v="2023-03-08T00:00:00"/>
    <n v="1320.71"/>
    <n v="6"/>
  </r>
  <r>
    <n v="3"/>
    <d v="2023-03-09T00:00:00"/>
    <d v="2023-03-09T00:00:00"/>
    <x v="182"/>
    <n v="30"/>
    <x v="6"/>
    <x v="57"/>
    <x v="0"/>
    <x v="3"/>
    <x v="2"/>
    <n v="2023"/>
    <d v="2023-03-09T00:00:00"/>
    <n v="1350.71"/>
    <n v="1"/>
  </r>
  <r>
    <n v="3"/>
    <d v="2023-03-09T00:00:00"/>
    <d v="2023-03-09T00:00:00"/>
    <x v="183"/>
    <n v="40.33"/>
    <x v="7"/>
    <x v="16"/>
    <x v="0"/>
    <x v="2"/>
    <x v="2"/>
    <n v="2023"/>
    <d v="2023-03-09T00:00:00"/>
    <n v="1391.04"/>
    <n v="37"/>
  </r>
  <r>
    <n v="3"/>
    <d v="2023-03-09T00:00:00"/>
    <d v="2023-03-09T00:00:00"/>
    <x v="184"/>
    <n v="64.989999999999995"/>
    <x v="6"/>
    <x v="10"/>
    <x v="1"/>
    <x v="1"/>
    <x v="2"/>
    <n v="2023"/>
    <d v="2023-03-09T00:00:00"/>
    <n v="1456.03"/>
    <n v="6"/>
  </r>
  <r>
    <n v="3"/>
    <d v="2023-03-10T00:00:00"/>
    <d v="2023-03-10T00:00:00"/>
    <x v="185"/>
    <n v="49.7"/>
    <x v="1"/>
    <x v="7"/>
    <x v="0"/>
    <x v="3"/>
    <x v="2"/>
    <n v="2023"/>
    <d v="2023-03-10T00:00:00"/>
    <n v="1505.73"/>
    <n v="11"/>
  </r>
  <r>
    <n v="3"/>
    <d v="2023-03-10T00:00:00"/>
    <d v="2023-03-10T00:00:00"/>
    <x v="37"/>
    <n v="2.94"/>
    <x v="1"/>
    <x v="12"/>
    <x v="0"/>
    <x v="3"/>
    <x v="2"/>
    <n v="2023"/>
    <d v="2023-03-10T00:00:00"/>
    <n v="1508.67"/>
    <n v="7"/>
  </r>
  <r>
    <n v="3"/>
    <d v="2023-03-10T00:00:00"/>
    <d v="2023-03-10T00:00:00"/>
    <x v="37"/>
    <n v="28.41"/>
    <x v="1"/>
    <x v="12"/>
    <x v="0"/>
    <x v="3"/>
    <x v="2"/>
    <n v="2023"/>
    <d v="2023-03-10T00:00:00"/>
    <n v="1537.08"/>
    <n v="8"/>
  </r>
  <r>
    <n v="3"/>
    <d v="2023-03-11T00:00:00"/>
    <d v="2023-03-11T00:00:00"/>
    <x v="186"/>
    <n v="16.95"/>
    <x v="1"/>
    <x v="24"/>
    <x v="1"/>
    <x v="1"/>
    <x v="2"/>
    <n v="2023"/>
    <d v="2023-03-11T00:00:00"/>
    <n v="1554.03"/>
    <n v="3"/>
  </r>
  <r>
    <n v="3"/>
    <d v="2023-03-11T00:00:00"/>
    <d v="2023-03-11T00:00:00"/>
    <x v="187"/>
    <n v="8.5399999999999991"/>
    <x v="7"/>
    <x v="16"/>
    <x v="0"/>
    <x v="2"/>
    <x v="2"/>
    <n v="2023"/>
    <d v="2023-03-11T00:00:00"/>
    <n v="1562.57"/>
    <n v="38"/>
  </r>
  <r>
    <n v="3"/>
    <d v="2023-03-11T00:00:00"/>
    <d v="2023-03-11T00:00:00"/>
    <x v="188"/>
    <n v="9.8800000000000008"/>
    <x v="7"/>
    <x v="16"/>
    <x v="0"/>
    <x v="2"/>
    <x v="2"/>
    <n v="2023"/>
    <d v="2023-03-11T00:00:00"/>
    <n v="1572.45"/>
    <n v="39"/>
  </r>
  <r>
    <n v="3"/>
    <d v="2023-03-12T00:00:00"/>
    <d v="2023-03-12T00:00:00"/>
    <x v="189"/>
    <n v="39"/>
    <x v="1"/>
    <x v="37"/>
    <x v="0"/>
    <x v="9"/>
    <x v="2"/>
    <n v="2023"/>
    <d v="2023-03-12T00:00:00"/>
    <n v="1611.45"/>
    <n v="6"/>
  </r>
  <r>
    <n v="3"/>
    <d v="2023-03-12T00:00:00"/>
    <d v="2023-03-12T00:00:00"/>
    <x v="190"/>
    <n v="19.55"/>
    <x v="2"/>
    <x v="3"/>
    <x v="0"/>
    <x v="2"/>
    <x v="2"/>
    <n v="2023"/>
    <d v="2023-03-12T00:00:00"/>
    <n v="1631"/>
    <n v="12"/>
  </r>
  <r>
    <n v="3"/>
    <d v="2023-03-12T00:00:00"/>
    <d v="2023-03-12T00:00:00"/>
    <x v="191"/>
    <n v="36.590000000000003"/>
    <x v="9"/>
    <x v="34"/>
    <x v="0"/>
    <x v="3"/>
    <x v="2"/>
    <n v="2023"/>
    <d v="2023-03-12T00:00:00"/>
    <n v="1667.59"/>
    <n v="3"/>
  </r>
  <r>
    <n v="3"/>
    <d v="2023-03-12T00:00:00"/>
    <d v="2023-03-12T00:00:00"/>
    <x v="108"/>
    <n v="49"/>
    <x v="8"/>
    <x v="13"/>
    <x v="1"/>
    <x v="3"/>
    <x v="2"/>
    <n v="2023"/>
    <d v="2023-03-12T00:00:00"/>
    <n v="1716.59"/>
    <n v="5"/>
  </r>
  <r>
    <n v="3"/>
    <d v="2023-03-12T00:00:00"/>
    <d v="2023-03-12T00:00:00"/>
    <x v="192"/>
    <n v="0.99"/>
    <x v="1"/>
    <x v="49"/>
    <x v="0"/>
    <x v="1"/>
    <x v="2"/>
    <n v="2023"/>
    <d v="2023-03-12T00:00:00"/>
    <n v="1717.58"/>
    <n v="4"/>
  </r>
  <r>
    <n v="3"/>
    <d v="2023-03-13T00:00:00"/>
    <d v="2023-03-13T00:00:00"/>
    <x v="193"/>
    <n v="9.09"/>
    <x v="1"/>
    <x v="16"/>
    <x v="0"/>
    <x v="2"/>
    <x v="2"/>
    <n v="2023"/>
    <d v="2023-03-13T00:00:00"/>
    <n v="1726.67"/>
    <n v="40"/>
  </r>
  <r>
    <n v="3"/>
    <d v="2023-03-15T00:00:00"/>
    <d v="2023-03-15T00:00:00"/>
    <x v="95"/>
    <n v="11.78"/>
    <x v="7"/>
    <x v="3"/>
    <x v="0"/>
    <x v="2"/>
    <x v="2"/>
    <n v="2023"/>
    <d v="2023-03-15T00:00:00"/>
    <n v="1738.45"/>
    <n v="13"/>
  </r>
  <r>
    <n v="3"/>
    <d v="2023-03-15T00:00:00"/>
    <d v="2023-03-15T00:00:00"/>
    <x v="194"/>
    <n v="3"/>
    <x v="6"/>
    <x v="32"/>
    <x v="0"/>
    <x v="6"/>
    <x v="2"/>
    <n v="2023"/>
    <d v="2023-03-15T00:00:00"/>
    <n v="1741.45"/>
    <n v="9"/>
  </r>
  <r>
    <n v="3"/>
    <d v="2023-03-15T00:00:00"/>
    <d v="2023-03-15T00:00:00"/>
    <x v="195"/>
    <n v="4.4000000000000004"/>
    <x v="9"/>
    <x v="34"/>
    <x v="0"/>
    <x v="3"/>
    <x v="2"/>
    <n v="2023"/>
    <d v="2023-03-15T00:00:00"/>
    <n v="1745.85"/>
    <n v="4"/>
  </r>
  <r>
    <n v="3"/>
    <d v="2023-03-15T00:00:00"/>
    <d v="2023-03-15T00:00:00"/>
    <x v="36"/>
    <n v="7.99"/>
    <x v="6"/>
    <x v="27"/>
    <x v="1"/>
    <x v="1"/>
    <x v="2"/>
    <n v="2023"/>
    <d v="2023-03-15T00:00:00"/>
    <n v="1753.84"/>
    <n v="3"/>
  </r>
  <r>
    <n v="3"/>
    <d v="2023-03-15T00:00:00"/>
    <d v="2023-03-15T00:00:00"/>
    <x v="196"/>
    <n v="14.67"/>
    <x v="2"/>
    <x v="26"/>
    <x v="0"/>
    <x v="2"/>
    <x v="2"/>
    <n v="2023"/>
    <d v="2023-03-15T00:00:00"/>
    <n v="1768.51"/>
    <n v="5"/>
  </r>
  <r>
    <n v="3"/>
    <d v="2023-03-15T00:00:00"/>
    <d v="2023-03-15T00:00:00"/>
    <x v="197"/>
    <n v="26.1"/>
    <x v="2"/>
    <x v="7"/>
    <x v="0"/>
    <x v="3"/>
    <x v="2"/>
    <n v="2023"/>
    <d v="2023-03-15T00:00:00"/>
    <n v="1794.61"/>
    <n v="12"/>
  </r>
  <r>
    <n v="3"/>
    <d v="2023-03-15T00:00:00"/>
    <d v="2023-03-15T00:00:00"/>
    <x v="69"/>
    <n v="50.72"/>
    <x v="6"/>
    <x v="42"/>
    <x v="0"/>
    <x v="3"/>
    <x v="2"/>
    <n v="2023"/>
    <d v="2023-03-15T00:00:00"/>
    <n v="1845.33"/>
    <n v="5"/>
  </r>
  <r>
    <n v="3"/>
    <d v="2023-03-16T00:00:00"/>
    <d v="2023-03-16T00:00:00"/>
    <x v="198"/>
    <n v="109.44"/>
    <x v="1"/>
    <x v="38"/>
    <x v="0"/>
    <x v="3"/>
    <x v="2"/>
    <n v="2023"/>
    <d v="2023-03-16T00:00:00"/>
    <n v="1954.77"/>
    <n v="4"/>
  </r>
  <r>
    <n v="3"/>
    <d v="2023-03-16T00:00:00"/>
    <d v="2023-03-16T00:00:00"/>
    <x v="199"/>
    <n v="14.93"/>
    <x v="7"/>
    <x v="16"/>
    <x v="0"/>
    <x v="2"/>
    <x v="2"/>
    <n v="2023"/>
    <d v="2023-03-16T00:00:00"/>
    <n v="1969.7"/>
    <n v="41"/>
  </r>
  <r>
    <n v="3"/>
    <d v="2023-03-16T00:00:00"/>
    <d v="2023-03-16T00:00:00"/>
    <x v="62"/>
    <n v="15.95"/>
    <x v="1"/>
    <x v="40"/>
    <x v="0"/>
    <x v="1"/>
    <x v="2"/>
    <n v="2023"/>
    <d v="2023-03-16T00:00:00"/>
    <n v="1985.65"/>
    <n v="23"/>
  </r>
  <r>
    <n v="3"/>
    <d v="2023-03-16T00:00:00"/>
    <d v="2023-03-16T00:00:00"/>
    <x v="200"/>
    <n v="134.04"/>
    <x v="1"/>
    <x v="20"/>
    <x v="0"/>
    <x v="3"/>
    <x v="2"/>
    <n v="2023"/>
    <d v="2023-03-16T00:00:00"/>
    <n v="2119.69"/>
    <n v="3"/>
  </r>
  <r>
    <n v="3"/>
    <d v="2023-03-17T00:00:00"/>
    <d v="2023-03-17T00:00:00"/>
    <x v="201"/>
    <n v="48.56"/>
    <x v="7"/>
    <x v="16"/>
    <x v="0"/>
    <x v="2"/>
    <x v="2"/>
    <n v="2023"/>
    <d v="2023-03-17T00:00:00"/>
    <n v="2168.25"/>
    <n v="42"/>
  </r>
  <r>
    <n v="3"/>
    <d v="2023-03-17T00:00:00"/>
    <d v="2023-03-17T00:00:00"/>
    <x v="40"/>
    <n v="111.63"/>
    <x v="1"/>
    <x v="29"/>
    <x v="1"/>
    <x v="9"/>
    <x v="2"/>
    <n v="2023"/>
    <d v="2023-03-17T00:00:00"/>
    <n v="2279.88"/>
    <n v="3"/>
  </r>
  <r>
    <n v="3"/>
    <d v="2023-03-17T00:00:00"/>
    <d v="2023-03-17T00:00:00"/>
    <x v="202"/>
    <n v="938.85"/>
    <x v="3"/>
    <x v="21"/>
    <x v="0"/>
    <x v="4"/>
    <x v="2"/>
    <n v="2023"/>
    <d v="2023-03-17T00:00:00"/>
    <n v="3218.73"/>
    <n v="2"/>
  </r>
  <r>
    <n v="3"/>
    <d v="2023-03-18T00:00:00"/>
    <d v="2023-03-18T00:00:00"/>
    <x v="62"/>
    <n v="5.3"/>
    <x v="1"/>
    <x v="40"/>
    <x v="0"/>
    <x v="1"/>
    <x v="2"/>
    <n v="2023"/>
    <d v="2023-03-18T00:00:00"/>
    <n v="3224.03"/>
    <n v="24"/>
  </r>
  <r>
    <n v="3"/>
    <d v="2023-03-18T00:00:00"/>
    <d v="2023-03-18T00:00:00"/>
    <x v="203"/>
    <n v="75.81"/>
    <x v="2"/>
    <x v="3"/>
    <x v="0"/>
    <x v="2"/>
    <x v="2"/>
    <n v="2023"/>
    <d v="2023-03-18T00:00:00"/>
    <n v="3299.84"/>
    <n v="14"/>
  </r>
  <r>
    <n v="3"/>
    <d v="2023-03-19T00:00:00"/>
    <d v="2023-03-19T00:00:00"/>
    <x v="204"/>
    <n v="2.1800000000000002"/>
    <x v="2"/>
    <x v="3"/>
    <x v="0"/>
    <x v="2"/>
    <x v="2"/>
    <n v="2023"/>
    <d v="2023-03-19T00:00:00"/>
    <n v="3302.02"/>
    <n v="15"/>
  </r>
  <r>
    <n v="3"/>
    <d v="2023-03-19T00:00:00"/>
    <d v="2023-03-19T00:00:00"/>
    <x v="205"/>
    <n v="15.19"/>
    <x v="1"/>
    <x v="7"/>
    <x v="0"/>
    <x v="3"/>
    <x v="2"/>
    <n v="2023"/>
    <d v="2023-03-19T00:00:00"/>
    <n v="3317.21"/>
    <n v="13"/>
  </r>
  <r>
    <n v="3"/>
    <d v="2023-03-19T00:00:00"/>
    <d v="2023-03-19T00:00:00"/>
    <x v="206"/>
    <n v="5.47"/>
    <x v="1"/>
    <x v="17"/>
    <x v="0"/>
    <x v="3"/>
    <x v="2"/>
    <n v="2023"/>
    <d v="2023-03-19T00:00:00"/>
    <n v="3322.68"/>
    <n v="9"/>
  </r>
  <r>
    <n v="3"/>
    <d v="2023-03-19T00:00:00"/>
    <d v="2023-03-19T00:00:00"/>
    <x v="207"/>
    <n v="5.29"/>
    <x v="1"/>
    <x v="58"/>
    <x v="1"/>
    <x v="1"/>
    <x v="2"/>
    <n v="2023"/>
    <d v="2023-03-19T00:00:00"/>
    <n v="3327.97"/>
    <n v="1"/>
  </r>
  <r>
    <n v="3"/>
    <d v="2023-03-19T00:00:00"/>
    <d v="2023-03-19T00:00:00"/>
    <x v="208"/>
    <n v="125.1"/>
    <x v="6"/>
    <x v="55"/>
    <x v="1"/>
    <x v="3"/>
    <x v="2"/>
    <n v="2023"/>
    <d v="2023-03-19T00:00:00"/>
    <n v="3453.07"/>
    <n v="2"/>
  </r>
  <r>
    <n v="3"/>
    <d v="2023-03-19T00:00:00"/>
    <d v="2023-03-19T00:00:00"/>
    <x v="209"/>
    <n v="33"/>
    <x v="2"/>
    <x v="16"/>
    <x v="0"/>
    <x v="2"/>
    <x v="2"/>
    <n v="2023"/>
    <d v="2023-03-19T00:00:00"/>
    <n v="3486.07"/>
    <n v="43"/>
  </r>
  <r>
    <n v="3"/>
    <d v="2023-03-20T00:00:00"/>
    <d v="2023-03-20T00:00:00"/>
    <x v="210"/>
    <n v="20"/>
    <x v="1"/>
    <x v="59"/>
    <x v="1"/>
    <x v="3"/>
    <x v="2"/>
    <n v="2023"/>
    <d v="2023-03-20T00:00:00"/>
    <n v="3506.07"/>
    <n v="1"/>
  </r>
  <r>
    <n v="3"/>
    <d v="2023-03-20T00:00:00"/>
    <d v="2023-03-20T00:00:00"/>
    <x v="195"/>
    <n v="130.76"/>
    <x v="9"/>
    <x v="34"/>
    <x v="0"/>
    <x v="3"/>
    <x v="2"/>
    <n v="2023"/>
    <d v="2023-03-20T00:00:00"/>
    <n v="3636.83"/>
    <n v="5"/>
  </r>
  <r>
    <n v="3"/>
    <d v="2023-03-21T00:00:00"/>
    <d v="2023-03-21T00:00:00"/>
    <x v="33"/>
    <n v="-1079.82"/>
    <x v="10"/>
    <x v="25"/>
    <x v="0"/>
    <x v="5"/>
    <x v="2"/>
    <n v="2023"/>
    <d v="2023-03-21T00:00:00"/>
    <n v="2557.0100000000002"/>
    <n v="8"/>
  </r>
  <r>
    <n v="3"/>
    <d v="2023-03-21T00:00:00"/>
    <d v="2023-03-21T00:00:00"/>
    <x v="211"/>
    <n v="55"/>
    <x v="1"/>
    <x v="39"/>
    <x v="0"/>
    <x v="1"/>
    <x v="2"/>
    <n v="2023"/>
    <d v="2023-03-21T00:00:00"/>
    <n v="2612.0100000000002"/>
    <n v="4"/>
  </r>
  <r>
    <n v="3"/>
    <d v="2023-03-22T00:00:00"/>
    <d v="2023-03-22T00:00:00"/>
    <x v="212"/>
    <n v="53.25"/>
    <x v="9"/>
    <x v="39"/>
    <x v="0"/>
    <x v="1"/>
    <x v="2"/>
    <n v="2023"/>
    <d v="2023-03-22T00:00:00"/>
    <n v="2665.26"/>
    <n v="5"/>
  </r>
  <r>
    <n v="3"/>
    <d v="2023-03-22T00:00:00"/>
    <d v="2023-03-22T00:00:00"/>
    <x v="213"/>
    <n v="58.95"/>
    <x v="2"/>
    <x v="20"/>
    <x v="0"/>
    <x v="3"/>
    <x v="2"/>
    <n v="2023"/>
    <d v="2023-03-22T00:00:00"/>
    <n v="2724.21"/>
    <n v="4"/>
  </r>
  <r>
    <n v="3"/>
    <d v="2023-03-22T00:00:00"/>
    <d v="2023-03-22T00:00:00"/>
    <x v="214"/>
    <n v="40.659999999999997"/>
    <x v="9"/>
    <x v="49"/>
    <x v="0"/>
    <x v="1"/>
    <x v="2"/>
    <n v="2023"/>
    <d v="2023-03-22T00:00:00"/>
    <n v="2764.87"/>
    <n v="5"/>
  </r>
  <r>
    <n v="3"/>
    <d v="2023-03-22T00:00:00"/>
    <d v="2023-03-22T00:00:00"/>
    <x v="215"/>
    <n v="48.34"/>
    <x v="12"/>
    <x v="38"/>
    <x v="0"/>
    <x v="3"/>
    <x v="2"/>
    <n v="2023"/>
    <d v="2023-03-22T00:00:00"/>
    <n v="2813.21"/>
    <n v="5"/>
  </r>
  <r>
    <n v="3"/>
    <d v="2023-03-22T00:00:00"/>
    <d v="2023-03-22T00:00:00"/>
    <x v="216"/>
    <n v="5"/>
    <x v="9"/>
    <x v="49"/>
    <x v="0"/>
    <x v="1"/>
    <x v="2"/>
    <n v="2023"/>
    <d v="2023-03-22T00:00:00"/>
    <n v="2818.21"/>
    <n v="6"/>
  </r>
  <r>
    <n v="3"/>
    <d v="2023-03-22T00:00:00"/>
    <d v="2023-03-22T00:00:00"/>
    <x v="215"/>
    <n v="58.22"/>
    <x v="12"/>
    <x v="38"/>
    <x v="0"/>
    <x v="3"/>
    <x v="2"/>
    <n v="2023"/>
    <d v="2023-03-22T00:00:00"/>
    <n v="2876.43"/>
    <n v="6"/>
  </r>
  <r>
    <n v="3"/>
    <d v="2023-03-23T00:00:00"/>
    <d v="2023-03-23T00:00:00"/>
    <x v="33"/>
    <n v="-1582.05"/>
    <x v="10"/>
    <x v="25"/>
    <x v="0"/>
    <x v="5"/>
    <x v="2"/>
    <n v="2023"/>
    <d v="2023-03-23T00:00:00"/>
    <n v="1294.3800000000001"/>
    <n v="9"/>
  </r>
  <r>
    <n v="3"/>
    <d v="2023-03-24T00:00:00"/>
    <d v="2023-03-24T00:00:00"/>
    <x v="217"/>
    <n v="6.35"/>
    <x v="1"/>
    <x v="60"/>
    <x v="0"/>
    <x v="11"/>
    <x v="2"/>
    <n v="2023"/>
    <d v="2023-03-24T00:00:00"/>
    <n v="1300.73"/>
    <n v="1"/>
  </r>
  <r>
    <n v="3"/>
    <d v="2023-03-24T00:00:00"/>
    <d v="2023-03-24T00:00:00"/>
    <x v="35"/>
    <n v="30.82"/>
    <x v="7"/>
    <x v="26"/>
    <x v="0"/>
    <x v="2"/>
    <x v="2"/>
    <n v="2023"/>
    <d v="2023-03-24T00:00:00"/>
    <n v="1331.55"/>
    <n v="6"/>
  </r>
  <r>
    <n v="3"/>
    <d v="2023-03-24T00:00:00"/>
    <d v="2023-03-24T00:00:00"/>
    <x v="195"/>
    <n v="5.49"/>
    <x v="9"/>
    <x v="34"/>
    <x v="0"/>
    <x v="3"/>
    <x v="2"/>
    <n v="2023"/>
    <d v="2023-03-24T00:00:00"/>
    <n v="1337.04"/>
    <n v="6"/>
  </r>
  <r>
    <n v="3"/>
    <d v="2023-03-24T00:00:00"/>
    <d v="2023-03-26T00:00:00"/>
    <x v="210"/>
    <n v="-20"/>
    <x v="10"/>
    <x v="59"/>
    <x v="1"/>
    <x v="3"/>
    <x v="2"/>
    <n v="2023"/>
    <d v="2023-03-24T00:00:00"/>
    <n v="1317.04"/>
    <n v="2"/>
  </r>
  <r>
    <n v="3"/>
    <d v="2023-03-25T00:00:00"/>
    <d v="2023-03-25T00:00:00"/>
    <x v="218"/>
    <n v="15.74"/>
    <x v="7"/>
    <x v="11"/>
    <x v="0"/>
    <x v="2"/>
    <x v="2"/>
    <n v="2023"/>
    <d v="2023-03-25T00:00:00"/>
    <n v="1332.78"/>
    <n v="23"/>
  </r>
  <r>
    <n v="3"/>
    <d v="2023-03-25T00:00:00"/>
    <d v="2023-03-25T00:00:00"/>
    <x v="219"/>
    <n v="43.7"/>
    <x v="1"/>
    <x v="61"/>
    <x v="0"/>
    <x v="3"/>
    <x v="2"/>
    <n v="2023"/>
    <d v="2023-03-25T00:00:00"/>
    <n v="1376.48"/>
    <n v="1"/>
  </r>
  <r>
    <n v="3"/>
    <d v="2023-03-25T00:00:00"/>
    <d v="2023-03-25T00:00:00"/>
    <x v="220"/>
    <n v="350"/>
    <x v="8"/>
    <x v="62"/>
    <x v="0"/>
    <x v="6"/>
    <x v="2"/>
    <n v="2023"/>
    <d v="2023-03-25T00:00:00"/>
    <n v="1726.48"/>
    <n v="1"/>
  </r>
  <r>
    <n v="3"/>
    <d v="2023-03-26T00:00:00"/>
    <d v="2023-03-26T00:00:00"/>
    <x v="221"/>
    <n v="17.36"/>
    <x v="3"/>
    <x v="63"/>
    <x v="0"/>
    <x v="3"/>
    <x v="2"/>
    <n v="2023"/>
    <d v="2023-03-26T00:00:00"/>
    <n v="1743.84"/>
    <n v="1"/>
  </r>
  <r>
    <n v="3"/>
    <d v="2023-03-26T00:00:00"/>
    <d v="2023-03-26T00:00:00"/>
    <x v="222"/>
    <n v="12.92"/>
    <x v="7"/>
    <x v="11"/>
    <x v="0"/>
    <x v="2"/>
    <x v="2"/>
    <n v="2023"/>
    <d v="2023-03-26T00:00:00"/>
    <n v="1756.76"/>
    <n v="24"/>
  </r>
  <r>
    <n v="3"/>
    <d v="2023-03-26T00:00:00"/>
    <d v="2023-03-26T00:00:00"/>
    <x v="223"/>
    <n v="72.47"/>
    <x v="2"/>
    <x v="7"/>
    <x v="0"/>
    <x v="3"/>
    <x v="2"/>
    <n v="2023"/>
    <d v="2023-03-26T00:00:00"/>
    <n v="1829.23"/>
    <n v="14"/>
  </r>
  <r>
    <n v="3"/>
    <d v="2023-03-26T00:00:00"/>
    <d v="2023-03-26T00:00:00"/>
    <x v="224"/>
    <n v="51.44"/>
    <x v="5"/>
    <x v="16"/>
    <x v="0"/>
    <x v="2"/>
    <x v="2"/>
    <n v="2023"/>
    <d v="2023-03-26T00:00:00"/>
    <n v="1880.67"/>
    <n v="44"/>
  </r>
  <r>
    <n v="3"/>
    <d v="2023-03-27T00:00:00"/>
    <d v="2023-03-27T00:00:00"/>
    <x v="225"/>
    <n v="4.3899999999999997"/>
    <x v="9"/>
    <x v="34"/>
    <x v="0"/>
    <x v="3"/>
    <x v="2"/>
    <n v="2023"/>
    <d v="2023-03-27T00:00:00"/>
    <n v="1885.06"/>
    <n v="7"/>
  </r>
  <r>
    <n v="3"/>
    <d v="2023-03-27T00:00:00"/>
    <d v="2023-03-27T00:00:00"/>
    <x v="226"/>
    <n v="1.5"/>
    <x v="6"/>
    <x v="32"/>
    <x v="0"/>
    <x v="6"/>
    <x v="2"/>
    <n v="2023"/>
    <d v="2023-03-27T00:00:00"/>
    <n v="1886.56"/>
    <n v="10"/>
  </r>
  <r>
    <n v="3"/>
    <d v="2023-03-27T00:00:00"/>
    <d v="2023-03-27T00:00:00"/>
    <x v="227"/>
    <n v="63.73"/>
    <x v="2"/>
    <x v="3"/>
    <x v="0"/>
    <x v="2"/>
    <x v="2"/>
    <n v="2023"/>
    <d v="2023-03-27T00:00:00"/>
    <n v="1950.29"/>
    <n v="16"/>
  </r>
  <r>
    <n v="3"/>
    <d v="2023-03-28T00:00:00"/>
    <d v="2023-03-28T00:00:00"/>
    <x v="228"/>
    <n v="115.5"/>
    <x v="1"/>
    <x v="39"/>
    <x v="0"/>
    <x v="1"/>
    <x v="2"/>
    <n v="2023"/>
    <d v="2023-03-28T00:00:00"/>
    <n v="2065.79"/>
    <n v="6"/>
  </r>
  <r>
    <n v="3"/>
    <d v="2023-03-28T00:00:00"/>
    <d v="2023-03-28T00:00:00"/>
    <x v="229"/>
    <n v="68.78"/>
    <x v="1"/>
    <x v="39"/>
    <x v="0"/>
    <x v="1"/>
    <x v="2"/>
    <n v="2023"/>
    <d v="2023-03-28T00:00:00"/>
    <n v="2134.5700000000002"/>
    <n v="7"/>
  </r>
  <r>
    <n v="3"/>
    <d v="2023-03-28T00:00:00"/>
    <d v="2023-03-28T00:00:00"/>
    <x v="198"/>
    <n v="87.68"/>
    <x v="1"/>
    <x v="38"/>
    <x v="0"/>
    <x v="3"/>
    <x v="2"/>
    <n v="2023"/>
    <d v="2023-03-28T00:00:00"/>
    <n v="2222.25"/>
    <n v="7"/>
  </r>
  <r>
    <n v="3"/>
    <d v="2023-03-28T00:00:00"/>
    <d v="2023-03-28T00:00:00"/>
    <x v="194"/>
    <n v="3"/>
    <x v="6"/>
    <x v="32"/>
    <x v="0"/>
    <x v="6"/>
    <x v="2"/>
    <n v="2023"/>
    <d v="2023-03-28T00:00:00"/>
    <n v="2225.25"/>
    <n v="11"/>
  </r>
  <r>
    <n v="3"/>
    <d v="2023-03-28T00:00:00"/>
    <d v="2023-03-28T00:00:00"/>
    <x v="230"/>
    <n v="31.86"/>
    <x v="7"/>
    <x v="39"/>
    <x v="0"/>
    <x v="1"/>
    <x v="2"/>
    <n v="2023"/>
    <d v="2023-03-28T00:00:00"/>
    <n v="2257.11"/>
    <n v="8"/>
  </r>
  <r>
    <n v="3"/>
    <d v="2023-03-29T00:00:00"/>
    <d v="2023-03-29T00:00:00"/>
    <x v="62"/>
    <n v="11.16"/>
    <x v="1"/>
    <x v="40"/>
    <x v="0"/>
    <x v="1"/>
    <x v="2"/>
    <n v="2023"/>
    <d v="2023-03-29T00:00:00"/>
    <n v="2268.27"/>
    <n v="25"/>
  </r>
  <r>
    <n v="3"/>
    <d v="2023-03-29T00:00:00"/>
    <d v="2023-03-29T00:00:00"/>
    <x v="231"/>
    <n v="9.81"/>
    <x v="7"/>
    <x v="16"/>
    <x v="0"/>
    <x v="2"/>
    <x v="2"/>
    <n v="2023"/>
    <d v="2023-03-29T00:00:00"/>
    <n v="2278.08"/>
    <n v="45"/>
  </r>
  <r>
    <n v="3"/>
    <d v="2023-03-29T00:00:00"/>
    <d v="2023-03-29T00:00:00"/>
    <x v="65"/>
    <n v="11.97"/>
    <x v="9"/>
    <x v="19"/>
    <x v="0"/>
    <x v="6"/>
    <x v="2"/>
    <n v="2023"/>
    <d v="2023-03-29T00:00:00"/>
    <n v="2290.0500000000002"/>
    <n v="39"/>
  </r>
  <r>
    <n v="3"/>
    <d v="2023-03-29T00:00:00"/>
    <d v="2023-03-29T00:00:00"/>
    <x v="65"/>
    <n v="13.94"/>
    <x v="9"/>
    <x v="19"/>
    <x v="0"/>
    <x v="6"/>
    <x v="2"/>
    <n v="2023"/>
    <d v="2023-03-29T00:00:00"/>
    <n v="2303.9899999999998"/>
    <n v="40"/>
  </r>
  <r>
    <n v="3"/>
    <d v="2023-03-30T00:00:00"/>
    <d v="2023-03-30T00:00:00"/>
    <x v="232"/>
    <n v="109.99"/>
    <x v="6"/>
    <x v="64"/>
    <x v="1"/>
    <x v="1"/>
    <x v="2"/>
    <n v="2023"/>
    <d v="2023-03-30T00:00:00"/>
    <n v="2413.98"/>
    <n v="1"/>
  </r>
  <r>
    <n v="3"/>
    <d v="2023-03-30T00:00:00"/>
    <d v="2023-03-30T00:00:00"/>
    <x v="233"/>
    <n v="16.12"/>
    <x v="7"/>
    <x v="16"/>
    <x v="0"/>
    <x v="2"/>
    <x v="2"/>
    <n v="2023"/>
    <d v="2023-03-30T00:00:00"/>
    <n v="2430.099999999999"/>
    <n v="46"/>
  </r>
  <r>
    <n v="4"/>
    <d v="2023-04-01T00:00:00"/>
    <d v="2023-04-03T00:00:00"/>
    <x v="101"/>
    <n v="5"/>
    <x v="6"/>
    <x v="47"/>
    <x v="1"/>
    <x v="3"/>
    <x v="3"/>
    <n v="2023"/>
    <d v="2023-04-01T00:00:00"/>
    <n v="2435.099999999999"/>
    <n v="3"/>
  </r>
  <r>
    <n v="4"/>
    <d v="2023-04-01T00:00:00"/>
    <d v="2023-04-03T00:00:00"/>
    <x v="2"/>
    <n v="10.59"/>
    <x v="1"/>
    <x v="2"/>
    <x v="1"/>
    <x v="1"/>
    <x v="3"/>
    <n v="2023"/>
    <d v="2023-04-01T00:00:00"/>
    <n v="2445.69"/>
    <n v="4"/>
  </r>
  <r>
    <n v="4"/>
    <d v="2023-04-01T00:00:00"/>
    <d v="2023-04-01T00:00:00"/>
    <x v="234"/>
    <n v="30.51"/>
    <x v="7"/>
    <x v="16"/>
    <x v="0"/>
    <x v="2"/>
    <x v="3"/>
    <n v="2023"/>
    <d v="2023-04-01T00:00:00"/>
    <n v="2476.1999999999998"/>
    <n v="47"/>
  </r>
  <r>
    <n v="4"/>
    <d v="2023-04-01T00:00:00"/>
    <d v="2023-04-01T00:00:00"/>
    <x v="235"/>
    <n v="27.16"/>
    <x v="1"/>
    <x v="46"/>
    <x v="0"/>
    <x v="1"/>
    <x v="3"/>
    <n v="2023"/>
    <d v="2023-04-01T00:00:00"/>
    <n v="2503.36"/>
    <n v="2"/>
  </r>
  <r>
    <n v="4"/>
    <d v="2023-04-01T00:00:00"/>
    <d v="2023-04-01T00:00:00"/>
    <x v="236"/>
    <n v="147.75"/>
    <x v="6"/>
    <x v="46"/>
    <x v="0"/>
    <x v="1"/>
    <x v="3"/>
    <n v="2023"/>
    <d v="2023-04-01T00:00:00"/>
    <n v="2651.11"/>
    <n v="3"/>
  </r>
  <r>
    <n v="4"/>
    <d v="2023-04-01T00:00:00"/>
    <d v="2023-04-01T00:00:00"/>
    <x v="237"/>
    <n v="4.99"/>
    <x v="1"/>
    <x v="1"/>
    <x v="1"/>
    <x v="1"/>
    <x v="3"/>
    <n v="2023"/>
    <d v="2023-04-01T00:00:00"/>
    <n v="2656.099999999999"/>
    <n v="4"/>
  </r>
  <r>
    <n v="4"/>
    <d v="2023-04-02T00:00:00"/>
    <d v="2023-04-02T00:00:00"/>
    <x v="238"/>
    <n v="125.1"/>
    <x v="6"/>
    <x v="55"/>
    <x v="1"/>
    <x v="3"/>
    <x v="3"/>
    <n v="2023"/>
    <d v="2023-04-02T00:00:00"/>
    <n v="2781.1999999999989"/>
    <n v="3"/>
  </r>
  <r>
    <n v="4"/>
    <d v="2023-04-02T00:00:00"/>
    <d v="2023-04-02T00:00:00"/>
    <x v="239"/>
    <n v="139"/>
    <x v="6"/>
    <x v="55"/>
    <x v="1"/>
    <x v="3"/>
    <x v="3"/>
    <n v="2023"/>
    <d v="2023-04-02T00:00:00"/>
    <n v="2920.1999999999989"/>
    <n v="4"/>
  </r>
  <r>
    <n v="4"/>
    <d v="2023-04-02T00:00:00"/>
    <d v="2023-04-02T00:00:00"/>
    <x v="65"/>
    <n v="14.98"/>
    <x v="9"/>
    <x v="19"/>
    <x v="0"/>
    <x v="6"/>
    <x v="3"/>
    <n v="2023"/>
    <d v="2023-04-02T00:00:00"/>
    <n v="2935.1799999999989"/>
    <n v="41"/>
  </r>
  <r>
    <n v="4"/>
    <d v="2023-04-02T00:00:00"/>
    <d v="2023-04-03T00:00:00"/>
    <x v="4"/>
    <n v="10"/>
    <x v="1"/>
    <x v="4"/>
    <x v="1"/>
    <x v="1"/>
    <x v="3"/>
    <n v="2023"/>
    <d v="2023-04-02T00:00:00"/>
    <n v="2945.1799999999989"/>
    <n v="4"/>
  </r>
  <r>
    <n v="4"/>
    <d v="2023-04-03T00:00:00"/>
    <d v="2023-04-03T00:00:00"/>
    <x v="240"/>
    <n v="54.61"/>
    <x v="2"/>
    <x v="3"/>
    <x v="0"/>
    <x v="2"/>
    <x v="3"/>
    <n v="2023"/>
    <d v="2023-04-03T00:00:00"/>
    <n v="2999.79"/>
    <n v="17"/>
  </r>
  <r>
    <n v="4"/>
    <d v="2023-04-03T00:00:00"/>
    <d v="2023-04-03T00:00:00"/>
    <x v="241"/>
    <n v="30"/>
    <x v="6"/>
    <x v="32"/>
    <x v="0"/>
    <x v="6"/>
    <x v="3"/>
    <n v="2023"/>
    <d v="2023-04-03T00:00:00"/>
    <n v="3029.79"/>
    <n v="12"/>
  </r>
  <r>
    <n v="4"/>
    <d v="2023-04-03T00:00:00"/>
    <d v="2023-04-03T00:00:00"/>
    <x v="242"/>
    <n v="15.89"/>
    <x v="6"/>
    <x v="10"/>
    <x v="1"/>
    <x v="1"/>
    <x v="3"/>
    <n v="2023"/>
    <d v="2023-04-03T00:00:00"/>
    <n v="3045.6799999999989"/>
    <n v="7"/>
  </r>
  <r>
    <n v="4"/>
    <d v="2023-04-03T00:00:00"/>
    <d v="2023-04-03T00:00:00"/>
    <x v="243"/>
    <n v="45"/>
    <x v="1"/>
    <x v="17"/>
    <x v="0"/>
    <x v="3"/>
    <x v="3"/>
    <n v="2023"/>
    <d v="2023-04-03T00:00:00"/>
    <n v="3090.6799999999989"/>
    <n v="10"/>
  </r>
  <r>
    <n v="4"/>
    <d v="2023-04-03T00:00:00"/>
    <d v="2023-04-03T00:00:00"/>
    <x v="8"/>
    <n v="-57.91"/>
    <x v="4"/>
    <x v="8"/>
    <x v="0"/>
    <x v="5"/>
    <x v="3"/>
    <n v="2023"/>
    <d v="2023-04-03T00:00:00"/>
    <n v="3032.77"/>
    <n v="4"/>
  </r>
  <r>
    <n v="4"/>
    <d v="2023-04-03T00:00:00"/>
    <d v="2023-04-03T00:00:00"/>
    <x v="244"/>
    <n v="30.38"/>
    <x v="1"/>
    <x v="7"/>
    <x v="0"/>
    <x v="3"/>
    <x v="3"/>
    <n v="2023"/>
    <d v="2023-04-03T00:00:00"/>
    <n v="3063.15"/>
    <n v="15"/>
  </r>
  <r>
    <n v="4"/>
    <d v="2023-04-05T00:00:00"/>
    <d v="2023-04-05T00:00:00"/>
    <x v="245"/>
    <n v="26.3"/>
    <x v="1"/>
    <x v="20"/>
    <x v="0"/>
    <x v="3"/>
    <x v="3"/>
    <n v="2023"/>
    <d v="2023-04-05T00:00:00"/>
    <n v="3089.45"/>
    <n v="5"/>
  </r>
  <r>
    <n v="4"/>
    <d v="2023-04-05T00:00:00"/>
    <d v="2023-04-05T00:00:00"/>
    <x v="246"/>
    <n v="35"/>
    <x v="9"/>
    <x v="34"/>
    <x v="0"/>
    <x v="3"/>
    <x v="3"/>
    <n v="2023"/>
    <d v="2023-04-05T00:00:00"/>
    <n v="3124.45"/>
    <n v="8"/>
  </r>
  <r>
    <n v="4"/>
    <d v="2023-04-05T00:00:00"/>
    <d v="2023-04-05T00:00:00"/>
    <x v="247"/>
    <n v="12.26"/>
    <x v="2"/>
    <x v="3"/>
    <x v="0"/>
    <x v="2"/>
    <x v="3"/>
    <n v="2023"/>
    <d v="2023-04-05T00:00:00"/>
    <n v="3136.71"/>
    <n v="18"/>
  </r>
  <r>
    <n v="4"/>
    <d v="2023-04-05T00:00:00"/>
    <d v="2023-04-05T00:00:00"/>
    <x v="33"/>
    <n v="-2889.63"/>
    <x v="10"/>
    <x v="25"/>
    <x v="0"/>
    <x v="5"/>
    <x v="3"/>
    <n v="2023"/>
    <d v="2023-04-05T00:00:00"/>
    <n v="247.0799999999999"/>
    <n v="10"/>
  </r>
  <r>
    <n v="4"/>
    <d v="2023-04-05T00:00:00"/>
    <d v="2023-04-05T00:00:00"/>
    <x v="248"/>
    <n v="7.17"/>
    <x v="2"/>
    <x v="3"/>
    <x v="0"/>
    <x v="2"/>
    <x v="3"/>
    <n v="2023"/>
    <d v="2023-04-05T00:00:00"/>
    <n v="254.24999999999989"/>
    <n v="19"/>
  </r>
  <r>
    <n v="4"/>
    <d v="2023-04-05T00:00:00"/>
    <d v="2023-04-05T00:00:00"/>
    <x v="248"/>
    <n v="7.98"/>
    <x v="2"/>
    <x v="3"/>
    <x v="0"/>
    <x v="2"/>
    <x v="3"/>
    <n v="2023"/>
    <d v="2023-04-05T00:00:00"/>
    <n v="262.2299999999999"/>
    <n v="20"/>
  </r>
  <r>
    <n v="4"/>
    <d v="2023-04-05T00:00:00"/>
    <d v="2023-04-05T00:00:00"/>
    <x v="5"/>
    <n v="10"/>
    <x v="1"/>
    <x v="5"/>
    <x v="1"/>
    <x v="3"/>
    <x v="3"/>
    <n v="2023"/>
    <d v="2023-04-05T00:00:00"/>
    <n v="272.2299999999999"/>
    <n v="4"/>
  </r>
  <r>
    <n v="4"/>
    <d v="2023-04-05T00:00:00"/>
    <d v="2023-04-05T00:00:00"/>
    <x v="84"/>
    <n v="10.66"/>
    <x v="2"/>
    <x v="7"/>
    <x v="0"/>
    <x v="3"/>
    <x v="3"/>
    <n v="2023"/>
    <d v="2023-04-05T00:00:00"/>
    <n v="282.88999999999987"/>
    <n v="16"/>
  </r>
  <r>
    <n v="4"/>
    <d v="2023-04-05T00:00:00"/>
    <d v="2023-04-05T00:00:00"/>
    <x v="176"/>
    <n v="16.940000000000001"/>
    <x v="11"/>
    <x v="56"/>
    <x v="0"/>
    <x v="7"/>
    <x v="3"/>
    <n v="2023"/>
    <d v="2023-04-05T00:00:00"/>
    <n v="299.82999999999993"/>
    <n v="3"/>
  </r>
  <r>
    <n v="4"/>
    <d v="2023-04-06T00:00:00"/>
    <d v="2023-04-06T00:00:00"/>
    <x v="249"/>
    <n v="40"/>
    <x v="6"/>
    <x v="38"/>
    <x v="0"/>
    <x v="3"/>
    <x v="3"/>
    <n v="2023"/>
    <d v="2023-04-06T00:00:00"/>
    <n v="339.82999999999993"/>
    <n v="8"/>
  </r>
  <r>
    <n v="4"/>
    <d v="2023-04-06T00:00:00"/>
    <d v="2023-04-06T00:00:00"/>
    <x v="250"/>
    <n v="50"/>
    <x v="6"/>
    <x v="49"/>
    <x v="0"/>
    <x v="1"/>
    <x v="3"/>
    <n v="2023"/>
    <d v="2023-04-06T00:00:00"/>
    <n v="389.82999999999993"/>
    <n v="7"/>
  </r>
  <r>
    <n v="4"/>
    <d v="2023-04-06T00:00:00"/>
    <d v="2023-04-06T00:00:00"/>
    <x v="251"/>
    <n v="15.34"/>
    <x v="1"/>
    <x v="17"/>
    <x v="0"/>
    <x v="3"/>
    <x v="3"/>
    <n v="2023"/>
    <d v="2023-04-06T00:00:00"/>
    <n v="405.1699999999999"/>
    <n v="11"/>
  </r>
  <r>
    <n v="4"/>
    <d v="2023-04-07T00:00:00"/>
    <d v="2023-04-07T00:00:00"/>
    <x v="84"/>
    <n v="31.37"/>
    <x v="2"/>
    <x v="7"/>
    <x v="0"/>
    <x v="3"/>
    <x v="3"/>
    <n v="2023"/>
    <d v="2023-04-07T00:00:00"/>
    <n v="436.53999999999991"/>
    <n v="17"/>
  </r>
  <r>
    <n v="4"/>
    <d v="2023-04-07T00:00:00"/>
    <d v="2023-04-07T00:00:00"/>
    <x v="252"/>
    <n v="9.99"/>
    <x v="1"/>
    <x v="18"/>
    <x v="1"/>
    <x v="3"/>
    <x v="3"/>
    <n v="2023"/>
    <d v="2023-04-07T00:00:00"/>
    <n v="446.52999999999992"/>
    <n v="4"/>
  </r>
  <r>
    <n v="4"/>
    <d v="2023-04-07T00:00:00"/>
    <d v="2023-04-07T00:00:00"/>
    <x v="35"/>
    <n v="25.88"/>
    <x v="7"/>
    <x v="26"/>
    <x v="0"/>
    <x v="2"/>
    <x v="3"/>
    <n v="2023"/>
    <d v="2023-04-07T00:00:00"/>
    <n v="472.40999999999991"/>
    <n v="7"/>
  </r>
  <r>
    <n v="4"/>
    <d v="2023-04-08T00:00:00"/>
    <d v="2023-04-08T00:00:00"/>
    <x v="253"/>
    <n v="4.13"/>
    <x v="1"/>
    <x v="16"/>
    <x v="0"/>
    <x v="2"/>
    <x v="3"/>
    <n v="2023"/>
    <d v="2023-04-08T00:00:00"/>
    <n v="476.53999999999991"/>
    <n v="48"/>
  </r>
  <r>
    <n v="4"/>
    <d v="2023-04-08T00:00:00"/>
    <d v="2023-04-08T00:00:00"/>
    <x v="253"/>
    <n v="6.05"/>
    <x v="1"/>
    <x v="16"/>
    <x v="0"/>
    <x v="2"/>
    <x v="3"/>
    <n v="2023"/>
    <d v="2023-04-08T00:00:00"/>
    <n v="482.58999999999992"/>
    <n v="49"/>
  </r>
  <r>
    <n v="4"/>
    <d v="2023-04-08T00:00:00"/>
    <d v="2023-04-08T00:00:00"/>
    <x v="254"/>
    <n v="20"/>
    <x v="6"/>
    <x v="32"/>
    <x v="0"/>
    <x v="6"/>
    <x v="3"/>
    <n v="2023"/>
    <d v="2023-04-08T00:00:00"/>
    <n v="502.58999999999992"/>
    <n v="13"/>
  </r>
  <r>
    <n v="4"/>
    <d v="2023-04-08T00:00:00"/>
    <d v="2023-04-08T00:00:00"/>
    <x v="255"/>
    <n v="127.94"/>
    <x v="1"/>
    <x v="62"/>
    <x v="0"/>
    <x v="6"/>
    <x v="3"/>
    <n v="2023"/>
    <d v="2023-04-08T00:00:00"/>
    <n v="630.53"/>
    <n v="2"/>
  </r>
  <r>
    <n v="4"/>
    <d v="2023-04-09T00:00:00"/>
    <d v="2023-04-09T00:00:00"/>
    <x v="256"/>
    <n v="7.72"/>
    <x v="7"/>
    <x v="16"/>
    <x v="0"/>
    <x v="2"/>
    <x v="3"/>
    <n v="2023"/>
    <d v="2023-04-09T00:00:00"/>
    <n v="638.25"/>
    <n v="50"/>
  </r>
  <r>
    <n v="4"/>
    <d v="2023-04-09T00:00:00"/>
    <d v="2023-04-09T00:00:00"/>
    <x v="257"/>
    <n v="48.23"/>
    <x v="5"/>
    <x v="9"/>
    <x v="0"/>
    <x v="6"/>
    <x v="3"/>
    <n v="2023"/>
    <d v="2023-04-09T00:00:00"/>
    <n v="686.48"/>
    <n v="7"/>
  </r>
  <r>
    <n v="4"/>
    <d v="2023-04-09T00:00:00"/>
    <d v="2023-04-09T00:00:00"/>
    <x v="256"/>
    <n v="6.43"/>
    <x v="7"/>
    <x v="16"/>
    <x v="0"/>
    <x v="2"/>
    <x v="3"/>
    <n v="2023"/>
    <d v="2023-04-09T00:00:00"/>
    <n v="692.91"/>
    <n v="51"/>
  </r>
  <r>
    <n v="4"/>
    <d v="2023-04-09T00:00:00"/>
    <d v="2023-04-09T00:00:00"/>
    <x v="191"/>
    <n v="3"/>
    <x v="9"/>
    <x v="34"/>
    <x v="0"/>
    <x v="3"/>
    <x v="3"/>
    <n v="2023"/>
    <d v="2023-04-09T00:00:00"/>
    <n v="695.91"/>
    <n v="9"/>
  </r>
  <r>
    <n v="4"/>
    <d v="2023-04-09T00:00:00"/>
    <d v="2023-04-09T00:00:00"/>
    <x v="258"/>
    <n v="64.989999999999995"/>
    <x v="6"/>
    <x v="10"/>
    <x v="1"/>
    <x v="1"/>
    <x v="3"/>
    <n v="2023"/>
    <d v="2023-04-09T00:00:00"/>
    <n v="760.9"/>
    <n v="8"/>
  </r>
  <r>
    <n v="4"/>
    <d v="2023-04-10T00:00:00"/>
    <d v="2023-04-10T00:00:00"/>
    <x v="259"/>
    <n v="16.649999999999999"/>
    <x v="1"/>
    <x v="17"/>
    <x v="0"/>
    <x v="3"/>
    <x v="3"/>
    <n v="2023"/>
    <d v="2023-04-10T00:00:00"/>
    <n v="777.55"/>
    <n v="12"/>
  </r>
  <r>
    <n v="4"/>
    <d v="2023-04-10T00:00:00"/>
    <d v="2023-04-10T00:00:00"/>
    <x v="260"/>
    <n v="16.95"/>
    <x v="1"/>
    <x v="24"/>
    <x v="1"/>
    <x v="1"/>
    <x v="3"/>
    <n v="2023"/>
    <d v="2023-04-10T00:00:00"/>
    <n v="794.5"/>
    <n v="4"/>
  </r>
  <r>
    <n v="4"/>
    <d v="2023-04-10T00:00:00"/>
    <d v="2023-04-10T00:00:00"/>
    <x v="261"/>
    <n v="32.479999999999997"/>
    <x v="3"/>
    <x v="65"/>
    <x v="0"/>
    <x v="4"/>
    <x v="3"/>
    <n v="2023"/>
    <d v="2023-04-10T00:00:00"/>
    <n v="826.98"/>
    <n v="1"/>
  </r>
  <r>
    <n v="4"/>
    <d v="2023-04-10T00:00:00"/>
    <d v="2023-04-10T00:00:00"/>
    <x v="261"/>
    <n v="34.049999999999997"/>
    <x v="3"/>
    <x v="65"/>
    <x v="0"/>
    <x v="4"/>
    <x v="3"/>
    <n v="2023"/>
    <d v="2023-04-10T00:00:00"/>
    <n v="861.03"/>
    <n v="2"/>
  </r>
  <r>
    <n v="4"/>
    <d v="2023-04-10T00:00:00"/>
    <d v="2023-04-10T00:00:00"/>
    <x v="246"/>
    <n v="3"/>
    <x v="9"/>
    <x v="34"/>
    <x v="0"/>
    <x v="3"/>
    <x v="3"/>
    <n v="2023"/>
    <d v="2023-04-10T00:00:00"/>
    <n v="864.03"/>
    <n v="10"/>
  </r>
  <r>
    <n v="4"/>
    <d v="2023-04-10T00:00:00"/>
    <d v="2023-04-10T00:00:00"/>
    <x v="246"/>
    <n v="8.7200000000000006"/>
    <x v="9"/>
    <x v="34"/>
    <x v="0"/>
    <x v="3"/>
    <x v="3"/>
    <n v="2023"/>
    <d v="2023-04-10T00:00:00"/>
    <n v="872.75"/>
    <n v="11"/>
  </r>
  <r>
    <n v="4"/>
    <d v="2023-04-11T00:00:00"/>
    <d v="2023-04-11T00:00:00"/>
    <x v="84"/>
    <n v="38.450000000000003"/>
    <x v="2"/>
    <x v="7"/>
    <x v="0"/>
    <x v="3"/>
    <x v="3"/>
    <n v="2023"/>
    <d v="2023-04-11T00:00:00"/>
    <n v="911.2"/>
    <n v="18"/>
  </r>
  <r>
    <n v="4"/>
    <d v="2023-04-12T00:00:00"/>
    <d v="2023-04-12T00:00:00"/>
    <x v="262"/>
    <n v="80.03"/>
    <x v="1"/>
    <x v="20"/>
    <x v="0"/>
    <x v="3"/>
    <x v="3"/>
    <n v="2023"/>
    <d v="2023-04-12T00:00:00"/>
    <n v="991.23"/>
    <n v="6"/>
  </r>
  <r>
    <n v="4"/>
    <d v="2023-04-12T00:00:00"/>
    <d v="2023-04-12T00:00:00"/>
    <x v="263"/>
    <n v="44.46"/>
    <x v="1"/>
    <x v="17"/>
    <x v="0"/>
    <x v="3"/>
    <x v="3"/>
    <n v="2023"/>
    <d v="2023-04-12T00:00:00"/>
    <n v="1035.69"/>
    <n v="13"/>
  </r>
  <r>
    <n v="4"/>
    <d v="2023-04-12T00:00:00"/>
    <d v="2023-04-12T00:00:00"/>
    <x v="262"/>
    <n v="34.28"/>
    <x v="1"/>
    <x v="20"/>
    <x v="0"/>
    <x v="3"/>
    <x v="3"/>
    <n v="2023"/>
    <d v="2023-04-12T00:00:00"/>
    <n v="1069.97"/>
    <n v="7"/>
  </r>
  <r>
    <n v="4"/>
    <d v="2023-04-13T00:00:00"/>
    <d v="2023-04-13T00:00:00"/>
    <x v="264"/>
    <n v="9.86"/>
    <x v="1"/>
    <x v="17"/>
    <x v="0"/>
    <x v="3"/>
    <x v="3"/>
    <n v="2023"/>
    <d v="2023-04-13T00:00:00"/>
    <n v="1079.83"/>
    <n v="14"/>
  </r>
  <r>
    <n v="4"/>
    <d v="2023-04-13T00:00:00"/>
    <d v="2023-04-13T00:00:00"/>
    <x v="265"/>
    <n v="13.21"/>
    <x v="1"/>
    <x v="60"/>
    <x v="0"/>
    <x v="11"/>
    <x v="3"/>
    <n v="2023"/>
    <d v="2023-04-13T00:00:00"/>
    <n v="1093.04"/>
    <n v="2"/>
  </r>
  <r>
    <n v="4"/>
    <d v="2023-04-13T00:00:00"/>
    <d v="2023-04-13T00:00:00"/>
    <x v="266"/>
    <n v="23.91"/>
    <x v="13"/>
    <x v="66"/>
    <x v="0"/>
    <x v="10"/>
    <x v="3"/>
    <n v="2023"/>
    <d v="2023-04-13T00:00:00"/>
    <n v="1116.95"/>
    <n v="1"/>
  </r>
  <r>
    <n v="4"/>
    <d v="2023-04-13T00:00:00"/>
    <d v="2023-04-13T00:00:00"/>
    <x v="267"/>
    <n v="56.76"/>
    <x v="1"/>
    <x v="67"/>
    <x v="0"/>
    <x v="1"/>
    <x v="3"/>
    <n v="2023"/>
    <d v="2023-04-13T00:00:00"/>
    <n v="1173.71"/>
    <n v="1"/>
  </r>
  <r>
    <n v="4"/>
    <d v="2023-04-14T00:00:00"/>
    <d v="2023-04-14T00:00:00"/>
    <x v="268"/>
    <n v="32.97"/>
    <x v="7"/>
    <x v="16"/>
    <x v="0"/>
    <x v="2"/>
    <x v="3"/>
    <n v="2023"/>
    <d v="2023-04-14T00:00:00"/>
    <n v="1206.68"/>
    <n v="52"/>
  </r>
  <r>
    <n v="4"/>
    <d v="2023-04-14T00:00:00"/>
    <d v="2023-04-14T00:00:00"/>
    <x v="62"/>
    <n v="12.76"/>
    <x v="1"/>
    <x v="40"/>
    <x v="0"/>
    <x v="1"/>
    <x v="3"/>
    <n v="2023"/>
    <d v="2023-04-14T00:00:00"/>
    <n v="1219.44"/>
    <n v="26"/>
  </r>
  <r>
    <n v="4"/>
    <d v="2023-04-14T00:00:00"/>
    <d v="2023-04-14T00:00:00"/>
    <x v="269"/>
    <n v="21.66"/>
    <x v="9"/>
    <x v="23"/>
    <x v="0"/>
    <x v="6"/>
    <x v="3"/>
    <n v="2023"/>
    <d v="2023-04-14T00:00:00"/>
    <n v="1241.0999999999999"/>
    <n v="9"/>
  </r>
  <r>
    <n v="4"/>
    <d v="2023-04-14T00:00:00"/>
    <d v="2023-04-14T00:00:00"/>
    <x v="269"/>
    <n v="21.66"/>
    <x v="9"/>
    <x v="23"/>
    <x v="0"/>
    <x v="6"/>
    <x v="3"/>
    <n v="2023"/>
    <d v="2023-04-14T00:00:00"/>
    <n v="1262.76"/>
    <n v="10"/>
  </r>
  <r>
    <n v="4"/>
    <d v="2023-04-14T00:00:00"/>
    <d v="2023-04-14T00:00:00"/>
    <x v="270"/>
    <n v="9.2200000000000006"/>
    <x v="1"/>
    <x v="68"/>
    <x v="0"/>
    <x v="11"/>
    <x v="3"/>
    <n v="2023"/>
    <d v="2023-04-14T00:00:00"/>
    <n v="1271.98"/>
    <n v="1"/>
  </r>
  <r>
    <n v="4"/>
    <d v="2023-04-14T00:00:00"/>
    <d v="2023-04-14T00:00:00"/>
    <x v="227"/>
    <n v="64.05"/>
    <x v="2"/>
    <x v="3"/>
    <x v="0"/>
    <x v="2"/>
    <x v="3"/>
    <n v="2023"/>
    <d v="2023-04-14T00:00:00"/>
    <n v="1336.03"/>
    <n v="21"/>
  </r>
  <r>
    <n v="4"/>
    <d v="2023-04-14T00:00:00"/>
    <d v="2023-04-14T00:00:00"/>
    <x v="15"/>
    <n v="80.040000000000006"/>
    <x v="1"/>
    <x v="15"/>
    <x v="1"/>
    <x v="8"/>
    <x v="3"/>
    <n v="2023"/>
    <d v="2023-04-14T00:00:00"/>
    <n v="1416.07"/>
    <n v="4"/>
  </r>
  <r>
    <n v="4"/>
    <d v="2023-04-15T00:00:00"/>
    <d v="2023-04-15T00:00:00"/>
    <x v="55"/>
    <n v="25"/>
    <x v="9"/>
    <x v="36"/>
    <x v="0"/>
    <x v="6"/>
    <x v="3"/>
    <n v="2023"/>
    <d v="2023-04-15T00:00:00"/>
    <n v="1441.07"/>
    <n v="5"/>
  </r>
  <r>
    <n v="4"/>
    <d v="2023-04-15T00:00:00"/>
    <d v="2023-04-15T00:00:00"/>
    <x v="271"/>
    <n v="126.33"/>
    <x v="1"/>
    <x v="62"/>
    <x v="0"/>
    <x v="6"/>
    <x v="3"/>
    <n v="2023"/>
    <d v="2023-04-15T00:00:00"/>
    <n v="1567.4"/>
    <n v="3"/>
  </r>
  <r>
    <n v="4"/>
    <d v="2023-04-16T00:00:00"/>
    <d v="2023-04-16T00:00:00"/>
    <x v="36"/>
    <n v="7.99"/>
    <x v="6"/>
    <x v="27"/>
    <x v="1"/>
    <x v="1"/>
    <x v="3"/>
    <n v="2023"/>
    <d v="2023-04-16T00:00:00"/>
    <n v="1575.39"/>
    <n v="4"/>
  </r>
  <r>
    <n v="4"/>
    <d v="2023-04-17T00:00:00"/>
    <d v="2023-04-17T00:00:00"/>
    <x v="40"/>
    <n v="111.63"/>
    <x v="1"/>
    <x v="29"/>
    <x v="1"/>
    <x v="9"/>
    <x v="3"/>
    <n v="2023"/>
    <d v="2023-04-17T00:00:00"/>
    <n v="1687.02"/>
    <n v="4"/>
  </r>
  <r>
    <n v="4"/>
    <d v="2023-04-17T00:00:00"/>
    <d v="2023-04-17T00:00:00"/>
    <x v="246"/>
    <n v="3.27"/>
    <x v="9"/>
    <x v="34"/>
    <x v="0"/>
    <x v="3"/>
    <x v="3"/>
    <n v="2023"/>
    <d v="2023-04-17T00:00:00"/>
    <n v="1690.29"/>
    <n v="12"/>
  </r>
  <r>
    <n v="4"/>
    <d v="2023-04-17T00:00:00"/>
    <d v="2023-04-17T00:00:00"/>
    <x v="272"/>
    <n v="19.72"/>
    <x v="1"/>
    <x v="7"/>
    <x v="0"/>
    <x v="3"/>
    <x v="3"/>
    <n v="2023"/>
    <d v="2023-04-17T00:00:00"/>
    <n v="1710.01"/>
    <n v="19"/>
  </r>
  <r>
    <n v="4"/>
    <d v="2023-04-17T00:00:00"/>
    <d v="2023-04-17T00:00:00"/>
    <x v="273"/>
    <n v="87.68"/>
    <x v="1"/>
    <x v="17"/>
    <x v="0"/>
    <x v="3"/>
    <x v="3"/>
    <n v="2023"/>
    <d v="2023-04-17T00:00:00"/>
    <n v="1797.69"/>
    <n v="15"/>
  </r>
  <r>
    <n v="4"/>
    <d v="2023-04-17T00:00:00"/>
    <d v="2023-04-17T00:00:00"/>
    <x v="260"/>
    <n v="7.41"/>
    <x v="1"/>
    <x v="58"/>
    <x v="1"/>
    <x v="1"/>
    <x v="3"/>
    <n v="2023"/>
    <d v="2023-04-17T00:00:00"/>
    <n v="1805.1"/>
    <n v="2"/>
  </r>
  <r>
    <n v="4"/>
    <d v="2023-04-18T00:00:00"/>
    <d v="2023-04-18T00:00:00"/>
    <x v="274"/>
    <n v="32.28"/>
    <x v="1"/>
    <x v="7"/>
    <x v="0"/>
    <x v="3"/>
    <x v="3"/>
    <n v="2023"/>
    <d v="2023-04-18T00:00:00"/>
    <n v="1837.38"/>
    <n v="20"/>
  </r>
  <r>
    <n v="4"/>
    <d v="2023-04-18T00:00:00"/>
    <d v="2023-04-18T00:00:00"/>
    <x v="33"/>
    <n v="-1494.12"/>
    <x v="10"/>
    <x v="25"/>
    <x v="0"/>
    <x v="5"/>
    <x v="3"/>
    <n v="2023"/>
    <d v="2023-04-18T00:00:00"/>
    <n v="343.26000000000022"/>
    <n v="11"/>
  </r>
  <r>
    <n v="4"/>
    <d v="2023-04-18T00:00:00"/>
    <d v="2023-04-18T00:00:00"/>
    <x v="84"/>
    <n v="50.28"/>
    <x v="2"/>
    <x v="7"/>
    <x v="0"/>
    <x v="3"/>
    <x v="3"/>
    <n v="2023"/>
    <d v="2023-04-18T00:00:00"/>
    <n v="393.54000000000019"/>
    <n v="21"/>
  </r>
  <r>
    <n v="4"/>
    <d v="2023-04-19T00:00:00"/>
    <d v="2023-04-19T00:00:00"/>
    <x v="275"/>
    <n v="54.8"/>
    <x v="1"/>
    <x v="17"/>
    <x v="0"/>
    <x v="3"/>
    <x v="3"/>
    <n v="2023"/>
    <d v="2023-04-19T00:00:00"/>
    <n v="448.3400000000002"/>
    <n v="16"/>
  </r>
  <r>
    <n v="4"/>
    <d v="2023-04-19T00:00:00"/>
    <d v="2023-04-19T00:00:00"/>
    <x v="276"/>
    <n v="32.880000000000003"/>
    <x v="1"/>
    <x v="17"/>
    <x v="0"/>
    <x v="3"/>
    <x v="3"/>
    <n v="2023"/>
    <d v="2023-04-19T00:00:00"/>
    <n v="481.2200000000002"/>
    <n v="17"/>
  </r>
  <r>
    <n v="4"/>
    <d v="2023-04-19T00:00:00"/>
    <d v="2023-04-19T00:00:00"/>
    <x v="277"/>
    <n v="15.31"/>
    <x v="9"/>
    <x v="34"/>
    <x v="0"/>
    <x v="3"/>
    <x v="3"/>
    <n v="2023"/>
    <d v="2023-04-19T00:00:00"/>
    <n v="496.5300000000002"/>
    <n v="13"/>
  </r>
  <r>
    <n v="4"/>
    <d v="2023-04-19T00:00:00"/>
    <d v="2023-04-19T00:00:00"/>
    <x v="278"/>
    <n v="51.27"/>
    <x v="5"/>
    <x v="9"/>
    <x v="0"/>
    <x v="6"/>
    <x v="3"/>
    <n v="2023"/>
    <d v="2023-04-19T00:00:00"/>
    <n v="547.80000000000018"/>
    <n v="8"/>
  </r>
  <r>
    <n v="4"/>
    <d v="2023-04-19T00:00:00"/>
    <d v="2023-04-19T00:00:00"/>
    <x v="279"/>
    <n v="10.36"/>
    <x v="7"/>
    <x v="11"/>
    <x v="0"/>
    <x v="2"/>
    <x v="3"/>
    <n v="2023"/>
    <d v="2023-04-19T00:00:00"/>
    <n v="558.1600000000002"/>
    <n v="25"/>
  </r>
  <r>
    <n v="4"/>
    <d v="2023-04-20T00:00:00"/>
    <d v="2023-04-20T00:00:00"/>
    <x v="280"/>
    <n v="47.06"/>
    <x v="1"/>
    <x v="17"/>
    <x v="0"/>
    <x v="3"/>
    <x v="3"/>
    <n v="2023"/>
    <d v="2023-04-20T00:00:00"/>
    <n v="605.22000000000025"/>
    <n v="18"/>
  </r>
  <r>
    <n v="4"/>
    <d v="2023-04-20T00:00:00"/>
    <d v="2023-04-20T00:00:00"/>
    <x v="281"/>
    <n v="10.58"/>
    <x v="7"/>
    <x v="11"/>
    <x v="0"/>
    <x v="2"/>
    <x v="3"/>
    <n v="2023"/>
    <d v="2023-04-20T00:00:00"/>
    <n v="615.8000000000003"/>
    <n v="26"/>
  </r>
  <r>
    <n v="4"/>
    <d v="2023-04-20T00:00:00"/>
    <d v="2023-04-20T00:00:00"/>
    <x v="203"/>
    <n v="58.65"/>
    <x v="2"/>
    <x v="3"/>
    <x v="0"/>
    <x v="2"/>
    <x v="3"/>
    <n v="2023"/>
    <d v="2023-04-20T00:00:00"/>
    <n v="674.45000000000027"/>
    <n v="22"/>
  </r>
  <r>
    <n v="4"/>
    <d v="2023-04-20T00:00:00"/>
    <d v="2023-04-21T00:00:00"/>
    <x v="282"/>
    <n v="-44.46"/>
    <x v="10"/>
    <x v="17"/>
    <x v="0"/>
    <x v="3"/>
    <x v="3"/>
    <n v="2023"/>
    <d v="2023-04-20T00:00:00"/>
    <n v="629.99000000000024"/>
    <n v="19"/>
  </r>
  <r>
    <n v="4"/>
    <d v="2023-04-21T00:00:00"/>
    <d v="2023-04-21T00:00:00"/>
    <x v="227"/>
    <n v="90.75"/>
    <x v="2"/>
    <x v="3"/>
    <x v="0"/>
    <x v="2"/>
    <x v="3"/>
    <n v="2023"/>
    <d v="2023-04-21T00:00:00"/>
    <n v="720.74000000000024"/>
    <n v="23"/>
  </r>
  <r>
    <n v="4"/>
    <d v="2023-04-21T00:00:00"/>
    <d v="2023-04-21T00:00:00"/>
    <x v="203"/>
    <n v="10.94"/>
    <x v="2"/>
    <x v="3"/>
    <x v="0"/>
    <x v="2"/>
    <x v="3"/>
    <n v="2023"/>
    <d v="2023-04-21T00:00:00"/>
    <n v="731.68000000000029"/>
    <n v="24"/>
  </r>
  <r>
    <n v="4"/>
    <d v="2023-04-21T00:00:00"/>
    <d v="2023-04-21T00:00:00"/>
    <x v="3"/>
    <n v="38.020000000000003"/>
    <x v="2"/>
    <x v="3"/>
    <x v="0"/>
    <x v="2"/>
    <x v="3"/>
    <n v="2023"/>
    <d v="2023-04-21T00:00:00"/>
    <n v="769.70000000000027"/>
    <n v="25"/>
  </r>
  <r>
    <n v="4"/>
    <d v="2023-04-22T00:00:00"/>
    <d v="2023-04-22T00:00:00"/>
    <x v="283"/>
    <n v="76.73"/>
    <x v="1"/>
    <x v="17"/>
    <x v="0"/>
    <x v="3"/>
    <x v="3"/>
    <n v="2023"/>
    <d v="2023-04-22T00:00:00"/>
    <n v="846.43000000000029"/>
    <n v="20"/>
  </r>
  <r>
    <n v="4"/>
    <d v="2023-04-22T00:00:00"/>
    <d v="2023-04-22T00:00:00"/>
    <x v="284"/>
    <n v="49.15"/>
    <x v="1"/>
    <x v="17"/>
    <x v="0"/>
    <x v="3"/>
    <x v="3"/>
    <n v="2023"/>
    <d v="2023-04-22T00:00:00"/>
    <n v="895.58000000000027"/>
    <n v="21"/>
  </r>
  <r>
    <n v="4"/>
    <d v="2023-04-22T00:00:00"/>
    <d v="2023-04-22T00:00:00"/>
    <x v="285"/>
    <n v="12.95"/>
    <x v="1"/>
    <x v="67"/>
    <x v="0"/>
    <x v="1"/>
    <x v="3"/>
    <n v="2023"/>
    <d v="2023-04-22T00:00:00"/>
    <n v="908.53000000000031"/>
    <n v="2"/>
  </r>
  <r>
    <n v="4"/>
    <d v="2023-04-22T00:00:00"/>
    <d v="2023-04-22T00:00:00"/>
    <x v="285"/>
    <n v="14.95"/>
    <x v="1"/>
    <x v="67"/>
    <x v="0"/>
    <x v="1"/>
    <x v="3"/>
    <n v="2023"/>
    <d v="2023-04-22T00:00:00"/>
    <n v="923.48000000000036"/>
    <n v="3"/>
  </r>
  <r>
    <n v="4"/>
    <d v="2023-04-23T00:00:00"/>
    <d v="2023-04-23T00:00:00"/>
    <x v="286"/>
    <n v="26.23"/>
    <x v="7"/>
    <x v="16"/>
    <x v="0"/>
    <x v="2"/>
    <x v="3"/>
    <n v="2023"/>
    <d v="2023-04-23T00:00:00"/>
    <n v="949.71000000000038"/>
    <n v="53"/>
  </r>
  <r>
    <n v="4"/>
    <d v="2023-04-23T00:00:00"/>
    <d v="2023-04-23T00:00:00"/>
    <x v="287"/>
    <n v="11.36"/>
    <x v="7"/>
    <x v="24"/>
    <x v="1"/>
    <x v="1"/>
    <x v="3"/>
    <n v="2023"/>
    <d v="2023-04-23T00:00:00"/>
    <n v="961.07000000000039"/>
    <n v="5"/>
  </r>
  <r>
    <n v="4"/>
    <d v="2023-04-23T00:00:00"/>
    <d v="2023-04-23T00:00:00"/>
    <x v="288"/>
    <n v="8.52"/>
    <x v="7"/>
    <x v="16"/>
    <x v="0"/>
    <x v="2"/>
    <x v="3"/>
    <n v="2023"/>
    <d v="2023-04-23T00:00:00"/>
    <n v="969.59000000000037"/>
    <n v="54"/>
  </r>
  <r>
    <n v="4"/>
    <d v="2023-04-25T00:00:00"/>
    <d v="2023-04-25T00:00:00"/>
    <x v="289"/>
    <n v="49.83"/>
    <x v="7"/>
    <x v="16"/>
    <x v="0"/>
    <x v="2"/>
    <x v="3"/>
    <n v="2023"/>
    <d v="2023-04-25T00:00:00"/>
    <n v="1019.42"/>
    <n v="55"/>
  </r>
  <r>
    <n v="4"/>
    <d v="2023-04-25T00:00:00"/>
    <d v="2023-04-25T00:00:00"/>
    <x v="290"/>
    <n v="63.9"/>
    <x v="9"/>
    <x v="23"/>
    <x v="0"/>
    <x v="6"/>
    <x v="3"/>
    <n v="2023"/>
    <d v="2023-04-25T00:00:00"/>
    <n v="1083.32"/>
    <n v="11"/>
  </r>
  <r>
    <n v="4"/>
    <d v="2023-04-25T00:00:00"/>
    <d v="2023-04-25T00:00:00"/>
    <x v="291"/>
    <n v="35.93"/>
    <x v="1"/>
    <x v="17"/>
    <x v="0"/>
    <x v="3"/>
    <x v="3"/>
    <n v="2023"/>
    <d v="2023-04-25T00:00:00"/>
    <n v="1119.25"/>
    <n v="22"/>
  </r>
  <r>
    <n v="4"/>
    <d v="2023-04-25T00:00:00"/>
    <d v="2023-04-25T00:00:00"/>
    <x v="292"/>
    <n v="40.31"/>
    <x v="1"/>
    <x v="17"/>
    <x v="0"/>
    <x v="3"/>
    <x v="3"/>
    <n v="2023"/>
    <d v="2023-04-25T00:00:00"/>
    <n v="1159.56"/>
    <n v="23"/>
  </r>
  <r>
    <n v="4"/>
    <d v="2023-04-25T00:00:00"/>
    <d v="2023-04-25T00:00:00"/>
    <x v="293"/>
    <n v="48.88"/>
    <x v="5"/>
    <x v="23"/>
    <x v="0"/>
    <x v="6"/>
    <x v="3"/>
    <n v="2023"/>
    <d v="2023-04-25T00:00:00"/>
    <n v="1208.440000000001"/>
    <n v="12"/>
  </r>
  <r>
    <n v="4"/>
    <d v="2023-04-25T00:00:00"/>
    <d v="2023-04-25T00:00:00"/>
    <x v="294"/>
    <n v="53.9"/>
    <x v="9"/>
    <x v="23"/>
    <x v="0"/>
    <x v="6"/>
    <x v="3"/>
    <n v="2023"/>
    <d v="2023-04-25T00:00:00"/>
    <n v="1262.3400000000011"/>
    <n v="13"/>
  </r>
  <r>
    <n v="4"/>
    <d v="2023-04-25T00:00:00"/>
    <d v="2023-04-25T00:00:00"/>
    <x v="227"/>
    <n v="76.400000000000006"/>
    <x v="2"/>
    <x v="3"/>
    <x v="0"/>
    <x v="2"/>
    <x v="3"/>
    <n v="2023"/>
    <d v="2023-04-25T00:00:00"/>
    <n v="1338.7400000000009"/>
    <n v="26"/>
  </r>
  <r>
    <n v="4"/>
    <d v="2023-04-26T00:00:00"/>
    <d v="2023-04-26T00:00:00"/>
    <x v="62"/>
    <n v="13.81"/>
    <x v="1"/>
    <x v="40"/>
    <x v="0"/>
    <x v="1"/>
    <x v="3"/>
    <n v="2023"/>
    <d v="2023-04-26T00:00:00"/>
    <n v="1352.5500000000011"/>
    <n v="27"/>
  </r>
  <r>
    <n v="4"/>
    <d v="2023-04-26T00:00:00"/>
    <d v="2023-04-26T00:00:00"/>
    <x v="195"/>
    <n v="22"/>
    <x v="9"/>
    <x v="34"/>
    <x v="0"/>
    <x v="3"/>
    <x v="3"/>
    <n v="2023"/>
    <d v="2023-04-26T00:00:00"/>
    <n v="1374.5500000000011"/>
    <n v="14"/>
  </r>
  <r>
    <n v="4"/>
    <d v="2023-04-26T00:00:00"/>
    <d v="2023-04-26T00:00:00"/>
    <x v="295"/>
    <n v="119.49"/>
    <x v="1"/>
    <x v="17"/>
    <x v="0"/>
    <x v="3"/>
    <x v="3"/>
    <n v="2023"/>
    <d v="2023-04-26T00:00:00"/>
    <n v="1494.0400000000011"/>
    <n v="24"/>
  </r>
  <r>
    <n v="4"/>
    <d v="2023-04-26T00:00:00"/>
    <d v="2023-04-26T00:00:00"/>
    <x v="62"/>
    <n v="7.43"/>
    <x v="1"/>
    <x v="40"/>
    <x v="0"/>
    <x v="1"/>
    <x v="3"/>
    <n v="2023"/>
    <d v="2023-04-26T00:00:00"/>
    <n v="1501.4700000000009"/>
    <n v="28"/>
  </r>
  <r>
    <n v="4"/>
    <d v="2023-04-27T00:00:00"/>
    <d v="2023-04-27T00:00:00"/>
    <x v="296"/>
    <n v="51.52"/>
    <x v="1"/>
    <x v="25"/>
    <x v="0"/>
    <x v="5"/>
    <x v="3"/>
    <n v="2023"/>
    <d v="2023-04-27T00:00:00"/>
    <n v="1552.9900000000009"/>
    <n v="12"/>
  </r>
  <r>
    <n v="4"/>
    <d v="2023-04-28T00:00:00"/>
    <d v="2023-04-28T00:00:00"/>
    <x v="297"/>
    <n v="157.47"/>
    <x v="1"/>
    <x v="54"/>
    <x v="0"/>
    <x v="1"/>
    <x v="3"/>
    <n v="2023"/>
    <d v="2023-04-28T00:00:00"/>
    <n v="1710.4600000000009"/>
    <n v="2"/>
  </r>
  <r>
    <n v="4"/>
    <d v="2023-04-29T00:00:00"/>
    <d v="2023-04-29T00:00:00"/>
    <x v="298"/>
    <n v="36.229999999999997"/>
    <x v="7"/>
    <x v="39"/>
    <x v="0"/>
    <x v="1"/>
    <x v="3"/>
    <n v="2023"/>
    <d v="2023-04-29T00:00:00"/>
    <n v="1746.690000000001"/>
    <n v="9"/>
  </r>
  <r>
    <n v="4"/>
    <d v="2023-04-29T00:00:00"/>
    <d v="2023-04-29T00:00:00"/>
    <x v="299"/>
    <n v="27.16"/>
    <x v="1"/>
    <x v="67"/>
    <x v="0"/>
    <x v="1"/>
    <x v="3"/>
    <n v="2023"/>
    <d v="2023-04-29T00:00:00"/>
    <n v="1773.850000000001"/>
    <n v="4"/>
  </r>
  <r>
    <n v="4"/>
    <d v="2023-04-29T00:00:00"/>
    <d v="2023-04-29T00:00:00"/>
    <x v="300"/>
    <n v="255.09"/>
    <x v="1"/>
    <x v="20"/>
    <x v="0"/>
    <x v="3"/>
    <x v="3"/>
    <n v="2023"/>
    <d v="2023-04-29T00:00:00"/>
    <n v="2028.940000000001"/>
    <n v="8"/>
  </r>
  <r>
    <n v="4"/>
    <d v="2023-04-29T00:00:00"/>
    <d v="2023-04-29T00:00:00"/>
    <x v="301"/>
    <n v="13.91"/>
    <x v="7"/>
    <x v="16"/>
    <x v="0"/>
    <x v="2"/>
    <x v="3"/>
    <n v="2023"/>
    <d v="2023-04-29T00:00:00"/>
    <n v="2042.850000000001"/>
    <n v="56"/>
  </r>
  <r>
    <n v="4"/>
    <d v="2023-04-29T00:00:00"/>
    <d v="2023-04-29T00:00:00"/>
    <x v="302"/>
    <n v="2.34"/>
    <x v="6"/>
    <x v="32"/>
    <x v="0"/>
    <x v="6"/>
    <x v="3"/>
    <n v="2023"/>
    <d v="2023-04-29T00:00:00"/>
    <n v="2045.190000000001"/>
    <n v="14"/>
  </r>
  <r>
    <n v="4"/>
    <d v="2023-04-30T00:00:00"/>
    <d v="2023-04-30T00:00:00"/>
    <x v="191"/>
    <n v="6"/>
    <x v="9"/>
    <x v="34"/>
    <x v="0"/>
    <x v="3"/>
    <x v="3"/>
    <n v="2023"/>
    <d v="2023-04-30T00:00:00"/>
    <n v="2051.190000000001"/>
    <n v="15"/>
  </r>
  <r>
    <n v="4"/>
    <d v="2023-04-30T00:00:00"/>
    <d v="2023-04-30T00:00:00"/>
    <x v="65"/>
    <n v="12.15"/>
    <x v="9"/>
    <x v="19"/>
    <x v="0"/>
    <x v="6"/>
    <x v="3"/>
    <n v="2023"/>
    <d v="2023-04-30T00:00:00"/>
    <n v="2063.3400000000011"/>
    <n v="42"/>
  </r>
  <r>
    <n v="4"/>
    <d v="2023-04-30T00:00:00"/>
    <d v="2023-04-30T00:00:00"/>
    <x v="65"/>
    <n v="35.909999999999997"/>
    <x v="9"/>
    <x v="19"/>
    <x v="0"/>
    <x v="6"/>
    <x v="3"/>
    <n v="2023"/>
    <d v="2023-04-30T00:00:00"/>
    <n v="2099.25"/>
    <n v="43"/>
  </r>
  <r>
    <n v="5"/>
    <d v="2023-05-01T00:00:00"/>
    <d v="2023-05-03T00:00:00"/>
    <x v="101"/>
    <n v="5"/>
    <x v="6"/>
    <x v="47"/>
    <x v="1"/>
    <x v="3"/>
    <x v="4"/>
    <n v="2023"/>
    <d v="2023-05-01T00:00:00"/>
    <n v="2104.25"/>
    <n v="4"/>
  </r>
  <r>
    <n v="5"/>
    <d v="2023-05-01T00:00:00"/>
    <d v="2023-05-01T00:00:00"/>
    <x v="303"/>
    <n v="4.99"/>
    <x v="1"/>
    <x v="1"/>
    <x v="1"/>
    <x v="1"/>
    <x v="4"/>
    <n v="2023"/>
    <d v="2023-05-01T00:00:00"/>
    <n v="2109.2399999999998"/>
    <n v="5"/>
  </r>
  <r>
    <n v="5"/>
    <d v="2023-05-01T00:00:00"/>
    <d v="2023-05-01T00:00:00"/>
    <x v="57"/>
    <n v="41"/>
    <x v="11"/>
    <x v="37"/>
    <x v="0"/>
    <x v="9"/>
    <x v="4"/>
    <n v="2023"/>
    <d v="2023-05-01T00:00:00"/>
    <n v="2150.2399999999998"/>
    <n v="7"/>
  </r>
  <r>
    <n v="5"/>
    <d v="2023-05-01T00:00:00"/>
    <d v="2023-05-03T00:00:00"/>
    <x v="2"/>
    <n v="10.59"/>
    <x v="1"/>
    <x v="2"/>
    <x v="1"/>
    <x v="1"/>
    <x v="4"/>
    <n v="2023"/>
    <d v="2023-05-01T00:00:00"/>
    <n v="2160.83"/>
    <n v="5"/>
  </r>
  <r>
    <n v="5"/>
    <d v="2023-05-01T00:00:00"/>
    <d v="2023-05-01T00:00:00"/>
    <x v="56"/>
    <n v="0.7"/>
    <x v="11"/>
    <x v="37"/>
    <x v="0"/>
    <x v="9"/>
    <x v="4"/>
    <n v="2023"/>
    <d v="2023-05-01T00:00:00"/>
    <n v="2161.5300000000002"/>
    <n v="8"/>
  </r>
  <r>
    <n v="5"/>
    <d v="2023-05-01T00:00:00"/>
    <d v="2023-05-01T00:00:00"/>
    <x v="56"/>
    <n v="0.87"/>
    <x v="11"/>
    <x v="37"/>
    <x v="0"/>
    <x v="9"/>
    <x v="4"/>
    <n v="2023"/>
    <d v="2023-05-01T00:00:00"/>
    <n v="2162.4"/>
    <n v="9"/>
  </r>
  <r>
    <n v="5"/>
    <d v="2023-05-01T00:00:00"/>
    <d v="2023-05-01T00:00:00"/>
    <x v="304"/>
    <n v="32.28"/>
    <x v="1"/>
    <x v="7"/>
    <x v="0"/>
    <x v="3"/>
    <x v="4"/>
    <n v="2023"/>
    <d v="2023-05-01T00:00:00"/>
    <n v="2194.6799999999998"/>
    <n v="22"/>
  </r>
  <r>
    <n v="5"/>
    <d v="2023-05-01T00:00:00"/>
    <d v="2023-05-02T00:00:00"/>
    <x v="56"/>
    <n v="-0.7"/>
    <x v="10"/>
    <x v="37"/>
    <x v="0"/>
    <x v="9"/>
    <x v="4"/>
    <n v="2023"/>
    <d v="2023-05-01T00:00:00"/>
    <n v="2193.98"/>
    <n v="10"/>
  </r>
  <r>
    <n v="5"/>
    <d v="2023-05-01T00:00:00"/>
    <d v="2023-05-01T00:00:00"/>
    <x v="210"/>
    <n v="20"/>
    <x v="1"/>
    <x v="59"/>
    <x v="1"/>
    <x v="3"/>
    <x v="4"/>
    <n v="2023"/>
    <d v="2023-05-01T00:00:00"/>
    <n v="2213.98"/>
    <n v="3"/>
  </r>
  <r>
    <n v="5"/>
    <d v="2023-05-02T00:00:00"/>
    <d v="2023-05-03T00:00:00"/>
    <x v="302"/>
    <n v="6"/>
    <x v="6"/>
    <x v="32"/>
    <x v="0"/>
    <x v="6"/>
    <x v="4"/>
    <n v="2023"/>
    <d v="2023-05-02T00:00:00"/>
    <n v="2219.98"/>
    <n v="15"/>
  </r>
  <r>
    <n v="5"/>
    <d v="2023-05-02T00:00:00"/>
    <d v="2023-05-02T00:00:00"/>
    <x v="305"/>
    <n v="125.1"/>
    <x v="6"/>
    <x v="55"/>
    <x v="1"/>
    <x v="3"/>
    <x v="4"/>
    <n v="2023"/>
    <d v="2023-05-02T00:00:00"/>
    <n v="2345.08"/>
    <n v="5"/>
  </r>
  <r>
    <n v="5"/>
    <d v="2023-05-02T00:00:00"/>
    <d v="2023-05-02T00:00:00"/>
    <x v="306"/>
    <n v="139"/>
    <x v="6"/>
    <x v="55"/>
    <x v="1"/>
    <x v="3"/>
    <x v="4"/>
    <n v="2023"/>
    <d v="2023-05-02T00:00:00"/>
    <n v="2484.08"/>
    <n v="6"/>
  </r>
  <r>
    <n v="5"/>
    <d v="2023-05-02T00:00:00"/>
    <d v="2023-05-03T00:00:00"/>
    <x v="307"/>
    <n v="48.84"/>
    <x v="5"/>
    <x v="9"/>
    <x v="0"/>
    <x v="6"/>
    <x v="4"/>
    <n v="2023"/>
    <d v="2023-05-02T00:00:00"/>
    <n v="2532.920000000001"/>
    <n v="9"/>
  </r>
  <r>
    <n v="5"/>
    <d v="2023-05-02T00:00:00"/>
    <d v="2023-05-03T00:00:00"/>
    <x v="308"/>
    <n v="32.68"/>
    <x v="7"/>
    <x v="11"/>
    <x v="0"/>
    <x v="2"/>
    <x v="4"/>
    <n v="2023"/>
    <d v="2023-05-02T00:00:00"/>
    <n v="2565.6"/>
    <n v="27"/>
  </r>
  <r>
    <n v="5"/>
    <d v="2023-05-02T00:00:00"/>
    <d v="2023-05-03T00:00:00"/>
    <x v="4"/>
    <n v="10"/>
    <x v="1"/>
    <x v="4"/>
    <x v="1"/>
    <x v="1"/>
    <x v="4"/>
    <n v="2023"/>
    <d v="2023-05-02T00:00:00"/>
    <n v="2575.6"/>
    <n v="5"/>
  </r>
  <r>
    <n v="5"/>
    <d v="2023-05-03T00:00:00"/>
    <d v="2023-05-03T00:00:00"/>
    <x v="309"/>
    <n v="45.41"/>
    <x v="7"/>
    <x v="16"/>
    <x v="0"/>
    <x v="2"/>
    <x v="4"/>
    <n v="2023"/>
    <d v="2023-05-03T00:00:00"/>
    <n v="2621.0100000000002"/>
    <n v="57"/>
  </r>
  <r>
    <n v="5"/>
    <d v="2023-05-03T00:00:00"/>
    <d v="2023-05-03T00:00:00"/>
    <x v="310"/>
    <n v="29.59"/>
    <x v="7"/>
    <x v="22"/>
    <x v="0"/>
    <x v="1"/>
    <x v="4"/>
    <n v="2023"/>
    <d v="2023-05-03T00:00:00"/>
    <n v="2650.6"/>
    <n v="2"/>
  </r>
  <r>
    <n v="5"/>
    <d v="2023-05-03T00:00:00"/>
    <d v="2023-05-03T00:00:00"/>
    <x v="225"/>
    <n v="4.3899999999999997"/>
    <x v="9"/>
    <x v="34"/>
    <x v="0"/>
    <x v="3"/>
    <x v="4"/>
    <n v="2023"/>
    <d v="2023-05-03T00:00:00"/>
    <n v="2654.99"/>
    <n v="16"/>
  </r>
  <r>
    <n v="5"/>
    <d v="2023-05-03T00:00:00"/>
    <d v="2023-05-03T00:00:00"/>
    <x v="311"/>
    <n v="15.89"/>
    <x v="6"/>
    <x v="10"/>
    <x v="1"/>
    <x v="1"/>
    <x v="4"/>
    <n v="2023"/>
    <d v="2023-05-03T00:00:00"/>
    <n v="2670.88"/>
    <n v="9"/>
  </r>
  <r>
    <n v="5"/>
    <d v="2023-05-03T00:00:00"/>
    <d v="2023-05-03T00:00:00"/>
    <x v="8"/>
    <n v="-46.32"/>
    <x v="4"/>
    <x v="8"/>
    <x v="0"/>
    <x v="5"/>
    <x v="4"/>
    <n v="2023"/>
    <d v="2023-05-03T00:00:00"/>
    <n v="2624.56"/>
    <n v="5"/>
  </r>
  <r>
    <n v="5"/>
    <d v="2023-05-03T00:00:00"/>
    <d v="2023-05-03T00:00:00"/>
    <x v="33"/>
    <n v="-2069.29"/>
    <x v="10"/>
    <x v="25"/>
    <x v="0"/>
    <x v="5"/>
    <x v="4"/>
    <n v="2023"/>
    <d v="2023-05-03T00:00:00"/>
    <n v="555.27"/>
    <n v="13"/>
  </r>
  <r>
    <n v="5"/>
    <d v="2023-05-04T00:00:00"/>
    <d v="2023-05-04T00:00:00"/>
    <x v="312"/>
    <n v="54.5"/>
    <x v="2"/>
    <x v="7"/>
    <x v="0"/>
    <x v="3"/>
    <x v="4"/>
    <n v="2023"/>
    <d v="2023-05-04T00:00:00"/>
    <n v="609.77"/>
    <n v="23"/>
  </r>
  <r>
    <n v="5"/>
    <d v="2023-05-04T00:00:00"/>
    <d v="2023-05-04T00:00:00"/>
    <x v="227"/>
    <n v="110.58"/>
    <x v="2"/>
    <x v="3"/>
    <x v="0"/>
    <x v="2"/>
    <x v="4"/>
    <n v="2023"/>
    <d v="2023-05-04T00:00:00"/>
    <n v="720.35"/>
    <n v="27"/>
  </r>
  <r>
    <n v="5"/>
    <d v="2023-05-04T00:00:00"/>
    <d v="2023-05-04T00:00:00"/>
    <x v="313"/>
    <n v="96.47"/>
    <x v="1"/>
    <x v="67"/>
    <x v="0"/>
    <x v="1"/>
    <x v="4"/>
    <n v="2023"/>
    <d v="2023-05-04T00:00:00"/>
    <n v="816.82"/>
    <n v="5"/>
  </r>
  <r>
    <n v="5"/>
    <d v="2023-05-04T00:00:00"/>
    <d v="2023-05-04T00:00:00"/>
    <x v="314"/>
    <n v="109.63"/>
    <x v="1"/>
    <x v="34"/>
    <x v="0"/>
    <x v="3"/>
    <x v="4"/>
    <n v="2023"/>
    <d v="2023-05-04T00:00:00"/>
    <n v="926.45"/>
    <n v="17"/>
  </r>
  <r>
    <n v="5"/>
    <d v="2023-05-04T00:00:00"/>
    <d v="2023-05-04T00:00:00"/>
    <x v="315"/>
    <n v="59"/>
    <x v="6"/>
    <x v="42"/>
    <x v="0"/>
    <x v="3"/>
    <x v="4"/>
    <n v="2023"/>
    <d v="2023-05-04T00:00:00"/>
    <n v="985.45"/>
    <n v="6"/>
  </r>
  <r>
    <n v="5"/>
    <d v="2023-05-04T00:00:00"/>
    <d v="2023-05-04T00:00:00"/>
    <x v="316"/>
    <n v="49"/>
    <x v="8"/>
    <x v="13"/>
    <x v="1"/>
    <x v="3"/>
    <x v="4"/>
    <n v="2023"/>
    <d v="2023-05-04T00:00:00"/>
    <n v="1034.45"/>
    <n v="6"/>
  </r>
  <r>
    <n v="5"/>
    <d v="2023-05-04T00:00:00"/>
    <d v="2023-05-04T00:00:00"/>
    <x v="317"/>
    <n v="49"/>
    <x v="8"/>
    <x v="13"/>
    <x v="1"/>
    <x v="3"/>
    <x v="4"/>
    <n v="2023"/>
    <d v="2023-05-04T00:00:00"/>
    <n v="1083.45"/>
    <n v="7"/>
  </r>
  <r>
    <n v="5"/>
    <d v="2023-05-04T00:00:00"/>
    <d v="2023-05-04T00:00:00"/>
    <x v="318"/>
    <n v="98.65"/>
    <x v="1"/>
    <x v="17"/>
    <x v="0"/>
    <x v="3"/>
    <x v="4"/>
    <n v="2023"/>
    <d v="2023-05-04T00:00:00"/>
    <n v="1182.0999999999999"/>
    <n v="25"/>
  </r>
  <r>
    <n v="5"/>
    <d v="2023-05-04T00:00:00"/>
    <d v="2023-05-04T00:00:00"/>
    <x v="55"/>
    <n v="25"/>
    <x v="9"/>
    <x v="36"/>
    <x v="0"/>
    <x v="6"/>
    <x v="4"/>
    <n v="2023"/>
    <d v="2023-05-04T00:00:00"/>
    <n v="1207.0999999999999"/>
    <n v="6"/>
  </r>
  <r>
    <n v="5"/>
    <d v="2023-05-06T00:00:00"/>
    <d v="2023-05-06T00:00:00"/>
    <x v="319"/>
    <n v="33.200000000000003"/>
    <x v="9"/>
    <x v="49"/>
    <x v="0"/>
    <x v="1"/>
    <x v="4"/>
    <n v="2023"/>
    <d v="2023-05-06T00:00:00"/>
    <n v="1240.3"/>
    <n v="8"/>
  </r>
  <r>
    <n v="5"/>
    <d v="2023-05-06T00:00:00"/>
    <d v="2023-05-06T00:00:00"/>
    <x v="320"/>
    <n v="10.95"/>
    <x v="9"/>
    <x v="49"/>
    <x v="0"/>
    <x v="1"/>
    <x v="4"/>
    <n v="2023"/>
    <d v="2023-05-06T00:00:00"/>
    <n v="1251.25"/>
    <n v="9"/>
  </r>
  <r>
    <n v="5"/>
    <d v="2023-05-06T00:00:00"/>
    <d v="2023-05-06T00:00:00"/>
    <x v="182"/>
    <n v="150"/>
    <x v="6"/>
    <x v="57"/>
    <x v="0"/>
    <x v="3"/>
    <x v="4"/>
    <n v="2023"/>
    <d v="2023-05-06T00:00:00"/>
    <n v="1401.25"/>
    <n v="2"/>
  </r>
  <r>
    <n v="5"/>
    <d v="2023-05-06T00:00:00"/>
    <d v="2023-05-06T00:00:00"/>
    <x v="321"/>
    <n v="12.86"/>
    <x v="7"/>
    <x v="11"/>
    <x v="0"/>
    <x v="2"/>
    <x v="4"/>
    <n v="2023"/>
    <d v="2023-05-06T00:00:00"/>
    <n v="1414.11"/>
    <n v="28"/>
  </r>
  <r>
    <n v="5"/>
    <d v="2023-05-07T00:00:00"/>
    <d v="2023-05-07T00:00:00"/>
    <x v="322"/>
    <n v="9.99"/>
    <x v="1"/>
    <x v="18"/>
    <x v="1"/>
    <x v="3"/>
    <x v="4"/>
    <n v="2023"/>
    <d v="2023-05-07T00:00:00"/>
    <n v="1424.1"/>
    <n v="5"/>
  </r>
  <r>
    <n v="5"/>
    <d v="2023-05-07T00:00:00"/>
    <d v="2023-05-07T00:00:00"/>
    <x v="323"/>
    <n v="38.14"/>
    <x v="1"/>
    <x v="69"/>
    <x v="1"/>
    <x v="1"/>
    <x v="4"/>
    <n v="2023"/>
    <d v="2023-05-07T00:00:00"/>
    <n v="1462.24"/>
    <n v="1"/>
  </r>
  <r>
    <n v="5"/>
    <d v="2023-05-07T00:00:00"/>
    <d v="2023-05-07T00:00:00"/>
    <x v="324"/>
    <n v="68.040000000000006"/>
    <x v="2"/>
    <x v="70"/>
    <x v="0"/>
    <x v="11"/>
    <x v="4"/>
    <n v="2023"/>
    <d v="2023-05-07T00:00:00"/>
    <n v="1530.28"/>
    <n v="1"/>
  </r>
  <r>
    <n v="5"/>
    <d v="2023-05-07T00:00:00"/>
    <d v="2023-05-07T00:00:00"/>
    <x v="325"/>
    <n v="4.75"/>
    <x v="1"/>
    <x v="16"/>
    <x v="0"/>
    <x v="2"/>
    <x v="4"/>
    <n v="2023"/>
    <d v="2023-05-07T00:00:00"/>
    <n v="1535.03"/>
    <n v="58"/>
  </r>
  <r>
    <n v="5"/>
    <d v="2023-05-07T00:00:00"/>
    <d v="2023-05-07T00:00:00"/>
    <x v="326"/>
    <n v="44.49"/>
    <x v="2"/>
    <x v="16"/>
    <x v="0"/>
    <x v="2"/>
    <x v="4"/>
    <n v="2023"/>
    <d v="2023-05-07T00:00:00"/>
    <n v="1579.52"/>
    <n v="59"/>
  </r>
  <r>
    <n v="5"/>
    <d v="2023-05-07T00:00:00"/>
    <d v="2023-05-07T00:00:00"/>
    <x v="327"/>
    <n v="40"/>
    <x v="1"/>
    <x v="70"/>
    <x v="0"/>
    <x v="11"/>
    <x v="4"/>
    <n v="2023"/>
    <d v="2023-05-07T00:00:00"/>
    <n v="1619.52"/>
    <n v="2"/>
  </r>
  <r>
    <n v="5"/>
    <d v="2023-05-08T00:00:00"/>
    <d v="2023-05-08T00:00:00"/>
    <x v="328"/>
    <n v="20"/>
    <x v="6"/>
    <x v="67"/>
    <x v="0"/>
    <x v="1"/>
    <x v="4"/>
    <n v="2023"/>
    <d v="2023-05-08T00:00:00"/>
    <n v="1639.52"/>
    <n v="6"/>
  </r>
  <r>
    <n v="5"/>
    <d v="2023-05-08T00:00:00"/>
    <d v="2023-05-08T00:00:00"/>
    <x v="329"/>
    <n v="13.35"/>
    <x v="7"/>
    <x v="11"/>
    <x v="0"/>
    <x v="2"/>
    <x v="4"/>
    <n v="2023"/>
    <d v="2023-05-08T00:00:00"/>
    <n v="1652.87"/>
    <n v="29"/>
  </r>
  <r>
    <n v="5"/>
    <d v="2023-05-08T00:00:00"/>
    <d v="2023-05-08T00:00:00"/>
    <x v="330"/>
    <n v="7.23"/>
    <x v="5"/>
    <x v="12"/>
    <x v="0"/>
    <x v="3"/>
    <x v="4"/>
    <n v="2023"/>
    <d v="2023-05-08T00:00:00"/>
    <n v="1660.1"/>
    <n v="9"/>
  </r>
  <r>
    <n v="5"/>
    <d v="2023-05-09T00:00:00"/>
    <d v="2023-05-09T00:00:00"/>
    <x v="331"/>
    <n v="60"/>
    <x v="7"/>
    <x v="16"/>
    <x v="0"/>
    <x v="2"/>
    <x v="4"/>
    <n v="2023"/>
    <d v="2023-05-09T00:00:00"/>
    <n v="1720.1"/>
    <n v="60"/>
  </r>
  <r>
    <n v="5"/>
    <d v="2023-05-09T00:00:00"/>
    <d v="2023-05-09T00:00:00"/>
    <x v="226"/>
    <n v="1"/>
    <x v="6"/>
    <x v="32"/>
    <x v="0"/>
    <x v="6"/>
    <x v="4"/>
    <n v="2023"/>
    <d v="2023-05-09T00:00:00"/>
    <n v="1721.1"/>
    <n v="16"/>
  </r>
  <r>
    <n v="5"/>
    <d v="2023-05-09T00:00:00"/>
    <d v="2023-05-09T00:00:00"/>
    <x v="332"/>
    <n v="72.989999999999995"/>
    <x v="6"/>
    <x v="10"/>
    <x v="1"/>
    <x v="1"/>
    <x v="4"/>
    <n v="2023"/>
    <d v="2023-05-09T00:00:00"/>
    <n v="1794.09"/>
    <n v="10"/>
  </r>
  <r>
    <n v="5"/>
    <d v="2023-05-09T00:00:00"/>
    <d v="2023-05-09T00:00:00"/>
    <x v="333"/>
    <n v="96.47"/>
    <x v="7"/>
    <x v="16"/>
    <x v="0"/>
    <x v="2"/>
    <x v="4"/>
    <n v="2023"/>
    <d v="2023-05-09T00:00:00"/>
    <n v="1890.56"/>
    <n v="61"/>
  </r>
  <r>
    <n v="5"/>
    <d v="2023-05-09T00:00:00"/>
    <d v="2023-05-09T00:00:00"/>
    <x v="334"/>
    <n v="38.18"/>
    <x v="11"/>
    <x v="56"/>
    <x v="0"/>
    <x v="7"/>
    <x v="4"/>
    <n v="2023"/>
    <d v="2023-05-09T00:00:00"/>
    <n v="1928.74"/>
    <n v="4"/>
  </r>
  <r>
    <n v="5"/>
    <d v="2023-05-10T00:00:00"/>
    <d v="2023-05-10T00:00:00"/>
    <x v="281"/>
    <n v="13.7"/>
    <x v="7"/>
    <x v="11"/>
    <x v="0"/>
    <x v="2"/>
    <x v="4"/>
    <n v="2023"/>
    <d v="2023-05-10T00:00:00"/>
    <n v="1942.44"/>
    <n v="30"/>
  </r>
  <r>
    <n v="5"/>
    <d v="2023-05-10T00:00:00"/>
    <d v="2023-05-10T00:00:00"/>
    <x v="203"/>
    <n v="61.62"/>
    <x v="2"/>
    <x v="3"/>
    <x v="0"/>
    <x v="2"/>
    <x v="4"/>
    <n v="2023"/>
    <d v="2023-05-10T00:00:00"/>
    <n v="2004.06"/>
    <n v="28"/>
  </r>
  <r>
    <n v="5"/>
    <d v="2023-05-11T00:00:00"/>
    <d v="2023-05-11T00:00:00"/>
    <x v="296"/>
    <n v="51.52"/>
    <x v="1"/>
    <x v="25"/>
    <x v="0"/>
    <x v="5"/>
    <x v="4"/>
    <n v="2023"/>
    <d v="2023-05-11T00:00:00"/>
    <n v="2055.58"/>
    <n v="14"/>
  </r>
  <r>
    <n v="5"/>
    <d v="2023-05-11T00:00:00"/>
    <d v="2023-05-11T00:00:00"/>
    <x v="335"/>
    <n v="35.68"/>
    <x v="1"/>
    <x v="17"/>
    <x v="0"/>
    <x v="3"/>
    <x v="4"/>
    <n v="2023"/>
    <d v="2023-05-11T00:00:00"/>
    <n v="2091.2600000000002"/>
    <n v="26"/>
  </r>
  <r>
    <n v="5"/>
    <d v="2023-05-11T00:00:00"/>
    <d v="2023-05-11T00:00:00"/>
    <x v="336"/>
    <n v="16.95"/>
    <x v="1"/>
    <x v="24"/>
    <x v="1"/>
    <x v="1"/>
    <x v="4"/>
    <n v="2023"/>
    <d v="2023-05-11T00:00:00"/>
    <n v="2108.21"/>
    <n v="6"/>
  </r>
  <r>
    <n v="5"/>
    <d v="2023-05-11T00:00:00"/>
    <d v="2023-05-11T00:00:00"/>
    <x v="62"/>
    <n v="9.66"/>
    <x v="1"/>
    <x v="40"/>
    <x v="0"/>
    <x v="1"/>
    <x v="4"/>
    <n v="2023"/>
    <d v="2023-05-11T00:00:00"/>
    <n v="2117.87"/>
    <n v="29"/>
  </r>
  <r>
    <n v="5"/>
    <d v="2023-05-11T00:00:00"/>
    <d v="2023-05-11T00:00:00"/>
    <x v="65"/>
    <n v="1"/>
    <x v="9"/>
    <x v="19"/>
    <x v="0"/>
    <x v="6"/>
    <x v="4"/>
    <n v="2023"/>
    <d v="2023-05-11T00:00:00"/>
    <n v="2118.87"/>
    <n v="44"/>
  </r>
  <r>
    <n v="5"/>
    <d v="2023-05-11T00:00:00"/>
    <d v="2023-05-11T00:00:00"/>
    <x v="65"/>
    <n v="3"/>
    <x v="9"/>
    <x v="19"/>
    <x v="0"/>
    <x v="6"/>
    <x v="4"/>
    <n v="2023"/>
    <d v="2023-05-11T00:00:00"/>
    <n v="2121.87"/>
    <n v="45"/>
  </r>
  <r>
    <n v="5"/>
    <d v="2023-05-11T00:00:00"/>
    <d v="2023-05-11T00:00:00"/>
    <x v="65"/>
    <n v="13.9"/>
    <x v="9"/>
    <x v="19"/>
    <x v="0"/>
    <x v="6"/>
    <x v="4"/>
    <n v="2023"/>
    <d v="2023-05-11T00:00:00"/>
    <n v="2135.77"/>
    <n v="46"/>
  </r>
  <r>
    <n v="5"/>
    <d v="2023-05-11T00:00:00"/>
    <d v="2023-05-11T00:00:00"/>
    <x v="65"/>
    <n v="14.98"/>
    <x v="9"/>
    <x v="19"/>
    <x v="0"/>
    <x v="6"/>
    <x v="4"/>
    <n v="2023"/>
    <d v="2023-05-11T00:00:00"/>
    <n v="2150.75"/>
    <n v="47"/>
  </r>
  <r>
    <n v="5"/>
    <d v="2023-05-12T00:00:00"/>
    <d v="2023-05-12T00:00:00"/>
    <x v="337"/>
    <n v="77.94"/>
    <x v="9"/>
    <x v="22"/>
    <x v="0"/>
    <x v="1"/>
    <x v="4"/>
    <n v="2023"/>
    <d v="2023-05-12T00:00:00"/>
    <n v="2228.69"/>
    <n v="3"/>
  </r>
  <r>
    <n v="5"/>
    <d v="2023-05-12T00:00:00"/>
    <d v="2023-05-12T00:00:00"/>
    <x v="338"/>
    <n v="10"/>
    <x v="1"/>
    <x v="38"/>
    <x v="0"/>
    <x v="3"/>
    <x v="4"/>
    <n v="2023"/>
    <d v="2023-05-12T00:00:00"/>
    <n v="2238.69"/>
    <n v="9"/>
  </r>
  <r>
    <n v="5"/>
    <d v="2023-05-12T00:00:00"/>
    <d v="2023-05-12T00:00:00"/>
    <x v="339"/>
    <n v="117.32"/>
    <x v="1"/>
    <x v="67"/>
    <x v="0"/>
    <x v="1"/>
    <x v="4"/>
    <n v="2023"/>
    <d v="2023-05-12T00:00:00"/>
    <n v="2356.0100000000002"/>
    <n v="7"/>
  </r>
  <r>
    <n v="5"/>
    <d v="2023-05-12T00:00:00"/>
    <d v="2023-05-12T00:00:00"/>
    <x v="340"/>
    <n v="45.3"/>
    <x v="7"/>
    <x v="16"/>
    <x v="0"/>
    <x v="2"/>
    <x v="4"/>
    <n v="2023"/>
    <d v="2023-05-12T00:00:00"/>
    <n v="2401.31"/>
    <n v="62"/>
  </r>
  <r>
    <n v="5"/>
    <d v="2023-05-12T00:00:00"/>
    <d v="2023-05-12T00:00:00"/>
    <x v="341"/>
    <n v="36.54"/>
    <x v="1"/>
    <x v="38"/>
    <x v="0"/>
    <x v="3"/>
    <x v="4"/>
    <n v="2023"/>
    <d v="2023-05-12T00:00:00"/>
    <n v="2437.85"/>
    <n v="10"/>
  </r>
  <r>
    <n v="5"/>
    <d v="2023-05-13T00:00:00"/>
    <d v="2023-05-13T00:00:00"/>
    <x v="342"/>
    <n v="8.8000000000000007"/>
    <x v="7"/>
    <x v="16"/>
    <x v="0"/>
    <x v="2"/>
    <x v="4"/>
    <n v="2023"/>
    <d v="2023-05-13T00:00:00"/>
    <n v="2446.650000000001"/>
    <n v="63"/>
  </r>
  <r>
    <n v="5"/>
    <d v="2023-05-13T00:00:00"/>
    <d v="2023-05-13T00:00:00"/>
    <x v="343"/>
    <n v="190.4"/>
    <x v="9"/>
    <x v="41"/>
    <x v="0"/>
    <x v="10"/>
    <x v="4"/>
    <n v="2023"/>
    <d v="2023-05-13T00:00:00"/>
    <n v="2637.0500000000011"/>
    <n v="3"/>
  </r>
  <r>
    <n v="5"/>
    <d v="2023-05-13T00:00:00"/>
    <d v="2023-05-13T00:00:00"/>
    <x v="344"/>
    <n v="35.72"/>
    <x v="7"/>
    <x v="16"/>
    <x v="0"/>
    <x v="2"/>
    <x v="4"/>
    <n v="2023"/>
    <d v="2023-05-13T00:00:00"/>
    <n v="2672.77"/>
    <n v="64"/>
  </r>
  <r>
    <n v="5"/>
    <d v="2023-05-13T00:00:00"/>
    <d v="2023-05-13T00:00:00"/>
    <x v="345"/>
    <n v="5.29"/>
    <x v="7"/>
    <x v="16"/>
    <x v="0"/>
    <x v="2"/>
    <x v="4"/>
    <n v="2023"/>
    <d v="2023-05-13T00:00:00"/>
    <n v="2678.06"/>
    <n v="65"/>
  </r>
  <r>
    <n v="5"/>
    <d v="2023-05-13T00:00:00"/>
    <d v="2023-05-13T00:00:00"/>
    <x v="65"/>
    <n v="16.73"/>
    <x v="9"/>
    <x v="19"/>
    <x v="0"/>
    <x v="6"/>
    <x v="4"/>
    <n v="2023"/>
    <d v="2023-05-13T00:00:00"/>
    <n v="2694.79"/>
    <n v="48"/>
  </r>
  <r>
    <n v="5"/>
    <d v="2023-05-13T00:00:00"/>
    <d v="2023-05-13T00:00:00"/>
    <x v="65"/>
    <n v="18.93"/>
    <x v="9"/>
    <x v="19"/>
    <x v="0"/>
    <x v="6"/>
    <x v="4"/>
    <n v="2023"/>
    <d v="2023-05-13T00:00:00"/>
    <n v="2713.72"/>
    <n v="49"/>
  </r>
  <r>
    <n v="5"/>
    <d v="2023-05-13T00:00:00"/>
    <d v="2023-05-13T00:00:00"/>
    <x v="346"/>
    <n v="5"/>
    <x v="9"/>
    <x v="19"/>
    <x v="0"/>
    <x v="6"/>
    <x v="4"/>
    <n v="2023"/>
    <d v="2023-05-13T00:00:00"/>
    <n v="2718.72"/>
    <n v="50"/>
  </r>
  <r>
    <n v="5"/>
    <d v="2023-05-13T00:00:00"/>
    <d v="2023-05-13T00:00:00"/>
    <x v="346"/>
    <n v="66.92"/>
    <x v="9"/>
    <x v="19"/>
    <x v="0"/>
    <x v="6"/>
    <x v="4"/>
    <n v="2023"/>
    <d v="2023-05-13T00:00:00"/>
    <n v="2785.64"/>
    <n v="51"/>
  </r>
  <r>
    <n v="5"/>
    <d v="2023-05-13T00:00:00"/>
    <d v="2023-05-13T00:00:00"/>
    <x v="65"/>
    <n v="42.98"/>
    <x v="9"/>
    <x v="19"/>
    <x v="0"/>
    <x v="6"/>
    <x v="4"/>
    <n v="2023"/>
    <d v="2023-05-13T00:00:00"/>
    <n v="2828.62"/>
    <n v="52"/>
  </r>
  <r>
    <n v="5"/>
    <d v="2023-05-14T00:00:00"/>
    <d v="2023-05-14T00:00:00"/>
    <x v="65"/>
    <n v="15.94"/>
    <x v="9"/>
    <x v="19"/>
    <x v="0"/>
    <x v="6"/>
    <x v="4"/>
    <n v="2023"/>
    <d v="2023-05-14T00:00:00"/>
    <n v="2844.56"/>
    <n v="53"/>
  </r>
  <r>
    <n v="5"/>
    <d v="2023-05-14T00:00:00"/>
    <d v="2023-05-14T00:00:00"/>
    <x v="347"/>
    <n v="51.25"/>
    <x v="1"/>
    <x v="42"/>
    <x v="0"/>
    <x v="3"/>
    <x v="4"/>
    <n v="2023"/>
    <d v="2023-05-14T00:00:00"/>
    <n v="2895.81"/>
    <n v="7"/>
  </r>
  <r>
    <n v="5"/>
    <d v="2023-05-14T00:00:00"/>
    <d v="2023-05-14T00:00:00"/>
    <x v="348"/>
    <n v="19.53"/>
    <x v="2"/>
    <x v="16"/>
    <x v="0"/>
    <x v="2"/>
    <x v="4"/>
    <n v="2023"/>
    <d v="2023-05-14T00:00:00"/>
    <n v="2915.3400000000011"/>
    <n v="66"/>
  </r>
  <r>
    <n v="5"/>
    <d v="2023-05-14T00:00:00"/>
    <d v="2023-05-14T00:00:00"/>
    <x v="349"/>
    <n v="10.68"/>
    <x v="2"/>
    <x v="16"/>
    <x v="0"/>
    <x v="2"/>
    <x v="4"/>
    <n v="2023"/>
    <d v="2023-05-14T00:00:00"/>
    <n v="2926.02"/>
    <n v="67"/>
  </r>
  <r>
    <n v="5"/>
    <d v="2023-05-14T00:00:00"/>
    <d v="2023-05-14T00:00:00"/>
    <x v="350"/>
    <n v="19.16"/>
    <x v="7"/>
    <x v="16"/>
    <x v="0"/>
    <x v="2"/>
    <x v="4"/>
    <n v="2023"/>
    <d v="2023-05-14T00:00:00"/>
    <n v="2945.18"/>
    <n v="68"/>
  </r>
  <r>
    <n v="5"/>
    <d v="2023-05-14T00:00:00"/>
    <d v="2023-05-14T00:00:00"/>
    <x v="65"/>
    <n v="5"/>
    <x v="9"/>
    <x v="19"/>
    <x v="0"/>
    <x v="6"/>
    <x v="4"/>
    <n v="2023"/>
    <d v="2023-05-14T00:00:00"/>
    <n v="2950.18"/>
    <n v="54"/>
  </r>
  <r>
    <n v="5"/>
    <d v="2023-05-15T00:00:00"/>
    <d v="2023-05-15T00:00:00"/>
    <x v="351"/>
    <n v="86.99"/>
    <x v="9"/>
    <x v="19"/>
    <x v="0"/>
    <x v="6"/>
    <x v="4"/>
    <n v="2023"/>
    <d v="2023-05-15T00:00:00"/>
    <n v="3037.17"/>
    <n v="55"/>
  </r>
  <r>
    <n v="5"/>
    <d v="2023-05-15T00:00:00"/>
    <d v="2023-05-15T00:00:00"/>
    <x v="261"/>
    <n v="33.82"/>
    <x v="3"/>
    <x v="65"/>
    <x v="0"/>
    <x v="4"/>
    <x v="4"/>
    <n v="2023"/>
    <d v="2023-05-15T00:00:00"/>
    <n v="3070.99"/>
    <n v="3"/>
  </r>
  <r>
    <n v="5"/>
    <d v="2023-05-16T00:00:00"/>
    <d v="2023-05-16T00:00:00"/>
    <x v="352"/>
    <n v="22.08"/>
    <x v="1"/>
    <x v="7"/>
    <x v="0"/>
    <x v="3"/>
    <x v="4"/>
    <n v="2023"/>
    <d v="2023-05-16T00:00:00"/>
    <n v="3093.07"/>
    <n v="24"/>
  </r>
  <r>
    <n v="5"/>
    <d v="2023-05-16T00:00:00"/>
    <d v="2023-05-16T00:00:00"/>
    <x v="15"/>
    <n v="88.02"/>
    <x v="1"/>
    <x v="15"/>
    <x v="1"/>
    <x v="8"/>
    <x v="4"/>
    <n v="2023"/>
    <d v="2023-05-16T00:00:00"/>
    <n v="3181.09"/>
    <n v="5"/>
  </r>
  <r>
    <n v="5"/>
    <d v="2023-05-16T00:00:00"/>
    <d v="2023-05-16T00:00:00"/>
    <x v="227"/>
    <n v="163.03"/>
    <x v="2"/>
    <x v="3"/>
    <x v="0"/>
    <x v="2"/>
    <x v="4"/>
    <n v="2023"/>
    <d v="2023-05-16T00:00:00"/>
    <n v="3344.12"/>
    <n v="29"/>
  </r>
  <r>
    <n v="5"/>
    <d v="2023-05-16T00:00:00"/>
    <d v="2023-05-16T00:00:00"/>
    <x v="36"/>
    <n v="7.99"/>
    <x v="6"/>
    <x v="27"/>
    <x v="1"/>
    <x v="1"/>
    <x v="4"/>
    <n v="2023"/>
    <d v="2023-05-16T00:00:00"/>
    <n v="3352.11"/>
    <n v="5"/>
  </r>
  <r>
    <n v="5"/>
    <d v="2023-05-16T00:00:00"/>
    <d v="2023-05-16T00:00:00"/>
    <x v="223"/>
    <n v="141.05000000000001"/>
    <x v="2"/>
    <x v="7"/>
    <x v="0"/>
    <x v="3"/>
    <x v="4"/>
    <n v="2023"/>
    <d v="2023-05-16T00:00:00"/>
    <n v="3493.16"/>
    <n v="25"/>
  </r>
  <r>
    <n v="5"/>
    <d v="2023-05-16T00:00:00"/>
    <d v="2023-05-16T00:00:00"/>
    <x v="353"/>
    <n v="30"/>
    <x v="9"/>
    <x v="34"/>
    <x v="0"/>
    <x v="3"/>
    <x v="4"/>
    <n v="2023"/>
    <d v="2023-05-16T00:00:00"/>
    <n v="3523.16"/>
    <n v="18"/>
  </r>
  <r>
    <n v="5"/>
    <d v="2023-05-16T00:00:00"/>
    <d v="2023-05-16T00:00:00"/>
    <x v="353"/>
    <n v="30"/>
    <x v="9"/>
    <x v="34"/>
    <x v="0"/>
    <x v="3"/>
    <x v="4"/>
    <n v="2023"/>
    <d v="2023-05-16T00:00:00"/>
    <n v="3553.16"/>
    <n v="19"/>
  </r>
  <r>
    <n v="5"/>
    <d v="2023-05-16T00:00:00"/>
    <d v="2023-05-16T00:00:00"/>
    <x v="354"/>
    <n v="71"/>
    <x v="1"/>
    <x v="17"/>
    <x v="0"/>
    <x v="3"/>
    <x v="4"/>
    <n v="2023"/>
    <d v="2023-05-16T00:00:00"/>
    <n v="3624.16"/>
    <n v="27"/>
  </r>
  <r>
    <n v="5"/>
    <d v="2023-05-16T00:00:00"/>
    <d v="2023-05-16T00:00:00"/>
    <x v="33"/>
    <n v="-2729.82"/>
    <x v="10"/>
    <x v="25"/>
    <x v="0"/>
    <x v="5"/>
    <x v="4"/>
    <n v="2023"/>
    <d v="2023-05-16T00:00:00"/>
    <n v="894.34000000000015"/>
    <n v="15"/>
  </r>
  <r>
    <n v="5"/>
    <d v="2023-05-17T00:00:00"/>
    <d v="2023-05-17T00:00:00"/>
    <x v="37"/>
    <n v="30.73"/>
    <x v="1"/>
    <x v="12"/>
    <x v="0"/>
    <x v="3"/>
    <x v="4"/>
    <n v="2023"/>
    <d v="2023-05-17T00:00:00"/>
    <n v="925.07000000000016"/>
    <n v="10"/>
  </r>
  <r>
    <n v="5"/>
    <d v="2023-05-17T00:00:00"/>
    <d v="2023-05-17T00:00:00"/>
    <x v="355"/>
    <n v="39.17"/>
    <x v="1"/>
    <x v="17"/>
    <x v="0"/>
    <x v="3"/>
    <x v="4"/>
    <n v="2023"/>
    <d v="2023-05-17T00:00:00"/>
    <n v="964.24000000000012"/>
    <n v="28"/>
  </r>
  <r>
    <n v="5"/>
    <d v="2023-05-17T00:00:00"/>
    <d v="2023-05-17T00:00:00"/>
    <x v="356"/>
    <n v="3.17"/>
    <x v="1"/>
    <x v="71"/>
    <x v="1"/>
    <x v="1"/>
    <x v="4"/>
    <n v="2023"/>
    <d v="2023-05-17T00:00:00"/>
    <n v="967.41000000000008"/>
    <n v="1"/>
  </r>
  <r>
    <n v="5"/>
    <d v="2023-05-17T00:00:00"/>
    <d v="2023-05-17T00:00:00"/>
    <x v="357"/>
    <n v="40.229999999999997"/>
    <x v="2"/>
    <x v="34"/>
    <x v="0"/>
    <x v="3"/>
    <x v="4"/>
    <n v="2023"/>
    <d v="2023-05-17T00:00:00"/>
    <n v="1007.64"/>
    <n v="20"/>
  </r>
  <r>
    <n v="5"/>
    <d v="2023-05-17T00:00:00"/>
    <d v="2023-05-17T00:00:00"/>
    <x v="358"/>
    <n v="11.68"/>
    <x v="7"/>
    <x v="11"/>
    <x v="0"/>
    <x v="2"/>
    <x v="4"/>
    <n v="2023"/>
    <d v="2023-05-17T00:00:00"/>
    <n v="1019.32"/>
    <n v="31"/>
  </r>
  <r>
    <n v="5"/>
    <d v="2023-05-17T00:00:00"/>
    <d v="2023-05-17T00:00:00"/>
    <x v="359"/>
    <n v="55.19"/>
    <x v="5"/>
    <x v="9"/>
    <x v="0"/>
    <x v="6"/>
    <x v="4"/>
    <n v="2023"/>
    <d v="2023-05-17T00:00:00"/>
    <n v="1074.51"/>
    <n v="10"/>
  </r>
  <r>
    <n v="5"/>
    <d v="2023-05-17T00:00:00"/>
    <d v="2023-05-17T00:00:00"/>
    <x v="40"/>
    <n v="111.63"/>
    <x v="1"/>
    <x v="29"/>
    <x v="1"/>
    <x v="9"/>
    <x v="4"/>
    <n v="2023"/>
    <d v="2023-05-17T00:00:00"/>
    <n v="1186.1400000000001"/>
    <n v="5"/>
  </r>
  <r>
    <n v="5"/>
    <d v="2023-05-18T00:00:00"/>
    <d v="2023-05-18T00:00:00"/>
    <x v="360"/>
    <n v="25"/>
    <x v="9"/>
    <x v="34"/>
    <x v="0"/>
    <x v="3"/>
    <x v="4"/>
    <n v="2023"/>
    <d v="2023-05-18T00:00:00"/>
    <n v="1211.1400000000001"/>
    <n v="21"/>
  </r>
  <r>
    <n v="5"/>
    <d v="2023-05-18T00:00:00"/>
    <d v="2023-05-18T00:00:00"/>
    <x v="360"/>
    <n v="25"/>
    <x v="9"/>
    <x v="34"/>
    <x v="0"/>
    <x v="3"/>
    <x v="4"/>
    <n v="2023"/>
    <d v="2023-05-18T00:00:00"/>
    <n v="1236.1400000000001"/>
    <n v="22"/>
  </r>
  <r>
    <n v="5"/>
    <d v="2023-05-18T00:00:00"/>
    <d v="2023-05-18T00:00:00"/>
    <x v="361"/>
    <n v="7.41"/>
    <x v="1"/>
    <x v="58"/>
    <x v="1"/>
    <x v="1"/>
    <x v="4"/>
    <n v="2023"/>
    <d v="2023-05-18T00:00:00"/>
    <n v="1243.55"/>
    <n v="3"/>
  </r>
  <r>
    <n v="5"/>
    <d v="2023-05-18T00:00:00"/>
    <d v="2023-05-18T00:00:00"/>
    <x v="121"/>
    <n v="154.35"/>
    <x v="1"/>
    <x v="38"/>
    <x v="0"/>
    <x v="3"/>
    <x v="4"/>
    <n v="2023"/>
    <d v="2023-05-18T00:00:00"/>
    <n v="1397.9"/>
    <n v="11"/>
  </r>
  <r>
    <n v="5"/>
    <d v="2023-05-19T00:00:00"/>
    <d v="2023-05-19T00:00:00"/>
    <x v="362"/>
    <n v="159.55000000000001"/>
    <x v="1"/>
    <x v="49"/>
    <x v="0"/>
    <x v="1"/>
    <x v="4"/>
    <n v="2023"/>
    <d v="2023-05-19T00:00:00"/>
    <n v="1557.45"/>
    <n v="10"/>
  </r>
  <r>
    <n v="5"/>
    <d v="2023-05-19T00:00:00"/>
    <d v="2023-05-19T00:00:00"/>
    <x v="363"/>
    <n v="4.05"/>
    <x v="6"/>
    <x v="56"/>
    <x v="0"/>
    <x v="7"/>
    <x v="4"/>
    <n v="2023"/>
    <d v="2023-05-19T00:00:00"/>
    <n v="1561.5"/>
    <n v="5"/>
  </r>
  <r>
    <n v="5"/>
    <d v="2023-05-19T00:00:00"/>
    <d v="2023-05-19T00:00:00"/>
    <x v="364"/>
    <n v="10.7"/>
    <x v="7"/>
    <x v="16"/>
    <x v="0"/>
    <x v="2"/>
    <x v="4"/>
    <n v="2023"/>
    <d v="2023-05-19T00:00:00"/>
    <n v="1572.2"/>
    <n v="69"/>
  </r>
  <r>
    <n v="5"/>
    <d v="2023-05-19T00:00:00"/>
    <d v="2023-05-19T00:00:00"/>
    <x v="365"/>
    <n v="36.75"/>
    <x v="1"/>
    <x v="67"/>
    <x v="0"/>
    <x v="1"/>
    <x v="4"/>
    <n v="2023"/>
    <d v="2023-05-19T00:00:00"/>
    <n v="1608.95"/>
    <n v="8"/>
  </r>
  <r>
    <n v="5"/>
    <d v="2023-05-19T00:00:00"/>
    <d v="2023-05-19T00:00:00"/>
    <x v="227"/>
    <n v="57.5"/>
    <x v="2"/>
    <x v="3"/>
    <x v="0"/>
    <x v="2"/>
    <x v="4"/>
    <n v="2023"/>
    <d v="2023-05-19T00:00:00"/>
    <n v="1666.45"/>
    <n v="30"/>
  </r>
  <r>
    <n v="5"/>
    <d v="2023-05-19T00:00:00"/>
    <d v="2023-05-19T00:00:00"/>
    <x v="366"/>
    <n v="24.04"/>
    <x v="2"/>
    <x v="7"/>
    <x v="0"/>
    <x v="3"/>
    <x v="4"/>
    <n v="2023"/>
    <d v="2023-05-19T00:00:00"/>
    <n v="1690.49"/>
    <n v="26"/>
  </r>
  <r>
    <n v="5"/>
    <d v="2023-05-20T00:00:00"/>
    <d v="2023-05-20T00:00:00"/>
    <x v="191"/>
    <n v="34.61"/>
    <x v="9"/>
    <x v="34"/>
    <x v="0"/>
    <x v="3"/>
    <x v="4"/>
    <n v="2023"/>
    <d v="2023-05-20T00:00:00"/>
    <n v="1725.1"/>
    <n v="23"/>
  </r>
  <r>
    <n v="5"/>
    <d v="2023-05-20T00:00:00"/>
    <d v="2023-05-20T00:00:00"/>
    <x v="308"/>
    <n v="15.96"/>
    <x v="7"/>
    <x v="11"/>
    <x v="0"/>
    <x v="2"/>
    <x v="4"/>
    <n v="2023"/>
    <d v="2023-05-20T00:00:00"/>
    <n v="1741.06"/>
    <n v="32"/>
  </r>
  <r>
    <n v="5"/>
    <d v="2023-05-20T00:00:00"/>
    <d v="2023-05-20T00:00:00"/>
    <x v="367"/>
    <n v="72.75"/>
    <x v="1"/>
    <x v="38"/>
    <x v="0"/>
    <x v="3"/>
    <x v="4"/>
    <n v="2023"/>
    <d v="2023-05-20T00:00:00"/>
    <n v="1813.81"/>
    <n v="12"/>
  </r>
  <r>
    <n v="5"/>
    <d v="2023-05-20T00:00:00"/>
    <d v="2023-05-20T00:00:00"/>
    <x v="198"/>
    <n v="76.45"/>
    <x v="1"/>
    <x v="38"/>
    <x v="0"/>
    <x v="3"/>
    <x v="4"/>
    <n v="2023"/>
    <d v="2023-05-20T00:00:00"/>
    <n v="1890.26"/>
    <n v="13"/>
  </r>
  <r>
    <n v="5"/>
    <d v="2023-05-20T00:00:00"/>
    <d v="2023-05-20T00:00:00"/>
    <x v="198"/>
    <n v="163.80000000000001"/>
    <x v="1"/>
    <x v="38"/>
    <x v="0"/>
    <x v="3"/>
    <x v="4"/>
    <n v="2023"/>
    <d v="2023-05-20T00:00:00"/>
    <n v="2054.06"/>
    <n v="14"/>
  </r>
  <r>
    <n v="5"/>
    <d v="2023-05-21T00:00:00"/>
    <d v="2023-05-21T00:00:00"/>
    <x v="38"/>
    <n v="50.31"/>
    <x v="5"/>
    <x v="9"/>
    <x v="0"/>
    <x v="6"/>
    <x v="4"/>
    <n v="2023"/>
    <d v="2023-05-21T00:00:00"/>
    <n v="2104.37"/>
    <n v="11"/>
  </r>
  <r>
    <n v="5"/>
    <d v="2023-05-21T00:00:00"/>
    <d v="2023-05-21T00:00:00"/>
    <x v="368"/>
    <n v="27.17"/>
    <x v="1"/>
    <x v="67"/>
    <x v="0"/>
    <x v="1"/>
    <x v="4"/>
    <n v="2023"/>
    <d v="2023-05-21T00:00:00"/>
    <n v="2131.54"/>
    <n v="9"/>
  </r>
  <r>
    <n v="5"/>
    <d v="2023-05-21T00:00:00"/>
    <d v="2023-05-21T00:00:00"/>
    <x v="62"/>
    <n v="10.63"/>
    <x v="1"/>
    <x v="40"/>
    <x v="0"/>
    <x v="1"/>
    <x v="4"/>
    <n v="2023"/>
    <d v="2023-05-21T00:00:00"/>
    <n v="2142.17"/>
    <n v="30"/>
  </r>
  <r>
    <n v="5"/>
    <d v="2023-05-21T00:00:00"/>
    <d v="2023-05-21T00:00:00"/>
    <x v="55"/>
    <n v="25"/>
    <x v="9"/>
    <x v="36"/>
    <x v="0"/>
    <x v="6"/>
    <x v="4"/>
    <n v="2023"/>
    <d v="2023-05-21T00:00:00"/>
    <n v="2167.17"/>
    <n v="7"/>
  </r>
  <r>
    <n v="5"/>
    <d v="2023-05-22T00:00:00"/>
    <d v="2023-05-22T00:00:00"/>
    <x v="369"/>
    <n v="27.49"/>
    <x v="8"/>
    <x v="31"/>
    <x v="0"/>
    <x v="3"/>
    <x v="4"/>
    <n v="2023"/>
    <d v="2023-05-22T00:00:00"/>
    <n v="2194.66"/>
    <n v="2"/>
  </r>
  <r>
    <n v="5"/>
    <d v="2023-05-22T00:00:00"/>
    <d v="2023-05-22T00:00:00"/>
    <x v="370"/>
    <n v="932"/>
    <x v="8"/>
    <x v="31"/>
    <x v="0"/>
    <x v="3"/>
    <x v="4"/>
    <n v="2023"/>
    <d v="2023-05-22T00:00:00"/>
    <n v="3126.66"/>
    <n v="3"/>
  </r>
  <r>
    <n v="5"/>
    <d v="2023-05-22T00:00:00"/>
    <d v="2023-05-22T00:00:00"/>
    <x v="353"/>
    <n v="30"/>
    <x v="9"/>
    <x v="34"/>
    <x v="0"/>
    <x v="3"/>
    <x v="4"/>
    <n v="2023"/>
    <d v="2023-05-22T00:00:00"/>
    <n v="3156.66"/>
    <n v="24"/>
  </r>
  <r>
    <n v="5"/>
    <d v="2023-05-22T00:00:00"/>
    <d v="2023-05-22T00:00:00"/>
    <x v="261"/>
    <n v="14.28"/>
    <x v="3"/>
    <x v="65"/>
    <x v="0"/>
    <x v="4"/>
    <x v="4"/>
    <n v="2023"/>
    <d v="2023-05-22T00:00:00"/>
    <n v="3170.94"/>
    <n v="4"/>
  </r>
  <r>
    <n v="5"/>
    <d v="2023-05-22T00:00:00"/>
    <d v="2023-05-22T00:00:00"/>
    <x v="84"/>
    <n v="8.5"/>
    <x v="2"/>
    <x v="7"/>
    <x v="0"/>
    <x v="3"/>
    <x v="4"/>
    <n v="2023"/>
    <d v="2023-05-22T00:00:00"/>
    <n v="3179.44"/>
    <n v="27"/>
  </r>
  <r>
    <n v="5"/>
    <d v="2023-05-22T00:00:00"/>
    <d v="2023-05-22T00:00:00"/>
    <x v="371"/>
    <n v="32.880000000000003"/>
    <x v="1"/>
    <x v="17"/>
    <x v="0"/>
    <x v="3"/>
    <x v="4"/>
    <n v="2023"/>
    <d v="2023-05-22T00:00:00"/>
    <n v="3212.32"/>
    <n v="29"/>
  </r>
  <r>
    <n v="5"/>
    <d v="2023-05-22T00:00:00"/>
    <d v="2023-05-22T00:00:00"/>
    <x v="372"/>
    <n v="129.97"/>
    <x v="3"/>
    <x v="67"/>
    <x v="0"/>
    <x v="1"/>
    <x v="4"/>
    <n v="2023"/>
    <d v="2023-05-22T00:00:00"/>
    <n v="3342.29"/>
    <n v="10"/>
  </r>
  <r>
    <n v="5"/>
    <d v="2023-05-22T00:00:00"/>
    <d v="2023-05-22T00:00:00"/>
    <x v="372"/>
    <n v="0.01"/>
    <x v="3"/>
    <x v="67"/>
    <x v="0"/>
    <x v="1"/>
    <x v="4"/>
    <n v="2023"/>
    <d v="2023-05-22T00:00:00"/>
    <n v="3342.3"/>
    <n v="11"/>
  </r>
  <r>
    <n v="5"/>
    <d v="2023-05-22T00:00:00"/>
    <d v="2023-05-22T00:00:00"/>
    <x v="373"/>
    <n v="60.24"/>
    <x v="1"/>
    <x v="17"/>
    <x v="0"/>
    <x v="3"/>
    <x v="4"/>
    <n v="2023"/>
    <d v="2023-05-22T00:00:00"/>
    <n v="3402.54"/>
    <n v="30"/>
  </r>
  <r>
    <n v="5"/>
    <d v="2023-05-23T00:00:00"/>
    <d v="2023-05-23T00:00:00"/>
    <x v="65"/>
    <n v="1"/>
    <x v="9"/>
    <x v="19"/>
    <x v="0"/>
    <x v="6"/>
    <x v="4"/>
    <n v="2023"/>
    <d v="2023-05-23T00:00:00"/>
    <n v="3403.54"/>
    <n v="56"/>
  </r>
  <r>
    <n v="5"/>
    <d v="2023-05-23T00:00:00"/>
    <d v="2023-05-23T00:00:00"/>
    <x v="37"/>
    <n v="9"/>
    <x v="1"/>
    <x v="12"/>
    <x v="0"/>
    <x v="3"/>
    <x v="4"/>
    <n v="2023"/>
    <d v="2023-05-23T00:00:00"/>
    <n v="3412.54"/>
    <n v="11"/>
  </r>
  <r>
    <n v="5"/>
    <d v="2023-05-23T00:00:00"/>
    <d v="2023-05-23T00:00:00"/>
    <x v="374"/>
    <n v="74.680000000000007"/>
    <x v="6"/>
    <x v="72"/>
    <x v="0"/>
    <x v="11"/>
    <x v="4"/>
    <n v="2023"/>
    <d v="2023-05-23T00:00:00"/>
    <n v="3487.22"/>
    <n v="1"/>
  </r>
  <r>
    <n v="5"/>
    <d v="2023-05-23T00:00:00"/>
    <d v="2023-05-23T00:00:00"/>
    <x v="346"/>
    <n v="8.98"/>
    <x v="9"/>
    <x v="19"/>
    <x v="0"/>
    <x v="6"/>
    <x v="4"/>
    <n v="2023"/>
    <d v="2023-05-23T00:00:00"/>
    <n v="3496.2"/>
    <n v="57"/>
  </r>
  <r>
    <n v="5"/>
    <d v="2023-05-23T00:00:00"/>
    <d v="2023-05-23T00:00:00"/>
    <x v="65"/>
    <n v="49.98"/>
    <x v="9"/>
    <x v="19"/>
    <x v="0"/>
    <x v="6"/>
    <x v="4"/>
    <n v="2023"/>
    <d v="2023-05-23T00:00:00"/>
    <n v="3546.18"/>
    <n v="58"/>
  </r>
  <r>
    <n v="5"/>
    <d v="2023-05-23T00:00:00"/>
    <d v="2023-05-23T00:00:00"/>
    <x v="65"/>
    <n v="12.95"/>
    <x v="9"/>
    <x v="19"/>
    <x v="0"/>
    <x v="6"/>
    <x v="4"/>
    <n v="2023"/>
    <d v="2023-05-23T00:00:00"/>
    <n v="3559.13"/>
    <n v="59"/>
  </r>
  <r>
    <n v="5"/>
    <d v="2023-05-23T00:00:00"/>
    <d v="2023-05-23T00:00:00"/>
    <x v="65"/>
    <n v="7.49"/>
    <x v="9"/>
    <x v="19"/>
    <x v="0"/>
    <x v="6"/>
    <x v="4"/>
    <n v="2023"/>
    <d v="2023-05-23T00:00:00"/>
    <n v="3566.619999999999"/>
    <n v="60"/>
  </r>
  <r>
    <n v="5"/>
    <d v="2023-05-23T00:00:00"/>
    <d v="2023-05-23T00:00:00"/>
    <x v="375"/>
    <n v="23.05"/>
    <x v="7"/>
    <x v="16"/>
    <x v="0"/>
    <x v="2"/>
    <x v="4"/>
    <n v="2023"/>
    <d v="2023-05-23T00:00:00"/>
    <n v="3589.67"/>
    <n v="70"/>
  </r>
  <r>
    <n v="5"/>
    <d v="2023-05-23T00:00:00"/>
    <d v="2023-05-23T00:00:00"/>
    <x v="376"/>
    <n v="40.69"/>
    <x v="2"/>
    <x v="3"/>
    <x v="0"/>
    <x v="2"/>
    <x v="4"/>
    <n v="2023"/>
    <d v="2023-05-23T00:00:00"/>
    <n v="3630.36"/>
    <n v="31"/>
  </r>
  <r>
    <n v="5"/>
    <d v="2023-05-23T00:00:00"/>
    <d v="2023-05-23T00:00:00"/>
    <x v="377"/>
    <n v="79"/>
    <x v="1"/>
    <x v="42"/>
    <x v="0"/>
    <x v="3"/>
    <x v="4"/>
    <n v="2023"/>
    <d v="2023-05-23T00:00:00"/>
    <n v="3709.36"/>
    <n v="8"/>
  </r>
  <r>
    <n v="5"/>
    <d v="2023-05-23T00:00:00"/>
    <d v="2023-05-23T00:00:00"/>
    <x v="62"/>
    <n v="10.62"/>
    <x v="1"/>
    <x v="40"/>
    <x v="0"/>
    <x v="1"/>
    <x v="4"/>
    <n v="2023"/>
    <d v="2023-05-23T00:00:00"/>
    <n v="3719.98"/>
    <n v="31"/>
  </r>
  <r>
    <n v="5"/>
    <d v="2023-05-23T00:00:00"/>
    <d v="2023-05-23T00:00:00"/>
    <x v="62"/>
    <n v="10.62"/>
    <x v="1"/>
    <x v="40"/>
    <x v="0"/>
    <x v="1"/>
    <x v="4"/>
    <n v="2023"/>
    <d v="2023-05-23T00:00:00"/>
    <n v="3730.599999999999"/>
    <n v="32"/>
  </r>
  <r>
    <n v="5"/>
    <d v="2023-05-23T00:00:00"/>
    <d v="2023-05-23T00:00:00"/>
    <x v="62"/>
    <n v="7.43"/>
    <x v="1"/>
    <x v="40"/>
    <x v="0"/>
    <x v="1"/>
    <x v="4"/>
    <n v="2023"/>
    <d v="2023-05-23T00:00:00"/>
    <n v="3738.0299999999988"/>
    <n v="33"/>
  </r>
  <r>
    <n v="5"/>
    <d v="2023-05-23T00:00:00"/>
    <d v="2023-05-23T00:00:00"/>
    <x v="62"/>
    <n v="4.25"/>
    <x v="1"/>
    <x v="40"/>
    <x v="0"/>
    <x v="1"/>
    <x v="4"/>
    <n v="2023"/>
    <d v="2023-05-23T00:00:00"/>
    <n v="3742.2799999999988"/>
    <n v="34"/>
  </r>
  <r>
    <n v="5"/>
    <d v="2023-05-23T00:00:00"/>
    <d v="2023-05-23T00:00:00"/>
    <x v="362"/>
    <n v="159.55000000000001"/>
    <x v="1"/>
    <x v="49"/>
    <x v="0"/>
    <x v="1"/>
    <x v="4"/>
    <n v="2023"/>
    <d v="2023-05-23T00:00:00"/>
    <n v="3901.829999999999"/>
    <n v="11"/>
  </r>
  <r>
    <n v="5"/>
    <d v="2023-05-23T00:00:00"/>
    <d v="2023-05-23T00:00:00"/>
    <x v="378"/>
    <n v="82.21"/>
    <x v="1"/>
    <x v="17"/>
    <x v="0"/>
    <x v="3"/>
    <x v="4"/>
    <n v="2023"/>
    <d v="2023-05-23T00:00:00"/>
    <n v="3984.04"/>
    <n v="31"/>
  </r>
  <r>
    <n v="5"/>
    <d v="2023-05-23T00:00:00"/>
    <d v="2023-05-23T00:00:00"/>
    <x v="379"/>
    <n v="92.38"/>
    <x v="1"/>
    <x v="67"/>
    <x v="0"/>
    <x v="1"/>
    <x v="4"/>
    <n v="2023"/>
    <d v="2023-05-23T00:00:00"/>
    <n v="4076.42"/>
    <n v="12"/>
  </r>
  <r>
    <n v="5"/>
    <d v="2023-05-25T00:00:00"/>
    <d v="2023-05-25T00:00:00"/>
    <x v="346"/>
    <n v="8.9600000000000009"/>
    <x v="9"/>
    <x v="19"/>
    <x v="0"/>
    <x v="6"/>
    <x v="4"/>
    <n v="2023"/>
    <d v="2023-05-25T00:00:00"/>
    <n v="4085.38"/>
    <n v="61"/>
  </r>
  <r>
    <n v="5"/>
    <d v="2023-05-25T00:00:00"/>
    <d v="2023-05-25T00:00:00"/>
    <x v="346"/>
    <n v="1"/>
    <x v="9"/>
    <x v="19"/>
    <x v="0"/>
    <x v="6"/>
    <x v="4"/>
    <n v="2023"/>
    <d v="2023-05-25T00:00:00"/>
    <n v="4086.38"/>
    <n v="62"/>
  </r>
  <r>
    <n v="5"/>
    <d v="2023-05-25T00:00:00"/>
    <d v="2023-05-25T00:00:00"/>
    <x v="380"/>
    <n v="8.5299999999999994"/>
    <x v="7"/>
    <x v="16"/>
    <x v="0"/>
    <x v="2"/>
    <x v="4"/>
    <n v="2023"/>
    <d v="2023-05-25T00:00:00"/>
    <n v="4094.91"/>
    <n v="71"/>
  </r>
  <r>
    <n v="5"/>
    <d v="2023-05-25T00:00:00"/>
    <d v="2023-05-25T00:00:00"/>
    <x v="296"/>
    <n v="51.52"/>
    <x v="1"/>
    <x v="25"/>
    <x v="0"/>
    <x v="5"/>
    <x v="4"/>
    <n v="2023"/>
    <d v="2023-05-25T00:00:00"/>
    <n v="4146.43"/>
    <n v="16"/>
  </r>
  <r>
    <n v="5"/>
    <d v="2023-05-25T00:00:00"/>
    <d v="2023-05-25T00:00:00"/>
    <x v="381"/>
    <n v="11.57"/>
    <x v="1"/>
    <x v="17"/>
    <x v="0"/>
    <x v="3"/>
    <x v="4"/>
    <n v="2023"/>
    <d v="2023-05-25T00:00:00"/>
    <n v="4158"/>
    <n v="32"/>
  </r>
  <r>
    <n v="5"/>
    <d v="2023-05-25T00:00:00"/>
    <d v="2023-05-25T00:00:00"/>
    <x v="382"/>
    <n v="17.899999999999999"/>
    <x v="1"/>
    <x v="17"/>
    <x v="0"/>
    <x v="3"/>
    <x v="4"/>
    <n v="2023"/>
    <d v="2023-05-25T00:00:00"/>
    <n v="4175.8999999999996"/>
    <n v="33"/>
  </r>
  <r>
    <n v="5"/>
    <d v="2023-05-25T00:00:00"/>
    <d v="2023-05-25T00:00:00"/>
    <x v="383"/>
    <n v="35"/>
    <x v="1"/>
    <x v="31"/>
    <x v="0"/>
    <x v="3"/>
    <x v="4"/>
    <n v="2023"/>
    <d v="2023-05-25T00:00:00"/>
    <n v="4210.8999999999996"/>
    <n v="4"/>
  </r>
  <r>
    <n v="5"/>
    <d v="2023-05-26T00:00:00"/>
    <d v="2023-05-26T00:00:00"/>
    <x v="346"/>
    <n v="1"/>
    <x v="9"/>
    <x v="19"/>
    <x v="0"/>
    <x v="6"/>
    <x v="4"/>
    <n v="2023"/>
    <d v="2023-05-26T00:00:00"/>
    <n v="4211.8999999999996"/>
    <n v="63"/>
  </r>
  <r>
    <n v="5"/>
    <d v="2023-05-26T00:00:00"/>
    <d v="2023-05-26T00:00:00"/>
    <x v="384"/>
    <n v="46.24"/>
    <x v="7"/>
    <x v="16"/>
    <x v="0"/>
    <x v="2"/>
    <x v="4"/>
    <n v="2023"/>
    <d v="2023-05-26T00:00:00"/>
    <n v="4258.1399999999994"/>
    <n v="72"/>
  </r>
  <r>
    <n v="5"/>
    <d v="2023-05-26T00:00:00"/>
    <d v="2023-05-26T00:00:00"/>
    <x v="65"/>
    <n v="20.02"/>
    <x v="9"/>
    <x v="19"/>
    <x v="0"/>
    <x v="6"/>
    <x v="4"/>
    <n v="2023"/>
    <d v="2023-05-26T00:00:00"/>
    <n v="4278.16"/>
    <n v="64"/>
  </r>
  <r>
    <n v="5"/>
    <d v="2023-05-26T00:00:00"/>
    <d v="2023-05-26T00:00:00"/>
    <x v="385"/>
    <n v="21.97"/>
    <x v="7"/>
    <x v="16"/>
    <x v="0"/>
    <x v="2"/>
    <x v="4"/>
    <n v="2023"/>
    <d v="2023-05-26T00:00:00"/>
    <n v="4300.13"/>
    <n v="73"/>
  </r>
  <r>
    <n v="5"/>
    <d v="2023-05-26T00:00:00"/>
    <d v="2023-05-26T00:00:00"/>
    <x v="386"/>
    <n v="21.84"/>
    <x v="2"/>
    <x v="16"/>
    <x v="0"/>
    <x v="2"/>
    <x v="4"/>
    <n v="2023"/>
    <d v="2023-05-26T00:00:00"/>
    <n v="4321.97"/>
    <n v="74"/>
  </r>
  <r>
    <n v="5"/>
    <d v="2023-05-26T00:00:00"/>
    <d v="2023-05-26T00:00:00"/>
    <x v="65"/>
    <n v="1"/>
    <x v="9"/>
    <x v="19"/>
    <x v="0"/>
    <x v="6"/>
    <x v="4"/>
    <n v="2023"/>
    <d v="2023-05-26T00:00:00"/>
    <n v="4322.97"/>
    <n v="65"/>
  </r>
  <r>
    <n v="5"/>
    <d v="2023-05-27T00:00:00"/>
    <d v="2023-05-27T00:00:00"/>
    <x v="387"/>
    <n v="7.79"/>
    <x v="9"/>
    <x v="19"/>
    <x v="0"/>
    <x v="6"/>
    <x v="4"/>
    <n v="2023"/>
    <d v="2023-05-27T00:00:00"/>
    <n v="4330.76"/>
    <n v="66"/>
  </r>
  <r>
    <n v="5"/>
    <d v="2023-05-27T00:00:00"/>
    <d v="2023-05-27T00:00:00"/>
    <x v="388"/>
    <n v="8.58"/>
    <x v="9"/>
    <x v="19"/>
    <x v="0"/>
    <x v="6"/>
    <x v="4"/>
    <n v="2023"/>
    <d v="2023-05-27T00:00:00"/>
    <n v="4339.34"/>
    <n v="67"/>
  </r>
  <r>
    <n v="5"/>
    <d v="2023-05-27T00:00:00"/>
    <d v="2023-05-27T00:00:00"/>
    <x v="389"/>
    <n v="37.56"/>
    <x v="9"/>
    <x v="73"/>
    <x v="0"/>
    <x v="1"/>
    <x v="4"/>
    <n v="2023"/>
    <d v="2023-05-27T00:00:00"/>
    <n v="4376.9000000000005"/>
    <n v="1"/>
  </r>
  <r>
    <n v="5"/>
    <d v="2023-05-27T00:00:00"/>
    <d v="2023-05-27T00:00:00"/>
    <x v="389"/>
    <n v="87.51"/>
    <x v="9"/>
    <x v="73"/>
    <x v="0"/>
    <x v="1"/>
    <x v="4"/>
    <n v="2023"/>
    <d v="2023-05-27T00:00:00"/>
    <n v="4464.4100000000008"/>
    <n v="2"/>
  </r>
  <r>
    <n v="5"/>
    <d v="2023-05-27T00:00:00"/>
    <d v="2023-05-27T00:00:00"/>
    <x v="65"/>
    <n v="41.72"/>
    <x v="9"/>
    <x v="19"/>
    <x v="0"/>
    <x v="6"/>
    <x v="4"/>
    <n v="2023"/>
    <d v="2023-05-27T00:00:00"/>
    <n v="4506.130000000001"/>
    <n v="68"/>
  </r>
  <r>
    <n v="5"/>
    <d v="2023-05-27T00:00:00"/>
    <d v="2023-05-27T00:00:00"/>
    <x v="65"/>
    <n v="216.34"/>
    <x v="9"/>
    <x v="19"/>
    <x v="0"/>
    <x v="6"/>
    <x v="4"/>
    <n v="2023"/>
    <d v="2023-05-27T00:00:00"/>
    <n v="4722.4700000000012"/>
    <n v="69"/>
  </r>
  <r>
    <n v="5"/>
    <d v="2023-05-28T00:00:00"/>
    <d v="2023-05-28T00:00:00"/>
    <x v="390"/>
    <n v="22.08"/>
    <x v="1"/>
    <x v="7"/>
    <x v="0"/>
    <x v="3"/>
    <x v="4"/>
    <n v="2023"/>
    <d v="2023-05-28T00:00:00"/>
    <n v="4744.5500000000011"/>
    <n v="28"/>
  </r>
  <r>
    <n v="5"/>
    <d v="2023-05-28T00:00:00"/>
    <d v="2023-05-28T00:00:00"/>
    <x v="391"/>
    <n v="2.95"/>
    <x v="9"/>
    <x v="19"/>
    <x v="0"/>
    <x v="6"/>
    <x v="4"/>
    <n v="2023"/>
    <d v="2023-05-28T00:00:00"/>
    <n v="4747.5000000000009"/>
    <n v="70"/>
  </r>
  <r>
    <n v="5"/>
    <d v="2023-05-29T00:00:00"/>
    <d v="2023-05-29T00:00:00"/>
    <x v="389"/>
    <n v="36.479999999999997"/>
    <x v="9"/>
    <x v="73"/>
    <x v="0"/>
    <x v="1"/>
    <x v="4"/>
    <n v="2023"/>
    <d v="2023-05-29T00:00:00"/>
    <n v="4783.9799999999996"/>
    <n v="3"/>
  </r>
  <r>
    <n v="5"/>
    <d v="2023-05-31T00:00:00"/>
    <d v="2023-05-31T00:00:00"/>
    <x v="33"/>
    <n v="-2432.5300000000002"/>
    <x v="10"/>
    <x v="25"/>
    <x v="0"/>
    <x v="5"/>
    <x v="4"/>
    <n v="2023"/>
    <d v="2023-05-31T00:00:00"/>
    <n v="2351.4499999999998"/>
    <n v="17"/>
  </r>
  <r>
    <n v="5"/>
    <d v="2023-05-31T00:00:00"/>
    <d v="2023-06-01T00:00:00"/>
    <x v="362"/>
    <n v="-131.55000000000001"/>
    <x v="10"/>
    <x v="49"/>
    <x v="0"/>
    <x v="1"/>
    <x v="4"/>
    <n v="2023"/>
    <d v="2023-05-31T00:00:00"/>
    <n v="2219.9"/>
    <n v="12"/>
  </r>
  <r>
    <n v="6"/>
    <d v="2023-06-01T00:00:00"/>
    <d v="2023-06-03T00:00:00"/>
    <x v="101"/>
    <n v="5"/>
    <x v="6"/>
    <x v="47"/>
    <x v="1"/>
    <x v="3"/>
    <x v="5"/>
    <n v="2023"/>
    <d v="2023-06-01T00:00:00"/>
    <n v="2224.9"/>
    <n v="5"/>
  </r>
  <r>
    <n v="6"/>
    <d v="2023-06-01T00:00:00"/>
    <d v="2023-06-01T00:00:00"/>
    <x v="392"/>
    <n v="4.99"/>
    <x v="1"/>
    <x v="1"/>
    <x v="1"/>
    <x v="1"/>
    <x v="5"/>
    <n v="2023"/>
    <d v="2023-06-01T00:00:00"/>
    <n v="2229.89"/>
    <n v="6"/>
  </r>
  <r>
    <n v="6"/>
    <d v="2023-06-01T00:00:00"/>
    <d v="2023-06-03T00:00:00"/>
    <x v="2"/>
    <n v="10.59"/>
    <x v="1"/>
    <x v="2"/>
    <x v="1"/>
    <x v="1"/>
    <x v="5"/>
    <n v="2023"/>
    <d v="2023-06-01T00:00:00"/>
    <n v="2240.48"/>
    <n v="6"/>
  </r>
  <r>
    <n v="6"/>
    <d v="2023-06-01T00:00:00"/>
    <d v="2023-06-01T00:00:00"/>
    <x v="393"/>
    <n v="7.99"/>
    <x v="1"/>
    <x v="73"/>
    <x v="0"/>
    <x v="1"/>
    <x v="5"/>
    <n v="2023"/>
    <d v="2023-06-01T00:00:00"/>
    <n v="2248.4699999999998"/>
    <n v="4"/>
  </r>
  <r>
    <n v="6"/>
    <d v="2023-06-01T00:00:00"/>
    <d v="2023-06-01T00:00:00"/>
    <x v="210"/>
    <n v="20"/>
    <x v="1"/>
    <x v="59"/>
    <x v="1"/>
    <x v="3"/>
    <x v="5"/>
    <n v="2023"/>
    <d v="2023-06-01T00:00:00"/>
    <n v="2268.4699999999998"/>
    <n v="4"/>
  </r>
  <r>
    <n v="6"/>
    <d v="2023-06-02T00:00:00"/>
    <d v="2023-06-02T00:00:00"/>
    <x v="394"/>
    <n v="125.1"/>
    <x v="6"/>
    <x v="55"/>
    <x v="1"/>
    <x v="3"/>
    <x v="5"/>
    <n v="2023"/>
    <d v="2023-06-02T00:00:00"/>
    <n v="2393.5700000000002"/>
    <n v="7"/>
  </r>
  <r>
    <n v="6"/>
    <d v="2023-06-02T00:00:00"/>
    <d v="2023-06-02T00:00:00"/>
    <x v="395"/>
    <n v="139"/>
    <x v="6"/>
    <x v="55"/>
    <x v="1"/>
    <x v="3"/>
    <x v="5"/>
    <n v="2023"/>
    <d v="2023-06-02T00:00:00"/>
    <n v="2532.5700000000002"/>
    <n v="8"/>
  </r>
  <r>
    <n v="6"/>
    <d v="2023-06-02T00:00:00"/>
    <d v="2023-06-03T00:00:00"/>
    <x v="4"/>
    <n v="10"/>
    <x v="1"/>
    <x v="4"/>
    <x v="1"/>
    <x v="1"/>
    <x v="5"/>
    <n v="2023"/>
    <d v="2023-06-02T00:00:00"/>
    <n v="2542.5700000000002"/>
    <n v="6"/>
  </r>
  <r>
    <n v="6"/>
    <d v="2023-06-03T00:00:00"/>
    <d v="2023-06-03T00:00:00"/>
    <x v="8"/>
    <n v="-80.78"/>
    <x v="4"/>
    <x v="8"/>
    <x v="0"/>
    <x v="5"/>
    <x v="5"/>
    <n v="2023"/>
    <d v="2023-06-03T00:00:00"/>
    <n v="2461.79"/>
    <n v="6"/>
  </r>
  <r>
    <n v="6"/>
    <d v="2023-06-03T00:00:00"/>
    <d v="2023-06-03T00:00:00"/>
    <x v="396"/>
    <n v="15.89"/>
    <x v="6"/>
    <x v="10"/>
    <x v="1"/>
    <x v="1"/>
    <x v="5"/>
    <n v="2023"/>
    <d v="2023-06-03T00:00:00"/>
    <n v="2477.6799999999989"/>
    <n v="11"/>
  </r>
  <r>
    <n v="6"/>
    <d v="2023-06-04T00:00:00"/>
    <d v="2023-06-04T00:00:00"/>
    <x v="315"/>
    <n v="59"/>
    <x v="1"/>
    <x v="42"/>
    <x v="0"/>
    <x v="3"/>
    <x v="5"/>
    <n v="2023"/>
    <d v="2023-06-04T00:00:00"/>
    <n v="2536.6799999999989"/>
    <n v="9"/>
  </r>
  <r>
    <n v="6"/>
    <d v="2023-06-05T00:00:00"/>
    <d v="2023-06-05T00:00:00"/>
    <x v="397"/>
    <n v="17.2"/>
    <x v="9"/>
    <x v="49"/>
    <x v="0"/>
    <x v="1"/>
    <x v="5"/>
    <n v="2023"/>
    <d v="2023-06-05T00:00:00"/>
    <n v="2553.8799999999992"/>
    <n v="13"/>
  </r>
  <r>
    <n v="6"/>
    <d v="2023-06-06T00:00:00"/>
    <d v="2023-06-06T00:00:00"/>
    <x v="398"/>
    <n v="9.99"/>
    <x v="1"/>
    <x v="18"/>
    <x v="1"/>
    <x v="3"/>
    <x v="5"/>
    <n v="2023"/>
    <d v="2023-06-06T00:00:00"/>
    <n v="2563.869999999999"/>
    <n v="6"/>
  </r>
  <r>
    <n v="6"/>
    <d v="2023-06-08T00:00:00"/>
    <d v="2023-06-08T00:00:00"/>
    <x v="296"/>
    <n v="51.54"/>
    <x v="1"/>
    <x v="25"/>
    <x v="0"/>
    <x v="5"/>
    <x v="5"/>
    <n v="2023"/>
    <d v="2023-06-08T00:00:00"/>
    <n v="2615.4099999999989"/>
    <n v="18"/>
  </r>
  <r>
    <n v="6"/>
    <d v="2023-06-09T00:00:00"/>
    <d v="2023-06-09T00:00:00"/>
    <x v="399"/>
    <n v="72.989999999999995"/>
    <x v="6"/>
    <x v="10"/>
    <x v="1"/>
    <x v="1"/>
    <x v="5"/>
    <n v="2023"/>
    <d v="2023-06-09T00:00:00"/>
    <n v="2688.3999999999992"/>
    <n v="12"/>
  </r>
  <r>
    <n v="6"/>
    <d v="2023-06-09T00:00:00"/>
    <d v="2023-06-09T00:00:00"/>
    <x v="389"/>
    <n v="38.799999999999997"/>
    <x v="9"/>
    <x v="73"/>
    <x v="0"/>
    <x v="1"/>
    <x v="5"/>
    <n v="2023"/>
    <d v="2023-06-09T00:00:00"/>
    <n v="2727.1999999999989"/>
    <n v="5"/>
  </r>
  <r>
    <n v="6"/>
    <d v="2023-06-11T00:00:00"/>
    <d v="2023-06-11T00:00:00"/>
    <x v="29"/>
    <n v="13.32"/>
    <x v="7"/>
    <x v="11"/>
    <x v="0"/>
    <x v="2"/>
    <x v="5"/>
    <n v="2023"/>
    <d v="2023-06-11T00:00:00"/>
    <n v="2740.5199999999991"/>
    <n v="33"/>
  </r>
  <r>
    <n v="6"/>
    <d v="2023-06-12T00:00:00"/>
    <d v="2023-06-12T00:00:00"/>
    <x v="62"/>
    <n v="10.63"/>
    <x v="1"/>
    <x v="40"/>
    <x v="0"/>
    <x v="1"/>
    <x v="5"/>
    <n v="2023"/>
    <d v="2023-06-12T00:00:00"/>
    <n v="2751.1499999999992"/>
    <n v="35"/>
  </r>
  <r>
    <n v="6"/>
    <d v="2023-06-13T00:00:00"/>
    <d v="2023-06-13T00:00:00"/>
    <x v="227"/>
    <n v="91.74"/>
    <x v="2"/>
    <x v="3"/>
    <x v="0"/>
    <x v="2"/>
    <x v="5"/>
    <n v="2023"/>
    <d v="2023-06-13T00:00:00"/>
    <n v="2842.889999999999"/>
    <n v="32"/>
  </r>
  <r>
    <n v="6"/>
    <d v="2023-06-13T00:00:00"/>
    <d v="2023-06-13T00:00:00"/>
    <x v="400"/>
    <n v="9.3699999999999992"/>
    <x v="7"/>
    <x v="11"/>
    <x v="0"/>
    <x v="2"/>
    <x v="5"/>
    <n v="2023"/>
    <d v="2023-06-13T00:00:00"/>
    <n v="2852.2599999999989"/>
    <n v="34"/>
  </r>
  <r>
    <n v="6"/>
    <d v="2023-06-13T00:00:00"/>
    <d v="2023-06-13T00:00:00"/>
    <x v="401"/>
    <n v="22.08"/>
    <x v="1"/>
    <x v="7"/>
    <x v="0"/>
    <x v="3"/>
    <x v="5"/>
    <n v="2023"/>
    <d v="2023-06-13T00:00:00"/>
    <n v="2874.3399999999988"/>
    <n v="29"/>
  </r>
  <r>
    <n v="6"/>
    <d v="2023-06-13T00:00:00"/>
    <d v="2023-06-13T00:00:00"/>
    <x v="402"/>
    <n v="44.95"/>
    <x v="1"/>
    <x v="20"/>
    <x v="0"/>
    <x v="3"/>
    <x v="5"/>
    <n v="2023"/>
    <d v="2023-06-13T00:00:00"/>
    <n v="2919.2899999999991"/>
    <n v="9"/>
  </r>
  <r>
    <n v="6"/>
    <d v="2023-06-14T00:00:00"/>
    <d v="2023-06-14T00:00:00"/>
    <x v="62"/>
    <n v="10.62"/>
    <x v="1"/>
    <x v="40"/>
    <x v="0"/>
    <x v="1"/>
    <x v="5"/>
    <n v="2023"/>
    <d v="2023-06-14T00:00:00"/>
    <n v="2929.909999999998"/>
    <n v="36"/>
  </r>
  <r>
    <n v="6"/>
    <d v="2023-06-14T00:00:00"/>
    <d v="2023-06-14T00:00:00"/>
    <x v="403"/>
    <n v="12"/>
    <x v="9"/>
    <x v="49"/>
    <x v="0"/>
    <x v="1"/>
    <x v="5"/>
    <n v="2023"/>
    <d v="2023-06-14T00:00:00"/>
    <n v="2941.909999999998"/>
    <n v="14"/>
  </r>
  <r>
    <n v="6"/>
    <d v="2023-06-14T00:00:00"/>
    <d v="2023-06-14T00:00:00"/>
    <x v="33"/>
    <n v="-2487.02"/>
    <x v="10"/>
    <x v="25"/>
    <x v="0"/>
    <x v="5"/>
    <x v="5"/>
    <n v="2023"/>
    <d v="2023-06-14T00:00:00"/>
    <n v="454.88999999999851"/>
    <n v="19"/>
  </r>
  <r>
    <n v="6"/>
    <d v="2023-06-14T00:00:00"/>
    <d v="2023-06-14T00:00:00"/>
    <x v="404"/>
    <n v="9.99"/>
    <x v="9"/>
    <x v="19"/>
    <x v="0"/>
    <x v="6"/>
    <x v="5"/>
    <n v="2023"/>
    <d v="2023-06-14T00:00:00"/>
    <n v="464.87999999999852"/>
    <n v="71"/>
  </r>
  <r>
    <n v="6"/>
    <d v="2023-06-14T00:00:00"/>
    <d v="2023-06-14T00:00:00"/>
    <x v="15"/>
    <n v="88.02"/>
    <x v="1"/>
    <x v="15"/>
    <x v="1"/>
    <x v="8"/>
    <x v="5"/>
    <n v="2023"/>
    <d v="2023-06-14T00:00:00"/>
    <n v="552.8999999999985"/>
    <n v="6"/>
  </r>
  <r>
    <n v="6"/>
    <d v="2023-06-16T00:00:00"/>
    <d v="2023-06-16T00:00:00"/>
    <x v="405"/>
    <n v="18.68"/>
    <x v="7"/>
    <x v="16"/>
    <x v="0"/>
    <x v="2"/>
    <x v="5"/>
    <n v="2023"/>
    <d v="2023-06-16T00:00:00"/>
    <n v="571.57999999999845"/>
    <n v="75"/>
  </r>
  <r>
    <n v="6"/>
    <d v="2023-06-16T00:00:00"/>
    <d v="2023-06-16T00:00:00"/>
    <x v="374"/>
    <n v="88.39"/>
    <x v="6"/>
    <x v="74"/>
    <x v="0"/>
    <x v="11"/>
    <x v="5"/>
    <n v="2023"/>
    <d v="2023-06-16T00:00:00"/>
    <n v="659.96999999999844"/>
    <n v="1"/>
  </r>
  <r>
    <n v="6"/>
    <d v="2023-06-16T00:00:00"/>
    <d v="2023-06-16T00:00:00"/>
    <x v="36"/>
    <n v="7.99"/>
    <x v="6"/>
    <x v="27"/>
    <x v="1"/>
    <x v="1"/>
    <x v="5"/>
    <n v="2023"/>
    <d v="2023-06-16T00:00:00"/>
    <n v="667.95999999999844"/>
    <n v="6"/>
  </r>
  <r>
    <n v="6"/>
    <d v="2023-06-16T00:00:00"/>
    <d v="2023-06-16T00:00:00"/>
    <x v="62"/>
    <n v="12.92"/>
    <x v="1"/>
    <x v="40"/>
    <x v="0"/>
    <x v="1"/>
    <x v="5"/>
    <n v="2023"/>
    <d v="2023-06-16T00:00:00"/>
    <n v="680.8799999999984"/>
    <n v="37"/>
  </r>
  <r>
    <n v="6"/>
    <d v="2023-06-17T00:00:00"/>
    <d v="2023-06-17T00:00:00"/>
    <x v="260"/>
    <n v="7.41"/>
    <x v="1"/>
    <x v="58"/>
    <x v="1"/>
    <x v="1"/>
    <x v="5"/>
    <n v="2023"/>
    <d v="2023-06-17T00:00:00"/>
    <n v="688.28999999999837"/>
    <n v="4"/>
  </r>
  <r>
    <n v="6"/>
    <d v="2023-06-17T00:00:00"/>
    <d v="2023-06-17T00:00:00"/>
    <x v="62"/>
    <n v="8.49"/>
    <x v="1"/>
    <x v="40"/>
    <x v="0"/>
    <x v="1"/>
    <x v="5"/>
    <n v="2023"/>
    <d v="2023-06-17T00:00:00"/>
    <n v="696.77999999999838"/>
    <n v="38"/>
  </r>
  <r>
    <n v="6"/>
    <d v="2023-06-17T00:00:00"/>
    <d v="2023-06-17T00:00:00"/>
    <x v="62"/>
    <n v="10.35"/>
    <x v="1"/>
    <x v="40"/>
    <x v="0"/>
    <x v="1"/>
    <x v="5"/>
    <n v="2023"/>
    <d v="2023-06-17T00:00:00"/>
    <n v="707.1299999999984"/>
    <n v="39"/>
  </r>
  <r>
    <n v="6"/>
    <d v="2023-06-17T00:00:00"/>
    <d v="2023-06-17T00:00:00"/>
    <x v="40"/>
    <n v="111.63"/>
    <x v="1"/>
    <x v="29"/>
    <x v="1"/>
    <x v="9"/>
    <x v="5"/>
    <n v="2023"/>
    <d v="2023-06-17T00:00:00"/>
    <n v="818.7599999999984"/>
    <n v="6"/>
  </r>
  <r>
    <n v="6"/>
    <d v="2023-06-18T00:00:00"/>
    <d v="2023-06-18T00:00:00"/>
    <x v="406"/>
    <n v="20.12"/>
    <x v="1"/>
    <x v="24"/>
    <x v="1"/>
    <x v="1"/>
    <x v="5"/>
    <n v="2023"/>
    <d v="2023-06-18T00:00:00"/>
    <n v="838.8799999999984"/>
    <n v="7"/>
  </r>
  <r>
    <n v="6"/>
    <d v="2023-06-19T00:00:00"/>
    <d v="2023-06-19T00:00:00"/>
    <x v="407"/>
    <n v="79"/>
    <x v="1"/>
    <x v="42"/>
    <x v="0"/>
    <x v="3"/>
    <x v="5"/>
    <n v="2023"/>
    <d v="2023-06-19T00:00:00"/>
    <n v="917.8799999999984"/>
    <n v="10"/>
  </r>
  <r>
    <n v="6"/>
    <d v="2023-06-21T00:00:00"/>
    <d v="2023-06-21T00:00:00"/>
    <x v="408"/>
    <n v="20.78"/>
    <x v="9"/>
    <x v="49"/>
    <x v="0"/>
    <x v="1"/>
    <x v="5"/>
    <n v="2023"/>
    <d v="2023-06-21T00:00:00"/>
    <n v="938.65999999999838"/>
    <n v="15"/>
  </r>
  <r>
    <n v="6"/>
    <d v="2023-06-25T00:00:00"/>
    <d v="2023-06-25T00:00:00"/>
    <x v="37"/>
    <n v="21.77"/>
    <x v="1"/>
    <x v="12"/>
    <x v="0"/>
    <x v="3"/>
    <x v="5"/>
    <n v="2023"/>
    <d v="2023-06-25T00:00:00"/>
    <n v="960.42999999999836"/>
    <n v="12"/>
  </r>
  <r>
    <n v="6"/>
    <d v="2023-06-25T00:00:00"/>
    <d v="2023-06-25T00:00:00"/>
    <x v="383"/>
    <n v="35"/>
    <x v="1"/>
    <x v="31"/>
    <x v="0"/>
    <x v="3"/>
    <x v="5"/>
    <n v="2023"/>
    <d v="2023-06-25T00:00:00"/>
    <n v="995.42999999999836"/>
    <n v="5"/>
  </r>
  <r>
    <n v="6"/>
    <d v="2023-06-26T00:00:00"/>
    <d v="2023-06-26T00:00:00"/>
    <x v="409"/>
    <n v="25.19"/>
    <x v="1"/>
    <x v="17"/>
    <x v="0"/>
    <x v="3"/>
    <x v="5"/>
    <n v="2023"/>
    <d v="2023-06-26T00:00:00"/>
    <n v="1020.619999999998"/>
    <n v="34"/>
  </r>
  <r>
    <n v="6"/>
    <d v="2023-06-26T00:00:00"/>
    <d v="2023-06-26T00:00:00"/>
    <x v="62"/>
    <n v="7.43"/>
    <x v="1"/>
    <x v="40"/>
    <x v="0"/>
    <x v="1"/>
    <x v="5"/>
    <n v="2023"/>
    <d v="2023-06-26T00:00:00"/>
    <n v="1028.0499999999979"/>
    <n v="40"/>
  </r>
  <r>
    <n v="6"/>
    <d v="2023-06-26T00:00:00"/>
    <d v="2023-06-26T00:00:00"/>
    <x v="410"/>
    <n v="20.88"/>
    <x v="11"/>
    <x v="56"/>
    <x v="0"/>
    <x v="7"/>
    <x v="5"/>
    <n v="2023"/>
    <d v="2023-06-26T00:00:00"/>
    <n v="1048.929999999998"/>
    <n v="6"/>
  </r>
  <r>
    <n v="6"/>
    <d v="2023-06-26T00:00:00"/>
    <d v="2023-06-26T00:00:00"/>
    <x v="410"/>
    <n v="25.45"/>
    <x v="11"/>
    <x v="56"/>
    <x v="0"/>
    <x v="7"/>
    <x v="5"/>
    <n v="2023"/>
    <d v="2023-06-26T00:00:00"/>
    <n v="1074.379999999999"/>
    <n v="7"/>
  </r>
  <r>
    <n v="6"/>
    <d v="2023-06-27T00:00:00"/>
    <d v="2023-06-27T00:00:00"/>
    <x v="411"/>
    <n v="22.08"/>
    <x v="1"/>
    <x v="7"/>
    <x v="0"/>
    <x v="3"/>
    <x v="5"/>
    <n v="2023"/>
    <d v="2023-06-27T00:00:00"/>
    <n v="1096.459999999998"/>
    <n v="30"/>
  </r>
  <r>
    <n v="6"/>
    <d v="2023-06-27T00:00:00"/>
    <d v="2023-06-27T00:00:00"/>
    <x v="412"/>
    <n v="9.85"/>
    <x v="1"/>
    <x v="17"/>
    <x v="0"/>
    <x v="3"/>
    <x v="5"/>
    <n v="2023"/>
    <d v="2023-06-27T00:00:00"/>
    <n v="1106.3099999999979"/>
    <n v="35"/>
  </r>
  <r>
    <n v="6"/>
    <d v="2023-06-29T00:00:00"/>
    <d v="2023-06-29T00:00:00"/>
    <x v="413"/>
    <n v="11.95"/>
    <x v="2"/>
    <x v="11"/>
    <x v="0"/>
    <x v="2"/>
    <x v="5"/>
    <n v="2023"/>
    <d v="2023-06-29T00:00:00"/>
    <n v="1118.2599999999979"/>
    <n v="35"/>
  </r>
  <r>
    <n v="6"/>
    <d v="2023-06-29T00:00:00"/>
    <d v="2023-06-29T00:00:00"/>
    <x v="414"/>
    <n v="19.989999999999998"/>
    <x v="8"/>
    <x v="31"/>
    <x v="0"/>
    <x v="3"/>
    <x v="5"/>
    <n v="2023"/>
    <d v="2023-06-29T00:00:00"/>
    <n v="1138.249999999998"/>
    <n v="6"/>
  </r>
  <r>
    <n v="6"/>
    <d v="2023-06-30T00:00:00"/>
    <d v="2023-06-30T00:00:00"/>
    <x v="37"/>
    <n v="20"/>
    <x v="1"/>
    <x v="12"/>
    <x v="0"/>
    <x v="3"/>
    <x v="5"/>
    <n v="2023"/>
    <d v="2023-06-30T00:00:00"/>
    <n v="1158.249999999998"/>
    <n v="13"/>
  </r>
  <r>
    <n v="7"/>
    <d v="2023-07-01T00:00:00"/>
    <d v="2023-07-01T00:00:00"/>
    <x v="210"/>
    <n v="20"/>
    <x v="1"/>
    <x v="59"/>
    <x v="1"/>
    <x v="3"/>
    <x v="6"/>
    <n v="2023"/>
    <d v="2023-07-01T00:00:00"/>
    <n v="1178.249999999998"/>
    <n v="5"/>
  </r>
  <r>
    <n v="7"/>
    <d v="2023-07-01T00:00:00"/>
    <d v="2023-07-01T00:00:00"/>
    <x v="415"/>
    <n v="4.99"/>
    <x v="1"/>
    <x v="1"/>
    <x v="1"/>
    <x v="1"/>
    <x v="6"/>
    <n v="2023"/>
    <d v="2023-07-01T00:00:00"/>
    <n v="1183.239999999998"/>
    <n v="7"/>
  </r>
  <r>
    <n v="7"/>
    <d v="2023-07-01T00:00:00"/>
    <d v="2023-07-03T00:00:00"/>
    <x v="2"/>
    <n v="10.59"/>
    <x v="1"/>
    <x v="2"/>
    <x v="1"/>
    <x v="1"/>
    <x v="6"/>
    <n v="2023"/>
    <d v="2023-07-01T00:00:00"/>
    <n v="1193.8299999999981"/>
    <n v="7"/>
  </r>
  <r>
    <n v="7"/>
    <d v="2023-07-01T00:00:00"/>
    <d v="2023-07-03T00:00:00"/>
    <x v="101"/>
    <n v="5"/>
    <x v="6"/>
    <x v="47"/>
    <x v="1"/>
    <x v="3"/>
    <x v="6"/>
    <n v="2023"/>
    <d v="2023-07-01T00:00:00"/>
    <n v="1198.8299999999981"/>
    <n v="6"/>
  </r>
  <r>
    <n v="7"/>
    <d v="2023-07-02T00:00:00"/>
    <d v="2023-07-03T00:00:00"/>
    <x v="3"/>
    <n v="22.35"/>
    <x v="2"/>
    <x v="3"/>
    <x v="0"/>
    <x v="2"/>
    <x v="6"/>
    <n v="2023"/>
    <d v="2023-07-02T00:00:00"/>
    <n v="1221.179999999998"/>
    <n v="33"/>
  </r>
  <r>
    <n v="7"/>
    <d v="2023-07-02T00:00:00"/>
    <d v="2023-07-03T00:00:00"/>
    <x v="4"/>
    <n v="10"/>
    <x v="1"/>
    <x v="4"/>
    <x v="1"/>
    <x v="1"/>
    <x v="6"/>
    <n v="2023"/>
    <d v="2023-07-02T00:00:00"/>
    <n v="1231.179999999998"/>
    <n v="7"/>
  </r>
  <r>
    <n v="7"/>
    <d v="2023-07-02T00:00:00"/>
    <d v="2023-07-02T00:00:00"/>
    <x v="416"/>
    <n v="125.1"/>
    <x v="6"/>
    <x v="55"/>
    <x v="1"/>
    <x v="3"/>
    <x v="6"/>
    <n v="2023"/>
    <d v="2023-07-02T00:00:00"/>
    <n v="1356.2799999999979"/>
    <n v="9"/>
  </r>
  <r>
    <n v="7"/>
    <d v="2023-07-02T00:00:00"/>
    <d v="2023-07-02T00:00:00"/>
    <x v="417"/>
    <n v="139"/>
    <x v="6"/>
    <x v="55"/>
    <x v="1"/>
    <x v="3"/>
    <x v="6"/>
    <n v="2023"/>
    <d v="2023-07-02T00:00:00"/>
    <n v="1495.2799999999979"/>
    <n v="10"/>
  </r>
  <r>
    <n v="7"/>
    <d v="2023-07-03T00:00:00"/>
    <d v="2023-07-03T00:00:00"/>
    <x v="8"/>
    <n v="-17.190000000000001"/>
    <x v="4"/>
    <x v="8"/>
    <x v="0"/>
    <x v="5"/>
    <x v="6"/>
    <n v="2023"/>
    <d v="2023-07-03T00:00:00"/>
    <n v="1478.0899999999981"/>
    <n v="7"/>
  </r>
  <r>
    <n v="7"/>
    <d v="2023-07-03T00:00:00"/>
    <d v="2023-07-03T00:00:00"/>
    <x v="225"/>
    <n v="4.3899999999999997"/>
    <x v="9"/>
    <x v="34"/>
    <x v="0"/>
    <x v="3"/>
    <x v="6"/>
    <n v="2023"/>
    <d v="2023-07-03T00:00:00"/>
    <n v="1482.479999999998"/>
    <n v="25"/>
  </r>
  <r>
    <n v="7"/>
    <d v="2023-07-03T00:00:00"/>
    <d v="2023-07-03T00:00:00"/>
    <x v="37"/>
    <n v="20.67"/>
    <x v="1"/>
    <x v="12"/>
    <x v="0"/>
    <x v="3"/>
    <x v="6"/>
    <n v="2023"/>
    <d v="2023-07-03T00:00:00"/>
    <n v="1503.149999999998"/>
    <n v="14"/>
  </r>
  <r>
    <n v="7"/>
    <d v="2023-07-04T00:00:00"/>
    <d v="2023-07-04T00:00:00"/>
    <x v="84"/>
    <n v="307.10000000000002"/>
    <x v="2"/>
    <x v="7"/>
    <x v="0"/>
    <x v="3"/>
    <x v="6"/>
    <n v="2023"/>
    <d v="2023-07-04T00:00:00"/>
    <n v="1810.249999999998"/>
    <n v="31"/>
  </r>
  <r>
    <n v="7"/>
    <d v="2023-07-04T00:00:00"/>
    <d v="2023-07-04T00:00:00"/>
    <x v="418"/>
    <n v="60.92"/>
    <x v="1"/>
    <x v="12"/>
    <x v="0"/>
    <x v="3"/>
    <x v="6"/>
    <n v="2023"/>
    <d v="2023-07-04T00:00:00"/>
    <n v="1871.169999999998"/>
    <n v="15"/>
  </r>
  <r>
    <n v="7"/>
    <d v="2023-07-04T00:00:00"/>
    <d v="2023-07-04T00:00:00"/>
    <x v="419"/>
    <n v="6"/>
    <x v="2"/>
    <x v="3"/>
    <x v="0"/>
    <x v="2"/>
    <x v="6"/>
    <n v="2023"/>
    <d v="2023-07-04T00:00:00"/>
    <n v="1877.169999999998"/>
    <n v="34"/>
  </r>
  <r>
    <n v="7"/>
    <d v="2023-07-04T00:00:00"/>
    <d v="2023-07-04T00:00:00"/>
    <x v="84"/>
    <n v="36.17"/>
    <x v="2"/>
    <x v="7"/>
    <x v="0"/>
    <x v="3"/>
    <x v="6"/>
    <n v="2023"/>
    <d v="2023-07-04T00:00:00"/>
    <n v="1913.3399999999981"/>
    <n v="32"/>
  </r>
  <r>
    <n v="7"/>
    <d v="2023-07-05T00:00:00"/>
    <d v="2023-07-05T00:00:00"/>
    <x v="62"/>
    <n v="6.37"/>
    <x v="1"/>
    <x v="40"/>
    <x v="0"/>
    <x v="1"/>
    <x v="6"/>
    <n v="2023"/>
    <d v="2023-07-05T00:00:00"/>
    <n v="1919.709999999998"/>
    <n v="41"/>
  </r>
  <r>
    <n v="7"/>
    <d v="2023-07-06T00:00:00"/>
    <d v="2023-07-06T00:00:00"/>
    <x v="260"/>
    <n v="9.99"/>
    <x v="1"/>
    <x v="18"/>
    <x v="1"/>
    <x v="3"/>
    <x v="6"/>
    <n v="2023"/>
    <d v="2023-07-06T00:00:00"/>
    <n v="1929.699999999998"/>
    <n v="7"/>
  </r>
  <r>
    <n v="7"/>
    <d v="2023-07-06T00:00:00"/>
    <d v="2023-07-06T00:00:00"/>
    <x v="420"/>
    <n v="13.04"/>
    <x v="9"/>
    <x v="46"/>
    <x v="0"/>
    <x v="1"/>
    <x v="6"/>
    <n v="2023"/>
    <d v="2023-07-06T00:00:00"/>
    <n v="1942.739999999998"/>
    <n v="4"/>
  </r>
  <r>
    <n v="7"/>
    <d v="2023-07-06T00:00:00"/>
    <d v="2023-07-07T00:00:00"/>
    <x v="421"/>
    <n v="-153.44999999999999"/>
    <x v="10"/>
    <x v="7"/>
    <x v="0"/>
    <x v="3"/>
    <x v="6"/>
    <n v="2023"/>
    <d v="2023-07-06T00:00:00"/>
    <n v="1789.2899999999979"/>
    <n v="33"/>
  </r>
  <r>
    <n v="7"/>
    <d v="2023-07-07T00:00:00"/>
    <d v="2023-07-07T00:00:00"/>
    <x v="3"/>
    <n v="28.62"/>
    <x v="2"/>
    <x v="3"/>
    <x v="0"/>
    <x v="2"/>
    <x v="6"/>
    <n v="2023"/>
    <d v="2023-07-07T00:00:00"/>
    <n v="1817.909999999998"/>
    <n v="35"/>
  </r>
  <r>
    <n v="7"/>
    <d v="2023-07-07T00:00:00"/>
    <d v="2023-07-07T00:00:00"/>
    <x v="84"/>
    <n v="59.44"/>
    <x v="2"/>
    <x v="7"/>
    <x v="0"/>
    <x v="3"/>
    <x v="6"/>
    <n v="2023"/>
    <d v="2023-07-07T00:00:00"/>
    <n v="1877.3499999999981"/>
    <n v="34"/>
  </r>
  <r>
    <n v="7"/>
    <d v="2023-07-08T00:00:00"/>
    <d v="2023-07-08T00:00:00"/>
    <x v="422"/>
    <n v="5"/>
    <x v="9"/>
    <x v="34"/>
    <x v="0"/>
    <x v="3"/>
    <x v="6"/>
    <n v="2023"/>
    <d v="2023-07-08T00:00:00"/>
    <n v="1882.3499999999981"/>
    <n v="26"/>
  </r>
  <r>
    <n v="7"/>
    <d v="2023-07-08T00:00:00"/>
    <d v="2023-07-08T00:00:00"/>
    <x v="423"/>
    <n v="243.74"/>
    <x v="3"/>
    <x v="21"/>
    <x v="0"/>
    <x v="4"/>
    <x v="6"/>
    <n v="2023"/>
    <d v="2023-07-08T00:00:00"/>
    <n v="2126.0899999999979"/>
    <n v="3"/>
  </r>
  <r>
    <n v="7"/>
    <d v="2023-07-09T00:00:00"/>
    <d v="2023-07-09T00:00:00"/>
    <x v="37"/>
    <n v="20"/>
    <x v="1"/>
    <x v="12"/>
    <x v="0"/>
    <x v="3"/>
    <x v="6"/>
    <n v="2023"/>
    <d v="2023-07-09T00:00:00"/>
    <n v="2146.0899999999979"/>
    <n v="16"/>
  </r>
  <r>
    <n v="7"/>
    <d v="2023-07-09T00:00:00"/>
    <d v="2023-07-09T00:00:00"/>
    <x v="424"/>
    <n v="22.1"/>
    <x v="7"/>
    <x v="11"/>
    <x v="0"/>
    <x v="2"/>
    <x v="6"/>
    <n v="2023"/>
    <d v="2023-07-09T00:00:00"/>
    <n v="2168.1899999999978"/>
    <n v="36"/>
  </r>
  <r>
    <n v="7"/>
    <d v="2023-07-09T00:00:00"/>
    <d v="2023-07-09T00:00:00"/>
    <x v="37"/>
    <n v="30.45"/>
    <x v="1"/>
    <x v="12"/>
    <x v="0"/>
    <x v="3"/>
    <x v="6"/>
    <n v="2023"/>
    <d v="2023-07-09T00:00:00"/>
    <n v="2198.6399999999981"/>
    <n v="17"/>
  </r>
  <r>
    <n v="7"/>
    <d v="2023-07-09T00:00:00"/>
    <d v="2023-07-09T00:00:00"/>
    <x v="62"/>
    <n v="10.63"/>
    <x v="1"/>
    <x v="40"/>
    <x v="0"/>
    <x v="1"/>
    <x v="6"/>
    <n v="2023"/>
    <d v="2023-07-09T00:00:00"/>
    <n v="2209.2699999999982"/>
    <n v="42"/>
  </r>
  <r>
    <n v="7"/>
    <d v="2023-07-09T00:00:00"/>
    <d v="2023-07-09T00:00:00"/>
    <x v="62"/>
    <n v="15.95"/>
    <x v="1"/>
    <x v="40"/>
    <x v="0"/>
    <x v="1"/>
    <x v="6"/>
    <n v="2023"/>
    <d v="2023-07-09T00:00:00"/>
    <n v="2225.219999999998"/>
    <n v="43"/>
  </r>
  <r>
    <n v="7"/>
    <d v="2023-07-10T00:00:00"/>
    <d v="2023-07-10T00:00:00"/>
    <x v="425"/>
    <n v="22.08"/>
    <x v="1"/>
    <x v="7"/>
    <x v="0"/>
    <x v="3"/>
    <x v="6"/>
    <n v="2023"/>
    <d v="2023-07-10T00:00:00"/>
    <n v="2247.2999999999979"/>
    <n v="35"/>
  </r>
  <r>
    <n v="7"/>
    <d v="2023-07-10T00:00:00"/>
    <d v="2023-07-10T00:00:00"/>
    <x v="426"/>
    <n v="22.99"/>
    <x v="1"/>
    <x v="17"/>
    <x v="0"/>
    <x v="3"/>
    <x v="6"/>
    <n v="2023"/>
    <d v="2023-07-10T00:00:00"/>
    <n v="2270.2899999999981"/>
    <n v="36"/>
  </r>
  <r>
    <n v="7"/>
    <d v="2023-07-10T00:00:00"/>
    <d v="2023-07-10T00:00:00"/>
    <x v="203"/>
    <n v="49.37"/>
    <x v="2"/>
    <x v="3"/>
    <x v="0"/>
    <x v="2"/>
    <x v="6"/>
    <n v="2023"/>
    <d v="2023-07-10T00:00:00"/>
    <n v="2319.659999999998"/>
    <n v="36"/>
  </r>
  <r>
    <n v="7"/>
    <d v="2023-07-11T00:00:00"/>
    <d v="2023-07-11T00:00:00"/>
    <x v="260"/>
    <n v="16.95"/>
    <x v="1"/>
    <x v="24"/>
    <x v="1"/>
    <x v="1"/>
    <x v="6"/>
    <n v="2023"/>
    <d v="2023-07-11T00:00:00"/>
    <n v="2336.6099999999969"/>
    <n v="8"/>
  </r>
  <r>
    <n v="7"/>
    <d v="2023-07-11T00:00:00"/>
    <d v="2023-07-11T00:00:00"/>
    <x v="261"/>
    <n v="22.96"/>
    <x v="3"/>
    <x v="65"/>
    <x v="0"/>
    <x v="4"/>
    <x v="6"/>
    <n v="2023"/>
    <d v="2023-07-11T00:00:00"/>
    <n v="2359.569999999997"/>
    <n v="5"/>
  </r>
  <r>
    <n v="7"/>
    <d v="2023-07-11T00:00:00"/>
    <d v="2023-07-11T00:00:00"/>
    <x v="33"/>
    <n v="-2118.23"/>
    <x v="10"/>
    <x v="25"/>
    <x v="0"/>
    <x v="5"/>
    <x v="6"/>
    <n v="2023"/>
    <d v="2023-07-11T00:00:00"/>
    <n v="241.33999999999739"/>
    <n v="20"/>
  </r>
  <r>
    <n v="7"/>
    <d v="2023-07-13T00:00:00"/>
    <d v="2023-07-13T00:00:00"/>
    <x v="62"/>
    <n v="5.32"/>
    <x v="1"/>
    <x v="40"/>
    <x v="0"/>
    <x v="1"/>
    <x v="6"/>
    <n v="2023"/>
    <d v="2023-07-13T00:00:00"/>
    <n v="246.65999999999741"/>
    <n v="44"/>
  </r>
  <r>
    <n v="7"/>
    <d v="2023-07-13T00:00:00"/>
    <d v="2023-07-13T00:00:00"/>
    <x v="37"/>
    <n v="41.54"/>
    <x v="1"/>
    <x v="12"/>
    <x v="0"/>
    <x v="3"/>
    <x v="6"/>
    <n v="2023"/>
    <d v="2023-07-13T00:00:00"/>
    <n v="288.19999999999737"/>
    <n v="18"/>
  </r>
  <r>
    <n v="7"/>
    <d v="2023-07-14T00:00:00"/>
    <d v="2023-07-14T00:00:00"/>
    <x v="427"/>
    <n v="9.98"/>
    <x v="7"/>
    <x v="11"/>
    <x v="0"/>
    <x v="2"/>
    <x v="6"/>
    <n v="2023"/>
    <d v="2023-07-14T00:00:00"/>
    <n v="298.17999999999739"/>
    <n v="37"/>
  </r>
  <r>
    <n v="7"/>
    <d v="2023-07-14T00:00:00"/>
    <d v="2023-07-14T00:00:00"/>
    <x v="225"/>
    <n v="5.48"/>
    <x v="9"/>
    <x v="34"/>
    <x v="0"/>
    <x v="3"/>
    <x v="6"/>
    <n v="2023"/>
    <d v="2023-07-14T00:00:00"/>
    <n v="303.65999999999752"/>
    <n v="27"/>
  </r>
  <r>
    <n v="7"/>
    <d v="2023-07-14T00:00:00"/>
    <d v="2023-07-14T00:00:00"/>
    <x v="428"/>
    <n v="6.3"/>
    <x v="7"/>
    <x v="11"/>
    <x v="0"/>
    <x v="2"/>
    <x v="6"/>
    <n v="2023"/>
    <d v="2023-07-14T00:00:00"/>
    <n v="309.95999999999748"/>
    <n v="38"/>
  </r>
  <r>
    <n v="7"/>
    <d v="2023-07-14T00:00:00"/>
    <d v="2023-07-14T00:00:00"/>
    <x v="15"/>
    <n v="88.02"/>
    <x v="1"/>
    <x v="15"/>
    <x v="1"/>
    <x v="8"/>
    <x v="6"/>
    <n v="2023"/>
    <d v="2023-07-14T00:00:00"/>
    <n v="397.97999999999752"/>
    <n v="7"/>
  </r>
  <r>
    <n v="7"/>
    <d v="2023-07-15T00:00:00"/>
    <d v="2023-07-15T00:00:00"/>
    <x v="429"/>
    <n v="4.2"/>
    <x v="7"/>
    <x v="16"/>
    <x v="0"/>
    <x v="2"/>
    <x v="6"/>
    <n v="2023"/>
    <d v="2023-07-15T00:00:00"/>
    <n v="402.17999999999739"/>
    <n v="76"/>
  </r>
  <r>
    <n v="7"/>
    <d v="2023-07-15T00:00:00"/>
    <d v="2023-07-15T00:00:00"/>
    <x v="430"/>
    <n v="14.95"/>
    <x v="7"/>
    <x v="16"/>
    <x v="0"/>
    <x v="2"/>
    <x v="6"/>
    <n v="2023"/>
    <d v="2023-07-15T00:00:00"/>
    <n v="417.12999999999738"/>
    <n v="77"/>
  </r>
  <r>
    <n v="7"/>
    <d v="2023-07-16T00:00:00"/>
    <d v="2023-07-16T00:00:00"/>
    <x v="431"/>
    <n v="4.66"/>
    <x v="7"/>
    <x v="11"/>
    <x v="0"/>
    <x v="2"/>
    <x v="6"/>
    <n v="2023"/>
    <d v="2023-07-16T00:00:00"/>
    <n v="421.78999999999752"/>
    <n v="39"/>
  </r>
  <r>
    <n v="7"/>
    <d v="2023-07-16T00:00:00"/>
    <d v="2023-07-16T00:00:00"/>
    <x v="36"/>
    <n v="7.99"/>
    <x v="6"/>
    <x v="27"/>
    <x v="1"/>
    <x v="1"/>
    <x v="6"/>
    <n v="2023"/>
    <d v="2023-07-16T00:00:00"/>
    <n v="429.77999999999747"/>
    <n v="7"/>
  </r>
  <r>
    <n v="7"/>
    <d v="2023-07-16T00:00:00"/>
    <d v="2023-07-16T00:00:00"/>
    <x v="432"/>
    <n v="5"/>
    <x v="9"/>
    <x v="49"/>
    <x v="0"/>
    <x v="1"/>
    <x v="6"/>
    <n v="2023"/>
    <d v="2023-07-16T00:00:00"/>
    <n v="434.77999999999747"/>
    <n v="16"/>
  </r>
  <r>
    <n v="7"/>
    <d v="2023-07-17T00:00:00"/>
    <d v="2023-07-17T00:00:00"/>
    <x v="55"/>
    <n v="35"/>
    <x v="9"/>
    <x v="36"/>
    <x v="0"/>
    <x v="6"/>
    <x v="6"/>
    <n v="2023"/>
    <d v="2023-07-17T00:00:00"/>
    <n v="469.77999999999747"/>
    <n v="8"/>
  </r>
  <r>
    <n v="7"/>
    <d v="2023-07-17T00:00:00"/>
    <d v="2023-07-17T00:00:00"/>
    <x v="433"/>
    <n v="50"/>
    <x v="6"/>
    <x v="47"/>
    <x v="1"/>
    <x v="3"/>
    <x v="6"/>
    <n v="2023"/>
    <d v="2023-07-17T00:00:00"/>
    <n v="519.77999999999747"/>
    <n v="7"/>
  </r>
  <r>
    <n v="7"/>
    <d v="2023-07-17T00:00:00"/>
    <d v="2023-07-17T00:00:00"/>
    <x v="40"/>
    <n v="232.39"/>
    <x v="1"/>
    <x v="29"/>
    <x v="1"/>
    <x v="9"/>
    <x v="6"/>
    <n v="2023"/>
    <d v="2023-07-17T00:00:00"/>
    <n v="752.16999999999746"/>
    <n v="7"/>
  </r>
  <r>
    <n v="7"/>
    <d v="2023-07-18T00:00:00"/>
    <d v="2023-07-18T00:00:00"/>
    <x v="434"/>
    <n v="87.69"/>
    <x v="1"/>
    <x v="17"/>
    <x v="0"/>
    <x v="3"/>
    <x v="6"/>
    <n v="2023"/>
    <d v="2023-07-18T00:00:00"/>
    <n v="839.8599999999974"/>
    <n v="37"/>
  </r>
  <r>
    <n v="7"/>
    <d v="2023-07-19T00:00:00"/>
    <d v="2023-07-19T00:00:00"/>
    <x v="62"/>
    <n v="9.57"/>
    <x v="1"/>
    <x v="40"/>
    <x v="0"/>
    <x v="1"/>
    <x v="6"/>
    <n v="2023"/>
    <d v="2023-07-19T00:00:00"/>
    <n v="849.42999999999745"/>
    <n v="45"/>
  </r>
  <r>
    <n v="7"/>
    <d v="2023-07-20T00:00:00"/>
    <d v="2023-07-20T00:00:00"/>
    <x v="435"/>
    <n v="74.31"/>
    <x v="1"/>
    <x v="12"/>
    <x v="0"/>
    <x v="3"/>
    <x v="6"/>
    <n v="2023"/>
    <d v="2023-07-20T00:00:00"/>
    <n v="923.73999999999751"/>
    <n v="19"/>
  </r>
  <r>
    <n v="7"/>
    <d v="2023-07-20T00:00:00"/>
    <d v="2023-07-20T00:00:00"/>
    <x v="436"/>
    <n v="23.7"/>
    <x v="9"/>
    <x v="49"/>
    <x v="0"/>
    <x v="1"/>
    <x v="6"/>
    <n v="2023"/>
    <d v="2023-07-20T00:00:00"/>
    <n v="947.43999999999755"/>
    <n v="17"/>
  </r>
  <r>
    <n v="7"/>
    <d v="2023-07-20T00:00:00"/>
    <d v="2023-07-20T00:00:00"/>
    <x v="437"/>
    <n v="13.15"/>
    <x v="9"/>
    <x v="49"/>
    <x v="0"/>
    <x v="1"/>
    <x v="6"/>
    <n v="2023"/>
    <d v="2023-07-20T00:00:00"/>
    <n v="960.58999999999753"/>
    <n v="18"/>
  </r>
  <r>
    <n v="7"/>
    <d v="2023-07-21T00:00:00"/>
    <d v="2023-07-21T00:00:00"/>
    <x v="438"/>
    <n v="5.4"/>
    <x v="9"/>
    <x v="49"/>
    <x v="0"/>
    <x v="1"/>
    <x v="6"/>
    <n v="2023"/>
    <d v="2023-07-21T00:00:00"/>
    <n v="965.98999999999751"/>
    <n v="19"/>
  </r>
  <r>
    <n v="7"/>
    <d v="2023-07-25T00:00:00"/>
    <d v="2023-07-25T00:00:00"/>
    <x v="439"/>
    <n v="22.08"/>
    <x v="1"/>
    <x v="7"/>
    <x v="0"/>
    <x v="3"/>
    <x v="6"/>
    <n v="2023"/>
    <d v="2023-07-25T00:00:00"/>
    <n v="988.06999999999755"/>
    <n v="36"/>
  </r>
  <r>
    <n v="7"/>
    <d v="2023-07-25T00:00:00"/>
    <d v="2023-07-25T00:00:00"/>
    <x v="33"/>
    <n v="-500"/>
    <x v="10"/>
    <x v="25"/>
    <x v="0"/>
    <x v="5"/>
    <x v="6"/>
    <n v="2023"/>
    <d v="2023-07-25T00:00:00"/>
    <n v="488.06999999999749"/>
    <n v="21"/>
  </r>
  <r>
    <n v="7"/>
    <d v="2023-07-25T00:00:00"/>
    <d v="2023-07-27T00:00:00"/>
    <x v="62"/>
    <n v="-9.57"/>
    <x v="10"/>
    <x v="40"/>
    <x v="0"/>
    <x v="1"/>
    <x v="6"/>
    <n v="2023"/>
    <d v="2023-07-25T00:00:00"/>
    <n v="478.49999999999761"/>
    <n v="46"/>
  </r>
  <r>
    <n v="7"/>
    <d v="2023-07-26T00:00:00"/>
    <d v="2023-07-26T00:00:00"/>
    <x v="62"/>
    <n v="6.37"/>
    <x v="1"/>
    <x v="40"/>
    <x v="0"/>
    <x v="1"/>
    <x v="6"/>
    <n v="2023"/>
    <d v="2023-07-26T00:00:00"/>
    <n v="484.86999999999762"/>
    <n v="47"/>
  </r>
  <r>
    <n v="7"/>
    <d v="2023-07-28T00:00:00"/>
    <d v="2023-07-28T00:00:00"/>
    <x v="440"/>
    <n v="49.12"/>
    <x v="2"/>
    <x v="3"/>
    <x v="0"/>
    <x v="2"/>
    <x v="6"/>
    <n v="2023"/>
    <d v="2023-07-28T00:00:00"/>
    <n v="533.98999999999751"/>
    <n v="37"/>
  </r>
  <r>
    <n v="7"/>
    <d v="2023-07-29T00:00:00"/>
    <d v="2023-07-29T00:00:00"/>
    <x v="441"/>
    <n v="7.99"/>
    <x v="8"/>
    <x v="31"/>
    <x v="0"/>
    <x v="3"/>
    <x v="6"/>
    <n v="2023"/>
    <d v="2023-07-29T00:00:00"/>
    <n v="541.97999999999752"/>
    <n v="7"/>
  </r>
  <r>
    <n v="8"/>
    <d v="2023-08-01T00:00:00"/>
    <d v="2023-08-03T00:00:00"/>
    <x v="101"/>
    <n v="5"/>
    <x v="6"/>
    <x v="47"/>
    <x v="1"/>
    <x v="3"/>
    <x v="7"/>
    <n v="2023"/>
    <d v="2023-08-01T00:00:00"/>
    <n v="546.97999999999752"/>
    <n v="8"/>
  </r>
  <r>
    <n v="8"/>
    <d v="2023-08-01T00:00:00"/>
    <d v="2023-08-03T00:00:00"/>
    <x v="2"/>
    <n v="10.59"/>
    <x v="1"/>
    <x v="2"/>
    <x v="1"/>
    <x v="1"/>
    <x v="7"/>
    <n v="2023"/>
    <d v="2023-08-01T00:00:00"/>
    <n v="557.56999999999755"/>
    <n v="8"/>
  </r>
  <r>
    <n v="8"/>
    <d v="2023-08-01T00:00:00"/>
    <d v="2023-08-01T00:00:00"/>
    <x v="442"/>
    <n v="4.99"/>
    <x v="1"/>
    <x v="1"/>
    <x v="1"/>
    <x v="1"/>
    <x v="7"/>
    <n v="2023"/>
    <d v="2023-08-01T00:00:00"/>
    <n v="562.55999999999756"/>
    <n v="8"/>
  </r>
  <r>
    <n v="8"/>
    <d v="2023-08-01T00:00:00"/>
    <d v="2023-08-01T00:00:00"/>
    <x v="443"/>
    <n v="48.6"/>
    <x v="2"/>
    <x v="3"/>
    <x v="0"/>
    <x v="2"/>
    <x v="7"/>
    <n v="2023"/>
    <d v="2023-08-01T00:00:00"/>
    <n v="611.15999999999758"/>
    <n v="38"/>
  </r>
  <r>
    <n v="8"/>
    <d v="2023-08-01T00:00:00"/>
    <d v="2023-08-01T00:00:00"/>
    <x v="210"/>
    <n v="20"/>
    <x v="1"/>
    <x v="59"/>
    <x v="1"/>
    <x v="3"/>
    <x v="7"/>
    <n v="2023"/>
    <d v="2023-08-01T00:00:00"/>
    <n v="631.15999999999758"/>
    <n v="6"/>
  </r>
  <r>
    <n v="8"/>
    <d v="2023-08-02T00:00:00"/>
    <d v="2023-08-02T00:00:00"/>
    <x v="444"/>
    <n v="125.1"/>
    <x v="6"/>
    <x v="55"/>
    <x v="1"/>
    <x v="3"/>
    <x v="7"/>
    <n v="2023"/>
    <d v="2023-08-02T00:00:00"/>
    <n v="756.2599999999976"/>
    <n v="11"/>
  </r>
  <r>
    <n v="8"/>
    <d v="2023-08-02T00:00:00"/>
    <d v="2023-08-02T00:00:00"/>
    <x v="445"/>
    <n v="139"/>
    <x v="6"/>
    <x v="55"/>
    <x v="1"/>
    <x v="3"/>
    <x v="7"/>
    <n v="2023"/>
    <d v="2023-08-02T00:00:00"/>
    <n v="895.2599999999976"/>
    <n v="12"/>
  </r>
  <r>
    <n v="8"/>
    <d v="2023-08-02T00:00:00"/>
    <d v="2023-08-03T00:00:00"/>
    <x v="4"/>
    <n v="10"/>
    <x v="1"/>
    <x v="4"/>
    <x v="1"/>
    <x v="1"/>
    <x v="7"/>
    <n v="2023"/>
    <d v="2023-08-02T00:00:00"/>
    <n v="905.2599999999976"/>
    <n v="8"/>
  </r>
  <r>
    <n v="8"/>
    <d v="2023-08-03T00:00:00"/>
    <d v="2023-08-03T00:00:00"/>
    <x v="8"/>
    <n v="-24.69"/>
    <x v="4"/>
    <x v="8"/>
    <x v="0"/>
    <x v="5"/>
    <x v="7"/>
    <n v="2023"/>
    <d v="2023-08-03T00:00:00"/>
    <n v="880.56999999999755"/>
    <n v="8"/>
  </r>
  <r>
    <n v="8"/>
    <d v="2023-08-03T00:00:00"/>
    <d v="2023-08-03T00:00:00"/>
    <x v="62"/>
    <n v="7.43"/>
    <x v="1"/>
    <x v="40"/>
    <x v="0"/>
    <x v="1"/>
    <x v="7"/>
    <n v="2023"/>
    <d v="2023-08-03T00:00:00"/>
    <n v="887.9999999999975"/>
    <n v="48"/>
  </r>
  <r>
    <n v="8"/>
    <d v="2023-08-03T00:00:00"/>
    <d v="2023-08-03T00:00:00"/>
    <x v="446"/>
    <n v="18.73"/>
    <x v="6"/>
    <x v="16"/>
    <x v="0"/>
    <x v="2"/>
    <x v="7"/>
    <n v="2023"/>
    <d v="2023-08-03T00:00:00"/>
    <n v="906.72999999999752"/>
    <n v="78"/>
  </r>
  <r>
    <n v="8"/>
    <d v="2023-08-05T00:00:00"/>
    <d v="2023-08-05T00:00:00"/>
    <x v="447"/>
    <n v="49"/>
    <x v="8"/>
    <x v="13"/>
    <x v="1"/>
    <x v="3"/>
    <x v="7"/>
    <n v="2023"/>
    <d v="2023-08-05T00:00:00"/>
    <n v="955.72999999999752"/>
    <n v="8"/>
  </r>
  <r>
    <n v="8"/>
    <d v="2023-08-05T00:00:00"/>
    <d v="2023-08-05T00:00:00"/>
    <x v="448"/>
    <n v="19.36"/>
    <x v="7"/>
    <x v="53"/>
    <x v="0"/>
    <x v="1"/>
    <x v="7"/>
    <n v="2023"/>
    <d v="2023-08-05T00:00:00"/>
    <n v="975.08999999999753"/>
    <n v="2"/>
  </r>
  <r>
    <n v="8"/>
    <d v="2023-08-05T00:00:00"/>
    <d v="2023-08-05T00:00:00"/>
    <x v="448"/>
    <n v="39.119999999999997"/>
    <x v="7"/>
    <x v="53"/>
    <x v="0"/>
    <x v="1"/>
    <x v="7"/>
    <n v="2023"/>
    <d v="2023-08-05T00:00:00"/>
    <n v="1014.209999999998"/>
    <n v="3"/>
  </r>
  <r>
    <n v="8"/>
    <d v="2023-08-06T00:00:00"/>
    <d v="2023-08-06T00:00:00"/>
    <x v="3"/>
    <n v="36.72"/>
    <x v="2"/>
    <x v="3"/>
    <x v="0"/>
    <x v="2"/>
    <x v="7"/>
    <n v="2023"/>
    <d v="2023-08-06T00:00:00"/>
    <n v="1050.929999999998"/>
    <n v="39"/>
  </r>
  <r>
    <n v="8"/>
    <d v="2023-08-06T00:00:00"/>
    <d v="2023-08-06T00:00:00"/>
    <x v="449"/>
    <n v="2.5"/>
    <x v="2"/>
    <x v="3"/>
    <x v="0"/>
    <x v="2"/>
    <x v="7"/>
    <n v="2023"/>
    <d v="2023-08-06T00:00:00"/>
    <n v="1053.429999999998"/>
    <n v="40"/>
  </r>
  <r>
    <n v="8"/>
    <d v="2023-08-06T00:00:00"/>
    <d v="2023-08-06T00:00:00"/>
    <x v="450"/>
    <n v="27.19"/>
    <x v="1"/>
    <x v="16"/>
    <x v="0"/>
    <x v="2"/>
    <x v="7"/>
    <n v="2023"/>
    <d v="2023-08-06T00:00:00"/>
    <n v="1080.6199999999981"/>
    <n v="79"/>
  </r>
  <r>
    <n v="8"/>
    <d v="2023-08-06T00:00:00"/>
    <d v="2023-08-06T00:00:00"/>
    <x v="451"/>
    <n v="4"/>
    <x v="1"/>
    <x v="3"/>
    <x v="0"/>
    <x v="2"/>
    <x v="7"/>
    <n v="2023"/>
    <d v="2023-08-06T00:00:00"/>
    <n v="1084.6199999999981"/>
    <n v="41"/>
  </r>
  <r>
    <n v="8"/>
    <d v="2023-08-07T00:00:00"/>
    <d v="2023-08-07T00:00:00"/>
    <x v="37"/>
    <n v="16.12"/>
    <x v="1"/>
    <x v="12"/>
    <x v="0"/>
    <x v="3"/>
    <x v="7"/>
    <n v="2023"/>
    <d v="2023-08-07T00:00:00"/>
    <n v="1100.739999999998"/>
    <n v="20"/>
  </r>
  <r>
    <n v="8"/>
    <d v="2023-08-07T00:00:00"/>
    <d v="2023-08-07T00:00:00"/>
    <x v="452"/>
    <n v="9.99"/>
    <x v="1"/>
    <x v="18"/>
    <x v="1"/>
    <x v="3"/>
    <x v="7"/>
    <n v="2023"/>
    <d v="2023-08-07T00:00:00"/>
    <n v="1110.729999999998"/>
    <n v="8"/>
  </r>
  <r>
    <n v="8"/>
    <d v="2023-08-07T00:00:00"/>
    <d v="2023-08-07T00:00:00"/>
    <x v="453"/>
    <n v="22.08"/>
    <x v="1"/>
    <x v="7"/>
    <x v="0"/>
    <x v="3"/>
    <x v="7"/>
    <n v="2023"/>
    <d v="2023-08-07T00:00:00"/>
    <n v="1132.809999999997"/>
    <n v="37"/>
  </r>
  <r>
    <n v="8"/>
    <d v="2023-08-08T00:00:00"/>
    <d v="2023-08-08T00:00:00"/>
    <x v="454"/>
    <n v="48"/>
    <x v="1"/>
    <x v="42"/>
    <x v="0"/>
    <x v="3"/>
    <x v="7"/>
    <n v="2023"/>
    <d v="2023-08-08T00:00:00"/>
    <n v="1180.809999999997"/>
    <n v="11"/>
  </r>
  <r>
    <n v="8"/>
    <d v="2023-08-08T00:00:00"/>
    <d v="2023-08-08T00:00:00"/>
    <x v="62"/>
    <n v="10.62"/>
    <x v="1"/>
    <x v="40"/>
    <x v="0"/>
    <x v="1"/>
    <x v="7"/>
    <n v="2023"/>
    <d v="2023-08-08T00:00:00"/>
    <n v="1191.4299999999971"/>
    <n v="49"/>
  </r>
  <r>
    <n v="8"/>
    <d v="2023-08-08T00:00:00"/>
    <d v="2023-08-08T00:00:00"/>
    <x v="33"/>
    <n v="-1027.93"/>
    <x v="10"/>
    <x v="25"/>
    <x v="0"/>
    <x v="5"/>
    <x v="7"/>
    <n v="2023"/>
    <d v="2023-08-08T00:00:00"/>
    <n v="163.4999999999973"/>
    <n v="22"/>
  </r>
  <r>
    <n v="8"/>
    <d v="2023-08-09T00:00:00"/>
    <d v="2023-08-09T00:00:00"/>
    <x v="151"/>
    <n v="15.17"/>
    <x v="7"/>
    <x v="11"/>
    <x v="0"/>
    <x v="2"/>
    <x v="7"/>
    <n v="2023"/>
    <d v="2023-08-09T00:00:00"/>
    <n v="178.66999999999729"/>
    <n v="40"/>
  </r>
  <r>
    <n v="8"/>
    <d v="2023-08-09T00:00:00"/>
    <d v="2023-08-09T00:00:00"/>
    <x v="3"/>
    <n v="25.49"/>
    <x v="2"/>
    <x v="3"/>
    <x v="0"/>
    <x v="2"/>
    <x v="7"/>
    <n v="2023"/>
    <d v="2023-08-09T00:00:00"/>
    <n v="204.1599999999973"/>
    <n v="42"/>
  </r>
  <r>
    <n v="8"/>
    <d v="2023-08-10T00:00:00"/>
    <d v="2023-08-10T00:00:00"/>
    <x v="38"/>
    <n v="28.32"/>
    <x v="5"/>
    <x v="9"/>
    <x v="0"/>
    <x v="6"/>
    <x v="7"/>
    <n v="2023"/>
    <d v="2023-08-10T00:00:00"/>
    <n v="232.47999999999729"/>
    <n v="12"/>
  </r>
  <r>
    <n v="8"/>
    <d v="2023-08-10T00:00:00"/>
    <d v="2023-08-10T00:00:00"/>
    <x v="455"/>
    <n v="48.34"/>
    <x v="1"/>
    <x v="75"/>
    <x v="0"/>
    <x v="11"/>
    <x v="7"/>
    <n v="2023"/>
    <d v="2023-08-10T00:00:00"/>
    <n v="280.81999999999732"/>
    <n v="1"/>
  </r>
  <r>
    <n v="8"/>
    <d v="2023-08-10T00:00:00"/>
    <d v="2023-08-10T00:00:00"/>
    <x v="456"/>
    <n v="82.55"/>
    <x v="7"/>
    <x v="16"/>
    <x v="0"/>
    <x v="2"/>
    <x v="7"/>
    <n v="2023"/>
    <d v="2023-08-10T00:00:00"/>
    <n v="363.36999999999728"/>
    <n v="80"/>
  </r>
  <r>
    <n v="8"/>
    <d v="2023-08-11T00:00:00"/>
    <d v="2023-08-11T00:00:00"/>
    <x v="457"/>
    <n v="35.79"/>
    <x v="7"/>
    <x v="16"/>
    <x v="0"/>
    <x v="2"/>
    <x v="7"/>
    <n v="2023"/>
    <d v="2023-08-11T00:00:00"/>
    <n v="399.1599999999973"/>
    <n v="81"/>
  </r>
  <r>
    <n v="8"/>
    <d v="2023-08-11T00:00:00"/>
    <d v="2023-08-11T00:00:00"/>
    <x v="458"/>
    <n v="19"/>
    <x v="1"/>
    <x v="42"/>
    <x v="0"/>
    <x v="3"/>
    <x v="7"/>
    <n v="2023"/>
    <d v="2023-08-11T00:00:00"/>
    <n v="418.1599999999973"/>
    <n v="12"/>
  </r>
  <r>
    <n v="8"/>
    <d v="2023-08-11T00:00:00"/>
    <d v="2023-08-11T00:00:00"/>
    <x v="459"/>
    <n v="34.53"/>
    <x v="7"/>
    <x v="11"/>
    <x v="0"/>
    <x v="2"/>
    <x v="7"/>
    <n v="2023"/>
    <d v="2023-08-11T00:00:00"/>
    <n v="452.68999999999733"/>
    <n v="41"/>
  </r>
  <r>
    <n v="8"/>
    <d v="2023-08-11T00:00:00"/>
    <d v="2023-08-11T00:00:00"/>
    <x v="346"/>
    <n v="10.95"/>
    <x v="9"/>
    <x v="19"/>
    <x v="0"/>
    <x v="6"/>
    <x v="7"/>
    <n v="2023"/>
    <d v="2023-08-11T00:00:00"/>
    <n v="463.63999999999731"/>
    <n v="72"/>
  </r>
  <r>
    <n v="8"/>
    <d v="2023-08-12T00:00:00"/>
    <d v="2023-08-12T00:00:00"/>
    <x v="65"/>
    <n v="10.99"/>
    <x v="9"/>
    <x v="19"/>
    <x v="0"/>
    <x v="6"/>
    <x v="7"/>
    <n v="2023"/>
    <d v="2023-08-12T00:00:00"/>
    <n v="474.62999999999732"/>
    <n v="73"/>
  </r>
  <r>
    <n v="8"/>
    <d v="2023-08-12T00:00:00"/>
    <d v="2023-08-12T00:00:00"/>
    <x v="346"/>
    <n v="9.93"/>
    <x v="9"/>
    <x v="19"/>
    <x v="0"/>
    <x v="6"/>
    <x v="7"/>
    <n v="2023"/>
    <d v="2023-08-12T00:00:00"/>
    <n v="484.55999999999727"/>
    <n v="74"/>
  </r>
  <r>
    <n v="8"/>
    <d v="2023-08-13T00:00:00"/>
    <d v="2023-08-13T00:00:00"/>
    <x v="65"/>
    <n v="28.97"/>
    <x v="9"/>
    <x v="19"/>
    <x v="0"/>
    <x v="6"/>
    <x v="7"/>
    <n v="2023"/>
    <d v="2023-08-13T00:00:00"/>
    <n v="513.52999999999736"/>
    <n v="75"/>
  </r>
  <r>
    <n v="8"/>
    <d v="2023-08-13T00:00:00"/>
    <d v="2023-08-13T00:00:00"/>
    <x v="65"/>
    <n v="21.91"/>
    <x v="9"/>
    <x v="19"/>
    <x v="0"/>
    <x v="6"/>
    <x v="7"/>
    <n v="2023"/>
    <d v="2023-08-13T00:00:00"/>
    <n v="535.43999999999733"/>
    <n v="76"/>
  </r>
  <r>
    <n v="8"/>
    <d v="2023-08-13T00:00:00"/>
    <d v="2023-08-13T00:00:00"/>
    <x v="460"/>
    <n v="50.31"/>
    <x v="7"/>
    <x v="16"/>
    <x v="0"/>
    <x v="2"/>
    <x v="7"/>
    <n v="2023"/>
    <d v="2023-08-13T00:00:00"/>
    <n v="585.74999999999727"/>
    <n v="82"/>
  </r>
  <r>
    <n v="8"/>
    <d v="2023-08-13T00:00:00"/>
    <d v="2023-08-13T00:00:00"/>
    <x v="461"/>
    <n v="76.64"/>
    <x v="1"/>
    <x v="17"/>
    <x v="0"/>
    <x v="3"/>
    <x v="7"/>
    <n v="2023"/>
    <d v="2023-08-13T00:00:00"/>
    <n v="662.38999999999726"/>
    <n v="38"/>
  </r>
  <r>
    <n v="8"/>
    <d v="2023-08-13T00:00:00"/>
    <d v="2023-08-13T00:00:00"/>
    <x v="462"/>
    <n v="20.6"/>
    <x v="1"/>
    <x v="17"/>
    <x v="0"/>
    <x v="3"/>
    <x v="7"/>
    <n v="2023"/>
    <d v="2023-08-13T00:00:00"/>
    <n v="682.98999999999728"/>
    <n v="39"/>
  </r>
  <r>
    <n v="8"/>
    <d v="2023-08-13T00:00:00"/>
    <d v="2023-08-13T00:00:00"/>
    <x v="463"/>
    <n v="41.82"/>
    <x v="1"/>
    <x v="76"/>
    <x v="0"/>
    <x v="1"/>
    <x v="7"/>
    <n v="2023"/>
    <d v="2023-08-13T00:00:00"/>
    <n v="724.80999999999733"/>
    <n v="1"/>
  </r>
  <r>
    <n v="8"/>
    <d v="2023-08-14T00:00:00"/>
    <d v="2023-08-14T00:00:00"/>
    <x v="464"/>
    <n v="12.49"/>
    <x v="1"/>
    <x v="17"/>
    <x v="0"/>
    <x v="3"/>
    <x v="7"/>
    <n v="2023"/>
    <d v="2023-08-14T00:00:00"/>
    <n v="737.29999999999734"/>
    <n v="40"/>
  </r>
  <r>
    <n v="8"/>
    <d v="2023-08-14T00:00:00"/>
    <d v="2023-08-14T00:00:00"/>
    <x v="65"/>
    <n v="22.95"/>
    <x v="9"/>
    <x v="19"/>
    <x v="0"/>
    <x v="6"/>
    <x v="7"/>
    <n v="2023"/>
    <d v="2023-08-14T00:00:00"/>
    <n v="760.24999999999739"/>
    <n v="77"/>
  </r>
  <r>
    <n v="8"/>
    <d v="2023-08-14T00:00:00"/>
    <d v="2023-08-14T00:00:00"/>
    <x v="65"/>
    <n v="90.34"/>
    <x v="9"/>
    <x v="19"/>
    <x v="0"/>
    <x v="6"/>
    <x v="7"/>
    <n v="2023"/>
    <d v="2023-08-14T00:00:00"/>
    <n v="850.58999999999742"/>
    <n v="78"/>
  </r>
  <r>
    <n v="8"/>
    <d v="2023-08-15T00:00:00"/>
    <d v="2023-08-15T00:00:00"/>
    <x v="465"/>
    <n v="16.95"/>
    <x v="1"/>
    <x v="24"/>
    <x v="1"/>
    <x v="1"/>
    <x v="7"/>
    <n v="2023"/>
    <d v="2023-08-15T00:00:00"/>
    <n v="867.53999999999746"/>
    <n v="9"/>
  </r>
  <r>
    <n v="8"/>
    <d v="2023-08-15T00:00:00"/>
    <d v="2023-08-15T00:00:00"/>
    <x v="466"/>
    <n v="2019.8"/>
    <x v="5"/>
    <x v="37"/>
    <x v="0"/>
    <x v="9"/>
    <x v="7"/>
    <n v="2023"/>
    <d v="2023-08-15T00:00:00"/>
    <n v="2887.339999999997"/>
    <n v="11"/>
  </r>
  <r>
    <n v="8"/>
    <d v="2023-08-15T00:00:00"/>
    <d v="2023-08-15T00:00:00"/>
    <x v="15"/>
    <n v="90.83"/>
    <x v="1"/>
    <x v="15"/>
    <x v="1"/>
    <x v="8"/>
    <x v="7"/>
    <n v="2023"/>
    <d v="2023-08-15T00:00:00"/>
    <n v="2978.1699999999969"/>
    <n v="8"/>
  </r>
  <r>
    <n v="8"/>
    <d v="2023-08-16T00:00:00"/>
    <d v="2023-08-16T00:00:00"/>
    <x v="36"/>
    <n v="7.99"/>
    <x v="6"/>
    <x v="27"/>
    <x v="1"/>
    <x v="1"/>
    <x v="7"/>
    <n v="2023"/>
    <d v="2023-08-16T00:00:00"/>
    <n v="2986.1599999999971"/>
    <n v="8"/>
  </r>
  <r>
    <n v="8"/>
    <d v="2023-08-16T00:00:00"/>
    <d v="2023-08-16T00:00:00"/>
    <x v="65"/>
    <n v="10.99"/>
    <x v="9"/>
    <x v="19"/>
    <x v="0"/>
    <x v="6"/>
    <x v="7"/>
    <n v="2023"/>
    <d v="2023-08-16T00:00:00"/>
    <n v="2997.1499999999969"/>
    <n v="79"/>
  </r>
  <r>
    <n v="8"/>
    <d v="2023-08-17T00:00:00"/>
    <d v="2023-08-17T00:00:00"/>
    <x v="3"/>
    <n v="22.07"/>
    <x v="2"/>
    <x v="3"/>
    <x v="0"/>
    <x v="2"/>
    <x v="7"/>
    <n v="2023"/>
    <d v="2023-08-17T00:00:00"/>
    <n v="3019.2199999999971"/>
    <n v="43"/>
  </r>
  <r>
    <n v="8"/>
    <d v="2023-08-18T00:00:00"/>
    <d v="2023-08-18T00:00:00"/>
    <x v="62"/>
    <n v="9.56"/>
    <x v="1"/>
    <x v="40"/>
    <x v="0"/>
    <x v="1"/>
    <x v="7"/>
    <n v="2023"/>
    <d v="2023-08-18T00:00:00"/>
    <n v="3028.779999999997"/>
    <n v="50"/>
  </r>
  <r>
    <n v="8"/>
    <d v="2023-08-21T00:00:00"/>
    <d v="2023-08-21T00:00:00"/>
    <x v="24"/>
    <n v="59.99"/>
    <x v="9"/>
    <x v="22"/>
    <x v="0"/>
    <x v="1"/>
    <x v="7"/>
    <n v="2023"/>
    <d v="2023-08-21T00:00:00"/>
    <n v="3088.7699999999968"/>
    <n v="4"/>
  </r>
  <r>
    <n v="8"/>
    <d v="2023-08-21T00:00:00"/>
    <d v="2023-08-21T00:00:00"/>
    <x v="467"/>
    <n v="122.7"/>
    <x v="1"/>
    <x v="54"/>
    <x v="0"/>
    <x v="1"/>
    <x v="7"/>
    <n v="2023"/>
    <d v="2023-08-21T00:00:00"/>
    <n v="3211.4699999999971"/>
    <n v="3"/>
  </r>
  <r>
    <n v="8"/>
    <d v="2023-08-21T00:00:00"/>
    <d v="2023-08-21T00:00:00"/>
    <x v="468"/>
    <n v="26.56"/>
    <x v="1"/>
    <x v="7"/>
    <x v="0"/>
    <x v="3"/>
    <x v="7"/>
    <n v="2023"/>
    <d v="2023-08-21T00:00:00"/>
    <n v="3238.029999999997"/>
    <n v="38"/>
  </r>
  <r>
    <n v="8"/>
    <d v="2023-08-21T00:00:00"/>
    <d v="2023-08-21T00:00:00"/>
    <x v="469"/>
    <n v="51.98"/>
    <x v="5"/>
    <x v="9"/>
    <x v="0"/>
    <x v="6"/>
    <x v="7"/>
    <n v="2023"/>
    <d v="2023-08-21T00:00:00"/>
    <n v="3290.009999999997"/>
    <n v="13"/>
  </r>
  <r>
    <n v="8"/>
    <d v="2023-08-21T00:00:00"/>
    <d v="2023-08-21T00:00:00"/>
    <x v="470"/>
    <n v="22.08"/>
    <x v="1"/>
    <x v="7"/>
    <x v="0"/>
    <x v="3"/>
    <x v="7"/>
    <n v="2023"/>
    <d v="2023-08-21T00:00:00"/>
    <n v="3312.089999999997"/>
    <n v="39"/>
  </r>
  <r>
    <n v="8"/>
    <d v="2023-08-22T00:00:00"/>
    <d v="2023-08-22T00:00:00"/>
    <x v="227"/>
    <n v="77.099999999999994"/>
    <x v="2"/>
    <x v="3"/>
    <x v="0"/>
    <x v="2"/>
    <x v="7"/>
    <n v="2023"/>
    <d v="2023-08-22T00:00:00"/>
    <n v="3389.189999999996"/>
    <n v="44"/>
  </r>
  <r>
    <n v="8"/>
    <d v="2023-08-24T00:00:00"/>
    <d v="2023-08-24T00:00:00"/>
    <x v="33"/>
    <n v="-2000"/>
    <x v="10"/>
    <x v="25"/>
    <x v="0"/>
    <x v="5"/>
    <x v="7"/>
    <n v="2023"/>
    <d v="2023-08-24T00:00:00"/>
    <n v="1389.189999999996"/>
    <n v="23"/>
  </r>
  <r>
    <n v="8"/>
    <d v="2023-08-24T00:00:00"/>
    <d v="2023-08-24T00:00:00"/>
    <x v="471"/>
    <n v="49.61"/>
    <x v="7"/>
    <x v="39"/>
    <x v="0"/>
    <x v="1"/>
    <x v="7"/>
    <n v="2023"/>
    <d v="2023-08-24T00:00:00"/>
    <n v="1438.7999999999961"/>
    <n v="10"/>
  </r>
  <r>
    <n v="8"/>
    <d v="2023-08-29T00:00:00"/>
    <d v="2023-08-29T00:00:00"/>
    <x v="37"/>
    <n v="34.979999999999997"/>
    <x v="1"/>
    <x v="12"/>
    <x v="0"/>
    <x v="3"/>
    <x v="7"/>
    <n v="2023"/>
    <d v="2023-08-29T00:00:00"/>
    <n v="1473.7799999999961"/>
    <n v="21"/>
  </r>
  <r>
    <n v="8"/>
    <d v="2023-08-29T00:00:00"/>
    <d v="2023-08-29T00:00:00"/>
    <x v="84"/>
    <n v="50.26"/>
    <x v="2"/>
    <x v="7"/>
    <x v="0"/>
    <x v="3"/>
    <x v="7"/>
    <n v="2023"/>
    <d v="2023-08-29T00:00:00"/>
    <n v="1524.0399999999961"/>
    <n v="40"/>
  </r>
  <r>
    <n v="8"/>
    <d v="2023-08-29T00:00:00"/>
    <d v="2023-08-29T00:00:00"/>
    <x v="376"/>
    <n v="72.88"/>
    <x v="2"/>
    <x v="3"/>
    <x v="0"/>
    <x v="2"/>
    <x v="7"/>
    <n v="2023"/>
    <d v="2023-08-29T00:00:00"/>
    <n v="1596.919999999996"/>
    <n v="45"/>
  </r>
  <r>
    <n v="8"/>
    <d v="2023-08-29T00:00:00"/>
    <d v="2023-08-29T00:00:00"/>
    <x v="29"/>
    <n v="10.85"/>
    <x v="7"/>
    <x v="11"/>
    <x v="0"/>
    <x v="2"/>
    <x v="7"/>
    <n v="2023"/>
    <d v="2023-08-29T00:00:00"/>
    <n v="1607.7699999999959"/>
    <n v="42"/>
  </r>
  <r>
    <n v="8"/>
    <d v="2023-08-29T00:00:00"/>
    <d v="2023-08-29T00:00:00"/>
    <x v="472"/>
    <n v="39.369999999999997"/>
    <x v="1"/>
    <x v="54"/>
    <x v="0"/>
    <x v="1"/>
    <x v="7"/>
    <n v="2023"/>
    <d v="2023-08-29T00:00:00"/>
    <n v="1647.139999999996"/>
    <n v="4"/>
  </r>
  <r>
    <n v="8"/>
    <d v="2023-08-29T00:00:00"/>
    <d v="2023-08-29T00:00:00"/>
    <x v="297"/>
    <n v="185.92"/>
    <x v="1"/>
    <x v="54"/>
    <x v="0"/>
    <x v="1"/>
    <x v="7"/>
    <n v="2023"/>
    <d v="2023-08-29T00:00:00"/>
    <n v="1833.0599999999961"/>
    <n v="5"/>
  </r>
  <r>
    <n v="8"/>
    <d v="2023-08-29T00:00:00"/>
    <d v="2023-08-29T00:00:00"/>
    <x v="297"/>
    <n v="2.34"/>
    <x v="1"/>
    <x v="54"/>
    <x v="0"/>
    <x v="1"/>
    <x v="7"/>
    <n v="2023"/>
    <d v="2023-08-29T00:00:00"/>
    <n v="1835.399999999996"/>
    <n v="6"/>
  </r>
  <r>
    <n v="8"/>
    <d v="2023-08-29T00:00:00"/>
    <d v="2023-08-29T00:00:00"/>
    <x v="473"/>
    <n v="63.26"/>
    <x v="1"/>
    <x v="54"/>
    <x v="0"/>
    <x v="1"/>
    <x v="7"/>
    <n v="2023"/>
    <d v="2023-08-29T00:00:00"/>
    <n v="1898.659999999996"/>
    <n v="7"/>
  </r>
  <r>
    <n v="9"/>
    <d v="2023-09-01T00:00:00"/>
    <d v="2023-09-03T00:00:00"/>
    <x v="210"/>
    <n v="20"/>
    <x v="1"/>
    <x v="59"/>
    <x v="1"/>
    <x v="3"/>
    <x v="8"/>
    <n v="2023"/>
    <d v="2023-09-01T00:00:00"/>
    <n v="1918.659999999996"/>
    <n v="7"/>
  </r>
  <r>
    <n v="9"/>
    <d v="2023-09-01T00:00:00"/>
    <d v="2023-09-03T00:00:00"/>
    <x v="2"/>
    <n v="10.59"/>
    <x v="1"/>
    <x v="2"/>
    <x v="1"/>
    <x v="1"/>
    <x v="8"/>
    <n v="2023"/>
    <d v="2023-09-01T00:00:00"/>
    <n v="1929.2499999999959"/>
    <n v="9"/>
  </r>
  <r>
    <n v="9"/>
    <d v="2023-09-01T00:00:00"/>
    <d v="2023-09-03T00:00:00"/>
    <x v="101"/>
    <n v="5"/>
    <x v="6"/>
    <x v="47"/>
    <x v="1"/>
    <x v="3"/>
    <x v="8"/>
    <n v="2023"/>
    <d v="2023-09-01T00:00:00"/>
    <n v="1934.2499999999959"/>
    <n v="9"/>
  </r>
  <r>
    <n v="9"/>
    <d v="2023-09-01T00:00:00"/>
    <d v="2023-09-03T00:00:00"/>
    <x v="474"/>
    <n v="5.99"/>
    <x v="1"/>
    <x v="1"/>
    <x v="1"/>
    <x v="1"/>
    <x v="8"/>
    <n v="2023"/>
    <d v="2023-09-01T00:00:00"/>
    <n v="1940.2399999999959"/>
    <n v="9"/>
  </r>
  <r>
    <n v="9"/>
    <d v="2023-09-02T00:00:00"/>
    <d v="2023-09-03T00:00:00"/>
    <x v="475"/>
    <n v="125.1"/>
    <x v="6"/>
    <x v="55"/>
    <x v="1"/>
    <x v="3"/>
    <x v="8"/>
    <n v="2023"/>
    <d v="2023-09-02T00:00:00"/>
    <n v="2065.3399999999961"/>
    <n v="13"/>
  </r>
  <r>
    <n v="9"/>
    <d v="2023-09-02T00:00:00"/>
    <d v="2023-09-03T00:00:00"/>
    <x v="4"/>
    <n v="10"/>
    <x v="1"/>
    <x v="4"/>
    <x v="1"/>
    <x v="1"/>
    <x v="8"/>
    <n v="2023"/>
    <d v="2023-09-02T00:00:00"/>
    <n v="2075.3399999999961"/>
    <n v="9"/>
  </r>
  <r>
    <n v="9"/>
    <d v="2023-09-02T00:00:00"/>
    <d v="2023-09-03T00:00:00"/>
    <x v="476"/>
    <n v="139"/>
    <x v="6"/>
    <x v="55"/>
    <x v="1"/>
    <x v="3"/>
    <x v="8"/>
    <n v="2023"/>
    <d v="2023-09-02T00:00:00"/>
    <n v="2214.3399999999961"/>
    <n v="14"/>
  </r>
  <r>
    <n v="9"/>
    <d v="2023-09-03T00:00:00"/>
    <d v="2023-09-03T00:00:00"/>
    <x v="477"/>
    <n v="31.81"/>
    <x v="2"/>
    <x v="16"/>
    <x v="0"/>
    <x v="2"/>
    <x v="8"/>
    <n v="2023"/>
    <d v="2023-09-03T00:00:00"/>
    <n v="2246.149999999996"/>
    <n v="83"/>
  </r>
  <r>
    <n v="9"/>
    <d v="2023-09-04T00:00:00"/>
    <d v="2023-09-04T00:00:00"/>
    <x v="8"/>
    <n v="-51.34"/>
    <x v="4"/>
    <x v="8"/>
    <x v="0"/>
    <x v="5"/>
    <x v="8"/>
    <n v="2023"/>
    <d v="2023-09-04T00:00:00"/>
    <n v="2194.8099999999959"/>
    <n v="9"/>
  </r>
  <r>
    <n v="9"/>
    <d v="2023-09-05T00:00:00"/>
    <d v="2023-09-05T00:00:00"/>
    <x v="478"/>
    <n v="22.08"/>
    <x v="1"/>
    <x v="7"/>
    <x v="0"/>
    <x v="3"/>
    <x v="8"/>
    <n v="2023"/>
    <d v="2023-09-05T00:00:00"/>
    <n v="2216.8899999999958"/>
    <n v="41"/>
  </r>
  <r>
    <n v="9"/>
    <d v="2023-09-05T00:00:00"/>
    <d v="2023-09-05T00:00:00"/>
    <x v="33"/>
    <n v="-2133.04"/>
    <x v="10"/>
    <x v="25"/>
    <x v="0"/>
    <x v="5"/>
    <x v="8"/>
    <n v="2023"/>
    <d v="2023-09-05T00:00:00"/>
    <n v="83.849999999995816"/>
    <n v="24"/>
  </r>
  <r>
    <n v="9"/>
    <d v="2023-09-06T00:00:00"/>
    <d v="2023-09-06T00:00:00"/>
    <x v="479"/>
    <n v="10.95"/>
    <x v="7"/>
    <x v="11"/>
    <x v="0"/>
    <x v="2"/>
    <x v="8"/>
    <n v="2023"/>
    <d v="2023-09-06T00:00:00"/>
    <n v="94.799999999995819"/>
    <n v="43"/>
  </r>
  <r>
    <n v="9"/>
    <d v="2023-09-06T00:00:00"/>
    <d v="2023-09-06T00:00:00"/>
    <x v="480"/>
    <n v="69"/>
    <x v="6"/>
    <x v="77"/>
    <x v="0"/>
    <x v="1"/>
    <x v="8"/>
    <n v="2023"/>
    <d v="2023-09-06T00:00:00"/>
    <n v="163.7999999999958"/>
    <n v="1"/>
  </r>
  <r>
    <n v="9"/>
    <d v="2023-09-07T00:00:00"/>
    <d v="2023-09-07T00:00:00"/>
    <x v="481"/>
    <n v="9.99"/>
    <x v="1"/>
    <x v="18"/>
    <x v="1"/>
    <x v="3"/>
    <x v="8"/>
    <n v="2023"/>
    <d v="2023-09-07T00:00:00"/>
    <n v="173.78999999999581"/>
    <n v="9"/>
  </r>
  <r>
    <n v="9"/>
    <d v="2023-09-07T00:00:00"/>
    <d v="2023-09-07T00:00:00"/>
    <x v="141"/>
    <n v="34.409999999999997"/>
    <x v="7"/>
    <x v="26"/>
    <x v="0"/>
    <x v="2"/>
    <x v="8"/>
    <n v="2023"/>
    <d v="2023-09-07T00:00:00"/>
    <n v="208.19999999999581"/>
    <n v="8"/>
  </r>
  <r>
    <n v="9"/>
    <d v="2023-09-08T00:00:00"/>
    <d v="2023-09-08T00:00:00"/>
    <x v="482"/>
    <n v="111.63"/>
    <x v="1"/>
    <x v="29"/>
    <x v="1"/>
    <x v="9"/>
    <x v="8"/>
    <n v="2023"/>
    <d v="2023-09-08T00:00:00"/>
    <n v="319.82999999999578"/>
    <n v="8"/>
  </r>
  <r>
    <n v="9"/>
    <d v="2023-09-08T00:00:00"/>
    <d v="2023-09-08T00:00:00"/>
    <x v="483"/>
    <n v="6.01"/>
    <x v="11"/>
    <x v="66"/>
    <x v="0"/>
    <x v="10"/>
    <x v="8"/>
    <n v="2023"/>
    <d v="2023-09-08T00:00:00"/>
    <n v="325.83999999999583"/>
    <n v="2"/>
  </r>
  <r>
    <n v="9"/>
    <d v="2023-09-08T00:00:00"/>
    <d v="2023-09-08T00:00:00"/>
    <x v="484"/>
    <n v="185"/>
    <x v="11"/>
    <x v="78"/>
    <x v="0"/>
    <x v="1"/>
    <x v="8"/>
    <n v="2023"/>
    <d v="2023-09-08T00:00:00"/>
    <n v="510.83999999999583"/>
    <n v="1"/>
  </r>
  <r>
    <n v="9"/>
    <d v="2023-09-08T00:00:00"/>
    <d v="2023-09-08T00:00:00"/>
    <x v="485"/>
    <n v="163.91"/>
    <x v="1"/>
    <x v="78"/>
    <x v="0"/>
    <x v="1"/>
    <x v="8"/>
    <n v="2023"/>
    <d v="2023-09-08T00:00:00"/>
    <n v="674.74999999999579"/>
    <n v="2"/>
  </r>
  <r>
    <n v="9"/>
    <d v="2023-09-09T00:00:00"/>
    <d v="2023-09-09T00:00:00"/>
    <x v="62"/>
    <n v="7.43"/>
    <x v="1"/>
    <x v="40"/>
    <x v="0"/>
    <x v="1"/>
    <x v="8"/>
    <n v="2023"/>
    <d v="2023-09-09T00:00:00"/>
    <n v="682.17999999999574"/>
    <n v="51"/>
  </r>
  <r>
    <n v="9"/>
    <d v="2023-09-09T00:00:00"/>
    <d v="2023-09-09T00:00:00"/>
    <x v="486"/>
    <n v="86.09"/>
    <x v="7"/>
    <x v="11"/>
    <x v="0"/>
    <x v="2"/>
    <x v="8"/>
    <n v="2023"/>
    <d v="2023-09-09T00:00:00"/>
    <n v="768.26999999999578"/>
    <n v="44"/>
  </r>
  <r>
    <n v="9"/>
    <d v="2023-09-09T00:00:00"/>
    <d v="2023-09-09T00:00:00"/>
    <x v="487"/>
    <n v="164.44"/>
    <x v="1"/>
    <x v="78"/>
    <x v="0"/>
    <x v="1"/>
    <x v="8"/>
    <n v="2023"/>
    <d v="2023-09-09T00:00:00"/>
    <n v="932.70999999999572"/>
    <n v="3"/>
  </r>
  <r>
    <n v="9"/>
    <d v="2023-09-10T00:00:00"/>
    <d v="2023-09-10T00:00:00"/>
    <x v="488"/>
    <n v="16.95"/>
    <x v="1"/>
    <x v="24"/>
    <x v="1"/>
    <x v="1"/>
    <x v="8"/>
    <n v="2023"/>
    <d v="2023-09-10T00:00:00"/>
    <n v="949.65999999999576"/>
    <n v="10"/>
  </r>
  <r>
    <n v="9"/>
    <d v="2023-09-10T00:00:00"/>
    <d v="2023-09-10T00:00:00"/>
    <x v="245"/>
    <n v="62.45"/>
    <x v="1"/>
    <x v="20"/>
    <x v="0"/>
    <x v="3"/>
    <x v="8"/>
    <n v="2023"/>
    <d v="2023-09-10T00:00:00"/>
    <n v="1012.109999999996"/>
    <n v="10"/>
  </r>
  <r>
    <n v="9"/>
    <d v="2023-09-11T00:00:00"/>
    <d v="2023-09-11T00:00:00"/>
    <x v="489"/>
    <n v="15.22"/>
    <x v="7"/>
    <x v="11"/>
    <x v="0"/>
    <x v="2"/>
    <x v="8"/>
    <n v="2023"/>
    <d v="2023-09-11T00:00:00"/>
    <n v="1027.3299999999961"/>
    <n v="45"/>
  </r>
  <r>
    <n v="9"/>
    <d v="2023-09-11T00:00:00"/>
    <d v="2023-09-11T00:00:00"/>
    <x v="55"/>
    <n v="25"/>
    <x v="9"/>
    <x v="36"/>
    <x v="0"/>
    <x v="6"/>
    <x v="8"/>
    <n v="2023"/>
    <d v="2023-09-11T00:00:00"/>
    <n v="1052.3299999999961"/>
    <n v="9"/>
  </r>
  <r>
    <n v="9"/>
    <d v="2023-09-11T00:00:00"/>
    <d v="2023-09-11T00:00:00"/>
    <x v="458"/>
    <n v="19"/>
    <x v="1"/>
    <x v="42"/>
    <x v="0"/>
    <x v="3"/>
    <x v="8"/>
    <n v="2023"/>
    <d v="2023-09-11T00:00:00"/>
    <n v="1071.3299999999961"/>
    <n v="13"/>
  </r>
  <r>
    <n v="9"/>
    <d v="2023-09-12T00:00:00"/>
    <d v="2023-09-12T00:00:00"/>
    <x v="29"/>
    <n v="10.85"/>
    <x v="7"/>
    <x v="11"/>
    <x v="0"/>
    <x v="2"/>
    <x v="8"/>
    <n v="2023"/>
    <d v="2023-09-12T00:00:00"/>
    <n v="1082.179999999996"/>
    <n v="46"/>
  </r>
  <r>
    <n v="9"/>
    <d v="2023-09-12T00:00:00"/>
    <d v="2023-09-12T00:00:00"/>
    <x v="490"/>
    <n v="25"/>
    <x v="1"/>
    <x v="78"/>
    <x v="0"/>
    <x v="1"/>
    <x v="8"/>
    <n v="2023"/>
    <d v="2023-09-12T00:00:00"/>
    <n v="1107.179999999996"/>
    <n v="4"/>
  </r>
  <r>
    <n v="9"/>
    <d v="2023-09-14T00:00:00"/>
    <d v="2023-09-14T00:00:00"/>
    <x v="15"/>
    <n v="90.83"/>
    <x v="1"/>
    <x v="15"/>
    <x v="1"/>
    <x v="8"/>
    <x v="8"/>
    <n v="2023"/>
    <d v="2023-09-14T00:00:00"/>
    <n v="1198.0099999999959"/>
    <n v="9"/>
  </r>
  <r>
    <n v="9"/>
    <d v="2023-09-15T00:00:00"/>
    <d v="2023-09-15T00:00:00"/>
    <x v="36"/>
    <n v="7.99"/>
    <x v="6"/>
    <x v="27"/>
    <x v="1"/>
    <x v="1"/>
    <x v="8"/>
    <n v="2023"/>
    <d v="2023-09-15T00:00:00"/>
    <n v="1205.9999999999959"/>
    <n v="9"/>
  </r>
  <r>
    <n v="9"/>
    <d v="2023-09-16T00:00:00"/>
    <d v="2023-09-16T00:00:00"/>
    <x v="491"/>
    <n v="5.97"/>
    <x v="1"/>
    <x v="26"/>
    <x v="0"/>
    <x v="2"/>
    <x v="8"/>
    <n v="2023"/>
    <d v="2023-09-16T00:00:00"/>
    <n v="1211.9699999999959"/>
    <n v="9"/>
  </r>
  <r>
    <n v="9"/>
    <d v="2023-09-16T00:00:00"/>
    <d v="2023-09-16T00:00:00"/>
    <x v="492"/>
    <n v="18.989999999999998"/>
    <x v="1"/>
    <x v="20"/>
    <x v="0"/>
    <x v="3"/>
    <x v="8"/>
    <n v="2023"/>
    <d v="2023-09-16T00:00:00"/>
    <n v="1230.9599999999959"/>
    <n v="11"/>
  </r>
  <r>
    <n v="9"/>
    <d v="2023-09-16T00:00:00"/>
    <d v="2023-09-16T00:00:00"/>
    <x v="493"/>
    <n v="20.399999999999999"/>
    <x v="7"/>
    <x v="16"/>
    <x v="0"/>
    <x v="2"/>
    <x v="8"/>
    <n v="2023"/>
    <d v="2023-09-16T00:00:00"/>
    <n v="1251.359999999996"/>
    <n v="84"/>
  </r>
  <r>
    <n v="9"/>
    <d v="2023-09-17T00:00:00"/>
    <d v="2023-09-17T00:00:00"/>
    <x v="494"/>
    <n v="30.51"/>
    <x v="7"/>
    <x v="16"/>
    <x v="0"/>
    <x v="2"/>
    <x v="8"/>
    <n v="2023"/>
    <d v="2023-09-17T00:00:00"/>
    <n v="1281.869999999996"/>
    <n v="85"/>
  </r>
  <r>
    <n v="9"/>
    <d v="2023-09-17T00:00:00"/>
    <d v="2023-09-17T00:00:00"/>
    <x v="495"/>
    <n v="7"/>
    <x v="7"/>
    <x v="11"/>
    <x v="0"/>
    <x v="2"/>
    <x v="8"/>
    <n v="2023"/>
    <d v="2023-09-17T00:00:00"/>
    <n v="1288.869999999996"/>
    <n v="47"/>
  </r>
  <r>
    <n v="9"/>
    <d v="2023-09-18T00:00:00"/>
    <d v="2023-09-18T00:00:00"/>
    <x v="496"/>
    <n v="22.08"/>
    <x v="1"/>
    <x v="7"/>
    <x v="0"/>
    <x v="3"/>
    <x v="8"/>
    <n v="2023"/>
    <d v="2023-09-18T00:00:00"/>
    <n v="1310.949999999996"/>
    <n v="42"/>
  </r>
  <r>
    <n v="9"/>
    <d v="2023-09-19T00:00:00"/>
    <d v="2023-09-19T00:00:00"/>
    <x v="497"/>
    <n v="29.02"/>
    <x v="5"/>
    <x v="9"/>
    <x v="0"/>
    <x v="6"/>
    <x v="8"/>
    <n v="2023"/>
    <d v="2023-09-19T00:00:00"/>
    <n v="1339.9699999999959"/>
    <n v="14"/>
  </r>
  <r>
    <n v="9"/>
    <d v="2023-09-20T00:00:00"/>
    <d v="2023-09-20T00:00:00"/>
    <x v="33"/>
    <n v="-1280.99"/>
    <x v="10"/>
    <x v="25"/>
    <x v="0"/>
    <x v="5"/>
    <x v="8"/>
    <n v="2023"/>
    <d v="2023-09-20T00:00:00"/>
    <n v="58.979999999995698"/>
    <n v="25"/>
  </r>
  <r>
    <n v="9"/>
    <d v="2023-09-21T00:00:00"/>
    <d v="2023-09-21T00:00:00"/>
    <x v="498"/>
    <n v="32.42"/>
    <x v="9"/>
    <x v="39"/>
    <x v="0"/>
    <x v="1"/>
    <x v="8"/>
    <n v="2023"/>
    <d v="2023-09-21T00:00:00"/>
    <n v="91.3999999999957"/>
    <n v="11"/>
  </r>
  <r>
    <n v="9"/>
    <d v="2023-09-22T00:00:00"/>
    <d v="2023-09-20T00:00:00"/>
    <x v="499"/>
    <n v="-1280.99"/>
    <x v="10"/>
    <x v="25"/>
    <x v="0"/>
    <x v="5"/>
    <x v="8"/>
    <n v="2023"/>
    <d v="2023-09-22T00:00:00"/>
    <n v="-1189.590000000004"/>
    <n v="26"/>
  </r>
  <r>
    <n v="9"/>
    <d v="2023-09-22T00:00:00"/>
    <d v="2023-09-20T00:00:00"/>
    <x v="500"/>
    <n v="1280.99"/>
    <x v="10"/>
    <x v="25"/>
    <x v="0"/>
    <x v="5"/>
    <x v="8"/>
    <n v="2023"/>
    <d v="2023-09-22T00:00:00"/>
    <n v="91.399999999995771"/>
    <n v="27"/>
  </r>
  <r>
    <n v="9"/>
    <d v="2023-09-22T00:00:00"/>
    <d v="2023-09-22T00:00:00"/>
    <x v="501"/>
    <n v="30"/>
    <x v="14"/>
    <x v="79"/>
    <x v="0"/>
    <x v="5"/>
    <x v="8"/>
    <n v="2023"/>
    <d v="2023-09-22T00:00:00"/>
    <n v="121.3999999999958"/>
    <n v="1"/>
  </r>
  <r>
    <n v="9"/>
    <d v="2023-09-24T00:00:00"/>
    <d v="2023-09-24T00:00:00"/>
    <x v="502"/>
    <n v="10.45"/>
    <x v="7"/>
    <x v="26"/>
    <x v="0"/>
    <x v="2"/>
    <x v="8"/>
    <n v="2023"/>
    <d v="2023-09-24T00:00:00"/>
    <n v="131.84999999999579"/>
    <n v="10"/>
  </r>
  <r>
    <n v="9"/>
    <d v="2023-09-25T00:00:00"/>
    <d v="2023-09-25T00:00:00"/>
    <x v="37"/>
    <n v="63.42"/>
    <x v="1"/>
    <x v="12"/>
    <x v="0"/>
    <x v="3"/>
    <x v="8"/>
    <n v="2023"/>
    <d v="2023-09-25T00:00:00"/>
    <n v="195.2699999999958"/>
    <n v="22"/>
  </r>
  <r>
    <n v="9"/>
    <d v="2023-09-25T00:00:00"/>
    <d v="2023-09-25T00:00:00"/>
    <x v="487"/>
    <n v="164.43"/>
    <x v="1"/>
    <x v="78"/>
    <x v="0"/>
    <x v="1"/>
    <x v="8"/>
    <n v="2023"/>
    <d v="2023-09-25T00:00:00"/>
    <n v="359.69999999999578"/>
    <n v="5"/>
  </r>
  <r>
    <n v="9"/>
    <d v="2023-09-26T00:00:00"/>
    <d v="2023-09-20T00:00:00"/>
    <x v="500"/>
    <n v="1280.99"/>
    <x v="10"/>
    <x v="25"/>
    <x v="0"/>
    <x v="5"/>
    <x v="8"/>
    <n v="2023"/>
    <d v="2023-09-26T00:00:00"/>
    <n v="1640.689999999996"/>
    <n v="28"/>
  </r>
  <r>
    <n v="9"/>
    <d v="2023-09-26T00:00:00"/>
    <d v="2023-09-26T00:00:00"/>
    <x v="346"/>
    <n v="9.91"/>
    <x v="9"/>
    <x v="19"/>
    <x v="0"/>
    <x v="6"/>
    <x v="8"/>
    <n v="2023"/>
    <d v="2023-09-26T00:00:00"/>
    <n v="1650.599999999996"/>
    <n v="80"/>
  </r>
  <r>
    <n v="9"/>
    <d v="2023-09-28T00:00:00"/>
    <d v="2023-09-28T00:00:00"/>
    <x v="489"/>
    <n v="13.46"/>
    <x v="7"/>
    <x v="11"/>
    <x v="0"/>
    <x v="2"/>
    <x v="8"/>
    <n v="2023"/>
    <d v="2023-09-28T00:00:00"/>
    <n v="1664.0599999999961"/>
    <n v="48"/>
  </r>
  <r>
    <n v="9"/>
    <d v="2023-09-30T00:00:00"/>
    <d v="2023-09-30T00:00:00"/>
    <x v="29"/>
    <n v="16.329999999999998"/>
    <x v="7"/>
    <x v="11"/>
    <x v="0"/>
    <x v="2"/>
    <x v="8"/>
    <n v="2023"/>
    <d v="2023-09-30T00:00:00"/>
    <n v="1680.389999999996"/>
    <n v="49"/>
  </r>
  <r>
    <n v="10"/>
    <d v="2023-10-01T00:00:00"/>
    <d v="2023-10-01T00:00:00"/>
    <x v="210"/>
    <n v="20"/>
    <x v="1"/>
    <x v="59"/>
    <x v="1"/>
    <x v="3"/>
    <x v="9"/>
    <n v="2023"/>
    <d v="2023-10-01T00:00:00"/>
    <n v="1700.389999999996"/>
    <n v="8"/>
  </r>
  <r>
    <n v="10"/>
    <d v="2023-10-01T00:00:00"/>
    <d v="2023-10-01T00:00:00"/>
    <x v="503"/>
    <n v="5.99"/>
    <x v="1"/>
    <x v="1"/>
    <x v="1"/>
    <x v="1"/>
    <x v="9"/>
    <n v="2023"/>
    <d v="2023-10-01T00:00:00"/>
    <n v="1706.379999999996"/>
    <n v="10"/>
  </r>
  <r>
    <n v="10"/>
    <d v="2023-10-01T00:00:00"/>
    <d v="2023-10-03T00:00:00"/>
    <x v="101"/>
    <n v="5"/>
    <x v="6"/>
    <x v="47"/>
    <x v="1"/>
    <x v="3"/>
    <x v="9"/>
    <n v="2023"/>
    <d v="2023-10-01T00:00:00"/>
    <n v="1711.379999999996"/>
    <n v="10"/>
  </r>
  <r>
    <n v="10"/>
    <d v="2023-10-01T00:00:00"/>
    <d v="2023-10-03T00:00:00"/>
    <x v="3"/>
    <n v="39.18"/>
    <x v="2"/>
    <x v="3"/>
    <x v="0"/>
    <x v="2"/>
    <x v="9"/>
    <n v="2023"/>
    <d v="2023-10-01T00:00:00"/>
    <n v="1750.5599999999961"/>
    <n v="46"/>
  </r>
  <r>
    <n v="10"/>
    <d v="2023-10-02T00:00:00"/>
    <d v="2023-10-02T00:00:00"/>
    <x v="504"/>
    <n v="125.1"/>
    <x v="6"/>
    <x v="55"/>
    <x v="1"/>
    <x v="3"/>
    <x v="9"/>
    <n v="2023"/>
    <d v="2023-10-02T00:00:00"/>
    <n v="1875.659999999996"/>
    <n v="15"/>
  </r>
  <r>
    <n v="10"/>
    <d v="2023-10-02T00:00:00"/>
    <d v="2023-10-02T00:00:00"/>
    <x v="505"/>
    <n v="139"/>
    <x v="6"/>
    <x v="55"/>
    <x v="1"/>
    <x v="3"/>
    <x v="9"/>
    <n v="2023"/>
    <d v="2023-10-02T00:00:00"/>
    <n v="2014.659999999996"/>
    <n v="16"/>
  </r>
  <r>
    <n v="10"/>
    <d v="2023-10-02T00:00:00"/>
    <d v="2023-10-03T00:00:00"/>
    <x v="506"/>
    <n v="22.08"/>
    <x v="1"/>
    <x v="7"/>
    <x v="0"/>
    <x v="3"/>
    <x v="9"/>
    <n v="2023"/>
    <d v="2023-10-02T00:00:00"/>
    <n v="2036.7399999999959"/>
    <n v="43"/>
  </r>
  <r>
    <n v="10"/>
    <d v="2023-10-02T00:00:00"/>
    <d v="2023-10-03T00:00:00"/>
    <x v="4"/>
    <n v="10"/>
    <x v="1"/>
    <x v="4"/>
    <x v="1"/>
    <x v="1"/>
    <x v="9"/>
    <n v="2023"/>
    <d v="2023-10-02T00:00:00"/>
    <n v="2046.7399999999959"/>
    <n v="10"/>
  </r>
  <r>
    <n v="10"/>
    <d v="2023-10-03T00:00:00"/>
    <d v="2023-10-03T00:00:00"/>
    <x v="33"/>
    <n v="-1900"/>
    <x v="10"/>
    <x v="25"/>
    <x v="0"/>
    <x v="5"/>
    <x v="9"/>
    <n v="2023"/>
    <d v="2023-10-03T00:00:00"/>
    <n v="146.73999999999569"/>
    <n v="29"/>
  </r>
  <r>
    <n v="10"/>
    <d v="2023-10-03T00:00:00"/>
    <d v="2023-10-03T00:00:00"/>
    <x v="507"/>
    <n v="6"/>
    <x v="9"/>
    <x v="78"/>
    <x v="0"/>
    <x v="1"/>
    <x v="9"/>
    <n v="2023"/>
    <d v="2023-10-03T00:00:00"/>
    <n v="152.73999999999569"/>
    <n v="6"/>
  </r>
  <r>
    <n v="10"/>
    <d v="2023-10-03T00:00:00"/>
    <d v="2023-10-03T00:00:00"/>
    <x v="8"/>
    <n v="-24.26"/>
    <x v="4"/>
    <x v="8"/>
    <x v="0"/>
    <x v="5"/>
    <x v="9"/>
    <n v="2023"/>
    <d v="2023-10-03T00:00:00"/>
    <n v="128.4799999999957"/>
    <n v="10"/>
  </r>
  <r>
    <n v="10"/>
    <d v="2023-10-04T00:00:00"/>
    <d v="2023-10-04T00:00:00"/>
    <x v="508"/>
    <n v="11.79"/>
    <x v="7"/>
    <x v="16"/>
    <x v="0"/>
    <x v="2"/>
    <x v="9"/>
    <n v="2023"/>
    <d v="2023-10-04T00:00:00"/>
    <n v="140.26999999999569"/>
    <n v="86"/>
  </r>
  <r>
    <n v="10"/>
    <d v="2023-10-04T00:00:00"/>
    <d v="2023-10-04T00:00:00"/>
    <x v="509"/>
    <n v="86.98"/>
    <x v="7"/>
    <x v="11"/>
    <x v="0"/>
    <x v="2"/>
    <x v="9"/>
    <n v="2023"/>
    <d v="2023-10-04T00:00:00"/>
    <n v="227.24999999999571"/>
    <n v="50"/>
  </r>
  <r>
    <n v="10"/>
    <d v="2023-10-05T00:00:00"/>
    <d v="2023-10-05T00:00:00"/>
    <x v="485"/>
    <n v="50"/>
    <x v="1"/>
    <x v="78"/>
    <x v="0"/>
    <x v="1"/>
    <x v="9"/>
    <n v="2023"/>
    <d v="2023-10-05T00:00:00"/>
    <n v="277.24999999999568"/>
    <n v="7"/>
  </r>
  <r>
    <n v="10"/>
    <d v="2023-10-05T00:00:00"/>
    <d v="2023-10-05T00:00:00"/>
    <x v="84"/>
    <n v="99.67"/>
    <x v="2"/>
    <x v="7"/>
    <x v="0"/>
    <x v="3"/>
    <x v="9"/>
    <n v="2023"/>
    <d v="2023-10-05T00:00:00"/>
    <n v="376.9199999999957"/>
    <n v="44"/>
  </r>
  <r>
    <n v="10"/>
    <d v="2023-10-07T00:00:00"/>
    <d v="2023-10-07T00:00:00"/>
    <x v="510"/>
    <n v="27.13"/>
    <x v="1"/>
    <x v="12"/>
    <x v="0"/>
    <x v="3"/>
    <x v="9"/>
    <n v="2023"/>
    <d v="2023-10-07T00:00:00"/>
    <n v="404.04999999999569"/>
    <n v="23"/>
  </r>
  <r>
    <n v="10"/>
    <d v="2023-10-07T00:00:00"/>
    <d v="2023-10-07T00:00:00"/>
    <x v="511"/>
    <n v="9.99"/>
    <x v="1"/>
    <x v="18"/>
    <x v="1"/>
    <x v="3"/>
    <x v="9"/>
    <n v="2023"/>
    <d v="2023-10-07T00:00:00"/>
    <n v="414.0399999999957"/>
    <n v="10"/>
  </r>
  <r>
    <n v="10"/>
    <d v="2023-10-07T00:00:00"/>
    <d v="2023-10-07T00:00:00"/>
    <x v="512"/>
    <n v="5.18"/>
    <x v="2"/>
    <x v="3"/>
    <x v="0"/>
    <x v="2"/>
    <x v="9"/>
    <n v="2023"/>
    <d v="2023-10-07T00:00:00"/>
    <n v="419.21999999999571"/>
    <n v="47"/>
  </r>
  <r>
    <n v="10"/>
    <d v="2023-10-07T00:00:00"/>
    <d v="2023-10-07T00:00:00"/>
    <x v="513"/>
    <n v="13.8"/>
    <x v="7"/>
    <x v="16"/>
    <x v="0"/>
    <x v="2"/>
    <x v="9"/>
    <n v="2023"/>
    <d v="2023-10-07T00:00:00"/>
    <n v="433.01999999999572"/>
    <n v="87"/>
  </r>
  <r>
    <n v="10"/>
    <d v="2023-10-08T00:00:00"/>
    <d v="2023-10-08T00:00:00"/>
    <x v="514"/>
    <n v="54.52"/>
    <x v="7"/>
    <x v="16"/>
    <x v="0"/>
    <x v="2"/>
    <x v="9"/>
    <n v="2023"/>
    <d v="2023-10-08T00:00:00"/>
    <n v="487.5399999999957"/>
    <n v="88"/>
  </r>
  <r>
    <n v="10"/>
    <d v="2023-10-08T00:00:00"/>
    <d v="2023-10-08T00:00:00"/>
    <x v="515"/>
    <n v="19.809999999999999"/>
    <x v="7"/>
    <x v="16"/>
    <x v="0"/>
    <x v="2"/>
    <x v="9"/>
    <n v="2023"/>
    <d v="2023-10-08T00:00:00"/>
    <n v="507.3499999999957"/>
    <n v="89"/>
  </r>
  <r>
    <n v="10"/>
    <d v="2023-10-08T00:00:00"/>
    <d v="2023-10-08T00:00:00"/>
    <x v="516"/>
    <n v="100"/>
    <x v="6"/>
    <x v="42"/>
    <x v="0"/>
    <x v="3"/>
    <x v="9"/>
    <n v="2023"/>
    <d v="2023-10-08T00:00:00"/>
    <n v="607.3499999999957"/>
    <n v="14"/>
  </r>
  <r>
    <n v="10"/>
    <d v="2023-10-08T00:00:00"/>
    <d v="2023-10-08T00:00:00"/>
    <x v="517"/>
    <n v="136.57"/>
    <x v="9"/>
    <x v="53"/>
    <x v="0"/>
    <x v="1"/>
    <x v="9"/>
    <n v="2023"/>
    <d v="2023-10-08T00:00:00"/>
    <n v="743.91999999999575"/>
    <n v="4"/>
  </r>
  <r>
    <n v="10"/>
    <d v="2023-10-08T00:00:00"/>
    <d v="2023-10-08T00:00:00"/>
    <x v="518"/>
    <n v="76.31"/>
    <x v="1"/>
    <x v="80"/>
    <x v="1"/>
    <x v="1"/>
    <x v="9"/>
    <n v="2023"/>
    <d v="2023-10-08T00:00:00"/>
    <n v="820.2299999999957"/>
    <n v="1"/>
  </r>
  <r>
    <n v="10"/>
    <d v="2023-10-08T00:00:00"/>
    <d v="2023-10-08T00:00:00"/>
    <x v="519"/>
    <n v="29"/>
    <x v="1"/>
    <x v="29"/>
    <x v="1"/>
    <x v="9"/>
    <x v="9"/>
    <n v="2023"/>
    <d v="2023-10-08T00:00:00"/>
    <n v="849.2299999999957"/>
    <n v="9"/>
  </r>
  <r>
    <n v="10"/>
    <d v="2023-10-08T00:00:00"/>
    <d v="2023-10-08T00:00:00"/>
    <x v="520"/>
    <n v="8.86"/>
    <x v="7"/>
    <x v="16"/>
    <x v="0"/>
    <x v="2"/>
    <x v="9"/>
    <n v="2023"/>
    <d v="2023-10-08T00:00:00"/>
    <n v="858.08999999999571"/>
    <n v="90"/>
  </r>
  <r>
    <n v="10"/>
    <d v="2023-10-09T00:00:00"/>
    <d v="2023-10-09T00:00:00"/>
    <x v="521"/>
    <n v="79.2"/>
    <x v="9"/>
    <x v="33"/>
    <x v="0"/>
    <x v="1"/>
    <x v="9"/>
    <n v="2023"/>
    <d v="2023-10-09T00:00:00"/>
    <n v="937.28999999999576"/>
    <n v="6"/>
  </r>
  <r>
    <n v="10"/>
    <d v="2023-10-09T00:00:00"/>
    <d v="2023-10-09T00:00:00"/>
    <x v="522"/>
    <n v="18.739999999999998"/>
    <x v="7"/>
    <x v="16"/>
    <x v="0"/>
    <x v="2"/>
    <x v="9"/>
    <n v="2023"/>
    <d v="2023-10-09T00:00:00"/>
    <n v="956.02999999999577"/>
    <n v="91"/>
  </r>
  <r>
    <n v="10"/>
    <d v="2023-10-09T00:00:00"/>
    <d v="2023-10-09T00:00:00"/>
    <x v="487"/>
    <n v="164.43"/>
    <x v="1"/>
    <x v="78"/>
    <x v="0"/>
    <x v="1"/>
    <x v="9"/>
    <n v="2023"/>
    <d v="2023-10-09T00:00:00"/>
    <n v="1120.4599999999959"/>
    <n v="8"/>
  </r>
  <r>
    <n v="10"/>
    <d v="2023-10-10T00:00:00"/>
    <d v="2023-10-10T00:00:00"/>
    <x v="523"/>
    <n v="30"/>
    <x v="6"/>
    <x v="81"/>
    <x v="0"/>
    <x v="1"/>
    <x v="9"/>
    <n v="2023"/>
    <d v="2023-10-10T00:00:00"/>
    <n v="1150.4599999999959"/>
    <n v="1"/>
  </r>
  <r>
    <n v="10"/>
    <d v="2023-10-10T00:00:00"/>
    <d v="2023-10-10T00:00:00"/>
    <x v="84"/>
    <n v="54.22"/>
    <x v="2"/>
    <x v="7"/>
    <x v="0"/>
    <x v="3"/>
    <x v="9"/>
    <n v="2023"/>
    <d v="2023-10-10T00:00:00"/>
    <n v="1204.679999999996"/>
    <n v="45"/>
  </r>
  <r>
    <n v="10"/>
    <d v="2023-10-11T00:00:00"/>
    <d v="2023-10-11T00:00:00"/>
    <x v="458"/>
    <n v="19"/>
    <x v="1"/>
    <x v="42"/>
    <x v="0"/>
    <x v="3"/>
    <x v="9"/>
    <n v="2023"/>
    <d v="2023-10-11T00:00:00"/>
    <n v="1223.679999999996"/>
    <n v="15"/>
  </r>
  <r>
    <n v="10"/>
    <d v="2023-10-12T00:00:00"/>
    <d v="2023-10-12T00:00:00"/>
    <x v="3"/>
    <n v="69.510000000000005"/>
    <x v="2"/>
    <x v="3"/>
    <x v="0"/>
    <x v="2"/>
    <x v="9"/>
    <n v="2023"/>
    <d v="2023-10-12T00:00:00"/>
    <n v="1293.189999999996"/>
    <n v="48"/>
  </r>
  <r>
    <n v="10"/>
    <d v="2023-10-12T00:00:00"/>
    <d v="2023-10-12T00:00:00"/>
    <x v="524"/>
    <n v="23.76"/>
    <x v="7"/>
    <x v="16"/>
    <x v="0"/>
    <x v="2"/>
    <x v="9"/>
    <n v="2023"/>
    <d v="2023-10-12T00:00:00"/>
    <n v="1316.949999999996"/>
    <n v="92"/>
  </r>
  <r>
    <n v="10"/>
    <d v="2023-10-12T00:00:00"/>
    <d v="2023-10-12T00:00:00"/>
    <x v="525"/>
    <n v="27.75"/>
    <x v="9"/>
    <x v="53"/>
    <x v="0"/>
    <x v="1"/>
    <x v="9"/>
    <n v="2023"/>
    <d v="2023-10-12T00:00:00"/>
    <n v="1344.699999999996"/>
    <n v="5"/>
  </r>
  <r>
    <n v="10"/>
    <d v="2023-10-14T00:00:00"/>
    <d v="2023-10-14T00:00:00"/>
    <x v="15"/>
    <n v="90.83"/>
    <x v="1"/>
    <x v="15"/>
    <x v="1"/>
    <x v="8"/>
    <x v="9"/>
    <n v="2023"/>
    <d v="2023-10-14T00:00:00"/>
    <n v="1435.5299999999961"/>
    <n v="10"/>
  </r>
  <r>
    <n v="10"/>
    <d v="2023-10-15T00:00:00"/>
    <d v="2023-10-15T00:00:00"/>
    <x v="526"/>
    <n v="30.06"/>
    <x v="7"/>
    <x v="16"/>
    <x v="0"/>
    <x v="2"/>
    <x v="9"/>
    <n v="2023"/>
    <d v="2023-10-15T00:00:00"/>
    <n v="1465.5899999999961"/>
    <n v="93"/>
  </r>
  <r>
    <n v="10"/>
    <d v="2023-10-15T00:00:00"/>
    <d v="2023-10-15T00:00:00"/>
    <x v="346"/>
    <n v="15.93"/>
    <x v="9"/>
    <x v="19"/>
    <x v="0"/>
    <x v="6"/>
    <x v="9"/>
    <n v="2023"/>
    <d v="2023-10-15T00:00:00"/>
    <n v="1481.5199999999959"/>
    <n v="81"/>
  </r>
  <r>
    <n v="10"/>
    <d v="2023-10-15T00:00:00"/>
    <d v="2023-10-15T00:00:00"/>
    <x v="37"/>
    <n v="6.02"/>
    <x v="1"/>
    <x v="12"/>
    <x v="0"/>
    <x v="3"/>
    <x v="9"/>
    <n v="2023"/>
    <d v="2023-10-15T00:00:00"/>
    <n v="1487.5399999999961"/>
    <n v="24"/>
  </r>
  <r>
    <n v="10"/>
    <d v="2023-10-15T00:00:00"/>
    <d v="2023-10-15T00:00:00"/>
    <x v="37"/>
    <n v="52.49"/>
    <x v="1"/>
    <x v="12"/>
    <x v="0"/>
    <x v="3"/>
    <x v="9"/>
    <n v="2023"/>
    <d v="2023-10-15T00:00:00"/>
    <n v="1540.0299999999961"/>
    <n v="25"/>
  </r>
  <r>
    <n v="10"/>
    <d v="2023-10-16T00:00:00"/>
    <d v="2023-10-16T00:00:00"/>
    <x v="65"/>
    <n v="14.97"/>
    <x v="9"/>
    <x v="19"/>
    <x v="0"/>
    <x v="6"/>
    <x v="9"/>
    <n v="2023"/>
    <d v="2023-10-16T00:00:00"/>
    <n v="1554.9999999999959"/>
    <n v="82"/>
  </r>
  <r>
    <n v="10"/>
    <d v="2023-10-16T00:00:00"/>
    <d v="2023-10-16T00:00:00"/>
    <x v="527"/>
    <n v="39.619999999999997"/>
    <x v="9"/>
    <x v="20"/>
    <x v="0"/>
    <x v="3"/>
    <x v="9"/>
    <n v="2023"/>
    <d v="2023-10-16T00:00:00"/>
    <n v="1594.619999999996"/>
    <n v="12"/>
  </r>
  <r>
    <n v="10"/>
    <d v="2023-10-16T00:00:00"/>
    <d v="2023-10-16T00:00:00"/>
    <x v="528"/>
    <n v="10.86"/>
    <x v="9"/>
    <x v="39"/>
    <x v="0"/>
    <x v="1"/>
    <x v="9"/>
    <n v="2023"/>
    <d v="2023-10-16T00:00:00"/>
    <n v="1605.479999999995"/>
    <n v="12"/>
  </r>
  <r>
    <n v="10"/>
    <d v="2023-10-16T00:00:00"/>
    <d v="2023-10-16T00:00:00"/>
    <x v="529"/>
    <n v="62"/>
    <x v="7"/>
    <x v="16"/>
    <x v="0"/>
    <x v="2"/>
    <x v="9"/>
    <n v="2023"/>
    <d v="2023-10-16T00:00:00"/>
    <n v="1667.479999999995"/>
    <n v="94"/>
  </r>
  <r>
    <n v="10"/>
    <d v="2023-10-16T00:00:00"/>
    <d v="2023-10-16T00:00:00"/>
    <x v="530"/>
    <n v="22.08"/>
    <x v="1"/>
    <x v="7"/>
    <x v="0"/>
    <x v="3"/>
    <x v="9"/>
    <n v="2023"/>
    <d v="2023-10-16T00:00:00"/>
    <n v="1689.5599999999949"/>
    <n v="46"/>
  </r>
  <r>
    <n v="10"/>
    <d v="2023-10-16T00:00:00"/>
    <d v="2023-10-16T00:00:00"/>
    <x v="55"/>
    <n v="25"/>
    <x v="9"/>
    <x v="36"/>
    <x v="0"/>
    <x v="6"/>
    <x v="9"/>
    <n v="2023"/>
    <d v="2023-10-16T00:00:00"/>
    <n v="1714.5599999999949"/>
    <n v="10"/>
  </r>
  <r>
    <n v="10"/>
    <d v="2023-10-17T00:00:00"/>
    <d v="2023-10-17T00:00:00"/>
    <x v="531"/>
    <n v="12.95"/>
    <x v="7"/>
    <x v="16"/>
    <x v="0"/>
    <x v="2"/>
    <x v="9"/>
    <n v="2023"/>
    <d v="2023-10-17T00:00:00"/>
    <n v="1727.509999999995"/>
    <n v="95"/>
  </r>
  <r>
    <n v="10"/>
    <d v="2023-10-18T00:00:00"/>
    <d v="2023-10-18T00:00:00"/>
    <x v="33"/>
    <n v="-1582.98"/>
    <x v="10"/>
    <x v="25"/>
    <x v="0"/>
    <x v="5"/>
    <x v="9"/>
    <n v="2023"/>
    <d v="2023-10-18T00:00:00"/>
    <n v="144.5299999999954"/>
    <n v="30"/>
  </r>
  <r>
    <n v="10"/>
    <d v="2023-10-18T00:00:00"/>
    <d v="2023-10-18T00:00:00"/>
    <x v="34"/>
    <n v="49.99"/>
    <x v="9"/>
    <x v="23"/>
    <x v="0"/>
    <x v="6"/>
    <x v="9"/>
    <n v="2023"/>
    <d v="2023-10-18T00:00:00"/>
    <n v="194.51999999999541"/>
    <n v="14"/>
  </r>
  <r>
    <n v="10"/>
    <d v="2023-10-19T00:00:00"/>
    <d v="2023-10-19T00:00:00"/>
    <x v="532"/>
    <n v="8.5299999999999994"/>
    <x v="7"/>
    <x v="11"/>
    <x v="0"/>
    <x v="2"/>
    <x v="9"/>
    <n v="2023"/>
    <d v="2023-10-19T00:00:00"/>
    <n v="203.04999999999541"/>
    <n v="51"/>
  </r>
  <r>
    <n v="10"/>
    <d v="2023-10-20T00:00:00"/>
    <d v="2023-10-20T00:00:00"/>
    <x v="533"/>
    <n v="52.99"/>
    <x v="1"/>
    <x v="12"/>
    <x v="0"/>
    <x v="3"/>
    <x v="9"/>
    <n v="2023"/>
    <d v="2023-10-20T00:00:00"/>
    <n v="256.03999999999542"/>
    <n v="26"/>
  </r>
  <r>
    <n v="10"/>
    <d v="2023-10-20T00:00:00"/>
    <d v="2023-10-20T00:00:00"/>
    <x v="534"/>
    <n v="12.55"/>
    <x v="9"/>
    <x v="49"/>
    <x v="0"/>
    <x v="1"/>
    <x v="9"/>
    <n v="2023"/>
    <d v="2023-10-20T00:00:00"/>
    <n v="268.58999999999543"/>
    <n v="20"/>
  </r>
  <r>
    <n v="10"/>
    <d v="2023-10-20T00:00:00"/>
    <d v="2023-10-20T00:00:00"/>
    <x v="261"/>
    <n v="0.6"/>
    <x v="3"/>
    <x v="65"/>
    <x v="0"/>
    <x v="4"/>
    <x v="9"/>
    <n v="2023"/>
    <d v="2023-10-20T00:00:00"/>
    <n v="269.18999999999551"/>
    <n v="6"/>
  </r>
  <r>
    <n v="10"/>
    <d v="2023-10-20T00:00:00"/>
    <d v="2023-10-20T00:00:00"/>
    <x v="535"/>
    <n v="59.95"/>
    <x v="1"/>
    <x v="82"/>
    <x v="0"/>
    <x v="1"/>
    <x v="9"/>
    <n v="2023"/>
    <d v="2023-10-20T00:00:00"/>
    <n v="329.13999999999538"/>
    <n v="1"/>
  </r>
  <r>
    <n v="10"/>
    <d v="2023-10-21T00:00:00"/>
    <d v="2023-10-21T00:00:00"/>
    <x v="536"/>
    <n v="5"/>
    <x v="9"/>
    <x v="49"/>
    <x v="0"/>
    <x v="1"/>
    <x v="9"/>
    <n v="2023"/>
    <d v="2023-10-21T00:00:00"/>
    <n v="334.13999999999538"/>
    <n v="21"/>
  </r>
  <r>
    <n v="10"/>
    <d v="2023-10-21T00:00:00"/>
    <d v="2023-10-21T00:00:00"/>
    <x v="537"/>
    <n v="361.8"/>
    <x v="9"/>
    <x v="3"/>
    <x v="0"/>
    <x v="2"/>
    <x v="9"/>
    <n v="2023"/>
    <d v="2023-10-21T00:00:00"/>
    <n v="695.93999999999551"/>
    <n v="49"/>
  </r>
  <r>
    <n v="10"/>
    <d v="2023-10-23T00:00:00"/>
    <d v="2023-10-23T00:00:00"/>
    <x v="538"/>
    <n v="15.09"/>
    <x v="1"/>
    <x v="11"/>
    <x v="0"/>
    <x v="2"/>
    <x v="9"/>
    <n v="2023"/>
    <d v="2023-10-23T00:00:00"/>
    <n v="711.02999999999554"/>
    <n v="52"/>
  </r>
  <r>
    <n v="10"/>
    <d v="2023-10-23T00:00:00"/>
    <d v="2023-10-23T00:00:00"/>
    <x v="539"/>
    <n v="25.67"/>
    <x v="2"/>
    <x v="3"/>
    <x v="0"/>
    <x v="2"/>
    <x v="9"/>
    <n v="2023"/>
    <d v="2023-10-23T00:00:00"/>
    <n v="736.6999999999955"/>
    <n v="50"/>
  </r>
  <r>
    <n v="10"/>
    <d v="2023-10-23T00:00:00"/>
    <d v="2023-10-23T00:00:00"/>
    <x v="487"/>
    <n v="164.44"/>
    <x v="1"/>
    <x v="78"/>
    <x v="0"/>
    <x v="1"/>
    <x v="9"/>
    <n v="2023"/>
    <d v="2023-10-23T00:00:00"/>
    <n v="901.13999999999555"/>
    <n v="9"/>
  </r>
  <r>
    <n v="10"/>
    <d v="2023-10-23T00:00:00"/>
    <d v="2023-10-23T00:00:00"/>
    <x v="540"/>
    <n v="5.95"/>
    <x v="1"/>
    <x v="11"/>
    <x v="0"/>
    <x v="2"/>
    <x v="9"/>
    <n v="2023"/>
    <d v="2023-10-23T00:00:00"/>
    <n v="907.0899999999956"/>
    <n v="53"/>
  </r>
  <r>
    <n v="10"/>
    <d v="2023-10-23T00:00:00"/>
    <d v="2023-10-23T00:00:00"/>
    <x v="37"/>
    <n v="10"/>
    <x v="1"/>
    <x v="12"/>
    <x v="0"/>
    <x v="3"/>
    <x v="9"/>
    <n v="2023"/>
    <d v="2023-10-23T00:00:00"/>
    <n v="917.0899999999956"/>
    <n v="27"/>
  </r>
  <r>
    <n v="10"/>
    <d v="2023-10-25T00:00:00"/>
    <d v="2023-10-25T00:00:00"/>
    <x v="35"/>
    <n v="27.07"/>
    <x v="7"/>
    <x v="26"/>
    <x v="0"/>
    <x v="2"/>
    <x v="9"/>
    <n v="2023"/>
    <d v="2023-10-25T00:00:00"/>
    <n v="944.15999999999565"/>
    <n v="11"/>
  </r>
  <r>
    <n v="10"/>
    <d v="2023-10-26T00:00:00"/>
    <d v="2023-10-26T00:00:00"/>
    <x v="489"/>
    <n v="10.4"/>
    <x v="7"/>
    <x v="11"/>
    <x v="0"/>
    <x v="2"/>
    <x v="9"/>
    <n v="2023"/>
    <d v="2023-10-26T00:00:00"/>
    <n v="954.55999999999563"/>
    <n v="54"/>
  </r>
  <r>
    <n v="10"/>
    <d v="2023-10-27T00:00:00"/>
    <d v="2023-10-27T00:00:00"/>
    <x v="541"/>
    <n v="15.99"/>
    <x v="6"/>
    <x v="83"/>
    <x v="0"/>
    <x v="1"/>
    <x v="9"/>
    <n v="2023"/>
    <d v="2023-10-27T00:00:00"/>
    <n v="970.54999999999563"/>
    <n v="1"/>
  </r>
  <r>
    <n v="10"/>
    <d v="2023-10-27T00:00:00"/>
    <d v="2023-10-27T00:00:00"/>
    <x v="542"/>
    <n v="13.04"/>
    <x v="7"/>
    <x v="26"/>
    <x v="0"/>
    <x v="2"/>
    <x v="9"/>
    <n v="2023"/>
    <d v="2023-10-27T00:00:00"/>
    <n v="983.5899999999956"/>
    <n v="12"/>
  </r>
  <r>
    <n v="10"/>
    <d v="2023-10-28T00:00:00"/>
    <d v="2023-10-28T00:00:00"/>
    <x v="543"/>
    <n v="18"/>
    <x v="6"/>
    <x v="32"/>
    <x v="0"/>
    <x v="6"/>
    <x v="9"/>
    <n v="2023"/>
    <d v="2023-10-28T00:00:00"/>
    <n v="1001.5899999999961"/>
    <n v="17"/>
  </r>
  <r>
    <n v="10"/>
    <d v="2023-10-29T00:00:00"/>
    <d v="2023-10-29T00:00:00"/>
    <x v="544"/>
    <n v="6"/>
    <x v="6"/>
    <x v="32"/>
    <x v="0"/>
    <x v="6"/>
    <x v="9"/>
    <n v="2023"/>
    <d v="2023-10-29T00:00:00"/>
    <n v="1007.5899999999961"/>
    <n v="18"/>
  </r>
  <r>
    <n v="10"/>
    <d v="2023-10-29T00:00:00"/>
    <d v="2023-10-29T00:00:00"/>
    <x v="545"/>
    <n v="14.3"/>
    <x v="7"/>
    <x v="16"/>
    <x v="0"/>
    <x v="2"/>
    <x v="9"/>
    <n v="2023"/>
    <d v="2023-10-29T00:00:00"/>
    <n v="1021.889999999996"/>
    <n v="96"/>
  </r>
  <r>
    <n v="10"/>
    <d v="2023-10-30T00:00:00"/>
    <d v="2023-10-30T00:00:00"/>
    <x v="546"/>
    <n v="6.58"/>
    <x v="1"/>
    <x v="17"/>
    <x v="0"/>
    <x v="3"/>
    <x v="9"/>
    <n v="2023"/>
    <d v="2023-10-30T00:00:00"/>
    <n v="1028.469999999995"/>
    <n v="41"/>
  </r>
  <r>
    <n v="10"/>
    <d v="2023-10-30T00:00:00"/>
    <d v="2023-10-30T00:00:00"/>
    <x v="547"/>
    <n v="44.91"/>
    <x v="1"/>
    <x v="17"/>
    <x v="0"/>
    <x v="3"/>
    <x v="9"/>
    <n v="2023"/>
    <d v="2023-10-30T00:00:00"/>
    <n v="1073.379999999996"/>
    <n v="42"/>
  </r>
  <r>
    <n v="10"/>
    <d v="2023-10-31T00:00:00"/>
    <d v="2023-10-31T00:00:00"/>
    <x v="548"/>
    <n v="22.08"/>
    <x v="1"/>
    <x v="7"/>
    <x v="0"/>
    <x v="3"/>
    <x v="9"/>
    <n v="2023"/>
    <d v="2023-10-31T00:00:00"/>
    <n v="1095.459999999995"/>
    <n v="47"/>
  </r>
  <r>
    <n v="10"/>
    <d v="2023-10-31T00:00:00"/>
    <d v="2023-10-31T00:00:00"/>
    <x v="549"/>
    <n v="22.44"/>
    <x v="2"/>
    <x v="3"/>
    <x v="0"/>
    <x v="2"/>
    <x v="9"/>
    <n v="2023"/>
    <d v="2023-10-31T00:00:00"/>
    <n v="1117.899999999996"/>
    <n v="51"/>
  </r>
  <r>
    <n v="11"/>
    <d v="2023-11-01T00:00:00"/>
    <d v="2023-11-03T00:00:00"/>
    <x v="550"/>
    <n v="5.99"/>
    <x v="1"/>
    <x v="1"/>
    <x v="1"/>
    <x v="1"/>
    <x v="10"/>
    <n v="2023"/>
    <d v="2023-11-01T00:00:00"/>
    <n v="1123.889999999996"/>
    <n v="11"/>
  </r>
  <r>
    <n v="11"/>
    <d v="2023-11-01T00:00:00"/>
    <d v="2023-11-03T00:00:00"/>
    <x v="101"/>
    <n v="5"/>
    <x v="6"/>
    <x v="47"/>
    <x v="1"/>
    <x v="3"/>
    <x v="10"/>
    <n v="2023"/>
    <d v="2023-11-01T00:00:00"/>
    <n v="1128.889999999996"/>
    <n v="11"/>
  </r>
  <r>
    <n v="11"/>
    <d v="2023-11-01T00:00:00"/>
    <d v="2023-11-01T00:00:00"/>
    <x v="34"/>
    <n v="134.31"/>
    <x v="9"/>
    <x v="23"/>
    <x v="0"/>
    <x v="6"/>
    <x v="10"/>
    <n v="2023"/>
    <d v="2023-11-01T00:00:00"/>
    <n v="1263.199999999995"/>
    <n v="15"/>
  </r>
  <r>
    <n v="11"/>
    <d v="2023-11-01T00:00:00"/>
    <d v="2023-11-01T00:00:00"/>
    <x v="210"/>
    <n v="20"/>
    <x v="1"/>
    <x v="59"/>
    <x v="1"/>
    <x v="3"/>
    <x v="10"/>
    <n v="2023"/>
    <d v="2023-11-01T00:00:00"/>
    <n v="1283.199999999995"/>
    <n v="9"/>
  </r>
  <r>
    <n v="11"/>
    <d v="2023-11-01T00:00:00"/>
    <d v="2023-11-01T00:00:00"/>
    <x v="551"/>
    <n v="18.55"/>
    <x v="7"/>
    <x v="11"/>
    <x v="0"/>
    <x v="2"/>
    <x v="10"/>
    <n v="2023"/>
    <d v="2023-11-01T00:00:00"/>
    <n v="1301.749999999995"/>
    <n v="55"/>
  </r>
  <r>
    <n v="11"/>
    <d v="2023-11-01T00:00:00"/>
    <d v="2023-11-01T00:00:00"/>
    <x v="260"/>
    <n v="15.89"/>
    <x v="1"/>
    <x v="24"/>
    <x v="1"/>
    <x v="1"/>
    <x v="10"/>
    <n v="2023"/>
    <d v="2023-11-01T00:00:00"/>
    <n v="1317.639999999996"/>
    <n v="11"/>
  </r>
  <r>
    <n v="11"/>
    <d v="2023-11-01T00:00:00"/>
    <d v="2023-11-01T00:00:00"/>
    <x v="552"/>
    <n v="1.97"/>
    <x v="7"/>
    <x v="11"/>
    <x v="0"/>
    <x v="2"/>
    <x v="10"/>
    <n v="2023"/>
    <d v="2023-11-01T00:00:00"/>
    <n v="1319.609999999996"/>
    <n v="56"/>
  </r>
  <r>
    <n v="11"/>
    <d v="2023-11-02T00:00:00"/>
    <d v="2023-11-03T00:00:00"/>
    <x v="84"/>
    <n v="52.13"/>
    <x v="2"/>
    <x v="7"/>
    <x v="0"/>
    <x v="3"/>
    <x v="10"/>
    <n v="2023"/>
    <d v="2023-11-02T00:00:00"/>
    <n v="1371.7399999999959"/>
    <n v="48"/>
  </r>
  <r>
    <n v="11"/>
    <d v="2023-11-02T00:00:00"/>
    <d v="2023-11-03T00:00:00"/>
    <x v="553"/>
    <n v="6.93"/>
    <x v="2"/>
    <x v="3"/>
    <x v="0"/>
    <x v="2"/>
    <x v="10"/>
    <n v="2023"/>
    <d v="2023-11-02T00:00:00"/>
    <n v="1378.669999999996"/>
    <n v="52"/>
  </r>
  <r>
    <n v="11"/>
    <d v="2023-11-02T00:00:00"/>
    <d v="2023-11-03T00:00:00"/>
    <x v="553"/>
    <n v="6.8"/>
    <x v="2"/>
    <x v="3"/>
    <x v="0"/>
    <x v="2"/>
    <x v="10"/>
    <n v="2023"/>
    <d v="2023-11-02T00:00:00"/>
    <n v="1385.4699999999959"/>
    <n v="53"/>
  </r>
  <r>
    <n v="11"/>
    <d v="2023-11-02T00:00:00"/>
    <d v="2023-11-03T00:00:00"/>
    <x v="489"/>
    <n v="15.45"/>
    <x v="7"/>
    <x v="11"/>
    <x v="0"/>
    <x v="2"/>
    <x v="10"/>
    <n v="2023"/>
    <d v="2023-11-02T00:00:00"/>
    <n v="1400.919999999996"/>
    <n v="57"/>
  </r>
  <r>
    <n v="11"/>
    <d v="2023-11-02T00:00:00"/>
    <d v="2023-11-02T00:00:00"/>
    <x v="33"/>
    <n v="-1065.5"/>
    <x v="10"/>
    <x v="25"/>
    <x v="0"/>
    <x v="5"/>
    <x v="10"/>
    <n v="2023"/>
    <d v="2023-11-02T00:00:00"/>
    <n v="335.41999999999581"/>
    <n v="31"/>
  </r>
  <r>
    <n v="11"/>
    <d v="2023-11-02T00:00:00"/>
    <d v="2023-11-02T00:00:00"/>
    <x v="554"/>
    <n v="139"/>
    <x v="6"/>
    <x v="55"/>
    <x v="1"/>
    <x v="3"/>
    <x v="10"/>
    <n v="2023"/>
    <d v="2023-11-02T00:00:00"/>
    <n v="474.41999999999581"/>
    <n v="17"/>
  </r>
  <r>
    <n v="11"/>
    <d v="2023-11-02T00:00:00"/>
    <d v="2023-11-02T00:00:00"/>
    <x v="555"/>
    <n v="125.1"/>
    <x v="6"/>
    <x v="55"/>
    <x v="1"/>
    <x v="3"/>
    <x v="10"/>
    <n v="2023"/>
    <d v="2023-11-02T00:00:00"/>
    <n v="599.51999999999578"/>
    <n v="18"/>
  </r>
  <r>
    <n v="11"/>
    <d v="2023-11-02T00:00:00"/>
    <d v="2023-11-03T00:00:00"/>
    <x v="4"/>
    <n v="10"/>
    <x v="1"/>
    <x v="4"/>
    <x v="1"/>
    <x v="1"/>
    <x v="10"/>
    <n v="2023"/>
    <d v="2023-11-02T00:00:00"/>
    <n v="609.51999999999578"/>
    <n v="11"/>
  </r>
  <r>
    <n v="11"/>
    <d v="2023-11-03T00:00:00"/>
    <d v="2023-11-03T00:00:00"/>
    <x v="8"/>
    <n v="-36.65"/>
    <x v="4"/>
    <x v="8"/>
    <x v="0"/>
    <x v="5"/>
    <x v="10"/>
    <n v="2023"/>
    <d v="2023-11-03T00:00:00"/>
    <n v="572.8699999999958"/>
    <n v="11"/>
  </r>
  <r>
    <n v="11"/>
    <d v="2023-11-03T00:00:00"/>
    <d v="2023-11-03T00:00:00"/>
    <x v="556"/>
    <n v="17.510000000000002"/>
    <x v="7"/>
    <x v="11"/>
    <x v="0"/>
    <x v="2"/>
    <x v="10"/>
    <n v="2023"/>
    <d v="2023-11-03T00:00:00"/>
    <n v="590.37999999999579"/>
    <n v="58"/>
  </r>
  <r>
    <n v="11"/>
    <d v="2023-11-03T00:00:00"/>
    <d v="2023-11-03T00:00:00"/>
    <x v="557"/>
    <n v="37.090000000000003"/>
    <x v="1"/>
    <x v="38"/>
    <x v="0"/>
    <x v="3"/>
    <x v="10"/>
    <n v="2023"/>
    <d v="2023-11-03T00:00:00"/>
    <n v="627.46999999999582"/>
    <n v="15"/>
  </r>
  <r>
    <n v="11"/>
    <d v="2023-11-03T00:00:00"/>
    <d v="2023-11-03T00:00:00"/>
    <x v="558"/>
    <n v="22.09"/>
    <x v="2"/>
    <x v="26"/>
    <x v="0"/>
    <x v="2"/>
    <x v="10"/>
    <n v="2023"/>
    <d v="2023-11-03T00:00:00"/>
    <n v="649.55999999999585"/>
    <n v="13"/>
  </r>
  <r>
    <n v="11"/>
    <d v="2023-11-03T00:00:00"/>
    <d v="2023-11-03T00:00:00"/>
    <x v="65"/>
    <n v="23.97"/>
    <x v="9"/>
    <x v="19"/>
    <x v="0"/>
    <x v="6"/>
    <x v="10"/>
    <n v="2023"/>
    <d v="2023-11-03T00:00:00"/>
    <n v="673.52999999999588"/>
    <n v="83"/>
  </r>
  <r>
    <n v="11"/>
    <d v="2023-11-03T00:00:00"/>
    <d v="2023-11-03T00:00:00"/>
    <x v="41"/>
    <n v="35"/>
    <x v="9"/>
    <x v="23"/>
    <x v="0"/>
    <x v="6"/>
    <x v="10"/>
    <n v="2023"/>
    <d v="2023-11-03T00:00:00"/>
    <n v="708.52999999999588"/>
    <n v="16"/>
  </r>
  <r>
    <n v="11"/>
    <d v="2023-11-04T00:00:00"/>
    <d v="2023-11-04T00:00:00"/>
    <x v="559"/>
    <n v="84"/>
    <x v="1"/>
    <x v="84"/>
    <x v="1"/>
    <x v="3"/>
    <x v="10"/>
    <n v="2023"/>
    <d v="2023-11-04T00:00:00"/>
    <n v="792.52999999999588"/>
    <n v="1"/>
  </r>
  <r>
    <n v="11"/>
    <d v="2023-11-05T00:00:00"/>
    <d v="2023-11-05T00:00:00"/>
    <x v="560"/>
    <n v="182"/>
    <x v="6"/>
    <x v="49"/>
    <x v="0"/>
    <x v="1"/>
    <x v="10"/>
    <n v="2023"/>
    <d v="2023-11-05T00:00:00"/>
    <n v="974.52999999999588"/>
    <n v="22"/>
  </r>
  <r>
    <n v="11"/>
    <d v="2023-11-06T00:00:00"/>
    <d v="2023-11-06T00:00:00"/>
    <x v="561"/>
    <n v="850"/>
    <x v="6"/>
    <x v="85"/>
    <x v="0"/>
    <x v="11"/>
    <x v="10"/>
    <n v="2023"/>
    <d v="2023-11-06T00:00:00"/>
    <n v="1824.5299999999961"/>
    <n v="1"/>
  </r>
  <r>
    <n v="11"/>
    <d v="2023-11-07T00:00:00"/>
    <d v="2023-11-07T00:00:00"/>
    <x v="562"/>
    <n v="9.99"/>
    <x v="1"/>
    <x v="18"/>
    <x v="1"/>
    <x v="3"/>
    <x v="10"/>
    <n v="2023"/>
    <d v="2023-11-07T00:00:00"/>
    <n v="1834.5199999999959"/>
    <n v="11"/>
  </r>
  <r>
    <n v="11"/>
    <d v="2023-11-08T00:00:00"/>
    <d v="2023-11-08T00:00:00"/>
    <x v="563"/>
    <n v="39.83"/>
    <x v="7"/>
    <x v="16"/>
    <x v="0"/>
    <x v="2"/>
    <x v="10"/>
    <n v="2023"/>
    <d v="2023-11-08T00:00:00"/>
    <n v="1874.349999999996"/>
    <n v="97"/>
  </r>
  <r>
    <n v="11"/>
    <d v="2023-11-08T00:00:00"/>
    <d v="2023-11-08T00:00:00"/>
    <x v="564"/>
    <n v="77.94"/>
    <x v="9"/>
    <x v="22"/>
    <x v="0"/>
    <x v="1"/>
    <x v="10"/>
    <n v="2023"/>
    <d v="2023-11-08T00:00:00"/>
    <n v="1952.2899999999961"/>
    <n v="5"/>
  </r>
  <r>
    <n v="11"/>
    <d v="2023-11-09T00:00:00"/>
    <d v="2023-11-09T00:00:00"/>
    <x v="565"/>
    <n v="29.2"/>
    <x v="7"/>
    <x v="16"/>
    <x v="0"/>
    <x v="2"/>
    <x v="10"/>
    <n v="2023"/>
    <d v="2023-11-09T00:00:00"/>
    <n v="1981.4899999999959"/>
    <n v="98"/>
  </r>
  <r>
    <n v="11"/>
    <d v="2023-11-09T00:00:00"/>
    <d v="2023-11-09T00:00:00"/>
    <x v="566"/>
    <n v="166.71"/>
    <x v="2"/>
    <x v="7"/>
    <x v="0"/>
    <x v="3"/>
    <x v="10"/>
    <n v="2023"/>
    <d v="2023-11-09T00:00:00"/>
    <n v="2148.1999999999962"/>
    <n v="49"/>
  </r>
  <r>
    <n v="11"/>
    <d v="2023-11-10T00:00:00"/>
    <d v="2023-11-10T00:00:00"/>
    <x v="567"/>
    <n v="25.27"/>
    <x v="5"/>
    <x v="86"/>
    <x v="0"/>
    <x v="1"/>
    <x v="10"/>
    <n v="2023"/>
    <d v="2023-11-10T00:00:00"/>
    <n v="2173.4699999999962"/>
    <n v="1"/>
  </r>
  <r>
    <n v="11"/>
    <d v="2023-11-10T00:00:00"/>
    <d v="2023-11-10T00:00:00"/>
    <x v="568"/>
    <n v="84.76"/>
    <x v="2"/>
    <x v="7"/>
    <x v="0"/>
    <x v="3"/>
    <x v="10"/>
    <n v="2023"/>
    <d v="2023-11-10T00:00:00"/>
    <n v="2258.2299999999959"/>
    <n v="50"/>
  </r>
  <r>
    <n v="11"/>
    <d v="2023-11-11T00:00:00"/>
    <d v="2023-12-11T00:00:00"/>
    <x v="569"/>
    <n v="19"/>
    <x v="1"/>
    <x v="31"/>
    <x v="0"/>
    <x v="3"/>
    <x v="10"/>
    <n v="2023"/>
    <d v="2023-11-11T00:00:00"/>
    <n v="2277.2299999999959"/>
    <n v="8"/>
  </r>
  <r>
    <n v="11"/>
    <d v="2023-11-11T00:00:00"/>
    <d v="2023-11-11T00:00:00"/>
    <x v="570"/>
    <n v="19"/>
    <x v="1"/>
    <x v="31"/>
    <x v="0"/>
    <x v="3"/>
    <x v="10"/>
    <n v="2023"/>
    <d v="2023-11-11T00:00:00"/>
    <n v="2296.2299999999959"/>
    <n v="9"/>
  </r>
  <r>
    <n v="11"/>
    <d v="2023-11-11T00:00:00"/>
    <d v="2023-11-11T00:00:00"/>
    <x v="33"/>
    <n v="-2089.04"/>
    <x v="10"/>
    <x v="25"/>
    <x v="0"/>
    <x v="5"/>
    <x v="10"/>
    <n v="2023"/>
    <d v="2023-11-11T00:00:00"/>
    <n v="207.18999999999599"/>
    <n v="32"/>
  </r>
  <r>
    <n v="11"/>
    <d v="2023-11-11T00:00:00"/>
    <d v="2023-11-11T00:00:00"/>
    <x v="571"/>
    <n v="45.09"/>
    <x v="7"/>
    <x v="11"/>
    <x v="0"/>
    <x v="2"/>
    <x v="10"/>
    <n v="2023"/>
    <d v="2023-11-11T00:00:00"/>
    <n v="252.27999999999599"/>
    <n v="59"/>
  </r>
  <r>
    <n v="11"/>
    <d v="2023-11-12T00:00:00"/>
    <d v="2023-11-12T00:00:00"/>
    <x v="65"/>
    <n v="43.91"/>
    <x v="9"/>
    <x v="19"/>
    <x v="0"/>
    <x v="6"/>
    <x v="10"/>
    <n v="2023"/>
    <d v="2023-11-12T00:00:00"/>
    <n v="296.18999999999602"/>
    <n v="84"/>
  </r>
  <r>
    <n v="11"/>
    <d v="2023-11-12T00:00:00"/>
    <d v="2023-11-12T00:00:00"/>
    <x v="65"/>
    <n v="58.97"/>
    <x v="9"/>
    <x v="19"/>
    <x v="0"/>
    <x v="6"/>
    <x v="10"/>
    <n v="2023"/>
    <d v="2023-11-12T00:00:00"/>
    <n v="355.15999999999599"/>
    <n v="85"/>
  </r>
  <r>
    <n v="11"/>
    <d v="2023-11-13T00:00:00"/>
    <d v="2023-11-11T00:00:00"/>
    <x v="572"/>
    <n v="-19"/>
    <x v="10"/>
    <x v="31"/>
    <x v="0"/>
    <x v="3"/>
    <x v="10"/>
    <n v="2023"/>
    <d v="2023-11-13T00:00:00"/>
    <n v="336.15999999999599"/>
    <n v="10"/>
  </r>
  <r>
    <n v="11"/>
    <d v="2023-11-13T00:00:00"/>
    <d v="2023-11-13T00:00:00"/>
    <x v="573"/>
    <n v="60"/>
    <x v="6"/>
    <x v="49"/>
    <x v="0"/>
    <x v="1"/>
    <x v="10"/>
    <n v="2023"/>
    <d v="2023-11-13T00:00:00"/>
    <n v="396.15999999999599"/>
    <n v="23"/>
  </r>
  <r>
    <n v="11"/>
    <d v="2023-11-14T00:00:00"/>
    <d v="2023-11-14T00:00:00"/>
    <x v="574"/>
    <n v="35.479999999999997"/>
    <x v="7"/>
    <x v="11"/>
    <x v="0"/>
    <x v="2"/>
    <x v="10"/>
    <n v="2023"/>
    <d v="2023-11-14T00:00:00"/>
    <n v="431.63999999999601"/>
    <n v="60"/>
  </r>
  <r>
    <n v="11"/>
    <d v="2023-11-14T00:00:00"/>
    <d v="2023-11-14T00:00:00"/>
    <x v="15"/>
    <n v="90.83"/>
    <x v="1"/>
    <x v="15"/>
    <x v="1"/>
    <x v="8"/>
    <x v="10"/>
    <n v="2023"/>
    <d v="2023-11-14T00:00:00"/>
    <n v="522.46999999999605"/>
    <n v="11"/>
  </r>
  <r>
    <n v="11"/>
    <d v="2023-11-14T00:00:00"/>
    <d v="2023-11-14T00:00:00"/>
    <x v="261"/>
    <n v="24.06"/>
    <x v="3"/>
    <x v="65"/>
    <x v="0"/>
    <x v="4"/>
    <x v="10"/>
    <n v="2023"/>
    <d v="2023-11-14T00:00:00"/>
    <n v="546.52999999999599"/>
    <n v="7"/>
  </r>
  <r>
    <n v="11"/>
    <d v="2023-11-14T00:00:00"/>
    <d v="2023-11-14T00:00:00"/>
    <x v="575"/>
    <n v="22.08"/>
    <x v="1"/>
    <x v="7"/>
    <x v="0"/>
    <x v="3"/>
    <x v="10"/>
    <n v="2023"/>
    <d v="2023-11-14T00:00:00"/>
    <n v="568.60999999999603"/>
    <n v="51"/>
  </r>
  <r>
    <n v="11"/>
    <d v="2023-11-14T00:00:00"/>
    <d v="2023-11-14T00:00:00"/>
    <x v="576"/>
    <n v="16.5"/>
    <x v="1"/>
    <x v="7"/>
    <x v="0"/>
    <x v="3"/>
    <x v="10"/>
    <n v="2023"/>
    <d v="2023-11-14T00:00:00"/>
    <n v="585.10999999999603"/>
    <n v="52"/>
  </r>
  <r>
    <n v="11"/>
    <d v="2023-11-14T00:00:00"/>
    <d v="2023-11-14T00:00:00"/>
    <x v="261"/>
    <n v="22.96"/>
    <x v="3"/>
    <x v="65"/>
    <x v="0"/>
    <x v="4"/>
    <x v="10"/>
    <n v="2023"/>
    <d v="2023-11-14T00:00:00"/>
    <n v="608.06999999999607"/>
    <n v="8"/>
  </r>
  <r>
    <n v="11"/>
    <d v="2023-11-15T00:00:00"/>
    <d v="2023-11-15T00:00:00"/>
    <x v="577"/>
    <n v="26.99"/>
    <x v="1"/>
    <x v="87"/>
    <x v="0"/>
    <x v="10"/>
    <x v="10"/>
    <n v="2023"/>
    <d v="2023-11-15T00:00:00"/>
    <n v="635.05999999999608"/>
    <n v="1"/>
  </r>
  <r>
    <n v="11"/>
    <d v="2023-11-15T00:00:00"/>
    <d v="2023-11-15T00:00:00"/>
    <x v="578"/>
    <n v="269"/>
    <x v="9"/>
    <x v="88"/>
    <x v="1"/>
    <x v="3"/>
    <x v="10"/>
    <n v="2023"/>
    <d v="2023-11-15T00:00:00"/>
    <n v="904.05999999999608"/>
    <n v="1"/>
  </r>
  <r>
    <n v="11"/>
    <d v="2023-11-16T00:00:00"/>
    <d v="2023-11-16T00:00:00"/>
    <x v="62"/>
    <n v="14.87"/>
    <x v="1"/>
    <x v="40"/>
    <x v="0"/>
    <x v="1"/>
    <x v="10"/>
    <n v="2023"/>
    <d v="2023-11-16T00:00:00"/>
    <n v="918.92999999999608"/>
    <n v="52"/>
  </r>
  <r>
    <n v="11"/>
    <d v="2023-11-16T00:00:00"/>
    <d v="2023-11-17T00:00:00"/>
    <x v="579"/>
    <n v="-22.08"/>
    <x v="10"/>
    <x v="7"/>
    <x v="0"/>
    <x v="3"/>
    <x v="10"/>
    <n v="2023"/>
    <d v="2023-11-16T00:00:00"/>
    <n v="896.84999999999604"/>
    <n v="53"/>
  </r>
  <r>
    <n v="11"/>
    <d v="2023-11-17T00:00:00"/>
    <d v="2023-11-17T00:00:00"/>
    <x v="580"/>
    <n v="123.45"/>
    <x v="2"/>
    <x v="7"/>
    <x v="0"/>
    <x v="3"/>
    <x v="10"/>
    <n v="2023"/>
    <d v="2023-11-17T00:00:00"/>
    <n v="1020.299999999996"/>
    <n v="54"/>
  </r>
  <r>
    <n v="11"/>
    <d v="2023-11-17T00:00:00"/>
    <d v="2023-11-17T00:00:00"/>
    <x v="581"/>
    <n v="69.38"/>
    <x v="2"/>
    <x v="20"/>
    <x v="0"/>
    <x v="3"/>
    <x v="10"/>
    <n v="2023"/>
    <d v="2023-11-17T00:00:00"/>
    <n v="1089.679999999996"/>
    <n v="13"/>
  </r>
  <r>
    <n v="11"/>
    <d v="2023-11-18T00:00:00"/>
    <d v="2023-11-18T00:00:00"/>
    <x v="582"/>
    <n v="10"/>
    <x v="12"/>
    <x v="9"/>
    <x v="0"/>
    <x v="6"/>
    <x v="10"/>
    <n v="2023"/>
    <d v="2023-11-18T00:00:00"/>
    <n v="1099.679999999996"/>
    <n v="15"/>
  </r>
  <r>
    <n v="11"/>
    <d v="2023-11-18T00:00:00"/>
    <d v="2023-11-18T00:00:00"/>
    <x v="583"/>
    <n v="169.59"/>
    <x v="1"/>
    <x v="28"/>
    <x v="0"/>
    <x v="1"/>
    <x v="10"/>
    <n v="2023"/>
    <d v="2023-11-18T00:00:00"/>
    <n v="1269.2699999999959"/>
    <n v="2"/>
  </r>
  <r>
    <n v="11"/>
    <d v="2023-11-18T00:00:00"/>
    <d v="2023-11-18T00:00:00"/>
    <x v="584"/>
    <n v="124.8"/>
    <x v="9"/>
    <x v="50"/>
    <x v="0"/>
    <x v="11"/>
    <x v="10"/>
    <n v="2023"/>
    <d v="2023-11-18T00:00:00"/>
    <n v="1394.0699999999961"/>
    <n v="4"/>
  </r>
  <r>
    <n v="11"/>
    <d v="2023-11-18T00:00:00"/>
    <d v="2023-11-18T00:00:00"/>
    <x v="585"/>
    <n v="97.67"/>
    <x v="1"/>
    <x v="7"/>
    <x v="0"/>
    <x v="3"/>
    <x v="10"/>
    <n v="2023"/>
    <d v="2023-11-18T00:00:00"/>
    <n v="1491.7399999999959"/>
    <n v="55"/>
  </r>
  <r>
    <n v="11"/>
    <d v="2023-11-19T00:00:00"/>
    <d v="2023-11-19T00:00:00"/>
    <x v="584"/>
    <n v="79.5"/>
    <x v="9"/>
    <x v="50"/>
    <x v="0"/>
    <x v="11"/>
    <x v="10"/>
    <n v="2023"/>
    <d v="2023-11-19T00:00:00"/>
    <n v="1571.2399999999959"/>
    <n v="5"/>
  </r>
  <r>
    <n v="11"/>
    <d v="2023-11-19T00:00:00"/>
    <d v="2023-11-19T00:00:00"/>
    <x v="586"/>
    <n v="25.62"/>
    <x v="7"/>
    <x v="11"/>
    <x v="0"/>
    <x v="2"/>
    <x v="10"/>
    <n v="2023"/>
    <d v="2023-11-19T00:00:00"/>
    <n v="1596.859999999996"/>
    <n v="61"/>
  </r>
  <r>
    <n v="11"/>
    <d v="2023-11-19T00:00:00"/>
    <d v="2023-11-19T00:00:00"/>
    <x v="587"/>
    <n v="6"/>
    <x v="6"/>
    <x v="32"/>
    <x v="0"/>
    <x v="6"/>
    <x v="10"/>
    <n v="2023"/>
    <d v="2023-11-19T00:00:00"/>
    <n v="1602.859999999996"/>
    <n v="19"/>
  </r>
  <r>
    <n v="11"/>
    <d v="2023-11-19T00:00:00"/>
    <d v="2023-11-19T00:00:00"/>
    <x v="588"/>
    <n v="47.7"/>
    <x v="7"/>
    <x v="50"/>
    <x v="0"/>
    <x v="11"/>
    <x v="10"/>
    <n v="2023"/>
    <d v="2023-11-19T00:00:00"/>
    <n v="1650.5599999999961"/>
    <n v="6"/>
  </r>
  <r>
    <n v="11"/>
    <d v="2023-11-19T00:00:00"/>
    <d v="2023-11-19T00:00:00"/>
    <x v="589"/>
    <n v="49.56"/>
    <x v="7"/>
    <x v="50"/>
    <x v="0"/>
    <x v="11"/>
    <x v="10"/>
    <n v="2023"/>
    <d v="2023-11-19T00:00:00"/>
    <n v="1700.119999999996"/>
    <n v="7"/>
  </r>
  <r>
    <n v="11"/>
    <d v="2023-11-19T00:00:00"/>
    <d v="2023-11-19T00:00:00"/>
    <x v="584"/>
    <n v="15.9"/>
    <x v="9"/>
    <x v="50"/>
    <x v="0"/>
    <x v="11"/>
    <x v="10"/>
    <n v="2023"/>
    <d v="2023-11-19T00:00:00"/>
    <n v="1716.0199999999959"/>
    <n v="8"/>
  </r>
  <r>
    <n v="11"/>
    <d v="2023-11-19T00:00:00"/>
    <d v="2023-11-19T00:00:00"/>
    <x v="590"/>
    <n v="10.6"/>
    <x v="7"/>
    <x v="50"/>
    <x v="0"/>
    <x v="11"/>
    <x v="10"/>
    <n v="2023"/>
    <d v="2023-11-19T00:00:00"/>
    <n v="1726.619999999996"/>
    <n v="9"/>
  </r>
  <r>
    <n v="11"/>
    <d v="2023-11-19T00:00:00"/>
    <d v="2023-11-19T00:00:00"/>
    <x v="591"/>
    <n v="10"/>
    <x v="12"/>
    <x v="37"/>
    <x v="0"/>
    <x v="9"/>
    <x v="10"/>
    <n v="2023"/>
    <d v="2023-11-19T00:00:00"/>
    <n v="1736.619999999996"/>
    <n v="12"/>
  </r>
  <r>
    <n v="11"/>
    <d v="2023-11-19T00:00:00"/>
    <d v="2023-11-19T00:00:00"/>
    <x v="587"/>
    <n v="6"/>
    <x v="6"/>
    <x v="32"/>
    <x v="0"/>
    <x v="6"/>
    <x v="10"/>
    <n v="2023"/>
    <d v="2023-11-19T00:00:00"/>
    <n v="1742.619999999996"/>
    <n v="20"/>
  </r>
  <r>
    <n v="11"/>
    <d v="2023-11-19T00:00:00"/>
    <d v="2023-11-19T00:00:00"/>
    <x v="591"/>
    <n v="10"/>
    <x v="12"/>
    <x v="37"/>
    <x v="0"/>
    <x v="9"/>
    <x v="10"/>
    <n v="2023"/>
    <d v="2023-11-19T00:00:00"/>
    <n v="1752.619999999996"/>
    <n v="13"/>
  </r>
  <r>
    <n v="11"/>
    <d v="2023-11-19T00:00:00"/>
    <d v="2023-11-19T00:00:00"/>
    <x v="591"/>
    <n v="10"/>
    <x v="12"/>
    <x v="37"/>
    <x v="0"/>
    <x v="9"/>
    <x v="10"/>
    <n v="2023"/>
    <d v="2023-11-19T00:00:00"/>
    <n v="1762.619999999996"/>
    <n v="14"/>
  </r>
  <r>
    <n v="11"/>
    <d v="2023-11-19T00:00:00"/>
    <d v="2023-11-19T00:00:00"/>
    <x v="591"/>
    <n v="10"/>
    <x v="12"/>
    <x v="37"/>
    <x v="0"/>
    <x v="9"/>
    <x v="10"/>
    <n v="2023"/>
    <d v="2023-11-19T00:00:00"/>
    <n v="1772.619999999996"/>
    <n v="15"/>
  </r>
  <r>
    <n v="11"/>
    <d v="2023-11-19T00:00:00"/>
    <d v="2023-11-19T00:00:00"/>
    <x v="591"/>
    <n v="10"/>
    <x v="12"/>
    <x v="37"/>
    <x v="0"/>
    <x v="9"/>
    <x v="10"/>
    <n v="2023"/>
    <d v="2023-11-19T00:00:00"/>
    <n v="1782.619999999996"/>
    <n v="16"/>
  </r>
  <r>
    <n v="11"/>
    <d v="2023-11-19T00:00:00"/>
    <d v="2023-11-19T00:00:00"/>
    <x v="592"/>
    <n v="9.85"/>
    <x v="1"/>
    <x v="12"/>
    <x v="0"/>
    <x v="3"/>
    <x v="10"/>
    <n v="2023"/>
    <d v="2023-11-19T00:00:00"/>
    <n v="1792.4699999999959"/>
    <n v="28"/>
  </r>
  <r>
    <n v="11"/>
    <d v="2023-11-19T00:00:00"/>
    <d v="2023-11-19T00:00:00"/>
    <x v="592"/>
    <n v="5.65"/>
    <x v="1"/>
    <x v="12"/>
    <x v="0"/>
    <x v="3"/>
    <x v="10"/>
    <n v="2023"/>
    <d v="2023-11-19T00:00:00"/>
    <n v="1798.119999999996"/>
    <n v="29"/>
  </r>
  <r>
    <n v="11"/>
    <d v="2023-11-19T00:00:00"/>
    <d v="2023-11-19T00:00:00"/>
    <x v="593"/>
    <n v="14.6"/>
    <x v="7"/>
    <x v="16"/>
    <x v="0"/>
    <x v="2"/>
    <x v="10"/>
    <n v="2023"/>
    <d v="2023-11-19T00:00:00"/>
    <n v="1812.7199999999959"/>
    <n v="99"/>
  </r>
  <r>
    <n v="11"/>
    <d v="2023-11-19T00:00:00"/>
    <d v="2023-11-19T00:00:00"/>
    <x v="594"/>
    <n v="21.34"/>
    <x v="1"/>
    <x v="17"/>
    <x v="0"/>
    <x v="3"/>
    <x v="10"/>
    <n v="2023"/>
    <d v="2023-11-19T00:00:00"/>
    <n v="1834.0599999999961"/>
    <n v="43"/>
  </r>
  <r>
    <n v="11"/>
    <d v="2023-11-20T00:00:00"/>
    <d v="2023-11-20T00:00:00"/>
    <x v="595"/>
    <n v="10.16"/>
    <x v="7"/>
    <x v="11"/>
    <x v="0"/>
    <x v="2"/>
    <x v="10"/>
    <n v="2023"/>
    <d v="2023-11-20T00:00:00"/>
    <n v="1844.2199999999959"/>
    <n v="62"/>
  </r>
  <r>
    <n v="11"/>
    <d v="2023-11-21T00:00:00"/>
    <d v="2023-11-21T00:00:00"/>
    <x v="596"/>
    <n v="3.93"/>
    <x v="12"/>
    <x v="37"/>
    <x v="0"/>
    <x v="9"/>
    <x v="10"/>
    <n v="2023"/>
    <d v="2023-11-21T00:00:00"/>
    <n v="1848.149999999996"/>
    <n v="17"/>
  </r>
  <r>
    <n v="11"/>
    <d v="2023-11-21T00:00:00"/>
    <d v="2023-11-21T00:00:00"/>
    <x v="596"/>
    <n v="0.01"/>
    <x v="12"/>
    <x v="37"/>
    <x v="0"/>
    <x v="9"/>
    <x v="10"/>
    <n v="2023"/>
    <d v="2023-11-21T00:00:00"/>
    <n v="1848.159999999996"/>
    <n v="18"/>
  </r>
  <r>
    <n v="11"/>
    <d v="2023-11-22T00:00:00"/>
    <d v="2023-11-22T00:00:00"/>
    <x v="62"/>
    <n v="7.43"/>
    <x v="1"/>
    <x v="40"/>
    <x v="0"/>
    <x v="1"/>
    <x v="10"/>
    <n v="2023"/>
    <d v="2023-11-22T00:00:00"/>
    <n v="1855.5899999999961"/>
    <n v="53"/>
  </r>
  <r>
    <n v="11"/>
    <d v="2023-11-22T00:00:00"/>
    <d v="2023-11-22T00:00:00"/>
    <x v="597"/>
    <n v="16.07"/>
    <x v="7"/>
    <x v="16"/>
    <x v="0"/>
    <x v="2"/>
    <x v="10"/>
    <n v="2023"/>
    <d v="2023-11-22T00:00:00"/>
    <n v="1871.659999999996"/>
    <n v="100"/>
  </r>
  <r>
    <n v="11"/>
    <d v="2023-11-22T00:00:00"/>
    <d v="2023-11-22T00:00:00"/>
    <x v="591"/>
    <n v="10"/>
    <x v="12"/>
    <x v="37"/>
    <x v="0"/>
    <x v="9"/>
    <x v="10"/>
    <n v="2023"/>
    <d v="2023-11-22T00:00:00"/>
    <n v="1881.659999999996"/>
    <n v="19"/>
  </r>
  <r>
    <n v="11"/>
    <d v="2023-11-22T00:00:00"/>
    <d v="2023-11-22T00:00:00"/>
    <x v="591"/>
    <n v="10"/>
    <x v="12"/>
    <x v="37"/>
    <x v="0"/>
    <x v="9"/>
    <x v="10"/>
    <n v="2023"/>
    <d v="2023-11-22T00:00:00"/>
    <n v="1891.659999999996"/>
    <n v="20"/>
  </r>
  <r>
    <n v="11"/>
    <d v="2023-11-22T00:00:00"/>
    <d v="2023-11-22T00:00:00"/>
    <x v="598"/>
    <n v="10.050000000000001"/>
    <x v="7"/>
    <x v="11"/>
    <x v="0"/>
    <x v="2"/>
    <x v="10"/>
    <n v="2023"/>
    <d v="2023-11-22T00:00:00"/>
    <n v="1901.7099999999959"/>
    <n v="63"/>
  </r>
  <r>
    <n v="11"/>
    <d v="2023-11-24T00:00:00"/>
    <d v="2023-11-24T00:00:00"/>
    <x v="599"/>
    <n v="17.07"/>
    <x v="7"/>
    <x v="16"/>
    <x v="0"/>
    <x v="2"/>
    <x v="10"/>
    <n v="2023"/>
    <d v="2023-11-24T00:00:00"/>
    <n v="1918.7799999999961"/>
    <n v="101"/>
  </r>
  <r>
    <n v="11"/>
    <d v="2023-11-24T00:00:00"/>
    <d v="2023-11-24T00:00:00"/>
    <x v="600"/>
    <n v="31.69"/>
    <x v="1"/>
    <x v="38"/>
    <x v="0"/>
    <x v="3"/>
    <x v="10"/>
    <n v="2023"/>
    <d v="2023-11-24T00:00:00"/>
    <n v="1950.4699999999959"/>
    <n v="16"/>
  </r>
  <r>
    <n v="11"/>
    <d v="2023-11-24T00:00:00"/>
    <d v="2023-11-24T00:00:00"/>
    <x v="566"/>
    <n v="121.34"/>
    <x v="2"/>
    <x v="7"/>
    <x v="0"/>
    <x v="3"/>
    <x v="10"/>
    <n v="2023"/>
    <d v="2023-11-24T00:00:00"/>
    <n v="2071.8099999999959"/>
    <n v="56"/>
  </r>
  <r>
    <n v="11"/>
    <d v="2023-11-24T00:00:00"/>
    <d v="2023-11-24T00:00:00"/>
    <x v="601"/>
    <n v="8"/>
    <x v="9"/>
    <x v="49"/>
    <x v="0"/>
    <x v="1"/>
    <x v="10"/>
    <n v="2023"/>
    <d v="2023-11-24T00:00:00"/>
    <n v="2079.8099999999959"/>
    <n v="24"/>
  </r>
  <r>
    <n v="11"/>
    <d v="2023-11-24T00:00:00"/>
    <d v="2023-11-24T00:00:00"/>
    <x v="602"/>
    <n v="27.05"/>
    <x v="7"/>
    <x v="16"/>
    <x v="0"/>
    <x v="2"/>
    <x v="10"/>
    <n v="2023"/>
    <d v="2023-11-24T00:00:00"/>
    <n v="2106.859999999996"/>
    <n v="102"/>
  </r>
  <r>
    <n v="11"/>
    <d v="2023-11-24T00:00:00"/>
    <d v="2023-11-24T00:00:00"/>
    <x v="603"/>
    <n v="26.49"/>
    <x v="1"/>
    <x v="87"/>
    <x v="0"/>
    <x v="10"/>
    <x v="10"/>
    <n v="2023"/>
    <d v="2023-11-24T00:00:00"/>
    <n v="2133.3499999999958"/>
    <n v="2"/>
  </r>
  <r>
    <n v="11"/>
    <d v="2023-11-24T00:00:00"/>
    <d v="2023-11-24T00:00:00"/>
    <x v="604"/>
    <n v="35.36"/>
    <x v="9"/>
    <x v="49"/>
    <x v="0"/>
    <x v="1"/>
    <x v="10"/>
    <n v="2023"/>
    <d v="2023-11-24T00:00:00"/>
    <n v="2168.7099999999959"/>
    <n v="25"/>
  </r>
  <r>
    <n v="11"/>
    <d v="2023-11-24T00:00:00"/>
    <d v="2023-11-24T00:00:00"/>
    <x v="591"/>
    <n v="10"/>
    <x v="12"/>
    <x v="37"/>
    <x v="0"/>
    <x v="9"/>
    <x v="10"/>
    <n v="2023"/>
    <d v="2023-11-24T00:00:00"/>
    <n v="2178.7099999999959"/>
    <n v="21"/>
  </r>
  <r>
    <n v="11"/>
    <d v="2023-11-24T00:00:00"/>
    <d v="2023-11-24T00:00:00"/>
    <x v="591"/>
    <n v="10"/>
    <x v="12"/>
    <x v="37"/>
    <x v="0"/>
    <x v="9"/>
    <x v="10"/>
    <n v="2023"/>
    <d v="2023-11-24T00:00:00"/>
    <n v="2188.7099999999959"/>
    <n v="22"/>
  </r>
  <r>
    <n v="11"/>
    <d v="2023-11-24T00:00:00"/>
    <d v="2023-11-24T00:00:00"/>
    <x v="605"/>
    <n v="8.34"/>
    <x v="7"/>
    <x v="26"/>
    <x v="0"/>
    <x v="2"/>
    <x v="10"/>
    <n v="2023"/>
    <d v="2023-11-24T00:00:00"/>
    <n v="2197.0499999999961"/>
    <n v="14"/>
  </r>
  <r>
    <n v="11"/>
    <d v="2023-11-24T00:00:00"/>
    <d v="2023-11-24T00:00:00"/>
    <x v="604"/>
    <n v="42.37"/>
    <x v="9"/>
    <x v="49"/>
    <x v="0"/>
    <x v="1"/>
    <x v="10"/>
    <n v="2023"/>
    <d v="2023-11-24T00:00:00"/>
    <n v="2239.419999999996"/>
    <n v="26"/>
  </r>
  <r>
    <n v="11"/>
    <d v="2023-11-24T00:00:00"/>
    <d v="2023-11-24T00:00:00"/>
    <x v="606"/>
    <n v="47.69"/>
    <x v="6"/>
    <x v="50"/>
    <x v="0"/>
    <x v="11"/>
    <x v="10"/>
    <n v="2023"/>
    <d v="2023-11-24T00:00:00"/>
    <n v="2287.109999999996"/>
    <n v="10"/>
  </r>
  <r>
    <n v="11"/>
    <d v="2023-11-24T00:00:00"/>
    <d v="2023-11-24T00:00:00"/>
    <x v="591"/>
    <n v="10"/>
    <x v="12"/>
    <x v="37"/>
    <x v="0"/>
    <x v="9"/>
    <x v="10"/>
    <n v="2023"/>
    <d v="2023-11-24T00:00:00"/>
    <n v="2297.109999999996"/>
    <n v="23"/>
  </r>
  <r>
    <n v="11"/>
    <d v="2023-11-25T00:00:00"/>
    <d v="2023-11-25T00:00:00"/>
    <x v="607"/>
    <n v="37.01"/>
    <x v="7"/>
    <x v="11"/>
    <x v="0"/>
    <x v="2"/>
    <x v="10"/>
    <n v="2023"/>
    <d v="2023-11-25T00:00:00"/>
    <n v="2334.1199999999958"/>
    <n v="64"/>
  </r>
  <r>
    <n v="11"/>
    <d v="2023-11-25T00:00:00"/>
    <d v="2023-11-25T00:00:00"/>
    <x v="608"/>
    <n v="35.549999999999997"/>
    <x v="1"/>
    <x v="50"/>
    <x v="0"/>
    <x v="11"/>
    <x v="10"/>
    <n v="2023"/>
    <d v="2023-11-25T00:00:00"/>
    <n v="2369.669999999996"/>
    <n v="11"/>
  </r>
  <r>
    <n v="11"/>
    <d v="2023-11-25T00:00:00"/>
    <d v="2023-11-25T00:00:00"/>
    <x v="609"/>
    <n v="178.8"/>
    <x v="9"/>
    <x v="50"/>
    <x v="0"/>
    <x v="11"/>
    <x v="10"/>
    <n v="2023"/>
    <d v="2023-11-25T00:00:00"/>
    <n v="2548.4699999999971"/>
    <n v="12"/>
  </r>
  <r>
    <n v="11"/>
    <d v="2023-11-25T00:00:00"/>
    <d v="2023-11-25T00:00:00"/>
    <x v="610"/>
    <n v="14.24"/>
    <x v="6"/>
    <x v="79"/>
    <x v="0"/>
    <x v="5"/>
    <x v="10"/>
    <n v="2023"/>
    <d v="2023-11-25T00:00:00"/>
    <n v="2562.7099999999959"/>
    <n v="2"/>
  </r>
  <r>
    <n v="11"/>
    <d v="2023-11-25T00:00:00"/>
    <d v="2023-11-25T00:00:00"/>
    <x v="611"/>
    <n v="24.48"/>
    <x v="12"/>
    <x v="37"/>
    <x v="0"/>
    <x v="9"/>
    <x v="10"/>
    <n v="2023"/>
    <d v="2023-11-25T00:00:00"/>
    <n v="2587.189999999996"/>
    <n v="24"/>
  </r>
  <r>
    <n v="11"/>
    <d v="2023-11-25T00:00:00"/>
    <d v="2023-11-25T00:00:00"/>
    <x v="612"/>
    <n v="44.24"/>
    <x v="1"/>
    <x v="12"/>
    <x v="0"/>
    <x v="3"/>
    <x v="10"/>
    <n v="2023"/>
    <d v="2023-11-25T00:00:00"/>
    <n v="2631.4299999999962"/>
    <n v="30"/>
  </r>
  <r>
    <n v="11"/>
    <d v="2023-11-26T00:00:00"/>
    <d v="2023-11-26T00:00:00"/>
    <x v="613"/>
    <n v="232.11"/>
    <x v="1"/>
    <x v="54"/>
    <x v="0"/>
    <x v="1"/>
    <x v="10"/>
    <n v="2023"/>
    <d v="2023-11-26T00:00:00"/>
    <n v="2863.5399999999959"/>
    <n v="8"/>
  </r>
  <r>
    <n v="11"/>
    <d v="2023-11-26T00:00:00"/>
    <d v="2023-11-26T00:00:00"/>
    <x v="614"/>
    <n v="30.16"/>
    <x v="7"/>
    <x v="16"/>
    <x v="0"/>
    <x v="2"/>
    <x v="10"/>
    <n v="2023"/>
    <d v="2023-11-26T00:00:00"/>
    <n v="2893.6999999999962"/>
    <n v="103"/>
  </r>
  <r>
    <n v="11"/>
    <d v="2023-11-27T00:00:00"/>
    <d v="2023-11-27T00:00:00"/>
    <x v="615"/>
    <n v="22.08"/>
    <x v="1"/>
    <x v="7"/>
    <x v="0"/>
    <x v="3"/>
    <x v="10"/>
    <n v="2023"/>
    <d v="2023-11-27T00:00:00"/>
    <n v="2915.7799999999961"/>
    <n v="57"/>
  </r>
  <r>
    <n v="11"/>
    <d v="2023-11-27T00:00:00"/>
    <d v="2023-11-27T00:00:00"/>
    <x v="616"/>
    <n v="31.37"/>
    <x v="1"/>
    <x v="17"/>
    <x v="0"/>
    <x v="3"/>
    <x v="10"/>
    <n v="2023"/>
    <d v="2023-11-27T00:00:00"/>
    <n v="2947.149999999996"/>
    <n v="44"/>
  </r>
  <r>
    <n v="11"/>
    <d v="2023-11-27T00:00:00"/>
    <d v="2023-11-27T00:00:00"/>
    <x v="541"/>
    <n v="15.99"/>
    <x v="6"/>
    <x v="83"/>
    <x v="0"/>
    <x v="1"/>
    <x v="10"/>
    <n v="2023"/>
    <d v="2023-11-27T00:00:00"/>
    <n v="2963.1399999999958"/>
    <n v="2"/>
  </r>
  <r>
    <n v="11"/>
    <d v="2023-11-28T00:00:00"/>
    <d v="2023-11-28T00:00:00"/>
    <x v="617"/>
    <n v="15.89"/>
    <x v="1"/>
    <x v="24"/>
    <x v="1"/>
    <x v="1"/>
    <x v="10"/>
    <n v="2023"/>
    <d v="2023-11-28T00:00:00"/>
    <n v="2979.0299999999961"/>
    <n v="12"/>
  </r>
  <r>
    <n v="11"/>
    <d v="2023-11-28T00:00:00"/>
    <d v="2023-11-28T00:00:00"/>
    <x v="33"/>
    <n v="-1000"/>
    <x v="10"/>
    <x v="25"/>
    <x v="0"/>
    <x v="5"/>
    <x v="10"/>
    <n v="2023"/>
    <d v="2023-11-28T00:00:00"/>
    <n v="1979.0299999999961"/>
    <n v="33"/>
  </r>
  <r>
    <n v="11"/>
    <d v="2023-11-28T00:00:00"/>
    <d v="2023-11-28T00:00:00"/>
    <x v="618"/>
    <n v="9.94"/>
    <x v="7"/>
    <x v="11"/>
    <x v="0"/>
    <x v="2"/>
    <x v="10"/>
    <n v="2023"/>
    <d v="2023-11-28T00:00:00"/>
    <n v="1988.9699999999959"/>
    <n v="65"/>
  </r>
  <r>
    <n v="11"/>
    <d v="2023-11-29T00:00:00"/>
    <d v="2023-11-29T00:00:00"/>
    <x v="591"/>
    <n v="10"/>
    <x v="12"/>
    <x v="37"/>
    <x v="0"/>
    <x v="9"/>
    <x v="10"/>
    <n v="2023"/>
    <d v="2023-11-29T00:00:00"/>
    <n v="1998.9699999999959"/>
    <n v="25"/>
  </r>
  <r>
    <n v="11"/>
    <d v="2023-11-29T00:00:00"/>
    <d v="2023-11-29T00:00:00"/>
    <x v="591"/>
    <n v="10"/>
    <x v="12"/>
    <x v="37"/>
    <x v="0"/>
    <x v="9"/>
    <x v="10"/>
    <n v="2023"/>
    <d v="2023-11-29T00:00:00"/>
    <n v="2008.9699999999959"/>
    <n v="26"/>
  </r>
  <r>
    <n v="11"/>
    <d v="2023-11-29T00:00:00"/>
    <d v="2023-11-29T00:00:00"/>
    <x v="619"/>
    <n v="51.99"/>
    <x v="1"/>
    <x v="7"/>
    <x v="0"/>
    <x v="3"/>
    <x v="10"/>
    <n v="2023"/>
    <d v="2023-11-29T00:00:00"/>
    <n v="2060.959999999995"/>
    <n v="58"/>
  </r>
  <r>
    <n v="11"/>
    <d v="2023-11-30T00:00:00"/>
    <d v="2023-11-30T00:00:00"/>
    <x v="611"/>
    <n v="17.25"/>
    <x v="12"/>
    <x v="37"/>
    <x v="0"/>
    <x v="9"/>
    <x v="10"/>
    <n v="2023"/>
    <d v="2023-11-30T00:00:00"/>
    <n v="2078.209999999995"/>
    <n v="27"/>
  </r>
  <r>
    <n v="11"/>
    <d v="2023-11-30T00:00:00"/>
    <d v="2023-12-03T00:00:00"/>
    <x v="620"/>
    <n v="112.95"/>
    <x v="7"/>
    <x v="16"/>
    <x v="0"/>
    <x v="2"/>
    <x v="10"/>
    <n v="2023"/>
    <d v="2023-11-30T00:00:00"/>
    <n v="2191.1599999999949"/>
    <n v="104"/>
  </r>
  <r>
    <n v="12"/>
    <d v="2023-12-01T00:00:00"/>
    <d v="2023-12-03T00:00:00"/>
    <x v="621"/>
    <n v="53.45"/>
    <x v="9"/>
    <x v="39"/>
    <x v="0"/>
    <x v="1"/>
    <x v="11"/>
    <n v="2023"/>
    <d v="2023-12-01T00:00:00"/>
    <n v="2244.6099999999951"/>
    <n v="13"/>
  </r>
  <r>
    <n v="12"/>
    <d v="2023-12-01T00:00:00"/>
    <d v="2023-12-03T00:00:00"/>
    <x v="622"/>
    <n v="18.8"/>
    <x v="9"/>
    <x v="39"/>
    <x v="0"/>
    <x v="1"/>
    <x v="11"/>
    <n v="2023"/>
    <d v="2023-12-01T00:00:00"/>
    <n v="2263.4099999999949"/>
    <n v="14"/>
  </r>
  <r>
    <n v="12"/>
    <d v="2023-12-01T00:00:00"/>
    <d v="2023-12-03T00:00:00"/>
    <x v="623"/>
    <n v="5.99"/>
    <x v="1"/>
    <x v="1"/>
    <x v="1"/>
    <x v="1"/>
    <x v="11"/>
    <n v="2023"/>
    <d v="2023-12-01T00:00:00"/>
    <n v="2269.3999999999951"/>
    <n v="12"/>
  </r>
  <r>
    <n v="12"/>
    <d v="2023-12-01T00:00:00"/>
    <d v="2023-12-03T00:00:00"/>
    <x v="624"/>
    <n v="42"/>
    <x v="9"/>
    <x v="39"/>
    <x v="0"/>
    <x v="1"/>
    <x v="11"/>
    <n v="2023"/>
    <d v="2023-12-01T00:00:00"/>
    <n v="2311.3999999999951"/>
    <n v="15"/>
  </r>
  <r>
    <n v="12"/>
    <d v="2023-12-01T00:00:00"/>
    <d v="2023-12-03T00:00:00"/>
    <x v="210"/>
    <n v="20"/>
    <x v="1"/>
    <x v="59"/>
    <x v="1"/>
    <x v="3"/>
    <x v="11"/>
    <n v="2023"/>
    <d v="2023-12-01T00:00:00"/>
    <n v="2331.3999999999951"/>
    <n v="10"/>
  </r>
  <r>
    <n v="12"/>
    <d v="2023-12-01T00:00:00"/>
    <d v="2023-12-01T00:00:00"/>
    <x v="33"/>
    <n v="-2012"/>
    <x v="10"/>
    <x v="25"/>
    <x v="0"/>
    <x v="5"/>
    <x v="11"/>
    <n v="2023"/>
    <d v="2023-12-01T00:00:00"/>
    <n v="319.39999999999509"/>
    <n v="34"/>
  </r>
  <r>
    <n v="12"/>
    <d v="2023-12-01T00:00:00"/>
    <d v="2023-12-03T00:00:00"/>
    <x v="101"/>
    <n v="5"/>
    <x v="6"/>
    <x v="47"/>
    <x v="1"/>
    <x v="3"/>
    <x v="11"/>
    <n v="2023"/>
    <d v="2023-12-01T00:00:00"/>
    <n v="324.39999999999509"/>
    <n v="12"/>
  </r>
  <r>
    <n v="12"/>
    <d v="2023-12-02T00:00:00"/>
    <d v="2023-12-03T00:00:00"/>
    <x v="625"/>
    <n v="6.23"/>
    <x v="5"/>
    <x v="11"/>
    <x v="0"/>
    <x v="2"/>
    <x v="11"/>
    <n v="2023"/>
    <d v="2023-12-02T00:00:00"/>
    <n v="330.62999999999511"/>
    <n v="66"/>
  </r>
  <r>
    <n v="12"/>
    <d v="2023-12-02T00:00:00"/>
    <d v="2023-12-03T00:00:00"/>
    <x v="626"/>
    <n v="7.94"/>
    <x v="9"/>
    <x v="49"/>
    <x v="0"/>
    <x v="1"/>
    <x v="11"/>
    <n v="2023"/>
    <d v="2023-12-02T00:00:00"/>
    <n v="338.5699999999951"/>
    <n v="27"/>
  </r>
  <r>
    <n v="12"/>
    <d v="2023-12-02T00:00:00"/>
    <d v="2023-12-03T00:00:00"/>
    <x v="626"/>
    <n v="10.91"/>
    <x v="9"/>
    <x v="49"/>
    <x v="0"/>
    <x v="1"/>
    <x v="11"/>
    <n v="2023"/>
    <d v="2023-12-02T00:00:00"/>
    <n v="349.47999999999507"/>
    <n v="28"/>
  </r>
  <r>
    <n v="12"/>
    <d v="2023-12-02T00:00:00"/>
    <d v="2023-12-03T00:00:00"/>
    <x v="627"/>
    <n v="27.94"/>
    <x v="9"/>
    <x v="49"/>
    <x v="0"/>
    <x v="1"/>
    <x v="11"/>
    <n v="2023"/>
    <d v="2023-12-02T00:00:00"/>
    <n v="377.41999999999513"/>
    <n v="29"/>
  </r>
  <r>
    <n v="12"/>
    <d v="2023-12-02T00:00:00"/>
    <d v="2023-12-03T00:00:00"/>
    <x v="628"/>
    <n v="40.43"/>
    <x v="7"/>
    <x v="16"/>
    <x v="0"/>
    <x v="2"/>
    <x v="11"/>
    <n v="2023"/>
    <d v="2023-12-02T00:00:00"/>
    <n v="417.84999999999508"/>
    <n v="105"/>
  </r>
  <r>
    <n v="12"/>
    <d v="2023-12-02T00:00:00"/>
    <d v="2023-12-03T00:00:00"/>
    <x v="62"/>
    <n v="5.3"/>
    <x v="1"/>
    <x v="40"/>
    <x v="0"/>
    <x v="1"/>
    <x v="11"/>
    <n v="2023"/>
    <d v="2023-12-02T00:00:00"/>
    <n v="423.14999999999509"/>
    <n v="54"/>
  </r>
  <r>
    <n v="12"/>
    <d v="2023-12-02T00:00:00"/>
    <d v="2023-12-03T00:00:00"/>
    <x v="611"/>
    <n v="26.65"/>
    <x v="12"/>
    <x v="37"/>
    <x v="0"/>
    <x v="9"/>
    <x v="11"/>
    <n v="2023"/>
    <d v="2023-12-02T00:00:00"/>
    <n v="449.79999999999512"/>
    <n v="28"/>
  </r>
  <r>
    <n v="12"/>
    <d v="2023-12-02T00:00:00"/>
    <d v="2023-12-03T00:00:00"/>
    <x v="4"/>
    <n v="10"/>
    <x v="1"/>
    <x v="4"/>
    <x v="1"/>
    <x v="1"/>
    <x v="11"/>
    <n v="2023"/>
    <d v="2023-12-02T00:00:00"/>
    <n v="459.79999999999512"/>
    <n v="12"/>
  </r>
  <r>
    <n v="12"/>
    <d v="2023-12-02T00:00:00"/>
    <d v="2023-12-03T00:00:00"/>
    <x v="629"/>
    <n v="125.1"/>
    <x v="6"/>
    <x v="55"/>
    <x v="1"/>
    <x v="3"/>
    <x v="11"/>
    <n v="2023"/>
    <d v="2023-12-02T00:00:00"/>
    <n v="584.89999999999509"/>
    <n v="19"/>
  </r>
  <r>
    <n v="12"/>
    <d v="2023-12-02T00:00:00"/>
    <d v="2023-12-03T00:00:00"/>
    <x v="630"/>
    <n v="139"/>
    <x v="6"/>
    <x v="55"/>
    <x v="1"/>
    <x v="3"/>
    <x v="11"/>
    <n v="2023"/>
    <d v="2023-12-02T00:00:00"/>
    <n v="723.89999999999509"/>
    <n v="20"/>
  </r>
  <r>
    <n v="12"/>
    <d v="2023-12-02T00:00:00"/>
    <d v="2023-12-03T00:00:00"/>
    <x v="41"/>
    <n v="35"/>
    <x v="9"/>
    <x v="23"/>
    <x v="0"/>
    <x v="6"/>
    <x v="11"/>
    <n v="2023"/>
    <d v="2023-12-02T00:00:00"/>
    <n v="758.89999999999509"/>
    <n v="17"/>
  </r>
  <r>
    <n v="12"/>
    <d v="2023-12-03T00:00:00"/>
    <d v="2023-12-03T00:00:00"/>
    <x v="62"/>
    <n v="10.63"/>
    <x v="1"/>
    <x v="40"/>
    <x v="0"/>
    <x v="1"/>
    <x v="11"/>
    <n v="2023"/>
    <d v="2023-12-03T00:00:00"/>
    <n v="769.52999999999508"/>
    <n v="55"/>
  </r>
  <r>
    <n v="12"/>
    <d v="2023-12-03T00:00:00"/>
    <d v="2023-12-03T00:00:00"/>
    <x v="62"/>
    <n v="13.81"/>
    <x v="1"/>
    <x v="40"/>
    <x v="0"/>
    <x v="1"/>
    <x v="11"/>
    <n v="2023"/>
    <d v="2023-12-03T00:00:00"/>
    <n v="783.33999999999503"/>
    <n v="56"/>
  </r>
  <r>
    <n v="12"/>
    <d v="2023-12-03T00:00:00"/>
    <d v="2023-12-03T00:00:00"/>
    <x v="62"/>
    <n v="5.32"/>
    <x v="1"/>
    <x v="40"/>
    <x v="0"/>
    <x v="1"/>
    <x v="11"/>
    <n v="2023"/>
    <d v="2023-12-03T00:00:00"/>
    <n v="788.65999999999508"/>
    <n v="57"/>
  </r>
  <r>
    <n v="12"/>
    <d v="2023-12-03T00:00:00"/>
    <d v="2023-12-03T00:00:00"/>
    <x v="631"/>
    <n v="9.93"/>
    <x v="7"/>
    <x v="26"/>
    <x v="0"/>
    <x v="2"/>
    <x v="11"/>
    <n v="2023"/>
    <d v="2023-12-03T00:00:00"/>
    <n v="798.58999999999503"/>
    <n v="15"/>
  </r>
  <r>
    <n v="12"/>
    <d v="2023-12-04T00:00:00"/>
    <d v="2023-12-04T00:00:00"/>
    <x v="29"/>
    <n v="16.22"/>
    <x v="7"/>
    <x v="11"/>
    <x v="0"/>
    <x v="2"/>
    <x v="11"/>
    <n v="2023"/>
    <d v="2023-12-04T00:00:00"/>
    <n v="814.80999999999506"/>
    <n v="67"/>
  </r>
  <r>
    <n v="12"/>
    <d v="2023-12-04T00:00:00"/>
    <d v="2023-12-04T00:00:00"/>
    <x v="632"/>
    <n v="-17.25"/>
    <x v="4"/>
    <x v="8"/>
    <x v="0"/>
    <x v="5"/>
    <x v="11"/>
    <n v="2023"/>
    <d v="2023-12-04T00:00:00"/>
    <n v="797.55999999999506"/>
    <n v="12"/>
  </r>
  <r>
    <n v="12"/>
    <d v="2023-12-04T00:00:00"/>
    <d v="2023-12-04T00:00:00"/>
    <x v="3"/>
    <n v="107.15"/>
    <x v="2"/>
    <x v="3"/>
    <x v="0"/>
    <x v="2"/>
    <x v="11"/>
    <n v="2023"/>
    <d v="2023-12-04T00:00:00"/>
    <n v="904.70999999999503"/>
    <n v="54"/>
  </r>
  <r>
    <n v="12"/>
    <d v="2023-12-05T00:00:00"/>
    <d v="2023-12-05T00:00:00"/>
    <x v="37"/>
    <n v="36.9"/>
    <x v="1"/>
    <x v="12"/>
    <x v="0"/>
    <x v="3"/>
    <x v="11"/>
    <n v="2023"/>
    <d v="2023-12-05T00:00:00"/>
    <n v="941.60999999999501"/>
    <n v="31"/>
  </r>
  <r>
    <n v="12"/>
    <d v="2023-12-06T00:00:00"/>
    <d v="2023-12-06T00:00:00"/>
    <x v="633"/>
    <n v="109.62"/>
    <x v="1"/>
    <x v="49"/>
    <x v="0"/>
    <x v="1"/>
    <x v="11"/>
    <n v="2023"/>
    <d v="2023-12-06T00:00:00"/>
    <n v="1051.229999999995"/>
    <n v="30"/>
  </r>
  <r>
    <n v="12"/>
    <d v="2023-12-06T00:00:00"/>
    <d v="2023-12-06T00:00:00"/>
    <x v="84"/>
    <n v="30.68"/>
    <x v="2"/>
    <x v="7"/>
    <x v="0"/>
    <x v="3"/>
    <x v="11"/>
    <n v="2023"/>
    <d v="2023-12-06T00:00:00"/>
    <n v="1081.9099999999951"/>
    <n v="59"/>
  </r>
  <r>
    <n v="12"/>
    <d v="2023-12-06T00:00:00"/>
    <d v="2023-12-06T00:00:00"/>
    <x v="549"/>
    <n v="25.24"/>
    <x v="2"/>
    <x v="3"/>
    <x v="0"/>
    <x v="2"/>
    <x v="11"/>
    <n v="2023"/>
    <d v="2023-12-06T00:00:00"/>
    <n v="1107.1499999999951"/>
    <n v="55"/>
  </r>
  <r>
    <n v="12"/>
    <d v="2023-12-07T00:00:00"/>
    <d v="2023-12-07T00:00:00"/>
    <x v="634"/>
    <n v="49.32"/>
    <x v="1"/>
    <x v="7"/>
    <x v="0"/>
    <x v="3"/>
    <x v="11"/>
    <n v="2023"/>
    <d v="2023-12-07T00:00:00"/>
    <n v="1156.469999999995"/>
    <n v="60"/>
  </r>
  <r>
    <n v="12"/>
    <d v="2023-12-07T00:00:00"/>
    <d v="2023-12-07T00:00:00"/>
    <x v="635"/>
    <n v="91.57"/>
    <x v="1"/>
    <x v="7"/>
    <x v="0"/>
    <x v="3"/>
    <x v="11"/>
    <n v="2023"/>
    <d v="2023-12-07T00:00:00"/>
    <n v="1248.039999999995"/>
    <n v="61"/>
  </r>
  <r>
    <n v="12"/>
    <d v="2023-12-07T00:00:00"/>
    <d v="2023-12-07T00:00:00"/>
    <x v="636"/>
    <n v="68.08"/>
    <x v="1"/>
    <x v="17"/>
    <x v="0"/>
    <x v="3"/>
    <x v="11"/>
    <n v="2023"/>
    <d v="2023-12-07T00:00:00"/>
    <n v="1316.1199999999949"/>
    <n v="45"/>
  </r>
  <r>
    <n v="12"/>
    <d v="2023-12-07T00:00:00"/>
    <d v="2023-12-07T00:00:00"/>
    <x v="84"/>
    <n v="101.84"/>
    <x v="2"/>
    <x v="7"/>
    <x v="0"/>
    <x v="3"/>
    <x v="11"/>
    <n v="2023"/>
    <d v="2023-12-07T00:00:00"/>
    <n v="1417.959999999995"/>
    <n v="62"/>
  </r>
  <r>
    <n v="12"/>
    <d v="2023-12-08T00:00:00"/>
    <d v="2023-12-08T00:00:00"/>
    <x v="24"/>
    <n v="26.99"/>
    <x v="9"/>
    <x v="22"/>
    <x v="0"/>
    <x v="1"/>
    <x v="11"/>
    <n v="2023"/>
    <d v="2023-12-08T00:00:00"/>
    <n v="1444.949999999995"/>
    <n v="6"/>
  </r>
  <r>
    <n v="12"/>
    <d v="2023-12-08T00:00:00"/>
    <d v="2023-12-08T00:00:00"/>
    <x v="637"/>
    <n v="48.78"/>
    <x v="7"/>
    <x v="16"/>
    <x v="0"/>
    <x v="2"/>
    <x v="11"/>
    <n v="2023"/>
    <d v="2023-12-08T00:00:00"/>
    <n v="1493.729999999995"/>
    <n v="106"/>
  </r>
  <r>
    <n v="12"/>
    <d v="2023-12-08T00:00:00"/>
    <d v="2023-12-08T00:00:00"/>
    <x v="638"/>
    <n v="49.5"/>
    <x v="1"/>
    <x v="88"/>
    <x v="1"/>
    <x v="3"/>
    <x v="11"/>
    <n v="2023"/>
    <d v="2023-12-08T00:00:00"/>
    <n v="1543.229999999995"/>
    <n v="2"/>
  </r>
  <r>
    <n v="12"/>
    <d v="2023-12-08T00:00:00"/>
    <d v="2023-12-08T00:00:00"/>
    <x v="639"/>
    <n v="65.760000000000005"/>
    <x v="1"/>
    <x v="17"/>
    <x v="0"/>
    <x v="3"/>
    <x v="11"/>
    <n v="2023"/>
    <d v="2023-12-08T00:00:00"/>
    <n v="1608.989999999995"/>
    <n v="46"/>
  </r>
  <r>
    <n v="12"/>
    <d v="2023-12-08T00:00:00"/>
    <d v="2023-12-08T00:00:00"/>
    <x v="640"/>
    <n v="22.08"/>
    <x v="1"/>
    <x v="7"/>
    <x v="0"/>
    <x v="3"/>
    <x v="11"/>
    <n v="2023"/>
    <d v="2023-12-08T00:00:00"/>
    <n v="1631.0699999999949"/>
    <n v="63"/>
  </r>
  <r>
    <n v="12"/>
    <d v="2023-12-08T00:00:00"/>
    <d v="2023-12-08T00:00:00"/>
    <x v="641"/>
    <n v="9.99"/>
    <x v="1"/>
    <x v="18"/>
    <x v="1"/>
    <x v="3"/>
    <x v="11"/>
    <n v="2023"/>
    <d v="2023-12-08T00:00:00"/>
    <n v="1641.0599999999949"/>
    <n v="12"/>
  </r>
  <r>
    <n v="12"/>
    <d v="2023-12-10T00:00:00"/>
    <d v="2023-12-10T00:00:00"/>
    <x v="642"/>
    <n v="36"/>
    <x v="9"/>
    <x v="39"/>
    <x v="0"/>
    <x v="1"/>
    <x v="11"/>
    <n v="2023"/>
    <d v="2023-12-10T00:00:00"/>
    <n v="1677.0599999999949"/>
    <n v="16"/>
  </r>
  <r>
    <n v="12"/>
    <d v="2023-12-10T00:00:00"/>
    <d v="2023-12-10T00:00:00"/>
    <x v="643"/>
    <n v="23.01"/>
    <x v="1"/>
    <x v="12"/>
    <x v="0"/>
    <x v="3"/>
    <x v="11"/>
    <n v="2023"/>
    <d v="2023-12-10T00:00:00"/>
    <n v="1700.0699999999949"/>
    <n v="32"/>
  </r>
  <r>
    <n v="12"/>
    <d v="2023-12-11T00:00:00"/>
    <d v="2023-12-11T00:00:00"/>
    <x v="203"/>
    <n v="14.99"/>
    <x v="2"/>
    <x v="3"/>
    <x v="0"/>
    <x v="2"/>
    <x v="11"/>
    <n v="2023"/>
    <d v="2023-12-11T00:00:00"/>
    <n v="1715.0599999999949"/>
    <n v="56"/>
  </r>
  <r>
    <n v="12"/>
    <d v="2023-12-11T00:00:00"/>
    <d v="2023-12-12T00:00:00"/>
    <x v="570"/>
    <n v="-19"/>
    <x v="10"/>
    <x v="31"/>
    <x v="0"/>
    <x v="3"/>
    <x v="11"/>
    <n v="2023"/>
    <d v="2023-12-11T00:00:00"/>
    <n v="1696.0599999999949"/>
    <n v="11"/>
  </r>
  <r>
    <n v="12"/>
    <d v="2023-12-11T00:00:00"/>
    <d v="2023-12-11T00:00:00"/>
    <x v="570"/>
    <n v="19"/>
    <x v="1"/>
    <x v="31"/>
    <x v="0"/>
    <x v="3"/>
    <x v="11"/>
    <n v="2023"/>
    <d v="2023-12-11T00:00:00"/>
    <n v="1715.0599999999949"/>
    <n v="12"/>
  </r>
  <r>
    <n v="12"/>
    <d v="2023-12-11T00:00:00"/>
    <d v="2023-12-11T00:00:00"/>
    <x v="84"/>
    <n v="13.57"/>
    <x v="2"/>
    <x v="7"/>
    <x v="0"/>
    <x v="3"/>
    <x v="11"/>
    <n v="2023"/>
    <d v="2023-12-11T00:00:00"/>
    <n v="1728.6299999999951"/>
    <n v="64"/>
  </r>
  <r>
    <n v="12"/>
    <d v="2023-12-11T00:00:00"/>
    <d v="2023-12-11T00:00:00"/>
    <x v="644"/>
    <n v="17.920000000000002"/>
    <x v="7"/>
    <x v="16"/>
    <x v="0"/>
    <x v="2"/>
    <x v="11"/>
    <n v="2023"/>
    <d v="2023-12-11T00:00:00"/>
    <n v="1746.549999999995"/>
    <n v="107"/>
  </r>
  <r>
    <n v="12"/>
    <d v="2023-12-11T00:00:00"/>
    <d v="2023-12-11T00:00:00"/>
    <x v="645"/>
    <n v="116.43"/>
    <x v="1"/>
    <x v="28"/>
    <x v="0"/>
    <x v="1"/>
    <x v="11"/>
    <n v="2023"/>
    <d v="2023-12-11T00:00:00"/>
    <n v="1862.979999999995"/>
    <n v="3"/>
  </r>
  <r>
    <n v="12"/>
    <d v="2023-12-11T00:00:00"/>
    <d v="2023-12-11T00:00:00"/>
    <x v="281"/>
    <n v="15.13"/>
    <x v="7"/>
    <x v="11"/>
    <x v="0"/>
    <x v="2"/>
    <x v="11"/>
    <n v="2023"/>
    <d v="2023-12-11T00:00:00"/>
    <n v="1878.1099999999949"/>
    <n v="68"/>
  </r>
  <r>
    <n v="12"/>
    <d v="2023-12-12T00:00:00"/>
    <d v="2023-11-11T00:00:00"/>
    <x v="646"/>
    <n v="-19"/>
    <x v="10"/>
    <x v="79"/>
    <x v="0"/>
    <x v="5"/>
    <x v="11"/>
    <n v="2023"/>
    <d v="2023-12-12T00:00:00"/>
    <n v="1859.1099999999949"/>
    <n v="3"/>
  </r>
  <r>
    <n v="12"/>
    <d v="2023-12-12T00:00:00"/>
    <d v="2023-12-12T00:00:00"/>
    <x v="647"/>
    <n v="6"/>
    <x v="7"/>
    <x v="16"/>
    <x v="0"/>
    <x v="2"/>
    <x v="11"/>
    <n v="2023"/>
    <d v="2023-12-12T00:00:00"/>
    <n v="1865.1099999999949"/>
    <n v="108"/>
  </r>
  <r>
    <n v="12"/>
    <d v="2023-12-12T00:00:00"/>
    <d v="2023-12-12T00:00:00"/>
    <x v="648"/>
    <n v="64.5"/>
    <x v="7"/>
    <x v="16"/>
    <x v="0"/>
    <x v="2"/>
    <x v="11"/>
    <n v="2023"/>
    <d v="2023-12-12T00:00:00"/>
    <n v="1929.6099999999949"/>
    <n v="109"/>
  </r>
  <r>
    <n v="12"/>
    <d v="2023-12-13T00:00:00"/>
    <d v="2023-12-13T00:00:00"/>
    <x v="649"/>
    <n v="-36.11"/>
    <x v="4"/>
    <x v="89"/>
    <x v="0"/>
    <x v="5"/>
    <x v="11"/>
    <n v="2023"/>
    <d v="2023-12-13T00:00:00"/>
    <n v="1893.499999999995"/>
    <n v="1"/>
  </r>
  <r>
    <n v="12"/>
    <d v="2023-12-13T00:00:00"/>
    <d v="2023-12-13T00:00:00"/>
    <x v="33"/>
    <n v="-1661.62"/>
    <x v="10"/>
    <x v="25"/>
    <x v="0"/>
    <x v="5"/>
    <x v="11"/>
    <n v="2023"/>
    <d v="2023-12-13T00:00:00"/>
    <n v="231.87999999999511"/>
    <n v="35"/>
  </r>
  <r>
    <n v="12"/>
    <d v="2023-12-14T00:00:00"/>
    <d v="2023-12-14T00:00:00"/>
    <x v="15"/>
    <n v="90.83"/>
    <x v="1"/>
    <x v="15"/>
    <x v="1"/>
    <x v="8"/>
    <x v="11"/>
    <n v="2023"/>
    <d v="2023-12-14T00:00:00"/>
    <n v="322.70999999999509"/>
    <n v="12"/>
  </r>
  <r>
    <n v="12"/>
    <d v="2023-12-14T00:00:00"/>
    <d v="2023-12-14T00:00:00"/>
    <x v="647"/>
    <n v="8.34"/>
    <x v="7"/>
    <x v="16"/>
    <x v="0"/>
    <x v="2"/>
    <x v="11"/>
    <n v="2023"/>
    <d v="2023-12-14T00:00:00"/>
    <n v="331.04999999999512"/>
    <n v="110"/>
  </r>
  <r>
    <n v="12"/>
    <d v="2023-12-14T00:00:00"/>
    <d v="2023-12-14T00:00:00"/>
    <x v="650"/>
    <n v="9.09"/>
    <x v="2"/>
    <x v="3"/>
    <x v="0"/>
    <x v="2"/>
    <x v="11"/>
    <n v="2023"/>
    <d v="2023-12-14T00:00:00"/>
    <n v="340.13999999999498"/>
    <n v="57"/>
  </r>
  <r>
    <n v="12"/>
    <d v="2023-12-15T00:00:00"/>
    <d v="2023-12-15T00:00:00"/>
    <x v="651"/>
    <n v="220"/>
    <x v="9"/>
    <x v="88"/>
    <x v="1"/>
    <x v="3"/>
    <x v="11"/>
    <n v="2023"/>
    <d v="2023-12-15T00:00:00"/>
    <n v="560.1399999999951"/>
    <n v="3"/>
  </r>
  <r>
    <n v="12"/>
    <d v="2023-12-17T00:00:00"/>
    <d v="2023-12-17T00:00:00"/>
    <x v="652"/>
    <n v="63.59"/>
    <x v="1"/>
    <x v="17"/>
    <x v="0"/>
    <x v="3"/>
    <x v="11"/>
    <n v="2023"/>
    <d v="2023-12-17T00:00:00"/>
    <n v="623.72999999999513"/>
    <n v="47"/>
  </r>
  <r>
    <n v="12"/>
    <d v="2023-12-19T00:00:00"/>
    <d v="2023-12-19T00:00:00"/>
    <x v="62"/>
    <n v="8.83"/>
    <x v="1"/>
    <x v="40"/>
    <x v="0"/>
    <x v="1"/>
    <x v="11"/>
    <n v="2023"/>
    <d v="2023-12-19T00:00:00"/>
    <n v="632.55999999999517"/>
    <n v="58"/>
  </r>
  <r>
    <n v="12"/>
    <d v="2023-12-19T00:00:00"/>
    <d v="2023-12-19T00:00:00"/>
    <x v="653"/>
    <n v="23.9"/>
    <x v="2"/>
    <x v="3"/>
    <x v="0"/>
    <x v="2"/>
    <x v="11"/>
    <n v="2023"/>
    <d v="2023-12-19T00:00:00"/>
    <n v="656.45999999999515"/>
    <n v="58"/>
  </r>
  <r>
    <n v="12"/>
    <d v="2023-12-20T00:00:00"/>
    <d v="2023-12-20T00:00:00"/>
    <x v="654"/>
    <n v="12.55"/>
    <x v="7"/>
    <x v="16"/>
    <x v="0"/>
    <x v="2"/>
    <x v="11"/>
    <n v="2023"/>
    <d v="2023-12-20T00:00:00"/>
    <n v="669.0099999999951"/>
    <n v="111"/>
  </r>
  <r>
    <n v="12"/>
    <d v="2023-12-20T00:00:00"/>
    <d v="2023-12-20T00:00:00"/>
    <x v="400"/>
    <n v="15.13"/>
    <x v="7"/>
    <x v="11"/>
    <x v="0"/>
    <x v="2"/>
    <x v="11"/>
    <n v="2023"/>
    <d v="2023-12-20T00:00:00"/>
    <n v="684.1399999999951"/>
    <n v="69"/>
  </r>
  <r>
    <n v="12"/>
    <d v="2023-12-20T00:00:00"/>
    <d v="2023-12-20T00:00:00"/>
    <x v="655"/>
    <n v="124.39"/>
    <x v="12"/>
    <x v="37"/>
    <x v="0"/>
    <x v="9"/>
    <x v="11"/>
    <n v="2023"/>
    <d v="2023-12-20T00:00:00"/>
    <n v="808.52999999999508"/>
    <n v="29"/>
  </r>
  <r>
    <n v="12"/>
    <d v="2023-12-20T00:00:00"/>
    <d v="2023-12-20T00:00:00"/>
    <x v="656"/>
    <n v="33.72"/>
    <x v="7"/>
    <x v="16"/>
    <x v="0"/>
    <x v="2"/>
    <x v="11"/>
    <n v="2023"/>
    <d v="2023-12-20T00:00:00"/>
    <n v="842.24999999999511"/>
    <n v="112"/>
  </r>
  <r>
    <n v="12"/>
    <d v="2023-12-20T00:00:00"/>
    <d v="2023-12-20T00:00:00"/>
    <x v="657"/>
    <n v="12.95"/>
    <x v="6"/>
    <x v="90"/>
    <x v="0"/>
    <x v="11"/>
    <x v="11"/>
    <n v="2023"/>
    <d v="2023-12-20T00:00:00"/>
    <n v="855.19999999999516"/>
    <n v="1"/>
  </r>
  <r>
    <n v="12"/>
    <d v="2023-12-20T00:00:00"/>
    <d v="2023-12-20T00:00:00"/>
    <x v="657"/>
    <n v="12.95"/>
    <x v="6"/>
    <x v="90"/>
    <x v="0"/>
    <x v="11"/>
    <x v="11"/>
    <n v="2023"/>
    <d v="2023-12-20T00:00:00"/>
    <n v="868.1499999999952"/>
    <n v="2"/>
  </r>
  <r>
    <n v="12"/>
    <d v="2023-12-20T00:00:00"/>
    <d v="2023-12-20T00:00:00"/>
    <x v="657"/>
    <n v="12.95"/>
    <x v="6"/>
    <x v="90"/>
    <x v="0"/>
    <x v="11"/>
    <x v="11"/>
    <n v="2023"/>
    <d v="2023-12-20T00:00:00"/>
    <n v="881.09999999999525"/>
    <n v="3"/>
  </r>
  <r>
    <n v="12"/>
    <d v="2023-12-20T00:00:00"/>
    <d v="2023-12-20T00:00:00"/>
    <x v="657"/>
    <n v="19.46"/>
    <x v="6"/>
    <x v="90"/>
    <x v="0"/>
    <x v="11"/>
    <x v="11"/>
    <n v="2023"/>
    <d v="2023-12-20T00:00:00"/>
    <n v="900.55999999999528"/>
    <n v="4"/>
  </r>
  <r>
    <n v="12"/>
    <d v="2023-12-21T00:00:00"/>
    <d v="2023-12-21T00:00:00"/>
    <x v="658"/>
    <n v="22.08"/>
    <x v="1"/>
    <x v="7"/>
    <x v="0"/>
    <x v="3"/>
    <x v="11"/>
    <n v="2023"/>
    <d v="2023-12-21T00:00:00"/>
    <n v="922.63999999999533"/>
    <n v="65"/>
  </r>
  <r>
    <n v="12"/>
    <d v="2023-12-21T00:00:00"/>
    <d v="2023-12-21T00:00:00"/>
    <x v="659"/>
    <n v="41.79"/>
    <x v="9"/>
    <x v="33"/>
    <x v="0"/>
    <x v="1"/>
    <x v="11"/>
    <n v="2023"/>
    <d v="2023-12-21T00:00:00"/>
    <n v="964.42999999999529"/>
    <n v="7"/>
  </r>
  <r>
    <n v="12"/>
    <d v="2023-12-22T00:00:00"/>
    <d v="2023-12-22T00:00:00"/>
    <x v="660"/>
    <n v="24.52"/>
    <x v="7"/>
    <x v="16"/>
    <x v="0"/>
    <x v="2"/>
    <x v="11"/>
    <n v="2023"/>
    <d v="2023-12-22T00:00:00"/>
    <n v="988.94999999999527"/>
    <n v="113"/>
  </r>
  <r>
    <n v="12"/>
    <d v="2023-12-22T00:00:00"/>
    <d v="2023-12-22T00:00:00"/>
    <x v="657"/>
    <n v="12.95"/>
    <x v="6"/>
    <x v="90"/>
    <x v="0"/>
    <x v="11"/>
    <x v="11"/>
    <n v="2023"/>
    <d v="2023-12-22T00:00:00"/>
    <n v="1001.899999999995"/>
    <n v="5"/>
  </r>
  <r>
    <n v="12"/>
    <d v="2023-12-22T00:00:00"/>
    <d v="2023-12-22T00:00:00"/>
    <x v="261"/>
    <n v="13.66"/>
    <x v="3"/>
    <x v="65"/>
    <x v="0"/>
    <x v="4"/>
    <x v="11"/>
    <n v="2023"/>
    <d v="2023-12-22T00:00:00"/>
    <n v="1015.5599999999949"/>
    <n v="9"/>
  </r>
  <r>
    <n v="12"/>
    <d v="2023-12-22T00:00:00"/>
    <d v="2023-12-22T00:00:00"/>
    <x v="261"/>
    <n v="26.99"/>
    <x v="3"/>
    <x v="65"/>
    <x v="0"/>
    <x v="4"/>
    <x v="11"/>
    <n v="2023"/>
    <d v="2023-12-22T00:00:00"/>
    <n v="1042.549999999995"/>
    <n v="10"/>
  </r>
  <r>
    <n v="12"/>
    <d v="2023-12-22T00:00:00"/>
    <d v="2023-12-22T00:00:00"/>
    <x v="539"/>
    <n v="44.47"/>
    <x v="2"/>
    <x v="3"/>
    <x v="0"/>
    <x v="2"/>
    <x v="11"/>
    <n v="2023"/>
    <d v="2023-12-22T00:00:00"/>
    <n v="1087.019999999995"/>
    <n v="59"/>
  </r>
  <r>
    <n v="12"/>
    <d v="2023-12-22T00:00:00"/>
    <d v="2023-12-22T00:00:00"/>
    <x v="661"/>
    <n v="35.19"/>
    <x v="7"/>
    <x v="16"/>
    <x v="0"/>
    <x v="2"/>
    <x v="11"/>
    <n v="2023"/>
    <d v="2023-12-22T00:00:00"/>
    <n v="1122.209999999995"/>
    <n v="114"/>
  </r>
  <r>
    <n v="12"/>
    <d v="2023-12-22T00:00:00"/>
    <d v="2023-12-22T00:00:00"/>
    <x v="662"/>
    <n v="6.5"/>
    <x v="2"/>
    <x v="16"/>
    <x v="0"/>
    <x v="2"/>
    <x v="11"/>
    <n v="2023"/>
    <d v="2023-12-22T00:00:00"/>
    <n v="1128.709999999995"/>
    <n v="115"/>
  </r>
  <r>
    <n v="12"/>
    <d v="2023-12-22T00:00:00"/>
    <d v="2023-12-22T00:00:00"/>
    <x v="663"/>
    <n v="22.14"/>
    <x v="2"/>
    <x v="3"/>
    <x v="0"/>
    <x v="2"/>
    <x v="11"/>
    <n v="2023"/>
    <d v="2023-12-22T00:00:00"/>
    <n v="1150.8499999999949"/>
    <n v="60"/>
  </r>
  <r>
    <n v="12"/>
    <d v="2023-12-22T00:00:00"/>
    <d v="2023-12-22T00:00:00"/>
    <x v="224"/>
    <n v="43.93"/>
    <x v="5"/>
    <x v="16"/>
    <x v="0"/>
    <x v="2"/>
    <x v="11"/>
    <n v="2023"/>
    <d v="2023-12-22T00:00:00"/>
    <n v="1194.779999999995"/>
    <n v="116"/>
  </r>
  <r>
    <n v="12"/>
    <d v="2023-12-22T00:00:00"/>
    <d v="2023-12-22T00:00:00"/>
    <x v="37"/>
    <n v="16.34"/>
    <x v="1"/>
    <x v="12"/>
    <x v="0"/>
    <x v="3"/>
    <x v="11"/>
    <n v="2023"/>
    <d v="2023-12-22T00:00:00"/>
    <n v="1211.1199999999949"/>
    <n v="33"/>
  </r>
  <r>
    <n v="12"/>
    <d v="2023-12-22T00:00:00"/>
    <d v="2023-12-22T00:00:00"/>
    <x v="37"/>
    <n v="40.659999999999997"/>
    <x v="1"/>
    <x v="12"/>
    <x v="0"/>
    <x v="3"/>
    <x v="11"/>
    <n v="2023"/>
    <d v="2023-12-22T00:00:00"/>
    <n v="1251.779999999995"/>
    <n v="34"/>
  </r>
  <r>
    <n v="12"/>
    <d v="2023-12-23T00:00:00"/>
    <d v="2023-12-23T00:00:00"/>
    <x v="3"/>
    <n v="49.93"/>
    <x v="2"/>
    <x v="3"/>
    <x v="0"/>
    <x v="2"/>
    <x v="11"/>
    <n v="2023"/>
    <d v="2023-12-23T00:00:00"/>
    <n v="1301.709999999995"/>
    <n v="61"/>
  </r>
  <r>
    <n v="12"/>
    <d v="2023-12-24T00:00:00"/>
    <d v="2023-12-24T00:00:00"/>
    <x v="3"/>
    <n v="14.34"/>
    <x v="2"/>
    <x v="3"/>
    <x v="0"/>
    <x v="2"/>
    <x v="11"/>
    <n v="2023"/>
    <d v="2023-12-24T00:00:00"/>
    <n v="1316.049999999995"/>
    <n v="62"/>
  </r>
  <r>
    <n v="12"/>
    <d v="2023-12-25T00:00:00"/>
    <d v="2023-12-25T00:00:00"/>
    <x v="664"/>
    <n v="15.89"/>
    <x v="1"/>
    <x v="24"/>
    <x v="1"/>
    <x v="1"/>
    <x v="11"/>
    <n v="2023"/>
    <d v="2023-12-25T00:00:00"/>
    <n v="1331.939999999996"/>
    <n v="13"/>
  </r>
  <r>
    <n v="12"/>
    <d v="2023-12-25T00:00:00"/>
    <d v="2023-12-25T00:00:00"/>
    <x v="62"/>
    <n v="19.13"/>
    <x v="1"/>
    <x v="40"/>
    <x v="0"/>
    <x v="1"/>
    <x v="11"/>
    <n v="2023"/>
    <d v="2023-12-25T00:00:00"/>
    <n v="1351.0699999999961"/>
    <n v="59"/>
  </r>
  <r>
    <n v="12"/>
    <d v="2023-12-26T00:00:00"/>
    <d v="2023-12-26T00:00:00"/>
    <x v="62"/>
    <n v="8.49"/>
    <x v="1"/>
    <x v="40"/>
    <x v="0"/>
    <x v="1"/>
    <x v="11"/>
    <n v="2023"/>
    <d v="2023-12-26T00:00:00"/>
    <n v="1359.5599999999961"/>
    <n v="60"/>
  </r>
  <r>
    <n v="12"/>
    <d v="2023-12-26T00:00:00"/>
    <d v="2023-12-26T00:00:00"/>
    <x v="62"/>
    <n v="10.63"/>
    <x v="1"/>
    <x v="40"/>
    <x v="0"/>
    <x v="1"/>
    <x v="11"/>
    <n v="2023"/>
    <d v="2023-12-26T00:00:00"/>
    <n v="1370.189999999996"/>
    <n v="61"/>
  </r>
  <r>
    <n v="12"/>
    <d v="2023-12-26T00:00:00"/>
    <d v="2023-12-26T00:00:00"/>
    <x v="665"/>
    <n v="169.56"/>
    <x v="9"/>
    <x v="53"/>
    <x v="0"/>
    <x v="1"/>
    <x v="11"/>
    <n v="2023"/>
    <d v="2023-12-26T00:00:00"/>
    <n v="1539.7499999999959"/>
    <n v="6"/>
  </r>
  <r>
    <n v="12"/>
    <d v="2023-12-26T00:00:00"/>
    <d v="2023-12-26T00:00:00"/>
    <x v="643"/>
    <n v="8.91"/>
    <x v="1"/>
    <x v="12"/>
    <x v="0"/>
    <x v="3"/>
    <x v="11"/>
    <n v="2023"/>
    <d v="2023-12-26T00:00:00"/>
    <n v="1548.659999999996"/>
    <n v="35"/>
  </r>
  <r>
    <n v="12"/>
    <d v="2023-12-28T00:00:00"/>
    <d v="2023-12-28T00:00:00"/>
    <x v="666"/>
    <n v="29.99"/>
    <x v="1"/>
    <x v="91"/>
    <x v="1"/>
    <x v="3"/>
    <x v="11"/>
    <n v="2023"/>
    <d v="2023-12-28T00:00:00"/>
    <n v="1578.649999999996"/>
    <n v="1"/>
  </r>
  <r>
    <n v="12"/>
    <d v="2023-12-28T00:00:00"/>
    <d v="2023-12-28T00:00:00"/>
    <x v="667"/>
    <n v="21.91"/>
    <x v="1"/>
    <x v="17"/>
    <x v="0"/>
    <x v="3"/>
    <x v="11"/>
    <n v="2023"/>
    <d v="2023-12-28T00:00:00"/>
    <n v="1600.5599999999961"/>
    <n v="48"/>
  </r>
  <r>
    <n v="12"/>
    <d v="2023-12-28T00:00:00"/>
    <d v="2023-12-28T00:00:00"/>
    <x v="400"/>
    <n v="16.66"/>
    <x v="7"/>
    <x v="11"/>
    <x v="0"/>
    <x v="2"/>
    <x v="11"/>
    <n v="2023"/>
    <d v="2023-12-28T00:00:00"/>
    <n v="1617.2199999999959"/>
    <n v="70"/>
  </r>
  <r>
    <n v="12"/>
    <d v="2023-12-28T00:00:00"/>
    <d v="2023-12-28T00:00:00"/>
    <x v="668"/>
    <n v="24.63"/>
    <x v="2"/>
    <x v="7"/>
    <x v="0"/>
    <x v="3"/>
    <x v="11"/>
    <n v="2023"/>
    <d v="2023-12-28T00:00:00"/>
    <n v="1641.849999999996"/>
    <n v="66"/>
  </r>
  <r>
    <n v="12"/>
    <d v="2023-12-29T00:00:00"/>
    <d v="2023-12-29T00:00:00"/>
    <x v="669"/>
    <n v="6.18"/>
    <x v="7"/>
    <x v="16"/>
    <x v="0"/>
    <x v="2"/>
    <x v="11"/>
    <n v="2023"/>
    <d v="2023-12-29T00:00:00"/>
    <n v="1648.0299999999961"/>
    <n v="117"/>
  </r>
  <r>
    <n v="12"/>
    <d v="2023-12-29T00:00:00"/>
    <d v="2023-12-29T00:00:00"/>
    <x v="670"/>
    <n v="8.65"/>
    <x v="7"/>
    <x v="16"/>
    <x v="0"/>
    <x v="2"/>
    <x v="11"/>
    <n v="2023"/>
    <d v="2023-12-29T00:00:00"/>
    <n v="1656.679999999996"/>
    <n v="118"/>
  </r>
  <r>
    <n v="12"/>
    <d v="2023-12-30T00:00:00"/>
    <d v="2023-12-30T00:00:00"/>
    <x v="33"/>
    <n v="-1568.14"/>
    <x v="10"/>
    <x v="25"/>
    <x v="0"/>
    <x v="5"/>
    <x v="11"/>
    <n v="2023"/>
    <d v="2023-12-30T00:00:00"/>
    <n v="88.539999999996098"/>
    <n v="36"/>
  </r>
  <r>
    <n v="12"/>
    <d v="2023-12-30T00:00:00"/>
    <d v="2023-12-30T00:00:00"/>
    <x v="671"/>
    <n v="52.15"/>
    <x v="7"/>
    <x v="16"/>
    <x v="0"/>
    <x v="2"/>
    <x v="11"/>
    <n v="2023"/>
    <d v="2023-12-30T00:00:00"/>
    <n v="140.6899999999961"/>
    <n v="119"/>
  </r>
  <r>
    <n v="12"/>
    <d v="2023-12-30T00:00:00"/>
    <d v="2023-12-30T00:00:00"/>
    <x v="62"/>
    <n v="5.04"/>
    <x v="1"/>
    <x v="40"/>
    <x v="0"/>
    <x v="1"/>
    <x v="11"/>
    <n v="2023"/>
    <d v="2023-12-30T00:00:00"/>
    <n v="145.7299999999961"/>
    <n v="62"/>
  </r>
  <r>
    <n v="12"/>
    <d v="2023-12-30T00:00:00"/>
    <d v="2023-12-30T00:00:00"/>
    <x v="672"/>
    <n v="5.88"/>
    <x v="7"/>
    <x v="26"/>
    <x v="0"/>
    <x v="2"/>
    <x v="11"/>
    <n v="2023"/>
    <d v="2023-12-30T00:00:00"/>
    <n v="151.60999999999609"/>
    <n v="16"/>
  </r>
  <r>
    <n v="12"/>
    <d v="2023-12-31T00:00:00"/>
    <d v="2023-12-31T00:00:00"/>
    <x v="673"/>
    <n v="21.75"/>
    <x v="7"/>
    <x v="16"/>
    <x v="0"/>
    <x v="2"/>
    <x v="11"/>
    <n v="2023"/>
    <d v="2023-12-31T00:00:00"/>
    <n v="173.35999999999609"/>
    <n v="120"/>
  </r>
  <r>
    <n v="12"/>
    <d v="2023-12-31T00:00:00"/>
    <d v="2023-12-31T00:00:00"/>
    <x v="674"/>
    <n v="84.34"/>
    <x v="7"/>
    <x v="16"/>
    <x v="0"/>
    <x v="2"/>
    <x v="11"/>
    <n v="2023"/>
    <d v="2023-12-31T00:00:00"/>
    <n v="257.69999999999612"/>
    <n v="1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3AFA1-9AAF-46EF-B17D-CB5921628E01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15" firstHeaderRow="1" firstDataRow="2" firstDataCol="1"/>
  <pivotFields count="14">
    <pivotField numFmtId="1"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ascending">
      <items count="15">
        <item h="1" x="0"/>
        <item x="2"/>
        <item h="1" x="12"/>
        <item x="10"/>
        <item x="8"/>
        <item x="4"/>
        <item x="7"/>
        <item h="1" x="5"/>
        <item x="11"/>
        <item x="3"/>
        <item x="1"/>
        <item x="6"/>
        <item x="9"/>
        <item h="1" m="1" x="13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</pivotFields>
  <rowFields count="1">
    <field x="8"/>
  </rowFields>
  <rowItems count="11">
    <i>
      <x v="1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 t="grand">
      <x/>
    </i>
  </rowItems>
  <colFields count="1">
    <field x="9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Amount" fld="4" baseField="0" baseItem="0" numFmtId="164"/>
  </dataFields>
  <formats count="1">
    <format dxfId="55">
      <pivotArea outline="0" collapsedLevelsAreSubtotals="1" fieldPosition="0"/>
    </format>
  </formats>
  <pivotTableStyleInfo name="PivotStyleLight1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B60E0-3A5B-468B-AFD6-3BAFAC25A10F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22" firstHeaderRow="1" firstDataRow="1" firstDataCol="1"/>
  <pivotFields count="6">
    <pivotField numFmtId="14" showAll="0"/>
    <pivotField dataField="1" numFmtId="8" showAll="0"/>
    <pivotField numFmtId="166" showAll="0"/>
    <pivotField showAll="0"/>
    <pivotField showAll="0"/>
    <pivotField axis="axisRow" showAll="0" sortType="ascending">
      <items count="6">
        <item m="1" x="4"/>
        <item h="1" x="3"/>
        <item h="1" x="1"/>
        <item h="1" x="2"/>
        <item h="1" x="0"/>
        <item t="default"/>
      </items>
    </pivotField>
  </pivotFields>
  <rowFields count="1">
    <field x="5"/>
  </rowFields>
  <rowItems count="1">
    <i t="grand">
      <x/>
    </i>
  </rowItems>
  <colItems count="1">
    <i/>
  </colItems>
  <dataFields count="1">
    <dataField name="Sum of Debit_Amount" fld="1" baseField="0" baseItem="0" numFmtId="44"/>
  </dataFields>
  <formats count="1">
    <format dxfId="56">
      <pivotArea outline="0" collapsedLevelsAreSubtotals="1" fieldPosition="0"/>
    </format>
  </formats>
  <pivotTableStyleInfo name="PivotStyleLight10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C8598-240D-4F70-B3CB-CAE11998151A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22" firstHeaderRow="1" firstDataRow="1" firstDataCol="1" rowPageCount="1" colPageCount="1"/>
  <pivotFields count="6">
    <pivotField numFmtId="14" showAll="0"/>
    <pivotField dataField="1" numFmtId="8" showAll="0"/>
    <pivotField numFmtId="166" showAll="0"/>
    <pivotField showAll="0"/>
    <pivotField axis="axisRow" showAll="0">
      <items count="46">
        <item m="1" x="10"/>
        <item m="1" x="26"/>
        <item m="1" x="23"/>
        <item m="1" x="19"/>
        <item m="1" x="27"/>
        <item m="1" x="32"/>
        <item m="1" x="15"/>
        <item m="1" x="37"/>
        <item m="1" x="39"/>
        <item m="1" x="14"/>
        <item m="1" x="22"/>
        <item m="1" x="36"/>
        <item m="1" x="20"/>
        <item x="6"/>
        <item m="1" x="11"/>
        <item x="5"/>
        <item x="2"/>
        <item m="1" x="35"/>
        <item m="1" x="31"/>
        <item m="1" x="44"/>
        <item m="1" x="40"/>
        <item m="1" x="43"/>
        <item m="1" x="34"/>
        <item m="1" x="16"/>
        <item m="1" x="33"/>
        <item x="4"/>
        <item m="1" x="42"/>
        <item m="1" x="25"/>
        <item m="1" x="28"/>
        <item m="1" x="21"/>
        <item m="1" x="18"/>
        <item x="7"/>
        <item m="1" x="29"/>
        <item m="1" x="12"/>
        <item x="1"/>
        <item x="8"/>
        <item m="1" x="17"/>
        <item m="1" x="13"/>
        <item m="1" x="41"/>
        <item m="1" x="38"/>
        <item x="9"/>
        <item m="1" x="24"/>
        <item x="0"/>
        <item m="1" x="30"/>
        <item x="3"/>
        <item t="default"/>
      </items>
    </pivotField>
    <pivotField axis="axisPage" showAll="0">
      <items count="6">
        <item m="1" x="4"/>
        <item x="0"/>
        <item x="1"/>
        <item x="2"/>
        <item x="3"/>
        <item t="default"/>
      </items>
    </pivotField>
  </pivotFields>
  <rowFields count="1">
    <field x="4"/>
  </rowFields>
  <rowItems count="5">
    <i>
      <x v="16"/>
    </i>
    <i>
      <x v="25"/>
    </i>
    <i>
      <x v="34"/>
    </i>
    <i>
      <x v="40"/>
    </i>
    <i t="grand">
      <x/>
    </i>
  </rowItems>
  <colItems count="1">
    <i/>
  </colItems>
  <pageFields count="1">
    <pageField fld="5" item="2" hier="-1"/>
  </pageFields>
  <dataFields count="1">
    <dataField name="Sum of Debit_Amount" fld="1" baseField="0" baseItem="0"/>
  </dataFields>
  <formats count="1">
    <format dxfId="53">
      <pivotArea outline="0" collapsedLevelsAreSubtotals="1" fieldPosition="0"/>
    </format>
  </formats>
  <pivotTableStyleInfo name="PivotStyleLight10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62C7F-E8E3-4A72-9479-9B7321CB6A77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J14" firstHeaderRow="1" firstDataRow="2" firstDataCol="1" rowPageCount="1" colPageCount="1"/>
  <pivotFields count="14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2">
        <item x="23"/>
        <item m="1" x="131"/>
        <item x="17"/>
        <item x="58"/>
        <item m="1" x="113"/>
        <item x="0"/>
        <item x="57"/>
        <item m="1" x="108"/>
        <item m="1" x="117"/>
        <item x="4"/>
        <item m="1" x="99"/>
        <item x="37"/>
        <item x="89"/>
        <item x="29"/>
        <item m="1" x="106"/>
        <item x="38"/>
        <item x="26"/>
        <item m="1" x="98"/>
        <item m="1" x="124"/>
        <item x="39"/>
        <item x="12"/>
        <item x="27"/>
        <item x="68"/>
        <item x="64"/>
        <item m="1" x="97"/>
        <item x="11"/>
        <item m="1" x="126"/>
        <item x="9"/>
        <item m="1" x="130"/>
        <item x="3"/>
        <item x="88"/>
        <item m="1" x="109"/>
        <item x="24"/>
        <item x="66"/>
        <item x="87"/>
        <item m="1" x="115"/>
        <item m="1" x="114"/>
        <item m="1" x="111"/>
        <item m="1" x="122"/>
        <item x="31"/>
        <item x="86"/>
        <item x="53"/>
        <item x="33"/>
        <item x="71"/>
        <item x="65"/>
        <item m="1" x="105"/>
        <item x="49"/>
        <item x="14"/>
        <item x="46"/>
        <item x="76"/>
        <item x="52"/>
        <item x="2"/>
        <item m="1" x="121"/>
        <item m="1" x="118"/>
        <item x="40"/>
        <item x="32"/>
        <item m="1" x="112"/>
        <item x="25"/>
        <item x="47"/>
        <item x="42"/>
        <item x="16"/>
        <item x="19"/>
        <item x="28"/>
        <item x="1"/>
        <item m="1" x="125"/>
        <item x="15"/>
        <item m="1" x="93"/>
        <item m="1" x="116"/>
        <item m="1" x="119"/>
        <item x="78"/>
        <item m="1" x="127"/>
        <item m="1" x="128"/>
        <item x="22"/>
        <item m="1" x="104"/>
        <item x="43"/>
        <item m="1" x="101"/>
        <item m="1" x="107"/>
        <item m="1" x="100"/>
        <item x="10"/>
        <item x="83"/>
        <item m="1" x="102"/>
        <item m="1" x="129"/>
        <item m="1" x="92"/>
        <item x="54"/>
        <item m="1" x="123"/>
        <item m="1" x="94"/>
        <item m="1" x="103"/>
        <item m="1" x="95"/>
        <item m="1" x="96"/>
        <item m="1" x="120"/>
        <item x="56"/>
        <item m="1" x="110"/>
        <item x="6"/>
        <item x="7"/>
        <item x="13"/>
        <item x="18"/>
        <item x="21"/>
        <item x="30"/>
        <item x="35"/>
        <item x="36"/>
        <item x="41"/>
        <item x="44"/>
        <item x="45"/>
        <item x="34"/>
        <item x="48"/>
        <item x="50"/>
        <item x="51"/>
        <item x="55"/>
        <item x="20"/>
        <item x="59"/>
        <item x="60"/>
        <item x="61"/>
        <item x="62"/>
        <item x="63"/>
        <item x="5"/>
        <item x="67"/>
        <item x="69"/>
        <item x="70"/>
        <item x="72"/>
        <item x="73"/>
        <item x="8"/>
        <item x="74"/>
        <item x="75"/>
        <item x="77"/>
        <item x="79"/>
        <item x="80"/>
        <item x="81"/>
        <item x="82"/>
        <item x="84"/>
        <item x="85"/>
        <item x="90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4">
        <item h="1" x="2"/>
        <item h="1" x="10"/>
        <item h="1" x="8"/>
        <item h="1" x="4"/>
        <item h="1" x="7"/>
        <item x="11"/>
        <item h="1" x="3"/>
        <item h="1" x="1"/>
        <item h="1" x="6"/>
        <item h="1" x="9"/>
        <item h="1" m="1" x="13"/>
        <item h="1" x="5"/>
        <item h="1" x="0"/>
        <item h="1"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10">
    <i>
      <x v="22"/>
    </i>
    <i>
      <x v="105"/>
    </i>
    <i>
      <x v="110"/>
    </i>
    <i>
      <x v="117"/>
    </i>
    <i>
      <x v="118"/>
    </i>
    <i>
      <x v="121"/>
    </i>
    <i>
      <x v="122"/>
    </i>
    <i>
      <x v="129"/>
    </i>
    <i>
      <x v="130"/>
    </i>
    <i t="grand">
      <x/>
    </i>
  </rowItems>
  <colFields count="1">
    <field x="9"/>
  </colFields>
  <colItems count="9">
    <i>
      <x v="1"/>
    </i>
    <i>
      <x v="2"/>
    </i>
    <i>
      <x v="3"/>
    </i>
    <i>
      <x v="4"/>
    </i>
    <i>
      <x v="5"/>
    </i>
    <i>
      <x v="7"/>
    </i>
    <i>
      <x v="10"/>
    </i>
    <i>
      <x v="11"/>
    </i>
    <i t="grand">
      <x/>
    </i>
  </colItems>
  <pageFields count="1">
    <pageField fld="8" hier="-1"/>
  </pageFields>
  <dataFields count="1">
    <dataField name="Sum of Amount" fld="4" baseField="0" baseItem="0" numFmtId="44"/>
  </dataFields>
  <formats count="1">
    <format dxfId="54">
      <pivotArea outline="0" collapsedLevelsAreSubtotals="1" fieldPosition="0"/>
    </format>
  </formats>
  <pivotTableStyleInfo name="PivotStyleLight1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7916E-D406-4FFD-9032-8E0A663797AC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P17" firstHeaderRow="1" firstDataRow="2" firstDataCol="3" rowPageCount="1" colPageCount="1"/>
  <pivotFields count="14">
    <pivotField compact="0" numFmtId="1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676">
        <item x="53"/>
        <item x="95"/>
        <item x="105"/>
        <item x="130"/>
        <item x="199"/>
        <item x="204"/>
        <item x="6"/>
        <item x="167"/>
        <item x="103"/>
        <item x="18"/>
        <item x="51"/>
        <item x="7"/>
        <item x="91"/>
        <item x="205"/>
        <item x="180"/>
        <item x="135"/>
        <item x="93"/>
        <item x="173"/>
        <item x="172"/>
        <item x="206"/>
        <item x="119"/>
        <item x="150"/>
        <item x="26"/>
        <item x="44"/>
        <item x="27"/>
        <item x="17"/>
        <item x="120"/>
        <item x="19"/>
        <item x="31"/>
        <item x="106"/>
        <item x="186"/>
        <item x="207"/>
        <item x="217"/>
        <item x="90"/>
        <item x="174"/>
        <item x="175"/>
        <item x="216"/>
        <item x="8"/>
        <item x="137"/>
        <item x="0"/>
        <item x="194"/>
        <item x="179"/>
        <item x="54"/>
        <item x="107"/>
        <item x="121"/>
        <item x="35"/>
        <item x="141"/>
        <item x="9"/>
        <item x="218"/>
        <item x="62"/>
        <item x="133"/>
        <item x="210"/>
        <item x="226"/>
        <item x="166"/>
        <item x="165"/>
        <item x="200"/>
        <item x="221"/>
        <item x="191"/>
        <item x="13"/>
        <item x="108"/>
        <item x="45"/>
        <item x="136"/>
        <item x="177"/>
        <item x="132"/>
        <item x="104"/>
        <item x="143"/>
        <item x="139"/>
        <item x="94"/>
        <item x="32"/>
        <item x="14"/>
        <item x="55"/>
        <item x="56"/>
        <item x="57"/>
        <item x="168"/>
        <item x="151"/>
        <item x="142"/>
        <item x="157"/>
        <item x="138"/>
        <item x="50"/>
        <item x="87"/>
        <item x="86"/>
        <item x="148"/>
        <item x="147"/>
        <item x="102"/>
        <item x="25"/>
        <item x="96"/>
        <item x="184"/>
        <item x="10"/>
        <item x="82"/>
        <item x="162"/>
        <item x="219"/>
        <item x="81"/>
        <item x="100"/>
        <item x="63"/>
        <item x="97"/>
        <item x="183"/>
        <item x="52"/>
        <item x="152"/>
        <item x="33"/>
        <item x="88"/>
        <item x="42"/>
        <item x="4"/>
        <item x="43"/>
        <item x="49"/>
        <item x="28"/>
        <item x="20"/>
        <item x="23"/>
        <item x="61"/>
        <item x="122"/>
        <item x="58"/>
        <item x="144"/>
        <item x="2"/>
        <item x="140"/>
        <item x="5"/>
        <item x="156"/>
        <item x="208"/>
        <item x="59"/>
        <item x="215"/>
        <item x="225"/>
        <item x="195"/>
        <item x="109"/>
        <item x="220"/>
        <item x="202"/>
        <item x="129"/>
        <item x="29"/>
        <item x="78"/>
        <item x="131"/>
        <item x="36"/>
        <item x="149"/>
        <item x="48"/>
        <item x="89"/>
        <item x="127"/>
        <item x="85"/>
        <item x="154"/>
        <item x="101"/>
        <item x="80"/>
        <item x="182"/>
        <item x="192"/>
        <item x="134"/>
        <item x="146"/>
        <item x="3"/>
        <item x="117"/>
        <item x="83"/>
        <item x="21"/>
        <item x="38"/>
        <item x="110"/>
        <item x="39"/>
        <item x="1"/>
        <item x="77"/>
        <item x="155"/>
        <item x="227"/>
        <item x="158"/>
        <item x="145"/>
        <item x="178"/>
        <item x="98"/>
        <item x="118"/>
        <item x="79"/>
        <item x="111"/>
        <item x="66"/>
        <item x="193"/>
        <item x="196"/>
        <item x="60"/>
        <item x="187"/>
        <item x="123"/>
        <item x="170"/>
        <item x="22"/>
        <item x="164"/>
        <item x="16"/>
        <item x="76"/>
        <item x="126"/>
        <item x="67"/>
        <item x="112"/>
        <item x="222"/>
        <item x="153"/>
        <item x="125"/>
        <item x="70"/>
        <item x="114"/>
        <item x="113"/>
        <item x="209"/>
        <item x="124"/>
        <item x="128"/>
        <item x="230"/>
        <item x="159"/>
        <item x="75"/>
        <item x="15"/>
        <item x="24"/>
        <item x="74"/>
        <item x="188"/>
        <item x="68"/>
        <item x="161"/>
        <item x="11"/>
        <item x="223"/>
        <item x="84"/>
        <item x="171"/>
        <item x="197"/>
        <item x="116"/>
        <item x="185"/>
        <item x="214"/>
        <item x="169"/>
        <item x="201"/>
        <item x="115"/>
        <item x="73"/>
        <item x="211"/>
        <item x="229"/>
        <item x="46"/>
        <item x="212"/>
        <item x="40"/>
        <item x="190"/>
        <item x="181"/>
        <item x="30"/>
        <item x="47"/>
        <item x="99"/>
        <item x="64"/>
        <item x="71"/>
        <item x="72"/>
        <item x="65"/>
        <item x="224"/>
        <item x="198"/>
        <item x="34"/>
        <item x="41"/>
        <item x="163"/>
        <item x="176"/>
        <item x="37"/>
        <item x="12"/>
        <item x="203"/>
        <item x="92"/>
        <item x="213"/>
        <item x="189"/>
        <item x="69"/>
        <item x="160"/>
        <item m="1" x="675"/>
        <item x="228"/>
        <item x="231"/>
        <item x="232"/>
        <item x="233"/>
        <item x="236"/>
        <item x="235"/>
        <item x="237"/>
        <item x="234"/>
        <item x="238"/>
        <item x="239"/>
        <item x="244"/>
        <item x="243"/>
        <item x="242"/>
        <item x="240"/>
        <item x="241"/>
        <item x="245"/>
        <item x="246"/>
        <item x="247"/>
        <item x="248"/>
        <item x="250"/>
        <item x="251"/>
        <item x="249"/>
        <item x="252"/>
        <item x="253"/>
        <item x="254"/>
        <item x="255"/>
        <item x="258"/>
        <item x="257"/>
        <item x="256"/>
        <item x="259"/>
        <item x="260"/>
        <item x="261"/>
        <item x="263"/>
        <item x="262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90"/>
        <item x="291"/>
        <item x="292"/>
        <item x="293"/>
        <item x="294"/>
        <item x="289"/>
        <item x="295"/>
        <item x="296"/>
        <item x="297"/>
        <item x="298"/>
        <item x="299"/>
        <item x="300"/>
        <item x="301"/>
        <item x="302"/>
        <item x="304"/>
        <item x="303"/>
        <item x="305"/>
        <item x="306"/>
        <item x="307"/>
        <item x="308"/>
        <item x="311"/>
        <item x="310"/>
        <item x="309"/>
        <item x="318"/>
        <item x="317"/>
        <item x="316"/>
        <item x="315"/>
        <item x="314"/>
        <item x="313"/>
        <item x="312"/>
        <item x="319"/>
        <item x="320"/>
        <item x="321"/>
        <item x="322"/>
        <item x="323"/>
        <item x="324"/>
        <item x="325"/>
        <item x="326"/>
        <item x="327"/>
        <item x="330"/>
        <item x="328"/>
        <item x="329"/>
        <item x="331"/>
        <item x="332"/>
        <item x="333"/>
        <item x="334"/>
        <item x="335"/>
        <item x="336"/>
        <item x="340"/>
        <item x="341"/>
        <item x="338"/>
        <item x="339"/>
        <item x="337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4"/>
        <item x="353"/>
        <item x="355"/>
        <item x="356"/>
        <item x="357"/>
        <item x="358"/>
        <item x="359"/>
        <item x="361"/>
        <item x="360"/>
        <item x="362"/>
        <item x="363"/>
        <item x="364"/>
        <item x="365"/>
        <item x="366"/>
        <item x="367"/>
        <item x="368"/>
        <item x="372"/>
        <item x="371"/>
        <item x="373"/>
        <item x="370"/>
        <item x="369"/>
        <item x="379"/>
        <item x="378"/>
        <item x="377"/>
        <item x="376"/>
        <item x="375"/>
        <item x="374"/>
        <item x="382"/>
        <item x="381"/>
        <item x="383"/>
        <item x="380"/>
        <item x="386"/>
        <item x="385"/>
        <item x="384"/>
        <item x="387"/>
        <item x="388"/>
        <item x="389"/>
        <item x="390"/>
        <item x="391"/>
        <item x="393"/>
        <item x="392"/>
        <item x="394"/>
        <item x="395"/>
        <item x="396"/>
        <item x="397"/>
        <item x="398"/>
        <item x="399"/>
        <item x="401"/>
        <item x="402"/>
        <item x="400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32">
        <item x="23"/>
        <item m="1" x="131"/>
        <item sd="0" x="17"/>
        <item x="58"/>
        <item m="1" x="113"/>
        <item x="0"/>
        <item x="57"/>
        <item m="1" x="108"/>
        <item m="1" x="117"/>
        <item x="4"/>
        <item m="1" x="99"/>
        <item sd="0" x="37"/>
        <item x="89"/>
        <item x="29"/>
        <item m="1" x="106"/>
        <item sd="0" x="38"/>
        <item x="26"/>
        <item m="1" x="98"/>
        <item m="1" x="124"/>
        <item x="39"/>
        <item sd="0" x="12"/>
        <item x="27"/>
        <item x="68"/>
        <item x="64"/>
        <item m="1" x="97"/>
        <item x="11"/>
        <item m="1" x="126"/>
        <item x="9"/>
        <item m="1" x="130"/>
        <item x="3"/>
        <item x="88"/>
        <item m="1" x="109"/>
        <item x="24"/>
        <item x="66"/>
        <item x="87"/>
        <item m="1" x="115"/>
        <item m="1" x="114"/>
        <item m="1" x="111"/>
        <item m="1" x="122"/>
        <item sd="0" x="31"/>
        <item x="86"/>
        <item x="53"/>
        <item x="33"/>
        <item x="71"/>
        <item x="65"/>
        <item m="1" x="105"/>
        <item x="49"/>
        <item x="14"/>
        <item x="46"/>
        <item x="76"/>
        <item x="52"/>
        <item x="2"/>
        <item m="1" x="121"/>
        <item m="1" x="118"/>
        <item x="40"/>
        <item x="32"/>
        <item m="1" x="112"/>
        <item x="25"/>
        <item x="47"/>
        <item sd="0" x="42"/>
        <item x="16"/>
        <item x="19"/>
        <item x="28"/>
        <item x="1"/>
        <item m="1" x="125"/>
        <item x="15"/>
        <item m="1" x="93"/>
        <item m="1" x="116"/>
        <item m="1" x="119"/>
        <item x="78"/>
        <item m="1" x="127"/>
        <item m="1" x="128"/>
        <item x="22"/>
        <item m="1" x="104"/>
        <item x="43"/>
        <item m="1" x="101"/>
        <item m="1" x="107"/>
        <item m="1" x="100"/>
        <item x="10"/>
        <item x="83"/>
        <item m="1" x="102"/>
        <item m="1" x="129"/>
        <item m="1" x="92"/>
        <item x="54"/>
        <item m="1" x="123"/>
        <item m="1" x="94"/>
        <item m="1" x="103"/>
        <item m="1" x="95"/>
        <item m="1" x="96"/>
        <item m="1" x="120"/>
        <item x="56"/>
        <item m="1" x="110"/>
        <item x="6"/>
        <item sd="0" x="7"/>
        <item sd="0" x="13"/>
        <item sd="0" x="18"/>
        <item x="21"/>
        <item x="30"/>
        <item x="35"/>
        <item x="36"/>
        <item x="41"/>
        <item x="44"/>
        <item x="45"/>
        <item sd="0" x="34"/>
        <item sd="0" x="48"/>
        <item x="50"/>
        <item x="51"/>
        <item sd="0" x="55"/>
        <item sd="0" x="20"/>
        <item x="59"/>
        <item x="60"/>
        <item x="61"/>
        <item x="62"/>
        <item x="63"/>
        <item x="5"/>
        <item x="67"/>
        <item x="69"/>
        <item x="70"/>
        <item x="72"/>
        <item x="73"/>
        <item x="8"/>
        <item x="74"/>
        <item x="75"/>
        <item x="77"/>
        <item x="79"/>
        <item x="80"/>
        <item x="81"/>
        <item x="82"/>
        <item x="84"/>
        <item x="85"/>
        <item x="90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sortType="descending" defaultSubtotal="0">
      <items count="3">
        <item x="0"/>
        <item x="1"/>
        <item m="1"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4">
        <item h="1" x="0"/>
        <item h="1" x="2"/>
        <item h="1" x="12"/>
        <item h="1" x="10"/>
        <item h="1" x="8"/>
        <item h="1" x="4"/>
        <item h="1" x="7"/>
        <item h="1" x="5"/>
        <item h="1" x="11"/>
        <item x="3"/>
        <item h="1" x="1"/>
        <item h="1" x="6"/>
        <item h="1" x="9"/>
        <item h="1" m="1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8"/>
    <field x="6"/>
    <field x="3"/>
  </rowFields>
  <rowItems count="13">
    <i>
      <x v="9"/>
      <x v="2"/>
    </i>
    <i r="1">
      <x v="6"/>
      <x v="136"/>
    </i>
    <i r="1">
      <x v="15"/>
    </i>
    <i r="1">
      <x v="20"/>
    </i>
    <i r="1">
      <x v="39"/>
    </i>
    <i r="1">
      <x v="59"/>
    </i>
    <i r="1">
      <x v="93"/>
    </i>
    <i r="1">
      <x v="103"/>
    </i>
    <i r="1">
      <x v="104"/>
    </i>
    <i r="1">
      <x v="108"/>
    </i>
    <i r="1">
      <x v="111"/>
      <x v="90"/>
    </i>
    <i r="1">
      <x v="113"/>
      <x v="56"/>
    </i>
    <i t="grand">
      <x/>
    </i>
  </rowItems>
  <colFields count="1">
    <field x="9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7" item="0" hier="-1"/>
  </pageFields>
  <dataFields count="1">
    <dataField name="Sum of Amount" fld="4" baseField="0" baseItem="0" numFmtId="44"/>
  </dataFields>
  <formats count="17">
    <format dxfId="52">
      <pivotArea outline="0" collapsedLevelsAreSubtotals="1" fieldPosition="0"/>
    </format>
    <format dxfId="51">
      <pivotArea field="9" type="button" dataOnly="0" labelOnly="1" outline="0" axis="axisCol" fieldPosition="0"/>
    </format>
    <format dxfId="50">
      <pivotArea type="topRight" dataOnly="0" labelOnly="1" outline="0" fieldPosition="0"/>
    </format>
    <format dxfId="49">
      <pivotArea dataOnly="0" labelOnly="1" outline="0" fieldPosition="0">
        <references count="1">
          <reference field="9" count="0"/>
        </references>
      </pivotArea>
    </format>
    <format dxfId="48">
      <pivotArea dataOnly="0" labelOnly="1" outline="0" fieldPosition="0">
        <references count="1">
          <reference field="9" count="3">
            <x v="0"/>
            <x v="1"/>
            <x v="2"/>
          </reference>
        </references>
      </pivotArea>
    </format>
    <format dxfId="47">
      <pivotArea outline="0" fieldPosition="0">
        <references count="4">
          <reference field="3" count="1" selected="0">
            <x v="222"/>
          </reference>
          <reference field="6" count="1" selected="0">
            <x v="20"/>
          </reference>
          <reference field="8" count="0" selected="0"/>
          <reference field="9" count="1" selected="0">
            <x v="2"/>
          </reference>
        </references>
      </pivotArea>
    </format>
    <format dxfId="46">
      <pivotArea outline="0" fieldPosition="0">
        <references count="4">
          <reference field="3" count="1" selected="0">
            <x v="217"/>
          </reference>
          <reference field="6" count="1" selected="0">
            <x v="15"/>
          </reference>
          <reference field="8" count="0" selected="0"/>
          <reference field="9" count="1" selected="0">
            <x v="2"/>
          </reference>
        </references>
      </pivotArea>
    </format>
    <format dxfId="45">
      <pivotArea outline="0" fieldPosition="0">
        <references count="3">
          <reference field="6" count="1" selected="0">
            <x v="2"/>
          </reference>
          <reference field="8" count="0" selected="0"/>
          <reference field="9" count="1" selected="0">
            <x v="2"/>
          </reference>
        </references>
      </pivotArea>
    </format>
    <format dxfId="44">
      <pivotArea outline="0" fieldPosition="0">
        <references count="3">
          <reference field="6" count="1" selected="0">
            <x v="93"/>
          </reference>
          <reference field="8" count="0" selected="0"/>
          <reference field="9" count="1" selected="0">
            <x v="2"/>
          </reference>
        </references>
      </pivotArea>
    </format>
    <format dxfId="43">
      <pivotArea outline="0" fieldPosition="0">
        <references count="4">
          <reference field="3" count="1" selected="0">
            <x v="119"/>
          </reference>
          <reference field="6" count="1" selected="0">
            <x v="103"/>
          </reference>
          <reference field="8" count="0" selected="0"/>
          <reference field="9" count="1" selected="0">
            <x v="2"/>
          </reference>
        </references>
      </pivotArea>
    </format>
    <format dxfId="42">
      <pivotArea outline="0" fieldPosition="0">
        <references count="4">
          <reference field="3" count="1" selected="0">
            <x v="76"/>
          </reference>
          <reference field="6" count="1" selected="0">
            <x v="104"/>
          </reference>
          <reference field="8" count="0" selected="0"/>
          <reference field="9" count="1" selected="0">
            <x v="2"/>
          </reference>
        </references>
      </pivotArea>
    </format>
    <format dxfId="41">
      <pivotArea outline="0" fieldPosition="0">
        <references count="4">
          <reference field="3" count="3" selected="0">
            <x v="55"/>
            <x v="114"/>
            <x v="115"/>
          </reference>
          <reference field="6" count="2" selected="0">
            <x v="107"/>
            <x v="108"/>
          </reference>
          <reference field="8" count="0" selected="0"/>
          <reference field="9" count="1" selected="0">
            <x v="2"/>
          </reference>
        </references>
      </pivotArea>
    </format>
    <format dxfId="40">
      <pivotArea outline="0" fieldPosition="0">
        <references count="4">
          <reference field="3" count="1" selected="0">
            <x v="142"/>
          </reference>
          <reference field="6" count="1" selected="0">
            <x v="103"/>
          </reference>
          <reference field="8" count="0" selected="0"/>
          <reference field="9" count="1" selected="0">
            <x v="1"/>
          </reference>
        </references>
      </pivotArea>
    </format>
    <format dxfId="39">
      <pivotArea outline="0" fieldPosition="0">
        <references count="3">
          <reference field="6" count="1" selected="0">
            <x v="93"/>
          </reference>
          <reference field="8" count="0" selected="0"/>
          <reference field="9" count="1" selected="0">
            <x v="1"/>
          </reference>
        </references>
      </pivotArea>
    </format>
    <format dxfId="38">
      <pivotArea outline="0" fieldPosition="0">
        <references count="4">
          <reference field="3" count="1" selected="0">
            <x v="44"/>
          </reference>
          <reference field="6" count="1" selected="0">
            <x v="15"/>
          </reference>
          <reference field="8" count="0" selected="0"/>
          <reference field="9" count="1" selected="0">
            <x v="1"/>
          </reference>
        </references>
      </pivotArea>
    </format>
    <format dxfId="37">
      <pivotArea outline="0" fieldPosition="0">
        <references count="3">
          <reference field="6" count="1" selected="0">
            <x v="2"/>
          </reference>
          <reference field="8" count="0" selected="0"/>
          <reference field="9" count="1" selected="0">
            <x v="1"/>
          </reference>
        </references>
      </pivotArea>
    </format>
    <format dxfId="36">
      <pivotArea dataOnly="0" labelOnly="1" outline="0" fieldPosition="0">
        <references count="1">
          <reference field="9" count="3">
            <x v="3"/>
            <x v="4"/>
            <x v="5"/>
          </reference>
        </references>
      </pivotArea>
    </format>
  </formats>
  <pivotTableStyleInfo name="PivotStyleLight8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CAE94-5BD7-48AD-A5E4-8E2D6B1B378D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P11" firstHeaderRow="1" firstDataRow="2" firstDataCol="3"/>
  <pivotFields count="14">
    <pivotField compact="0" numFmtId="1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676">
        <item x="53"/>
        <item x="95"/>
        <item x="105"/>
        <item x="130"/>
        <item x="199"/>
        <item x="204"/>
        <item x="6"/>
        <item x="167"/>
        <item x="103"/>
        <item x="18"/>
        <item x="51"/>
        <item x="7"/>
        <item x="91"/>
        <item x="205"/>
        <item x="180"/>
        <item x="135"/>
        <item x="93"/>
        <item x="173"/>
        <item x="172"/>
        <item x="206"/>
        <item x="119"/>
        <item x="150"/>
        <item x="26"/>
        <item x="44"/>
        <item x="27"/>
        <item x="17"/>
        <item x="120"/>
        <item x="19"/>
        <item x="31"/>
        <item x="106"/>
        <item x="186"/>
        <item x="207"/>
        <item x="217"/>
        <item x="90"/>
        <item x="174"/>
        <item x="175"/>
        <item x="216"/>
        <item x="8"/>
        <item x="137"/>
        <item x="0"/>
        <item x="194"/>
        <item x="179"/>
        <item x="54"/>
        <item x="107"/>
        <item x="121"/>
        <item x="35"/>
        <item x="141"/>
        <item x="9"/>
        <item x="218"/>
        <item x="62"/>
        <item x="133"/>
        <item x="210"/>
        <item x="226"/>
        <item x="166"/>
        <item x="165"/>
        <item x="200"/>
        <item x="221"/>
        <item x="191"/>
        <item x="13"/>
        <item x="108"/>
        <item x="45"/>
        <item x="136"/>
        <item x="177"/>
        <item x="132"/>
        <item x="104"/>
        <item x="143"/>
        <item x="139"/>
        <item x="94"/>
        <item x="32"/>
        <item x="14"/>
        <item x="55"/>
        <item x="56"/>
        <item x="57"/>
        <item x="168"/>
        <item x="151"/>
        <item x="142"/>
        <item x="157"/>
        <item x="138"/>
        <item x="50"/>
        <item x="87"/>
        <item x="86"/>
        <item x="148"/>
        <item x="147"/>
        <item x="102"/>
        <item x="25"/>
        <item x="96"/>
        <item x="184"/>
        <item x="10"/>
        <item x="82"/>
        <item x="162"/>
        <item x="219"/>
        <item x="81"/>
        <item x="100"/>
        <item x="63"/>
        <item x="97"/>
        <item x="183"/>
        <item x="52"/>
        <item x="152"/>
        <item x="33"/>
        <item x="88"/>
        <item x="42"/>
        <item x="4"/>
        <item x="43"/>
        <item x="49"/>
        <item x="28"/>
        <item x="20"/>
        <item x="23"/>
        <item x="61"/>
        <item x="122"/>
        <item x="58"/>
        <item x="144"/>
        <item x="2"/>
        <item x="140"/>
        <item x="5"/>
        <item x="156"/>
        <item x="208"/>
        <item x="59"/>
        <item x="215"/>
        <item x="225"/>
        <item x="195"/>
        <item x="109"/>
        <item x="220"/>
        <item x="202"/>
        <item x="129"/>
        <item x="29"/>
        <item x="78"/>
        <item x="131"/>
        <item x="36"/>
        <item x="149"/>
        <item x="48"/>
        <item x="89"/>
        <item x="127"/>
        <item x="85"/>
        <item x="154"/>
        <item x="101"/>
        <item x="80"/>
        <item x="182"/>
        <item x="192"/>
        <item x="134"/>
        <item x="146"/>
        <item x="3"/>
        <item x="117"/>
        <item x="83"/>
        <item x="21"/>
        <item x="38"/>
        <item x="110"/>
        <item x="39"/>
        <item x="1"/>
        <item x="77"/>
        <item x="155"/>
        <item x="227"/>
        <item x="158"/>
        <item x="145"/>
        <item x="178"/>
        <item x="98"/>
        <item x="118"/>
        <item x="79"/>
        <item x="111"/>
        <item x="66"/>
        <item x="193"/>
        <item x="196"/>
        <item x="60"/>
        <item x="187"/>
        <item x="123"/>
        <item x="170"/>
        <item x="22"/>
        <item x="164"/>
        <item x="16"/>
        <item x="76"/>
        <item x="126"/>
        <item x="67"/>
        <item x="112"/>
        <item x="222"/>
        <item x="153"/>
        <item x="125"/>
        <item x="70"/>
        <item x="114"/>
        <item x="113"/>
        <item x="209"/>
        <item x="124"/>
        <item x="128"/>
        <item x="230"/>
        <item x="159"/>
        <item x="75"/>
        <item x="15"/>
        <item x="24"/>
        <item x="74"/>
        <item x="188"/>
        <item x="68"/>
        <item x="161"/>
        <item x="11"/>
        <item x="223"/>
        <item x="84"/>
        <item x="171"/>
        <item x="197"/>
        <item x="116"/>
        <item x="185"/>
        <item x="214"/>
        <item x="169"/>
        <item x="201"/>
        <item x="115"/>
        <item x="73"/>
        <item x="211"/>
        <item x="229"/>
        <item x="46"/>
        <item x="212"/>
        <item x="40"/>
        <item x="190"/>
        <item x="181"/>
        <item x="30"/>
        <item x="47"/>
        <item x="99"/>
        <item x="64"/>
        <item x="71"/>
        <item x="72"/>
        <item x="65"/>
        <item x="224"/>
        <item x="198"/>
        <item x="34"/>
        <item x="41"/>
        <item x="163"/>
        <item x="176"/>
        <item x="37"/>
        <item x="12"/>
        <item x="203"/>
        <item x="92"/>
        <item x="213"/>
        <item x="189"/>
        <item x="69"/>
        <item x="160"/>
        <item m="1" x="675"/>
        <item x="228"/>
        <item x="231"/>
        <item x="232"/>
        <item x="233"/>
        <item x="236"/>
        <item x="235"/>
        <item x="237"/>
        <item x="234"/>
        <item x="238"/>
        <item x="239"/>
        <item x="244"/>
        <item x="243"/>
        <item x="242"/>
        <item x="240"/>
        <item x="241"/>
        <item x="245"/>
        <item x="246"/>
        <item x="247"/>
        <item x="248"/>
        <item x="250"/>
        <item x="251"/>
        <item x="249"/>
        <item x="252"/>
        <item x="253"/>
        <item x="254"/>
        <item x="255"/>
        <item x="258"/>
        <item x="257"/>
        <item x="256"/>
        <item x="259"/>
        <item x="260"/>
        <item x="261"/>
        <item x="263"/>
        <item x="262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90"/>
        <item x="291"/>
        <item x="292"/>
        <item x="293"/>
        <item x="294"/>
        <item x="289"/>
        <item x="295"/>
        <item x="296"/>
        <item x="297"/>
        <item x="298"/>
        <item x="299"/>
        <item x="300"/>
        <item x="301"/>
        <item x="302"/>
        <item x="304"/>
        <item x="303"/>
        <item x="305"/>
        <item x="306"/>
        <item x="307"/>
        <item x="308"/>
        <item x="311"/>
        <item x="310"/>
        <item x="309"/>
        <item x="318"/>
        <item x="317"/>
        <item x="316"/>
        <item x="315"/>
        <item x="314"/>
        <item x="313"/>
        <item x="312"/>
        <item x="319"/>
        <item x="320"/>
        <item x="321"/>
        <item x="322"/>
        <item x="323"/>
        <item x="324"/>
        <item x="325"/>
        <item x="326"/>
        <item x="327"/>
        <item x="330"/>
        <item x="328"/>
        <item x="329"/>
        <item x="331"/>
        <item x="332"/>
        <item x="333"/>
        <item x="334"/>
        <item x="335"/>
        <item x="336"/>
        <item x="340"/>
        <item x="341"/>
        <item x="338"/>
        <item x="339"/>
        <item x="337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4"/>
        <item x="353"/>
        <item x="355"/>
        <item x="356"/>
        <item x="357"/>
        <item x="358"/>
        <item x="359"/>
        <item x="361"/>
        <item x="360"/>
        <item x="362"/>
        <item x="363"/>
        <item x="364"/>
        <item x="365"/>
        <item x="366"/>
        <item x="367"/>
        <item x="368"/>
        <item x="372"/>
        <item x="371"/>
        <item x="373"/>
        <item x="370"/>
        <item x="369"/>
        <item x="379"/>
        <item x="378"/>
        <item x="377"/>
        <item x="376"/>
        <item x="375"/>
        <item x="374"/>
        <item x="382"/>
        <item x="381"/>
        <item x="383"/>
        <item x="380"/>
        <item x="386"/>
        <item x="385"/>
        <item x="384"/>
        <item x="387"/>
        <item x="388"/>
        <item x="389"/>
        <item x="390"/>
        <item x="391"/>
        <item x="393"/>
        <item x="392"/>
        <item x="394"/>
        <item x="395"/>
        <item x="396"/>
        <item x="397"/>
        <item x="398"/>
        <item x="399"/>
        <item x="401"/>
        <item x="402"/>
        <item x="400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32">
        <item sd="0" x="23"/>
        <item m="1" x="131"/>
        <item sd="0" x="17"/>
        <item x="58"/>
        <item m="1" x="113"/>
        <item x="0"/>
        <item x="57"/>
        <item m="1" x="108"/>
        <item m="1" x="117"/>
        <item x="4"/>
        <item m="1" x="99"/>
        <item sd="0" x="37"/>
        <item x="89"/>
        <item x="29"/>
        <item m="1" x="106"/>
        <item x="38"/>
        <item x="26"/>
        <item m="1" x="98"/>
        <item m="1" x="124"/>
        <item x="39"/>
        <item x="12"/>
        <item x="27"/>
        <item x="68"/>
        <item x="64"/>
        <item m="1" x="97"/>
        <item x="11"/>
        <item m="1" x="126"/>
        <item sd="0" x="9"/>
        <item m="1" x="130"/>
        <item x="3"/>
        <item x="88"/>
        <item m="1" x="109"/>
        <item x="24"/>
        <item x="66"/>
        <item x="87"/>
        <item m="1" x="115"/>
        <item m="1" x="114"/>
        <item m="1" x="111"/>
        <item m="1" x="122"/>
        <item x="31"/>
        <item x="86"/>
        <item x="53"/>
        <item x="33"/>
        <item x="71"/>
        <item x="65"/>
        <item m="1" x="105"/>
        <item x="49"/>
        <item x="14"/>
        <item x="46"/>
        <item x="76"/>
        <item x="52"/>
        <item x="2"/>
        <item m="1" x="121"/>
        <item m="1" x="118"/>
        <item x="40"/>
        <item sd="0" x="32"/>
        <item m="1" x="112"/>
        <item x="25"/>
        <item x="47"/>
        <item x="42"/>
        <item x="16"/>
        <item sd="0" x="19"/>
        <item x="28"/>
        <item x="1"/>
        <item m="1" x="125"/>
        <item x="15"/>
        <item m="1" x="93"/>
        <item m="1" x="116"/>
        <item m="1" x="119"/>
        <item x="78"/>
        <item m="1" x="127"/>
        <item m="1" x="128"/>
        <item x="22"/>
        <item m="1" x="104"/>
        <item x="43"/>
        <item m="1" x="101"/>
        <item m="1" x="107"/>
        <item m="1" x="100"/>
        <item x="10"/>
        <item x="83"/>
        <item m="1" x="102"/>
        <item m="1" x="129"/>
        <item m="1" x="92"/>
        <item x="54"/>
        <item m="1" x="123"/>
        <item m="1" x="94"/>
        <item m="1" x="103"/>
        <item m="1" x="95"/>
        <item m="1" x="96"/>
        <item m="1" x="120"/>
        <item x="56"/>
        <item m="1" x="110"/>
        <item x="6"/>
        <item sd="0" x="7"/>
        <item sd="0" x="13"/>
        <item sd="0" x="18"/>
        <item x="21"/>
        <item x="30"/>
        <item x="35"/>
        <item x="36"/>
        <item x="41"/>
        <item x="44"/>
        <item x="45"/>
        <item x="34"/>
        <item x="48"/>
        <item x="50"/>
        <item x="51"/>
        <item x="55"/>
        <item x="20"/>
        <item x="59"/>
        <item x="60"/>
        <item x="61"/>
        <item sd="0" x="62"/>
        <item x="63"/>
        <item x="5"/>
        <item x="67"/>
        <item x="69"/>
        <item x="70"/>
        <item x="72"/>
        <item x="73"/>
        <item x="8"/>
        <item x="74"/>
        <item x="75"/>
        <item x="77"/>
        <item x="79"/>
        <item x="80"/>
        <item x="81"/>
        <item x="82"/>
        <item x="84"/>
        <item x="85"/>
        <item x="90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4">
        <item h="1" x="0"/>
        <item h="1" x="2"/>
        <item h="1" x="12"/>
        <item h="1" x="10"/>
        <item h="1" x="8"/>
        <item h="1" x="4"/>
        <item h="1" x="7"/>
        <item h="1" x="5"/>
        <item h="1" x="11"/>
        <item h="1" x="3"/>
        <item h="1" x="1"/>
        <item x="6"/>
        <item h="1" x="9"/>
        <item h="1" m="1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8"/>
    <field x="6"/>
    <field x="3"/>
  </rowFields>
  <rowItems count="7">
    <i>
      <x v="11"/>
      <x/>
    </i>
    <i r="1">
      <x v="27"/>
    </i>
    <i r="1">
      <x v="55"/>
    </i>
    <i r="1">
      <x v="61"/>
    </i>
    <i r="1">
      <x v="99"/>
      <x v="70"/>
    </i>
    <i r="1">
      <x v="112"/>
    </i>
    <i t="grand">
      <x/>
    </i>
  </rowItems>
  <colFields count="1">
    <field x="9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Amount" fld="4" baseField="0" baseItem="0" numFmtId="44"/>
  </dataFields>
  <formats count="21">
    <format dxfId="35">
      <pivotArea outline="0" collapsedLevelsAreSubtotals="1" fieldPosition="0"/>
    </format>
    <format dxfId="34">
      <pivotArea field="9" type="button" dataOnly="0" labelOnly="1" outline="0" axis="axisCol" fieldPosition="0"/>
    </format>
    <format dxfId="33">
      <pivotArea type="topRight" dataOnly="0" labelOnly="1" outline="0" fieldPosition="0"/>
    </format>
    <format dxfId="32">
      <pivotArea dataOnly="0" labelOnly="1" outline="0" fieldPosition="0">
        <references count="1">
          <reference field="9" count="0"/>
        </references>
      </pivotArea>
    </format>
    <format dxfId="31">
      <pivotArea dataOnly="0" labelOnly="1" outline="0" fieldPosition="0">
        <references count="1">
          <reference field="9" count="3">
            <x v="0"/>
            <x v="1"/>
            <x v="2"/>
          </reference>
        </references>
      </pivotArea>
    </format>
    <format dxfId="30">
      <pivotArea outline="0" fieldPosition="0">
        <references count="4">
          <reference field="3" count="1" selected="0">
            <x v="222"/>
          </reference>
          <reference field="6" count="1" selected="0">
            <x v="20"/>
          </reference>
          <reference field="8" count="0" selected="0"/>
          <reference field="9" count="1" selected="0">
            <x v="2"/>
          </reference>
        </references>
      </pivotArea>
    </format>
    <format dxfId="29">
      <pivotArea outline="0" fieldPosition="0">
        <references count="4">
          <reference field="3" count="1" selected="0">
            <x v="217"/>
          </reference>
          <reference field="6" count="1" selected="0">
            <x v="15"/>
          </reference>
          <reference field="8" count="0" selected="0"/>
          <reference field="9" count="1" selected="0">
            <x v="2"/>
          </reference>
        </references>
      </pivotArea>
    </format>
    <format dxfId="28">
      <pivotArea outline="0" fieldPosition="0">
        <references count="3">
          <reference field="6" count="1" selected="0">
            <x v="2"/>
          </reference>
          <reference field="8" count="0" selected="0"/>
          <reference field="9" count="1" selected="0">
            <x v="2"/>
          </reference>
        </references>
      </pivotArea>
    </format>
    <format dxfId="27">
      <pivotArea outline="0" fieldPosition="0">
        <references count="3">
          <reference field="6" count="1" selected="0">
            <x v="93"/>
          </reference>
          <reference field="8" count="0" selected="0"/>
          <reference field="9" count="1" selected="0">
            <x v="2"/>
          </reference>
        </references>
      </pivotArea>
    </format>
    <format dxfId="26">
      <pivotArea outline="0" fieldPosition="0">
        <references count="4">
          <reference field="3" count="1" selected="0">
            <x v="119"/>
          </reference>
          <reference field="6" count="1" selected="0">
            <x v="103"/>
          </reference>
          <reference field="8" count="0" selected="0"/>
          <reference field="9" count="1" selected="0">
            <x v="2"/>
          </reference>
        </references>
      </pivotArea>
    </format>
    <format dxfId="25">
      <pivotArea outline="0" fieldPosition="0">
        <references count="4">
          <reference field="3" count="1" selected="0">
            <x v="76"/>
          </reference>
          <reference field="6" count="1" selected="0">
            <x v="104"/>
          </reference>
          <reference field="8" count="0" selected="0"/>
          <reference field="9" count="1" selected="0">
            <x v="2"/>
          </reference>
        </references>
      </pivotArea>
    </format>
    <format dxfId="24">
      <pivotArea outline="0" fieldPosition="0">
        <references count="4">
          <reference field="3" count="3" selected="0">
            <x v="55"/>
            <x v="114"/>
            <x v="115"/>
          </reference>
          <reference field="6" count="2" selected="0">
            <x v="107"/>
            <x v="108"/>
          </reference>
          <reference field="8" count="0" selected="0"/>
          <reference field="9" count="1" selected="0">
            <x v="2"/>
          </reference>
        </references>
      </pivotArea>
    </format>
    <format dxfId="23">
      <pivotArea outline="0" fieldPosition="0">
        <references count="4">
          <reference field="3" count="1" selected="0">
            <x v="142"/>
          </reference>
          <reference field="6" count="1" selected="0">
            <x v="103"/>
          </reference>
          <reference field="8" count="0" selected="0"/>
          <reference field="9" count="1" selected="0">
            <x v="1"/>
          </reference>
        </references>
      </pivotArea>
    </format>
    <format dxfId="22">
      <pivotArea outline="0" fieldPosition="0">
        <references count="3">
          <reference field="6" count="1" selected="0">
            <x v="93"/>
          </reference>
          <reference field="8" count="0" selected="0"/>
          <reference field="9" count="1" selected="0">
            <x v="1"/>
          </reference>
        </references>
      </pivotArea>
    </format>
    <format dxfId="21">
      <pivotArea outline="0" fieldPosition="0">
        <references count="4">
          <reference field="3" count="1" selected="0">
            <x v="44"/>
          </reference>
          <reference field="6" count="1" selected="0">
            <x v="15"/>
          </reference>
          <reference field="8" count="0" selected="0"/>
          <reference field="9" count="1" selected="0">
            <x v="1"/>
          </reference>
        </references>
      </pivotArea>
    </format>
    <format dxfId="20">
      <pivotArea outline="0" fieldPosition="0">
        <references count="3">
          <reference field="6" count="1" selected="0">
            <x v="2"/>
          </reference>
          <reference field="8" count="0" selected="0"/>
          <reference field="9" count="1" selected="0">
            <x v="1"/>
          </reference>
        </references>
      </pivotArea>
    </format>
    <format dxfId="19">
      <pivotArea outline="0" fieldPosition="0">
        <references count="3">
          <reference field="6" count="1" selected="0">
            <x v="0"/>
          </reference>
          <reference field="8" count="0" selected="0"/>
          <reference field="9" count="1" selected="0">
            <x v="0"/>
          </reference>
        </references>
      </pivotArea>
    </format>
    <format dxfId="18">
      <pivotArea outline="0" fieldPosition="0">
        <references count="3">
          <reference field="6" count="1" selected="0">
            <x v="61"/>
          </reference>
          <reference field="8" count="0" selected="0"/>
          <reference field="9" count="1" selected="0">
            <x v="1"/>
          </reference>
        </references>
      </pivotArea>
    </format>
    <format dxfId="17">
      <pivotArea outline="0" fieldPosition="0">
        <references count="3">
          <reference field="6" count="1" selected="0">
            <x v="61"/>
          </reference>
          <reference field="8" count="0" selected="0"/>
          <reference field="9" count="3" selected="0">
            <x v="0"/>
            <x v="1"/>
            <x v="2"/>
          </reference>
        </references>
      </pivotArea>
    </format>
    <format dxfId="16">
      <pivotArea outline="0" fieldPosition="0">
        <references count="4">
          <reference field="3" count="1" selected="0">
            <x v="121"/>
          </reference>
          <reference field="6" count="1" selected="0">
            <x v="112"/>
          </reference>
          <reference field="8" count="0" selected="0"/>
          <reference field="9" count="1" selected="0">
            <x v="2"/>
          </reference>
        </references>
      </pivotArea>
    </format>
    <format dxfId="15">
      <pivotArea dataOnly="0" labelOnly="1" outline="0" fieldPosition="0">
        <references count="1">
          <reference field="9" count="3">
            <x v="3"/>
            <x v="4"/>
            <x v="5"/>
          </reference>
        </references>
      </pivotArea>
    </format>
  </formats>
  <pivotTableStyleInfo name="PivotStyleLight8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69611F-5FE6-40BB-B1DD-30EA6CA04F64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O30" firstHeaderRow="1" firstDataRow="2" firstDataCol="3"/>
  <pivotFields count="14">
    <pivotField compact="0" numFmtId="1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676">
        <item x="53"/>
        <item x="95"/>
        <item x="105"/>
        <item x="130"/>
        <item x="199"/>
        <item x="204"/>
        <item x="6"/>
        <item x="167"/>
        <item x="103"/>
        <item x="18"/>
        <item x="51"/>
        <item x="7"/>
        <item x="91"/>
        <item x="205"/>
        <item x="180"/>
        <item x="135"/>
        <item x="93"/>
        <item x="173"/>
        <item x="172"/>
        <item x="206"/>
        <item x="119"/>
        <item x="150"/>
        <item x="26"/>
        <item x="44"/>
        <item x="27"/>
        <item x="17"/>
        <item x="120"/>
        <item x="19"/>
        <item x="31"/>
        <item x="106"/>
        <item x="186"/>
        <item x="207"/>
        <item x="217"/>
        <item x="90"/>
        <item x="174"/>
        <item x="175"/>
        <item x="216"/>
        <item x="8"/>
        <item x="137"/>
        <item x="0"/>
        <item x="194"/>
        <item x="179"/>
        <item x="54"/>
        <item x="107"/>
        <item x="121"/>
        <item x="35"/>
        <item x="141"/>
        <item x="9"/>
        <item x="218"/>
        <item x="62"/>
        <item x="133"/>
        <item x="210"/>
        <item x="226"/>
        <item x="166"/>
        <item x="165"/>
        <item x="200"/>
        <item x="221"/>
        <item x="191"/>
        <item x="13"/>
        <item x="108"/>
        <item x="45"/>
        <item x="136"/>
        <item x="177"/>
        <item x="132"/>
        <item x="104"/>
        <item x="143"/>
        <item x="139"/>
        <item x="94"/>
        <item x="32"/>
        <item x="14"/>
        <item x="55"/>
        <item x="56"/>
        <item x="57"/>
        <item x="168"/>
        <item x="151"/>
        <item x="142"/>
        <item x="157"/>
        <item x="138"/>
        <item x="50"/>
        <item x="87"/>
        <item x="86"/>
        <item x="148"/>
        <item x="147"/>
        <item x="102"/>
        <item x="25"/>
        <item x="96"/>
        <item x="184"/>
        <item x="10"/>
        <item x="82"/>
        <item x="162"/>
        <item x="219"/>
        <item x="81"/>
        <item x="100"/>
        <item x="63"/>
        <item x="97"/>
        <item x="183"/>
        <item x="52"/>
        <item x="152"/>
        <item x="33"/>
        <item x="88"/>
        <item x="42"/>
        <item x="4"/>
        <item x="43"/>
        <item x="49"/>
        <item x="28"/>
        <item x="20"/>
        <item x="23"/>
        <item x="61"/>
        <item x="122"/>
        <item x="58"/>
        <item x="144"/>
        <item x="2"/>
        <item x="140"/>
        <item x="5"/>
        <item x="156"/>
        <item x="208"/>
        <item x="59"/>
        <item x="215"/>
        <item x="225"/>
        <item x="195"/>
        <item x="109"/>
        <item x="220"/>
        <item x="202"/>
        <item x="129"/>
        <item x="29"/>
        <item x="78"/>
        <item x="131"/>
        <item x="36"/>
        <item x="149"/>
        <item x="48"/>
        <item x="89"/>
        <item x="127"/>
        <item x="85"/>
        <item x="154"/>
        <item x="101"/>
        <item x="80"/>
        <item x="182"/>
        <item x="192"/>
        <item x="134"/>
        <item x="146"/>
        <item x="3"/>
        <item x="117"/>
        <item x="83"/>
        <item x="21"/>
        <item x="38"/>
        <item x="110"/>
        <item x="39"/>
        <item x="1"/>
        <item x="77"/>
        <item x="155"/>
        <item x="227"/>
        <item x="158"/>
        <item x="145"/>
        <item x="178"/>
        <item x="98"/>
        <item x="118"/>
        <item x="79"/>
        <item x="111"/>
        <item x="66"/>
        <item x="193"/>
        <item x="196"/>
        <item x="60"/>
        <item x="187"/>
        <item x="123"/>
        <item x="170"/>
        <item x="22"/>
        <item x="164"/>
        <item x="16"/>
        <item x="76"/>
        <item x="126"/>
        <item x="67"/>
        <item x="112"/>
        <item x="222"/>
        <item x="153"/>
        <item x="125"/>
        <item x="70"/>
        <item x="114"/>
        <item x="113"/>
        <item x="209"/>
        <item x="124"/>
        <item x="128"/>
        <item x="230"/>
        <item x="159"/>
        <item x="75"/>
        <item x="15"/>
        <item x="24"/>
        <item x="74"/>
        <item x="188"/>
        <item x="68"/>
        <item x="161"/>
        <item x="11"/>
        <item x="223"/>
        <item x="84"/>
        <item x="171"/>
        <item x="197"/>
        <item x="116"/>
        <item x="185"/>
        <item x="214"/>
        <item x="169"/>
        <item x="201"/>
        <item x="115"/>
        <item x="73"/>
        <item x="211"/>
        <item x="229"/>
        <item x="46"/>
        <item x="212"/>
        <item x="40"/>
        <item x="190"/>
        <item x="181"/>
        <item x="30"/>
        <item x="47"/>
        <item x="99"/>
        <item x="64"/>
        <item x="71"/>
        <item x="72"/>
        <item x="65"/>
        <item x="224"/>
        <item x="198"/>
        <item x="34"/>
        <item x="41"/>
        <item x="163"/>
        <item x="176"/>
        <item x="37"/>
        <item x="12"/>
        <item x="203"/>
        <item x="92"/>
        <item x="213"/>
        <item x="189"/>
        <item x="69"/>
        <item x="160"/>
        <item m="1" x="675"/>
        <item x="228"/>
        <item x="231"/>
        <item x="232"/>
        <item x="233"/>
        <item x="236"/>
        <item x="235"/>
        <item x="237"/>
        <item x="234"/>
        <item x="238"/>
        <item x="239"/>
        <item x="244"/>
        <item x="243"/>
        <item x="242"/>
        <item x="240"/>
        <item x="241"/>
        <item x="245"/>
        <item x="246"/>
        <item x="247"/>
        <item x="248"/>
        <item x="250"/>
        <item x="251"/>
        <item x="249"/>
        <item x="252"/>
        <item x="253"/>
        <item x="254"/>
        <item x="255"/>
        <item x="258"/>
        <item x="257"/>
        <item x="256"/>
        <item x="259"/>
        <item x="260"/>
        <item x="261"/>
        <item x="263"/>
        <item x="262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90"/>
        <item x="291"/>
        <item x="292"/>
        <item x="293"/>
        <item x="294"/>
        <item x="289"/>
        <item x="295"/>
        <item x="296"/>
        <item x="297"/>
        <item x="298"/>
        <item x="299"/>
        <item x="300"/>
        <item x="301"/>
        <item x="302"/>
        <item x="304"/>
        <item x="303"/>
        <item x="305"/>
        <item x="306"/>
        <item x="307"/>
        <item x="308"/>
        <item x="311"/>
        <item x="310"/>
        <item x="309"/>
        <item x="318"/>
        <item x="317"/>
        <item x="316"/>
        <item x="315"/>
        <item x="314"/>
        <item x="313"/>
        <item x="312"/>
        <item x="319"/>
        <item x="320"/>
        <item x="321"/>
        <item x="322"/>
        <item x="323"/>
        <item x="324"/>
        <item x="325"/>
        <item x="326"/>
        <item x="327"/>
        <item x="330"/>
        <item x="328"/>
        <item x="329"/>
        <item x="331"/>
        <item x="332"/>
        <item x="333"/>
        <item x="334"/>
        <item x="335"/>
        <item x="336"/>
        <item x="340"/>
        <item x="341"/>
        <item x="338"/>
        <item x="339"/>
        <item x="337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4"/>
        <item x="353"/>
        <item x="355"/>
        <item x="356"/>
        <item x="357"/>
        <item x="358"/>
        <item x="359"/>
        <item x="361"/>
        <item x="360"/>
        <item x="362"/>
        <item x="363"/>
        <item x="364"/>
        <item x="365"/>
        <item x="366"/>
        <item x="367"/>
        <item x="368"/>
        <item x="372"/>
        <item x="371"/>
        <item x="373"/>
        <item x="370"/>
        <item x="369"/>
        <item x="379"/>
        <item x="378"/>
        <item x="377"/>
        <item x="376"/>
        <item x="375"/>
        <item x="374"/>
        <item x="382"/>
        <item x="381"/>
        <item x="383"/>
        <item x="380"/>
        <item x="386"/>
        <item x="385"/>
        <item x="384"/>
        <item x="387"/>
        <item x="388"/>
        <item x="389"/>
        <item x="390"/>
        <item x="391"/>
        <item x="393"/>
        <item x="392"/>
        <item x="394"/>
        <item x="395"/>
        <item x="396"/>
        <item x="397"/>
        <item x="398"/>
        <item x="399"/>
        <item x="401"/>
        <item x="402"/>
        <item x="400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5">
        <item h="1" x="12"/>
        <item h="1" x="4"/>
        <item h="1" x="0"/>
        <item h="1" x="8"/>
        <item h="1" x="5"/>
        <item h="1" x="11"/>
        <item h="1" x="13"/>
        <item h="1" x="3"/>
        <item h="1" x="1"/>
        <item h="1" x="10"/>
        <item h="1" x="7"/>
        <item h="1" x="6"/>
        <item x="2"/>
        <item h="1" x="9"/>
        <item h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32">
        <item h="1" sd="0" x="23"/>
        <item h="1" m="1" x="131"/>
        <item h="1" sd="0" x="17"/>
        <item h="1" x="58"/>
        <item h="1" m="1" x="113"/>
        <item h="1" x="0"/>
        <item h="1" x="57"/>
        <item h="1" m="1" x="108"/>
        <item h="1" m="1" x="117"/>
        <item h="1" x="4"/>
        <item h="1" m="1" x="99"/>
        <item h="1" sd="0" x="37"/>
        <item h="1" x="89"/>
        <item h="1" x="29"/>
        <item h="1" m="1" x="106"/>
        <item h="1" x="38"/>
        <item h="1" x="26"/>
        <item h="1" m="1" x="98"/>
        <item h="1" m="1" x="124"/>
        <item h="1" x="39"/>
        <item h="1" x="12"/>
        <item h="1" x="27"/>
        <item h="1" x="68"/>
        <item h="1" x="64"/>
        <item h="1" m="1" x="97"/>
        <item h="1" x="11"/>
        <item h="1" m="1" x="126"/>
        <item h="1" sd="0" x="9"/>
        <item h="1" m="1" x="130"/>
        <item x="3"/>
        <item h="1" x="88"/>
        <item h="1" m="1" x="109"/>
        <item h="1" x="24"/>
        <item h="1" x="66"/>
        <item h="1" x="87"/>
        <item h="1" m="1" x="115"/>
        <item h="1" m="1" x="114"/>
        <item h="1" m="1" x="111"/>
        <item h="1" m="1" x="122"/>
        <item h="1" x="31"/>
        <item h="1" x="86"/>
        <item h="1" x="53"/>
        <item h="1" x="33"/>
        <item h="1" x="71"/>
        <item h="1" x="65"/>
        <item h="1" m="1" x="105"/>
        <item h="1" x="49"/>
        <item h="1" x="14"/>
        <item h="1" x="46"/>
        <item h="1" x="76"/>
        <item h="1" x="52"/>
        <item h="1" x="2"/>
        <item h="1" m="1" x="121"/>
        <item h="1" m="1" x="118"/>
        <item h="1" x="40"/>
        <item h="1" sd="0" x="32"/>
        <item h="1" m="1" x="112"/>
        <item h="1" x="25"/>
        <item h="1" x="47"/>
        <item h="1" x="42"/>
        <item h="1" sd="0" x="16"/>
        <item h="1" sd="0" x="19"/>
        <item h="1" x="28"/>
        <item h="1" x="1"/>
        <item h="1" m="1" x="125"/>
        <item h="1" x="15"/>
        <item h="1" m="1" x="93"/>
        <item h="1" m="1" x="116"/>
        <item h="1" m="1" x="119"/>
        <item h="1" x="78"/>
        <item h="1" m="1" x="127"/>
        <item h="1" m="1" x="128"/>
        <item h="1" x="22"/>
        <item h="1" m="1" x="104"/>
        <item h="1" x="43"/>
        <item h="1" m="1" x="101"/>
        <item h="1" m="1" x="107"/>
        <item h="1" m="1" x="100"/>
        <item h="1" x="10"/>
        <item h="1" x="83"/>
        <item h="1" m="1" x="102"/>
        <item h="1" m="1" x="129"/>
        <item h="1" m="1" x="92"/>
        <item h="1" x="54"/>
        <item h="1" m="1" x="123"/>
        <item h="1" m="1" x="94"/>
        <item h="1" m="1" x="103"/>
        <item h="1" m="1" x="95"/>
        <item h="1" m="1" x="96"/>
        <item h="1" m="1" x="120"/>
        <item h="1" x="56"/>
        <item h="1" m="1" x="110"/>
        <item h="1" x="6"/>
        <item h="1" sd="0" x="7"/>
        <item h="1" sd="0" x="13"/>
        <item h="1" sd="0" x="18"/>
        <item h="1" x="21"/>
        <item h="1" x="30"/>
        <item h="1" x="35"/>
        <item h="1" x="36"/>
        <item h="1" x="41"/>
        <item h="1" x="44"/>
        <item h="1" x="45"/>
        <item h="1" sd="0" x="34"/>
        <item h="1" x="48"/>
        <item h="1" x="50"/>
        <item h="1" x="51"/>
        <item h="1" x="55"/>
        <item h="1" x="20"/>
        <item h="1" x="59"/>
        <item h="1" x="60"/>
        <item h="1" x="61"/>
        <item h="1" sd="0" x="62"/>
        <item h="1" x="63"/>
        <item h="1" x="5"/>
        <item h="1" x="67"/>
        <item h="1" x="69"/>
        <item h="1" x="70"/>
        <item h="1" x="72"/>
        <item h="1" x="73"/>
        <item h="1" x="8"/>
        <item h="1" x="74"/>
        <item h="1" x="75"/>
        <item h="1" x="77"/>
        <item h="1" x="79"/>
        <item h="1" x="80"/>
        <item h="1" x="81"/>
        <item h="1" x="82"/>
        <item h="1" x="84"/>
        <item h="1" x="85"/>
        <item h="1" x="90"/>
        <item h="1"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5"/>
    <field x="6"/>
    <field x="3"/>
  </rowFields>
  <rowItems count="26">
    <i>
      <x v="12"/>
      <x v="29"/>
      <x v="5"/>
    </i>
    <i r="2">
      <x v="92"/>
    </i>
    <i r="2">
      <x v="107"/>
    </i>
    <i r="2">
      <x v="139"/>
    </i>
    <i r="2">
      <x v="140"/>
    </i>
    <i r="2">
      <x v="150"/>
    </i>
    <i r="2">
      <x v="207"/>
    </i>
    <i r="2">
      <x v="208"/>
    </i>
    <i r="2">
      <x v="224"/>
    </i>
    <i r="2">
      <x v="229"/>
    </i>
    <i r="2">
      <x v="244"/>
    </i>
    <i r="2">
      <x v="248"/>
    </i>
    <i r="2">
      <x v="249"/>
    </i>
    <i r="2">
      <x v="378"/>
    </i>
    <i r="2">
      <x v="420"/>
    </i>
    <i r="2">
      <x v="441"/>
    </i>
    <i r="2">
      <x v="444"/>
    </i>
    <i r="2">
      <x v="450"/>
    </i>
    <i r="2">
      <x v="513"/>
    </i>
    <i r="2">
      <x v="540"/>
    </i>
    <i r="2">
      <x v="550"/>
    </i>
    <i r="2">
      <x v="554"/>
    </i>
    <i r="2">
      <x v="651"/>
    </i>
    <i r="2">
      <x v="654"/>
    </i>
    <i r="2">
      <x v="664"/>
    </i>
    <i t="grand">
      <x/>
    </i>
  </rowItems>
  <colFields count="1">
    <field x="9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 t="grand">
      <x/>
    </i>
  </colItems>
  <dataFields count="1">
    <dataField name="Sum of Amount" fld="4" baseField="0" baseItem="0" numFmtId="44"/>
  </dataFields>
  <formats count="7">
    <format dxfId="14">
      <pivotArea outline="0" collapsedLevelsAreSubtotals="1" fieldPosition="0"/>
    </format>
    <format dxfId="13">
      <pivotArea field="9" type="button" dataOnly="0" labelOnly="1" outline="0" axis="axisCol" fieldPosition="0"/>
    </format>
    <format dxfId="12">
      <pivotArea type="topRight" dataOnly="0" labelOnly="1" outline="0" fieldPosition="0"/>
    </format>
    <format dxfId="11">
      <pivotArea dataOnly="0" labelOnly="1" outline="0" fieldPosition="0">
        <references count="1">
          <reference field="9" count="0"/>
        </references>
      </pivotArea>
    </format>
    <format dxfId="10">
      <pivotArea dataOnly="0" labelOnly="1" outline="0" fieldPosition="0">
        <references count="1">
          <reference field="9" count="3">
            <x v="0"/>
            <x v="1"/>
            <x v="2"/>
          </reference>
        </references>
      </pivotArea>
    </format>
    <format dxfId="9">
      <pivotArea dataOnly="0" labelOnly="1" outline="0" fieldPosition="0">
        <references count="1">
          <reference field="9" count="3">
            <x v="3"/>
            <x v="4"/>
            <x v="5"/>
          </reference>
        </references>
      </pivotArea>
    </format>
    <format dxfId="8">
      <pivotArea dataOnly="0" labelOnly="1" outline="0" fieldPosition="0">
        <references count="1">
          <reference field="9" count="5">
            <x v="6"/>
            <x v="7"/>
            <x v="9"/>
            <x v="10"/>
            <x v="11"/>
          </reference>
        </references>
      </pivotArea>
    </format>
  </formats>
  <pivotTableStyleInfo name="PivotStyleLight8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3CE44-8425-4AF8-858B-1180AD140F46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6" firstHeaderRow="1" firstDataRow="2" firstDataCol="3"/>
  <pivotFields count="14">
    <pivotField compact="0" numFmtId="1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676">
        <item x="53"/>
        <item x="95"/>
        <item x="105"/>
        <item x="130"/>
        <item x="199"/>
        <item x="204"/>
        <item x="6"/>
        <item x="167"/>
        <item x="103"/>
        <item x="18"/>
        <item x="51"/>
        <item x="7"/>
        <item x="91"/>
        <item x="205"/>
        <item x="180"/>
        <item x="135"/>
        <item x="93"/>
        <item x="173"/>
        <item x="172"/>
        <item x="206"/>
        <item x="119"/>
        <item x="150"/>
        <item x="26"/>
        <item x="44"/>
        <item x="27"/>
        <item x="17"/>
        <item x="120"/>
        <item x="19"/>
        <item x="31"/>
        <item x="106"/>
        <item x="186"/>
        <item x="207"/>
        <item x="217"/>
        <item x="90"/>
        <item x="174"/>
        <item x="175"/>
        <item x="216"/>
        <item x="8"/>
        <item x="137"/>
        <item x="0"/>
        <item x="194"/>
        <item x="179"/>
        <item x="54"/>
        <item x="107"/>
        <item x="121"/>
        <item x="35"/>
        <item x="141"/>
        <item x="9"/>
        <item x="218"/>
        <item x="62"/>
        <item x="133"/>
        <item x="210"/>
        <item x="226"/>
        <item x="166"/>
        <item x="165"/>
        <item x="200"/>
        <item x="221"/>
        <item x="191"/>
        <item x="13"/>
        <item x="108"/>
        <item x="45"/>
        <item x="136"/>
        <item x="177"/>
        <item x="132"/>
        <item x="104"/>
        <item x="143"/>
        <item x="139"/>
        <item x="94"/>
        <item x="32"/>
        <item x="14"/>
        <item x="55"/>
        <item x="56"/>
        <item x="57"/>
        <item x="168"/>
        <item x="151"/>
        <item x="142"/>
        <item x="157"/>
        <item x="138"/>
        <item x="50"/>
        <item x="87"/>
        <item x="86"/>
        <item x="148"/>
        <item x="147"/>
        <item x="102"/>
        <item x="25"/>
        <item x="96"/>
        <item x="184"/>
        <item x="10"/>
        <item x="82"/>
        <item x="162"/>
        <item x="219"/>
        <item x="81"/>
        <item x="100"/>
        <item x="63"/>
        <item x="97"/>
        <item x="183"/>
        <item x="52"/>
        <item x="152"/>
        <item x="33"/>
        <item x="88"/>
        <item x="42"/>
        <item x="4"/>
        <item x="43"/>
        <item x="49"/>
        <item x="28"/>
        <item x="20"/>
        <item x="23"/>
        <item x="61"/>
        <item x="122"/>
        <item x="58"/>
        <item x="144"/>
        <item x="2"/>
        <item x="140"/>
        <item x="5"/>
        <item x="156"/>
        <item x="208"/>
        <item x="59"/>
        <item x="215"/>
        <item x="225"/>
        <item x="195"/>
        <item x="109"/>
        <item x="220"/>
        <item x="202"/>
        <item x="129"/>
        <item x="29"/>
        <item x="78"/>
        <item x="131"/>
        <item x="36"/>
        <item x="149"/>
        <item x="48"/>
        <item x="89"/>
        <item x="127"/>
        <item x="85"/>
        <item x="154"/>
        <item x="101"/>
        <item x="80"/>
        <item x="182"/>
        <item x="192"/>
        <item x="134"/>
        <item x="146"/>
        <item x="3"/>
        <item x="117"/>
        <item x="83"/>
        <item x="21"/>
        <item x="38"/>
        <item x="110"/>
        <item x="39"/>
        <item x="1"/>
        <item x="77"/>
        <item x="155"/>
        <item x="227"/>
        <item x="158"/>
        <item x="145"/>
        <item x="178"/>
        <item x="98"/>
        <item x="118"/>
        <item x="79"/>
        <item x="111"/>
        <item x="66"/>
        <item x="193"/>
        <item x="196"/>
        <item x="60"/>
        <item x="187"/>
        <item x="123"/>
        <item x="170"/>
        <item x="22"/>
        <item x="164"/>
        <item x="16"/>
        <item x="76"/>
        <item x="126"/>
        <item x="67"/>
        <item x="112"/>
        <item x="222"/>
        <item x="153"/>
        <item x="125"/>
        <item x="70"/>
        <item x="114"/>
        <item x="113"/>
        <item x="209"/>
        <item x="124"/>
        <item x="128"/>
        <item x="230"/>
        <item x="159"/>
        <item x="75"/>
        <item x="15"/>
        <item x="24"/>
        <item x="74"/>
        <item x="188"/>
        <item x="68"/>
        <item x="161"/>
        <item x="11"/>
        <item x="223"/>
        <item x="84"/>
        <item x="171"/>
        <item x="197"/>
        <item x="116"/>
        <item x="185"/>
        <item x="214"/>
        <item x="169"/>
        <item x="201"/>
        <item x="115"/>
        <item x="73"/>
        <item x="211"/>
        <item x="229"/>
        <item x="46"/>
        <item x="212"/>
        <item x="40"/>
        <item x="190"/>
        <item x="181"/>
        <item x="30"/>
        <item x="47"/>
        <item x="99"/>
        <item x="64"/>
        <item x="71"/>
        <item x="72"/>
        <item x="65"/>
        <item x="224"/>
        <item x="198"/>
        <item x="34"/>
        <item x="41"/>
        <item x="163"/>
        <item x="176"/>
        <item x="37"/>
        <item x="12"/>
        <item x="203"/>
        <item x="92"/>
        <item x="213"/>
        <item x="189"/>
        <item x="69"/>
        <item x="160"/>
        <item m="1" x="675"/>
        <item x="228"/>
        <item x="231"/>
        <item x="232"/>
        <item x="233"/>
        <item x="236"/>
        <item x="235"/>
        <item x="237"/>
        <item x="234"/>
        <item x="238"/>
        <item x="239"/>
        <item x="244"/>
        <item x="243"/>
        <item x="242"/>
        <item x="240"/>
        <item x="241"/>
        <item x="245"/>
        <item x="246"/>
        <item x="247"/>
        <item x="248"/>
        <item x="250"/>
        <item x="251"/>
        <item x="249"/>
        <item x="252"/>
        <item x="253"/>
        <item x="254"/>
        <item x="255"/>
        <item x="258"/>
        <item x="257"/>
        <item x="256"/>
        <item x="259"/>
        <item x="260"/>
        <item x="261"/>
        <item x="263"/>
        <item x="262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90"/>
        <item x="291"/>
        <item x="292"/>
        <item x="293"/>
        <item x="294"/>
        <item x="289"/>
        <item x="295"/>
        <item x="296"/>
        <item x="297"/>
        <item x="298"/>
        <item x="299"/>
        <item x="300"/>
        <item x="301"/>
        <item x="302"/>
        <item x="304"/>
        <item x="303"/>
        <item x="305"/>
        <item x="306"/>
        <item x="307"/>
        <item x="308"/>
        <item x="311"/>
        <item x="310"/>
        <item x="309"/>
        <item x="318"/>
        <item x="317"/>
        <item x="316"/>
        <item x="315"/>
        <item x="314"/>
        <item x="313"/>
        <item x="312"/>
        <item x="319"/>
        <item x="320"/>
        <item x="321"/>
        <item x="322"/>
        <item x="323"/>
        <item x="324"/>
        <item x="325"/>
        <item x="326"/>
        <item x="327"/>
        <item x="330"/>
        <item x="328"/>
        <item x="329"/>
        <item x="331"/>
        <item x="332"/>
        <item x="333"/>
        <item x="334"/>
        <item x="335"/>
        <item x="336"/>
        <item x="340"/>
        <item x="341"/>
        <item x="338"/>
        <item x="339"/>
        <item x="337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4"/>
        <item x="353"/>
        <item x="355"/>
        <item x="356"/>
        <item x="357"/>
        <item x="358"/>
        <item x="359"/>
        <item x="361"/>
        <item x="360"/>
        <item x="362"/>
        <item x="363"/>
        <item x="364"/>
        <item x="365"/>
        <item x="366"/>
        <item x="367"/>
        <item x="368"/>
        <item x="372"/>
        <item x="371"/>
        <item x="373"/>
        <item x="370"/>
        <item x="369"/>
        <item x="379"/>
        <item x="378"/>
        <item x="377"/>
        <item x="376"/>
        <item x="375"/>
        <item x="374"/>
        <item x="382"/>
        <item x="381"/>
        <item x="383"/>
        <item x="380"/>
        <item x="386"/>
        <item x="385"/>
        <item x="384"/>
        <item x="387"/>
        <item x="388"/>
        <item x="389"/>
        <item x="390"/>
        <item x="391"/>
        <item x="393"/>
        <item x="392"/>
        <item x="394"/>
        <item x="395"/>
        <item x="396"/>
        <item x="397"/>
        <item x="398"/>
        <item x="399"/>
        <item x="401"/>
        <item x="402"/>
        <item x="400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5">
        <item x="12"/>
        <item x="4"/>
        <item x="0"/>
        <item x="8"/>
        <item x="5"/>
        <item x="11"/>
        <item x="13"/>
        <item x="3"/>
        <item h="1" x="1"/>
        <item x="10"/>
        <item x="7"/>
        <item x="6"/>
        <item x="2"/>
        <item x="9"/>
        <item h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32">
        <item h="1" sd="0" x="23"/>
        <item h="1" m="1" x="131"/>
        <item h="1" sd="0" x="17"/>
        <item h="1" x="58"/>
        <item h="1" m="1" x="113"/>
        <item h="1" x="0"/>
        <item h="1" x="57"/>
        <item h="1" m="1" x="108"/>
        <item h="1" m="1" x="117"/>
        <item h="1" x="4"/>
        <item h="1" m="1" x="99"/>
        <item h="1" sd="0" x="37"/>
        <item h="1" x="89"/>
        <item h="1" x="29"/>
        <item h="1" m="1" x="106"/>
        <item h="1" x="38"/>
        <item h="1" x="26"/>
        <item h="1" m="1" x="98"/>
        <item h="1" m="1" x="124"/>
        <item h="1" x="39"/>
        <item h="1" x="12"/>
        <item h="1" x="27"/>
        <item h="1" x="68"/>
        <item h="1" x="64"/>
        <item h="1" m="1" x="97"/>
        <item h="1" x="11"/>
        <item h="1" m="1" x="126"/>
        <item h="1" sd="0" x="9"/>
        <item h="1" m="1" x="130"/>
        <item h="1" x="3"/>
        <item h="1" x="88"/>
        <item h="1" m="1" x="109"/>
        <item h="1" x="24"/>
        <item h="1" x="66"/>
        <item h="1" x="87"/>
        <item h="1" m="1" x="115"/>
        <item h="1" m="1" x="114"/>
        <item h="1" m="1" x="111"/>
        <item h="1" m="1" x="122"/>
        <item h="1" x="31"/>
        <item h="1" x="86"/>
        <item h="1" x="53"/>
        <item h="1" x="33"/>
        <item h="1" x="71"/>
        <item h="1" x="65"/>
        <item h="1" m="1" x="105"/>
        <item h="1" x="49"/>
        <item h="1" x="14"/>
        <item h="1" x="46"/>
        <item h="1" x="76"/>
        <item h="1" x="52"/>
        <item h="1" x="2"/>
        <item h="1" m="1" x="121"/>
        <item h="1" m="1" x="118"/>
        <item h="1" x="40"/>
        <item h="1" sd="0" x="32"/>
        <item h="1" m="1" x="112"/>
        <item h="1" x="25"/>
        <item h="1" x="47"/>
        <item h="1" x="42"/>
        <item h="1" sd="0" x="16"/>
        <item h="1" sd="0" x="19"/>
        <item h="1" x="28"/>
        <item h="1" x="1"/>
        <item h="1" m="1" x="125"/>
        <item h="1" x="15"/>
        <item h="1" m="1" x="93"/>
        <item h="1" m="1" x="116"/>
        <item h="1" m="1" x="119"/>
        <item h="1" x="78"/>
        <item h="1" m="1" x="127"/>
        <item h="1" m="1" x="128"/>
        <item h="1" x="22"/>
        <item h="1" m="1" x="104"/>
        <item h="1" x="43"/>
        <item h="1" m="1" x="101"/>
        <item h="1" m="1" x="107"/>
        <item h="1" m="1" x="100"/>
        <item h="1" x="10"/>
        <item h="1" x="83"/>
        <item h="1" m="1" x="102"/>
        <item h="1" m="1" x="129"/>
        <item h="1" m="1" x="92"/>
        <item h="1" x="54"/>
        <item h="1" m="1" x="123"/>
        <item h="1" m="1" x="94"/>
        <item h="1" m="1" x="103"/>
        <item h="1" m="1" x="95"/>
        <item h="1" m="1" x="96"/>
        <item h="1" m="1" x="120"/>
        <item h="1" x="56"/>
        <item h="1" m="1" x="110"/>
        <item h="1" x="6"/>
        <item h="1" sd="0" x="7"/>
        <item h="1" sd="0" x="13"/>
        <item h="1" sd="0" x="18"/>
        <item h="1" x="21"/>
        <item h="1" x="30"/>
        <item h="1" x="35"/>
        <item h="1" x="36"/>
        <item h="1" x="41"/>
        <item h="1" x="44"/>
        <item h="1" x="45"/>
        <item h="1" sd="0" x="34"/>
        <item h="1" x="48"/>
        <item h="1" x="50"/>
        <item h="1" x="51"/>
        <item h="1" x="55"/>
        <item h="1" x="20"/>
        <item h="1" x="59"/>
        <item h="1" x="60"/>
        <item h="1" x="61"/>
        <item h="1" sd="0" x="62"/>
        <item h="1" x="63"/>
        <item h="1" x="5"/>
        <item h="1" x="67"/>
        <item h="1" x="69"/>
        <item h="1" x="70"/>
        <item h="1" x="72"/>
        <item x="73"/>
        <item h="1" x="8"/>
        <item h="1" x="74"/>
        <item h="1" x="75"/>
        <item h="1" x="77"/>
        <item h="1" x="79"/>
        <item h="1" x="80"/>
        <item h="1" x="81"/>
        <item h="1" x="82"/>
        <item h="1" x="84"/>
        <item h="1" x="85"/>
        <item h="1" x="90"/>
        <item h="1"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5"/>
    <field x="6"/>
    <field x="3"/>
  </rowFields>
  <rowItems count="2">
    <i>
      <x v="13"/>
      <x v="119"/>
      <x v="390"/>
    </i>
    <i t="grand">
      <x/>
    </i>
  </rowItems>
  <colFields count="1">
    <field x="9"/>
  </colFields>
  <colItems count="3">
    <i>
      <x v="4"/>
    </i>
    <i>
      <x v="5"/>
    </i>
    <i t="grand">
      <x/>
    </i>
  </colItems>
  <dataFields count="1">
    <dataField name="Sum of Amount" fld="4" baseField="0" baseItem="0" numFmtId="44"/>
  </dataFields>
  <formats count="6">
    <format dxfId="7">
      <pivotArea outline="0" collapsedLevelsAreSubtotals="1" fieldPosition="0"/>
    </format>
    <format dxfId="6">
      <pivotArea field="9" type="button" dataOnly="0" labelOnly="1" outline="0" axis="axisCol" fieldPosition="0"/>
    </format>
    <format dxfId="5">
      <pivotArea type="topRight" dataOnly="0" labelOnly="1" outline="0" fieldPosition="0"/>
    </format>
    <format dxfId="4">
      <pivotArea dataOnly="0" labelOnly="1" outline="0" fieldPosition="0">
        <references count="1">
          <reference field="9" count="0"/>
        </references>
      </pivotArea>
    </format>
    <format dxfId="3">
      <pivotArea dataOnly="0" labelOnly="1" outline="0" fieldPosition="0">
        <references count="1">
          <reference field="9" count="3">
            <x v="0"/>
            <x v="1"/>
            <x v="2"/>
          </reference>
        </references>
      </pivotArea>
    </format>
    <format dxfId="2">
      <pivotArea dataOnly="0" labelOnly="1" outline="0" fieldPosition="0">
        <references count="1">
          <reference field="9" count="3">
            <x v="3"/>
            <x v="4"/>
            <x v="5"/>
          </reference>
        </references>
      </pivotArea>
    </format>
  </formats>
  <pivotTableStyleInfo name="PivotStyleLight8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2D725-0EAF-4589-921A-3F3CD0FD0AA2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O30" firstHeaderRow="1" firstDataRow="2" firstDataCol="2" rowPageCount="1" colPageCount="1"/>
  <pivotFields count="14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>
      <items count="133">
        <item x="90"/>
        <item x="72"/>
        <item x="91"/>
        <item x="23"/>
        <item m="1" x="131"/>
        <item x="17"/>
        <item x="18"/>
        <item x="58"/>
        <item m="1" x="113"/>
        <item x="69"/>
        <item x="0"/>
        <item x="57"/>
        <item x="82"/>
        <item m="1" x="96"/>
        <item m="1" x="94"/>
        <item x="81"/>
        <item m="1" x="108"/>
        <item m="1" x="117"/>
        <item m="1" x="95"/>
        <item x="4"/>
        <item m="1" x="99"/>
        <item x="37"/>
        <item x="89"/>
        <item x="29"/>
        <item x="59"/>
        <item m="1" x="106"/>
        <item x="38"/>
        <item x="26"/>
        <item m="1" x="98"/>
        <item m="1" x="124"/>
        <item x="39"/>
        <item x="12"/>
        <item x="30"/>
        <item x="13"/>
        <item x="8"/>
        <item x="27"/>
        <item x="68"/>
        <item x="6"/>
        <item x="64"/>
        <item m="1" x="97"/>
        <item x="84"/>
        <item x="35"/>
        <item x="54"/>
        <item x="73"/>
        <item x="7"/>
        <item x="11"/>
        <item x="79"/>
        <item x="34"/>
        <item m="1" x="102"/>
        <item m="1" x="126"/>
        <item x="9"/>
        <item m="1" x="130"/>
        <item x="3"/>
        <item x="88"/>
        <item m="1" x="109"/>
        <item x="24"/>
        <item x="66"/>
        <item x="87"/>
        <item m="1" x="115"/>
        <item m="1" x="103"/>
        <item m="1" x="114"/>
        <item m="1" x="111"/>
        <item m="1" x="122"/>
        <item x="20"/>
        <item x="75"/>
        <item x="70"/>
        <item x="50"/>
        <item x="31"/>
        <item m="1" x="120"/>
        <item x="86"/>
        <item x="53"/>
        <item x="33"/>
        <item x="41"/>
        <item x="56"/>
        <item x="71"/>
        <item x="65"/>
        <item m="1" x="105"/>
        <item x="85"/>
        <item x="62"/>
        <item x="61"/>
        <item x="49"/>
        <item x="14"/>
        <item x="46"/>
        <item x="76"/>
        <item x="52"/>
        <item x="2"/>
        <item x="74"/>
        <item m="1" x="121"/>
        <item x="5"/>
        <item m="1" x="118"/>
        <item x="55"/>
        <item x="40"/>
        <item x="44"/>
        <item x="32"/>
        <item x="77"/>
        <item m="1" x="112"/>
        <item x="25"/>
        <item x="45"/>
        <item x="47"/>
        <item x="67"/>
        <item x="42"/>
        <item x="16"/>
        <item x="19"/>
        <item x="63"/>
        <item x="60"/>
        <item x="28"/>
        <item x="48"/>
        <item m="1" x="123"/>
        <item x="1"/>
        <item m="1" x="125"/>
        <item x="15"/>
        <item m="1" x="129"/>
        <item m="1" x="93"/>
        <item m="1" x="116"/>
        <item m="1" x="119"/>
        <item x="51"/>
        <item x="78"/>
        <item x="80"/>
        <item x="36"/>
        <item m="1" x="127"/>
        <item m="1" x="128"/>
        <item x="22"/>
        <item m="1" x="104"/>
        <item x="21"/>
        <item x="43"/>
        <item m="1" x="101"/>
        <item m="1" x="107"/>
        <item m="1" x="100"/>
        <item m="1" x="110"/>
        <item x="10"/>
        <item x="83"/>
        <item m="1" x="9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4">
        <item x="0"/>
        <item x="1"/>
        <item m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x="2"/>
        <item x="10"/>
        <item x="8"/>
        <item x="4"/>
        <item x="7"/>
        <item x="11"/>
        <item x="3"/>
        <item x="1"/>
        <item x="6"/>
        <item x="9"/>
        <item m="1" x="13"/>
        <item x="5"/>
        <item x="0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6"/>
  </rowFields>
  <rowItems count="26">
    <i>
      <x v="2"/>
      <x v="110"/>
    </i>
    <i>
      <x v="3"/>
      <x v="97"/>
    </i>
    <i>
      <x v="6"/>
      <x v="2"/>
    </i>
    <i r="1">
      <x v="6"/>
    </i>
    <i r="1">
      <x v="24"/>
    </i>
    <i r="1">
      <x v="33"/>
    </i>
    <i r="1">
      <x v="40"/>
    </i>
    <i r="1">
      <x v="53"/>
    </i>
    <i r="1">
      <x v="88"/>
    </i>
    <i r="1">
      <x v="90"/>
    </i>
    <i r="1">
      <x v="98"/>
    </i>
    <i>
      <x v="7"/>
      <x v="7"/>
    </i>
    <i r="1">
      <x v="9"/>
    </i>
    <i r="1">
      <x v="19"/>
    </i>
    <i r="1">
      <x v="35"/>
    </i>
    <i r="1">
      <x v="38"/>
    </i>
    <i r="1">
      <x v="55"/>
    </i>
    <i r="1">
      <x v="74"/>
    </i>
    <i r="1">
      <x v="84"/>
    </i>
    <i r="1">
      <x v="85"/>
    </i>
    <i r="1">
      <x v="92"/>
    </i>
    <i r="1">
      <x v="108"/>
    </i>
    <i r="1">
      <x v="117"/>
    </i>
    <i r="1">
      <x v="129"/>
    </i>
    <i>
      <x v="9"/>
      <x v="23"/>
    </i>
    <i t="grand">
      <x/>
    </i>
  </rowItems>
  <colFields count="1">
    <field x="9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7" item="1" hier="-1"/>
  </pageFields>
  <dataFields count="1">
    <dataField name="Sum of Amount" fld="4" baseField="0" baseItem="0" numFmtId="44"/>
  </dataFields>
  <formats count="2">
    <format dxfId="1">
      <pivotArea collapsedLevelsAreSubtotals="1" fieldPosition="0">
        <references count="1">
          <reference field="6" count="19">
            <x v="7"/>
            <x v="16"/>
            <x v="19"/>
            <x v="35"/>
            <x v="38"/>
            <x v="49"/>
            <x v="51"/>
            <x v="55"/>
            <x v="60"/>
            <x v="74"/>
            <x v="76"/>
            <x v="84"/>
            <x v="85"/>
            <x v="87"/>
            <x v="95"/>
            <x v="98"/>
            <x v="108"/>
            <x v="122"/>
            <x v="129"/>
          </reference>
        </references>
      </pivotArea>
    </format>
    <format dxfId="0">
      <pivotArea outline="0" collapsedLevelsAreSubtotals="1" fieldPosition="0"/>
    </format>
  </formats>
  <pivotTableStyleInfo name="PivotStyleLight8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2A82C-DA16-4472-BC44-B6B99EFE067B}" name="PivotTable1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C24" firstHeaderRow="0" firstDataRow="1" firstDataCol="1" rowPageCount="1" colPageCount="1"/>
  <pivotFields count="14">
    <pivotField compact="0" numFmtId="1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measureFilter="1" sortType="descending" defaultSubtotal="0">
      <items count="132">
        <item x="72"/>
        <item x="23"/>
        <item m="1" x="131"/>
        <item x="17"/>
        <item x="18"/>
        <item x="58"/>
        <item m="1" x="113"/>
        <item x="69"/>
        <item x="0"/>
        <item x="57"/>
        <item m="1" x="96"/>
        <item m="1" x="94"/>
        <item m="1" x="108"/>
        <item m="1" x="117"/>
        <item m="1" x="95"/>
        <item x="4"/>
        <item m="1" x="99"/>
        <item x="37"/>
        <item x="89"/>
        <item x="29"/>
        <item x="59"/>
        <item m="1" x="106"/>
        <item x="38"/>
        <item x="26"/>
        <item m="1" x="98"/>
        <item m="1" x="124"/>
        <item x="39"/>
        <item x="12"/>
        <item x="30"/>
        <item x="13"/>
        <item x="27"/>
        <item x="68"/>
        <item x="6"/>
        <item x="64"/>
        <item m="1" x="97"/>
        <item x="35"/>
        <item x="54"/>
        <item x="73"/>
        <item x="7"/>
        <item x="11"/>
        <item x="34"/>
        <item m="1" x="102"/>
        <item m="1" x="126"/>
        <item x="9"/>
        <item m="1" x="130"/>
        <item x="3"/>
        <item x="88"/>
        <item m="1" x="109"/>
        <item x="24"/>
        <item x="66"/>
        <item x="87"/>
        <item m="1" x="115"/>
        <item m="1" x="103"/>
        <item m="1" x="114"/>
        <item m="1" x="111"/>
        <item m="1" x="122"/>
        <item x="20"/>
        <item x="70"/>
        <item x="50"/>
        <item x="31"/>
        <item m="1" x="120"/>
        <item x="86"/>
        <item x="53"/>
        <item x="33"/>
        <item x="41"/>
        <item x="56"/>
        <item x="71"/>
        <item x="65"/>
        <item m="1" x="105"/>
        <item x="62"/>
        <item x="61"/>
        <item x="49"/>
        <item x="14"/>
        <item x="46"/>
        <item x="76"/>
        <item x="52"/>
        <item x="2"/>
        <item m="1" x="121"/>
        <item x="5"/>
        <item m="1" x="118"/>
        <item x="55"/>
        <item x="40"/>
        <item x="44"/>
        <item x="32"/>
        <item m="1" x="112"/>
        <item x="25"/>
        <item x="45"/>
        <item x="47"/>
        <item x="67"/>
        <item x="42"/>
        <item x="16"/>
        <item x="19"/>
        <item x="63"/>
        <item x="60"/>
        <item x="28"/>
        <item x="48"/>
        <item m="1" x="123"/>
        <item x="1"/>
        <item m="1" x="125"/>
        <item x="15"/>
        <item m="1" x="129"/>
        <item m="1" x="93"/>
        <item m="1" x="116"/>
        <item m="1" x="119"/>
        <item x="51"/>
        <item x="78"/>
        <item x="36"/>
        <item m="1" x="127"/>
        <item m="1" x="128"/>
        <item x="22"/>
        <item m="1" x="104"/>
        <item x="21"/>
        <item x="43"/>
        <item m="1" x="101"/>
        <item m="1" x="107"/>
        <item m="1" x="100"/>
        <item m="1" x="110"/>
        <item x="10"/>
        <item x="83"/>
        <item m="1" x="92"/>
        <item x="8"/>
        <item x="74"/>
        <item x="75"/>
        <item x="77"/>
        <item x="79"/>
        <item x="80"/>
        <item x="81"/>
        <item x="82"/>
        <item x="84"/>
        <item x="85"/>
        <item x="90"/>
        <item x="9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 defaultSubtotal="0">
      <items count="3">
        <item m="1" x="2"/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numFmtId="165" outline="0" showAll="0" defaultSubtotal="0"/>
    <pivotField compact="0" outline="0" showAll="0" defaultSubtotal="0"/>
    <pivotField dataField="1" compact="0" outline="0" showAll="0" defaultSubtotal="0"/>
  </pivotFields>
  <rowFields count="1">
    <field x="6"/>
  </rowFields>
  <rowItems count="21">
    <i>
      <x v="63"/>
    </i>
    <i>
      <x v="65"/>
    </i>
    <i>
      <x v="109"/>
    </i>
    <i>
      <x v="62"/>
    </i>
    <i>
      <x v="37"/>
    </i>
    <i>
      <x v="130"/>
    </i>
    <i>
      <x v="95"/>
    </i>
    <i>
      <x v="73"/>
    </i>
    <i>
      <x v="111"/>
    </i>
    <i>
      <x v="94"/>
    </i>
    <i>
      <x v="124"/>
    </i>
    <i>
      <x v="64"/>
    </i>
    <i>
      <x v="28"/>
    </i>
    <i>
      <x v="69"/>
    </i>
    <i>
      <x v="50"/>
    </i>
    <i>
      <x v="49"/>
    </i>
    <i>
      <x v="118"/>
    </i>
    <i>
      <x v="57"/>
    </i>
    <i>
      <x v="93"/>
    </i>
    <i>
      <x v="9"/>
    </i>
    <i>
      <x v="35"/>
    </i>
  </rowItems>
  <colFields count="1">
    <field x="-2"/>
  </colFields>
  <colItems count="2">
    <i>
      <x/>
    </i>
    <i i="1">
      <x v="1"/>
    </i>
  </colItems>
  <pageFields count="1">
    <pageField fld="7" item="2" hier="-1"/>
  </pageFields>
  <dataFields count="2">
    <dataField name="Max of Counter" fld="13" subtotal="max" baseField="5" baseItem="0"/>
    <dataField name="Sum of Amount" fld="4" baseField="0" baseItem="0"/>
  </dataFields>
  <pivotTableStyleInfo name="PivotStyleLight16" showRowHeaders="1" showColHeaders="1" showRowStripes="0" showColStripes="0" showLastColumn="1"/>
  <filters count="1">
    <filter fld="6" type="valueBetween" evalOrder="-1" id="5" iMeasureFld="0">
      <autoFilter ref="A1">
        <filterColumn colId="0">
          <customFilters and="1">
            <customFilter operator="greaterThanOrEqual" val="2"/>
            <customFilter operator="lessThanOrEqual" val="7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CAB234-8A7B-4E5A-BCFE-809F6E10F2CC}" name="wf_table" displayName="wf_table" ref="A1:I233" totalsRowShown="0" headerRowDxfId="102">
  <autoFilter ref="A1:I233" xr:uid="{92EDD8DA-BD4A-4F52-9B6E-4A14DEE43F64}"/>
  <sortState xmlns:xlrd2="http://schemas.microsoft.com/office/spreadsheetml/2017/richdata2" ref="B2:I63">
    <sortCondition ref="B1:B63"/>
  </sortState>
  <tableColumns count="9">
    <tableColumn id="6" xr3:uid="{55F89DD0-D8EC-4796-A7B9-ED4A9840BACC}" name="Month" dataDxfId="101">
      <calculatedColumnFormula>MONTH(wf_table[[#This Row],[Trans Date]])</calculatedColumnFormula>
    </tableColumn>
    <tableColumn id="1" xr3:uid="{2C8F8988-DDFD-45DD-8A6C-FD066DD8FF47}" name="Trans Date" dataDxfId="100"/>
    <tableColumn id="2" xr3:uid="{36BC0F10-B61E-4AB9-9F86-859513D36D54}" name="Debit_Amount" dataDxfId="99"/>
    <tableColumn id="3" xr3:uid="{E2E415AC-3E85-46BA-80B7-7179872BC36C}" name="Column1" dataDxfId="98"/>
    <tableColumn id="8" xr3:uid="{21805A3F-8BF0-4353-AED8-4A58C93819BF}" name="Column2" dataDxfId="97">
      <calculatedColumnFormula>IF(wf_table[[#This Row],[Debit_Amount]]&lt;0,"debit","-")</calculatedColumnFormula>
    </tableColumn>
    <tableColumn id="9" xr3:uid="{F9A6715A-66E9-4634-8C33-E6182ABE6ACB}" name="Column22" dataDxfId="96"/>
    <tableColumn id="4" xr3:uid="{1D85BA33-5CC6-4397-8164-F679157AF079}" name="Description"/>
    <tableColumn id="5" xr3:uid="{AA0A1F6A-8241-4E18-BA95-9BABCBBDB330}" name="Column3"/>
    <tableColumn id="7" xr3:uid="{073A50E8-ADF2-49A0-8719-407479E6E59E}" name="Column4" dataDxfId="95" dataCellStyle="Comma"/>
  </tableColumns>
  <tableStyleInfo name="TableStyleMedium7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5B4242-EF32-41B5-B297-C7BEB3A48EF6}" name="sofiC_table" displayName="sofiC_table" ref="A1:H93" totalsRowShown="0">
  <autoFilter ref="A1:H93" xr:uid="{B20EBEC1-4610-4BAA-A6CC-3BB5034E2FF8}"/>
  <tableColumns count="8">
    <tableColumn id="2" xr3:uid="{EF710D0C-4B8C-424F-B39A-CA91459E2DC8}" name="Month" dataDxfId="94">
      <calculatedColumnFormula>MONTH(sofiC_table[[#This Row],[Transaction Date]])</calculatedColumnFormula>
    </tableColumn>
    <tableColumn id="1" xr3:uid="{7BF95536-3A30-497A-AA55-72CE67A0545F}" name="Transaction Date" dataDxfId="93"/>
    <tableColumn id="3" xr3:uid="{54262216-762B-46FB-B7B8-CB94AA7C9853}" name="Description"/>
    <tableColumn id="8" xr3:uid="{E9406DC3-F476-4775-8484-50036A54B6AA}" name="Type"/>
    <tableColumn id="4" xr3:uid="{6E232B5F-F301-4A0B-B908-0F85E95122E9}" name="Amount" dataDxfId="92"/>
    <tableColumn id="6" xr3:uid="{EF3A09FF-16A6-45DB-BEBD-8BC14BA7CA97}" name="Column1"/>
    <tableColumn id="5" xr3:uid="{E52611A1-C2E3-4741-9CBD-D7C5A4A51D3C}" name="Short_Desc"/>
    <tableColumn id="7" xr3:uid="{CAE0BB4D-3EF3-43B0-93F3-FF309EA81A65}" name="Category_2"/>
  </tableColumns>
  <tableStyleInfo name="TableStyleMedium1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0EBEC1-4610-4BAA-A6CC-3BB5034E2FF8}" name="sofiS_table" displayName="sofiS_table" ref="A1:I131" totalsRowShown="0">
  <autoFilter ref="A1:I131" xr:uid="{B20EBEC1-4610-4BAA-A6CC-3BB5034E2FF8}"/>
  <tableColumns count="9">
    <tableColumn id="2" xr3:uid="{29F691E4-1AB7-426E-8A52-7891D9352863}" name="Month" dataDxfId="91">
      <calculatedColumnFormula>MONTH(sofiS_table[[#This Row],[Transaction Date]])</calculatedColumnFormula>
    </tableColumn>
    <tableColumn id="1" xr3:uid="{AA42D5B6-58CE-40D5-9029-ACB8593FB1C1}" name="Transaction Date" dataDxfId="90"/>
    <tableColumn id="3" xr3:uid="{8BC2161C-A474-4B1B-8431-1A3C79AAAD23}" name="Description"/>
    <tableColumn id="8" xr3:uid="{01135828-373D-4177-9031-7C22B8AB7F78}" name="Type"/>
    <tableColumn id="4" xr3:uid="{B77A98FE-AFB8-456E-8F89-BAC0310B2982}" name="Amount" dataDxfId="89" dataCellStyle="Currency"/>
    <tableColumn id="6" xr3:uid="{95E34CA7-BA74-4D92-AEA9-0C75975498F6}" name="Cumulative" dataCellStyle="Currency"/>
    <tableColumn id="9" xr3:uid="{AE8E9158-5125-427D-8EC7-7E8F761DCF4A}" name="incremental" dataCellStyle="Currency">
      <calculatedColumnFormula>IFERROR(sofiS_table[[#This Row],[Cumulative]]-F1,0)</calculatedColumnFormula>
    </tableColumn>
    <tableColumn id="5" xr3:uid="{FA17B279-D478-4177-85F0-DA73099C77C4}" name="Short_Desc"/>
    <tableColumn id="7" xr3:uid="{75B1EA01-0829-4F90-B5EE-7D3B6BC9C6E9}" name="Category_2"/>
  </tableColumns>
  <tableStyleInfo name="TableStyleMedium1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D8E1B1-281E-4422-80CD-F5DF132832F2}" name="hsa_table" displayName="hsa_table" ref="A1:E63" totalsRowShown="0">
  <tableColumns count="5">
    <tableColumn id="2" xr3:uid="{66991194-40B1-42E0-BEEC-354B5427FA97}" name="Column1" dataDxfId="88">
      <calculatedColumnFormula>(MONTH(B2))+0</calculatedColumnFormula>
    </tableColumn>
    <tableColumn id="1" xr3:uid="{95BCD69D-48AA-4969-B089-C25AFA09C411}" name="Date" dataDxfId="87"/>
    <tableColumn id="3" xr3:uid="{930D465C-5A97-48AC-A3F5-03878F05B626}" name="Transaction" dataDxfId="86"/>
    <tableColumn id="4" xr3:uid="{7A5C6DFF-FCA1-41FB-9955-0BBE073394EA}" name="Amount" dataDxfId="85" dataCellStyle="Comma"/>
    <tableColumn id="6" xr3:uid="{2AEFE032-195D-4523-A76F-7542D52C6340}" name="HSA Cash Balance" dataDxfId="84" dataCellStyle="Comma"/>
  </tableColumns>
  <tableStyleInfo name="TableStyleMedium1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7641CCE-4248-4839-A6BB-F067CEE6D3B2}" name="sofiS_table8910" displayName="sofiS_table8910" ref="A1:F23" totalsRowShown="0">
  <autoFilter ref="A1:F23" xr:uid="{B20EBEC1-4610-4BAA-A6CC-3BB5034E2FF8}"/>
  <sortState xmlns:xlrd2="http://schemas.microsoft.com/office/spreadsheetml/2017/richdata2" ref="B2:F18">
    <sortCondition ref="B1:B18"/>
  </sortState>
  <tableColumns count="6">
    <tableColumn id="5" xr3:uid="{D7B7D169-9B8A-4E98-AD68-C3622CB04591}" name="Month" dataDxfId="83">
      <calculatedColumnFormula>MONTH(sofiS_table8910[[#This Row],[Date]])</calculatedColumnFormula>
    </tableColumn>
    <tableColumn id="2" xr3:uid="{9439406A-4FAF-4EF2-9960-9578606D394B}" name="Date" dataDxfId="82"/>
    <tableColumn id="1" xr3:uid="{7E682FCE-13E5-4969-8EE3-DABF58B4E44A}" name="Investment" dataDxfId="81"/>
    <tableColumn id="3" xr3:uid="{7E4E96B1-1B70-4FF1-A332-F1EAF672588D}" name="Transaction Type"/>
    <tableColumn id="4" xr3:uid="{8C3EC015-77A8-45C7-AC35-3EA5490A3700}" name="Amount" dataCellStyle="Currency"/>
    <tableColumn id="6" xr3:uid="{7712DF23-CC7D-48DE-9619-D0402E2A31CA}" name="Shares/Unit" dataCellStyle="Currency"/>
  </tableColumns>
  <tableStyleInfo name="TableStyleMedium1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41C36-5124-4F06-8E81-52BCD193207D}" name="dis_table" displayName="dis_table" ref="B1:O1155" totalsRowShown="0" headerRowDxfId="80" headerRowBorderDxfId="79" tableBorderDxfId="78">
  <autoFilter ref="B1:O1155" xr:uid="{BBF41C36-5124-4F06-8E81-52BCD193207D}">
    <filterColumn colId="0">
      <filters>
        <filter val="12"/>
      </filters>
    </filterColumn>
  </autoFilter>
  <tableColumns count="14">
    <tableColumn id="14" xr3:uid="{04D1E87C-66B0-4D07-A6AD-88DA2B34477B}" name="Month" dataDxfId="77">
      <calculatedColumnFormula>MONTH(dis_table[[#This Row],[Date]])</calculatedColumnFormula>
    </tableColumn>
    <tableColumn id="1" xr3:uid="{0D277BE0-23D0-474E-ACC5-697F2175577A}" name="Trans. date" dataDxfId="76"/>
    <tableColumn id="2" xr3:uid="{DB68AC99-9CD0-40F7-8F4F-B991E75AE730}" name="Post date" dataDxfId="75"/>
    <tableColumn id="3" xr3:uid="{FB171790-0178-4B86-B334-029ADE774B80}" name="Description"/>
    <tableColumn id="4" xr3:uid="{DF441ADF-CE81-4786-8938-29E7E46FE503}" name="Amount"/>
    <tableColumn id="5" xr3:uid="{67013741-ABC5-4AB8-85B7-633B7E791A91}" name="Category"/>
    <tableColumn id="6" xr3:uid="{6E9A903E-DEED-4F9B-A3B7-5B43C1C10CCC}" name="Short_Desc"/>
    <tableColumn id="7" xr3:uid="{9B80C242-E815-4718-A3B9-5F2AEE72C89A}" name="Reoccurring_Flag"/>
    <tableColumn id="8" xr3:uid="{CBBBB029-710B-481E-B726-B9ACB715F6EF}" name="Category_2"/>
    <tableColumn id="9" xr3:uid="{596930F0-2495-4826-9083-0BF28BD2ED7C}" name="Date" dataDxfId="74"/>
    <tableColumn id="10" xr3:uid="{06BCEAB6-6F3B-4FFF-803B-2FA95A7404AE}" name="Year" dataCellStyle="Currency"/>
    <tableColumn id="11" xr3:uid="{2642526B-EBFD-4B43-AA1A-1B73EAA82C50}" name="Sort_Date" dataDxfId="73"/>
    <tableColumn id="12" xr3:uid="{68A66BF7-1FEB-4F84-A06B-972617638F25}" name="CumAmount" dataDxfId="72" dataCellStyle="Comma"/>
    <tableColumn id="13" xr3:uid="{47F5B863-A80C-4054-8A85-A9E6522AC68A}" name="Counter" dataDxfId="71" dataCellStyle="Comma"/>
  </tableColumns>
  <tableStyleInfo name="TableStyleMedium13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01995B8-9CFE-4958-8810-0728996F0B7F}" name="sofiS_table8" displayName="sofiS_table8" ref="A1:H39" totalsRowShown="0">
  <autoFilter ref="A1:H39" xr:uid="{B20EBEC1-4610-4BAA-A6CC-3BB5034E2FF8}"/>
  <sortState xmlns:xlrd2="http://schemas.microsoft.com/office/spreadsheetml/2017/richdata2" ref="B2:H26">
    <sortCondition ref="B1:B26"/>
  </sortState>
  <tableColumns count="8">
    <tableColumn id="2" xr3:uid="{9797BB90-AC69-4130-9765-AE56A83D063A}" name="Month" dataDxfId="70">
      <calculatedColumnFormula>MONTH(sofiS_table8[[#This Row],[Transaction Date]])</calculatedColumnFormula>
    </tableColumn>
    <tableColumn id="1" xr3:uid="{A8CC45DB-6CB0-4516-8575-2A00C4CDA1D2}" name="Transaction Date" dataDxfId="69"/>
    <tableColumn id="8" xr3:uid="{DC0DAB02-1B72-4B30-B6DE-828C92BF43B1}" name="Description2"/>
    <tableColumn id="4" xr3:uid="{3B5BE61A-A8F9-476F-9229-9848454394F5}" name="Amount" dataDxfId="68"/>
    <tableColumn id="6" xr3:uid="{E2FB6B49-5BC9-4BB5-B2BA-B94AC53242E9}" name="Cumulative"/>
    <tableColumn id="9" xr3:uid="{8C3E0C97-6124-4FE9-9AFD-60397043E1E8}" name="incremental" dataDxfId="67"/>
    <tableColumn id="5" xr3:uid="{0A1B55E2-E81E-4B37-92C3-C307FD8A2017}" name="Short_Desc"/>
    <tableColumn id="7" xr3:uid="{E56468CF-62AB-4AD6-9E80-3CDD0BBA7020}" name="Category_2"/>
  </tableColumns>
  <tableStyleInfo name="TableStyleMedium1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D0B25F-EAC2-44ED-A8CF-8BA7CC785569}" name="bb_table" displayName="bb_table" ref="A1:H19" totalsRowShown="0" headerRowDxfId="66" headerRowBorderDxfId="65">
  <autoFilter ref="A1:H19" xr:uid="{1DD0B25F-EAC2-44ED-A8CF-8BA7CC785569}"/>
  <tableColumns count="8">
    <tableColumn id="6" xr3:uid="{7630728F-327A-4234-977E-FD99DD546E31}" name="Month" dataDxfId="64">
      <calculatedColumnFormula>MONTH(bb_table[[#This Row],[Transaction Date]])</calculatedColumnFormula>
    </tableColumn>
    <tableColumn id="1" xr3:uid="{4654C6E3-D1DC-4996-A1F2-75AF377C4849}" name="Transaction Date" dataDxfId="63"/>
    <tableColumn id="2" xr3:uid="{82F7183B-590B-4B56-9DAB-EFBD7B6D89E9}" name="Amount" dataDxfId="62"/>
    <tableColumn id="3" xr3:uid="{978A4CDD-8F8B-4873-9546-4176E11ABEFA}" name="Description"/>
    <tableColumn id="4" xr3:uid="{A37FE632-42BA-4F00-AF12-BE650EB85F9A}" name="Category"/>
    <tableColumn id="5" xr3:uid="{D78DD74D-FCE9-4474-9CE0-BE65D4A2877A}" name="Short_Desc"/>
    <tableColumn id="7" xr3:uid="{5F8576FF-BB4B-4C76-BAD4-08915E4C6FEC}" name="Category_2"/>
    <tableColumn id="8" xr3:uid="{1AE6A933-3CC4-4CD0-8B5F-C04AC9EAB35F}" name="Category_3"/>
  </tableColumns>
  <tableStyleInfo name="TableStyleMedium1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7122201-70F3-4D9B-918D-9FDB02387605}" name="Table10" displayName="Table10" ref="A1:C5" totalsRowShown="0">
  <autoFilter ref="A1:C5" xr:uid="{07122201-70F3-4D9B-918D-9FDB02387605}"/>
  <tableColumns count="3">
    <tableColumn id="1" xr3:uid="{C2052862-E3D8-40DA-BEF4-5B294B5035A9}" name="Date" dataDxfId="61"/>
    <tableColumn id="2" xr3:uid="{5C833870-7F45-4BD7-A407-3127B408A084}" name="Description"/>
    <tableColumn id="3" xr3:uid="{43BE1997-110B-4119-8DC7-59869BB219E0}" name="Amount" dataDxfId="60" dataCellStyle="Currenc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8E4D82-3742-4383-86FB-108775AA15D3}" name="sofiS_table89" displayName="sofiS_table89" ref="A1:F26" totalsRowShown="0">
  <autoFilter ref="A1:F26" xr:uid="{B20EBEC1-4610-4BAA-A6CC-3BB5034E2FF8}"/>
  <sortState xmlns:xlrd2="http://schemas.microsoft.com/office/spreadsheetml/2017/richdata2" ref="A2:F26">
    <sortCondition ref="B1:B26"/>
  </sortState>
  <tableColumns count="6">
    <tableColumn id="2" xr3:uid="{4CE364BC-AED2-466F-AD4A-A7AF0A177981}" name="Month" dataDxfId="59">
      <calculatedColumnFormula>MONTH(sofiS_table89[[#This Row],[Transaction Date]])</calculatedColumnFormula>
    </tableColumn>
    <tableColumn id="1" xr3:uid="{877FC473-8A28-4E05-8081-93E5687E9438}" name="Transaction Date" dataDxfId="58"/>
    <tableColumn id="3" xr3:uid="{F34D6998-575C-48A5-BB86-AC08C8F42865}" name="Description"/>
    <tableColumn id="4" xr3:uid="{86F17391-1366-414C-A34C-852702DC6258}" name="Amount" dataDxfId="57"/>
    <tableColumn id="6" xr3:uid="{7E2DC85C-DC34-4739-84E5-F670120DD277}" name="Date of Item"/>
    <tableColumn id="5" xr3:uid="{633F32C0-8F0C-493A-9C43-F033729C2BD1}" name="Category"/>
  </tableColumns>
  <tableStyleInfo name="TableStyleMedium1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4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63" Type="http://schemas.openxmlformats.org/officeDocument/2006/relationships/ctrlProp" Target="../ctrlProps/ctrlProp61.xml"/><Relationship Id="rId68" Type="http://schemas.openxmlformats.org/officeDocument/2006/relationships/ctrlProp" Target="../ctrlProps/ctrlProp66.xml"/><Relationship Id="rId84" Type="http://schemas.openxmlformats.org/officeDocument/2006/relationships/ctrlProp" Target="../ctrlProps/ctrlProp82.xml"/><Relationship Id="rId89" Type="http://schemas.openxmlformats.org/officeDocument/2006/relationships/ctrlProp" Target="../ctrlProps/ctrlProp87.xml"/><Relationship Id="rId16" Type="http://schemas.openxmlformats.org/officeDocument/2006/relationships/ctrlProp" Target="../ctrlProps/ctrlProp14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74" Type="http://schemas.openxmlformats.org/officeDocument/2006/relationships/ctrlProp" Target="../ctrlProps/ctrlProp72.xml"/><Relationship Id="rId79" Type="http://schemas.openxmlformats.org/officeDocument/2006/relationships/ctrlProp" Target="../ctrlProps/ctrlProp77.xml"/><Relationship Id="rId5" Type="http://schemas.openxmlformats.org/officeDocument/2006/relationships/ctrlProp" Target="../ctrlProps/ctrlProp3.xml"/><Relationship Id="rId90" Type="http://schemas.openxmlformats.org/officeDocument/2006/relationships/ctrlProp" Target="../ctrlProps/ctrlProp88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80" Type="http://schemas.openxmlformats.org/officeDocument/2006/relationships/ctrlProp" Target="../ctrlProps/ctrlProp78.xml"/><Relationship Id="rId85" Type="http://schemas.openxmlformats.org/officeDocument/2006/relationships/ctrlProp" Target="../ctrlProps/ctrlProp83.xml"/><Relationship Id="rId93" Type="http://schemas.openxmlformats.org/officeDocument/2006/relationships/ctrlProp" Target="../ctrlProps/ctrlProp91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59" Type="http://schemas.openxmlformats.org/officeDocument/2006/relationships/ctrlProp" Target="../ctrlProps/ctrlProp57.xml"/><Relationship Id="rId67" Type="http://schemas.openxmlformats.org/officeDocument/2006/relationships/ctrlProp" Target="../ctrlProps/ctrlProp65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54" Type="http://schemas.openxmlformats.org/officeDocument/2006/relationships/ctrlProp" Target="../ctrlProps/ctrlProp52.xml"/><Relationship Id="rId62" Type="http://schemas.openxmlformats.org/officeDocument/2006/relationships/ctrlProp" Target="../ctrlProps/ctrlProp60.xml"/><Relationship Id="rId70" Type="http://schemas.openxmlformats.org/officeDocument/2006/relationships/ctrlProp" Target="../ctrlProps/ctrlProp68.xml"/><Relationship Id="rId75" Type="http://schemas.openxmlformats.org/officeDocument/2006/relationships/ctrlProp" Target="../ctrlProps/ctrlProp73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91" Type="http://schemas.openxmlformats.org/officeDocument/2006/relationships/ctrlProp" Target="../ctrlProps/ctrlProp89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49" Type="http://schemas.openxmlformats.org/officeDocument/2006/relationships/ctrlProp" Target="../ctrlProps/ctrlProp47.xml"/><Relationship Id="rId57" Type="http://schemas.openxmlformats.org/officeDocument/2006/relationships/ctrlProp" Target="../ctrlProps/ctrlProp5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52" Type="http://schemas.openxmlformats.org/officeDocument/2006/relationships/ctrlProp" Target="../ctrlProps/ctrlProp50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81" Type="http://schemas.openxmlformats.org/officeDocument/2006/relationships/ctrlProp" Target="../ctrlProps/ctrlProp79.xml"/><Relationship Id="rId86" Type="http://schemas.openxmlformats.org/officeDocument/2006/relationships/ctrlProp" Target="../ctrlProps/ctrlProp84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92" Type="http://schemas.openxmlformats.org/officeDocument/2006/relationships/ctrlProp" Target="../ctrlProps/ctrlProp90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4" Type="http://schemas.openxmlformats.org/officeDocument/2006/relationships/ctrlProp" Target="../ctrlProps/ctrlProp22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56" Type="http://schemas.openxmlformats.org/officeDocument/2006/relationships/ctrlProp" Target="../ctrlProps/ctrlProp54.xml"/><Relationship Id="rId77" Type="http://schemas.openxmlformats.org/officeDocument/2006/relationships/ctrlProp" Target="../ctrlProps/ctrlProp7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F722-4DE7-4722-BE83-8012165567D7}">
  <sheetPr>
    <tabColor theme="0"/>
  </sheetPr>
  <dimension ref="A1:AI43"/>
  <sheetViews>
    <sheetView topLeftCell="A10" workbookViewId="0">
      <selection activeCell="C7" sqref="C7"/>
    </sheetView>
  </sheetViews>
  <sheetFormatPr defaultRowHeight="15" x14ac:dyDescent="0.25"/>
  <cols>
    <col min="1" max="1" width="25.28515625" bestFit="1" customWidth="1"/>
    <col min="2" max="2" width="12.85546875" customWidth="1"/>
    <col min="3" max="3" width="10.7109375" bestFit="1" customWidth="1"/>
    <col min="4" max="4" width="10.85546875" bestFit="1" customWidth="1"/>
    <col min="5" max="5" width="11.28515625" bestFit="1" customWidth="1"/>
    <col min="6" max="6" width="11.5703125" bestFit="1" customWidth="1"/>
    <col min="7" max="7" width="11.42578125" bestFit="1" customWidth="1"/>
    <col min="8" max="35" width="11.5703125" bestFit="1" customWidth="1"/>
  </cols>
  <sheetData>
    <row r="1" spans="1:35" x14ac:dyDescent="0.25">
      <c r="A1" t="s">
        <v>935</v>
      </c>
      <c r="B1" s="72">
        <v>919.69</v>
      </c>
      <c r="C1">
        <f>750</f>
        <v>750</v>
      </c>
      <c r="G1" s="2"/>
      <c r="H1" s="2"/>
    </row>
    <row r="2" spans="1:35" x14ac:dyDescent="0.25">
      <c r="A2" t="s">
        <v>896</v>
      </c>
      <c r="B2" s="2">
        <v>18404.810000000001</v>
      </c>
      <c r="C2" s="82">
        <f>SUM(Vincent!$D:$D)</f>
        <v>14427.179999999998</v>
      </c>
      <c r="D2" s="62">
        <v>16</v>
      </c>
      <c r="E2" s="82">
        <f>C2/D2</f>
        <v>901.6987499999999</v>
      </c>
      <c r="F2" s="5">
        <f>SUM(J19:AI19)</f>
        <v>9016.9874999999975</v>
      </c>
    </row>
    <row r="3" spans="1:35" x14ac:dyDescent="0.25">
      <c r="A3" t="s">
        <v>928</v>
      </c>
      <c r="C3" s="5">
        <f>Care_Credit!D26</f>
        <v>5695</v>
      </c>
      <c r="D3">
        <v>24</v>
      </c>
      <c r="E3" s="5">
        <f>C3/D3</f>
        <v>237.29166666666666</v>
      </c>
    </row>
    <row r="4" spans="1:35" x14ac:dyDescent="0.25">
      <c r="A4" t="s">
        <v>931</v>
      </c>
      <c r="C4" s="5">
        <v>22430.560000000001</v>
      </c>
      <c r="D4" s="47">
        <f>C4/E4</f>
        <v>64.622760011524051</v>
      </c>
      <c r="E4" s="5">
        <v>347.1</v>
      </c>
      <c r="J4">
        <v>2732.7</v>
      </c>
    </row>
    <row r="5" spans="1:35" x14ac:dyDescent="0.25">
      <c r="C5" s="5">
        <v>5765.25</v>
      </c>
      <c r="D5" s="83">
        <v>3.4000000000000002E-2</v>
      </c>
      <c r="E5" s="5"/>
      <c r="J5">
        <v>482.24</v>
      </c>
    </row>
    <row r="6" spans="1:35" x14ac:dyDescent="0.25">
      <c r="C6" s="5">
        <v>4868.38</v>
      </c>
      <c r="D6" s="83">
        <v>3.4000000000000002E-2</v>
      </c>
      <c r="E6" s="5"/>
      <c r="J6">
        <f>SUM(J4:J5)</f>
        <v>3214.9399999999996</v>
      </c>
    </row>
    <row r="7" spans="1:35" x14ac:dyDescent="0.25">
      <c r="C7" s="5">
        <v>11796.93</v>
      </c>
      <c r="D7" s="84">
        <v>5.4100000000000002E-2</v>
      </c>
      <c r="E7" s="5"/>
    </row>
    <row r="8" spans="1:35" x14ac:dyDescent="0.25">
      <c r="B8" s="81"/>
      <c r="M8" t="s">
        <v>933</v>
      </c>
      <c r="Y8" t="s">
        <v>934</v>
      </c>
    </row>
    <row r="9" spans="1:35" x14ac:dyDescent="0.25">
      <c r="B9" s="81"/>
    </row>
    <row r="10" spans="1:35" x14ac:dyDescent="0.25">
      <c r="A10" t="s">
        <v>897</v>
      </c>
      <c r="B10" s="80">
        <v>45090</v>
      </c>
      <c r="C10" s="80">
        <f t="shared" ref="C10:X10" si="0">B10+14</f>
        <v>45104</v>
      </c>
      <c r="D10" s="80">
        <f t="shared" si="0"/>
        <v>45118</v>
      </c>
      <c r="E10" s="80">
        <f t="shared" si="0"/>
        <v>45132</v>
      </c>
      <c r="F10" s="80">
        <f t="shared" si="0"/>
        <v>45146</v>
      </c>
      <c r="G10" s="80">
        <f t="shared" si="0"/>
        <v>45160</v>
      </c>
      <c r="H10" s="80">
        <f t="shared" si="0"/>
        <v>45174</v>
      </c>
      <c r="I10" s="80">
        <f t="shared" si="0"/>
        <v>45188</v>
      </c>
      <c r="J10" s="80">
        <f t="shared" si="0"/>
        <v>45202</v>
      </c>
      <c r="K10" s="80">
        <f t="shared" si="0"/>
        <v>45216</v>
      </c>
      <c r="L10" s="80">
        <f t="shared" si="0"/>
        <v>45230</v>
      </c>
      <c r="M10" s="80">
        <f t="shared" si="0"/>
        <v>45244</v>
      </c>
      <c r="N10" s="80">
        <f t="shared" si="0"/>
        <v>45258</v>
      </c>
      <c r="O10" s="80">
        <f t="shared" si="0"/>
        <v>45272</v>
      </c>
      <c r="P10" s="80">
        <f t="shared" si="0"/>
        <v>45286</v>
      </c>
      <c r="Q10" s="80">
        <f t="shared" si="0"/>
        <v>45300</v>
      </c>
      <c r="R10" s="80">
        <f t="shared" si="0"/>
        <v>45314</v>
      </c>
      <c r="S10" s="80">
        <f t="shared" si="0"/>
        <v>45328</v>
      </c>
      <c r="T10" s="80">
        <f t="shared" si="0"/>
        <v>45342</v>
      </c>
      <c r="U10" s="80">
        <f t="shared" si="0"/>
        <v>45356</v>
      </c>
      <c r="V10" s="80">
        <f t="shared" si="0"/>
        <v>45370</v>
      </c>
      <c r="W10" s="80">
        <f t="shared" si="0"/>
        <v>45384</v>
      </c>
      <c r="X10" s="80">
        <f t="shared" si="0"/>
        <v>45398</v>
      </c>
      <c r="Y10" s="80">
        <f>X10+14</f>
        <v>45412</v>
      </c>
      <c r="Z10" s="80">
        <f t="shared" ref="Z10:AD10" si="1">Y10+14</f>
        <v>45426</v>
      </c>
      <c r="AA10" s="80">
        <f t="shared" si="1"/>
        <v>45440</v>
      </c>
      <c r="AB10" s="80">
        <f t="shared" si="1"/>
        <v>45454</v>
      </c>
      <c r="AC10" s="80">
        <f t="shared" si="1"/>
        <v>45468</v>
      </c>
      <c r="AD10" s="80">
        <f t="shared" si="1"/>
        <v>45482</v>
      </c>
      <c r="AE10" s="80">
        <f t="shared" ref="AE10" si="2">AD10+14</f>
        <v>45496</v>
      </c>
      <c r="AF10" s="80">
        <f t="shared" ref="AF10" si="3">AE10+14</f>
        <v>45510</v>
      </c>
      <c r="AG10" s="80">
        <f t="shared" ref="AG10" si="4">AF10+14</f>
        <v>45524</v>
      </c>
      <c r="AH10" s="80">
        <f t="shared" ref="AH10" si="5">AG10+14</f>
        <v>45538</v>
      </c>
      <c r="AI10" s="80">
        <f t="shared" ref="AI10" si="6">AH10+14</f>
        <v>45552</v>
      </c>
    </row>
    <row r="11" spans="1:35" x14ac:dyDescent="0.25">
      <c r="A11" t="s">
        <v>895</v>
      </c>
      <c r="B11" s="2">
        <v>2258.37</v>
      </c>
      <c r="C11" s="2">
        <f>B11</f>
        <v>2258.37</v>
      </c>
      <c r="D11" s="2">
        <f t="shared" ref="D11:H11" si="7">C11</f>
        <v>2258.37</v>
      </c>
      <c r="E11" s="2">
        <f t="shared" si="7"/>
        <v>2258.37</v>
      </c>
      <c r="F11" s="2">
        <f t="shared" si="7"/>
        <v>2258.37</v>
      </c>
      <c r="G11" s="2">
        <f t="shared" si="7"/>
        <v>2258.37</v>
      </c>
      <c r="H11" s="2">
        <f t="shared" si="7"/>
        <v>2258.37</v>
      </c>
      <c r="I11" s="2">
        <v>2732.7</v>
      </c>
      <c r="J11" s="2">
        <v>2732.7</v>
      </c>
      <c r="K11" s="2">
        <v>2732.7</v>
      </c>
      <c r="L11" s="2">
        <v>2732.7</v>
      </c>
      <c r="M11" s="2">
        <v>2732.7</v>
      </c>
      <c r="N11" s="2">
        <v>2732.7</v>
      </c>
      <c r="O11" s="2">
        <v>2732.7</v>
      </c>
      <c r="P11" s="2">
        <v>2732.7</v>
      </c>
      <c r="Q11" s="2">
        <v>2732.7</v>
      </c>
      <c r="R11" s="2">
        <v>2732.7</v>
      </c>
      <c r="S11" s="2">
        <v>2732.7</v>
      </c>
      <c r="T11" s="2">
        <v>2732.7</v>
      </c>
      <c r="U11" s="2">
        <v>2732.7</v>
      </c>
      <c r="V11" s="2">
        <v>2732.7</v>
      </c>
      <c r="W11" s="2">
        <v>2732.7</v>
      </c>
      <c r="X11" s="2">
        <v>2732.7</v>
      </c>
      <c r="Y11" s="2">
        <v>2732.7</v>
      </c>
      <c r="Z11" s="2">
        <v>2732.7</v>
      </c>
      <c r="AA11" s="2">
        <v>2732.7</v>
      </c>
      <c r="AB11" s="2">
        <v>2732.7</v>
      </c>
      <c r="AC11" s="2">
        <v>2732.7</v>
      </c>
      <c r="AD11" s="2">
        <v>2732.7</v>
      </c>
      <c r="AE11" s="2">
        <v>2732.7</v>
      </c>
      <c r="AF11" s="2">
        <v>2732.7</v>
      </c>
      <c r="AG11" s="2">
        <v>2732.7</v>
      </c>
      <c r="AH11" s="2">
        <v>2732.7</v>
      </c>
      <c r="AI11" s="2">
        <v>2732.7</v>
      </c>
    </row>
    <row r="12" spans="1:35" x14ac:dyDescent="0.25">
      <c r="A12" t="s">
        <v>495</v>
      </c>
      <c r="B12" s="2">
        <v>398.53</v>
      </c>
      <c r="C12" s="2">
        <v>398.53</v>
      </c>
      <c r="D12" s="2">
        <v>398.53</v>
      </c>
      <c r="E12" s="2">
        <v>398.53</v>
      </c>
      <c r="F12" s="2">
        <v>398.53</v>
      </c>
      <c r="G12" s="2">
        <v>398.53</v>
      </c>
      <c r="H12" s="2">
        <v>398.53</v>
      </c>
      <c r="I12" s="2">
        <v>482.24</v>
      </c>
      <c r="J12" s="2">
        <v>482.24</v>
      </c>
      <c r="K12" s="2">
        <v>482.24</v>
      </c>
      <c r="L12" s="2">
        <v>482.24</v>
      </c>
      <c r="M12" s="2">
        <v>482.24</v>
      </c>
      <c r="N12" s="2">
        <v>482.24</v>
      </c>
      <c r="O12" s="2">
        <v>482.24</v>
      </c>
      <c r="P12" s="2">
        <v>482.24</v>
      </c>
      <c r="Q12" s="2">
        <v>482.24</v>
      </c>
      <c r="R12" s="2">
        <v>482.24</v>
      </c>
      <c r="S12" s="2">
        <v>482.24</v>
      </c>
      <c r="T12" s="2">
        <v>482.24</v>
      </c>
      <c r="U12" s="2">
        <v>482.24</v>
      </c>
      <c r="V12" s="2">
        <v>482.24</v>
      </c>
      <c r="W12" s="2">
        <v>482.24</v>
      </c>
      <c r="X12" s="2">
        <v>482.24</v>
      </c>
      <c r="Y12" s="2">
        <v>482.24</v>
      </c>
      <c r="Z12" s="2">
        <v>482.24</v>
      </c>
      <c r="AA12" s="2">
        <v>482.24</v>
      </c>
      <c r="AB12" s="2">
        <v>482.24</v>
      </c>
      <c r="AC12" s="2">
        <v>482.24</v>
      </c>
      <c r="AD12" s="2">
        <v>482.24</v>
      </c>
      <c r="AE12" s="2">
        <v>482.24</v>
      </c>
      <c r="AF12" s="2">
        <v>482.24</v>
      </c>
      <c r="AG12" s="2">
        <v>482.24</v>
      </c>
      <c r="AH12" s="2">
        <v>482.24</v>
      </c>
      <c r="AI12" s="2">
        <v>482.24</v>
      </c>
    </row>
    <row r="13" spans="1:35" x14ac:dyDescent="0.25">
      <c r="B13" s="2">
        <v>2656.9</v>
      </c>
      <c r="C13" s="2">
        <v>2656.9</v>
      </c>
      <c r="D13" s="2">
        <v>2656.9</v>
      </c>
      <c r="E13" s="2">
        <v>2656.9</v>
      </c>
      <c r="F13" s="2">
        <v>2656.9100000000003</v>
      </c>
      <c r="G13" s="2">
        <v>2656.89</v>
      </c>
      <c r="H13" s="2">
        <v>2656.9100000000003</v>
      </c>
      <c r="I13" s="2">
        <f>SUM(I11:I12)</f>
        <v>3214.9399999999996</v>
      </c>
      <c r="J13" s="2">
        <f t="shared" ref="J13:AI13" si="8">SUM(J11:J12)</f>
        <v>3214.9399999999996</v>
      </c>
      <c r="K13" s="2">
        <f t="shared" si="8"/>
        <v>3214.9399999999996</v>
      </c>
      <c r="L13" s="2">
        <f t="shared" si="8"/>
        <v>3214.9399999999996</v>
      </c>
      <c r="M13" s="2">
        <f t="shared" si="8"/>
        <v>3214.9399999999996</v>
      </c>
      <c r="N13" s="2">
        <f t="shared" si="8"/>
        <v>3214.9399999999996</v>
      </c>
      <c r="O13" s="2">
        <f t="shared" si="8"/>
        <v>3214.9399999999996</v>
      </c>
      <c r="P13" s="2">
        <f t="shared" si="8"/>
        <v>3214.9399999999996</v>
      </c>
      <c r="Q13" s="2">
        <f t="shared" si="8"/>
        <v>3214.9399999999996</v>
      </c>
      <c r="R13" s="2">
        <f t="shared" si="8"/>
        <v>3214.9399999999996</v>
      </c>
      <c r="S13" s="2">
        <f t="shared" si="8"/>
        <v>3214.9399999999996</v>
      </c>
      <c r="T13" s="2">
        <f t="shared" si="8"/>
        <v>3214.9399999999996</v>
      </c>
      <c r="U13" s="2">
        <f t="shared" si="8"/>
        <v>3214.9399999999996</v>
      </c>
      <c r="V13" s="2">
        <f t="shared" si="8"/>
        <v>3214.9399999999996</v>
      </c>
      <c r="W13" s="2">
        <f t="shared" si="8"/>
        <v>3214.9399999999996</v>
      </c>
      <c r="X13" s="2">
        <f t="shared" si="8"/>
        <v>3214.9399999999996</v>
      </c>
      <c r="Y13" s="2">
        <f t="shared" si="8"/>
        <v>3214.9399999999996</v>
      </c>
      <c r="Z13" s="2">
        <f t="shared" si="8"/>
        <v>3214.9399999999996</v>
      </c>
      <c r="AA13" s="2">
        <f t="shared" si="8"/>
        <v>3214.9399999999996</v>
      </c>
      <c r="AB13" s="2">
        <f t="shared" si="8"/>
        <v>3214.9399999999996</v>
      </c>
      <c r="AC13" s="2">
        <f t="shared" si="8"/>
        <v>3214.9399999999996</v>
      </c>
      <c r="AD13" s="2">
        <f t="shared" si="8"/>
        <v>3214.9399999999996</v>
      </c>
      <c r="AE13" s="2">
        <f t="shared" si="8"/>
        <v>3214.9399999999996</v>
      </c>
      <c r="AF13" s="2">
        <f t="shared" si="8"/>
        <v>3214.9399999999996</v>
      </c>
      <c r="AG13" s="2">
        <f t="shared" si="8"/>
        <v>3214.9399999999996</v>
      </c>
      <c r="AH13" s="2">
        <f t="shared" si="8"/>
        <v>3214.9399999999996</v>
      </c>
      <c r="AI13" s="2">
        <f t="shared" si="8"/>
        <v>3214.9399999999996</v>
      </c>
    </row>
    <row r="14" spans="1:35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x14ac:dyDescent="0.25">
      <c r="A15" t="s">
        <v>898</v>
      </c>
      <c r="B15" s="2">
        <f>B1</f>
        <v>919.69</v>
      </c>
      <c r="C15" s="2">
        <f>B32</f>
        <v>319.41722222222234</v>
      </c>
      <c r="D15" s="2">
        <f t="shared" ref="D15:S15" si="9">C32</f>
        <v>2068.8944444444446</v>
      </c>
      <c r="E15" s="2">
        <f t="shared" si="9"/>
        <v>1195.9956944444448</v>
      </c>
      <c r="F15" s="2">
        <f t="shared" si="9"/>
        <v>2701.1969444444449</v>
      </c>
      <c r="G15" s="2">
        <f t="shared" si="9"/>
        <v>2068.8081944444457</v>
      </c>
      <c r="H15" s="2">
        <f t="shared" si="9"/>
        <v>2804.1994444444454</v>
      </c>
      <c r="I15" s="2">
        <f t="shared" si="9"/>
        <v>1770.0806944444462</v>
      </c>
      <c r="J15" s="2">
        <f t="shared" si="9"/>
        <v>3681.6002777777785</v>
      </c>
      <c r="K15" s="2">
        <f t="shared" si="9"/>
        <v>2704.609861111112</v>
      </c>
      <c r="L15" s="2">
        <f t="shared" si="9"/>
        <v>4616.1194444444445</v>
      </c>
      <c r="M15" s="17">
        <f t="shared" si="9"/>
        <v>6538.2590277777781</v>
      </c>
      <c r="N15" s="2">
        <f t="shared" si="9"/>
        <v>5879.5086111111104</v>
      </c>
      <c r="O15" s="2">
        <f t="shared" si="9"/>
        <v>7801.648194444444</v>
      </c>
      <c r="P15" s="2">
        <f t="shared" si="9"/>
        <v>7142.8977777777782</v>
      </c>
      <c r="Q15" s="2">
        <f t="shared" si="9"/>
        <v>9065.0373611111117</v>
      </c>
      <c r="R15" s="2">
        <f t="shared" si="9"/>
        <v>8406.2869444444459</v>
      </c>
      <c r="S15" s="2">
        <f t="shared" si="9"/>
        <v>10328.426527777779</v>
      </c>
      <c r="T15" s="2">
        <f>S32</f>
        <v>9669.6761111111136</v>
      </c>
      <c r="U15" s="2">
        <f t="shared" ref="U15:X15" si="10">T32</f>
        <v>12493.514444444447</v>
      </c>
      <c r="V15" s="2">
        <f t="shared" si="10"/>
        <v>12736.462777777781</v>
      </c>
      <c r="W15" s="2">
        <f t="shared" si="10"/>
        <v>15560.301111111114</v>
      </c>
      <c r="X15" s="2">
        <f t="shared" si="10"/>
        <v>15803.249444444447</v>
      </c>
      <c r="Y15" s="17">
        <f t="shared" ref="Y15" si="11">X32</f>
        <v>18627.087777777782</v>
      </c>
      <c r="Z15" s="2">
        <f t="shared" ref="Z15:AD15" si="12">Y32</f>
        <v>21604.736111111113</v>
      </c>
      <c r="AA15" s="2">
        <f t="shared" si="12"/>
        <v>21693.874444444446</v>
      </c>
      <c r="AB15" s="2">
        <f t="shared" si="12"/>
        <v>24671.522777777776</v>
      </c>
      <c r="AC15" s="2">
        <f t="shared" si="12"/>
        <v>24997.952777777777</v>
      </c>
      <c r="AD15" s="2">
        <f t="shared" si="12"/>
        <v>28212.892777777775</v>
      </c>
      <c r="AE15" s="2">
        <f t="shared" ref="AE15" si="13">AD32</f>
        <v>28539.322777777772</v>
      </c>
      <c r="AF15" s="2">
        <f t="shared" ref="AF15" si="14">AE32</f>
        <v>31754.262777777771</v>
      </c>
      <c r="AG15" s="2">
        <f t="shared" ref="AG15" si="15">AF32</f>
        <v>32080.692777777767</v>
      </c>
      <c r="AH15" s="2">
        <f t="shared" ref="AH15" si="16">AG32</f>
        <v>35295.63277777777</v>
      </c>
      <c r="AI15" s="2">
        <f t="shared" ref="AI15" si="17">AH32</f>
        <v>35775.872777777775</v>
      </c>
    </row>
    <row r="17" spans="1:35" x14ac:dyDescent="0.25"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0</v>
      </c>
    </row>
    <row r="18" spans="1:35" x14ac:dyDescent="0.25">
      <c r="B18" s="79">
        <f>EOMONTH(B10,-1)+1</f>
        <v>45078</v>
      </c>
      <c r="C18" s="79"/>
      <c r="D18" s="79">
        <f>EOMONTH(D10,-1)+1</f>
        <v>45108</v>
      </c>
      <c r="E18" s="79"/>
      <c r="F18" s="79">
        <f>EOMONTH(F10,-1)+1</f>
        <v>45139</v>
      </c>
      <c r="G18" s="79"/>
      <c r="H18" s="79">
        <f>EOMONTH(H10,-1)+1</f>
        <v>45170</v>
      </c>
      <c r="I18" s="79"/>
      <c r="J18" s="79">
        <f>EOMONTH(J10,-1)+1</f>
        <v>45200</v>
      </c>
      <c r="K18" s="79"/>
      <c r="L18" s="79"/>
      <c r="M18" s="79">
        <f>EOMONTH(M10,-1)+1</f>
        <v>45231</v>
      </c>
      <c r="N18" s="79"/>
      <c r="O18" s="79">
        <f>EOMONTH(O10,-1)+1</f>
        <v>45261</v>
      </c>
      <c r="P18" s="79"/>
      <c r="Q18" s="79">
        <f>EOMONTH(Q10,-1)+1</f>
        <v>45292</v>
      </c>
      <c r="R18" s="79"/>
      <c r="S18" s="79">
        <f>EOMONTH(S10,-1)+1</f>
        <v>45323</v>
      </c>
      <c r="T18" s="79"/>
      <c r="U18" s="79">
        <f>EOMONTH(U10,-1)+1</f>
        <v>45352</v>
      </c>
      <c r="V18" s="79"/>
      <c r="W18" s="79">
        <f>EOMONTH(W10,-1)+1</f>
        <v>45383</v>
      </c>
      <c r="X18" s="79"/>
      <c r="Y18" s="79"/>
      <c r="Z18" s="79">
        <f>EOMONTH(Z10,-1)+1</f>
        <v>45413</v>
      </c>
      <c r="AA18" s="79"/>
      <c r="AB18" s="79">
        <f>EOMONTH(AB10,-1)+1</f>
        <v>45444</v>
      </c>
      <c r="AC18" s="79"/>
      <c r="AD18" s="79">
        <f>EOMONTH(AD10,-1)+1</f>
        <v>45474</v>
      </c>
      <c r="AE18" s="79"/>
      <c r="AF18" s="79">
        <f t="shared" ref="AF18:AH18" si="18">EOMONTH(AF10,-1)+1</f>
        <v>45505</v>
      </c>
      <c r="AG18" s="79"/>
      <c r="AH18" s="79">
        <f t="shared" si="18"/>
        <v>45536</v>
      </c>
      <c r="AI18" s="79"/>
    </row>
    <row r="19" spans="1:35" x14ac:dyDescent="0.25">
      <c r="A19" t="s">
        <v>899</v>
      </c>
      <c r="B19" s="78">
        <v>907.42277777777792</v>
      </c>
      <c r="C19" s="78">
        <v>907.42277777777792</v>
      </c>
      <c r="D19" s="73">
        <f t="shared" ref="D19:S19" si="19">$E$2</f>
        <v>901.6987499999999</v>
      </c>
      <c r="E19" s="73">
        <f t="shared" si="19"/>
        <v>901.6987499999999</v>
      </c>
      <c r="F19" s="73">
        <f t="shared" si="19"/>
        <v>901.6987499999999</v>
      </c>
      <c r="G19" s="73">
        <f t="shared" si="19"/>
        <v>901.6987499999999</v>
      </c>
      <c r="H19" s="73">
        <f t="shared" si="19"/>
        <v>901.6987499999999</v>
      </c>
      <c r="I19" s="73">
        <f t="shared" si="19"/>
        <v>901.6987499999999</v>
      </c>
      <c r="J19" s="73">
        <f t="shared" si="19"/>
        <v>901.6987499999999</v>
      </c>
      <c r="K19" s="73">
        <f t="shared" si="19"/>
        <v>901.6987499999999</v>
      </c>
      <c r="L19" s="73">
        <f t="shared" si="19"/>
        <v>901.6987499999999</v>
      </c>
      <c r="M19" s="73">
        <f t="shared" si="19"/>
        <v>901.6987499999999</v>
      </c>
      <c r="N19" s="73">
        <f t="shared" si="19"/>
        <v>901.6987499999999</v>
      </c>
      <c r="O19" s="73">
        <f t="shared" si="19"/>
        <v>901.6987499999999</v>
      </c>
      <c r="P19" s="73">
        <f t="shared" si="19"/>
        <v>901.6987499999999</v>
      </c>
      <c r="Q19" s="73">
        <f t="shared" si="19"/>
        <v>901.6987499999999</v>
      </c>
      <c r="R19" s="73">
        <f t="shared" si="19"/>
        <v>901.6987499999999</v>
      </c>
      <c r="S19" s="73">
        <f t="shared" si="19"/>
        <v>901.6987499999999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0</v>
      </c>
      <c r="Z19" s="73">
        <v>0</v>
      </c>
      <c r="AA19" s="73">
        <v>0</v>
      </c>
      <c r="AB19" s="73">
        <v>0</v>
      </c>
      <c r="AC19" s="73">
        <v>0</v>
      </c>
      <c r="AD19" s="73">
        <v>0</v>
      </c>
      <c r="AE19" s="73">
        <v>0</v>
      </c>
      <c r="AF19" s="73">
        <v>0</v>
      </c>
      <c r="AG19" s="73">
        <v>0</v>
      </c>
      <c r="AH19" s="73">
        <v>0</v>
      </c>
      <c r="AI19" s="73">
        <v>0</v>
      </c>
    </row>
    <row r="20" spans="1:35" x14ac:dyDescent="0.25">
      <c r="A20" t="s">
        <v>929</v>
      </c>
      <c r="B20" s="78"/>
      <c r="C20" s="78"/>
      <c r="D20" s="73">
        <v>428</v>
      </c>
      <c r="E20" s="73">
        <v>250</v>
      </c>
      <c r="F20" s="73"/>
      <c r="G20" s="73"/>
      <c r="H20" s="73">
        <v>237.29</v>
      </c>
      <c r="I20" s="73">
        <f t="shared" ref="I20:AA20" si="20">$E$3</f>
        <v>237.29166666666666</v>
      </c>
      <c r="J20" s="73">
        <f t="shared" si="20"/>
        <v>237.29166666666666</v>
      </c>
      <c r="K20" s="73">
        <f t="shared" si="20"/>
        <v>237.29166666666666</v>
      </c>
      <c r="L20" s="73">
        <f t="shared" si="20"/>
        <v>237.29166666666666</v>
      </c>
      <c r="M20" s="73">
        <f t="shared" si="20"/>
        <v>237.29166666666666</v>
      </c>
      <c r="N20" s="73">
        <f t="shared" si="20"/>
        <v>237.29166666666666</v>
      </c>
      <c r="O20" s="73">
        <f t="shared" si="20"/>
        <v>237.29166666666666</v>
      </c>
      <c r="P20" s="73">
        <f t="shared" si="20"/>
        <v>237.29166666666666</v>
      </c>
      <c r="Q20" s="73">
        <f t="shared" si="20"/>
        <v>237.29166666666666</v>
      </c>
      <c r="R20" s="73">
        <f t="shared" si="20"/>
        <v>237.29166666666666</v>
      </c>
      <c r="S20" s="73">
        <f t="shared" si="20"/>
        <v>237.29166666666666</v>
      </c>
      <c r="T20" s="73">
        <f t="shared" si="20"/>
        <v>237.29166666666666</v>
      </c>
      <c r="U20" s="73">
        <f t="shared" si="20"/>
        <v>237.29166666666666</v>
      </c>
      <c r="V20" s="73">
        <f t="shared" si="20"/>
        <v>237.29166666666666</v>
      </c>
      <c r="W20" s="73">
        <f t="shared" si="20"/>
        <v>237.29166666666666</v>
      </c>
      <c r="X20" s="73">
        <f t="shared" si="20"/>
        <v>237.29166666666666</v>
      </c>
      <c r="Y20" s="73">
        <f t="shared" si="20"/>
        <v>237.29166666666666</v>
      </c>
      <c r="Z20" s="73">
        <f t="shared" si="20"/>
        <v>237.29166666666666</v>
      </c>
      <c r="AA20" s="73">
        <f t="shared" si="20"/>
        <v>237.29166666666666</v>
      </c>
      <c r="AB20" s="73">
        <v>0</v>
      </c>
      <c r="AC20" s="73">
        <v>0</v>
      </c>
      <c r="AD20" s="73">
        <v>0</v>
      </c>
      <c r="AE20" s="73">
        <v>0</v>
      </c>
      <c r="AF20" s="73">
        <v>0</v>
      </c>
      <c r="AG20" s="73">
        <v>0</v>
      </c>
      <c r="AH20" s="73">
        <v>0</v>
      </c>
      <c r="AI20" s="73">
        <v>0</v>
      </c>
    </row>
    <row r="21" spans="1:35" x14ac:dyDescent="0.25">
      <c r="A21" t="s">
        <v>932</v>
      </c>
      <c r="B21" s="78"/>
      <c r="C21" s="78"/>
      <c r="D21" s="73"/>
      <c r="E21" s="73"/>
      <c r="F21" s="73"/>
      <c r="G21" s="73"/>
      <c r="H21" s="73"/>
      <c r="I21" s="73"/>
      <c r="J21" s="73">
        <v>347.1</v>
      </c>
      <c r="K21" s="73"/>
      <c r="L21" s="73"/>
      <c r="M21" s="73">
        <v>347.1</v>
      </c>
      <c r="N21" s="73"/>
      <c r="O21" s="73">
        <v>347.1</v>
      </c>
      <c r="P21" s="73"/>
      <c r="Q21" s="73">
        <v>347.1</v>
      </c>
      <c r="R21" s="73"/>
      <c r="S21" s="73">
        <v>347.1</v>
      </c>
      <c r="T21" s="73"/>
      <c r="U21" s="73">
        <f>$E$4</f>
        <v>347.1</v>
      </c>
      <c r="V21" s="73"/>
      <c r="W21" s="73">
        <f>$E$4</f>
        <v>347.1</v>
      </c>
      <c r="X21" s="73"/>
      <c r="Y21" s="73"/>
      <c r="Z21" s="73">
        <f>$E$4</f>
        <v>347.1</v>
      </c>
      <c r="AA21" s="73"/>
      <c r="AB21" s="73">
        <f>$E$4</f>
        <v>347.1</v>
      </c>
      <c r="AC21" s="73"/>
      <c r="AD21" s="73">
        <f>$E$4</f>
        <v>347.1</v>
      </c>
      <c r="AE21" s="73"/>
      <c r="AF21" s="73">
        <f>$E$4</f>
        <v>347.1</v>
      </c>
      <c r="AG21" s="73"/>
      <c r="AH21" s="73">
        <f>$E$4</f>
        <v>347.1</v>
      </c>
      <c r="AI21" s="73"/>
    </row>
    <row r="22" spans="1:35" x14ac:dyDescent="0.25">
      <c r="A22" t="s">
        <v>1092</v>
      </c>
      <c r="B22" s="78"/>
      <c r="C22" s="78"/>
      <c r="D22" s="73"/>
      <c r="E22" s="73"/>
      <c r="F22" s="73"/>
      <c r="G22" s="73"/>
      <c r="H22" s="73"/>
      <c r="I22" s="73"/>
      <c r="J22" s="73">
        <v>153.81</v>
      </c>
      <c r="K22" s="73"/>
      <c r="L22" s="73">
        <v>153.81</v>
      </c>
      <c r="M22" s="73"/>
      <c r="N22" s="73">
        <v>153.81</v>
      </c>
      <c r="O22" s="73"/>
      <c r="P22" s="73">
        <v>153.81</v>
      </c>
      <c r="Q22" s="73"/>
      <c r="R22" s="73">
        <v>153.81</v>
      </c>
      <c r="S22" s="73"/>
      <c r="T22" s="73">
        <v>153.81</v>
      </c>
      <c r="U22" s="73"/>
      <c r="V22" s="73">
        <v>153.81</v>
      </c>
      <c r="W22" s="73"/>
      <c r="X22" s="73">
        <v>153.81</v>
      </c>
      <c r="Y22" s="73"/>
      <c r="Z22" s="73">
        <v>153.81</v>
      </c>
      <c r="AA22" s="73"/>
      <c r="AB22" s="73">
        <v>153.81</v>
      </c>
      <c r="AC22" s="73"/>
      <c r="AD22" s="73">
        <v>153.81</v>
      </c>
      <c r="AE22" s="73"/>
      <c r="AF22" s="73">
        <v>153.81</v>
      </c>
      <c r="AG22" s="73"/>
      <c r="AH22" s="73"/>
      <c r="AI22" s="73"/>
    </row>
    <row r="23" spans="1:35" x14ac:dyDescent="0.25">
      <c r="A23" t="s">
        <v>1093</v>
      </c>
      <c r="B23" s="78"/>
      <c r="C23" s="78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</row>
    <row r="24" spans="1:35" x14ac:dyDescent="0.25">
      <c r="A24" t="s">
        <v>1094</v>
      </c>
      <c r="B24" s="78"/>
      <c r="C24" s="78"/>
      <c r="D24" s="73"/>
      <c r="E24" s="73"/>
      <c r="F24" s="73"/>
      <c r="G24" s="73"/>
      <c r="H24" s="73">
        <v>164.44</v>
      </c>
      <c r="I24" s="73">
        <v>164.43</v>
      </c>
      <c r="J24" s="73">
        <v>164.43</v>
      </c>
      <c r="K24" s="73">
        <v>164.44</v>
      </c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</row>
    <row r="25" spans="1:35" x14ac:dyDescent="0.25">
      <c r="A25" t="s">
        <v>1096</v>
      </c>
      <c r="B25" s="78"/>
      <c r="C25" s="78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</row>
    <row r="26" spans="1:35" x14ac:dyDescent="0.25">
      <c r="A26" t="s">
        <v>853</v>
      </c>
      <c r="B26" s="2">
        <v>125.1</v>
      </c>
      <c r="C26" s="2"/>
      <c r="D26" s="2">
        <v>125.1</v>
      </c>
      <c r="E26" s="2"/>
      <c r="F26" s="2">
        <v>125.1</v>
      </c>
      <c r="G26" s="2"/>
      <c r="H26" s="2">
        <v>125.1</v>
      </c>
      <c r="I26" s="2"/>
      <c r="J26" s="2">
        <v>125.1</v>
      </c>
      <c r="L26" s="2"/>
      <c r="M26" s="2">
        <v>125.1</v>
      </c>
      <c r="N26" s="2"/>
      <c r="O26" s="2">
        <v>125.1</v>
      </c>
      <c r="P26" s="2"/>
      <c r="Q26" s="2">
        <v>125.1</v>
      </c>
      <c r="R26" s="2"/>
      <c r="S26" s="2">
        <v>125.1</v>
      </c>
      <c r="T26" s="2"/>
      <c r="U26" s="2">
        <v>125.1</v>
      </c>
      <c r="V26" s="2"/>
      <c r="W26" s="2">
        <v>125.1</v>
      </c>
      <c r="X26" s="2"/>
      <c r="Z26" s="2">
        <v>125.1</v>
      </c>
      <c r="AA26" s="2"/>
      <c r="AB26" s="2">
        <v>125.1</v>
      </c>
      <c r="AC26" s="2"/>
      <c r="AD26" s="2">
        <v>125.1</v>
      </c>
      <c r="AE26" s="2"/>
      <c r="AF26" s="2">
        <v>125.1</v>
      </c>
      <c r="AG26" s="2"/>
      <c r="AH26" s="2">
        <v>125.1</v>
      </c>
      <c r="AI26" s="2"/>
    </row>
    <row r="27" spans="1:35" x14ac:dyDescent="0.25">
      <c r="A27" t="s">
        <v>106</v>
      </c>
      <c r="B27" s="2">
        <v>625</v>
      </c>
      <c r="C27" s="2"/>
      <c r="D27" s="2">
        <v>625</v>
      </c>
      <c r="E27" s="2"/>
      <c r="F27" s="2">
        <v>812.5</v>
      </c>
      <c r="G27" s="2"/>
      <c r="H27" s="2">
        <v>812.5</v>
      </c>
      <c r="I27" s="2"/>
      <c r="J27" s="2">
        <v>812.5</v>
      </c>
      <c r="L27" s="2"/>
      <c r="M27" s="2">
        <v>812.5</v>
      </c>
      <c r="N27" s="2"/>
      <c r="O27" s="2">
        <v>812.5</v>
      </c>
      <c r="P27" s="2"/>
      <c r="Q27" s="2">
        <v>812.5</v>
      </c>
      <c r="R27" s="2"/>
      <c r="S27" s="2">
        <v>812.5</v>
      </c>
      <c r="T27" s="2"/>
      <c r="U27" s="2">
        <v>812.5</v>
      </c>
      <c r="V27" s="2"/>
      <c r="W27" s="2">
        <v>812.5</v>
      </c>
      <c r="X27" s="2"/>
      <c r="Z27" s="2">
        <v>812.5</v>
      </c>
      <c r="AA27" s="2"/>
      <c r="AB27" s="2">
        <v>812.5</v>
      </c>
      <c r="AC27" s="2"/>
      <c r="AD27" s="2">
        <v>812.5</v>
      </c>
      <c r="AE27" s="2"/>
      <c r="AF27" s="2">
        <v>812.5</v>
      </c>
      <c r="AG27" s="2"/>
      <c r="AH27" s="2">
        <v>812.5</v>
      </c>
      <c r="AI27" s="2"/>
    </row>
    <row r="28" spans="1:35" x14ac:dyDescent="0.25">
      <c r="A28" t="s">
        <v>900</v>
      </c>
      <c r="B28" s="74">
        <f>Summary!J45</f>
        <v>849.65</v>
      </c>
      <c r="C28" s="74"/>
      <c r="D28" s="74">
        <v>700</v>
      </c>
      <c r="E28" s="74"/>
      <c r="F28" s="74">
        <v>700</v>
      </c>
      <c r="G28" s="74"/>
      <c r="H28" s="74">
        <v>700</v>
      </c>
      <c r="I28" s="74"/>
      <c r="J28" s="74">
        <v>700</v>
      </c>
      <c r="L28" s="74"/>
      <c r="M28" s="74">
        <v>700</v>
      </c>
      <c r="N28" s="74"/>
      <c r="O28" s="74">
        <v>700</v>
      </c>
      <c r="P28" s="74"/>
      <c r="Q28" s="74">
        <v>700</v>
      </c>
      <c r="R28" s="74"/>
      <c r="S28" s="74">
        <v>700</v>
      </c>
      <c r="T28" s="74"/>
      <c r="U28" s="74">
        <v>700</v>
      </c>
      <c r="V28" s="74"/>
      <c r="W28" s="74">
        <v>700</v>
      </c>
      <c r="X28" s="74"/>
      <c r="Z28" s="74">
        <v>700</v>
      </c>
      <c r="AA28" s="74"/>
      <c r="AB28" s="74">
        <v>700</v>
      </c>
      <c r="AC28" s="74"/>
      <c r="AD28" s="74">
        <v>700</v>
      </c>
      <c r="AE28" s="74"/>
      <c r="AF28" s="74">
        <v>700</v>
      </c>
      <c r="AG28" s="74"/>
      <c r="AH28" s="74">
        <v>700</v>
      </c>
      <c r="AI28" s="74"/>
    </row>
    <row r="29" spans="1:35" x14ac:dyDescent="0.25">
      <c r="A29" t="s">
        <v>901</v>
      </c>
      <c r="B29" s="74">
        <f>$C$1</f>
        <v>750</v>
      </c>
      <c r="C29" s="74"/>
      <c r="D29" s="74">
        <f>$C$1</f>
        <v>750</v>
      </c>
      <c r="E29" s="74"/>
      <c r="F29" s="74">
        <f>$C$1</f>
        <v>750</v>
      </c>
      <c r="G29" s="74"/>
      <c r="H29" s="74">
        <f>$C$1</f>
        <v>750</v>
      </c>
      <c r="I29" s="74"/>
      <c r="J29" s="74">
        <f>$C$1</f>
        <v>750</v>
      </c>
      <c r="L29" s="74"/>
      <c r="M29" s="74">
        <f>$C$1</f>
        <v>750</v>
      </c>
      <c r="N29" s="74"/>
      <c r="O29" s="74">
        <f>$C$1</f>
        <v>750</v>
      </c>
      <c r="P29" s="74"/>
      <c r="Q29" s="74">
        <f>$C$1</f>
        <v>750</v>
      </c>
      <c r="R29" s="74"/>
      <c r="S29" s="74">
        <f>$C$1</f>
        <v>750</v>
      </c>
      <c r="T29" s="74"/>
      <c r="U29" s="74">
        <f>$C$1</f>
        <v>750</v>
      </c>
      <c r="V29" s="74"/>
      <c r="W29" s="74">
        <f>$C$1</f>
        <v>750</v>
      </c>
      <c r="X29" s="74"/>
      <c r="Z29" s="74">
        <f>$C$1</f>
        <v>750</v>
      </c>
      <c r="AA29" s="74"/>
      <c r="AB29" s="74">
        <f>$C$1</f>
        <v>750</v>
      </c>
      <c r="AC29" s="74"/>
      <c r="AD29" s="74">
        <f>$C$1</f>
        <v>750</v>
      </c>
      <c r="AE29" s="74"/>
      <c r="AF29" s="74">
        <f>$C$1</f>
        <v>750</v>
      </c>
      <c r="AG29" s="74"/>
      <c r="AH29" s="74">
        <f>$C$1</f>
        <v>750</v>
      </c>
      <c r="AI29" s="74"/>
    </row>
    <row r="30" spans="1:35" x14ac:dyDescent="0.25">
      <c r="A30" s="42" t="s">
        <v>981</v>
      </c>
      <c r="G30" s="2">
        <v>1019.8</v>
      </c>
    </row>
    <row r="31" spans="1:35" x14ac:dyDescent="0.25">
      <c r="A31" s="42"/>
    </row>
    <row r="32" spans="1:35" x14ac:dyDescent="0.25">
      <c r="A32" s="42" t="s">
        <v>902</v>
      </c>
      <c r="B32" s="72">
        <f>B13+B15-SUM(B19:B29)</f>
        <v>319.41722222222234</v>
      </c>
      <c r="C32" s="72">
        <f>C13+C15-SUM(C19:C29)</f>
        <v>2068.8944444444446</v>
      </c>
      <c r="D32" s="72">
        <f>D13+D15-SUM(D19:D29)</f>
        <v>1195.9956944444448</v>
      </c>
      <c r="E32" s="72">
        <f>E13+E15-SUM(E19:E29)</f>
        <v>2701.1969444444449</v>
      </c>
      <c r="F32" s="72">
        <f>F13+F15-SUM(F19:F29)</f>
        <v>2068.8081944444457</v>
      </c>
      <c r="G32" s="72">
        <f>G13+G15-SUM(G19:G30)</f>
        <v>2804.1994444444454</v>
      </c>
      <c r="H32" s="72">
        <f t="shared" ref="H32:AI32" si="21">H13+H15-SUM(H19:H29)</f>
        <v>1770.0806944444462</v>
      </c>
      <c r="I32" s="72">
        <f t="shared" si="21"/>
        <v>3681.6002777777785</v>
      </c>
      <c r="J32" s="72">
        <f t="shared" si="21"/>
        <v>2704.609861111112</v>
      </c>
      <c r="K32" s="72">
        <f t="shared" si="21"/>
        <v>4616.1194444444445</v>
      </c>
      <c r="L32" s="72">
        <f t="shared" si="21"/>
        <v>6538.2590277777781</v>
      </c>
      <c r="M32" s="72">
        <f t="shared" si="21"/>
        <v>5879.5086111111104</v>
      </c>
      <c r="N32" s="72">
        <f t="shared" si="21"/>
        <v>7801.648194444444</v>
      </c>
      <c r="O32" s="72">
        <f t="shared" si="21"/>
        <v>7142.8977777777782</v>
      </c>
      <c r="P32" s="72">
        <f t="shared" si="21"/>
        <v>9065.0373611111117</v>
      </c>
      <c r="Q32" s="72">
        <f t="shared" si="21"/>
        <v>8406.2869444444459</v>
      </c>
      <c r="R32" s="72">
        <f t="shared" si="21"/>
        <v>10328.426527777779</v>
      </c>
      <c r="S32" s="72">
        <f t="shared" si="21"/>
        <v>9669.6761111111136</v>
      </c>
      <c r="T32" s="72">
        <f t="shared" si="21"/>
        <v>12493.514444444447</v>
      </c>
      <c r="U32" s="72">
        <f t="shared" si="21"/>
        <v>12736.462777777781</v>
      </c>
      <c r="V32" s="72">
        <f t="shared" si="21"/>
        <v>15560.301111111114</v>
      </c>
      <c r="W32" s="72">
        <f t="shared" si="21"/>
        <v>15803.249444444447</v>
      </c>
      <c r="X32" s="72">
        <f t="shared" si="21"/>
        <v>18627.087777777782</v>
      </c>
      <c r="Y32" s="72">
        <f t="shared" si="21"/>
        <v>21604.736111111113</v>
      </c>
      <c r="Z32" s="72">
        <f t="shared" si="21"/>
        <v>21693.874444444446</v>
      </c>
      <c r="AA32" s="72">
        <f t="shared" si="21"/>
        <v>24671.522777777776</v>
      </c>
      <c r="AB32" s="72">
        <f t="shared" si="21"/>
        <v>24997.952777777777</v>
      </c>
      <c r="AC32" s="72">
        <f t="shared" si="21"/>
        <v>28212.892777777775</v>
      </c>
      <c r="AD32" s="72">
        <f t="shared" si="21"/>
        <v>28539.322777777772</v>
      </c>
      <c r="AE32" s="72">
        <f t="shared" si="21"/>
        <v>31754.262777777771</v>
      </c>
      <c r="AF32" s="72">
        <f t="shared" si="21"/>
        <v>32080.692777777767</v>
      </c>
      <c r="AG32" s="72">
        <f t="shared" si="21"/>
        <v>35295.63277777777</v>
      </c>
      <c r="AH32" s="72">
        <f t="shared" si="21"/>
        <v>35775.872777777775</v>
      </c>
      <c r="AI32" s="72">
        <f t="shared" si="21"/>
        <v>38990.812777777777</v>
      </c>
    </row>
    <row r="33" spans="1:35" x14ac:dyDescent="0.25">
      <c r="A33" s="42" t="s">
        <v>903</v>
      </c>
      <c r="B33" s="5"/>
      <c r="C33" s="5"/>
      <c r="D33" s="5">
        <f>C2-D19</f>
        <v>13525.481249999999</v>
      </c>
      <c r="E33" s="5">
        <f t="shared" ref="E33:AI33" si="22">D33-E19</f>
        <v>12623.782499999999</v>
      </c>
      <c r="F33" s="5">
        <f t="shared" si="22"/>
        <v>11722.08375</v>
      </c>
      <c r="G33" s="72">
        <f t="shared" si="22"/>
        <v>10820.385</v>
      </c>
      <c r="H33" s="72">
        <f t="shared" si="22"/>
        <v>9918.6862500000007</v>
      </c>
      <c r="I33" s="72">
        <f t="shared" si="22"/>
        <v>9016.9875000000011</v>
      </c>
      <c r="J33" s="72">
        <f t="shared" si="22"/>
        <v>8115.2887500000015</v>
      </c>
      <c r="K33" s="72">
        <f t="shared" si="22"/>
        <v>7213.590000000002</v>
      </c>
      <c r="L33" s="72">
        <f t="shared" si="22"/>
        <v>6311.8912500000024</v>
      </c>
      <c r="M33" s="72">
        <f t="shared" si="22"/>
        <v>5410.1925000000028</v>
      </c>
      <c r="N33" s="72">
        <f t="shared" si="22"/>
        <v>4508.4937500000033</v>
      </c>
      <c r="O33" s="72">
        <f t="shared" si="22"/>
        <v>3606.7950000000033</v>
      </c>
      <c r="P33" s="72">
        <f t="shared" si="22"/>
        <v>2705.0962500000032</v>
      </c>
      <c r="Q33" s="72">
        <f t="shared" si="22"/>
        <v>1803.3975000000032</v>
      </c>
      <c r="R33" s="72">
        <f t="shared" si="22"/>
        <v>901.69875000000332</v>
      </c>
      <c r="S33" s="72">
        <f t="shared" si="22"/>
        <v>3.4106051316484809E-12</v>
      </c>
      <c r="T33" s="72">
        <f t="shared" si="22"/>
        <v>3.4106051316484809E-12</v>
      </c>
      <c r="U33" s="72">
        <f t="shared" si="22"/>
        <v>3.4106051316484809E-12</v>
      </c>
      <c r="V33" s="72">
        <f t="shared" si="22"/>
        <v>3.4106051316484809E-12</v>
      </c>
      <c r="W33" s="72">
        <f t="shared" si="22"/>
        <v>3.4106051316484809E-12</v>
      </c>
      <c r="X33" s="72">
        <f t="shared" si="22"/>
        <v>3.4106051316484809E-12</v>
      </c>
      <c r="Y33" s="72">
        <f t="shared" si="22"/>
        <v>3.4106051316484809E-12</v>
      </c>
      <c r="Z33" s="72">
        <f t="shared" si="22"/>
        <v>3.4106051316484809E-12</v>
      </c>
      <c r="AA33" s="72">
        <f t="shared" si="22"/>
        <v>3.4106051316484809E-12</v>
      </c>
      <c r="AB33" s="72">
        <f t="shared" si="22"/>
        <v>3.4106051316484809E-12</v>
      </c>
      <c r="AC33" s="72">
        <f t="shared" si="22"/>
        <v>3.4106051316484809E-12</v>
      </c>
      <c r="AD33" s="72">
        <f t="shared" si="22"/>
        <v>3.4106051316484809E-12</v>
      </c>
      <c r="AE33" s="72">
        <f t="shared" si="22"/>
        <v>3.4106051316484809E-12</v>
      </c>
      <c r="AF33" s="72">
        <f t="shared" si="22"/>
        <v>3.4106051316484809E-12</v>
      </c>
      <c r="AG33" s="72">
        <f t="shared" si="22"/>
        <v>3.4106051316484809E-12</v>
      </c>
      <c r="AH33" s="72">
        <f t="shared" si="22"/>
        <v>3.4106051316484809E-12</v>
      </c>
      <c r="AI33" s="72">
        <f t="shared" si="22"/>
        <v>3.4106051316484809E-12</v>
      </c>
    </row>
    <row r="34" spans="1:35" x14ac:dyDescent="0.25">
      <c r="A34" s="42" t="s">
        <v>904</v>
      </c>
      <c r="D34" s="5">
        <f>C3-D20</f>
        <v>5267</v>
      </c>
      <c r="E34" s="5">
        <f t="shared" ref="E34:AI34" si="23">D34-E20</f>
        <v>5017</v>
      </c>
      <c r="F34" s="5">
        <f t="shared" si="23"/>
        <v>5017</v>
      </c>
      <c r="G34" s="72">
        <f t="shared" si="23"/>
        <v>5017</v>
      </c>
      <c r="H34" s="72">
        <f t="shared" si="23"/>
        <v>4779.71</v>
      </c>
      <c r="I34" s="72">
        <f t="shared" si="23"/>
        <v>4542.4183333333331</v>
      </c>
      <c r="J34" s="72">
        <f t="shared" si="23"/>
        <v>4305.1266666666661</v>
      </c>
      <c r="K34" s="72">
        <f t="shared" si="23"/>
        <v>4067.8349999999996</v>
      </c>
      <c r="L34" s="72">
        <f t="shared" si="23"/>
        <v>3830.5433333333331</v>
      </c>
      <c r="M34" s="72">
        <f t="shared" si="23"/>
        <v>3593.2516666666666</v>
      </c>
      <c r="N34" s="72">
        <f t="shared" si="23"/>
        <v>3355.96</v>
      </c>
      <c r="O34" s="72">
        <f t="shared" si="23"/>
        <v>3118.6683333333335</v>
      </c>
      <c r="P34" s="72">
        <f t="shared" si="23"/>
        <v>2881.376666666667</v>
      </c>
      <c r="Q34" s="72">
        <f t="shared" si="23"/>
        <v>2644.0850000000005</v>
      </c>
      <c r="R34" s="72">
        <f t="shared" si="23"/>
        <v>2406.793333333334</v>
      </c>
      <c r="S34" s="72">
        <f t="shared" si="23"/>
        <v>2169.5016666666675</v>
      </c>
      <c r="T34" s="72">
        <f t="shared" si="23"/>
        <v>1932.2100000000007</v>
      </c>
      <c r="U34" s="72">
        <f t="shared" si="23"/>
        <v>1694.918333333334</v>
      </c>
      <c r="V34" s="72">
        <f t="shared" si="23"/>
        <v>1457.6266666666672</v>
      </c>
      <c r="W34" s="72">
        <f t="shared" si="23"/>
        <v>1220.3350000000005</v>
      </c>
      <c r="X34" s="72">
        <f t="shared" si="23"/>
        <v>983.04333333333386</v>
      </c>
      <c r="Y34" s="72">
        <f t="shared" si="23"/>
        <v>745.75166666666723</v>
      </c>
      <c r="Z34" s="72">
        <f t="shared" si="23"/>
        <v>508.4600000000006</v>
      </c>
      <c r="AA34" s="72">
        <f t="shared" si="23"/>
        <v>271.16833333333398</v>
      </c>
      <c r="AB34" s="72">
        <f t="shared" si="23"/>
        <v>271.16833333333398</v>
      </c>
      <c r="AC34" s="72">
        <f t="shared" si="23"/>
        <v>271.16833333333398</v>
      </c>
      <c r="AD34" s="72">
        <f t="shared" si="23"/>
        <v>271.16833333333398</v>
      </c>
      <c r="AE34" s="72">
        <f t="shared" si="23"/>
        <v>271.16833333333398</v>
      </c>
      <c r="AF34" s="72">
        <f t="shared" si="23"/>
        <v>271.16833333333398</v>
      </c>
      <c r="AG34" s="72">
        <f t="shared" si="23"/>
        <v>271.16833333333398</v>
      </c>
      <c r="AH34" s="72">
        <f t="shared" si="23"/>
        <v>271.16833333333398</v>
      </c>
      <c r="AI34" s="72">
        <f t="shared" si="23"/>
        <v>271.16833333333398</v>
      </c>
    </row>
    <row r="35" spans="1:35" x14ac:dyDescent="0.25">
      <c r="A35" s="42" t="s">
        <v>930</v>
      </c>
      <c r="D35" s="5">
        <f>C4-D21</f>
        <v>22430.560000000001</v>
      </c>
      <c r="E35" s="5">
        <f t="shared" ref="E35:AI35" si="24">D35-E21</f>
        <v>22430.560000000001</v>
      </c>
      <c r="F35" s="5">
        <f t="shared" si="24"/>
        <v>22430.560000000001</v>
      </c>
      <c r="G35" s="72">
        <f t="shared" si="24"/>
        <v>22430.560000000001</v>
      </c>
      <c r="H35" s="72">
        <f t="shared" si="24"/>
        <v>22430.560000000001</v>
      </c>
      <c r="I35" s="72">
        <f t="shared" si="24"/>
        <v>22430.560000000001</v>
      </c>
      <c r="J35" s="72">
        <f t="shared" si="24"/>
        <v>22083.460000000003</v>
      </c>
      <c r="K35" s="72">
        <f t="shared" si="24"/>
        <v>22083.460000000003</v>
      </c>
      <c r="L35" s="72">
        <f t="shared" si="24"/>
        <v>22083.460000000003</v>
      </c>
      <c r="M35" s="72">
        <f t="shared" si="24"/>
        <v>21736.360000000004</v>
      </c>
      <c r="N35" s="72">
        <f t="shared" si="24"/>
        <v>21736.360000000004</v>
      </c>
      <c r="O35" s="72">
        <f t="shared" si="24"/>
        <v>21389.260000000006</v>
      </c>
      <c r="P35" s="72">
        <f t="shared" si="24"/>
        <v>21389.260000000006</v>
      </c>
      <c r="Q35" s="72">
        <f t="shared" si="24"/>
        <v>21042.160000000007</v>
      </c>
      <c r="R35" s="72">
        <f t="shared" si="24"/>
        <v>21042.160000000007</v>
      </c>
      <c r="S35" s="72">
        <f t="shared" si="24"/>
        <v>20695.060000000009</v>
      </c>
      <c r="T35" s="72">
        <f t="shared" si="24"/>
        <v>20695.060000000009</v>
      </c>
      <c r="U35" s="72">
        <f t="shared" si="24"/>
        <v>20347.96000000001</v>
      </c>
      <c r="V35" s="72">
        <f t="shared" si="24"/>
        <v>20347.96000000001</v>
      </c>
      <c r="W35" s="72">
        <f t="shared" si="24"/>
        <v>20000.860000000011</v>
      </c>
      <c r="X35" s="72">
        <f t="shared" si="24"/>
        <v>20000.860000000011</v>
      </c>
      <c r="Y35" s="72">
        <f t="shared" si="24"/>
        <v>20000.860000000011</v>
      </c>
      <c r="Z35" s="72">
        <f t="shared" si="24"/>
        <v>19653.760000000013</v>
      </c>
      <c r="AA35" s="72">
        <f t="shared" si="24"/>
        <v>19653.760000000013</v>
      </c>
      <c r="AB35" s="72">
        <f t="shared" si="24"/>
        <v>19306.660000000014</v>
      </c>
      <c r="AC35" s="72">
        <f t="shared" si="24"/>
        <v>19306.660000000014</v>
      </c>
      <c r="AD35" s="72">
        <f t="shared" si="24"/>
        <v>18959.560000000016</v>
      </c>
      <c r="AE35" s="72">
        <f t="shared" si="24"/>
        <v>18959.560000000016</v>
      </c>
      <c r="AF35" s="72">
        <f t="shared" si="24"/>
        <v>18612.460000000017</v>
      </c>
      <c r="AG35" s="72">
        <f t="shared" si="24"/>
        <v>18612.460000000017</v>
      </c>
      <c r="AH35" s="72">
        <f t="shared" si="24"/>
        <v>18265.360000000019</v>
      </c>
      <c r="AI35" s="72">
        <f t="shared" si="24"/>
        <v>18265.360000000019</v>
      </c>
    </row>
    <row r="36" spans="1:35" x14ac:dyDescent="0.25">
      <c r="A36" s="42"/>
    </row>
    <row r="37" spans="1:35" x14ac:dyDescent="0.25">
      <c r="A37" s="42"/>
    </row>
    <row r="38" spans="1:35" x14ac:dyDescent="0.25">
      <c r="A38" s="42"/>
    </row>
    <row r="39" spans="1:35" x14ac:dyDescent="0.25">
      <c r="A39" s="42"/>
    </row>
    <row r="40" spans="1:35" x14ac:dyDescent="0.25">
      <c r="A40" s="42"/>
    </row>
    <row r="41" spans="1:35" x14ac:dyDescent="0.25">
      <c r="A41" s="42"/>
    </row>
    <row r="42" spans="1:35" x14ac:dyDescent="0.25">
      <c r="A42" s="42"/>
    </row>
    <row r="43" spans="1:35" x14ac:dyDescent="0.25">
      <c r="H43" s="5"/>
    </row>
  </sheetData>
  <conditionalFormatting sqref="D33:AI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AI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AI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Check Box 1">
              <controlPr defaultSize="0" autoFill="0" autoLine="0" autoPict="0">
                <anchor moveWithCells="1">
                  <from>
                    <xdr:col>1</xdr:col>
                    <xdr:colOff>19050</xdr:colOff>
                    <xdr:row>15</xdr:row>
                    <xdr:rowOff>171450</xdr:rowOff>
                  </from>
                  <to>
                    <xdr:col>1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Check Box 2">
              <controlPr defaultSize="0" autoFill="0" autoLine="0" autoPict="0">
                <anchor moveWithCells="1">
                  <from>
                    <xdr:col>2</xdr:col>
                    <xdr:colOff>19050</xdr:colOff>
                    <xdr:row>16</xdr:row>
                    <xdr:rowOff>0</xdr:rowOff>
                  </from>
                  <to>
                    <xdr:col>3</xdr:col>
                    <xdr:colOff>66675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Check Box 3">
              <controlPr defaultSize="0" autoFill="0" autoLine="0" autoPict="0">
                <anchor moveWithCells="1">
                  <from>
                    <xdr:col>3</xdr:col>
                    <xdr:colOff>19050</xdr:colOff>
                    <xdr:row>16</xdr:row>
                    <xdr:rowOff>0</xdr:rowOff>
                  </from>
                  <to>
                    <xdr:col>4</xdr:col>
                    <xdr:colOff>57150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Check Box 4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0</xdr:rowOff>
                  </from>
                  <to>
                    <xdr:col>5</xdr:col>
                    <xdr:colOff>28575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7" name="Check Box 5">
              <controlPr defaultSize="0" autoFill="0" autoLine="0" autoPict="0">
                <anchor moveWithCells="1">
                  <from>
                    <xdr:col>5</xdr:col>
                    <xdr:colOff>19050</xdr:colOff>
                    <xdr:row>16</xdr:row>
                    <xdr:rowOff>0</xdr:rowOff>
                  </from>
                  <to>
                    <xdr:col>6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8" name="Check Box 6">
              <controlPr defaultSize="0" autoFill="0" autoLine="0" autoPict="0">
                <anchor moveWithCells="1">
                  <from>
                    <xdr:col>6</xdr:col>
                    <xdr:colOff>19050</xdr:colOff>
                    <xdr:row>16</xdr:row>
                    <xdr:rowOff>0</xdr:rowOff>
                  </from>
                  <to>
                    <xdr:col>7</xdr:col>
                    <xdr:colOff>19050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9" name="Check Box 7">
              <controlPr defaultSize="0" autoFill="0" autoLine="0" autoPict="0">
                <anchor moveWithCells="1">
                  <from>
                    <xdr:col>7</xdr:col>
                    <xdr:colOff>19050</xdr:colOff>
                    <xdr:row>16</xdr:row>
                    <xdr:rowOff>0</xdr:rowOff>
                  </from>
                  <to>
                    <xdr:col>8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0" name="Check Box 8">
              <controlPr defaultSize="0" autoFill="0" autoLine="0" autoPict="0">
                <anchor moveWithCells="1">
                  <from>
                    <xdr:col>8</xdr:col>
                    <xdr:colOff>19050</xdr:colOff>
                    <xdr:row>16</xdr:row>
                    <xdr:rowOff>0</xdr:rowOff>
                  </from>
                  <to>
                    <xdr:col>9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1" name="Check Box 9">
              <controlPr defaultSize="0" autoFill="0" autoLine="0" autoPict="0">
                <anchor moveWithCells="1">
                  <from>
                    <xdr:col>9</xdr:col>
                    <xdr:colOff>19050</xdr:colOff>
                    <xdr:row>16</xdr:row>
                    <xdr:rowOff>0</xdr:rowOff>
                  </from>
                  <to>
                    <xdr:col>10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2" name="Check Box 10">
              <controlPr defaultSize="0" autoFill="0" autoLine="0" autoPict="0">
                <anchor moveWithCells="1">
                  <from>
                    <xdr:col>10</xdr:col>
                    <xdr:colOff>19050</xdr:colOff>
                    <xdr:row>16</xdr:row>
                    <xdr:rowOff>0</xdr:rowOff>
                  </from>
                  <to>
                    <xdr:col>11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3" name="Check Box 11">
              <controlPr defaultSize="0" autoFill="0" autoLine="0" autoPict="0">
                <anchor moveWithCells="1">
                  <from>
                    <xdr:col>11</xdr:col>
                    <xdr:colOff>19050</xdr:colOff>
                    <xdr:row>16</xdr:row>
                    <xdr:rowOff>0</xdr:rowOff>
                  </from>
                  <to>
                    <xdr:col>12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4" name="Check Box 12">
              <controlPr defaultSize="0" autoFill="0" autoLine="0" autoPict="0">
                <anchor moveWithCells="1">
                  <from>
                    <xdr:col>12</xdr:col>
                    <xdr:colOff>19050</xdr:colOff>
                    <xdr:row>16</xdr:row>
                    <xdr:rowOff>0</xdr:rowOff>
                  </from>
                  <to>
                    <xdr:col>13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5" name="Check Box 13">
              <controlPr defaultSize="0" autoFill="0" autoLine="0" autoPict="0">
                <anchor moveWithCells="1">
                  <from>
                    <xdr:col>13</xdr:col>
                    <xdr:colOff>19050</xdr:colOff>
                    <xdr:row>16</xdr:row>
                    <xdr:rowOff>0</xdr:rowOff>
                  </from>
                  <to>
                    <xdr:col>14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6" name="Check Box 14">
              <controlPr defaultSize="0" autoFill="0" autoLine="0" autoPict="0">
                <anchor moveWithCells="1">
                  <from>
                    <xdr:col>14</xdr:col>
                    <xdr:colOff>19050</xdr:colOff>
                    <xdr:row>16</xdr:row>
                    <xdr:rowOff>0</xdr:rowOff>
                  </from>
                  <to>
                    <xdr:col>15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7" name="Check Box 15">
              <controlPr defaultSize="0" autoFill="0" autoLine="0" autoPict="0">
                <anchor moveWithCells="1">
                  <from>
                    <xdr:col>15</xdr:col>
                    <xdr:colOff>19050</xdr:colOff>
                    <xdr:row>16</xdr:row>
                    <xdr:rowOff>0</xdr:rowOff>
                  </from>
                  <to>
                    <xdr:col>16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8" name="Check Box 16">
              <controlPr defaultSize="0" autoFill="0" autoLine="0" autoPict="0">
                <anchor moveWithCells="1">
                  <from>
                    <xdr:col>16</xdr:col>
                    <xdr:colOff>19050</xdr:colOff>
                    <xdr:row>16</xdr:row>
                    <xdr:rowOff>0</xdr:rowOff>
                  </from>
                  <to>
                    <xdr:col>17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19" name="Check Box 17">
              <controlPr defaultSize="0" autoFill="0" autoLine="0" autoPict="0">
                <anchor moveWithCells="1">
                  <from>
                    <xdr:col>17</xdr:col>
                    <xdr:colOff>19050</xdr:colOff>
                    <xdr:row>16</xdr:row>
                    <xdr:rowOff>0</xdr:rowOff>
                  </from>
                  <to>
                    <xdr:col>18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0" name="Check Box 18">
              <controlPr defaultSize="0" autoFill="0" autoLine="0" autoPict="0">
                <anchor moveWithCells="1">
                  <from>
                    <xdr:col>18</xdr:col>
                    <xdr:colOff>19050</xdr:colOff>
                    <xdr:row>16</xdr:row>
                    <xdr:rowOff>0</xdr:rowOff>
                  </from>
                  <to>
                    <xdr:col>19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1" name="Check Box 19">
              <controlPr defaultSize="0" autoFill="0" autoLine="0" autoPict="0">
                <anchor moveWithCells="1">
                  <from>
                    <xdr:col>19</xdr:col>
                    <xdr:colOff>19050</xdr:colOff>
                    <xdr:row>16</xdr:row>
                    <xdr:rowOff>0</xdr:rowOff>
                  </from>
                  <to>
                    <xdr:col>20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2" name="Check Box 20">
              <controlPr defaultSize="0" autoFill="0" autoLine="0" autoPict="0">
                <anchor moveWithCells="1">
                  <from>
                    <xdr:col>20</xdr:col>
                    <xdr:colOff>19050</xdr:colOff>
                    <xdr:row>16</xdr:row>
                    <xdr:rowOff>0</xdr:rowOff>
                  </from>
                  <to>
                    <xdr:col>21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3" name="Check Box 21">
              <controlPr defaultSize="0" autoFill="0" autoLine="0" autoPict="0">
                <anchor moveWithCells="1">
                  <from>
                    <xdr:col>21</xdr:col>
                    <xdr:colOff>19050</xdr:colOff>
                    <xdr:row>16</xdr:row>
                    <xdr:rowOff>0</xdr:rowOff>
                  </from>
                  <to>
                    <xdr:col>22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4" name="Check Box 22">
              <controlPr defaultSize="0" autoFill="0" autoLine="0" autoPict="0">
                <anchor moveWithCells="1">
                  <from>
                    <xdr:col>22</xdr:col>
                    <xdr:colOff>19050</xdr:colOff>
                    <xdr:row>16</xdr:row>
                    <xdr:rowOff>0</xdr:rowOff>
                  </from>
                  <to>
                    <xdr:col>23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5" name="Check Box 23">
              <controlPr defaultSize="0" autoFill="0" autoLine="0" autoPict="0">
                <anchor moveWithCells="1">
                  <from>
                    <xdr:col>23</xdr:col>
                    <xdr:colOff>19050</xdr:colOff>
                    <xdr:row>16</xdr:row>
                    <xdr:rowOff>0</xdr:rowOff>
                  </from>
                  <to>
                    <xdr:col>24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6" name="Check Box 24">
              <controlPr defaultSize="0" autoFill="0" autoLine="0" autoPict="0">
                <anchor moveWithCells="1">
                  <from>
                    <xdr:col>2</xdr:col>
                    <xdr:colOff>19050</xdr:colOff>
                    <xdr:row>15</xdr:row>
                    <xdr:rowOff>171450</xdr:rowOff>
                  </from>
                  <to>
                    <xdr:col>2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7" name="Check Box 25">
              <controlPr defaultSize="0" autoFill="0" autoLine="0" autoPict="0">
                <anchor moveWithCells="1">
                  <from>
                    <xdr:col>3</xdr:col>
                    <xdr:colOff>19050</xdr:colOff>
                    <xdr:row>15</xdr:row>
                    <xdr:rowOff>171450</xdr:rowOff>
                  </from>
                  <to>
                    <xdr:col>3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8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171450</xdr:rowOff>
                  </from>
                  <to>
                    <xdr:col>4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9" name="Check Box 27">
              <controlPr defaultSize="0" autoFill="0" autoLine="0" autoPict="0">
                <anchor moveWithCells="1">
                  <from>
                    <xdr:col>5</xdr:col>
                    <xdr:colOff>19050</xdr:colOff>
                    <xdr:row>15</xdr:row>
                    <xdr:rowOff>171450</xdr:rowOff>
                  </from>
                  <to>
                    <xdr:col>5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0" name="Check Box 28">
              <controlPr defaultSize="0" autoFill="0" autoLine="0" autoPict="0">
                <anchor moveWithCells="1">
                  <from>
                    <xdr:col>6</xdr:col>
                    <xdr:colOff>19050</xdr:colOff>
                    <xdr:row>15</xdr:row>
                    <xdr:rowOff>171450</xdr:rowOff>
                  </from>
                  <to>
                    <xdr:col>6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1" name="Check Box 29">
              <controlPr defaultSize="0" autoFill="0" autoLine="0" autoPict="0">
                <anchor moveWithCells="1">
                  <from>
                    <xdr:col>7</xdr:col>
                    <xdr:colOff>19050</xdr:colOff>
                    <xdr:row>15</xdr:row>
                    <xdr:rowOff>171450</xdr:rowOff>
                  </from>
                  <to>
                    <xdr:col>7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2" name="Check Box 30">
              <controlPr defaultSize="0" autoFill="0" autoLine="0" autoPict="0">
                <anchor moveWithCells="1">
                  <from>
                    <xdr:col>8</xdr:col>
                    <xdr:colOff>19050</xdr:colOff>
                    <xdr:row>15</xdr:row>
                    <xdr:rowOff>171450</xdr:rowOff>
                  </from>
                  <to>
                    <xdr:col>8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3" name="Check Box 31">
              <controlPr defaultSize="0" autoFill="0" autoLine="0" autoPict="0">
                <anchor moveWithCells="1">
                  <from>
                    <xdr:col>9</xdr:col>
                    <xdr:colOff>19050</xdr:colOff>
                    <xdr:row>15</xdr:row>
                    <xdr:rowOff>171450</xdr:rowOff>
                  </from>
                  <to>
                    <xdr:col>9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4" name="Check Box 32">
              <controlPr defaultSize="0" autoFill="0" autoLine="0" autoPict="0">
                <anchor moveWithCells="1">
                  <from>
                    <xdr:col>10</xdr:col>
                    <xdr:colOff>19050</xdr:colOff>
                    <xdr:row>15</xdr:row>
                    <xdr:rowOff>171450</xdr:rowOff>
                  </from>
                  <to>
                    <xdr:col>10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5" name="Check Box 33">
              <controlPr defaultSize="0" autoFill="0" autoLine="0" autoPict="0">
                <anchor moveWithCells="1">
                  <from>
                    <xdr:col>11</xdr:col>
                    <xdr:colOff>19050</xdr:colOff>
                    <xdr:row>15</xdr:row>
                    <xdr:rowOff>171450</xdr:rowOff>
                  </from>
                  <to>
                    <xdr:col>11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0" r:id="rId36" name="Check Box 34">
              <controlPr defaultSize="0" autoFill="0" autoLine="0" autoPict="0">
                <anchor moveWithCells="1">
                  <from>
                    <xdr:col>12</xdr:col>
                    <xdr:colOff>19050</xdr:colOff>
                    <xdr:row>15</xdr:row>
                    <xdr:rowOff>171450</xdr:rowOff>
                  </from>
                  <to>
                    <xdr:col>12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1" r:id="rId37" name="Check Box 35">
              <controlPr defaultSize="0" autoFill="0" autoLine="0" autoPict="0">
                <anchor moveWithCells="1">
                  <from>
                    <xdr:col>13</xdr:col>
                    <xdr:colOff>19050</xdr:colOff>
                    <xdr:row>15</xdr:row>
                    <xdr:rowOff>171450</xdr:rowOff>
                  </from>
                  <to>
                    <xdr:col>13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2" r:id="rId38" name="Check Box 36">
              <controlPr defaultSize="0" autoFill="0" autoLine="0" autoPict="0">
                <anchor moveWithCells="1">
                  <from>
                    <xdr:col>14</xdr:col>
                    <xdr:colOff>19050</xdr:colOff>
                    <xdr:row>15</xdr:row>
                    <xdr:rowOff>171450</xdr:rowOff>
                  </from>
                  <to>
                    <xdr:col>14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3" r:id="rId39" name="Check Box 37">
              <controlPr defaultSize="0" autoFill="0" autoLine="0" autoPict="0">
                <anchor moveWithCells="1">
                  <from>
                    <xdr:col>15</xdr:col>
                    <xdr:colOff>19050</xdr:colOff>
                    <xdr:row>15</xdr:row>
                    <xdr:rowOff>171450</xdr:rowOff>
                  </from>
                  <to>
                    <xdr:col>15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4" r:id="rId40" name="Check Box 38">
              <controlPr defaultSize="0" autoFill="0" autoLine="0" autoPict="0">
                <anchor moveWithCells="1">
                  <from>
                    <xdr:col>16</xdr:col>
                    <xdr:colOff>19050</xdr:colOff>
                    <xdr:row>15</xdr:row>
                    <xdr:rowOff>171450</xdr:rowOff>
                  </from>
                  <to>
                    <xdr:col>16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5" r:id="rId41" name="Check Box 39">
              <controlPr defaultSize="0" autoFill="0" autoLine="0" autoPict="0">
                <anchor moveWithCells="1">
                  <from>
                    <xdr:col>17</xdr:col>
                    <xdr:colOff>19050</xdr:colOff>
                    <xdr:row>15</xdr:row>
                    <xdr:rowOff>171450</xdr:rowOff>
                  </from>
                  <to>
                    <xdr:col>17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6" r:id="rId42" name="Check Box 40">
              <controlPr defaultSize="0" autoFill="0" autoLine="0" autoPict="0">
                <anchor moveWithCells="1">
                  <from>
                    <xdr:col>18</xdr:col>
                    <xdr:colOff>19050</xdr:colOff>
                    <xdr:row>15</xdr:row>
                    <xdr:rowOff>171450</xdr:rowOff>
                  </from>
                  <to>
                    <xdr:col>18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7" r:id="rId43" name="Check Box 41">
              <controlPr defaultSize="0" autoFill="0" autoLine="0" autoPict="0">
                <anchor moveWithCells="1">
                  <from>
                    <xdr:col>19</xdr:col>
                    <xdr:colOff>19050</xdr:colOff>
                    <xdr:row>15</xdr:row>
                    <xdr:rowOff>171450</xdr:rowOff>
                  </from>
                  <to>
                    <xdr:col>19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8" r:id="rId44" name="Check Box 42">
              <controlPr defaultSize="0" autoFill="0" autoLine="0" autoPict="0">
                <anchor moveWithCells="1">
                  <from>
                    <xdr:col>20</xdr:col>
                    <xdr:colOff>19050</xdr:colOff>
                    <xdr:row>15</xdr:row>
                    <xdr:rowOff>171450</xdr:rowOff>
                  </from>
                  <to>
                    <xdr:col>20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9" r:id="rId45" name="Check Box 43">
              <controlPr defaultSize="0" autoFill="0" autoLine="0" autoPict="0">
                <anchor moveWithCells="1">
                  <from>
                    <xdr:col>21</xdr:col>
                    <xdr:colOff>19050</xdr:colOff>
                    <xdr:row>15</xdr:row>
                    <xdr:rowOff>171450</xdr:rowOff>
                  </from>
                  <to>
                    <xdr:col>21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0" r:id="rId46" name="Check Box 44">
              <controlPr defaultSize="0" autoFill="0" autoLine="0" autoPict="0">
                <anchor moveWithCells="1">
                  <from>
                    <xdr:col>22</xdr:col>
                    <xdr:colOff>19050</xdr:colOff>
                    <xdr:row>15</xdr:row>
                    <xdr:rowOff>171450</xdr:rowOff>
                  </from>
                  <to>
                    <xdr:col>22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1" r:id="rId47" name="Check Box 45">
              <controlPr defaultSize="0" autoFill="0" autoLine="0" autoPict="0">
                <anchor moveWithCells="1">
                  <from>
                    <xdr:col>23</xdr:col>
                    <xdr:colOff>19050</xdr:colOff>
                    <xdr:row>15</xdr:row>
                    <xdr:rowOff>171450</xdr:rowOff>
                  </from>
                  <to>
                    <xdr:col>23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2" r:id="rId48" name="Check Box 46">
              <controlPr defaultSize="0" autoFill="0" autoLine="0" autoPict="0">
                <anchor moveWithCells="1">
                  <from>
                    <xdr:col>23</xdr:col>
                    <xdr:colOff>19050</xdr:colOff>
                    <xdr:row>16</xdr:row>
                    <xdr:rowOff>0</xdr:rowOff>
                  </from>
                  <to>
                    <xdr:col>24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3" r:id="rId49" name="Check Box 47">
              <controlPr defaultSize="0" autoFill="0" autoLine="0" autoPict="0">
                <anchor moveWithCells="1">
                  <from>
                    <xdr:col>24</xdr:col>
                    <xdr:colOff>19050</xdr:colOff>
                    <xdr:row>16</xdr:row>
                    <xdr:rowOff>0</xdr:rowOff>
                  </from>
                  <to>
                    <xdr:col>25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4" r:id="rId50" name="Check Box 48">
              <controlPr defaultSize="0" autoFill="0" autoLine="0" autoPict="0">
                <anchor moveWithCells="1">
                  <from>
                    <xdr:col>25</xdr:col>
                    <xdr:colOff>19050</xdr:colOff>
                    <xdr:row>16</xdr:row>
                    <xdr:rowOff>0</xdr:rowOff>
                  </from>
                  <to>
                    <xdr:col>26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5" r:id="rId51" name="Check Box 49">
              <controlPr defaultSize="0" autoFill="0" autoLine="0" autoPict="0">
                <anchor moveWithCells="1">
                  <from>
                    <xdr:col>24</xdr:col>
                    <xdr:colOff>19050</xdr:colOff>
                    <xdr:row>15</xdr:row>
                    <xdr:rowOff>171450</xdr:rowOff>
                  </from>
                  <to>
                    <xdr:col>24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6" r:id="rId52" name="Check Box 50">
              <controlPr defaultSize="0" autoFill="0" autoLine="0" autoPict="0">
                <anchor moveWithCells="1">
                  <from>
                    <xdr:col>25</xdr:col>
                    <xdr:colOff>19050</xdr:colOff>
                    <xdr:row>15</xdr:row>
                    <xdr:rowOff>171450</xdr:rowOff>
                  </from>
                  <to>
                    <xdr:col>25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7" r:id="rId53" name="Check Box 51">
              <controlPr defaultSize="0" autoFill="0" autoLine="0" autoPict="0">
                <anchor moveWithCells="1">
                  <from>
                    <xdr:col>25</xdr:col>
                    <xdr:colOff>19050</xdr:colOff>
                    <xdr:row>16</xdr:row>
                    <xdr:rowOff>0</xdr:rowOff>
                  </from>
                  <to>
                    <xdr:col>26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8" r:id="rId54" name="Check Box 52">
              <controlPr defaultSize="0" autoFill="0" autoLine="0" autoPict="0">
                <anchor moveWithCells="1">
                  <from>
                    <xdr:col>26</xdr:col>
                    <xdr:colOff>19050</xdr:colOff>
                    <xdr:row>16</xdr:row>
                    <xdr:rowOff>0</xdr:rowOff>
                  </from>
                  <to>
                    <xdr:col>27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9" r:id="rId55" name="Check Box 53">
              <controlPr defaultSize="0" autoFill="0" autoLine="0" autoPict="0">
                <anchor moveWithCells="1">
                  <from>
                    <xdr:col>26</xdr:col>
                    <xdr:colOff>19050</xdr:colOff>
                    <xdr:row>15</xdr:row>
                    <xdr:rowOff>171450</xdr:rowOff>
                  </from>
                  <to>
                    <xdr:col>26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0" r:id="rId56" name="Check Box 54">
              <controlPr defaultSize="0" autoFill="0" autoLine="0" autoPict="0">
                <anchor moveWithCells="1">
                  <from>
                    <xdr:col>26</xdr:col>
                    <xdr:colOff>19050</xdr:colOff>
                    <xdr:row>16</xdr:row>
                    <xdr:rowOff>0</xdr:rowOff>
                  </from>
                  <to>
                    <xdr:col>27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1" r:id="rId57" name="Check Box 55">
              <controlPr defaultSize="0" autoFill="0" autoLine="0" autoPict="0">
                <anchor moveWithCells="1">
                  <from>
                    <xdr:col>27</xdr:col>
                    <xdr:colOff>19050</xdr:colOff>
                    <xdr:row>16</xdr:row>
                    <xdr:rowOff>0</xdr:rowOff>
                  </from>
                  <to>
                    <xdr:col>28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2" r:id="rId58" name="Check Box 56">
              <controlPr defaultSize="0" autoFill="0" autoLine="0" autoPict="0">
                <anchor moveWithCells="1">
                  <from>
                    <xdr:col>27</xdr:col>
                    <xdr:colOff>19050</xdr:colOff>
                    <xdr:row>15</xdr:row>
                    <xdr:rowOff>171450</xdr:rowOff>
                  </from>
                  <to>
                    <xdr:col>27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3" r:id="rId59" name="Check Box 57">
              <controlPr defaultSize="0" autoFill="0" autoLine="0" autoPict="0">
                <anchor moveWithCells="1">
                  <from>
                    <xdr:col>27</xdr:col>
                    <xdr:colOff>19050</xdr:colOff>
                    <xdr:row>16</xdr:row>
                    <xdr:rowOff>0</xdr:rowOff>
                  </from>
                  <to>
                    <xdr:col>28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4" r:id="rId60" name="Check Box 58">
              <controlPr defaultSize="0" autoFill="0" autoLine="0" autoPict="0">
                <anchor moveWithCells="1">
                  <from>
                    <xdr:col>27</xdr:col>
                    <xdr:colOff>19050</xdr:colOff>
                    <xdr:row>16</xdr:row>
                    <xdr:rowOff>0</xdr:rowOff>
                  </from>
                  <to>
                    <xdr:col>28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5" r:id="rId61" name="Check Box 59">
              <controlPr defaultSize="0" autoFill="0" autoLine="0" autoPict="0">
                <anchor moveWithCells="1">
                  <from>
                    <xdr:col>28</xdr:col>
                    <xdr:colOff>19050</xdr:colOff>
                    <xdr:row>16</xdr:row>
                    <xdr:rowOff>0</xdr:rowOff>
                  </from>
                  <to>
                    <xdr:col>29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6" r:id="rId62" name="Check Box 60">
              <controlPr defaultSize="0" autoFill="0" autoLine="0" autoPict="0">
                <anchor moveWithCells="1">
                  <from>
                    <xdr:col>28</xdr:col>
                    <xdr:colOff>19050</xdr:colOff>
                    <xdr:row>15</xdr:row>
                    <xdr:rowOff>171450</xdr:rowOff>
                  </from>
                  <to>
                    <xdr:col>28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7" r:id="rId63" name="Check Box 61">
              <controlPr defaultSize="0" autoFill="0" autoLine="0" autoPict="0">
                <anchor moveWithCells="1">
                  <from>
                    <xdr:col>28</xdr:col>
                    <xdr:colOff>19050</xdr:colOff>
                    <xdr:row>16</xdr:row>
                    <xdr:rowOff>0</xdr:rowOff>
                  </from>
                  <to>
                    <xdr:col>29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8" r:id="rId64" name="Check Box 62">
              <controlPr defaultSize="0" autoFill="0" autoLine="0" autoPict="0">
                <anchor moveWithCells="1">
                  <from>
                    <xdr:col>28</xdr:col>
                    <xdr:colOff>19050</xdr:colOff>
                    <xdr:row>16</xdr:row>
                    <xdr:rowOff>0</xdr:rowOff>
                  </from>
                  <to>
                    <xdr:col>29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9" r:id="rId65" name="Check Box 63">
              <controlPr defaultSize="0" autoFill="0" autoLine="0" autoPict="0">
                <anchor moveWithCells="1">
                  <from>
                    <xdr:col>29</xdr:col>
                    <xdr:colOff>19050</xdr:colOff>
                    <xdr:row>16</xdr:row>
                    <xdr:rowOff>0</xdr:rowOff>
                  </from>
                  <to>
                    <xdr:col>30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0" r:id="rId66" name="Check Box 64">
              <controlPr defaultSize="0" autoFill="0" autoLine="0" autoPict="0">
                <anchor moveWithCells="1">
                  <from>
                    <xdr:col>29</xdr:col>
                    <xdr:colOff>19050</xdr:colOff>
                    <xdr:row>15</xdr:row>
                    <xdr:rowOff>171450</xdr:rowOff>
                  </from>
                  <to>
                    <xdr:col>29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1" r:id="rId67" name="Check Box 65">
              <controlPr defaultSize="0" autoFill="0" autoLine="0" autoPict="0">
                <anchor moveWithCells="1">
                  <from>
                    <xdr:col>29</xdr:col>
                    <xdr:colOff>19050</xdr:colOff>
                    <xdr:row>16</xdr:row>
                    <xdr:rowOff>0</xdr:rowOff>
                  </from>
                  <to>
                    <xdr:col>30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2" r:id="rId68" name="Check Box 66">
              <controlPr defaultSize="0" autoFill="0" autoLine="0" autoPict="0">
                <anchor moveWithCells="1">
                  <from>
                    <xdr:col>29</xdr:col>
                    <xdr:colOff>19050</xdr:colOff>
                    <xdr:row>16</xdr:row>
                    <xdr:rowOff>0</xdr:rowOff>
                  </from>
                  <to>
                    <xdr:col>30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3" r:id="rId69" name="Check Box 67">
              <controlPr defaultSize="0" autoFill="0" autoLine="0" autoPict="0">
                <anchor moveWithCells="1">
                  <from>
                    <xdr:col>30</xdr:col>
                    <xdr:colOff>19050</xdr:colOff>
                    <xdr:row>16</xdr:row>
                    <xdr:rowOff>0</xdr:rowOff>
                  </from>
                  <to>
                    <xdr:col>31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4" r:id="rId70" name="Check Box 68">
              <controlPr defaultSize="0" autoFill="0" autoLine="0" autoPict="0">
                <anchor moveWithCells="1">
                  <from>
                    <xdr:col>30</xdr:col>
                    <xdr:colOff>19050</xdr:colOff>
                    <xdr:row>15</xdr:row>
                    <xdr:rowOff>171450</xdr:rowOff>
                  </from>
                  <to>
                    <xdr:col>30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5" r:id="rId71" name="Check Box 69">
              <controlPr defaultSize="0" autoFill="0" autoLine="0" autoPict="0">
                <anchor moveWithCells="1">
                  <from>
                    <xdr:col>30</xdr:col>
                    <xdr:colOff>19050</xdr:colOff>
                    <xdr:row>16</xdr:row>
                    <xdr:rowOff>0</xdr:rowOff>
                  </from>
                  <to>
                    <xdr:col>31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6" r:id="rId72" name="Check Box 70">
              <controlPr defaultSize="0" autoFill="0" autoLine="0" autoPict="0">
                <anchor moveWithCells="1">
                  <from>
                    <xdr:col>30</xdr:col>
                    <xdr:colOff>19050</xdr:colOff>
                    <xdr:row>16</xdr:row>
                    <xdr:rowOff>0</xdr:rowOff>
                  </from>
                  <to>
                    <xdr:col>31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7" r:id="rId73" name="Check Box 71">
              <controlPr defaultSize="0" autoFill="0" autoLine="0" autoPict="0">
                <anchor moveWithCells="1">
                  <from>
                    <xdr:col>31</xdr:col>
                    <xdr:colOff>19050</xdr:colOff>
                    <xdr:row>16</xdr:row>
                    <xdr:rowOff>0</xdr:rowOff>
                  </from>
                  <to>
                    <xdr:col>32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8" r:id="rId74" name="Check Box 72">
              <controlPr defaultSize="0" autoFill="0" autoLine="0" autoPict="0">
                <anchor moveWithCells="1">
                  <from>
                    <xdr:col>31</xdr:col>
                    <xdr:colOff>19050</xdr:colOff>
                    <xdr:row>15</xdr:row>
                    <xdr:rowOff>171450</xdr:rowOff>
                  </from>
                  <to>
                    <xdr:col>31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9" r:id="rId75" name="Check Box 73">
              <controlPr defaultSize="0" autoFill="0" autoLine="0" autoPict="0">
                <anchor moveWithCells="1">
                  <from>
                    <xdr:col>31</xdr:col>
                    <xdr:colOff>19050</xdr:colOff>
                    <xdr:row>16</xdr:row>
                    <xdr:rowOff>0</xdr:rowOff>
                  </from>
                  <to>
                    <xdr:col>32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0" r:id="rId76" name="Check Box 74">
              <controlPr defaultSize="0" autoFill="0" autoLine="0" autoPict="0">
                <anchor moveWithCells="1">
                  <from>
                    <xdr:col>31</xdr:col>
                    <xdr:colOff>19050</xdr:colOff>
                    <xdr:row>16</xdr:row>
                    <xdr:rowOff>0</xdr:rowOff>
                  </from>
                  <to>
                    <xdr:col>32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1" r:id="rId77" name="Check Box 75">
              <controlPr defaultSize="0" autoFill="0" autoLine="0" autoPict="0">
                <anchor moveWithCells="1">
                  <from>
                    <xdr:col>32</xdr:col>
                    <xdr:colOff>19050</xdr:colOff>
                    <xdr:row>16</xdr:row>
                    <xdr:rowOff>0</xdr:rowOff>
                  </from>
                  <to>
                    <xdr:col>33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2" r:id="rId78" name="Check Box 76">
              <controlPr defaultSize="0" autoFill="0" autoLine="0" autoPict="0">
                <anchor moveWithCells="1">
                  <from>
                    <xdr:col>32</xdr:col>
                    <xdr:colOff>19050</xdr:colOff>
                    <xdr:row>15</xdr:row>
                    <xdr:rowOff>171450</xdr:rowOff>
                  </from>
                  <to>
                    <xdr:col>32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3" r:id="rId79" name="Check Box 77">
              <controlPr defaultSize="0" autoFill="0" autoLine="0" autoPict="0">
                <anchor moveWithCells="1">
                  <from>
                    <xdr:col>32</xdr:col>
                    <xdr:colOff>19050</xdr:colOff>
                    <xdr:row>16</xdr:row>
                    <xdr:rowOff>0</xdr:rowOff>
                  </from>
                  <to>
                    <xdr:col>33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4" r:id="rId80" name="Check Box 78">
              <controlPr defaultSize="0" autoFill="0" autoLine="0" autoPict="0">
                <anchor moveWithCells="1">
                  <from>
                    <xdr:col>32</xdr:col>
                    <xdr:colOff>19050</xdr:colOff>
                    <xdr:row>16</xdr:row>
                    <xdr:rowOff>0</xdr:rowOff>
                  </from>
                  <to>
                    <xdr:col>33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5" r:id="rId81" name="Check Box 79">
              <controlPr defaultSize="0" autoFill="0" autoLine="0" autoPict="0">
                <anchor moveWithCells="1">
                  <from>
                    <xdr:col>33</xdr:col>
                    <xdr:colOff>19050</xdr:colOff>
                    <xdr:row>16</xdr:row>
                    <xdr:rowOff>0</xdr:rowOff>
                  </from>
                  <to>
                    <xdr:col>34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6" r:id="rId82" name="Check Box 80">
              <controlPr defaultSize="0" autoFill="0" autoLine="0" autoPict="0">
                <anchor moveWithCells="1">
                  <from>
                    <xdr:col>33</xdr:col>
                    <xdr:colOff>19050</xdr:colOff>
                    <xdr:row>15</xdr:row>
                    <xdr:rowOff>171450</xdr:rowOff>
                  </from>
                  <to>
                    <xdr:col>33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7" r:id="rId83" name="Check Box 81">
              <controlPr defaultSize="0" autoFill="0" autoLine="0" autoPict="0">
                <anchor moveWithCells="1">
                  <from>
                    <xdr:col>33</xdr:col>
                    <xdr:colOff>19050</xdr:colOff>
                    <xdr:row>16</xdr:row>
                    <xdr:rowOff>0</xdr:rowOff>
                  </from>
                  <to>
                    <xdr:col>34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8" r:id="rId84" name="Check Box 82">
              <controlPr defaultSize="0" autoFill="0" autoLine="0" autoPict="0">
                <anchor moveWithCells="1">
                  <from>
                    <xdr:col>33</xdr:col>
                    <xdr:colOff>19050</xdr:colOff>
                    <xdr:row>16</xdr:row>
                    <xdr:rowOff>0</xdr:rowOff>
                  </from>
                  <to>
                    <xdr:col>34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9" r:id="rId85" name="Check Box 83">
              <controlPr defaultSize="0" autoFill="0" autoLine="0" autoPict="0">
                <anchor moveWithCells="1">
                  <from>
                    <xdr:col>34</xdr:col>
                    <xdr:colOff>19050</xdr:colOff>
                    <xdr:row>16</xdr:row>
                    <xdr:rowOff>0</xdr:rowOff>
                  </from>
                  <to>
                    <xdr:col>35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0" r:id="rId86" name="Check Box 84">
              <controlPr defaultSize="0" autoFill="0" autoLine="0" autoPict="0">
                <anchor moveWithCells="1">
                  <from>
                    <xdr:col>34</xdr:col>
                    <xdr:colOff>19050</xdr:colOff>
                    <xdr:row>15</xdr:row>
                    <xdr:rowOff>171450</xdr:rowOff>
                  </from>
                  <to>
                    <xdr:col>34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1" r:id="rId87" name="Check Box 85">
              <controlPr defaultSize="0" autoFill="0" autoLine="0" autoPict="0">
                <anchor moveWithCells="1">
                  <from>
                    <xdr:col>34</xdr:col>
                    <xdr:colOff>19050</xdr:colOff>
                    <xdr:row>16</xdr:row>
                    <xdr:rowOff>0</xdr:rowOff>
                  </from>
                  <to>
                    <xdr:col>35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2" r:id="rId88" name="Check Box 86">
              <controlPr defaultSize="0" autoFill="0" autoLine="0" autoPict="0">
                <anchor moveWithCells="1">
                  <from>
                    <xdr:col>18</xdr:col>
                    <xdr:colOff>19050</xdr:colOff>
                    <xdr:row>16</xdr:row>
                    <xdr:rowOff>0</xdr:rowOff>
                  </from>
                  <to>
                    <xdr:col>19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3" r:id="rId89" name="Check Box 87">
              <controlPr defaultSize="0" autoFill="0" autoLine="0" autoPict="0">
                <anchor moveWithCells="1">
                  <from>
                    <xdr:col>19</xdr:col>
                    <xdr:colOff>19050</xdr:colOff>
                    <xdr:row>16</xdr:row>
                    <xdr:rowOff>0</xdr:rowOff>
                  </from>
                  <to>
                    <xdr:col>20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4" r:id="rId90" name="Check Box 88">
              <controlPr defaultSize="0" autoFill="0" autoLine="0" autoPict="0">
                <anchor moveWithCells="1">
                  <from>
                    <xdr:col>19</xdr:col>
                    <xdr:colOff>19050</xdr:colOff>
                    <xdr:row>15</xdr:row>
                    <xdr:rowOff>171450</xdr:rowOff>
                  </from>
                  <to>
                    <xdr:col>19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5" r:id="rId91" name="Check Box 89">
              <controlPr defaultSize="0" autoFill="0" autoLine="0" autoPict="0">
                <anchor moveWithCells="1">
                  <from>
                    <xdr:col>19</xdr:col>
                    <xdr:colOff>19050</xdr:colOff>
                    <xdr:row>16</xdr:row>
                    <xdr:rowOff>0</xdr:rowOff>
                  </from>
                  <to>
                    <xdr:col>20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6" r:id="rId92" name="Check Box 90">
              <controlPr defaultSize="0" autoFill="0" autoLine="0" autoPict="0">
                <anchor moveWithCells="1">
                  <from>
                    <xdr:col>20</xdr:col>
                    <xdr:colOff>19050</xdr:colOff>
                    <xdr:row>16</xdr:row>
                    <xdr:rowOff>0</xdr:rowOff>
                  </from>
                  <to>
                    <xdr:col>21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7" r:id="rId93" name="Check Box 91">
              <controlPr defaultSize="0" autoFill="0" autoLine="0" autoPict="0">
                <anchor moveWithCells="1">
                  <from>
                    <xdr:col>20</xdr:col>
                    <xdr:colOff>19050</xdr:colOff>
                    <xdr:row>15</xdr:row>
                    <xdr:rowOff>171450</xdr:rowOff>
                  </from>
                  <to>
                    <xdr:col>20</xdr:col>
                    <xdr:colOff>257175</xdr:colOff>
                    <xdr:row>17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D7D8-4078-49C5-89ED-4D53C9F7AB59}">
  <sheetPr>
    <tabColor theme="4"/>
  </sheetPr>
  <dimension ref="A1:R80"/>
  <sheetViews>
    <sheetView workbookViewId="0">
      <selection activeCell="F6" sqref="F6"/>
    </sheetView>
  </sheetViews>
  <sheetFormatPr defaultRowHeight="15" x14ac:dyDescent="0.25"/>
  <cols>
    <col min="1" max="1" width="3" bestFit="1" customWidth="1"/>
    <col min="2" max="2" width="17.5703125" customWidth="1"/>
    <col min="3" max="3" width="11.85546875" bestFit="1" customWidth="1"/>
    <col min="4" max="4" width="11.7109375" bestFit="1" customWidth="1"/>
    <col min="5" max="5" width="11" bestFit="1" customWidth="1"/>
    <col min="6" max="6" width="11.7109375" bestFit="1" customWidth="1"/>
    <col min="7" max="7" width="11.5703125" bestFit="1" customWidth="1"/>
    <col min="8" max="8" width="10.85546875" bestFit="1" customWidth="1"/>
    <col min="9" max="9" width="11.5703125" bestFit="1" customWidth="1"/>
    <col min="10" max="10" width="11.5703125" customWidth="1"/>
    <col min="11" max="11" width="11.42578125" bestFit="1" customWidth="1"/>
    <col min="12" max="13" width="10.7109375" bestFit="1" customWidth="1"/>
    <col min="14" max="14" width="10.7109375" customWidth="1"/>
    <col min="15" max="15" width="8.7109375" bestFit="1" customWidth="1"/>
    <col min="16" max="16" width="8" bestFit="1" customWidth="1"/>
    <col min="17" max="17" width="12.85546875" bestFit="1" customWidth="1"/>
    <col min="18" max="18" width="12.7109375" bestFit="1" customWidth="1"/>
    <col min="19" max="19" width="7.28515625" bestFit="1" customWidth="1"/>
  </cols>
  <sheetData>
    <row r="1" spans="1:18" x14ac:dyDescent="0.25">
      <c r="C1" t="s">
        <v>940</v>
      </c>
      <c r="D1" t="s">
        <v>941</v>
      </c>
      <c r="E1" t="s">
        <v>942</v>
      </c>
      <c r="F1" t="s">
        <v>719</v>
      </c>
    </row>
    <row r="2" spans="1:18" x14ac:dyDescent="0.25">
      <c r="B2" s="14" t="s">
        <v>939</v>
      </c>
      <c r="C2" s="47">
        <v>6</v>
      </c>
    </row>
    <row r="3" spans="1:18" x14ac:dyDescent="0.25">
      <c r="B3" s="14" t="s">
        <v>937</v>
      </c>
      <c r="C3" s="83">
        <v>3.4000000000000002E-2</v>
      </c>
      <c r="D3" s="83">
        <v>3.4000000000000002E-2</v>
      </c>
      <c r="E3" s="84">
        <v>5.4100000000000002E-2</v>
      </c>
    </row>
    <row r="4" spans="1:18" x14ac:dyDescent="0.25">
      <c r="B4" s="14" t="s">
        <v>957</v>
      </c>
      <c r="C4" s="83">
        <f>C3/12</f>
        <v>2.8333333333333335E-3</v>
      </c>
      <c r="D4" s="83">
        <f t="shared" ref="D4:E4" si="0">D3/12</f>
        <v>2.8333333333333335E-3</v>
      </c>
      <c r="E4" s="83">
        <f t="shared" si="0"/>
        <v>4.5083333333333338E-3</v>
      </c>
    </row>
    <row r="5" spans="1:18" x14ac:dyDescent="0.25">
      <c r="B5" s="14" t="s">
        <v>938</v>
      </c>
      <c r="C5" s="5">
        <v>5765.25</v>
      </c>
      <c r="D5" s="5">
        <v>4868.38</v>
      </c>
      <c r="E5" s="5">
        <v>11796.93</v>
      </c>
      <c r="F5" s="5">
        <f>SUM(C5:E5)</f>
        <v>22430.560000000001</v>
      </c>
      <c r="G5" s="5"/>
    </row>
    <row r="6" spans="1:18" x14ac:dyDescent="0.25">
      <c r="B6" s="14" t="s">
        <v>936</v>
      </c>
      <c r="C6" s="5">
        <f>PMT(C3/12,$C$2*12,-C5)</f>
        <v>88.630845922746488</v>
      </c>
      <c r="D6" s="5">
        <f>PMT(D3/12,$C$2*12,-D5)</f>
        <v>74.843005537206622</v>
      </c>
      <c r="E6" s="5">
        <f>PMT(E3/12,$C$2*12,-E5)</f>
        <v>192.24046041512332</v>
      </c>
      <c r="F6" s="5">
        <f>SUM(C6:E6)</f>
        <v>355.71431187507642</v>
      </c>
      <c r="G6" s="5"/>
    </row>
    <row r="7" spans="1:18" x14ac:dyDescent="0.25">
      <c r="B7" s="14"/>
      <c r="C7" s="5"/>
      <c r="D7" s="5"/>
      <c r="E7" s="5"/>
      <c r="F7" s="5"/>
      <c r="G7" s="5"/>
    </row>
    <row r="8" spans="1:18" x14ac:dyDescent="0.25">
      <c r="C8" s="86" t="s">
        <v>950</v>
      </c>
      <c r="D8" s="86" t="s">
        <v>944</v>
      </c>
      <c r="E8" s="86" t="s">
        <v>947</v>
      </c>
      <c r="F8" s="86" t="s">
        <v>953</v>
      </c>
      <c r="G8" s="87" t="s">
        <v>951</v>
      </c>
      <c r="H8" s="87" t="s">
        <v>945</v>
      </c>
      <c r="I8" s="87" t="s">
        <v>948</v>
      </c>
      <c r="J8" s="87" t="s">
        <v>954</v>
      </c>
      <c r="K8" s="18" t="s">
        <v>952</v>
      </c>
      <c r="L8" s="18" t="s">
        <v>946</v>
      </c>
      <c r="M8" s="18" t="s">
        <v>949</v>
      </c>
      <c r="N8" s="18" t="s">
        <v>955</v>
      </c>
      <c r="O8" t="s">
        <v>938</v>
      </c>
      <c r="P8" t="s">
        <v>76</v>
      </c>
      <c r="Q8" t="s">
        <v>943</v>
      </c>
      <c r="R8" t="s">
        <v>956</v>
      </c>
    </row>
    <row r="9" spans="1:18" x14ac:dyDescent="0.25">
      <c r="A9" cm="1">
        <f t="array" ref="A9:A80">_xlfn.SEQUENCE(C2*12)</f>
        <v>1</v>
      </c>
      <c r="B9" s="4">
        <v>45200</v>
      </c>
      <c r="C9" s="5">
        <f>$C$6</f>
        <v>88.630845922746488</v>
      </c>
      <c r="D9" s="5">
        <f>C6-E9</f>
        <v>72.295970922746491</v>
      </c>
      <c r="E9" s="5">
        <f>C4*C5</f>
        <v>16.334875</v>
      </c>
      <c r="F9" s="82">
        <f>C5-D9</f>
        <v>5692.9540290772538</v>
      </c>
      <c r="G9" s="5">
        <f>$D$6</f>
        <v>74.843005537206622</v>
      </c>
      <c r="H9" s="5">
        <f>D6-I9</f>
        <v>61.049262203873283</v>
      </c>
      <c r="I9" s="5">
        <f>D4*D5</f>
        <v>13.793743333333335</v>
      </c>
      <c r="J9" s="82">
        <f>D5-H9</f>
        <v>4807.3307377961264</v>
      </c>
      <c r="K9" s="5">
        <f>$E$6</f>
        <v>192.24046041512332</v>
      </c>
      <c r="L9" s="5">
        <f>E6-M9</f>
        <v>139.05596766512332</v>
      </c>
      <c r="M9" s="5">
        <f>E4*E5</f>
        <v>53.184492750000004</v>
      </c>
      <c r="N9" s="82">
        <f>E5-L9</f>
        <v>11657.874032334877</v>
      </c>
      <c r="O9" s="5">
        <f>SUM(D9,H9,L9)</f>
        <v>272.40120079174312</v>
      </c>
      <c r="P9" s="85">
        <f>SUM(E9,I9,M9)</f>
        <v>83.313111083333339</v>
      </c>
      <c r="Q9" s="13">
        <f>P9</f>
        <v>83.313111083333339</v>
      </c>
      <c r="R9" s="5">
        <f>SUM(F9,J9,N9)</f>
        <v>22158.158799208257</v>
      </c>
    </row>
    <row r="10" spans="1:18" x14ac:dyDescent="0.25">
      <c r="A10">
        <v>2</v>
      </c>
      <c r="B10" s="4">
        <f>EOMONTH(B9,0)+1</f>
        <v>45231</v>
      </c>
      <c r="C10" s="5">
        <f t="shared" ref="C10:C73" si="1">$C$6</f>
        <v>88.630845922746488</v>
      </c>
      <c r="D10" s="5">
        <f>C10-E10</f>
        <v>72.500809507027597</v>
      </c>
      <c r="E10" s="5">
        <f>$C$4*F9</f>
        <v>16.130036415718887</v>
      </c>
      <c r="F10" s="5">
        <f>F9-D10</f>
        <v>5620.4532195702259</v>
      </c>
      <c r="G10" s="5">
        <f t="shared" ref="G10:G73" si="2">$D$6</f>
        <v>74.843005537206622</v>
      </c>
      <c r="H10" s="5">
        <f>G10-I10</f>
        <v>61.222235113450928</v>
      </c>
      <c r="I10" s="5">
        <f>$D$4*J9</f>
        <v>13.620770423755692</v>
      </c>
      <c r="J10" s="5">
        <f>J9-H10</f>
        <v>4746.1085026826759</v>
      </c>
      <c r="K10" s="5">
        <f t="shared" ref="K10:K73" si="3">$E$6</f>
        <v>192.24046041512332</v>
      </c>
      <c r="L10" s="5">
        <f>K10-M10</f>
        <v>139.68287831934691</v>
      </c>
      <c r="M10" s="5">
        <f>$E$4*N9</f>
        <v>52.557582095776411</v>
      </c>
      <c r="N10" s="5">
        <f>N9-L10</f>
        <v>11518.191154015531</v>
      </c>
      <c r="O10" s="5">
        <f t="shared" ref="O10:O73" si="4">SUM(D10,H10,L10)</f>
        <v>273.40592293982547</v>
      </c>
      <c r="P10" s="85">
        <f t="shared" ref="P10:P73" si="5">SUM(E10,I10,M10)</f>
        <v>82.308388935250989</v>
      </c>
      <c r="Q10" s="5">
        <f>P10+Q9</f>
        <v>165.62150001858433</v>
      </c>
      <c r="R10" s="5">
        <f t="shared" ref="R10:R73" si="6">SUM(F10,J10,N10)</f>
        <v>21884.752876268431</v>
      </c>
    </row>
    <row r="11" spans="1:18" x14ac:dyDescent="0.25">
      <c r="A11">
        <v>3</v>
      </c>
      <c r="B11" s="4">
        <f t="shared" ref="B11:B74" si="7">EOMONTH(B10,0)+1</f>
        <v>45261</v>
      </c>
      <c r="C11" s="5">
        <f t="shared" si="1"/>
        <v>88.630845922746488</v>
      </c>
      <c r="D11" s="5">
        <f t="shared" ref="D11:D74" si="8">C11-E11</f>
        <v>72.706228467297507</v>
      </c>
      <c r="E11" s="5">
        <f t="shared" ref="E11:E74" si="9">$C$4*F10</f>
        <v>15.924617455448974</v>
      </c>
      <c r="F11" s="5">
        <f t="shared" ref="F11:F74" si="10">F10-D11</f>
        <v>5547.7469911029284</v>
      </c>
      <c r="G11" s="5">
        <f t="shared" si="2"/>
        <v>74.843005537206622</v>
      </c>
      <c r="H11" s="5">
        <f t="shared" ref="H11:H74" si="11">G11-I11</f>
        <v>61.395698112939037</v>
      </c>
      <c r="I11" s="5">
        <f t="shared" ref="I11:I74" si="12">$D$4*J10</f>
        <v>13.447307424267583</v>
      </c>
      <c r="J11" s="5">
        <f t="shared" ref="J11:J74" si="13">J10-H11</f>
        <v>4684.7128045697373</v>
      </c>
      <c r="K11" s="5">
        <f t="shared" si="3"/>
        <v>192.24046041512332</v>
      </c>
      <c r="L11" s="5">
        <f t="shared" ref="L11:L74" si="14">K11-M11</f>
        <v>140.31261529576997</v>
      </c>
      <c r="M11" s="5">
        <f t="shared" ref="M11:M74" si="15">$E$4*N10</f>
        <v>51.927845119353357</v>
      </c>
      <c r="N11" s="5">
        <f t="shared" ref="N11:N74" si="16">N10-L11</f>
        <v>11377.87853871976</v>
      </c>
      <c r="O11" s="5">
        <f t="shared" si="4"/>
        <v>274.41454187600652</v>
      </c>
      <c r="P11" s="85">
        <f t="shared" si="5"/>
        <v>81.299769999069923</v>
      </c>
      <c r="Q11" s="5">
        <f t="shared" ref="Q11:Q74" si="17">P11+Q10</f>
        <v>246.92127001765425</v>
      </c>
      <c r="R11" s="5">
        <f t="shared" si="6"/>
        <v>21610.338334392425</v>
      </c>
    </row>
    <row r="12" spans="1:18" x14ac:dyDescent="0.25">
      <c r="A12">
        <v>4</v>
      </c>
      <c r="B12" s="4">
        <f t="shared" si="7"/>
        <v>45292</v>
      </c>
      <c r="C12" s="5">
        <f t="shared" si="1"/>
        <v>88.630845922746488</v>
      </c>
      <c r="D12" s="5">
        <f t="shared" si="8"/>
        <v>72.912229447954857</v>
      </c>
      <c r="E12" s="5">
        <f t="shared" si="9"/>
        <v>15.718616474791631</v>
      </c>
      <c r="F12" s="5">
        <f t="shared" si="10"/>
        <v>5474.8347616549736</v>
      </c>
      <c r="G12" s="5">
        <f t="shared" si="2"/>
        <v>74.843005537206622</v>
      </c>
      <c r="H12" s="5">
        <f t="shared" si="11"/>
        <v>61.569652590925699</v>
      </c>
      <c r="I12" s="5">
        <f t="shared" si="12"/>
        <v>13.273352946280923</v>
      </c>
      <c r="J12" s="5">
        <f t="shared" si="13"/>
        <v>4623.1431519788111</v>
      </c>
      <c r="K12" s="5">
        <f t="shared" si="3"/>
        <v>192.24046041512332</v>
      </c>
      <c r="L12" s="5">
        <f t="shared" si="14"/>
        <v>140.94519133639506</v>
      </c>
      <c r="M12" s="5">
        <f t="shared" si="15"/>
        <v>51.295269078728261</v>
      </c>
      <c r="N12" s="5">
        <f t="shared" si="16"/>
        <v>11236.933347383365</v>
      </c>
      <c r="O12" s="5">
        <f t="shared" si="4"/>
        <v>275.4270733752756</v>
      </c>
      <c r="P12" s="85">
        <f t="shared" si="5"/>
        <v>80.287238499800822</v>
      </c>
      <c r="Q12" s="5">
        <f t="shared" si="17"/>
        <v>327.20850851745507</v>
      </c>
      <c r="R12" s="5">
        <f t="shared" si="6"/>
        <v>21334.911261017151</v>
      </c>
    </row>
    <row r="13" spans="1:18" x14ac:dyDescent="0.25">
      <c r="A13">
        <v>5</v>
      </c>
      <c r="B13" s="4">
        <f t="shared" si="7"/>
        <v>45323</v>
      </c>
      <c r="C13" s="5">
        <f t="shared" si="1"/>
        <v>88.630845922746488</v>
      </c>
      <c r="D13" s="5">
        <f t="shared" si="8"/>
        <v>73.118814098057399</v>
      </c>
      <c r="E13" s="5">
        <f t="shared" si="9"/>
        <v>15.512031824689092</v>
      </c>
      <c r="F13" s="5">
        <f t="shared" si="10"/>
        <v>5401.715947556916</v>
      </c>
      <c r="G13" s="5">
        <f t="shared" si="2"/>
        <v>74.843005537206622</v>
      </c>
      <c r="H13" s="5">
        <f t="shared" si="11"/>
        <v>61.744099939933321</v>
      </c>
      <c r="I13" s="5">
        <f t="shared" si="12"/>
        <v>13.0989055972733</v>
      </c>
      <c r="J13" s="5">
        <f t="shared" si="13"/>
        <v>4561.3990520388779</v>
      </c>
      <c r="K13" s="5">
        <f t="shared" si="3"/>
        <v>192.24046041512332</v>
      </c>
      <c r="L13" s="5">
        <f t="shared" si="14"/>
        <v>141.58061924066999</v>
      </c>
      <c r="M13" s="5">
        <f t="shared" si="15"/>
        <v>50.659841174453341</v>
      </c>
      <c r="N13" s="5">
        <f t="shared" si="16"/>
        <v>11095.352728142694</v>
      </c>
      <c r="O13" s="5">
        <f t="shared" si="4"/>
        <v>276.44353327866071</v>
      </c>
      <c r="P13" s="85">
        <f t="shared" si="5"/>
        <v>79.270778596415738</v>
      </c>
      <c r="Q13" s="5">
        <f t="shared" si="17"/>
        <v>406.47928711387078</v>
      </c>
      <c r="R13" s="5">
        <f t="shared" si="6"/>
        <v>21058.467727738487</v>
      </c>
    </row>
    <row r="14" spans="1:18" x14ac:dyDescent="0.25">
      <c r="A14">
        <v>6</v>
      </c>
      <c r="B14" s="4">
        <f t="shared" si="7"/>
        <v>45352</v>
      </c>
      <c r="C14" s="5">
        <f t="shared" si="1"/>
        <v>88.630845922746488</v>
      </c>
      <c r="D14" s="5">
        <f t="shared" si="8"/>
        <v>73.325984071335228</v>
      </c>
      <c r="E14" s="5">
        <f t="shared" si="9"/>
        <v>15.304861851411264</v>
      </c>
      <c r="F14" s="5">
        <f t="shared" si="10"/>
        <v>5328.3899634855807</v>
      </c>
      <c r="G14" s="5">
        <f t="shared" si="2"/>
        <v>74.843005537206622</v>
      </c>
      <c r="H14" s="5">
        <f t="shared" si="11"/>
        <v>61.919041556429804</v>
      </c>
      <c r="I14" s="5">
        <f t="shared" si="12"/>
        <v>12.923963980776822</v>
      </c>
      <c r="J14" s="5">
        <f t="shared" si="13"/>
        <v>4499.4800104824481</v>
      </c>
      <c r="K14" s="5">
        <f t="shared" si="3"/>
        <v>192.24046041512332</v>
      </c>
      <c r="L14" s="5">
        <f t="shared" si="14"/>
        <v>142.21891186574666</v>
      </c>
      <c r="M14" s="5">
        <f t="shared" si="15"/>
        <v>50.021548549376654</v>
      </c>
      <c r="N14" s="5">
        <f t="shared" si="16"/>
        <v>10953.133816276948</v>
      </c>
      <c r="O14" s="5">
        <f t="shared" si="4"/>
        <v>277.46393749351171</v>
      </c>
      <c r="P14" s="85">
        <f t="shared" si="5"/>
        <v>78.25037438156474</v>
      </c>
      <c r="Q14" s="5">
        <f t="shared" si="17"/>
        <v>484.72966149543549</v>
      </c>
      <c r="R14" s="5">
        <f t="shared" si="6"/>
        <v>20781.003790244977</v>
      </c>
    </row>
    <row r="15" spans="1:18" x14ac:dyDescent="0.25">
      <c r="A15">
        <v>7</v>
      </c>
      <c r="B15" s="4">
        <f t="shared" si="7"/>
        <v>45383</v>
      </c>
      <c r="C15" s="5">
        <f t="shared" si="1"/>
        <v>88.630845922746488</v>
      </c>
      <c r="D15" s="5">
        <f t="shared" si="8"/>
        <v>73.533741026204012</v>
      </c>
      <c r="E15" s="5">
        <f t="shared" si="9"/>
        <v>15.097104896542479</v>
      </c>
      <c r="F15" s="5">
        <f t="shared" si="10"/>
        <v>5254.856222459377</v>
      </c>
      <c r="G15" s="5">
        <f t="shared" si="2"/>
        <v>74.843005537206622</v>
      </c>
      <c r="H15" s="5">
        <f t="shared" si="11"/>
        <v>62.094478840839685</v>
      </c>
      <c r="I15" s="5">
        <f t="shared" si="12"/>
        <v>12.748526696366937</v>
      </c>
      <c r="J15" s="5">
        <f t="shared" si="13"/>
        <v>4437.3855316416084</v>
      </c>
      <c r="K15" s="5">
        <f t="shared" si="3"/>
        <v>192.24046041512332</v>
      </c>
      <c r="L15" s="5">
        <f t="shared" si="14"/>
        <v>142.86008212674142</v>
      </c>
      <c r="M15" s="5">
        <f t="shared" si="15"/>
        <v>49.380378288381912</v>
      </c>
      <c r="N15" s="5">
        <f t="shared" si="16"/>
        <v>10810.273734150207</v>
      </c>
      <c r="O15" s="5">
        <f t="shared" si="4"/>
        <v>278.48830199378511</v>
      </c>
      <c r="P15" s="85">
        <f t="shared" si="5"/>
        <v>77.226009881291333</v>
      </c>
      <c r="Q15" s="5">
        <f t="shared" si="17"/>
        <v>561.95567137672685</v>
      </c>
      <c r="R15" s="5">
        <f t="shared" si="6"/>
        <v>20502.515488251192</v>
      </c>
    </row>
    <row r="16" spans="1:18" x14ac:dyDescent="0.25">
      <c r="A16">
        <v>8</v>
      </c>
      <c r="B16" s="4">
        <f t="shared" si="7"/>
        <v>45413</v>
      </c>
      <c r="C16" s="5">
        <f t="shared" si="1"/>
        <v>88.630845922746488</v>
      </c>
      <c r="D16" s="5">
        <f t="shared" si="8"/>
        <v>73.742086625778256</v>
      </c>
      <c r="E16" s="5">
        <f t="shared" si="9"/>
        <v>14.888759296968235</v>
      </c>
      <c r="F16" s="5">
        <f t="shared" si="10"/>
        <v>5181.114135833599</v>
      </c>
      <c r="G16" s="5">
        <f t="shared" si="2"/>
        <v>74.843005537206622</v>
      </c>
      <c r="H16" s="5">
        <f t="shared" si="11"/>
        <v>62.270413197555399</v>
      </c>
      <c r="I16" s="5">
        <f t="shared" si="12"/>
        <v>12.572592339651225</v>
      </c>
      <c r="J16" s="5">
        <f t="shared" si="13"/>
        <v>4375.1151184440532</v>
      </c>
      <c r="K16" s="5">
        <f t="shared" si="3"/>
        <v>192.24046041512332</v>
      </c>
      <c r="L16" s="5">
        <f t="shared" si="14"/>
        <v>143.50414299699614</v>
      </c>
      <c r="M16" s="5">
        <f t="shared" si="15"/>
        <v>48.736317418127186</v>
      </c>
      <c r="N16" s="5">
        <f t="shared" si="16"/>
        <v>10666.76959115321</v>
      </c>
      <c r="O16" s="5">
        <f t="shared" si="4"/>
        <v>279.51664282032982</v>
      </c>
      <c r="P16" s="85">
        <f t="shared" si="5"/>
        <v>76.197669054746655</v>
      </c>
      <c r="Q16" s="5">
        <f t="shared" si="17"/>
        <v>638.15334043147345</v>
      </c>
      <c r="R16" s="5">
        <f t="shared" si="6"/>
        <v>20222.998845430862</v>
      </c>
    </row>
    <row r="17" spans="1:18" x14ac:dyDescent="0.25">
      <c r="A17">
        <v>9</v>
      </c>
      <c r="B17" s="4">
        <f t="shared" si="7"/>
        <v>45444</v>
      </c>
      <c r="C17" s="5">
        <f t="shared" si="1"/>
        <v>88.630845922746488</v>
      </c>
      <c r="D17" s="5">
        <f t="shared" si="8"/>
        <v>73.951022537884626</v>
      </c>
      <c r="E17" s="5">
        <f t="shared" si="9"/>
        <v>14.679823384861864</v>
      </c>
      <c r="F17" s="5">
        <f t="shared" si="10"/>
        <v>5107.1631132957145</v>
      </c>
      <c r="G17" s="5">
        <f t="shared" si="2"/>
        <v>74.843005537206622</v>
      </c>
      <c r="H17" s="5">
        <f t="shared" si="11"/>
        <v>62.446846034948472</v>
      </c>
      <c r="I17" s="5">
        <f t="shared" si="12"/>
        <v>12.396159502258152</v>
      </c>
      <c r="J17" s="5">
        <f t="shared" si="13"/>
        <v>4312.6682724091052</v>
      </c>
      <c r="K17" s="5">
        <f t="shared" si="3"/>
        <v>192.24046041512332</v>
      </c>
      <c r="L17" s="5">
        <f t="shared" si="14"/>
        <v>144.15110750834094</v>
      </c>
      <c r="M17" s="5">
        <f t="shared" si="15"/>
        <v>48.089352906782395</v>
      </c>
      <c r="N17" s="5">
        <f t="shared" si="16"/>
        <v>10522.618483644868</v>
      </c>
      <c r="O17" s="5">
        <f t="shared" si="4"/>
        <v>280.54897608117403</v>
      </c>
      <c r="P17" s="85">
        <f t="shared" si="5"/>
        <v>75.165335793902415</v>
      </c>
      <c r="Q17" s="5">
        <f t="shared" si="17"/>
        <v>713.31867622537584</v>
      </c>
      <c r="R17" s="5">
        <f t="shared" si="6"/>
        <v>19942.449869349686</v>
      </c>
    </row>
    <row r="18" spans="1:18" x14ac:dyDescent="0.25">
      <c r="A18">
        <v>10</v>
      </c>
      <c r="B18" s="4">
        <f t="shared" si="7"/>
        <v>45474</v>
      </c>
      <c r="C18" s="5">
        <f t="shared" si="1"/>
        <v>88.630845922746488</v>
      </c>
      <c r="D18" s="5">
        <f t="shared" si="8"/>
        <v>74.160550435075294</v>
      </c>
      <c r="E18" s="5">
        <f t="shared" si="9"/>
        <v>14.470295487671192</v>
      </c>
      <c r="F18" s="5">
        <f t="shared" si="10"/>
        <v>5033.002562860639</v>
      </c>
      <c r="G18" s="5">
        <f t="shared" si="2"/>
        <v>74.843005537206622</v>
      </c>
      <c r="H18" s="5">
        <f t="shared" si="11"/>
        <v>62.62377876538082</v>
      </c>
      <c r="I18" s="5">
        <f t="shared" si="12"/>
        <v>12.219226771825799</v>
      </c>
      <c r="J18" s="5">
        <f t="shared" si="13"/>
        <v>4250.0444936437243</v>
      </c>
      <c r="K18" s="5">
        <f t="shared" si="3"/>
        <v>192.24046041512332</v>
      </c>
      <c r="L18" s="5">
        <f t="shared" si="14"/>
        <v>144.80098875135769</v>
      </c>
      <c r="M18" s="5">
        <f t="shared" si="15"/>
        <v>47.439471663765623</v>
      </c>
      <c r="N18" s="5">
        <f t="shared" si="16"/>
        <v>10377.81749489351</v>
      </c>
      <c r="O18" s="5">
        <f t="shared" si="4"/>
        <v>281.58531795181381</v>
      </c>
      <c r="P18" s="85">
        <f t="shared" si="5"/>
        <v>74.128993923262612</v>
      </c>
      <c r="Q18" s="5">
        <f t="shared" si="17"/>
        <v>787.44767014863851</v>
      </c>
      <c r="R18" s="5">
        <f t="shared" si="6"/>
        <v>19660.864551397874</v>
      </c>
    </row>
    <row r="19" spans="1:18" x14ac:dyDescent="0.25">
      <c r="A19">
        <v>11</v>
      </c>
      <c r="B19" s="4">
        <f t="shared" si="7"/>
        <v>45505</v>
      </c>
      <c r="C19" s="5">
        <f t="shared" si="1"/>
        <v>88.630845922746488</v>
      </c>
      <c r="D19" s="5">
        <f t="shared" si="8"/>
        <v>74.370671994641341</v>
      </c>
      <c r="E19" s="5">
        <f t="shared" si="9"/>
        <v>14.260173928105145</v>
      </c>
      <c r="F19" s="5">
        <f t="shared" si="10"/>
        <v>4958.6318908659978</v>
      </c>
      <c r="G19" s="5">
        <f t="shared" si="2"/>
        <v>74.843005537206622</v>
      </c>
      <c r="H19" s="5">
        <f t="shared" si="11"/>
        <v>62.801212805216068</v>
      </c>
      <c r="I19" s="5">
        <f t="shared" si="12"/>
        <v>12.041792731990553</v>
      </c>
      <c r="J19" s="5">
        <f t="shared" si="13"/>
        <v>4187.2432808385083</v>
      </c>
      <c r="K19" s="5">
        <f t="shared" si="3"/>
        <v>192.24046041512332</v>
      </c>
      <c r="L19" s="5">
        <f t="shared" si="14"/>
        <v>145.45379987564507</v>
      </c>
      <c r="M19" s="5">
        <f t="shared" si="15"/>
        <v>46.786660539478248</v>
      </c>
      <c r="N19" s="5">
        <f t="shared" si="16"/>
        <v>10232.363695017864</v>
      </c>
      <c r="O19" s="5">
        <f t="shared" si="4"/>
        <v>282.6256846755025</v>
      </c>
      <c r="P19" s="85">
        <f t="shared" si="5"/>
        <v>73.088627199573949</v>
      </c>
      <c r="Q19" s="5">
        <f t="shared" si="17"/>
        <v>860.53629734821243</v>
      </c>
      <c r="R19" s="5">
        <f t="shared" si="6"/>
        <v>19378.238866722371</v>
      </c>
    </row>
    <row r="20" spans="1:18" x14ac:dyDescent="0.25">
      <c r="A20">
        <v>12</v>
      </c>
      <c r="B20" s="4">
        <f t="shared" si="7"/>
        <v>45536</v>
      </c>
      <c r="C20" s="5">
        <f t="shared" si="1"/>
        <v>88.630845922746488</v>
      </c>
      <c r="D20" s="5">
        <f t="shared" si="8"/>
        <v>74.581388898626159</v>
      </c>
      <c r="E20" s="5">
        <f t="shared" si="9"/>
        <v>14.049457024120327</v>
      </c>
      <c r="F20" s="5">
        <f t="shared" si="10"/>
        <v>4884.0505019673719</v>
      </c>
      <c r="G20" s="5">
        <f t="shared" si="2"/>
        <v>74.843005537206622</v>
      </c>
      <c r="H20" s="5">
        <f t="shared" si="11"/>
        <v>62.979149574830849</v>
      </c>
      <c r="I20" s="5">
        <f t="shared" si="12"/>
        <v>11.863855962375775</v>
      </c>
      <c r="J20" s="5">
        <f t="shared" si="13"/>
        <v>4124.2641312636779</v>
      </c>
      <c r="K20" s="5">
        <f t="shared" si="3"/>
        <v>192.24046041512332</v>
      </c>
      <c r="L20" s="5">
        <f t="shared" si="14"/>
        <v>146.10955409008443</v>
      </c>
      <c r="M20" s="5">
        <f t="shared" si="15"/>
        <v>46.130906325038879</v>
      </c>
      <c r="N20" s="5">
        <f t="shared" si="16"/>
        <v>10086.25414092778</v>
      </c>
      <c r="O20" s="5">
        <f t="shared" si="4"/>
        <v>283.6700925635414</v>
      </c>
      <c r="P20" s="85">
        <f t="shared" si="5"/>
        <v>72.044219311534988</v>
      </c>
      <c r="Q20" s="5">
        <f t="shared" si="17"/>
        <v>932.58051665974745</v>
      </c>
      <c r="R20" s="5">
        <f t="shared" si="6"/>
        <v>19094.56877415883</v>
      </c>
    </row>
    <row r="21" spans="1:18" x14ac:dyDescent="0.25">
      <c r="A21">
        <v>13</v>
      </c>
      <c r="B21" s="4">
        <f t="shared" si="7"/>
        <v>45566</v>
      </c>
      <c r="C21" s="5">
        <f t="shared" si="1"/>
        <v>88.630845922746488</v>
      </c>
      <c r="D21" s="5">
        <f t="shared" si="8"/>
        <v>74.792702833838931</v>
      </c>
      <c r="E21" s="5">
        <f t="shared" si="9"/>
        <v>13.838143088907556</v>
      </c>
      <c r="F21" s="5">
        <f t="shared" si="10"/>
        <v>4809.2577991335329</v>
      </c>
      <c r="G21" s="5">
        <f t="shared" si="2"/>
        <v>74.843005537206622</v>
      </c>
      <c r="H21" s="5">
        <f t="shared" si="11"/>
        <v>63.157590498626199</v>
      </c>
      <c r="I21" s="5">
        <f t="shared" si="12"/>
        <v>11.685415038580421</v>
      </c>
      <c r="J21" s="5">
        <f t="shared" si="13"/>
        <v>4061.1065407650517</v>
      </c>
      <c r="K21" s="5">
        <f t="shared" si="3"/>
        <v>192.24046041512332</v>
      </c>
      <c r="L21" s="5">
        <f t="shared" si="14"/>
        <v>146.76826466310723</v>
      </c>
      <c r="M21" s="5">
        <f t="shared" si="15"/>
        <v>45.472195752016077</v>
      </c>
      <c r="N21" s="5">
        <f t="shared" si="16"/>
        <v>9939.4858762646727</v>
      </c>
      <c r="O21" s="5">
        <f t="shared" si="4"/>
        <v>284.71855799557238</v>
      </c>
      <c r="P21" s="85">
        <f t="shared" si="5"/>
        <v>70.995753879504051</v>
      </c>
      <c r="Q21" s="5">
        <f t="shared" si="17"/>
        <v>1003.5762705392515</v>
      </c>
      <c r="R21" s="5">
        <f t="shared" si="6"/>
        <v>18809.850216163257</v>
      </c>
    </row>
    <row r="22" spans="1:18" x14ac:dyDescent="0.25">
      <c r="A22">
        <v>14</v>
      </c>
      <c r="B22" s="4">
        <f t="shared" si="7"/>
        <v>45597</v>
      </c>
      <c r="C22" s="5">
        <f t="shared" si="1"/>
        <v>88.630845922746488</v>
      </c>
      <c r="D22" s="5">
        <f t="shared" si="8"/>
        <v>75.004615491868151</v>
      </c>
      <c r="E22" s="5">
        <f t="shared" si="9"/>
        <v>13.626230430878344</v>
      </c>
      <c r="F22" s="5">
        <f t="shared" si="10"/>
        <v>4734.2531836416647</v>
      </c>
      <c r="G22" s="5">
        <f t="shared" si="2"/>
        <v>74.843005537206622</v>
      </c>
      <c r="H22" s="5">
        <f t="shared" si="11"/>
        <v>63.336537005038977</v>
      </c>
      <c r="I22" s="5">
        <f t="shared" si="12"/>
        <v>11.506468532167647</v>
      </c>
      <c r="J22" s="5">
        <f t="shared" si="13"/>
        <v>3997.7700037600125</v>
      </c>
      <c r="K22" s="5">
        <f t="shared" si="3"/>
        <v>192.24046041512332</v>
      </c>
      <c r="L22" s="5">
        <f t="shared" si="14"/>
        <v>147.42994492296341</v>
      </c>
      <c r="M22" s="5">
        <f t="shared" si="15"/>
        <v>44.810515492159901</v>
      </c>
      <c r="N22" s="5">
        <f t="shared" si="16"/>
        <v>9792.0559313417089</v>
      </c>
      <c r="O22" s="5">
        <f t="shared" si="4"/>
        <v>285.77109741987056</v>
      </c>
      <c r="P22" s="85">
        <f t="shared" si="5"/>
        <v>69.94321445520589</v>
      </c>
      <c r="Q22" s="5">
        <f t="shared" si="17"/>
        <v>1073.5194849944573</v>
      </c>
      <c r="R22" s="5">
        <f t="shared" si="6"/>
        <v>18524.079118743386</v>
      </c>
    </row>
    <row r="23" spans="1:18" x14ac:dyDescent="0.25">
      <c r="A23">
        <v>15</v>
      </c>
      <c r="B23" s="4">
        <f t="shared" si="7"/>
        <v>45627</v>
      </c>
      <c r="C23" s="5">
        <f t="shared" si="1"/>
        <v>88.630845922746488</v>
      </c>
      <c r="D23" s="5">
        <f t="shared" si="8"/>
        <v>75.217128569095109</v>
      </c>
      <c r="E23" s="5">
        <f t="shared" si="9"/>
        <v>13.413717353651384</v>
      </c>
      <c r="F23" s="5">
        <f t="shared" si="10"/>
        <v>4659.03605507257</v>
      </c>
      <c r="G23" s="5">
        <f t="shared" si="2"/>
        <v>74.843005537206622</v>
      </c>
      <c r="H23" s="5">
        <f t="shared" si="11"/>
        <v>63.515990526553253</v>
      </c>
      <c r="I23" s="5">
        <f t="shared" si="12"/>
        <v>11.327015010653369</v>
      </c>
      <c r="J23" s="5">
        <f t="shared" si="13"/>
        <v>3934.2540132334593</v>
      </c>
      <c r="K23" s="5">
        <f t="shared" si="3"/>
        <v>192.24046041512332</v>
      </c>
      <c r="L23" s="5">
        <f t="shared" si="14"/>
        <v>148.09460825799113</v>
      </c>
      <c r="M23" s="5">
        <f t="shared" si="15"/>
        <v>44.145852157132211</v>
      </c>
      <c r="N23" s="5">
        <f t="shared" si="16"/>
        <v>9643.9613230837185</v>
      </c>
      <c r="O23" s="5">
        <f t="shared" si="4"/>
        <v>286.82772735363949</v>
      </c>
      <c r="P23" s="85">
        <f t="shared" si="5"/>
        <v>68.886584521436959</v>
      </c>
      <c r="Q23" s="5">
        <f t="shared" si="17"/>
        <v>1142.4060695158944</v>
      </c>
      <c r="R23" s="5">
        <f t="shared" si="6"/>
        <v>18237.251391389749</v>
      </c>
    </row>
    <row r="24" spans="1:18" x14ac:dyDescent="0.25">
      <c r="A24">
        <v>16</v>
      </c>
      <c r="B24" s="4">
        <f t="shared" si="7"/>
        <v>45658</v>
      </c>
      <c r="C24" s="5">
        <f t="shared" si="1"/>
        <v>88.630845922746488</v>
      </c>
      <c r="D24" s="5">
        <f t="shared" si="8"/>
        <v>75.430243766707534</v>
      </c>
      <c r="E24" s="5">
        <f t="shared" si="9"/>
        <v>13.200602156038949</v>
      </c>
      <c r="F24" s="5">
        <f t="shared" si="10"/>
        <v>4583.6058113058625</v>
      </c>
      <c r="G24" s="5">
        <f t="shared" si="2"/>
        <v>74.843005537206622</v>
      </c>
      <c r="H24" s="5">
        <f t="shared" si="11"/>
        <v>63.695952499711822</v>
      </c>
      <c r="I24" s="5">
        <f t="shared" si="12"/>
        <v>11.147053037494802</v>
      </c>
      <c r="J24" s="5">
        <f t="shared" si="13"/>
        <v>3870.5580607337474</v>
      </c>
      <c r="K24" s="5">
        <f t="shared" si="3"/>
        <v>192.24046041512332</v>
      </c>
      <c r="L24" s="5">
        <f t="shared" si="14"/>
        <v>148.76226811688755</v>
      </c>
      <c r="M24" s="5">
        <f t="shared" si="15"/>
        <v>43.478192298235768</v>
      </c>
      <c r="N24" s="5">
        <f t="shared" si="16"/>
        <v>9495.1990549668317</v>
      </c>
      <c r="O24" s="5">
        <f t="shared" si="4"/>
        <v>287.88846438330688</v>
      </c>
      <c r="P24" s="85">
        <f t="shared" si="5"/>
        <v>67.825847491769522</v>
      </c>
      <c r="Q24" s="5">
        <f t="shared" si="17"/>
        <v>1210.2319170076639</v>
      </c>
      <c r="R24" s="5">
        <f t="shared" si="6"/>
        <v>17949.362927006441</v>
      </c>
    </row>
    <row r="25" spans="1:18" x14ac:dyDescent="0.25">
      <c r="A25">
        <v>17</v>
      </c>
      <c r="B25" s="4">
        <f t="shared" si="7"/>
        <v>45689</v>
      </c>
      <c r="C25" s="5">
        <f t="shared" si="1"/>
        <v>88.630845922746488</v>
      </c>
      <c r="D25" s="5">
        <f t="shared" si="8"/>
        <v>75.643962790713204</v>
      </c>
      <c r="E25" s="5">
        <f t="shared" si="9"/>
        <v>12.986883132033277</v>
      </c>
      <c r="F25" s="5">
        <f t="shared" si="10"/>
        <v>4507.9618485151495</v>
      </c>
      <c r="G25" s="5">
        <f t="shared" si="2"/>
        <v>74.843005537206622</v>
      </c>
      <c r="H25" s="5">
        <f t="shared" si="11"/>
        <v>63.876424365127669</v>
      </c>
      <c r="I25" s="5">
        <f t="shared" si="12"/>
        <v>10.966581172078952</v>
      </c>
      <c r="J25" s="5">
        <f t="shared" si="13"/>
        <v>3806.6816363686198</v>
      </c>
      <c r="K25" s="5">
        <f t="shared" si="3"/>
        <v>192.24046041512332</v>
      </c>
      <c r="L25" s="5">
        <f t="shared" si="14"/>
        <v>149.43293800898118</v>
      </c>
      <c r="M25" s="5">
        <f t="shared" si="15"/>
        <v>42.807522406142141</v>
      </c>
      <c r="N25" s="5">
        <f t="shared" si="16"/>
        <v>9345.7661169578496</v>
      </c>
      <c r="O25" s="5">
        <f t="shared" si="4"/>
        <v>288.95332516482205</v>
      </c>
      <c r="P25" s="85">
        <f t="shared" si="5"/>
        <v>66.760986710254372</v>
      </c>
      <c r="Q25" s="5">
        <f t="shared" si="17"/>
        <v>1276.9929037179184</v>
      </c>
      <c r="R25" s="5">
        <f t="shared" si="6"/>
        <v>17660.409601841617</v>
      </c>
    </row>
    <row r="26" spans="1:18" x14ac:dyDescent="0.25">
      <c r="A26">
        <v>18</v>
      </c>
      <c r="B26" s="4">
        <f t="shared" si="7"/>
        <v>45717</v>
      </c>
      <c r="C26" s="5">
        <f t="shared" si="1"/>
        <v>88.630845922746488</v>
      </c>
      <c r="D26" s="5">
        <f t="shared" si="8"/>
        <v>75.858287351953564</v>
      </c>
      <c r="E26" s="5">
        <f t="shared" si="9"/>
        <v>12.772558570792924</v>
      </c>
      <c r="F26" s="5">
        <f t="shared" si="10"/>
        <v>4432.103561163196</v>
      </c>
      <c r="G26" s="5">
        <f t="shared" si="2"/>
        <v>74.843005537206622</v>
      </c>
      <c r="H26" s="5">
        <f t="shared" si="11"/>
        <v>64.057407567495531</v>
      </c>
      <c r="I26" s="5">
        <f t="shared" si="12"/>
        <v>10.785597969711091</v>
      </c>
      <c r="J26" s="5">
        <f t="shared" si="13"/>
        <v>3742.6242288011244</v>
      </c>
      <c r="K26" s="5">
        <f t="shared" si="3"/>
        <v>192.24046041512332</v>
      </c>
      <c r="L26" s="5">
        <f t="shared" si="14"/>
        <v>150.106631504505</v>
      </c>
      <c r="M26" s="5">
        <f t="shared" si="15"/>
        <v>42.133828910618313</v>
      </c>
      <c r="N26" s="5">
        <f t="shared" si="16"/>
        <v>9195.659485453345</v>
      </c>
      <c r="O26" s="5">
        <f t="shared" si="4"/>
        <v>290.0223264239541</v>
      </c>
      <c r="P26" s="85">
        <f t="shared" si="5"/>
        <v>65.691985451122321</v>
      </c>
      <c r="Q26" s="5">
        <f t="shared" si="17"/>
        <v>1342.6848891690406</v>
      </c>
      <c r="R26" s="5">
        <f t="shared" si="6"/>
        <v>17370.387275417666</v>
      </c>
    </row>
    <row r="27" spans="1:18" x14ac:dyDescent="0.25">
      <c r="A27">
        <v>19</v>
      </c>
      <c r="B27" s="4">
        <f t="shared" si="7"/>
        <v>45748</v>
      </c>
      <c r="C27" s="5">
        <f t="shared" si="1"/>
        <v>88.630845922746488</v>
      </c>
      <c r="D27" s="5">
        <f t="shared" si="8"/>
        <v>76.07321916611744</v>
      </c>
      <c r="E27" s="5">
        <f t="shared" si="9"/>
        <v>12.557626756629055</v>
      </c>
      <c r="F27" s="5">
        <f t="shared" si="10"/>
        <v>4356.0303419970787</v>
      </c>
      <c r="G27" s="5">
        <f t="shared" si="2"/>
        <v>74.843005537206622</v>
      </c>
      <c r="H27" s="5">
        <f t="shared" si="11"/>
        <v>64.238903555603429</v>
      </c>
      <c r="I27" s="5">
        <f t="shared" si="12"/>
        <v>10.604101981603186</v>
      </c>
      <c r="J27" s="5">
        <f t="shared" si="13"/>
        <v>3678.385325245521</v>
      </c>
      <c r="K27" s="5">
        <f t="shared" si="3"/>
        <v>192.24046041512332</v>
      </c>
      <c r="L27" s="5">
        <f t="shared" si="14"/>
        <v>150.78336223487116</v>
      </c>
      <c r="M27" s="5">
        <f t="shared" si="15"/>
        <v>41.457098180252167</v>
      </c>
      <c r="N27" s="5">
        <f t="shared" si="16"/>
        <v>9044.8761232184734</v>
      </c>
      <c r="O27" s="5">
        <f t="shared" si="4"/>
        <v>291.09548495659203</v>
      </c>
      <c r="P27" s="85">
        <f t="shared" si="5"/>
        <v>64.618826918484416</v>
      </c>
      <c r="Q27" s="5">
        <f t="shared" si="17"/>
        <v>1407.3037160875251</v>
      </c>
      <c r="R27" s="5">
        <f t="shared" si="6"/>
        <v>17079.291790461073</v>
      </c>
    </row>
    <row r="28" spans="1:18" x14ac:dyDescent="0.25">
      <c r="A28">
        <v>20</v>
      </c>
      <c r="B28" s="4">
        <f t="shared" si="7"/>
        <v>45778</v>
      </c>
      <c r="C28" s="5">
        <f t="shared" si="1"/>
        <v>88.630845922746488</v>
      </c>
      <c r="D28" s="5">
        <f t="shared" si="8"/>
        <v>76.288759953754763</v>
      </c>
      <c r="E28" s="5">
        <f t="shared" si="9"/>
        <v>12.342085968991723</v>
      </c>
      <c r="F28" s="5">
        <f t="shared" si="10"/>
        <v>4279.7415820433243</v>
      </c>
      <c r="G28" s="5">
        <f t="shared" si="2"/>
        <v>74.843005537206622</v>
      </c>
      <c r="H28" s="5">
        <f t="shared" si="11"/>
        <v>64.420913782344314</v>
      </c>
      <c r="I28" s="5">
        <f t="shared" si="12"/>
        <v>10.42209175486231</v>
      </c>
      <c r="J28" s="5">
        <f t="shared" si="13"/>
        <v>3613.9644114631765</v>
      </c>
      <c r="K28" s="5">
        <f t="shared" si="3"/>
        <v>192.24046041512332</v>
      </c>
      <c r="L28" s="5">
        <f t="shared" si="14"/>
        <v>151.4631438929467</v>
      </c>
      <c r="M28" s="5">
        <f t="shared" si="15"/>
        <v>40.777316522176619</v>
      </c>
      <c r="N28" s="5">
        <f t="shared" si="16"/>
        <v>8893.412979325527</v>
      </c>
      <c r="O28" s="5">
        <f t="shared" si="4"/>
        <v>292.17281762904577</v>
      </c>
      <c r="P28" s="85">
        <f t="shared" si="5"/>
        <v>63.541494246030652</v>
      </c>
      <c r="Q28" s="5">
        <f t="shared" si="17"/>
        <v>1470.8452103335558</v>
      </c>
      <c r="R28" s="5">
        <f t="shared" si="6"/>
        <v>16787.118972832028</v>
      </c>
    </row>
    <row r="29" spans="1:18" x14ac:dyDescent="0.25">
      <c r="A29">
        <v>21</v>
      </c>
      <c r="B29" s="4">
        <f t="shared" si="7"/>
        <v>45809</v>
      </c>
      <c r="C29" s="5">
        <f t="shared" si="1"/>
        <v>88.630845922746488</v>
      </c>
      <c r="D29" s="5">
        <f t="shared" si="8"/>
        <v>76.5049114402904</v>
      </c>
      <c r="E29" s="5">
        <f t="shared" si="9"/>
        <v>12.125934482456087</v>
      </c>
      <c r="F29" s="5">
        <f t="shared" si="10"/>
        <v>4203.2366706030343</v>
      </c>
      <c r="G29" s="5">
        <f t="shared" si="2"/>
        <v>74.843005537206622</v>
      </c>
      <c r="H29" s="5">
        <f t="shared" si="11"/>
        <v>64.60343970472762</v>
      </c>
      <c r="I29" s="5">
        <f t="shared" si="12"/>
        <v>10.239565832479</v>
      </c>
      <c r="J29" s="5">
        <f t="shared" si="13"/>
        <v>3549.3609717584491</v>
      </c>
      <c r="K29" s="5">
        <f t="shared" si="3"/>
        <v>192.24046041512332</v>
      </c>
      <c r="L29" s="5">
        <f t="shared" si="14"/>
        <v>152.14599023333074</v>
      </c>
      <c r="M29" s="5">
        <f t="shared" si="15"/>
        <v>40.094470181792587</v>
      </c>
      <c r="N29" s="5">
        <f t="shared" si="16"/>
        <v>8741.266989092197</v>
      </c>
      <c r="O29" s="5">
        <f t="shared" si="4"/>
        <v>293.25434137834873</v>
      </c>
      <c r="P29" s="85">
        <f t="shared" si="5"/>
        <v>62.459970496727678</v>
      </c>
      <c r="Q29" s="5">
        <f t="shared" si="17"/>
        <v>1533.3051808302835</v>
      </c>
      <c r="R29" s="5">
        <f t="shared" si="6"/>
        <v>16493.864631453682</v>
      </c>
    </row>
    <row r="30" spans="1:18" x14ac:dyDescent="0.25">
      <c r="A30">
        <v>22</v>
      </c>
      <c r="B30" s="4">
        <f t="shared" si="7"/>
        <v>45839</v>
      </c>
      <c r="C30" s="5">
        <f t="shared" si="1"/>
        <v>88.630845922746488</v>
      </c>
      <c r="D30" s="5">
        <f t="shared" si="8"/>
        <v>76.721675356037892</v>
      </c>
      <c r="E30" s="5">
        <f t="shared" si="9"/>
        <v>11.909170566708598</v>
      </c>
      <c r="F30" s="5">
        <f t="shared" si="10"/>
        <v>4126.5149952469965</v>
      </c>
      <c r="G30" s="5">
        <f t="shared" si="2"/>
        <v>74.843005537206622</v>
      </c>
      <c r="H30" s="5">
        <f t="shared" si="11"/>
        <v>64.786482783891017</v>
      </c>
      <c r="I30" s="5">
        <f t="shared" si="12"/>
        <v>10.056522753315607</v>
      </c>
      <c r="J30" s="5">
        <f t="shared" si="13"/>
        <v>3484.5744889745579</v>
      </c>
      <c r="K30" s="5">
        <f t="shared" si="3"/>
        <v>192.24046041512332</v>
      </c>
      <c r="L30" s="5">
        <f t="shared" si="14"/>
        <v>152.83191507263265</v>
      </c>
      <c r="M30" s="5">
        <f t="shared" si="15"/>
        <v>39.408545342490662</v>
      </c>
      <c r="N30" s="5">
        <f t="shared" si="16"/>
        <v>8588.4350740195641</v>
      </c>
      <c r="O30" s="5">
        <f t="shared" si="4"/>
        <v>294.34007321256161</v>
      </c>
      <c r="P30" s="85">
        <f t="shared" si="5"/>
        <v>61.37423866251487</v>
      </c>
      <c r="Q30" s="5">
        <f t="shared" si="17"/>
        <v>1594.6794194927984</v>
      </c>
      <c r="R30" s="5">
        <f t="shared" si="6"/>
        <v>16199.524558241119</v>
      </c>
    </row>
    <row r="31" spans="1:18" x14ac:dyDescent="0.25">
      <c r="A31">
        <v>23</v>
      </c>
      <c r="B31" s="4">
        <f t="shared" si="7"/>
        <v>45870</v>
      </c>
      <c r="C31" s="5">
        <f t="shared" si="1"/>
        <v>88.630845922746488</v>
      </c>
      <c r="D31" s="5">
        <f t="shared" si="8"/>
        <v>76.939053436213328</v>
      </c>
      <c r="E31" s="5">
        <f t="shared" si="9"/>
        <v>11.691792486533158</v>
      </c>
      <c r="F31" s="5">
        <f t="shared" si="10"/>
        <v>4049.5759418107832</v>
      </c>
      <c r="G31" s="5">
        <f t="shared" si="2"/>
        <v>74.843005537206622</v>
      </c>
      <c r="H31" s="5">
        <f t="shared" si="11"/>
        <v>64.970044485112041</v>
      </c>
      <c r="I31" s="5">
        <f t="shared" si="12"/>
        <v>9.8729610520945812</v>
      </c>
      <c r="J31" s="5">
        <f t="shared" si="13"/>
        <v>3419.604444489446</v>
      </c>
      <c r="K31" s="5">
        <f t="shared" si="3"/>
        <v>192.24046041512332</v>
      </c>
      <c r="L31" s="5">
        <f t="shared" si="14"/>
        <v>153.52093228975178</v>
      </c>
      <c r="M31" s="5">
        <f t="shared" si="15"/>
        <v>38.719528125371539</v>
      </c>
      <c r="N31" s="5">
        <f t="shared" si="16"/>
        <v>8434.9141417298124</v>
      </c>
      <c r="O31" s="5">
        <f t="shared" si="4"/>
        <v>295.43003021107717</v>
      </c>
      <c r="P31" s="85">
        <f t="shared" si="5"/>
        <v>60.28428166399928</v>
      </c>
      <c r="Q31" s="5">
        <f t="shared" si="17"/>
        <v>1654.9637011567977</v>
      </c>
      <c r="R31" s="5">
        <f t="shared" si="6"/>
        <v>15904.094528030042</v>
      </c>
    </row>
    <row r="32" spans="1:18" x14ac:dyDescent="0.25">
      <c r="A32">
        <v>24</v>
      </c>
      <c r="B32" s="4">
        <f t="shared" si="7"/>
        <v>45901</v>
      </c>
      <c r="C32" s="5">
        <f t="shared" si="1"/>
        <v>88.630845922746488</v>
      </c>
      <c r="D32" s="5">
        <f t="shared" si="8"/>
        <v>77.157047420949269</v>
      </c>
      <c r="E32" s="5">
        <f t="shared" si="9"/>
        <v>11.473798501797219</v>
      </c>
      <c r="F32" s="5">
        <f t="shared" si="10"/>
        <v>3972.4188943898339</v>
      </c>
      <c r="G32" s="5">
        <f t="shared" si="2"/>
        <v>74.843005537206622</v>
      </c>
      <c r="H32" s="5">
        <f t="shared" si="11"/>
        <v>65.154126277819856</v>
      </c>
      <c r="I32" s="5">
        <f t="shared" si="12"/>
        <v>9.6888792593867645</v>
      </c>
      <c r="J32" s="5">
        <f t="shared" si="13"/>
        <v>3354.4503182116259</v>
      </c>
      <c r="K32" s="5">
        <f t="shared" si="3"/>
        <v>192.24046041512332</v>
      </c>
      <c r="L32" s="5">
        <f t="shared" si="14"/>
        <v>154.2130558261581</v>
      </c>
      <c r="M32" s="5">
        <f t="shared" si="15"/>
        <v>38.02740458896524</v>
      </c>
      <c r="N32" s="5">
        <f t="shared" si="16"/>
        <v>8280.7010859036545</v>
      </c>
      <c r="O32" s="5">
        <f t="shared" si="4"/>
        <v>296.52422952492725</v>
      </c>
      <c r="P32" s="85">
        <f t="shared" si="5"/>
        <v>59.190082350149225</v>
      </c>
      <c r="Q32" s="5">
        <f t="shared" si="17"/>
        <v>1714.1537835069469</v>
      </c>
      <c r="R32" s="5">
        <f t="shared" si="6"/>
        <v>15607.570298505114</v>
      </c>
    </row>
    <row r="33" spans="1:18" x14ac:dyDescent="0.25">
      <c r="A33">
        <v>25</v>
      </c>
      <c r="B33" s="4">
        <f t="shared" si="7"/>
        <v>45931</v>
      </c>
      <c r="C33" s="5">
        <f t="shared" si="1"/>
        <v>88.630845922746488</v>
      </c>
      <c r="D33" s="5">
        <f t="shared" si="8"/>
        <v>77.375659055308631</v>
      </c>
      <c r="E33" s="5">
        <f t="shared" si="9"/>
        <v>11.255186867437864</v>
      </c>
      <c r="F33" s="5">
        <f t="shared" si="10"/>
        <v>3895.0432353345254</v>
      </c>
      <c r="G33" s="5">
        <f t="shared" si="2"/>
        <v>74.843005537206622</v>
      </c>
      <c r="H33" s="5">
        <f t="shared" si="11"/>
        <v>65.33872963560701</v>
      </c>
      <c r="I33" s="5">
        <f t="shared" si="12"/>
        <v>9.5042759015996072</v>
      </c>
      <c r="J33" s="5">
        <f t="shared" si="13"/>
        <v>3289.1115885760191</v>
      </c>
      <c r="K33" s="5">
        <f t="shared" si="3"/>
        <v>192.24046041512332</v>
      </c>
      <c r="L33" s="5">
        <f t="shared" si="14"/>
        <v>154.90829968617436</v>
      </c>
      <c r="M33" s="5">
        <f t="shared" si="15"/>
        <v>37.332160728948978</v>
      </c>
      <c r="N33" s="5">
        <f t="shared" si="16"/>
        <v>8125.7927862174802</v>
      </c>
      <c r="O33" s="5">
        <f t="shared" si="4"/>
        <v>297.62268837709001</v>
      </c>
      <c r="P33" s="85">
        <f t="shared" si="5"/>
        <v>58.091623497986447</v>
      </c>
      <c r="Q33" s="5">
        <f t="shared" si="17"/>
        <v>1772.2454070049332</v>
      </c>
      <c r="R33" s="5">
        <f t="shared" si="6"/>
        <v>15309.947610128025</v>
      </c>
    </row>
    <row r="34" spans="1:18" x14ac:dyDescent="0.25">
      <c r="A34">
        <v>26</v>
      </c>
      <c r="B34" s="4">
        <f t="shared" si="7"/>
        <v>45962</v>
      </c>
      <c r="C34" s="5">
        <f t="shared" si="1"/>
        <v>88.630845922746488</v>
      </c>
      <c r="D34" s="5">
        <f t="shared" si="8"/>
        <v>77.594890089298673</v>
      </c>
      <c r="E34" s="5">
        <f t="shared" si="9"/>
        <v>11.035955833447822</v>
      </c>
      <c r="F34" s="5">
        <f t="shared" si="10"/>
        <v>3817.4483452452268</v>
      </c>
      <c r="G34" s="5">
        <f t="shared" si="2"/>
        <v>74.843005537206622</v>
      </c>
      <c r="H34" s="5">
        <f t="shared" si="11"/>
        <v>65.523856036241227</v>
      </c>
      <c r="I34" s="5">
        <f t="shared" si="12"/>
        <v>9.3191495009653877</v>
      </c>
      <c r="J34" s="5">
        <f t="shared" si="13"/>
        <v>3223.5877325397778</v>
      </c>
      <c r="K34" s="5">
        <f t="shared" si="3"/>
        <v>192.24046041512332</v>
      </c>
      <c r="L34" s="5">
        <f t="shared" si="14"/>
        <v>155.60667793725952</v>
      </c>
      <c r="M34" s="5">
        <f t="shared" si="15"/>
        <v>36.633782477863811</v>
      </c>
      <c r="N34" s="5">
        <f t="shared" si="16"/>
        <v>7970.1861082802207</v>
      </c>
      <c r="O34" s="5">
        <f t="shared" si="4"/>
        <v>298.72542406279945</v>
      </c>
      <c r="P34" s="85">
        <f t="shared" si="5"/>
        <v>56.988887812277021</v>
      </c>
      <c r="Q34" s="5">
        <f t="shared" si="17"/>
        <v>1829.2342948172102</v>
      </c>
      <c r="R34" s="5">
        <f t="shared" si="6"/>
        <v>15011.222186065224</v>
      </c>
    </row>
    <row r="35" spans="1:18" x14ac:dyDescent="0.25">
      <c r="A35">
        <v>27</v>
      </c>
      <c r="B35" s="4">
        <f t="shared" si="7"/>
        <v>45992</v>
      </c>
      <c r="C35" s="5">
        <f t="shared" si="1"/>
        <v>88.630845922746488</v>
      </c>
      <c r="D35" s="5">
        <f t="shared" si="8"/>
        <v>77.814742277885017</v>
      </c>
      <c r="E35" s="5">
        <f t="shared" si="9"/>
        <v>10.816103644861476</v>
      </c>
      <c r="F35" s="5">
        <f t="shared" si="10"/>
        <v>3739.6336029673416</v>
      </c>
      <c r="G35" s="5">
        <f t="shared" si="2"/>
        <v>74.843005537206622</v>
      </c>
      <c r="H35" s="5">
        <f t="shared" si="11"/>
        <v>65.709506961677249</v>
      </c>
      <c r="I35" s="5">
        <f t="shared" si="12"/>
        <v>9.1334985755293712</v>
      </c>
      <c r="J35" s="5">
        <f t="shared" si="13"/>
        <v>3157.8782255781007</v>
      </c>
      <c r="K35" s="5">
        <f t="shared" si="3"/>
        <v>192.24046041512332</v>
      </c>
      <c r="L35" s="5">
        <f t="shared" si="14"/>
        <v>156.30820471029332</v>
      </c>
      <c r="M35" s="5">
        <f t="shared" si="15"/>
        <v>35.932255704829998</v>
      </c>
      <c r="N35" s="5">
        <f t="shared" si="16"/>
        <v>7813.8779035699272</v>
      </c>
      <c r="O35" s="5">
        <f t="shared" si="4"/>
        <v>299.83245394985556</v>
      </c>
      <c r="P35" s="85">
        <f t="shared" si="5"/>
        <v>55.881857925220842</v>
      </c>
      <c r="Q35" s="5">
        <f t="shared" si="17"/>
        <v>1885.116152742431</v>
      </c>
      <c r="R35" s="5">
        <f t="shared" si="6"/>
        <v>14711.389732115371</v>
      </c>
    </row>
    <row r="36" spans="1:18" x14ac:dyDescent="0.25">
      <c r="A36">
        <v>28</v>
      </c>
      <c r="B36" s="4">
        <f t="shared" si="7"/>
        <v>46023</v>
      </c>
      <c r="C36" s="5">
        <f t="shared" si="1"/>
        <v>88.630845922746488</v>
      </c>
      <c r="D36" s="5">
        <f t="shared" si="8"/>
        <v>78.03521738100568</v>
      </c>
      <c r="E36" s="5">
        <f t="shared" si="9"/>
        <v>10.595628541740803</v>
      </c>
      <c r="F36" s="5">
        <f t="shared" si="10"/>
        <v>3661.598385586336</v>
      </c>
      <c r="G36" s="5">
        <f t="shared" si="2"/>
        <v>74.843005537206622</v>
      </c>
      <c r="H36" s="5">
        <f t="shared" si="11"/>
        <v>65.895683898068668</v>
      </c>
      <c r="I36" s="5">
        <f t="shared" si="12"/>
        <v>8.947321639137952</v>
      </c>
      <c r="J36" s="5">
        <f t="shared" si="13"/>
        <v>3091.9825416800322</v>
      </c>
      <c r="K36" s="5">
        <f t="shared" si="3"/>
        <v>192.24046041512332</v>
      </c>
      <c r="L36" s="5">
        <f t="shared" si="14"/>
        <v>157.01289419986222</v>
      </c>
      <c r="M36" s="5">
        <f t="shared" si="15"/>
        <v>35.227566215261092</v>
      </c>
      <c r="N36" s="5">
        <f t="shared" si="16"/>
        <v>7656.8650093700653</v>
      </c>
      <c r="O36" s="5">
        <f t="shared" si="4"/>
        <v>300.94379547893658</v>
      </c>
      <c r="P36" s="85">
        <f t="shared" si="5"/>
        <v>54.770516396139847</v>
      </c>
      <c r="Q36" s="5">
        <f t="shared" si="17"/>
        <v>1939.8866691385708</v>
      </c>
      <c r="R36" s="5">
        <f t="shared" si="6"/>
        <v>14410.445936636434</v>
      </c>
    </row>
    <row r="37" spans="1:18" x14ac:dyDescent="0.25">
      <c r="A37">
        <v>29</v>
      </c>
      <c r="B37" s="4">
        <f t="shared" si="7"/>
        <v>46054</v>
      </c>
      <c r="C37" s="5">
        <f t="shared" si="1"/>
        <v>88.630845922746488</v>
      </c>
      <c r="D37" s="5">
        <f t="shared" si="8"/>
        <v>78.256317163585209</v>
      </c>
      <c r="E37" s="5">
        <f t="shared" si="9"/>
        <v>10.374528759161286</v>
      </c>
      <c r="F37" s="5">
        <f t="shared" si="10"/>
        <v>3583.3420684227508</v>
      </c>
      <c r="G37" s="5">
        <f t="shared" si="2"/>
        <v>74.843005537206622</v>
      </c>
      <c r="H37" s="5">
        <f t="shared" si="11"/>
        <v>66.082388335779868</v>
      </c>
      <c r="I37" s="5">
        <f t="shared" si="12"/>
        <v>8.7606172014267578</v>
      </c>
      <c r="J37" s="5">
        <f t="shared" si="13"/>
        <v>3025.9001533442524</v>
      </c>
      <c r="K37" s="5">
        <f t="shared" si="3"/>
        <v>192.24046041512332</v>
      </c>
      <c r="L37" s="5">
        <f t="shared" si="14"/>
        <v>157.72076066454662</v>
      </c>
      <c r="M37" s="5">
        <f t="shared" si="15"/>
        <v>34.519699750576713</v>
      </c>
      <c r="N37" s="5">
        <f t="shared" si="16"/>
        <v>7499.1442487055183</v>
      </c>
      <c r="O37" s="5">
        <f t="shared" si="4"/>
        <v>302.05946616391168</v>
      </c>
      <c r="P37" s="85">
        <f t="shared" si="5"/>
        <v>53.654845711164754</v>
      </c>
      <c r="Q37" s="5">
        <f t="shared" si="17"/>
        <v>1993.5415148497357</v>
      </c>
      <c r="R37" s="5">
        <f t="shared" si="6"/>
        <v>14108.38647047252</v>
      </c>
    </row>
    <row r="38" spans="1:18" x14ac:dyDescent="0.25">
      <c r="A38">
        <v>30</v>
      </c>
      <c r="B38" s="4">
        <f t="shared" si="7"/>
        <v>46082</v>
      </c>
      <c r="C38" s="5">
        <f t="shared" si="1"/>
        <v>88.630845922746488</v>
      </c>
      <c r="D38" s="5">
        <f t="shared" si="8"/>
        <v>78.478043395548696</v>
      </c>
      <c r="E38" s="5">
        <f t="shared" si="9"/>
        <v>10.152802527197794</v>
      </c>
      <c r="F38" s="5">
        <f t="shared" si="10"/>
        <v>3504.8640250272019</v>
      </c>
      <c r="G38" s="5">
        <f t="shared" si="2"/>
        <v>74.843005537206622</v>
      </c>
      <c r="H38" s="5">
        <f t="shared" si="11"/>
        <v>66.269621769397901</v>
      </c>
      <c r="I38" s="5">
        <f t="shared" si="12"/>
        <v>8.5733837678087159</v>
      </c>
      <c r="J38" s="5">
        <f t="shared" si="13"/>
        <v>2959.6305315748546</v>
      </c>
      <c r="K38" s="5">
        <f t="shared" si="3"/>
        <v>192.24046041512332</v>
      </c>
      <c r="L38" s="5">
        <f t="shared" si="14"/>
        <v>158.43181842720927</v>
      </c>
      <c r="M38" s="5">
        <f t="shared" si="15"/>
        <v>33.808641987914051</v>
      </c>
      <c r="N38" s="5">
        <f t="shared" si="16"/>
        <v>7340.7124302783086</v>
      </c>
      <c r="O38" s="5">
        <f t="shared" si="4"/>
        <v>303.17948359215586</v>
      </c>
      <c r="P38" s="85">
        <f t="shared" si="5"/>
        <v>52.534828282920557</v>
      </c>
      <c r="Q38" s="5">
        <f t="shared" si="17"/>
        <v>2046.0763431326563</v>
      </c>
      <c r="R38" s="5">
        <f t="shared" si="6"/>
        <v>13805.206986880365</v>
      </c>
    </row>
    <row r="39" spans="1:18" x14ac:dyDescent="0.25">
      <c r="A39">
        <v>31</v>
      </c>
      <c r="B39" s="4">
        <f t="shared" si="7"/>
        <v>46113</v>
      </c>
      <c r="C39" s="5">
        <f t="shared" si="1"/>
        <v>88.630845922746488</v>
      </c>
      <c r="D39" s="5">
        <f t="shared" si="8"/>
        <v>78.700397851836087</v>
      </c>
      <c r="E39" s="5">
        <f t="shared" si="9"/>
        <v>9.9304480709104066</v>
      </c>
      <c r="F39" s="5">
        <f t="shared" si="10"/>
        <v>3426.1636271753659</v>
      </c>
      <c r="G39" s="5">
        <f t="shared" si="2"/>
        <v>74.843005537206622</v>
      </c>
      <c r="H39" s="5">
        <f t="shared" si="11"/>
        <v>66.457385697744527</v>
      </c>
      <c r="I39" s="5">
        <f t="shared" si="12"/>
        <v>8.3856198394620893</v>
      </c>
      <c r="J39" s="5">
        <f t="shared" si="13"/>
        <v>2893.1731458771101</v>
      </c>
      <c r="K39" s="5">
        <f t="shared" si="3"/>
        <v>192.24046041512332</v>
      </c>
      <c r="L39" s="5">
        <f t="shared" si="14"/>
        <v>159.14608187528529</v>
      </c>
      <c r="M39" s="5">
        <f t="shared" si="15"/>
        <v>33.094378539838047</v>
      </c>
      <c r="N39" s="5">
        <f t="shared" si="16"/>
        <v>7181.5663484030229</v>
      </c>
      <c r="O39" s="5">
        <f t="shared" si="4"/>
        <v>304.30386542486588</v>
      </c>
      <c r="P39" s="85">
        <f t="shared" si="5"/>
        <v>51.410446450210543</v>
      </c>
      <c r="Q39" s="5">
        <f t="shared" si="17"/>
        <v>2097.486789582867</v>
      </c>
      <c r="R39" s="5">
        <f t="shared" si="6"/>
        <v>13500.9031214555</v>
      </c>
    </row>
    <row r="40" spans="1:18" x14ac:dyDescent="0.25">
      <c r="A40">
        <v>32</v>
      </c>
      <c r="B40" s="4">
        <f t="shared" si="7"/>
        <v>46143</v>
      </c>
      <c r="C40" s="5">
        <f t="shared" si="1"/>
        <v>88.630845922746488</v>
      </c>
      <c r="D40" s="5">
        <f t="shared" si="8"/>
        <v>78.92338231241628</v>
      </c>
      <c r="E40" s="5">
        <f t="shared" si="9"/>
        <v>9.7074636103302048</v>
      </c>
      <c r="F40" s="5">
        <f t="shared" si="10"/>
        <v>3347.2402448629496</v>
      </c>
      <c r="G40" s="5">
        <f t="shared" si="2"/>
        <v>74.843005537206622</v>
      </c>
      <c r="H40" s="5">
        <f t="shared" si="11"/>
        <v>66.645681623888137</v>
      </c>
      <c r="I40" s="5">
        <f t="shared" si="12"/>
        <v>8.1973239133184794</v>
      </c>
      <c r="J40" s="5">
        <f t="shared" si="13"/>
        <v>2826.5274642532218</v>
      </c>
      <c r="K40" s="5">
        <f t="shared" si="3"/>
        <v>192.24046041512332</v>
      </c>
      <c r="L40" s="5">
        <f t="shared" si="14"/>
        <v>159.86356546107302</v>
      </c>
      <c r="M40" s="5">
        <f t="shared" si="15"/>
        <v>32.3768949540503</v>
      </c>
      <c r="N40" s="5">
        <f t="shared" si="16"/>
        <v>7021.7027829419494</v>
      </c>
      <c r="O40" s="5">
        <f t="shared" si="4"/>
        <v>305.43262939737747</v>
      </c>
      <c r="P40" s="85">
        <f t="shared" si="5"/>
        <v>50.281682477698986</v>
      </c>
      <c r="Q40" s="5">
        <f t="shared" si="17"/>
        <v>2147.7684720605662</v>
      </c>
      <c r="R40" s="5">
        <f t="shared" si="6"/>
        <v>13195.470492058121</v>
      </c>
    </row>
    <row r="41" spans="1:18" x14ac:dyDescent="0.25">
      <c r="A41">
        <v>33</v>
      </c>
      <c r="B41" s="4">
        <f t="shared" si="7"/>
        <v>46174</v>
      </c>
      <c r="C41" s="5">
        <f t="shared" si="1"/>
        <v>88.630845922746488</v>
      </c>
      <c r="D41" s="5">
        <f t="shared" si="8"/>
        <v>79.146998562301462</v>
      </c>
      <c r="E41" s="5">
        <f t="shared" si="9"/>
        <v>9.483847360445024</v>
      </c>
      <c r="F41" s="5">
        <f t="shared" si="10"/>
        <v>3268.0932463006479</v>
      </c>
      <c r="G41" s="5">
        <f t="shared" si="2"/>
        <v>74.843005537206622</v>
      </c>
      <c r="H41" s="5">
        <f t="shared" si="11"/>
        <v>66.834511055155829</v>
      </c>
      <c r="I41" s="5">
        <f t="shared" si="12"/>
        <v>8.0084944820507964</v>
      </c>
      <c r="J41" s="5">
        <f t="shared" si="13"/>
        <v>2759.6929531980659</v>
      </c>
      <c r="K41" s="5">
        <f t="shared" si="3"/>
        <v>192.24046041512332</v>
      </c>
      <c r="L41" s="5">
        <f t="shared" si="14"/>
        <v>160.58428370202671</v>
      </c>
      <c r="M41" s="5">
        <f t="shared" si="15"/>
        <v>31.656176713096624</v>
      </c>
      <c r="N41" s="5">
        <f t="shared" si="16"/>
        <v>6861.118499239923</v>
      </c>
      <c r="O41" s="5">
        <f t="shared" si="4"/>
        <v>306.56579331948399</v>
      </c>
      <c r="P41" s="85">
        <f t="shared" si="5"/>
        <v>49.148518555592446</v>
      </c>
      <c r="Q41" s="5">
        <f t="shared" si="17"/>
        <v>2196.9169906161587</v>
      </c>
      <c r="R41" s="5">
        <f t="shared" si="6"/>
        <v>12888.904698738637</v>
      </c>
    </row>
    <row r="42" spans="1:18" x14ac:dyDescent="0.25">
      <c r="A42">
        <v>34</v>
      </c>
      <c r="B42" s="4">
        <f t="shared" si="7"/>
        <v>46204</v>
      </c>
      <c r="C42" s="5">
        <f t="shared" si="1"/>
        <v>88.630845922746488</v>
      </c>
      <c r="D42" s="5">
        <f t="shared" si="8"/>
        <v>79.371248391561323</v>
      </c>
      <c r="E42" s="5">
        <f t="shared" si="9"/>
        <v>9.2595975311851699</v>
      </c>
      <c r="F42" s="5">
        <f t="shared" si="10"/>
        <v>3188.7219979090864</v>
      </c>
      <c r="G42" s="5">
        <f t="shared" si="2"/>
        <v>74.843005537206622</v>
      </c>
      <c r="H42" s="5">
        <f t="shared" si="11"/>
        <v>67.023875503145433</v>
      </c>
      <c r="I42" s="5">
        <f t="shared" si="12"/>
        <v>7.8191300340611871</v>
      </c>
      <c r="J42" s="5">
        <f t="shared" si="13"/>
        <v>2692.6690776949204</v>
      </c>
      <c r="K42" s="5">
        <f t="shared" si="3"/>
        <v>192.24046041512332</v>
      </c>
      <c r="L42" s="5">
        <f t="shared" si="14"/>
        <v>161.30825118105</v>
      </c>
      <c r="M42" s="5">
        <f t="shared" si="15"/>
        <v>30.932209234073323</v>
      </c>
      <c r="N42" s="5">
        <f t="shared" si="16"/>
        <v>6699.8102480588732</v>
      </c>
      <c r="O42" s="5">
        <f t="shared" si="4"/>
        <v>307.70337507575675</v>
      </c>
      <c r="P42" s="85">
        <f t="shared" si="5"/>
        <v>48.01093679931968</v>
      </c>
      <c r="Q42" s="5">
        <f t="shared" si="17"/>
        <v>2244.9279274154783</v>
      </c>
      <c r="R42" s="5">
        <f t="shared" si="6"/>
        <v>12581.201323662881</v>
      </c>
    </row>
    <row r="43" spans="1:18" x14ac:dyDescent="0.25">
      <c r="A43">
        <v>35</v>
      </c>
      <c r="B43" s="4">
        <f t="shared" si="7"/>
        <v>46235</v>
      </c>
      <c r="C43" s="5">
        <f t="shared" si="1"/>
        <v>88.630845922746488</v>
      </c>
      <c r="D43" s="5">
        <f t="shared" si="8"/>
        <v>79.596133595337406</v>
      </c>
      <c r="E43" s="5">
        <f t="shared" si="9"/>
        <v>9.0347123274090784</v>
      </c>
      <c r="F43" s="5">
        <f t="shared" si="10"/>
        <v>3109.1258643137489</v>
      </c>
      <c r="G43" s="5">
        <f t="shared" si="2"/>
        <v>74.843005537206622</v>
      </c>
      <c r="H43" s="5">
        <f t="shared" si="11"/>
        <v>67.213776483737675</v>
      </c>
      <c r="I43" s="5">
        <f t="shared" si="12"/>
        <v>7.6292290534689418</v>
      </c>
      <c r="J43" s="5">
        <f t="shared" si="13"/>
        <v>2625.4553012111828</v>
      </c>
      <c r="K43" s="5">
        <f t="shared" si="3"/>
        <v>192.24046041512332</v>
      </c>
      <c r="L43" s="5">
        <f t="shared" si="14"/>
        <v>162.03548254679123</v>
      </c>
      <c r="M43" s="5">
        <f t="shared" si="15"/>
        <v>30.20497786833209</v>
      </c>
      <c r="N43" s="5">
        <f t="shared" si="16"/>
        <v>6537.774765512082</v>
      </c>
      <c r="O43" s="5">
        <f t="shared" si="4"/>
        <v>308.84539262586634</v>
      </c>
      <c r="P43" s="85">
        <f t="shared" si="5"/>
        <v>46.868919249210109</v>
      </c>
      <c r="Q43" s="5">
        <f t="shared" si="17"/>
        <v>2291.7968466646885</v>
      </c>
      <c r="R43" s="5">
        <f t="shared" si="6"/>
        <v>12272.355931037015</v>
      </c>
    </row>
    <row r="44" spans="1:18" x14ac:dyDescent="0.25">
      <c r="A44">
        <v>36</v>
      </c>
      <c r="B44" s="4">
        <f t="shared" si="7"/>
        <v>46266</v>
      </c>
      <c r="C44" s="5">
        <f t="shared" si="1"/>
        <v>88.630845922746488</v>
      </c>
      <c r="D44" s="5">
        <f t="shared" si="8"/>
        <v>79.821655973857531</v>
      </c>
      <c r="E44" s="5">
        <f t="shared" si="9"/>
        <v>8.8091899488889567</v>
      </c>
      <c r="F44" s="5">
        <f t="shared" si="10"/>
        <v>3029.3042083398914</v>
      </c>
      <c r="G44" s="5">
        <f t="shared" si="2"/>
        <v>74.843005537206622</v>
      </c>
      <c r="H44" s="5">
        <f t="shared" si="11"/>
        <v>67.40421551710827</v>
      </c>
      <c r="I44" s="5">
        <f t="shared" si="12"/>
        <v>7.4387900200983514</v>
      </c>
      <c r="J44" s="5">
        <f t="shared" si="13"/>
        <v>2558.0510856940746</v>
      </c>
      <c r="K44" s="5">
        <f t="shared" si="3"/>
        <v>192.24046041512332</v>
      </c>
      <c r="L44" s="5">
        <f t="shared" si="14"/>
        <v>162.76599251393969</v>
      </c>
      <c r="M44" s="5">
        <f t="shared" si="15"/>
        <v>29.47446790118364</v>
      </c>
      <c r="N44" s="5">
        <f t="shared" si="16"/>
        <v>6375.0087729981424</v>
      </c>
      <c r="O44" s="5">
        <f t="shared" si="4"/>
        <v>309.99186400490549</v>
      </c>
      <c r="P44" s="85">
        <f t="shared" si="5"/>
        <v>45.722447870170953</v>
      </c>
      <c r="Q44" s="5">
        <f t="shared" si="17"/>
        <v>2337.5192945348595</v>
      </c>
      <c r="R44" s="5">
        <f t="shared" si="6"/>
        <v>11962.364067032107</v>
      </c>
    </row>
    <row r="45" spans="1:18" x14ac:dyDescent="0.25">
      <c r="A45">
        <v>37</v>
      </c>
      <c r="B45" s="4">
        <f t="shared" si="7"/>
        <v>46296</v>
      </c>
      <c r="C45" s="5">
        <f t="shared" si="1"/>
        <v>88.630845922746488</v>
      </c>
      <c r="D45" s="5">
        <f t="shared" si="8"/>
        <v>80.047817332450123</v>
      </c>
      <c r="E45" s="5">
        <f t="shared" si="9"/>
        <v>8.5830285902963599</v>
      </c>
      <c r="F45" s="5">
        <f t="shared" si="10"/>
        <v>2949.2563910074414</v>
      </c>
      <c r="G45" s="5">
        <f t="shared" si="2"/>
        <v>74.843005537206622</v>
      </c>
      <c r="H45" s="5">
        <f t="shared" si="11"/>
        <v>67.595194127740072</v>
      </c>
      <c r="I45" s="5">
        <f t="shared" si="12"/>
        <v>7.2478114094665456</v>
      </c>
      <c r="J45" s="5">
        <f t="shared" si="13"/>
        <v>2490.4558915663347</v>
      </c>
      <c r="K45" s="5">
        <f t="shared" si="3"/>
        <v>192.24046041512332</v>
      </c>
      <c r="L45" s="5">
        <f t="shared" si="14"/>
        <v>163.49979586352336</v>
      </c>
      <c r="M45" s="5">
        <f t="shared" si="15"/>
        <v>28.740664551599963</v>
      </c>
      <c r="N45" s="5">
        <f t="shared" si="16"/>
        <v>6211.5089771346193</v>
      </c>
      <c r="O45" s="5">
        <f t="shared" si="4"/>
        <v>311.14280732371355</v>
      </c>
      <c r="P45" s="85">
        <f t="shared" si="5"/>
        <v>44.571504551362864</v>
      </c>
      <c r="Q45" s="5">
        <f t="shared" si="17"/>
        <v>2382.0907990862224</v>
      </c>
      <c r="R45" s="5">
        <f t="shared" si="6"/>
        <v>11651.221259708396</v>
      </c>
    </row>
    <row r="46" spans="1:18" x14ac:dyDescent="0.25">
      <c r="A46">
        <v>38</v>
      </c>
      <c r="B46" s="4">
        <f t="shared" si="7"/>
        <v>46327</v>
      </c>
      <c r="C46" s="5">
        <f t="shared" si="1"/>
        <v>88.630845922746488</v>
      </c>
      <c r="D46" s="5">
        <f t="shared" si="8"/>
        <v>80.274619481558744</v>
      </c>
      <c r="E46" s="5">
        <f t="shared" si="9"/>
        <v>8.3562264411877507</v>
      </c>
      <c r="F46" s="5">
        <f t="shared" si="10"/>
        <v>2868.9817715258828</v>
      </c>
      <c r="G46" s="5">
        <f t="shared" si="2"/>
        <v>74.843005537206622</v>
      </c>
      <c r="H46" s="5">
        <f t="shared" si="11"/>
        <v>67.78671384443534</v>
      </c>
      <c r="I46" s="5">
        <f t="shared" si="12"/>
        <v>7.056291692771282</v>
      </c>
      <c r="J46" s="5">
        <f t="shared" si="13"/>
        <v>2422.6691777218994</v>
      </c>
      <c r="K46" s="5">
        <f t="shared" si="3"/>
        <v>192.24046041512332</v>
      </c>
      <c r="L46" s="5">
        <f t="shared" si="14"/>
        <v>164.23690744320808</v>
      </c>
      <c r="M46" s="5">
        <f t="shared" si="15"/>
        <v>28.003552971915244</v>
      </c>
      <c r="N46" s="5">
        <f t="shared" si="16"/>
        <v>6047.2720696914112</v>
      </c>
      <c r="O46" s="5">
        <f t="shared" si="4"/>
        <v>312.29824076920215</v>
      </c>
      <c r="P46" s="85">
        <f t="shared" si="5"/>
        <v>43.416071105874281</v>
      </c>
      <c r="Q46" s="5">
        <f t="shared" si="17"/>
        <v>2425.5068701920968</v>
      </c>
      <c r="R46" s="5">
        <f t="shared" si="6"/>
        <v>11338.923018939193</v>
      </c>
    </row>
    <row r="47" spans="1:18" x14ac:dyDescent="0.25">
      <c r="A47">
        <v>39</v>
      </c>
      <c r="B47" s="4">
        <f t="shared" si="7"/>
        <v>46357</v>
      </c>
      <c r="C47" s="5">
        <f t="shared" si="1"/>
        <v>88.630845922746488</v>
      </c>
      <c r="D47" s="5">
        <f t="shared" si="8"/>
        <v>80.502064236756482</v>
      </c>
      <c r="E47" s="5">
        <f t="shared" si="9"/>
        <v>8.1287816859900026</v>
      </c>
      <c r="F47" s="5">
        <f t="shared" si="10"/>
        <v>2788.4797072891265</v>
      </c>
      <c r="G47" s="5">
        <f t="shared" si="2"/>
        <v>74.843005537206622</v>
      </c>
      <c r="H47" s="5">
        <f t="shared" si="11"/>
        <v>67.9787762003279</v>
      </c>
      <c r="I47" s="5">
        <f t="shared" si="12"/>
        <v>6.8642293368787151</v>
      </c>
      <c r="J47" s="5">
        <f t="shared" si="13"/>
        <v>2354.6904015215714</v>
      </c>
      <c r="K47" s="5">
        <f t="shared" si="3"/>
        <v>192.24046041512332</v>
      </c>
      <c r="L47" s="5">
        <f t="shared" si="14"/>
        <v>164.97734216759787</v>
      </c>
      <c r="M47" s="5">
        <f t="shared" si="15"/>
        <v>27.263118247525448</v>
      </c>
      <c r="N47" s="5">
        <f t="shared" si="16"/>
        <v>5882.294727523813</v>
      </c>
      <c r="O47" s="5">
        <f t="shared" si="4"/>
        <v>313.45818260468229</v>
      </c>
      <c r="P47" s="85">
        <f t="shared" si="5"/>
        <v>42.256129270394169</v>
      </c>
      <c r="Q47" s="5">
        <f t="shared" si="17"/>
        <v>2467.7629994624908</v>
      </c>
      <c r="R47" s="5">
        <f t="shared" si="6"/>
        <v>11025.464836334511</v>
      </c>
    </row>
    <row r="48" spans="1:18" x14ac:dyDescent="0.25">
      <c r="A48">
        <v>40</v>
      </c>
      <c r="B48" s="4">
        <f t="shared" si="7"/>
        <v>46388</v>
      </c>
      <c r="C48" s="5">
        <f t="shared" si="1"/>
        <v>88.630845922746488</v>
      </c>
      <c r="D48" s="5">
        <f t="shared" si="8"/>
        <v>80.730153418760636</v>
      </c>
      <c r="E48" s="5">
        <f t="shared" si="9"/>
        <v>7.9006925039858587</v>
      </c>
      <c r="F48" s="5">
        <f t="shared" si="10"/>
        <v>2707.7495538703661</v>
      </c>
      <c r="G48" s="5">
        <f t="shared" si="2"/>
        <v>74.843005537206622</v>
      </c>
      <c r="H48" s="5">
        <f t="shared" si="11"/>
        <v>68.171382732895509</v>
      </c>
      <c r="I48" s="5">
        <f t="shared" si="12"/>
        <v>6.6716228043111192</v>
      </c>
      <c r="J48" s="5">
        <f t="shared" si="13"/>
        <v>2286.519018788676</v>
      </c>
      <c r="K48" s="5">
        <f t="shared" si="3"/>
        <v>192.24046041512332</v>
      </c>
      <c r="L48" s="5">
        <f t="shared" si="14"/>
        <v>165.72111501853681</v>
      </c>
      <c r="M48" s="5">
        <f t="shared" si="15"/>
        <v>26.519345396586527</v>
      </c>
      <c r="N48" s="5">
        <f t="shared" si="16"/>
        <v>5716.5736125052763</v>
      </c>
      <c r="O48" s="5">
        <f t="shared" si="4"/>
        <v>314.62265117019297</v>
      </c>
      <c r="P48" s="85">
        <f t="shared" si="5"/>
        <v>41.091660704883509</v>
      </c>
      <c r="Q48" s="5">
        <f t="shared" si="17"/>
        <v>2508.8546601673743</v>
      </c>
      <c r="R48" s="5">
        <f t="shared" si="6"/>
        <v>10710.842185164318</v>
      </c>
    </row>
    <row r="49" spans="1:18" x14ac:dyDescent="0.25">
      <c r="A49">
        <v>41</v>
      </c>
      <c r="B49" s="4">
        <f t="shared" si="7"/>
        <v>46419</v>
      </c>
      <c r="C49" s="5">
        <f t="shared" si="1"/>
        <v>88.630845922746488</v>
      </c>
      <c r="D49" s="5">
        <f t="shared" si="8"/>
        <v>80.958888853447121</v>
      </c>
      <c r="E49" s="5">
        <f t="shared" si="9"/>
        <v>7.6719570692993715</v>
      </c>
      <c r="F49" s="5">
        <f t="shared" si="10"/>
        <v>2626.7906650169189</v>
      </c>
      <c r="G49" s="5">
        <f t="shared" si="2"/>
        <v>74.843005537206622</v>
      </c>
      <c r="H49" s="5">
        <f t="shared" si="11"/>
        <v>68.364534983972035</v>
      </c>
      <c r="I49" s="5">
        <f t="shared" si="12"/>
        <v>6.4784705532345823</v>
      </c>
      <c r="J49" s="5">
        <f t="shared" si="13"/>
        <v>2218.1544838047039</v>
      </c>
      <c r="K49" s="5">
        <f t="shared" si="3"/>
        <v>192.24046041512332</v>
      </c>
      <c r="L49" s="5">
        <f t="shared" si="14"/>
        <v>166.46824104541204</v>
      </c>
      <c r="M49" s="5">
        <f t="shared" si="15"/>
        <v>25.772219369711291</v>
      </c>
      <c r="N49" s="5">
        <f t="shared" si="16"/>
        <v>5550.1053714598638</v>
      </c>
      <c r="O49" s="5">
        <f t="shared" si="4"/>
        <v>315.79166488283124</v>
      </c>
      <c r="P49" s="85">
        <f t="shared" si="5"/>
        <v>39.922646992245248</v>
      </c>
      <c r="Q49" s="5">
        <f t="shared" si="17"/>
        <v>2548.7773071596193</v>
      </c>
      <c r="R49" s="5">
        <f t="shared" si="6"/>
        <v>10395.050520281486</v>
      </c>
    </row>
    <row r="50" spans="1:18" x14ac:dyDescent="0.25">
      <c r="A50">
        <v>42</v>
      </c>
      <c r="B50" s="4">
        <f t="shared" si="7"/>
        <v>46447</v>
      </c>
      <c r="C50" s="5">
        <f t="shared" si="1"/>
        <v>88.630845922746488</v>
      </c>
      <c r="D50" s="5">
        <f t="shared" si="8"/>
        <v>81.188272371865224</v>
      </c>
      <c r="E50" s="5">
        <f t="shared" si="9"/>
        <v>7.4425735508812707</v>
      </c>
      <c r="F50" s="5">
        <f t="shared" si="10"/>
        <v>2545.6023926450534</v>
      </c>
      <c r="G50" s="5">
        <f t="shared" si="2"/>
        <v>74.843005537206622</v>
      </c>
      <c r="H50" s="5">
        <f t="shared" si="11"/>
        <v>68.558234499759962</v>
      </c>
      <c r="I50" s="5">
        <f t="shared" si="12"/>
        <v>6.2847710374466619</v>
      </c>
      <c r="J50" s="5">
        <f t="shared" si="13"/>
        <v>2149.5962493049437</v>
      </c>
      <c r="K50" s="5">
        <f t="shared" si="3"/>
        <v>192.24046041512332</v>
      </c>
      <c r="L50" s="5">
        <f t="shared" si="14"/>
        <v>167.21873536545843</v>
      </c>
      <c r="M50" s="5">
        <f t="shared" si="15"/>
        <v>25.021725049664887</v>
      </c>
      <c r="N50" s="5">
        <f t="shared" si="16"/>
        <v>5382.8866360944057</v>
      </c>
      <c r="O50" s="5">
        <f t="shared" si="4"/>
        <v>316.9652422370836</v>
      </c>
      <c r="P50" s="85">
        <f t="shared" si="5"/>
        <v>38.749069637992818</v>
      </c>
      <c r="Q50" s="5">
        <f t="shared" si="17"/>
        <v>2587.5263767976121</v>
      </c>
      <c r="R50" s="5">
        <f t="shared" si="6"/>
        <v>10078.085278044404</v>
      </c>
    </row>
    <row r="51" spans="1:18" x14ac:dyDescent="0.25">
      <c r="A51">
        <v>43</v>
      </c>
      <c r="B51" s="4">
        <f t="shared" si="7"/>
        <v>46478</v>
      </c>
      <c r="C51" s="5">
        <f t="shared" si="1"/>
        <v>88.630845922746488</v>
      </c>
      <c r="D51" s="5">
        <f t="shared" si="8"/>
        <v>81.418305810252164</v>
      </c>
      <c r="E51" s="5">
        <f t="shared" si="9"/>
        <v>7.2125401124943185</v>
      </c>
      <c r="F51" s="5">
        <f t="shared" si="10"/>
        <v>2464.1840868348013</v>
      </c>
      <c r="G51" s="5">
        <f t="shared" si="2"/>
        <v>74.843005537206622</v>
      </c>
      <c r="H51" s="5">
        <f t="shared" si="11"/>
        <v>68.752482830842609</v>
      </c>
      <c r="I51" s="5">
        <f t="shared" si="12"/>
        <v>6.0905227063640073</v>
      </c>
      <c r="J51" s="5">
        <f t="shared" si="13"/>
        <v>2080.8437664741014</v>
      </c>
      <c r="K51" s="5">
        <f t="shared" si="3"/>
        <v>192.24046041512332</v>
      </c>
      <c r="L51" s="5">
        <f t="shared" si="14"/>
        <v>167.97261316406437</v>
      </c>
      <c r="M51" s="5">
        <f t="shared" si="15"/>
        <v>24.267847251058949</v>
      </c>
      <c r="N51" s="5">
        <f t="shared" si="16"/>
        <v>5214.9140229303412</v>
      </c>
      <c r="O51" s="5">
        <f t="shared" si="4"/>
        <v>318.1434018051591</v>
      </c>
      <c r="P51" s="85">
        <f t="shared" si="5"/>
        <v>37.570910069917275</v>
      </c>
      <c r="Q51" s="5">
        <f t="shared" si="17"/>
        <v>2625.0972868675294</v>
      </c>
      <c r="R51" s="5">
        <f t="shared" si="6"/>
        <v>9759.9418762392434</v>
      </c>
    </row>
    <row r="52" spans="1:18" x14ac:dyDescent="0.25">
      <c r="A52">
        <v>44</v>
      </c>
      <c r="B52" s="4">
        <f t="shared" si="7"/>
        <v>46508</v>
      </c>
      <c r="C52" s="5">
        <f t="shared" si="1"/>
        <v>88.630845922746488</v>
      </c>
      <c r="D52" s="5">
        <f t="shared" si="8"/>
        <v>81.64899101004788</v>
      </c>
      <c r="E52" s="5">
        <f t="shared" si="9"/>
        <v>6.981854912698604</v>
      </c>
      <c r="F52" s="5">
        <f t="shared" si="10"/>
        <v>2382.5350958247536</v>
      </c>
      <c r="G52" s="5">
        <f t="shared" si="2"/>
        <v>74.843005537206622</v>
      </c>
      <c r="H52" s="5">
        <f t="shared" si="11"/>
        <v>68.947281532196669</v>
      </c>
      <c r="I52" s="5">
        <f t="shared" si="12"/>
        <v>5.8957240050099546</v>
      </c>
      <c r="J52" s="5">
        <f t="shared" si="13"/>
        <v>2011.8964849419046</v>
      </c>
      <c r="K52" s="5">
        <f t="shared" si="3"/>
        <v>192.24046041512332</v>
      </c>
      <c r="L52" s="5">
        <f t="shared" si="14"/>
        <v>168.72988969507904</v>
      </c>
      <c r="M52" s="5">
        <f t="shared" si="15"/>
        <v>23.510570720044292</v>
      </c>
      <c r="N52" s="5">
        <f t="shared" si="16"/>
        <v>5046.1841332352624</v>
      </c>
      <c r="O52" s="5">
        <f t="shared" si="4"/>
        <v>319.32616223732362</v>
      </c>
      <c r="P52" s="85">
        <f t="shared" si="5"/>
        <v>36.388149637752846</v>
      </c>
      <c r="Q52" s="5">
        <f t="shared" si="17"/>
        <v>2661.4854365052825</v>
      </c>
      <c r="R52" s="5">
        <f t="shared" si="6"/>
        <v>9440.6157140019204</v>
      </c>
    </row>
    <row r="53" spans="1:18" x14ac:dyDescent="0.25">
      <c r="A53">
        <v>45</v>
      </c>
      <c r="B53" s="4">
        <f t="shared" si="7"/>
        <v>46539</v>
      </c>
      <c r="C53" s="5">
        <f t="shared" si="1"/>
        <v>88.630845922746488</v>
      </c>
      <c r="D53" s="5">
        <f t="shared" si="8"/>
        <v>81.880329817909683</v>
      </c>
      <c r="E53" s="5">
        <f t="shared" si="9"/>
        <v>6.7505161048368025</v>
      </c>
      <c r="F53" s="5">
        <f t="shared" si="10"/>
        <v>2300.6547660068441</v>
      </c>
      <c r="G53" s="5">
        <f t="shared" si="2"/>
        <v>74.843005537206622</v>
      </c>
      <c r="H53" s="5">
        <f t="shared" si="11"/>
        <v>69.142632163204553</v>
      </c>
      <c r="I53" s="5">
        <f t="shared" si="12"/>
        <v>5.7003733740020639</v>
      </c>
      <c r="J53" s="5">
        <f t="shared" si="13"/>
        <v>1942.7538527787001</v>
      </c>
      <c r="K53" s="5">
        <f t="shared" si="3"/>
        <v>192.24046041512332</v>
      </c>
      <c r="L53" s="5">
        <f t="shared" si="14"/>
        <v>169.49058028112103</v>
      </c>
      <c r="M53" s="5">
        <f t="shared" si="15"/>
        <v>22.749880134002311</v>
      </c>
      <c r="N53" s="5">
        <f t="shared" si="16"/>
        <v>4876.6935529541415</v>
      </c>
      <c r="O53" s="5">
        <f t="shared" si="4"/>
        <v>320.51354226223526</v>
      </c>
      <c r="P53" s="85">
        <f t="shared" si="5"/>
        <v>35.200769612841178</v>
      </c>
      <c r="Q53" s="5">
        <f t="shared" si="17"/>
        <v>2696.6862061181237</v>
      </c>
      <c r="R53" s="5">
        <f t="shared" si="6"/>
        <v>9120.102171739687</v>
      </c>
    </row>
    <row r="54" spans="1:18" x14ac:dyDescent="0.25">
      <c r="A54">
        <v>46</v>
      </c>
      <c r="B54" s="4">
        <f t="shared" si="7"/>
        <v>46569</v>
      </c>
      <c r="C54" s="5">
        <f t="shared" si="1"/>
        <v>88.630845922746488</v>
      </c>
      <c r="D54" s="5">
        <f t="shared" si="8"/>
        <v>82.112324085727096</v>
      </c>
      <c r="E54" s="5">
        <f t="shared" si="9"/>
        <v>6.5185218370193923</v>
      </c>
      <c r="F54" s="5">
        <f t="shared" si="10"/>
        <v>2218.5424419211167</v>
      </c>
      <c r="G54" s="5">
        <f t="shared" si="2"/>
        <v>74.843005537206622</v>
      </c>
      <c r="H54" s="5">
        <f t="shared" si="11"/>
        <v>69.338536287666969</v>
      </c>
      <c r="I54" s="5">
        <f t="shared" si="12"/>
        <v>5.5044692495396506</v>
      </c>
      <c r="J54" s="5">
        <f t="shared" si="13"/>
        <v>1873.4153164910331</v>
      </c>
      <c r="K54" s="5">
        <f t="shared" si="3"/>
        <v>192.24046041512332</v>
      </c>
      <c r="L54" s="5">
        <f t="shared" si="14"/>
        <v>170.25470031388841</v>
      </c>
      <c r="M54" s="5">
        <f t="shared" si="15"/>
        <v>21.985760101234924</v>
      </c>
      <c r="N54" s="5">
        <f t="shared" si="16"/>
        <v>4706.4388526402527</v>
      </c>
      <c r="O54" s="5">
        <f t="shared" si="4"/>
        <v>321.70556068728246</v>
      </c>
      <c r="P54" s="85">
        <f t="shared" si="5"/>
        <v>34.008751187793962</v>
      </c>
      <c r="Q54" s="5">
        <f t="shared" si="17"/>
        <v>2730.6949573059178</v>
      </c>
      <c r="R54" s="5">
        <f t="shared" si="6"/>
        <v>8798.3966110524016</v>
      </c>
    </row>
    <row r="55" spans="1:18" x14ac:dyDescent="0.25">
      <c r="A55">
        <v>47</v>
      </c>
      <c r="B55" s="4">
        <f t="shared" si="7"/>
        <v>46600</v>
      </c>
      <c r="C55" s="5">
        <f t="shared" si="1"/>
        <v>88.630845922746488</v>
      </c>
      <c r="D55" s="5">
        <f t="shared" si="8"/>
        <v>82.344975670636657</v>
      </c>
      <c r="E55" s="5">
        <f t="shared" si="9"/>
        <v>6.2858702521098309</v>
      </c>
      <c r="F55" s="5">
        <f t="shared" si="10"/>
        <v>2136.1974662504799</v>
      </c>
      <c r="G55" s="5">
        <f t="shared" si="2"/>
        <v>74.843005537206622</v>
      </c>
      <c r="H55" s="5">
        <f t="shared" si="11"/>
        <v>69.534995473815357</v>
      </c>
      <c r="I55" s="5">
        <f t="shared" si="12"/>
        <v>5.3080100633912606</v>
      </c>
      <c r="J55" s="5">
        <f t="shared" si="13"/>
        <v>1803.8803210172177</v>
      </c>
      <c r="K55" s="5">
        <f t="shared" si="3"/>
        <v>192.24046041512332</v>
      </c>
      <c r="L55" s="5">
        <f t="shared" si="14"/>
        <v>171.02226525447017</v>
      </c>
      <c r="M55" s="5">
        <f t="shared" si="15"/>
        <v>21.218195160653142</v>
      </c>
      <c r="N55" s="5">
        <f t="shared" si="16"/>
        <v>4535.4165873857828</v>
      </c>
      <c r="O55" s="5">
        <f t="shared" si="4"/>
        <v>322.90223639892218</v>
      </c>
      <c r="P55" s="85">
        <f t="shared" si="5"/>
        <v>32.812075476154234</v>
      </c>
      <c r="Q55" s="5">
        <f t="shared" si="17"/>
        <v>2763.5070327820722</v>
      </c>
      <c r="R55" s="5">
        <f t="shared" si="6"/>
        <v>8475.4943746534809</v>
      </c>
    </row>
    <row r="56" spans="1:18" x14ac:dyDescent="0.25">
      <c r="A56">
        <v>48</v>
      </c>
      <c r="B56" s="4">
        <f t="shared" si="7"/>
        <v>46631</v>
      </c>
      <c r="C56" s="5">
        <f t="shared" si="1"/>
        <v>88.630845922746488</v>
      </c>
      <c r="D56" s="5">
        <f t="shared" si="8"/>
        <v>82.578286435036802</v>
      </c>
      <c r="E56" s="5">
        <f t="shared" si="9"/>
        <v>6.0525594877096935</v>
      </c>
      <c r="F56" s="5">
        <f t="shared" si="10"/>
        <v>2053.6191798154432</v>
      </c>
      <c r="G56" s="5">
        <f t="shared" si="2"/>
        <v>74.843005537206622</v>
      </c>
      <c r="H56" s="5">
        <f t="shared" si="11"/>
        <v>69.732011294324508</v>
      </c>
      <c r="I56" s="5">
        <f t="shared" si="12"/>
        <v>5.1109942428821169</v>
      </c>
      <c r="J56" s="5">
        <f t="shared" si="13"/>
        <v>1734.1483097228931</v>
      </c>
      <c r="K56" s="5">
        <f t="shared" si="3"/>
        <v>192.24046041512332</v>
      </c>
      <c r="L56" s="5">
        <f t="shared" si="14"/>
        <v>171.79329063365907</v>
      </c>
      <c r="M56" s="5">
        <f t="shared" si="15"/>
        <v>20.44716978146424</v>
      </c>
      <c r="N56" s="5">
        <f t="shared" si="16"/>
        <v>4363.6232967521237</v>
      </c>
      <c r="O56" s="5">
        <f t="shared" si="4"/>
        <v>324.10358836302038</v>
      </c>
      <c r="P56" s="85">
        <f t="shared" si="5"/>
        <v>31.610723512056051</v>
      </c>
      <c r="Q56" s="5">
        <f t="shared" si="17"/>
        <v>2795.1177562941284</v>
      </c>
      <c r="R56" s="5">
        <f t="shared" si="6"/>
        <v>8151.3907862904598</v>
      </c>
    </row>
    <row r="57" spans="1:18" x14ac:dyDescent="0.25">
      <c r="A57">
        <v>49</v>
      </c>
      <c r="B57" s="4">
        <f t="shared" si="7"/>
        <v>46661</v>
      </c>
      <c r="C57" s="5">
        <f t="shared" si="1"/>
        <v>88.630845922746488</v>
      </c>
      <c r="D57" s="5">
        <f t="shared" si="8"/>
        <v>82.812258246602738</v>
      </c>
      <c r="E57" s="5">
        <f t="shared" si="9"/>
        <v>5.818587676143756</v>
      </c>
      <c r="F57" s="5">
        <f t="shared" si="10"/>
        <v>1970.8069215688404</v>
      </c>
      <c r="G57" s="5">
        <f t="shared" si="2"/>
        <v>74.843005537206622</v>
      </c>
      <c r="H57" s="5">
        <f t="shared" si="11"/>
        <v>69.929585326325096</v>
      </c>
      <c r="I57" s="5">
        <f t="shared" si="12"/>
        <v>4.9134202108815312</v>
      </c>
      <c r="J57" s="5">
        <f t="shared" si="13"/>
        <v>1664.2187243965679</v>
      </c>
      <c r="K57" s="5">
        <f t="shared" si="3"/>
        <v>192.24046041512332</v>
      </c>
      <c r="L57" s="5">
        <f t="shared" si="14"/>
        <v>172.56779205226582</v>
      </c>
      <c r="M57" s="5">
        <f t="shared" si="15"/>
        <v>19.672668362857493</v>
      </c>
      <c r="N57" s="5">
        <f t="shared" si="16"/>
        <v>4191.0555046998579</v>
      </c>
      <c r="O57" s="5">
        <f t="shared" si="4"/>
        <v>325.30963562519366</v>
      </c>
      <c r="P57" s="85">
        <f t="shared" si="5"/>
        <v>30.40467624988278</v>
      </c>
      <c r="Q57" s="5">
        <f t="shared" si="17"/>
        <v>2825.5224325440113</v>
      </c>
      <c r="R57" s="5">
        <f t="shared" si="6"/>
        <v>7826.0811506652663</v>
      </c>
    </row>
    <row r="58" spans="1:18" x14ac:dyDescent="0.25">
      <c r="A58">
        <v>50</v>
      </c>
      <c r="B58" s="4">
        <f t="shared" si="7"/>
        <v>46692</v>
      </c>
      <c r="C58" s="5">
        <f t="shared" si="1"/>
        <v>88.630845922746488</v>
      </c>
      <c r="D58" s="5">
        <f t="shared" si="8"/>
        <v>83.046892978301443</v>
      </c>
      <c r="E58" s="5">
        <f t="shared" si="9"/>
        <v>5.5839529444450484</v>
      </c>
      <c r="F58" s="5">
        <f t="shared" si="10"/>
        <v>1887.7600285905389</v>
      </c>
      <c r="G58" s="5">
        <f t="shared" si="2"/>
        <v>74.843005537206622</v>
      </c>
      <c r="H58" s="5">
        <f t="shared" si="11"/>
        <v>70.127719151416343</v>
      </c>
      <c r="I58" s="5">
        <f t="shared" si="12"/>
        <v>4.715286385790276</v>
      </c>
      <c r="J58" s="5">
        <f t="shared" si="13"/>
        <v>1594.0910052451516</v>
      </c>
      <c r="K58" s="5">
        <f t="shared" si="3"/>
        <v>192.24046041512332</v>
      </c>
      <c r="L58" s="5">
        <f t="shared" si="14"/>
        <v>173.34578518143479</v>
      </c>
      <c r="M58" s="5">
        <f t="shared" si="15"/>
        <v>18.894675233688528</v>
      </c>
      <c r="N58" s="5">
        <f t="shared" si="16"/>
        <v>4017.7097195184233</v>
      </c>
      <c r="O58" s="5">
        <f t="shared" si="4"/>
        <v>326.52039731115258</v>
      </c>
      <c r="P58" s="85">
        <f t="shared" si="5"/>
        <v>29.193914563923851</v>
      </c>
      <c r="Q58" s="5">
        <f t="shared" si="17"/>
        <v>2854.7163471079352</v>
      </c>
      <c r="R58" s="5">
        <f t="shared" si="6"/>
        <v>7499.5607533541133</v>
      </c>
    </row>
    <row r="59" spans="1:18" x14ac:dyDescent="0.25">
      <c r="A59">
        <v>51</v>
      </c>
      <c r="B59" s="4">
        <f t="shared" si="7"/>
        <v>46722</v>
      </c>
      <c r="C59" s="5">
        <f t="shared" si="1"/>
        <v>88.630845922746488</v>
      </c>
      <c r="D59" s="5">
        <f t="shared" si="8"/>
        <v>83.282192508406624</v>
      </c>
      <c r="E59" s="5">
        <f t="shared" si="9"/>
        <v>5.3486534143398607</v>
      </c>
      <c r="F59" s="5">
        <f t="shared" si="10"/>
        <v>1804.4778360821324</v>
      </c>
      <c r="G59" s="5">
        <f t="shared" si="2"/>
        <v>74.843005537206622</v>
      </c>
      <c r="H59" s="5">
        <f t="shared" si="11"/>
        <v>70.326414355678693</v>
      </c>
      <c r="I59" s="5">
        <f t="shared" si="12"/>
        <v>4.5165911815279296</v>
      </c>
      <c r="J59" s="5">
        <f t="shared" si="13"/>
        <v>1523.7645908894729</v>
      </c>
      <c r="K59" s="5">
        <f t="shared" si="3"/>
        <v>192.24046041512332</v>
      </c>
      <c r="L59" s="5">
        <f t="shared" si="14"/>
        <v>174.12728576296109</v>
      </c>
      <c r="M59" s="5">
        <f t="shared" si="15"/>
        <v>18.113174652162225</v>
      </c>
      <c r="N59" s="5">
        <f t="shared" si="16"/>
        <v>3843.5824337554623</v>
      </c>
      <c r="O59" s="5">
        <f t="shared" si="4"/>
        <v>327.73589262704638</v>
      </c>
      <c r="P59" s="85">
        <f t="shared" si="5"/>
        <v>27.978419248030015</v>
      </c>
      <c r="Q59" s="5">
        <f t="shared" si="17"/>
        <v>2882.6947663559654</v>
      </c>
      <c r="R59" s="5">
        <f t="shared" si="6"/>
        <v>7171.8248607270671</v>
      </c>
    </row>
    <row r="60" spans="1:18" x14ac:dyDescent="0.25">
      <c r="A60">
        <v>52</v>
      </c>
      <c r="B60" s="4">
        <f t="shared" si="7"/>
        <v>46753</v>
      </c>
      <c r="C60" s="5">
        <f t="shared" si="1"/>
        <v>88.630845922746488</v>
      </c>
      <c r="D60" s="5">
        <f t="shared" si="8"/>
        <v>83.518158720513782</v>
      </c>
      <c r="E60" s="5">
        <f t="shared" si="9"/>
        <v>5.112687202232709</v>
      </c>
      <c r="F60" s="5">
        <f t="shared" si="10"/>
        <v>1720.9596773616186</v>
      </c>
      <c r="G60" s="5">
        <f t="shared" si="2"/>
        <v>74.843005537206622</v>
      </c>
      <c r="H60" s="5">
        <f t="shared" si="11"/>
        <v>70.525672529686446</v>
      </c>
      <c r="I60" s="5">
        <f t="shared" si="12"/>
        <v>4.3173330075201735</v>
      </c>
      <c r="J60" s="5">
        <f t="shared" si="13"/>
        <v>1453.2389183597863</v>
      </c>
      <c r="K60" s="5">
        <f t="shared" si="3"/>
        <v>192.24046041512332</v>
      </c>
      <c r="L60" s="5">
        <f t="shared" si="14"/>
        <v>174.91230960960911</v>
      </c>
      <c r="M60" s="5">
        <f t="shared" si="15"/>
        <v>17.328150805514213</v>
      </c>
      <c r="N60" s="5">
        <f t="shared" si="16"/>
        <v>3668.6701241458532</v>
      </c>
      <c r="O60" s="5">
        <f t="shared" si="4"/>
        <v>328.95614085980935</v>
      </c>
      <c r="P60" s="85">
        <f t="shared" si="5"/>
        <v>26.758171015267095</v>
      </c>
      <c r="Q60" s="5">
        <f t="shared" si="17"/>
        <v>2909.4529373712326</v>
      </c>
      <c r="R60" s="5">
        <f t="shared" si="6"/>
        <v>6842.8687198672578</v>
      </c>
    </row>
    <row r="61" spans="1:18" x14ac:dyDescent="0.25">
      <c r="A61">
        <v>53</v>
      </c>
      <c r="B61" s="4">
        <f t="shared" si="7"/>
        <v>46784</v>
      </c>
      <c r="C61" s="5">
        <f t="shared" si="1"/>
        <v>88.630845922746488</v>
      </c>
      <c r="D61" s="5">
        <f t="shared" si="8"/>
        <v>83.754793503555234</v>
      </c>
      <c r="E61" s="5">
        <f t="shared" si="9"/>
        <v>4.8760524191912529</v>
      </c>
      <c r="F61" s="5">
        <f t="shared" si="10"/>
        <v>1637.2048838580633</v>
      </c>
      <c r="G61" s="5">
        <f t="shared" si="2"/>
        <v>74.843005537206622</v>
      </c>
      <c r="H61" s="5">
        <f t="shared" si="11"/>
        <v>70.725495268520561</v>
      </c>
      <c r="I61" s="5">
        <f t="shared" si="12"/>
        <v>4.1175102686860612</v>
      </c>
      <c r="J61" s="5">
        <f t="shared" si="13"/>
        <v>1382.5134230912658</v>
      </c>
      <c r="K61" s="5">
        <f t="shared" si="3"/>
        <v>192.24046041512332</v>
      </c>
      <c r="L61" s="5">
        <f t="shared" si="14"/>
        <v>175.70087260543244</v>
      </c>
      <c r="M61" s="5">
        <f t="shared" si="15"/>
        <v>16.539587809690889</v>
      </c>
      <c r="N61" s="5">
        <f t="shared" si="16"/>
        <v>3492.9692515404208</v>
      </c>
      <c r="O61" s="5">
        <f t="shared" si="4"/>
        <v>330.18116137750826</v>
      </c>
      <c r="P61" s="85">
        <f t="shared" si="5"/>
        <v>25.533150497568204</v>
      </c>
      <c r="Q61" s="5">
        <f t="shared" si="17"/>
        <v>2934.986087868801</v>
      </c>
      <c r="R61" s="5">
        <f t="shared" si="6"/>
        <v>6512.6875584897498</v>
      </c>
    </row>
    <row r="62" spans="1:18" x14ac:dyDescent="0.25">
      <c r="A62">
        <v>54</v>
      </c>
      <c r="B62" s="4">
        <f t="shared" si="7"/>
        <v>46813</v>
      </c>
      <c r="C62" s="5">
        <f t="shared" si="1"/>
        <v>88.630845922746488</v>
      </c>
      <c r="D62" s="5">
        <f t="shared" si="8"/>
        <v>83.992098751815305</v>
      </c>
      <c r="E62" s="5">
        <f t="shared" si="9"/>
        <v>4.6387471709311798</v>
      </c>
      <c r="F62" s="5">
        <f t="shared" si="10"/>
        <v>1553.212785106248</v>
      </c>
      <c r="G62" s="5">
        <f t="shared" si="2"/>
        <v>74.843005537206622</v>
      </c>
      <c r="H62" s="5">
        <f t="shared" si="11"/>
        <v>70.925884171781362</v>
      </c>
      <c r="I62" s="5">
        <f t="shared" si="12"/>
        <v>3.9171213654252535</v>
      </c>
      <c r="J62" s="5">
        <f t="shared" si="13"/>
        <v>1311.5875389194846</v>
      </c>
      <c r="K62" s="5">
        <f t="shared" si="3"/>
        <v>192.24046041512332</v>
      </c>
      <c r="L62" s="5">
        <f t="shared" si="14"/>
        <v>176.49299070609527</v>
      </c>
      <c r="M62" s="5">
        <f t="shared" si="15"/>
        <v>15.747469709028065</v>
      </c>
      <c r="N62" s="5">
        <f t="shared" si="16"/>
        <v>3316.4762608343253</v>
      </c>
      <c r="O62" s="5">
        <f t="shared" si="4"/>
        <v>331.41097362969197</v>
      </c>
      <c r="P62" s="85">
        <f t="shared" si="5"/>
        <v>24.303338245384499</v>
      </c>
      <c r="Q62" s="5">
        <f t="shared" si="17"/>
        <v>2959.2894261141855</v>
      </c>
      <c r="R62" s="5">
        <f t="shared" si="6"/>
        <v>6181.2765848600575</v>
      </c>
    </row>
    <row r="63" spans="1:18" x14ac:dyDescent="0.25">
      <c r="A63">
        <v>55</v>
      </c>
      <c r="B63" s="4">
        <f t="shared" si="7"/>
        <v>46844</v>
      </c>
      <c r="C63" s="5">
        <f t="shared" si="1"/>
        <v>88.630845922746488</v>
      </c>
      <c r="D63" s="5">
        <f t="shared" si="8"/>
        <v>84.230076364945447</v>
      </c>
      <c r="E63" s="5">
        <f t="shared" si="9"/>
        <v>4.400769557801036</v>
      </c>
      <c r="F63" s="5">
        <f t="shared" si="10"/>
        <v>1468.9827087413025</v>
      </c>
      <c r="G63" s="5">
        <f t="shared" si="2"/>
        <v>74.843005537206622</v>
      </c>
      <c r="H63" s="5">
        <f t="shared" si="11"/>
        <v>71.126840843601414</v>
      </c>
      <c r="I63" s="5">
        <f t="shared" si="12"/>
        <v>3.7161646936052066</v>
      </c>
      <c r="J63" s="5">
        <f t="shared" si="13"/>
        <v>1240.4606980758831</v>
      </c>
      <c r="K63" s="5">
        <f t="shared" si="3"/>
        <v>192.24046041512332</v>
      </c>
      <c r="L63" s="5">
        <f t="shared" si="14"/>
        <v>177.28867993919525</v>
      </c>
      <c r="M63" s="5">
        <f t="shared" si="15"/>
        <v>14.951780475928086</v>
      </c>
      <c r="N63" s="5">
        <f t="shared" si="16"/>
        <v>3139.1875808951299</v>
      </c>
      <c r="O63" s="5">
        <f t="shared" si="4"/>
        <v>332.64559714774214</v>
      </c>
      <c r="P63" s="85">
        <f t="shared" si="5"/>
        <v>23.068714727334328</v>
      </c>
      <c r="Q63" s="5">
        <f t="shared" si="17"/>
        <v>2982.3581408415198</v>
      </c>
      <c r="R63" s="5">
        <f t="shared" si="6"/>
        <v>5848.6309877123158</v>
      </c>
    </row>
    <row r="64" spans="1:18" x14ac:dyDescent="0.25">
      <c r="A64">
        <v>56</v>
      </c>
      <c r="B64" s="4">
        <f t="shared" si="7"/>
        <v>46874</v>
      </c>
      <c r="C64" s="5">
        <f t="shared" si="1"/>
        <v>88.630845922746488</v>
      </c>
      <c r="D64" s="5">
        <f t="shared" si="8"/>
        <v>84.46872824797947</v>
      </c>
      <c r="E64" s="5">
        <f t="shared" si="9"/>
        <v>4.1621176747670239</v>
      </c>
      <c r="F64" s="5">
        <f t="shared" si="10"/>
        <v>1384.5139804933231</v>
      </c>
      <c r="G64" s="5">
        <f t="shared" si="2"/>
        <v>74.843005537206622</v>
      </c>
      <c r="H64" s="5">
        <f t="shared" si="11"/>
        <v>71.328366892658281</v>
      </c>
      <c r="I64" s="5">
        <f t="shared" si="12"/>
        <v>3.5146386445483357</v>
      </c>
      <c r="J64" s="5">
        <f t="shared" si="13"/>
        <v>1169.1323311832248</v>
      </c>
      <c r="K64" s="5">
        <f t="shared" si="3"/>
        <v>192.24046041512332</v>
      </c>
      <c r="L64" s="5">
        <f t="shared" si="14"/>
        <v>178.08795640458777</v>
      </c>
      <c r="M64" s="5">
        <f t="shared" si="15"/>
        <v>14.152504010535546</v>
      </c>
      <c r="N64" s="5">
        <f t="shared" si="16"/>
        <v>2961.0996244905423</v>
      </c>
      <c r="O64" s="5">
        <f t="shared" si="4"/>
        <v>333.88505154522551</v>
      </c>
      <c r="P64" s="85">
        <f t="shared" si="5"/>
        <v>21.829260329850904</v>
      </c>
      <c r="Q64" s="5">
        <f t="shared" si="17"/>
        <v>3004.1874011713708</v>
      </c>
      <c r="R64" s="5">
        <f t="shared" si="6"/>
        <v>5514.7459361670899</v>
      </c>
    </row>
    <row r="65" spans="1:18" x14ac:dyDescent="0.25">
      <c r="A65">
        <v>57</v>
      </c>
      <c r="B65" s="4">
        <f t="shared" si="7"/>
        <v>46905</v>
      </c>
      <c r="C65" s="5">
        <f t="shared" si="1"/>
        <v>88.630845922746488</v>
      </c>
      <c r="D65" s="5">
        <f t="shared" si="8"/>
        <v>84.708056311348741</v>
      </c>
      <c r="E65" s="5">
        <f t="shared" si="9"/>
        <v>3.9227896113977487</v>
      </c>
      <c r="F65" s="5">
        <f t="shared" si="10"/>
        <v>1299.8059241819742</v>
      </c>
      <c r="G65" s="5">
        <f t="shared" si="2"/>
        <v>74.843005537206622</v>
      </c>
      <c r="H65" s="5">
        <f t="shared" si="11"/>
        <v>71.530463932187487</v>
      </c>
      <c r="I65" s="5">
        <f t="shared" si="12"/>
        <v>3.312541605019137</v>
      </c>
      <c r="J65" s="5">
        <f t="shared" si="13"/>
        <v>1097.6018672510372</v>
      </c>
      <c r="K65" s="5">
        <f t="shared" si="3"/>
        <v>192.24046041512332</v>
      </c>
      <c r="L65" s="5">
        <f t="shared" si="14"/>
        <v>178.8908362747118</v>
      </c>
      <c r="M65" s="5">
        <f t="shared" si="15"/>
        <v>13.34962414041153</v>
      </c>
      <c r="N65" s="5">
        <f t="shared" si="16"/>
        <v>2782.2087882158303</v>
      </c>
      <c r="O65" s="5">
        <f t="shared" si="4"/>
        <v>335.12935651824807</v>
      </c>
      <c r="P65" s="85">
        <f t="shared" si="5"/>
        <v>20.584955356828416</v>
      </c>
      <c r="Q65" s="5">
        <f t="shared" si="17"/>
        <v>3024.772356528199</v>
      </c>
      <c r="R65" s="5">
        <f t="shared" si="6"/>
        <v>5179.6165796488422</v>
      </c>
    </row>
    <row r="66" spans="1:18" x14ac:dyDescent="0.25">
      <c r="A66">
        <v>58</v>
      </c>
      <c r="B66" s="4">
        <f t="shared" si="7"/>
        <v>46935</v>
      </c>
      <c r="C66" s="5">
        <f t="shared" si="1"/>
        <v>88.630845922746488</v>
      </c>
      <c r="D66" s="5">
        <f t="shared" si="8"/>
        <v>84.948062470897554</v>
      </c>
      <c r="E66" s="5">
        <f t="shared" si="9"/>
        <v>3.6827834518489273</v>
      </c>
      <c r="F66" s="5">
        <f t="shared" si="10"/>
        <v>1214.8578617110766</v>
      </c>
      <c r="G66" s="5">
        <f t="shared" si="2"/>
        <v>74.843005537206622</v>
      </c>
      <c r="H66" s="5">
        <f t="shared" si="11"/>
        <v>71.733133579995354</v>
      </c>
      <c r="I66" s="5">
        <f t="shared" si="12"/>
        <v>3.1098719572112725</v>
      </c>
      <c r="J66" s="5">
        <f t="shared" si="13"/>
        <v>1025.8687336710418</v>
      </c>
      <c r="K66" s="5">
        <f t="shared" si="3"/>
        <v>192.24046041512332</v>
      </c>
      <c r="L66" s="5">
        <f t="shared" si="14"/>
        <v>179.69733579491697</v>
      </c>
      <c r="M66" s="5">
        <f t="shared" si="15"/>
        <v>12.543124620206369</v>
      </c>
      <c r="N66" s="5">
        <f t="shared" si="16"/>
        <v>2602.5114524209134</v>
      </c>
      <c r="O66" s="5">
        <f t="shared" si="4"/>
        <v>336.3785318458099</v>
      </c>
      <c r="P66" s="85">
        <f t="shared" si="5"/>
        <v>19.335780029266569</v>
      </c>
      <c r="Q66" s="5">
        <f t="shared" si="17"/>
        <v>3044.1081365574655</v>
      </c>
      <c r="R66" s="5">
        <f t="shared" si="6"/>
        <v>4843.2380478030318</v>
      </c>
    </row>
    <row r="67" spans="1:18" x14ac:dyDescent="0.25">
      <c r="A67">
        <v>59</v>
      </c>
      <c r="B67" s="4">
        <f t="shared" si="7"/>
        <v>46966</v>
      </c>
      <c r="C67" s="5">
        <f t="shared" si="1"/>
        <v>88.630845922746488</v>
      </c>
      <c r="D67" s="5">
        <f t="shared" si="8"/>
        <v>85.188748647898436</v>
      </c>
      <c r="E67" s="5">
        <f t="shared" si="9"/>
        <v>3.4420972748480505</v>
      </c>
      <c r="F67" s="5">
        <f t="shared" si="10"/>
        <v>1129.6691130631782</v>
      </c>
      <c r="G67" s="5">
        <f t="shared" si="2"/>
        <v>74.843005537206622</v>
      </c>
      <c r="H67" s="5">
        <f t="shared" si="11"/>
        <v>71.936377458472009</v>
      </c>
      <c r="I67" s="5">
        <f t="shared" si="12"/>
        <v>2.9066280787346188</v>
      </c>
      <c r="J67" s="5">
        <f t="shared" si="13"/>
        <v>953.93235621256986</v>
      </c>
      <c r="K67" s="5">
        <f t="shared" si="3"/>
        <v>192.24046041512332</v>
      </c>
      <c r="L67" s="5">
        <f t="shared" si="14"/>
        <v>180.50747128379237</v>
      </c>
      <c r="M67" s="5">
        <f t="shared" si="15"/>
        <v>11.732989131330953</v>
      </c>
      <c r="N67" s="5">
        <f t="shared" si="16"/>
        <v>2422.0039811371212</v>
      </c>
      <c r="O67" s="5">
        <f t="shared" si="4"/>
        <v>337.6325973901628</v>
      </c>
      <c r="P67" s="85">
        <f t="shared" si="5"/>
        <v>18.081714484913622</v>
      </c>
      <c r="Q67" s="5">
        <f t="shared" si="17"/>
        <v>3062.1898510423794</v>
      </c>
      <c r="R67" s="5">
        <f t="shared" si="6"/>
        <v>4505.6054504128697</v>
      </c>
    </row>
    <row r="68" spans="1:18" x14ac:dyDescent="0.25">
      <c r="A68">
        <v>60</v>
      </c>
      <c r="B68" s="4">
        <f t="shared" si="7"/>
        <v>46997</v>
      </c>
      <c r="C68" s="5">
        <f t="shared" si="1"/>
        <v>88.630845922746488</v>
      </c>
      <c r="D68" s="5">
        <f t="shared" si="8"/>
        <v>85.430116769067482</v>
      </c>
      <c r="E68" s="5">
        <f t="shared" si="9"/>
        <v>3.200729153679005</v>
      </c>
      <c r="F68" s="5">
        <f t="shared" si="10"/>
        <v>1044.2389962941106</v>
      </c>
      <c r="G68" s="5">
        <f t="shared" si="2"/>
        <v>74.843005537206622</v>
      </c>
      <c r="H68" s="5">
        <f t="shared" si="11"/>
        <v>72.14019719460434</v>
      </c>
      <c r="I68" s="5">
        <f t="shared" si="12"/>
        <v>2.7028083426022813</v>
      </c>
      <c r="J68" s="5">
        <f t="shared" si="13"/>
        <v>881.79215901796556</v>
      </c>
      <c r="K68" s="5">
        <f t="shared" si="3"/>
        <v>192.24046041512332</v>
      </c>
      <c r="L68" s="5">
        <f t="shared" si="14"/>
        <v>181.3212591334968</v>
      </c>
      <c r="M68" s="5">
        <f t="shared" si="15"/>
        <v>10.919201281626522</v>
      </c>
      <c r="N68" s="5">
        <f t="shared" si="16"/>
        <v>2240.6827220036243</v>
      </c>
      <c r="O68" s="5">
        <f t="shared" si="4"/>
        <v>338.89157309716859</v>
      </c>
      <c r="P68" s="85">
        <f t="shared" si="5"/>
        <v>16.822738777907809</v>
      </c>
      <c r="Q68" s="5">
        <f t="shared" si="17"/>
        <v>3079.0125898202873</v>
      </c>
      <c r="R68" s="5">
        <f t="shared" si="6"/>
        <v>4166.7138773157003</v>
      </c>
    </row>
    <row r="69" spans="1:18" x14ac:dyDescent="0.25">
      <c r="A69">
        <v>61</v>
      </c>
      <c r="B69" s="4">
        <f t="shared" si="7"/>
        <v>47027</v>
      </c>
      <c r="C69" s="5">
        <f t="shared" si="1"/>
        <v>88.630845922746488</v>
      </c>
      <c r="D69" s="5">
        <f t="shared" si="8"/>
        <v>85.672168766579844</v>
      </c>
      <c r="E69" s="5">
        <f t="shared" si="9"/>
        <v>2.9586771561666469</v>
      </c>
      <c r="F69" s="5">
        <f t="shared" si="10"/>
        <v>958.56682752753079</v>
      </c>
      <c r="G69" s="5">
        <f t="shared" si="2"/>
        <v>74.843005537206622</v>
      </c>
      <c r="H69" s="5">
        <f t="shared" si="11"/>
        <v>72.34459441998905</v>
      </c>
      <c r="I69" s="5">
        <f t="shared" si="12"/>
        <v>2.4984111172175694</v>
      </c>
      <c r="J69" s="5">
        <f t="shared" si="13"/>
        <v>809.44756459797645</v>
      </c>
      <c r="K69" s="5">
        <f t="shared" si="3"/>
        <v>192.24046041512332</v>
      </c>
      <c r="L69" s="5">
        <f t="shared" si="14"/>
        <v>182.1387158100903</v>
      </c>
      <c r="M69" s="5">
        <f t="shared" si="15"/>
        <v>10.101744605033007</v>
      </c>
      <c r="N69" s="5">
        <f t="shared" si="16"/>
        <v>2058.5440061935342</v>
      </c>
      <c r="O69" s="5">
        <f t="shared" si="4"/>
        <v>340.15547899665921</v>
      </c>
      <c r="P69" s="85">
        <f t="shared" si="5"/>
        <v>15.558832878417224</v>
      </c>
      <c r="Q69" s="5">
        <f t="shared" si="17"/>
        <v>3094.5714226987047</v>
      </c>
      <c r="R69" s="5">
        <f t="shared" si="6"/>
        <v>3826.5583983190413</v>
      </c>
    </row>
    <row r="70" spans="1:18" x14ac:dyDescent="0.25">
      <c r="A70">
        <v>62</v>
      </c>
      <c r="B70" s="4">
        <f t="shared" si="7"/>
        <v>47058</v>
      </c>
      <c r="C70" s="5">
        <f t="shared" si="1"/>
        <v>88.630845922746488</v>
      </c>
      <c r="D70" s="5">
        <f t="shared" si="8"/>
        <v>85.914906578085152</v>
      </c>
      <c r="E70" s="5">
        <f t="shared" si="9"/>
        <v>2.7159393446613374</v>
      </c>
      <c r="F70" s="5">
        <f t="shared" si="10"/>
        <v>872.65192094944564</v>
      </c>
      <c r="G70" s="5">
        <f t="shared" si="2"/>
        <v>74.843005537206622</v>
      </c>
      <c r="H70" s="5">
        <f t="shared" si="11"/>
        <v>72.549570770845691</v>
      </c>
      <c r="I70" s="5">
        <f t="shared" si="12"/>
        <v>2.2934347663609334</v>
      </c>
      <c r="J70" s="5">
        <f t="shared" si="13"/>
        <v>736.89799382713079</v>
      </c>
      <c r="K70" s="5">
        <f t="shared" si="3"/>
        <v>192.24046041512332</v>
      </c>
      <c r="L70" s="5">
        <f t="shared" si="14"/>
        <v>182.95985785386748</v>
      </c>
      <c r="M70" s="5">
        <f t="shared" si="15"/>
        <v>9.2806025612558507</v>
      </c>
      <c r="N70" s="5">
        <f t="shared" si="16"/>
        <v>1875.5841483396666</v>
      </c>
      <c r="O70" s="5">
        <f t="shared" si="4"/>
        <v>341.42433520279832</v>
      </c>
      <c r="P70" s="85">
        <f t="shared" si="5"/>
        <v>14.289976672278122</v>
      </c>
      <c r="Q70" s="5">
        <f t="shared" si="17"/>
        <v>3108.8613993709828</v>
      </c>
      <c r="R70" s="5">
        <f t="shared" si="6"/>
        <v>3485.1340631162429</v>
      </c>
    </row>
    <row r="71" spans="1:18" x14ac:dyDescent="0.25">
      <c r="A71">
        <v>63</v>
      </c>
      <c r="B71" s="4">
        <f t="shared" si="7"/>
        <v>47088</v>
      </c>
      <c r="C71" s="5">
        <f t="shared" si="1"/>
        <v>88.630845922746488</v>
      </c>
      <c r="D71" s="5">
        <f t="shared" si="8"/>
        <v>86.158332146723055</v>
      </c>
      <c r="E71" s="5">
        <f t="shared" si="9"/>
        <v>2.4725137760234297</v>
      </c>
      <c r="F71" s="5">
        <f t="shared" si="10"/>
        <v>786.49358880272257</v>
      </c>
      <c r="G71" s="5">
        <f t="shared" si="2"/>
        <v>74.843005537206622</v>
      </c>
      <c r="H71" s="5">
        <f t="shared" si="11"/>
        <v>72.755127888029747</v>
      </c>
      <c r="I71" s="5">
        <f t="shared" si="12"/>
        <v>2.0878776491768707</v>
      </c>
      <c r="J71" s="5">
        <f t="shared" si="13"/>
        <v>664.14286593910106</v>
      </c>
      <c r="K71" s="5">
        <f t="shared" si="3"/>
        <v>192.24046041512332</v>
      </c>
      <c r="L71" s="5">
        <f t="shared" si="14"/>
        <v>183.78470187969199</v>
      </c>
      <c r="M71" s="5">
        <f t="shared" si="15"/>
        <v>8.4557585354313307</v>
      </c>
      <c r="N71" s="5">
        <f t="shared" si="16"/>
        <v>1691.7994464599747</v>
      </c>
      <c r="O71" s="5">
        <f t="shared" si="4"/>
        <v>342.69816191444477</v>
      </c>
      <c r="P71" s="85">
        <f t="shared" si="5"/>
        <v>13.016149960631632</v>
      </c>
      <c r="Q71" s="5">
        <f t="shared" si="17"/>
        <v>3121.8775493316143</v>
      </c>
      <c r="R71" s="5">
        <f t="shared" si="6"/>
        <v>3142.4359012017985</v>
      </c>
    </row>
    <row r="72" spans="1:18" x14ac:dyDescent="0.25">
      <c r="A72">
        <v>64</v>
      </c>
      <c r="B72" s="4">
        <f t="shared" si="7"/>
        <v>47119</v>
      </c>
      <c r="C72" s="5">
        <f t="shared" si="1"/>
        <v>88.630845922746488</v>
      </c>
      <c r="D72" s="5">
        <f t="shared" si="8"/>
        <v>86.402447421138774</v>
      </c>
      <c r="E72" s="5">
        <f t="shared" si="9"/>
        <v>2.2283985016077139</v>
      </c>
      <c r="F72" s="5">
        <f t="shared" si="10"/>
        <v>700.09114138158384</v>
      </c>
      <c r="G72" s="5">
        <f t="shared" si="2"/>
        <v>74.843005537206622</v>
      </c>
      <c r="H72" s="5">
        <f t="shared" si="11"/>
        <v>72.961267417045832</v>
      </c>
      <c r="I72" s="5">
        <f t="shared" si="12"/>
        <v>1.8817381201607866</v>
      </c>
      <c r="J72" s="5">
        <f t="shared" si="13"/>
        <v>591.1815985220552</v>
      </c>
      <c r="K72" s="5">
        <f t="shared" si="3"/>
        <v>192.24046041512332</v>
      </c>
      <c r="L72" s="5">
        <f t="shared" si="14"/>
        <v>184.61326457733293</v>
      </c>
      <c r="M72" s="5">
        <f t="shared" si="15"/>
        <v>7.6271958377903868</v>
      </c>
      <c r="N72" s="5">
        <f t="shared" si="16"/>
        <v>1507.1861818826417</v>
      </c>
      <c r="O72" s="5">
        <f t="shared" si="4"/>
        <v>343.97697941551752</v>
      </c>
      <c r="P72" s="85">
        <f t="shared" si="5"/>
        <v>11.737332459558887</v>
      </c>
      <c r="Q72" s="5">
        <f t="shared" si="17"/>
        <v>3133.614881791173</v>
      </c>
      <c r="R72" s="5">
        <f t="shared" si="6"/>
        <v>2798.4589217862804</v>
      </c>
    </row>
    <row r="73" spans="1:18" x14ac:dyDescent="0.25">
      <c r="A73">
        <v>65</v>
      </c>
      <c r="B73" s="4">
        <f t="shared" si="7"/>
        <v>47150</v>
      </c>
      <c r="C73" s="5">
        <f t="shared" si="1"/>
        <v>88.630845922746488</v>
      </c>
      <c r="D73" s="5">
        <f t="shared" si="8"/>
        <v>86.64725435549866</v>
      </c>
      <c r="E73" s="5">
        <f t="shared" si="9"/>
        <v>1.983591567247821</v>
      </c>
      <c r="F73" s="5">
        <f t="shared" si="10"/>
        <v>613.44388702608512</v>
      </c>
      <c r="G73" s="5">
        <f t="shared" si="2"/>
        <v>74.843005537206622</v>
      </c>
      <c r="H73" s="5">
        <f t="shared" si="11"/>
        <v>73.167991008060795</v>
      </c>
      <c r="I73" s="5">
        <f t="shared" si="12"/>
        <v>1.6750145291458232</v>
      </c>
      <c r="J73" s="5">
        <f t="shared" si="13"/>
        <v>518.01360751399443</v>
      </c>
      <c r="K73" s="5">
        <f t="shared" si="3"/>
        <v>192.24046041512332</v>
      </c>
      <c r="L73" s="5">
        <f t="shared" si="14"/>
        <v>185.44556271180241</v>
      </c>
      <c r="M73" s="5">
        <f t="shared" si="15"/>
        <v>6.7948977033209106</v>
      </c>
      <c r="N73" s="5">
        <f t="shared" si="16"/>
        <v>1321.7406191708392</v>
      </c>
      <c r="O73" s="5">
        <f t="shared" si="4"/>
        <v>345.26080807536187</v>
      </c>
      <c r="P73" s="85">
        <f t="shared" si="5"/>
        <v>10.453503799714554</v>
      </c>
      <c r="Q73" s="5">
        <f t="shared" si="17"/>
        <v>3144.0683855908874</v>
      </c>
      <c r="R73" s="5">
        <f t="shared" si="6"/>
        <v>2453.1981137109187</v>
      </c>
    </row>
    <row r="74" spans="1:18" x14ac:dyDescent="0.25">
      <c r="A74">
        <v>66</v>
      </c>
      <c r="B74" s="4">
        <f t="shared" si="7"/>
        <v>47178</v>
      </c>
      <c r="C74" s="5">
        <f t="shared" ref="C74:C80" si="18">$C$6</f>
        <v>88.630845922746488</v>
      </c>
      <c r="D74" s="5">
        <f t="shared" si="8"/>
        <v>86.892754909505911</v>
      </c>
      <c r="E74" s="5">
        <f t="shared" si="9"/>
        <v>1.7380910132405747</v>
      </c>
      <c r="F74" s="5">
        <f t="shared" si="10"/>
        <v>526.5511321165792</v>
      </c>
      <c r="G74" s="5">
        <f t="shared" ref="G74:G80" si="19">$D$6</f>
        <v>74.843005537206622</v>
      </c>
      <c r="H74" s="5">
        <f t="shared" si="11"/>
        <v>73.375300315916974</v>
      </c>
      <c r="I74" s="5">
        <f t="shared" si="12"/>
        <v>1.4677052212896511</v>
      </c>
      <c r="J74" s="5">
        <f t="shared" si="13"/>
        <v>444.63830719807743</v>
      </c>
      <c r="K74" s="5">
        <f t="shared" ref="K74:K80" si="20">$E$6</f>
        <v>192.24046041512332</v>
      </c>
      <c r="L74" s="5">
        <f t="shared" si="14"/>
        <v>186.2816131236948</v>
      </c>
      <c r="M74" s="5">
        <f t="shared" si="15"/>
        <v>5.9588472914285342</v>
      </c>
      <c r="N74" s="5">
        <f t="shared" si="16"/>
        <v>1135.4590060471444</v>
      </c>
      <c r="O74" s="5">
        <f t="shared" ref="O74:O80" si="21">SUM(D74,H74,L74)</f>
        <v>346.54966834911767</v>
      </c>
      <c r="P74" s="85">
        <f t="shared" ref="P74:P80" si="22">SUM(E74,I74,M74)</f>
        <v>9.1646435259587591</v>
      </c>
      <c r="Q74" s="5">
        <f t="shared" si="17"/>
        <v>3153.233029116846</v>
      </c>
      <c r="R74" s="5">
        <f t="shared" ref="R74:R80" si="23">SUM(F74,J74,N74)</f>
        <v>2106.6484453618009</v>
      </c>
    </row>
    <row r="75" spans="1:18" x14ac:dyDescent="0.25">
      <c r="A75">
        <v>67</v>
      </c>
      <c r="B75" s="4">
        <f t="shared" ref="B75:B80" si="24">EOMONTH(B74,0)+1</f>
        <v>47209</v>
      </c>
      <c r="C75" s="5">
        <f t="shared" si="18"/>
        <v>88.630845922746488</v>
      </c>
      <c r="D75" s="5">
        <f t="shared" ref="D75:D80" si="25">C75-E75</f>
        <v>87.138951048416175</v>
      </c>
      <c r="E75" s="5">
        <f t="shared" ref="E75:E80" si="26">$C$4*F74</f>
        <v>1.4918948743303078</v>
      </c>
      <c r="F75" s="5">
        <f t="shared" ref="F75:F80" si="27">F74-D75</f>
        <v>439.41218106816302</v>
      </c>
      <c r="G75" s="5">
        <f t="shared" si="19"/>
        <v>74.843005537206622</v>
      </c>
      <c r="H75" s="5">
        <f t="shared" ref="H75:H80" si="28">G75-I75</f>
        <v>73.583197000145404</v>
      </c>
      <c r="I75" s="5">
        <f t="shared" ref="I75:I80" si="29">$D$4*J74</f>
        <v>1.2598085370612195</v>
      </c>
      <c r="J75" s="5">
        <f t="shared" ref="J75:J80" si="30">J74-H75</f>
        <v>371.05511019793204</v>
      </c>
      <c r="K75" s="5">
        <f t="shared" si="20"/>
        <v>192.24046041512332</v>
      </c>
      <c r="L75" s="5">
        <f t="shared" ref="L75:L80" si="31">K75-M75</f>
        <v>187.12143272952744</v>
      </c>
      <c r="M75" s="5">
        <f t="shared" ref="M75:M80" si="32">$E$4*N74</f>
        <v>5.1190276855958761</v>
      </c>
      <c r="N75" s="5">
        <f t="shared" ref="N75:N80" si="33">N74-L75</f>
        <v>948.33757331761694</v>
      </c>
      <c r="O75" s="5">
        <f t="shared" si="21"/>
        <v>347.84358077808901</v>
      </c>
      <c r="P75" s="85">
        <f t="shared" si="22"/>
        <v>7.8707310969874031</v>
      </c>
      <c r="Q75" s="5">
        <f t="shared" ref="Q75:Q80" si="34">P75+Q74</f>
        <v>3161.1037602138335</v>
      </c>
      <c r="R75" s="5">
        <f t="shared" si="23"/>
        <v>1758.8048645837121</v>
      </c>
    </row>
    <row r="76" spans="1:18" x14ac:dyDescent="0.25">
      <c r="A76">
        <v>68</v>
      </c>
      <c r="B76" s="4">
        <f t="shared" si="24"/>
        <v>47239</v>
      </c>
      <c r="C76" s="5">
        <f t="shared" si="18"/>
        <v>88.630845922746488</v>
      </c>
      <c r="D76" s="5">
        <f t="shared" si="25"/>
        <v>87.385844743053354</v>
      </c>
      <c r="E76" s="5">
        <f t="shared" si="26"/>
        <v>1.2450011796931286</v>
      </c>
      <c r="F76" s="5">
        <f t="shared" si="27"/>
        <v>352.0263363251097</v>
      </c>
      <c r="G76" s="5">
        <f t="shared" si="19"/>
        <v>74.843005537206622</v>
      </c>
      <c r="H76" s="5">
        <f t="shared" si="28"/>
        <v>73.791682724979154</v>
      </c>
      <c r="I76" s="5">
        <f t="shared" si="29"/>
        <v>1.0513228122274743</v>
      </c>
      <c r="J76" s="5">
        <f t="shared" si="30"/>
        <v>297.26342747295291</v>
      </c>
      <c r="K76" s="5">
        <f t="shared" si="20"/>
        <v>192.24046041512332</v>
      </c>
      <c r="L76" s="5">
        <f t="shared" si="31"/>
        <v>187.96503852208306</v>
      </c>
      <c r="M76" s="5">
        <f t="shared" si="32"/>
        <v>4.2754218930402565</v>
      </c>
      <c r="N76" s="5">
        <f t="shared" si="33"/>
        <v>760.37253479553385</v>
      </c>
      <c r="O76" s="5">
        <f t="shared" si="21"/>
        <v>349.1425659901156</v>
      </c>
      <c r="P76" s="85">
        <f t="shared" si="22"/>
        <v>6.5717458849608592</v>
      </c>
      <c r="Q76" s="5">
        <f t="shared" si="34"/>
        <v>3167.6755060987944</v>
      </c>
      <c r="R76" s="5">
        <f t="shared" si="23"/>
        <v>1409.6622985935965</v>
      </c>
    </row>
    <row r="77" spans="1:18" x14ac:dyDescent="0.25">
      <c r="A77">
        <v>69</v>
      </c>
      <c r="B77" s="4">
        <f t="shared" si="24"/>
        <v>47270</v>
      </c>
      <c r="C77" s="5">
        <f t="shared" si="18"/>
        <v>88.630845922746488</v>
      </c>
      <c r="D77" s="5">
        <f t="shared" si="25"/>
        <v>87.633437969825337</v>
      </c>
      <c r="E77" s="5">
        <f t="shared" si="26"/>
        <v>0.99740795292114426</v>
      </c>
      <c r="F77" s="5">
        <f t="shared" si="27"/>
        <v>264.39289835528439</v>
      </c>
      <c r="G77" s="5">
        <f t="shared" si="19"/>
        <v>74.843005537206622</v>
      </c>
      <c r="H77" s="5">
        <f t="shared" si="28"/>
        <v>74.000759159366595</v>
      </c>
      <c r="I77" s="5">
        <f t="shared" si="29"/>
        <v>0.84224637784003331</v>
      </c>
      <c r="J77" s="5">
        <f t="shared" si="30"/>
        <v>223.26266831358632</v>
      </c>
      <c r="K77" s="5">
        <f t="shared" si="20"/>
        <v>192.24046041512332</v>
      </c>
      <c r="L77" s="5">
        <f t="shared" si="31"/>
        <v>188.81244757075345</v>
      </c>
      <c r="M77" s="5">
        <f t="shared" si="32"/>
        <v>3.4280128443698654</v>
      </c>
      <c r="N77" s="5">
        <f t="shared" si="33"/>
        <v>571.56008722478043</v>
      </c>
      <c r="O77" s="5">
        <f t="shared" si="21"/>
        <v>350.44664469994541</v>
      </c>
      <c r="P77" s="85">
        <f t="shared" si="22"/>
        <v>5.2676671751310433</v>
      </c>
      <c r="Q77" s="5">
        <f t="shared" si="34"/>
        <v>3172.9431732739254</v>
      </c>
      <c r="R77" s="5">
        <f t="shared" si="23"/>
        <v>1059.2156538936511</v>
      </c>
    </row>
    <row r="78" spans="1:18" x14ac:dyDescent="0.25">
      <c r="A78">
        <v>70</v>
      </c>
      <c r="B78" s="4">
        <f t="shared" si="24"/>
        <v>47300</v>
      </c>
      <c r="C78" s="5">
        <f t="shared" si="18"/>
        <v>88.630845922746488</v>
      </c>
      <c r="D78" s="5">
        <f t="shared" si="25"/>
        <v>87.881732710739854</v>
      </c>
      <c r="E78" s="5">
        <f t="shared" si="26"/>
        <v>0.74911321200663916</v>
      </c>
      <c r="F78" s="5">
        <f t="shared" si="27"/>
        <v>176.51116564454452</v>
      </c>
      <c r="G78" s="5">
        <f t="shared" si="19"/>
        <v>74.843005537206622</v>
      </c>
      <c r="H78" s="5">
        <f t="shared" si="28"/>
        <v>74.210427976984789</v>
      </c>
      <c r="I78" s="5">
        <f t="shared" si="29"/>
        <v>0.63257756022182798</v>
      </c>
      <c r="J78" s="5">
        <f t="shared" si="30"/>
        <v>149.05224033660153</v>
      </c>
      <c r="K78" s="5">
        <f t="shared" si="20"/>
        <v>192.24046041512332</v>
      </c>
      <c r="L78" s="5">
        <f t="shared" si="31"/>
        <v>189.66367702188495</v>
      </c>
      <c r="M78" s="5">
        <f t="shared" si="32"/>
        <v>2.5767833932383852</v>
      </c>
      <c r="N78" s="5">
        <f t="shared" si="33"/>
        <v>381.89641020289548</v>
      </c>
      <c r="O78" s="5">
        <f t="shared" si="21"/>
        <v>351.75583770960958</v>
      </c>
      <c r="P78" s="85">
        <f t="shared" si="22"/>
        <v>3.9584741654668525</v>
      </c>
      <c r="Q78" s="5">
        <f t="shared" si="34"/>
        <v>3176.901647439392</v>
      </c>
      <c r="R78" s="5">
        <f t="shared" si="23"/>
        <v>707.45981618404153</v>
      </c>
    </row>
    <row r="79" spans="1:18" x14ac:dyDescent="0.25">
      <c r="A79">
        <v>71</v>
      </c>
      <c r="B79" s="4">
        <f t="shared" si="24"/>
        <v>47331</v>
      </c>
      <c r="C79" s="5">
        <f t="shared" si="18"/>
        <v>88.630845922746488</v>
      </c>
      <c r="D79" s="5">
        <f t="shared" si="25"/>
        <v>88.130730953420283</v>
      </c>
      <c r="E79" s="5">
        <f t="shared" si="26"/>
        <v>0.50011496932620947</v>
      </c>
      <c r="F79" s="5">
        <f t="shared" si="27"/>
        <v>88.380434691124236</v>
      </c>
      <c r="G79" s="5">
        <f t="shared" si="19"/>
        <v>74.843005537206622</v>
      </c>
      <c r="H79" s="5">
        <f t="shared" si="28"/>
        <v>74.420690856252918</v>
      </c>
      <c r="I79" s="5">
        <f t="shared" si="29"/>
        <v>0.42231468095370434</v>
      </c>
      <c r="J79" s="5">
        <f t="shared" si="30"/>
        <v>74.63154948034861</v>
      </c>
      <c r="K79" s="5">
        <f t="shared" si="20"/>
        <v>192.24046041512332</v>
      </c>
      <c r="L79" s="5">
        <f t="shared" si="31"/>
        <v>190.51874409912526</v>
      </c>
      <c r="M79" s="5">
        <f t="shared" si="32"/>
        <v>1.721716315998054</v>
      </c>
      <c r="N79" s="5">
        <f t="shared" si="33"/>
        <v>191.37766610377022</v>
      </c>
      <c r="O79" s="5">
        <f t="shared" si="21"/>
        <v>353.07016590879846</v>
      </c>
      <c r="P79" s="85">
        <f t="shared" si="22"/>
        <v>2.6441459662779678</v>
      </c>
      <c r="Q79" s="5">
        <f t="shared" si="34"/>
        <v>3179.5457934056699</v>
      </c>
      <c r="R79" s="5">
        <f t="shared" si="23"/>
        <v>354.38965027524307</v>
      </c>
    </row>
    <row r="80" spans="1:18" x14ac:dyDescent="0.25">
      <c r="A80">
        <v>72</v>
      </c>
      <c r="B80" s="4">
        <f t="shared" si="24"/>
        <v>47362</v>
      </c>
      <c r="C80" s="5">
        <f t="shared" si="18"/>
        <v>88.630845922746488</v>
      </c>
      <c r="D80" s="5">
        <f t="shared" si="25"/>
        <v>88.380434691121636</v>
      </c>
      <c r="E80" s="5">
        <f t="shared" si="26"/>
        <v>0.25041123162485202</v>
      </c>
      <c r="F80" s="5">
        <f t="shared" si="27"/>
        <v>2.6005864128819667E-12</v>
      </c>
      <c r="G80" s="5">
        <f t="shared" si="19"/>
        <v>74.843005537206622</v>
      </c>
      <c r="H80" s="5">
        <f t="shared" si="28"/>
        <v>74.63154948034564</v>
      </c>
      <c r="I80" s="5">
        <f t="shared" si="29"/>
        <v>0.21145605686098776</v>
      </c>
      <c r="J80" s="5">
        <f t="shared" si="30"/>
        <v>2.9700686354772188E-12</v>
      </c>
      <c r="K80" s="5">
        <f t="shared" si="20"/>
        <v>192.24046041512332</v>
      </c>
      <c r="L80" s="5">
        <f t="shared" si="31"/>
        <v>191.37766610377216</v>
      </c>
      <c r="M80" s="5">
        <f t="shared" si="32"/>
        <v>0.86279431135116413</v>
      </c>
      <c r="N80" s="5">
        <f t="shared" si="33"/>
        <v>-1.9326762412674725E-12</v>
      </c>
      <c r="O80" s="5">
        <f t="shared" si="21"/>
        <v>354.38965027523943</v>
      </c>
      <c r="P80" s="85">
        <f t="shared" si="22"/>
        <v>1.3246615998370039</v>
      </c>
      <c r="Q80" s="5">
        <f t="shared" si="34"/>
        <v>3180.8704550055068</v>
      </c>
      <c r="R80" s="5">
        <f t="shared" si="23"/>
        <v>3.637978807091713E-12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C3FBB-1DC7-4FB8-AA29-014E13D62B91}">
  <sheetPr>
    <tabColor theme="4"/>
  </sheetPr>
  <dimension ref="A2:D29"/>
  <sheetViews>
    <sheetView workbookViewId="0">
      <selection activeCell="F8" sqref="F8"/>
    </sheetView>
  </sheetViews>
  <sheetFormatPr defaultRowHeight="15" x14ac:dyDescent="0.25"/>
  <cols>
    <col min="1" max="1" width="10.7109375" bestFit="1" customWidth="1"/>
    <col min="3" max="3" width="10.5703125" bestFit="1" customWidth="1"/>
    <col min="4" max="4" width="9.140625" style="104"/>
  </cols>
  <sheetData>
    <row r="2" spans="1:4" x14ac:dyDescent="0.25">
      <c r="B2">
        <v>5535.28</v>
      </c>
    </row>
    <row r="3" spans="1:4" x14ac:dyDescent="0.25">
      <c r="A3" s="4">
        <v>45090</v>
      </c>
      <c r="B3" s="91"/>
      <c r="C3" s="91"/>
    </row>
    <row r="4" spans="1:4" x14ac:dyDescent="0.25">
      <c r="A4" s="4">
        <f>EOMONTH(A3,0)+10</f>
        <v>45117</v>
      </c>
      <c r="B4" s="91">
        <f>$B$2/20</f>
        <v>276.76400000000001</v>
      </c>
      <c r="C4" s="91">
        <f>B2-B4</f>
        <v>5258.5159999999996</v>
      </c>
      <c r="D4" s="104">
        <v>1</v>
      </c>
    </row>
    <row r="5" spans="1:4" x14ac:dyDescent="0.25">
      <c r="A5" s="4">
        <f t="shared" ref="A5:A27" si="0">EOMONTH(A4,0)+10</f>
        <v>45148</v>
      </c>
      <c r="B5" s="91">
        <f t="shared" ref="B5:B28" si="1">$B$2/20</f>
        <v>276.76400000000001</v>
      </c>
      <c r="C5" s="91">
        <f t="shared" ref="C5:C28" si="2">C4-B5</f>
        <v>4981.7519999999995</v>
      </c>
      <c r="D5" s="104">
        <v>1</v>
      </c>
    </row>
    <row r="6" spans="1:4" x14ac:dyDescent="0.25">
      <c r="A6" s="4">
        <f t="shared" si="0"/>
        <v>45179</v>
      </c>
      <c r="B6" s="91">
        <f t="shared" si="1"/>
        <v>276.76400000000001</v>
      </c>
      <c r="C6" s="91">
        <f t="shared" si="2"/>
        <v>4704.9879999999994</v>
      </c>
      <c r="D6" s="104">
        <v>1</v>
      </c>
    </row>
    <row r="7" spans="1:4" x14ac:dyDescent="0.25">
      <c r="A7" s="4">
        <f t="shared" si="0"/>
        <v>45209</v>
      </c>
      <c r="B7" s="91">
        <f t="shared" si="1"/>
        <v>276.76400000000001</v>
      </c>
      <c r="C7" s="91">
        <f t="shared" si="2"/>
        <v>4428.2239999999993</v>
      </c>
      <c r="D7" s="104">
        <v>1</v>
      </c>
    </row>
    <row r="8" spans="1:4" x14ac:dyDescent="0.25">
      <c r="A8" s="4">
        <f t="shared" si="0"/>
        <v>45240</v>
      </c>
      <c r="B8" s="91">
        <f t="shared" si="1"/>
        <v>276.76400000000001</v>
      </c>
      <c r="C8" s="91">
        <f t="shared" si="2"/>
        <v>4151.4599999999991</v>
      </c>
      <c r="D8" s="104">
        <v>1</v>
      </c>
    </row>
    <row r="9" spans="1:4" x14ac:dyDescent="0.25">
      <c r="A9" s="4">
        <f t="shared" si="0"/>
        <v>45270</v>
      </c>
      <c r="B9" s="91">
        <f t="shared" si="1"/>
        <v>276.76400000000001</v>
      </c>
      <c r="C9" s="91">
        <f t="shared" si="2"/>
        <v>3874.695999999999</v>
      </c>
      <c r="D9" s="104">
        <v>1</v>
      </c>
    </row>
    <row r="10" spans="1:4" x14ac:dyDescent="0.25">
      <c r="A10" s="4">
        <f t="shared" si="0"/>
        <v>45301</v>
      </c>
      <c r="B10" s="91">
        <f t="shared" si="1"/>
        <v>276.76400000000001</v>
      </c>
      <c r="C10" s="91">
        <f t="shared" si="2"/>
        <v>3597.9319999999989</v>
      </c>
      <c r="D10" s="104">
        <v>1</v>
      </c>
    </row>
    <row r="11" spans="1:4" x14ac:dyDescent="0.25">
      <c r="A11" s="4">
        <f t="shared" si="0"/>
        <v>45332</v>
      </c>
      <c r="B11" s="91">
        <f t="shared" si="1"/>
        <v>276.76400000000001</v>
      </c>
      <c r="C11" s="91">
        <f t="shared" si="2"/>
        <v>3321.1679999999988</v>
      </c>
      <c r="D11" s="104">
        <v>1</v>
      </c>
    </row>
    <row r="12" spans="1:4" x14ac:dyDescent="0.25">
      <c r="A12" s="4">
        <f t="shared" si="0"/>
        <v>45361</v>
      </c>
      <c r="B12" s="91">
        <f t="shared" si="1"/>
        <v>276.76400000000001</v>
      </c>
      <c r="C12" s="91">
        <f t="shared" si="2"/>
        <v>3044.4039999999986</v>
      </c>
      <c r="D12" s="104">
        <v>1</v>
      </c>
    </row>
    <row r="13" spans="1:4" x14ac:dyDescent="0.25">
      <c r="A13" s="4">
        <f t="shared" si="0"/>
        <v>45392</v>
      </c>
      <c r="B13" s="91">
        <f t="shared" si="1"/>
        <v>276.76400000000001</v>
      </c>
      <c r="C13" s="91">
        <f t="shared" si="2"/>
        <v>2767.6399999999985</v>
      </c>
    </row>
    <row r="14" spans="1:4" x14ac:dyDescent="0.25">
      <c r="A14" s="4">
        <f t="shared" si="0"/>
        <v>45422</v>
      </c>
      <c r="B14" s="91">
        <f t="shared" si="1"/>
        <v>276.76400000000001</v>
      </c>
      <c r="C14" s="91">
        <f t="shared" si="2"/>
        <v>2490.8759999999984</v>
      </c>
    </row>
    <row r="15" spans="1:4" x14ac:dyDescent="0.25">
      <c r="A15" s="4">
        <f t="shared" si="0"/>
        <v>45453</v>
      </c>
      <c r="B15" s="91">
        <f t="shared" si="1"/>
        <v>276.76400000000001</v>
      </c>
      <c r="C15" s="91">
        <f t="shared" si="2"/>
        <v>2214.1119999999983</v>
      </c>
    </row>
    <row r="16" spans="1:4" x14ac:dyDescent="0.25">
      <c r="A16" s="4">
        <f t="shared" si="0"/>
        <v>45483</v>
      </c>
      <c r="B16" s="91">
        <f t="shared" si="1"/>
        <v>276.76400000000001</v>
      </c>
      <c r="C16" s="91">
        <f t="shared" si="2"/>
        <v>1937.3479999999981</v>
      </c>
    </row>
    <row r="17" spans="1:3" x14ac:dyDescent="0.25">
      <c r="A17" s="4">
        <f t="shared" si="0"/>
        <v>45514</v>
      </c>
      <c r="B17" s="91">
        <f t="shared" si="1"/>
        <v>276.76400000000001</v>
      </c>
      <c r="C17" s="91">
        <f t="shared" si="2"/>
        <v>1660.583999999998</v>
      </c>
    </row>
    <row r="18" spans="1:3" x14ac:dyDescent="0.25">
      <c r="A18" s="4">
        <f t="shared" si="0"/>
        <v>45545</v>
      </c>
      <c r="B18" s="91">
        <f t="shared" si="1"/>
        <v>276.76400000000001</v>
      </c>
      <c r="C18" s="91">
        <f t="shared" si="2"/>
        <v>1383.8199999999979</v>
      </c>
    </row>
    <row r="19" spans="1:3" x14ac:dyDescent="0.25">
      <c r="A19" s="4">
        <f t="shared" si="0"/>
        <v>45575</v>
      </c>
      <c r="B19" s="91">
        <f t="shared" si="1"/>
        <v>276.76400000000001</v>
      </c>
      <c r="C19" s="91">
        <f t="shared" si="2"/>
        <v>1107.0559999999978</v>
      </c>
    </row>
    <row r="20" spans="1:3" x14ac:dyDescent="0.25">
      <c r="A20" s="4">
        <f t="shared" si="0"/>
        <v>45606</v>
      </c>
      <c r="B20" s="91">
        <f t="shared" si="1"/>
        <v>276.76400000000001</v>
      </c>
      <c r="C20" s="91">
        <f t="shared" si="2"/>
        <v>830.29199999999776</v>
      </c>
    </row>
    <row r="21" spans="1:3" x14ac:dyDescent="0.25">
      <c r="A21" s="4">
        <f t="shared" si="0"/>
        <v>45636</v>
      </c>
      <c r="B21" s="91">
        <f t="shared" si="1"/>
        <v>276.76400000000001</v>
      </c>
      <c r="C21" s="91">
        <f t="shared" si="2"/>
        <v>553.52799999999775</v>
      </c>
    </row>
    <row r="22" spans="1:3" x14ac:dyDescent="0.25">
      <c r="A22" s="4">
        <f t="shared" si="0"/>
        <v>45667</v>
      </c>
      <c r="B22" s="91">
        <f t="shared" si="1"/>
        <v>276.76400000000001</v>
      </c>
      <c r="C22" s="91">
        <f t="shared" si="2"/>
        <v>276.76399999999774</v>
      </c>
    </row>
    <row r="23" spans="1:3" x14ac:dyDescent="0.25">
      <c r="A23" s="4">
        <f t="shared" si="0"/>
        <v>45698</v>
      </c>
      <c r="B23" s="91">
        <f t="shared" si="1"/>
        <v>276.76400000000001</v>
      </c>
      <c r="C23" s="91">
        <f t="shared" si="2"/>
        <v>-2.2737367544323206E-12</v>
      </c>
    </row>
    <row r="24" spans="1:3" x14ac:dyDescent="0.25">
      <c r="A24" s="4">
        <f t="shared" si="0"/>
        <v>45726</v>
      </c>
      <c r="B24" s="91">
        <f t="shared" si="1"/>
        <v>276.76400000000001</v>
      </c>
      <c r="C24" s="91">
        <f t="shared" si="2"/>
        <v>-276.76400000000228</v>
      </c>
    </row>
    <row r="25" spans="1:3" x14ac:dyDescent="0.25">
      <c r="A25" s="4">
        <f t="shared" si="0"/>
        <v>45757</v>
      </c>
      <c r="B25" s="91">
        <f t="shared" si="1"/>
        <v>276.76400000000001</v>
      </c>
      <c r="C25" s="91">
        <f t="shared" si="2"/>
        <v>-553.52800000000229</v>
      </c>
    </row>
    <row r="26" spans="1:3" x14ac:dyDescent="0.25">
      <c r="A26" s="4">
        <f t="shared" si="0"/>
        <v>45787</v>
      </c>
      <c r="B26" s="91">
        <f t="shared" si="1"/>
        <v>276.76400000000001</v>
      </c>
      <c r="C26" s="91">
        <f t="shared" si="2"/>
        <v>-830.2920000000023</v>
      </c>
    </row>
    <row r="27" spans="1:3" x14ac:dyDescent="0.25">
      <c r="A27" s="4">
        <f t="shared" si="0"/>
        <v>45818</v>
      </c>
      <c r="B27" s="91">
        <f t="shared" si="1"/>
        <v>276.76400000000001</v>
      </c>
      <c r="C27" s="91">
        <f t="shared" si="2"/>
        <v>-1107.0560000000023</v>
      </c>
    </row>
    <row r="28" spans="1:3" x14ac:dyDescent="0.25">
      <c r="A28" s="4">
        <f>EOMONTH(A27,0)+10</f>
        <v>45848</v>
      </c>
      <c r="B28" s="91">
        <f t="shared" si="1"/>
        <v>276.76400000000001</v>
      </c>
      <c r="C28" s="91">
        <f t="shared" si="2"/>
        <v>-1383.8200000000024</v>
      </c>
    </row>
    <row r="29" spans="1:3" x14ac:dyDescent="0.25">
      <c r="B29" s="91"/>
      <c r="C29" s="91"/>
    </row>
  </sheetData>
  <conditionalFormatting sqref="D4:D28">
    <cfRule type="iconSet" priority="1">
      <iconSet iconSet="3Symbols2" showValue="0">
        <cfvo type="percent" val="0"/>
        <cfvo type="num" val="0" gte="0"/>
        <cfvo type="num" val="1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D8DA-BD4A-4F52-9B6E-4A14DEE43F64}">
  <sheetPr>
    <tabColor theme="2" tint="-0.249977111117893"/>
  </sheetPr>
  <dimension ref="A1:N233"/>
  <sheetViews>
    <sheetView topLeftCell="C207" workbookViewId="0">
      <selection activeCell="F232" sqref="F232"/>
    </sheetView>
  </sheetViews>
  <sheetFormatPr defaultRowHeight="15" x14ac:dyDescent="0.25"/>
  <cols>
    <col min="1" max="1" width="12.42578125" style="47" customWidth="1"/>
    <col min="2" max="3" width="12.42578125" style="28" customWidth="1"/>
    <col min="4" max="4" width="11.140625" bestFit="1" customWidth="1"/>
    <col min="5" max="6" width="11.140625" customWidth="1"/>
    <col min="7" max="7" width="124.5703125" bestFit="1" customWidth="1"/>
    <col min="8" max="8" width="24.85546875" bestFit="1" customWidth="1"/>
  </cols>
  <sheetData>
    <row r="1" spans="1:14" ht="15.75" thickBot="1" x14ac:dyDescent="0.3">
      <c r="A1" s="46" t="s">
        <v>685</v>
      </c>
      <c r="B1" t="s">
        <v>89</v>
      </c>
      <c r="C1" s="28" t="s">
        <v>91</v>
      </c>
      <c r="D1" s="28" t="s">
        <v>370</v>
      </c>
      <c r="E1" s="28" t="s">
        <v>851</v>
      </c>
      <c r="F1" s="28" t="s">
        <v>874</v>
      </c>
      <c r="G1" t="s">
        <v>0</v>
      </c>
      <c r="H1" s="9" t="s">
        <v>872</v>
      </c>
      <c r="I1" s="10" t="s">
        <v>873</v>
      </c>
      <c r="N1" t="str" cm="1">
        <f t="array" ref="N1:N13">_xlfn.UNIQUE('Discover Data'!J2:J361)</f>
        <v>Balance</v>
      </c>
    </row>
    <row r="2" spans="1:14" ht="15.75" thickTop="1" x14ac:dyDescent="0.25">
      <c r="A2" s="47">
        <f>MONTH(wf_table[[#This Row],[Trans Date]])</f>
        <v>1</v>
      </c>
      <c r="B2" s="4">
        <v>44927</v>
      </c>
      <c r="C2" s="44">
        <f>D3-C3</f>
        <v>406.52</v>
      </c>
      <c r="D2" s="28"/>
      <c r="E2" s="28" t="str">
        <f>IF(wf_table[[#This Row],[Debit_Amount]]&lt;0,"debit","-")</f>
        <v>-</v>
      </c>
      <c r="F2" s="28"/>
      <c r="G2" t="s">
        <v>8</v>
      </c>
      <c r="H2" s="43"/>
      <c r="I2" s="45"/>
      <c r="N2" t="str">
        <v>Recreation_Entertainment</v>
      </c>
    </row>
    <row r="3" spans="1:14" x14ac:dyDescent="0.25">
      <c r="A3" s="47">
        <f>MONTH(wf_table[[#This Row],[Trans Date]])</f>
        <v>1</v>
      </c>
      <c r="B3" s="4">
        <v>44929</v>
      </c>
      <c r="C3">
        <v>-80</v>
      </c>
      <c r="D3" s="28">
        <v>326.52</v>
      </c>
      <c r="E3" s="28" t="str">
        <f>IF(wf_table[[#This Row],[Debit_Amount]]&lt;0,"debit","-")</f>
        <v>debit</v>
      </c>
      <c r="F3" s="28"/>
      <c r="G3" t="s">
        <v>375</v>
      </c>
      <c r="I3" s="1"/>
      <c r="N3" t="str">
        <v>Food</v>
      </c>
    </row>
    <row r="4" spans="1:14" x14ac:dyDescent="0.25">
      <c r="A4" s="47">
        <f>MONTH(wf_table[[#This Row],[Trans Date]])</f>
        <v>1</v>
      </c>
      <c r="B4" s="4">
        <v>44936</v>
      </c>
      <c r="C4">
        <v>-200</v>
      </c>
      <c r="D4" s="28">
        <f>D3+wf_table[[#This Row],[Debit_Amount]]</f>
        <v>126.51999999999998</v>
      </c>
      <c r="E4" s="28" t="str">
        <f>IF(wf_table[[#This Row],[Debit_Amount]]&lt;0,"debit","-")</f>
        <v>debit</v>
      </c>
      <c r="F4" s="28"/>
      <c r="G4" t="s">
        <v>376</v>
      </c>
      <c r="I4" s="1"/>
      <c r="N4" t="str">
        <v>Personal_Spending</v>
      </c>
    </row>
    <row r="5" spans="1:14" x14ac:dyDescent="0.25">
      <c r="A5" s="47">
        <f>MONTH(wf_table[[#This Row],[Trans Date]])</f>
        <v>1</v>
      </c>
      <c r="B5" s="4">
        <v>44936</v>
      </c>
      <c r="C5">
        <v>-50</v>
      </c>
      <c r="D5" s="28">
        <f>D4+wf_table[[#This Row],[Debit_Amount]]</f>
        <v>76.519999999999982</v>
      </c>
      <c r="E5" s="28" t="str">
        <f>IF(wf_table[[#This Row],[Debit_Amount]]&lt;0,"debit","-")</f>
        <v>debit</v>
      </c>
      <c r="F5" s="28"/>
      <c r="G5" t="s">
        <v>377</v>
      </c>
      <c r="I5" s="1"/>
      <c r="N5" t="str">
        <v>Medical</v>
      </c>
    </row>
    <row r="6" spans="1:14" x14ac:dyDescent="0.25">
      <c r="A6" s="47">
        <f>MONTH(wf_table[[#This Row],[Trans Date]])</f>
        <v>1</v>
      </c>
      <c r="B6" s="4">
        <v>44937</v>
      </c>
      <c r="C6">
        <v>-182</v>
      </c>
      <c r="D6" s="28">
        <f>D5+wf_table[[#This Row],[Debit_Amount]]</f>
        <v>-105.48000000000002</v>
      </c>
      <c r="E6" s="28" t="str">
        <f>IF(wf_table[[#This Row],[Debit_Amount]]&lt;0,"debit","-")</f>
        <v>debit</v>
      </c>
      <c r="F6" s="28"/>
      <c r="G6" t="s">
        <v>378</v>
      </c>
      <c r="I6" s="1"/>
      <c r="N6" t="str">
        <v>Payment_and_Interest</v>
      </c>
    </row>
    <row r="7" spans="1:14" x14ac:dyDescent="0.25">
      <c r="A7" s="47">
        <f>MONTH(wf_table[[#This Row],[Trans Date]])</f>
        <v>1</v>
      </c>
      <c r="B7" s="4">
        <v>44937</v>
      </c>
      <c r="C7">
        <v>-24.14</v>
      </c>
      <c r="D7" s="28">
        <f>D6+wf_table[[#This Row],[Debit_Amount]]</f>
        <v>-129.62</v>
      </c>
      <c r="E7" s="28" t="str">
        <f>IF(wf_table[[#This Row],[Debit_Amount]]&lt;0,"debit","-")</f>
        <v>debit</v>
      </c>
      <c r="F7" s="28"/>
      <c r="G7" t="s">
        <v>379</v>
      </c>
      <c r="I7" s="1"/>
      <c r="N7" t="str">
        <v>Transportation</v>
      </c>
    </row>
    <row r="8" spans="1:14" x14ac:dyDescent="0.25">
      <c r="A8" s="47">
        <f>MONTH(wf_table[[#This Row],[Trans Date]])</f>
        <v>1</v>
      </c>
      <c r="B8" s="4">
        <v>44938</v>
      </c>
      <c r="C8">
        <v>541.16</v>
      </c>
      <c r="D8" s="28">
        <f>D7+wf_table[[#This Row],[Debit_Amount]]</f>
        <v>411.53999999999996</v>
      </c>
      <c r="E8" s="28" t="str">
        <f>IF(wf_table[[#This Row],[Debit_Amount]]&lt;0,"debit","-")</f>
        <v>-</v>
      </c>
      <c r="F8" s="28" t="s">
        <v>885</v>
      </c>
      <c r="G8" t="s">
        <v>380</v>
      </c>
      <c r="I8" s="1"/>
      <c r="N8" t="str">
        <v>Misc</v>
      </c>
    </row>
    <row r="9" spans="1:14" x14ac:dyDescent="0.25">
      <c r="A9" s="47">
        <f>MONTH(wf_table[[#This Row],[Trans Date]])</f>
        <v>1</v>
      </c>
      <c r="B9" s="4">
        <v>44939</v>
      </c>
      <c r="C9">
        <v>-200</v>
      </c>
      <c r="D9" s="28">
        <f>D8+wf_table[[#This Row],[Debit_Amount]]</f>
        <v>211.53999999999996</v>
      </c>
      <c r="E9" s="28" t="str">
        <f>IF(wf_table[[#This Row],[Debit_Amount]]&lt;0,"debit","-")</f>
        <v>debit</v>
      </c>
      <c r="F9" s="28"/>
      <c r="G9" t="s">
        <v>381</v>
      </c>
      <c r="I9" s="1"/>
      <c r="N9" t="str">
        <v>Insurance</v>
      </c>
    </row>
    <row r="10" spans="1:14" x14ac:dyDescent="0.25">
      <c r="A10" s="47">
        <f>MONTH(wf_table[[#This Row],[Trans Date]])</f>
        <v>1</v>
      </c>
      <c r="B10" s="4">
        <v>44939</v>
      </c>
      <c r="C10">
        <v>-500</v>
      </c>
      <c r="D10" s="28">
        <f>D9+wf_table[[#This Row],[Debit_Amount]]</f>
        <v>-288.46000000000004</v>
      </c>
      <c r="E10" s="28" t="str">
        <f>IF(wf_table[[#This Row],[Debit_Amount]]&lt;0,"debit","-")</f>
        <v>debit</v>
      </c>
      <c r="F10" s="28"/>
      <c r="G10" t="s">
        <v>382</v>
      </c>
      <c r="I10" s="1"/>
      <c r="N10" t="str">
        <v>Utilities</v>
      </c>
    </row>
    <row r="11" spans="1:14" x14ac:dyDescent="0.25">
      <c r="A11" s="47">
        <f>MONTH(wf_table[[#This Row],[Trans Date]])</f>
        <v>1</v>
      </c>
      <c r="B11" s="4">
        <v>44939</v>
      </c>
      <c r="C11">
        <v>400</v>
      </c>
      <c r="D11" s="28">
        <f>D10+wf_table[[#This Row],[Debit_Amount]]</f>
        <v>111.53999999999996</v>
      </c>
      <c r="E11" s="28" t="str">
        <f>IF(wf_table[[#This Row],[Debit_Amount]]&lt;0,"debit","-")</f>
        <v>-</v>
      </c>
      <c r="F11" s="28"/>
      <c r="G11" t="s">
        <v>383</v>
      </c>
      <c r="I11" s="1"/>
      <c r="N11" t="str">
        <v>Housing</v>
      </c>
    </row>
    <row r="12" spans="1:14" x14ac:dyDescent="0.25">
      <c r="A12" s="47">
        <f>MONTH(wf_table[[#This Row],[Trans Date]])</f>
        <v>1</v>
      </c>
      <c r="B12" s="4">
        <v>44939</v>
      </c>
      <c r="C12">
        <v>106</v>
      </c>
      <c r="D12" s="28">
        <f>D11+wf_table[[#This Row],[Debit_Amount]]</f>
        <v>217.53999999999996</v>
      </c>
      <c r="E12" s="28" t="str">
        <f>IF(wf_table[[#This Row],[Debit_Amount]]&lt;0,"debit","-")</f>
        <v>-</v>
      </c>
      <c r="F12" s="28"/>
      <c r="G12" t="s">
        <v>384</v>
      </c>
      <c r="N12" t="str">
        <v>People</v>
      </c>
    </row>
    <row r="13" spans="1:14" x14ac:dyDescent="0.25">
      <c r="A13" s="47">
        <f>MONTH(wf_table[[#This Row],[Trans Date]])</f>
        <v>1</v>
      </c>
      <c r="B13" s="4">
        <v>44943</v>
      </c>
      <c r="C13">
        <v>-25.48</v>
      </c>
      <c r="D13" s="28">
        <f>D12+wf_table[[#This Row],[Debit_Amount]]</f>
        <v>192.05999999999997</v>
      </c>
      <c r="E13" s="28" t="str">
        <f>IF(wf_table[[#This Row],[Debit_Amount]]&lt;0,"debit","-")</f>
        <v>debit</v>
      </c>
      <c r="F13" s="28"/>
      <c r="G13" t="s">
        <v>385</v>
      </c>
      <c r="I13" s="11"/>
      <c r="N13" t="str">
        <v>Government</v>
      </c>
    </row>
    <row r="14" spans="1:14" x14ac:dyDescent="0.25">
      <c r="A14" s="47">
        <f>MONTH(wf_table[[#This Row],[Trans Date]])</f>
        <v>1</v>
      </c>
      <c r="B14" s="4">
        <v>44949</v>
      </c>
      <c r="C14">
        <v>-25</v>
      </c>
      <c r="D14" s="28">
        <f>D13+wf_table[[#This Row],[Debit_Amount]]</f>
        <v>167.05999999999997</v>
      </c>
      <c r="E14" s="28" t="str">
        <f>IF(wf_table[[#This Row],[Debit_Amount]]&lt;0,"debit","-")</f>
        <v>debit</v>
      </c>
      <c r="F14" s="28"/>
      <c r="G14" t="s">
        <v>386</v>
      </c>
      <c r="I14" s="1"/>
    </row>
    <row r="15" spans="1:14" x14ac:dyDescent="0.25">
      <c r="A15" s="47">
        <f>MONTH(wf_table[[#This Row],[Trans Date]])</f>
        <v>1</v>
      </c>
      <c r="B15" s="4">
        <v>44949</v>
      </c>
      <c r="C15">
        <v>-65.61</v>
      </c>
      <c r="D15" s="28">
        <f>D14+wf_table[[#This Row],[Debit_Amount]]</f>
        <v>101.44999999999997</v>
      </c>
      <c r="E15" s="28" t="str">
        <f>IF(wf_table[[#This Row],[Debit_Amount]]&lt;0,"debit","-")</f>
        <v>debit</v>
      </c>
      <c r="F15" s="28"/>
      <c r="G15" t="s">
        <v>387</v>
      </c>
      <c r="I15" s="1"/>
    </row>
    <row r="16" spans="1:14" x14ac:dyDescent="0.25">
      <c r="A16" s="47">
        <f>MONTH(wf_table[[#This Row],[Trans Date]])</f>
        <v>1</v>
      </c>
      <c r="B16" s="4">
        <v>44952</v>
      </c>
      <c r="C16">
        <v>-100</v>
      </c>
      <c r="D16" s="28">
        <f>D15+wf_table[[#This Row],[Debit_Amount]]</f>
        <v>1.4499999999999744</v>
      </c>
      <c r="E16" s="28" t="str">
        <f>IF(wf_table[[#This Row],[Debit_Amount]]&lt;0,"debit","-")</f>
        <v>debit</v>
      </c>
      <c r="F16" s="28"/>
      <c r="G16" t="s">
        <v>388</v>
      </c>
      <c r="I16" s="1"/>
    </row>
    <row r="17" spans="1:9" x14ac:dyDescent="0.25">
      <c r="A17" s="47">
        <f>MONTH(wf_table[[#This Row],[Trans Date]])</f>
        <v>1</v>
      </c>
      <c r="B17" s="4">
        <v>44952</v>
      </c>
      <c r="C17">
        <v>477.52</v>
      </c>
      <c r="D17" s="28">
        <f>D16+wf_table[[#This Row],[Debit_Amount]]</f>
        <v>478.96999999999997</v>
      </c>
      <c r="E17" s="28" t="str">
        <f>IF(wf_table[[#This Row],[Debit_Amount]]&lt;0,"debit","-")</f>
        <v>-</v>
      </c>
      <c r="F17" s="28" t="s">
        <v>885</v>
      </c>
      <c r="G17" t="s">
        <v>389</v>
      </c>
      <c r="I17" s="1"/>
    </row>
    <row r="18" spans="1:9" x14ac:dyDescent="0.25">
      <c r="A18" s="47">
        <f>MONTH(wf_table[[#This Row],[Trans Date]])</f>
        <v>1</v>
      </c>
      <c r="B18" s="4">
        <v>44952</v>
      </c>
      <c r="C18">
        <v>75</v>
      </c>
      <c r="D18" s="28">
        <f>D17+wf_table[[#This Row],[Debit_Amount]]</f>
        <v>553.97</v>
      </c>
      <c r="E18" s="28" t="str">
        <f>IF(wf_table[[#This Row],[Debit_Amount]]&lt;0,"debit","-")</f>
        <v>-</v>
      </c>
      <c r="F18" s="28"/>
      <c r="G18" t="s">
        <v>390</v>
      </c>
      <c r="I18" s="1"/>
    </row>
    <row r="19" spans="1:9" x14ac:dyDescent="0.25">
      <c r="A19" s="47">
        <f>MONTH(wf_table[[#This Row],[Trans Date]])</f>
        <v>2</v>
      </c>
      <c r="B19" s="4">
        <v>44958</v>
      </c>
      <c r="C19">
        <v>-158</v>
      </c>
      <c r="D19" s="28">
        <f>D18+wf_table[[#This Row],[Debit_Amount]]</f>
        <v>395.97</v>
      </c>
      <c r="E19" s="28" t="str">
        <f>IF(wf_table[[#This Row],[Debit_Amount]]&lt;0,"debit","-")</f>
        <v>debit</v>
      </c>
      <c r="F19" s="28"/>
      <c r="G19" t="s">
        <v>391</v>
      </c>
      <c r="I19" s="1"/>
    </row>
    <row r="20" spans="1:9" x14ac:dyDescent="0.25">
      <c r="A20" s="47">
        <f>MONTH(wf_table[[#This Row],[Trans Date]])</f>
        <v>2</v>
      </c>
      <c r="B20" s="4">
        <v>44963</v>
      </c>
      <c r="C20">
        <v>-53.01</v>
      </c>
      <c r="D20" s="28">
        <f>D19+wf_table[[#This Row],[Debit_Amount]]</f>
        <v>342.96000000000004</v>
      </c>
      <c r="E20" s="28" t="str">
        <f>IF(wf_table[[#This Row],[Debit_Amount]]&lt;0,"debit","-")</f>
        <v>debit</v>
      </c>
      <c r="F20" s="28"/>
      <c r="G20" t="s">
        <v>392</v>
      </c>
      <c r="I20" s="1"/>
    </row>
    <row r="21" spans="1:9" x14ac:dyDescent="0.25">
      <c r="A21" s="47">
        <f>MONTH(wf_table[[#This Row],[Trans Date]])</f>
        <v>2</v>
      </c>
      <c r="B21" s="4">
        <v>44965</v>
      </c>
      <c r="C21">
        <v>-500</v>
      </c>
      <c r="D21" s="28">
        <f>D20+wf_table[[#This Row],[Debit_Amount]]</f>
        <v>-157.03999999999996</v>
      </c>
      <c r="E21" s="28" t="s">
        <v>699</v>
      </c>
      <c r="F21" s="28"/>
      <c r="G21" t="s">
        <v>393</v>
      </c>
      <c r="I21" s="1"/>
    </row>
    <row r="22" spans="1:9" x14ac:dyDescent="0.25">
      <c r="A22" s="47">
        <f>MONTH(wf_table[[#This Row],[Trans Date]])</f>
        <v>2</v>
      </c>
      <c r="B22" s="4">
        <v>44965</v>
      </c>
      <c r="C22">
        <v>87</v>
      </c>
      <c r="D22" s="28">
        <f>D21+wf_table[[#This Row],[Debit_Amount]]</f>
        <v>-70.039999999999964</v>
      </c>
      <c r="E22" s="28" t="str">
        <f>IF(wf_table[[#This Row],[Debit_Amount]]&lt;0,"debit","-")</f>
        <v>-</v>
      </c>
      <c r="F22" s="28"/>
      <c r="G22" t="s">
        <v>394</v>
      </c>
      <c r="I22" s="1"/>
    </row>
    <row r="23" spans="1:9" x14ac:dyDescent="0.25">
      <c r="A23" s="47">
        <f>MONTH(wf_table[[#This Row],[Trans Date]])</f>
        <v>2</v>
      </c>
      <c r="B23" s="4">
        <v>44966</v>
      </c>
      <c r="C23">
        <v>267.17</v>
      </c>
      <c r="D23" s="28">
        <f>D22+wf_table[[#This Row],[Debit_Amount]]</f>
        <v>197.13000000000005</v>
      </c>
      <c r="E23" s="28" t="str">
        <f>IF(wf_table[[#This Row],[Debit_Amount]]&lt;0,"debit","-")</f>
        <v>-</v>
      </c>
      <c r="F23" s="28" t="s">
        <v>885</v>
      </c>
      <c r="G23" t="s">
        <v>395</v>
      </c>
      <c r="I23" s="1"/>
    </row>
    <row r="24" spans="1:9" x14ac:dyDescent="0.25">
      <c r="A24" s="47">
        <f>MONTH(wf_table[[#This Row],[Trans Date]])</f>
        <v>2</v>
      </c>
      <c r="B24" s="4">
        <v>44967</v>
      </c>
      <c r="C24">
        <v>-21.21</v>
      </c>
      <c r="D24" s="28">
        <f>D23+wf_table[[#This Row],[Debit_Amount]]</f>
        <v>175.92000000000004</v>
      </c>
      <c r="E24" s="28" t="str">
        <f>IF(wf_table[[#This Row],[Debit_Amount]]&lt;0,"debit","-")</f>
        <v>debit</v>
      </c>
      <c r="F24" s="28"/>
      <c r="G24" t="s">
        <v>396</v>
      </c>
      <c r="I24" s="1"/>
    </row>
    <row r="25" spans="1:9" x14ac:dyDescent="0.25">
      <c r="A25" s="47">
        <f>MONTH(wf_table[[#This Row],[Trans Date]])</f>
        <v>2</v>
      </c>
      <c r="B25" s="4">
        <v>44970</v>
      </c>
      <c r="C25">
        <v>-43.39</v>
      </c>
      <c r="D25" s="28">
        <f>D24+wf_table[[#This Row],[Debit_Amount]]</f>
        <v>132.53000000000003</v>
      </c>
      <c r="E25" s="28" t="str">
        <f>IF(wf_table[[#This Row],[Debit_Amount]]&lt;0,"debit","-")</f>
        <v>debit</v>
      </c>
      <c r="F25" s="28"/>
      <c r="G25" t="s">
        <v>397</v>
      </c>
      <c r="I25" s="1"/>
    </row>
    <row r="26" spans="1:9" x14ac:dyDescent="0.25">
      <c r="A26" s="47">
        <f>MONTH(wf_table[[#This Row],[Trans Date]])</f>
        <v>2</v>
      </c>
      <c r="B26" s="4">
        <v>44970</v>
      </c>
      <c r="C26">
        <v>-17.5</v>
      </c>
      <c r="D26" s="28">
        <f>D25+wf_table[[#This Row],[Debit_Amount]]</f>
        <v>115.03000000000003</v>
      </c>
      <c r="E26" s="28" t="str">
        <f>IF(wf_table[[#This Row],[Debit_Amount]]&lt;0,"debit","-")</f>
        <v>debit</v>
      </c>
      <c r="F26" s="28"/>
      <c r="G26" t="s">
        <v>398</v>
      </c>
      <c r="I26" s="1"/>
    </row>
    <row r="27" spans="1:9" x14ac:dyDescent="0.25">
      <c r="A27" s="47">
        <f>MONTH(wf_table[[#This Row],[Trans Date]])</f>
        <v>2</v>
      </c>
      <c r="B27" s="4">
        <v>44971</v>
      </c>
      <c r="C27">
        <v>200</v>
      </c>
      <c r="D27" s="28">
        <f>D26+wf_table[[#This Row],[Debit_Amount]]</f>
        <v>315.03000000000003</v>
      </c>
      <c r="E27" s="28" t="str">
        <f>IF(wf_table[[#This Row],[Debit_Amount]]&lt;0,"debit","-")</f>
        <v>-</v>
      </c>
      <c r="F27" s="28"/>
      <c r="G27" t="s">
        <v>399</v>
      </c>
      <c r="I27" s="1"/>
    </row>
    <row r="28" spans="1:9" x14ac:dyDescent="0.25">
      <c r="A28" s="47">
        <f>MONTH(wf_table[[#This Row],[Trans Date]])</f>
        <v>2</v>
      </c>
      <c r="B28" s="4">
        <v>44974</v>
      </c>
      <c r="C28">
        <v>-25.48</v>
      </c>
      <c r="D28" s="28">
        <f>D27+wf_table[[#This Row],[Debit_Amount]]</f>
        <v>289.55</v>
      </c>
      <c r="E28" s="28" t="str">
        <f>IF(wf_table[[#This Row],[Debit_Amount]]&lt;0,"debit","-")</f>
        <v>debit</v>
      </c>
      <c r="F28" s="28"/>
      <c r="G28" t="s">
        <v>400</v>
      </c>
      <c r="I28" s="1"/>
    </row>
    <row r="29" spans="1:9" x14ac:dyDescent="0.25">
      <c r="A29" s="47">
        <f>MONTH(wf_table[[#This Row],[Trans Date]])</f>
        <v>2</v>
      </c>
      <c r="B29" s="4">
        <v>44974</v>
      </c>
      <c r="C29">
        <v>136</v>
      </c>
      <c r="D29" s="28">
        <f>D28+wf_table[[#This Row],[Debit_Amount]]</f>
        <v>425.55</v>
      </c>
      <c r="E29" s="28" t="str">
        <f>IF(wf_table[[#This Row],[Debit_Amount]]&lt;0,"debit","-")</f>
        <v>-</v>
      </c>
      <c r="F29" s="28"/>
      <c r="G29" t="s">
        <v>401</v>
      </c>
    </row>
    <row r="30" spans="1:9" x14ac:dyDescent="0.25">
      <c r="A30" s="47">
        <f>MONTH(wf_table[[#This Row],[Trans Date]])</f>
        <v>2</v>
      </c>
      <c r="B30" s="4">
        <v>44978</v>
      </c>
      <c r="C30">
        <v>-194.5</v>
      </c>
      <c r="D30" s="28">
        <f>D29+wf_table[[#This Row],[Debit_Amount]]</f>
        <v>231.05</v>
      </c>
      <c r="E30" s="28" t="str">
        <f>IF(wf_table[[#This Row],[Debit_Amount]]&lt;0,"debit","-")</f>
        <v>debit</v>
      </c>
      <c r="F30" s="28"/>
      <c r="G30" t="s">
        <v>402</v>
      </c>
    </row>
    <row r="31" spans="1:9" x14ac:dyDescent="0.25">
      <c r="A31" s="47">
        <f>MONTH(wf_table[[#This Row],[Trans Date]])</f>
        <v>2</v>
      </c>
      <c r="B31" s="4">
        <v>44978</v>
      </c>
      <c r="C31">
        <v>-265</v>
      </c>
      <c r="D31" s="28">
        <f>D30+wf_table[[#This Row],[Debit_Amount]]</f>
        <v>-33.949999999999989</v>
      </c>
      <c r="E31" s="28" t="str">
        <f>IF(wf_table[[#This Row],[Debit_Amount]]&lt;0,"debit","-")</f>
        <v>debit</v>
      </c>
      <c r="F31" s="28"/>
      <c r="G31" t="s">
        <v>403</v>
      </c>
      <c r="I31" s="1"/>
    </row>
    <row r="32" spans="1:9" x14ac:dyDescent="0.25">
      <c r="A32" s="47">
        <f>MONTH(wf_table[[#This Row],[Trans Date]])</f>
        <v>2</v>
      </c>
      <c r="B32" s="4">
        <v>44978</v>
      </c>
      <c r="C32">
        <v>-2.5</v>
      </c>
      <c r="D32" s="28">
        <f>D31+wf_table[[#This Row],[Debit_Amount]]</f>
        <v>-36.449999999999989</v>
      </c>
      <c r="E32" s="28" t="str">
        <f>IF(wf_table[[#This Row],[Debit_Amount]]&lt;0,"debit","-")</f>
        <v>debit</v>
      </c>
      <c r="F32" s="28"/>
      <c r="G32" t="s">
        <v>90</v>
      </c>
      <c r="I32" s="1"/>
    </row>
    <row r="33" spans="1:9" x14ac:dyDescent="0.25">
      <c r="A33" s="47">
        <f>MONTH(wf_table[[#This Row],[Trans Date]])</f>
        <v>2</v>
      </c>
      <c r="B33" s="4">
        <v>44978</v>
      </c>
      <c r="C33">
        <v>-23</v>
      </c>
      <c r="D33" s="28">
        <f>D32+wf_table[[#This Row],[Debit_Amount]]</f>
        <v>-59.449999999999989</v>
      </c>
      <c r="E33" s="28" t="str">
        <f>IF(wf_table[[#This Row],[Debit_Amount]]&lt;0,"debit","-")</f>
        <v>debit</v>
      </c>
      <c r="F33" s="28"/>
      <c r="G33" t="s">
        <v>404</v>
      </c>
      <c r="I33" s="1"/>
    </row>
    <row r="34" spans="1:9" x14ac:dyDescent="0.25">
      <c r="A34" s="47">
        <f>MONTH(wf_table[[#This Row],[Trans Date]])</f>
        <v>2</v>
      </c>
      <c r="B34" s="4">
        <v>44978</v>
      </c>
      <c r="C34">
        <v>100</v>
      </c>
      <c r="D34" s="28">
        <f>D33+wf_table[[#This Row],[Debit_Amount]]</f>
        <v>40.550000000000011</v>
      </c>
      <c r="E34" s="28" t="str">
        <f>IF(wf_table[[#This Row],[Debit_Amount]]&lt;0,"debit","-")</f>
        <v>-</v>
      </c>
      <c r="F34" s="28"/>
      <c r="G34" t="s">
        <v>405</v>
      </c>
      <c r="I34" s="1"/>
    </row>
    <row r="35" spans="1:9" x14ac:dyDescent="0.25">
      <c r="A35" s="47">
        <f>MONTH(wf_table[[#This Row],[Trans Date]])</f>
        <v>2</v>
      </c>
      <c r="B35" s="4">
        <v>44979</v>
      </c>
      <c r="C35">
        <v>-650</v>
      </c>
      <c r="D35" s="28">
        <f>D34+wf_table[[#This Row],[Debit_Amount]]</f>
        <v>-609.45000000000005</v>
      </c>
      <c r="E35" s="28" t="str">
        <f>IF(wf_table[[#This Row],[Debit_Amount]]&lt;0,"debit","-")</f>
        <v>debit</v>
      </c>
      <c r="F35" s="28"/>
      <c r="G35" t="s">
        <v>406</v>
      </c>
      <c r="I35" s="1"/>
    </row>
    <row r="36" spans="1:9" x14ac:dyDescent="0.25">
      <c r="A36" s="47">
        <f>MONTH(wf_table[[#This Row],[Trans Date]])</f>
        <v>2</v>
      </c>
      <c r="B36" s="4">
        <v>44979</v>
      </c>
      <c r="C36">
        <v>100</v>
      </c>
      <c r="D36" s="28">
        <f>D35+wf_table[[#This Row],[Debit_Amount]]</f>
        <v>-509.45000000000005</v>
      </c>
      <c r="E36" s="28" t="str">
        <f>IF(wf_table[[#This Row],[Debit_Amount]]&lt;0,"debit","-")</f>
        <v>-</v>
      </c>
      <c r="F36" s="28"/>
      <c r="G36" t="s">
        <v>407</v>
      </c>
      <c r="I36" s="1"/>
    </row>
    <row r="37" spans="1:9" x14ac:dyDescent="0.25">
      <c r="A37" s="47">
        <f>MONTH(wf_table[[#This Row],[Trans Date]])</f>
        <v>2</v>
      </c>
      <c r="B37" s="4">
        <v>44979</v>
      </c>
      <c r="C37">
        <v>650</v>
      </c>
      <c r="D37" s="28">
        <f>D36+wf_table[[#This Row],[Debit_Amount]]</f>
        <v>140.54999999999995</v>
      </c>
      <c r="E37" s="28" t="str">
        <f>IF(wf_table[[#This Row],[Debit_Amount]]&lt;0,"debit","-")</f>
        <v>-</v>
      </c>
      <c r="F37" s="28"/>
      <c r="G37" t="s">
        <v>408</v>
      </c>
    </row>
    <row r="38" spans="1:9" x14ac:dyDescent="0.25">
      <c r="A38" s="47">
        <f>MONTH(wf_table[[#This Row],[Trans Date]])</f>
        <v>2</v>
      </c>
      <c r="B38" s="4">
        <v>44980</v>
      </c>
      <c r="C38">
        <v>-12</v>
      </c>
      <c r="D38" s="28">
        <f>D37+wf_table[[#This Row],[Debit_Amount]]</f>
        <v>128.54999999999995</v>
      </c>
      <c r="E38" s="28" t="str">
        <f>IF(wf_table[[#This Row],[Debit_Amount]]&lt;0,"debit","-")</f>
        <v>debit</v>
      </c>
      <c r="F38" s="28"/>
      <c r="G38" t="s">
        <v>409</v>
      </c>
      <c r="I38" s="1"/>
    </row>
    <row r="39" spans="1:9" x14ac:dyDescent="0.25">
      <c r="A39" s="47">
        <f>MONTH(wf_table[[#This Row],[Trans Date]])</f>
        <v>2</v>
      </c>
      <c r="B39" s="4">
        <v>44980</v>
      </c>
      <c r="C39">
        <v>267.32</v>
      </c>
      <c r="D39" s="28">
        <f>D38+wf_table[[#This Row],[Debit_Amount]]</f>
        <v>395.86999999999995</v>
      </c>
      <c r="E39" s="28" t="str">
        <f>IF(wf_table[[#This Row],[Debit_Amount]]&lt;0,"debit","-")</f>
        <v>-</v>
      </c>
      <c r="F39" s="28"/>
      <c r="G39" t="s">
        <v>410</v>
      </c>
      <c r="I39" s="1"/>
    </row>
    <row r="40" spans="1:9" x14ac:dyDescent="0.25">
      <c r="A40" s="47">
        <f>MONTH(wf_table[[#This Row],[Trans Date]])</f>
        <v>2</v>
      </c>
      <c r="B40" s="4">
        <v>44981</v>
      </c>
      <c r="C40">
        <v>-172.76</v>
      </c>
      <c r="D40" s="28">
        <f>D39+wf_table[[#This Row],[Debit_Amount]]</f>
        <v>223.10999999999996</v>
      </c>
      <c r="E40" s="28" t="str">
        <f>IF(wf_table[[#This Row],[Debit_Amount]]&lt;0,"debit","-")</f>
        <v>debit</v>
      </c>
      <c r="F40" s="28"/>
      <c r="G40" t="s">
        <v>411</v>
      </c>
      <c r="I40" s="1"/>
    </row>
    <row r="41" spans="1:9" x14ac:dyDescent="0.25">
      <c r="A41" s="47">
        <f>MONTH(wf_table[[#This Row],[Trans Date]])</f>
        <v>3</v>
      </c>
      <c r="B41" s="4">
        <v>44986</v>
      </c>
      <c r="C41">
        <v>205</v>
      </c>
      <c r="D41" s="28">
        <f>D40+wf_table[[#This Row],[Debit_Amount]]</f>
        <v>428.10999999999996</v>
      </c>
      <c r="E41" s="28" t="str">
        <f>IF(wf_table[[#This Row],[Debit_Amount]]&lt;0,"debit","-")</f>
        <v>-</v>
      </c>
      <c r="F41" s="28"/>
      <c r="G41" t="s">
        <v>412</v>
      </c>
      <c r="I41" s="1"/>
    </row>
    <row r="42" spans="1:9" x14ac:dyDescent="0.25">
      <c r="A42" s="47">
        <f>MONTH(wf_table[[#This Row],[Trans Date]])</f>
        <v>3</v>
      </c>
      <c r="B42" s="4">
        <v>44991</v>
      </c>
      <c r="C42">
        <v>-25</v>
      </c>
      <c r="D42" s="28">
        <f>D41+wf_table[[#This Row],[Debit_Amount]]</f>
        <v>403.10999999999996</v>
      </c>
      <c r="E42" s="28" t="str">
        <f>IF(wf_table[[#This Row],[Debit_Amount]]&lt;0,"debit","-")</f>
        <v>debit</v>
      </c>
      <c r="F42" s="28"/>
      <c r="G42" t="s">
        <v>413</v>
      </c>
      <c r="I42" s="1"/>
    </row>
    <row r="43" spans="1:9" x14ac:dyDescent="0.25">
      <c r="A43" s="47">
        <f>MONTH(wf_table[[#This Row],[Trans Date]])</f>
        <v>3</v>
      </c>
      <c r="B43" s="4">
        <v>44991</v>
      </c>
      <c r="C43">
        <v>-18</v>
      </c>
      <c r="D43" s="28">
        <f>D42+wf_table[[#This Row],[Debit_Amount]]</f>
        <v>385.10999999999996</v>
      </c>
      <c r="E43" s="28" t="str">
        <f>IF(wf_table[[#This Row],[Debit_Amount]]&lt;0,"debit","-")</f>
        <v>debit</v>
      </c>
      <c r="F43" s="28"/>
      <c r="G43" t="s">
        <v>414</v>
      </c>
      <c r="I43" s="1"/>
    </row>
    <row r="44" spans="1:9" x14ac:dyDescent="0.25">
      <c r="A44" s="47">
        <f>MONTH(wf_table[[#This Row],[Trans Date]])</f>
        <v>3</v>
      </c>
      <c r="B44" s="4">
        <v>44992</v>
      </c>
      <c r="C44">
        <v>-80</v>
      </c>
      <c r="D44" s="28">
        <f>D43+wf_table[[#This Row],[Debit_Amount]]</f>
        <v>305.10999999999996</v>
      </c>
      <c r="E44" s="28" t="str">
        <f>IF(wf_table[[#This Row],[Debit_Amount]]&lt;0,"debit","-")</f>
        <v>debit</v>
      </c>
      <c r="F44" s="28"/>
      <c r="G44" t="s">
        <v>415</v>
      </c>
      <c r="I44" s="1"/>
    </row>
    <row r="45" spans="1:9" x14ac:dyDescent="0.25">
      <c r="A45" s="47">
        <f>MONTH(wf_table[[#This Row],[Trans Date]])</f>
        <v>3</v>
      </c>
      <c r="B45" s="4">
        <v>44993</v>
      </c>
      <c r="C45">
        <v>-2</v>
      </c>
      <c r="D45" s="28">
        <f>D44+wf_table[[#This Row],[Debit_Amount]]</f>
        <v>303.10999999999996</v>
      </c>
      <c r="E45" s="28" t="str">
        <f>IF(wf_table[[#This Row],[Debit_Amount]]&lt;0,"debit","-")</f>
        <v>debit</v>
      </c>
      <c r="F45" s="28"/>
      <c r="G45" t="s">
        <v>416</v>
      </c>
      <c r="I45" s="1"/>
    </row>
    <row r="46" spans="1:9" x14ac:dyDescent="0.25">
      <c r="A46" s="47">
        <f>MONTH(wf_table[[#This Row],[Trans Date]])</f>
        <v>3</v>
      </c>
      <c r="B46" s="4">
        <v>44994</v>
      </c>
      <c r="C46">
        <v>290.51</v>
      </c>
      <c r="D46" s="28">
        <f>D45+wf_table[[#This Row],[Debit_Amount]]</f>
        <v>593.61999999999989</v>
      </c>
      <c r="E46" s="28" t="str">
        <f>IF(wf_table[[#This Row],[Debit_Amount]]&lt;0,"debit","-")</f>
        <v>-</v>
      </c>
      <c r="F46" s="28" t="s">
        <v>885</v>
      </c>
      <c r="G46" t="s">
        <v>417</v>
      </c>
      <c r="I46" s="1"/>
    </row>
    <row r="47" spans="1:9" x14ac:dyDescent="0.25">
      <c r="A47" s="47">
        <f>MONTH(wf_table[[#This Row],[Trans Date]])</f>
        <v>3</v>
      </c>
      <c r="B47" s="4">
        <v>44994</v>
      </c>
      <c r="C47">
        <v>165.84</v>
      </c>
      <c r="D47" s="28">
        <f>D46+wf_table[[#This Row],[Debit_Amount]]</f>
        <v>759.45999999999992</v>
      </c>
      <c r="E47" s="28" t="str">
        <f>IF(wf_table[[#This Row],[Debit_Amount]]&lt;0,"debit","-")</f>
        <v>-</v>
      </c>
      <c r="F47" s="28"/>
      <c r="G47" t="s">
        <v>418</v>
      </c>
      <c r="I47" s="1"/>
    </row>
    <row r="48" spans="1:9" x14ac:dyDescent="0.25">
      <c r="A48" s="47">
        <f>MONTH(wf_table[[#This Row],[Trans Date]])</f>
        <v>3</v>
      </c>
      <c r="B48" s="4">
        <v>44995</v>
      </c>
      <c r="C48">
        <v>-500</v>
      </c>
      <c r="D48" s="28">
        <f>D47+wf_table[[#This Row],[Debit_Amount]]</f>
        <v>259.45999999999992</v>
      </c>
      <c r="E48" s="60" t="s">
        <v>699</v>
      </c>
      <c r="F48" s="28"/>
      <c r="G48" t="s">
        <v>419</v>
      </c>
      <c r="I48" s="1"/>
    </row>
    <row r="49" spans="1:9" x14ac:dyDescent="0.25">
      <c r="A49" s="47">
        <f>MONTH(wf_table[[#This Row],[Trans Date]])</f>
        <v>3</v>
      </c>
      <c r="B49" s="4">
        <v>44995</v>
      </c>
      <c r="C49">
        <v>-180.41</v>
      </c>
      <c r="D49" s="28">
        <f>D48+wf_table[[#This Row],[Debit_Amount]]</f>
        <v>79.049999999999926</v>
      </c>
      <c r="E49" s="28" t="str">
        <f>IF(wf_table[[#This Row],[Debit_Amount]]&lt;0,"debit","-")</f>
        <v>debit</v>
      </c>
      <c r="F49" s="28"/>
      <c r="G49" t="s">
        <v>420</v>
      </c>
      <c r="I49" s="1"/>
    </row>
    <row r="50" spans="1:9" x14ac:dyDescent="0.25">
      <c r="A50" s="47">
        <f>MONTH(wf_table[[#This Row],[Trans Date]])</f>
        <v>3</v>
      </c>
      <c r="B50" s="4">
        <v>44998</v>
      </c>
      <c r="C50">
        <v>210</v>
      </c>
      <c r="D50" s="28">
        <f>D49+wf_table[[#This Row],[Debit_Amount]]</f>
        <v>289.04999999999995</v>
      </c>
      <c r="E50" s="28" t="str">
        <f>IF(wf_table[[#This Row],[Debit_Amount]]&lt;0,"debit","-")</f>
        <v>-</v>
      </c>
      <c r="F50" s="28"/>
      <c r="G50" t="s">
        <v>421</v>
      </c>
      <c r="I50" s="1"/>
    </row>
    <row r="51" spans="1:9" x14ac:dyDescent="0.25">
      <c r="A51" s="47">
        <f>MONTH(wf_table[[#This Row],[Trans Date]])</f>
        <v>3</v>
      </c>
      <c r="B51" s="4">
        <v>45000</v>
      </c>
      <c r="C51">
        <v>-28.63</v>
      </c>
      <c r="D51" s="28">
        <f>D50+wf_table[[#This Row],[Debit_Amount]]</f>
        <v>260.41999999999996</v>
      </c>
      <c r="E51" s="28" t="str">
        <f>IF(wf_table[[#This Row],[Debit_Amount]]&lt;0,"debit","-")</f>
        <v>debit</v>
      </c>
      <c r="F51" s="28"/>
      <c r="G51" t="s">
        <v>422</v>
      </c>
      <c r="I51" s="1"/>
    </row>
    <row r="52" spans="1:9" x14ac:dyDescent="0.25">
      <c r="A52" s="47">
        <f>MONTH(wf_table[[#This Row],[Trans Date]])</f>
        <v>3</v>
      </c>
      <c r="B52" s="4">
        <v>45001</v>
      </c>
      <c r="C52">
        <v>-5</v>
      </c>
      <c r="D52" s="28">
        <f>D51+wf_table[[#This Row],[Debit_Amount]]</f>
        <v>255.41999999999996</v>
      </c>
      <c r="E52" s="28" t="str">
        <f>IF(wf_table[[#This Row],[Debit_Amount]]&lt;0,"debit","-")</f>
        <v>debit</v>
      </c>
      <c r="F52" s="28"/>
      <c r="G52" t="s">
        <v>423</v>
      </c>
      <c r="I52" s="1"/>
    </row>
    <row r="53" spans="1:9" x14ac:dyDescent="0.25">
      <c r="A53" s="47">
        <f>MONTH(wf_table[[#This Row],[Trans Date]])</f>
        <v>3</v>
      </c>
      <c r="B53" s="4">
        <v>45002</v>
      </c>
      <c r="C53">
        <v>-700</v>
      </c>
      <c r="D53" s="28">
        <f>D52+wf_table[[#This Row],[Debit_Amount]]</f>
        <v>-444.58000000000004</v>
      </c>
      <c r="E53" s="60" t="s">
        <v>699</v>
      </c>
      <c r="F53" s="28"/>
      <c r="G53" t="s">
        <v>424</v>
      </c>
      <c r="I53" s="1"/>
    </row>
    <row r="54" spans="1:9" x14ac:dyDescent="0.25">
      <c r="A54" s="47">
        <f>MONTH(wf_table[[#This Row],[Trans Date]])</f>
        <v>3</v>
      </c>
      <c r="B54" s="4">
        <v>45002</v>
      </c>
      <c r="C54">
        <v>-20</v>
      </c>
      <c r="D54" s="28">
        <f>D53+wf_table[[#This Row],[Debit_Amount]]</f>
        <v>-464.58000000000004</v>
      </c>
      <c r="E54" s="28" t="str">
        <f>IF(wf_table[[#This Row],[Debit_Amount]]&lt;0,"debit","-")</f>
        <v>debit</v>
      </c>
      <c r="F54" s="28"/>
      <c r="G54" t="s">
        <v>425</v>
      </c>
      <c r="I54" s="1"/>
    </row>
    <row r="55" spans="1:9" x14ac:dyDescent="0.25">
      <c r="A55" s="47">
        <f>MONTH(wf_table[[#This Row],[Trans Date]])</f>
        <v>3</v>
      </c>
      <c r="B55" s="4">
        <v>45002</v>
      </c>
      <c r="C55">
        <v>600</v>
      </c>
      <c r="D55" s="28">
        <f>D54+wf_table[[#This Row],[Debit_Amount]]</f>
        <v>135.41999999999996</v>
      </c>
      <c r="E55" s="28" t="str">
        <f>IF(wf_table[[#This Row],[Debit_Amount]]&lt;0,"debit","-")</f>
        <v>-</v>
      </c>
      <c r="F55" s="28"/>
      <c r="G55" t="s">
        <v>426</v>
      </c>
      <c r="I55" s="1"/>
    </row>
    <row r="56" spans="1:9" x14ac:dyDescent="0.25">
      <c r="A56" s="47">
        <f>MONTH(wf_table[[#This Row],[Trans Date]])</f>
        <v>3</v>
      </c>
      <c r="B56" s="4">
        <v>45005</v>
      </c>
      <c r="C56">
        <v>-49.02</v>
      </c>
      <c r="D56" s="28">
        <f>D55+wf_table[[#This Row],[Debit_Amount]]</f>
        <v>86.399999999999949</v>
      </c>
      <c r="E56" s="28" t="str">
        <f>IF(wf_table[[#This Row],[Debit_Amount]]&lt;0,"debit","-")</f>
        <v>debit</v>
      </c>
      <c r="F56" s="28"/>
      <c r="G56" t="s">
        <v>427</v>
      </c>
      <c r="I56" s="1"/>
    </row>
    <row r="57" spans="1:9" x14ac:dyDescent="0.25">
      <c r="A57" s="47">
        <f>MONTH(wf_table[[#This Row],[Trans Date]])</f>
        <v>3</v>
      </c>
      <c r="B57" s="4">
        <v>45005</v>
      </c>
      <c r="C57">
        <v>125.1</v>
      </c>
      <c r="D57" s="28">
        <f>D56+wf_table[[#This Row],[Debit_Amount]]</f>
        <v>211.49999999999994</v>
      </c>
      <c r="E57" s="28" t="str">
        <f>IF(wf_table[[#This Row],[Debit_Amount]]&lt;0,"debit","-")</f>
        <v>-</v>
      </c>
      <c r="F57" s="28"/>
      <c r="G57" t="s">
        <v>428</v>
      </c>
      <c r="I57" s="1"/>
    </row>
    <row r="58" spans="1:9" x14ac:dyDescent="0.25">
      <c r="A58" s="47">
        <f>MONTH(wf_table[[#This Row],[Trans Date]])</f>
        <v>3</v>
      </c>
      <c r="B58" s="4">
        <v>45006</v>
      </c>
      <c r="C58">
        <v>-80</v>
      </c>
      <c r="D58" s="28">
        <f>D57+wf_table[[#This Row],[Debit_Amount]]</f>
        <v>131.49999999999994</v>
      </c>
      <c r="E58" s="28" t="str">
        <f>IF(wf_table[[#This Row],[Debit_Amount]]&lt;0,"debit","-")</f>
        <v>debit</v>
      </c>
      <c r="F58" s="28"/>
      <c r="G58" t="s">
        <v>429</v>
      </c>
      <c r="I58" s="1"/>
    </row>
    <row r="59" spans="1:9" x14ac:dyDescent="0.25">
      <c r="A59" s="47">
        <f>MONTH(wf_table[[#This Row],[Trans Date]])</f>
        <v>3</v>
      </c>
      <c r="B59" s="4">
        <v>45007</v>
      </c>
      <c r="C59">
        <v>-650</v>
      </c>
      <c r="D59" s="28">
        <f>D58+wf_table[[#This Row],[Debit_Amount]]</f>
        <v>-518.5</v>
      </c>
      <c r="E59" s="28" t="str">
        <f>IF(wf_table[[#This Row],[Debit_Amount]]&lt;0,"debit","-")</f>
        <v>debit</v>
      </c>
      <c r="F59" s="28"/>
      <c r="G59" t="s">
        <v>430</v>
      </c>
      <c r="I59" s="1"/>
    </row>
    <row r="60" spans="1:9" x14ac:dyDescent="0.25">
      <c r="A60" s="47">
        <f>MONTH(wf_table[[#This Row],[Trans Date]])</f>
        <v>3</v>
      </c>
      <c r="B60" s="4">
        <v>45007</v>
      </c>
      <c r="C60">
        <v>300</v>
      </c>
      <c r="D60" s="28">
        <f>D59+wf_table[[#This Row],[Debit_Amount]]</f>
        <v>-218.5</v>
      </c>
      <c r="E60" s="28" t="str">
        <f>IF(wf_table[[#This Row],[Debit_Amount]]&lt;0,"debit","-")</f>
        <v>-</v>
      </c>
      <c r="F60" s="28"/>
      <c r="G60" t="s">
        <v>431</v>
      </c>
      <c r="I60" s="1"/>
    </row>
    <row r="61" spans="1:9" x14ac:dyDescent="0.25">
      <c r="A61" s="47">
        <f>MONTH(wf_table[[#This Row],[Trans Date]])</f>
        <v>3</v>
      </c>
      <c r="B61" s="4">
        <v>45008</v>
      </c>
      <c r="C61">
        <v>70</v>
      </c>
      <c r="D61" s="28">
        <f>D60+wf_table[[#This Row],[Debit_Amount]]</f>
        <v>-148.5</v>
      </c>
      <c r="E61" s="28" t="str">
        <f>IF(wf_table[[#This Row],[Debit_Amount]]&lt;0,"debit","-")</f>
        <v>-</v>
      </c>
      <c r="F61" s="28"/>
      <c r="G61" t="s">
        <v>432</v>
      </c>
      <c r="I61" s="1"/>
    </row>
    <row r="62" spans="1:9" x14ac:dyDescent="0.25">
      <c r="A62" s="47">
        <f>MONTH(wf_table[[#This Row],[Trans Date]])</f>
        <v>3</v>
      </c>
      <c r="B62" s="4">
        <v>45008</v>
      </c>
      <c r="C62">
        <v>398.54</v>
      </c>
      <c r="D62" s="28">
        <f>D61+wf_table[[#This Row],[Debit_Amount]]</f>
        <v>250.04000000000002</v>
      </c>
      <c r="E62" s="28" t="str">
        <f>IF(wf_table[[#This Row],[Debit_Amount]]&lt;0,"debit","-")</f>
        <v>-</v>
      </c>
      <c r="F62" s="28" t="s">
        <v>885</v>
      </c>
      <c r="G62" t="s">
        <v>433</v>
      </c>
      <c r="I62" s="1"/>
    </row>
    <row r="63" spans="1:9" x14ac:dyDescent="0.25">
      <c r="A63" s="47">
        <f>MONTH(wf_table[[#This Row],[Trans Date]])</f>
        <v>3</v>
      </c>
      <c r="B63" s="4">
        <v>45012</v>
      </c>
      <c r="C63">
        <v>15</v>
      </c>
      <c r="D63" s="28">
        <f>D62+wf_table[[#This Row],[Debit_Amount]]</f>
        <v>265.04000000000002</v>
      </c>
      <c r="E63" s="28" t="str">
        <f>IF(wf_table[[#This Row],[Debit_Amount]]&lt;0,"debit","-")</f>
        <v>-</v>
      </c>
      <c r="F63" s="28"/>
      <c r="G63" t="s">
        <v>434</v>
      </c>
      <c r="I63" s="1"/>
    </row>
    <row r="64" spans="1:9" x14ac:dyDescent="0.25">
      <c r="A64" s="47">
        <f>MONTH(wf_table[[#This Row],[Trans Date]])</f>
        <v>4</v>
      </c>
      <c r="B64" s="4">
        <v>45019</v>
      </c>
      <c r="C64">
        <v>-50.06</v>
      </c>
      <c r="D64" s="28">
        <f>D63+wf_table[[#This Row],[Debit_Amount]]</f>
        <v>214.98000000000002</v>
      </c>
      <c r="E64" s="28" t="str">
        <f>IF(wf_table[[#This Row],[Debit_Amount]]&lt;0,"debit","-")</f>
        <v>debit</v>
      </c>
      <c r="F64" s="28"/>
      <c r="G64" t="s">
        <v>756</v>
      </c>
      <c r="I64" s="1"/>
    </row>
    <row r="65" spans="1:9" x14ac:dyDescent="0.25">
      <c r="A65" s="47">
        <f>MONTH(wf_table[[#This Row],[Trans Date]])</f>
        <v>4</v>
      </c>
      <c r="B65" s="4">
        <v>45019</v>
      </c>
      <c r="C65">
        <v>-20</v>
      </c>
      <c r="D65" s="28">
        <f>D64+wf_table[[#This Row],[Debit_Amount]]</f>
        <v>194.98000000000002</v>
      </c>
      <c r="E65" s="28" t="str">
        <f>IF(wf_table[[#This Row],[Debit_Amount]]&lt;0,"debit","-")</f>
        <v>debit</v>
      </c>
      <c r="F65" s="28"/>
      <c r="G65" t="s">
        <v>757</v>
      </c>
      <c r="I65" s="1"/>
    </row>
    <row r="66" spans="1:9" x14ac:dyDescent="0.25">
      <c r="A66" s="47">
        <f>MONTH(wf_table[[#This Row],[Trans Date]])</f>
        <v>4</v>
      </c>
      <c r="B66" s="4">
        <v>45019</v>
      </c>
      <c r="C66">
        <v>119</v>
      </c>
      <c r="D66" s="28">
        <f>D65+wf_table[[#This Row],[Debit_Amount]]</f>
        <v>313.98</v>
      </c>
      <c r="E66" s="28" t="str">
        <f>IF(wf_table[[#This Row],[Debit_Amount]]&lt;0,"debit","-")</f>
        <v>-</v>
      </c>
      <c r="F66" s="28"/>
      <c r="G66" t="s">
        <v>758</v>
      </c>
      <c r="I66" s="1"/>
    </row>
    <row r="67" spans="1:9" x14ac:dyDescent="0.25">
      <c r="A67" s="47">
        <f>MONTH(wf_table[[#This Row],[Trans Date]])</f>
        <v>4</v>
      </c>
      <c r="B67" s="4">
        <v>45019</v>
      </c>
      <c r="C67">
        <v>5</v>
      </c>
      <c r="D67" s="28">
        <f>D66+wf_table[[#This Row],[Debit_Amount]]</f>
        <v>318.98</v>
      </c>
      <c r="E67" s="28" t="str">
        <f>IF(wf_table[[#This Row],[Debit_Amount]]&lt;0,"debit","-")</f>
        <v>-</v>
      </c>
      <c r="F67" s="28"/>
      <c r="G67" t="s">
        <v>759</v>
      </c>
      <c r="I67" s="1"/>
    </row>
    <row r="68" spans="1:9" x14ac:dyDescent="0.25">
      <c r="A68" s="47">
        <f>MONTH(wf_table[[#This Row],[Trans Date]])</f>
        <v>4</v>
      </c>
      <c r="B68" s="4">
        <v>45019</v>
      </c>
      <c r="C68">
        <v>32</v>
      </c>
      <c r="D68" s="28">
        <f>D67+wf_table[[#This Row],[Debit_Amount]]</f>
        <v>350.98</v>
      </c>
      <c r="E68" s="28" t="str">
        <f>IF(wf_table[[#This Row],[Debit_Amount]]&lt;0,"debit","-")</f>
        <v>-</v>
      </c>
      <c r="F68" s="28"/>
      <c r="G68" t="s">
        <v>760</v>
      </c>
      <c r="I68" s="1"/>
    </row>
    <row r="69" spans="1:9" x14ac:dyDescent="0.25">
      <c r="A69" s="47">
        <f>MONTH(wf_table[[#This Row],[Trans Date]])</f>
        <v>4</v>
      </c>
      <c r="B69" s="4">
        <v>45020</v>
      </c>
      <c r="C69">
        <v>-50</v>
      </c>
      <c r="D69" s="28">
        <f>D68+wf_table[[#This Row],[Debit_Amount]]</f>
        <v>300.98</v>
      </c>
      <c r="E69" s="28" t="str">
        <f>IF(wf_table[[#This Row],[Debit_Amount]]&lt;0,"debit","-")</f>
        <v>debit</v>
      </c>
      <c r="F69" s="28"/>
      <c r="G69" t="s">
        <v>761</v>
      </c>
      <c r="I69" s="1"/>
    </row>
    <row r="70" spans="1:9" x14ac:dyDescent="0.25">
      <c r="A70" s="47">
        <f>MONTH(wf_table[[#This Row],[Trans Date]])</f>
        <v>4</v>
      </c>
      <c r="B70" s="4">
        <v>45020</v>
      </c>
      <c r="C70">
        <v>476</v>
      </c>
      <c r="D70" s="28">
        <f>D69+wf_table[[#This Row],[Debit_Amount]]</f>
        <v>776.98</v>
      </c>
      <c r="E70" s="28" t="str">
        <f>IF(wf_table[[#This Row],[Debit_Amount]]&lt;0,"debit","-")</f>
        <v>-</v>
      </c>
      <c r="F70" s="28"/>
      <c r="G70" t="s">
        <v>762</v>
      </c>
      <c r="I70" s="1"/>
    </row>
    <row r="71" spans="1:9" x14ac:dyDescent="0.25">
      <c r="A71" s="47">
        <f>MONTH(wf_table[[#This Row],[Trans Date]])</f>
        <v>4</v>
      </c>
      <c r="B71" s="4">
        <v>45020</v>
      </c>
      <c r="C71">
        <v>34.979999999999997</v>
      </c>
      <c r="D71" s="28">
        <f>D70+wf_table[[#This Row],[Debit_Amount]]</f>
        <v>811.96</v>
      </c>
      <c r="E71" s="28" t="str">
        <f>IF(wf_table[[#This Row],[Debit_Amount]]&lt;0,"debit","-")</f>
        <v>-</v>
      </c>
      <c r="F71" s="28"/>
      <c r="G71" t="s">
        <v>763</v>
      </c>
      <c r="I71" s="1"/>
    </row>
    <row r="72" spans="1:9" x14ac:dyDescent="0.25">
      <c r="A72" s="47">
        <f>MONTH(wf_table[[#This Row],[Trans Date]])</f>
        <v>4</v>
      </c>
      <c r="B72" s="4">
        <v>45021</v>
      </c>
      <c r="C72">
        <v>-59.6</v>
      </c>
      <c r="D72" s="28">
        <f>D71+wf_table[[#This Row],[Debit_Amount]]</f>
        <v>752.36</v>
      </c>
      <c r="E72" s="28" t="str">
        <f>IF(wf_table[[#This Row],[Debit_Amount]]&lt;0,"debit","-")</f>
        <v>debit</v>
      </c>
      <c r="F72" s="28"/>
      <c r="G72" t="s">
        <v>764</v>
      </c>
      <c r="I72" s="1"/>
    </row>
    <row r="73" spans="1:9" x14ac:dyDescent="0.25">
      <c r="A73" s="47">
        <f>MONTH(wf_table[[#This Row],[Trans Date]])</f>
        <v>4</v>
      </c>
      <c r="B73" s="4">
        <v>45021</v>
      </c>
      <c r="C73">
        <v>-500</v>
      </c>
      <c r="D73" s="28">
        <f>D72+wf_table[[#This Row],[Debit_Amount]]</f>
        <v>252.36</v>
      </c>
      <c r="E73" s="60" t="s">
        <v>699</v>
      </c>
      <c r="F73" s="28"/>
      <c r="G73" t="s">
        <v>765</v>
      </c>
      <c r="I73" s="1"/>
    </row>
    <row r="74" spans="1:9" x14ac:dyDescent="0.25">
      <c r="A74" s="47">
        <f>MONTH(wf_table[[#This Row],[Trans Date]])</f>
        <v>4</v>
      </c>
      <c r="B74" s="4">
        <v>45021</v>
      </c>
      <c r="C74">
        <v>-300</v>
      </c>
      <c r="D74" s="28">
        <f>D73+wf_table[[#This Row],[Debit_Amount]]</f>
        <v>-47.639999999999986</v>
      </c>
      <c r="E74" s="60" t="s">
        <v>699</v>
      </c>
      <c r="F74" s="28"/>
      <c r="G74" t="s">
        <v>766</v>
      </c>
      <c r="I74" s="1"/>
    </row>
    <row r="75" spans="1:9" x14ac:dyDescent="0.25">
      <c r="A75" s="47">
        <f>MONTH(wf_table[[#This Row],[Trans Date]])</f>
        <v>4</v>
      </c>
      <c r="B75" s="4">
        <v>45022</v>
      </c>
      <c r="C75">
        <v>-100</v>
      </c>
      <c r="D75" s="28">
        <f>D74+wf_table[[#This Row],[Debit_Amount]]</f>
        <v>-147.63999999999999</v>
      </c>
      <c r="E75" s="28" t="str">
        <f>IF(wf_table[[#This Row],[Debit_Amount]]&lt;0,"debit","-")</f>
        <v>debit</v>
      </c>
      <c r="F75" s="28"/>
      <c r="G75" t="s">
        <v>767</v>
      </c>
      <c r="I75" s="1"/>
    </row>
    <row r="76" spans="1:9" x14ac:dyDescent="0.25">
      <c r="A76" s="47">
        <f>MONTH(wf_table[[#This Row],[Trans Date]])</f>
        <v>4</v>
      </c>
      <c r="B76" s="4">
        <v>45022</v>
      </c>
      <c r="C76">
        <v>398.53</v>
      </c>
      <c r="D76" s="28">
        <f>D75+wf_table[[#This Row],[Debit_Amount]]</f>
        <v>250.89</v>
      </c>
      <c r="E76" s="28" t="str">
        <f>IF(wf_table[[#This Row],[Debit_Amount]]&lt;0,"debit","-")</f>
        <v>-</v>
      </c>
      <c r="F76" s="28" t="s">
        <v>885</v>
      </c>
      <c r="G76" t="s">
        <v>768</v>
      </c>
      <c r="I76" s="1"/>
    </row>
    <row r="77" spans="1:9" x14ac:dyDescent="0.25">
      <c r="A77" s="47">
        <f>MONTH(wf_table[[#This Row],[Trans Date]])</f>
        <v>4</v>
      </c>
      <c r="B77" s="4">
        <v>45023</v>
      </c>
      <c r="C77">
        <v>-25.09</v>
      </c>
      <c r="D77" s="28">
        <f>D76+wf_table[[#This Row],[Debit_Amount]]</f>
        <v>225.79999999999998</v>
      </c>
      <c r="E77" s="28" t="str">
        <f>IF(wf_table[[#This Row],[Debit_Amount]]&lt;0,"debit","-")</f>
        <v>debit</v>
      </c>
      <c r="F77" s="28"/>
      <c r="G77" t="s">
        <v>769</v>
      </c>
      <c r="I77" s="1"/>
    </row>
    <row r="78" spans="1:9" x14ac:dyDescent="0.25">
      <c r="A78" s="47">
        <f>MONTH(wf_table[[#This Row],[Trans Date]])</f>
        <v>4</v>
      </c>
      <c r="B78" s="4">
        <v>45023</v>
      </c>
      <c r="C78">
        <v>70</v>
      </c>
      <c r="D78" s="28">
        <f>D77+wf_table[[#This Row],[Debit_Amount]]</f>
        <v>295.79999999999995</v>
      </c>
      <c r="E78" s="28" t="str">
        <f>IF(wf_table[[#This Row],[Debit_Amount]]&lt;0,"debit","-")</f>
        <v>-</v>
      </c>
      <c r="F78" s="28"/>
      <c r="G78" t="s">
        <v>770</v>
      </c>
      <c r="I78" s="1"/>
    </row>
    <row r="79" spans="1:9" x14ac:dyDescent="0.25">
      <c r="A79" s="47">
        <f>MONTH(wf_table[[#This Row],[Trans Date]])</f>
        <v>4</v>
      </c>
      <c r="B79" s="4">
        <v>45026</v>
      </c>
      <c r="C79">
        <v>-50</v>
      </c>
      <c r="D79" s="28">
        <f>D78+wf_table[[#This Row],[Debit_Amount]]</f>
        <v>245.79999999999995</v>
      </c>
      <c r="E79" s="28" t="str">
        <f>IF(wf_table[[#This Row],[Debit_Amount]]&lt;0,"debit","-")</f>
        <v>debit</v>
      </c>
      <c r="F79" s="28"/>
      <c r="G79" t="s">
        <v>771</v>
      </c>
      <c r="I79" s="1"/>
    </row>
    <row r="80" spans="1:9" x14ac:dyDescent="0.25">
      <c r="A80" s="47">
        <f>MONTH(wf_table[[#This Row],[Trans Date]])</f>
        <v>4</v>
      </c>
      <c r="B80" s="4">
        <v>45026</v>
      </c>
      <c r="C80">
        <v>-150</v>
      </c>
      <c r="D80" s="28">
        <f>D79+wf_table[[#This Row],[Debit_Amount]]</f>
        <v>95.799999999999955</v>
      </c>
      <c r="E80" s="28" t="str">
        <f>IF(wf_table[[#This Row],[Debit_Amount]]&lt;0,"debit","-")</f>
        <v>debit</v>
      </c>
      <c r="F80" s="28"/>
      <c r="G80" t="s">
        <v>772</v>
      </c>
      <c r="I80" s="1"/>
    </row>
    <row r="81" spans="1:9" x14ac:dyDescent="0.25">
      <c r="A81" s="47">
        <f>MONTH(wf_table[[#This Row],[Trans Date]])</f>
        <v>4</v>
      </c>
      <c r="B81" s="4">
        <v>45026</v>
      </c>
      <c r="C81">
        <v>40</v>
      </c>
      <c r="D81" s="28">
        <f>D80+wf_table[[#This Row],[Debit_Amount]]</f>
        <v>135.79999999999995</v>
      </c>
      <c r="E81" s="28" t="str">
        <f>IF(wf_table[[#This Row],[Debit_Amount]]&lt;0,"debit","-")</f>
        <v>-</v>
      </c>
      <c r="F81" s="28"/>
      <c r="G81" t="s">
        <v>773</v>
      </c>
      <c r="I81" s="1"/>
    </row>
    <row r="82" spans="1:9" x14ac:dyDescent="0.25">
      <c r="A82" s="47">
        <f>MONTH(wf_table[[#This Row],[Trans Date]])</f>
        <v>4</v>
      </c>
      <c r="B82" s="4">
        <v>45033</v>
      </c>
      <c r="C82">
        <v>-100</v>
      </c>
      <c r="D82" s="28">
        <f>D81+wf_table[[#This Row],[Debit_Amount]]</f>
        <v>35.799999999999955</v>
      </c>
      <c r="E82" s="28" t="str">
        <f>IF(wf_table[[#This Row],[Debit_Amount]]&lt;0,"debit","-")</f>
        <v>debit</v>
      </c>
      <c r="F82" s="28"/>
      <c r="G82" t="s">
        <v>774</v>
      </c>
      <c r="I82" s="1"/>
    </row>
    <row r="83" spans="1:9" x14ac:dyDescent="0.25">
      <c r="A83" s="47">
        <f>MONTH(wf_table[[#This Row],[Trans Date]])</f>
        <v>4</v>
      </c>
      <c r="B83" s="4">
        <v>45033</v>
      </c>
      <c r="C83">
        <v>-100</v>
      </c>
      <c r="D83" s="28">
        <f>D82+wf_table[[#This Row],[Debit_Amount]]</f>
        <v>-64.200000000000045</v>
      </c>
      <c r="E83" s="28" t="str">
        <f>IF(wf_table[[#This Row],[Debit_Amount]]&lt;0,"debit","-")</f>
        <v>debit</v>
      </c>
      <c r="F83" s="28"/>
      <c r="G83" t="s">
        <v>775</v>
      </c>
      <c r="I83" s="1"/>
    </row>
    <row r="84" spans="1:9" x14ac:dyDescent="0.25">
      <c r="A84" s="47">
        <f>MONTH(wf_table[[#This Row],[Trans Date]])</f>
        <v>4</v>
      </c>
      <c r="B84" s="4">
        <v>45033</v>
      </c>
      <c r="C84">
        <v>150</v>
      </c>
      <c r="D84" s="28">
        <f>D83+wf_table[[#This Row],[Debit_Amount]]</f>
        <v>85.799999999999955</v>
      </c>
      <c r="E84" s="28" t="str">
        <f>IF(wf_table[[#This Row],[Debit_Amount]]&lt;0,"debit","-")</f>
        <v>-</v>
      </c>
      <c r="F84" s="28"/>
      <c r="G84" t="s">
        <v>776</v>
      </c>
      <c r="I84" s="1"/>
    </row>
    <row r="85" spans="1:9" x14ac:dyDescent="0.25">
      <c r="A85" s="47">
        <f>MONTH(wf_table[[#This Row],[Trans Date]])</f>
        <v>4</v>
      </c>
      <c r="B85" s="4">
        <v>45035</v>
      </c>
      <c r="C85">
        <v>-650</v>
      </c>
      <c r="D85" s="28">
        <f>D84+wf_table[[#This Row],[Debit_Amount]]</f>
        <v>-564.20000000000005</v>
      </c>
      <c r="E85" s="28" t="str">
        <f>IF(wf_table[[#This Row],[Debit_Amount]]&lt;0,"debit","-")</f>
        <v>debit</v>
      </c>
      <c r="F85" s="28"/>
      <c r="G85" t="s">
        <v>777</v>
      </c>
      <c r="I85" s="1"/>
    </row>
    <row r="86" spans="1:9" x14ac:dyDescent="0.25">
      <c r="A86" s="47">
        <f>MONTH(wf_table[[#This Row],[Trans Date]])</f>
        <v>4</v>
      </c>
      <c r="B86" s="4">
        <v>45035</v>
      </c>
      <c r="C86">
        <v>250</v>
      </c>
      <c r="D86" s="28">
        <f>D85+wf_table[[#This Row],[Debit_Amount]]</f>
        <v>-314.20000000000005</v>
      </c>
      <c r="E86" s="28" t="str">
        <f>IF(wf_table[[#This Row],[Debit_Amount]]&lt;0,"debit","-")</f>
        <v>-</v>
      </c>
      <c r="F86" s="28"/>
      <c r="G86" t="s">
        <v>778</v>
      </c>
      <c r="I86" s="1"/>
    </row>
    <row r="87" spans="1:9" x14ac:dyDescent="0.25">
      <c r="A87" s="47">
        <f>MONTH(wf_table[[#This Row],[Trans Date]])</f>
        <v>4</v>
      </c>
      <c r="B87" s="4">
        <v>45036</v>
      </c>
      <c r="C87">
        <v>398.53</v>
      </c>
      <c r="D87" s="28">
        <f>D86+wf_table[[#This Row],[Debit_Amount]]</f>
        <v>84.329999999999927</v>
      </c>
      <c r="E87" s="28" t="str">
        <f>IF(wf_table[[#This Row],[Debit_Amount]]&lt;0,"debit","-")</f>
        <v>-</v>
      </c>
      <c r="F87" s="28" t="s">
        <v>885</v>
      </c>
      <c r="G87" t="s">
        <v>779</v>
      </c>
      <c r="I87" s="1"/>
    </row>
    <row r="88" spans="1:9" x14ac:dyDescent="0.25">
      <c r="A88" s="47">
        <f>MONTH(wf_table[[#This Row],[Trans Date]])</f>
        <v>4</v>
      </c>
      <c r="B88" s="4">
        <v>45040</v>
      </c>
      <c r="C88">
        <v>-80</v>
      </c>
      <c r="D88" s="28">
        <f>D87+wf_table[[#This Row],[Debit_Amount]]</f>
        <v>4.3299999999999272</v>
      </c>
      <c r="E88" s="28" t="str">
        <f>IF(wf_table[[#This Row],[Debit_Amount]]&lt;0,"debit","-")</f>
        <v>debit</v>
      </c>
      <c r="F88" s="28"/>
      <c r="G88" t="s">
        <v>780</v>
      </c>
      <c r="I88" s="1"/>
    </row>
    <row r="89" spans="1:9" x14ac:dyDescent="0.25">
      <c r="A89" s="47">
        <f>MONTH(wf_table[[#This Row],[Trans Date]])</f>
        <v>5</v>
      </c>
      <c r="B89" s="4">
        <v>45049</v>
      </c>
      <c r="C89">
        <v>1</v>
      </c>
      <c r="D89" s="28">
        <f>D88+wf_table[[#This Row],[Debit_Amount]]</f>
        <v>5.3299999999999272</v>
      </c>
      <c r="E89" s="28" t="str">
        <f>IF(wf_table[[#This Row],[Debit_Amount]]&lt;0,"debit","-")</f>
        <v>-</v>
      </c>
      <c r="F89" s="28"/>
      <c r="G89" t="s">
        <v>781</v>
      </c>
      <c r="I89" s="1"/>
    </row>
    <row r="90" spans="1:9" x14ac:dyDescent="0.25">
      <c r="A90" s="47">
        <f>MONTH(wf_table[[#This Row],[Trans Date]])</f>
        <v>5</v>
      </c>
      <c r="B90" s="4">
        <v>45050</v>
      </c>
      <c r="C90">
        <v>398.53</v>
      </c>
      <c r="D90" s="28">
        <f>D89+wf_table[[#This Row],[Debit_Amount]]</f>
        <v>403.8599999999999</v>
      </c>
      <c r="E90" s="28" t="str">
        <f>IF(wf_table[[#This Row],[Debit_Amount]]&lt;0,"debit","-")</f>
        <v>-</v>
      </c>
      <c r="F90" s="28" t="s">
        <v>885</v>
      </c>
      <c r="G90" t="s">
        <v>782</v>
      </c>
      <c r="I90" s="1"/>
    </row>
    <row r="91" spans="1:9" x14ac:dyDescent="0.25">
      <c r="A91" s="47">
        <f>MONTH(wf_table[[#This Row],[Trans Date]])</f>
        <v>5</v>
      </c>
      <c r="B91" s="4">
        <v>45057</v>
      </c>
      <c r="C91">
        <v>-27.58</v>
      </c>
      <c r="D91" s="28">
        <f>D90+wf_table[[#This Row],[Debit_Amount]]</f>
        <v>376.27999999999992</v>
      </c>
      <c r="E91" s="28" t="str">
        <f>IF(wf_table[[#This Row],[Debit_Amount]]&lt;0,"debit","-")</f>
        <v>debit</v>
      </c>
      <c r="F91" s="28"/>
      <c r="G91" t="s">
        <v>783</v>
      </c>
      <c r="I91" s="1"/>
    </row>
    <row r="92" spans="1:9" x14ac:dyDescent="0.25">
      <c r="A92" s="47">
        <f>MONTH(wf_table[[#This Row],[Trans Date]])</f>
        <v>5</v>
      </c>
      <c r="B92" s="4">
        <v>45058</v>
      </c>
      <c r="C92">
        <v>-100</v>
      </c>
      <c r="D92" s="28">
        <f>D91+wf_table[[#This Row],[Debit_Amount]]</f>
        <v>276.27999999999992</v>
      </c>
      <c r="E92" s="28" t="str">
        <f>IF(wf_table[[#This Row],[Debit_Amount]]&lt;0,"debit","-")</f>
        <v>debit</v>
      </c>
      <c r="F92" s="28"/>
      <c r="G92" t="s">
        <v>784</v>
      </c>
      <c r="I92" s="1"/>
    </row>
    <row r="93" spans="1:9" x14ac:dyDescent="0.25">
      <c r="A93" s="47">
        <f>MONTH(wf_table[[#This Row],[Trans Date]])</f>
        <v>5</v>
      </c>
      <c r="B93" s="4">
        <v>45061</v>
      </c>
      <c r="C93">
        <v>-34.5</v>
      </c>
      <c r="D93" s="28">
        <f>D92+wf_table[[#This Row],[Debit_Amount]]</f>
        <v>241.77999999999992</v>
      </c>
      <c r="E93" s="28" t="str">
        <f>IF(wf_table[[#This Row],[Debit_Amount]]&lt;0,"debit","-")</f>
        <v>debit</v>
      </c>
      <c r="F93" s="28"/>
      <c r="G93" t="s">
        <v>785</v>
      </c>
      <c r="I93" s="1"/>
    </row>
    <row r="94" spans="1:9" x14ac:dyDescent="0.25">
      <c r="A94" s="47">
        <f>MONTH(wf_table[[#This Row],[Trans Date]])</f>
        <v>5</v>
      </c>
      <c r="B94" s="4">
        <v>45061</v>
      </c>
      <c r="C94">
        <v>134.78</v>
      </c>
      <c r="D94" s="28">
        <f>D93+wf_table[[#This Row],[Debit_Amount]]</f>
        <v>376.55999999999995</v>
      </c>
      <c r="E94" s="28" t="str">
        <f>IF(wf_table[[#This Row],[Debit_Amount]]&lt;0,"debit","-")</f>
        <v>-</v>
      </c>
      <c r="F94" s="28"/>
      <c r="G94" t="s">
        <v>786</v>
      </c>
      <c r="I94" s="1"/>
    </row>
    <row r="95" spans="1:9" x14ac:dyDescent="0.25">
      <c r="A95" s="47">
        <f>MONTH(wf_table[[#This Row],[Trans Date]])</f>
        <v>5</v>
      </c>
      <c r="B95" s="4">
        <v>45062</v>
      </c>
      <c r="C95">
        <v>-650</v>
      </c>
      <c r="D95" s="28">
        <f>D94+wf_table[[#This Row],[Debit_Amount]]</f>
        <v>-273.44000000000005</v>
      </c>
      <c r="E95" s="28" t="str">
        <f>IF(wf_table[[#This Row],[Debit_Amount]]&lt;0,"debit","-")</f>
        <v>debit</v>
      </c>
      <c r="F95" s="28"/>
      <c r="G95" t="s">
        <v>787</v>
      </c>
      <c r="I95" s="1"/>
    </row>
    <row r="96" spans="1:9" x14ac:dyDescent="0.25">
      <c r="A96" s="47">
        <f>MONTH(wf_table[[#This Row],[Trans Date]])</f>
        <v>5</v>
      </c>
      <c r="B96" s="4">
        <v>45064</v>
      </c>
      <c r="C96">
        <v>398.53</v>
      </c>
      <c r="D96" s="28">
        <f>D95+wf_table[[#This Row],[Debit_Amount]]</f>
        <v>125.08999999999992</v>
      </c>
      <c r="E96" s="28" t="str">
        <f>IF(wf_table[[#This Row],[Debit_Amount]]&lt;0,"debit","-")</f>
        <v>-</v>
      </c>
      <c r="F96" s="28" t="s">
        <v>885</v>
      </c>
      <c r="G96" t="s">
        <v>788</v>
      </c>
      <c r="I96" s="1"/>
    </row>
    <row r="97" spans="1:9" x14ac:dyDescent="0.25">
      <c r="A97" s="47">
        <f>MONTH(wf_table[[#This Row],[Trans Date]])</f>
        <v>5</v>
      </c>
      <c r="B97" s="4">
        <v>45068</v>
      </c>
      <c r="C97">
        <v>-100</v>
      </c>
      <c r="D97" s="28">
        <f>D96+wf_table[[#This Row],[Debit_Amount]]</f>
        <v>25.089999999999918</v>
      </c>
      <c r="E97" s="28" t="str">
        <f>IF(wf_table[[#This Row],[Debit_Amount]]&lt;0,"debit","-")</f>
        <v>debit</v>
      </c>
      <c r="F97" s="28"/>
      <c r="G97" t="s">
        <v>789</v>
      </c>
      <c r="I97" s="1"/>
    </row>
    <row r="98" spans="1:9" x14ac:dyDescent="0.25">
      <c r="A98" s="47">
        <f>MONTH(wf_table[[#This Row],[Trans Date]])</f>
        <v>5</v>
      </c>
      <c r="B98" s="4">
        <v>45076</v>
      </c>
      <c r="C98">
        <v>-0.27</v>
      </c>
      <c r="D98" s="28">
        <f>D97+wf_table[[#This Row],[Debit_Amount]]</f>
        <v>24.819999999999919</v>
      </c>
      <c r="E98" s="28" t="str">
        <f>IF(wf_table[[#This Row],[Debit_Amount]]&lt;0,"debit","-")</f>
        <v>debit</v>
      </c>
      <c r="F98" s="28"/>
      <c r="G98" t="s">
        <v>790</v>
      </c>
      <c r="I98" s="1"/>
    </row>
    <row r="99" spans="1:9" x14ac:dyDescent="0.25">
      <c r="A99" s="47">
        <f>MONTH(wf_table[[#This Row],[Trans Date]])</f>
        <v>5</v>
      </c>
      <c r="B99" s="4">
        <v>45076</v>
      </c>
      <c r="C99">
        <v>-9.0399999999999991</v>
      </c>
      <c r="D99" s="28">
        <f>D98+wf_table[[#This Row],[Debit_Amount]]</f>
        <v>15.779999999999919</v>
      </c>
      <c r="E99" s="28" t="str">
        <f>IF(wf_table[[#This Row],[Debit_Amount]]&lt;0,"debit","-")</f>
        <v>debit</v>
      </c>
      <c r="F99" s="28"/>
      <c r="G99" t="s">
        <v>791</v>
      </c>
      <c r="I99" s="1"/>
    </row>
    <row r="100" spans="1:9" x14ac:dyDescent="0.25">
      <c r="A100" s="47">
        <f>MONTH(wf_table[[#This Row],[Trans Date]])</f>
        <v>6</v>
      </c>
      <c r="B100" s="4">
        <v>45078</v>
      </c>
      <c r="C100">
        <v>538.33000000000004</v>
      </c>
      <c r="D100" s="28">
        <f>D99+wf_table[[#This Row],[Debit_Amount]]</f>
        <v>554.11</v>
      </c>
      <c r="E100" s="28" t="str">
        <f>IF(wf_table[[#This Row],[Debit_Amount]]&lt;0,"debit","-")</f>
        <v>-</v>
      </c>
      <c r="F100" s="28"/>
      <c r="G100" t="s">
        <v>792</v>
      </c>
      <c r="I100" s="1"/>
    </row>
    <row r="101" spans="1:9" x14ac:dyDescent="0.25">
      <c r="A101" s="47">
        <f>MONTH(wf_table[[#This Row],[Trans Date]])</f>
        <v>6</v>
      </c>
      <c r="B101" s="4">
        <v>45082</v>
      </c>
      <c r="C101">
        <v>-0.15</v>
      </c>
      <c r="D101" s="28">
        <f>D100+wf_table[[#This Row],[Debit_Amount]]</f>
        <v>553.96</v>
      </c>
      <c r="E101" s="28" t="str">
        <f>IF(wf_table[[#This Row],[Debit_Amount]]&lt;0,"debit","-")</f>
        <v>debit</v>
      </c>
      <c r="F101" s="28"/>
      <c r="G101" t="s">
        <v>790</v>
      </c>
      <c r="I101" s="1"/>
    </row>
    <row r="102" spans="1:9" x14ac:dyDescent="0.25">
      <c r="A102" s="47">
        <f>MONTH(wf_table[[#This Row],[Trans Date]])</f>
        <v>6</v>
      </c>
      <c r="B102" s="4">
        <v>45082</v>
      </c>
      <c r="C102">
        <v>-5.17</v>
      </c>
      <c r="D102" s="28">
        <f>D101+wf_table[[#This Row],[Debit_Amount]]</f>
        <v>548.79000000000008</v>
      </c>
      <c r="E102" s="28" t="str">
        <f>IF(wf_table[[#This Row],[Debit_Amount]]&lt;0,"debit","-")</f>
        <v>debit</v>
      </c>
      <c r="F102" s="28"/>
      <c r="G102" t="s">
        <v>793</v>
      </c>
      <c r="I102" s="1"/>
    </row>
    <row r="103" spans="1:9" x14ac:dyDescent="0.25">
      <c r="A103" s="47">
        <f>MONTH(wf_table[[#This Row],[Trans Date]])</f>
        <v>6</v>
      </c>
      <c r="B103" s="4">
        <v>45082</v>
      </c>
      <c r="C103">
        <v>-0.25</v>
      </c>
      <c r="D103" s="28">
        <f>D102+wf_table[[#This Row],[Debit_Amount]]</f>
        <v>548.54000000000008</v>
      </c>
      <c r="E103" s="28" t="str">
        <f>IF(wf_table[[#This Row],[Debit_Amount]]&lt;0,"debit","-")</f>
        <v>debit</v>
      </c>
      <c r="F103" s="28"/>
      <c r="G103" t="s">
        <v>790</v>
      </c>
      <c r="I103" s="1"/>
    </row>
    <row r="104" spans="1:9" x14ac:dyDescent="0.25">
      <c r="A104" s="47">
        <f>MONTH(wf_table[[#This Row],[Trans Date]])</f>
        <v>6</v>
      </c>
      <c r="B104" s="4">
        <v>45082</v>
      </c>
      <c r="C104">
        <v>-8.6199999999999992</v>
      </c>
      <c r="D104" s="28">
        <f>D103+wf_table[[#This Row],[Debit_Amount]]</f>
        <v>539.92000000000007</v>
      </c>
      <c r="E104" s="28" t="str">
        <f>IF(wf_table[[#This Row],[Debit_Amount]]&lt;0,"debit","-")</f>
        <v>debit</v>
      </c>
      <c r="F104" s="28"/>
      <c r="G104" t="s">
        <v>794</v>
      </c>
      <c r="I104" s="1"/>
    </row>
    <row r="105" spans="1:9" x14ac:dyDescent="0.25">
      <c r="A105" s="47">
        <f>MONTH(wf_table[[#This Row],[Trans Date]])</f>
        <v>6</v>
      </c>
      <c r="B105" s="4">
        <v>45082</v>
      </c>
      <c r="C105">
        <v>-0.48</v>
      </c>
      <c r="D105" s="28">
        <f>D104+wf_table[[#This Row],[Debit_Amount]]</f>
        <v>539.44000000000005</v>
      </c>
      <c r="E105" s="28" t="str">
        <f>IF(wf_table[[#This Row],[Debit_Amount]]&lt;0,"debit","-")</f>
        <v>debit</v>
      </c>
      <c r="F105" s="28"/>
      <c r="G105" t="s">
        <v>790</v>
      </c>
      <c r="I105" s="1"/>
    </row>
    <row r="106" spans="1:9" x14ac:dyDescent="0.25">
      <c r="A106" s="47">
        <f>MONTH(wf_table[[#This Row],[Trans Date]])</f>
        <v>6</v>
      </c>
      <c r="B106" s="4">
        <v>45082</v>
      </c>
      <c r="C106">
        <v>-16.170000000000002</v>
      </c>
      <c r="D106" s="28">
        <f>D105+wf_table[[#This Row],[Debit_Amount]]</f>
        <v>523.2700000000001</v>
      </c>
      <c r="E106" s="28" t="str">
        <f>IF(wf_table[[#This Row],[Debit_Amount]]&lt;0,"debit","-")</f>
        <v>debit</v>
      </c>
      <c r="F106" s="28"/>
      <c r="G106" t="s">
        <v>795</v>
      </c>
      <c r="I106" s="1"/>
    </row>
    <row r="107" spans="1:9" x14ac:dyDescent="0.25">
      <c r="A107" s="47">
        <f>MONTH(wf_table[[#This Row],[Trans Date]])</f>
        <v>6</v>
      </c>
      <c r="B107" s="4">
        <v>45082</v>
      </c>
      <c r="C107">
        <v>-0.28999999999999998</v>
      </c>
      <c r="D107" s="28">
        <f>D106+wf_table[[#This Row],[Debit_Amount]]</f>
        <v>522.98000000000013</v>
      </c>
      <c r="E107" s="28" t="str">
        <f>IF(wf_table[[#This Row],[Debit_Amount]]&lt;0,"debit","-")</f>
        <v>debit</v>
      </c>
      <c r="F107" s="28"/>
      <c r="G107" t="s">
        <v>790</v>
      </c>
      <c r="I107" s="1"/>
    </row>
    <row r="108" spans="1:9" x14ac:dyDescent="0.25">
      <c r="A108" s="47">
        <f>MONTH(wf_table[[#This Row],[Trans Date]])</f>
        <v>6</v>
      </c>
      <c r="B108" s="4">
        <v>45082</v>
      </c>
      <c r="C108">
        <v>-9.6999999999999993</v>
      </c>
      <c r="D108" s="28">
        <f>D107+wf_table[[#This Row],[Debit_Amount]]</f>
        <v>513.28000000000009</v>
      </c>
      <c r="E108" s="28" t="str">
        <f>IF(wf_table[[#This Row],[Debit_Amount]]&lt;0,"debit","-")</f>
        <v>debit</v>
      </c>
      <c r="F108" s="28"/>
      <c r="G108" t="s">
        <v>796</v>
      </c>
      <c r="I108" s="1"/>
    </row>
    <row r="109" spans="1:9" x14ac:dyDescent="0.25">
      <c r="A109" s="47">
        <f>MONTH(wf_table[[#This Row],[Trans Date]])</f>
        <v>6</v>
      </c>
      <c r="B109" s="4">
        <v>45082</v>
      </c>
      <c r="C109">
        <v>-0.14000000000000001</v>
      </c>
      <c r="D109" s="28">
        <f>D108+wf_table[[#This Row],[Debit_Amount]]</f>
        <v>513.1400000000001</v>
      </c>
      <c r="E109" s="28" t="str">
        <f>IF(wf_table[[#This Row],[Debit_Amount]]&lt;0,"debit","-")</f>
        <v>debit</v>
      </c>
      <c r="F109" s="28"/>
      <c r="G109" t="s">
        <v>790</v>
      </c>
      <c r="I109" s="1"/>
    </row>
    <row r="110" spans="1:9" x14ac:dyDescent="0.25">
      <c r="A110" s="47">
        <f>MONTH(wf_table[[#This Row],[Trans Date]])</f>
        <v>6</v>
      </c>
      <c r="B110" s="4">
        <v>45082</v>
      </c>
      <c r="C110">
        <v>-4.8499999999999996</v>
      </c>
      <c r="D110" s="28">
        <f>D109+wf_table[[#This Row],[Debit_Amount]]</f>
        <v>508.29000000000008</v>
      </c>
      <c r="E110" s="28" t="str">
        <f>IF(wf_table[[#This Row],[Debit_Amount]]&lt;0,"debit","-")</f>
        <v>debit</v>
      </c>
      <c r="F110" s="28"/>
      <c r="G110" t="s">
        <v>797</v>
      </c>
      <c r="I110" s="1"/>
    </row>
    <row r="111" spans="1:9" x14ac:dyDescent="0.25">
      <c r="A111" s="47">
        <f>MONTH(wf_table[[#This Row],[Trans Date]])</f>
        <v>6</v>
      </c>
      <c r="B111" s="4">
        <v>45082</v>
      </c>
      <c r="C111">
        <v>-0.14000000000000001</v>
      </c>
      <c r="D111" s="28">
        <f>D110+wf_table[[#This Row],[Debit_Amount]]</f>
        <v>508.15000000000009</v>
      </c>
      <c r="E111" s="28" t="str">
        <f>IF(wf_table[[#This Row],[Debit_Amount]]&lt;0,"debit","-")</f>
        <v>debit</v>
      </c>
      <c r="F111" s="28"/>
      <c r="G111" t="s">
        <v>790</v>
      </c>
      <c r="I111" s="1"/>
    </row>
    <row r="112" spans="1:9" x14ac:dyDescent="0.25">
      <c r="A112" s="47">
        <f>MONTH(wf_table[[#This Row],[Trans Date]])</f>
        <v>6</v>
      </c>
      <c r="B112" s="4">
        <v>45082</v>
      </c>
      <c r="C112">
        <v>-4.8499999999999996</v>
      </c>
      <c r="D112" s="28">
        <f>D111+wf_table[[#This Row],[Debit_Amount]]</f>
        <v>503.30000000000007</v>
      </c>
      <c r="E112" s="28" t="str">
        <f>IF(wf_table[[#This Row],[Debit_Amount]]&lt;0,"debit","-")</f>
        <v>debit</v>
      </c>
      <c r="F112" s="28"/>
      <c r="G112" t="s">
        <v>798</v>
      </c>
      <c r="I112" s="1"/>
    </row>
    <row r="113" spans="1:9" x14ac:dyDescent="0.25">
      <c r="A113" s="47">
        <f>MONTH(wf_table[[#This Row],[Trans Date]])</f>
        <v>6</v>
      </c>
      <c r="B113" s="4">
        <v>45083</v>
      </c>
      <c r="C113">
        <v>-0.2</v>
      </c>
      <c r="D113" s="28">
        <f>D112+wf_table[[#This Row],[Debit_Amount]]</f>
        <v>503.10000000000008</v>
      </c>
      <c r="E113" s="28" t="str">
        <f>IF(wf_table[[#This Row],[Debit_Amount]]&lt;0,"debit","-")</f>
        <v>debit</v>
      </c>
      <c r="F113" s="28"/>
      <c r="G113" t="s">
        <v>790</v>
      </c>
      <c r="I113" s="1"/>
    </row>
    <row r="114" spans="1:9" x14ac:dyDescent="0.25">
      <c r="A114" s="47">
        <f>MONTH(wf_table[[#This Row],[Trans Date]])</f>
        <v>6</v>
      </c>
      <c r="B114" s="4">
        <v>45083</v>
      </c>
      <c r="C114">
        <v>-6.79</v>
      </c>
      <c r="D114" s="28">
        <f>D113+wf_table[[#This Row],[Debit_Amount]]</f>
        <v>496.31000000000006</v>
      </c>
      <c r="E114" s="28" t="str">
        <f>IF(wf_table[[#This Row],[Debit_Amount]]&lt;0,"debit","-")</f>
        <v>debit</v>
      </c>
      <c r="F114" s="28"/>
      <c r="G114" t="s">
        <v>799</v>
      </c>
      <c r="I114" s="1"/>
    </row>
    <row r="115" spans="1:9" x14ac:dyDescent="0.25">
      <c r="A115" s="47">
        <f>MONTH(wf_table[[#This Row],[Trans Date]])</f>
        <v>6</v>
      </c>
      <c r="B115" s="4">
        <v>45084</v>
      </c>
      <c r="C115">
        <v>-0.08</v>
      </c>
      <c r="D115" s="28">
        <f>D114+wf_table[[#This Row],[Debit_Amount]]</f>
        <v>496.23000000000008</v>
      </c>
      <c r="E115" s="28" t="str">
        <f>IF(wf_table[[#This Row],[Debit_Amount]]&lt;0,"debit","-")</f>
        <v>debit</v>
      </c>
      <c r="F115" s="28"/>
      <c r="G115" t="s">
        <v>790</v>
      </c>
      <c r="I115" s="1"/>
    </row>
    <row r="116" spans="1:9" x14ac:dyDescent="0.25">
      <c r="A116" s="47">
        <f>MONTH(wf_table[[#This Row],[Trans Date]])</f>
        <v>6</v>
      </c>
      <c r="B116" s="4">
        <v>45084</v>
      </c>
      <c r="C116">
        <v>-2.68</v>
      </c>
      <c r="D116" s="28">
        <f>D115+wf_table[[#This Row],[Debit_Amount]]</f>
        <v>493.55000000000007</v>
      </c>
      <c r="E116" s="28" t="str">
        <f>IF(wf_table[[#This Row],[Debit_Amount]]&lt;0,"debit","-")</f>
        <v>debit</v>
      </c>
      <c r="F116" s="28"/>
      <c r="G116" t="s">
        <v>800</v>
      </c>
      <c r="I116" s="1"/>
    </row>
    <row r="117" spans="1:9" x14ac:dyDescent="0.25">
      <c r="A117" s="47">
        <f>MONTH(wf_table[[#This Row],[Trans Date]])</f>
        <v>6</v>
      </c>
      <c r="B117" s="4">
        <v>45084</v>
      </c>
      <c r="C117">
        <v>-0.63</v>
      </c>
      <c r="D117" s="28">
        <f>D116+wf_table[[#This Row],[Debit_Amount]]</f>
        <v>492.92000000000007</v>
      </c>
      <c r="E117" s="28" t="str">
        <f>IF(wf_table[[#This Row],[Debit_Amount]]&lt;0,"debit","-")</f>
        <v>debit</v>
      </c>
      <c r="F117" s="28"/>
      <c r="G117" t="s">
        <v>790</v>
      </c>
      <c r="I117" s="1"/>
    </row>
    <row r="118" spans="1:9" x14ac:dyDescent="0.25">
      <c r="A118" s="47">
        <f>MONTH(wf_table[[#This Row],[Trans Date]])</f>
        <v>6</v>
      </c>
      <c r="B118" s="4">
        <v>45084</v>
      </c>
      <c r="C118">
        <v>-21.07</v>
      </c>
      <c r="D118" s="28">
        <f>D117+wf_table[[#This Row],[Debit_Amount]]</f>
        <v>471.85000000000008</v>
      </c>
      <c r="E118" s="28" t="str">
        <f>IF(wf_table[[#This Row],[Debit_Amount]]&lt;0,"debit","-")</f>
        <v>debit</v>
      </c>
      <c r="F118" s="28"/>
      <c r="G118" t="s">
        <v>801</v>
      </c>
      <c r="I118" s="1"/>
    </row>
    <row r="119" spans="1:9" x14ac:dyDescent="0.25">
      <c r="A119" s="47">
        <f>MONTH(wf_table[[#This Row],[Trans Date]])</f>
        <v>6</v>
      </c>
      <c r="B119" s="4">
        <v>45084</v>
      </c>
      <c r="C119">
        <v>-0.55000000000000004</v>
      </c>
      <c r="D119" s="28">
        <f>D118+wf_table[[#This Row],[Debit_Amount]]</f>
        <v>471.30000000000007</v>
      </c>
      <c r="E119" s="28" t="str">
        <f>IF(wf_table[[#This Row],[Debit_Amount]]&lt;0,"debit","-")</f>
        <v>debit</v>
      </c>
      <c r="F119" s="28"/>
      <c r="G119" t="s">
        <v>790</v>
      </c>
      <c r="I119" s="1"/>
    </row>
    <row r="120" spans="1:9" x14ac:dyDescent="0.25">
      <c r="A120" s="47">
        <f>MONTH(wf_table[[#This Row],[Trans Date]])</f>
        <v>6</v>
      </c>
      <c r="B120" s="4">
        <v>45084</v>
      </c>
      <c r="C120">
        <v>-18.45</v>
      </c>
      <c r="D120" s="28">
        <f>D119+wf_table[[#This Row],[Debit_Amount]]</f>
        <v>452.85000000000008</v>
      </c>
      <c r="E120" s="28" t="str">
        <f>IF(wf_table[[#This Row],[Debit_Amount]]&lt;0,"debit","-")</f>
        <v>debit</v>
      </c>
      <c r="F120" s="28"/>
      <c r="G120" t="s">
        <v>802</v>
      </c>
      <c r="I120" s="1"/>
    </row>
    <row r="121" spans="1:9" x14ac:dyDescent="0.25">
      <c r="A121" s="47">
        <f>MONTH(wf_table[[#This Row],[Trans Date]])</f>
        <v>6</v>
      </c>
      <c r="B121" s="4">
        <v>45084</v>
      </c>
      <c r="C121">
        <v>-0.19</v>
      </c>
      <c r="D121" s="28">
        <f>D120+wf_table[[#This Row],[Debit_Amount]]</f>
        <v>452.66000000000008</v>
      </c>
      <c r="E121" s="28" t="str">
        <f>IF(wf_table[[#This Row],[Debit_Amount]]&lt;0,"debit","-")</f>
        <v>debit</v>
      </c>
      <c r="F121" s="28"/>
      <c r="G121" t="s">
        <v>790</v>
      </c>
      <c r="I121" s="1"/>
    </row>
    <row r="122" spans="1:9" x14ac:dyDescent="0.25">
      <c r="A122" s="47">
        <f>MONTH(wf_table[[#This Row],[Trans Date]])</f>
        <v>6</v>
      </c>
      <c r="B122" s="4">
        <v>45084</v>
      </c>
      <c r="C122">
        <v>-6.6</v>
      </c>
      <c r="D122" s="28">
        <f>D121+wf_table[[#This Row],[Debit_Amount]]</f>
        <v>446.06000000000006</v>
      </c>
      <c r="E122" s="28" t="str">
        <f>IF(wf_table[[#This Row],[Debit_Amount]]&lt;0,"debit","-")</f>
        <v>debit</v>
      </c>
      <c r="F122" s="28"/>
      <c r="G122" t="s">
        <v>803</v>
      </c>
      <c r="I122" s="1"/>
    </row>
    <row r="123" spans="1:9" x14ac:dyDescent="0.25">
      <c r="A123" s="47">
        <f>MONTH(wf_table[[#This Row],[Trans Date]])</f>
        <v>6</v>
      </c>
      <c r="B123" s="4">
        <v>45085</v>
      </c>
      <c r="C123">
        <v>-0.04</v>
      </c>
      <c r="D123" s="28">
        <f>D122+wf_table[[#This Row],[Debit_Amount]]</f>
        <v>446.02000000000004</v>
      </c>
      <c r="E123" s="28" t="str">
        <f>IF(wf_table[[#This Row],[Debit_Amount]]&lt;0,"debit","-")</f>
        <v>debit</v>
      </c>
      <c r="F123" s="28"/>
      <c r="G123" t="s">
        <v>790</v>
      </c>
      <c r="I123" s="1"/>
    </row>
    <row r="124" spans="1:9" x14ac:dyDescent="0.25">
      <c r="A124" s="47">
        <f>MONTH(wf_table[[#This Row],[Trans Date]])</f>
        <v>6</v>
      </c>
      <c r="B124" s="4">
        <v>45085</v>
      </c>
      <c r="C124">
        <v>-1.61</v>
      </c>
      <c r="D124" s="28">
        <f>D123+wf_table[[#This Row],[Debit_Amount]]</f>
        <v>444.41</v>
      </c>
      <c r="E124" s="28" t="str">
        <f>IF(wf_table[[#This Row],[Debit_Amount]]&lt;0,"debit","-")</f>
        <v>debit</v>
      </c>
      <c r="F124" s="28"/>
      <c r="G124" t="s">
        <v>804</v>
      </c>
      <c r="I124" s="1"/>
    </row>
    <row r="125" spans="1:9" x14ac:dyDescent="0.25">
      <c r="A125" s="47">
        <f>MONTH(wf_table[[#This Row],[Trans Date]])</f>
        <v>6</v>
      </c>
      <c r="B125" s="4">
        <v>45085</v>
      </c>
      <c r="C125">
        <v>-7.0000000000000007E-2</v>
      </c>
      <c r="D125" s="28">
        <f>D124+wf_table[[#This Row],[Debit_Amount]]</f>
        <v>444.34000000000003</v>
      </c>
      <c r="E125" s="28" t="str">
        <f>IF(wf_table[[#This Row],[Debit_Amount]]&lt;0,"debit","-")</f>
        <v>debit</v>
      </c>
      <c r="F125" s="28"/>
      <c r="G125" t="s">
        <v>790</v>
      </c>
      <c r="I125" s="1"/>
    </row>
    <row r="126" spans="1:9" x14ac:dyDescent="0.25">
      <c r="A126" s="47">
        <f>MONTH(wf_table[[#This Row],[Trans Date]])</f>
        <v>6</v>
      </c>
      <c r="B126" s="4">
        <v>45085</v>
      </c>
      <c r="C126">
        <v>-2.59</v>
      </c>
      <c r="D126" s="28">
        <f>D125+wf_table[[#This Row],[Debit_Amount]]</f>
        <v>441.75000000000006</v>
      </c>
      <c r="E126" s="28" t="str">
        <f>IF(wf_table[[#This Row],[Debit_Amount]]&lt;0,"debit","-")</f>
        <v>debit</v>
      </c>
      <c r="F126" s="28"/>
      <c r="G126" t="s">
        <v>805</v>
      </c>
      <c r="I126" s="1"/>
    </row>
    <row r="127" spans="1:9" x14ac:dyDescent="0.25">
      <c r="A127" s="47">
        <f>MONTH(wf_table[[#This Row],[Trans Date]])</f>
        <v>6</v>
      </c>
      <c r="B127" s="4">
        <v>45085</v>
      </c>
      <c r="C127">
        <v>-1.25</v>
      </c>
      <c r="D127" s="28">
        <f>D126+wf_table[[#This Row],[Debit_Amount]]</f>
        <v>440.50000000000006</v>
      </c>
      <c r="E127" s="28" t="str">
        <f>IF(wf_table[[#This Row],[Debit_Amount]]&lt;0,"debit","-")</f>
        <v>debit</v>
      </c>
      <c r="F127" s="28"/>
      <c r="G127" t="s">
        <v>790</v>
      </c>
      <c r="I127" s="1"/>
    </row>
    <row r="128" spans="1:9" x14ac:dyDescent="0.25">
      <c r="A128" s="47">
        <f>MONTH(wf_table[[#This Row],[Trans Date]])</f>
        <v>6</v>
      </c>
      <c r="B128" s="4">
        <v>45085</v>
      </c>
      <c r="C128">
        <v>-41.76</v>
      </c>
      <c r="D128" s="28">
        <f>D127+wf_table[[#This Row],[Debit_Amount]]</f>
        <v>398.74000000000007</v>
      </c>
      <c r="E128" s="28" t="str">
        <f>IF(wf_table[[#This Row],[Debit_Amount]]&lt;0,"debit","-")</f>
        <v>debit</v>
      </c>
      <c r="F128" s="28"/>
      <c r="G128" t="s">
        <v>806</v>
      </c>
      <c r="I128" s="1"/>
    </row>
    <row r="129" spans="1:9" x14ac:dyDescent="0.25">
      <c r="A129" s="47">
        <f>MONTH(wf_table[[#This Row],[Trans Date]])</f>
        <v>6</v>
      </c>
      <c r="B129" s="4">
        <v>45085</v>
      </c>
      <c r="C129">
        <v>-0.24</v>
      </c>
      <c r="D129" s="28">
        <f>D128+wf_table[[#This Row],[Debit_Amount]]</f>
        <v>398.50000000000006</v>
      </c>
      <c r="E129" s="28" t="str">
        <f>IF(wf_table[[#This Row],[Debit_Amount]]&lt;0,"debit","-")</f>
        <v>debit</v>
      </c>
      <c r="F129" s="28"/>
      <c r="G129" t="s">
        <v>790</v>
      </c>
      <c r="I129" s="1"/>
    </row>
    <row r="130" spans="1:9" x14ac:dyDescent="0.25">
      <c r="A130" s="47">
        <f>MONTH(wf_table[[#This Row],[Trans Date]])</f>
        <v>6</v>
      </c>
      <c r="B130" s="4">
        <v>45085</v>
      </c>
      <c r="C130">
        <v>-8.0500000000000007</v>
      </c>
      <c r="D130" s="28">
        <f>D129+wf_table[[#This Row],[Debit_Amount]]</f>
        <v>390.45000000000005</v>
      </c>
      <c r="E130" s="28" t="str">
        <f>IF(wf_table[[#This Row],[Debit_Amount]]&lt;0,"debit","-")</f>
        <v>debit</v>
      </c>
      <c r="F130" s="28"/>
      <c r="G130" t="s">
        <v>807</v>
      </c>
      <c r="I130" s="1"/>
    </row>
    <row r="131" spans="1:9" x14ac:dyDescent="0.25">
      <c r="A131" s="47">
        <f>MONTH(wf_table[[#This Row],[Trans Date]])</f>
        <v>6</v>
      </c>
      <c r="B131" s="4">
        <v>45085</v>
      </c>
      <c r="C131">
        <v>-0.37</v>
      </c>
      <c r="D131" s="28">
        <f>D130+wf_table[[#This Row],[Debit_Amount]]</f>
        <v>390.08000000000004</v>
      </c>
      <c r="E131" s="28" t="str">
        <f>IF(wf_table[[#This Row],[Debit_Amount]]&lt;0,"debit","-")</f>
        <v>debit</v>
      </c>
      <c r="F131" s="28"/>
      <c r="G131" t="s">
        <v>790</v>
      </c>
      <c r="I131" s="1"/>
    </row>
    <row r="132" spans="1:9" x14ac:dyDescent="0.25">
      <c r="A132" s="47">
        <f>MONTH(wf_table[[#This Row],[Trans Date]])</f>
        <v>6</v>
      </c>
      <c r="B132" s="4">
        <v>45085</v>
      </c>
      <c r="C132">
        <v>-12.45</v>
      </c>
      <c r="D132" s="28">
        <f>D131+wf_table[[#This Row],[Debit_Amount]]</f>
        <v>377.63000000000005</v>
      </c>
      <c r="E132" s="28" t="str">
        <f>IF(wf_table[[#This Row],[Debit_Amount]]&lt;0,"debit","-")</f>
        <v>debit</v>
      </c>
      <c r="F132" s="28"/>
      <c r="G132" t="s">
        <v>808</v>
      </c>
      <c r="I132" s="1"/>
    </row>
    <row r="133" spans="1:9" x14ac:dyDescent="0.25">
      <c r="A133" s="47">
        <f>MONTH(wf_table[[#This Row],[Trans Date]])</f>
        <v>6</v>
      </c>
      <c r="B133" s="4">
        <v>45086</v>
      </c>
      <c r="C133">
        <v>-0.12</v>
      </c>
      <c r="D133" s="28">
        <f>D132+wf_table[[#This Row],[Debit_Amount]]</f>
        <v>377.51000000000005</v>
      </c>
      <c r="E133" s="28" t="str">
        <f>IF(wf_table[[#This Row],[Debit_Amount]]&lt;0,"debit","-")</f>
        <v>debit</v>
      </c>
      <c r="F133" s="28"/>
      <c r="G133" t="s">
        <v>790</v>
      </c>
      <c r="I133" s="1"/>
    </row>
    <row r="134" spans="1:9" x14ac:dyDescent="0.25">
      <c r="A134" s="47">
        <f>MONTH(wf_table[[#This Row],[Trans Date]])</f>
        <v>6</v>
      </c>
      <c r="B134" s="4">
        <v>45086</v>
      </c>
      <c r="C134">
        <v>-4.1900000000000004</v>
      </c>
      <c r="D134" s="28">
        <f>D133+wf_table[[#This Row],[Debit_Amount]]</f>
        <v>373.32000000000005</v>
      </c>
      <c r="E134" s="28" t="str">
        <f>IF(wf_table[[#This Row],[Debit_Amount]]&lt;0,"debit","-")</f>
        <v>debit</v>
      </c>
      <c r="F134" s="28"/>
      <c r="G134" t="s">
        <v>809</v>
      </c>
      <c r="I134" s="1"/>
    </row>
    <row r="135" spans="1:9" x14ac:dyDescent="0.25">
      <c r="A135" s="47">
        <f>MONTH(wf_table[[#This Row],[Trans Date]])</f>
        <v>6</v>
      </c>
      <c r="B135" s="4">
        <v>45086</v>
      </c>
      <c r="C135">
        <v>-0.12</v>
      </c>
      <c r="D135" s="28">
        <f>D134+wf_table[[#This Row],[Debit_Amount]]</f>
        <v>373.20000000000005</v>
      </c>
      <c r="E135" s="28" t="str">
        <f>IF(wf_table[[#This Row],[Debit_Amount]]&lt;0,"debit","-")</f>
        <v>debit</v>
      </c>
      <c r="F135" s="28"/>
      <c r="G135" t="s">
        <v>790</v>
      </c>
      <c r="I135" s="1"/>
    </row>
    <row r="136" spans="1:9" x14ac:dyDescent="0.25">
      <c r="A136" s="47">
        <f>MONTH(wf_table[[#This Row],[Trans Date]])</f>
        <v>6</v>
      </c>
      <c r="B136" s="4">
        <v>45086</v>
      </c>
      <c r="C136">
        <v>-4.3</v>
      </c>
      <c r="D136" s="28">
        <f>D135+wf_table[[#This Row],[Debit_Amount]]</f>
        <v>368.90000000000003</v>
      </c>
      <c r="E136" s="28" t="str">
        <f>IF(wf_table[[#This Row],[Debit_Amount]]&lt;0,"debit","-")</f>
        <v>debit</v>
      </c>
      <c r="F136" s="28"/>
      <c r="G136" t="s">
        <v>810</v>
      </c>
      <c r="I136" s="1"/>
    </row>
    <row r="137" spans="1:9" x14ac:dyDescent="0.25">
      <c r="A137" s="47">
        <f>MONTH(wf_table[[#This Row],[Trans Date]])</f>
        <v>6</v>
      </c>
      <c r="B137" s="4">
        <v>45086</v>
      </c>
      <c r="C137">
        <v>-0.64</v>
      </c>
      <c r="D137" s="28">
        <f>D136+wf_table[[#This Row],[Debit_Amount]]</f>
        <v>368.26000000000005</v>
      </c>
      <c r="E137" s="28" t="str">
        <f>IF(wf_table[[#This Row],[Debit_Amount]]&lt;0,"debit","-")</f>
        <v>debit</v>
      </c>
      <c r="F137" s="28"/>
      <c r="G137" t="s">
        <v>790</v>
      </c>
      <c r="I137" s="1"/>
    </row>
    <row r="138" spans="1:9" x14ac:dyDescent="0.25">
      <c r="A138" s="47">
        <f>MONTH(wf_table[[#This Row],[Trans Date]])</f>
        <v>6</v>
      </c>
      <c r="B138" s="4">
        <v>45086</v>
      </c>
      <c r="C138">
        <v>-21.38</v>
      </c>
      <c r="D138" s="28">
        <f>D137+wf_table[[#This Row],[Debit_Amount]]</f>
        <v>346.88000000000005</v>
      </c>
      <c r="E138" s="28" t="str">
        <f>IF(wf_table[[#This Row],[Debit_Amount]]&lt;0,"debit","-")</f>
        <v>debit</v>
      </c>
      <c r="F138" s="28"/>
      <c r="G138" t="s">
        <v>811</v>
      </c>
      <c r="I138" s="1"/>
    </row>
    <row r="139" spans="1:9" x14ac:dyDescent="0.25">
      <c r="A139" s="47">
        <f>MONTH(wf_table[[#This Row],[Trans Date]])</f>
        <v>6</v>
      </c>
      <c r="B139" s="4">
        <v>45086</v>
      </c>
      <c r="C139">
        <v>-0.08</v>
      </c>
      <c r="D139" s="28">
        <f>D138+wf_table[[#This Row],[Debit_Amount]]</f>
        <v>346.80000000000007</v>
      </c>
      <c r="E139" s="28" t="str">
        <f>IF(wf_table[[#This Row],[Debit_Amount]]&lt;0,"debit","-")</f>
        <v>debit</v>
      </c>
      <c r="F139" s="28"/>
      <c r="G139" t="s">
        <v>790</v>
      </c>
      <c r="I139" s="1"/>
    </row>
    <row r="140" spans="1:9" x14ac:dyDescent="0.25">
      <c r="A140" s="47">
        <f>MONTH(wf_table[[#This Row],[Trans Date]])</f>
        <v>6</v>
      </c>
      <c r="B140" s="4">
        <v>45086</v>
      </c>
      <c r="C140">
        <v>-2.69</v>
      </c>
      <c r="D140" s="28">
        <f>D139+wf_table[[#This Row],[Debit_Amount]]</f>
        <v>344.11000000000007</v>
      </c>
      <c r="E140" s="28" t="str">
        <f>IF(wf_table[[#This Row],[Debit_Amount]]&lt;0,"debit","-")</f>
        <v>debit</v>
      </c>
      <c r="F140" s="28"/>
      <c r="G140" t="s">
        <v>812</v>
      </c>
      <c r="I140" s="1"/>
    </row>
    <row r="141" spans="1:9" x14ac:dyDescent="0.25">
      <c r="A141" s="47">
        <f>MONTH(wf_table[[#This Row],[Trans Date]])</f>
        <v>6</v>
      </c>
      <c r="B141" s="4">
        <v>45086</v>
      </c>
      <c r="C141">
        <v>-0.1</v>
      </c>
      <c r="D141" s="28">
        <f>D140+wf_table[[#This Row],[Debit_Amount]]</f>
        <v>344.01000000000005</v>
      </c>
      <c r="E141" s="28" t="str">
        <f>IF(wf_table[[#This Row],[Debit_Amount]]&lt;0,"debit","-")</f>
        <v>debit</v>
      </c>
      <c r="F141" s="28"/>
      <c r="G141" t="s">
        <v>790</v>
      </c>
      <c r="I141" s="1"/>
    </row>
    <row r="142" spans="1:9" x14ac:dyDescent="0.25">
      <c r="A142" s="47">
        <f>MONTH(wf_table[[#This Row],[Trans Date]])</f>
        <v>6</v>
      </c>
      <c r="B142" s="4">
        <v>45086</v>
      </c>
      <c r="C142">
        <v>-3.44</v>
      </c>
      <c r="D142" s="28">
        <f>D141+wf_table[[#This Row],[Debit_Amount]]</f>
        <v>340.57000000000005</v>
      </c>
      <c r="E142" s="28" t="str">
        <f>IF(wf_table[[#This Row],[Debit_Amount]]&lt;0,"debit","-")</f>
        <v>debit</v>
      </c>
      <c r="F142" s="28"/>
      <c r="G142" t="s">
        <v>813</v>
      </c>
      <c r="I142" s="1"/>
    </row>
    <row r="143" spans="1:9" x14ac:dyDescent="0.25">
      <c r="A143" s="47">
        <f>MONTH(wf_table[[#This Row],[Trans Date]])</f>
        <v>6</v>
      </c>
      <c r="B143" s="4">
        <v>45089</v>
      </c>
      <c r="C143">
        <v>-0.33</v>
      </c>
      <c r="D143" s="28">
        <f>D142+wf_table[[#This Row],[Debit_Amount]]</f>
        <v>340.24000000000007</v>
      </c>
      <c r="E143" s="28" t="str">
        <f>IF(wf_table[[#This Row],[Debit_Amount]]&lt;0,"debit","-")</f>
        <v>debit</v>
      </c>
      <c r="F143" s="28"/>
      <c r="G143" t="s">
        <v>790</v>
      </c>
      <c r="I143" s="1"/>
    </row>
    <row r="144" spans="1:9" x14ac:dyDescent="0.25">
      <c r="A144" s="47">
        <f>MONTH(wf_table[[#This Row],[Trans Date]])</f>
        <v>6</v>
      </c>
      <c r="B144" s="4">
        <v>45089</v>
      </c>
      <c r="C144">
        <v>-11.17</v>
      </c>
      <c r="D144" s="28">
        <f>D143+wf_table[[#This Row],[Debit_Amount]]</f>
        <v>329.07000000000005</v>
      </c>
      <c r="E144" s="28" t="str">
        <f>IF(wf_table[[#This Row],[Debit_Amount]]&lt;0,"debit","-")</f>
        <v>debit</v>
      </c>
      <c r="F144" s="28"/>
      <c r="G144" t="s">
        <v>814</v>
      </c>
      <c r="I144" s="1"/>
    </row>
    <row r="145" spans="1:9" x14ac:dyDescent="0.25">
      <c r="A145" s="47">
        <f>MONTH(wf_table[[#This Row],[Trans Date]])</f>
        <v>6</v>
      </c>
      <c r="B145" s="4">
        <v>45089</v>
      </c>
      <c r="C145">
        <v>-7.0000000000000007E-2</v>
      </c>
      <c r="D145" s="28">
        <f>D144+wf_table[[#This Row],[Debit_Amount]]</f>
        <v>329.00000000000006</v>
      </c>
      <c r="E145" s="28" t="str">
        <f>IF(wf_table[[#This Row],[Debit_Amount]]&lt;0,"debit","-")</f>
        <v>debit</v>
      </c>
      <c r="F145" s="28"/>
      <c r="G145" t="s">
        <v>790</v>
      </c>
      <c r="I145" s="1"/>
    </row>
    <row r="146" spans="1:9" x14ac:dyDescent="0.25">
      <c r="A146" s="47">
        <f>MONTH(wf_table[[#This Row],[Trans Date]])</f>
        <v>6</v>
      </c>
      <c r="B146" s="4">
        <v>45089</v>
      </c>
      <c r="C146">
        <v>-2.48</v>
      </c>
      <c r="D146" s="28">
        <f>D145+wf_table[[#This Row],[Debit_Amount]]</f>
        <v>326.52000000000004</v>
      </c>
      <c r="E146" s="28" t="str">
        <f>IF(wf_table[[#This Row],[Debit_Amount]]&lt;0,"debit","-")</f>
        <v>debit</v>
      </c>
      <c r="F146" s="28"/>
      <c r="G146" t="s">
        <v>815</v>
      </c>
      <c r="I146" s="1"/>
    </row>
    <row r="147" spans="1:9" x14ac:dyDescent="0.25">
      <c r="A147" s="47">
        <f>MONTH(wf_table[[#This Row],[Trans Date]])</f>
        <v>6</v>
      </c>
      <c r="B147" s="4">
        <v>45089</v>
      </c>
      <c r="C147">
        <v>-7.0000000000000007E-2</v>
      </c>
      <c r="D147" s="28">
        <f>D146+wf_table[[#This Row],[Debit_Amount]]</f>
        <v>326.45000000000005</v>
      </c>
      <c r="E147" s="28" t="str">
        <f>IF(wf_table[[#This Row],[Debit_Amount]]&lt;0,"debit","-")</f>
        <v>debit</v>
      </c>
      <c r="F147" s="28"/>
      <c r="G147" t="s">
        <v>790</v>
      </c>
      <c r="I147" s="1"/>
    </row>
    <row r="148" spans="1:9" x14ac:dyDescent="0.25">
      <c r="A148" s="47">
        <f>MONTH(wf_table[[#This Row],[Trans Date]])</f>
        <v>6</v>
      </c>
      <c r="B148" s="4">
        <v>45089</v>
      </c>
      <c r="C148">
        <v>-2.48</v>
      </c>
      <c r="D148" s="28">
        <f>D147+wf_table[[#This Row],[Debit_Amount]]</f>
        <v>323.97000000000003</v>
      </c>
      <c r="E148" s="28" t="str">
        <f>IF(wf_table[[#This Row],[Debit_Amount]]&lt;0,"debit","-")</f>
        <v>debit</v>
      </c>
      <c r="F148" s="28"/>
      <c r="G148" t="s">
        <v>816</v>
      </c>
      <c r="I148" s="1"/>
    </row>
    <row r="149" spans="1:9" x14ac:dyDescent="0.25">
      <c r="A149" s="47">
        <f>MONTH(wf_table[[#This Row],[Trans Date]])</f>
        <v>6</v>
      </c>
      <c r="B149" s="4">
        <v>45089</v>
      </c>
      <c r="C149">
        <v>-0.17</v>
      </c>
      <c r="D149" s="28">
        <f>D148+wf_table[[#This Row],[Debit_Amount]]</f>
        <v>323.8</v>
      </c>
      <c r="E149" s="28" t="str">
        <f>IF(wf_table[[#This Row],[Debit_Amount]]&lt;0,"debit","-")</f>
        <v>debit</v>
      </c>
      <c r="F149" s="28"/>
      <c r="G149" t="s">
        <v>790</v>
      </c>
      <c r="I149" s="1"/>
    </row>
    <row r="150" spans="1:9" x14ac:dyDescent="0.25">
      <c r="A150" s="47">
        <f>MONTH(wf_table[[#This Row],[Trans Date]])</f>
        <v>6</v>
      </c>
      <c r="B150" s="4">
        <v>45089</v>
      </c>
      <c r="C150">
        <v>-5.93</v>
      </c>
      <c r="D150" s="28">
        <f>D149+wf_table[[#This Row],[Debit_Amount]]</f>
        <v>317.87</v>
      </c>
      <c r="E150" s="28" t="str">
        <f>IF(wf_table[[#This Row],[Debit_Amount]]&lt;0,"debit","-")</f>
        <v>debit</v>
      </c>
      <c r="F150" s="28"/>
      <c r="G150" t="s">
        <v>817</v>
      </c>
      <c r="I150" s="1"/>
    </row>
    <row r="151" spans="1:9" x14ac:dyDescent="0.25">
      <c r="A151" s="47">
        <f>MONTH(wf_table[[#This Row],[Trans Date]])</f>
        <v>6</v>
      </c>
      <c r="B151" s="4">
        <v>45090</v>
      </c>
      <c r="C151">
        <v>-135</v>
      </c>
      <c r="D151" s="28">
        <f>D150+wf_table[[#This Row],[Debit_Amount]]</f>
        <v>182.87</v>
      </c>
      <c r="E151" s="28" t="str">
        <f>IF(wf_table[[#This Row],[Debit_Amount]]&lt;0,"debit","-")</f>
        <v>debit</v>
      </c>
      <c r="F151" s="28"/>
      <c r="G151" t="s">
        <v>818</v>
      </c>
      <c r="I151" s="1"/>
    </row>
    <row r="152" spans="1:9" x14ac:dyDescent="0.25">
      <c r="A152" s="47">
        <f>MONTH(wf_table[[#This Row],[Trans Date]])</f>
        <v>6</v>
      </c>
      <c r="B152" s="4">
        <v>45091</v>
      </c>
      <c r="C152">
        <v>-500</v>
      </c>
      <c r="D152" s="28">
        <f>D151+wf_table[[#This Row],[Debit_Amount]]</f>
        <v>-317.13</v>
      </c>
      <c r="E152" s="60" t="s">
        <v>699</v>
      </c>
      <c r="F152" s="28"/>
      <c r="G152" t="s">
        <v>819</v>
      </c>
      <c r="I152" s="1"/>
    </row>
    <row r="153" spans="1:9" x14ac:dyDescent="0.25">
      <c r="A153" s="47">
        <f>MONTH(wf_table[[#This Row],[Trans Date]])</f>
        <v>6</v>
      </c>
      <c r="B153" s="4">
        <v>45092</v>
      </c>
      <c r="C153">
        <v>398.53</v>
      </c>
      <c r="D153" s="28">
        <f>D152+wf_table[[#This Row],[Debit_Amount]]</f>
        <v>81.399999999999977</v>
      </c>
      <c r="E153" s="28" t="str">
        <f>IF(wf_table[[#This Row],[Debit_Amount]]&lt;0,"debit","-")</f>
        <v>-</v>
      </c>
      <c r="F153" s="28" t="s">
        <v>885</v>
      </c>
      <c r="G153" t="s">
        <v>820</v>
      </c>
      <c r="I153" s="1"/>
    </row>
    <row r="154" spans="1:9" x14ac:dyDescent="0.25">
      <c r="A154" s="47">
        <f>MONTH(wf_table[[#This Row],[Trans Date]])</f>
        <v>6</v>
      </c>
      <c r="B154" s="4">
        <v>45105</v>
      </c>
      <c r="C154" s="2">
        <v>350</v>
      </c>
      <c r="D154" s="28">
        <f>D153+wf_table[[#This Row],[Debit_Amount]]</f>
        <v>431.4</v>
      </c>
      <c r="E154" s="28" t="str">
        <f>IF(wf_table[[#This Row],[Debit_Amount]]&lt;0,"debit","-")</f>
        <v>-</v>
      </c>
      <c r="F154" s="28"/>
      <c r="G154" t="s">
        <v>1028</v>
      </c>
      <c r="I154" s="1"/>
    </row>
    <row r="155" spans="1:9" x14ac:dyDescent="0.25">
      <c r="A155" s="47">
        <f>MONTH(wf_table[[#This Row],[Trans Date]])</f>
        <v>6</v>
      </c>
      <c r="B155" s="4">
        <v>45105</v>
      </c>
      <c r="C155" s="2">
        <v>-42.19</v>
      </c>
      <c r="D155" s="28">
        <f>D154+wf_table[[#This Row],[Debit_Amount]]</f>
        <v>389.21</v>
      </c>
      <c r="E155" s="28" t="str">
        <f>IF(wf_table[[#This Row],[Debit_Amount]]&lt;0,"debit","-")</f>
        <v>debit</v>
      </c>
      <c r="F155" s="28"/>
      <c r="G155" t="s">
        <v>1029</v>
      </c>
      <c r="I155" s="1"/>
    </row>
    <row r="156" spans="1:9" x14ac:dyDescent="0.25">
      <c r="A156" s="47">
        <f>MONTH(wf_table[[#This Row],[Trans Date]])</f>
        <v>6</v>
      </c>
      <c r="B156" s="4">
        <v>45105</v>
      </c>
      <c r="C156" s="2">
        <v>-650</v>
      </c>
      <c r="D156" s="28">
        <f>D155+wf_table[[#This Row],[Debit_Amount]]</f>
        <v>-260.79000000000002</v>
      </c>
      <c r="E156" s="28" t="str">
        <f>IF(wf_table[[#This Row],[Debit_Amount]]&lt;0,"debit","-")</f>
        <v>debit</v>
      </c>
      <c r="F156" s="28"/>
      <c r="G156" t="s">
        <v>1030</v>
      </c>
      <c r="I156" s="45"/>
    </row>
    <row r="157" spans="1:9" x14ac:dyDescent="0.25">
      <c r="A157" s="47">
        <f>MONTH(wf_table[[#This Row],[Trans Date]])</f>
        <v>6</v>
      </c>
      <c r="B157" s="4">
        <v>45106</v>
      </c>
      <c r="C157" s="2">
        <v>398.53</v>
      </c>
      <c r="D157" s="28">
        <f>D156+wf_table[[#This Row],[Debit_Amount]]</f>
        <v>137.73999999999995</v>
      </c>
      <c r="E157" s="28" t="str">
        <f>IF(wf_table[[#This Row],[Debit_Amount]]&lt;0,"debit","-")</f>
        <v>-</v>
      </c>
      <c r="F157" s="28" t="s">
        <v>885</v>
      </c>
      <c r="G157" t="s">
        <v>1031</v>
      </c>
      <c r="I157" s="1"/>
    </row>
    <row r="158" spans="1:9" x14ac:dyDescent="0.25">
      <c r="A158" s="47">
        <f>MONTH(wf_table[[#This Row],[Trans Date]])</f>
        <v>6</v>
      </c>
      <c r="B158" s="4">
        <v>45106</v>
      </c>
      <c r="C158" s="2">
        <v>-130</v>
      </c>
      <c r="D158" s="28">
        <f>D157+wf_table[[#This Row],[Debit_Amount]]</f>
        <v>7.7399999999999523</v>
      </c>
      <c r="E158" s="28" t="str">
        <f>IF(wf_table[[#This Row],[Debit_Amount]]&lt;0,"debit","-")</f>
        <v>debit</v>
      </c>
      <c r="F158" s="28"/>
      <c r="G158" t="s">
        <v>1032</v>
      </c>
      <c r="I158" s="45"/>
    </row>
    <row r="159" spans="1:9" x14ac:dyDescent="0.25">
      <c r="A159" s="47">
        <f>MONTH(wf_table[[#This Row],[Trans Date]])</f>
        <v>7</v>
      </c>
      <c r="B159" s="4">
        <v>45112</v>
      </c>
      <c r="C159" s="2">
        <v>100</v>
      </c>
      <c r="D159" s="28">
        <f>D158+wf_table[[#This Row],[Debit_Amount]]</f>
        <v>107.73999999999995</v>
      </c>
      <c r="E159" s="28" t="str">
        <f>IF(wf_table[[#This Row],[Debit_Amount]]&lt;0,"debit","-")</f>
        <v>-</v>
      </c>
      <c r="F159" s="28"/>
      <c r="G159" t="s">
        <v>1033</v>
      </c>
      <c r="I159" s="45"/>
    </row>
    <row r="160" spans="1:9" x14ac:dyDescent="0.25">
      <c r="A160" s="47">
        <f>MONTH(wf_table[[#This Row],[Trans Date]])</f>
        <v>7</v>
      </c>
      <c r="B160" s="4">
        <v>45113</v>
      </c>
      <c r="C160" s="2">
        <v>-49.57</v>
      </c>
      <c r="D160" s="28">
        <f>D159+wf_table[[#This Row],[Debit_Amount]]</f>
        <v>58.169999999999952</v>
      </c>
      <c r="E160" s="28" t="str">
        <f>IF(wf_table[[#This Row],[Debit_Amount]]&lt;0,"debit","-")</f>
        <v>debit</v>
      </c>
      <c r="F160" s="28"/>
      <c r="G160" t="s">
        <v>1034</v>
      </c>
      <c r="I160" s="45"/>
    </row>
    <row r="161" spans="1:9" x14ac:dyDescent="0.25">
      <c r="A161" s="47">
        <f>MONTH(wf_table[[#This Row],[Trans Date]])</f>
        <v>7</v>
      </c>
      <c r="B161" s="4">
        <v>45120</v>
      </c>
      <c r="C161" s="2">
        <v>398.54</v>
      </c>
      <c r="D161" s="28">
        <f>D160+wf_table[[#This Row],[Debit_Amount]]</f>
        <v>456.71</v>
      </c>
      <c r="E161" s="28" t="str">
        <f>IF(wf_table[[#This Row],[Debit_Amount]]&lt;0,"debit","-")</f>
        <v>-</v>
      </c>
      <c r="F161" s="28" t="s">
        <v>885</v>
      </c>
      <c r="G161" t="s">
        <v>1035</v>
      </c>
      <c r="I161" s="45"/>
    </row>
    <row r="162" spans="1:9" x14ac:dyDescent="0.25">
      <c r="A162" s="47">
        <f>MONTH(wf_table[[#This Row],[Trans Date]])</f>
        <v>7</v>
      </c>
      <c r="B162" s="4">
        <v>45124</v>
      </c>
      <c r="C162" s="2">
        <v>-18.27</v>
      </c>
      <c r="D162" s="28">
        <f>D161+wf_table[[#This Row],[Debit_Amount]]</f>
        <v>438.44</v>
      </c>
      <c r="E162" s="28" t="str">
        <f>IF(wf_table[[#This Row],[Debit_Amount]]&lt;0,"debit","-")</f>
        <v>debit</v>
      </c>
      <c r="F162" s="28"/>
      <c r="G162" t="s">
        <v>1036</v>
      </c>
      <c r="I162" s="1"/>
    </row>
    <row r="163" spans="1:9" x14ac:dyDescent="0.25">
      <c r="A163" s="47">
        <f>MONTH(wf_table[[#This Row],[Trans Date]])</f>
        <v>7</v>
      </c>
      <c r="B163" s="4">
        <v>45124</v>
      </c>
      <c r="C163" s="2">
        <v>-18.28</v>
      </c>
      <c r="D163" s="28">
        <f>D162+wf_table[[#This Row],[Debit_Amount]]</f>
        <v>420.15999999999997</v>
      </c>
      <c r="E163" s="28" t="str">
        <f>IF(wf_table[[#This Row],[Debit_Amount]]&lt;0,"debit","-")</f>
        <v>debit</v>
      </c>
      <c r="F163" s="28"/>
      <c r="G163" t="s">
        <v>1037</v>
      </c>
      <c r="I163" s="1"/>
    </row>
    <row r="164" spans="1:9" x14ac:dyDescent="0.25">
      <c r="A164" s="47">
        <f>MONTH(wf_table[[#This Row],[Trans Date]])</f>
        <v>7</v>
      </c>
      <c r="B164" s="4">
        <v>45124</v>
      </c>
      <c r="C164" s="2">
        <v>-30</v>
      </c>
      <c r="D164" s="28">
        <f>D163+wf_table[[#This Row],[Debit_Amount]]</f>
        <v>390.15999999999997</v>
      </c>
      <c r="E164" s="28" t="str">
        <f>IF(wf_table[[#This Row],[Debit_Amount]]&lt;0,"debit","-")</f>
        <v>debit</v>
      </c>
      <c r="F164" s="28"/>
      <c r="G164" t="s">
        <v>1038</v>
      </c>
      <c r="I164" s="45"/>
    </row>
    <row r="165" spans="1:9" x14ac:dyDescent="0.25">
      <c r="A165" s="47">
        <f>MONTH(wf_table[[#This Row],[Trans Date]])</f>
        <v>7</v>
      </c>
      <c r="B165" s="4">
        <v>45125</v>
      </c>
      <c r="C165" s="2">
        <v>-161</v>
      </c>
      <c r="D165" s="28">
        <f>D164+wf_table[[#This Row],[Debit_Amount]]</f>
        <v>229.15999999999997</v>
      </c>
      <c r="E165" s="28" t="str">
        <f>IF(wf_table[[#This Row],[Debit_Amount]]&lt;0,"debit","-")</f>
        <v>debit</v>
      </c>
      <c r="F165" s="28"/>
      <c r="G165" t="s">
        <v>1039</v>
      </c>
      <c r="I165" s="45"/>
    </row>
    <row r="166" spans="1:9" x14ac:dyDescent="0.25">
      <c r="A166" s="47">
        <f>MONTH(wf_table[[#This Row],[Trans Date]])</f>
        <v>7</v>
      </c>
      <c r="B166" s="4">
        <v>45126</v>
      </c>
      <c r="C166" s="2">
        <v>131</v>
      </c>
      <c r="D166" s="28">
        <f>D165+wf_table[[#This Row],[Debit_Amount]]</f>
        <v>360.15999999999997</v>
      </c>
      <c r="E166" s="28" t="str">
        <f>IF(wf_table[[#This Row],[Debit_Amount]]&lt;0,"debit","-")</f>
        <v>-</v>
      </c>
      <c r="F166" s="28"/>
      <c r="G166" t="s">
        <v>1040</v>
      </c>
      <c r="I166" s="45"/>
    </row>
    <row r="167" spans="1:9" x14ac:dyDescent="0.25">
      <c r="A167" s="47">
        <f>MONTH(wf_table[[#This Row],[Trans Date]])</f>
        <v>7</v>
      </c>
      <c r="B167" s="4">
        <v>45131</v>
      </c>
      <c r="C167" s="2">
        <v>-44.59</v>
      </c>
      <c r="D167" s="28">
        <f>D166+wf_table[[#This Row],[Debit_Amount]]</f>
        <v>315.56999999999994</v>
      </c>
      <c r="E167" s="28" t="str">
        <f>IF(wf_table[[#This Row],[Debit_Amount]]&lt;0,"debit","-")</f>
        <v>debit</v>
      </c>
      <c r="F167" s="28"/>
      <c r="G167" t="s">
        <v>1041</v>
      </c>
      <c r="I167" s="1"/>
    </row>
    <row r="168" spans="1:9" x14ac:dyDescent="0.25">
      <c r="A168" s="47">
        <f>MONTH(wf_table[[#This Row],[Trans Date]])</f>
        <v>7</v>
      </c>
      <c r="B168" s="4">
        <v>45132</v>
      </c>
      <c r="C168" s="2">
        <v>-650</v>
      </c>
      <c r="D168" s="28">
        <f>D167+wf_table[[#This Row],[Debit_Amount]]</f>
        <v>-334.43000000000006</v>
      </c>
      <c r="E168" s="28" t="str">
        <f>IF(wf_table[[#This Row],[Debit_Amount]]&lt;0,"debit","-")</f>
        <v>debit</v>
      </c>
      <c r="F168" s="28"/>
      <c r="G168" t="s">
        <v>1042</v>
      </c>
      <c r="I168" s="45"/>
    </row>
    <row r="169" spans="1:9" x14ac:dyDescent="0.25">
      <c r="A169" s="47">
        <f>MONTH(wf_table[[#This Row],[Trans Date]])</f>
        <v>7</v>
      </c>
      <c r="B169" s="4">
        <v>45134</v>
      </c>
      <c r="C169" s="2">
        <v>398.53</v>
      </c>
      <c r="D169" s="28">
        <f>D168+wf_table[[#This Row],[Debit_Amount]]</f>
        <v>64.099999999999909</v>
      </c>
      <c r="E169" s="28" t="str">
        <f>IF(wf_table[[#This Row],[Debit_Amount]]&lt;0,"debit","-")</f>
        <v>-</v>
      </c>
      <c r="F169" s="28" t="s">
        <v>885</v>
      </c>
      <c r="G169" t="s">
        <v>1043</v>
      </c>
      <c r="I169" s="1"/>
    </row>
    <row r="170" spans="1:9" x14ac:dyDescent="0.25">
      <c r="A170" s="47">
        <f>MONTH(wf_table[[#This Row],[Trans Date]])</f>
        <v>7</v>
      </c>
      <c r="B170" s="4">
        <v>45134</v>
      </c>
      <c r="C170" s="2">
        <v>-11.15</v>
      </c>
      <c r="D170" s="28">
        <f>D169+wf_table[[#This Row],[Debit_Amount]]</f>
        <v>52.94999999999991</v>
      </c>
      <c r="E170" s="28" t="str">
        <f>IF(wf_table[[#This Row],[Debit_Amount]]&lt;0,"debit","-")</f>
        <v>debit</v>
      </c>
      <c r="F170" s="28"/>
      <c r="G170" t="s">
        <v>1044</v>
      </c>
      <c r="I170" s="45"/>
    </row>
    <row r="171" spans="1:9" x14ac:dyDescent="0.25">
      <c r="A171" s="47">
        <f>MONTH(wf_table[[#This Row],[Trans Date]])</f>
        <v>7</v>
      </c>
      <c r="B171" s="4">
        <v>45138</v>
      </c>
      <c r="C171" s="2">
        <v>50</v>
      </c>
      <c r="D171" s="28">
        <f>D170+wf_table[[#This Row],[Debit_Amount]]</f>
        <v>102.9499999999999</v>
      </c>
      <c r="E171" s="28" t="str">
        <f>IF(wf_table[[#This Row],[Debit_Amount]]&lt;0,"debit","-")</f>
        <v>-</v>
      </c>
      <c r="F171" s="28"/>
      <c r="G171" t="s">
        <v>1045</v>
      </c>
      <c r="I171" s="1"/>
    </row>
    <row r="172" spans="1:9" x14ac:dyDescent="0.25">
      <c r="A172" s="47">
        <f>MONTH(wf_table[[#This Row],[Trans Date]])</f>
        <v>7</v>
      </c>
      <c r="B172" s="4">
        <v>45138</v>
      </c>
      <c r="C172" s="2">
        <v>-50</v>
      </c>
      <c r="D172" s="28">
        <f>D171+wf_table[[#This Row],[Debit_Amount]]</f>
        <v>52.949999999999903</v>
      </c>
      <c r="E172" s="28" t="str">
        <f>IF(wf_table[[#This Row],[Debit_Amount]]&lt;0,"debit","-")</f>
        <v>debit</v>
      </c>
      <c r="F172" s="28"/>
      <c r="G172" t="s">
        <v>1046</v>
      </c>
      <c r="I172" s="1"/>
    </row>
    <row r="173" spans="1:9" x14ac:dyDescent="0.25">
      <c r="A173" s="47">
        <f>MONTH(wf_table[[#This Row],[Trans Date]])</f>
        <v>7</v>
      </c>
      <c r="B173" s="4">
        <v>45138</v>
      </c>
      <c r="C173" s="2">
        <v>-50</v>
      </c>
      <c r="D173" s="28">
        <f>D172+wf_table[[#This Row],[Debit_Amount]]</f>
        <v>2.9499999999999034</v>
      </c>
      <c r="E173" s="28" t="str">
        <f>IF(wf_table[[#This Row],[Debit_Amount]]&lt;0,"debit","-")</f>
        <v>debit</v>
      </c>
      <c r="F173" s="28"/>
      <c r="G173" t="s">
        <v>1047</v>
      </c>
      <c r="I173" s="45"/>
    </row>
    <row r="174" spans="1:9" x14ac:dyDescent="0.25">
      <c r="A174" s="47">
        <f>MONTH(wf_table[[#This Row],[Trans Date]])</f>
        <v>8</v>
      </c>
      <c r="B174" s="4">
        <v>45148</v>
      </c>
      <c r="C174" s="2">
        <v>398.54</v>
      </c>
      <c r="D174" s="28">
        <f>D173+wf_table[[#This Row],[Debit_Amount]]</f>
        <v>401.4899999999999</v>
      </c>
      <c r="E174" s="28" t="str">
        <f>IF(wf_table[[#This Row],[Debit_Amount]]&lt;0,"debit","-")</f>
        <v>-</v>
      </c>
      <c r="F174" s="28" t="s">
        <v>885</v>
      </c>
      <c r="G174" t="s">
        <v>1048</v>
      </c>
      <c r="I174" s="45"/>
    </row>
    <row r="175" spans="1:9" x14ac:dyDescent="0.25">
      <c r="A175" s="47">
        <f>MONTH(wf_table[[#This Row],[Trans Date]])</f>
        <v>8</v>
      </c>
      <c r="B175" s="4">
        <v>45149</v>
      </c>
      <c r="C175" s="2">
        <v>-4.5</v>
      </c>
      <c r="D175" s="28">
        <f>D174+wf_table[[#This Row],[Debit_Amount]]</f>
        <v>396.9899999999999</v>
      </c>
      <c r="E175" s="28" t="str">
        <f>IF(wf_table[[#This Row],[Debit_Amount]]&lt;0,"debit","-")</f>
        <v>debit</v>
      </c>
      <c r="F175" s="28"/>
      <c r="G175" t="s">
        <v>1049</v>
      </c>
      <c r="I175" s="45"/>
    </row>
    <row r="176" spans="1:9" x14ac:dyDescent="0.25">
      <c r="A176" s="47">
        <f>MONTH(wf_table[[#This Row],[Trans Date]])</f>
        <v>8</v>
      </c>
      <c r="B176" s="4">
        <v>45152</v>
      </c>
      <c r="C176" s="2">
        <v>-50</v>
      </c>
      <c r="D176" s="28">
        <f>D175+wf_table[[#This Row],[Debit_Amount]]</f>
        <v>346.9899999999999</v>
      </c>
      <c r="E176" s="28" t="str">
        <f>IF(wf_table[[#This Row],[Debit_Amount]]&lt;0,"debit","-")</f>
        <v>debit</v>
      </c>
      <c r="F176" s="28"/>
      <c r="G176" t="s">
        <v>1050</v>
      </c>
      <c r="I176" s="1"/>
    </row>
    <row r="177" spans="1:9" x14ac:dyDescent="0.25">
      <c r="A177" s="47">
        <f>MONTH(wf_table[[#This Row],[Trans Date]])</f>
        <v>8</v>
      </c>
      <c r="B177" s="4">
        <v>45152</v>
      </c>
      <c r="C177" s="2">
        <v>-40</v>
      </c>
      <c r="D177" s="28">
        <f>D176+wf_table[[#This Row],[Debit_Amount]]</f>
        <v>306.9899999999999</v>
      </c>
      <c r="E177" s="28" t="str">
        <f>IF(wf_table[[#This Row],[Debit_Amount]]&lt;0,"debit","-")</f>
        <v>debit</v>
      </c>
      <c r="F177" s="28"/>
      <c r="G177" t="s">
        <v>1051</v>
      </c>
      <c r="I177" s="1"/>
    </row>
    <row r="178" spans="1:9" x14ac:dyDescent="0.25">
      <c r="A178" s="47">
        <f>MONTH(wf_table[[#This Row],[Trans Date]])</f>
        <v>8</v>
      </c>
      <c r="B178" s="4">
        <v>45152</v>
      </c>
      <c r="C178" s="2">
        <v>-100</v>
      </c>
      <c r="D178" s="28">
        <f>D177+wf_table[[#This Row],[Debit_Amount]]</f>
        <v>206.9899999999999</v>
      </c>
      <c r="E178" s="28" t="str">
        <f>IF(wf_table[[#This Row],[Debit_Amount]]&lt;0,"debit","-")</f>
        <v>debit</v>
      </c>
      <c r="F178" s="28"/>
      <c r="G178" t="s">
        <v>1052</v>
      </c>
      <c r="I178" s="45"/>
    </row>
    <row r="179" spans="1:9" x14ac:dyDescent="0.25">
      <c r="A179" s="47">
        <f>MONTH(wf_table[[#This Row],[Trans Date]])</f>
        <v>8</v>
      </c>
      <c r="B179" s="4">
        <v>45153</v>
      </c>
      <c r="C179" s="2">
        <v>-100</v>
      </c>
      <c r="D179" s="28">
        <f>D178+wf_table[[#This Row],[Debit_Amount]]</f>
        <v>106.9899999999999</v>
      </c>
      <c r="E179" s="28" t="str">
        <f>IF(wf_table[[#This Row],[Debit_Amount]]&lt;0,"debit","-")</f>
        <v>debit</v>
      </c>
      <c r="F179" s="28"/>
      <c r="G179" t="s">
        <v>1053</v>
      </c>
      <c r="I179" s="45"/>
    </row>
    <row r="180" spans="1:9" x14ac:dyDescent="0.25">
      <c r="A180" s="47">
        <f>MONTH(wf_table[[#This Row],[Trans Date]])</f>
        <v>8</v>
      </c>
      <c r="B180" s="4">
        <v>45154</v>
      </c>
      <c r="C180" s="2">
        <v>100</v>
      </c>
      <c r="D180" s="28">
        <f>D179+wf_table[[#This Row],[Debit_Amount]]</f>
        <v>206.9899999999999</v>
      </c>
      <c r="E180" s="28" t="str">
        <f>IF(wf_table[[#This Row],[Debit_Amount]]&lt;0,"debit","-")</f>
        <v>-</v>
      </c>
      <c r="F180" s="28"/>
      <c r="G180" t="s">
        <v>1054</v>
      </c>
      <c r="I180" s="45"/>
    </row>
    <row r="181" spans="1:9" x14ac:dyDescent="0.25">
      <c r="A181" s="47">
        <f>MONTH(wf_table[[#This Row],[Trans Date]])</f>
        <v>8</v>
      </c>
      <c r="B181" s="4">
        <v>45156</v>
      </c>
      <c r="C181" s="2">
        <v>-12.57</v>
      </c>
      <c r="D181" s="28">
        <f>D180+wf_table[[#This Row],[Debit_Amount]]</f>
        <v>194.4199999999999</v>
      </c>
      <c r="E181" s="28" t="str">
        <f>IF(wf_table[[#This Row],[Debit_Amount]]&lt;0,"debit","-")</f>
        <v>debit</v>
      </c>
      <c r="F181" s="28"/>
      <c r="G181" t="s">
        <v>1055</v>
      </c>
      <c r="I181" s="45"/>
    </row>
    <row r="182" spans="1:9" x14ac:dyDescent="0.25">
      <c r="A182" s="47">
        <f>MONTH(wf_table[[#This Row],[Trans Date]])</f>
        <v>8</v>
      </c>
      <c r="B182" s="4">
        <v>45162</v>
      </c>
      <c r="C182" s="2">
        <v>538.33000000000004</v>
      </c>
      <c r="D182" s="28">
        <f>D181+wf_table[[#This Row],[Debit_Amount]]</f>
        <v>732.75</v>
      </c>
      <c r="E182" s="28" t="str">
        <f>IF(wf_table[[#This Row],[Debit_Amount]]&lt;0,"debit","-")</f>
        <v>-</v>
      </c>
      <c r="F182" s="28" t="s">
        <v>885</v>
      </c>
      <c r="G182" t="s">
        <v>1056</v>
      </c>
      <c r="I182" s="1"/>
    </row>
    <row r="183" spans="1:9" x14ac:dyDescent="0.25">
      <c r="A183" s="47">
        <f>MONTH(wf_table[[#This Row],[Trans Date]])</f>
        <v>8</v>
      </c>
      <c r="B183" s="4">
        <v>45162</v>
      </c>
      <c r="C183" s="2">
        <v>-400</v>
      </c>
      <c r="D183" s="28">
        <f>D182+wf_table[[#This Row],[Debit_Amount]]</f>
        <v>332.75</v>
      </c>
      <c r="E183" s="28" t="str">
        <f>IF(wf_table[[#This Row],[Debit_Amount]]&lt;0,"debit","-")</f>
        <v>debit</v>
      </c>
      <c r="F183" s="28"/>
      <c r="G183" t="s">
        <v>1057</v>
      </c>
      <c r="I183" s="45"/>
    </row>
    <row r="184" spans="1:9" x14ac:dyDescent="0.25">
      <c r="A184" s="47">
        <f>MONTH(wf_table[[#This Row],[Trans Date]])</f>
        <v>8</v>
      </c>
      <c r="B184" s="4">
        <v>45166</v>
      </c>
      <c r="C184" s="2">
        <v>-300</v>
      </c>
      <c r="D184" s="28">
        <f>D183+wf_table[[#This Row],[Debit_Amount]]</f>
        <v>32.75</v>
      </c>
      <c r="E184" s="28" t="str">
        <f>IF(wf_table[[#This Row],[Debit_Amount]]&lt;0,"debit","-")</f>
        <v>debit</v>
      </c>
      <c r="F184" s="28"/>
      <c r="G184" t="s">
        <v>1058</v>
      </c>
      <c r="I184" s="45"/>
    </row>
    <row r="185" spans="1:9" x14ac:dyDescent="0.25">
      <c r="A185" s="47">
        <f>MONTH(wf_table[[#This Row],[Trans Date]])</f>
        <v>9</v>
      </c>
      <c r="B185" s="4">
        <v>45174</v>
      </c>
      <c r="C185" s="2">
        <v>100</v>
      </c>
      <c r="D185" s="28">
        <f>D184+wf_table[[#This Row],[Debit_Amount]]</f>
        <v>132.75</v>
      </c>
      <c r="E185" s="28" t="str">
        <f>IF(wf_table[[#This Row],[Debit_Amount]]&lt;0,"debit","-")</f>
        <v>-</v>
      </c>
      <c r="F185" s="28"/>
      <c r="G185" t="s">
        <v>1059</v>
      </c>
      <c r="I185" s="1"/>
    </row>
    <row r="186" spans="1:9" x14ac:dyDescent="0.25">
      <c r="A186" s="47">
        <f>MONTH(wf_table[[#This Row],[Trans Date]])</f>
        <v>9</v>
      </c>
      <c r="B186" s="4">
        <v>45174</v>
      </c>
      <c r="C186" s="2">
        <v>-100</v>
      </c>
      <c r="D186" s="28">
        <f>D185+wf_table[[#This Row],[Debit_Amount]]</f>
        <v>32.75</v>
      </c>
      <c r="E186" s="28" t="str">
        <f>IF(wf_table[[#This Row],[Debit_Amount]]&lt;0,"debit","-")</f>
        <v>debit</v>
      </c>
      <c r="F186" s="28"/>
      <c r="G186" t="s">
        <v>1060</v>
      </c>
      <c r="I186" s="45"/>
    </row>
    <row r="187" spans="1:9" x14ac:dyDescent="0.25">
      <c r="A187" s="47">
        <f>MONTH(wf_table[[#This Row],[Trans Date]])</f>
        <v>9</v>
      </c>
      <c r="B187" s="4">
        <v>45175</v>
      </c>
      <c r="C187" s="2">
        <v>100</v>
      </c>
      <c r="D187" s="28">
        <f>D186+wf_table[[#This Row],[Debit_Amount]]</f>
        <v>132.75</v>
      </c>
      <c r="E187" s="28" t="str">
        <f>IF(wf_table[[#This Row],[Debit_Amount]]&lt;0,"debit","-")</f>
        <v>-</v>
      </c>
      <c r="F187" s="28"/>
      <c r="G187" t="s">
        <v>1059</v>
      </c>
      <c r="I187" s="45"/>
    </row>
    <row r="188" spans="1:9" x14ac:dyDescent="0.25">
      <c r="A188" s="47">
        <f>MONTH(wf_table[[#This Row],[Trans Date]])</f>
        <v>9</v>
      </c>
      <c r="B188" s="4">
        <v>45176</v>
      </c>
      <c r="C188" s="2">
        <v>398.54</v>
      </c>
      <c r="D188" s="28">
        <f>D187+wf_table[[#This Row],[Debit_Amount]]</f>
        <v>531.29</v>
      </c>
      <c r="E188" s="28" t="str">
        <f>IF(wf_table[[#This Row],[Debit_Amount]]&lt;0,"debit","-")</f>
        <v>-</v>
      </c>
      <c r="F188" s="28" t="s">
        <v>885</v>
      </c>
      <c r="G188" t="s">
        <v>1061</v>
      </c>
      <c r="I188" s="1"/>
    </row>
    <row r="189" spans="1:9" x14ac:dyDescent="0.25">
      <c r="A189" s="47">
        <f>MONTH(wf_table[[#This Row],[Trans Date]])</f>
        <v>9</v>
      </c>
      <c r="B189" s="4">
        <v>45176</v>
      </c>
      <c r="C189" s="2">
        <v>-237.29</v>
      </c>
      <c r="D189" s="28">
        <f>D188+wf_table[[#This Row],[Debit_Amount]]</f>
        <v>294</v>
      </c>
      <c r="E189" s="28" t="str">
        <f>IF(wf_table[[#This Row],[Debit_Amount]]&lt;0,"debit","-")</f>
        <v>debit</v>
      </c>
      <c r="F189" s="28"/>
      <c r="G189" t="s">
        <v>1062</v>
      </c>
      <c r="I189" s="45"/>
    </row>
    <row r="190" spans="1:9" x14ac:dyDescent="0.25">
      <c r="A190" s="47">
        <f>MONTH(wf_table[[#This Row],[Trans Date]])</f>
        <v>9</v>
      </c>
      <c r="B190" s="4">
        <v>45177</v>
      </c>
      <c r="C190" s="2">
        <v>400</v>
      </c>
      <c r="D190" s="28">
        <f>D189+wf_table[[#This Row],[Debit_Amount]]</f>
        <v>694</v>
      </c>
      <c r="E190" s="28" t="str">
        <f>IF(wf_table[[#This Row],[Debit_Amount]]&lt;0,"debit","-")</f>
        <v>-</v>
      </c>
      <c r="F190" s="28"/>
      <c r="G190" t="s">
        <v>1063</v>
      </c>
      <c r="I190" s="45"/>
    </row>
    <row r="191" spans="1:9" x14ac:dyDescent="0.25">
      <c r="A191" s="47">
        <f>MONTH(wf_table[[#This Row],[Trans Date]])</f>
        <v>9</v>
      </c>
      <c r="B191" s="4">
        <v>45187</v>
      </c>
      <c r="C191" s="2">
        <v>-121.63</v>
      </c>
      <c r="D191" s="28">
        <f>D190+wf_table[[#This Row],[Debit_Amount]]</f>
        <v>572.37</v>
      </c>
      <c r="E191" s="28" t="str">
        <f>IF(wf_table[[#This Row],[Debit_Amount]]&lt;0,"debit","-")</f>
        <v>debit</v>
      </c>
      <c r="F191" s="28"/>
      <c r="G191" t="s">
        <v>1064</v>
      </c>
      <c r="I191" s="45"/>
    </row>
    <row r="192" spans="1:9" x14ac:dyDescent="0.25">
      <c r="A192" s="47">
        <f>MONTH(wf_table[[#This Row],[Trans Date]])</f>
        <v>9</v>
      </c>
      <c r="B192" s="4">
        <v>45190</v>
      </c>
      <c r="C192" s="2">
        <v>482.24</v>
      </c>
      <c r="D192" s="28">
        <f>D191+wf_table[[#This Row],[Debit_Amount]]</f>
        <v>1054.6100000000001</v>
      </c>
      <c r="E192" s="28" t="str">
        <f>IF(wf_table[[#This Row],[Debit_Amount]]&lt;0,"debit","-")</f>
        <v>-</v>
      </c>
      <c r="F192" s="28" t="s">
        <v>885</v>
      </c>
      <c r="G192" t="s">
        <v>1065</v>
      </c>
      <c r="I192" s="45"/>
    </row>
    <row r="193" spans="1:9" x14ac:dyDescent="0.25">
      <c r="A193" s="47">
        <f>MONTH(wf_table[[#This Row],[Trans Date]])</f>
        <v>9</v>
      </c>
      <c r="B193" s="4">
        <v>45191</v>
      </c>
      <c r="C193" s="2">
        <v>-2.5</v>
      </c>
      <c r="D193" s="28">
        <f>D192+wf_table[[#This Row],[Debit_Amount]]</f>
        <v>1052.1100000000001</v>
      </c>
      <c r="E193" s="28" t="str">
        <f>IF(wf_table[[#This Row],[Debit_Amount]]&lt;0,"debit","-")</f>
        <v>debit</v>
      </c>
      <c r="F193" s="28"/>
      <c r="G193" t="s">
        <v>1066</v>
      </c>
      <c r="I193" s="1"/>
    </row>
    <row r="194" spans="1:9" x14ac:dyDescent="0.25">
      <c r="A194" s="47">
        <f>MONTH(wf_table[[#This Row],[Trans Date]])</f>
        <v>9</v>
      </c>
      <c r="B194" s="4">
        <v>45191</v>
      </c>
      <c r="C194" s="2">
        <v>-2.5</v>
      </c>
      <c r="D194" s="28">
        <f>D193+wf_table[[#This Row],[Debit_Amount]]</f>
        <v>1049.6100000000001</v>
      </c>
      <c r="E194" s="28" t="str">
        <f>IF(wf_table[[#This Row],[Debit_Amount]]&lt;0,"debit","-")</f>
        <v>debit</v>
      </c>
      <c r="F194" s="28"/>
      <c r="G194" t="s">
        <v>1066</v>
      </c>
      <c r="I194" s="1"/>
    </row>
    <row r="195" spans="1:9" x14ac:dyDescent="0.25">
      <c r="A195" s="47">
        <f>MONTH(wf_table[[#This Row],[Trans Date]])</f>
        <v>9</v>
      </c>
      <c r="B195" s="4">
        <v>45191</v>
      </c>
      <c r="C195" s="2">
        <v>-23</v>
      </c>
      <c r="D195" s="28">
        <f>D194+wf_table[[#This Row],[Debit_Amount]]</f>
        <v>1026.6100000000001</v>
      </c>
      <c r="E195" s="28" t="str">
        <f>IF(wf_table[[#This Row],[Debit_Amount]]&lt;0,"debit","-")</f>
        <v>debit</v>
      </c>
      <c r="F195" s="28"/>
      <c r="G195" t="s">
        <v>1067</v>
      </c>
      <c r="I195" s="1"/>
    </row>
    <row r="196" spans="1:9" x14ac:dyDescent="0.25">
      <c r="A196" s="47">
        <f>MONTH(wf_table[[#This Row],[Trans Date]])</f>
        <v>9</v>
      </c>
      <c r="B196" s="4">
        <v>45191</v>
      </c>
      <c r="C196" s="2">
        <v>-2.5</v>
      </c>
      <c r="D196" s="28">
        <f>D195+wf_table[[#This Row],[Debit_Amount]]</f>
        <v>1024.1100000000001</v>
      </c>
      <c r="E196" s="28" t="str">
        <f>IF(wf_table[[#This Row],[Debit_Amount]]&lt;0,"debit","-")</f>
        <v>debit</v>
      </c>
      <c r="F196" s="28"/>
      <c r="G196" t="s">
        <v>1068</v>
      </c>
      <c r="I196" s="45"/>
    </row>
    <row r="197" spans="1:9" x14ac:dyDescent="0.25">
      <c r="A197" s="47">
        <f>MONTH(wf_table[[#This Row],[Trans Date]])</f>
        <v>9</v>
      </c>
      <c r="B197" s="4">
        <v>45194</v>
      </c>
      <c r="C197">
        <v>-237.29</v>
      </c>
      <c r="D197" s="28"/>
      <c r="E197" s="28" t="str">
        <f>IF(wf_table[[#This Row],[Debit_Amount]]&lt;0,"debit","-")</f>
        <v>debit</v>
      </c>
      <c r="F197" s="28"/>
      <c r="G197" t="s">
        <v>1309</v>
      </c>
      <c r="I197" s="1"/>
    </row>
    <row r="198" spans="1:9" x14ac:dyDescent="0.25">
      <c r="A198" s="47">
        <f>MONTH(wf_table[[#This Row],[Trans Date]])</f>
        <v>10</v>
      </c>
      <c r="B198" s="4">
        <v>45203</v>
      </c>
      <c r="C198">
        <v>-816.87</v>
      </c>
      <c r="D198" s="28"/>
      <c r="E198" s="28" t="str">
        <f>IF(wf_table[[#This Row],[Debit_Amount]]&lt;0,"debit","-")</f>
        <v>debit</v>
      </c>
      <c r="F198" s="28"/>
      <c r="G198" t="s">
        <v>1310</v>
      </c>
      <c r="I198" s="1"/>
    </row>
    <row r="199" spans="1:9" x14ac:dyDescent="0.25">
      <c r="A199" s="47">
        <f>MONTH(wf_table[[#This Row],[Trans Date]])</f>
        <v>10</v>
      </c>
      <c r="B199" s="4">
        <v>45204</v>
      </c>
      <c r="C199">
        <v>482.24</v>
      </c>
      <c r="D199" s="28"/>
      <c r="E199" s="28" t="str">
        <f>IF(wf_table[[#This Row],[Debit_Amount]]&lt;0,"debit","-")</f>
        <v>-</v>
      </c>
      <c r="F199" s="28" t="s">
        <v>885</v>
      </c>
      <c r="G199" t="s">
        <v>1311</v>
      </c>
      <c r="I199" s="1"/>
    </row>
    <row r="200" spans="1:9" x14ac:dyDescent="0.25">
      <c r="A200" s="47">
        <f>MONTH(wf_table[[#This Row],[Trans Date]])</f>
        <v>10</v>
      </c>
      <c r="B200" s="4">
        <v>45209</v>
      </c>
      <c r="C200">
        <v>-59.72</v>
      </c>
      <c r="D200" s="28"/>
      <c r="E200" s="28" t="str">
        <f>IF(wf_table[[#This Row],[Debit_Amount]]&lt;0,"debit","-")</f>
        <v>debit</v>
      </c>
      <c r="F200" s="28"/>
      <c r="G200" t="s">
        <v>1312</v>
      </c>
      <c r="I200" s="1"/>
    </row>
    <row r="201" spans="1:9" x14ac:dyDescent="0.25">
      <c r="A201" s="47">
        <f>MONTH(wf_table[[#This Row],[Trans Date]])</f>
        <v>10</v>
      </c>
      <c r="B201" s="4">
        <v>45215</v>
      </c>
      <c r="C201">
        <v>-50</v>
      </c>
      <c r="D201" s="28"/>
      <c r="E201" s="28" t="str">
        <f>IF(wf_table[[#This Row],[Debit_Amount]]&lt;0,"debit","-")</f>
        <v>debit</v>
      </c>
      <c r="F201" s="28"/>
      <c r="G201" t="s">
        <v>1313</v>
      </c>
      <c r="I201" s="1"/>
    </row>
    <row r="202" spans="1:9" x14ac:dyDescent="0.25">
      <c r="A202" s="47">
        <f>MONTH(wf_table[[#This Row],[Trans Date]])</f>
        <v>10</v>
      </c>
      <c r="B202" s="4">
        <v>45215</v>
      </c>
      <c r="C202">
        <v>-185</v>
      </c>
      <c r="D202" s="28"/>
      <c r="E202" s="28" t="str">
        <f>IF(wf_table[[#This Row],[Debit_Amount]]&lt;0,"debit","-")</f>
        <v>debit</v>
      </c>
      <c r="F202" s="28"/>
      <c r="G202" t="s">
        <v>1314</v>
      </c>
      <c r="I202" s="1"/>
    </row>
    <row r="203" spans="1:9" x14ac:dyDescent="0.25">
      <c r="A203" s="47">
        <f>MONTH(wf_table[[#This Row],[Trans Date]])</f>
        <v>10</v>
      </c>
      <c r="B203" s="4">
        <v>45217</v>
      </c>
      <c r="C203">
        <v>-112.68</v>
      </c>
      <c r="D203" s="28"/>
      <c r="E203" s="28" t="str">
        <f>IF(wf_table[[#This Row],[Debit_Amount]]&lt;0,"debit","-")</f>
        <v>debit</v>
      </c>
      <c r="F203" s="28"/>
      <c r="G203" t="s">
        <v>1315</v>
      </c>
      <c r="I203" s="1"/>
    </row>
    <row r="204" spans="1:9" x14ac:dyDescent="0.25">
      <c r="A204" s="47">
        <f>MONTH(wf_table[[#This Row],[Trans Date]])</f>
        <v>10</v>
      </c>
      <c r="B204" s="4">
        <v>45217</v>
      </c>
      <c r="C204">
        <v>-250</v>
      </c>
      <c r="D204" s="28"/>
      <c r="E204" s="28" t="str">
        <f>IF(wf_table[[#This Row],[Debit_Amount]]&lt;0,"debit","-")</f>
        <v>debit</v>
      </c>
      <c r="F204" s="28"/>
      <c r="G204" t="s">
        <v>1316</v>
      </c>
      <c r="I204" s="1"/>
    </row>
    <row r="205" spans="1:9" x14ac:dyDescent="0.25">
      <c r="A205" s="47">
        <f>MONTH(wf_table[[#This Row],[Trans Date]])</f>
        <v>10</v>
      </c>
      <c r="B205" s="4">
        <v>45218</v>
      </c>
      <c r="C205">
        <v>20</v>
      </c>
      <c r="D205" s="28"/>
      <c r="E205" s="28" t="str">
        <f>IF(wf_table[[#This Row],[Debit_Amount]]&lt;0,"debit","-")</f>
        <v>-</v>
      </c>
      <c r="F205" s="28"/>
      <c r="G205" t="s">
        <v>1317</v>
      </c>
      <c r="I205" s="1"/>
    </row>
    <row r="206" spans="1:9" x14ac:dyDescent="0.25">
      <c r="A206" s="47">
        <f>MONTH(wf_table[[#This Row],[Trans Date]])</f>
        <v>10</v>
      </c>
      <c r="B206" s="4">
        <v>45218</v>
      </c>
      <c r="C206">
        <v>50</v>
      </c>
      <c r="D206" s="28"/>
      <c r="E206" s="28" t="str">
        <f>IF(wf_table[[#This Row],[Debit_Amount]]&lt;0,"debit","-")</f>
        <v>-</v>
      </c>
      <c r="F206" s="28"/>
      <c r="G206" t="s">
        <v>1318</v>
      </c>
      <c r="I206" s="1"/>
    </row>
    <row r="207" spans="1:9" x14ac:dyDescent="0.25">
      <c r="A207" s="47">
        <f>MONTH(wf_table[[#This Row],[Trans Date]])</f>
        <v>10</v>
      </c>
      <c r="B207" s="4">
        <v>45218</v>
      </c>
      <c r="C207">
        <v>482.24</v>
      </c>
      <c r="D207" s="28"/>
      <c r="E207" s="28" t="str">
        <f>IF(wf_table[[#This Row],[Debit_Amount]]&lt;0,"debit","-")</f>
        <v>-</v>
      </c>
      <c r="F207" s="28" t="s">
        <v>885</v>
      </c>
      <c r="G207" t="s">
        <v>1319</v>
      </c>
      <c r="I207" s="1"/>
    </row>
    <row r="208" spans="1:9" x14ac:dyDescent="0.25">
      <c r="A208" s="47">
        <f>MONTH(wf_table[[#This Row],[Trans Date]])</f>
        <v>10</v>
      </c>
      <c r="B208" s="4">
        <v>45219</v>
      </c>
      <c r="C208">
        <v>-300</v>
      </c>
      <c r="D208" s="28"/>
      <c r="E208" s="28" t="str">
        <f>IF(wf_table[[#This Row],[Debit_Amount]]&lt;0,"debit","-")</f>
        <v>debit</v>
      </c>
      <c r="F208" s="28"/>
      <c r="G208" t="s">
        <v>1320</v>
      </c>
      <c r="I208" s="1"/>
    </row>
    <row r="209" spans="1:9" x14ac:dyDescent="0.25">
      <c r="A209" s="47">
        <f>MONTH(wf_table[[#This Row],[Trans Date]])</f>
        <v>10</v>
      </c>
      <c r="B209" s="4">
        <v>45219</v>
      </c>
      <c r="C209">
        <v>-5</v>
      </c>
      <c r="D209" s="28"/>
      <c r="E209" s="28" t="str">
        <f>IF(wf_table[[#This Row],[Debit_Amount]]&lt;0,"debit","-")</f>
        <v>debit</v>
      </c>
      <c r="F209" s="28"/>
      <c r="G209" t="s">
        <v>1321</v>
      </c>
      <c r="I209" s="1"/>
    </row>
    <row r="210" spans="1:9" x14ac:dyDescent="0.25">
      <c r="A210" s="47">
        <f>MONTH(wf_table[[#This Row],[Trans Date]])</f>
        <v>10</v>
      </c>
      <c r="B210" s="4">
        <v>45224</v>
      </c>
      <c r="C210">
        <v>-40</v>
      </c>
      <c r="D210" s="28"/>
      <c r="E210" s="28" t="str">
        <f>IF(wf_table[[#This Row],[Debit_Amount]]&lt;0,"debit","-")</f>
        <v>debit</v>
      </c>
      <c r="F210" s="28"/>
      <c r="G210" t="s">
        <v>1322</v>
      </c>
      <c r="I210" s="1"/>
    </row>
    <row r="211" spans="1:9" x14ac:dyDescent="0.25">
      <c r="A211" s="47">
        <f>MONTH(wf_table[[#This Row],[Trans Date]])</f>
        <v>11</v>
      </c>
      <c r="B211" s="4">
        <v>45232</v>
      </c>
      <c r="C211">
        <v>482.24</v>
      </c>
      <c r="D211" s="28"/>
      <c r="E211" s="28" t="str">
        <f>IF(wf_table[[#This Row],[Debit_Amount]]&lt;0,"debit","-")</f>
        <v>-</v>
      </c>
      <c r="F211" s="28" t="s">
        <v>885</v>
      </c>
      <c r="G211" t="s">
        <v>1323</v>
      </c>
      <c r="I211" s="1"/>
    </row>
    <row r="212" spans="1:9" x14ac:dyDescent="0.25">
      <c r="A212" s="47">
        <f>MONTH(wf_table[[#This Row],[Trans Date]])</f>
        <v>11</v>
      </c>
      <c r="B212" s="4">
        <v>45243</v>
      </c>
      <c r="C212">
        <v>-34</v>
      </c>
      <c r="D212" s="28"/>
      <c r="E212" s="28" t="str">
        <f>IF(wf_table[[#This Row],[Debit_Amount]]&lt;0,"debit","-")</f>
        <v>debit</v>
      </c>
      <c r="F212" s="28"/>
      <c r="G212" t="s">
        <v>1324</v>
      </c>
      <c r="I212" s="1"/>
    </row>
    <row r="213" spans="1:9" x14ac:dyDescent="0.25">
      <c r="A213" s="47">
        <f>MONTH(wf_table[[#This Row],[Trans Date]])</f>
        <v>11</v>
      </c>
      <c r="B213" s="4">
        <v>45245</v>
      </c>
      <c r="C213">
        <v>-35</v>
      </c>
      <c r="D213" s="28"/>
      <c r="E213" s="28" t="str">
        <f>IF(wf_table[[#This Row],[Debit_Amount]]&lt;0,"debit","-")</f>
        <v>debit</v>
      </c>
      <c r="F213" s="28"/>
      <c r="G213" t="s">
        <v>1325</v>
      </c>
      <c r="I213" s="1"/>
    </row>
    <row r="214" spans="1:9" x14ac:dyDescent="0.25">
      <c r="A214" s="47">
        <f>MONTH(wf_table[[#This Row],[Trans Date]])</f>
        <v>11</v>
      </c>
      <c r="B214" s="4">
        <v>45245</v>
      </c>
      <c r="C214">
        <v>-60</v>
      </c>
      <c r="D214" s="28"/>
      <c r="E214" s="28" t="str">
        <f>IF(wf_table[[#This Row],[Debit_Amount]]&lt;0,"debit","-")</f>
        <v>debit</v>
      </c>
      <c r="F214" s="28"/>
      <c r="G214" t="s">
        <v>1326</v>
      </c>
      <c r="I214" s="1"/>
    </row>
    <row r="215" spans="1:9" x14ac:dyDescent="0.25">
      <c r="A215" s="47">
        <f>MONTH(wf_table[[#This Row],[Trans Date]])</f>
        <v>11</v>
      </c>
      <c r="B215" s="4">
        <v>45246</v>
      </c>
      <c r="C215">
        <v>482.24</v>
      </c>
      <c r="D215" s="28"/>
      <c r="E215" s="28" t="str">
        <f>IF(wf_table[[#This Row],[Debit_Amount]]&lt;0,"debit","-")</f>
        <v>-</v>
      </c>
      <c r="F215" s="28" t="s">
        <v>885</v>
      </c>
      <c r="G215" t="s">
        <v>1327</v>
      </c>
      <c r="I215" s="1"/>
    </row>
    <row r="216" spans="1:9" x14ac:dyDescent="0.25">
      <c r="A216" s="47">
        <f>MONTH(wf_table[[#This Row],[Trans Date]])</f>
        <v>11</v>
      </c>
      <c r="B216" s="4">
        <v>45250</v>
      </c>
      <c r="C216">
        <v>-111.63</v>
      </c>
      <c r="D216" s="28"/>
      <c r="E216" s="28" t="str">
        <f>IF(wf_table[[#This Row],[Debit_Amount]]&lt;0,"debit","-")</f>
        <v>debit</v>
      </c>
      <c r="F216" s="28"/>
      <c r="G216" t="s">
        <v>1328</v>
      </c>
      <c r="I216" s="1"/>
    </row>
    <row r="217" spans="1:9" x14ac:dyDescent="0.25">
      <c r="A217" s="47">
        <f>MONTH(wf_table[[#This Row],[Trans Date]])</f>
        <v>11</v>
      </c>
      <c r="B217" s="4">
        <v>45250</v>
      </c>
      <c r="C217">
        <v>-24.88</v>
      </c>
      <c r="D217" s="28"/>
      <c r="E217" s="28" t="str">
        <f>IF(wf_table[[#This Row],[Debit_Amount]]&lt;0,"debit","-")</f>
        <v>debit</v>
      </c>
      <c r="F217" s="28"/>
      <c r="G217" t="s">
        <v>1329</v>
      </c>
      <c r="I217" s="1"/>
    </row>
    <row r="218" spans="1:9" x14ac:dyDescent="0.25">
      <c r="A218" s="47">
        <f>MONTH(wf_table[[#This Row],[Trans Date]])</f>
        <v>11</v>
      </c>
      <c r="B218" s="4">
        <v>45250</v>
      </c>
      <c r="C218">
        <v>-36.65</v>
      </c>
      <c r="D218" s="28"/>
      <c r="E218" s="28" t="str">
        <f>IF(wf_table[[#This Row],[Debit_Amount]]&lt;0,"debit","-")</f>
        <v>debit</v>
      </c>
      <c r="F218" s="28"/>
      <c r="G218" t="s">
        <v>1330</v>
      </c>
      <c r="I218" s="1"/>
    </row>
    <row r="219" spans="1:9" x14ac:dyDescent="0.25">
      <c r="A219" s="47">
        <f>MONTH(wf_table[[#This Row],[Trans Date]])</f>
        <v>11</v>
      </c>
      <c r="B219" s="4">
        <v>45251</v>
      </c>
      <c r="C219">
        <v>-2.4</v>
      </c>
      <c r="D219" s="28"/>
      <c r="E219" s="28" t="str">
        <f>IF(wf_table[[#This Row],[Debit_Amount]]&lt;0,"debit","-")</f>
        <v>debit</v>
      </c>
      <c r="F219" s="28"/>
      <c r="G219" t="s">
        <v>1331</v>
      </c>
      <c r="I219" s="1"/>
    </row>
    <row r="220" spans="1:9" x14ac:dyDescent="0.25">
      <c r="A220" s="47">
        <f>MONTH(wf_table[[#This Row],[Trans Date]])</f>
        <v>11</v>
      </c>
      <c r="B220" s="4">
        <v>45251</v>
      </c>
      <c r="C220">
        <v>600</v>
      </c>
      <c r="D220" s="28"/>
      <c r="E220" s="28" t="str">
        <f>IF(wf_table[[#This Row],[Debit_Amount]]&lt;0,"debit","-")</f>
        <v>-</v>
      </c>
      <c r="F220" s="28"/>
      <c r="G220" t="s">
        <v>1332</v>
      </c>
      <c r="I220" s="1"/>
    </row>
    <row r="221" spans="1:9" x14ac:dyDescent="0.25">
      <c r="A221" s="47">
        <f>MONTH(wf_table[[#This Row],[Trans Date]])</f>
        <v>11</v>
      </c>
      <c r="B221" s="4">
        <v>45258</v>
      </c>
      <c r="C221">
        <v>-1000</v>
      </c>
      <c r="D221" s="28"/>
      <c r="E221" s="28" t="str">
        <f>IF(wf_table[[#This Row],[Debit_Amount]]&lt;0,"debit","-")</f>
        <v>debit</v>
      </c>
      <c r="F221" s="28"/>
      <c r="G221" t="s">
        <v>1333</v>
      </c>
      <c r="I221" s="1"/>
    </row>
    <row r="222" spans="1:9" x14ac:dyDescent="0.25">
      <c r="A222" s="47">
        <f>MONTH(wf_table[[#This Row],[Trans Date]])</f>
        <v>11</v>
      </c>
      <c r="B222" s="4">
        <v>45260</v>
      </c>
      <c r="C222">
        <v>482.24</v>
      </c>
      <c r="D222" s="28"/>
      <c r="E222" s="28" t="str">
        <f>IF(wf_table[[#This Row],[Debit_Amount]]&lt;0,"debit","-")</f>
        <v>-</v>
      </c>
      <c r="F222" s="28" t="s">
        <v>885</v>
      </c>
      <c r="G222" t="s">
        <v>1334</v>
      </c>
      <c r="I222" s="1"/>
    </row>
    <row r="223" spans="1:9" x14ac:dyDescent="0.25">
      <c r="A223" s="47">
        <f>MONTH(wf_table[[#This Row],[Trans Date]])</f>
        <v>12</v>
      </c>
      <c r="B223" s="4">
        <v>45261</v>
      </c>
      <c r="C223">
        <v>-80</v>
      </c>
      <c r="D223" s="28"/>
      <c r="E223" s="28" t="str">
        <f>IF(wf_table[[#This Row],[Debit_Amount]]&lt;0,"debit","-")</f>
        <v>debit</v>
      </c>
      <c r="F223" s="28"/>
      <c r="G223" t="s">
        <v>1335</v>
      </c>
      <c r="I223" s="1"/>
    </row>
    <row r="224" spans="1:9" x14ac:dyDescent="0.25">
      <c r="A224" s="47">
        <f>MONTH(wf_table[[#This Row],[Trans Date]])</f>
        <v>12</v>
      </c>
      <c r="B224" s="4">
        <v>45271</v>
      </c>
      <c r="C224">
        <v>-50.75</v>
      </c>
      <c r="D224" s="28"/>
      <c r="E224" s="28" t="str">
        <f>IF(wf_table[[#This Row],[Debit_Amount]]&lt;0,"debit","-")</f>
        <v>debit</v>
      </c>
      <c r="F224" s="28"/>
      <c r="G224" t="s">
        <v>1336</v>
      </c>
      <c r="I224" s="1"/>
    </row>
    <row r="225" spans="1:9" x14ac:dyDescent="0.25">
      <c r="A225" s="47">
        <f>MONTH(wf_table[[#This Row],[Trans Date]])</f>
        <v>12</v>
      </c>
      <c r="B225" s="4">
        <v>45271</v>
      </c>
      <c r="C225">
        <v>-100</v>
      </c>
      <c r="D225" s="28"/>
      <c r="E225" s="28" t="str">
        <f>IF(wf_table[[#This Row],[Debit_Amount]]&lt;0,"debit","-")</f>
        <v>debit</v>
      </c>
      <c r="F225" s="28"/>
      <c r="G225" t="s">
        <v>1337</v>
      </c>
      <c r="I225" s="1"/>
    </row>
    <row r="226" spans="1:9" x14ac:dyDescent="0.25">
      <c r="A226" s="47">
        <f>MONTH(wf_table[[#This Row],[Trans Date]])</f>
        <v>12</v>
      </c>
      <c r="B226" s="4">
        <v>45271</v>
      </c>
      <c r="C226">
        <v>-29.77</v>
      </c>
      <c r="D226" s="28"/>
      <c r="E226" s="28" t="str">
        <f>IF(wf_table[[#This Row],[Debit_Amount]]&lt;0,"debit","-")</f>
        <v>debit</v>
      </c>
      <c r="F226" s="28"/>
      <c r="G226" t="s">
        <v>1338</v>
      </c>
      <c r="I226" s="1"/>
    </row>
    <row r="227" spans="1:9" x14ac:dyDescent="0.25">
      <c r="A227" s="47">
        <f>MONTH(wf_table[[#This Row],[Trans Date]])</f>
        <v>12</v>
      </c>
      <c r="B227" s="4">
        <v>45274</v>
      </c>
      <c r="C227">
        <v>482.24</v>
      </c>
      <c r="D227" s="28"/>
      <c r="E227" s="28" t="str">
        <f>IF(wf_table[[#This Row],[Debit_Amount]]&lt;0,"debit","-")</f>
        <v>-</v>
      </c>
      <c r="F227" s="28" t="s">
        <v>885</v>
      </c>
      <c r="G227" t="s">
        <v>1339</v>
      </c>
      <c r="I227" s="1"/>
    </row>
    <row r="228" spans="1:9" x14ac:dyDescent="0.25">
      <c r="A228" s="47">
        <f>MONTH(wf_table[[#This Row],[Trans Date]])</f>
        <v>12</v>
      </c>
      <c r="B228" s="4">
        <v>45278</v>
      </c>
      <c r="C228">
        <v>-111.63</v>
      </c>
      <c r="D228" s="28"/>
      <c r="E228" s="28" t="str">
        <f>IF(wf_table[[#This Row],[Debit_Amount]]&lt;0,"debit","-")</f>
        <v>debit</v>
      </c>
      <c r="F228" s="28"/>
      <c r="G228" t="s">
        <v>1340</v>
      </c>
      <c r="I228" s="1"/>
    </row>
    <row r="229" spans="1:9" x14ac:dyDescent="0.25">
      <c r="A229" s="47">
        <f>MONTH(wf_table[[#This Row],[Trans Date]])</f>
        <v>12</v>
      </c>
      <c r="B229" s="4">
        <v>45280</v>
      </c>
      <c r="C229">
        <v>-100</v>
      </c>
      <c r="D229" s="28"/>
      <c r="E229" s="28" t="str">
        <f>IF(wf_table[[#This Row],[Debit_Amount]]&lt;0,"debit","-")</f>
        <v>debit</v>
      </c>
      <c r="F229" s="28"/>
      <c r="G229" t="s">
        <v>1341</v>
      </c>
      <c r="I229" s="1"/>
    </row>
    <row r="230" spans="1:9" x14ac:dyDescent="0.25">
      <c r="A230" s="47">
        <f>MONTH(wf_table[[#This Row],[Trans Date]])</f>
        <v>12</v>
      </c>
      <c r="B230" s="4">
        <v>45281</v>
      </c>
      <c r="C230">
        <v>-700</v>
      </c>
      <c r="D230" s="28"/>
      <c r="E230" s="28" t="str">
        <f>IF(wf_table[[#This Row],[Debit_Amount]]&lt;0,"debit","-")</f>
        <v>debit</v>
      </c>
      <c r="F230" s="28"/>
      <c r="G230" t="s">
        <v>1342</v>
      </c>
      <c r="I230" s="1"/>
    </row>
    <row r="231" spans="1:9" x14ac:dyDescent="0.25">
      <c r="A231" s="47">
        <f>MONTH(wf_table[[#This Row],[Trans Date]])</f>
        <v>12</v>
      </c>
      <c r="B231" s="4">
        <v>45286</v>
      </c>
      <c r="C231">
        <v>-20</v>
      </c>
      <c r="D231" s="28"/>
      <c r="E231" s="28" t="str">
        <f>IF(wf_table[[#This Row],[Debit_Amount]]&lt;0,"debit","-")</f>
        <v>debit</v>
      </c>
      <c r="F231" s="28"/>
      <c r="G231" t="s">
        <v>1343</v>
      </c>
      <c r="I231" s="1"/>
    </row>
    <row r="232" spans="1:9" x14ac:dyDescent="0.25">
      <c r="A232" s="47">
        <f>MONTH(wf_table[[#This Row],[Trans Date]])</f>
        <v>12</v>
      </c>
      <c r="B232" s="4">
        <v>45288</v>
      </c>
      <c r="C232">
        <v>482.25</v>
      </c>
      <c r="D232" s="28"/>
      <c r="E232" s="28" t="str">
        <f>IF(wf_table[[#This Row],[Debit_Amount]]&lt;0,"debit","-")</f>
        <v>-</v>
      </c>
      <c r="F232" s="28" t="s">
        <v>885</v>
      </c>
      <c r="G232" t="s">
        <v>1344</v>
      </c>
      <c r="I232" s="1"/>
    </row>
    <row r="233" spans="1:9" x14ac:dyDescent="0.25">
      <c r="A233" s="118">
        <f>MONTH(wf_table[[#This Row],[Trans Date]])</f>
        <v>12</v>
      </c>
      <c r="B233" s="119">
        <v>45289</v>
      </c>
      <c r="C233">
        <v>100</v>
      </c>
      <c r="D233" s="120"/>
      <c r="E233" s="120" t="str">
        <f>IF(wf_table[[#This Row],[Debit_Amount]]&lt;0,"debit","-")</f>
        <v>-</v>
      </c>
      <c r="F233" s="120"/>
      <c r="G233" t="s">
        <v>1345</v>
      </c>
      <c r="H233" s="121"/>
      <c r="I233" s="45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1F6CE-4102-4E68-99CD-8866B23214B8}">
  <sheetPr>
    <tabColor theme="2" tint="-0.249977111117893"/>
  </sheetPr>
  <dimension ref="A1:H93"/>
  <sheetViews>
    <sheetView topLeftCell="A65" workbookViewId="0">
      <selection activeCell="D70" sqref="D70"/>
    </sheetView>
  </sheetViews>
  <sheetFormatPr defaultRowHeight="15" x14ac:dyDescent="0.25"/>
  <cols>
    <col min="1" max="1" width="17.85546875" style="47" customWidth="1"/>
    <col min="2" max="2" width="18.140625" bestFit="1" customWidth="1"/>
    <col min="3" max="3" width="35.85546875" bestFit="1" customWidth="1"/>
    <col min="4" max="4" width="14.7109375" bestFit="1" customWidth="1"/>
    <col min="5" max="5" width="11.28515625" bestFit="1" customWidth="1"/>
    <col min="6" max="7" width="13" customWidth="1"/>
  </cols>
  <sheetData>
    <row r="1" spans="1:8" x14ac:dyDescent="0.25">
      <c r="A1" s="47" t="s">
        <v>685</v>
      </c>
      <c r="B1" t="s">
        <v>87</v>
      </c>
      <c r="C1" t="s">
        <v>0</v>
      </c>
      <c r="D1" t="s">
        <v>447</v>
      </c>
      <c r="E1" t="s">
        <v>1</v>
      </c>
      <c r="F1" t="s">
        <v>370</v>
      </c>
      <c r="G1" t="s">
        <v>3</v>
      </c>
      <c r="H1" t="s">
        <v>6</v>
      </c>
    </row>
    <row r="2" spans="1:8" x14ac:dyDescent="0.25">
      <c r="A2" s="47">
        <f>MONTH(sofiC_table[[#This Row],[Transaction Date]])</f>
        <v>1</v>
      </c>
      <c r="B2" s="4">
        <v>44927</v>
      </c>
      <c r="C2" t="s">
        <v>8</v>
      </c>
      <c r="E2" s="5">
        <f>F3-E3</f>
        <v>60.34</v>
      </c>
    </row>
    <row r="3" spans="1:8" x14ac:dyDescent="0.25">
      <c r="A3" s="47">
        <f>MONTH(sofiC_table[[#This Row],[Transaction Date]])</f>
        <v>1</v>
      </c>
      <c r="B3" s="4">
        <v>44928</v>
      </c>
      <c r="C3" t="s">
        <v>454</v>
      </c>
      <c r="D3" t="s">
        <v>468</v>
      </c>
      <c r="E3">
        <v>-4.25</v>
      </c>
      <c r="F3">
        <v>56.09</v>
      </c>
      <c r="G3" t="s">
        <v>63</v>
      </c>
      <c r="H3" t="s">
        <v>471</v>
      </c>
    </row>
    <row r="4" spans="1:8" x14ac:dyDescent="0.25">
      <c r="A4" s="47">
        <f>MONTH(sofiC_table[[#This Row],[Transaction Date]])</f>
        <v>1</v>
      </c>
      <c r="B4" s="4">
        <v>44931</v>
      </c>
      <c r="C4" t="s">
        <v>455</v>
      </c>
      <c r="D4" t="s">
        <v>451</v>
      </c>
      <c r="E4">
        <v>750</v>
      </c>
      <c r="F4">
        <v>806.09</v>
      </c>
    </row>
    <row r="5" spans="1:8" x14ac:dyDescent="0.25">
      <c r="A5" s="47">
        <f>MONTH(sofiC_table[[#This Row],[Transaction Date]])</f>
        <v>1</v>
      </c>
      <c r="B5" s="4">
        <v>44932</v>
      </c>
      <c r="C5" t="s">
        <v>456</v>
      </c>
      <c r="D5" t="s">
        <v>450</v>
      </c>
      <c r="E5">
        <v>-750</v>
      </c>
      <c r="F5">
        <v>56.09</v>
      </c>
    </row>
    <row r="6" spans="1:8" x14ac:dyDescent="0.25">
      <c r="A6" s="47">
        <f>MONTH(sofiC_table[[#This Row],[Transaction Date]])</f>
        <v>1</v>
      </c>
      <c r="B6" s="4">
        <v>44939</v>
      </c>
      <c r="C6" t="s">
        <v>457</v>
      </c>
      <c r="D6" t="s">
        <v>469</v>
      </c>
      <c r="E6">
        <v>-403</v>
      </c>
      <c r="F6">
        <v>253.09</v>
      </c>
    </row>
    <row r="7" spans="1:8" x14ac:dyDescent="0.25">
      <c r="A7" s="47">
        <f>MONTH(sofiC_table[[#This Row],[Transaction Date]])</f>
        <v>1</v>
      </c>
      <c r="B7" s="4">
        <v>44939</v>
      </c>
      <c r="C7" t="s">
        <v>455</v>
      </c>
      <c r="D7" t="s">
        <v>451</v>
      </c>
      <c r="E7">
        <v>600</v>
      </c>
      <c r="F7">
        <v>656.09</v>
      </c>
    </row>
    <row r="8" spans="1:8" x14ac:dyDescent="0.25">
      <c r="A8" s="47">
        <f>MONTH(sofiC_table[[#This Row],[Transaction Date]])</f>
        <v>1</v>
      </c>
      <c r="B8" s="4">
        <v>44941</v>
      </c>
      <c r="C8" t="s">
        <v>458</v>
      </c>
      <c r="D8" t="s">
        <v>448</v>
      </c>
      <c r="E8">
        <v>-253.09</v>
      </c>
      <c r="F8">
        <v>0</v>
      </c>
    </row>
    <row r="9" spans="1:8" x14ac:dyDescent="0.25">
      <c r="A9" s="47">
        <f>MONTH(sofiC_table[[#This Row],[Transaction Date]])</f>
        <v>1</v>
      </c>
      <c r="B9" s="4">
        <v>44951</v>
      </c>
      <c r="C9" t="s">
        <v>455</v>
      </c>
      <c r="D9" t="s">
        <v>451</v>
      </c>
      <c r="E9">
        <v>100</v>
      </c>
      <c r="F9">
        <v>150</v>
      </c>
    </row>
    <row r="10" spans="1:8" x14ac:dyDescent="0.25">
      <c r="A10" s="47">
        <f>MONTH(sofiC_table[[#This Row],[Transaction Date]])</f>
        <v>1</v>
      </c>
      <c r="B10" s="4">
        <v>44951</v>
      </c>
      <c r="C10" t="s">
        <v>455</v>
      </c>
      <c r="D10" t="s">
        <v>451</v>
      </c>
      <c r="E10">
        <v>50</v>
      </c>
      <c r="F10">
        <v>50</v>
      </c>
    </row>
    <row r="11" spans="1:8" x14ac:dyDescent="0.25">
      <c r="A11" s="47">
        <f>MONTH(sofiC_table[[#This Row],[Transaction Date]])</f>
        <v>1</v>
      </c>
      <c r="B11" s="4">
        <v>44953</v>
      </c>
      <c r="C11" t="s">
        <v>459</v>
      </c>
      <c r="D11" t="s">
        <v>470</v>
      </c>
      <c r="E11">
        <v>-0.4</v>
      </c>
      <c r="F11">
        <v>144.19999999999999</v>
      </c>
    </row>
    <row r="12" spans="1:8" x14ac:dyDescent="0.25">
      <c r="A12" s="47">
        <f>MONTH(sofiC_table[[#This Row],[Transaction Date]])</f>
        <v>1</v>
      </c>
      <c r="B12" s="4">
        <v>44953</v>
      </c>
      <c r="C12" t="s">
        <v>460</v>
      </c>
      <c r="D12" t="s">
        <v>470</v>
      </c>
      <c r="E12">
        <v>-0.2</v>
      </c>
      <c r="F12">
        <v>144.6</v>
      </c>
    </row>
    <row r="13" spans="1:8" x14ac:dyDescent="0.25">
      <c r="A13" s="47">
        <f>MONTH(sofiC_table[[#This Row],[Transaction Date]])</f>
        <v>1</v>
      </c>
      <c r="B13" s="4">
        <v>44953</v>
      </c>
      <c r="C13" t="s">
        <v>461</v>
      </c>
      <c r="D13" t="s">
        <v>468</v>
      </c>
      <c r="E13">
        <v>-0.4</v>
      </c>
      <c r="F13">
        <v>144.80000000000001</v>
      </c>
    </row>
    <row r="14" spans="1:8" x14ac:dyDescent="0.25">
      <c r="A14" s="47">
        <f>MONTH(sofiC_table[[#This Row],[Transaction Date]])</f>
        <v>1</v>
      </c>
      <c r="B14" s="4">
        <v>44953</v>
      </c>
      <c r="C14" t="s">
        <v>462</v>
      </c>
      <c r="D14" t="s">
        <v>468</v>
      </c>
      <c r="E14">
        <v>-4.8</v>
      </c>
      <c r="F14">
        <v>145.19999999999999</v>
      </c>
    </row>
    <row r="15" spans="1:8" x14ac:dyDescent="0.25">
      <c r="A15" s="47">
        <f>MONTH(sofiC_table[[#This Row],[Transaction Date]])</f>
        <v>1</v>
      </c>
      <c r="B15" s="4">
        <v>44954</v>
      </c>
      <c r="C15" t="s">
        <v>463</v>
      </c>
      <c r="D15" t="s">
        <v>468</v>
      </c>
      <c r="E15">
        <v>-1</v>
      </c>
      <c r="F15">
        <v>143.19999999999999</v>
      </c>
    </row>
    <row r="16" spans="1:8" x14ac:dyDescent="0.25">
      <c r="A16" s="47">
        <f>MONTH(sofiC_table[[#This Row],[Transaction Date]])</f>
        <v>1</v>
      </c>
      <c r="B16" s="4">
        <v>44956</v>
      </c>
      <c r="C16" t="s">
        <v>464</v>
      </c>
      <c r="D16" t="s">
        <v>468</v>
      </c>
      <c r="E16">
        <v>-50</v>
      </c>
      <c r="F16">
        <v>93.2</v>
      </c>
      <c r="G16" t="s">
        <v>93</v>
      </c>
      <c r="H16" t="s">
        <v>436</v>
      </c>
    </row>
    <row r="17" spans="1:8" x14ac:dyDescent="0.25">
      <c r="A17" s="47">
        <f>MONTH(sofiC_table[[#This Row],[Transaction Date]])</f>
        <v>1</v>
      </c>
      <c r="B17" s="4">
        <v>44957</v>
      </c>
      <c r="C17" t="s">
        <v>443</v>
      </c>
      <c r="D17" t="s">
        <v>453</v>
      </c>
      <c r="E17">
        <v>0.19</v>
      </c>
      <c r="F17">
        <v>93.39</v>
      </c>
    </row>
    <row r="18" spans="1:8" x14ac:dyDescent="0.25">
      <c r="A18" s="47">
        <f>MONTH(sofiC_table[[#This Row],[Transaction Date]])</f>
        <v>2</v>
      </c>
      <c r="B18" s="4">
        <v>44961</v>
      </c>
      <c r="C18" t="s">
        <v>462</v>
      </c>
      <c r="D18" t="s">
        <v>468</v>
      </c>
      <c r="E18">
        <v>-73</v>
      </c>
      <c r="F18">
        <v>20.39</v>
      </c>
      <c r="G18" t="s">
        <v>23</v>
      </c>
    </row>
    <row r="19" spans="1:8" x14ac:dyDescent="0.25">
      <c r="A19" s="47">
        <f>MONTH(sofiC_table[[#This Row],[Transaction Date]])</f>
        <v>2</v>
      </c>
      <c r="B19" s="4">
        <v>44962</v>
      </c>
      <c r="C19" t="s">
        <v>455</v>
      </c>
      <c r="D19" t="s">
        <v>451</v>
      </c>
      <c r="E19">
        <v>50</v>
      </c>
      <c r="F19">
        <v>120.39</v>
      </c>
    </row>
    <row r="20" spans="1:8" x14ac:dyDescent="0.25">
      <c r="A20" s="47">
        <f>MONTH(sofiC_table[[#This Row],[Transaction Date]])</f>
        <v>2</v>
      </c>
      <c r="B20" s="4">
        <v>44962</v>
      </c>
      <c r="C20" t="s">
        <v>455</v>
      </c>
      <c r="D20" t="s">
        <v>451</v>
      </c>
      <c r="E20">
        <v>50</v>
      </c>
      <c r="F20">
        <v>70.39</v>
      </c>
    </row>
    <row r="21" spans="1:8" x14ac:dyDescent="0.25">
      <c r="A21" s="47">
        <f>MONTH(sofiC_table[[#This Row],[Transaction Date]])</f>
        <v>2</v>
      </c>
      <c r="B21" s="4">
        <v>44964</v>
      </c>
      <c r="C21" t="s">
        <v>464</v>
      </c>
      <c r="D21" t="s">
        <v>468</v>
      </c>
      <c r="E21">
        <v>-55</v>
      </c>
      <c r="F21">
        <v>65.39</v>
      </c>
      <c r="G21" t="s">
        <v>93</v>
      </c>
      <c r="H21" t="s">
        <v>436</v>
      </c>
    </row>
    <row r="22" spans="1:8" x14ac:dyDescent="0.25">
      <c r="A22" s="47">
        <f>MONTH(sofiC_table[[#This Row],[Transaction Date]])</f>
        <v>2</v>
      </c>
      <c r="B22" s="4">
        <v>44967</v>
      </c>
      <c r="C22" t="s">
        <v>465</v>
      </c>
      <c r="D22" t="s">
        <v>468</v>
      </c>
      <c r="E22">
        <v>-20</v>
      </c>
      <c r="F22">
        <v>25.39</v>
      </c>
    </row>
    <row r="23" spans="1:8" x14ac:dyDescent="0.25">
      <c r="A23" s="47">
        <f>MONTH(sofiC_table[[#This Row],[Transaction Date]])</f>
        <v>2</v>
      </c>
      <c r="B23" s="4">
        <v>44967</v>
      </c>
      <c r="C23" t="s">
        <v>466</v>
      </c>
      <c r="D23" t="s">
        <v>468</v>
      </c>
      <c r="E23">
        <v>-20</v>
      </c>
      <c r="F23">
        <v>45.39</v>
      </c>
    </row>
    <row r="24" spans="1:8" x14ac:dyDescent="0.25">
      <c r="A24" s="47">
        <f>MONTH(sofiC_table[[#This Row],[Transaction Date]])</f>
        <v>2</v>
      </c>
      <c r="B24" s="4">
        <v>44978</v>
      </c>
      <c r="C24" t="s">
        <v>467</v>
      </c>
      <c r="D24" t="s">
        <v>469</v>
      </c>
      <c r="E24">
        <v>-100</v>
      </c>
      <c r="F24">
        <v>25.39</v>
      </c>
    </row>
    <row r="25" spans="1:8" x14ac:dyDescent="0.25">
      <c r="A25" s="47">
        <f>MONTH(sofiC_table[[#This Row],[Transaction Date]])</f>
        <v>2</v>
      </c>
      <c r="B25" s="4">
        <v>44978</v>
      </c>
      <c r="C25" t="s">
        <v>455</v>
      </c>
      <c r="D25" t="s">
        <v>451</v>
      </c>
      <c r="E25">
        <v>100</v>
      </c>
      <c r="F25">
        <v>125.39</v>
      </c>
    </row>
    <row r="26" spans="1:8" x14ac:dyDescent="0.25">
      <c r="A26" s="47">
        <f>MONTH(sofiC_table[[#This Row],[Transaction Date]])</f>
        <v>2</v>
      </c>
      <c r="B26" s="4">
        <v>44985</v>
      </c>
      <c r="C26" t="s">
        <v>443</v>
      </c>
      <c r="D26" t="s">
        <v>453</v>
      </c>
      <c r="E26">
        <v>0.08</v>
      </c>
      <c r="F26">
        <v>25.47</v>
      </c>
    </row>
    <row r="27" spans="1:8" x14ac:dyDescent="0.25">
      <c r="A27" s="47">
        <f>MONTH(sofiC_table[[#This Row],[Transaction Date]])</f>
        <v>3</v>
      </c>
      <c r="B27" s="4">
        <v>44986</v>
      </c>
      <c r="C27" t="s">
        <v>455</v>
      </c>
      <c r="D27" t="s">
        <v>451</v>
      </c>
      <c r="E27">
        <v>150</v>
      </c>
      <c r="F27">
        <v>175.47</v>
      </c>
    </row>
    <row r="28" spans="1:8" x14ac:dyDescent="0.25">
      <c r="A28" s="47">
        <f>MONTH(sofiC_table[[#This Row],[Transaction Date]])</f>
        <v>3</v>
      </c>
      <c r="B28" s="4">
        <v>44989</v>
      </c>
      <c r="C28" t="s">
        <v>462</v>
      </c>
      <c r="D28" t="s">
        <v>468</v>
      </c>
      <c r="E28">
        <v>-146</v>
      </c>
      <c r="F28">
        <v>29.47</v>
      </c>
      <c r="G28" t="s">
        <v>23</v>
      </c>
    </row>
    <row r="29" spans="1:8" x14ac:dyDescent="0.25">
      <c r="A29" s="47">
        <f>MONTH(sofiC_table[[#This Row],[Transaction Date]])</f>
        <v>3</v>
      </c>
      <c r="B29" s="4">
        <v>44995</v>
      </c>
      <c r="C29" t="s">
        <v>455</v>
      </c>
      <c r="D29" t="s">
        <v>451</v>
      </c>
      <c r="E29">
        <v>800</v>
      </c>
      <c r="F29">
        <v>829.47</v>
      </c>
    </row>
    <row r="30" spans="1:8" x14ac:dyDescent="0.25">
      <c r="A30" s="47">
        <f>MONTH(sofiC_table[[#This Row],[Transaction Date]])</f>
        <v>3</v>
      </c>
      <c r="B30" s="4">
        <v>44998</v>
      </c>
      <c r="C30" t="s">
        <v>456</v>
      </c>
      <c r="D30" t="s">
        <v>450</v>
      </c>
      <c r="E30">
        <v>-772.3</v>
      </c>
      <c r="F30">
        <v>57.17</v>
      </c>
    </row>
    <row r="31" spans="1:8" x14ac:dyDescent="0.25">
      <c r="A31" s="47">
        <f>MONTH(sofiC_table[[#This Row],[Transaction Date]])</f>
        <v>3</v>
      </c>
      <c r="B31" s="4">
        <v>45002</v>
      </c>
      <c r="C31" t="s">
        <v>455</v>
      </c>
      <c r="D31" t="s">
        <v>451</v>
      </c>
      <c r="E31">
        <v>141.6</v>
      </c>
      <c r="F31">
        <v>198.77</v>
      </c>
    </row>
    <row r="32" spans="1:8" x14ac:dyDescent="0.25">
      <c r="A32" s="47">
        <f>MONTH(sofiC_table[[#This Row],[Transaction Date]])</f>
        <v>3</v>
      </c>
      <c r="B32" s="4">
        <v>45005</v>
      </c>
      <c r="C32" t="s">
        <v>464</v>
      </c>
      <c r="D32" t="s">
        <v>468</v>
      </c>
      <c r="E32">
        <v>-15</v>
      </c>
      <c r="F32">
        <v>42.17</v>
      </c>
      <c r="G32" t="s">
        <v>93</v>
      </c>
      <c r="H32" t="s">
        <v>436</v>
      </c>
    </row>
    <row r="33" spans="1:6" x14ac:dyDescent="0.25">
      <c r="A33" s="47">
        <f>MONTH(sofiC_table[[#This Row],[Transaction Date]])</f>
        <v>3</v>
      </c>
      <c r="B33" s="4">
        <v>45005</v>
      </c>
      <c r="C33" t="s">
        <v>456</v>
      </c>
      <c r="D33" t="s">
        <v>450</v>
      </c>
      <c r="E33">
        <v>-141.6</v>
      </c>
      <c r="F33">
        <v>57.17</v>
      </c>
    </row>
    <row r="34" spans="1:6" x14ac:dyDescent="0.25">
      <c r="A34" s="47">
        <f>MONTH(sofiC_table[[#This Row],[Transaction Date]])</f>
        <v>3</v>
      </c>
      <c r="B34" s="4">
        <v>45016</v>
      </c>
      <c r="C34" t="s">
        <v>443</v>
      </c>
      <c r="D34" t="s">
        <v>453</v>
      </c>
      <c r="E34">
        <v>0.27</v>
      </c>
      <c r="F34">
        <v>42.44</v>
      </c>
    </row>
    <row r="35" spans="1:6" x14ac:dyDescent="0.25">
      <c r="A35" s="47">
        <f>MONTH(sofiC_table[[#This Row],[Transaction Date]])</f>
        <v>4</v>
      </c>
      <c r="B35" s="4">
        <v>45024</v>
      </c>
      <c r="C35" t="s">
        <v>823</v>
      </c>
      <c r="D35" t="s">
        <v>468</v>
      </c>
      <c r="E35">
        <v>-3.5</v>
      </c>
      <c r="F35">
        <v>38.94</v>
      </c>
    </row>
    <row r="36" spans="1:6" x14ac:dyDescent="0.25">
      <c r="A36" s="47">
        <f>MONTH(sofiC_table[[#This Row],[Transaction Date]])</f>
        <v>4</v>
      </c>
      <c r="B36" s="4">
        <v>45026</v>
      </c>
      <c r="C36" t="s">
        <v>824</v>
      </c>
      <c r="D36" t="s">
        <v>825</v>
      </c>
      <c r="E36">
        <v>217.6</v>
      </c>
      <c r="F36">
        <v>256.54000000000002</v>
      </c>
    </row>
    <row r="37" spans="1:6" x14ac:dyDescent="0.25">
      <c r="A37" s="47">
        <f>MONTH(sofiC_table[[#This Row],[Transaction Date]])</f>
        <v>4</v>
      </c>
      <c r="B37" s="4">
        <v>45027</v>
      </c>
      <c r="C37" t="s">
        <v>826</v>
      </c>
      <c r="D37" t="s">
        <v>450</v>
      </c>
      <c r="E37">
        <v>-153.1</v>
      </c>
      <c r="F37">
        <v>103.44</v>
      </c>
    </row>
    <row r="38" spans="1:6" x14ac:dyDescent="0.25">
      <c r="A38" s="47">
        <f>MONTH(sofiC_table[[#This Row],[Transaction Date]])</f>
        <v>4</v>
      </c>
      <c r="B38" s="4">
        <v>45032</v>
      </c>
      <c r="C38" t="s">
        <v>827</v>
      </c>
      <c r="D38" t="s">
        <v>448</v>
      </c>
      <c r="E38">
        <v>-100</v>
      </c>
      <c r="F38">
        <v>3.44</v>
      </c>
    </row>
    <row r="39" spans="1:6" x14ac:dyDescent="0.25">
      <c r="A39" s="47">
        <f>MONTH(sofiC_table[[#This Row],[Transaction Date]])</f>
        <v>4</v>
      </c>
      <c r="B39" s="4">
        <v>45036</v>
      </c>
      <c r="C39" t="s">
        <v>461</v>
      </c>
      <c r="D39" t="s">
        <v>468</v>
      </c>
      <c r="E39">
        <v>-0.1</v>
      </c>
      <c r="F39">
        <v>2.61</v>
      </c>
    </row>
    <row r="40" spans="1:6" x14ac:dyDescent="0.25">
      <c r="A40" s="47">
        <f>MONTH(sofiC_table[[#This Row],[Transaction Date]])</f>
        <v>4</v>
      </c>
      <c r="B40" s="4">
        <v>45036</v>
      </c>
      <c r="C40" t="s">
        <v>461</v>
      </c>
      <c r="D40" t="s">
        <v>468</v>
      </c>
      <c r="E40">
        <v>-0.63</v>
      </c>
      <c r="F40">
        <v>2.71</v>
      </c>
    </row>
    <row r="41" spans="1:6" x14ac:dyDescent="0.25">
      <c r="A41" s="47">
        <f>MONTH(sofiC_table[[#This Row],[Transaction Date]])</f>
        <v>4</v>
      </c>
      <c r="B41" s="4">
        <v>45036</v>
      </c>
      <c r="C41" t="s">
        <v>461</v>
      </c>
      <c r="D41" t="s">
        <v>468</v>
      </c>
      <c r="E41">
        <v>-0.1</v>
      </c>
      <c r="F41">
        <v>3.34</v>
      </c>
    </row>
    <row r="42" spans="1:6" x14ac:dyDescent="0.25">
      <c r="A42" s="47">
        <f>MONTH(sofiC_table[[#This Row],[Transaction Date]])</f>
        <v>4</v>
      </c>
      <c r="B42" s="4">
        <v>45042</v>
      </c>
      <c r="C42" t="s">
        <v>455</v>
      </c>
      <c r="D42" t="s">
        <v>451</v>
      </c>
      <c r="E42">
        <v>50</v>
      </c>
      <c r="F42">
        <v>52.61</v>
      </c>
    </row>
    <row r="43" spans="1:6" x14ac:dyDescent="0.25">
      <c r="A43" s="47">
        <f>MONTH(sofiC_table[[#This Row],[Transaction Date]])</f>
        <v>4</v>
      </c>
      <c r="B43" s="4">
        <v>45043</v>
      </c>
      <c r="C43" t="s">
        <v>826</v>
      </c>
      <c r="D43" t="s">
        <v>450</v>
      </c>
      <c r="E43">
        <v>-49.32</v>
      </c>
      <c r="F43">
        <v>3.29</v>
      </c>
    </row>
    <row r="44" spans="1:6" x14ac:dyDescent="0.25">
      <c r="A44" s="47">
        <f>MONTH(sofiC_table[[#This Row],[Transaction Date]])</f>
        <v>4</v>
      </c>
      <c r="B44" s="4">
        <v>45044</v>
      </c>
      <c r="C44" t="s">
        <v>455</v>
      </c>
      <c r="D44" t="s">
        <v>451</v>
      </c>
      <c r="E44">
        <v>200</v>
      </c>
      <c r="F44">
        <v>203.29</v>
      </c>
    </row>
    <row r="45" spans="1:6" x14ac:dyDescent="0.25">
      <c r="A45" s="47">
        <f>MONTH(sofiC_table[[#This Row],[Transaction Date]])</f>
        <v>4</v>
      </c>
      <c r="B45" s="4">
        <v>45046</v>
      </c>
      <c r="C45" t="s">
        <v>443</v>
      </c>
      <c r="D45" t="s">
        <v>453</v>
      </c>
      <c r="E45">
        <v>0.06</v>
      </c>
      <c r="F45">
        <v>53.35</v>
      </c>
    </row>
    <row r="46" spans="1:6" x14ac:dyDescent="0.25">
      <c r="A46" s="47">
        <f>MONTH(sofiC_table[[#This Row],[Transaction Date]])</f>
        <v>4</v>
      </c>
      <c r="B46" s="4">
        <v>45046</v>
      </c>
      <c r="C46" t="s">
        <v>828</v>
      </c>
      <c r="D46" t="s">
        <v>468</v>
      </c>
      <c r="E46">
        <v>-150</v>
      </c>
      <c r="F46">
        <v>53.29</v>
      </c>
    </row>
    <row r="47" spans="1:6" x14ac:dyDescent="0.25">
      <c r="A47" s="47">
        <f>MONTH(sofiC_table[[#This Row],[Transaction Date]])</f>
        <v>5</v>
      </c>
      <c r="B47" s="4">
        <v>45056</v>
      </c>
      <c r="C47" t="s">
        <v>455</v>
      </c>
      <c r="D47" t="s">
        <v>451</v>
      </c>
      <c r="E47">
        <v>30</v>
      </c>
      <c r="F47">
        <v>83.35</v>
      </c>
    </row>
    <row r="48" spans="1:6" x14ac:dyDescent="0.25">
      <c r="A48" s="47">
        <f>MONTH(sofiC_table[[#This Row],[Transaction Date]])</f>
        <v>5</v>
      </c>
      <c r="B48" s="4">
        <v>45058</v>
      </c>
      <c r="C48" t="s">
        <v>829</v>
      </c>
      <c r="D48" t="s">
        <v>468</v>
      </c>
      <c r="E48">
        <v>-69.989999999999995</v>
      </c>
      <c r="F48">
        <v>13.36</v>
      </c>
    </row>
    <row r="49" spans="1:6" x14ac:dyDescent="0.25">
      <c r="A49" s="47">
        <f>MONTH(sofiC_table[[#This Row],[Transaction Date]])</f>
        <v>5</v>
      </c>
      <c r="B49" s="4">
        <v>45060</v>
      </c>
      <c r="C49" t="s">
        <v>461</v>
      </c>
      <c r="D49" t="s">
        <v>468</v>
      </c>
      <c r="E49">
        <v>-0.75</v>
      </c>
      <c r="F49">
        <v>12.61</v>
      </c>
    </row>
    <row r="50" spans="1:6" x14ac:dyDescent="0.25">
      <c r="A50" s="47">
        <f>MONTH(sofiC_table[[#This Row],[Transaction Date]])</f>
        <v>5</v>
      </c>
      <c r="B50" s="4">
        <v>45061</v>
      </c>
      <c r="C50" t="s">
        <v>823</v>
      </c>
      <c r="D50" t="s">
        <v>468</v>
      </c>
      <c r="E50">
        <v>-3.5</v>
      </c>
      <c r="F50">
        <v>-0.64</v>
      </c>
    </row>
    <row r="51" spans="1:6" x14ac:dyDescent="0.25">
      <c r="A51" s="47">
        <f>MONTH(sofiC_table[[#This Row],[Transaction Date]])</f>
        <v>5</v>
      </c>
      <c r="B51" s="4">
        <v>45061</v>
      </c>
      <c r="C51" t="s">
        <v>823</v>
      </c>
      <c r="D51" t="s">
        <v>468</v>
      </c>
      <c r="E51">
        <v>-3.25</v>
      </c>
      <c r="F51">
        <v>2.86</v>
      </c>
    </row>
    <row r="52" spans="1:6" x14ac:dyDescent="0.25">
      <c r="A52" s="47">
        <f>MONTH(sofiC_table[[#This Row],[Transaction Date]])</f>
        <v>5</v>
      </c>
      <c r="B52" s="4">
        <v>45061</v>
      </c>
      <c r="C52" t="s">
        <v>823</v>
      </c>
      <c r="D52" t="s">
        <v>468</v>
      </c>
      <c r="E52">
        <v>-0.5</v>
      </c>
      <c r="F52">
        <v>6.11</v>
      </c>
    </row>
    <row r="53" spans="1:6" x14ac:dyDescent="0.25">
      <c r="A53" s="47">
        <f>MONTH(sofiC_table[[#This Row],[Transaction Date]])</f>
        <v>5</v>
      </c>
      <c r="B53" s="4">
        <v>45061</v>
      </c>
      <c r="C53" t="s">
        <v>823</v>
      </c>
      <c r="D53" t="s">
        <v>468</v>
      </c>
      <c r="E53">
        <v>-0.75</v>
      </c>
      <c r="F53">
        <v>6.61</v>
      </c>
    </row>
    <row r="54" spans="1:6" x14ac:dyDescent="0.25">
      <c r="A54" s="47">
        <f>MONTH(sofiC_table[[#This Row],[Transaction Date]])</f>
        <v>5</v>
      </c>
      <c r="B54" s="4">
        <v>45061</v>
      </c>
      <c r="C54" t="s">
        <v>823</v>
      </c>
      <c r="D54" t="s">
        <v>468</v>
      </c>
      <c r="E54">
        <v>-3.5</v>
      </c>
      <c r="F54">
        <v>7.36</v>
      </c>
    </row>
    <row r="55" spans="1:6" x14ac:dyDescent="0.25">
      <c r="A55" s="47">
        <f>MONTH(sofiC_table[[#This Row],[Transaction Date]])</f>
        <v>5</v>
      </c>
      <c r="B55" s="4">
        <v>45061</v>
      </c>
      <c r="C55" t="s">
        <v>823</v>
      </c>
      <c r="D55" t="s">
        <v>468</v>
      </c>
      <c r="E55">
        <v>-1.75</v>
      </c>
      <c r="F55">
        <v>10.86</v>
      </c>
    </row>
    <row r="56" spans="1:6" x14ac:dyDescent="0.25">
      <c r="A56" s="47">
        <f>MONTH(sofiC_table[[#This Row],[Transaction Date]])</f>
        <v>5</v>
      </c>
      <c r="B56" s="4">
        <v>45066</v>
      </c>
      <c r="C56" t="s">
        <v>455</v>
      </c>
      <c r="D56" t="s">
        <v>451</v>
      </c>
      <c r="E56">
        <v>325</v>
      </c>
      <c r="F56">
        <v>324.36</v>
      </c>
    </row>
    <row r="57" spans="1:6" x14ac:dyDescent="0.25">
      <c r="A57" s="47">
        <f>MONTH(sofiC_table[[#This Row],[Transaction Date]])</f>
        <v>5</v>
      </c>
      <c r="B57" s="4">
        <v>45068</v>
      </c>
      <c r="C57" t="s">
        <v>826</v>
      </c>
      <c r="D57" t="s">
        <v>450</v>
      </c>
      <c r="E57">
        <v>-321.07</v>
      </c>
      <c r="F57">
        <v>3.29</v>
      </c>
    </row>
    <row r="58" spans="1:6" x14ac:dyDescent="0.25">
      <c r="A58" s="47">
        <f>MONTH(sofiC_table[[#This Row],[Transaction Date]])</f>
        <v>5</v>
      </c>
      <c r="B58" s="4">
        <v>45069</v>
      </c>
      <c r="C58" t="s">
        <v>823</v>
      </c>
      <c r="D58" t="s">
        <v>468</v>
      </c>
      <c r="E58">
        <v>-2.25</v>
      </c>
      <c r="F58">
        <v>1.04</v>
      </c>
    </row>
    <row r="59" spans="1:6" x14ac:dyDescent="0.25">
      <c r="A59" s="47">
        <f>MONTH(sofiC_table[[#This Row],[Transaction Date]])</f>
        <v>5</v>
      </c>
      <c r="B59" s="4">
        <v>45077</v>
      </c>
      <c r="C59" t="s">
        <v>443</v>
      </c>
      <c r="D59" t="s">
        <v>453</v>
      </c>
      <c r="E59">
        <v>7.0000000000000007E-2</v>
      </c>
      <c r="F59">
        <v>691.11</v>
      </c>
    </row>
    <row r="60" spans="1:6" x14ac:dyDescent="0.25">
      <c r="A60" s="47">
        <f>MONTH(sofiC_table[[#This Row],[Transaction Date]])</f>
        <v>5</v>
      </c>
      <c r="B60" s="4">
        <v>45077</v>
      </c>
      <c r="C60" t="s">
        <v>455</v>
      </c>
      <c r="D60" t="s">
        <v>451</v>
      </c>
      <c r="E60">
        <v>690</v>
      </c>
      <c r="F60">
        <v>691.04</v>
      </c>
    </row>
    <row r="61" spans="1:6" x14ac:dyDescent="0.25">
      <c r="A61" s="47">
        <f>MONTH(sofiC_table[[#This Row],[Transaction Date]])</f>
        <v>6</v>
      </c>
      <c r="B61" s="4">
        <v>45078</v>
      </c>
      <c r="C61" t="s">
        <v>830</v>
      </c>
      <c r="D61" t="s">
        <v>450</v>
      </c>
      <c r="E61">
        <v>-681.49</v>
      </c>
      <c r="F61">
        <v>9.6199999999999992</v>
      </c>
    </row>
    <row r="62" spans="1:6" x14ac:dyDescent="0.25">
      <c r="A62" s="47">
        <f>MONTH(sofiC_table[[#This Row],[Transaction Date]])</f>
        <v>6</v>
      </c>
      <c r="B62" s="4">
        <v>45079</v>
      </c>
      <c r="C62" t="s">
        <v>831</v>
      </c>
      <c r="D62" t="s">
        <v>468</v>
      </c>
      <c r="E62">
        <v>-4.5</v>
      </c>
      <c r="F62">
        <v>5.12</v>
      </c>
    </row>
    <row r="63" spans="1:6" x14ac:dyDescent="0.25">
      <c r="A63" s="47">
        <f>MONTH(sofiC_table[[#This Row],[Transaction Date]])</f>
        <v>6</v>
      </c>
      <c r="B63" s="4">
        <v>45094</v>
      </c>
      <c r="C63" t="s">
        <v>455</v>
      </c>
      <c r="D63" t="s">
        <v>451</v>
      </c>
      <c r="E63">
        <v>20</v>
      </c>
      <c r="F63">
        <v>5.12</v>
      </c>
    </row>
    <row r="64" spans="1:6" x14ac:dyDescent="0.25">
      <c r="A64" s="47">
        <f>MONTH(sofiC_table[[#This Row],[Transaction Date]])</f>
        <v>6</v>
      </c>
      <c r="B64" s="4">
        <v>45094</v>
      </c>
      <c r="C64" t="s">
        <v>464</v>
      </c>
      <c r="D64" t="s">
        <v>468</v>
      </c>
      <c r="E64">
        <v>-20</v>
      </c>
      <c r="F64">
        <v>-14.88</v>
      </c>
    </row>
    <row r="65" spans="1:6" x14ac:dyDescent="0.25">
      <c r="A65" s="47">
        <f>MONTH(sofiC_table[[#This Row],[Transaction Date]])</f>
        <v>6</v>
      </c>
      <c r="B65" s="4">
        <v>45105</v>
      </c>
      <c r="C65" t="s">
        <v>455</v>
      </c>
      <c r="D65" t="s">
        <v>451</v>
      </c>
      <c r="E65" s="5">
        <v>1814.85</v>
      </c>
      <c r="F65">
        <v>1819.97</v>
      </c>
    </row>
    <row r="66" spans="1:6" x14ac:dyDescent="0.25">
      <c r="A66" s="47">
        <f>MONTH(sofiC_table[[#This Row],[Transaction Date]])</f>
        <v>6</v>
      </c>
      <c r="B66" s="4">
        <v>45106</v>
      </c>
      <c r="C66" t="s">
        <v>456</v>
      </c>
      <c r="D66" t="s">
        <v>450</v>
      </c>
      <c r="E66" s="5">
        <v>-1814.85</v>
      </c>
      <c r="F66">
        <v>5.12</v>
      </c>
    </row>
    <row r="67" spans="1:6" x14ac:dyDescent="0.25">
      <c r="A67" s="47">
        <f>MONTH(sofiC_table[[#This Row],[Transaction Date]])</f>
        <v>6</v>
      </c>
      <c r="B67" s="4">
        <v>45107</v>
      </c>
      <c r="C67" t="s">
        <v>443</v>
      </c>
      <c r="D67" t="s">
        <v>453</v>
      </c>
      <c r="E67" s="5">
        <v>0.06</v>
      </c>
      <c r="F67">
        <v>5.18</v>
      </c>
    </row>
    <row r="68" spans="1:6" x14ac:dyDescent="0.25">
      <c r="A68" s="47">
        <f>MONTH(sofiC_table[[#This Row],[Transaction Date]])</f>
        <v>7</v>
      </c>
      <c r="B68" s="4">
        <v>45108</v>
      </c>
      <c r="C68" t="s">
        <v>455</v>
      </c>
      <c r="D68" t="s">
        <v>451</v>
      </c>
      <c r="E68" s="5">
        <v>178</v>
      </c>
      <c r="F68">
        <v>183.18</v>
      </c>
    </row>
    <row r="69" spans="1:6" x14ac:dyDescent="0.25">
      <c r="A69" s="47">
        <f>MONTH(sofiC_table[[#This Row],[Transaction Date]])</f>
        <v>7</v>
      </c>
      <c r="B69" s="4">
        <v>45110</v>
      </c>
      <c r="C69" t="s">
        <v>830</v>
      </c>
      <c r="D69" t="s">
        <v>450</v>
      </c>
      <c r="E69" s="5">
        <v>-178</v>
      </c>
      <c r="F69">
        <v>5.18</v>
      </c>
    </row>
    <row r="70" spans="1:6" x14ac:dyDescent="0.25">
      <c r="A70" s="47">
        <f>MONTH(sofiC_table[[#This Row],[Transaction Date]])</f>
        <v>7</v>
      </c>
      <c r="B70" s="4">
        <v>45113</v>
      </c>
      <c r="C70" t="s">
        <v>455</v>
      </c>
      <c r="E70" s="2">
        <v>10</v>
      </c>
    </row>
    <row r="71" spans="1:6" x14ac:dyDescent="0.25">
      <c r="A71" s="47">
        <f>MONTH(sofiC_table[[#This Row],[Transaction Date]])</f>
        <v>7</v>
      </c>
      <c r="B71" s="4">
        <v>45113</v>
      </c>
      <c r="C71" t="s">
        <v>455</v>
      </c>
      <c r="E71" s="2">
        <v>90</v>
      </c>
    </row>
    <row r="72" spans="1:6" x14ac:dyDescent="0.25">
      <c r="A72" s="47">
        <f>MONTH(sofiC_table[[#This Row],[Transaction Date]])</f>
        <v>7</v>
      </c>
      <c r="B72" s="4">
        <v>45115</v>
      </c>
      <c r="C72" t="s">
        <v>1069</v>
      </c>
      <c r="E72" s="2">
        <v>-105</v>
      </c>
    </row>
    <row r="73" spans="1:6" x14ac:dyDescent="0.25">
      <c r="A73" s="47">
        <f>MONTH(sofiC_table[[#This Row],[Transaction Date]])</f>
        <v>7</v>
      </c>
      <c r="B73" s="4">
        <v>45119</v>
      </c>
      <c r="C73" t="s">
        <v>455</v>
      </c>
      <c r="E73" s="2">
        <v>2</v>
      </c>
    </row>
    <row r="74" spans="1:6" x14ac:dyDescent="0.25">
      <c r="A74" s="47">
        <f>MONTH(sofiC_table[[#This Row],[Transaction Date]])</f>
        <v>7</v>
      </c>
      <c r="B74" s="4">
        <v>45122</v>
      </c>
      <c r="C74" t="s">
        <v>1070</v>
      </c>
      <c r="E74" s="2">
        <v>-0.1</v>
      </c>
    </row>
    <row r="75" spans="1:6" x14ac:dyDescent="0.25">
      <c r="A75" s="47">
        <f>MONTH(sofiC_table[[#This Row],[Transaction Date]])</f>
        <v>7</v>
      </c>
      <c r="B75" s="4">
        <v>45122</v>
      </c>
      <c r="C75" t="s">
        <v>1070</v>
      </c>
      <c r="E75" s="2">
        <v>-1.25</v>
      </c>
    </row>
    <row r="76" spans="1:6" x14ac:dyDescent="0.25">
      <c r="A76" s="47">
        <f>MONTH(sofiC_table[[#This Row],[Transaction Date]])</f>
        <v>7</v>
      </c>
      <c r="B76" s="4">
        <v>45132</v>
      </c>
      <c r="C76" t="s">
        <v>455</v>
      </c>
      <c r="E76" s="2">
        <v>1803.4</v>
      </c>
    </row>
    <row r="77" spans="1:6" x14ac:dyDescent="0.25">
      <c r="A77" s="47">
        <f>MONTH(sofiC_table[[#This Row],[Transaction Date]])</f>
        <v>7</v>
      </c>
      <c r="B77" s="4">
        <v>45133</v>
      </c>
      <c r="C77" t="s">
        <v>455</v>
      </c>
      <c r="E77" s="2">
        <v>200</v>
      </c>
    </row>
    <row r="78" spans="1:6" x14ac:dyDescent="0.25">
      <c r="A78" s="47">
        <f>MONTH(sofiC_table[[#This Row],[Transaction Date]])</f>
        <v>7</v>
      </c>
      <c r="B78" s="4">
        <v>45133</v>
      </c>
      <c r="C78" t="s">
        <v>1071</v>
      </c>
      <c r="E78" s="2">
        <v>-1803.4</v>
      </c>
    </row>
    <row r="79" spans="1:6" x14ac:dyDescent="0.25">
      <c r="A79" s="47">
        <f>MONTH(sofiC_table[[#This Row],[Transaction Date]])</f>
        <v>7</v>
      </c>
      <c r="B79" s="4">
        <v>45135</v>
      </c>
      <c r="C79" t="s">
        <v>830</v>
      </c>
      <c r="E79" s="2">
        <v>-200</v>
      </c>
    </row>
    <row r="80" spans="1:6" x14ac:dyDescent="0.25">
      <c r="A80" s="47">
        <f>MONTH(sofiC_table[[#This Row],[Transaction Date]])</f>
        <v>7</v>
      </c>
      <c r="B80" s="4">
        <v>45138</v>
      </c>
      <c r="C80" t="s">
        <v>443</v>
      </c>
      <c r="E80" s="2">
        <v>0.05</v>
      </c>
    </row>
    <row r="81" spans="1:5" x14ac:dyDescent="0.25">
      <c r="A81" s="47">
        <f>MONTH(sofiC_table[[#This Row],[Transaction Date]])</f>
        <v>8</v>
      </c>
      <c r="B81" s="4">
        <v>45142</v>
      </c>
      <c r="C81" t="s">
        <v>455</v>
      </c>
      <c r="E81" s="2">
        <v>5</v>
      </c>
    </row>
    <row r="82" spans="1:5" x14ac:dyDescent="0.25">
      <c r="A82" s="47">
        <f>MONTH(sofiC_table[[#This Row],[Transaction Date]])</f>
        <v>8</v>
      </c>
      <c r="B82" s="4">
        <v>45145</v>
      </c>
      <c r="C82" t="s">
        <v>1070</v>
      </c>
      <c r="E82" s="2">
        <v>-0.77</v>
      </c>
    </row>
    <row r="83" spans="1:5" x14ac:dyDescent="0.25">
      <c r="A83" s="47">
        <f>MONTH(sofiC_table[[#This Row],[Transaction Date]])</f>
        <v>8</v>
      </c>
      <c r="B83" s="4">
        <v>45162</v>
      </c>
      <c r="C83" t="s">
        <v>455</v>
      </c>
      <c r="E83" s="2">
        <v>932</v>
      </c>
    </row>
    <row r="84" spans="1:5" x14ac:dyDescent="0.25">
      <c r="A84" s="47">
        <f>MONTH(sofiC_table[[#This Row],[Transaction Date]])</f>
        <v>8</v>
      </c>
      <c r="B84" s="4">
        <v>45163</v>
      </c>
      <c r="C84" t="s">
        <v>455</v>
      </c>
      <c r="E84" s="2">
        <v>816.87</v>
      </c>
    </row>
    <row r="85" spans="1:5" x14ac:dyDescent="0.25">
      <c r="A85" s="47">
        <f>MONTH(sofiC_table[[#This Row],[Transaction Date]])</f>
        <v>8</v>
      </c>
      <c r="B85" s="4">
        <v>45163</v>
      </c>
      <c r="C85" t="s">
        <v>1071</v>
      </c>
      <c r="E85" s="2">
        <v>-932</v>
      </c>
    </row>
    <row r="86" spans="1:5" x14ac:dyDescent="0.25">
      <c r="A86" s="47">
        <f>MONTH(sofiC_table[[#This Row],[Transaction Date]])</f>
        <v>8</v>
      </c>
      <c r="B86" s="4">
        <v>45166</v>
      </c>
      <c r="C86" t="s">
        <v>455</v>
      </c>
      <c r="E86" s="2">
        <v>793.5</v>
      </c>
    </row>
    <row r="87" spans="1:5" x14ac:dyDescent="0.25">
      <c r="A87" s="47">
        <f>MONTH(sofiC_table[[#This Row],[Transaction Date]])</f>
        <v>8</v>
      </c>
      <c r="B87" s="4">
        <v>45166</v>
      </c>
      <c r="C87" t="s">
        <v>1071</v>
      </c>
      <c r="E87" s="2">
        <v>-816.87</v>
      </c>
    </row>
    <row r="88" spans="1:5" x14ac:dyDescent="0.25">
      <c r="A88" s="47">
        <f>MONTH(sofiC_table[[#This Row],[Transaction Date]])</f>
        <v>8</v>
      </c>
      <c r="B88" s="4">
        <v>45167</v>
      </c>
      <c r="C88" t="s">
        <v>1071</v>
      </c>
      <c r="E88" s="2">
        <v>-793.5</v>
      </c>
    </row>
    <row r="89" spans="1:5" x14ac:dyDescent="0.25">
      <c r="A89" s="47">
        <f>MONTH(sofiC_table[[#This Row],[Transaction Date]])</f>
        <v>8</v>
      </c>
      <c r="B89" s="4">
        <v>45169</v>
      </c>
      <c r="C89" t="s">
        <v>443</v>
      </c>
      <c r="E89" s="2">
        <v>0.06</v>
      </c>
    </row>
    <row r="90" spans="1:5" x14ac:dyDescent="0.25">
      <c r="A90" s="47">
        <f>MONTH(sofiC_table[[#This Row],[Transaction Date]])</f>
        <v>8</v>
      </c>
      <c r="B90" s="4">
        <v>45169</v>
      </c>
      <c r="C90" t="s">
        <v>455</v>
      </c>
      <c r="E90" s="2">
        <v>100</v>
      </c>
    </row>
    <row r="91" spans="1:5" x14ac:dyDescent="0.25">
      <c r="A91" s="47">
        <f>MONTH(sofiC_table[[#This Row],[Transaction Date]])</f>
        <v>9</v>
      </c>
      <c r="B91" s="4">
        <v>45170</v>
      </c>
      <c r="C91" t="s">
        <v>1071</v>
      </c>
      <c r="E91" s="2">
        <v>-100</v>
      </c>
    </row>
    <row r="92" spans="1:5" x14ac:dyDescent="0.25">
      <c r="A92" s="47">
        <f>MONTH(sofiC_table[[#This Row],[Transaction Date]])</f>
        <v>9</v>
      </c>
      <c r="B92" s="4">
        <v>45189</v>
      </c>
      <c r="C92" t="s">
        <v>455</v>
      </c>
      <c r="E92" s="2">
        <v>1810</v>
      </c>
    </row>
    <row r="93" spans="1:5" x14ac:dyDescent="0.25">
      <c r="A93" s="47">
        <f>MONTH(sofiC_table[[#This Row],[Transaction Date]])</f>
        <v>9</v>
      </c>
      <c r="B93" s="4">
        <v>45190</v>
      </c>
      <c r="C93" t="s">
        <v>1071</v>
      </c>
      <c r="E93" s="2">
        <v>-1803.4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B2FA8-9ADA-4AE0-9A85-141024D4D677}">
  <sheetPr>
    <tabColor theme="7"/>
  </sheetPr>
  <dimension ref="A1:I131"/>
  <sheetViews>
    <sheetView topLeftCell="A83" workbookViewId="0">
      <selection activeCell="D80" sqref="D80"/>
    </sheetView>
  </sheetViews>
  <sheetFormatPr defaultRowHeight="15" x14ac:dyDescent="0.25"/>
  <cols>
    <col min="1" max="1" width="17.85546875" style="47" customWidth="1"/>
    <col min="2" max="2" width="18.140625" bestFit="1" customWidth="1"/>
    <col min="3" max="3" width="26.28515625" bestFit="1" customWidth="1"/>
    <col min="4" max="4" width="14.7109375" style="2" bestFit="1" customWidth="1"/>
    <col min="5" max="5" width="14.85546875" style="2" bestFit="1" customWidth="1"/>
    <col min="6" max="6" width="15.5703125" style="2" bestFit="1" customWidth="1"/>
    <col min="7" max="8" width="13" customWidth="1"/>
    <col min="9" max="9" width="9.7109375" customWidth="1"/>
  </cols>
  <sheetData>
    <row r="1" spans="1:9" x14ac:dyDescent="0.25">
      <c r="A1" s="47" t="s">
        <v>685</v>
      </c>
      <c r="B1" t="s">
        <v>87</v>
      </c>
      <c r="C1" t="s">
        <v>0</v>
      </c>
      <c r="D1" t="s">
        <v>447</v>
      </c>
      <c r="E1" s="2" t="s">
        <v>1</v>
      </c>
      <c r="F1" s="2" t="s">
        <v>473</v>
      </c>
      <c r="G1" s="2" t="s">
        <v>474</v>
      </c>
      <c r="H1" t="s">
        <v>3</v>
      </c>
      <c r="I1" t="s">
        <v>6</v>
      </c>
    </row>
    <row r="2" spans="1:9" x14ac:dyDescent="0.25">
      <c r="A2" s="47">
        <f>MONTH(sofiS_table[[#This Row],[Transaction Date]])</f>
        <v>1</v>
      </c>
      <c r="B2" s="4">
        <v>44927</v>
      </c>
      <c r="C2" t="s">
        <v>8</v>
      </c>
      <c r="D2"/>
      <c r="E2" s="2">
        <f>F3-E3</f>
        <v>1148.3899999999999</v>
      </c>
      <c r="G2" s="2">
        <f>IFERROR(sofiS_table[[#This Row],[Cumulative]]-F1,0)</f>
        <v>0</v>
      </c>
    </row>
    <row r="3" spans="1:9" x14ac:dyDescent="0.25">
      <c r="A3" s="47">
        <f>MONTH(sofiS_table[[#This Row],[Transaction Date]])</f>
        <v>1</v>
      </c>
      <c r="B3" s="4">
        <v>44931</v>
      </c>
      <c r="C3" t="s">
        <v>438</v>
      </c>
      <c r="D3" t="s">
        <v>448</v>
      </c>
      <c r="E3">
        <v>-750</v>
      </c>
      <c r="F3">
        <v>398.39</v>
      </c>
      <c r="G3" s="2">
        <f>IFERROR(sofiS_table[[#This Row],[Cumulative]]-F1,0)</f>
        <v>0</v>
      </c>
    </row>
    <row r="4" spans="1:9" x14ac:dyDescent="0.25">
      <c r="A4" s="47">
        <f>MONTH(sofiS_table[[#This Row],[Transaction Date]])</f>
        <v>1</v>
      </c>
      <c r="B4" s="4">
        <v>44936</v>
      </c>
      <c r="C4" t="s">
        <v>99</v>
      </c>
      <c r="D4" t="s">
        <v>449</v>
      </c>
      <c r="E4">
        <v>3066.58</v>
      </c>
      <c r="F4">
        <v>3464.97</v>
      </c>
      <c r="G4" s="2">
        <f>IFERROR(sofiS_table[[#This Row],[Cumulative]]-F3,0)</f>
        <v>3066.58</v>
      </c>
    </row>
    <row r="5" spans="1:9" x14ac:dyDescent="0.25">
      <c r="A5" s="47">
        <f>MONTH(sofiS_table[[#This Row],[Transaction Date]])</f>
        <v>1</v>
      </c>
      <c r="B5" s="4">
        <v>44938</v>
      </c>
      <c r="C5" t="s">
        <v>439</v>
      </c>
      <c r="D5" t="s">
        <v>450</v>
      </c>
      <c r="E5">
        <v>-552.53</v>
      </c>
      <c r="F5">
        <v>2912.44</v>
      </c>
      <c r="G5" s="2">
        <f>IFERROR(sofiS_table[[#This Row],[Cumulative]]-F4,0)</f>
        <v>-552.52999999999975</v>
      </c>
    </row>
    <row r="6" spans="1:9" x14ac:dyDescent="0.25">
      <c r="A6" s="47">
        <f>MONTH(sofiS_table[[#This Row],[Transaction Date]])</f>
        <v>1</v>
      </c>
      <c r="B6" s="4">
        <v>44939</v>
      </c>
      <c r="C6" t="s">
        <v>438</v>
      </c>
      <c r="D6" t="s">
        <v>448</v>
      </c>
      <c r="E6">
        <v>-600</v>
      </c>
      <c r="F6">
        <v>2312.44</v>
      </c>
      <c r="G6" s="2">
        <f>IFERROR(sofiS_table[[#This Row],[Cumulative]]-F5,0)</f>
        <v>-600</v>
      </c>
    </row>
    <row r="7" spans="1:9" x14ac:dyDescent="0.25">
      <c r="A7" s="47">
        <f>MONTH(sofiS_table[[#This Row],[Transaction Date]])</f>
        <v>1</v>
      </c>
      <c r="B7" s="4">
        <v>44941</v>
      </c>
      <c r="C7" t="s">
        <v>440</v>
      </c>
      <c r="D7" t="s">
        <v>451</v>
      </c>
      <c r="E7">
        <v>253.09</v>
      </c>
      <c r="F7">
        <v>2565.5300000000002</v>
      </c>
      <c r="G7" s="2">
        <f>IFERROR(sofiS_table[[#This Row],[Cumulative]]-F6,0)</f>
        <v>253.09000000000015</v>
      </c>
    </row>
    <row r="8" spans="1:9" x14ac:dyDescent="0.25">
      <c r="A8" s="47">
        <f>MONTH(sofiS_table[[#This Row],[Transaction Date]])</f>
        <v>1</v>
      </c>
      <c r="B8" s="4">
        <v>44943</v>
      </c>
      <c r="C8" t="s">
        <v>441</v>
      </c>
      <c r="D8" t="s">
        <v>450</v>
      </c>
      <c r="E8">
        <v>-932</v>
      </c>
      <c r="F8">
        <v>1633.53</v>
      </c>
      <c r="G8" s="2">
        <f>IFERROR(sofiS_table[[#This Row],[Cumulative]]-F7,0)</f>
        <v>-932.00000000000023</v>
      </c>
    </row>
    <row r="9" spans="1:9" x14ac:dyDescent="0.25">
      <c r="A9" s="47">
        <f>MONTH(sofiS_table[[#This Row],[Transaction Date]])</f>
        <v>1</v>
      </c>
      <c r="B9" s="4">
        <v>44949</v>
      </c>
      <c r="C9" t="s">
        <v>439</v>
      </c>
      <c r="D9" t="s">
        <v>450</v>
      </c>
      <c r="E9">
        <v>-1000</v>
      </c>
      <c r="F9">
        <v>633.53</v>
      </c>
      <c r="G9" s="2">
        <f>IFERROR(sofiS_table[[#This Row],[Cumulative]]-F8,0)</f>
        <v>-1000</v>
      </c>
    </row>
    <row r="10" spans="1:9" x14ac:dyDescent="0.25">
      <c r="A10" s="47">
        <f>MONTH(sofiS_table[[#This Row],[Transaction Date]])</f>
        <v>1</v>
      </c>
      <c r="B10" s="4">
        <v>44950</v>
      </c>
      <c r="C10" t="s">
        <v>99</v>
      </c>
      <c r="D10" t="s">
        <v>449</v>
      </c>
      <c r="E10">
        <v>2705.92</v>
      </c>
      <c r="F10">
        <v>3339.45</v>
      </c>
      <c r="G10" s="2">
        <f>IFERROR(sofiS_table[[#This Row],[Cumulative]]-F9,0)</f>
        <v>2705.92</v>
      </c>
    </row>
    <row r="11" spans="1:9" x14ac:dyDescent="0.25">
      <c r="A11" s="47">
        <f>MONTH(sofiS_table[[#This Row],[Transaction Date]])</f>
        <v>1</v>
      </c>
      <c r="B11" s="4">
        <v>44951</v>
      </c>
      <c r="C11" t="s">
        <v>442</v>
      </c>
      <c r="D11" t="s">
        <v>452</v>
      </c>
      <c r="E11">
        <v>4.0999999999999996</v>
      </c>
      <c r="F11">
        <v>3193.55</v>
      </c>
      <c r="G11" s="2">
        <f>IFERROR(sofiS_table[[#This Row],[Cumulative]]-F10,0)</f>
        <v>-145.89999999999964</v>
      </c>
    </row>
    <row r="12" spans="1:9" x14ac:dyDescent="0.25">
      <c r="A12" s="47">
        <f>MONTH(sofiS_table[[#This Row],[Transaction Date]])</f>
        <v>1</v>
      </c>
      <c r="B12" s="4">
        <v>44951</v>
      </c>
      <c r="C12" t="s">
        <v>438</v>
      </c>
      <c r="D12" t="s">
        <v>448</v>
      </c>
      <c r="E12">
        <v>-100</v>
      </c>
      <c r="F12">
        <v>3189.45</v>
      </c>
      <c r="G12" s="2">
        <f>IFERROR(sofiS_table[[#This Row],[Cumulative]]-F11,0)</f>
        <v>-4.1000000000003638</v>
      </c>
    </row>
    <row r="13" spans="1:9" x14ac:dyDescent="0.25">
      <c r="A13" s="47">
        <f>MONTH(sofiS_table[[#This Row],[Transaction Date]])</f>
        <v>1</v>
      </c>
      <c r="B13" s="4">
        <v>44951</v>
      </c>
      <c r="C13" t="s">
        <v>438</v>
      </c>
      <c r="D13" t="s">
        <v>448</v>
      </c>
      <c r="E13">
        <v>-50</v>
      </c>
      <c r="F13">
        <v>3289.45</v>
      </c>
      <c r="G13" s="2">
        <f>IFERROR(sofiS_table[[#This Row],[Cumulative]]-F12,0)</f>
        <v>100</v>
      </c>
    </row>
    <row r="14" spans="1:9" x14ac:dyDescent="0.25">
      <c r="A14" s="47">
        <f>MONTH(sofiS_table[[#This Row],[Transaction Date]])</f>
        <v>1</v>
      </c>
      <c r="B14" s="4">
        <v>44952</v>
      </c>
      <c r="C14" t="s">
        <v>439</v>
      </c>
      <c r="D14" t="s">
        <v>450</v>
      </c>
      <c r="E14">
        <v>-2071.58</v>
      </c>
      <c r="F14">
        <v>1121.97</v>
      </c>
      <c r="G14" s="2">
        <f>IFERROR(sofiS_table[[#This Row],[Cumulative]]-F13,0)</f>
        <v>-2167.4799999999996</v>
      </c>
    </row>
    <row r="15" spans="1:9" x14ac:dyDescent="0.25">
      <c r="A15" s="47">
        <f>MONTH(sofiS_table[[#This Row],[Transaction Date]])</f>
        <v>1</v>
      </c>
      <c r="B15" s="4">
        <v>44957</v>
      </c>
      <c r="C15" t="s">
        <v>443</v>
      </c>
      <c r="D15" t="s">
        <v>453</v>
      </c>
      <c r="E15">
        <v>5.0199999999999996</v>
      </c>
      <c r="F15">
        <v>1126.99</v>
      </c>
      <c r="G15" s="2">
        <f>IFERROR(sofiS_table[[#This Row],[Cumulative]]-F14,0)</f>
        <v>5.0199999999999818</v>
      </c>
    </row>
    <row r="16" spans="1:9" x14ac:dyDescent="0.25">
      <c r="A16" s="47">
        <f>MONTH(sofiS_table[[#This Row],[Transaction Date]])</f>
        <v>2</v>
      </c>
      <c r="B16" s="4">
        <v>44962</v>
      </c>
      <c r="C16" t="s">
        <v>438</v>
      </c>
      <c r="D16" t="s">
        <v>448</v>
      </c>
      <c r="E16">
        <v>-50</v>
      </c>
      <c r="F16">
        <v>1026.99</v>
      </c>
      <c r="G16" s="2">
        <f>IFERROR(sofiS_table[[#This Row],[Cumulative]]-F15,0)</f>
        <v>-100</v>
      </c>
    </row>
    <row r="17" spans="1:7" x14ac:dyDescent="0.25">
      <c r="A17" s="47">
        <f>MONTH(sofiS_table[[#This Row],[Transaction Date]])</f>
        <v>2</v>
      </c>
      <c r="B17" s="4">
        <v>44962</v>
      </c>
      <c r="C17" t="s">
        <v>438</v>
      </c>
      <c r="D17" t="s">
        <v>448</v>
      </c>
      <c r="E17">
        <v>-50</v>
      </c>
      <c r="F17">
        <v>1076.99</v>
      </c>
      <c r="G17" s="2">
        <f>IFERROR(sofiS_table[[#This Row],[Cumulative]]-F16,0)</f>
        <v>50</v>
      </c>
    </row>
    <row r="18" spans="1:7" x14ac:dyDescent="0.25">
      <c r="A18" s="47">
        <f>MONTH(sofiS_table[[#This Row],[Transaction Date]])</f>
        <v>2</v>
      </c>
      <c r="B18" s="4">
        <v>44964</v>
      </c>
      <c r="C18" t="s">
        <v>99</v>
      </c>
      <c r="D18" t="s">
        <v>449</v>
      </c>
      <c r="E18">
        <v>1513.98</v>
      </c>
      <c r="F18">
        <v>2540.9699999999998</v>
      </c>
      <c r="G18" s="2">
        <f>IFERROR(sofiS_table[[#This Row],[Cumulative]]-F17,0)</f>
        <v>1463.9799999999998</v>
      </c>
    </row>
    <row r="19" spans="1:7" x14ac:dyDescent="0.25">
      <c r="A19" s="47">
        <f>MONTH(sofiS_table[[#This Row],[Transaction Date]])</f>
        <v>2</v>
      </c>
      <c r="B19" s="4">
        <v>44965</v>
      </c>
      <c r="C19" t="s">
        <v>444</v>
      </c>
      <c r="D19" t="s">
        <v>451</v>
      </c>
      <c r="E19">
        <v>500</v>
      </c>
      <c r="F19">
        <v>3040.97</v>
      </c>
      <c r="G19" s="2">
        <f>IFERROR(sofiS_table[[#This Row],[Cumulative]]-F18,0)</f>
        <v>500</v>
      </c>
    </row>
    <row r="20" spans="1:7" x14ac:dyDescent="0.25">
      <c r="A20" s="47">
        <f>MONTH(sofiS_table[[#This Row],[Transaction Date]])</f>
        <v>2</v>
      </c>
      <c r="B20" s="4">
        <v>44966</v>
      </c>
      <c r="C20" t="s">
        <v>439</v>
      </c>
      <c r="D20" t="s">
        <v>450</v>
      </c>
      <c r="E20">
        <v>-1995.21</v>
      </c>
      <c r="F20">
        <v>1045.76</v>
      </c>
      <c r="G20" s="2">
        <f>IFERROR(sofiS_table[[#This Row],[Cumulative]]-F19,0)</f>
        <v>-1995.2099999999998</v>
      </c>
    </row>
    <row r="21" spans="1:7" x14ac:dyDescent="0.25">
      <c r="A21" s="47">
        <f>MONTH(sofiS_table[[#This Row],[Transaction Date]])</f>
        <v>2</v>
      </c>
      <c r="B21" s="4">
        <v>44978</v>
      </c>
      <c r="C21" t="s">
        <v>99</v>
      </c>
      <c r="D21" t="s">
        <v>449</v>
      </c>
      <c r="E21">
        <v>1514.79</v>
      </c>
      <c r="F21">
        <v>2360.5500000000002</v>
      </c>
      <c r="G21" s="2">
        <f>IFERROR(sofiS_table[[#This Row],[Cumulative]]-F20,0)</f>
        <v>1314.7900000000002</v>
      </c>
    </row>
    <row r="22" spans="1:7" x14ac:dyDescent="0.25">
      <c r="A22" s="47">
        <f>MONTH(sofiS_table[[#This Row],[Transaction Date]])</f>
        <v>2</v>
      </c>
      <c r="B22" s="4">
        <v>44978</v>
      </c>
      <c r="C22" t="s">
        <v>438</v>
      </c>
      <c r="D22" t="s">
        <v>448</v>
      </c>
      <c r="E22">
        <v>-100</v>
      </c>
      <c r="F22">
        <v>845.76</v>
      </c>
      <c r="G22" s="2">
        <f>IFERROR(sofiS_table[[#This Row],[Cumulative]]-F21,0)</f>
        <v>-1514.7900000000002</v>
      </c>
    </row>
    <row r="23" spans="1:7" x14ac:dyDescent="0.25">
      <c r="A23" s="47">
        <f>MONTH(sofiS_table[[#This Row],[Transaction Date]])</f>
        <v>2</v>
      </c>
      <c r="B23" s="4">
        <v>44978</v>
      </c>
      <c r="C23" t="s">
        <v>444</v>
      </c>
      <c r="D23" t="s">
        <v>448</v>
      </c>
      <c r="E23">
        <v>-100</v>
      </c>
      <c r="F23">
        <v>945.76</v>
      </c>
      <c r="G23" s="2">
        <f>IFERROR(sofiS_table[[#This Row],[Cumulative]]-F22,0)</f>
        <v>100</v>
      </c>
    </row>
    <row r="24" spans="1:7" x14ac:dyDescent="0.25">
      <c r="A24" s="47">
        <f>MONTH(sofiS_table[[#This Row],[Transaction Date]])</f>
        <v>2</v>
      </c>
      <c r="B24" s="4">
        <v>44979</v>
      </c>
      <c r="C24" t="s">
        <v>444</v>
      </c>
      <c r="D24" t="s">
        <v>448</v>
      </c>
      <c r="E24">
        <v>-650</v>
      </c>
      <c r="F24">
        <v>1710.55</v>
      </c>
      <c r="G24" s="2">
        <f>IFERROR(sofiS_table[[#This Row],[Cumulative]]-F23,0)</f>
        <v>764.79</v>
      </c>
    </row>
    <row r="25" spans="1:7" x14ac:dyDescent="0.25">
      <c r="A25" s="47">
        <f>MONTH(sofiS_table[[#This Row],[Transaction Date]])</f>
        <v>2</v>
      </c>
      <c r="B25" s="4">
        <v>44984</v>
      </c>
      <c r="C25" t="s">
        <v>445</v>
      </c>
      <c r="D25" t="s">
        <v>451</v>
      </c>
      <c r="E25">
        <v>284</v>
      </c>
      <c r="F25">
        <v>562.16</v>
      </c>
      <c r="G25" s="2">
        <f>IFERROR(sofiS_table[[#This Row],[Cumulative]]-F24,0)</f>
        <v>-1148.3899999999999</v>
      </c>
    </row>
    <row r="26" spans="1:7" x14ac:dyDescent="0.25">
      <c r="A26" s="47">
        <f>MONTH(sofiS_table[[#This Row],[Transaction Date]])</f>
        <v>2</v>
      </c>
      <c r="B26" s="4">
        <v>44984</v>
      </c>
      <c r="C26" t="s">
        <v>439</v>
      </c>
      <c r="D26" t="s">
        <v>450</v>
      </c>
      <c r="E26">
        <v>-1432.39</v>
      </c>
      <c r="F26">
        <v>278.16000000000003</v>
      </c>
      <c r="G26" s="2">
        <f>IFERROR(sofiS_table[[#This Row],[Cumulative]]-F25,0)</f>
        <v>-283.99999999999994</v>
      </c>
    </row>
    <row r="27" spans="1:7" x14ac:dyDescent="0.25">
      <c r="A27" s="47">
        <f>MONTH(sofiS_table[[#This Row],[Transaction Date]])</f>
        <v>2</v>
      </c>
      <c r="B27" s="4">
        <v>44985</v>
      </c>
      <c r="C27" t="s">
        <v>443</v>
      </c>
      <c r="D27" t="s">
        <v>453</v>
      </c>
      <c r="E27">
        <v>3.8</v>
      </c>
      <c r="F27">
        <v>1439.96</v>
      </c>
      <c r="G27" s="2">
        <f>IFERROR(sofiS_table[[#This Row],[Cumulative]]-F26,0)</f>
        <v>1161.8</v>
      </c>
    </row>
    <row r="28" spans="1:7" x14ac:dyDescent="0.25">
      <c r="A28" s="47">
        <f>MONTH(sofiS_table[[#This Row],[Transaction Date]])</f>
        <v>2</v>
      </c>
      <c r="B28" s="4">
        <v>44985</v>
      </c>
      <c r="C28" t="s">
        <v>446</v>
      </c>
      <c r="D28" t="s">
        <v>451</v>
      </c>
      <c r="E28">
        <v>874</v>
      </c>
      <c r="F28">
        <v>1436.16</v>
      </c>
      <c r="G28" s="2">
        <f>IFERROR(sofiS_table[[#This Row],[Cumulative]]-F27,0)</f>
        <v>-3.7999999999999545</v>
      </c>
    </row>
    <row r="29" spans="1:7" x14ac:dyDescent="0.25">
      <c r="A29" s="47">
        <f>MONTH(sofiS_table[[#This Row],[Transaction Date]])</f>
        <v>3</v>
      </c>
      <c r="B29" s="4">
        <v>44986</v>
      </c>
      <c r="C29" t="s">
        <v>438</v>
      </c>
      <c r="D29" t="s">
        <v>448</v>
      </c>
      <c r="E29">
        <v>-150</v>
      </c>
      <c r="F29">
        <v>1289.96</v>
      </c>
      <c r="G29" s="2">
        <f>IFERROR(sofiS_table[[#This Row],[Cumulative]]-F28,0)</f>
        <v>-146.20000000000005</v>
      </c>
    </row>
    <row r="30" spans="1:7" x14ac:dyDescent="0.25">
      <c r="A30" s="47">
        <f>MONTH(sofiS_table[[#This Row],[Transaction Date]])</f>
        <v>3</v>
      </c>
      <c r="B30" s="4">
        <v>44987</v>
      </c>
      <c r="C30" t="s">
        <v>439</v>
      </c>
      <c r="D30" t="s">
        <v>450</v>
      </c>
      <c r="E30">
        <v>-1000</v>
      </c>
      <c r="F30">
        <v>289.95999999999998</v>
      </c>
      <c r="G30" s="2">
        <f>IFERROR(sofiS_table[[#This Row],[Cumulative]]-F29,0)</f>
        <v>-1000</v>
      </c>
    </row>
    <row r="31" spans="1:7" x14ac:dyDescent="0.25">
      <c r="A31" s="47">
        <f>MONTH(sofiS_table[[#This Row],[Transaction Date]])</f>
        <v>3</v>
      </c>
      <c r="B31" s="4">
        <v>44992</v>
      </c>
      <c r="C31" t="s">
        <v>99</v>
      </c>
      <c r="D31" t="s">
        <v>449</v>
      </c>
      <c r="E31">
        <v>1646.21</v>
      </c>
      <c r="F31">
        <v>1936.17</v>
      </c>
      <c r="G31" s="2">
        <f>IFERROR(sofiS_table[[#This Row],[Cumulative]]-F30,0)</f>
        <v>1646.21</v>
      </c>
    </row>
    <row r="32" spans="1:7" x14ac:dyDescent="0.25">
      <c r="A32" s="47">
        <f>MONTH(sofiS_table[[#This Row],[Transaction Date]])</f>
        <v>3</v>
      </c>
      <c r="B32" s="4">
        <v>44994</v>
      </c>
      <c r="C32" t="s">
        <v>439</v>
      </c>
      <c r="D32" t="s">
        <v>450</v>
      </c>
      <c r="E32">
        <v>-1079.82</v>
      </c>
      <c r="F32">
        <v>856.35</v>
      </c>
      <c r="G32" s="2">
        <f>IFERROR(sofiS_table[[#This Row],[Cumulative]]-F31,0)</f>
        <v>-1079.8200000000002</v>
      </c>
    </row>
    <row r="33" spans="1:7" x14ac:dyDescent="0.25">
      <c r="A33" s="47">
        <f>MONTH(sofiS_table[[#This Row],[Transaction Date]])</f>
        <v>3</v>
      </c>
      <c r="B33" s="4">
        <v>44995</v>
      </c>
      <c r="C33" t="s">
        <v>444</v>
      </c>
      <c r="D33" t="s">
        <v>451</v>
      </c>
      <c r="E33">
        <v>500</v>
      </c>
      <c r="F33">
        <v>556.35</v>
      </c>
      <c r="G33" s="2">
        <f>IFERROR(sofiS_table[[#This Row],[Cumulative]]-F32,0)</f>
        <v>-300</v>
      </c>
    </row>
    <row r="34" spans="1:7" x14ac:dyDescent="0.25">
      <c r="A34" s="47">
        <f>MONTH(sofiS_table[[#This Row],[Transaction Date]])</f>
        <v>3</v>
      </c>
      <c r="B34" s="4">
        <v>44995</v>
      </c>
      <c r="C34" t="s">
        <v>438</v>
      </c>
      <c r="D34" t="s">
        <v>448</v>
      </c>
      <c r="E34">
        <v>-800</v>
      </c>
      <c r="F34">
        <v>56.35</v>
      </c>
      <c r="G34" s="2">
        <f>IFERROR(sofiS_table[[#This Row],[Cumulative]]-F33,0)</f>
        <v>-500</v>
      </c>
    </row>
    <row r="35" spans="1:7" x14ac:dyDescent="0.25">
      <c r="A35" s="47">
        <f>MONTH(sofiS_table[[#This Row],[Transaction Date]])</f>
        <v>3</v>
      </c>
      <c r="B35" s="4">
        <v>45002</v>
      </c>
      <c r="C35" t="s">
        <v>438</v>
      </c>
      <c r="D35" t="s">
        <v>448</v>
      </c>
      <c r="E35">
        <v>-141.6</v>
      </c>
      <c r="F35">
        <v>1114.75</v>
      </c>
      <c r="G35" s="2">
        <f>IFERROR(sofiS_table[[#This Row],[Cumulative]]-F34,0)</f>
        <v>1058.4000000000001</v>
      </c>
    </row>
    <row r="36" spans="1:7" x14ac:dyDescent="0.25">
      <c r="A36" s="47">
        <f>MONTH(sofiS_table[[#This Row],[Transaction Date]])</f>
        <v>3</v>
      </c>
      <c r="B36" s="4">
        <v>45002</v>
      </c>
      <c r="C36" t="s">
        <v>444</v>
      </c>
      <c r="D36" t="s">
        <v>451</v>
      </c>
      <c r="E36">
        <v>700</v>
      </c>
      <c r="F36">
        <v>1256.3499999999999</v>
      </c>
      <c r="G36" s="2">
        <f>IFERROR(sofiS_table[[#This Row],[Cumulative]]-F35,0)</f>
        <v>141.59999999999991</v>
      </c>
    </row>
    <row r="37" spans="1:7" x14ac:dyDescent="0.25">
      <c r="A37" s="47">
        <f>MONTH(sofiS_table[[#This Row],[Transaction Date]])</f>
        <v>3</v>
      </c>
      <c r="B37" s="4">
        <v>45006</v>
      </c>
      <c r="C37" t="s">
        <v>99</v>
      </c>
      <c r="D37" t="s">
        <v>449</v>
      </c>
      <c r="E37">
        <v>2258.37</v>
      </c>
      <c r="F37">
        <v>3373.12</v>
      </c>
      <c r="G37" s="2">
        <f>IFERROR(sofiS_table[[#This Row],[Cumulative]]-F36,0)</f>
        <v>2116.77</v>
      </c>
    </row>
    <row r="38" spans="1:7" x14ac:dyDescent="0.25">
      <c r="A38" s="47">
        <f>MONTH(sofiS_table[[#This Row],[Transaction Date]])</f>
        <v>3</v>
      </c>
      <c r="B38" s="4">
        <v>45007</v>
      </c>
      <c r="C38" t="s">
        <v>444</v>
      </c>
      <c r="D38" t="s">
        <v>448</v>
      </c>
      <c r="E38">
        <v>-300</v>
      </c>
      <c r="F38">
        <v>3073.12</v>
      </c>
      <c r="G38" s="2">
        <f>IFERROR(sofiS_table[[#This Row],[Cumulative]]-F37,0)</f>
        <v>-300</v>
      </c>
    </row>
    <row r="39" spans="1:7" x14ac:dyDescent="0.25">
      <c r="A39" s="47">
        <f>MONTH(sofiS_table[[#This Row],[Transaction Date]])</f>
        <v>3</v>
      </c>
      <c r="B39" s="4">
        <v>45008</v>
      </c>
      <c r="C39" t="s">
        <v>439</v>
      </c>
      <c r="D39" t="s">
        <v>450</v>
      </c>
      <c r="E39">
        <v>-1079.82</v>
      </c>
      <c r="F39">
        <v>1993.3</v>
      </c>
      <c r="G39" s="2">
        <f>IFERROR(sofiS_table[[#This Row],[Cumulative]]-F38,0)</f>
        <v>-1079.82</v>
      </c>
    </row>
    <row r="40" spans="1:7" x14ac:dyDescent="0.25">
      <c r="A40" s="47">
        <f>MONTH(sofiS_table[[#This Row],[Transaction Date]])</f>
        <v>3</v>
      </c>
      <c r="B40" s="4">
        <v>45009</v>
      </c>
      <c r="C40" t="s">
        <v>439</v>
      </c>
      <c r="D40" t="s">
        <v>450</v>
      </c>
      <c r="E40">
        <v>-1582.05</v>
      </c>
      <c r="F40">
        <v>411.25</v>
      </c>
      <c r="G40" s="2">
        <f>IFERROR(sofiS_table[[#This Row],[Cumulative]]-F39,0)</f>
        <v>-1582.05</v>
      </c>
    </row>
    <row r="41" spans="1:7" x14ac:dyDescent="0.25">
      <c r="A41" s="47">
        <f>MONTH(sofiS_table[[#This Row],[Transaction Date]])</f>
        <v>3</v>
      </c>
      <c r="B41" s="4">
        <v>45016</v>
      </c>
      <c r="C41" t="s">
        <v>443</v>
      </c>
      <c r="D41" t="s">
        <v>453</v>
      </c>
      <c r="E41">
        <v>2.89</v>
      </c>
      <c r="F41">
        <v>414.14</v>
      </c>
      <c r="G41" s="2">
        <f>IFERROR(sofiS_table[[#This Row],[Cumulative]]-F40,0)</f>
        <v>2.8899999999999864</v>
      </c>
    </row>
    <row r="42" spans="1:7" x14ac:dyDescent="0.25">
      <c r="A42" s="47">
        <f>MONTH(sofiS_table[[#This Row],[Transaction Date]])</f>
        <v>4</v>
      </c>
      <c r="B42" s="4">
        <v>45020</v>
      </c>
      <c r="C42" t="s">
        <v>99</v>
      </c>
      <c r="D42" t="s">
        <v>449</v>
      </c>
      <c r="E42">
        <v>2258.37</v>
      </c>
      <c r="F42">
        <v>2672.51</v>
      </c>
      <c r="G42" s="2">
        <f>IFERROR(sofiS_table[[#This Row],[Cumulative]]-F41,0)</f>
        <v>2258.3700000000003</v>
      </c>
    </row>
    <row r="43" spans="1:7" x14ac:dyDescent="0.25">
      <c r="A43" s="47">
        <f>MONTH(sofiS_table[[#This Row],[Transaction Date]])</f>
        <v>4</v>
      </c>
      <c r="B43" s="4">
        <v>45021</v>
      </c>
      <c r="C43" t="s">
        <v>444</v>
      </c>
      <c r="D43" t="s">
        <v>451</v>
      </c>
      <c r="E43">
        <v>300</v>
      </c>
      <c r="F43">
        <v>3472.51</v>
      </c>
      <c r="G43" s="2">
        <f>IFERROR(sofiS_table[[#This Row],[Cumulative]]-F42,0)</f>
        <v>800</v>
      </c>
    </row>
    <row r="44" spans="1:7" x14ac:dyDescent="0.25">
      <c r="A44" s="47">
        <f>MONTH(sofiS_table[[#This Row],[Transaction Date]])</f>
        <v>4</v>
      </c>
      <c r="B44" s="4">
        <v>45021</v>
      </c>
      <c r="C44" t="s">
        <v>444</v>
      </c>
      <c r="D44" t="s">
        <v>451</v>
      </c>
      <c r="E44">
        <v>500</v>
      </c>
      <c r="F44">
        <v>3172.51</v>
      </c>
      <c r="G44" s="2">
        <f>IFERROR(sofiS_table[[#This Row],[Cumulative]]-F43,0)</f>
        <v>-300</v>
      </c>
    </row>
    <row r="45" spans="1:7" x14ac:dyDescent="0.25">
      <c r="A45" s="47">
        <f>MONTH(sofiS_table[[#This Row],[Transaction Date]])</f>
        <v>4</v>
      </c>
      <c r="B45" s="4">
        <v>45022</v>
      </c>
      <c r="C45" t="s">
        <v>439</v>
      </c>
      <c r="D45" t="s">
        <v>450</v>
      </c>
      <c r="E45">
        <v>-2889.63</v>
      </c>
      <c r="F45">
        <v>582.88</v>
      </c>
      <c r="G45" s="2">
        <f>IFERROR(sofiS_table[[#This Row],[Cumulative]]-F44,0)</f>
        <v>-2589.63</v>
      </c>
    </row>
    <row r="46" spans="1:7" x14ac:dyDescent="0.25">
      <c r="A46" s="47">
        <f>MONTH(sofiS_table[[#This Row],[Transaction Date]])</f>
        <v>4</v>
      </c>
      <c r="B46" s="4">
        <v>45032</v>
      </c>
      <c r="C46" t="s">
        <v>832</v>
      </c>
      <c r="D46" t="s">
        <v>451</v>
      </c>
      <c r="E46">
        <v>100</v>
      </c>
      <c r="F46">
        <v>682.88</v>
      </c>
      <c r="G46" s="2">
        <f>IFERROR(sofiS_table[[#This Row],[Cumulative]]-F45,0)</f>
        <v>100</v>
      </c>
    </row>
    <row r="47" spans="1:7" x14ac:dyDescent="0.25">
      <c r="A47" s="47">
        <f>MONTH(sofiS_table[[#This Row],[Transaction Date]])</f>
        <v>4</v>
      </c>
      <c r="B47" s="4">
        <v>45033</v>
      </c>
      <c r="C47" t="s">
        <v>444</v>
      </c>
      <c r="D47" t="s">
        <v>448</v>
      </c>
      <c r="E47">
        <v>-150</v>
      </c>
      <c r="F47">
        <v>532.88</v>
      </c>
      <c r="G47" s="2">
        <f>IFERROR(sofiS_table[[#This Row],[Cumulative]]-F46,0)</f>
        <v>-150</v>
      </c>
    </row>
    <row r="48" spans="1:7" x14ac:dyDescent="0.25">
      <c r="A48" s="47">
        <f>MONTH(sofiS_table[[#This Row],[Transaction Date]])</f>
        <v>4</v>
      </c>
      <c r="B48" s="4">
        <v>45034</v>
      </c>
      <c r="C48" t="s">
        <v>99</v>
      </c>
      <c r="D48" t="s">
        <v>449</v>
      </c>
      <c r="E48">
        <v>2258.37</v>
      </c>
      <c r="F48">
        <v>2791.25</v>
      </c>
      <c r="G48" s="2">
        <f>IFERROR(sofiS_table[[#This Row],[Cumulative]]-F47,0)</f>
        <v>2258.37</v>
      </c>
    </row>
    <row r="49" spans="1:7" x14ac:dyDescent="0.25">
      <c r="A49" s="47">
        <f>MONTH(sofiS_table[[#This Row],[Transaction Date]])</f>
        <v>4</v>
      </c>
      <c r="B49" s="4">
        <v>45035</v>
      </c>
      <c r="C49" t="s">
        <v>444</v>
      </c>
      <c r="D49" t="s">
        <v>448</v>
      </c>
      <c r="E49">
        <v>-250</v>
      </c>
      <c r="F49">
        <v>2541.25</v>
      </c>
      <c r="G49" s="2">
        <f>IFERROR(sofiS_table[[#This Row],[Cumulative]]-F48,0)</f>
        <v>-250</v>
      </c>
    </row>
    <row r="50" spans="1:7" x14ac:dyDescent="0.25">
      <c r="A50" s="47">
        <f>MONTH(sofiS_table[[#This Row],[Transaction Date]])</f>
        <v>4</v>
      </c>
      <c r="B50" s="4">
        <v>45036</v>
      </c>
      <c r="C50" t="s">
        <v>439</v>
      </c>
      <c r="D50" t="s">
        <v>450</v>
      </c>
      <c r="E50">
        <v>-1494.12</v>
      </c>
      <c r="F50">
        <v>1047.1300000000001</v>
      </c>
      <c r="G50" s="2">
        <f>IFERROR(sofiS_table[[#This Row],[Cumulative]]-F49,0)</f>
        <v>-1494.12</v>
      </c>
    </row>
    <row r="51" spans="1:7" x14ac:dyDescent="0.25">
      <c r="A51" s="47">
        <f>MONTH(sofiS_table[[#This Row],[Transaction Date]])</f>
        <v>4</v>
      </c>
      <c r="B51" s="4">
        <v>45042</v>
      </c>
      <c r="C51" t="s">
        <v>438</v>
      </c>
      <c r="D51" t="s">
        <v>448</v>
      </c>
      <c r="E51">
        <v>-50</v>
      </c>
      <c r="F51">
        <v>997.13</v>
      </c>
      <c r="G51" s="2">
        <f>IFERROR(sofiS_table[[#This Row],[Cumulative]]-F50,0)</f>
        <v>-50.000000000000114</v>
      </c>
    </row>
    <row r="52" spans="1:7" x14ac:dyDescent="0.25">
      <c r="A52" s="47">
        <f>MONTH(sofiS_table[[#This Row],[Transaction Date]])</f>
        <v>4</v>
      </c>
      <c r="B52" s="4">
        <v>45044</v>
      </c>
      <c r="C52" t="s">
        <v>438</v>
      </c>
      <c r="D52" t="s">
        <v>448</v>
      </c>
      <c r="E52">
        <v>-200</v>
      </c>
      <c r="F52">
        <v>797.13</v>
      </c>
      <c r="G52" s="2">
        <f>IFERROR(sofiS_table[[#This Row],[Cumulative]]-F51,0)</f>
        <v>-200</v>
      </c>
    </row>
    <row r="53" spans="1:7" x14ac:dyDescent="0.25">
      <c r="A53" s="47">
        <f>MONTH(sofiS_table[[#This Row],[Transaction Date]])</f>
        <v>4</v>
      </c>
      <c r="B53" s="4">
        <v>45046</v>
      </c>
      <c r="C53" t="s">
        <v>443</v>
      </c>
      <c r="D53" t="s">
        <v>453</v>
      </c>
      <c r="E53">
        <v>3.31</v>
      </c>
      <c r="F53">
        <v>800.44</v>
      </c>
      <c r="G53" s="2">
        <f>IFERROR(sofiS_table[[#This Row],[Cumulative]]-F52,0)</f>
        <v>3.3100000000000591</v>
      </c>
    </row>
    <row r="54" spans="1:7" x14ac:dyDescent="0.25">
      <c r="A54" s="47">
        <f>MONTH(sofiS_table[[#This Row],[Transaction Date]])</f>
        <v>5</v>
      </c>
      <c r="B54" s="4">
        <v>45048</v>
      </c>
      <c r="C54" t="s">
        <v>99</v>
      </c>
      <c r="D54" t="s">
        <v>449</v>
      </c>
      <c r="E54">
        <v>2258.37</v>
      </c>
      <c r="F54">
        <v>3058.81</v>
      </c>
      <c r="G54" s="2">
        <f>IFERROR(sofiS_table[[#This Row],[Cumulative]]-F53,0)</f>
        <v>2258.37</v>
      </c>
    </row>
    <row r="55" spans="1:7" x14ac:dyDescent="0.25">
      <c r="A55" s="47">
        <f>MONTH(sofiS_table[[#This Row],[Transaction Date]])</f>
        <v>5</v>
      </c>
      <c r="B55" s="4">
        <v>45050</v>
      </c>
      <c r="C55" t="s">
        <v>439</v>
      </c>
      <c r="D55" t="s">
        <v>450</v>
      </c>
      <c r="E55">
        <v>-2069.29</v>
      </c>
      <c r="F55">
        <v>989.52</v>
      </c>
      <c r="G55" s="2">
        <f>IFERROR(sofiS_table[[#This Row],[Cumulative]]-F54,0)</f>
        <v>-2069.29</v>
      </c>
    </row>
    <row r="56" spans="1:7" x14ac:dyDescent="0.25">
      <c r="A56" s="47">
        <f>MONTH(sofiS_table[[#This Row],[Transaction Date]])</f>
        <v>5</v>
      </c>
      <c r="B56" s="4">
        <v>45056</v>
      </c>
      <c r="C56" t="s">
        <v>438</v>
      </c>
      <c r="D56" t="s">
        <v>448</v>
      </c>
      <c r="E56">
        <v>-30</v>
      </c>
      <c r="F56">
        <v>959.52</v>
      </c>
      <c r="G56" s="2">
        <f>IFERROR(sofiS_table[[#This Row],[Cumulative]]-F55,0)</f>
        <v>-30</v>
      </c>
    </row>
    <row r="57" spans="1:7" x14ac:dyDescent="0.25">
      <c r="A57" s="47">
        <f>MONTH(sofiS_table[[#This Row],[Transaction Date]])</f>
        <v>5</v>
      </c>
      <c r="B57" s="4">
        <v>45062</v>
      </c>
      <c r="C57" t="s">
        <v>99</v>
      </c>
      <c r="D57" t="s">
        <v>449</v>
      </c>
      <c r="E57">
        <v>2258.37</v>
      </c>
      <c r="F57">
        <v>3217.89</v>
      </c>
      <c r="G57" s="2">
        <f>IFERROR(sofiS_table[[#This Row],[Cumulative]]-F56,0)</f>
        <v>2258.37</v>
      </c>
    </row>
    <row r="58" spans="1:7" x14ac:dyDescent="0.25">
      <c r="A58" s="47">
        <f>MONTH(sofiS_table[[#This Row],[Transaction Date]])</f>
        <v>5</v>
      </c>
      <c r="B58" s="4">
        <v>45064</v>
      </c>
      <c r="C58" t="s">
        <v>439</v>
      </c>
      <c r="D58" t="s">
        <v>450</v>
      </c>
      <c r="E58">
        <v>-2729.82</v>
      </c>
      <c r="F58">
        <v>488.07</v>
      </c>
      <c r="G58" s="2">
        <f>IFERROR(sofiS_table[[#This Row],[Cumulative]]-F57,0)</f>
        <v>-2729.8199999999997</v>
      </c>
    </row>
    <row r="59" spans="1:7" x14ac:dyDescent="0.25">
      <c r="A59" s="47">
        <f>MONTH(sofiS_table[[#This Row],[Transaction Date]])</f>
        <v>5</v>
      </c>
      <c r="B59" s="4">
        <v>45066</v>
      </c>
      <c r="C59" t="s">
        <v>438</v>
      </c>
      <c r="D59" t="s">
        <v>448</v>
      </c>
      <c r="E59">
        <v>-325</v>
      </c>
      <c r="F59">
        <v>163.07</v>
      </c>
      <c r="G59" s="2">
        <f>IFERROR(sofiS_table[[#This Row],[Cumulative]]-F58,0)</f>
        <v>-325</v>
      </c>
    </row>
    <row r="60" spans="1:7" x14ac:dyDescent="0.25">
      <c r="A60" s="47">
        <f>MONTH(sofiS_table[[#This Row],[Transaction Date]])</f>
        <v>5</v>
      </c>
      <c r="B60" s="4">
        <v>45076</v>
      </c>
      <c r="C60" t="s">
        <v>99</v>
      </c>
      <c r="D60" t="s">
        <v>449</v>
      </c>
      <c r="E60">
        <v>3050.57</v>
      </c>
      <c r="F60">
        <v>3213.64</v>
      </c>
      <c r="G60" s="2">
        <f>IFERROR(sofiS_table[[#This Row],[Cumulative]]-F59,0)</f>
        <v>3050.5699999999997</v>
      </c>
    </row>
    <row r="61" spans="1:7" x14ac:dyDescent="0.25">
      <c r="A61" s="47">
        <f>MONTH(sofiS_table[[#This Row],[Transaction Date]])</f>
        <v>5</v>
      </c>
      <c r="B61" s="4">
        <v>45077</v>
      </c>
      <c r="C61" t="s">
        <v>443</v>
      </c>
      <c r="D61" t="s">
        <v>453</v>
      </c>
      <c r="E61">
        <v>3.77</v>
      </c>
      <c r="F61">
        <v>2527.41</v>
      </c>
      <c r="G61" s="2">
        <f>IFERROR(sofiS_table[[#This Row],[Cumulative]]-F60,0)</f>
        <v>-686.23</v>
      </c>
    </row>
    <row r="62" spans="1:7" x14ac:dyDescent="0.25">
      <c r="A62" s="47">
        <f>MONTH(sofiS_table[[#This Row],[Transaction Date]])</f>
        <v>5</v>
      </c>
      <c r="B62" s="4">
        <v>45077</v>
      </c>
      <c r="C62" t="s">
        <v>438</v>
      </c>
      <c r="D62" t="s">
        <v>448</v>
      </c>
      <c r="E62">
        <v>-690</v>
      </c>
      <c r="F62">
        <v>2523.64</v>
      </c>
      <c r="G62" s="2">
        <f>IFERROR(sofiS_table[[#This Row],[Cumulative]]-F61,0)</f>
        <v>-3.7699999999999818</v>
      </c>
    </row>
    <row r="63" spans="1:7" x14ac:dyDescent="0.25">
      <c r="A63" s="47">
        <f>MONTH(sofiS_table[[#This Row],[Transaction Date]])</f>
        <v>6</v>
      </c>
      <c r="B63" s="4">
        <v>45078</v>
      </c>
      <c r="C63" t="s">
        <v>439</v>
      </c>
      <c r="D63" t="s">
        <v>450</v>
      </c>
      <c r="E63">
        <v>-2432.5300000000002</v>
      </c>
      <c r="F63">
        <v>94.88</v>
      </c>
      <c r="G63" s="2">
        <f>IFERROR(sofiS_table[[#This Row],[Cumulative]]-F62,0)</f>
        <v>-2428.7599999999998</v>
      </c>
    </row>
    <row r="64" spans="1:7" x14ac:dyDescent="0.25">
      <c r="A64" s="47">
        <f>MONTH(sofiS_table[[#This Row],[Transaction Date]])</f>
        <v>6</v>
      </c>
      <c r="B64" s="4">
        <v>45090</v>
      </c>
      <c r="C64" t="s">
        <v>99</v>
      </c>
      <c r="D64" t="s">
        <v>449</v>
      </c>
      <c r="E64">
        <v>2258.37</v>
      </c>
      <c r="F64">
        <v>2353.25</v>
      </c>
      <c r="G64" s="2">
        <f>IFERROR(sofiS_table[[#This Row],[Cumulative]]-F63,0)</f>
        <v>2258.37</v>
      </c>
    </row>
    <row r="65" spans="1:7" x14ac:dyDescent="0.25">
      <c r="A65" s="47">
        <f>MONTH(sofiS_table[[#This Row],[Transaction Date]])</f>
        <v>6</v>
      </c>
      <c r="B65" s="4">
        <v>45091</v>
      </c>
      <c r="C65" t="s">
        <v>444</v>
      </c>
      <c r="D65" t="s">
        <v>451</v>
      </c>
      <c r="E65">
        <v>500</v>
      </c>
      <c r="F65">
        <v>2853.25</v>
      </c>
      <c r="G65" s="2">
        <f>IFERROR(sofiS_table[[#This Row],[Cumulative]]-F64,0)</f>
        <v>500</v>
      </c>
    </row>
    <row r="66" spans="1:7" x14ac:dyDescent="0.25">
      <c r="A66" s="47">
        <f>MONTH(sofiS_table[[#This Row],[Transaction Date]])</f>
        <v>6</v>
      </c>
      <c r="B66" s="4">
        <v>45092</v>
      </c>
      <c r="C66" t="s">
        <v>439</v>
      </c>
      <c r="D66" t="s">
        <v>450</v>
      </c>
      <c r="E66">
        <v>-2487.02</v>
      </c>
      <c r="F66">
        <v>366.23</v>
      </c>
      <c r="G66" s="2">
        <f>IFERROR(sofiS_table[[#This Row],[Cumulative]]-F65,0)</f>
        <v>-2487.02</v>
      </c>
    </row>
    <row r="67" spans="1:7" x14ac:dyDescent="0.25">
      <c r="A67" s="47">
        <f>MONTH(sofiS_table[[#This Row],[Transaction Date]])</f>
        <v>6</v>
      </c>
      <c r="B67" s="4">
        <v>45094</v>
      </c>
      <c r="C67" t="s">
        <v>438</v>
      </c>
      <c r="D67" t="s">
        <v>448</v>
      </c>
      <c r="E67">
        <v>-20</v>
      </c>
      <c r="F67">
        <v>346.23</v>
      </c>
      <c r="G67" s="2">
        <f>IFERROR(sofiS_table[[#This Row],[Cumulative]]-F66,0)</f>
        <v>-20</v>
      </c>
    </row>
    <row r="68" spans="1:7" x14ac:dyDescent="0.25">
      <c r="A68" s="47">
        <f>MONTH(sofiS_table[[#This Row],[Transaction Date]])</f>
        <v>6</v>
      </c>
      <c r="B68" s="4">
        <v>45104</v>
      </c>
      <c r="C68" t="s">
        <v>99</v>
      </c>
      <c r="D68" t="s">
        <v>449</v>
      </c>
      <c r="E68" s="2">
        <v>2258.37</v>
      </c>
      <c r="F68" s="2">
        <v>2604.6</v>
      </c>
      <c r="G68" s="2">
        <f>IFERROR(sofiS_table[[#This Row],[Cumulative]]-F67,0)</f>
        <v>2258.37</v>
      </c>
    </row>
    <row r="69" spans="1:7" x14ac:dyDescent="0.25">
      <c r="A69" s="47">
        <f>MONTH(sofiS_table[[#This Row],[Transaction Date]])</f>
        <v>6</v>
      </c>
      <c r="B69" s="4">
        <v>45105</v>
      </c>
      <c r="C69" t="s">
        <v>438</v>
      </c>
      <c r="D69" t="s">
        <v>448</v>
      </c>
      <c r="E69" s="2">
        <v>-1814.85</v>
      </c>
      <c r="F69" s="2">
        <v>439.75</v>
      </c>
      <c r="G69" s="2">
        <f>IFERROR(sofiS_table[[#This Row],[Cumulative]]-F68,0)</f>
        <v>-2164.85</v>
      </c>
    </row>
    <row r="70" spans="1:7" x14ac:dyDescent="0.25">
      <c r="A70" s="47">
        <f>MONTH(sofiS_table[[#This Row],[Transaction Date]])</f>
        <v>6</v>
      </c>
      <c r="B70" s="4">
        <v>45105</v>
      </c>
      <c r="C70" t="s">
        <v>444</v>
      </c>
      <c r="D70" t="s">
        <v>448</v>
      </c>
      <c r="E70" s="2">
        <v>-350</v>
      </c>
      <c r="F70" s="2">
        <v>2254.6</v>
      </c>
      <c r="G70" s="2">
        <f>IFERROR(sofiS_table[[#This Row],[Cumulative]]-F69,0)</f>
        <v>1814.85</v>
      </c>
    </row>
    <row r="71" spans="1:7" x14ac:dyDescent="0.25">
      <c r="A71" s="47">
        <f>MONTH(sofiS_table[[#This Row],[Transaction Date]])</f>
        <v>6</v>
      </c>
      <c r="B71" s="4">
        <v>45107</v>
      </c>
      <c r="C71" t="s">
        <v>443</v>
      </c>
      <c r="D71" t="s">
        <v>453</v>
      </c>
      <c r="E71" s="2">
        <v>1.67</v>
      </c>
      <c r="F71" s="2">
        <v>441.42</v>
      </c>
      <c r="G71" s="2">
        <f>IFERROR(sofiS_table[[#This Row],[Cumulative]]-F70,0)</f>
        <v>-1813.1799999999998</v>
      </c>
    </row>
    <row r="72" spans="1:7" x14ac:dyDescent="0.25">
      <c r="A72" s="47">
        <f>MONTH(sofiS_table[[#This Row],[Transaction Date]])</f>
        <v>7</v>
      </c>
      <c r="B72" s="4">
        <v>45108</v>
      </c>
      <c r="C72" t="s">
        <v>438</v>
      </c>
      <c r="D72" t="s">
        <v>448</v>
      </c>
      <c r="E72" s="2">
        <v>-178</v>
      </c>
      <c r="F72" s="2">
        <v>265.02</v>
      </c>
      <c r="G72" s="2">
        <f>IFERROR(sofiS_table[[#This Row],[Cumulative]]-F71,0)</f>
        <v>-176.40000000000003</v>
      </c>
    </row>
    <row r="73" spans="1:7" x14ac:dyDescent="0.25">
      <c r="A73" s="47">
        <f>MONTH(sofiS_table[[#This Row],[Transaction Date]])</f>
        <v>7</v>
      </c>
      <c r="B73" s="4">
        <v>45108</v>
      </c>
      <c r="C73" t="s">
        <v>442</v>
      </c>
      <c r="D73" t="s">
        <v>452</v>
      </c>
      <c r="E73" s="2">
        <v>1.6</v>
      </c>
      <c r="F73" s="2">
        <v>443.02</v>
      </c>
      <c r="G73" s="2">
        <f>IFERROR(sofiS_table[[#This Row],[Cumulative]]-F72,0)</f>
        <v>178</v>
      </c>
    </row>
    <row r="74" spans="1:7" x14ac:dyDescent="0.25">
      <c r="A74" s="47">
        <f>MONTH(sofiS_table[[#This Row],[Transaction Date]])</f>
        <v>7</v>
      </c>
      <c r="B74" s="4">
        <v>45113</v>
      </c>
      <c r="C74" t="s">
        <v>916</v>
      </c>
      <c r="D74" t="s">
        <v>451</v>
      </c>
      <c r="E74" s="2">
        <v>499.64</v>
      </c>
      <c r="F74" s="2">
        <v>764.66</v>
      </c>
      <c r="G74" s="2">
        <f>IFERROR(sofiS_table[[#This Row],[Cumulative]]-F73,0)</f>
        <v>321.64</v>
      </c>
    </row>
    <row r="75" spans="1:7" x14ac:dyDescent="0.25">
      <c r="A75" s="47">
        <f>MONTH(sofiS_table[[#This Row],[Transaction Date]])</f>
        <v>7</v>
      </c>
      <c r="B75" s="4">
        <v>45114</v>
      </c>
      <c r="C75" t="s">
        <v>1072</v>
      </c>
      <c r="E75" s="2">
        <v>-599.64</v>
      </c>
      <c r="F75" s="2">
        <f>F74+sofiS_table[[#This Row],[Amount]]</f>
        <v>165.01999999999998</v>
      </c>
      <c r="G75" s="2">
        <f>IFERROR(sofiS_table[[#This Row],[Cumulative]]-F74,0)</f>
        <v>-599.64</v>
      </c>
    </row>
    <row r="76" spans="1:7" x14ac:dyDescent="0.25">
      <c r="A76" s="47">
        <f>MONTH(sofiS_table[[#This Row],[Transaction Date]])</f>
        <v>7</v>
      </c>
      <c r="B76" s="4">
        <v>45118</v>
      </c>
      <c r="C76" t="s">
        <v>99</v>
      </c>
      <c r="D76" t="s">
        <v>449</v>
      </c>
      <c r="E76" s="2">
        <v>2258.37</v>
      </c>
      <c r="F76" s="2">
        <f>F75+sofiS_table[[#This Row],[Amount]]</f>
        <v>2423.39</v>
      </c>
      <c r="G76" s="2">
        <f>IFERROR(sofiS_table[[#This Row],[Cumulative]]-F75,0)</f>
        <v>2258.37</v>
      </c>
    </row>
    <row r="77" spans="1:7" x14ac:dyDescent="0.25">
      <c r="A77" s="47">
        <f>MONTH(sofiS_table[[#This Row],[Transaction Date]])</f>
        <v>7</v>
      </c>
      <c r="B77" s="4">
        <v>45119</v>
      </c>
      <c r="C77" t="s">
        <v>438</v>
      </c>
      <c r="E77" s="2">
        <v>-2</v>
      </c>
      <c r="F77" s="2">
        <f>F76+sofiS_table[[#This Row],[Amount]]</f>
        <v>2421.39</v>
      </c>
      <c r="G77" s="2">
        <f>IFERROR(sofiS_table[[#This Row],[Cumulative]]-F76,0)</f>
        <v>-2</v>
      </c>
    </row>
    <row r="78" spans="1:7" x14ac:dyDescent="0.25">
      <c r="A78" s="47">
        <f>MONTH(sofiS_table[[#This Row],[Transaction Date]])</f>
        <v>7</v>
      </c>
      <c r="B78" s="4">
        <v>45120</v>
      </c>
      <c r="C78" t="s">
        <v>95</v>
      </c>
      <c r="E78" s="2">
        <v>-2118.23</v>
      </c>
      <c r="F78" s="2">
        <f>F77+sofiS_table[[#This Row],[Amount]]</f>
        <v>303.15999999999985</v>
      </c>
      <c r="G78" s="2">
        <f>IFERROR(sofiS_table[[#This Row],[Cumulative]]-F77,0)</f>
        <v>-2118.23</v>
      </c>
    </row>
    <row r="79" spans="1:7" x14ac:dyDescent="0.25">
      <c r="A79" s="47">
        <f>MONTH(sofiS_table[[#This Row],[Transaction Date]])</f>
        <v>7</v>
      </c>
      <c r="B79" s="4">
        <v>45132</v>
      </c>
      <c r="C79" t="s">
        <v>438</v>
      </c>
      <c r="E79" s="2">
        <v>-1803.4</v>
      </c>
      <c r="F79" s="2">
        <f>F78+sofiS_table[[#This Row],[Amount]]</f>
        <v>-1500.2400000000002</v>
      </c>
      <c r="G79" s="2">
        <f>IFERROR(sofiS_table[[#This Row],[Cumulative]]-F78,0)</f>
        <v>-1803.4</v>
      </c>
    </row>
    <row r="80" spans="1:7" x14ac:dyDescent="0.25">
      <c r="A80" s="47">
        <f>MONTH(sofiS_table[[#This Row],[Transaction Date]])</f>
        <v>7</v>
      </c>
      <c r="B80" s="4">
        <v>45132</v>
      </c>
      <c r="C80" t="s">
        <v>99</v>
      </c>
      <c r="D80" t="s">
        <v>449</v>
      </c>
      <c r="E80" s="2">
        <v>2258.37</v>
      </c>
      <c r="F80" s="2">
        <f>F79+sofiS_table[[#This Row],[Amount]]</f>
        <v>758.12999999999965</v>
      </c>
      <c r="G80" s="2">
        <f>IFERROR(sofiS_table[[#This Row],[Cumulative]]-F79,0)</f>
        <v>2258.37</v>
      </c>
    </row>
    <row r="81" spans="1:7" x14ac:dyDescent="0.25">
      <c r="A81" s="47">
        <f>MONTH(sofiS_table[[#This Row],[Transaction Date]])</f>
        <v>7</v>
      </c>
      <c r="B81" s="4">
        <v>45132</v>
      </c>
      <c r="C81" t="s">
        <v>1073</v>
      </c>
      <c r="E81" s="2">
        <v>100</v>
      </c>
      <c r="F81" s="2">
        <f>F80+sofiS_table[[#This Row],[Amount]]</f>
        <v>858.12999999999965</v>
      </c>
      <c r="G81" s="2">
        <f>IFERROR(sofiS_table[[#This Row],[Cumulative]]-F80,0)</f>
        <v>100</v>
      </c>
    </row>
    <row r="82" spans="1:7" x14ac:dyDescent="0.25">
      <c r="A82" s="47">
        <f>MONTH(sofiS_table[[#This Row],[Transaction Date]])</f>
        <v>7</v>
      </c>
      <c r="B82" s="4">
        <v>45133</v>
      </c>
      <c r="C82" t="s">
        <v>438</v>
      </c>
      <c r="E82" s="2">
        <v>-200</v>
      </c>
      <c r="F82" s="2">
        <f>F81+sofiS_table[[#This Row],[Amount]]</f>
        <v>658.12999999999965</v>
      </c>
      <c r="G82" s="2">
        <f>IFERROR(sofiS_table[[#This Row],[Cumulative]]-F81,0)</f>
        <v>-200</v>
      </c>
    </row>
    <row r="83" spans="1:7" x14ac:dyDescent="0.25">
      <c r="A83" s="47">
        <f>MONTH(sofiS_table[[#This Row],[Transaction Date]])</f>
        <v>7</v>
      </c>
      <c r="B83" s="4">
        <v>45134</v>
      </c>
      <c r="C83" t="s">
        <v>95</v>
      </c>
      <c r="E83" s="2">
        <v>-500</v>
      </c>
      <c r="F83" s="2">
        <f>F82+sofiS_table[[#This Row],[Amount]]</f>
        <v>158.12999999999965</v>
      </c>
      <c r="G83" s="2">
        <f>IFERROR(sofiS_table[[#This Row],[Cumulative]]-F82,0)</f>
        <v>-500</v>
      </c>
    </row>
    <row r="84" spans="1:7" x14ac:dyDescent="0.25">
      <c r="A84" s="47">
        <f>MONTH(sofiS_table[[#This Row],[Transaction Date]])</f>
        <v>7</v>
      </c>
      <c r="B84" s="4">
        <v>45138</v>
      </c>
      <c r="C84" t="s">
        <v>443</v>
      </c>
      <c r="E84" s="2">
        <v>1.28</v>
      </c>
      <c r="F84" s="2">
        <f>F83+sofiS_table[[#This Row],[Amount]]</f>
        <v>159.40999999999966</v>
      </c>
      <c r="G84" s="2">
        <f>IFERROR(sofiS_table[[#This Row],[Cumulative]]-F83,0)</f>
        <v>1.2800000000000011</v>
      </c>
    </row>
    <row r="85" spans="1:7" x14ac:dyDescent="0.25">
      <c r="A85" s="47">
        <f>MONTH(sofiS_table[[#This Row],[Transaction Date]])</f>
        <v>7</v>
      </c>
      <c r="B85" s="4">
        <v>45138</v>
      </c>
      <c r="C85" t="s">
        <v>1074</v>
      </c>
      <c r="E85" s="2">
        <v>-50</v>
      </c>
      <c r="F85" s="2">
        <f>F84+sofiS_table[[#This Row],[Amount]]</f>
        <v>109.40999999999966</v>
      </c>
      <c r="G85" s="2">
        <f>IFERROR(sofiS_table[[#This Row],[Cumulative]]-F84,0)</f>
        <v>-50</v>
      </c>
    </row>
    <row r="86" spans="1:7" x14ac:dyDescent="0.25">
      <c r="A86" s="47">
        <f>MONTH(sofiS_table[[#This Row],[Transaction Date]])</f>
        <v>8</v>
      </c>
      <c r="B86" s="4">
        <v>45142</v>
      </c>
      <c r="C86" t="s">
        <v>438</v>
      </c>
      <c r="E86" s="2">
        <v>-5</v>
      </c>
      <c r="F86" s="2">
        <f>F85+sofiS_table[[#This Row],[Amount]]</f>
        <v>104.40999999999966</v>
      </c>
      <c r="G86" s="2">
        <f>IFERROR(sofiS_table[[#This Row],[Cumulative]]-F85,0)</f>
        <v>-5</v>
      </c>
    </row>
    <row r="87" spans="1:7" x14ac:dyDescent="0.25">
      <c r="A87" s="47">
        <f>MONTH(sofiS_table[[#This Row],[Transaction Date]])</f>
        <v>8</v>
      </c>
      <c r="B87" s="4">
        <v>45144</v>
      </c>
      <c r="C87" t="s">
        <v>828</v>
      </c>
      <c r="E87" s="2">
        <v>100</v>
      </c>
      <c r="F87" s="2">
        <f>F86+sofiS_table[[#This Row],[Amount]]</f>
        <v>204.40999999999966</v>
      </c>
      <c r="G87" s="2">
        <f>IFERROR(sofiS_table[[#This Row],[Cumulative]]-F86,0)</f>
        <v>100</v>
      </c>
    </row>
    <row r="88" spans="1:7" x14ac:dyDescent="0.25">
      <c r="A88" s="47">
        <f>MONTH(sofiS_table[[#This Row],[Transaction Date]])</f>
        <v>8</v>
      </c>
      <c r="B88" s="4">
        <v>45146</v>
      </c>
      <c r="C88" t="s">
        <v>458</v>
      </c>
      <c r="E88" s="2">
        <v>-901.7</v>
      </c>
      <c r="F88" s="2">
        <f>F87+sofiS_table[[#This Row],[Amount]]</f>
        <v>-697.29000000000042</v>
      </c>
      <c r="G88" s="2">
        <f>IFERROR(sofiS_table[[#This Row],[Cumulative]]-F87,0)</f>
        <v>-901.7</v>
      </c>
    </row>
    <row r="89" spans="1:7" x14ac:dyDescent="0.25">
      <c r="A89" s="47">
        <f>MONTH(sofiS_table[[#This Row],[Transaction Date]])</f>
        <v>8</v>
      </c>
      <c r="B89" s="4">
        <v>45146</v>
      </c>
      <c r="C89" t="s">
        <v>99</v>
      </c>
      <c r="D89" t="s">
        <v>449</v>
      </c>
      <c r="E89" s="2">
        <v>2258.37</v>
      </c>
      <c r="F89" s="2">
        <f>F88+sofiS_table[[#This Row],[Amount]]</f>
        <v>1561.0799999999995</v>
      </c>
      <c r="G89" s="2">
        <f>IFERROR(sofiS_table[[#This Row],[Cumulative]]-F88,0)</f>
        <v>2258.37</v>
      </c>
    </row>
    <row r="90" spans="1:7" x14ac:dyDescent="0.25">
      <c r="A90" s="47">
        <f>MONTH(sofiS_table[[#This Row],[Transaction Date]])</f>
        <v>8</v>
      </c>
      <c r="B90" s="4">
        <v>45148</v>
      </c>
      <c r="C90" t="s">
        <v>95</v>
      </c>
      <c r="E90" s="2">
        <v>-1027.93</v>
      </c>
      <c r="F90" s="2">
        <f>F89+sofiS_table[[#This Row],[Amount]]</f>
        <v>533.14999999999941</v>
      </c>
      <c r="G90" s="2">
        <f>IFERROR(sofiS_table[[#This Row],[Cumulative]]-F89,0)</f>
        <v>-1027.93</v>
      </c>
    </row>
    <row r="91" spans="1:7" x14ac:dyDescent="0.25">
      <c r="A91" s="47">
        <f>MONTH(sofiS_table[[#This Row],[Transaction Date]])</f>
        <v>8</v>
      </c>
      <c r="B91" s="4">
        <v>45160</v>
      </c>
      <c r="C91" t="s">
        <v>99</v>
      </c>
      <c r="D91" t="s">
        <v>449</v>
      </c>
      <c r="E91" s="2">
        <v>3050.56</v>
      </c>
      <c r="F91" s="2">
        <f>F90+sofiS_table[[#This Row],[Amount]]</f>
        <v>3583.7099999999991</v>
      </c>
      <c r="G91" s="2">
        <f>IFERROR(sofiS_table[[#This Row],[Cumulative]]-F90,0)</f>
        <v>3050.5599999999995</v>
      </c>
    </row>
    <row r="92" spans="1:7" x14ac:dyDescent="0.25">
      <c r="A92" s="47">
        <f>MONTH(sofiS_table[[#This Row],[Transaction Date]])</f>
        <v>8</v>
      </c>
      <c r="B92" s="4">
        <v>45162</v>
      </c>
      <c r="C92" t="s">
        <v>438</v>
      </c>
      <c r="E92" s="2">
        <v>-932</v>
      </c>
      <c r="F92" s="2">
        <f>F91+sofiS_table[[#This Row],[Amount]]</f>
        <v>2651.7099999999991</v>
      </c>
      <c r="G92" s="2">
        <f>IFERROR(sofiS_table[[#This Row],[Cumulative]]-F91,0)</f>
        <v>-932</v>
      </c>
    </row>
    <row r="93" spans="1:7" x14ac:dyDescent="0.25">
      <c r="A93" s="47">
        <f>MONTH(sofiS_table[[#This Row],[Transaction Date]])</f>
        <v>8</v>
      </c>
      <c r="B93" s="4">
        <v>45163</v>
      </c>
      <c r="C93" t="s">
        <v>438</v>
      </c>
      <c r="E93" s="2">
        <v>-816.87</v>
      </c>
      <c r="F93" s="2">
        <f>F92+sofiS_table[[#This Row],[Amount]]</f>
        <v>1834.8399999999992</v>
      </c>
      <c r="G93" s="2">
        <f>IFERROR(sofiS_table[[#This Row],[Cumulative]]-F92,0)</f>
        <v>-816.86999999999989</v>
      </c>
    </row>
    <row r="94" spans="1:7" x14ac:dyDescent="0.25">
      <c r="A94" s="47">
        <f>MONTH(sofiS_table[[#This Row],[Transaction Date]])</f>
        <v>8</v>
      </c>
      <c r="B94" s="4">
        <v>45163</v>
      </c>
      <c r="C94" t="s">
        <v>95</v>
      </c>
      <c r="E94" s="2">
        <v>-2000</v>
      </c>
      <c r="F94" s="2">
        <f>F93+sofiS_table[[#This Row],[Amount]]</f>
        <v>-165.16000000000076</v>
      </c>
      <c r="G94" s="2">
        <f>IFERROR(sofiS_table[[#This Row],[Cumulative]]-F93,0)</f>
        <v>-2000</v>
      </c>
    </row>
    <row r="95" spans="1:7" x14ac:dyDescent="0.25">
      <c r="A95" s="47">
        <f>MONTH(sofiS_table[[#This Row],[Transaction Date]])</f>
        <v>8</v>
      </c>
      <c r="B95" s="4">
        <v>45163</v>
      </c>
      <c r="C95" t="s">
        <v>440</v>
      </c>
      <c r="E95" s="2">
        <v>902.3</v>
      </c>
      <c r="F95" s="2">
        <f>F94+sofiS_table[[#This Row],[Amount]]</f>
        <v>737.13999999999919</v>
      </c>
      <c r="G95" s="2">
        <f>IFERROR(sofiS_table[[#This Row],[Cumulative]]-F94,0)</f>
        <v>902.3</v>
      </c>
    </row>
    <row r="96" spans="1:7" x14ac:dyDescent="0.25">
      <c r="A96" s="47">
        <f>MONTH(sofiS_table[[#This Row],[Transaction Date]])</f>
        <v>8</v>
      </c>
      <c r="B96" s="4">
        <v>45166</v>
      </c>
      <c r="C96" t="s">
        <v>438</v>
      </c>
      <c r="E96" s="2">
        <v>-793.5</v>
      </c>
      <c r="F96" s="2">
        <f>F95+sofiS_table[[#This Row],[Amount]]</f>
        <v>-56.360000000000809</v>
      </c>
      <c r="G96" s="2">
        <f>IFERROR(sofiS_table[[#This Row],[Cumulative]]-F95,0)</f>
        <v>-793.5</v>
      </c>
    </row>
    <row r="97" spans="1:7" x14ac:dyDescent="0.25">
      <c r="A97" s="47">
        <f>MONTH(sofiS_table[[#This Row],[Transaction Date]])</f>
        <v>8</v>
      </c>
      <c r="B97" s="4">
        <v>45166</v>
      </c>
      <c r="C97" t="s">
        <v>1074</v>
      </c>
      <c r="E97" s="2">
        <v>300</v>
      </c>
      <c r="F97" s="2">
        <f>F96+sofiS_table[[#This Row],[Amount]]</f>
        <v>243.63999999999919</v>
      </c>
      <c r="G97" s="2">
        <f>IFERROR(sofiS_table[[#This Row],[Cumulative]]-F96,0)</f>
        <v>300</v>
      </c>
    </row>
    <row r="98" spans="1:7" x14ac:dyDescent="0.25">
      <c r="A98" s="47">
        <f>MONTH(sofiS_table[[#This Row],[Transaction Date]])</f>
        <v>8</v>
      </c>
      <c r="B98" s="4">
        <v>45169</v>
      </c>
      <c r="C98" t="s">
        <v>443</v>
      </c>
      <c r="E98" s="2">
        <v>2.4500000000000002</v>
      </c>
      <c r="F98" s="2">
        <f>F97+sofiS_table[[#This Row],[Amount]]</f>
        <v>246.08999999999918</v>
      </c>
      <c r="G98" s="2">
        <f>IFERROR(sofiS_table[[#This Row],[Cumulative]]-F97,0)</f>
        <v>2.4499999999999886</v>
      </c>
    </row>
    <row r="99" spans="1:7" x14ac:dyDescent="0.25">
      <c r="A99" s="47">
        <f>MONTH(sofiS_table[[#This Row],[Transaction Date]])</f>
        <v>8</v>
      </c>
      <c r="B99" s="4">
        <v>45169</v>
      </c>
      <c r="C99" t="s">
        <v>438</v>
      </c>
      <c r="E99" s="2">
        <v>-100</v>
      </c>
      <c r="F99" s="2">
        <f>F98+sofiS_table[[#This Row],[Amount]]</f>
        <v>146.08999999999918</v>
      </c>
      <c r="G99" s="2">
        <f>IFERROR(sofiS_table[[#This Row],[Cumulative]]-F98,0)</f>
        <v>-100</v>
      </c>
    </row>
    <row r="100" spans="1:7" x14ac:dyDescent="0.25">
      <c r="A100" s="47">
        <f>MONTH(sofiS_table[[#This Row],[Transaction Date]])</f>
        <v>9</v>
      </c>
      <c r="B100" s="4">
        <v>45174</v>
      </c>
      <c r="C100" t="s">
        <v>99</v>
      </c>
      <c r="D100" t="s">
        <v>449</v>
      </c>
      <c r="E100" s="2">
        <v>2258.37</v>
      </c>
      <c r="F100" s="2">
        <f>F99+sofiS_table[[#This Row],[Amount]]</f>
        <v>2404.4599999999991</v>
      </c>
      <c r="G100" s="2">
        <f>IFERROR(sofiS_table[[#This Row],[Cumulative]]-F99,0)</f>
        <v>2258.37</v>
      </c>
    </row>
    <row r="101" spans="1:7" x14ac:dyDescent="0.25">
      <c r="A101" s="47">
        <f>MONTH(sofiS_table[[#This Row],[Transaction Date]])</f>
        <v>9</v>
      </c>
      <c r="B101" s="4">
        <v>45176</v>
      </c>
      <c r="C101" t="s">
        <v>95</v>
      </c>
      <c r="E101" s="2">
        <v>-2133.04</v>
      </c>
      <c r="F101" s="2">
        <f>F100+sofiS_table[[#This Row],[Amount]]</f>
        <v>271.41999999999916</v>
      </c>
      <c r="G101" s="2">
        <f>IFERROR(sofiS_table[[#This Row],[Cumulative]]-F100,0)</f>
        <v>-2133.04</v>
      </c>
    </row>
    <row r="102" spans="1:7" x14ac:dyDescent="0.25">
      <c r="A102" s="47">
        <f>MONTH(sofiS_table[[#This Row],[Transaction Date]])</f>
        <v>9</v>
      </c>
      <c r="B102" s="4">
        <v>45188</v>
      </c>
      <c r="C102" t="s">
        <v>99</v>
      </c>
      <c r="D102" t="s">
        <v>449</v>
      </c>
      <c r="E102" s="2">
        <v>2732.7</v>
      </c>
      <c r="F102" s="2">
        <f>F101+sofiS_table[[#This Row],[Amount]]</f>
        <v>3004.119999999999</v>
      </c>
      <c r="G102" s="2">
        <f>IFERROR(sofiS_table[[#This Row],[Cumulative]]-F101,0)</f>
        <v>2732.7</v>
      </c>
    </row>
    <row r="103" spans="1:7" x14ac:dyDescent="0.25">
      <c r="A103" s="47">
        <f>MONTH(sofiS_table[[#This Row],[Transaction Date]])</f>
        <v>9</v>
      </c>
      <c r="B103" s="4">
        <v>45189</v>
      </c>
      <c r="C103" t="s">
        <v>438</v>
      </c>
      <c r="E103" s="2">
        <v>-1810</v>
      </c>
      <c r="F103" s="2">
        <f>F102+sofiS_table[[#This Row],[Amount]]</f>
        <v>1194.119999999999</v>
      </c>
      <c r="G103" s="2">
        <f>IFERROR(sofiS_table[[#This Row],[Cumulative]]-F102,0)</f>
        <v>-1810</v>
      </c>
    </row>
    <row r="104" spans="1:7" x14ac:dyDescent="0.25">
      <c r="A104" s="47">
        <f>MONTH(sofiS_table[[#This Row],[Transaction Date]])</f>
        <v>9</v>
      </c>
      <c r="B104" s="4">
        <v>45199</v>
      </c>
      <c r="C104" t="s">
        <v>443</v>
      </c>
      <c r="D104" t="s">
        <v>453</v>
      </c>
      <c r="E104" s="117">
        <v>2.63</v>
      </c>
      <c r="F104" s="2">
        <v>1096.75</v>
      </c>
      <c r="G104" s="2">
        <f>IFERROR(sofiS_table[[#This Row],[Cumulative]]-F103,0)</f>
        <v>-97.369999999998981</v>
      </c>
    </row>
    <row r="105" spans="1:7" x14ac:dyDescent="0.25">
      <c r="A105" s="47">
        <f>MONTH(sofiS_table[[#This Row],[Transaction Date]])</f>
        <v>10</v>
      </c>
      <c r="B105" s="4">
        <v>45202</v>
      </c>
      <c r="C105" t="s">
        <v>99</v>
      </c>
      <c r="D105" t="s">
        <v>449</v>
      </c>
      <c r="E105" s="117">
        <v>2732.71</v>
      </c>
      <c r="F105" s="2">
        <v>3829.46</v>
      </c>
      <c r="G105" s="2">
        <f>IFERROR(sofiS_table[[#This Row],[Cumulative]]-F104,0)</f>
        <v>2732.71</v>
      </c>
    </row>
    <row r="106" spans="1:7" x14ac:dyDescent="0.25">
      <c r="A106" s="47">
        <f>MONTH(sofiS_table[[#This Row],[Transaction Date]])</f>
        <v>10</v>
      </c>
      <c r="B106" s="4">
        <v>45204</v>
      </c>
      <c r="C106" t="s">
        <v>439</v>
      </c>
      <c r="D106" t="s">
        <v>450</v>
      </c>
      <c r="E106" s="117">
        <v>-1900</v>
      </c>
      <c r="F106" s="2">
        <v>1929.46</v>
      </c>
      <c r="G106" s="2">
        <f>IFERROR(sofiS_table[[#This Row],[Cumulative]]-F105,0)</f>
        <v>-1900</v>
      </c>
    </row>
    <row r="107" spans="1:7" x14ac:dyDescent="0.25">
      <c r="A107" s="47">
        <f>MONTH(sofiS_table[[#This Row],[Transaction Date]])</f>
        <v>10</v>
      </c>
      <c r="B107" s="4">
        <v>45206</v>
      </c>
      <c r="C107" t="s">
        <v>438</v>
      </c>
      <c r="D107" t="s">
        <v>448</v>
      </c>
      <c r="E107" s="117">
        <v>-447.1</v>
      </c>
      <c r="F107" s="2">
        <v>1482.36</v>
      </c>
      <c r="G107" s="2">
        <f>IFERROR(sofiS_table[[#This Row],[Cumulative]]-F106,0)</f>
        <v>-447.10000000000014</v>
      </c>
    </row>
    <row r="108" spans="1:7" x14ac:dyDescent="0.25">
      <c r="A108" s="47">
        <f>MONTH(sofiS_table[[#This Row],[Transaction Date]])</f>
        <v>10</v>
      </c>
      <c r="B108" s="4">
        <v>45208</v>
      </c>
      <c r="C108" t="s">
        <v>438</v>
      </c>
      <c r="D108" t="s">
        <v>448</v>
      </c>
      <c r="E108" s="117">
        <v>-200</v>
      </c>
      <c r="F108" s="2">
        <v>1282.3599999999999</v>
      </c>
      <c r="G108" s="2">
        <f>IFERROR(sofiS_table[[#This Row],[Cumulative]]-F107,0)</f>
        <v>-200</v>
      </c>
    </row>
    <row r="109" spans="1:7" x14ac:dyDescent="0.25">
      <c r="A109" s="47">
        <f>MONTH(sofiS_table[[#This Row],[Transaction Date]])</f>
        <v>10</v>
      </c>
      <c r="B109" s="4">
        <v>45216</v>
      </c>
      <c r="C109" t="s">
        <v>99</v>
      </c>
      <c r="D109" t="s">
        <v>449</v>
      </c>
      <c r="E109" s="117">
        <v>2732.71</v>
      </c>
      <c r="F109" s="2">
        <v>4015.07</v>
      </c>
      <c r="G109" s="2">
        <f>IFERROR(sofiS_table[[#This Row],[Cumulative]]-F108,0)</f>
        <v>2732.71</v>
      </c>
    </row>
    <row r="110" spans="1:7" x14ac:dyDescent="0.25">
      <c r="A110" s="47">
        <f>MONTH(sofiS_table[[#This Row],[Transaction Date]])</f>
        <v>10</v>
      </c>
      <c r="B110" s="4">
        <v>45218</v>
      </c>
      <c r="C110" t="s">
        <v>439</v>
      </c>
      <c r="D110" t="s">
        <v>450</v>
      </c>
      <c r="E110" s="117">
        <v>-1582.98</v>
      </c>
      <c r="F110" s="2">
        <v>2432.09</v>
      </c>
      <c r="G110" s="2">
        <f>IFERROR(sofiS_table[[#This Row],[Cumulative]]-F109,0)</f>
        <v>-1582.98</v>
      </c>
    </row>
    <row r="111" spans="1:7" x14ac:dyDescent="0.25">
      <c r="A111" s="47">
        <f>MONTH(sofiS_table[[#This Row],[Transaction Date]])</f>
        <v>10</v>
      </c>
      <c r="B111" s="4">
        <v>45223</v>
      </c>
      <c r="C111" t="s">
        <v>438</v>
      </c>
      <c r="D111" t="s">
        <v>448</v>
      </c>
      <c r="E111" s="117">
        <v>-500</v>
      </c>
      <c r="F111" s="2">
        <v>1932.09</v>
      </c>
      <c r="G111" s="2">
        <f>IFERROR(sofiS_table[[#This Row],[Cumulative]]-F110,0)</f>
        <v>-500.00000000000023</v>
      </c>
    </row>
    <row r="112" spans="1:7" x14ac:dyDescent="0.25">
      <c r="A112" s="47">
        <f>MONTH(sofiS_table[[#This Row],[Transaction Date]])</f>
        <v>10</v>
      </c>
      <c r="B112" s="4">
        <v>45230</v>
      </c>
      <c r="C112" t="s">
        <v>443</v>
      </c>
      <c r="D112" t="s">
        <v>453</v>
      </c>
      <c r="E112" s="117">
        <v>7.94</v>
      </c>
      <c r="F112" s="2">
        <v>4672.74</v>
      </c>
      <c r="G112" s="2">
        <f>IFERROR(sofiS_table[[#This Row],[Cumulative]]-F111,0)</f>
        <v>2740.6499999999996</v>
      </c>
    </row>
    <row r="113" spans="1:7" x14ac:dyDescent="0.25">
      <c r="A113" s="47">
        <f>MONTH(sofiS_table[[#This Row],[Transaction Date]])</f>
        <v>10</v>
      </c>
      <c r="B113" s="4">
        <v>45230</v>
      </c>
      <c r="C113" t="s">
        <v>99</v>
      </c>
      <c r="D113" t="s">
        <v>449</v>
      </c>
      <c r="E113" s="117">
        <v>2732.71</v>
      </c>
      <c r="F113" s="2">
        <v>4664.8</v>
      </c>
      <c r="G113" s="2">
        <f>IFERROR(sofiS_table[[#This Row],[Cumulative]]-F112,0)</f>
        <v>-7.9399999999995998</v>
      </c>
    </row>
    <row r="114" spans="1:7" x14ac:dyDescent="0.25">
      <c r="A114" s="47">
        <f>MONTH(sofiS_table[[#This Row],[Transaction Date]])</f>
        <v>11</v>
      </c>
      <c r="B114" s="4">
        <v>45233</v>
      </c>
      <c r="C114" t="s">
        <v>439</v>
      </c>
      <c r="D114" t="s">
        <v>450</v>
      </c>
      <c r="E114" s="117">
        <v>-1065.5</v>
      </c>
      <c r="F114" s="2">
        <v>3607.24</v>
      </c>
      <c r="G114" s="2">
        <f>IFERROR(sofiS_table[[#This Row],[Cumulative]]-F113,0)</f>
        <v>-1057.5600000000004</v>
      </c>
    </row>
    <row r="115" spans="1:7" x14ac:dyDescent="0.25">
      <c r="A115" s="47">
        <f>MONTH(sofiS_table[[#This Row],[Transaction Date]])</f>
        <v>11</v>
      </c>
      <c r="B115" s="4">
        <v>45243</v>
      </c>
      <c r="C115" t="s">
        <v>439</v>
      </c>
      <c r="D115" t="s">
        <v>450</v>
      </c>
      <c r="E115" s="117">
        <v>-2089.04</v>
      </c>
      <c r="F115" s="2">
        <v>1518.2</v>
      </c>
      <c r="G115" s="2">
        <f>IFERROR(sofiS_table[[#This Row],[Cumulative]]-F114,0)</f>
        <v>-2089.04</v>
      </c>
    </row>
    <row r="116" spans="1:7" x14ac:dyDescent="0.25">
      <c r="A116" s="47">
        <f>MONTH(sofiS_table[[#This Row],[Transaction Date]])</f>
        <v>11</v>
      </c>
      <c r="B116" s="4">
        <v>45244</v>
      </c>
      <c r="C116" t="s">
        <v>438</v>
      </c>
      <c r="D116" t="s">
        <v>448</v>
      </c>
      <c r="E116" s="117">
        <v>-900</v>
      </c>
      <c r="F116" s="2">
        <v>2450.91</v>
      </c>
      <c r="G116" s="2">
        <f>IFERROR(sofiS_table[[#This Row],[Cumulative]]-F115,0)</f>
        <v>932.70999999999981</v>
      </c>
    </row>
    <row r="117" spans="1:7" x14ac:dyDescent="0.25">
      <c r="A117" s="47">
        <f>MONTH(sofiS_table[[#This Row],[Transaction Date]])</f>
        <v>11</v>
      </c>
      <c r="B117" s="4">
        <v>45244</v>
      </c>
      <c r="C117" t="s">
        <v>438</v>
      </c>
      <c r="D117" t="s">
        <v>448</v>
      </c>
      <c r="E117" s="117">
        <v>-900</v>
      </c>
      <c r="F117" s="2">
        <v>3350.91</v>
      </c>
      <c r="G117" s="2">
        <f>IFERROR(sofiS_table[[#This Row],[Cumulative]]-F116,0)</f>
        <v>900</v>
      </c>
    </row>
    <row r="118" spans="1:7" x14ac:dyDescent="0.25">
      <c r="A118" s="47">
        <f>MONTH(sofiS_table[[#This Row],[Transaction Date]])</f>
        <v>11</v>
      </c>
      <c r="B118" s="4">
        <v>45244</v>
      </c>
      <c r="C118" t="s">
        <v>99</v>
      </c>
      <c r="D118" t="s">
        <v>449</v>
      </c>
      <c r="E118" s="117">
        <v>2732.71</v>
      </c>
      <c r="F118" s="2">
        <v>4250.91</v>
      </c>
      <c r="G118" s="2">
        <f>IFERROR(sofiS_table[[#This Row],[Cumulative]]-F117,0)</f>
        <v>900</v>
      </c>
    </row>
    <row r="119" spans="1:7" x14ac:dyDescent="0.25">
      <c r="A119" s="47">
        <f>MONTH(sofiS_table[[#This Row],[Transaction Date]])</f>
        <v>11</v>
      </c>
      <c r="B119" s="4">
        <v>45245</v>
      </c>
      <c r="C119" t="s">
        <v>438</v>
      </c>
      <c r="D119" t="s">
        <v>448</v>
      </c>
      <c r="E119" s="117">
        <v>-700</v>
      </c>
      <c r="F119" s="2">
        <v>1750.91</v>
      </c>
      <c r="G119" s="2">
        <f>IFERROR(sofiS_table[[#This Row],[Cumulative]]-F118,0)</f>
        <v>-2500</v>
      </c>
    </row>
    <row r="120" spans="1:7" x14ac:dyDescent="0.25">
      <c r="A120" s="47">
        <f>MONTH(sofiS_table[[#This Row],[Transaction Date]])</f>
        <v>11</v>
      </c>
      <c r="B120" s="4">
        <v>45258</v>
      </c>
      <c r="C120" t="s">
        <v>99</v>
      </c>
      <c r="D120" t="s">
        <v>449</v>
      </c>
      <c r="E120" s="117">
        <v>2732.72</v>
      </c>
      <c r="F120" s="2">
        <v>5483.63</v>
      </c>
      <c r="G120" s="2">
        <f>IFERROR(sofiS_table[[#This Row],[Cumulative]]-F119,0)</f>
        <v>3732.7200000000003</v>
      </c>
    </row>
    <row r="121" spans="1:7" x14ac:dyDescent="0.25">
      <c r="A121" s="47">
        <f>MONTH(sofiS_table[[#This Row],[Transaction Date]])</f>
        <v>11</v>
      </c>
      <c r="B121" s="4">
        <v>45258</v>
      </c>
      <c r="C121" t="s">
        <v>444</v>
      </c>
      <c r="D121" t="s">
        <v>451</v>
      </c>
      <c r="E121" s="117">
        <v>1000</v>
      </c>
      <c r="F121" s="2">
        <v>2750.91</v>
      </c>
      <c r="G121" s="2">
        <f>IFERROR(sofiS_table[[#This Row],[Cumulative]]-F120,0)</f>
        <v>-2732.7200000000003</v>
      </c>
    </row>
    <row r="122" spans="1:7" x14ac:dyDescent="0.25">
      <c r="A122" s="47">
        <f>MONTH(sofiS_table[[#This Row],[Transaction Date]])</f>
        <v>11</v>
      </c>
      <c r="B122" s="4">
        <v>45259</v>
      </c>
      <c r="C122" t="s">
        <v>439</v>
      </c>
      <c r="D122" t="s">
        <v>450</v>
      </c>
      <c r="E122" s="117">
        <v>-1000</v>
      </c>
      <c r="F122" s="2">
        <v>4483.63</v>
      </c>
      <c r="G122" s="2">
        <f>IFERROR(sofiS_table[[#This Row],[Cumulative]]-F121,0)</f>
        <v>1732.7200000000003</v>
      </c>
    </row>
    <row r="123" spans="1:7" x14ac:dyDescent="0.25">
      <c r="A123" s="47">
        <f>MONTH(sofiS_table[[#This Row],[Transaction Date]])</f>
        <v>11</v>
      </c>
      <c r="B123" s="4">
        <v>45260</v>
      </c>
      <c r="C123" t="s">
        <v>443</v>
      </c>
      <c r="D123" t="s">
        <v>453</v>
      </c>
      <c r="E123" s="117">
        <v>10.69</v>
      </c>
      <c r="F123" s="2">
        <v>4494.32</v>
      </c>
      <c r="G123" s="2">
        <f>IFERROR(sofiS_table[[#This Row],[Cumulative]]-F122,0)</f>
        <v>10.6899999999996</v>
      </c>
    </row>
    <row r="124" spans="1:7" x14ac:dyDescent="0.25">
      <c r="A124" s="47">
        <f>MONTH(sofiS_table[[#This Row],[Transaction Date]])</f>
        <v>12</v>
      </c>
      <c r="B124" s="4">
        <v>45264</v>
      </c>
      <c r="C124" t="s">
        <v>439</v>
      </c>
      <c r="D124" t="s">
        <v>450</v>
      </c>
      <c r="E124" s="117">
        <v>-2012</v>
      </c>
      <c r="F124" s="2">
        <v>2482.3200000000002</v>
      </c>
      <c r="G124" s="2">
        <f>IFERROR(sofiS_table[[#This Row],[Cumulative]]-F123,0)</f>
        <v>-2011.9999999999995</v>
      </c>
    </row>
    <row r="125" spans="1:7" x14ac:dyDescent="0.25">
      <c r="A125" s="47">
        <f>MONTH(sofiS_table[[#This Row],[Transaction Date]])</f>
        <v>12</v>
      </c>
      <c r="B125" s="4">
        <v>45265</v>
      </c>
      <c r="C125" t="s">
        <v>438</v>
      </c>
      <c r="D125" t="s">
        <v>448</v>
      </c>
      <c r="E125" s="117">
        <v>-800</v>
      </c>
      <c r="F125" s="2">
        <v>1682.32</v>
      </c>
      <c r="G125" s="2">
        <f>IFERROR(sofiS_table[[#This Row],[Cumulative]]-F124,0)</f>
        <v>-800.00000000000023</v>
      </c>
    </row>
    <row r="126" spans="1:7" x14ac:dyDescent="0.25">
      <c r="A126" s="47">
        <f>MONTH(sofiS_table[[#This Row],[Transaction Date]])</f>
        <v>12</v>
      </c>
      <c r="B126" s="4">
        <v>45272</v>
      </c>
      <c r="C126" t="s">
        <v>99</v>
      </c>
      <c r="D126" t="s">
        <v>449</v>
      </c>
      <c r="E126" s="117">
        <v>2732.7</v>
      </c>
      <c r="F126" s="2">
        <v>4415.0200000000004</v>
      </c>
      <c r="G126" s="2">
        <f>IFERROR(sofiS_table[[#This Row],[Cumulative]]-F125,0)</f>
        <v>2732.7000000000007</v>
      </c>
    </row>
    <row r="127" spans="1:7" x14ac:dyDescent="0.25">
      <c r="A127" s="47">
        <f>MONTH(sofiS_table[[#This Row],[Transaction Date]])</f>
        <v>12</v>
      </c>
      <c r="B127" s="4">
        <v>45273</v>
      </c>
      <c r="C127" t="s">
        <v>438</v>
      </c>
      <c r="D127" t="s">
        <v>448</v>
      </c>
      <c r="E127" s="117">
        <v>-1805</v>
      </c>
      <c r="F127" s="2">
        <v>2372.73</v>
      </c>
      <c r="G127" s="2">
        <f>IFERROR(sofiS_table[[#This Row],[Cumulative]]-F126,0)</f>
        <v>-2042.2900000000004</v>
      </c>
    </row>
    <row r="128" spans="1:7" x14ac:dyDescent="0.25">
      <c r="A128" s="47">
        <f>MONTH(sofiS_table[[#This Row],[Transaction Date]])</f>
        <v>12</v>
      </c>
      <c r="B128" s="4">
        <v>45273</v>
      </c>
      <c r="C128" t="s">
        <v>438</v>
      </c>
      <c r="D128" t="s">
        <v>448</v>
      </c>
      <c r="E128" s="117">
        <v>-237.29</v>
      </c>
      <c r="F128" s="2">
        <v>4177.7299999999996</v>
      </c>
      <c r="G128" s="2">
        <f>IFERROR(sofiS_table[[#This Row],[Cumulative]]-F127,0)</f>
        <v>1804.9999999999995</v>
      </c>
    </row>
    <row r="129" spans="1:7" x14ac:dyDescent="0.25">
      <c r="A129" s="47">
        <f>MONTH(sofiS_table[[#This Row],[Transaction Date]])</f>
        <v>12</v>
      </c>
      <c r="B129" s="4">
        <v>45274</v>
      </c>
      <c r="C129" t="s">
        <v>439</v>
      </c>
      <c r="D129" t="s">
        <v>450</v>
      </c>
      <c r="E129" s="117">
        <v>-1661.62</v>
      </c>
      <c r="F129" s="2">
        <v>711.11</v>
      </c>
      <c r="G129" s="2">
        <f>IFERROR(sofiS_table[[#This Row],[Cumulative]]-F128,0)</f>
        <v>-3466.6199999999994</v>
      </c>
    </row>
    <row r="130" spans="1:7" x14ac:dyDescent="0.25">
      <c r="A130" s="47">
        <f>MONTH(sofiS_table[[#This Row],[Transaction Date]])</f>
        <v>12</v>
      </c>
      <c r="B130" s="4">
        <v>45286</v>
      </c>
      <c r="C130" t="s">
        <v>99</v>
      </c>
      <c r="D130" t="s">
        <v>449</v>
      </c>
      <c r="E130" s="117">
        <v>2732.77</v>
      </c>
      <c r="F130" s="2">
        <v>3443.88</v>
      </c>
      <c r="G130" s="2">
        <f>IFERROR(sofiS_table[[#This Row],[Cumulative]]-F129,0)</f>
        <v>2732.77</v>
      </c>
    </row>
    <row r="131" spans="1:7" x14ac:dyDescent="0.25">
      <c r="A131" s="47">
        <f>MONTH(sofiS_table[[#This Row],[Transaction Date]])</f>
        <v>12</v>
      </c>
      <c r="B131" s="4">
        <v>45291</v>
      </c>
      <c r="C131" t="s">
        <v>443</v>
      </c>
      <c r="D131" t="s">
        <v>453</v>
      </c>
      <c r="E131" s="117">
        <v>7.87</v>
      </c>
      <c r="F131" s="2">
        <v>3451.75</v>
      </c>
      <c r="G131" s="2">
        <f>IFERROR(sofiS_table[[#This Row],[Cumulative]]-F130,0)</f>
        <v>7.8699999999998909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F1DD-6086-49E2-BB05-11B59C3EDDAC}">
  <sheetPr>
    <tabColor theme="6"/>
  </sheetPr>
  <dimension ref="A1:F63"/>
  <sheetViews>
    <sheetView topLeftCell="A40" workbookViewId="0">
      <selection activeCell="C54" sqref="C54"/>
    </sheetView>
  </sheetViews>
  <sheetFormatPr defaultRowHeight="15" x14ac:dyDescent="0.25"/>
  <cols>
    <col min="1" max="1" width="15.85546875" style="47" bestFit="1" customWidth="1"/>
    <col min="2" max="2" width="9.7109375" style="4" bestFit="1" customWidth="1"/>
    <col min="3" max="3" width="71.5703125" bestFit="1" customWidth="1"/>
    <col min="4" max="4" width="9.7109375" bestFit="1" customWidth="1"/>
    <col min="5" max="5" width="16.5703125" bestFit="1" customWidth="1"/>
  </cols>
  <sheetData>
    <row r="1" spans="1:6" x14ac:dyDescent="0.25">
      <c r="A1" s="47" t="s">
        <v>370</v>
      </c>
      <c r="B1" s="4" t="s">
        <v>4</v>
      </c>
      <c r="C1" t="s">
        <v>849</v>
      </c>
      <c r="D1" t="s">
        <v>1</v>
      </c>
      <c r="E1" t="s">
        <v>850</v>
      </c>
    </row>
    <row r="2" spans="1:6" x14ac:dyDescent="0.25">
      <c r="A2" s="55">
        <f t="shared" ref="A2:A49" si="0">(MONTH(B2))+0</f>
        <v>1</v>
      </c>
      <c r="B2" s="4">
        <v>44938</v>
      </c>
      <c r="C2" t="s">
        <v>475</v>
      </c>
      <c r="D2" s="77">
        <v>250</v>
      </c>
      <c r="E2" s="77">
        <v>500.71</v>
      </c>
    </row>
    <row r="3" spans="1:6" x14ac:dyDescent="0.25">
      <c r="A3" s="55">
        <f t="shared" si="0"/>
        <v>1</v>
      </c>
      <c r="B3" s="4">
        <v>44938</v>
      </c>
      <c r="C3" t="s">
        <v>476</v>
      </c>
      <c r="D3" s="77">
        <v>118.85</v>
      </c>
      <c r="E3" s="77">
        <v>250.71</v>
      </c>
    </row>
    <row r="4" spans="1:6" x14ac:dyDescent="0.25">
      <c r="A4" s="55">
        <f t="shared" si="0"/>
        <v>1</v>
      </c>
      <c r="B4" s="4">
        <v>44938</v>
      </c>
      <c r="C4" t="s">
        <v>477</v>
      </c>
      <c r="D4" s="77">
        <v>131.86000000000001</v>
      </c>
      <c r="E4" s="77">
        <v>131.86000000000001</v>
      </c>
      <c r="F4">
        <v>0</v>
      </c>
    </row>
    <row r="5" spans="1:6" x14ac:dyDescent="0.25">
      <c r="A5" s="55">
        <f t="shared" si="0"/>
        <v>1</v>
      </c>
      <c r="B5" s="4">
        <v>44945</v>
      </c>
      <c r="C5" t="s">
        <v>478</v>
      </c>
      <c r="D5" s="77">
        <v>-234.4</v>
      </c>
      <c r="E5" s="77">
        <v>526.30999999999995</v>
      </c>
    </row>
    <row r="6" spans="1:6" x14ac:dyDescent="0.25">
      <c r="A6" s="55">
        <f t="shared" si="0"/>
        <v>1</v>
      </c>
      <c r="B6" s="4">
        <v>44945</v>
      </c>
      <c r="C6" t="s">
        <v>475</v>
      </c>
      <c r="D6" s="77">
        <v>260</v>
      </c>
      <c r="E6" s="77">
        <v>760.71</v>
      </c>
    </row>
    <row r="7" spans="1:6" x14ac:dyDescent="0.25">
      <c r="A7" s="55">
        <f t="shared" si="0"/>
        <v>1</v>
      </c>
      <c r="B7" s="4">
        <v>44952</v>
      </c>
      <c r="C7" t="s">
        <v>476</v>
      </c>
      <c r="D7" s="77">
        <v>118.85</v>
      </c>
      <c r="E7" s="77">
        <v>764.01</v>
      </c>
    </row>
    <row r="8" spans="1:6" x14ac:dyDescent="0.25">
      <c r="A8" s="55">
        <f t="shared" si="0"/>
        <v>1</v>
      </c>
      <c r="B8" s="4">
        <v>44952</v>
      </c>
      <c r="C8" t="s">
        <v>475</v>
      </c>
      <c r="D8" s="77">
        <v>118.85</v>
      </c>
      <c r="E8" s="77">
        <v>645.16</v>
      </c>
    </row>
    <row r="9" spans="1:6" x14ac:dyDescent="0.25">
      <c r="A9" s="55">
        <f t="shared" si="0"/>
        <v>1</v>
      </c>
      <c r="B9" s="4">
        <v>44957</v>
      </c>
      <c r="C9" t="s">
        <v>479</v>
      </c>
      <c r="D9" s="77">
        <v>0.04</v>
      </c>
      <c r="E9" s="77">
        <v>764.05</v>
      </c>
    </row>
    <row r="10" spans="1:6" x14ac:dyDescent="0.25">
      <c r="A10" s="55">
        <f t="shared" si="0"/>
        <v>2</v>
      </c>
      <c r="B10" s="4">
        <v>44973</v>
      </c>
      <c r="C10" t="s">
        <v>485</v>
      </c>
      <c r="D10" s="77">
        <v>-103.02</v>
      </c>
      <c r="E10" s="77">
        <v>447.88</v>
      </c>
    </row>
    <row r="11" spans="1:6" x14ac:dyDescent="0.25">
      <c r="A11" s="55">
        <f t="shared" si="0"/>
        <v>2</v>
      </c>
      <c r="B11" s="4">
        <v>44974</v>
      </c>
      <c r="C11" t="s">
        <v>486</v>
      </c>
      <c r="D11" s="77">
        <v>-136</v>
      </c>
      <c r="E11" s="77">
        <v>311.88</v>
      </c>
    </row>
    <row r="12" spans="1:6" x14ac:dyDescent="0.25">
      <c r="A12" s="55">
        <f t="shared" si="0"/>
        <v>2</v>
      </c>
      <c r="B12" s="4">
        <v>44980</v>
      </c>
      <c r="C12" t="s">
        <v>487</v>
      </c>
      <c r="D12" s="77">
        <v>-68</v>
      </c>
      <c r="E12" s="77">
        <v>375.03</v>
      </c>
    </row>
    <row r="13" spans="1:6" x14ac:dyDescent="0.25">
      <c r="A13" s="55">
        <f t="shared" si="0"/>
        <v>2</v>
      </c>
      <c r="B13" s="4">
        <v>44980</v>
      </c>
      <c r="C13" t="s">
        <v>476</v>
      </c>
      <c r="D13" s="77">
        <v>118.85</v>
      </c>
      <c r="E13" s="77">
        <v>443.03</v>
      </c>
    </row>
    <row r="14" spans="1:6" x14ac:dyDescent="0.25">
      <c r="A14" s="55">
        <f t="shared" si="0"/>
        <v>2</v>
      </c>
      <c r="B14" s="4">
        <v>44980</v>
      </c>
      <c r="C14" t="s">
        <v>475</v>
      </c>
      <c r="D14" s="77">
        <v>12.3</v>
      </c>
      <c r="E14" s="77">
        <v>324.18</v>
      </c>
    </row>
    <row r="15" spans="1:6" x14ac:dyDescent="0.25">
      <c r="A15" s="55">
        <f t="shared" si="0"/>
        <v>2</v>
      </c>
      <c r="B15" s="4">
        <v>44981</v>
      </c>
      <c r="C15" t="s">
        <v>488</v>
      </c>
      <c r="D15" s="77">
        <v>-68</v>
      </c>
      <c r="E15" s="77">
        <v>307.02999999999997</v>
      </c>
    </row>
    <row r="16" spans="1:6" x14ac:dyDescent="0.25">
      <c r="A16" s="55">
        <f t="shared" si="0"/>
        <v>2</v>
      </c>
      <c r="B16" s="4">
        <v>44985</v>
      </c>
      <c r="C16" t="s">
        <v>489</v>
      </c>
      <c r="D16" s="77">
        <v>0.04</v>
      </c>
      <c r="E16" s="77">
        <v>307.07</v>
      </c>
    </row>
    <row r="17" spans="1:5" x14ac:dyDescent="0.25">
      <c r="A17" s="55">
        <f t="shared" si="0"/>
        <v>2</v>
      </c>
      <c r="B17" s="4">
        <v>44964</v>
      </c>
      <c r="C17" t="s">
        <v>483</v>
      </c>
      <c r="D17" s="77">
        <v>-98</v>
      </c>
      <c r="E17" s="77">
        <v>313.2</v>
      </c>
    </row>
    <row r="18" spans="1:5" x14ac:dyDescent="0.25">
      <c r="A18" s="55">
        <f t="shared" si="0"/>
        <v>2</v>
      </c>
      <c r="B18" s="4">
        <v>44964</v>
      </c>
      <c r="C18" t="s">
        <v>480</v>
      </c>
      <c r="D18" s="77">
        <v>-98</v>
      </c>
      <c r="E18" s="77">
        <v>411.2</v>
      </c>
    </row>
    <row r="19" spans="1:5" x14ac:dyDescent="0.25">
      <c r="A19" s="55">
        <f t="shared" si="0"/>
        <v>2</v>
      </c>
      <c r="B19" s="4">
        <v>44964</v>
      </c>
      <c r="C19" t="s">
        <v>481</v>
      </c>
      <c r="D19" s="77">
        <v>-98</v>
      </c>
      <c r="E19" s="77">
        <v>509.2</v>
      </c>
    </row>
    <row r="20" spans="1:5" x14ac:dyDescent="0.25">
      <c r="A20" s="55">
        <f t="shared" si="0"/>
        <v>2</v>
      </c>
      <c r="B20" s="4">
        <v>44964</v>
      </c>
      <c r="C20" t="s">
        <v>482</v>
      </c>
      <c r="D20" s="77">
        <v>-98</v>
      </c>
      <c r="E20" s="77">
        <v>607.20000000000005</v>
      </c>
    </row>
    <row r="21" spans="1:5" x14ac:dyDescent="0.25">
      <c r="A21" s="55">
        <f t="shared" si="0"/>
        <v>2</v>
      </c>
      <c r="B21" s="4">
        <v>44964</v>
      </c>
      <c r="C21" t="s">
        <v>484</v>
      </c>
      <c r="D21" s="77">
        <v>-58.85</v>
      </c>
      <c r="E21" s="77">
        <v>705.2</v>
      </c>
    </row>
    <row r="22" spans="1:5" x14ac:dyDescent="0.25">
      <c r="A22" s="55">
        <f t="shared" si="0"/>
        <v>2</v>
      </c>
      <c r="B22" s="4">
        <v>44966</v>
      </c>
      <c r="C22" t="s">
        <v>476</v>
      </c>
      <c r="D22" s="77">
        <v>118.85</v>
      </c>
      <c r="E22" s="77">
        <v>550.9</v>
      </c>
    </row>
    <row r="23" spans="1:5" x14ac:dyDescent="0.25">
      <c r="A23" s="55">
        <f t="shared" si="0"/>
        <v>2</v>
      </c>
      <c r="B23" s="4">
        <v>44966</v>
      </c>
      <c r="C23" t="s">
        <v>475</v>
      </c>
      <c r="D23" s="77">
        <v>118.85</v>
      </c>
      <c r="E23" s="77">
        <v>432.05</v>
      </c>
    </row>
    <row r="24" spans="1:5" x14ac:dyDescent="0.25">
      <c r="A24" s="55">
        <f t="shared" si="0"/>
        <v>3</v>
      </c>
      <c r="B24" s="4">
        <v>44987</v>
      </c>
      <c r="C24" t="s">
        <v>490</v>
      </c>
      <c r="D24" s="77">
        <v>-68</v>
      </c>
      <c r="E24" s="77">
        <v>239.07</v>
      </c>
    </row>
    <row r="25" spans="1:5" x14ac:dyDescent="0.25">
      <c r="A25" s="55">
        <f t="shared" si="0"/>
        <v>3</v>
      </c>
      <c r="B25" s="4">
        <v>45005</v>
      </c>
      <c r="C25" t="s">
        <v>492</v>
      </c>
      <c r="D25" s="77">
        <v>-68</v>
      </c>
      <c r="E25" s="77">
        <v>221.92</v>
      </c>
    </row>
    <row r="26" spans="1:5" x14ac:dyDescent="0.25">
      <c r="A26" s="55">
        <f t="shared" si="0"/>
        <v>3</v>
      </c>
      <c r="B26" s="4">
        <v>45007</v>
      </c>
      <c r="C26" t="s">
        <v>493</v>
      </c>
      <c r="D26" s="77">
        <v>-68</v>
      </c>
      <c r="E26" s="77">
        <v>153.91999999999999</v>
      </c>
    </row>
    <row r="27" spans="1:5" x14ac:dyDescent="0.25">
      <c r="A27" s="55">
        <f t="shared" si="0"/>
        <v>3</v>
      </c>
      <c r="B27" s="4">
        <v>45008</v>
      </c>
      <c r="C27" t="s">
        <v>476</v>
      </c>
      <c r="D27" s="77">
        <v>118.85</v>
      </c>
      <c r="E27" s="77">
        <v>272.77</v>
      </c>
    </row>
    <row r="28" spans="1:5" x14ac:dyDescent="0.25">
      <c r="A28" s="55">
        <f t="shared" si="0"/>
        <v>3</v>
      </c>
      <c r="B28" s="4">
        <v>45009</v>
      </c>
      <c r="C28" t="s">
        <v>494</v>
      </c>
      <c r="D28" s="77">
        <v>-68</v>
      </c>
      <c r="E28" s="77">
        <v>204.77</v>
      </c>
    </row>
    <row r="29" spans="1:5" x14ac:dyDescent="0.25">
      <c r="A29" s="55">
        <f t="shared" si="0"/>
        <v>3</v>
      </c>
      <c r="B29" s="4">
        <v>45016</v>
      </c>
      <c r="C29" t="s">
        <v>836</v>
      </c>
      <c r="D29" s="77">
        <v>0.02</v>
      </c>
      <c r="E29" s="77">
        <v>204.79</v>
      </c>
    </row>
    <row r="30" spans="1:5" x14ac:dyDescent="0.25">
      <c r="A30" s="55">
        <f t="shared" si="0"/>
        <v>3</v>
      </c>
      <c r="B30" s="4">
        <v>44991</v>
      </c>
      <c r="C30" t="s">
        <v>491</v>
      </c>
      <c r="D30" s="77">
        <v>-68</v>
      </c>
      <c r="E30" s="77">
        <v>171.07</v>
      </c>
    </row>
    <row r="31" spans="1:5" x14ac:dyDescent="0.25">
      <c r="A31" s="55">
        <f t="shared" si="0"/>
        <v>3</v>
      </c>
      <c r="B31" s="4">
        <v>44994</v>
      </c>
      <c r="C31" t="s">
        <v>476</v>
      </c>
      <c r="D31" s="77">
        <v>118.85</v>
      </c>
      <c r="E31" s="77">
        <v>289.92</v>
      </c>
    </row>
    <row r="32" spans="1:5" x14ac:dyDescent="0.25">
      <c r="A32" s="55">
        <f t="shared" si="0"/>
        <v>4</v>
      </c>
      <c r="B32" s="4">
        <v>45026</v>
      </c>
      <c r="C32" t="s">
        <v>837</v>
      </c>
      <c r="D32" s="77">
        <v>-13.6</v>
      </c>
      <c r="E32" s="77">
        <v>296.44</v>
      </c>
    </row>
    <row r="33" spans="1:5" x14ac:dyDescent="0.25">
      <c r="A33" s="55">
        <f t="shared" si="0"/>
        <v>4</v>
      </c>
      <c r="B33" s="4">
        <v>45030</v>
      </c>
      <c r="C33" t="s">
        <v>838</v>
      </c>
      <c r="D33" s="77">
        <v>-13.6</v>
      </c>
      <c r="E33" s="77">
        <v>282.83999999999997</v>
      </c>
    </row>
    <row r="34" spans="1:5" x14ac:dyDescent="0.25">
      <c r="A34" s="55">
        <f t="shared" si="0"/>
        <v>4</v>
      </c>
      <c r="B34" s="4">
        <v>45033</v>
      </c>
      <c r="C34" t="s">
        <v>839</v>
      </c>
      <c r="D34" s="77">
        <v>-100</v>
      </c>
      <c r="E34" s="77">
        <v>182.84</v>
      </c>
    </row>
    <row r="35" spans="1:5" x14ac:dyDescent="0.25">
      <c r="A35" s="55">
        <f t="shared" si="0"/>
        <v>4</v>
      </c>
      <c r="B35" s="4">
        <v>45035</v>
      </c>
      <c r="C35" t="s">
        <v>840</v>
      </c>
      <c r="D35" s="77">
        <v>-13.6</v>
      </c>
      <c r="E35" s="77">
        <v>169.24</v>
      </c>
    </row>
    <row r="36" spans="1:5" x14ac:dyDescent="0.25">
      <c r="A36" s="55">
        <f t="shared" si="0"/>
        <v>4</v>
      </c>
      <c r="B36" s="4">
        <v>45036</v>
      </c>
      <c r="C36" t="s">
        <v>476</v>
      </c>
      <c r="D36" s="77">
        <v>118.85</v>
      </c>
      <c r="E36" s="77">
        <v>288.08999999999997</v>
      </c>
    </row>
    <row r="37" spans="1:5" x14ac:dyDescent="0.25">
      <c r="A37" s="55">
        <f t="shared" si="0"/>
        <v>4</v>
      </c>
      <c r="B37" s="4">
        <v>45042</v>
      </c>
      <c r="C37" t="s">
        <v>841</v>
      </c>
      <c r="D37" s="77">
        <v>-13.6</v>
      </c>
      <c r="E37" s="77">
        <v>274.49</v>
      </c>
    </row>
    <row r="38" spans="1:5" x14ac:dyDescent="0.25">
      <c r="A38" s="55">
        <f t="shared" si="0"/>
        <v>4</v>
      </c>
      <c r="B38" s="4">
        <v>45046</v>
      </c>
      <c r="C38" t="s">
        <v>842</v>
      </c>
      <c r="D38" s="77">
        <v>0.02</v>
      </c>
      <c r="E38" s="77">
        <v>274.51</v>
      </c>
    </row>
    <row r="39" spans="1:5" x14ac:dyDescent="0.25">
      <c r="A39" s="55">
        <f t="shared" si="0"/>
        <v>4</v>
      </c>
      <c r="B39" s="4">
        <v>45021</v>
      </c>
      <c r="C39" t="s">
        <v>843</v>
      </c>
      <c r="D39" s="77">
        <v>54.4</v>
      </c>
      <c r="E39" s="77">
        <v>191.19</v>
      </c>
    </row>
    <row r="40" spans="1:5" x14ac:dyDescent="0.25">
      <c r="A40" s="55">
        <f t="shared" si="0"/>
        <v>4</v>
      </c>
      <c r="B40" s="4">
        <v>45021</v>
      </c>
      <c r="C40" t="s">
        <v>844</v>
      </c>
      <c r="D40" s="77">
        <v>-68</v>
      </c>
      <c r="E40" s="77">
        <v>136.79</v>
      </c>
    </row>
    <row r="41" spans="1:5" x14ac:dyDescent="0.25">
      <c r="A41" s="55">
        <f t="shared" si="0"/>
        <v>4</v>
      </c>
      <c r="B41" s="4">
        <v>45022</v>
      </c>
      <c r="C41" t="s">
        <v>476</v>
      </c>
      <c r="D41" s="77">
        <v>118.85</v>
      </c>
      <c r="E41" s="77">
        <v>310.04000000000002</v>
      </c>
    </row>
    <row r="42" spans="1:5" x14ac:dyDescent="0.25">
      <c r="A42" s="55">
        <f t="shared" si="0"/>
        <v>5</v>
      </c>
      <c r="B42" s="4">
        <v>45064</v>
      </c>
      <c r="C42" t="s">
        <v>476</v>
      </c>
      <c r="D42" s="77">
        <v>118.85</v>
      </c>
      <c r="E42" s="77">
        <v>498.61</v>
      </c>
    </row>
    <row r="43" spans="1:5" x14ac:dyDescent="0.25">
      <c r="A43" s="55">
        <f t="shared" si="0"/>
        <v>5</v>
      </c>
      <c r="B43" s="4">
        <v>45065</v>
      </c>
      <c r="C43" t="s">
        <v>845</v>
      </c>
      <c r="D43" s="77">
        <v>-50</v>
      </c>
      <c r="E43" s="77">
        <v>448.61</v>
      </c>
    </row>
    <row r="44" spans="1:5" x14ac:dyDescent="0.25">
      <c r="A44" s="55">
        <f t="shared" si="0"/>
        <v>5</v>
      </c>
      <c r="B44" s="4">
        <v>45077</v>
      </c>
      <c r="C44" t="s">
        <v>846</v>
      </c>
      <c r="D44" s="77">
        <v>0.03</v>
      </c>
      <c r="E44" s="77">
        <v>448.64</v>
      </c>
    </row>
    <row r="45" spans="1:5" x14ac:dyDescent="0.25">
      <c r="A45" s="55">
        <f t="shared" si="0"/>
        <v>5</v>
      </c>
      <c r="B45" s="4">
        <v>45050</v>
      </c>
      <c r="C45" t="s">
        <v>847</v>
      </c>
      <c r="D45" s="77">
        <v>-13.6</v>
      </c>
      <c r="E45" s="77">
        <v>379.76</v>
      </c>
    </row>
    <row r="46" spans="1:5" x14ac:dyDescent="0.25">
      <c r="A46" s="55">
        <f t="shared" si="0"/>
        <v>5</v>
      </c>
      <c r="B46" s="4">
        <v>45050</v>
      </c>
      <c r="C46" t="s">
        <v>476</v>
      </c>
      <c r="D46" s="77">
        <v>118.85</v>
      </c>
      <c r="E46" s="77">
        <v>393.36</v>
      </c>
    </row>
    <row r="47" spans="1:5" x14ac:dyDescent="0.25">
      <c r="A47" s="55">
        <f t="shared" si="0"/>
        <v>6</v>
      </c>
      <c r="B47" s="4">
        <v>45078</v>
      </c>
      <c r="C47" t="s">
        <v>476</v>
      </c>
      <c r="D47" s="77">
        <v>118.85</v>
      </c>
      <c r="E47" s="77">
        <v>567.49</v>
      </c>
    </row>
    <row r="48" spans="1:5" x14ac:dyDescent="0.25">
      <c r="A48" s="55">
        <f t="shared" si="0"/>
        <v>6</v>
      </c>
      <c r="B48" s="4">
        <v>45092</v>
      </c>
      <c r="C48" t="s">
        <v>848</v>
      </c>
      <c r="D48" s="77">
        <v>-200</v>
      </c>
      <c r="E48" s="77">
        <v>486.34</v>
      </c>
    </row>
    <row r="49" spans="1:5" x14ac:dyDescent="0.25">
      <c r="A49" s="55">
        <f t="shared" si="0"/>
        <v>6</v>
      </c>
      <c r="B49" s="4">
        <v>45092</v>
      </c>
      <c r="C49" t="s">
        <v>476</v>
      </c>
      <c r="D49" s="77">
        <v>118.85</v>
      </c>
      <c r="E49" s="77">
        <v>686.34</v>
      </c>
    </row>
    <row r="50" spans="1:5" x14ac:dyDescent="0.25">
      <c r="A50" s="55">
        <f t="shared" ref="A50:A52" si="1">(MONTH(B50))+0</f>
        <v>6</v>
      </c>
      <c r="B50" s="76" t="s">
        <v>917</v>
      </c>
      <c r="C50" s="75" t="s">
        <v>476</v>
      </c>
      <c r="D50" s="77">
        <v>118.85</v>
      </c>
      <c r="E50" s="77">
        <v>605.19000000000005</v>
      </c>
    </row>
    <row r="51" spans="1:5" x14ac:dyDescent="0.25">
      <c r="A51" s="55">
        <f t="shared" si="1"/>
        <v>6</v>
      </c>
      <c r="B51" s="76" t="s">
        <v>918</v>
      </c>
      <c r="C51" s="75" t="s">
        <v>919</v>
      </c>
      <c r="D51" s="77">
        <v>0.04</v>
      </c>
      <c r="E51" s="77">
        <v>605.23</v>
      </c>
    </row>
    <row r="52" spans="1:5" x14ac:dyDescent="0.25">
      <c r="A52" s="55">
        <f t="shared" si="1"/>
        <v>7</v>
      </c>
      <c r="B52" s="76" t="s">
        <v>920</v>
      </c>
      <c r="C52" s="75" t="s">
        <v>921</v>
      </c>
      <c r="D52" s="77">
        <v>-499.64</v>
      </c>
      <c r="E52" s="77">
        <v>105.59</v>
      </c>
    </row>
    <row r="53" spans="1:5" x14ac:dyDescent="0.25">
      <c r="A53" s="55">
        <f t="shared" ref="A53:A63" si="2">(MONTH(B53))+0</f>
        <v>7</v>
      </c>
      <c r="B53" s="76">
        <v>45120</v>
      </c>
      <c r="C53" t="s">
        <v>1075</v>
      </c>
      <c r="D53" s="2">
        <v>118.85</v>
      </c>
      <c r="E53" s="99">
        <f>E52+hsa_table[[#This Row],[Amount]]</f>
        <v>224.44</v>
      </c>
    </row>
    <row r="54" spans="1:5" x14ac:dyDescent="0.25">
      <c r="A54" s="55">
        <f t="shared" si="2"/>
        <v>7</v>
      </c>
      <c r="B54" s="76">
        <v>45133</v>
      </c>
      <c r="C54" t="s">
        <v>1076</v>
      </c>
      <c r="D54" s="2">
        <v>-100</v>
      </c>
      <c r="E54" s="99">
        <f>E53+hsa_table[[#This Row],[Amount]]</f>
        <v>124.44</v>
      </c>
    </row>
    <row r="55" spans="1:5" x14ac:dyDescent="0.25">
      <c r="A55" s="55">
        <f t="shared" si="2"/>
        <v>7</v>
      </c>
      <c r="B55" s="76">
        <v>45134</v>
      </c>
      <c r="C55" t="s">
        <v>1075</v>
      </c>
      <c r="D55" s="2">
        <v>118.85</v>
      </c>
      <c r="E55" s="99">
        <f>E54+hsa_table[[#This Row],[Amount]]</f>
        <v>243.29</v>
      </c>
    </row>
    <row r="56" spans="1:5" x14ac:dyDescent="0.25">
      <c r="A56" s="55">
        <f t="shared" si="2"/>
        <v>7</v>
      </c>
      <c r="B56" s="76">
        <v>45138</v>
      </c>
      <c r="C56" t="s">
        <v>1077</v>
      </c>
      <c r="D56" s="2">
        <v>0.02</v>
      </c>
      <c r="E56" s="99">
        <f>E55+hsa_table[[#This Row],[Amount]]</f>
        <v>243.31</v>
      </c>
    </row>
    <row r="57" spans="1:5" x14ac:dyDescent="0.25">
      <c r="A57" s="55">
        <f t="shared" si="2"/>
        <v>8</v>
      </c>
      <c r="B57" s="76">
        <v>45148</v>
      </c>
      <c r="C57" t="s">
        <v>1075</v>
      </c>
      <c r="D57" s="2">
        <v>118.85</v>
      </c>
      <c r="E57" s="99">
        <f>E56+hsa_table[[#This Row],[Amount]]</f>
        <v>362.15999999999997</v>
      </c>
    </row>
    <row r="58" spans="1:5" x14ac:dyDescent="0.25">
      <c r="A58" s="55">
        <f t="shared" si="2"/>
        <v>8</v>
      </c>
      <c r="B58" s="76">
        <v>45154</v>
      </c>
      <c r="C58" t="s">
        <v>1078</v>
      </c>
      <c r="D58" s="2">
        <v>-199.72</v>
      </c>
      <c r="E58" s="99">
        <f>E57+hsa_table[[#This Row],[Amount]]</f>
        <v>162.43999999999997</v>
      </c>
    </row>
    <row r="59" spans="1:5" x14ac:dyDescent="0.25">
      <c r="A59" s="55">
        <f t="shared" si="2"/>
        <v>8</v>
      </c>
      <c r="B59" s="76">
        <v>45162</v>
      </c>
      <c r="C59" t="s">
        <v>1075</v>
      </c>
      <c r="D59" s="2">
        <v>118.85</v>
      </c>
      <c r="E59" s="99">
        <f>E58+hsa_table[[#This Row],[Amount]]</f>
        <v>281.28999999999996</v>
      </c>
    </row>
    <row r="60" spans="1:5" x14ac:dyDescent="0.25">
      <c r="A60" s="55">
        <f t="shared" si="2"/>
        <v>8</v>
      </c>
      <c r="B60" s="76">
        <v>45169</v>
      </c>
      <c r="C60" t="s">
        <v>1079</v>
      </c>
      <c r="D60" s="2">
        <v>0.02</v>
      </c>
      <c r="E60" s="99">
        <f>E59+hsa_table[[#This Row],[Amount]]</f>
        <v>281.30999999999995</v>
      </c>
    </row>
    <row r="61" spans="1:5" x14ac:dyDescent="0.25">
      <c r="A61" s="55">
        <f t="shared" si="2"/>
        <v>9</v>
      </c>
      <c r="B61" s="76">
        <v>45175</v>
      </c>
      <c r="C61" t="s">
        <v>1080</v>
      </c>
      <c r="D61" s="2">
        <v>-210</v>
      </c>
      <c r="E61" s="99">
        <f>E60+hsa_table[[#This Row],[Amount]]</f>
        <v>71.309999999999945</v>
      </c>
    </row>
    <row r="62" spans="1:5" x14ac:dyDescent="0.25">
      <c r="A62" s="55">
        <f t="shared" si="2"/>
        <v>9</v>
      </c>
      <c r="B62" s="76">
        <v>45176</v>
      </c>
      <c r="C62" t="s">
        <v>1075</v>
      </c>
      <c r="D62" s="2">
        <v>118.85</v>
      </c>
      <c r="E62" s="99">
        <f>E61+hsa_table[[#This Row],[Amount]]</f>
        <v>190.15999999999994</v>
      </c>
    </row>
    <row r="63" spans="1:5" x14ac:dyDescent="0.25">
      <c r="A63" s="55">
        <f t="shared" si="2"/>
        <v>9</v>
      </c>
      <c r="B63" s="76">
        <v>45190</v>
      </c>
      <c r="C63" t="s">
        <v>1075</v>
      </c>
      <c r="D63" s="2">
        <v>118.85</v>
      </c>
      <c r="E63" s="99">
        <f>E62+hsa_table[[#This Row],[Amount]]</f>
        <v>309.00999999999993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DDD7A-224B-4365-A34B-5D8E9C865892}">
  <sheetPr>
    <tabColor theme="6"/>
  </sheetPr>
  <dimension ref="A1:H23"/>
  <sheetViews>
    <sheetView workbookViewId="0">
      <selection activeCell="F18" sqref="F18"/>
    </sheetView>
  </sheetViews>
  <sheetFormatPr defaultRowHeight="15" x14ac:dyDescent="0.25"/>
  <cols>
    <col min="1" max="1" width="17.85546875" style="47" customWidth="1"/>
    <col min="2" max="2" width="18.140625" bestFit="1" customWidth="1"/>
    <col min="3" max="3" width="14.7109375" bestFit="1" customWidth="1"/>
    <col min="4" max="4" width="22.42578125" bestFit="1" customWidth="1"/>
    <col min="5" max="5" width="11.5703125" bestFit="1" customWidth="1"/>
    <col min="6" max="6" width="13.85546875" bestFit="1" customWidth="1"/>
  </cols>
  <sheetData>
    <row r="1" spans="1:8" x14ac:dyDescent="0.25">
      <c r="A1" t="s">
        <v>685</v>
      </c>
      <c r="B1" t="s">
        <v>4</v>
      </c>
      <c r="C1" t="s">
        <v>861</v>
      </c>
      <c r="D1" t="s">
        <v>862</v>
      </c>
      <c r="E1" t="s">
        <v>1</v>
      </c>
      <c r="F1" t="s">
        <v>863</v>
      </c>
    </row>
    <row r="2" spans="1:8" x14ac:dyDescent="0.25">
      <c r="A2" s="47">
        <f>MONTH(sofiS_table8910[[#This Row],[Date]])</f>
        <v>1</v>
      </c>
      <c r="B2" s="4">
        <v>44927</v>
      </c>
      <c r="C2" t="s">
        <v>864</v>
      </c>
      <c r="D2" t="s">
        <v>477</v>
      </c>
      <c r="E2" s="2">
        <v>12785.41</v>
      </c>
      <c r="F2" s="2">
        <v>0</v>
      </c>
    </row>
    <row r="3" spans="1:8" x14ac:dyDescent="0.25">
      <c r="A3" s="47">
        <f>MONTH(sofiS_table8910[[#This Row],[Date]])</f>
        <v>1</v>
      </c>
      <c r="B3" s="4">
        <v>44939</v>
      </c>
      <c r="C3" t="s">
        <v>864</v>
      </c>
      <c r="D3" t="s">
        <v>865</v>
      </c>
      <c r="E3" s="2">
        <v>672.31</v>
      </c>
      <c r="F3" s="2">
        <v>61.735999999999997</v>
      </c>
      <c r="H3">
        <v>0</v>
      </c>
    </row>
    <row r="4" spans="1:8" x14ac:dyDescent="0.25">
      <c r="A4" s="47">
        <f>MONTH(sofiS_table8910[[#This Row],[Date]])</f>
        <v>1</v>
      </c>
      <c r="B4" s="4">
        <v>44953</v>
      </c>
      <c r="C4" t="s">
        <v>864</v>
      </c>
      <c r="D4" t="s">
        <v>865</v>
      </c>
      <c r="E4" s="2">
        <v>1244.42</v>
      </c>
      <c r="F4" s="2">
        <v>112.414</v>
      </c>
    </row>
    <row r="5" spans="1:8" x14ac:dyDescent="0.25">
      <c r="A5" s="47">
        <f>MONTH(sofiS_table8910[[#This Row],[Date]])</f>
        <v>2</v>
      </c>
      <c r="B5" s="4">
        <v>44967</v>
      </c>
      <c r="C5" t="s">
        <v>864</v>
      </c>
      <c r="D5" t="s">
        <v>865</v>
      </c>
      <c r="E5" s="2">
        <v>743.08</v>
      </c>
      <c r="F5" s="2">
        <v>67.308000000000007</v>
      </c>
    </row>
    <row r="6" spans="1:8" x14ac:dyDescent="0.25">
      <c r="A6" s="47">
        <f>MONTH(sofiS_table8910[[#This Row],[Date]])</f>
        <v>2</v>
      </c>
      <c r="B6" s="4">
        <v>44981</v>
      </c>
      <c r="C6" t="s">
        <v>864</v>
      </c>
      <c r="D6" t="s">
        <v>865</v>
      </c>
      <c r="E6" s="2">
        <v>743.08</v>
      </c>
      <c r="F6" s="2">
        <v>68.867999999999995</v>
      </c>
    </row>
    <row r="7" spans="1:8" x14ac:dyDescent="0.25">
      <c r="A7" s="47">
        <f>MONTH(sofiS_table8910[[#This Row],[Date]])</f>
        <v>2</v>
      </c>
      <c r="B7" s="4">
        <v>44984</v>
      </c>
      <c r="C7" t="s">
        <v>864</v>
      </c>
      <c r="D7" t="s">
        <v>866</v>
      </c>
      <c r="E7" s="2">
        <v>-4.0199999999999996</v>
      </c>
      <c r="F7" s="2">
        <v>-0.371</v>
      </c>
    </row>
    <row r="8" spans="1:8" x14ac:dyDescent="0.25">
      <c r="A8" s="47">
        <f>MONTH(sofiS_table8910[[#This Row],[Date]])</f>
        <v>2</v>
      </c>
      <c r="B8" s="4">
        <v>44984</v>
      </c>
      <c r="C8" t="s">
        <v>864</v>
      </c>
      <c r="D8" t="s">
        <v>867</v>
      </c>
      <c r="E8" s="2">
        <v>0.1</v>
      </c>
      <c r="F8" s="2">
        <v>0</v>
      </c>
    </row>
    <row r="9" spans="1:8" x14ac:dyDescent="0.25">
      <c r="A9" s="47">
        <f>MONTH(sofiS_table8910[[#This Row],[Date]])</f>
        <v>3</v>
      </c>
      <c r="B9" s="4">
        <v>44995</v>
      </c>
      <c r="C9" t="s">
        <v>864</v>
      </c>
      <c r="D9" t="s">
        <v>865</v>
      </c>
      <c r="E9" s="2">
        <v>880</v>
      </c>
      <c r="F9" s="2">
        <v>83.019000000000005</v>
      </c>
    </row>
    <row r="10" spans="1:8" x14ac:dyDescent="0.25">
      <c r="A10" s="47">
        <f>MONTH(sofiS_table8910[[#This Row],[Date]])</f>
        <v>3</v>
      </c>
      <c r="B10" s="4">
        <v>45009</v>
      </c>
      <c r="C10" t="s">
        <v>864</v>
      </c>
      <c r="D10" t="s">
        <v>865</v>
      </c>
      <c r="E10" s="2">
        <v>160</v>
      </c>
      <c r="F10" s="2">
        <v>15.009</v>
      </c>
    </row>
    <row r="11" spans="1:8" x14ac:dyDescent="0.25">
      <c r="A11" s="47">
        <f>MONTH(sofiS_table8910[[#This Row],[Date]])</f>
        <v>4</v>
      </c>
      <c r="B11" s="4">
        <v>45026</v>
      </c>
      <c r="C11" t="s">
        <v>864</v>
      </c>
      <c r="D11" t="s">
        <v>865</v>
      </c>
      <c r="E11" s="2">
        <v>160</v>
      </c>
      <c r="F11" s="2">
        <v>14.585000000000001</v>
      </c>
    </row>
    <row r="12" spans="1:8" x14ac:dyDescent="0.25">
      <c r="A12" s="47">
        <f>MONTH(sofiS_table8910[[#This Row],[Date]])</f>
        <v>4</v>
      </c>
      <c r="B12" s="4">
        <v>45037</v>
      </c>
      <c r="C12" t="s">
        <v>864</v>
      </c>
      <c r="D12" t="s">
        <v>865</v>
      </c>
      <c r="E12" s="2">
        <v>160</v>
      </c>
      <c r="F12" s="2">
        <v>14.401</v>
      </c>
    </row>
    <row r="13" spans="1:8" x14ac:dyDescent="0.25">
      <c r="A13" s="47">
        <f>MONTH(sofiS_table8910[[#This Row],[Date]])</f>
        <v>5</v>
      </c>
      <c r="B13" s="4">
        <v>45051</v>
      </c>
      <c r="C13" t="s">
        <v>864</v>
      </c>
      <c r="D13" t="s">
        <v>865</v>
      </c>
      <c r="E13" s="2">
        <v>160</v>
      </c>
      <c r="F13" s="2">
        <v>14.409000000000001</v>
      </c>
    </row>
    <row r="14" spans="1:8" x14ac:dyDescent="0.25">
      <c r="A14" s="47">
        <f>MONTH(sofiS_table8910[[#This Row],[Date]])</f>
        <v>5</v>
      </c>
      <c r="B14" s="4">
        <v>45057</v>
      </c>
      <c r="C14" t="s">
        <v>864</v>
      </c>
      <c r="D14" t="s">
        <v>866</v>
      </c>
      <c r="E14" s="2">
        <v>-2.5099999999999998</v>
      </c>
      <c r="F14" s="2">
        <v>-0.22700000000000001</v>
      </c>
    </row>
    <row r="15" spans="1:8" x14ac:dyDescent="0.25">
      <c r="A15" s="47">
        <f>MONTH(sofiS_table8910[[#This Row],[Date]])</f>
        <v>5</v>
      </c>
      <c r="B15" s="4">
        <v>45057</v>
      </c>
      <c r="C15" t="s">
        <v>864</v>
      </c>
      <c r="D15" t="s">
        <v>867</v>
      </c>
      <c r="E15" s="2">
        <v>0.11</v>
      </c>
      <c r="F15" s="2">
        <v>0</v>
      </c>
    </row>
    <row r="16" spans="1:8" x14ac:dyDescent="0.25">
      <c r="A16" s="47">
        <f>MONTH(sofiS_table8910[[#This Row],[Date]])</f>
        <v>5</v>
      </c>
      <c r="B16" s="4">
        <v>45065</v>
      </c>
      <c r="C16" t="s">
        <v>864</v>
      </c>
      <c r="D16" t="s">
        <v>865</v>
      </c>
      <c r="E16" s="2">
        <v>160</v>
      </c>
      <c r="F16" s="2">
        <v>14.368</v>
      </c>
    </row>
    <row r="17" spans="1:6" x14ac:dyDescent="0.25">
      <c r="A17" s="47">
        <f>MONTH(sofiS_table8910[[#This Row],[Date]])</f>
        <v>6</v>
      </c>
      <c r="B17" s="4">
        <v>45079</v>
      </c>
      <c r="C17" t="s">
        <v>864</v>
      </c>
      <c r="D17" t="s">
        <v>865</v>
      </c>
      <c r="E17" s="2">
        <v>71.569999999999993</v>
      </c>
      <c r="F17" s="2">
        <v>6.3630000000000004</v>
      </c>
    </row>
    <row r="18" spans="1:6" x14ac:dyDescent="0.25">
      <c r="A18" s="47">
        <f>MONTH(sofiS_table8910[[#This Row],[Date]])</f>
        <v>6</v>
      </c>
      <c r="B18" s="4">
        <v>45095</v>
      </c>
      <c r="C18" t="s">
        <v>864</v>
      </c>
      <c r="D18" t="s">
        <v>867</v>
      </c>
      <c r="E18" s="2">
        <v>1860.16</v>
      </c>
      <c r="F18" s="2">
        <v>11.57</v>
      </c>
    </row>
    <row r="19" spans="1:6" x14ac:dyDescent="0.25">
      <c r="A19" s="47">
        <f>MONTH(sofiS_table8910[[#This Row],[Date]])</f>
        <v>7</v>
      </c>
      <c r="B19" s="47">
        <v>45121</v>
      </c>
      <c r="C19" t="s">
        <v>864</v>
      </c>
      <c r="D19" t="s">
        <v>865</v>
      </c>
      <c r="E19" s="2">
        <v>0.02</v>
      </c>
      <c r="F19" s="2"/>
    </row>
    <row r="20" spans="1:6" x14ac:dyDescent="0.25">
      <c r="A20" s="47">
        <f>MONTH(sofiS_table8910[[#This Row],[Date]])</f>
        <v>7</v>
      </c>
      <c r="B20" s="47">
        <v>45135</v>
      </c>
      <c r="C20" t="s">
        <v>864</v>
      </c>
      <c r="D20" t="s">
        <v>865</v>
      </c>
      <c r="E20" s="2">
        <v>0.04</v>
      </c>
      <c r="F20" s="2"/>
    </row>
    <row r="21" spans="1:6" x14ac:dyDescent="0.25">
      <c r="A21" s="47">
        <f>MONTH(sofiS_table8910[[#This Row],[Date]])</f>
        <v>8</v>
      </c>
      <c r="B21" s="47">
        <v>45147</v>
      </c>
      <c r="C21" t="s">
        <v>864</v>
      </c>
      <c r="D21" t="s">
        <v>866</v>
      </c>
      <c r="E21" s="2">
        <v>-4.24</v>
      </c>
      <c r="F21" s="2"/>
    </row>
    <row r="22" spans="1:6" x14ac:dyDescent="0.25">
      <c r="A22" s="47">
        <f>MONTH(sofiS_table8910[[#This Row],[Date]])</f>
        <v>8</v>
      </c>
      <c r="B22" s="47">
        <v>45163</v>
      </c>
      <c r="C22" t="s">
        <v>864</v>
      </c>
      <c r="D22" t="s">
        <v>865</v>
      </c>
      <c r="E22" s="2">
        <v>0.06</v>
      </c>
      <c r="F22" s="2"/>
    </row>
    <row r="23" spans="1:6" x14ac:dyDescent="0.25">
      <c r="A23" s="47">
        <f>MONTH(sofiS_table8910[[#This Row],[Date]])</f>
        <v>9</v>
      </c>
      <c r="B23" s="47">
        <v>45191</v>
      </c>
      <c r="C23" t="s">
        <v>864</v>
      </c>
      <c r="D23" t="s">
        <v>865</v>
      </c>
      <c r="E23" s="2">
        <v>0.03</v>
      </c>
      <c r="F23" s="2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D1155"/>
  <sheetViews>
    <sheetView topLeftCell="A1057" zoomScaleNormal="100" workbookViewId="0">
      <selection activeCell="H1069" sqref="H1069"/>
    </sheetView>
  </sheetViews>
  <sheetFormatPr defaultRowHeight="15" x14ac:dyDescent="0.25"/>
  <cols>
    <col min="1" max="1" width="5" bestFit="1" customWidth="1"/>
    <col min="2" max="2" width="11.5703125" style="47" bestFit="1" customWidth="1"/>
    <col min="3" max="4" width="18.28515625" style="4" bestFit="1" customWidth="1"/>
    <col min="5" max="5" width="79" customWidth="1"/>
    <col min="6" max="6" width="12.7109375" style="2" bestFit="1" customWidth="1"/>
    <col min="7" max="7" width="25.140625" bestFit="1" customWidth="1"/>
    <col min="8" max="8" width="19.42578125" bestFit="1" customWidth="1"/>
    <col min="9" max="9" width="22.42578125" bestFit="1" customWidth="1"/>
    <col min="10" max="10" width="26.7109375" style="4" bestFit="1" customWidth="1"/>
    <col min="11" max="11" width="18.28515625" style="106" bestFit="1" customWidth="1"/>
    <col min="12" max="12" width="9.5703125" bestFit="1" customWidth="1"/>
    <col min="13" max="13" width="18.28515625" style="107" bestFit="1" customWidth="1"/>
    <col min="14" max="14" width="15.28515625" style="31" customWidth="1"/>
    <col min="15" max="15" width="18.28515625" bestFit="1" customWidth="1"/>
    <col min="16" max="17" width="13" bestFit="1" customWidth="1"/>
    <col min="18" max="18" width="25.140625" bestFit="1" customWidth="1"/>
    <col min="19" max="19" width="11.5703125" bestFit="1" customWidth="1"/>
    <col min="20" max="22" width="13" bestFit="1" customWidth="1"/>
    <col min="23" max="23" width="12.5703125" bestFit="1" customWidth="1"/>
    <col min="24" max="25" width="13" bestFit="1" customWidth="1"/>
    <col min="26" max="27" width="12.5703125" bestFit="1" customWidth="1"/>
    <col min="28" max="30" width="11.28515625" bestFit="1" customWidth="1"/>
  </cols>
  <sheetData>
    <row r="1" spans="1:30" x14ac:dyDescent="0.25">
      <c r="B1" s="53" t="s">
        <v>685</v>
      </c>
      <c r="C1" s="105" t="s">
        <v>1122</v>
      </c>
      <c r="D1" s="105" t="s">
        <v>1123</v>
      </c>
      <c r="E1" s="103" t="s">
        <v>0</v>
      </c>
      <c r="F1" s="108" t="s">
        <v>1</v>
      </c>
      <c r="G1" s="103" t="s">
        <v>2</v>
      </c>
      <c r="H1" s="103" t="s">
        <v>3</v>
      </c>
      <c r="I1" s="103" t="s">
        <v>5</v>
      </c>
      <c r="J1" s="103" t="s">
        <v>6</v>
      </c>
      <c r="K1" s="105" t="s">
        <v>4</v>
      </c>
      <c r="L1" s="103" t="s">
        <v>132</v>
      </c>
      <c r="M1" s="105" t="s">
        <v>147</v>
      </c>
      <c r="N1" s="103" t="s">
        <v>7</v>
      </c>
      <c r="O1" s="103" t="s">
        <v>683</v>
      </c>
      <c r="P1" s="32"/>
      <c r="Q1" s="26"/>
      <c r="S1" s="27">
        <v>44927</v>
      </c>
      <c r="T1" s="27">
        <v>44958</v>
      </c>
      <c r="U1" s="27">
        <v>44986</v>
      </c>
      <c r="V1" s="27">
        <v>45017</v>
      </c>
      <c r="W1" s="27">
        <v>45047</v>
      </c>
      <c r="X1" s="27">
        <v>45078</v>
      </c>
      <c r="Y1" s="27">
        <v>45108</v>
      </c>
      <c r="Z1" s="27" t="s">
        <v>363</v>
      </c>
      <c r="AA1" s="27" t="s">
        <v>364</v>
      </c>
      <c r="AB1" s="27" t="s">
        <v>365</v>
      </c>
      <c r="AC1" s="27" t="s">
        <v>366</v>
      </c>
      <c r="AD1" s="27" t="s">
        <v>367</v>
      </c>
    </row>
    <row r="2" spans="1:30" hidden="1" x14ac:dyDescent="0.25">
      <c r="A2" s="92">
        <v>0</v>
      </c>
      <c r="B2" s="47">
        <f>MONTH(dis_table[[#This Row],[Date]])</f>
        <v>1</v>
      </c>
      <c r="C2" s="4">
        <v>44927</v>
      </c>
      <c r="D2" s="4">
        <v>44927</v>
      </c>
      <c r="E2" t="s">
        <v>8</v>
      </c>
      <c r="F2">
        <v>577.5</v>
      </c>
      <c r="G2" t="s">
        <v>8</v>
      </c>
      <c r="H2" t="s">
        <v>8</v>
      </c>
      <c r="I2" t="s">
        <v>12</v>
      </c>
      <c r="J2" t="s">
        <v>8</v>
      </c>
      <c r="K2" s="4">
        <v>44927</v>
      </c>
      <c r="L2">
        <v>2023</v>
      </c>
      <c r="M2" s="4">
        <v>44927</v>
      </c>
      <c r="N2">
        <v>577.5</v>
      </c>
      <c r="O2">
        <v>1</v>
      </c>
      <c r="R2" t="s">
        <v>48</v>
      </c>
      <c r="S2" s="2">
        <f>SUMIFS(dis_table[Amount],dis_table[Category],$R2,dis_table[Date],S$1)</f>
        <v>16.399999999999999</v>
      </c>
      <c r="T2" s="2">
        <f>SUMIFS(dis_table[Amount],dis_table[Category],$R2,dis_table[Date],T$1)</f>
        <v>279.89</v>
      </c>
      <c r="U2" s="2">
        <f>SUMIFS(dis_table[Amount],dis_table[Category],$R2,dis_table[Date],U$1)</f>
        <v>106.56</v>
      </c>
      <c r="V2" s="2">
        <f>SUMIFS(dis_table[Amount],dis_table[Category],$R2,dis_table[Date],V$1)</f>
        <v>0</v>
      </c>
      <c r="W2" s="2">
        <f>SUMIFS(dis_table[Amount],dis_table[Category],$R2,dis_table[Date],W$1)</f>
        <v>0</v>
      </c>
      <c r="X2" s="2">
        <f>SUMIFS(dis_table[Amount],dis_table[Category],$R2,dis_table[Date],X$1)</f>
        <v>0</v>
      </c>
      <c r="Y2" s="2">
        <f>SUMIFS(dis_table[Amount],dis_table[Category],$R2,dis_table[Date],Y$1)</f>
        <v>0</v>
      </c>
      <c r="Z2" s="2">
        <f>SUMIFS(dis_table[Amount],dis_table[Category],$R2,dis_table[Date],Z$1)</f>
        <v>0</v>
      </c>
      <c r="AA2" s="2">
        <f>SUMIFS(dis_table[Amount],dis_table[Category],$R2,dis_table[Date],AA$1)</f>
        <v>0</v>
      </c>
      <c r="AB2" s="2">
        <f>SUMIFS(dis_table[Amount],dis_table[Category],$R2,dis_table[Date],AB$1)</f>
        <v>0</v>
      </c>
      <c r="AC2" s="2">
        <f>SUMIFS(dis_table[Amount],dis_table[Category],$R2,dis_table[Date],AC$1)</f>
        <v>175.67</v>
      </c>
      <c r="AD2" s="2">
        <f>SUMIFS(dis_table[Amount],dis_table[Category],$R2,dis_table[Date],AD$1)</f>
        <v>151.04</v>
      </c>
    </row>
    <row r="3" spans="1:30" hidden="1" x14ac:dyDescent="0.25">
      <c r="A3" s="92">
        <v>1</v>
      </c>
      <c r="B3" s="47">
        <f>MONTH(dis_table[[#This Row],[Date]])</f>
        <v>1</v>
      </c>
      <c r="C3" s="4">
        <v>44927</v>
      </c>
      <c r="D3" s="4">
        <v>44927</v>
      </c>
      <c r="E3" t="s">
        <v>148</v>
      </c>
      <c r="F3">
        <v>4.99</v>
      </c>
      <c r="G3" t="s">
        <v>16</v>
      </c>
      <c r="H3" t="s">
        <v>20</v>
      </c>
      <c r="I3" t="s">
        <v>18</v>
      </c>
      <c r="J3" t="s">
        <v>19</v>
      </c>
      <c r="K3" s="4">
        <v>44927</v>
      </c>
      <c r="L3">
        <v>2023</v>
      </c>
      <c r="M3" s="4">
        <v>44927</v>
      </c>
      <c r="N3">
        <v>582.49</v>
      </c>
      <c r="O3">
        <v>1</v>
      </c>
      <c r="R3" t="s">
        <v>69</v>
      </c>
      <c r="S3" s="2">
        <f>SUMIFS(dis_table[Amount],dis_table[Category],$R3,dis_table[Date],S$1)</f>
        <v>49</v>
      </c>
      <c r="T3" s="2">
        <f>SUMIFS(dis_table[Amount],dis_table[Category],$R3,dis_table[Date],T$1)</f>
        <v>98</v>
      </c>
      <c r="U3" s="2">
        <f>SUMIFS(dis_table[Amount],dis_table[Category],$R3,dis_table[Date],U$1)</f>
        <v>448</v>
      </c>
      <c r="V3" s="2">
        <f>SUMIFS(dis_table[Amount],dis_table[Category],$R3,dis_table[Date],V$1)</f>
        <v>0</v>
      </c>
      <c r="W3" s="2">
        <f>SUMIFS(dis_table[Amount],dis_table[Category],$R3,dis_table[Date],W$1)</f>
        <v>1057.49</v>
      </c>
      <c r="X3" s="2">
        <f>SUMIFS(dis_table[Amount],dis_table[Category],$R3,dis_table[Date],X$1)</f>
        <v>19.989999999999998</v>
      </c>
      <c r="Y3" s="2">
        <f>SUMIFS(dis_table[Amount],dis_table[Category],$R3,dis_table[Date],Y$1)</f>
        <v>7.99</v>
      </c>
      <c r="Z3" s="2">
        <f>SUMIFS(dis_table[Amount],dis_table[Category],$R3,dis_table[Date],Z$1)</f>
        <v>49</v>
      </c>
      <c r="AA3" s="2">
        <f>SUMIFS(dis_table[Amount],dis_table[Category],$R3,dis_table[Date],AA$1)</f>
        <v>0</v>
      </c>
      <c r="AB3" s="2">
        <f>SUMIFS(dis_table[Amount],dis_table[Category],$R3,dis_table[Date],AB$1)</f>
        <v>0</v>
      </c>
      <c r="AC3" s="2">
        <f>SUMIFS(dis_table[Amount],dis_table[Category],$R3,dis_table[Date],AC$1)</f>
        <v>0</v>
      </c>
      <c r="AD3" s="2">
        <f>SUMIFS(dis_table[Amount],dis_table[Category],$R3,dis_table[Date],AD$1)</f>
        <v>0</v>
      </c>
    </row>
    <row r="4" spans="1:30" hidden="1" x14ac:dyDescent="0.25">
      <c r="A4" s="92">
        <v>2</v>
      </c>
      <c r="B4" s="47">
        <f>MONTH(dis_table[[#This Row],[Date]])</f>
        <v>1</v>
      </c>
      <c r="C4" s="4">
        <v>44927</v>
      </c>
      <c r="D4" s="4">
        <v>44929</v>
      </c>
      <c r="E4" t="s">
        <v>15</v>
      </c>
      <c r="F4">
        <v>10.59</v>
      </c>
      <c r="G4" t="s">
        <v>16</v>
      </c>
      <c r="H4" t="s">
        <v>17</v>
      </c>
      <c r="I4" t="s">
        <v>18</v>
      </c>
      <c r="J4" t="s">
        <v>19</v>
      </c>
      <c r="K4" s="4">
        <v>44927</v>
      </c>
      <c r="L4">
        <v>2023</v>
      </c>
      <c r="M4" s="4">
        <v>44927</v>
      </c>
      <c r="N4">
        <v>593.08000000000004</v>
      </c>
      <c r="O4">
        <v>1</v>
      </c>
      <c r="Q4">
        <v>0</v>
      </c>
      <c r="R4" t="s">
        <v>29</v>
      </c>
      <c r="S4" s="2">
        <f>SUMIFS(dis_table[Amount],dis_table[Category],$R4,dis_table[Date],S$1)</f>
        <v>132.49</v>
      </c>
      <c r="T4" s="2">
        <f>SUMIFS(dis_table[Amount],dis_table[Category],$R4,dis_table[Date],T$1)</f>
        <v>15.5</v>
      </c>
      <c r="U4" s="2">
        <f>SUMIFS(dis_table[Amount],dis_table[Category],$R4,dis_table[Date],U$1)</f>
        <v>99.56</v>
      </c>
      <c r="V4" s="2">
        <f>SUMIFS(dis_table[Amount],dis_table[Category],$R4,dis_table[Date],V$1)</f>
        <v>148.38</v>
      </c>
      <c r="W4" s="2">
        <f>SUMIFS(dis_table[Amount],dis_table[Category],$R4,dis_table[Date],W$1)</f>
        <v>161.57</v>
      </c>
      <c r="X4" s="2">
        <f>SUMIFS(dis_table[Amount],dis_table[Category],$R4,dis_table[Date],X$1)</f>
        <v>0</v>
      </c>
      <c r="Y4" s="2">
        <f>SUMIFS(dis_table[Amount],dis_table[Category],$R4,dis_table[Date],Y$1)</f>
        <v>0</v>
      </c>
      <c r="Z4" s="2">
        <f>SUMIFS(dis_table[Amount],dis_table[Category],$R4,dis_table[Date],Z$1)</f>
        <v>2100.1</v>
      </c>
      <c r="AA4" s="2">
        <f>SUMIFS(dis_table[Amount],dis_table[Category],$R4,dis_table[Date],AA$1)</f>
        <v>29.02</v>
      </c>
      <c r="AB4" s="2">
        <f>SUMIFS(dis_table[Amount],dis_table[Category],$R4,dis_table[Date],AB$1)</f>
        <v>0</v>
      </c>
      <c r="AC4" s="2">
        <f>SUMIFS(dis_table[Amount],dis_table[Category],$R4,dis_table[Date],AC$1)</f>
        <v>25.27</v>
      </c>
      <c r="AD4" s="2">
        <f>SUMIFS(dis_table[Amount],dis_table[Category],$R4,dis_table[Date],AD$1)</f>
        <v>50.16</v>
      </c>
    </row>
    <row r="5" spans="1:30" hidden="1" x14ac:dyDescent="0.25">
      <c r="A5" s="92">
        <v>3</v>
      </c>
      <c r="B5" s="47">
        <f>MONTH(dis_table[[#This Row],[Date]])</f>
        <v>1</v>
      </c>
      <c r="C5" s="4">
        <v>44927</v>
      </c>
      <c r="D5" s="4">
        <v>44929</v>
      </c>
      <c r="E5" t="s">
        <v>85</v>
      </c>
      <c r="F5">
        <v>34.46</v>
      </c>
      <c r="G5" t="s">
        <v>34</v>
      </c>
      <c r="H5" t="s">
        <v>35</v>
      </c>
      <c r="I5" t="s">
        <v>12</v>
      </c>
      <c r="J5" t="s">
        <v>13</v>
      </c>
      <c r="K5" s="4">
        <v>44927</v>
      </c>
      <c r="L5">
        <v>2023</v>
      </c>
      <c r="M5" s="4">
        <v>44927</v>
      </c>
      <c r="N5">
        <v>627.54000000000008</v>
      </c>
      <c r="O5">
        <v>1</v>
      </c>
      <c r="R5" t="s">
        <v>60</v>
      </c>
      <c r="S5" s="2">
        <f>SUMIFS(dis_table[Amount],dis_table[Category],$R5,dis_table[Date],S$1)</f>
        <v>260.36</v>
      </c>
      <c r="T5" s="2">
        <f>SUMIFS(dis_table[Amount],dis_table[Category],$R5,dis_table[Date],T$1)</f>
        <v>0</v>
      </c>
      <c r="U5" s="2">
        <f>SUMIFS(dis_table[Amount],dis_table[Category],$R5,dis_table[Date],U$1)</f>
        <v>17.100000000000001</v>
      </c>
      <c r="V5" s="2">
        <f>SUMIFS(dis_table[Amount],dis_table[Category],$R5,dis_table[Date],V$1)</f>
        <v>16.940000000000001</v>
      </c>
      <c r="W5" s="2">
        <f>SUMIFS(dis_table[Amount],dis_table[Category],$R5,dis_table[Date],W$1)</f>
        <v>80.75</v>
      </c>
      <c r="X5" s="2">
        <f>SUMIFS(dis_table[Amount],dis_table[Category],$R5,dis_table[Date],X$1)</f>
        <v>46.33</v>
      </c>
      <c r="Y5" s="2">
        <f>SUMIFS(dis_table[Amount],dis_table[Category],$R5,dis_table[Date],Y$1)</f>
        <v>0</v>
      </c>
      <c r="Z5" s="2">
        <f>SUMIFS(dis_table[Amount],dis_table[Category],$R5,dis_table[Date],Z$1)</f>
        <v>0</v>
      </c>
      <c r="AA5" s="2">
        <f>SUMIFS(dis_table[Amount],dis_table[Category],$R5,dis_table[Date],AA$1)</f>
        <v>191.01</v>
      </c>
      <c r="AB5" s="2">
        <f>SUMIFS(dis_table[Amount],dis_table[Category],$R5,dis_table[Date],AB$1)</f>
        <v>0</v>
      </c>
      <c r="AC5" s="2">
        <f>SUMIFS(dis_table[Amount],dis_table[Category],$R5,dis_table[Date],AC$1)</f>
        <v>0</v>
      </c>
      <c r="AD5" s="2">
        <f>SUMIFS(dis_table[Amount],dis_table[Category],$R5,dis_table[Date],AD$1)</f>
        <v>0</v>
      </c>
    </row>
    <row r="6" spans="1:30" hidden="1" x14ac:dyDescent="0.25">
      <c r="A6" s="92">
        <v>4</v>
      </c>
      <c r="B6" s="47">
        <f>MONTH(dis_table[[#This Row],[Date]])</f>
        <v>1</v>
      </c>
      <c r="C6" s="4">
        <v>44928</v>
      </c>
      <c r="D6" s="4">
        <v>44929</v>
      </c>
      <c r="E6" t="s">
        <v>43</v>
      </c>
      <c r="F6">
        <v>10</v>
      </c>
      <c r="G6" t="s">
        <v>16</v>
      </c>
      <c r="H6" t="s">
        <v>44</v>
      </c>
      <c r="I6" t="s">
        <v>18</v>
      </c>
      <c r="J6" t="s">
        <v>19</v>
      </c>
      <c r="K6" s="4">
        <v>44927</v>
      </c>
      <c r="L6">
        <v>2023</v>
      </c>
      <c r="M6" s="4">
        <v>44928</v>
      </c>
      <c r="N6">
        <v>637.54000000000008</v>
      </c>
      <c r="O6">
        <v>1</v>
      </c>
      <c r="R6" t="s">
        <v>86</v>
      </c>
      <c r="S6" s="2">
        <f>SUMIFS(dis_table[Amount],dis_table[Category],$R6,dis_table[Date],S$1)</f>
        <v>0</v>
      </c>
      <c r="T6" s="2">
        <f>SUMIFS(dis_table[Amount],dis_table[Category],$R6,dis_table[Date],T$1)</f>
        <v>0</v>
      </c>
      <c r="U6" s="2">
        <f>SUMIFS(dis_table[Amount],dis_table[Category],$R6,dis_table[Date],U$1)</f>
        <v>0</v>
      </c>
      <c r="V6" s="2">
        <f>SUMIFS(dis_table[Amount],dis_table[Category],$R6,dis_table[Date],V$1)</f>
        <v>23.91</v>
      </c>
      <c r="W6" s="2">
        <f>SUMIFS(dis_table[Amount],dis_table[Category],$R6,dis_table[Date],W$1)</f>
        <v>0</v>
      </c>
      <c r="X6" s="2">
        <f>SUMIFS(dis_table[Amount],dis_table[Category],$R6,dis_table[Date],X$1)</f>
        <v>0</v>
      </c>
      <c r="Y6" s="2">
        <f>SUMIFS(dis_table[Amount],dis_table[Category],$R6,dis_table[Date],Y$1)</f>
        <v>0</v>
      </c>
      <c r="Z6" s="2">
        <f>SUMIFS(dis_table[Amount],dis_table[Category],$R6,dis_table[Date],Z$1)</f>
        <v>0</v>
      </c>
      <c r="AA6" s="2">
        <f>SUMIFS(dis_table[Amount],dis_table[Category],$R6,dis_table[Date],AA$1)</f>
        <v>0</v>
      </c>
      <c r="AB6" s="2">
        <f>SUMIFS(dis_table[Amount],dis_table[Category],$R6,dis_table[Date],AB$1)</f>
        <v>0</v>
      </c>
      <c r="AC6" s="2">
        <f>SUMIFS(dis_table[Amount],dis_table[Category],$R6,dis_table[Date],AC$1)</f>
        <v>0</v>
      </c>
      <c r="AD6" s="2">
        <f>SUMIFS(dis_table[Amount],dis_table[Category],$R6,dis_table[Date],AD$1)</f>
        <v>0</v>
      </c>
    </row>
    <row r="7" spans="1:30" hidden="1" x14ac:dyDescent="0.25">
      <c r="A7" s="92">
        <v>5</v>
      </c>
      <c r="B7" s="47">
        <f>MONTH(dis_table[[#This Row],[Date]])</f>
        <v>1</v>
      </c>
      <c r="C7" s="4">
        <v>44928</v>
      </c>
      <c r="D7" s="4">
        <v>44929</v>
      </c>
      <c r="E7" t="s">
        <v>123</v>
      </c>
      <c r="F7">
        <v>10</v>
      </c>
      <c r="G7" t="s">
        <v>16</v>
      </c>
      <c r="H7" t="s">
        <v>369</v>
      </c>
      <c r="I7" t="s">
        <v>18</v>
      </c>
      <c r="J7" t="s">
        <v>24</v>
      </c>
      <c r="K7" s="4">
        <v>44927</v>
      </c>
      <c r="L7">
        <v>2023</v>
      </c>
      <c r="M7" s="4">
        <v>44928</v>
      </c>
      <c r="N7">
        <v>647.54000000000008</v>
      </c>
      <c r="O7">
        <v>1</v>
      </c>
      <c r="R7" t="s">
        <v>76</v>
      </c>
      <c r="S7" s="2">
        <f>SUMIFS(dis_table[Amount],dis_table[Category],$R7,dis_table[Date],S$1)</f>
        <v>0</v>
      </c>
      <c r="T7" s="2">
        <f>SUMIFS(dis_table[Amount],dis_table[Category],$R7,dis_table[Date],T$1)</f>
        <v>0</v>
      </c>
      <c r="U7" s="2">
        <f>SUMIFS(dis_table[Amount],dis_table[Category],$R7,dis_table[Date],U$1)</f>
        <v>0</v>
      </c>
      <c r="V7" s="2">
        <f>SUMIFS(dis_table[Amount],dis_table[Category],$R7,dis_table[Date],V$1)</f>
        <v>0</v>
      </c>
      <c r="W7" s="2">
        <f>SUMIFS(dis_table[Amount],dis_table[Category],$R7,dis_table[Date],W$1)</f>
        <v>0</v>
      </c>
      <c r="X7" s="2">
        <f>SUMIFS(dis_table[Amount],dis_table[Category],$R7,dis_table[Date],X$1)</f>
        <v>0</v>
      </c>
      <c r="Y7" s="2">
        <f>SUMIFS(dis_table[Amount],dis_table[Category],$R7,dis_table[Date],Y$1)</f>
        <v>0</v>
      </c>
      <c r="Z7" s="2">
        <f>SUMIFS(dis_table[Amount],dis_table[Category],$R7,dis_table[Date],Z$1)</f>
        <v>0</v>
      </c>
      <c r="AA7" s="2">
        <f>SUMIFS(dis_table[Amount],dis_table[Category],$R7,dis_table[Date],AA$1)</f>
        <v>0</v>
      </c>
      <c r="AB7" s="2">
        <f>SUMIFS(dis_table[Amount],dis_table[Category],$R7,dis_table[Date],AB$1)</f>
        <v>0</v>
      </c>
      <c r="AC7" s="2">
        <f>SUMIFS(dis_table[Amount],dis_table[Category],$R7,dis_table[Date],AC$1)</f>
        <v>0</v>
      </c>
      <c r="AD7" s="2">
        <f>SUMIFS(dis_table[Amount],dis_table[Category],$R7,dis_table[Date],AD$1)</f>
        <v>0</v>
      </c>
    </row>
    <row r="8" spans="1:30" hidden="1" x14ac:dyDescent="0.25">
      <c r="A8" s="92">
        <v>6</v>
      </c>
      <c r="B8" s="47">
        <f>MONTH(dis_table[[#This Row],[Date]])</f>
        <v>1</v>
      </c>
      <c r="C8" s="4">
        <v>44929</v>
      </c>
      <c r="D8" s="4">
        <v>44929</v>
      </c>
      <c r="E8" t="s">
        <v>149</v>
      </c>
      <c r="F8">
        <v>549.6</v>
      </c>
      <c r="G8" t="s">
        <v>58</v>
      </c>
      <c r="H8" t="s">
        <v>138</v>
      </c>
      <c r="I8" t="s">
        <v>12</v>
      </c>
      <c r="J8" t="s">
        <v>59</v>
      </c>
      <c r="K8" s="4">
        <v>44927</v>
      </c>
      <c r="L8">
        <v>2023</v>
      </c>
      <c r="M8" s="4">
        <v>44929</v>
      </c>
      <c r="N8">
        <v>1197.1400000000001</v>
      </c>
      <c r="O8">
        <v>1</v>
      </c>
      <c r="R8" t="s">
        <v>58</v>
      </c>
      <c r="S8" s="2">
        <f>SUMIFS(dis_table[Amount],dis_table[Category],$R8,dis_table[Date],S$1)</f>
        <v>656.1</v>
      </c>
      <c r="T8" s="2">
        <f>SUMIFS(dis_table[Amount],dis_table[Category],$R8,dis_table[Date],T$1)</f>
        <v>299.32</v>
      </c>
      <c r="U8" s="2">
        <f>SUMIFS(dis_table[Amount],dis_table[Category],$R8,dis_table[Date],U$1)</f>
        <v>1174.2099999999998</v>
      </c>
      <c r="V8" s="2">
        <f>SUMIFS(dis_table[Amount],dis_table[Category],$R8,dis_table[Date],V$1)</f>
        <v>66.53</v>
      </c>
      <c r="W8" s="2">
        <f>SUMIFS(dis_table[Amount],dis_table[Category],$R8,dis_table[Date],W$1)</f>
        <v>178.07999999999998</v>
      </c>
      <c r="X8" s="2">
        <f>SUMIFS(dis_table[Amount],dis_table[Category],$R8,dis_table[Date],X$1)</f>
        <v>0</v>
      </c>
      <c r="Y8" s="2">
        <f>SUMIFS(dis_table[Amount],dis_table[Category],$R8,dis_table[Date],Y$1)</f>
        <v>266.7</v>
      </c>
      <c r="Z8" s="2">
        <f>SUMIFS(dis_table[Amount],dis_table[Category],$R8,dis_table[Date],Z$1)</f>
        <v>0</v>
      </c>
      <c r="AA8" s="2">
        <f>SUMIFS(dis_table[Amount],dis_table[Category],$R8,dis_table[Date],AA$1)</f>
        <v>0</v>
      </c>
      <c r="AB8" s="2">
        <f>SUMIFS(dis_table[Amount],dis_table[Category],$R8,dis_table[Date],AB$1)</f>
        <v>0.6</v>
      </c>
      <c r="AC8" s="2">
        <f>SUMIFS(dis_table[Amount],dis_table[Category],$R8,dis_table[Date],AC$1)</f>
        <v>47.019999999999996</v>
      </c>
      <c r="AD8" s="2">
        <f>SUMIFS(dis_table[Amount],dis_table[Category],$R8,dis_table[Date],AD$1)</f>
        <v>40.65</v>
      </c>
    </row>
    <row r="9" spans="1:30" hidden="1" x14ac:dyDescent="0.25">
      <c r="A9" s="92">
        <v>7</v>
      </c>
      <c r="B9" s="47">
        <f>MONTH(dis_table[[#This Row],[Date]])</f>
        <v>1</v>
      </c>
      <c r="C9" s="4">
        <v>44929</v>
      </c>
      <c r="D9" s="4">
        <v>44929</v>
      </c>
      <c r="E9" t="s">
        <v>150</v>
      </c>
      <c r="F9">
        <v>42.12</v>
      </c>
      <c r="G9" t="s">
        <v>16</v>
      </c>
      <c r="H9" t="s">
        <v>133</v>
      </c>
      <c r="I9" t="s">
        <v>12</v>
      </c>
      <c r="J9" t="s">
        <v>24</v>
      </c>
      <c r="K9" s="4">
        <v>44927</v>
      </c>
      <c r="L9">
        <v>2023</v>
      </c>
      <c r="M9" s="4">
        <v>44929</v>
      </c>
      <c r="N9">
        <v>1239.26</v>
      </c>
      <c r="O9">
        <v>1</v>
      </c>
      <c r="R9" t="s">
        <v>16</v>
      </c>
      <c r="S9" s="2">
        <f>SUMIFS(dis_table[Amount],dis_table[Category],$R9,dis_table[Date],S$1)</f>
        <v>654.74</v>
      </c>
      <c r="T9" s="2">
        <f>SUMIFS(dis_table[Amount],dis_table[Category],$R9,dis_table[Date],T$1)</f>
        <v>1246.3599999999999</v>
      </c>
      <c r="U9" s="2">
        <f>SUMIFS(dis_table[Amount],dis_table[Category],$R9,dis_table[Date],U$1)</f>
        <v>1452.3100000000002</v>
      </c>
      <c r="V9" s="2">
        <f>SUMIFS(dis_table[Amount],dis_table[Category],$R9,dis_table[Date],V$1)</f>
        <v>2083.8700000000003</v>
      </c>
      <c r="W9" s="2">
        <f>SUMIFS(dis_table[Amount],dis_table[Category],$R9,dis_table[Date],W$1)</f>
        <v>2565.3200000000006</v>
      </c>
      <c r="X9" s="2">
        <f>SUMIFS(dis_table[Amount],dis_table[Category],$R9,dis_table[Date],X$1)</f>
        <v>741.6400000000001</v>
      </c>
      <c r="Y9" s="2">
        <f>SUMIFS(dis_table[Amount],dis_table[Category],$R9,dis_table[Date],Y$1)</f>
        <v>849.87000000000012</v>
      </c>
      <c r="Z9" s="2">
        <f>SUMIFS(dis_table[Amount],dis_table[Category],$R9,dis_table[Date],Z$1)</f>
        <v>1024.45</v>
      </c>
      <c r="AA9" s="2">
        <f>SUMIFS(dis_table[Amount],dis_table[Category],$R9,dis_table[Date],AA$1)</f>
        <v>1015.1800000000001</v>
      </c>
      <c r="AB9" s="2">
        <f>SUMIFS(dis_table[Amount],dis_table[Category],$R9,dis_table[Date],AB$1)</f>
        <v>987.34000000000026</v>
      </c>
      <c r="AC9" s="2">
        <f>SUMIFS(dis_table[Amount],dis_table[Category],$R9,dis_table[Date],AC$1)</f>
        <v>1195.17</v>
      </c>
      <c r="AD9" s="2">
        <f>SUMIFS(dis_table[Amount],dis_table[Category],$R9,dis_table[Date],AD$1)</f>
        <v>1094.6300000000006</v>
      </c>
    </row>
    <row r="10" spans="1:30" hidden="1" x14ac:dyDescent="0.25">
      <c r="A10" s="92">
        <v>8</v>
      </c>
      <c r="B10" s="47">
        <f>MONTH(dis_table[[#This Row],[Date]])</f>
        <v>1</v>
      </c>
      <c r="C10" s="4">
        <v>44929</v>
      </c>
      <c r="D10" s="4">
        <v>44929</v>
      </c>
      <c r="E10" t="s">
        <v>143</v>
      </c>
      <c r="F10">
        <v>-41.41</v>
      </c>
      <c r="G10" t="s">
        <v>32</v>
      </c>
      <c r="H10" t="s">
        <v>1027</v>
      </c>
      <c r="I10" t="s">
        <v>12</v>
      </c>
      <c r="J10" t="s">
        <v>122</v>
      </c>
      <c r="K10" s="4">
        <v>44927</v>
      </c>
      <c r="L10">
        <v>2023</v>
      </c>
      <c r="M10" s="4">
        <v>44929</v>
      </c>
      <c r="N10">
        <v>1197.8499999999999</v>
      </c>
      <c r="O10">
        <v>1</v>
      </c>
      <c r="R10" t="s">
        <v>9</v>
      </c>
      <c r="S10" s="2">
        <f>SUMIFS(dis_table[Amount],dis_table[Category],$R10,dis_table[Date],S$1)</f>
        <v>318.3</v>
      </c>
      <c r="T10" s="2">
        <f>SUMIFS(dis_table[Amount],dis_table[Category],$R10,dis_table[Date],T$1)</f>
        <v>657.4799999999999</v>
      </c>
      <c r="U10" s="2">
        <f>SUMIFS(dis_table[Amount],dis_table[Category],$R10,dis_table[Date],U$1)</f>
        <v>482.18</v>
      </c>
      <c r="V10" s="2">
        <f>SUMIFS(dis_table[Amount],dis_table[Category],$R10,dis_table[Date],V$1)</f>
        <v>270.53000000000003</v>
      </c>
      <c r="W10" s="2">
        <f>SUMIFS(dis_table[Amount],dis_table[Category],$R10,dis_table[Date],W$1)</f>
        <v>556.46</v>
      </c>
      <c r="X10" s="2">
        <f>SUMIFS(dis_table[Amount],dis_table[Category],$R10,dis_table[Date],X$1)</f>
        <v>41.37</v>
      </c>
      <c r="Y10" s="2">
        <f>SUMIFS(dis_table[Amount],dis_table[Category],$R10,dis_table[Date],Y$1)</f>
        <v>62.19</v>
      </c>
      <c r="Z10" s="2">
        <f>SUMIFS(dis_table[Amount],dis_table[Category],$R10,dis_table[Date],Z$1)</f>
        <v>337.29</v>
      </c>
      <c r="AA10" s="2">
        <f>SUMIFS(dis_table[Amount],dis_table[Category],$R10,dis_table[Date],AA$1)</f>
        <v>255.66999999999996</v>
      </c>
      <c r="AB10" s="2">
        <f>SUMIFS(dis_table[Amount],dis_table[Category],$R10,dis_table[Date],AB$1)</f>
        <v>416.60999999999996</v>
      </c>
      <c r="AC10" s="2">
        <f>SUMIFS(dis_table[Amount],dis_table[Category],$R10,dis_table[Date],AC$1)</f>
        <v>629.96000000000015</v>
      </c>
      <c r="AD10" s="2">
        <f>SUMIFS(dis_table[Amount],dis_table[Category],$R10,dis_table[Date],AD$1)</f>
        <v>543.96999999999991</v>
      </c>
    </row>
    <row r="11" spans="1:30" hidden="1" x14ac:dyDescent="0.25">
      <c r="A11" s="92">
        <v>9</v>
      </c>
      <c r="B11" s="47">
        <f>MONTH(dis_table[[#This Row],[Date]])</f>
        <v>1</v>
      </c>
      <c r="C11" s="4">
        <v>44929</v>
      </c>
      <c r="D11" s="4">
        <v>44929</v>
      </c>
      <c r="E11" t="s">
        <v>151</v>
      </c>
      <c r="F11">
        <v>40.96</v>
      </c>
      <c r="G11" t="s">
        <v>29</v>
      </c>
      <c r="H11" t="s">
        <v>30</v>
      </c>
      <c r="I11" t="s">
        <v>12</v>
      </c>
      <c r="J11" t="s">
        <v>31</v>
      </c>
      <c r="K11" s="4">
        <v>44927</v>
      </c>
      <c r="L11">
        <v>2023</v>
      </c>
      <c r="M11" s="4">
        <v>44929</v>
      </c>
      <c r="N11">
        <v>1238.81</v>
      </c>
      <c r="O11">
        <v>1</v>
      </c>
      <c r="R11" t="s">
        <v>36</v>
      </c>
      <c r="S11" s="2">
        <f>SUMIFS(dis_table[Amount],dis_table[Category],$R11,dis_table[Date],S$1)</f>
        <v>473.35</v>
      </c>
      <c r="T11" s="2">
        <f>SUMIFS(dis_table[Amount],dis_table[Category],$R11,dis_table[Date],T$1)</f>
        <v>474.01000000000005</v>
      </c>
      <c r="U11" s="2">
        <f>SUMIFS(dis_table[Amount],dis_table[Category],$R11,dis_table[Date],U$1)</f>
        <v>658.30000000000007</v>
      </c>
      <c r="V11" s="2">
        <f>SUMIFS(dis_table[Amount],dis_table[Category],$R11,dis_table[Date],V$1)</f>
        <v>648.06000000000006</v>
      </c>
      <c r="W11" s="2">
        <f>SUMIFS(dis_table[Amount],dis_table[Category],$R11,dis_table[Date],W$1)</f>
        <v>680.7</v>
      </c>
      <c r="X11" s="2">
        <f>SUMIFS(dis_table[Amount],dis_table[Category],$R11,dis_table[Date],X$1)</f>
        <v>454.36</v>
      </c>
      <c r="Y11" s="2">
        <f>SUMIFS(dis_table[Amount],dis_table[Category],$R11,dis_table[Date],Y$1)</f>
        <v>327.09000000000003</v>
      </c>
      <c r="Z11" s="2">
        <f>SUMIFS(dis_table[Amount],dis_table[Category],$R11,dis_table[Date],Z$1)</f>
        <v>295.82000000000005</v>
      </c>
      <c r="AA11" s="2">
        <f>SUMIFS(dis_table[Amount],dis_table[Category],$R11,dis_table[Date],AA$1)</f>
        <v>346.09000000000003</v>
      </c>
      <c r="AB11" s="2">
        <f>SUMIFS(dis_table[Amount],dis_table[Category],$R11,dis_table[Date],AB$1)</f>
        <v>439.09000000000003</v>
      </c>
      <c r="AC11" s="2">
        <f>SUMIFS(dis_table[Amount],dis_table[Category],$R11,dis_table[Date],AC$1)</f>
        <v>1451.02</v>
      </c>
      <c r="AD11" s="2">
        <f>SUMIFS(dis_table[Amount],dis_table[Category],$R11,dis_table[Date],AD$1)</f>
        <v>340.35999999999996</v>
      </c>
    </row>
    <row r="12" spans="1:30" hidden="1" x14ac:dyDescent="0.25">
      <c r="A12" s="92">
        <v>10</v>
      </c>
      <c r="B12" s="47">
        <f>MONTH(dis_table[[#This Row],[Date]])</f>
        <v>1</v>
      </c>
      <c r="C12" s="4">
        <v>44929</v>
      </c>
      <c r="D12" s="4">
        <v>44929</v>
      </c>
      <c r="E12" t="s">
        <v>152</v>
      </c>
      <c r="F12">
        <v>15.89</v>
      </c>
      <c r="G12" t="s">
        <v>36</v>
      </c>
      <c r="H12" t="s">
        <v>54</v>
      </c>
      <c r="I12" t="s">
        <v>18</v>
      </c>
      <c r="J12" t="s">
        <v>19</v>
      </c>
      <c r="K12" s="4">
        <v>44927</v>
      </c>
      <c r="L12">
        <v>2023</v>
      </c>
      <c r="M12" s="4">
        <v>44929</v>
      </c>
      <c r="N12">
        <v>1254.7</v>
      </c>
      <c r="O12">
        <v>1</v>
      </c>
      <c r="R12" t="s">
        <v>34</v>
      </c>
      <c r="S12" s="2">
        <f>SUMIFS(dis_table[Amount],dis_table[Category],$R12,dis_table[Date],S$1)</f>
        <v>204.34</v>
      </c>
      <c r="T12" s="2">
        <f>SUMIFS(dis_table[Amount],dis_table[Category],$R12,dis_table[Date],T$1)</f>
        <v>423.11</v>
      </c>
      <c r="U12" s="2">
        <f>SUMIFS(dis_table[Amount],dis_table[Category],$R12,dis_table[Date],U$1)</f>
        <v>443.98</v>
      </c>
      <c r="V12" s="2">
        <f>SUMIFS(dis_table[Amount],dis_table[Category],$R12,dis_table[Date],V$1)</f>
        <v>551.59</v>
      </c>
      <c r="W12" s="2">
        <f>SUMIFS(dis_table[Amount],dis_table[Category],$R12,dis_table[Date],W$1)</f>
        <v>866.32</v>
      </c>
      <c r="X12" s="2">
        <f>SUMIFS(dis_table[Amount],dis_table[Category],$R12,dis_table[Date],X$1)</f>
        <v>103.69</v>
      </c>
      <c r="Y12" s="2">
        <f>SUMIFS(dis_table[Amount],dis_table[Category],$R12,dis_table[Date],Y$1)</f>
        <v>558.17000000000007</v>
      </c>
      <c r="Z12" s="2">
        <f>SUMIFS(dis_table[Amount],dis_table[Category],$R12,dis_table[Date],Z$1)</f>
        <v>335.62</v>
      </c>
      <c r="AA12" s="2">
        <f>SUMIFS(dis_table[Amount],dis_table[Category],$R12,dis_table[Date],AA$1)</f>
        <v>31.81</v>
      </c>
      <c r="AB12" s="2">
        <f>SUMIFS(dis_table[Amount],dis_table[Category],$R12,dis_table[Date],AB$1)</f>
        <v>315.87</v>
      </c>
      <c r="AC12" s="2">
        <f>SUMIFS(dis_table[Amount],dis_table[Category],$R12,dis_table[Date],AC$1)</f>
        <v>653.59</v>
      </c>
      <c r="AD12" s="2">
        <f>SUMIFS(dis_table[Amount],dis_table[Category],$R12,dis_table[Date],AD$1)</f>
        <v>488.46999999999991</v>
      </c>
    </row>
    <row r="13" spans="1:30" hidden="1" x14ac:dyDescent="0.25">
      <c r="A13" s="92">
        <v>11</v>
      </c>
      <c r="B13" s="47">
        <f>MONTH(dis_table[[#This Row],[Date]])</f>
        <v>1</v>
      </c>
      <c r="C13" s="4">
        <v>44929</v>
      </c>
      <c r="D13" s="4">
        <v>44929</v>
      </c>
      <c r="E13" t="s">
        <v>153</v>
      </c>
      <c r="F13">
        <v>7.13</v>
      </c>
      <c r="G13" t="s">
        <v>9</v>
      </c>
      <c r="H13" t="s">
        <v>10</v>
      </c>
      <c r="I13" t="s">
        <v>12</v>
      </c>
      <c r="J13" t="s">
        <v>13</v>
      </c>
      <c r="K13" s="4">
        <v>44927</v>
      </c>
      <c r="L13">
        <v>2023</v>
      </c>
      <c r="M13" s="4">
        <v>44929</v>
      </c>
      <c r="N13">
        <v>1261.83</v>
      </c>
      <c r="O13">
        <v>1</v>
      </c>
      <c r="R13" t="s">
        <v>22</v>
      </c>
      <c r="S13" s="2">
        <f>SUMIFS(dis_table[Amount],dis_table[Category],$R13,dis_table[Date],S$1)</f>
        <v>1624.0600000000004</v>
      </c>
      <c r="T13" s="2">
        <f>SUMIFS(dis_table[Amount],dis_table[Category],$R13,dis_table[Date],T$1)</f>
        <v>583.99</v>
      </c>
      <c r="U13" s="2">
        <f>SUMIFS(dis_table[Amount],dis_table[Category],$R13,dis_table[Date],U$1)</f>
        <v>461.24000000000007</v>
      </c>
      <c r="V13" s="2">
        <f>SUMIFS(dis_table[Amount],dis_table[Category],$R13,dis_table[Date],V$1)</f>
        <v>345.45999999999992</v>
      </c>
      <c r="W13" s="2">
        <f>SUMIFS(dis_table[Amount],dis_table[Category],$R13,dis_table[Date],W$1)</f>
        <v>1384.1700000000003</v>
      </c>
      <c r="X13" s="2">
        <f>SUMIFS(dis_table[Amount],dis_table[Category],$R13,dis_table[Date],X$1)</f>
        <v>98.77</v>
      </c>
      <c r="Y13" s="2">
        <f>SUMIFS(dis_table[Amount],dis_table[Category],$R13,dis_table[Date],Y$1)</f>
        <v>110.16000000000001</v>
      </c>
      <c r="Z13" s="2">
        <f>SUMIFS(dis_table[Amount],dis_table[Category],$R13,dis_table[Date],Z$1)</f>
        <v>267.02000000000004</v>
      </c>
      <c r="AA13" s="2">
        <f>SUMIFS(dis_table[Amount],dis_table[Category],$R13,dis_table[Date],AA$1)</f>
        <v>67.33</v>
      </c>
      <c r="AB13" s="2">
        <f>SUMIFS(dis_table[Amount],dis_table[Category],$R13,dis_table[Date],AB$1)</f>
        <v>785.24</v>
      </c>
      <c r="AC13" s="2">
        <f>SUMIFS(dis_table[Amount],dis_table[Category],$R13,dis_table[Date],AC$1)</f>
        <v>1127.83</v>
      </c>
      <c r="AD13" s="2">
        <f>SUMIFS(dis_table[Amount],dis_table[Category],$R13,dis_table[Date],AD$1)</f>
        <v>690.37999999999988</v>
      </c>
    </row>
    <row r="14" spans="1:30" hidden="1" x14ac:dyDescent="0.25">
      <c r="A14" s="92">
        <v>12</v>
      </c>
      <c r="B14" s="47">
        <f>MONTH(dis_table[[#This Row],[Date]])</f>
        <v>1</v>
      </c>
      <c r="C14" s="4">
        <v>44929</v>
      </c>
      <c r="D14" s="4">
        <v>44929</v>
      </c>
      <c r="E14" t="s">
        <v>154</v>
      </c>
      <c r="F14">
        <v>27.15</v>
      </c>
      <c r="G14" t="s">
        <v>16</v>
      </c>
      <c r="H14" t="s">
        <v>25</v>
      </c>
      <c r="I14" t="s">
        <v>12</v>
      </c>
      <c r="J14" t="s">
        <v>24</v>
      </c>
      <c r="K14" s="4">
        <v>44927</v>
      </c>
      <c r="L14">
        <v>2023</v>
      </c>
      <c r="M14" s="4">
        <v>44929</v>
      </c>
      <c r="N14">
        <v>1288.98</v>
      </c>
      <c r="O14">
        <v>1</v>
      </c>
      <c r="R14" t="s">
        <v>8</v>
      </c>
      <c r="S14" s="2">
        <f>SUMIFS(dis_table[Amount],dis_table[Category],$R14,dis_table[Date],S$1)</f>
        <v>577.5</v>
      </c>
      <c r="T14" s="2">
        <f>SUMIFS(dis_table[Amount],dis_table[Category],$R14,dis_table[Date],T$1)</f>
        <v>0</v>
      </c>
      <c r="U14" s="2">
        <f>SUMIFS(dis_table[Amount],dis_table[Category],$R14,dis_table[Date],U$1)</f>
        <v>0</v>
      </c>
      <c r="V14" s="2">
        <f>SUMIFS(dis_table[Amount],dis_table[Category],$R14,dis_table[Date],V$1)</f>
        <v>0</v>
      </c>
      <c r="W14" s="2">
        <f>SUMIFS(dis_table[Amount],dis_table[Category],$R14,dis_table[Date],W$1)</f>
        <v>0</v>
      </c>
      <c r="X14" s="2">
        <f>SUMIFS(dis_table[Amount],dis_table[Category],$R14,dis_table[Date],X$1)</f>
        <v>0</v>
      </c>
      <c r="Y14" s="2">
        <f>SUMIFS(dis_table[Amount],dis_table[Category],$R14,dis_table[Date],Y$1)</f>
        <v>0</v>
      </c>
      <c r="Z14" s="2">
        <f>SUMIFS(dis_table[Amount],dis_table[Category],$R14,dis_table[Date],Z$1)</f>
        <v>0</v>
      </c>
      <c r="AA14" s="2">
        <f>SUMIFS(dis_table[Amount],dis_table[Category],$R14,dis_table[Date],AA$1)</f>
        <v>0</v>
      </c>
      <c r="AB14" s="2">
        <f>SUMIFS(dis_table[Amount],dis_table[Category],$R14,dis_table[Date],AB$1)</f>
        <v>0</v>
      </c>
      <c r="AC14" s="2">
        <f>SUMIFS(dis_table[Amount],dis_table[Category],$R14,dis_table[Date],AC$1)</f>
        <v>0</v>
      </c>
      <c r="AD14" s="2">
        <f>SUMIFS(dis_table[Amount],dis_table[Category],$R14,dis_table[Date],AD$1)</f>
        <v>0</v>
      </c>
    </row>
    <row r="15" spans="1:30" hidden="1" x14ac:dyDescent="0.25">
      <c r="A15" s="92">
        <v>13</v>
      </c>
      <c r="B15" s="47">
        <f>MONTH(dis_table[[#This Row],[Date]])</f>
        <v>1</v>
      </c>
      <c r="C15" s="4">
        <v>44930</v>
      </c>
      <c r="D15" s="4">
        <v>44930</v>
      </c>
      <c r="E15" t="s">
        <v>144</v>
      </c>
      <c r="F15">
        <v>49</v>
      </c>
      <c r="G15" t="s">
        <v>69</v>
      </c>
      <c r="H15" t="s">
        <v>145</v>
      </c>
      <c r="I15" t="s">
        <v>18</v>
      </c>
      <c r="J15" t="s">
        <v>24</v>
      </c>
      <c r="K15" s="4">
        <v>44927</v>
      </c>
      <c r="L15">
        <v>2023</v>
      </c>
      <c r="M15" s="4">
        <v>44930</v>
      </c>
      <c r="N15">
        <v>1337.98</v>
      </c>
      <c r="O15">
        <v>1</v>
      </c>
      <c r="R15" t="s">
        <v>27</v>
      </c>
      <c r="S15" s="2">
        <f>SUMIFS(dis_table[Amount],dis_table[Category],$R15,dis_table[Date],S$1)</f>
        <v>-3624.1099999999997</v>
      </c>
      <c r="T15" s="2">
        <f>SUMIFS(dis_table[Amount],dis_table[Category],$R15,dis_table[Date],T$1)</f>
        <v>-4427.6000000000004</v>
      </c>
      <c r="U15" s="2">
        <f>SUMIFS(dis_table[Amount],dis_table[Category],$R15,dis_table[Date],U$1)</f>
        <v>-3761.6899999999996</v>
      </c>
      <c r="V15" s="2">
        <f>SUMIFS(dis_table[Amount],dis_table[Category],$R15,dis_table[Date],V$1)</f>
        <v>-4428.21</v>
      </c>
      <c r="W15" s="2">
        <f>SUMIFS(dis_table[Amount],dis_table[Category],$R15,dis_table[Date],W$1)</f>
        <v>-7363.89</v>
      </c>
      <c r="X15" s="2">
        <f>SUMIFS(dis_table[Amount],dis_table[Category],$R15,dis_table[Date],X$1)</f>
        <v>-2487.02</v>
      </c>
      <c r="Y15" s="2">
        <f>SUMIFS(dis_table[Amount],dis_table[Category],$R15,dis_table[Date],Y$1)</f>
        <v>-2781.25</v>
      </c>
      <c r="Z15" s="2">
        <f>SUMIFS(dis_table[Amount],dis_table[Category],$R15,dis_table[Date],Z$1)</f>
        <v>-3027.9300000000003</v>
      </c>
      <c r="AA15" s="2">
        <f>SUMIFS(dis_table[Amount],dis_table[Category],$R15,dis_table[Date],AA$1)</f>
        <v>-2133.04</v>
      </c>
      <c r="AB15" s="2">
        <f>SUMIFS(dis_table[Amount],dis_table[Category],$R15,dis_table[Date],AB$1)</f>
        <v>-3482.98</v>
      </c>
      <c r="AC15" s="2">
        <f>SUMIFS(dis_table[Amount],dis_table[Category],$R15,dis_table[Date],AC$1)</f>
        <v>-4195.62</v>
      </c>
      <c r="AD15" s="2">
        <f>SUMIFS(dis_table[Amount],dis_table[Category],$R15,dis_table[Date],AD$1)</f>
        <v>-5279.76</v>
      </c>
    </row>
    <row r="16" spans="1:30" hidden="1" x14ac:dyDescent="0.25">
      <c r="A16" s="92">
        <v>14</v>
      </c>
      <c r="B16" s="47">
        <f>MONTH(dis_table[[#This Row],[Date]])</f>
        <v>1</v>
      </c>
      <c r="C16" s="4">
        <v>44930</v>
      </c>
      <c r="D16" s="4">
        <v>44930</v>
      </c>
      <c r="E16" t="s">
        <v>124</v>
      </c>
      <c r="F16">
        <v>241.6</v>
      </c>
      <c r="G16" t="s">
        <v>36</v>
      </c>
      <c r="H16" t="s">
        <v>115</v>
      </c>
      <c r="I16" t="s">
        <v>12</v>
      </c>
      <c r="J16" t="s">
        <v>37</v>
      </c>
      <c r="K16" s="4">
        <v>44927</v>
      </c>
      <c r="L16">
        <v>2023</v>
      </c>
      <c r="M16" s="4">
        <v>44930</v>
      </c>
      <c r="N16">
        <v>1579.58</v>
      </c>
      <c r="O16">
        <v>1</v>
      </c>
      <c r="R16" t="s">
        <v>32</v>
      </c>
      <c r="S16" s="2">
        <f>SUMIFS(dis_table[Amount],dis_table[Category],$R16,dis_table[Date],S$1)</f>
        <v>-41.41</v>
      </c>
      <c r="T16" s="2">
        <f>SUMIFS(dis_table[Amount],dis_table[Category],$R16,dis_table[Date],T$1)</f>
        <v>-55.37</v>
      </c>
      <c r="U16" s="2">
        <f>SUMIFS(dis_table[Amount],dis_table[Category],$R16,dis_table[Date],U$1)</f>
        <v>-47.46</v>
      </c>
      <c r="V16" s="2">
        <f>SUMIFS(dis_table[Amount],dis_table[Category],$R16,dis_table[Date],V$1)</f>
        <v>-57.91</v>
      </c>
      <c r="W16" s="2">
        <f>SUMIFS(dis_table[Amount],dis_table[Category],$R16,dis_table[Date],W$1)</f>
        <v>-46.32</v>
      </c>
      <c r="X16" s="2">
        <f>SUMIFS(dis_table[Amount],dis_table[Category],$R16,dis_table[Date],X$1)</f>
        <v>-80.78</v>
      </c>
      <c r="Y16" s="2">
        <f>SUMIFS(dis_table[Amount],dis_table[Category],$R16,dis_table[Date],Y$1)</f>
        <v>-17.190000000000001</v>
      </c>
      <c r="Z16" s="2">
        <f>SUMIFS(dis_table[Amount],dis_table[Category],$R16,dis_table[Date],Z$1)</f>
        <v>-24.69</v>
      </c>
      <c r="AA16" s="2">
        <f>SUMIFS(dis_table[Amount],dis_table[Category],$R16,dis_table[Date],AA$1)</f>
        <v>-51.34</v>
      </c>
      <c r="AB16" s="2">
        <f>SUMIFS(dis_table[Amount],dis_table[Category],$R16,dis_table[Date],AB$1)</f>
        <v>-24.26</v>
      </c>
      <c r="AC16" s="2">
        <f>SUMIFS(dis_table[Amount],dis_table[Category],$R16,dis_table[Date],AC$1)</f>
        <v>-36.65</v>
      </c>
      <c r="AD16" s="2">
        <f>SUMIFS(dis_table[Amount],dis_table[Category],$R16,dis_table[Date],AD$1)</f>
        <v>-53.36</v>
      </c>
    </row>
    <row r="17" spans="1:30" hidden="1" x14ac:dyDescent="0.25">
      <c r="A17" s="92">
        <v>15</v>
      </c>
      <c r="B17" s="47">
        <f>MONTH(dis_table[[#This Row],[Date]])</f>
        <v>1</v>
      </c>
      <c r="C17" s="4">
        <v>44930</v>
      </c>
      <c r="D17" s="4">
        <v>44930</v>
      </c>
      <c r="E17" t="s">
        <v>50</v>
      </c>
      <c r="F17">
        <v>90.09</v>
      </c>
      <c r="G17" t="s">
        <v>16</v>
      </c>
      <c r="H17" t="s">
        <v>51</v>
      </c>
      <c r="I17" t="s">
        <v>18</v>
      </c>
      <c r="J17" t="s">
        <v>52</v>
      </c>
      <c r="K17" s="4">
        <v>44927</v>
      </c>
      <c r="L17">
        <v>2023</v>
      </c>
      <c r="M17" s="4">
        <v>44930</v>
      </c>
      <c r="N17">
        <v>1669.67</v>
      </c>
      <c r="O17">
        <v>1</v>
      </c>
    </row>
    <row r="18" spans="1:30" hidden="1" x14ac:dyDescent="0.25">
      <c r="A18" s="92">
        <v>16</v>
      </c>
      <c r="B18" s="47">
        <f>MONTH(dis_table[[#This Row],[Date]])</f>
        <v>1</v>
      </c>
      <c r="C18" s="4">
        <v>44931</v>
      </c>
      <c r="D18" s="4">
        <v>44931</v>
      </c>
      <c r="E18" t="s">
        <v>157</v>
      </c>
      <c r="F18">
        <v>36.26</v>
      </c>
      <c r="G18" t="s">
        <v>9</v>
      </c>
      <c r="H18" t="s">
        <v>14</v>
      </c>
      <c r="I18" t="s">
        <v>12</v>
      </c>
      <c r="J18" t="s">
        <v>13</v>
      </c>
      <c r="K18" s="4">
        <v>44927</v>
      </c>
      <c r="L18">
        <v>2023</v>
      </c>
      <c r="M18" s="4">
        <v>44931</v>
      </c>
      <c r="N18">
        <v>1705.93</v>
      </c>
      <c r="O18">
        <v>1</v>
      </c>
      <c r="S18" t="s">
        <v>11</v>
      </c>
      <c r="T18" s="4">
        <v>44958</v>
      </c>
      <c r="U18" s="4">
        <v>44986</v>
      </c>
      <c r="V18" s="4">
        <v>45017</v>
      </c>
      <c r="W18" s="4">
        <v>45047</v>
      </c>
      <c r="X18" s="4">
        <v>45078</v>
      </c>
      <c r="Y18" s="4">
        <v>45108</v>
      </c>
      <c r="Z18" s="4">
        <v>45139</v>
      </c>
      <c r="AA18" s="4">
        <v>45170</v>
      </c>
      <c r="AB18" s="4">
        <v>45200</v>
      </c>
      <c r="AC18" s="4">
        <v>45231</v>
      </c>
      <c r="AD18" s="4">
        <v>45261</v>
      </c>
    </row>
    <row r="19" spans="1:30" hidden="1" x14ac:dyDescent="0.25">
      <c r="A19" s="92">
        <v>17</v>
      </c>
      <c r="B19" s="47">
        <f>MONTH(dis_table[[#This Row],[Date]])</f>
        <v>1</v>
      </c>
      <c r="C19" s="4">
        <v>44931</v>
      </c>
      <c r="D19" s="4">
        <v>44931</v>
      </c>
      <c r="E19" t="s">
        <v>156</v>
      </c>
      <c r="F19">
        <v>54.8</v>
      </c>
      <c r="G19" t="s">
        <v>16</v>
      </c>
      <c r="H19" t="s">
        <v>21</v>
      </c>
      <c r="I19" t="s">
        <v>12</v>
      </c>
      <c r="J19" t="s">
        <v>24</v>
      </c>
      <c r="K19" s="4">
        <v>44927</v>
      </c>
      <c r="L19">
        <v>2023</v>
      </c>
      <c r="M19" s="4">
        <v>44931</v>
      </c>
      <c r="N19">
        <v>1760.73</v>
      </c>
      <c r="O19">
        <v>1</v>
      </c>
      <c r="R19" t="str">
        <f>R14</f>
        <v>Balance</v>
      </c>
      <c r="S19" s="2">
        <f>N2</f>
        <v>577.5</v>
      </c>
      <c r="T19" s="2">
        <f>INDEX($K:$N,MATCH(T$18,$K:$K,0),4)</f>
        <v>1320.0299999999991</v>
      </c>
      <c r="U19" s="2">
        <f>INDEX($K:$N,MATCH(U$18,$K:$K,0),4)</f>
        <v>906.39999999999907</v>
      </c>
      <c r="V19" s="2">
        <f t="shared" ref="V19:AD19" si="0">INDEX($K:$N,MATCH(V$18,$K:$K,0),4)</f>
        <v>2435.099999999999</v>
      </c>
      <c r="W19" s="2">
        <f t="shared" si="0"/>
        <v>2104.25</v>
      </c>
      <c r="X19" s="2">
        <f t="shared" si="0"/>
        <v>2224.9</v>
      </c>
      <c r="Y19" s="2">
        <f t="shared" si="0"/>
        <v>1178.249999999998</v>
      </c>
      <c r="Z19" s="2">
        <f t="shared" si="0"/>
        <v>546.97999999999752</v>
      </c>
      <c r="AA19" s="2">
        <f t="shared" si="0"/>
        <v>1918.659999999996</v>
      </c>
      <c r="AB19" s="2">
        <f t="shared" si="0"/>
        <v>1700.389999999996</v>
      </c>
      <c r="AC19" s="2">
        <f t="shared" si="0"/>
        <v>1123.889999999996</v>
      </c>
      <c r="AD19" s="2">
        <f t="shared" si="0"/>
        <v>2244.6099999999951</v>
      </c>
    </row>
    <row r="20" spans="1:30" hidden="1" x14ac:dyDescent="0.25">
      <c r="A20" s="92">
        <v>18</v>
      </c>
      <c r="B20" s="47">
        <f>MONTH(dis_table[[#This Row],[Date]])</f>
        <v>1</v>
      </c>
      <c r="C20" s="4">
        <v>44931</v>
      </c>
      <c r="D20" s="4">
        <v>44931</v>
      </c>
      <c r="E20" t="s">
        <v>155</v>
      </c>
      <c r="F20">
        <v>13.85</v>
      </c>
      <c r="G20" t="s">
        <v>16</v>
      </c>
      <c r="H20" t="s">
        <v>133</v>
      </c>
      <c r="I20" t="s">
        <v>12</v>
      </c>
      <c r="J20" t="s">
        <v>24</v>
      </c>
      <c r="K20" s="4">
        <v>44927</v>
      </c>
      <c r="L20">
        <v>2023</v>
      </c>
      <c r="M20" s="4">
        <v>44931</v>
      </c>
      <c r="N20">
        <v>1774.58</v>
      </c>
      <c r="O20">
        <v>2</v>
      </c>
      <c r="R20" t="str">
        <f>R15</f>
        <v>Payments and Credits</v>
      </c>
      <c r="S20" s="13">
        <f>S15*-1</f>
        <v>3624.1099999999997</v>
      </c>
      <c r="T20" s="13">
        <f t="shared" ref="T20:Y20" si="1">T15*-1</f>
        <v>4427.6000000000004</v>
      </c>
      <c r="U20" s="13">
        <f t="shared" si="1"/>
        <v>3761.6899999999996</v>
      </c>
      <c r="V20" s="13">
        <f t="shared" si="1"/>
        <v>4428.21</v>
      </c>
      <c r="W20" s="13">
        <f t="shared" si="1"/>
        <v>7363.89</v>
      </c>
      <c r="X20" s="13">
        <f>X15*-1</f>
        <v>2487.02</v>
      </c>
      <c r="Y20" s="13">
        <f t="shared" si="1"/>
        <v>2781.25</v>
      </c>
      <c r="Z20" s="13">
        <f>Z15*-1</f>
        <v>3027.9300000000003</v>
      </c>
      <c r="AA20" s="13">
        <f>AA15*-1</f>
        <v>2133.04</v>
      </c>
      <c r="AB20" s="13">
        <f>AB15*-1</f>
        <v>3482.98</v>
      </c>
      <c r="AC20" s="13">
        <f>AC15*-1</f>
        <v>4195.62</v>
      </c>
      <c r="AD20" s="13">
        <f>AD15*-1</f>
        <v>5279.76</v>
      </c>
    </row>
    <row r="21" spans="1:30" hidden="1" x14ac:dyDescent="0.25">
      <c r="A21" s="92">
        <v>19</v>
      </c>
      <c r="B21" s="47">
        <f>MONTH(dis_table[[#This Row],[Date]])</f>
        <v>1</v>
      </c>
      <c r="C21" s="4">
        <v>44932</v>
      </c>
      <c r="D21" s="4">
        <v>44932</v>
      </c>
      <c r="E21" t="s">
        <v>146</v>
      </c>
      <c r="F21">
        <v>9.99</v>
      </c>
      <c r="G21" t="s">
        <v>16</v>
      </c>
      <c r="H21" t="s">
        <v>135</v>
      </c>
      <c r="I21" t="s">
        <v>18</v>
      </c>
      <c r="J21" t="s">
        <v>24</v>
      </c>
      <c r="K21" s="4">
        <v>44927</v>
      </c>
      <c r="L21">
        <v>2023</v>
      </c>
      <c r="M21" s="4">
        <v>44932</v>
      </c>
      <c r="N21">
        <v>1784.57</v>
      </c>
      <c r="O21">
        <v>1</v>
      </c>
    </row>
    <row r="22" spans="1:30" hidden="1" x14ac:dyDescent="0.25">
      <c r="A22" s="92">
        <v>20</v>
      </c>
      <c r="B22" s="47">
        <f>MONTH(dis_table[[#This Row],[Date]])</f>
        <v>1</v>
      </c>
      <c r="C22" s="4">
        <v>44932</v>
      </c>
      <c r="D22" s="4">
        <v>44932</v>
      </c>
      <c r="E22" t="s">
        <v>158</v>
      </c>
      <c r="F22">
        <v>24.59</v>
      </c>
      <c r="G22" t="s">
        <v>16</v>
      </c>
      <c r="H22" t="s">
        <v>42</v>
      </c>
      <c r="I22" t="s">
        <v>12</v>
      </c>
      <c r="J22" t="s">
        <v>31</v>
      </c>
      <c r="K22" s="4">
        <v>44927</v>
      </c>
      <c r="L22">
        <v>2023</v>
      </c>
      <c r="M22" s="4">
        <v>44932</v>
      </c>
      <c r="N22">
        <v>1809.16</v>
      </c>
      <c r="O22">
        <v>1</v>
      </c>
    </row>
    <row r="23" spans="1:30" hidden="1" x14ac:dyDescent="0.25">
      <c r="A23" s="92">
        <v>21</v>
      </c>
      <c r="B23" s="47">
        <f>MONTH(dis_table[[#This Row],[Date]])</f>
        <v>1</v>
      </c>
      <c r="C23" s="4">
        <v>44933</v>
      </c>
      <c r="D23" s="4">
        <v>44933</v>
      </c>
      <c r="E23" t="s">
        <v>159</v>
      </c>
      <c r="F23">
        <v>102.02</v>
      </c>
      <c r="G23" t="s">
        <v>22</v>
      </c>
      <c r="H23" t="s">
        <v>329</v>
      </c>
      <c r="I23" t="s">
        <v>12</v>
      </c>
      <c r="J23" t="s">
        <v>24</v>
      </c>
      <c r="K23" s="4">
        <v>44927</v>
      </c>
      <c r="L23">
        <v>2023</v>
      </c>
      <c r="M23" s="4">
        <v>44933</v>
      </c>
      <c r="N23">
        <v>1911.18</v>
      </c>
      <c r="O23">
        <v>1</v>
      </c>
      <c r="R23">
        <v>0</v>
      </c>
    </row>
    <row r="24" spans="1:30" hidden="1" x14ac:dyDescent="0.25">
      <c r="A24" s="92">
        <v>22</v>
      </c>
      <c r="B24" s="47">
        <f>MONTH(dis_table[[#This Row],[Date]])</f>
        <v>1</v>
      </c>
      <c r="C24" s="4">
        <v>44933</v>
      </c>
      <c r="D24" s="4">
        <v>44933</v>
      </c>
      <c r="E24" t="s">
        <v>160</v>
      </c>
      <c r="F24">
        <v>106.5</v>
      </c>
      <c r="G24" t="s">
        <v>58</v>
      </c>
      <c r="H24" t="s">
        <v>161</v>
      </c>
      <c r="I24" t="s">
        <v>12</v>
      </c>
      <c r="J24" t="s">
        <v>59</v>
      </c>
      <c r="K24" s="4">
        <v>44927</v>
      </c>
      <c r="L24">
        <v>2023</v>
      </c>
      <c r="M24" s="4">
        <v>44933</v>
      </c>
      <c r="N24">
        <v>2017.68</v>
      </c>
      <c r="O24">
        <v>1</v>
      </c>
    </row>
    <row r="25" spans="1:30" hidden="1" x14ac:dyDescent="0.25">
      <c r="A25" s="92">
        <v>23</v>
      </c>
      <c r="B25" s="47">
        <f>MONTH(dis_table[[#This Row],[Date]])</f>
        <v>1</v>
      </c>
      <c r="C25" s="4">
        <v>44934</v>
      </c>
      <c r="D25" s="4">
        <v>44934</v>
      </c>
      <c r="E25" t="s">
        <v>162</v>
      </c>
      <c r="F25">
        <v>28.67</v>
      </c>
      <c r="G25" t="s">
        <v>16</v>
      </c>
      <c r="H25" t="s">
        <v>42</v>
      </c>
      <c r="I25" t="s">
        <v>12</v>
      </c>
      <c r="J25" t="s">
        <v>31</v>
      </c>
      <c r="K25" s="4">
        <v>44927</v>
      </c>
      <c r="L25">
        <v>2023</v>
      </c>
      <c r="M25" s="4">
        <v>44934</v>
      </c>
      <c r="N25">
        <v>2046.35</v>
      </c>
      <c r="O25">
        <v>2</v>
      </c>
    </row>
    <row r="26" spans="1:30" hidden="1" x14ac:dyDescent="0.25">
      <c r="A26" s="92">
        <v>24</v>
      </c>
      <c r="B26" s="47">
        <f>MONTH(dis_table[[#This Row],[Date]])</f>
        <v>1</v>
      </c>
      <c r="C26" s="4">
        <v>44935</v>
      </c>
      <c r="D26" s="4">
        <v>44935</v>
      </c>
      <c r="E26" t="s">
        <v>79</v>
      </c>
      <c r="F26">
        <v>29.99</v>
      </c>
      <c r="G26" t="s">
        <v>22</v>
      </c>
      <c r="H26" t="s">
        <v>80</v>
      </c>
      <c r="I26" t="s">
        <v>12</v>
      </c>
      <c r="J26" t="s">
        <v>19</v>
      </c>
      <c r="K26" s="4">
        <v>44927</v>
      </c>
      <c r="L26">
        <v>2023</v>
      </c>
      <c r="M26" s="4">
        <v>44935</v>
      </c>
      <c r="N26">
        <v>2076.34</v>
      </c>
      <c r="O26">
        <v>1</v>
      </c>
    </row>
    <row r="27" spans="1:30" hidden="1" x14ac:dyDescent="0.25">
      <c r="A27" s="92">
        <v>25</v>
      </c>
      <c r="B27" s="47">
        <f>MONTH(dis_table[[#This Row],[Date]])</f>
        <v>1</v>
      </c>
      <c r="C27" s="4">
        <v>44935</v>
      </c>
      <c r="D27" s="4">
        <v>44935</v>
      </c>
      <c r="E27" t="s">
        <v>165</v>
      </c>
      <c r="F27">
        <v>64.989999999999995</v>
      </c>
      <c r="G27" t="s">
        <v>36</v>
      </c>
      <c r="H27" t="s">
        <v>54</v>
      </c>
      <c r="I27" t="s">
        <v>18</v>
      </c>
      <c r="J27" t="s">
        <v>19</v>
      </c>
      <c r="K27" s="4">
        <v>44927</v>
      </c>
      <c r="L27">
        <v>2023</v>
      </c>
      <c r="M27" s="4">
        <v>44935</v>
      </c>
      <c r="N27">
        <v>2141.329999999999</v>
      </c>
      <c r="O27">
        <v>2</v>
      </c>
    </row>
    <row r="28" spans="1:30" hidden="1" x14ac:dyDescent="0.25">
      <c r="A28" s="92">
        <v>26</v>
      </c>
      <c r="B28" s="47">
        <f>MONTH(dis_table[[#This Row],[Date]])</f>
        <v>1</v>
      </c>
      <c r="C28" s="4">
        <v>44935</v>
      </c>
      <c r="D28" s="4">
        <v>44935</v>
      </c>
      <c r="E28" t="s">
        <v>163</v>
      </c>
      <c r="F28">
        <v>9.86</v>
      </c>
      <c r="G28" t="s">
        <v>16</v>
      </c>
      <c r="H28" t="s">
        <v>21</v>
      </c>
      <c r="I28" t="s">
        <v>12</v>
      </c>
      <c r="J28" t="s">
        <v>24</v>
      </c>
      <c r="K28" s="4">
        <v>44927</v>
      </c>
      <c r="L28">
        <v>2023</v>
      </c>
      <c r="M28" s="4">
        <v>44935</v>
      </c>
      <c r="N28">
        <v>2151.19</v>
      </c>
      <c r="O28">
        <v>2</v>
      </c>
    </row>
    <row r="29" spans="1:30" hidden="1" x14ac:dyDescent="0.25">
      <c r="A29" s="92">
        <v>27</v>
      </c>
      <c r="B29" s="47">
        <f>MONTH(dis_table[[#This Row],[Date]])</f>
        <v>1</v>
      </c>
      <c r="C29" s="4">
        <v>44935</v>
      </c>
      <c r="D29" s="4">
        <v>44935</v>
      </c>
      <c r="E29" t="s">
        <v>164</v>
      </c>
      <c r="F29">
        <v>32.880000000000003</v>
      </c>
      <c r="G29" t="s">
        <v>16</v>
      </c>
      <c r="H29" t="s">
        <v>21</v>
      </c>
      <c r="I29" t="s">
        <v>12</v>
      </c>
      <c r="J29" t="s">
        <v>24</v>
      </c>
      <c r="K29" s="4">
        <v>44927</v>
      </c>
      <c r="L29">
        <v>2023</v>
      </c>
      <c r="M29" s="4">
        <v>44935</v>
      </c>
      <c r="N29">
        <v>2184.0700000000002</v>
      </c>
      <c r="O29">
        <v>3</v>
      </c>
    </row>
    <row r="30" spans="1:30" hidden="1" x14ac:dyDescent="0.25">
      <c r="A30" s="92">
        <v>28</v>
      </c>
      <c r="B30" s="47">
        <f>MONTH(dis_table[[#This Row],[Date]])</f>
        <v>1</v>
      </c>
      <c r="C30" s="4">
        <v>44936</v>
      </c>
      <c r="D30" s="4">
        <v>44936</v>
      </c>
      <c r="E30" t="s">
        <v>166</v>
      </c>
      <c r="F30">
        <v>11.99</v>
      </c>
      <c r="G30" t="s">
        <v>16</v>
      </c>
      <c r="H30" t="s">
        <v>42</v>
      </c>
      <c r="I30" t="s">
        <v>12</v>
      </c>
      <c r="J30" t="s">
        <v>31</v>
      </c>
      <c r="K30" s="4">
        <v>44927</v>
      </c>
      <c r="L30">
        <v>2023</v>
      </c>
      <c r="M30" s="4">
        <v>44936</v>
      </c>
      <c r="N30">
        <v>2196.059999999999</v>
      </c>
      <c r="O30">
        <v>3</v>
      </c>
    </row>
    <row r="31" spans="1:30" hidden="1" x14ac:dyDescent="0.25">
      <c r="A31" s="92">
        <v>29</v>
      </c>
      <c r="B31" s="47">
        <f>MONTH(dis_table[[#This Row],[Date]])</f>
        <v>1</v>
      </c>
      <c r="C31" s="4">
        <v>44936</v>
      </c>
      <c r="D31" s="4">
        <v>44936</v>
      </c>
      <c r="E31" t="s">
        <v>167</v>
      </c>
      <c r="F31">
        <v>10.85</v>
      </c>
      <c r="G31" t="s">
        <v>9</v>
      </c>
      <c r="H31" t="s">
        <v>10</v>
      </c>
      <c r="I31" t="s">
        <v>12</v>
      </c>
      <c r="J31" t="s">
        <v>13</v>
      </c>
      <c r="K31" s="4">
        <v>44927</v>
      </c>
      <c r="L31">
        <v>2023</v>
      </c>
      <c r="M31" s="4">
        <v>44936</v>
      </c>
      <c r="N31">
        <v>2206.9099999999989</v>
      </c>
      <c r="O31">
        <v>2</v>
      </c>
    </row>
    <row r="32" spans="1:30" hidden="1" x14ac:dyDescent="0.25">
      <c r="A32" s="92">
        <v>30</v>
      </c>
      <c r="B32" s="47">
        <f>MONTH(dis_table[[#This Row],[Date]])</f>
        <v>1</v>
      </c>
      <c r="C32" s="4">
        <v>44937</v>
      </c>
      <c r="D32" s="4">
        <v>44937</v>
      </c>
      <c r="E32" t="s">
        <v>170</v>
      </c>
      <c r="F32">
        <v>21.91</v>
      </c>
      <c r="G32" t="s">
        <v>36</v>
      </c>
      <c r="H32" t="s">
        <v>55</v>
      </c>
      <c r="I32" t="s">
        <v>12</v>
      </c>
      <c r="J32" t="s">
        <v>31</v>
      </c>
      <c r="K32" s="4">
        <v>44927</v>
      </c>
      <c r="L32">
        <v>2023</v>
      </c>
      <c r="M32" s="4">
        <v>44937</v>
      </c>
      <c r="N32">
        <v>2228.8199999999988</v>
      </c>
      <c r="O32">
        <v>1</v>
      </c>
    </row>
    <row r="33" spans="1:15" hidden="1" x14ac:dyDescent="0.25">
      <c r="A33" s="92">
        <v>31</v>
      </c>
      <c r="B33" s="47">
        <f>MONTH(dis_table[[#This Row],[Date]])</f>
        <v>1</v>
      </c>
      <c r="C33" s="4">
        <v>44937</v>
      </c>
      <c r="D33" s="4">
        <v>44937</v>
      </c>
      <c r="E33" t="s">
        <v>168</v>
      </c>
      <c r="F33">
        <v>15.89</v>
      </c>
      <c r="G33" t="s">
        <v>16</v>
      </c>
      <c r="H33" t="s">
        <v>33</v>
      </c>
      <c r="I33" t="s">
        <v>18</v>
      </c>
      <c r="J33" t="s">
        <v>19</v>
      </c>
      <c r="K33" s="4">
        <v>44927</v>
      </c>
      <c r="L33">
        <v>2023</v>
      </c>
      <c r="M33" s="4">
        <v>44937</v>
      </c>
      <c r="N33">
        <v>2244.7099999999991</v>
      </c>
      <c r="O33">
        <v>1</v>
      </c>
    </row>
    <row r="34" spans="1:15" hidden="1" x14ac:dyDescent="0.25">
      <c r="A34" s="92">
        <v>32</v>
      </c>
      <c r="B34" s="47">
        <f>MONTH(dis_table[[#This Row],[Date]])</f>
        <v>1</v>
      </c>
      <c r="C34" s="4">
        <v>44937</v>
      </c>
      <c r="D34" s="4">
        <v>44937</v>
      </c>
      <c r="E34" t="s">
        <v>169</v>
      </c>
      <c r="F34">
        <v>24.97</v>
      </c>
      <c r="G34" t="s">
        <v>36</v>
      </c>
      <c r="H34" t="s">
        <v>10</v>
      </c>
      <c r="I34" t="s">
        <v>12</v>
      </c>
      <c r="J34" t="s">
        <v>13</v>
      </c>
      <c r="K34" s="4">
        <v>44927</v>
      </c>
      <c r="L34">
        <v>2023</v>
      </c>
      <c r="M34" s="4">
        <v>44937</v>
      </c>
      <c r="N34">
        <v>2269.6799999999989</v>
      </c>
      <c r="O34">
        <v>3</v>
      </c>
    </row>
    <row r="35" spans="1:15" hidden="1" x14ac:dyDescent="0.25">
      <c r="A35" s="92">
        <v>33</v>
      </c>
      <c r="B35" s="47">
        <f>MONTH(dis_table[[#This Row],[Date]])</f>
        <v>1</v>
      </c>
      <c r="C35" s="4">
        <v>44937</v>
      </c>
      <c r="D35" s="4">
        <v>44937</v>
      </c>
      <c r="E35" t="s">
        <v>26</v>
      </c>
      <c r="F35">
        <v>-552.53</v>
      </c>
      <c r="G35" t="s">
        <v>27</v>
      </c>
      <c r="H35" t="s">
        <v>28</v>
      </c>
      <c r="I35" t="s">
        <v>12</v>
      </c>
      <c r="J35" t="s">
        <v>122</v>
      </c>
      <c r="K35" s="4">
        <v>44927</v>
      </c>
      <c r="L35">
        <v>2023</v>
      </c>
      <c r="M35" s="4">
        <v>44937</v>
      </c>
      <c r="N35">
        <v>1717.149999999999</v>
      </c>
      <c r="O35">
        <v>1</v>
      </c>
    </row>
    <row r="36" spans="1:15" hidden="1" x14ac:dyDescent="0.25">
      <c r="A36" s="92">
        <v>34</v>
      </c>
      <c r="B36" s="47">
        <f>MONTH(dis_table[[#This Row],[Date]])</f>
        <v>1</v>
      </c>
      <c r="C36" s="4">
        <v>44937</v>
      </c>
      <c r="D36" s="4">
        <v>44937</v>
      </c>
      <c r="E36" t="s">
        <v>78</v>
      </c>
      <c r="F36">
        <v>337.1</v>
      </c>
      <c r="G36" t="s">
        <v>22</v>
      </c>
      <c r="H36" t="s">
        <v>55</v>
      </c>
      <c r="I36" t="s">
        <v>12</v>
      </c>
      <c r="J36" t="s">
        <v>31</v>
      </c>
      <c r="K36" s="4">
        <v>44927</v>
      </c>
      <c r="L36">
        <v>2023</v>
      </c>
      <c r="M36" s="4">
        <v>44937</v>
      </c>
      <c r="N36">
        <v>2054.2499999999991</v>
      </c>
      <c r="O36">
        <v>2</v>
      </c>
    </row>
    <row r="37" spans="1:15" hidden="1" x14ac:dyDescent="0.25">
      <c r="A37" s="92">
        <v>35</v>
      </c>
      <c r="B37" s="47">
        <f>MONTH(dis_table[[#This Row],[Date]])</f>
        <v>1</v>
      </c>
      <c r="C37" s="4">
        <v>44938</v>
      </c>
      <c r="D37" s="4">
        <v>44938</v>
      </c>
      <c r="E37" t="s">
        <v>85</v>
      </c>
      <c r="F37">
        <v>64.819999999999993</v>
      </c>
      <c r="G37" t="s">
        <v>34</v>
      </c>
      <c r="H37" t="s">
        <v>35</v>
      </c>
      <c r="I37" t="s">
        <v>12</v>
      </c>
      <c r="J37" t="s">
        <v>13</v>
      </c>
      <c r="K37" s="4">
        <v>44927</v>
      </c>
      <c r="L37">
        <v>2023</v>
      </c>
      <c r="M37" s="4">
        <v>44938</v>
      </c>
      <c r="N37">
        <v>2119.0699999999988</v>
      </c>
      <c r="O37">
        <v>2</v>
      </c>
    </row>
    <row r="38" spans="1:15" hidden="1" x14ac:dyDescent="0.25">
      <c r="A38" s="92">
        <v>36</v>
      </c>
      <c r="B38" s="47">
        <f>MONTH(dis_table[[#This Row],[Date]])</f>
        <v>1</v>
      </c>
      <c r="C38" s="4">
        <v>44939</v>
      </c>
      <c r="D38" s="4">
        <v>44939</v>
      </c>
      <c r="E38" t="s">
        <v>77</v>
      </c>
      <c r="F38">
        <v>27.05</v>
      </c>
      <c r="G38" t="s">
        <v>9</v>
      </c>
      <c r="H38" t="s">
        <v>62</v>
      </c>
      <c r="I38" t="s">
        <v>12</v>
      </c>
      <c r="J38" t="s">
        <v>13</v>
      </c>
      <c r="K38" s="4">
        <v>44927</v>
      </c>
      <c r="L38">
        <v>2023</v>
      </c>
      <c r="M38" s="4">
        <v>44939</v>
      </c>
      <c r="N38">
        <v>2146.119999999999</v>
      </c>
      <c r="O38">
        <v>1</v>
      </c>
    </row>
    <row r="39" spans="1:15" hidden="1" x14ac:dyDescent="0.25">
      <c r="A39" s="92">
        <v>37</v>
      </c>
      <c r="B39" s="47">
        <f>MONTH(dis_table[[#This Row],[Date]])</f>
        <v>1</v>
      </c>
      <c r="C39" s="4">
        <v>44941</v>
      </c>
      <c r="D39" s="4">
        <v>44941</v>
      </c>
      <c r="E39" t="s">
        <v>171</v>
      </c>
      <c r="F39">
        <v>7.99</v>
      </c>
      <c r="G39" t="s">
        <v>36</v>
      </c>
      <c r="H39" t="s">
        <v>56</v>
      </c>
      <c r="I39" t="s">
        <v>18</v>
      </c>
      <c r="J39" t="s">
        <v>19</v>
      </c>
      <c r="K39" s="4">
        <v>44927</v>
      </c>
      <c r="L39">
        <v>2023</v>
      </c>
      <c r="M39" s="4">
        <v>44941</v>
      </c>
      <c r="N39">
        <v>2154.1099999999992</v>
      </c>
      <c r="O39">
        <v>1</v>
      </c>
    </row>
    <row r="40" spans="1:15" hidden="1" x14ac:dyDescent="0.25">
      <c r="A40" s="92">
        <v>38</v>
      </c>
      <c r="B40" s="47">
        <f>MONTH(dis_table[[#This Row],[Date]])</f>
        <v>1</v>
      </c>
      <c r="C40" s="4">
        <v>44941</v>
      </c>
      <c r="D40" s="4">
        <v>44941</v>
      </c>
      <c r="E40" t="s">
        <v>139</v>
      </c>
      <c r="F40">
        <v>46.63</v>
      </c>
      <c r="G40" t="s">
        <v>16</v>
      </c>
      <c r="H40" t="s">
        <v>25</v>
      </c>
      <c r="I40" t="s">
        <v>12</v>
      </c>
      <c r="J40" t="s">
        <v>24</v>
      </c>
      <c r="K40" s="4">
        <v>44927</v>
      </c>
      <c r="L40">
        <v>2023</v>
      </c>
      <c r="M40" s="4">
        <v>44941</v>
      </c>
      <c r="N40">
        <v>2200.7399999999989</v>
      </c>
      <c r="O40">
        <v>2</v>
      </c>
    </row>
    <row r="41" spans="1:15" hidden="1" x14ac:dyDescent="0.25">
      <c r="A41" s="92">
        <v>39</v>
      </c>
      <c r="B41" s="47">
        <f>MONTH(dis_table[[#This Row],[Date]])</f>
        <v>1</v>
      </c>
      <c r="C41" s="4">
        <v>44943</v>
      </c>
      <c r="D41" s="4">
        <v>44943</v>
      </c>
      <c r="E41" t="s">
        <v>137</v>
      </c>
      <c r="F41">
        <v>45.28</v>
      </c>
      <c r="G41" t="s">
        <v>29</v>
      </c>
      <c r="H41" t="s">
        <v>30</v>
      </c>
      <c r="I41" t="s">
        <v>12</v>
      </c>
      <c r="J41" t="s">
        <v>31</v>
      </c>
      <c r="K41" s="4">
        <v>44927</v>
      </c>
      <c r="L41">
        <v>2023</v>
      </c>
      <c r="M41" s="4">
        <v>44943</v>
      </c>
      <c r="N41">
        <v>2246.02</v>
      </c>
      <c r="O41">
        <v>2</v>
      </c>
    </row>
    <row r="42" spans="1:15" hidden="1" x14ac:dyDescent="0.25">
      <c r="A42" s="92">
        <v>40</v>
      </c>
      <c r="B42" s="47">
        <f>MONTH(dis_table[[#This Row],[Date]])</f>
        <v>1</v>
      </c>
      <c r="C42" s="4">
        <v>44943</v>
      </c>
      <c r="D42" s="4">
        <v>44943</v>
      </c>
      <c r="E42" t="s">
        <v>128</v>
      </c>
      <c r="F42">
        <v>24.99</v>
      </c>
      <c r="G42" t="s">
        <v>16</v>
      </c>
      <c r="H42" t="s">
        <v>47</v>
      </c>
      <c r="I42" t="s">
        <v>12</v>
      </c>
      <c r="J42" t="s">
        <v>19</v>
      </c>
      <c r="K42" s="4">
        <v>44927</v>
      </c>
      <c r="L42">
        <v>2023</v>
      </c>
      <c r="M42" s="4">
        <v>44943</v>
      </c>
      <c r="N42">
        <v>2271.0099999999989</v>
      </c>
      <c r="O42">
        <v>1</v>
      </c>
    </row>
    <row r="43" spans="1:15" hidden="1" x14ac:dyDescent="0.25">
      <c r="A43" s="92">
        <v>41</v>
      </c>
      <c r="B43" s="47">
        <f>MONTH(dis_table[[#This Row],[Date]])</f>
        <v>1</v>
      </c>
      <c r="C43" s="4">
        <v>44943</v>
      </c>
      <c r="D43" s="4">
        <v>44943</v>
      </c>
      <c r="E43" t="s">
        <v>38</v>
      </c>
      <c r="F43">
        <v>111.63</v>
      </c>
      <c r="G43" t="s">
        <v>16</v>
      </c>
      <c r="H43" t="s">
        <v>39</v>
      </c>
      <c r="I43" t="s">
        <v>18</v>
      </c>
      <c r="J43" t="s">
        <v>40</v>
      </c>
      <c r="K43" s="4">
        <v>44927</v>
      </c>
      <c r="L43">
        <v>2023</v>
      </c>
      <c r="M43" s="4">
        <v>44943</v>
      </c>
      <c r="N43">
        <v>2382.639999999999</v>
      </c>
      <c r="O43">
        <v>1</v>
      </c>
    </row>
    <row r="44" spans="1:15" hidden="1" x14ac:dyDescent="0.25">
      <c r="A44" s="92">
        <v>42</v>
      </c>
      <c r="B44" s="47">
        <f>MONTH(dis_table[[#This Row],[Date]])</f>
        <v>1</v>
      </c>
      <c r="C44" s="4">
        <v>44945</v>
      </c>
      <c r="D44" s="4">
        <v>44945</v>
      </c>
      <c r="E44" t="s">
        <v>167</v>
      </c>
      <c r="F44">
        <v>10.85</v>
      </c>
      <c r="G44" t="s">
        <v>9</v>
      </c>
      <c r="H44" t="s">
        <v>10</v>
      </c>
      <c r="I44" t="s">
        <v>12</v>
      </c>
      <c r="J44" t="s">
        <v>13</v>
      </c>
      <c r="K44" s="4">
        <v>44927</v>
      </c>
      <c r="L44">
        <v>2023</v>
      </c>
      <c r="M44" s="4">
        <v>44945</v>
      </c>
      <c r="N44">
        <v>2393.4899999999989</v>
      </c>
      <c r="O44">
        <v>4</v>
      </c>
    </row>
    <row r="45" spans="1:15" hidden="1" x14ac:dyDescent="0.25">
      <c r="A45" s="92">
        <v>43</v>
      </c>
      <c r="B45" s="47">
        <f>MONTH(dis_table[[#This Row],[Date]])</f>
        <v>1</v>
      </c>
      <c r="C45" s="4">
        <v>44946</v>
      </c>
      <c r="D45" s="4">
        <v>44946</v>
      </c>
      <c r="E45" t="s">
        <v>172</v>
      </c>
      <c r="F45">
        <v>372.8</v>
      </c>
      <c r="G45" t="s">
        <v>22</v>
      </c>
      <c r="H45" t="s">
        <v>55</v>
      </c>
      <c r="I45" t="s">
        <v>12</v>
      </c>
      <c r="J45" t="s">
        <v>31</v>
      </c>
      <c r="K45" s="4">
        <v>44927</v>
      </c>
      <c r="L45">
        <v>2023</v>
      </c>
      <c r="M45" s="4">
        <v>44946</v>
      </c>
      <c r="N45">
        <v>2766.29</v>
      </c>
      <c r="O45">
        <v>3</v>
      </c>
    </row>
    <row r="46" spans="1:15" hidden="1" x14ac:dyDescent="0.25">
      <c r="A46" s="92">
        <v>44</v>
      </c>
      <c r="B46" s="47">
        <f>MONTH(dis_table[[#This Row],[Date]])</f>
        <v>1</v>
      </c>
      <c r="C46" s="4">
        <v>44946</v>
      </c>
      <c r="D46" s="4">
        <v>44946</v>
      </c>
      <c r="E46" t="s">
        <v>26</v>
      </c>
      <c r="F46">
        <v>-1000</v>
      </c>
      <c r="G46" t="s">
        <v>27</v>
      </c>
      <c r="H46" t="s">
        <v>28</v>
      </c>
      <c r="I46" t="s">
        <v>12</v>
      </c>
      <c r="J46" t="s">
        <v>122</v>
      </c>
      <c r="K46" s="4">
        <v>44927</v>
      </c>
      <c r="L46">
        <v>2023</v>
      </c>
      <c r="M46" s="4">
        <v>44946</v>
      </c>
      <c r="N46">
        <v>1766.29</v>
      </c>
      <c r="O46">
        <v>2</v>
      </c>
    </row>
    <row r="47" spans="1:15" hidden="1" x14ac:dyDescent="0.25">
      <c r="A47" s="92">
        <v>45</v>
      </c>
      <c r="B47" s="47">
        <f>MONTH(dis_table[[#This Row],[Date]])</f>
        <v>1</v>
      </c>
      <c r="C47" s="4">
        <v>44947</v>
      </c>
      <c r="D47" s="4">
        <v>44947</v>
      </c>
      <c r="E47" t="s">
        <v>173</v>
      </c>
      <c r="F47">
        <v>150</v>
      </c>
      <c r="G47" t="s">
        <v>22</v>
      </c>
      <c r="H47" t="s">
        <v>174</v>
      </c>
      <c r="I47" t="s">
        <v>12</v>
      </c>
      <c r="J47" t="s">
        <v>19</v>
      </c>
      <c r="K47" s="4">
        <v>44927</v>
      </c>
      <c r="L47">
        <v>2023</v>
      </c>
      <c r="M47" s="4">
        <v>44947</v>
      </c>
      <c r="N47">
        <v>1916.29</v>
      </c>
      <c r="O47">
        <v>1</v>
      </c>
    </row>
    <row r="48" spans="1:15" hidden="1" x14ac:dyDescent="0.25">
      <c r="A48" s="92">
        <v>46</v>
      </c>
      <c r="B48" s="47">
        <f>MONTH(dis_table[[#This Row],[Date]])</f>
        <v>1</v>
      </c>
      <c r="C48" s="4">
        <v>44947</v>
      </c>
      <c r="D48" s="4">
        <v>44947</v>
      </c>
      <c r="E48" t="s">
        <v>175</v>
      </c>
      <c r="F48">
        <v>14.99</v>
      </c>
      <c r="G48" t="s">
        <v>16</v>
      </c>
      <c r="H48" t="s">
        <v>46</v>
      </c>
      <c r="I48" t="s">
        <v>12</v>
      </c>
      <c r="J48" t="s">
        <v>24</v>
      </c>
      <c r="K48" s="4">
        <v>44927</v>
      </c>
      <c r="L48">
        <v>2023</v>
      </c>
      <c r="M48" s="4">
        <v>44947</v>
      </c>
      <c r="N48">
        <v>1931.28</v>
      </c>
      <c r="O48">
        <v>1</v>
      </c>
    </row>
    <row r="49" spans="1:15" hidden="1" x14ac:dyDescent="0.25">
      <c r="A49" s="92">
        <v>47</v>
      </c>
      <c r="B49" s="47">
        <f>MONTH(dis_table[[#This Row],[Date]])</f>
        <v>1</v>
      </c>
      <c r="C49" s="4">
        <v>44948</v>
      </c>
      <c r="D49" s="4">
        <v>44948</v>
      </c>
      <c r="E49" t="s">
        <v>176</v>
      </c>
      <c r="F49">
        <v>10.4</v>
      </c>
      <c r="G49" t="s">
        <v>16</v>
      </c>
      <c r="H49" t="s">
        <v>21</v>
      </c>
      <c r="I49" t="s">
        <v>12</v>
      </c>
      <c r="J49" t="s">
        <v>24</v>
      </c>
      <c r="K49" s="4">
        <v>44927</v>
      </c>
      <c r="L49">
        <v>2023</v>
      </c>
      <c r="M49" s="4">
        <v>44948</v>
      </c>
      <c r="N49">
        <v>1941.68</v>
      </c>
      <c r="O49">
        <v>4</v>
      </c>
    </row>
    <row r="50" spans="1:15" hidden="1" x14ac:dyDescent="0.25">
      <c r="A50" s="92">
        <v>48</v>
      </c>
      <c r="B50" s="47">
        <f>MONTH(dis_table[[#This Row],[Date]])</f>
        <v>1</v>
      </c>
      <c r="C50" s="4">
        <v>44948</v>
      </c>
      <c r="D50" s="4">
        <v>44948</v>
      </c>
      <c r="E50" t="s">
        <v>177</v>
      </c>
      <c r="F50">
        <v>43.1</v>
      </c>
      <c r="G50" t="s">
        <v>9</v>
      </c>
      <c r="H50" t="s">
        <v>14</v>
      </c>
      <c r="I50" t="s">
        <v>12</v>
      </c>
      <c r="J50" t="s">
        <v>13</v>
      </c>
      <c r="K50" s="4">
        <v>44927</v>
      </c>
      <c r="L50">
        <v>2023</v>
      </c>
      <c r="M50" s="4">
        <v>44948</v>
      </c>
      <c r="N50">
        <v>1984.78</v>
      </c>
      <c r="O50">
        <v>2</v>
      </c>
    </row>
    <row r="51" spans="1:15" hidden="1" x14ac:dyDescent="0.25">
      <c r="A51" s="92">
        <v>49</v>
      </c>
      <c r="B51" s="47">
        <f>MONTH(dis_table[[#This Row],[Date]])</f>
        <v>1</v>
      </c>
      <c r="C51" s="4">
        <v>44948</v>
      </c>
      <c r="D51" s="4">
        <v>44948</v>
      </c>
      <c r="E51" t="s">
        <v>178</v>
      </c>
      <c r="F51">
        <v>66.52</v>
      </c>
      <c r="G51" t="s">
        <v>22</v>
      </c>
      <c r="H51" t="s">
        <v>14</v>
      </c>
      <c r="I51" t="s">
        <v>12</v>
      </c>
      <c r="J51" t="s">
        <v>13</v>
      </c>
      <c r="K51" s="4">
        <v>44927</v>
      </c>
      <c r="L51">
        <v>2023</v>
      </c>
      <c r="M51" s="4">
        <v>44948</v>
      </c>
      <c r="N51">
        <v>2051.3000000000002</v>
      </c>
      <c r="O51">
        <v>3</v>
      </c>
    </row>
    <row r="52" spans="1:15" hidden="1" x14ac:dyDescent="0.25">
      <c r="A52" s="92">
        <v>50</v>
      </c>
      <c r="B52" s="47">
        <f>MONTH(dis_table[[#This Row],[Date]])</f>
        <v>1</v>
      </c>
      <c r="C52" s="4">
        <v>44948</v>
      </c>
      <c r="D52" s="4">
        <v>44948</v>
      </c>
      <c r="E52" t="s">
        <v>179</v>
      </c>
      <c r="F52">
        <v>23.04</v>
      </c>
      <c r="G52" t="s">
        <v>9</v>
      </c>
      <c r="H52" t="s">
        <v>14</v>
      </c>
      <c r="I52" t="s">
        <v>12</v>
      </c>
      <c r="J52" t="s">
        <v>13</v>
      </c>
      <c r="K52" s="4">
        <v>44927</v>
      </c>
      <c r="L52">
        <v>2023</v>
      </c>
      <c r="M52" s="4">
        <v>44948</v>
      </c>
      <c r="N52">
        <v>2074.34</v>
      </c>
      <c r="O52">
        <v>4</v>
      </c>
    </row>
    <row r="53" spans="1:15" hidden="1" x14ac:dyDescent="0.25">
      <c r="A53" s="92">
        <v>51</v>
      </c>
      <c r="B53" s="47">
        <f>MONTH(dis_table[[#This Row],[Date]])</f>
        <v>1</v>
      </c>
      <c r="C53" s="4">
        <v>44949</v>
      </c>
      <c r="D53" s="4">
        <v>44949</v>
      </c>
      <c r="E53" t="s">
        <v>183</v>
      </c>
      <c r="F53">
        <v>12.35</v>
      </c>
      <c r="G53" t="s">
        <v>22</v>
      </c>
      <c r="H53" t="s">
        <v>63</v>
      </c>
      <c r="I53" t="s">
        <v>12</v>
      </c>
      <c r="J53" t="s">
        <v>31</v>
      </c>
      <c r="K53" s="4">
        <v>44927</v>
      </c>
      <c r="L53">
        <v>2023</v>
      </c>
      <c r="M53" s="4">
        <v>44949</v>
      </c>
      <c r="N53">
        <v>2086.69</v>
      </c>
      <c r="O53">
        <v>1</v>
      </c>
    </row>
    <row r="54" spans="1:15" hidden="1" x14ac:dyDescent="0.25">
      <c r="A54" s="92">
        <v>52</v>
      </c>
      <c r="B54" s="47">
        <f>MONTH(dis_table[[#This Row],[Date]])</f>
        <v>1</v>
      </c>
      <c r="C54" s="4">
        <v>44949</v>
      </c>
      <c r="D54" s="4">
        <v>44949</v>
      </c>
      <c r="E54" t="s">
        <v>137</v>
      </c>
      <c r="F54">
        <v>46.25</v>
      </c>
      <c r="G54" t="s">
        <v>29</v>
      </c>
      <c r="H54" t="s">
        <v>30</v>
      </c>
      <c r="I54" t="s">
        <v>12</v>
      </c>
      <c r="J54" t="s">
        <v>31</v>
      </c>
      <c r="K54" s="4">
        <v>44927</v>
      </c>
      <c r="L54">
        <v>2023</v>
      </c>
      <c r="M54" s="4">
        <v>44949</v>
      </c>
      <c r="N54">
        <v>2132.94</v>
      </c>
      <c r="O54">
        <v>3</v>
      </c>
    </row>
    <row r="55" spans="1:15" hidden="1" x14ac:dyDescent="0.25">
      <c r="A55" s="92">
        <v>53</v>
      </c>
      <c r="B55" s="47">
        <f>MONTH(dis_table[[#This Row],[Date]])</f>
        <v>1</v>
      </c>
      <c r="C55" s="4">
        <v>44949</v>
      </c>
      <c r="D55" s="4">
        <v>44949</v>
      </c>
      <c r="E55" t="s">
        <v>136</v>
      </c>
      <c r="F55">
        <v>5.44</v>
      </c>
      <c r="G55" t="s">
        <v>9</v>
      </c>
      <c r="H55" t="s">
        <v>14</v>
      </c>
      <c r="I55" t="s">
        <v>12</v>
      </c>
      <c r="J55" t="s">
        <v>13</v>
      </c>
      <c r="K55" s="4">
        <v>44927</v>
      </c>
      <c r="L55">
        <v>2023</v>
      </c>
      <c r="M55" s="4">
        <v>44949</v>
      </c>
      <c r="N55">
        <v>2138.38</v>
      </c>
      <c r="O55">
        <v>5</v>
      </c>
    </row>
    <row r="56" spans="1:15" hidden="1" x14ac:dyDescent="0.25">
      <c r="A56" s="92">
        <v>54</v>
      </c>
      <c r="B56" s="47">
        <f>MONTH(dis_table[[#This Row],[Date]])</f>
        <v>1</v>
      </c>
      <c r="C56" s="4">
        <v>44949</v>
      </c>
      <c r="D56" s="4">
        <v>44949</v>
      </c>
      <c r="E56" t="s">
        <v>181</v>
      </c>
      <c r="F56">
        <v>1</v>
      </c>
      <c r="G56" t="s">
        <v>16</v>
      </c>
      <c r="H56" t="s">
        <v>74</v>
      </c>
      <c r="I56" t="s">
        <v>12</v>
      </c>
      <c r="J56" t="s">
        <v>19</v>
      </c>
      <c r="K56" s="4">
        <v>44927</v>
      </c>
      <c r="L56">
        <v>2023</v>
      </c>
      <c r="M56" s="4">
        <v>44949</v>
      </c>
      <c r="N56">
        <v>2139.38</v>
      </c>
      <c r="O56">
        <v>1</v>
      </c>
    </row>
    <row r="57" spans="1:15" hidden="1" x14ac:dyDescent="0.25">
      <c r="A57" s="92">
        <v>55</v>
      </c>
      <c r="B57" s="47">
        <f>MONTH(dis_table[[#This Row],[Date]])</f>
        <v>1</v>
      </c>
      <c r="C57" s="4">
        <v>44949</v>
      </c>
      <c r="D57" s="4">
        <v>44949</v>
      </c>
      <c r="E57" t="s">
        <v>180</v>
      </c>
      <c r="F57">
        <v>13.85</v>
      </c>
      <c r="G57" t="s">
        <v>16</v>
      </c>
      <c r="H57" t="s">
        <v>133</v>
      </c>
      <c r="I57" t="s">
        <v>12</v>
      </c>
      <c r="J57" t="s">
        <v>24</v>
      </c>
      <c r="K57" s="4">
        <v>44927</v>
      </c>
      <c r="L57">
        <v>2023</v>
      </c>
      <c r="M57" s="4">
        <v>44949</v>
      </c>
      <c r="N57">
        <v>2153.23</v>
      </c>
      <c r="O57">
        <v>3</v>
      </c>
    </row>
    <row r="58" spans="1:15" hidden="1" x14ac:dyDescent="0.25">
      <c r="A58" s="92">
        <v>56</v>
      </c>
      <c r="B58" s="47">
        <f>MONTH(dis_table[[#This Row],[Date]])</f>
        <v>1</v>
      </c>
      <c r="C58" s="4">
        <v>44949</v>
      </c>
      <c r="D58" s="4">
        <v>44949</v>
      </c>
      <c r="E58" t="s">
        <v>182</v>
      </c>
      <c r="F58">
        <v>25.12</v>
      </c>
      <c r="G58" t="s">
        <v>9</v>
      </c>
      <c r="H58" t="s">
        <v>14</v>
      </c>
      <c r="I58" t="s">
        <v>12</v>
      </c>
      <c r="J58" t="s">
        <v>13</v>
      </c>
      <c r="K58" s="4">
        <v>44927</v>
      </c>
      <c r="L58">
        <v>2023</v>
      </c>
      <c r="M58" s="4">
        <v>44949</v>
      </c>
      <c r="N58">
        <v>2178.349999999999</v>
      </c>
      <c r="O58">
        <v>6</v>
      </c>
    </row>
    <row r="59" spans="1:15" hidden="1" x14ac:dyDescent="0.25">
      <c r="A59" s="92">
        <v>57</v>
      </c>
      <c r="B59" s="47">
        <f>MONTH(dis_table[[#This Row],[Date]])</f>
        <v>1</v>
      </c>
      <c r="C59" s="4">
        <v>44950</v>
      </c>
      <c r="D59" s="4">
        <v>44950</v>
      </c>
      <c r="E59" t="s">
        <v>184</v>
      </c>
      <c r="F59">
        <v>1.75</v>
      </c>
      <c r="G59" t="s">
        <v>22</v>
      </c>
      <c r="H59" t="s">
        <v>214</v>
      </c>
      <c r="I59" t="s">
        <v>12</v>
      </c>
      <c r="J59" t="s">
        <v>24</v>
      </c>
      <c r="K59" s="4">
        <v>44927</v>
      </c>
      <c r="L59">
        <v>2023</v>
      </c>
      <c r="M59" s="4">
        <v>44950</v>
      </c>
      <c r="N59">
        <v>2180.099999999999</v>
      </c>
      <c r="O59">
        <v>1</v>
      </c>
    </row>
    <row r="60" spans="1:15" hidden="1" x14ac:dyDescent="0.25">
      <c r="A60" s="92">
        <v>58</v>
      </c>
      <c r="B60" s="47">
        <f>MONTH(dis_table[[#This Row],[Date]])</f>
        <v>1</v>
      </c>
      <c r="C60" s="4">
        <v>44950</v>
      </c>
      <c r="D60" s="4">
        <v>44950</v>
      </c>
      <c r="E60" t="s">
        <v>85</v>
      </c>
      <c r="F60">
        <v>97.08</v>
      </c>
      <c r="G60" t="s">
        <v>34</v>
      </c>
      <c r="H60" t="s">
        <v>35</v>
      </c>
      <c r="I60" t="s">
        <v>12</v>
      </c>
      <c r="J60" t="s">
        <v>13</v>
      </c>
      <c r="K60" s="4">
        <v>44927</v>
      </c>
      <c r="L60">
        <v>2023</v>
      </c>
      <c r="M60" s="4">
        <v>44950</v>
      </c>
      <c r="N60">
        <v>2277.1799999999989</v>
      </c>
      <c r="O60">
        <v>3</v>
      </c>
    </row>
    <row r="61" spans="1:15" hidden="1" x14ac:dyDescent="0.25">
      <c r="A61" s="92">
        <v>59</v>
      </c>
      <c r="B61" s="47">
        <f>MONTH(dis_table[[#This Row],[Date]])</f>
        <v>1</v>
      </c>
      <c r="C61" s="4">
        <v>44950</v>
      </c>
      <c r="D61" s="4">
        <v>44950</v>
      </c>
      <c r="E61" t="s">
        <v>172</v>
      </c>
      <c r="F61">
        <v>5</v>
      </c>
      <c r="G61" t="s">
        <v>22</v>
      </c>
      <c r="H61" t="s">
        <v>55</v>
      </c>
      <c r="I61" t="s">
        <v>12</v>
      </c>
      <c r="J61" t="s">
        <v>31</v>
      </c>
      <c r="K61" s="4">
        <v>44927</v>
      </c>
      <c r="L61">
        <v>2023</v>
      </c>
      <c r="M61" s="4">
        <v>44950</v>
      </c>
      <c r="N61">
        <v>2282.1799999999989</v>
      </c>
      <c r="O61">
        <v>4</v>
      </c>
    </row>
    <row r="62" spans="1:15" hidden="1" x14ac:dyDescent="0.25">
      <c r="A62" s="92">
        <v>60</v>
      </c>
      <c r="B62" s="47">
        <f>MONTH(dis_table[[#This Row],[Date]])</f>
        <v>1</v>
      </c>
      <c r="C62" s="4">
        <v>44951</v>
      </c>
      <c r="D62" s="4">
        <v>44951</v>
      </c>
      <c r="E62" t="s">
        <v>26</v>
      </c>
      <c r="F62">
        <v>-2071.58</v>
      </c>
      <c r="G62" t="s">
        <v>27</v>
      </c>
      <c r="H62" t="s">
        <v>28</v>
      </c>
      <c r="I62" t="s">
        <v>12</v>
      </c>
      <c r="J62" t="s">
        <v>122</v>
      </c>
      <c r="K62" s="4">
        <v>44927</v>
      </c>
      <c r="L62">
        <v>2023</v>
      </c>
      <c r="M62" s="4">
        <v>44951</v>
      </c>
      <c r="N62">
        <v>210.59999999999951</v>
      </c>
      <c r="O62">
        <v>3</v>
      </c>
    </row>
    <row r="63" spans="1:15" hidden="1" x14ac:dyDescent="0.25">
      <c r="A63" s="92">
        <v>61</v>
      </c>
      <c r="B63" s="47">
        <f>MONTH(dis_table[[#This Row],[Date]])</f>
        <v>1</v>
      </c>
      <c r="C63" s="4">
        <v>44952</v>
      </c>
      <c r="D63" s="4">
        <v>44952</v>
      </c>
      <c r="E63" t="s">
        <v>185</v>
      </c>
      <c r="F63">
        <v>38</v>
      </c>
      <c r="G63" t="s">
        <v>36</v>
      </c>
      <c r="H63" t="s">
        <v>186</v>
      </c>
      <c r="I63" t="s">
        <v>12</v>
      </c>
      <c r="J63" t="s">
        <v>37</v>
      </c>
      <c r="K63" s="4">
        <v>44927</v>
      </c>
      <c r="L63">
        <v>2023</v>
      </c>
      <c r="M63" s="4">
        <v>44952</v>
      </c>
      <c r="N63">
        <v>248.59999999999951</v>
      </c>
      <c r="O63">
        <v>1</v>
      </c>
    </row>
    <row r="64" spans="1:15" hidden="1" x14ac:dyDescent="0.25">
      <c r="A64" s="92">
        <v>62</v>
      </c>
      <c r="B64" s="47">
        <f>MONTH(dis_table[[#This Row],[Date]])</f>
        <v>1</v>
      </c>
      <c r="C64" s="4">
        <v>44952</v>
      </c>
      <c r="D64" s="4">
        <v>44952</v>
      </c>
      <c r="E64" t="s">
        <v>187</v>
      </c>
      <c r="F64">
        <v>25</v>
      </c>
      <c r="G64" t="s">
        <v>22</v>
      </c>
      <c r="H64" t="s">
        <v>188</v>
      </c>
      <c r="I64" t="s">
        <v>12</v>
      </c>
      <c r="J64" t="s">
        <v>31</v>
      </c>
      <c r="K64" s="4">
        <v>44927</v>
      </c>
      <c r="L64">
        <v>2023</v>
      </c>
      <c r="M64" s="4">
        <v>44952</v>
      </c>
      <c r="N64">
        <v>273.59999999999951</v>
      </c>
      <c r="O64">
        <v>1</v>
      </c>
    </row>
    <row r="65" spans="1:15" hidden="1" x14ac:dyDescent="0.25">
      <c r="A65" s="92">
        <v>63</v>
      </c>
      <c r="B65" s="47">
        <f>MONTH(dis_table[[#This Row],[Date]])</f>
        <v>1</v>
      </c>
      <c r="C65" s="4">
        <v>44952</v>
      </c>
      <c r="D65" s="4">
        <v>44952</v>
      </c>
      <c r="E65" t="s">
        <v>187</v>
      </c>
      <c r="F65">
        <v>75</v>
      </c>
      <c r="G65" t="s">
        <v>22</v>
      </c>
      <c r="H65" t="s">
        <v>188</v>
      </c>
      <c r="I65" t="s">
        <v>12</v>
      </c>
      <c r="J65" t="s">
        <v>31</v>
      </c>
      <c r="K65" s="4">
        <v>44927</v>
      </c>
      <c r="L65">
        <v>2023</v>
      </c>
      <c r="M65" s="4">
        <v>44952</v>
      </c>
      <c r="N65">
        <v>348.59999999999951</v>
      </c>
      <c r="O65">
        <v>2</v>
      </c>
    </row>
    <row r="66" spans="1:15" hidden="1" x14ac:dyDescent="0.25">
      <c r="A66" s="92">
        <v>64</v>
      </c>
      <c r="B66" s="47">
        <f>MONTH(dis_table[[#This Row],[Date]])</f>
        <v>1</v>
      </c>
      <c r="C66" s="4">
        <v>44952</v>
      </c>
      <c r="D66" s="4">
        <v>44952</v>
      </c>
      <c r="E66" t="s">
        <v>141</v>
      </c>
      <c r="F66">
        <v>5.36</v>
      </c>
      <c r="G66" t="s">
        <v>60</v>
      </c>
      <c r="H66" t="s">
        <v>49</v>
      </c>
      <c r="I66" t="s">
        <v>12</v>
      </c>
      <c r="J66" t="s">
        <v>40</v>
      </c>
      <c r="K66" s="4">
        <v>44927</v>
      </c>
      <c r="L66">
        <v>2023</v>
      </c>
      <c r="M66" s="4">
        <v>44952</v>
      </c>
      <c r="N66">
        <v>353.95999999999952</v>
      </c>
      <c r="O66">
        <v>1</v>
      </c>
    </row>
    <row r="67" spans="1:15" hidden="1" x14ac:dyDescent="0.25">
      <c r="A67" s="92">
        <v>65</v>
      </c>
      <c r="B67" s="47">
        <f>MONTH(dis_table[[#This Row],[Date]])</f>
        <v>1</v>
      </c>
      <c r="C67" s="4">
        <v>44952</v>
      </c>
      <c r="D67" s="4">
        <v>44952</v>
      </c>
      <c r="E67" t="s">
        <v>142</v>
      </c>
      <c r="F67">
        <v>255</v>
      </c>
      <c r="G67" t="s">
        <v>60</v>
      </c>
      <c r="H67" t="s">
        <v>49</v>
      </c>
      <c r="I67" t="s">
        <v>12</v>
      </c>
      <c r="J67" t="s">
        <v>40</v>
      </c>
      <c r="K67" s="4">
        <v>44927</v>
      </c>
      <c r="L67">
        <v>2023</v>
      </c>
      <c r="M67" s="4">
        <v>44952</v>
      </c>
      <c r="N67">
        <v>608.95999999999947</v>
      </c>
      <c r="O67">
        <v>2</v>
      </c>
    </row>
    <row r="68" spans="1:15" hidden="1" x14ac:dyDescent="0.25">
      <c r="A68" s="92">
        <v>66</v>
      </c>
      <c r="B68" s="47">
        <f>MONTH(dis_table[[#This Row],[Date]])</f>
        <v>1</v>
      </c>
      <c r="C68" s="4">
        <v>44952</v>
      </c>
      <c r="D68" s="4">
        <v>44952</v>
      </c>
      <c r="E68" t="s">
        <v>189</v>
      </c>
      <c r="F68">
        <v>11.68</v>
      </c>
      <c r="G68" t="s">
        <v>9</v>
      </c>
      <c r="H68" t="s">
        <v>10</v>
      </c>
      <c r="I68" t="s">
        <v>12</v>
      </c>
      <c r="J68" t="s">
        <v>13</v>
      </c>
      <c r="K68" s="4">
        <v>44927</v>
      </c>
      <c r="L68">
        <v>2023</v>
      </c>
      <c r="M68" s="4">
        <v>44952</v>
      </c>
      <c r="N68">
        <v>620.63999999999942</v>
      </c>
      <c r="O68">
        <v>5</v>
      </c>
    </row>
    <row r="69" spans="1:15" hidden="1" x14ac:dyDescent="0.25">
      <c r="A69" s="92">
        <v>67</v>
      </c>
      <c r="B69" s="47">
        <f>MONTH(dis_table[[#This Row],[Date]])</f>
        <v>1</v>
      </c>
      <c r="C69" s="4">
        <v>44952</v>
      </c>
      <c r="D69" s="4">
        <v>44952</v>
      </c>
      <c r="E69" t="s">
        <v>190</v>
      </c>
      <c r="F69">
        <v>16.399999999999999</v>
      </c>
      <c r="G69" t="s">
        <v>48</v>
      </c>
      <c r="H69" t="s">
        <v>66</v>
      </c>
      <c r="I69" t="s">
        <v>12</v>
      </c>
      <c r="J69" t="s">
        <v>24</v>
      </c>
      <c r="K69" s="4">
        <v>44927</v>
      </c>
      <c r="L69">
        <v>2023</v>
      </c>
      <c r="M69" s="4">
        <v>44952</v>
      </c>
      <c r="N69">
        <v>637.0399999999994</v>
      </c>
      <c r="O69">
        <v>1</v>
      </c>
    </row>
    <row r="70" spans="1:15" hidden="1" x14ac:dyDescent="0.25">
      <c r="A70" s="92">
        <v>68</v>
      </c>
      <c r="B70" s="47">
        <f>MONTH(dis_table[[#This Row],[Date]])</f>
        <v>1</v>
      </c>
      <c r="C70" s="4">
        <v>44953</v>
      </c>
      <c r="D70" s="4">
        <v>44953</v>
      </c>
      <c r="E70" t="s">
        <v>192</v>
      </c>
      <c r="F70">
        <v>10.8</v>
      </c>
      <c r="G70" t="s">
        <v>22</v>
      </c>
      <c r="H70" t="s">
        <v>67</v>
      </c>
      <c r="I70" t="s">
        <v>12</v>
      </c>
      <c r="J70" t="s">
        <v>19</v>
      </c>
      <c r="K70" s="4">
        <v>44927</v>
      </c>
      <c r="L70">
        <v>2023</v>
      </c>
      <c r="M70" s="4">
        <v>44953</v>
      </c>
      <c r="N70">
        <v>647.83999999999935</v>
      </c>
      <c r="O70">
        <v>1</v>
      </c>
    </row>
    <row r="71" spans="1:15" hidden="1" x14ac:dyDescent="0.25">
      <c r="A71" s="92">
        <v>69</v>
      </c>
      <c r="B71" s="47">
        <f>MONTH(dis_table[[#This Row],[Date]])</f>
        <v>1</v>
      </c>
      <c r="C71" s="4">
        <v>44953</v>
      </c>
      <c r="D71" s="4">
        <v>44953</v>
      </c>
      <c r="E71" t="s">
        <v>191</v>
      </c>
      <c r="F71">
        <v>7.98</v>
      </c>
      <c r="G71" t="s">
        <v>34</v>
      </c>
      <c r="H71" t="s">
        <v>35</v>
      </c>
      <c r="I71" t="s">
        <v>12</v>
      </c>
      <c r="J71" t="s">
        <v>13</v>
      </c>
      <c r="K71" s="4">
        <v>44927</v>
      </c>
      <c r="L71">
        <v>2023</v>
      </c>
      <c r="M71" s="4">
        <v>44953</v>
      </c>
      <c r="N71">
        <v>655.81999999999937</v>
      </c>
      <c r="O71">
        <v>4</v>
      </c>
    </row>
    <row r="72" spans="1:15" hidden="1" x14ac:dyDescent="0.25">
      <c r="A72" s="92">
        <v>70</v>
      </c>
      <c r="B72" s="47">
        <f>MONTH(dis_table[[#This Row],[Date]])</f>
        <v>1</v>
      </c>
      <c r="C72" s="4">
        <v>44953</v>
      </c>
      <c r="D72" s="4">
        <v>44953</v>
      </c>
      <c r="E72" t="s">
        <v>187</v>
      </c>
      <c r="F72">
        <v>25</v>
      </c>
      <c r="G72" t="s">
        <v>22</v>
      </c>
      <c r="H72" t="s">
        <v>188</v>
      </c>
      <c r="I72" t="s">
        <v>12</v>
      </c>
      <c r="J72" t="s">
        <v>31</v>
      </c>
      <c r="K72" s="4">
        <v>44927</v>
      </c>
      <c r="L72">
        <v>2023</v>
      </c>
      <c r="M72" s="4">
        <v>44953</v>
      </c>
      <c r="N72">
        <v>680.81999999999937</v>
      </c>
      <c r="O72">
        <v>3</v>
      </c>
    </row>
    <row r="73" spans="1:15" hidden="1" x14ac:dyDescent="0.25">
      <c r="A73" s="92">
        <v>71</v>
      </c>
      <c r="B73" s="47">
        <f>MONTH(dis_table[[#This Row],[Date]])</f>
        <v>1</v>
      </c>
      <c r="C73" s="4">
        <v>44953</v>
      </c>
      <c r="D73" s="4">
        <v>44953</v>
      </c>
      <c r="E73" t="s">
        <v>81</v>
      </c>
      <c r="F73">
        <v>4.25</v>
      </c>
      <c r="G73" t="s">
        <v>16</v>
      </c>
      <c r="H73" t="s">
        <v>45</v>
      </c>
      <c r="I73" t="s">
        <v>12</v>
      </c>
      <c r="J73" t="s">
        <v>19</v>
      </c>
      <c r="K73" s="4">
        <v>44927</v>
      </c>
      <c r="L73">
        <v>2023</v>
      </c>
      <c r="M73" s="4">
        <v>44953</v>
      </c>
      <c r="N73">
        <v>685.06999999999937</v>
      </c>
      <c r="O73">
        <v>1</v>
      </c>
    </row>
    <row r="74" spans="1:15" hidden="1" x14ac:dyDescent="0.25">
      <c r="A74" s="92">
        <v>72</v>
      </c>
      <c r="B74" s="47">
        <f>MONTH(dis_table[[#This Row],[Date]])</f>
        <v>1</v>
      </c>
      <c r="C74" s="4">
        <v>44954</v>
      </c>
      <c r="D74" s="4">
        <v>44954</v>
      </c>
      <c r="E74" t="s">
        <v>193</v>
      </c>
      <c r="F74">
        <v>6</v>
      </c>
      <c r="G74" t="s">
        <v>22</v>
      </c>
      <c r="H74" t="s">
        <v>134</v>
      </c>
      <c r="I74" t="s">
        <v>12</v>
      </c>
      <c r="J74" t="s">
        <v>68</v>
      </c>
      <c r="K74" s="4">
        <v>44927</v>
      </c>
      <c r="L74">
        <v>2023</v>
      </c>
      <c r="M74" s="4">
        <v>44954</v>
      </c>
      <c r="N74">
        <v>691.06999999999937</v>
      </c>
      <c r="O74">
        <v>1</v>
      </c>
    </row>
    <row r="75" spans="1:15" hidden="1" x14ac:dyDescent="0.25">
      <c r="A75" s="92">
        <v>73</v>
      </c>
      <c r="B75" s="47">
        <f>MONTH(dis_table[[#This Row],[Date]])</f>
        <v>1</v>
      </c>
      <c r="C75" s="4">
        <v>44954</v>
      </c>
      <c r="D75" s="4">
        <v>44954</v>
      </c>
      <c r="E75" t="s">
        <v>193</v>
      </c>
      <c r="F75">
        <v>96.14</v>
      </c>
      <c r="G75" t="s">
        <v>22</v>
      </c>
      <c r="H75" t="s">
        <v>134</v>
      </c>
      <c r="I75" t="s">
        <v>12</v>
      </c>
      <c r="J75" t="s">
        <v>68</v>
      </c>
      <c r="K75" s="4">
        <v>44927</v>
      </c>
      <c r="L75">
        <v>2023</v>
      </c>
      <c r="M75" s="4">
        <v>44954</v>
      </c>
      <c r="N75">
        <v>787.20999999999935</v>
      </c>
      <c r="O75">
        <v>2</v>
      </c>
    </row>
    <row r="76" spans="1:15" hidden="1" x14ac:dyDescent="0.25">
      <c r="A76" s="92">
        <v>74</v>
      </c>
      <c r="B76" s="47">
        <f>MONTH(dis_table[[#This Row],[Date]])</f>
        <v>1</v>
      </c>
      <c r="C76" s="4">
        <v>44954</v>
      </c>
      <c r="D76" s="4">
        <v>44954</v>
      </c>
      <c r="E76" t="s">
        <v>194</v>
      </c>
      <c r="F76">
        <v>25.78</v>
      </c>
      <c r="G76" t="s">
        <v>9</v>
      </c>
      <c r="H76" t="s">
        <v>10</v>
      </c>
      <c r="I76" t="s">
        <v>12</v>
      </c>
      <c r="J76" t="s">
        <v>13</v>
      </c>
      <c r="K76" s="4">
        <v>44927</v>
      </c>
      <c r="L76">
        <v>2023</v>
      </c>
      <c r="M76" s="4">
        <v>44954</v>
      </c>
      <c r="N76">
        <v>812.98999999999933</v>
      </c>
      <c r="O76">
        <v>6</v>
      </c>
    </row>
    <row r="77" spans="1:15" hidden="1" x14ac:dyDescent="0.25">
      <c r="A77" s="92">
        <v>75</v>
      </c>
      <c r="B77" s="47">
        <f>MONTH(dis_table[[#This Row],[Date]])</f>
        <v>1</v>
      </c>
      <c r="C77" s="4">
        <v>44954</v>
      </c>
      <c r="D77" s="4">
        <v>44954</v>
      </c>
      <c r="E77" t="s">
        <v>70</v>
      </c>
      <c r="F77">
        <v>5</v>
      </c>
      <c r="G77" t="s">
        <v>22</v>
      </c>
      <c r="H77" t="s">
        <v>42</v>
      </c>
      <c r="I77" t="s">
        <v>12</v>
      </c>
      <c r="J77" t="s">
        <v>31</v>
      </c>
      <c r="K77" s="4">
        <v>44927</v>
      </c>
      <c r="L77">
        <v>2023</v>
      </c>
      <c r="M77" s="4">
        <v>44954</v>
      </c>
      <c r="N77">
        <v>817.98999999999933</v>
      </c>
      <c r="O77">
        <v>4</v>
      </c>
    </row>
    <row r="78" spans="1:15" hidden="1" x14ac:dyDescent="0.25">
      <c r="A78" s="92">
        <v>76</v>
      </c>
      <c r="B78" s="47">
        <f>MONTH(dis_table[[#This Row],[Date]])</f>
        <v>1</v>
      </c>
      <c r="C78" s="4">
        <v>44954</v>
      </c>
      <c r="D78" s="4">
        <v>44954</v>
      </c>
      <c r="E78" t="s">
        <v>70</v>
      </c>
      <c r="F78">
        <v>5</v>
      </c>
      <c r="G78" t="s">
        <v>22</v>
      </c>
      <c r="H78" t="s">
        <v>42</v>
      </c>
      <c r="I78" t="s">
        <v>12</v>
      </c>
      <c r="J78" t="s">
        <v>31</v>
      </c>
      <c r="K78" s="4">
        <v>44927</v>
      </c>
      <c r="L78">
        <v>2023</v>
      </c>
      <c r="M78" s="4">
        <v>44954</v>
      </c>
      <c r="N78">
        <v>822.98999999999933</v>
      </c>
      <c r="O78">
        <v>5</v>
      </c>
    </row>
    <row r="79" spans="1:15" hidden="1" x14ac:dyDescent="0.25">
      <c r="A79" s="92">
        <v>77</v>
      </c>
      <c r="B79" s="47">
        <f>MONTH(dis_table[[#This Row],[Date]])</f>
        <v>1</v>
      </c>
      <c r="C79" s="4">
        <v>44954</v>
      </c>
      <c r="D79" s="4">
        <v>44954</v>
      </c>
      <c r="E79" t="s">
        <v>70</v>
      </c>
      <c r="F79">
        <v>13.91</v>
      </c>
      <c r="G79" t="s">
        <v>22</v>
      </c>
      <c r="H79" t="s">
        <v>42</v>
      </c>
      <c r="I79" t="s">
        <v>12</v>
      </c>
      <c r="J79" t="s">
        <v>31</v>
      </c>
      <c r="K79" s="4">
        <v>44927</v>
      </c>
      <c r="L79">
        <v>2023</v>
      </c>
      <c r="M79" s="4">
        <v>44954</v>
      </c>
      <c r="N79">
        <v>836.8999999999993</v>
      </c>
      <c r="O79">
        <v>6</v>
      </c>
    </row>
    <row r="80" spans="1:15" hidden="1" x14ac:dyDescent="0.25">
      <c r="A80" s="92">
        <v>78</v>
      </c>
      <c r="B80" s="47">
        <f>MONTH(dis_table[[#This Row],[Date]])</f>
        <v>1</v>
      </c>
      <c r="C80" s="4">
        <v>44954</v>
      </c>
      <c r="D80" s="4">
        <v>44954</v>
      </c>
      <c r="E80" t="s">
        <v>70</v>
      </c>
      <c r="F80">
        <v>19.899999999999999</v>
      </c>
      <c r="G80" t="s">
        <v>22</v>
      </c>
      <c r="H80" t="s">
        <v>42</v>
      </c>
      <c r="I80" t="s">
        <v>12</v>
      </c>
      <c r="J80" t="s">
        <v>31</v>
      </c>
      <c r="K80" s="4">
        <v>44927</v>
      </c>
      <c r="L80">
        <v>2023</v>
      </c>
      <c r="M80" s="4">
        <v>44954</v>
      </c>
      <c r="N80">
        <v>856.79999999999927</v>
      </c>
      <c r="O80">
        <v>7</v>
      </c>
    </row>
    <row r="81" spans="1:17" hidden="1" x14ac:dyDescent="0.25">
      <c r="A81" s="92">
        <v>79</v>
      </c>
      <c r="B81" s="47">
        <f>MONTH(dis_table[[#This Row],[Date]])</f>
        <v>1</v>
      </c>
      <c r="C81" s="4">
        <v>44954</v>
      </c>
      <c r="D81" s="4">
        <v>44954</v>
      </c>
      <c r="E81" t="s">
        <v>70</v>
      </c>
      <c r="F81">
        <v>19.96</v>
      </c>
      <c r="G81" t="s">
        <v>22</v>
      </c>
      <c r="H81" t="s">
        <v>42</v>
      </c>
      <c r="I81" t="s">
        <v>12</v>
      </c>
      <c r="J81" t="s">
        <v>31</v>
      </c>
      <c r="K81" s="4">
        <v>44927</v>
      </c>
      <c r="L81">
        <v>2023</v>
      </c>
      <c r="M81" s="4">
        <v>44954</v>
      </c>
      <c r="N81">
        <v>876.75999999999931</v>
      </c>
      <c r="O81">
        <v>8</v>
      </c>
    </row>
    <row r="82" spans="1:17" hidden="1" x14ac:dyDescent="0.25">
      <c r="A82" s="92">
        <v>80</v>
      </c>
      <c r="B82" s="47">
        <f>MONTH(dis_table[[#This Row],[Date]])</f>
        <v>1</v>
      </c>
      <c r="C82" s="4">
        <v>44955</v>
      </c>
      <c r="D82" s="4">
        <v>44955</v>
      </c>
      <c r="E82" t="s">
        <v>70</v>
      </c>
      <c r="F82">
        <v>8.93</v>
      </c>
      <c r="G82" t="s">
        <v>22</v>
      </c>
      <c r="H82" t="s">
        <v>42</v>
      </c>
      <c r="I82" t="s">
        <v>12</v>
      </c>
      <c r="J82" t="s">
        <v>31</v>
      </c>
      <c r="K82" s="4">
        <v>44927</v>
      </c>
      <c r="L82">
        <v>2023</v>
      </c>
      <c r="M82" s="4">
        <v>44955</v>
      </c>
      <c r="N82">
        <v>885.68999999999926</v>
      </c>
      <c r="O82">
        <v>9</v>
      </c>
    </row>
    <row r="83" spans="1:17" hidden="1" x14ac:dyDescent="0.25">
      <c r="A83" s="92">
        <v>81</v>
      </c>
      <c r="B83" s="47">
        <f>MONTH(dis_table[[#This Row],[Date]])</f>
        <v>1</v>
      </c>
      <c r="C83" s="4">
        <v>44955</v>
      </c>
      <c r="D83" s="4">
        <v>44955</v>
      </c>
      <c r="E83" t="s">
        <v>70</v>
      </c>
      <c r="F83">
        <v>5</v>
      </c>
      <c r="G83" t="s">
        <v>22</v>
      </c>
      <c r="H83" t="s">
        <v>42</v>
      </c>
      <c r="I83" t="s">
        <v>12</v>
      </c>
      <c r="J83" t="s">
        <v>31</v>
      </c>
      <c r="K83" s="4">
        <v>44927</v>
      </c>
      <c r="L83">
        <v>2023</v>
      </c>
      <c r="M83" s="4">
        <v>44955</v>
      </c>
      <c r="N83">
        <v>890.68999999999926</v>
      </c>
      <c r="O83">
        <v>10</v>
      </c>
    </row>
    <row r="84" spans="1:17" hidden="1" x14ac:dyDescent="0.25">
      <c r="A84" s="92">
        <v>82</v>
      </c>
      <c r="B84" s="47">
        <f>MONTH(dis_table[[#This Row],[Date]])</f>
        <v>1</v>
      </c>
      <c r="C84" s="4">
        <v>44955</v>
      </c>
      <c r="D84" s="4">
        <v>44955</v>
      </c>
      <c r="E84" t="s">
        <v>70</v>
      </c>
      <c r="F84">
        <v>5</v>
      </c>
      <c r="G84" t="s">
        <v>22</v>
      </c>
      <c r="H84" t="s">
        <v>42</v>
      </c>
      <c r="I84" t="s">
        <v>12</v>
      </c>
      <c r="J84" t="s">
        <v>31</v>
      </c>
      <c r="K84" s="4">
        <v>44927</v>
      </c>
      <c r="L84">
        <v>2023</v>
      </c>
      <c r="M84" s="4">
        <v>44955</v>
      </c>
      <c r="N84">
        <v>895.68999999999926</v>
      </c>
      <c r="O84">
        <v>11</v>
      </c>
    </row>
    <row r="85" spans="1:17" hidden="1" x14ac:dyDescent="0.25">
      <c r="A85" s="92">
        <v>83</v>
      </c>
      <c r="B85" s="47">
        <f>MONTH(dis_table[[#This Row],[Date]])</f>
        <v>1</v>
      </c>
      <c r="C85" s="4">
        <v>44955</v>
      </c>
      <c r="D85" s="4">
        <v>44955</v>
      </c>
      <c r="E85" t="s">
        <v>195</v>
      </c>
      <c r="F85">
        <v>12.16</v>
      </c>
      <c r="G85" t="s">
        <v>9</v>
      </c>
      <c r="H85" t="s">
        <v>14</v>
      </c>
      <c r="I85" t="s">
        <v>12</v>
      </c>
      <c r="J85" t="s">
        <v>13</v>
      </c>
      <c r="K85" s="4">
        <v>44927</v>
      </c>
      <c r="L85">
        <v>2023</v>
      </c>
      <c r="M85" s="4">
        <v>44955</v>
      </c>
      <c r="N85">
        <v>907.84999999999923</v>
      </c>
      <c r="O85">
        <v>7</v>
      </c>
      <c r="Q85">
        <f>0</f>
        <v>0</v>
      </c>
    </row>
    <row r="86" spans="1:17" hidden="1" x14ac:dyDescent="0.25">
      <c r="A86" s="92">
        <v>84</v>
      </c>
      <c r="B86" s="47">
        <f>MONTH(dis_table[[#This Row],[Date]])</f>
        <v>1</v>
      </c>
      <c r="C86" s="4">
        <v>44955</v>
      </c>
      <c r="D86" s="4">
        <v>44955</v>
      </c>
      <c r="E86" t="s">
        <v>196</v>
      </c>
      <c r="F86">
        <v>11.75</v>
      </c>
      <c r="G86" t="s">
        <v>9</v>
      </c>
      <c r="H86" t="s">
        <v>14</v>
      </c>
      <c r="I86" t="s">
        <v>12</v>
      </c>
      <c r="J86" t="s">
        <v>13</v>
      </c>
      <c r="K86" s="4">
        <v>44927</v>
      </c>
      <c r="L86">
        <v>2023</v>
      </c>
      <c r="M86" s="4">
        <v>44955</v>
      </c>
      <c r="N86">
        <v>919.59999999999923</v>
      </c>
      <c r="O86">
        <v>8</v>
      </c>
    </row>
    <row r="87" spans="1:17" hidden="1" x14ac:dyDescent="0.25">
      <c r="A87" s="92">
        <v>85</v>
      </c>
      <c r="B87" s="47">
        <f>MONTH(dis_table[[#This Row],[Date]])</f>
        <v>1</v>
      </c>
      <c r="C87" s="4">
        <v>44955</v>
      </c>
      <c r="D87" s="4">
        <v>44955</v>
      </c>
      <c r="E87" t="s">
        <v>197</v>
      </c>
      <c r="F87">
        <v>31.22</v>
      </c>
      <c r="G87" t="s">
        <v>9</v>
      </c>
      <c r="H87" t="s">
        <v>14</v>
      </c>
      <c r="I87" t="s">
        <v>12</v>
      </c>
      <c r="J87" t="s">
        <v>13</v>
      </c>
      <c r="K87" s="4">
        <v>44927</v>
      </c>
      <c r="L87">
        <v>2023</v>
      </c>
      <c r="M87" s="4">
        <v>44955</v>
      </c>
      <c r="N87">
        <v>950.81999999999925</v>
      </c>
      <c r="O87">
        <v>9</v>
      </c>
    </row>
    <row r="88" spans="1:17" hidden="1" x14ac:dyDescent="0.25">
      <c r="A88" s="92">
        <v>86</v>
      </c>
      <c r="B88" s="47">
        <f>MONTH(dis_table[[#This Row],[Date]])</f>
        <v>1</v>
      </c>
      <c r="C88" s="4">
        <v>44956</v>
      </c>
      <c r="D88" s="4">
        <v>44956</v>
      </c>
      <c r="E88" t="s">
        <v>70</v>
      </c>
      <c r="F88">
        <v>5</v>
      </c>
      <c r="G88" t="s">
        <v>22</v>
      </c>
      <c r="H88" t="s">
        <v>42</v>
      </c>
      <c r="I88" t="s">
        <v>12</v>
      </c>
      <c r="J88" t="s">
        <v>31</v>
      </c>
      <c r="K88" s="4">
        <v>44927</v>
      </c>
      <c r="L88">
        <v>2023</v>
      </c>
      <c r="M88" s="4">
        <v>44956</v>
      </c>
      <c r="N88">
        <v>955.81999999999925</v>
      </c>
      <c r="O88">
        <v>12</v>
      </c>
    </row>
    <row r="89" spans="1:17" hidden="1" x14ac:dyDescent="0.25">
      <c r="A89" s="92">
        <v>87</v>
      </c>
      <c r="B89" s="47">
        <f>MONTH(dis_table[[#This Row],[Date]])</f>
        <v>1</v>
      </c>
      <c r="C89" s="4">
        <v>44956</v>
      </c>
      <c r="D89" s="4">
        <v>44956</v>
      </c>
      <c r="E89" t="s">
        <v>130</v>
      </c>
      <c r="F89">
        <v>29</v>
      </c>
      <c r="G89" t="s">
        <v>36</v>
      </c>
      <c r="H89" t="s">
        <v>72</v>
      </c>
      <c r="I89" t="s">
        <v>12</v>
      </c>
      <c r="J89" t="s">
        <v>24</v>
      </c>
      <c r="K89" s="4">
        <v>44927</v>
      </c>
      <c r="L89">
        <v>2023</v>
      </c>
      <c r="M89" s="4">
        <v>44956</v>
      </c>
      <c r="N89">
        <v>984.81999999999925</v>
      </c>
      <c r="O89">
        <v>1</v>
      </c>
    </row>
    <row r="90" spans="1:17" hidden="1" x14ac:dyDescent="0.25">
      <c r="A90" s="92">
        <v>88</v>
      </c>
      <c r="B90" s="47">
        <f>MONTH(dis_table[[#This Row],[Date]])</f>
        <v>1</v>
      </c>
      <c r="C90" s="4">
        <v>44956</v>
      </c>
      <c r="D90" s="4">
        <v>44956</v>
      </c>
      <c r="E90" t="s">
        <v>70</v>
      </c>
      <c r="F90">
        <v>22.04</v>
      </c>
      <c r="G90" t="s">
        <v>22</v>
      </c>
      <c r="H90" t="s">
        <v>42</v>
      </c>
      <c r="I90" t="s">
        <v>12</v>
      </c>
      <c r="J90" t="s">
        <v>31</v>
      </c>
      <c r="K90" s="4">
        <v>44927</v>
      </c>
      <c r="L90">
        <v>2023</v>
      </c>
      <c r="M90" s="4">
        <v>44956</v>
      </c>
      <c r="N90">
        <v>1006.859999999999</v>
      </c>
      <c r="O90">
        <v>13</v>
      </c>
    </row>
    <row r="91" spans="1:17" hidden="1" x14ac:dyDescent="0.25">
      <c r="A91" s="92">
        <v>89</v>
      </c>
      <c r="B91" s="47">
        <f>MONTH(dis_table[[#This Row],[Date]])</f>
        <v>1</v>
      </c>
      <c r="C91" s="4">
        <v>44956</v>
      </c>
      <c r="D91" s="4">
        <v>44956</v>
      </c>
      <c r="E91" t="s">
        <v>70</v>
      </c>
      <c r="F91">
        <v>8.66</v>
      </c>
      <c r="G91" t="s">
        <v>22</v>
      </c>
      <c r="H91" t="s">
        <v>42</v>
      </c>
      <c r="I91" t="s">
        <v>12</v>
      </c>
      <c r="J91" t="s">
        <v>31</v>
      </c>
      <c r="K91" s="4">
        <v>44927</v>
      </c>
      <c r="L91">
        <v>2023</v>
      </c>
      <c r="M91" s="4">
        <v>44956</v>
      </c>
      <c r="N91">
        <v>1015.519999999999</v>
      </c>
      <c r="O91">
        <v>14</v>
      </c>
    </row>
    <row r="92" spans="1:17" hidden="1" x14ac:dyDescent="0.25">
      <c r="A92" s="92">
        <v>90</v>
      </c>
      <c r="B92" s="47">
        <f>MONTH(dis_table[[#This Row],[Date]])</f>
        <v>1</v>
      </c>
      <c r="C92" s="4">
        <v>44956</v>
      </c>
      <c r="D92" s="4">
        <v>44956</v>
      </c>
      <c r="E92" t="s">
        <v>70</v>
      </c>
      <c r="F92">
        <v>3.28</v>
      </c>
      <c r="G92" t="s">
        <v>22</v>
      </c>
      <c r="H92" t="s">
        <v>42</v>
      </c>
      <c r="I92" t="s">
        <v>12</v>
      </c>
      <c r="J92" t="s">
        <v>31</v>
      </c>
      <c r="K92" s="4">
        <v>44927</v>
      </c>
      <c r="L92">
        <v>2023</v>
      </c>
      <c r="M92" s="4">
        <v>44956</v>
      </c>
      <c r="N92">
        <v>1018.799999999999</v>
      </c>
      <c r="O92">
        <v>15</v>
      </c>
    </row>
    <row r="93" spans="1:17" hidden="1" x14ac:dyDescent="0.25">
      <c r="A93" s="92">
        <v>91</v>
      </c>
      <c r="B93" s="47">
        <f>MONTH(dis_table[[#This Row],[Date]])</f>
        <v>1</v>
      </c>
      <c r="C93" s="4">
        <v>44956</v>
      </c>
      <c r="D93" s="4">
        <v>44956</v>
      </c>
      <c r="E93" t="s">
        <v>198</v>
      </c>
      <c r="F93">
        <v>150</v>
      </c>
      <c r="G93" t="s">
        <v>22</v>
      </c>
      <c r="H93" t="s">
        <v>73</v>
      </c>
      <c r="I93" t="s">
        <v>12</v>
      </c>
      <c r="J93" t="s">
        <v>19</v>
      </c>
      <c r="K93" s="4">
        <v>44927</v>
      </c>
      <c r="L93">
        <v>2023</v>
      </c>
      <c r="M93" s="4">
        <v>44956</v>
      </c>
      <c r="N93">
        <v>1168.799999999999</v>
      </c>
      <c r="O93">
        <v>1</v>
      </c>
    </row>
    <row r="94" spans="1:17" hidden="1" x14ac:dyDescent="0.25">
      <c r="A94" s="92">
        <v>92</v>
      </c>
      <c r="B94" s="47">
        <f>MONTH(dis_table[[#This Row],[Date]])</f>
        <v>1</v>
      </c>
      <c r="C94" s="4">
        <v>44956</v>
      </c>
      <c r="D94" s="4">
        <v>44956</v>
      </c>
      <c r="E94" t="s">
        <v>199</v>
      </c>
      <c r="F94">
        <v>8.52</v>
      </c>
      <c r="G94" t="s">
        <v>9</v>
      </c>
      <c r="H94" t="s">
        <v>14</v>
      </c>
      <c r="I94" t="s">
        <v>12</v>
      </c>
      <c r="J94" t="s">
        <v>13</v>
      </c>
      <c r="K94" s="4">
        <v>44927</v>
      </c>
      <c r="L94">
        <v>2023</v>
      </c>
      <c r="M94" s="4">
        <v>44956</v>
      </c>
      <c r="N94">
        <v>1177.319999999999</v>
      </c>
      <c r="O94">
        <v>10</v>
      </c>
    </row>
    <row r="95" spans="1:17" hidden="1" x14ac:dyDescent="0.25">
      <c r="A95" s="92">
        <v>93</v>
      </c>
      <c r="B95" s="47">
        <f>MONTH(dis_table[[#This Row],[Date]])</f>
        <v>1</v>
      </c>
      <c r="C95" s="4">
        <v>44956</v>
      </c>
      <c r="D95" s="4">
        <v>44956</v>
      </c>
      <c r="E95" t="s">
        <v>81</v>
      </c>
      <c r="F95">
        <v>12.76</v>
      </c>
      <c r="G95" t="s">
        <v>16</v>
      </c>
      <c r="H95" t="s">
        <v>45</v>
      </c>
      <c r="I95" t="s">
        <v>12</v>
      </c>
      <c r="J95" t="s">
        <v>19</v>
      </c>
      <c r="K95" s="4">
        <v>44927</v>
      </c>
      <c r="L95">
        <v>2023</v>
      </c>
      <c r="M95" s="4">
        <v>44956</v>
      </c>
      <c r="N95">
        <v>1190.079999999999</v>
      </c>
      <c r="O95">
        <v>2</v>
      </c>
    </row>
    <row r="96" spans="1:17" hidden="1" x14ac:dyDescent="0.25">
      <c r="A96" s="92">
        <v>94</v>
      </c>
      <c r="B96" s="47">
        <f>MONTH(dis_table[[#This Row],[Date]])</f>
        <v>1</v>
      </c>
      <c r="C96" s="4">
        <v>44956</v>
      </c>
      <c r="D96" s="4">
        <v>44956</v>
      </c>
      <c r="E96" t="s">
        <v>81</v>
      </c>
      <c r="F96">
        <v>7.43</v>
      </c>
      <c r="G96" t="s">
        <v>16</v>
      </c>
      <c r="H96" t="s">
        <v>45</v>
      </c>
      <c r="I96" t="s">
        <v>12</v>
      </c>
      <c r="J96" t="s">
        <v>19</v>
      </c>
      <c r="K96" s="4">
        <v>44927</v>
      </c>
      <c r="L96">
        <v>2023</v>
      </c>
      <c r="M96" s="4">
        <v>44956</v>
      </c>
      <c r="N96">
        <v>1197.5099999999991</v>
      </c>
      <c r="O96">
        <v>3</v>
      </c>
    </row>
    <row r="97" spans="1:15" hidden="1" x14ac:dyDescent="0.25">
      <c r="A97" s="92">
        <v>95</v>
      </c>
      <c r="B97" s="47">
        <f>MONTH(dis_table[[#This Row],[Date]])</f>
        <v>1</v>
      </c>
      <c r="C97" s="4">
        <v>44956</v>
      </c>
      <c r="D97" s="4">
        <v>44956</v>
      </c>
      <c r="E97" t="s">
        <v>200</v>
      </c>
      <c r="F97">
        <v>28.35</v>
      </c>
      <c r="G97" t="s">
        <v>9</v>
      </c>
      <c r="H97" t="s">
        <v>10</v>
      </c>
      <c r="I97" t="s">
        <v>12</v>
      </c>
      <c r="J97" t="s">
        <v>13</v>
      </c>
      <c r="K97" s="4">
        <v>44927</v>
      </c>
      <c r="L97">
        <v>2023</v>
      </c>
      <c r="M97" s="4">
        <v>44956</v>
      </c>
      <c r="N97">
        <v>1225.859999999999</v>
      </c>
      <c r="O97">
        <v>7</v>
      </c>
    </row>
    <row r="98" spans="1:15" hidden="1" x14ac:dyDescent="0.25">
      <c r="A98" s="92">
        <v>96</v>
      </c>
      <c r="B98" s="47">
        <f>MONTH(dis_table[[#This Row],[Date]])</f>
        <v>1</v>
      </c>
      <c r="C98" s="4">
        <v>44957</v>
      </c>
      <c r="D98" s="4">
        <v>44957</v>
      </c>
      <c r="E98" t="s">
        <v>201</v>
      </c>
      <c r="F98">
        <v>9.35</v>
      </c>
      <c r="G98" t="s">
        <v>16</v>
      </c>
      <c r="H98" t="s">
        <v>14</v>
      </c>
      <c r="I98" t="s">
        <v>12</v>
      </c>
      <c r="J98" t="s">
        <v>13</v>
      </c>
      <c r="K98" s="4">
        <v>44927</v>
      </c>
      <c r="L98">
        <v>2023</v>
      </c>
      <c r="M98" s="4">
        <v>44957</v>
      </c>
      <c r="N98">
        <v>1235.2099999999989</v>
      </c>
      <c r="O98">
        <v>11</v>
      </c>
    </row>
    <row r="99" spans="1:15" hidden="1" x14ac:dyDescent="0.25">
      <c r="A99" s="92">
        <v>97</v>
      </c>
      <c r="B99" s="47">
        <f>MONTH(dis_table[[#This Row],[Date]])</f>
        <v>1</v>
      </c>
      <c r="C99" s="4">
        <v>44957</v>
      </c>
      <c r="D99" s="4">
        <v>44957</v>
      </c>
      <c r="E99" t="s">
        <v>70</v>
      </c>
      <c r="F99">
        <v>5</v>
      </c>
      <c r="G99" t="s">
        <v>22</v>
      </c>
      <c r="H99" t="s">
        <v>42</v>
      </c>
      <c r="I99" t="s">
        <v>12</v>
      </c>
      <c r="J99" t="s">
        <v>31</v>
      </c>
      <c r="K99" s="4">
        <v>44927</v>
      </c>
      <c r="L99">
        <v>2023</v>
      </c>
      <c r="M99" s="4">
        <v>44957</v>
      </c>
      <c r="N99">
        <v>1240.2099999999989</v>
      </c>
      <c r="O99">
        <v>16</v>
      </c>
    </row>
    <row r="100" spans="1:15" hidden="1" x14ac:dyDescent="0.25">
      <c r="A100" s="92">
        <v>98</v>
      </c>
      <c r="B100" s="47">
        <f>MONTH(dis_table[[#This Row],[Date]])</f>
        <v>1</v>
      </c>
      <c r="C100" s="4">
        <v>44957</v>
      </c>
      <c r="D100" s="4">
        <v>44957</v>
      </c>
      <c r="E100" t="s">
        <v>70</v>
      </c>
      <c r="F100">
        <v>13.94</v>
      </c>
      <c r="G100" t="s">
        <v>22</v>
      </c>
      <c r="H100" t="s">
        <v>42</v>
      </c>
      <c r="I100" t="s">
        <v>12</v>
      </c>
      <c r="J100" t="s">
        <v>31</v>
      </c>
      <c r="K100" s="4">
        <v>44927</v>
      </c>
      <c r="L100">
        <v>2023</v>
      </c>
      <c r="M100" s="4">
        <v>44957</v>
      </c>
      <c r="N100">
        <v>1254.149999999999</v>
      </c>
      <c r="O100">
        <v>17</v>
      </c>
    </row>
    <row r="101" spans="1:15" hidden="1" x14ac:dyDescent="0.25">
      <c r="A101" s="92">
        <v>99</v>
      </c>
      <c r="B101" s="47">
        <f>MONTH(dis_table[[#This Row],[Date]])</f>
        <v>1</v>
      </c>
      <c r="C101" s="4">
        <v>44957</v>
      </c>
      <c r="D101" s="4">
        <v>44957</v>
      </c>
      <c r="E101" t="s">
        <v>70</v>
      </c>
      <c r="F101">
        <v>17.97</v>
      </c>
      <c r="G101" t="s">
        <v>22</v>
      </c>
      <c r="H101" t="s">
        <v>42</v>
      </c>
      <c r="I101" t="s">
        <v>12</v>
      </c>
      <c r="J101" t="s">
        <v>31</v>
      </c>
      <c r="K101" s="4">
        <v>44927</v>
      </c>
      <c r="L101">
        <v>2023</v>
      </c>
      <c r="M101" s="4">
        <v>44957</v>
      </c>
      <c r="N101">
        <v>1272.119999999999</v>
      </c>
      <c r="O101">
        <v>18</v>
      </c>
    </row>
    <row r="102" spans="1:15" hidden="1" x14ac:dyDescent="0.25">
      <c r="A102" s="92">
        <v>100</v>
      </c>
      <c r="B102" s="47">
        <f>MONTH(dis_table[[#This Row],[Date]])</f>
        <v>1</v>
      </c>
      <c r="C102" s="4">
        <v>44957</v>
      </c>
      <c r="D102" s="4">
        <v>44957</v>
      </c>
      <c r="E102" t="s">
        <v>130</v>
      </c>
      <c r="F102">
        <v>29</v>
      </c>
      <c r="G102" t="s">
        <v>36</v>
      </c>
      <c r="H102" t="s">
        <v>72</v>
      </c>
      <c r="I102" t="s">
        <v>12</v>
      </c>
      <c r="J102" t="s">
        <v>24</v>
      </c>
      <c r="K102" s="4">
        <v>44927</v>
      </c>
      <c r="L102">
        <v>2023</v>
      </c>
      <c r="M102" s="4">
        <v>44957</v>
      </c>
      <c r="N102">
        <v>1301.119999999999</v>
      </c>
      <c r="O102">
        <v>2</v>
      </c>
    </row>
    <row r="103" spans="1:15" hidden="1" x14ac:dyDescent="0.25">
      <c r="A103" s="92">
        <v>101</v>
      </c>
      <c r="B103" s="47">
        <f>MONTH(dis_table[[#This Row],[Date]])</f>
        <v>2</v>
      </c>
      <c r="C103" s="4">
        <v>44958</v>
      </c>
      <c r="D103" s="4">
        <v>44958</v>
      </c>
      <c r="E103" t="s">
        <v>70</v>
      </c>
      <c r="F103">
        <v>18.91</v>
      </c>
      <c r="G103" t="s">
        <v>22</v>
      </c>
      <c r="H103" t="s">
        <v>42</v>
      </c>
      <c r="I103" t="s">
        <v>12</v>
      </c>
      <c r="J103" t="s">
        <v>31</v>
      </c>
      <c r="K103" s="4">
        <v>44958</v>
      </c>
      <c r="L103">
        <v>2023</v>
      </c>
      <c r="M103" s="4">
        <v>44958</v>
      </c>
      <c r="N103">
        <v>1320.0299999999991</v>
      </c>
      <c r="O103">
        <v>19</v>
      </c>
    </row>
    <row r="104" spans="1:15" hidden="1" x14ac:dyDescent="0.25">
      <c r="A104" s="92">
        <v>102</v>
      </c>
      <c r="B104" s="47">
        <f>MONTH(dis_table[[#This Row],[Date]])</f>
        <v>2</v>
      </c>
      <c r="C104" s="4">
        <v>44958</v>
      </c>
      <c r="D104" s="4">
        <v>44960</v>
      </c>
      <c r="E104" t="s">
        <v>207</v>
      </c>
      <c r="F104">
        <v>21.55</v>
      </c>
      <c r="G104" t="s">
        <v>9</v>
      </c>
      <c r="H104" t="s">
        <v>14</v>
      </c>
      <c r="I104" t="s">
        <v>12</v>
      </c>
      <c r="J104" t="s">
        <v>13</v>
      </c>
      <c r="K104" s="4">
        <v>44958</v>
      </c>
      <c r="L104">
        <v>2023</v>
      </c>
      <c r="M104" s="4">
        <v>44958</v>
      </c>
      <c r="N104">
        <v>1341.579999999999</v>
      </c>
      <c r="O104">
        <v>12</v>
      </c>
    </row>
    <row r="105" spans="1:15" hidden="1" x14ac:dyDescent="0.25">
      <c r="A105" s="92">
        <v>103</v>
      </c>
      <c r="B105" s="47">
        <f>MONTH(dis_table[[#This Row],[Date]])</f>
        <v>2</v>
      </c>
      <c r="C105" s="4">
        <v>44958</v>
      </c>
      <c r="D105" s="4">
        <v>44960</v>
      </c>
      <c r="E105" t="s">
        <v>207</v>
      </c>
      <c r="F105">
        <v>5</v>
      </c>
      <c r="G105" t="s">
        <v>9</v>
      </c>
      <c r="H105" t="s">
        <v>14</v>
      </c>
      <c r="I105" t="s">
        <v>12</v>
      </c>
      <c r="J105" t="s">
        <v>13</v>
      </c>
      <c r="K105" s="4">
        <v>44958</v>
      </c>
      <c r="L105">
        <v>2023</v>
      </c>
      <c r="M105" s="4">
        <v>44958</v>
      </c>
      <c r="N105">
        <v>1346.579999999999</v>
      </c>
      <c r="O105">
        <v>13</v>
      </c>
    </row>
    <row r="106" spans="1:15" hidden="1" x14ac:dyDescent="0.25">
      <c r="A106" s="92">
        <v>104</v>
      </c>
      <c r="B106" s="47">
        <f>MONTH(dis_table[[#This Row],[Date]])</f>
        <v>2</v>
      </c>
      <c r="C106" s="4">
        <v>44958</v>
      </c>
      <c r="D106" s="4">
        <v>44960</v>
      </c>
      <c r="E106" t="s">
        <v>15</v>
      </c>
      <c r="F106">
        <v>10.59</v>
      </c>
      <c r="G106" t="s">
        <v>16</v>
      </c>
      <c r="H106" t="s">
        <v>17</v>
      </c>
      <c r="I106" t="s">
        <v>18</v>
      </c>
      <c r="J106" t="s">
        <v>19</v>
      </c>
      <c r="K106" s="4">
        <v>44958</v>
      </c>
      <c r="L106">
        <v>2023</v>
      </c>
      <c r="M106" s="4">
        <v>44958</v>
      </c>
      <c r="N106">
        <v>1357.1699999999989</v>
      </c>
      <c r="O106">
        <v>2</v>
      </c>
    </row>
    <row r="107" spans="1:15" hidden="1" x14ac:dyDescent="0.25">
      <c r="A107" s="92">
        <v>105</v>
      </c>
      <c r="B107" s="47">
        <f>MONTH(dis_table[[#This Row],[Date]])</f>
        <v>2</v>
      </c>
      <c r="C107" s="4">
        <v>44958</v>
      </c>
      <c r="D107" s="4">
        <v>44958</v>
      </c>
      <c r="E107" t="s">
        <v>130</v>
      </c>
      <c r="F107">
        <v>29</v>
      </c>
      <c r="G107" t="s">
        <v>36</v>
      </c>
      <c r="H107" t="s">
        <v>72</v>
      </c>
      <c r="I107" t="s">
        <v>12</v>
      </c>
      <c r="J107" t="s">
        <v>24</v>
      </c>
      <c r="K107" s="4">
        <v>44958</v>
      </c>
      <c r="L107">
        <v>2023</v>
      </c>
      <c r="M107" s="4">
        <v>44958</v>
      </c>
      <c r="N107">
        <v>1386.1699999999989</v>
      </c>
      <c r="O107">
        <v>3</v>
      </c>
    </row>
    <row r="108" spans="1:15" hidden="1" x14ac:dyDescent="0.25">
      <c r="A108" s="92">
        <v>106</v>
      </c>
      <c r="B108" s="47">
        <f>MONTH(dis_table[[#This Row],[Date]])</f>
        <v>2</v>
      </c>
      <c r="C108" s="4">
        <v>44958</v>
      </c>
      <c r="D108" s="4">
        <v>44958</v>
      </c>
      <c r="E108" t="s">
        <v>70</v>
      </c>
      <c r="F108">
        <v>11.91</v>
      </c>
      <c r="G108" t="s">
        <v>22</v>
      </c>
      <c r="H108" t="s">
        <v>42</v>
      </c>
      <c r="I108" t="s">
        <v>12</v>
      </c>
      <c r="J108" t="s">
        <v>31</v>
      </c>
      <c r="K108" s="4">
        <v>44958</v>
      </c>
      <c r="L108">
        <v>2023</v>
      </c>
      <c r="M108" s="4">
        <v>44958</v>
      </c>
      <c r="N108">
        <v>1398.079999999999</v>
      </c>
      <c r="O108">
        <v>20</v>
      </c>
    </row>
    <row r="109" spans="1:15" hidden="1" x14ac:dyDescent="0.25">
      <c r="A109" s="92">
        <v>107</v>
      </c>
      <c r="B109" s="47">
        <f>MONTH(dis_table[[#This Row],[Date]])</f>
        <v>2</v>
      </c>
      <c r="C109" s="4">
        <v>44958</v>
      </c>
      <c r="D109" s="4">
        <v>44958</v>
      </c>
      <c r="E109" t="s">
        <v>206</v>
      </c>
      <c r="F109">
        <v>8.99</v>
      </c>
      <c r="G109" t="s">
        <v>9</v>
      </c>
      <c r="H109" t="s">
        <v>14</v>
      </c>
      <c r="I109" t="s">
        <v>12</v>
      </c>
      <c r="J109" t="s">
        <v>13</v>
      </c>
      <c r="K109" s="4">
        <v>44958</v>
      </c>
      <c r="L109">
        <v>2023</v>
      </c>
      <c r="M109" s="4">
        <v>44958</v>
      </c>
      <c r="N109">
        <v>1407.069999999999</v>
      </c>
      <c r="O109">
        <v>14</v>
      </c>
    </row>
    <row r="110" spans="1:15" hidden="1" x14ac:dyDescent="0.25">
      <c r="A110" s="92">
        <v>108</v>
      </c>
      <c r="B110" s="47">
        <f>MONTH(dis_table[[#This Row],[Date]])</f>
        <v>2</v>
      </c>
      <c r="C110" s="4">
        <v>44958</v>
      </c>
      <c r="D110" s="4">
        <v>44958</v>
      </c>
      <c r="E110" t="s">
        <v>70</v>
      </c>
      <c r="F110">
        <v>5</v>
      </c>
      <c r="G110" t="s">
        <v>22</v>
      </c>
      <c r="H110" t="s">
        <v>42</v>
      </c>
      <c r="I110" t="s">
        <v>12</v>
      </c>
      <c r="J110" t="s">
        <v>31</v>
      </c>
      <c r="K110" s="4">
        <v>44958</v>
      </c>
      <c r="L110">
        <v>2023</v>
      </c>
      <c r="M110" s="4">
        <v>44958</v>
      </c>
      <c r="N110">
        <v>1412.069999999999</v>
      </c>
      <c r="O110">
        <v>21</v>
      </c>
    </row>
    <row r="111" spans="1:15" hidden="1" x14ac:dyDescent="0.25">
      <c r="A111" s="92">
        <v>109</v>
      </c>
      <c r="B111" s="47">
        <f>MONTH(dis_table[[#This Row],[Date]])</f>
        <v>2</v>
      </c>
      <c r="C111" s="4">
        <v>44958</v>
      </c>
      <c r="D111" s="4">
        <v>44958</v>
      </c>
      <c r="E111" t="s">
        <v>70</v>
      </c>
      <c r="F111">
        <v>5</v>
      </c>
      <c r="G111" t="s">
        <v>22</v>
      </c>
      <c r="H111" t="s">
        <v>42</v>
      </c>
      <c r="I111" t="s">
        <v>12</v>
      </c>
      <c r="J111" t="s">
        <v>31</v>
      </c>
      <c r="K111" s="4">
        <v>44958</v>
      </c>
      <c r="L111">
        <v>2023</v>
      </c>
      <c r="M111" s="4">
        <v>44958</v>
      </c>
      <c r="N111">
        <v>1417.069999999999</v>
      </c>
      <c r="O111">
        <v>22</v>
      </c>
    </row>
    <row r="112" spans="1:15" hidden="1" x14ac:dyDescent="0.25">
      <c r="A112" s="92">
        <v>110</v>
      </c>
      <c r="B112" s="47">
        <f>MONTH(dis_table[[#This Row],[Date]])</f>
        <v>2</v>
      </c>
      <c r="C112" s="4">
        <v>44958</v>
      </c>
      <c r="D112" s="4">
        <v>44958</v>
      </c>
      <c r="E112" t="s">
        <v>70</v>
      </c>
      <c r="F112">
        <v>5</v>
      </c>
      <c r="G112" t="s">
        <v>22</v>
      </c>
      <c r="H112" t="s">
        <v>42</v>
      </c>
      <c r="I112" t="s">
        <v>12</v>
      </c>
      <c r="J112" t="s">
        <v>31</v>
      </c>
      <c r="K112" s="4">
        <v>44958</v>
      </c>
      <c r="L112">
        <v>2023</v>
      </c>
      <c r="M112" s="4">
        <v>44958</v>
      </c>
      <c r="N112">
        <v>1422.069999999999</v>
      </c>
      <c r="O112">
        <v>23</v>
      </c>
    </row>
    <row r="113" spans="1:15" hidden="1" x14ac:dyDescent="0.25">
      <c r="A113" s="92">
        <v>111</v>
      </c>
      <c r="B113" s="47">
        <f>MONTH(dis_table[[#This Row],[Date]])</f>
        <v>2</v>
      </c>
      <c r="C113" s="4">
        <v>44958</v>
      </c>
      <c r="D113" s="4">
        <v>44958</v>
      </c>
      <c r="E113" t="s">
        <v>205</v>
      </c>
      <c r="F113">
        <v>33.06</v>
      </c>
      <c r="G113" t="s">
        <v>34</v>
      </c>
      <c r="H113" t="s">
        <v>14</v>
      </c>
      <c r="I113" t="s">
        <v>12</v>
      </c>
      <c r="J113" t="s">
        <v>13</v>
      </c>
      <c r="K113" s="4">
        <v>44958</v>
      </c>
      <c r="L113">
        <v>2023</v>
      </c>
      <c r="M113" s="4">
        <v>44958</v>
      </c>
      <c r="N113">
        <v>1455.129999999999</v>
      </c>
      <c r="O113">
        <v>15</v>
      </c>
    </row>
    <row r="114" spans="1:15" hidden="1" x14ac:dyDescent="0.25">
      <c r="A114" s="92">
        <v>112</v>
      </c>
      <c r="B114" s="47">
        <f>MONTH(dis_table[[#This Row],[Date]])</f>
        <v>2</v>
      </c>
      <c r="C114" s="4">
        <v>44958</v>
      </c>
      <c r="D114" s="4">
        <v>44958</v>
      </c>
      <c r="E114" t="s">
        <v>204</v>
      </c>
      <c r="F114">
        <v>4.99</v>
      </c>
      <c r="G114" t="s">
        <v>16</v>
      </c>
      <c r="H114" t="s">
        <v>20</v>
      </c>
      <c r="I114" t="s">
        <v>18</v>
      </c>
      <c r="J114" t="s">
        <v>19</v>
      </c>
      <c r="K114" s="4">
        <v>44958</v>
      </c>
      <c r="L114">
        <v>2023</v>
      </c>
      <c r="M114" s="4">
        <v>44958</v>
      </c>
      <c r="N114">
        <v>1460.119999999999</v>
      </c>
      <c r="O114">
        <v>2</v>
      </c>
    </row>
    <row r="115" spans="1:15" hidden="1" x14ac:dyDescent="0.25">
      <c r="A115" s="92">
        <v>113</v>
      </c>
      <c r="B115" s="47">
        <f>MONTH(dis_table[[#This Row],[Date]])</f>
        <v>2</v>
      </c>
      <c r="C115" s="4">
        <v>44958</v>
      </c>
      <c r="D115" s="4">
        <v>44958</v>
      </c>
      <c r="E115" t="s">
        <v>202</v>
      </c>
      <c r="F115">
        <v>5.42</v>
      </c>
      <c r="G115" t="s">
        <v>36</v>
      </c>
      <c r="H115" t="s">
        <v>203</v>
      </c>
      <c r="I115" t="s">
        <v>18</v>
      </c>
      <c r="J115" t="s">
        <v>19</v>
      </c>
      <c r="K115" s="4">
        <v>44958</v>
      </c>
      <c r="L115">
        <v>2023</v>
      </c>
      <c r="M115" s="4">
        <v>44958</v>
      </c>
      <c r="N115">
        <v>1465.5399999999991</v>
      </c>
      <c r="O115">
        <v>1</v>
      </c>
    </row>
    <row r="116" spans="1:15" hidden="1" x14ac:dyDescent="0.25">
      <c r="A116" s="92">
        <v>114</v>
      </c>
      <c r="B116" s="47">
        <f>MONTH(dis_table[[#This Row],[Date]])</f>
        <v>2</v>
      </c>
      <c r="C116" s="4">
        <v>44959</v>
      </c>
      <c r="D116" s="4">
        <v>44960</v>
      </c>
      <c r="E116" t="s">
        <v>208</v>
      </c>
      <c r="F116">
        <v>68</v>
      </c>
      <c r="G116" t="s">
        <v>58</v>
      </c>
      <c r="H116" t="s">
        <v>209</v>
      </c>
      <c r="I116" t="s">
        <v>18</v>
      </c>
      <c r="J116" t="s">
        <v>59</v>
      </c>
      <c r="K116" s="4">
        <v>44958</v>
      </c>
      <c r="L116">
        <v>2023</v>
      </c>
      <c r="M116" s="4">
        <v>44959</v>
      </c>
      <c r="N116">
        <v>1533.5399999999991</v>
      </c>
      <c r="O116">
        <v>1</v>
      </c>
    </row>
    <row r="117" spans="1:15" hidden="1" x14ac:dyDescent="0.25">
      <c r="A117" s="92">
        <v>115</v>
      </c>
      <c r="B117" s="47">
        <f>MONTH(dis_table[[#This Row],[Date]])</f>
        <v>2</v>
      </c>
      <c r="C117" s="4">
        <v>44959</v>
      </c>
      <c r="D117" s="4">
        <v>44960</v>
      </c>
      <c r="E117" t="s">
        <v>123</v>
      </c>
      <c r="F117">
        <v>10</v>
      </c>
      <c r="G117" t="s">
        <v>16</v>
      </c>
      <c r="H117" t="s">
        <v>369</v>
      </c>
      <c r="I117" t="s">
        <v>18</v>
      </c>
      <c r="J117" t="s">
        <v>24</v>
      </c>
      <c r="K117" s="4">
        <v>44958</v>
      </c>
      <c r="L117">
        <v>2023</v>
      </c>
      <c r="M117" s="4">
        <v>44959</v>
      </c>
      <c r="N117">
        <v>1543.5399999999991</v>
      </c>
      <c r="O117">
        <v>2</v>
      </c>
    </row>
    <row r="118" spans="1:15" hidden="1" x14ac:dyDescent="0.25">
      <c r="A118" s="92">
        <v>116</v>
      </c>
      <c r="B118" s="47">
        <f>MONTH(dis_table[[#This Row],[Date]])</f>
        <v>2</v>
      </c>
      <c r="C118" s="4">
        <v>44959</v>
      </c>
      <c r="D118" s="4">
        <v>44960</v>
      </c>
      <c r="E118" t="s">
        <v>43</v>
      </c>
      <c r="F118">
        <v>10</v>
      </c>
      <c r="G118" t="s">
        <v>16</v>
      </c>
      <c r="H118" t="s">
        <v>44</v>
      </c>
      <c r="I118" t="s">
        <v>18</v>
      </c>
      <c r="J118" t="s">
        <v>19</v>
      </c>
      <c r="K118" s="4">
        <v>44958</v>
      </c>
      <c r="L118">
        <v>2023</v>
      </c>
      <c r="M118" s="4">
        <v>44959</v>
      </c>
      <c r="N118">
        <v>1553.5399999999991</v>
      </c>
      <c r="O118">
        <v>2</v>
      </c>
    </row>
    <row r="119" spans="1:15" hidden="1" x14ac:dyDescent="0.25">
      <c r="A119" s="92">
        <v>117</v>
      </c>
      <c r="B119" s="47">
        <f>MONTH(dis_table[[#This Row],[Date]])</f>
        <v>2</v>
      </c>
      <c r="C119" s="4">
        <v>44959</v>
      </c>
      <c r="D119" s="4">
        <v>44960</v>
      </c>
      <c r="E119" t="s">
        <v>81</v>
      </c>
      <c r="F119">
        <v>10.63</v>
      </c>
      <c r="G119" t="s">
        <v>16</v>
      </c>
      <c r="H119" t="s">
        <v>45</v>
      </c>
      <c r="I119" t="s">
        <v>12</v>
      </c>
      <c r="J119" t="s">
        <v>19</v>
      </c>
      <c r="K119" s="4">
        <v>44958</v>
      </c>
      <c r="L119">
        <v>2023</v>
      </c>
      <c r="M119" s="4">
        <v>44959</v>
      </c>
      <c r="N119">
        <v>1564.1699999999989</v>
      </c>
      <c r="O119">
        <v>4</v>
      </c>
    </row>
    <row r="120" spans="1:15" hidden="1" x14ac:dyDescent="0.25">
      <c r="A120" s="92">
        <v>118</v>
      </c>
      <c r="B120" s="47">
        <f>MONTH(dis_table[[#This Row],[Date]])</f>
        <v>2</v>
      </c>
      <c r="C120" s="4">
        <v>44959</v>
      </c>
      <c r="D120" s="4">
        <v>44959</v>
      </c>
      <c r="E120" t="s">
        <v>70</v>
      </c>
      <c r="F120">
        <v>15.99</v>
      </c>
      <c r="G120" t="s">
        <v>22</v>
      </c>
      <c r="H120" t="s">
        <v>42</v>
      </c>
      <c r="I120" t="s">
        <v>12</v>
      </c>
      <c r="J120" t="s">
        <v>31</v>
      </c>
      <c r="K120" s="4">
        <v>44958</v>
      </c>
      <c r="L120">
        <v>2023</v>
      </c>
      <c r="M120" s="4">
        <v>44959</v>
      </c>
      <c r="N120">
        <v>1580.1599999999989</v>
      </c>
      <c r="O120">
        <v>24</v>
      </c>
    </row>
    <row r="121" spans="1:15" hidden="1" x14ac:dyDescent="0.25">
      <c r="A121" s="92">
        <v>119</v>
      </c>
      <c r="B121" s="47">
        <f>MONTH(dis_table[[#This Row],[Date]])</f>
        <v>2</v>
      </c>
      <c r="C121" s="4">
        <v>44959</v>
      </c>
      <c r="D121" s="4">
        <v>44959</v>
      </c>
      <c r="E121" t="s">
        <v>70</v>
      </c>
      <c r="F121">
        <v>12.96</v>
      </c>
      <c r="G121" t="s">
        <v>22</v>
      </c>
      <c r="H121" t="s">
        <v>42</v>
      </c>
      <c r="I121" t="s">
        <v>12</v>
      </c>
      <c r="J121" t="s">
        <v>31</v>
      </c>
      <c r="K121" s="4">
        <v>44958</v>
      </c>
      <c r="L121">
        <v>2023</v>
      </c>
      <c r="M121" s="4">
        <v>44959</v>
      </c>
      <c r="N121">
        <v>1593.119999999999</v>
      </c>
      <c r="O121">
        <v>25</v>
      </c>
    </row>
    <row r="122" spans="1:15" hidden="1" x14ac:dyDescent="0.25">
      <c r="A122" s="92">
        <v>120</v>
      </c>
      <c r="B122" s="47">
        <f>MONTH(dis_table[[#This Row],[Date]])</f>
        <v>2</v>
      </c>
      <c r="C122" s="4">
        <v>44959</v>
      </c>
      <c r="D122" s="4">
        <v>44959</v>
      </c>
      <c r="E122" t="s">
        <v>70</v>
      </c>
      <c r="F122">
        <v>5</v>
      </c>
      <c r="G122" t="s">
        <v>22</v>
      </c>
      <c r="H122" t="s">
        <v>42</v>
      </c>
      <c r="I122" t="s">
        <v>12</v>
      </c>
      <c r="J122" t="s">
        <v>31</v>
      </c>
      <c r="K122" s="4">
        <v>44958</v>
      </c>
      <c r="L122">
        <v>2023</v>
      </c>
      <c r="M122" s="4">
        <v>44959</v>
      </c>
      <c r="N122">
        <v>1598.119999999999</v>
      </c>
      <c r="O122">
        <v>26</v>
      </c>
    </row>
    <row r="123" spans="1:15" hidden="1" x14ac:dyDescent="0.25">
      <c r="A123" s="92">
        <v>121</v>
      </c>
      <c r="B123" s="47">
        <f>MONTH(dis_table[[#This Row],[Date]])</f>
        <v>2</v>
      </c>
      <c r="C123" s="4">
        <v>44959</v>
      </c>
      <c r="D123" s="4">
        <v>44960</v>
      </c>
      <c r="E123" t="s">
        <v>81</v>
      </c>
      <c r="F123">
        <v>3.72</v>
      </c>
      <c r="G123" t="s">
        <v>16</v>
      </c>
      <c r="H123" t="s">
        <v>45</v>
      </c>
      <c r="I123" t="s">
        <v>12</v>
      </c>
      <c r="J123" t="s">
        <v>19</v>
      </c>
      <c r="K123" s="4">
        <v>44958</v>
      </c>
      <c r="L123">
        <v>2023</v>
      </c>
      <c r="M123" s="4">
        <v>44959</v>
      </c>
      <c r="N123">
        <v>1601.839999999999</v>
      </c>
      <c r="O123">
        <v>5</v>
      </c>
    </row>
    <row r="124" spans="1:15" hidden="1" x14ac:dyDescent="0.25">
      <c r="A124" s="92">
        <v>122</v>
      </c>
      <c r="B124" s="47">
        <f>MONTH(dis_table[[#This Row],[Date]])</f>
        <v>2</v>
      </c>
      <c r="C124" s="4">
        <v>44960</v>
      </c>
      <c r="D124" s="4">
        <v>44960</v>
      </c>
      <c r="E124" t="s">
        <v>212</v>
      </c>
      <c r="F124">
        <v>12.08</v>
      </c>
      <c r="G124" t="s">
        <v>9</v>
      </c>
      <c r="H124" t="s">
        <v>10</v>
      </c>
      <c r="I124" t="s">
        <v>12</v>
      </c>
      <c r="J124" t="s">
        <v>13</v>
      </c>
      <c r="K124" s="4">
        <v>44958</v>
      </c>
      <c r="L124">
        <v>2023</v>
      </c>
      <c r="M124" s="4">
        <v>44960</v>
      </c>
      <c r="N124">
        <v>1613.9199999999989</v>
      </c>
      <c r="O124">
        <v>8</v>
      </c>
    </row>
    <row r="125" spans="1:15" hidden="1" x14ac:dyDescent="0.25">
      <c r="A125" s="92">
        <v>123</v>
      </c>
      <c r="B125" s="47">
        <f>MONTH(dis_table[[#This Row],[Date]])</f>
        <v>2</v>
      </c>
      <c r="C125" s="4">
        <v>44960</v>
      </c>
      <c r="D125" s="4">
        <v>44960</v>
      </c>
      <c r="E125" t="s">
        <v>70</v>
      </c>
      <c r="F125">
        <v>5</v>
      </c>
      <c r="G125" t="s">
        <v>22</v>
      </c>
      <c r="H125" t="s">
        <v>42</v>
      </c>
      <c r="I125" t="s">
        <v>12</v>
      </c>
      <c r="J125" t="s">
        <v>31</v>
      </c>
      <c r="K125" s="4">
        <v>44958</v>
      </c>
      <c r="L125">
        <v>2023</v>
      </c>
      <c r="M125" s="4">
        <v>44960</v>
      </c>
      <c r="N125">
        <v>1618.9199999999989</v>
      </c>
      <c r="O125">
        <v>27</v>
      </c>
    </row>
    <row r="126" spans="1:15" hidden="1" x14ac:dyDescent="0.25">
      <c r="A126" s="92">
        <v>124</v>
      </c>
      <c r="B126" s="47">
        <f>MONTH(dis_table[[#This Row],[Date]])</f>
        <v>2</v>
      </c>
      <c r="C126" s="4">
        <v>44960</v>
      </c>
      <c r="D126" s="4">
        <v>44960</v>
      </c>
      <c r="E126" t="s">
        <v>50</v>
      </c>
      <c r="F126">
        <v>90.09</v>
      </c>
      <c r="G126" t="s">
        <v>16</v>
      </c>
      <c r="H126" t="s">
        <v>51</v>
      </c>
      <c r="I126" t="s">
        <v>18</v>
      </c>
      <c r="J126" t="s">
        <v>52</v>
      </c>
      <c r="K126" s="4">
        <v>44958</v>
      </c>
      <c r="L126">
        <v>2023</v>
      </c>
      <c r="M126" s="4">
        <v>44960</v>
      </c>
      <c r="N126">
        <v>1709.0099999999991</v>
      </c>
      <c r="O126">
        <v>2</v>
      </c>
    </row>
    <row r="127" spans="1:15" hidden="1" x14ac:dyDescent="0.25">
      <c r="A127" s="92">
        <v>125</v>
      </c>
      <c r="B127" s="47">
        <f>MONTH(dis_table[[#This Row],[Date]])</f>
        <v>2</v>
      </c>
      <c r="C127" s="4">
        <v>44960</v>
      </c>
      <c r="D127" s="4">
        <v>44960</v>
      </c>
      <c r="E127" t="s">
        <v>211</v>
      </c>
      <c r="F127">
        <v>6.05</v>
      </c>
      <c r="G127" t="s">
        <v>9</v>
      </c>
      <c r="H127" t="s">
        <v>14</v>
      </c>
      <c r="I127" t="s">
        <v>12</v>
      </c>
      <c r="J127" t="s">
        <v>13</v>
      </c>
      <c r="K127" s="4">
        <v>44958</v>
      </c>
      <c r="L127">
        <v>2023</v>
      </c>
      <c r="M127" s="4">
        <v>44960</v>
      </c>
      <c r="N127">
        <v>1715.059999999999</v>
      </c>
      <c r="O127">
        <v>16</v>
      </c>
    </row>
    <row r="128" spans="1:15" hidden="1" x14ac:dyDescent="0.25">
      <c r="A128" s="92">
        <v>126</v>
      </c>
      <c r="B128" s="47">
        <f>MONTH(dis_table[[#This Row],[Date]])</f>
        <v>2</v>
      </c>
      <c r="C128" s="4">
        <v>44960</v>
      </c>
      <c r="D128" s="4">
        <v>44960</v>
      </c>
      <c r="E128" t="s">
        <v>143</v>
      </c>
      <c r="F128">
        <v>-55.37</v>
      </c>
      <c r="G128" t="s">
        <v>32</v>
      </c>
      <c r="H128" t="s">
        <v>1027</v>
      </c>
      <c r="I128" t="s">
        <v>12</v>
      </c>
      <c r="J128" t="s">
        <v>122</v>
      </c>
      <c r="K128" s="4">
        <v>44958</v>
      </c>
      <c r="L128">
        <v>2023</v>
      </c>
      <c r="M128" s="4">
        <v>44960</v>
      </c>
      <c r="N128">
        <v>1659.6899999999989</v>
      </c>
      <c r="O128">
        <v>2</v>
      </c>
    </row>
    <row r="129" spans="1:15" hidden="1" x14ac:dyDescent="0.25">
      <c r="A129" s="92">
        <v>127</v>
      </c>
      <c r="B129" s="47">
        <f>MONTH(dis_table[[#This Row],[Date]])</f>
        <v>2</v>
      </c>
      <c r="C129" s="4">
        <v>44960</v>
      </c>
      <c r="D129" s="4">
        <v>44960</v>
      </c>
      <c r="E129" t="s">
        <v>81</v>
      </c>
      <c r="F129">
        <v>12.75</v>
      </c>
      <c r="G129" t="s">
        <v>16</v>
      </c>
      <c r="H129" t="s">
        <v>45</v>
      </c>
      <c r="I129" t="s">
        <v>12</v>
      </c>
      <c r="J129" t="s">
        <v>19</v>
      </c>
      <c r="K129" s="4">
        <v>44958</v>
      </c>
      <c r="L129">
        <v>2023</v>
      </c>
      <c r="M129" s="4">
        <v>44960</v>
      </c>
      <c r="N129">
        <v>1672.4399999999989</v>
      </c>
      <c r="O129">
        <v>6</v>
      </c>
    </row>
    <row r="130" spans="1:15" hidden="1" x14ac:dyDescent="0.25">
      <c r="A130" s="92">
        <v>128</v>
      </c>
      <c r="B130" s="47">
        <f>MONTH(dis_table[[#This Row],[Date]])</f>
        <v>2</v>
      </c>
      <c r="C130" s="4">
        <v>44960</v>
      </c>
      <c r="D130" s="4">
        <v>44960</v>
      </c>
      <c r="E130" t="s">
        <v>185</v>
      </c>
      <c r="F130">
        <v>38</v>
      </c>
      <c r="G130" t="s">
        <v>36</v>
      </c>
      <c r="H130" t="s">
        <v>186</v>
      </c>
      <c r="I130" t="s">
        <v>12</v>
      </c>
      <c r="J130" t="s">
        <v>37</v>
      </c>
      <c r="K130" s="4">
        <v>44958</v>
      </c>
      <c r="L130">
        <v>2023</v>
      </c>
      <c r="M130" s="4">
        <v>44960</v>
      </c>
      <c r="N130">
        <v>1710.4399999999989</v>
      </c>
      <c r="O130">
        <v>2</v>
      </c>
    </row>
    <row r="131" spans="1:15" hidden="1" x14ac:dyDescent="0.25">
      <c r="A131" s="92">
        <v>129</v>
      </c>
      <c r="B131" s="47">
        <f>MONTH(dis_table[[#This Row],[Date]])</f>
        <v>2</v>
      </c>
      <c r="C131" s="4">
        <v>44960</v>
      </c>
      <c r="D131" s="4">
        <v>44960</v>
      </c>
      <c r="E131" t="s">
        <v>210</v>
      </c>
      <c r="F131">
        <v>15.89</v>
      </c>
      <c r="G131" t="s">
        <v>36</v>
      </c>
      <c r="H131" t="s">
        <v>54</v>
      </c>
      <c r="I131" t="s">
        <v>18</v>
      </c>
      <c r="J131" t="s">
        <v>19</v>
      </c>
      <c r="K131" s="4">
        <v>44958</v>
      </c>
      <c r="L131">
        <v>2023</v>
      </c>
      <c r="M131" s="4">
        <v>44960</v>
      </c>
      <c r="N131">
        <v>1726.329999999999</v>
      </c>
      <c r="O131">
        <v>3</v>
      </c>
    </row>
    <row r="132" spans="1:15" hidden="1" x14ac:dyDescent="0.25">
      <c r="A132" s="92">
        <v>130</v>
      </c>
      <c r="B132" s="47">
        <f>MONTH(dis_table[[#This Row],[Date]])</f>
        <v>2</v>
      </c>
      <c r="C132" s="4">
        <v>44961</v>
      </c>
      <c r="D132" s="4">
        <v>44961</v>
      </c>
      <c r="E132" t="s">
        <v>81</v>
      </c>
      <c r="F132">
        <v>17</v>
      </c>
      <c r="G132" t="s">
        <v>16</v>
      </c>
      <c r="H132" t="s">
        <v>45</v>
      </c>
      <c r="I132" t="s">
        <v>12</v>
      </c>
      <c r="J132" t="s">
        <v>19</v>
      </c>
      <c r="K132" s="4">
        <v>44958</v>
      </c>
      <c r="L132">
        <v>2023</v>
      </c>
      <c r="M132" s="4">
        <v>44961</v>
      </c>
      <c r="N132">
        <v>1743.329999999999</v>
      </c>
      <c r="O132">
        <v>7</v>
      </c>
    </row>
    <row r="133" spans="1:15" hidden="1" x14ac:dyDescent="0.25">
      <c r="A133" s="92">
        <v>131</v>
      </c>
      <c r="B133" s="47">
        <f>MONTH(dis_table[[#This Row],[Date]])</f>
        <v>2</v>
      </c>
      <c r="C133" s="4">
        <v>44961</v>
      </c>
      <c r="D133" s="4">
        <v>44961</v>
      </c>
      <c r="E133" t="s">
        <v>144</v>
      </c>
      <c r="F133">
        <v>49</v>
      </c>
      <c r="G133" t="s">
        <v>69</v>
      </c>
      <c r="H133" t="s">
        <v>145</v>
      </c>
      <c r="I133" t="s">
        <v>18</v>
      </c>
      <c r="J133" t="s">
        <v>24</v>
      </c>
      <c r="K133" s="4">
        <v>44958</v>
      </c>
      <c r="L133">
        <v>2023</v>
      </c>
      <c r="M133" s="4">
        <v>44961</v>
      </c>
      <c r="N133">
        <v>1792.329999999999</v>
      </c>
      <c r="O133">
        <v>2</v>
      </c>
    </row>
    <row r="134" spans="1:15" hidden="1" x14ac:dyDescent="0.25">
      <c r="A134" s="92">
        <v>132</v>
      </c>
      <c r="B134" s="47">
        <f>MONTH(dis_table[[#This Row],[Date]])</f>
        <v>2</v>
      </c>
      <c r="C134" s="4">
        <v>44961</v>
      </c>
      <c r="D134" s="4">
        <v>44961</v>
      </c>
      <c r="E134" t="s">
        <v>213</v>
      </c>
      <c r="F134">
        <v>152.88999999999999</v>
      </c>
      <c r="G134" t="s">
        <v>34</v>
      </c>
      <c r="H134" t="s">
        <v>214</v>
      </c>
      <c r="I134" t="s">
        <v>12</v>
      </c>
      <c r="J134" t="s">
        <v>24</v>
      </c>
      <c r="K134" s="4">
        <v>44958</v>
      </c>
      <c r="L134">
        <v>2023</v>
      </c>
      <c r="M134" s="4">
        <v>44961</v>
      </c>
      <c r="N134">
        <v>1945.2199999999989</v>
      </c>
      <c r="O134">
        <v>2</v>
      </c>
    </row>
    <row r="135" spans="1:15" hidden="1" x14ac:dyDescent="0.25">
      <c r="A135" s="92">
        <v>133</v>
      </c>
      <c r="B135" s="47">
        <f>MONTH(dis_table[[#This Row],[Date]])</f>
        <v>2</v>
      </c>
      <c r="C135" s="4">
        <v>44961</v>
      </c>
      <c r="D135" s="4">
        <v>44961</v>
      </c>
      <c r="E135" t="s">
        <v>125</v>
      </c>
      <c r="F135">
        <v>18.829999999999998</v>
      </c>
      <c r="G135" t="s">
        <v>34</v>
      </c>
      <c r="H135" t="s">
        <v>133</v>
      </c>
      <c r="I135" t="s">
        <v>12</v>
      </c>
      <c r="J135" t="s">
        <v>24</v>
      </c>
      <c r="K135" s="4">
        <v>44958</v>
      </c>
      <c r="L135">
        <v>2023</v>
      </c>
      <c r="M135" s="4">
        <v>44961</v>
      </c>
      <c r="N135">
        <v>1964.049999999999</v>
      </c>
      <c r="O135">
        <v>4</v>
      </c>
    </row>
    <row r="136" spans="1:15" hidden="1" x14ac:dyDescent="0.25">
      <c r="A136" s="92">
        <v>134</v>
      </c>
      <c r="B136" s="47">
        <f>MONTH(dis_table[[#This Row],[Date]])</f>
        <v>2</v>
      </c>
      <c r="C136" s="4">
        <v>44962</v>
      </c>
      <c r="D136" s="4">
        <v>44962</v>
      </c>
      <c r="E136" t="s">
        <v>70</v>
      </c>
      <c r="F136">
        <v>48.9</v>
      </c>
      <c r="G136" t="s">
        <v>22</v>
      </c>
      <c r="H136" t="s">
        <v>42</v>
      </c>
      <c r="I136" t="s">
        <v>12</v>
      </c>
      <c r="J136" t="s">
        <v>31</v>
      </c>
      <c r="K136" s="4">
        <v>44958</v>
      </c>
      <c r="L136">
        <v>2023</v>
      </c>
      <c r="M136" s="4">
        <v>44962</v>
      </c>
      <c r="N136">
        <v>2012.9499999999989</v>
      </c>
      <c r="O136">
        <v>28</v>
      </c>
    </row>
    <row r="137" spans="1:15" hidden="1" x14ac:dyDescent="0.25">
      <c r="A137" s="92">
        <v>135</v>
      </c>
      <c r="B137" s="47">
        <f>MONTH(dis_table[[#This Row],[Date]])</f>
        <v>2</v>
      </c>
      <c r="C137" s="4">
        <v>44962</v>
      </c>
      <c r="D137" s="4">
        <v>44962</v>
      </c>
      <c r="E137" t="s">
        <v>78</v>
      </c>
      <c r="F137">
        <v>8</v>
      </c>
      <c r="G137" t="s">
        <v>22</v>
      </c>
      <c r="H137" t="s">
        <v>55</v>
      </c>
      <c r="I137" t="s">
        <v>12</v>
      </c>
      <c r="J137" t="s">
        <v>31</v>
      </c>
      <c r="K137" s="4">
        <v>44958</v>
      </c>
      <c r="L137">
        <v>2023</v>
      </c>
      <c r="M137" s="4">
        <v>44962</v>
      </c>
      <c r="N137">
        <v>2020.9499999999989</v>
      </c>
      <c r="O137">
        <v>5</v>
      </c>
    </row>
    <row r="138" spans="1:15" hidden="1" x14ac:dyDescent="0.25">
      <c r="A138" s="92">
        <v>136</v>
      </c>
      <c r="B138" s="47">
        <f>MONTH(dis_table[[#This Row],[Date]])</f>
        <v>2</v>
      </c>
      <c r="C138" s="4">
        <v>44962</v>
      </c>
      <c r="D138" s="4">
        <v>44962</v>
      </c>
      <c r="E138" t="s">
        <v>78</v>
      </c>
      <c r="F138">
        <v>8</v>
      </c>
      <c r="G138" t="s">
        <v>22</v>
      </c>
      <c r="H138" t="s">
        <v>55</v>
      </c>
      <c r="I138" t="s">
        <v>12</v>
      </c>
      <c r="J138" t="s">
        <v>31</v>
      </c>
      <c r="K138" s="4">
        <v>44958</v>
      </c>
      <c r="L138">
        <v>2023</v>
      </c>
      <c r="M138" s="4">
        <v>44962</v>
      </c>
      <c r="N138">
        <v>2028.9499999999989</v>
      </c>
      <c r="O138">
        <v>6</v>
      </c>
    </row>
    <row r="139" spans="1:15" hidden="1" x14ac:dyDescent="0.25">
      <c r="A139" s="92">
        <v>137</v>
      </c>
      <c r="B139" s="47">
        <f>MONTH(dis_table[[#This Row],[Date]])</f>
        <v>2</v>
      </c>
      <c r="C139" s="4">
        <v>44962</v>
      </c>
      <c r="D139" s="4">
        <v>44962</v>
      </c>
      <c r="E139" t="s">
        <v>70</v>
      </c>
      <c r="F139">
        <v>12.22</v>
      </c>
      <c r="G139" t="s">
        <v>22</v>
      </c>
      <c r="H139" t="s">
        <v>42</v>
      </c>
      <c r="I139" t="s">
        <v>12</v>
      </c>
      <c r="J139" t="s">
        <v>31</v>
      </c>
      <c r="K139" s="4">
        <v>44958</v>
      </c>
      <c r="L139">
        <v>2023</v>
      </c>
      <c r="M139" s="4">
        <v>44962</v>
      </c>
      <c r="N139">
        <v>2041.1699999999989</v>
      </c>
      <c r="O139">
        <v>29</v>
      </c>
    </row>
    <row r="140" spans="1:15" hidden="1" x14ac:dyDescent="0.25">
      <c r="A140" s="92">
        <v>138</v>
      </c>
      <c r="B140" s="47">
        <f>MONTH(dis_table[[#This Row],[Date]])</f>
        <v>2</v>
      </c>
      <c r="C140" s="4">
        <v>44962</v>
      </c>
      <c r="D140" s="4">
        <v>44962</v>
      </c>
      <c r="E140" t="s">
        <v>172</v>
      </c>
      <c r="F140">
        <v>35</v>
      </c>
      <c r="G140" t="s">
        <v>22</v>
      </c>
      <c r="H140" t="s">
        <v>55</v>
      </c>
      <c r="I140" t="s">
        <v>12</v>
      </c>
      <c r="J140" t="s">
        <v>31</v>
      </c>
      <c r="K140" s="4">
        <v>44958</v>
      </c>
      <c r="L140">
        <v>2023</v>
      </c>
      <c r="M140" s="4">
        <v>44962</v>
      </c>
      <c r="N140">
        <v>2076.1699999999992</v>
      </c>
      <c r="O140">
        <v>7</v>
      </c>
    </row>
    <row r="141" spans="1:15" hidden="1" x14ac:dyDescent="0.25">
      <c r="A141" s="92">
        <v>139</v>
      </c>
      <c r="B141" s="47">
        <f>MONTH(dis_table[[#This Row],[Date]])</f>
        <v>2</v>
      </c>
      <c r="C141" s="4">
        <v>44962</v>
      </c>
      <c r="D141" s="4">
        <v>44962</v>
      </c>
      <c r="E141" t="s">
        <v>217</v>
      </c>
      <c r="F141">
        <v>4.4000000000000004</v>
      </c>
      <c r="G141" t="s">
        <v>9</v>
      </c>
      <c r="H141" t="s">
        <v>10</v>
      </c>
      <c r="I141" t="s">
        <v>12</v>
      </c>
      <c r="J141" t="s">
        <v>13</v>
      </c>
      <c r="K141" s="4">
        <v>44958</v>
      </c>
      <c r="L141">
        <v>2023</v>
      </c>
      <c r="M141" s="4">
        <v>44962</v>
      </c>
      <c r="N141">
        <v>2080.5699999999988</v>
      </c>
      <c r="O141">
        <v>9</v>
      </c>
    </row>
    <row r="142" spans="1:15" hidden="1" x14ac:dyDescent="0.25">
      <c r="A142" s="92">
        <v>140</v>
      </c>
      <c r="B142" s="47">
        <f>MONTH(dis_table[[#This Row],[Date]])</f>
        <v>2</v>
      </c>
      <c r="C142" s="4">
        <v>44962</v>
      </c>
      <c r="D142" s="4">
        <v>44962</v>
      </c>
      <c r="E142" t="s">
        <v>216</v>
      </c>
      <c r="F142">
        <v>12.27</v>
      </c>
      <c r="G142" t="s">
        <v>9</v>
      </c>
      <c r="H142" t="s">
        <v>14</v>
      </c>
      <c r="I142" t="s">
        <v>12</v>
      </c>
      <c r="J142" t="s">
        <v>13</v>
      </c>
      <c r="K142" s="4">
        <v>44958</v>
      </c>
      <c r="L142">
        <v>2023</v>
      </c>
      <c r="M142" s="4">
        <v>44962</v>
      </c>
      <c r="N142">
        <v>2092.8399999999988</v>
      </c>
      <c r="O142">
        <v>17</v>
      </c>
    </row>
    <row r="143" spans="1:15" hidden="1" x14ac:dyDescent="0.25">
      <c r="A143" s="92">
        <v>141</v>
      </c>
      <c r="B143" s="47">
        <f>MONTH(dis_table[[#This Row],[Date]])</f>
        <v>2</v>
      </c>
      <c r="C143" s="4">
        <v>44962</v>
      </c>
      <c r="D143" s="4">
        <v>44962</v>
      </c>
      <c r="E143" t="s">
        <v>215</v>
      </c>
      <c r="F143">
        <v>9.81</v>
      </c>
      <c r="G143" t="s">
        <v>9</v>
      </c>
      <c r="H143" t="s">
        <v>14</v>
      </c>
      <c r="I143" t="s">
        <v>12</v>
      </c>
      <c r="J143" t="s">
        <v>13</v>
      </c>
      <c r="K143" s="4">
        <v>44958</v>
      </c>
      <c r="L143">
        <v>2023</v>
      </c>
      <c r="M143" s="4">
        <v>44962</v>
      </c>
      <c r="N143">
        <v>2102.6499999999992</v>
      </c>
      <c r="O143">
        <v>18</v>
      </c>
    </row>
    <row r="144" spans="1:15" hidden="1" x14ac:dyDescent="0.25">
      <c r="A144" s="92">
        <v>142</v>
      </c>
      <c r="B144" s="47">
        <f>MONTH(dis_table[[#This Row],[Date]])</f>
        <v>2</v>
      </c>
      <c r="C144" s="4">
        <v>44962</v>
      </c>
      <c r="D144" s="4">
        <v>44962</v>
      </c>
      <c r="E144" t="s">
        <v>217</v>
      </c>
      <c r="F144">
        <v>26.45</v>
      </c>
      <c r="G144" t="s">
        <v>9</v>
      </c>
      <c r="H144" t="s">
        <v>10</v>
      </c>
      <c r="I144" t="s">
        <v>12</v>
      </c>
      <c r="J144" t="s">
        <v>13</v>
      </c>
      <c r="K144" s="4">
        <v>44958</v>
      </c>
      <c r="L144">
        <v>2023</v>
      </c>
      <c r="M144" s="4">
        <v>44962</v>
      </c>
      <c r="N144">
        <v>2129.099999999999</v>
      </c>
      <c r="O144">
        <v>10</v>
      </c>
    </row>
    <row r="145" spans="1:15" hidden="1" x14ac:dyDescent="0.25">
      <c r="A145" s="92">
        <v>143</v>
      </c>
      <c r="B145" s="47">
        <f>MONTH(dis_table[[#This Row],[Date]])</f>
        <v>2</v>
      </c>
      <c r="C145" s="4">
        <v>44963</v>
      </c>
      <c r="D145" s="4">
        <v>44963</v>
      </c>
      <c r="E145" t="s">
        <v>220</v>
      </c>
      <c r="F145">
        <v>63.37</v>
      </c>
      <c r="G145" t="s">
        <v>36</v>
      </c>
      <c r="H145" t="s">
        <v>61</v>
      </c>
      <c r="I145" t="s">
        <v>12</v>
      </c>
      <c r="J145" t="s">
        <v>19</v>
      </c>
      <c r="K145" s="4">
        <v>44958</v>
      </c>
      <c r="L145">
        <v>2023</v>
      </c>
      <c r="M145" s="4">
        <v>44963</v>
      </c>
      <c r="N145">
        <v>2192.4699999999989</v>
      </c>
      <c r="O145">
        <v>1</v>
      </c>
    </row>
    <row r="146" spans="1:15" hidden="1" x14ac:dyDescent="0.25">
      <c r="A146" s="92">
        <v>144</v>
      </c>
      <c r="B146" s="47">
        <f>MONTH(dis_table[[#This Row],[Date]])</f>
        <v>2</v>
      </c>
      <c r="C146" s="4">
        <v>44963</v>
      </c>
      <c r="D146" s="4">
        <v>44963</v>
      </c>
      <c r="E146" t="s">
        <v>81</v>
      </c>
      <c r="F146">
        <v>10.62</v>
      </c>
      <c r="G146" t="s">
        <v>16</v>
      </c>
      <c r="H146" t="s">
        <v>45</v>
      </c>
      <c r="I146" t="s">
        <v>12</v>
      </c>
      <c r="J146" t="s">
        <v>19</v>
      </c>
      <c r="K146" s="4">
        <v>44958</v>
      </c>
      <c r="L146">
        <v>2023</v>
      </c>
      <c r="M146" s="4">
        <v>44963</v>
      </c>
      <c r="N146">
        <v>2203.0899999999988</v>
      </c>
      <c r="O146">
        <v>8</v>
      </c>
    </row>
    <row r="147" spans="1:15" hidden="1" x14ac:dyDescent="0.25">
      <c r="A147" s="92">
        <v>145</v>
      </c>
      <c r="B147" s="47">
        <f>MONTH(dis_table[[#This Row],[Date]])</f>
        <v>2</v>
      </c>
      <c r="C147" s="4">
        <v>44963</v>
      </c>
      <c r="D147" s="4">
        <v>44963</v>
      </c>
      <c r="E147" t="s">
        <v>221</v>
      </c>
      <c r="F147">
        <v>111.7</v>
      </c>
      <c r="G147" t="s">
        <v>22</v>
      </c>
      <c r="H147" t="s">
        <v>74</v>
      </c>
      <c r="I147" t="s">
        <v>12</v>
      </c>
      <c r="J147" t="s">
        <v>19</v>
      </c>
      <c r="K147" s="4">
        <v>44958</v>
      </c>
      <c r="L147">
        <v>2023</v>
      </c>
      <c r="M147" s="4">
        <v>44963</v>
      </c>
      <c r="N147">
        <v>2314.7899999999991</v>
      </c>
      <c r="O147">
        <v>2</v>
      </c>
    </row>
    <row r="148" spans="1:15" hidden="1" x14ac:dyDescent="0.25">
      <c r="A148" s="92">
        <v>146</v>
      </c>
      <c r="B148" s="47">
        <f>MONTH(dis_table[[#This Row],[Date]])</f>
        <v>2</v>
      </c>
      <c r="C148" s="4">
        <v>44963</v>
      </c>
      <c r="D148" s="4">
        <v>44963</v>
      </c>
      <c r="E148" t="s">
        <v>219</v>
      </c>
      <c r="F148">
        <v>9.99</v>
      </c>
      <c r="G148" t="s">
        <v>16</v>
      </c>
      <c r="H148" t="s">
        <v>135</v>
      </c>
      <c r="I148" t="s">
        <v>18</v>
      </c>
      <c r="J148" t="s">
        <v>24</v>
      </c>
      <c r="K148" s="4">
        <v>44958</v>
      </c>
      <c r="L148">
        <v>2023</v>
      </c>
      <c r="M148" s="4">
        <v>44963</v>
      </c>
      <c r="N148">
        <v>2324.7799999999979</v>
      </c>
      <c r="O148">
        <v>2</v>
      </c>
    </row>
    <row r="149" spans="1:15" hidden="1" x14ac:dyDescent="0.25">
      <c r="A149" s="92">
        <v>147</v>
      </c>
      <c r="B149" s="47">
        <f>MONTH(dis_table[[#This Row],[Date]])</f>
        <v>2</v>
      </c>
      <c r="C149" s="4">
        <v>44963</v>
      </c>
      <c r="D149" s="4">
        <v>44963</v>
      </c>
      <c r="E149" t="s">
        <v>218</v>
      </c>
      <c r="F149">
        <v>15.19</v>
      </c>
      <c r="G149" t="s">
        <v>16</v>
      </c>
      <c r="H149" t="s">
        <v>133</v>
      </c>
      <c r="I149" t="s">
        <v>12</v>
      </c>
      <c r="J149" t="s">
        <v>24</v>
      </c>
      <c r="K149" s="4">
        <v>44958</v>
      </c>
      <c r="L149">
        <v>2023</v>
      </c>
      <c r="M149" s="4">
        <v>44963</v>
      </c>
      <c r="N149">
        <v>2339.969999999998</v>
      </c>
      <c r="O149">
        <v>5</v>
      </c>
    </row>
    <row r="150" spans="1:15" hidden="1" x14ac:dyDescent="0.25">
      <c r="A150" s="92">
        <v>148</v>
      </c>
      <c r="B150" s="47">
        <f>MONTH(dis_table[[#This Row],[Date]])</f>
        <v>2</v>
      </c>
      <c r="C150" s="4">
        <v>44963</v>
      </c>
      <c r="D150" s="4">
        <v>44963</v>
      </c>
      <c r="E150" t="s">
        <v>81</v>
      </c>
      <c r="F150">
        <v>5.3</v>
      </c>
      <c r="G150" t="s">
        <v>16</v>
      </c>
      <c r="H150" t="s">
        <v>45</v>
      </c>
      <c r="I150" t="s">
        <v>12</v>
      </c>
      <c r="J150" t="s">
        <v>19</v>
      </c>
      <c r="K150" s="4">
        <v>44958</v>
      </c>
      <c r="L150">
        <v>2023</v>
      </c>
      <c r="M150" s="4">
        <v>44963</v>
      </c>
      <c r="N150">
        <v>2345.2699999999991</v>
      </c>
      <c r="O150">
        <v>9</v>
      </c>
    </row>
    <row r="151" spans="1:15" hidden="1" x14ac:dyDescent="0.25">
      <c r="A151" s="92">
        <v>149</v>
      </c>
      <c r="B151" s="47">
        <f>MONTH(dis_table[[#This Row],[Date]])</f>
        <v>2</v>
      </c>
      <c r="C151" s="4">
        <v>44964</v>
      </c>
      <c r="D151" s="4">
        <v>44964</v>
      </c>
      <c r="E151" t="s">
        <v>81</v>
      </c>
      <c r="F151">
        <v>3.51</v>
      </c>
      <c r="G151" t="s">
        <v>16</v>
      </c>
      <c r="H151" t="s">
        <v>45</v>
      </c>
      <c r="I151" t="s">
        <v>12</v>
      </c>
      <c r="J151" t="s">
        <v>19</v>
      </c>
      <c r="K151" s="4">
        <v>44958</v>
      </c>
      <c r="L151">
        <v>2023</v>
      </c>
      <c r="M151" s="4">
        <v>44964</v>
      </c>
      <c r="N151">
        <v>2348.7799999999988</v>
      </c>
      <c r="O151">
        <v>10</v>
      </c>
    </row>
    <row r="152" spans="1:15" hidden="1" x14ac:dyDescent="0.25">
      <c r="A152" s="92">
        <v>150</v>
      </c>
      <c r="B152" s="47">
        <f>MONTH(dis_table[[#This Row],[Date]])</f>
        <v>2</v>
      </c>
      <c r="C152" s="4">
        <v>44964</v>
      </c>
      <c r="D152" s="4">
        <v>44964</v>
      </c>
      <c r="E152" t="s">
        <v>81</v>
      </c>
      <c r="F152">
        <v>10.62</v>
      </c>
      <c r="G152" t="s">
        <v>16</v>
      </c>
      <c r="H152" t="s">
        <v>45</v>
      </c>
      <c r="I152" t="s">
        <v>12</v>
      </c>
      <c r="J152" t="s">
        <v>19</v>
      </c>
      <c r="K152" s="4">
        <v>44958</v>
      </c>
      <c r="L152">
        <v>2023</v>
      </c>
      <c r="M152" s="4">
        <v>44964</v>
      </c>
      <c r="N152">
        <v>2359.3999999999992</v>
      </c>
      <c r="O152">
        <v>11</v>
      </c>
    </row>
    <row r="153" spans="1:15" hidden="1" x14ac:dyDescent="0.25">
      <c r="A153" s="92">
        <v>151</v>
      </c>
      <c r="B153" s="47">
        <f>MONTH(dis_table[[#This Row],[Date]])</f>
        <v>2</v>
      </c>
      <c r="C153" s="4">
        <v>44964</v>
      </c>
      <c r="D153" s="4">
        <v>44964</v>
      </c>
      <c r="E153" t="s">
        <v>81</v>
      </c>
      <c r="F153">
        <v>10.63</v>
      </c>
      <c r="G153" t="s">
        <v>16</v>
      </c>
      <c r="H153" t="s">
        <v>45</v>
      </c>
      <c r="I153" t="s">
        <v>12</v>
      </c>
      <c r="J153" t="s">
        <v>19</v>
      </c>
      <c r="K153" s="4">
        <v>44958</v>
      </c>
      <c r="L153">
        <v>2023</v>
      </c>
      <c r="M153" s="4">
        <v>44964</v>
      </c>
      <c r="N153">
        <v>2370.0299999999988</v>
      </c>
      <c r="O153">
        <v>12</v>
      </c>
    </row>
    <row r="154" spans="1:15" hidden="1" x14ac:dyDescent="0.25">
      <c r="A154" s="92">
        <v>152</v>
      </c>
      <c r="B154" s="47">
        <f>MONTH(dis_table[[#This Row],[Date]])</f>
        <v>2</v>
      </c>
      <c r="C154" s="4">
        <v>44964</v>
      </c>
      <c r="D154" s="4">
        <v>44964</v>
      </c>
      <c r="E154" t="s">
        <v>81</v>
      </c>
      <c r="F154">
        <v>10.63</v>
      </c>
      <c r="G154" t="s">
        <v>16</v>
      </c>
      <c r="H154" t="s">
        <v>45</v>
      </c>
      <c r="I154" t="s">
        <v>12</v>
      </c>
      <c r="J154" t="s">
        <v>19</v>
      </c>
      <c r="K154" s="4">
        <v>44958</v>
      </c>
      <c r="L154">
        <v>2023</v>
      </c>
      <c r="M154" s="4">
        <v>44964</v>
      </c>
      <c r="N154">
        <v>2380.6599999999989</v>
      </c>
      <c r="O154">
        <v>13</v>
      </c>
    </row>
    <row r="155" spans="1:15" hidden="1" x14ac:dyDescent="0.25">
      <c r="A155" s="92">
        <v>153</v>
      </c>
      <c r="B155" s="47">
        <f>MONTH(dis_table[[#This Row],[Date]])</f>
        <v>2</v>
      </c>
      <c r="C155" s="4">
        <v>44964</v>
      </c>
      <c r="D155" s="4">
        <v>44964</v>
      </c>
      <c r="E155" t="s">
        <v>81</v>
      </c>
      <c r="F155">
        <v>17.010000000000002</v>
      </c>
      <c r="G155" t="s">
        <v>16</v>
      </c>
      <c r="H155" t="s">
        <v>45</v>
      </c>
      <c r="I155" t="s">
        <v>12</v>
      </c>
      <c r="J155" t="s">
        <v>19</v>
      </c>
      <c r="K155" s="4">
        <v>44958</v>
      </c>
      <c r="L155">
        <v>2023</v>
      </c>
      <c r="M155" s="4">
        <v>44964</v>
      </c>
      <c r="N155">
        <v>2397.6699999999992</v>
      </c>
      <c r="O155">
        <v>14</v>
      </c>
    </row>
    <row r="156" spans="1:15" hidden="1" x14ac:dyDescent="0.25">
      <c r="A156" s="92">
        <v>154</v>
      </c>
      <c r="B156" s="47">
        <f>MONTH(dis_table[[#This Row],[Date]])</f>
        <v>2</v>
      </c>
      <c r="C156" s="4">
        <v>44964</v>
      </c>
      <c r="D156" s="4">
        <v>44964</v>
      </c>
      <c r="E156" t="s">
        <v>26</v>
      </c>
      <c r="F156">
        <v>-1995.21</v>
      </c>
      <c r="G156" t="s">
        <v>27</v>
      </c>
      <c r="H156" t="s">
        <v>28</v>
      </c>
      <c r="I156" t="s">
        <v>12</v>
      </c>
      <c r="J156" t="s">
        <v>122</v>
      </c>
      <c r="K156" s="4">
        <v>44958</v>
      </c>
      <c r="L156">
        <v>2023</v>
      </c>
      <c r="M156" s="4">
        <v>44964</v>
      </c>
      <c r="N156">
        <v>402.45999999999913</v>
      </c>
      <c r="O156">
        <v>4</v>
      </c>
    </row>
    <row r="157" spans="1:15" hidden="1" x14ac:dyDescent="0.25">
      <c r="A157" s="92">
        <v>155</v>
      </c>
      <c r="B157" s="47">
        <f>MONTH(dis_table[[#This Row],[Date]])</f>
        <v>2</v>
      </c>
      <c r="C157" s="4">
        <v>44965</v>
      </c>
      <c r="D157" s="4">
        <v>44965</v>
      </c>
      <c r="E157" t="s">
        <v>70</v>
      </c>
      <c r="F157">
        <v>24.95</v>
      </c>
      <c r="G157" t="s">
        <v>22</v>
      </c>
      <c r="H157" t="s">
        <v>42</v>
      </c>
      <c r="I157" t="s">
        <v>12</v>
      </c>
      <c r="J157" t="s">
        <v>31</v>
      </c>
      <c r="K157" s="4">
        <v>44958</v>
      </c>
      <c r="L157">
        <v>2023</v>
      </c>
      <c r="M157" s="4">
        <v>44965</v>
      </c>
      <c r="N157">
        <v>427.40999999999912</v>
      </c>
      <c r="O157">
        <v>30</v>
      </c>
    </row>
    <row r="158" spans="1:15" hidden="1" x14ac:dyDescent="0.25">
      <c r="A158" s="92">
        <v>156</v>
      </c>
      <c r="B158" s="47">
        <f>MONTH(dis_table[[#This Row],[Date]])</f>
        <v>2</v>
      </c>
      <c r="C158" s="4">
        <v>44965</v>
      </c>
      <c r="D158" s="4">
        <v>44965</v>
      </c>
      <c r="E158" t="s">
        <v>130</v>
      </c>
      <c r="F158">
        <v>29</v>
      </c>
      <c r="G158" t="s">
        <v>36</v>
      </c>
      <c r="H158" t="s">
        <v>72</v>
      </c>
      <c r="I158" t="s">
        <v>12</v>
      </c>
      <c r="J158" t="s">
        <v>24</v>
      </c>
      <c r="K158" s="4">
        <v>44958</v>
      </c>
      <c r="L158">
        <v>2023</v>
      </c>
      <c r="M158" s="4">
        <v>44965</v>
      </c>
      <c r="N158">
        <v>456.40999999999912</v>
      </c>
      <c r="O158">
        <v>4</v>
      </c>
    </row>
    <row r="159" spans="1:15" hidden="1" x14ac:dyDescent="0.25">
      <c r="A159" s="92">
        <v>157</v>
      </c>
      <c r="B159" s="47">
        <f>MONTH(dis_table[[#This Row],[Date]])</f>
        <v>2</v>
      </c>
      <c r="C159" s="4">
        <v>44965</v>
      </c>
      <c r="D159" s="4">
        <v>44965</v>
      </c>
      <c r="E159" t="s">
        <v>224</v>
      </c>
      <c r="F159">
        <v>10.54</v>
      </c>
      <c r="G159" t="s">
        <v>9</v>
      </c>
      <c r="H159" t="s">
        <v>10</v>
      </c>
      <c r="I159" t="s">
        <v>12</v>
      </c>
      <c r="J159" t="s">
        <v>13</v>
      </c>
      <c r="K159" s="4">
        <v>44958</v>
      </c>
      <c r="L159">
        <v>2023</v>
      </c>
      <c r="M159" s="4">
        <v>44965</v>
      </c>
      <c r="N159">
        <v>466.94999999999908</v>
      </c>
      <c r="O159">
        <v>11</v>
      </c>
    </row>
    <row r="160" spans="1:15" hidden="1" x14ac:dyDescent="0.25">
      <c r="A160" s="92">
        <v>158</v>
      </c>
      <c r="B160" s="47">
        <f>MONTH(dis_table[[#This Row],[Date]])</f>
        <v>2</v>
      </c>
      <c r="C160" s="4">
        <v>44965</v>
      </c>
      <c r="D160" s="4">
        <v>44965</v>
      </c>
      <c r="E160" t="s">
        <v>70</v>
      </c>
      <c r="F160">
        <v>8.81</v>
      </c>
      <c r="G160" t="s">
        <v>22</v>
      </c>
      <c r="H160" t="s">
        <v>42</v>
      </c>
      <c r="I160" t="s">
        <v>12</v>
      </c>
      <c r="J160" t="s">
        <v>31</v>
      </c>
      <c r="K160" s="4">
        <v>44958</v>
      </c>
      <c r="L160">
        <v>2023</v>
      </c>
      <c r="M160" s="4">
        <v>44965</v>
      </c>
      <c r="N160">
        <v>475.75999999999908</v>
      </c>
      <c r="O160">
        <v>31</v>
      </c>
    </row>
    <row r="161" spans="1:15" hidden="1" x14ac:dyDescent="0.25">
      <c r="A161" s="92">
        <v>159</v>
      </c>
      <c r="B161" s="47">
        <f>MONTH(dis_table[[#This Row],[Date]])</f>
        <v>2</v>
      </c>
      <c r="C161" s="4">
        <v>44965</v>
      </c>
      <c r="D161" s="4">
        <v>44965</v>
      </c>
      <c r="E161" t="s">
        <v>223</v>
      </c>
      <c r="F161">
        <v>20.22</v>
      </c>
      <c r="G161" t="s">
        <v>9</v>
      </c>
      <c r="H161" t="s">
        <v>74</v>
      </c>
      <c r="I161" t="s">
        <v>12</v>
      </c>
      <c r="J161" t="s">
        <v>19</v>
      </c>
      <c r="K161" s="4">
        <v>44958</v>
      </c>
      <c r="L161">
        <v>2023</v>
      </c>
      <c r="M161" s="4">
        <v>44965</v>
      </c>
      <c r="N161">
        <v>495.97999999999911</v>
      </c>
      <c r="O161">
        <v>3</v>
      </c>
    </row>
    <row r="162" spans="1:15" hidden="1" x14ac:dyDescent="0.25">
      <c r="A162" s="92">
        <v>160</v>
      </c>
      <c r="B162" s="47">
        <f>MONTH(dis_table[[#This Row],[Date]])</f>
        <v>2</v>
      </c>
      <c r="C162" s="4">
        <v>44965</v>
      </c>
      <c r="D162" s="4">
        <v>44965</v>
      </c>
      <c r="E162" t="s">
        <v>82</v>
      </c>
      <c r="F162">
        <v>10.26</v>
      </c>
      <c r="G162" t="s">
        <v>9</v>
      </c>
      <c r="H162" t="s">
        <v>62</v>
      </c>
      <c r="I162" t="s">
        <v>12</v>
      </c>
      <c r="J162" t="s">
        <v>13</v>
      </c>
      <c r="K162" s="4">
        <v>44958</v>
      </c>
      <c r="L162">
        <v>2023</v>
      </c>
      <c r="M162" s="4">
        <v>44965</v>
      </c>
      <c r="N162">
        <v>506.2399999999991</v>
      </c>
      <c r="O162">
        <v>2</v>
      </c>
    </row>
    <row r="163" spans="1:15" hidden="1" x14ac:dyDescent="0.25">
      <c r="A163" s="92">
        <v>161</v>
      </c>
      <c r="B163" s="47">
        <f>MONTH(dis_table[[#This Row],[Date]])</f>
        <v>2</v>
      </c>
      <c r="C163" s="4">
        <v>44965</v>
      </c>
      <c r="D163" s="4">
        <v>44965</v>
      </c>
      <c r="E163" t="s">
        <v>223</v>
      </c>
      <c r="F163">
        <v>35.18</v>
      </c>
      <c r="G163" t="s">
        <v>9</v>
      </c>
      <c r="H163" t="s">
        <v>74</v>
      </c>
      <c r="I163" t="s">
        <v>12</v>
      </c>
      <c r="J163" t="s">
        <v>19</v>
      </c>
      <c r="K163" s="4">
        <v>44958</v>
      </c>
      <c r="L163">
        <v>2023</v>
      </c>
      <c r="M163" s="4">
        <v>44965</v>
      </c>
      <c r="N163">
        <v>541.41999999999905</v>
      </c>
      <c r="O163">
        <v>4</v>
      </c>
    </row>
    <row r="164" spans="1:15" hidden="1" x14ac:dyDescent="0.25">
      <c r="A164" s="92">
        <v>162</v>
      </c>
      <c r="B164" s="47">
        <f>MONTH(dis_table[[#This Row],[Date]])</f>
        <v>2</v>
      </c>
      <c r="C164" s="4">
        <v>44965</v>
      </c>
      <c r="D164" s="4">
        <v>44965</v>
      </c>
      <c r="E164" t="s">
        <v>222</v>
      </c>
      <c r="F164">
        <v>2.63</v>
      </c>
      <c r="G164" t="s">
        <v>9</v>
      </c>
      <c r="H164" t="s">
        <v>35</v>
      </c>
      <c r="I164" t="s">
        <v>12</v>
      </c>
      <c r="J164" t="s">
        <v>13</v>
      </c>
      <c r="K164" s="4">
        <v>44958</v>
      </c>
      <c r="L164">
        <v>2023</v>
      </c>
      <c r="M164" s="4">
        <v>44965</v>
      </c>
      <c r="N164">
        <v>544.04999999999905</v>
      </c>
      <c r="O164">
        <v>5</v>
      </c>
    </row>
    <row r="165" spans="1:15" hidden="1" x14ac:dyDescent="0.25">
      <c r="A165" s="92">
        <v>163</v>
      </c>
      <c r="B165" s="47">
        <f>MONTH(dis_table[[#This Row],[Date]])</f>
        <v>2</v>
      </c>
      <c r="C165" s="4">
        <v>44965</v>
      </c>
      <c r="D165" s="4">
        <v>44965</v>
      </c>
      <c r="E165" t="s">
        <v>70</v>
      </c>
      <c r="F165">
        <v>6.23</v>
      </c>
      <c r="G165" t="s">
        <v>22</v>
      </c>
      <c r="H165" t="s">
        <v>42</v>
      </c>
      <c r="I165" t="s">
        <v>12</v>
      </c>
      <c r="J165" t="s">
        <v>31</v>
      </c>
      <c r="K165" s="4">
        <v>44958</v>
      </c>
      <c r="L165">
        <v>2023</v>
      </c>
      <c r="M165" s="4">
        <v>44965</v>
      </c>
      <c r="N165">
        <v>550.27999999999906</v>
      </c>
      <c r="O165">
        <v>32</v>
      </c>
    </row>
    <row r="166" spans="1:15" hidden="1" x14ac:dyDescent="0.25">
      <c r="A166" s="92">
        <v>164</v>
      </c>
      <c r="B166" s="47">
        <f>MONTH(dis_table[[#This Row],[Date]])</f>
        <v>2</v>
      </c>
      <c r="C166" s="4">
        <v>44966</v>
      </c>
      <c r="D166" s="4">
        <v>44966</v>
      </c>
      <c r="E166" t="s">
        <v>81</v>
      </c>
      <c r="F166">
        <v>7.43</v>
      </c>
      <c r="G166" t="s">
        <v>16</v>
      </c>
      <c r="H166" t="s">
        <v>45</v>
      </c>
      <c r="I166" t="s">
        <v>12</v>
      </c>
      <c r="J166" t="s">
        <v>19</v>
      </c>
      <c r="K166" s="4">
        <v>44958</v>
      </c>
      <c r="L166">
        <v>2023</v>
      </c>
      <c r="M166" s="4">
        <v>44966</v>
      </c>
      <c r="N166">
        <v>557.70999999999901</v>
      </c>
      <c r="O166">
        <v>15</v>
      </c>
    </row>
    <row r="167" spans="1:15" hidden="1" x14ac:dyDescent="0.25">
      <c r="A167" s="92">
        <v>165</v>
      </c>
      <c r="B167" s="47">
        <f>MONTH(dis_table[[#This Row],[Date]])</f>
        <v>2</v>
      </c>
      <c r="C167" s="4">
        <v>44966</v>
      </c>
      <c r="D167" s="4">
        <v>44966</v>
      </c>
      <c r="E167" t="s">
        <v>225</v>
      </c>
      <c r="F167">
        <v>64.989999999999995</v>
      </c>
      <c r="G167" t="s">
        <v>36</v>
      </c>
      <c r="H167" t="s">
        <v>54</v>
      </c>
      <c r="I167" t="s">
        <v>18</v>
      </c>
      <c r="J167" t="s">
        <v>19</v>
      </c>
      <c r="K167" s="4">
        <v>44958</v>
      </c>
      <c r="L167">
        <v>2023</v>
      </c>
      <c r="M167" s="4">
        <v>44966</v>
      </c>
      <c r="N167">
        <v>622.69999999999902</v>
      </c>
      <c r="O167">
        <v>4</v>
      </c>
    </row>
    <row r="168" spans="1:15" hidden="1" x14ac:dyDescent="0.25">
      <c r="A168" s="92">
        <v>166</v>
      </c>
      <c r="B168" s="47">
        <f>MONTH(dis_table[[#This Row],[Date]])</f>
        <v>2</v>
      </c>
      <c r="C168" s="4">
        <v>44966</v>
      </c>
      <c r="D168" s="4">
        <v>44966</v>
      </c>
      <c r="E168" t="s">
        <v>226</v>
      </c>
      <c r="F168">
        <v>15.56</v>
      </c>
      <c r="G168" t="s">
        <v>9</v>
      </c>
      <c r="H168" t="s">
        <v>14</v>
      </c>
      <c r="I168" t="s">
        <v>12</v>
      </c>
      <c r="J168" t="s">
        <v>13</v>
      </c>
      <c r="K168" s="4">
        <v>44958</v>
      </c>
      <c r="L168">
        <v>2023</v>
      </c>
      <c r="M168" s="4">
        <v>44966</v>
      </c>
      <c r="N168">
        <v>638.25999999999897</v>
      </c>
      <c r="O168">
        <v>19</v>
      </c>
    </row>
    <row r="169" spans="1:15" hidden="1" x14ac:dyDescent="0.25">
      <c r="A169" s="92">
        <v>167</v>
      </c>
      <c r="B169" s="47">
        <f>MONTH(dis_table[[#This Row],[Date]])</f>
        <v>2</v>
      </c>
      <c r="C169" s="4">
        <v>44966</v>
      </c>
      <c r="D169" s="4">
        <v>44966</v>
      </c>
      <c r="E169" t="s">
        <v>227</v>
      </c>
      <c r="F169">
        <v>136</v>
      </c>
      <c r="G169" t="s">
        <v>58</v>
      </c>
      <c r="H169" t="s">
        <v>209</v>
      </c>
      <c r="I169" t="s">
        <v>18</v>
      </c>
      <c r="J169" t="s">
        <v>59</v>
      </c>
      <c r="K169" s="4">
        <v>44958</v>
      </c>
      <c r="L169">
        <v>2023</v>
      </c>
      <c r="M169" s="4">
        <v>44966</v>
      </c>
      <c r="N169">
        <v>774.25999999999897</v>
      </c>
      <c r="O169">
        <v>2</v>
      </c>
    </row>
    <row r="170" spans="1:15" hidden="1" x14ac:dyDescent="0.25">
      <c r="A170" s="92">
        <v>168</v>
      </c>
      <c r="B170" s="47">
        <f>MONTH(dis_table[[#This Row],[Date]])</f>
        <v>2</v>
      </c>
      <c r="C170" s="4">
        <v>44966</v>
      </c>
      <c r="D170" s="4">
        <v>44966</v>
      </c>
      <c r="E170" t="s">
        <v>70</v>
      </c>
      <c r="F170">
        <v>5</v>
      </c>
      <c r="G170" t="s">
        <v>22</v>
      </c>
      <c r="H170" t="s">
        <v>42</v>
      </c>
      <c r="I170" t="s">
        <v>12</v>
      </c>
      <c r="J170" t="s">
        <v>31</v>
      </c>
      <c r="K170" s="4">
        <v>44958</v>
      </c>
      <c r="L170">
        <v>2023</v>
      </c>
      <c r="M170" s="4">
        <v>44966</v>
      </c>
      <c r="N170">
        <v>779.25999999999897</v>
      </c>
      <c r="O170">
        <v>33</v>
      </c>
    </row>
    <row r="171" spans="1:15" hidden="1" x14ac:dyDescent="0.25">
      <c r="A171" s="92">
        <v>169</v>
      </c>
      <c r="B171" s="47">
        <f>MONTH(dis_table[[#This Row],[Date]])</f>
        <v>2</v>
      </c>
      <c r="C171" s="4">
        <v>44966</v>
      </c>
      <c r="D171" s="4">
        <v>44966</v>
      </c>
      <c r="E171" t="s">
        <v>70</v>
      </c>
      <c r="F171">
        <v>11.91</v>
      </c>
      <c r="G171" t="s">
        <v>22</v>
      </c>
      <c r="H171" t="s">
        <v>42</v>
      </c>
      <c r="I171" t="s">
        <v>12</v>
      </c>
      <c r="J171" t="s">
        <v>31</v>
      </c>
      <c r="K171" s="4">
        <v>44958</v>
      </c>
      <c r="L171">
        <v>2023</v>
      </c>
      <c r="M171" s="4">
        <v>44966</v>
      </c>
      <c r="N171">
        <v>791.16999999999894</v>
      </c>
      <c r="O171">
        <v>34</v>
      </c>
    </row>
    <row r="172" spans="1:15" hidden="1" x14ac:dyDescent="0.25">
      <c r="A172" s="92">
        <v>170</v>
      </c>
      <c r="B172" s="47">
        <f>MONTH(dis_table[[#This Row],[Date]])</f>
        <v>2</v>
      </c>
      <c r="C172" s="4">
        <v>44967</v>
      </c>
      <c r="D172" s="4">
        <v>44967</v>
      </c>
      <c r="E172" t="s">
        <v>228</v>
      </c>
      <c r="F172">
        <v>36.880000000000003</v>
      </c>
      <c r="G172" t="s">
        <v>9</v>
      </c>
      <c r="H172" t="s">
        <v>14</v>
      </c>
      <c r="I172" t="s">
        <v>12</v>
      </c>
      <c r="J172" t="s">
        <v>13</v>
      </c>
      <c r="K172" s="4">
        <v>44958</v>
      </c>
      <c r="L172">
        <v>2023</v>
      </c>
      <c r="M172" s="4">
        <v>44967</v>
      </c>
      <c r="N172">
        <v>828.04999999999893</v>
      </c>
      <c r="O172">
        <v>20</v>
      </c>
    </row>
    <row r="173" spans="1:15" hidden="1" x14ac:dyDescent="0.25">
      <c r="A173" s="92">
        <v>171</v>
      </c>
      <c r="B173" s="47">
        <f>MONTH(dis_table[[#This Row],[Date]])</f>
        <v>2</v>
      </c>
      <c r="C173" s="4">
        <v>44968</v>
      </c>
      <c r="D173" s="4">
        <v>44968</v>
      </c>
      <c r="E173" t="s">
        <v>232</v>
      </c>
      <c r="F173">
        <v>9.99</v>
      </c>
      <c r="G173" t="s">
        <v>34</v>
      </c>
      <c r="H173" t="s">
        <v>35</v>
      </c>
      <c r="I173" t="s">
        <v>12</v>
      </c>
      <c r="J173" t="s">
        <v>13</v>
      </c>
      <c r="K173" s="4">
        <v>44958</v>
      </c>
      <c r="L173">
        <v>2023</v>
      </c>
      <c r="M173" s="4">
        <v>44968</v>
      </c>
      <c r="N173">
        <v>838.03999999999894</v>
      </c>
      <c r="O173">
        <v>6</v>
      </c>
    </row>
    <row r="174" spans="1:15" hidden="1" x14ac:dyDescent="0.25">
      <c r="A174" s="92">
        <v>172</v>
      </c>
      <c r="B174" s="47">
        <f>MONTH(dis_table[[#This Row],[Date]])</f>
        <v>2</v>
      </c>
      <c r="C174" s="4">
        <v>44968</v>
      </c>
      <c r="D174" s="4">
        <v>44968</v>
      </c>
      <c r="E174" t="s">
        <v>83</v>
      </c>
      <c r="F174">
        <v>5</v>
      </c>
      <c r="G174" t="s">
        <v>36</v>
      </c>
      <c r="H174" t="s">
        <v>84</v>
      </c>
      <c r="I174" t="s">
        <v>18</v>
      </c>
      <c r="J174" t="s">
        <v>24</v>
      </c>
      <c r="K174" s="4">
        <v>44958</v>
      </c>
      <c r="L174">
        <v>2023</v>
      </c>
      <c r="M174" s="4">
        <v>44968</v>
      </c>
      <c r="N174">
        <v>843.03999999999894</v>
      </c>
      <c r="O174">
        <v>1</v>
      </c>
    </row>
    <row r="175" spans="1:15" hidden="1" x14ac:dyDescent="0.25">
      <c r="A175" s="92">
        <v>173</v>
      </c>
      <c r="B175" s="47">
        <f>MONTH(dis_table[[#This Row],[Date]])</f>
        <v>2</v>
      </c>
      <c r="C175" s="4">
        <v>44968</v>
      </c>
      <c r="D175" s="4">
        <v>44968</v>
      </c>
      <c r="E175" t="s">
        <v>231</v>
      </c>
      <c r="F175">
        <v>39.93</v>
      </c>
      <c r="G175" t="s">
        <v>9</v>
      </c>
      <c r="H175" t="s">
        <v>14</v>
      </c>
      <c r="I175" t="s">
        <v>12</v>
      </c>
      <c r="J175" t="s">
        <v>13</v>
      </c>
      <c r="K175" s="4">
        <v>44958</v>
      </c>
      <c r="L175">
        <v>2023</v>
      </c>
      <c r="M175" s="4">
        <v>44968</v>
      </c>
      <c r="N175">
        <v>882.96999999999889</v>
      </c>
      <c r="O175">
        <v>21</v>
      </c>
    </row>
    <row r="176" spans="1:15" hidden="1" x14ac:dyDescent="0.25">
      <c r="A176" s="92">
        <v>174</v>
      </c>
      <c r="B176" s="47">
        <f>MONTH(dis_table[[#This Row],[Date]])</f>
        <v>2</v>
      </c>
      <c r="C176" s="4">
        <v>44968</v>
      </c>
      <c r="D176" s="4">
        <v>44968</v>
      </c>
      <c r="E176" t="s">
        <v>229</v>
      </c>
      <c r="F176">
        <v>30</v>
      </c>
      <c r="G176" t="s">
        <v>36</v>
      </c>
      <c r="H176" t="s">
        <v>63</v>
      </c>
      <c r="I176" t="s">
        <v>12</v>
      </c>
      <c r="J176" t="s">
        <v>31</v>
      </c>
      <c r="K176" s="4">
        <v>44958</v>
      </c>
      <c r="L176">
        <v>2023</v>
      </c>
      <c r="M176" s="4">
        <v>44968</v>
      </c>
      <c r="N176">
        <v>912.96999999999889</v>
      </c>
      <c r="O176">
        <v>2</v>
      </c>
    </row>
    <row r="177" spans="1:15" hidden="1" x14ac:dyDescent="0.25">
      <c r="A177" s="92">
        <v>175</v>
      </c>
      <c r="B177" s="47">
        <f>MONTH(dis_table[[#This Row],[Date]])</f>
        <v>2</v>
      </c>
      <c r="C177" s="4">
        <v>44968</v>
      </c>
      <c r="D177" s="4">
        <v>44968</v>
      </c>
      <c r="E177" t="s">
        <v>81</v>
      </c>
      <c r="F177">
        <v>8.49</v>
      </c>
      <c r="G177" t="s">
        <v>16</v>
      </c>
      <c r="H177" t="s">
        <v>45</v>
      </c>
      <c r="I177" t="s">
        <v>12</v>
      </c>
      <c r="J177" t="s">
        <v>19</v>
      </c>
      <c r="K177" s="4">
        <v>44958</v>
      </c>
      <c r="L177">
        <v>2023</v>
      </c>
      <c r="M177" s="4">
        <v>44968</v>
      </c>
      <c r="N177">
        <v>921.4599999999989</v>
      </c>
      <c r="O177">
        <v>16</v>
      </c>
    </row>
    <row r="178" spans="1:15" hidden="1" x14ac:dyDescent="0.25">
      <c r="A178" s="92">
        <v>176</v>
      </c>
      <c r="B178" s="47">
        <f>MONTH(dis_table[[#This Row],[Date]])</f>
        <v>2</v>
      </c>
      <c r="C178" s="4">
        <v>44968</v>
      </c>
      <c r="D178" s="4">
        <v>44968</v>
      </c>
      <c r="E178" t="s">
        <v>230</v>
      </c>
      <c r="F178">
        <v>10.59</v>
      </c>
      <c r="G178" t="s">
        <v>16</v>
      </c>
      <c r="H178" t="s">
        <v>25</v>
      </c>
      <c r="I178" t="s">
        <v>12</v>
      </c>
      <c r="J178" t="s">
        <v>24</v>
      </c>
      <c r="K178" s="4">
        <v>44958</v>
      </c>
      <c r="L178">
        <v>2023</v>
      </c>
      <c r="M178" s="4">
        <v>44968</v>
      </c>
      <c r="N178">
        <v>932.04999999999893</v>
      </c>
      <c r="O178">
        <v>3</v>
      </c>
    </row>
    <row r="179" spans="1:15" hidden="1" x14ac:dyDescent="0.25">
      <c r="A179" s="92">
        <v>177</v>
      </c>
      <c r="B179" s="47">
        <f>MONTH(dis_table[[#This Row],[Date]])</f>
        <v>2</v>
      </c>
      <c r="C179" s="4">
        <v>44969</v>
      </c>
      <c r="D179" s="4">
        <v>44969</v>
      </c>
      <c r="E179" t="s">
        <v>233</v>
      </c>
      <c r="F179">
        <v>5</v>
      </c>
      <c r="G179" t="s">
        <v>36</v>
      </c>
      <c r="H179" t="s">
        <v>67</v>
      </c>
      <c r="I179" t="s">
        <v>12</v>
      </c>
      <c r="J179" t="s">
        <v>19</v>
      </c>
      <c r="K179" s="4">
        <v>44958</v>
      </c>
      <c r="L179">
        <v>2023</v>
      </c>
      <c r="M179" s="4">
        <v>44969</v>
      </c>
      <c r="N179">
        <v>937.04999999999893</v>
      </c>
      <c r="O179">
        <v>2</v>
      </c>
    </row>
    <row r="180" spans="1:15" hidden="1" x14ac:dyDescent="0.25">
      <c r="A180" s="92">
        <v>178</v>
      </c>
      <c r="B180" s="47">
        <f>MONTH(dis_table[[#This Row],[Date]])</f>
        <v>2</v>
      </c>
      <c r="C180" s="4">
        <v>44969</v>
      </c>
      <c r="D180" s="4">
        <v>44969</v>
      </c>
      <c r="E180" t="s">
        <v>234</v>
      </c>
      <c r="F180">
        <v>15.89</v>
      </c>
      <c r="G180" t="s">
        <v>16</v>
      </c>
      <c r="H180" t="s">
        <v>33</v>
      </c>
      <c r="I180" t="s">
        <v>18</v>
      </c>
      <c r="J180" t="s">
        <v>19</v>
      </c>
      <c r="K180" s="4">
        <v>44958</v>
      </c>
      <c r="L180">
        <v>2023</v>
      </c>
      <c r="M180" s="4">
        <v>44969</v>
      </c>
      <c r="N180">
        <v>952.93999999999892</v>
      </c>
      <c r="O180">
        <v>2</v>
      </c>
    </row>
    <row r="181" spans="1:15" hidden="1" x14ac:dyDescent="0.25">
      <c r="A181" s="92">
        <v>179</v>
      </c>
      <c r="B181" s="47">
        <f>MONTH(dis_table[[#This Row],[Date]])</f>
        <v>2</v>
      </c>
      <c r="C181" s="4">
        <v>44969</v>
      </c>
      <c r="D181" s="4">
        <v>44969</v>
      </c>
      <c r="E181" t="s">
        <v>235</v>
      </c>
      <c r="F181">
        <v>95.6</v>
      </c>
      <c r="G181" t="s">
        <v>9</v>
      </c>
      <c r="H181" t="s">
        <v>10</v>
      </c>
      <c r="I181" t="s">
        <v>12</v>
      </c>
      <c r="J181" t="s">
        <v>13</v>
      </c>
      <c r="K181" s="4">
        <v>44958</v>
      </c>
      <c r="L181">
        <v>2023</v>
      </c>
      <c r="M181" s="4">
        <v>44969</v>
      </c>
      <c r="N181">
        <v>1048.5399999999991</v>
      </c>
      <c r="O181">
        <v>12</v>
      </c>
    </row>
    <row r="182" spans="1:15" hidden="1" x14ac:dyDescent="0.25">
      <c r="A182" s="92">
        <v>180</v>
      </c>
      <c r="B182" s="47">
        <f>MONTH(dis_table[[#This Row],[Date]])</f>
        <v>2</v>
      </c>
      <c r="C182" s="4">
        <v>44969</v>
      </c>
      <c r="D182" s="4">
        <v>44969</v>
      </c>
      <c r="E182" t="s">
        <v>236</v>
      </c>
      <c r="F182">
        <v>49</v>
      </c>
      <c r="G182" t="s">
        <v>69</v>
      </c>
      <c r="H182" t="s">
        <v>145</v>
      </c>
      <c r="I182" t="s">
        <v>18</v>
      </c>
      <c r="J182" t="s">
        <v>24</v>
      </c>
      <c r="K182" s="4">
        <v>44958</v>
      </c>
      <c r="L182">
        <v>2023</v>
      </c>
      <c r="M182" s="4">
        <v>44969</v>
      </c>
      <c r="N182">
        <v>1097.5399999999991</v>
      </c>
      <c r="O182">
        <v>3</v>
      </c>
    </row>
    <row r="183" spans="1:15" hidden="1" x14ac:dyDescent="0.25">
      <c r="A183" s="92">
        <v>181</v>
      </c>
      <c r="B183" s="47">
        <f>MONTH(dis_table[[#This Row],[Date]])</f>
        <v>2</v>
      </c>
      <c r="C183" s="4">
        <v>44969</v>
      </c>
      <c r="D183" s="4">
        <v>44969</v>
      </c>
      <c r="E183" t="s">
        <v>237</v>
      </c>
      <c r="F183">
        <v>3.23</v>
      </c>
      <c r="G183" t="s">
        <v>36</v>
      </c>
      <c r="H183" t="s">
        <v>63</v>
      </c>
      <c r="I183" t="s">
        <v>12</v>
      </c>
      <c r="J183" t="s">
        <v>31</v>
      </c>
      <c r="K183" s="4">
        <v>44958</v>
      </c>
      <c r="L183">
        <v>2023</v>
      </c>
      <c r="M183" s="4">
        <v>44969</v>
      </c>
      <c r="N183">
        <v>1100.7699999999991</v>
      </c>
      <c r="O183">
        <v>3</v>
      </c>
    </row>
    <row r="184" spans="1:15" hidden="1" x14ac:dyDescent="0.25">
      <c r="A184" s="92">
        <v>182</v>
      </c>
      <c r="B184" s="47">
        <f>MONTH(dis_table[[#This Row],[Date]])</f>
        <v>2</v>
      </c>
      <c r="C184" s="4">
        <v>44969</v>
      </c>
      <c r="D184" s="4">
        <v>44969</v>
      </c>
      <c r="E184" t="s">
        <v>238</v>
      </c>
      <c r="F184">
        <v>9.17</v>
      </c>
      <c r="G184" t="s">
        <v>16</v>
      </c>
      <c r="H184" t="s">
        <v>239</v>
      </c>
      <c r="I184" t="s">
        <v>12</v>
      </c>
      <c r="J184" t="s">
        <v>24</v>
      </c>
      <c r="K184" s="4">
        <v>44958</v>
      </c>
      <c r="L184">
        <v>2023</v>
      </c>
      <c r="M184" s="4">
        <v>44969</v>
      </c>
      <c r="N184">
        <v>1109.9399999999989</v>
      </c>
      <c r="O184">
        <v>1</v>
      </c>
    </row>
    <row r="185" spans="1:15" hidden="1" x14ac:dyDescent="0.25">
      <c r="A185" s="92">
        <v>183</v>
      </c>
      <c r="B185" s="47">
        <f>MONTH(dis_table[[#This Row],[Date]])</f>
        <v>2</v>
      </c>
      <c r="C185" s="4">
        <v>44969</v>
      </c>
      <c r="D185" s="4">
        <v>44969</v>
      </c>
      <c r="E185" t="s">
        <v>238</v>
      </c>
      <c r="F185">
        <v>9.17</v>
      </c>
      <c r="G185" t="s">
        <v>16</v>
      </c>
      <c r="H185" t="s">
        <v>239</v>
      </c>
      <c r="I185" t="s">
        <v>12</v>
      </c>
      <c r="J185" t="s">
        <v>24</v>
      </c>
      <c r="K185" s="4">
        <v>44958</v>
      </c>
      <c r="L185">
        <v>2023</v>
      </c>
      <c r="M185" s="4">
        <v>44969</v>
      </c>
      <c r="N185">
        <v>1119.109999999999</v>
      </c>
      <c r="O185">
        <v>2</v>
      </c>
    </row>
    <row r="186" spans="1:15" hidden="1" x14ac:dyDescent="0.25">
      <c r="A186" s="92">
        <v>184</v>
      </c>
      <c r="B186" s="47">
        <f>MONTH(dis_table[[#This Row],[Date]])</f>
        <v>2</v>
      </c>
      <c r="C186" s="4">
        <v>44969</v>
      </c>
      <c r="D186" s="4">
        <v>44969</v>
      </c>
      <c r="E186" t="s">
        <v>240</v>
      </c>
      <c r="F186">
        <v>19.350000000000001</v>
      </c>
      <c r="G186" t="s">
        <v>9</v>
      </c>
      <c r="H186" t="s">
        <v>57</v>
      </c>
      <c r="I186" t="s">
        <v>12</v>
      </c>
      <c r="J186" t="s">
        <v>19</v>
      </c>
      <c r="K186" s="4">
        <v>44958</v>
      </c>
      <c r="L186">
        <v>2023</v>
      </c>
      <c r="M186" s="4">
        <v>44969</v>
      </c>
      <c r="N186">
        <v>1138.4599999999989</v>
      </c>
      <c r="O186">
        <v>1</v>
      </c>
    </row>
    <row r="187" spans="1:15" hidden="1" x14ac:dyDescent="0.25">
      <c r="A187" s="92">
        <v>185</v>
      </c>
      <c r="B187" s="47">
        <f>MONTH(dis_table[[#This Row],[Date]])</f>
        <v>2</v>
      </c>
      <c r="C187" s="4">
        <v>44969</v>
      </c>
      <c r="D187" s="4">
        <v>44969</v>
      </c>
      <c r="E187" t="s">
        <v>241</v>
      </c>
      <c r="F187">
        <v>25</v>
      </c>
      <c r="G187" t="s">
        <v>22</v>
      </c>
      <c r="H187" t="s">
        <v>239</v>
      </c>
      <c r="I187" t="s">
        <v>12</v>
      </c>
      <c r="J187" t="s">
        <v>24</v>
      </c>
      <c r="K187" s="4">
        <v>44958</v>
      </c>
      <c r="L187">
        <v>2023</v>
      </c>
      <c r="M187" s="4">
        <v>44969</v>
      </c>
      <c r="N187">
        <v>1163.4599999999989</v>
      </c>
      <c r="O187">
        <v>3</v>
      </c>
    </row>
    <row r="188" spans="1:15" hidden="1" x14ac:dyDescent="0.25">
      <c r="A188" s="92">
        <v>186</v>
      </c>
      <c r="B188" s="47">
        <f>MONTH(dis_table[[#This Row],[Date]])</f>
        <v>2</v>
      </c>
      <c r="C188" s="4">
        <v>44969</v>
      </c>
      <c r="D188" s="4">
        <v>44969</v>
      </c>
      <c r="E188" t="s">
        <v>242</v>
      </c>
      <c r="F188">
        <v>7.24</v>
      </c>
      <c r="G188" t="s">
        <v>16</v>
      </c>
      <c r="H188" t="s">
        <v>243</v>
      </c>
      <c r="I188" t="s">
        <v>12</v>
      </c>
      <c r="J188" t="s">
        <v>53</v>
      </c>
      <c r="K188" s="4">
        <v>44958</v>
      </c>
      <c r="L188">
        <v>2023</v>
      </c>
      <c r="M188" s="4">
        <v>44969</v>
      </c>
      <c r="N188">
        <v>1170.6999999999989</v>
      </c>
      <c r="O188">
        <v>1</v>
      </c>
    </row>
    <row r="189" spans="1:15" hidden="1" x14ac:dyDescent="0.25">
      <c r="A189" s="92">
        <v>187</v>
      </c>
      <c r="B189" s="47">
        <f>MONTH(dis_table[[#This Row],[Date]])</f>
        <v>2</v>
      </c>
      <c r="C189" s="4">
        <v>44969</v>
      </c>
      <c r="D189" s="4">
        <v>44969</v>
      </c>
      <c r="E189" t="s">
        <v>244</v>
      </c>
      <c r="F189">
        <v>20.96</v>
      </c>
      <c r="G189" t="s">
        <v>16</v>
      </c>
      <c r="H189" t="s">
        <v>243</v>
      </c>
      <c r="I189" t="s">
        <v>12</v>
      </c>
      <c r="J189" t="s">
        <v>53</v>
      </c>
      <c r="K189" s="4">
        <v>44958</v>
      </c>
      <c r="L189">
        <v>2023</v>
      </c>
      <c r="M189" s="4">
        <v>44969</v>
      </c>
      <c r="N189">
        <v>1191.6599999999989</v>
      </c>
      <c r="O189">
        <v>2</v>
      </c>
    </row>
    <row r="190" spans="1:15" hidden="1" x14ac:dyDescent="0.25">
      <c r="A190" s="92">
        <v>188</v>
      </c>
      <c r="B190" s="47">
        <f>MONTH(dis_table[[#This Row],[Date]])</f>
        <v>2</v>
      </c>
      <c r="C190" s="4">
        <v>44969</v>
      </c>
      <c r="D190" s="4">
        <v>44969</v>
      </c>
      <c r="E190" t="s">
        <v>245</v>
      </c>
      <c r="F190">
        <v>16.5</v>
      </c>
      <c r="G190" t="s">
        <v>22</v>
      </c>
      <c r="H190" t="s">
        <v>243</v>
      </c>
      <c r="I190" t="s">
        <v>12</v>
      </c>
      <c r="J190" t="s">
        <v>53</v>
      </c>
      <c r="K190" s="4">
        <v>44958</v>
      </c>
      <c r="L190">
        <v>2023</v>
      </c>
      <c r="M190" s="4">
        <v>44969</v>
      </c>
      <c r="N190">
        <v>1208.1599999999989</v>
      </c>
      <c r="O190">
        <v>3</v>
      </c>
    </row>
    <row r="191" spans="1:15" hidden="1" x14ac:dyDescent="0.25">
      <c r="A191" s="92">
        <v>189</v>
      </c>
      <c r="B191" s="47">
        <f>MONTH(dis_table[[#This Row],[Date]])</f>
        <v>2</v>
      </c>
      <c r="C191" s="4">
        <v>44971</v>
      </c>
      <c r="D191" s="4">
        <v>44971</v>
      </c>
      <c r="E191" t="s">
        <v>247</v>
      </c>
      <c r="F191">
        <v>54.05</v>
      </c>
      <c r="G191" t="s">
        <v>34</v>
      </c>
      <c r="H191" t="s">
        <v>133</v>
      </c>
      <c r="I191" t="s">
        <v>12</v>
      </c>
      <c r="J191" t="s">
        <v>24</v>
      </c>
      <c r="K191" s="4">
        <v>44958</v>
      </c>
      <c r="L191">
        <v>2023</v>
      </c>
      <c r="M191" s="4">
        <v>44971</v>
      </c>
      <c r="N191">
        <v>1262.2099999999989</v>
      </c>
      <c r="O191">
        <v>6</v>
      </c>
    </row>
    <row r="192" spans="1:15" hidden="1" x14ac:dyDescent="0.25">
      <c r="A192" s="92">
        <v>190</v>
      </c>
      <c r="B192" s="47">
        <f>MONTH(dis_table[[#This Row],[Date]])</f>
        <v>2</v>
      </c>
      <c r="C192" s="4">
        <v>44971</v>
      </c>
      <c r="D192" s="4">
        <v>44971</v>
      </c>
      <c r="E192" t="s">
        <v>246</v>
      </c>
      <c r="F192">
        <v>18.02</v>
      </c>
      <c r="G192" t="s">
        <v>9</v>
      </c>
      <c r="H192" t="s">
        <v>14</v>
      </c>
      <c r="I192" t="s">
        <v>12</v>
      </c>
      <c r="J192" t="s">
        <v>13</v>
      </c>
      <c r="K192" s="4">
        <v>44958</v>
      </c>
      <c r="L192">
        <v>2023</v>
      </c>
      <c r="M192" s="4">
        <v>44971</v>
      </c>
      <c r="N192">
        <v>1280.2299999999991</v>
      </c>
      <c r="O192">
        <v>22</v>
      </c>
    </row>
    <row r="193" spans="1:15" hidden="1" x14ac:dyDescent="0.25">
      <c r="A193" s="92">
        <v>191</v>
      </c>
      <c r="B193" s="47">
        <f>MONTH(dis_table[[#This Row],[Date]])</f>
        <v>2</v>
      </c>
      <c r="C193" s="4">
        <v>44971</v>
      </c>
      <c r="D193" s="4">
        <v>44971</v>
      </c>
      <c r="E193" t="s">
        <v>50</v>
      </c>
      <c r="F193">
        <v>88.02</v>
      </c>
      <c r="G193" t="s">
        <v>16</v>
      </c>
      <c r="H193" t="s">
        <v>51</v>
      </c>
      <c r="I193" t="s">
        <v>18</v>
      </c>
      <c r="J193" t="s">
        <v>52</v>
      </c>
      <c r="K193" s="4">
        <v>44958</v>
      </c>
      <c r="L193">
        <v>2023</v>
      </c>
      <c r="M193" s="4">
        <v>44971</v>
      </c>
      <c r="N193">
        <v>1368.2499999999991</v>
      </c>
      <c r="O193">
        <v>3</v>
      </c>
    </row>
    <row r="194" spans="1:15" hidden="1" x14ac:dyDescent="0.25">
      <c r="A194" s="92">
        <v>192</v>
      </c>
      <c r="B194" s="47">
        <f>MONTH(dis_table[[#This Row],[Date]])</f>
        <v>2</v>
      </c>
      <c r="C194" s="4">
        <v>44972</v>
      </c>
      <c r="D194" s="4">
        <v>44972</v>
      </c>
      <c r="E194" t="s">
        <v>81</v>
      </c>
      <c r="F194">
        <v>4.68</v>
      </c>
      <c r="G194" t="s">
        <v>16</v>
      </c>
      <c r="H194" t="s">
        <v>45</v>
      </c>
      <c r="I194" t="s">
        <v>12</v>
      </c>
      <c r="J194" t="s">
        <v>19</v>
      </c>
      <c r="K194" s="4">
        <v>44958</v>
      </c>
      <c r="L194">
        <v>2023</v>
      </c>
      <c r="M194" s="4">
        <v>44972</v>
      </c>
      <c r="N194">
        <v>1372.9299999999989</v>
      </c>
      <c r="O194">
        <v>17</v>
      </c>
    </row>
    <row r="195" spans="1:15" hidden="1" x14ac:dyDescent="0.25">
      <c r="A195" s="92">
        <v>193</v>
      </c>
      <c r="B195" s="47">
        <f>MONTH(dis_table[[#This Row],[Date]])</f>
        <v>2</v>
      </c>
      <c r="C195" s="4">
        <v>44972</v>
      </c>
      <c r="D195" s="4">
        <v>44972</v>
      </c>
      <c r="E195" t="s">
        <v>248</v>
      </c>
      <c r="F195">
        <v>68</v>
      </c>
      <c r="G195" t="s">
        <v>58</v>
      </c>
      <c r="H195" t="s">
        <v>209</v>
      </c>
      <c r="I195" t="s">
        <v>18</v>
      </c>
      <c r="J195" t="s">
        <v>59</v>
      </c>
      <c r="K195" s="4">
        <v>44958</v>
      </c>
      <c r="L195">
        <v>2023</v>
      </c>
      <c r="M195" s="4">
        <v>44972</v>
      </c>
      <c r="N195">
        <v>1440.9299999999989</v>
      </c>
      <c r="O195">
        <v>3</v>
      </c>
    </row>
    <row r="196" spans="1:15" hidden="1" x14ac:dyDescent="0.25">
      <c r="A196" s="92">
        <v>194</v>
      </c>
      <c r="B196" s="47">
        <f>MONTH(dis_table[[#This Row],[Date]])</f>
        <v>2</v>
      </c>
      <c r="C196" s="4">
        <v>44973</v>
      </c>
      <c r="D196" s="4">
        <v>44973</v>
      </c>
      <c r="E196" t="s">
        <v>249</v>
      </c>
      <c r="F196">
        <v>40.51</v>
      </c>
      <c r="G196" t="s">
        <v>16</v>
      </c>
      <c r="H196" t="s">
        <v>21</v>
      </c>
      <c r="I196" t="s">
        <v>12</v>
      </c>
      <c r="J196" t="s">
        <v>24</v>
      </c>
      <c r="K196" s="4">
        <v>44958</v>
      </c>
      <c r="L196">
        <v>2023</v>
      </c>
      <c r="M196" s="4">
        <v>44973</v>
      </c>
      <c r="N196">
        <v>1481.4399999999989</v>
      </c>
      <c r="O196">
        <v>5</v>
      </c>
    </row>
    <row r="197" spans="1:15" hidden="1" x14ac:dyDescent="0.25">
      <c r="A197" s="92">
        <v>195</v>
      </c>
      <c r="B197" s="47">
        <f>MONTH(dis_table[[#This Row],[Date]])</f>
        <v>2</v>
      </c>
      <c r="C197" s="4">
        <v>44973</v>
      </c>
      <c r="D197" s="4">
        <v>44973</v>
      </c>
      <c r="E197" t="s">
        <v>250</v>
      </c>
      <c r="F197">
        <v>31.63</v>
      </c>
      <c r="G197" t="s">
        <v>9</v>
      </c>
      <c r="H197" t="s">
        <v>10</v>
      </c>
      <c r="I197" t="s">
        <v>12</v>
      </c>
      <c r="J197" t="s">
        <v>13</v>
      </c>
      <c r="K197" s="4">
        <v>44958</v>
      </c>
      <c r="L197">
        <v>2023</v>
      </c>
      <c r="M197" s="4">
        <v>44973</v>
      </c>
      <c r="N197">
        <v>1513.069999999999</v>
      </c>
      <c r="O197">
        <v>13</v>
      </c>
    </row>
    <row r="198" spans="1:15" hidden="1" x14ac:dyDescent="0.25">
      <c r="A198" s="92">
        <v>196</v>
      </c>
      <c r="B198" s="47">
        <f>MONTH(dis_table[[#This Row],[Date]])</f>
        <v>2</v>
      </c>
      <c r="C198" s="4">
        <v>44973</v>
      </c>
      <c r="D198" s="4">
        <v>44973</v>
      </c>
      <c r="E198" t="s">
        <v>251</v>
      </c>
      <c r="F198">
        <v>98.88</v>
      </c>
      <c r="G198" t="s">
        <v>16</v>
      </c>
      <c r="H198" t="s">
        <v>66</v>
      </c>
      <c r="I198" t="s">
        <v>12</v>
      </c>
      <c r="J198" t="s">
        <v>24</v>
      </c>
      <c r="K198" s="4">
        <v>44958</v>
      </c>
      <c r="L198">
        <v>2023</v>
      </c>
      <c r="M198" s="4">
        <v>44973</v>
      </c>
      <c r="N198">
        <v>1611.9499999999989</v>
      </c>
      <c r="O198">
        <v>2</v>
      </c>
    </row>
    <row r="199" spans="1:15" hidden="1" x14ac:dyDescent="0.25">
      <c r="A199" s="92">
        <v>197</v>
      </c>
      <c r="B199" s="47">
        <f>MONTH(dis_table[[#This Row],[Date]])</f>
        <v>2</v>
      </c>
      <c r="C199" s="4">
        <v>44973</v>
      </c>
      <c r="D199" s="4">
        <v>44973</v>
      </c>
      <c r="E199" t="s">
        <v>252</v>
      </c>
      <c r="F199">
        <v>7.4</v>
      </c>
      <c r="G199" t="s">
        <v>9</v>
      </c>
      <c r="H199" t="s">
        <v>10</v>
      </c>
      <c r="I199" t="s">
        <v>12</v>
      </c>
      <c r="J199" t="s">
        <v>13</v>
      </c>
      <c r="K199" s="4">
        <v>44958</v>
      </c>
      <c r="L199">
        <v>2023</v>
      </c>
      <c r="M199" s="4">
        <v>44973</v>
      </c>
      <c r="N199">
        <v>1619.349999999999</v>
      </c>
      <c r="O199">
        <v>14</v>
      </c>
    </row>
    <row r="200" spans="1:15" hidden="1" x14ac:dyDescent="0.25">
      <c r="A200" s="92">
        <v>198</v>
      </c>
      <c r="B200" s="47">
        <f>MONTH(dis_table[[#This Row],[Date]])</f>
        <v>2</v>
      </c>
      <c r="C200" s="4">
        <v>44973</v>
      </c>
      <c r="D200" s="4">
        <v>44973</v>
      </c>
      <c r="E200" t="s">
        <v>171</v>
      </c>
      <c r="F200">
        <v>7.99</v>
      </c>
      <c r="G200" t="s">
        <v>36</v>
      </c>
      <c r="H200" t="s">
        <v>56</v>
      </c>
      <c r="I200" t="s">
        <v>18</v>
      </c>
      <c r="J200" t="s">
        <v>19</v>
      </c>
      <c r="K200" s="4">
        <v>44958</v>
      </c>
      <c r="L200">
        <v>2023</v>
      </c>
      <c r="M200" s="4">
        <v>44973</v>
      </c>
      <c r="N200">
        <v>1627.339999999999</v>
      </c>
      <c r="O200">
        <v>2</v>
      </c>
    </row>
    <row r="201" spans="1:15" hidden="1" x14ac:dyDescent="0.25">
      <c r="A201" s="92">
        <v>199</v>
      </c>
      <c r="B201" s="47">
        <f>MONTH(dis_table[[#This Row],[Date]])</f>
        <v>2</v>
      </c>
      <c r="C201" s="4">
        <v>44974</v>
      </c>
      <c r="D201" s="4">
        <v>44974</v>
      </c>
      <c r="E201" t="s">
        <v>259</v>
      </c>
      <c r="F201">
        <v>9.9</v>
      </c>
      <c r="G201" t="s">
        <v>9</v>
      </c>
      <c r="H201" t="s">
        <v>14</v>
      </c>
      <c r="I201" t="s">
        <v>12</v>
      </c>
      <c r="J201" t="s">
        <v>13</v>
      </c>
      <c r="K201" s="4">
        <v>44958</v>
      </c>
      <c r="L201">
        <v>2023</v>
      </c>
      <c r="M201" s="4">
        <v>44974</v>
      </c>
      <c r="N201">
        <v>1637.2399999999991</v>
      </c>
      <c r="O201">
        <v>23</v>
      </c>
    </row>
    <row r="202" spans="1:15" hidden="1" x14ac:dyDescent="0.25">
      <c r="A202" s="92">
        <v>200</v>
      </c>
      <c r="B202" s="47">
        <f>MONTH(dis_table[[#This Row],[Date]])</f>
        <v>2</v>
      </c>
      <c r="C202" s="4">
        <v>44974</v>
      </c>
      <c r="D202" s="4">
        <v>44974</v>
      </c>
      <c r="E202" t="s">
        <v>38</v>
      </c>
      <c r="F202">
        <v>111.63</v>
      </c>
      <c r="G202" t="s">
        <v>16</v>
      </c>
      <c r="H202" t="s">
        <v>39</v>
      </c>
      <c r="I202" t="s">
        <v>18</v>
      </c>
      <c r="J202" t="s">
        <v>40</v>
      </c>
      <c r="K202" s="4">
        <v>44958</v>
      </c>
      <c r="L202">
        <v>2023</v>
      </c>
      <c r="M202" s="4">
        <v>44974</v>
      </c>
      <c r="N202">
        <v>1748.869999999999</v>
      </c>
      <c r="O202">
        <v>2</v>
      </c>
    </row>
    <row r="203" spans="1:15" hidden="1" x14ac:dyDescent="0.25">
      <c r="A203" s="92">
        <v>201</v>
      </c>
      <c r="B203" s="47">
        <f>MONTH(dis_table[[#This Row],[Date]])</f>
        <v>2</v>
      </c>
      <c r="C203" s="4">
        <v>44974</v>
      </c>
      <c r="D203" s="4">
        <v>44974</v>
      </c>
      <c r="E203" t="s">
        <v>262</v>
      </c>
      <c r="F203">
        <v>1.25</v>
      </c>
      <c r="G203" t="s">
        <v>9</v>
      </c>
      <c r="H203" t="s">
        <v>14</v>
      </c>
      <c r="I203" t="s">
        <v>12</v>
      </c>
      <c r="J203" t="s">
        <v>13</v>
      </c>
      <c r="K203" s="4">
        <v>44958</v>
      </c>
      <c r="L203">
        <v>2023</v>
      </c>
      <c r="M203" s="4">
        <v>44974</v>
      </c>
      <c r="N203">
        <v>1750.119999999999</v>
      </c>
      <c r="O203">
        <v>24</v>
      </c>
    </row>
    <row r="204" spans="1:15" hidden="1" x14ac:dyDescent="0.25">
      <c r="A204" s="92">
        <v>202</v>
      </c>
      <c r="B204" s="47">
        <f>MONTH(dis_table[[#This Row],[Date]])</f>
        <v>2</v>
      </c>
      <c r="C204" s="4">
        <v>44974</v>
      </c>
      <c r="D204" s="4">
        <v>44974</v>
      </c>
      <c r="E204" t="s">
        <v>261</v>
      </c>
      <c r="F204">
        <v>152.41999999999999</v>
      </c>
      <c r="G204" t="s">
        <v>16</v>
      </c>
      <c r="H204" t="s">
        <v>174</v>
      </c>
      <c r="I204" t="s">
        <v>12</v>
      </c>
      <c r="J204" t="s">
        <v>19</v>
      </c>
      <c r="K204" s="4">
        <v>44958</v>
      </c>
      <c r="L204">
        <v>2023</v>
      </c>
      <c r="M204" s="4">
        <v>44974</v>
      </c>
      <c r="N204">
        <v>1902.5399999999991</v>
      </c>
      <c r="O204">
        <v>2</v>
      </c>
    </row>
    <row r="205" spans="1:15" hidden="1" x14ac:dyDescent="0.25">
      <c r="A205" s="92">
        <v>203</v>
      </c>
      <c r="B205" s="47">
        <f>MONTH(dis_table[[#This Row],[Date]])</f>
        <v>2</v>
      </c>
      <c r="C205" s="4">
        <v>44974</v>
      </c>
      <c r="D205" s="4">
        <v>44974</v>
      </c>
      <c r="E205" t="s">
        <v>260</v>
      </c>
      <c r="F205">
        <v>51.75</v>
      </c>
      <c r="G205" t="s">
        <v>16</v>
      </c>
      <c r="H205" t="s">
        <v>174</v>
      </c>
      <c r="I205" t="s">
        <v>12</v>
      </c>
      <c r="J205" t="s">
        <v>19</v>
      </c>
      <c r="K205" s="4">
        <v>44958</v>
      </c>
      <c r="L205">
        <v>2023</v>
      </c>
      <c r="M205" s="4">
        <v>44974</v>
      </c>
      <c r="N205">
        <v>1954.2899999999991</v>
      </c>
      <c r="O205">
        <v>3</v>
      </c>
    </row>
    <row r="206" spans="1:15" hidden="1" x14ac:dyDescent="0.25">
      <c r="A206" s="92">
        <v>204</v>
      </c>
      <c r="B206" s="47">
        <f>MONTH(dis_table[[#This Row],[Date]])</f>
        <v>2</v>
      </c>
      <c r="C206" s="4">
        <v>44974</v>
      </c>
      <c r="D206" s="4">
        <v>44974</v>
      </c>
      <c r="E206" t="s">
        <v>258</v>
      </c>
      <c r="F206">
        <v>45.74</v>
      </c>
      <c r="G206" t="s">
        <v>9</v>
      </c>
      <c r="H206" t="s">
        <v>14</v>
      </c>
      <c r="I206" t="s">
        <v>12</v>
      </c>
      <c r="J206" t="s">
        <v>13</v>
      </c>
      <c r="K206" s="4">
        <v>44958</v>
      </c>
      <c r="L206">
        <v>2023</v>
      </c>
      <c r="M206" s="4">
        <v>44974</v>
      </c>
      <c r="N206">
        <v>2000.0299999999991</v>
      </c>
      <c r="O206">
        <v>25</v>
      </c>
    </row>
    <row r="207" spans="1:15" hidden="1" x14ac:dyDescent="0.25">
      <c r="A207" s="92">
        <v>205</v>
      </c>
      <c r="B207" s="47">
        <f>MONTH(dis_table[[#This Row],[Date]])</f>
        <v>2</v>
      </c>
      <c r="C207" s="4">
        <v>44974</v>
      </c>
      <c r="D207" s="4">
        <v>44974</v>
      </c>
      <c r="E207" t="s">
        <v>263</v>
      </c>
      <c r="F207">
        <v>7.2</v>
      </c>
      <c r="G207" t="s">
        <v>9</v>
      </c>
      <c r="H207" t="s">
        <v>14</v>
      </c>
      <c r="I207" t="s">
        <v>12</v>
      </c>
      <c r="J207" t="s">
        <v>13</v>
      </c>
      <c r="K207" s="4">
        <v>44958</v>
      </c>
      <c r="L207">
        <v>2023</v>
      </c>
      <c r="M207" s="4">
        <v>44974</v>
      </c>
      <c r="N207">
        <v>2007.2299999999991</v>
      </c>
      <c r="O207">
        <v>26</v>
      </c>
    </row>
    <row r="208" spans="1:15" hidden="1" x14ac:dyDescent="0.25">
      <c r="A208" s="92">
        <v>206</v>
      </c>
      <c r="B208" s="47">
        <f>MONTH(dis_table[[#This Row],[Date]])</f>
        <v>2</v>
      </c>
      <c r="C208" s="4">
        <v>44974</v>
      </c>
      <c r="D208" s="4">
        <v>44974</v>
      </c>
      <c r="E208" t="s">
        <v>256</v>
      </c>
      <c r="F208">
        <v>9.1300000000000008</v>
      </c>
      <c r="G208" t="s">
        <v>9</v>
      </c>
      <c r="H208" t="s">
        <v>10</v>
      </c>
      <c r="I208" t="s">
        <v>12</v>
      </c>
      <c r="J208" t="s">
        <v>13</v>
      </c>
      <c r="K208" s="4">
        <v>44958</v>
      </c>
      <c r="L208">
        <v>2023</v>
      </c>
      <c r="M208" s="4">
        <v>44974</v>
      </c>
      <c r="N208">
        <v>2016.359999999999</v>
      </c>
      <c r="O208">
        <v>15</v>
      </c>
    </row>
    <row r="209" spans="1:15" hidden="1" x14ac:dyDescent="0.25">
      <c r="A209" s="92">
        <v>207</v>
      </c>
      <c r="B209" s="47">
        <f>MONTH(dis_table[[#This Row],[Date]])</f>
        <v>2</v>
      </c>
      <c r="C209" s="4">
        <v>44974</v>
      </c>
      <c r="D209" s="4">
        <v>44974</v>
      </c>
      <c r="E209" t="s">
        <v>253</v>
      </c>
      <c r="F209">
        <v>5</v>
      </c>
      <c r="G209" t="s">
        <v>36</v>
      </c>
      <c r="H209" t="s">
        <v>63</v>
      </c>
      <c r="I209" t="s">
        <v>12</v>
      </c>
      <c r="J209" t="s">
        <v>31</v>
      </c>
      <c r="K209" s="4">
        <v>44958</v>
      </c>
      <c r="L209">
        <v>2023</v>
      </c>
      <c r="M209" s="4">
        <v>44974</v>
      </c>
      <c r="N209">
        <v>2021.359999999999</v>
      </c>
      <c r="O209">
        <v>4</v>
      </c>
    </row>
    <row r="210" spans="1:15" hidden="1" x14ac:dyDescent="0.25">
      <c r="A210" s="92">
        <v>208</v>
      </c>
      <c r="B210" s="47">
        <f>MONTH(dis_table[[#This Row],[Date]])</f>
        <v>2</v>
      </c>
      <c r="C210" s="4">
        <v>44974</v>
      </c>
      <c r="D210" s="4">
        <v>44974</v>
      </c>
      <c r="E210" t="s">
        <v>253</v>
      </c>
      <c r="F210">
        <v>15</v>
      </c>
      <c r="G210" t="s">
        <v>36</v>
      </c>
      <c r="H210" t="s">
        <v>63</v>
      </c>
      <c r="I210" t="s">
        <v>12</v>
      </c>
      <c r="J210" t="s">
        <v>31</v>
      </c>
      <c r="K210" s="4">
        <v>44958</v>
      </c>
      <c r="L210">
        <v>2023</v>
      </c>
      <c r="M210" s="4">
        <v>44974</v>
      </c>
      <c r="N210">
        <v>2036.359999999999</v>
      </c>
      <c r="O210">
        <v>5</v>
      </c>
    </row>
    <row r="211" spans="1:15" hidden="1" x14ac:dyDescent="0.25">
      <c r="A211" s="92">
        <v>209</v>
      </c>
      <c r="B211" s="47">
        <f>MONTH(dis_table[[#This Row],[Date]])</f>
        <v>2</v>
      </c>
      <c r="C211" s="4">
        <v>44974</v>
      </c>
      <c r="D211" s="4">
        <v>44974</v>
      </c>
      <c r="E211" t="s">
        <v>257</v>
      </c>
      <c r="F211">
        <v>4</v>
      </c>
      <c r="G211" t="s">
        <v>36</v>
      </c>
      <c r="H211" t="s">
        <v>63</v>
      </c>
      <c r="I211" t="s">
        <v>12</v>
      </c>
      <c r="J211" t="s">
        <v>31</v>
      </c>
      <c r="K211" s="4">
        <v>44958</v>
      </c>
      <c r="L211">
        <v>2023</v>
      </c>
      <c r="M211" s="4">
        <v>44974</v>
      </c>
      <c r="N211">
        <v>2040.359999999999</v>
      </c>
      <c r="O211">
        <v>6</v>
      </c>
    </row>
    <row r="212" spans="1:15" hidden="1" x14ac:dyDescent="0.25">
      <c r="A212" s="92">
        <v>210</v>
      </c>
      <c r="B212" s="47">
        <f>MONTH(dis_table[[#This Row],[Date]])</f>
        <v>2</v>
      </c>
      <c r="C212" s="4">
        <v>44974</v>
      </c>
      <c r="D212" s="4">
        <v>44974</v>
      </c>
      <c r="E212" t="s">
        <v>255</v>
      </c>
      <c r="F212">
        <v>27.62</v>
      </c>
      <c r="G212" t="s">
        <v>16</v>
      </c>
      <c r="H212" t="s">
        <v>25</v>
      </c>
      <c r="I212" t="s">
        <v>12</v>
      </c>
      <c r="J212" t="s">
        <v>24</v>
      </c>
      <c r="K212" s="4">
        <v>44958</v>
      </c>
      <c r="L212">
        <v>2023</v>
      </c>
      <c r="M212" s="4">
        <v>44974</v>
      </c>
      <c r="N212">
        <v>2067.9799999999991</v>
      </c>
      <c r="O212">
        <v>4</v>
      </c>
    </row>
    <row r="213" spans="1:15" hidden="1" x14ac:dyDescent="0.25">
      <c r="A213" s="92">
        <v>211</v>
      </c>
      <c r="B213" s="47">
        <f>MONTH(dis_table[[#This Row],[Date]])</f>
        <v>2</v>
      </c>
      <c r="C213" s="4">
        <v>44974</v>
      </c>
      <c r="D213" s="4">
        <v>44974</v>
      </c>
      <c r="E213" t="s">
        <v>232</v>
      </c>
      <c r="F213">
        <v>29.16</v>
      </c>
      <c r="G213" t="s">
        <v>34</v>
      </c>
      <c r="H213" t="s">
        <v>35</v>
      </c>
      <c r="I213" t="s">
        <v>12</v>
      </c>
      <c r="J213" t="s">
        <v>13</v>
      </c>
      <c r="K213" s="4">
        <v>44958</v>
      </c>
      <c r="L213">
        <v>2023</v>
      </c>
      <c r="M213" s="4">
        <v>44974</v>
      </c>
      <c r="N213">
        <v>2097.139999999999</v>
      </c>
      <c r="O213">
        <v>7</v>
      </c>
    </row>
    <row r="214" spans="1:15" hidden="1" x14ac:dyDescent="0.25">
      <c r="A214" s="92">
        <v>212</v>
      </c>
      <c r="B214" s="47">
        <f>MONTH(dis_table[[#This Row],[Date]])</f>
        <v>2</v>
      </c>
      <c r="C214" s="4">
        <v>44974</v>
      </c>
      <c r="D214" s="4">
        <v>44974</v>
      </c>
      <c r="E214" t="s">
        <v>254</v>
      </c>
      <c r="F214">
        <v>18.11</v>
      </c>
      <c r="G214" t="s">
        <v>9</v>
      </c>
      <c r="H214" t="s">
        <v>14</v>
      </c>
      <c r="I214" t="s">
        <v>12</v>
      </c>
      <c r="J214" t="s">
        <v>13</v>
      </c>
      <c r="K214" s="4">
        <v>44958</v>
      </c>
      <c r="L214">
        <v>2023</v>
      </c>
      <c r="M214" s="4">
        <v>44974</v>
      </c>
      <c r="N214">
        <v>2115.2499999999991</v>
      </c>
      <c r="O214">
        <v>27</v>
      </c>
    </row>
    <row r="215" spans="1:15" hidden="1" x14ac:dyDescent="0.25">
      <c r="A215" s="92">
        <v>213</v>
      </c>
      <c r="B215" s="47">
        <f>MONTH(dis_table[[#This Row],[Date]])</f>
        <v>2</v>
      </c>
      <c r="C215" s="4">
        <v>44975</v>
      </c>
      <c r="D215" s="4">
        <v>44975</v>
      </c>
      <c r="E215" t="s">
        <v>264</v>
      </c>
      <c r="F215">
        <v>5.66</v>
      </c>
      <c r="G215" t="s">
        <v>29</v>
      </c>
      <c r="H215" t="s">
        <v>30</v>
      </c>
      <c r="I215" t="s">
        <v>12</v>
      </c>
      <c r="J215" t="s">
        <v>31</v>
      </c>
      <c r="K215" s="4">
        <v>44958</v>
      </c>
      <c r="L215">
        <v>2023</v>
      </c>
      <c r="M215" s="4">
        <v>44975</v>
      </c>
      <c r="N215">
        <v>2120.9099999999989</v>
      </c>
      <c r="O215">
        <v>4</v>
      </c>
    </row>
    <row r="216" spans="1:15" hidden="1" x14ac:dyDescent="0.25">
      <c r="A216" s="92">
        <v>214</v>
      </c>
      <c r="B216" s="47">
        <f>MONTH(dis_table[[#This Row],[Date]])</f>
        <v>2</v>
      </c>
      <c r="C216" s="4">
        <v>44975</v>
      </c>
      <c r="D216" s="4">
        <v>44975</v>
      </c>
      <c r="E216" t="s">
        <v>264</v>
      </c>
      <c r="F216">
        <v>9.84</v>
      </c>
      <c r="G216" t="s">
        <v>29</v>
      </c>
      <c r="H216" t="s">
        <v>30</v>
      </c>
      <c r="I216" t="s">
        <v>12</v>
      </c>
      <c r="J216" t="s">
        <v>31</v>
      </c>
      <c r="K216" s="4">
        <v>44958</v>
      </c>
      <c r="L216">
        <v>2023</v>
      </c>
      <c r="M216" s="4">
        <v>44975</v>
      </c>
      <c r="N216">
        <v>2130.7499999999991</v>
      </c>
      <c r="O216">
        <v>5</v>
      </c>
    </row>
    <row r="217" spans="1:15" hidden="1" x14ac:dyDescent="0.25">
      <c r="A217" s="92">
        <v>215</v>
      </c>
      <c r="B217" s="47">
        <f>MONTH(dis_table[[#This Row],[Date]])</f>
        <v>2</v>
      </c>
      <c r="C217" s="4">
        <v>44975</v>
      </c>
      <c r="D217" s="4">
        <v>44975</v>
      </c>
      <c r="E217" t="s">
        <v>172</v>
      </c>
      <c r="F217">
        <v>35</v>
      </c>
      <c r="G217" t="s">
        <v>22</v>
      </c>
      <c r="H217" t="s">
        <v>55</v>
      </c>
      <c r="I217" t="s">
        <v>12</v>
      </c>
      <c r="J217" t="s">
        <v>31</v>
      </c>
      <c r="K217" s="4">
        <v>44958</v>
      </c>
      <c r="L217">
        <v>2023</v>
      </c>
      <c r="M217" s="4">
        <v>44975</v>
      </c>
      <c r="N217">
        <v>2165.7499999999991</v>
      </c>
      <c r="O217">
        <v>8</v>
      </c>
    </row>
    <row r="218" spans="1:15" hidden="1" x14ac:dyDescent="0.25">
      <c r="A218" s="92">
        <v>216</v>
      </c>
      <c r="B218" s="47">
        <f>MONTH(dis_table[[#This Row],[Date]])</f>
        <v>2</v>
      </c>
      <c r="C218" s="4">
        <v>44976</v>
      </c>
      <c r="D218" s="4">
        <v>44976</v>
      </c>
      <c r="E218" t="s">
        <v>265</v>
      </c>
      <c r="F218">
        <v>15.19</v>
      </c>
      <c r="G218" t="s">
        <v>16</v>
      </c>
      <c r="H218" t="s">
        <v>133</v>
      </c>
      <c r="I218" t="s">
        <v>12</v>
      </c>
      <c r="J218" t="s">
        <v>24</v>
      </c>
      <c r="K218" s="4">
        <v>44958</v>
      </c>
      <c r="L218">
        <v>2023</v>
      </c>
      <c r="M218" s="4">
        <v>44976</v>
      </c>
      <c r="N218">
        <v>2180.9399999999991</v>
      </c>
      <c r="O218">
        <v>7</v>
      </c>
    </row>
    <row r="219" spans="1:15" hidden="1" x14ac:dyDescent="0.25">
      <c r="A219" s="92">
        <v>217</v>
      </c>
      <c r="B219" s="47">
        <f>MONTH(dis_table[[#This Row],[Date]])</f>
        <v>2</v>
      </c>
      <c r="C219" s="4">
        <v>44976</v>
      </c>
      <c r="D219" s="4">
        <v>44976</v>
      </c>
      <c r="E219" t="s">
        <v>81</v>
      </c>
      <c r="F219">
        <v>7.44</v>
      </c>
      <c r="G219" t="s">
        <v>16</v>
      </c>
      <c r="H219" t="s">
        <v>45</v>
      </c>
      <c r="I219" t="s">
        <v>12</v>
      </c>
      <c r="J219" t="s">
        <v>19</v>
      </c>
      <c r="K219" s="4">
        <v>44958</v>
      </c>
      <c r="L219">
        <v>2023</v>
      </c>
      <c r="M219" s="4">
        <v>44976</v>
      </c>
      <c r="N219">
        <v>2188.3799999999992</v>
      </c>
      <c r="O219">
        <v>18</v>
      </c>
    </row>
    <row r="220" spans="1:15" hidden="1" x14ac:dyDescent="0.25">
      <c r="A220" s="92">
        <v>218</v>
      </c>
      <c r="B220" s="47">
        <f>MONTH(dis_table[[#This Row],[Date]])</f>
        <v>2</v>
      </c>
      <c r="C220" s="4">
        <v>44976</v>
      </c>
      <c r="D220" s="4">
        <v>44976</v>
      </c>
      <c r="E220" t="s">
        <v>266</v>
      </c>
      <c r="F220">
        <v>3.17</v>
      </c>
      <c r="G220" t="s">
        <v>9</v>
      </c>
      <c r="H220" t="s">
        <v>57</v>
      </c>
      <c r="I220" t="s">
        <v>12</v>
      </c>
      <c r="J220" t="s">
        <v>19</v>
      </c>
      <c r="K220" s="4">
        <v>44958</v>
      </c>
      <c r="L220">
        <v>2023</v>
      </c>
      <c r="M220" s="4">
        <v>44976</v>
      </c>
      <c r="N220">
        <v>2191.5499999999988</v>
      </c>
      <c r="O220">
        <v>2</v>
      </c>
    </row>
    <row r="221" spans="1:15" hidden="1" x14ac:dyDescent="0.25">
      <c r="A221" s="92">
        <v>219</v>
      </c>
      <c r="B221" s="47">
        <f>MONTH(dis_table[[#This Row],[Date]])</f>
        <v>2</v>
      </c>
      <c r="C221" s="4">
        <v>44977</v>
      </c>
      <c r="D221" s="4">
        <v>44977</v>
      </c>
      <c r="E221" t="s">
        <v>267</v>
      </c>
      <c r="F221">
        <v>17.52</v>
      </c>
      <c r="G221" t="s">
        <v>48</v>
      </c>
      <c r="H221" t="s">
        <v>49</v>
      </c>
      <c r="I221" t="s">
        <v>12</v>
      </c>
      <c r="J221" t="s">
        <v>40</v>
      </c>
      <c r="K221" s="4">
        <v>44958</v>
      </c>
      <c r="L221">
        <v>2023</v>
      </c>
      <c r="M221" s="4">
        <v>44977</v>
      </c>
      <c r="N221">
        <v>2209.0699999999988</v>
      </c>
      <c r="O221">
        <v>3</v>
      </c>
    </row>
    <row r="222" spans="1:15" hidden="1" x14ac:dyDescent="0.25">
      <c r="A222" s="92">
        <v>220</v>
      </c>
      <c r="B222" s="47">
        <f>MONTH(dis_table[[#This Row],[Date]])</f>
        <v>2</v>
      </c>
      <c r="C222" s="4">
        <v>44977</v>
      </c>
      <c r="D222" s="4">
        <v>44977</v>
      </c>
      <c r="E222" t="s">
        <v>81</v>
      </c>
      <c r="F222">
        <v>13.81</v>
      </c>
      <c r="G222" t="s">
        <v>16</v>
      </c>
      <c r="H222" t="s">
        <v>45</v>
      </c>
      <c r="I222" t="s">
        <v>12</v>
      </c>
      <c r="J222" t="s">
        <v>19</v>
      </c>
      <c r="K222" s="4">
        <v>44958</v>
      </c>
      <c r="L222">
        <v>2023</v>
      </c>
      <c r="M222" s="4">
        <v>44977</v>
      </c>
      <c r="N222">
        <v>2222.8799999999992</v>
      </c>
      <c r="O222">
        <v>19</v>
      </c>
    </row>
    <row r="223" spans="1:15" hidden="1" x14ac:dyDescent="0.25">
      <c r="A223" s="92">
        <v>221</v>
      </c>
      <c r="B223" s="47">
        <f>MONTH(dis_table[[#This Row],[Date]])</f>
        <v>2</v>
      </c>
      <c r="C223" s="4">
        <v>44977</v>
      </c>
      <c r="D223" s="4">
        <v>44977</v>
      </c>
      <c r="E223" t="s">
        <v>268</v>
      </c>
      <c r="F223">
        <v>62.37</v>
      </c>
      <c r="G223" t="s">
        <v>48</v>
      </c>
      <c r="H223" t="s">
        <v>49</v>
      </c>
      <c r="I223" t="s">
        <v>12</v>
      </c>
      <c r="J223" t="s">
        <v>40</v>
      </c>
      <c r="K223" s="4">
        <v>44958</v>
      </c>
      <c r="L223">
        <v>2023</v>
      </c>
      <c r="M223" s="4">
        <v>44977</v>
      </c>
      <c r="N223">
        <v>2285.2499999999991</v>
      </c>
      <c r="O223">
        <v>4</v>
      </c>
    </row>
    <row r="224" spans="1:15" hidden="1" x14ac:dyDescent="0.25">
      <c r="A224" s="92">
        <v>222</v>
      </c>
      <c r="B224" s="47">
        <f>MONTH(dis_table[[#This Row],[Date]])</f>
        <v>2</v>
      </c>
      <c r="C224" s="4">
        <v>44977</v>
      </c>
      <c r="D224" s="4">
        <v>44977</v>
      </c>
      <c r="E224" t="s">
        <v>125</v>
      </c>
      <c r="F224">
        <v>40.54</v>
      </c>
      <c r="G224" t="s">
        <v>34</v>
      </c>
      <c r="H224" t="s">
        <v>133</v>
      </c>
      <c r="I224" t="s">
        <v>12</v>
      </c>
      <c r="J224" t="s">
        <v>24</v>
      </c>
      <c r="K224" s="4">
        <v>44958</v>
      </c>
      <c r="L224">
        <v>2023</v>
      </c>
      <c r="M224" s="4">
        <v>44977</v>
      </c>
      <c r="N224">
        <v>2325.7899999999991</v>
      </c>
      <c r="O224">
        <v>8</v>
      </c>
    </row>
    <row r="225" spans="1:15" hidden="1" x14ac:dyDescent="0.25">
      <c r="A225" s="92">
        <v>223</v>
      </c>
      <c r="B225" s="47">
        <f>MONTH(dis_table[[#This Row],[Date]])</f>
        <v>2</v>
      </c>
      <c r="C225" s="4">
        <v>44978</v>
      </c>
      <c r="D225" s="4">
        <v>44978</v>
      </c>
      <c r="E225" t="s">
        <v>270</v>
      </c>
      <c r="F225">
        <v>35.89</v>
      </c>
      <c r="G225" t="s">
        <v>9</v>
      </c>
      <c r="H225" t="s">
        <v>10</v>
      </c>
      <c r="I225" t="s">
        <v>12</v>
      </c>
      <c r="J225" t="s">
        <v>13</v>
      </c>
      <c r="K225" s="4">
        <v>44958</v>
      </c>
      <c r="L225">
        <v>2023</v>
      </c>
      <c r="M225" s="4">
        <v>44978</v>
      </c>
      <c r="N225">
        <v>2361.6799999999989</v>
      </c>
      <c r="O225">
        <v>16</v>
      </c>
    </row>
    <row r="226" spans="1:15" hidden="1" x14ac:dyDescent="0.25">
      <c r="A226" s="92">
        <v>224</v>
      </c>
      <c r="B226" s="47">
        <f>MONTH(dis_table[[#This Row],[Date]])</f>
        <v>2</v>
      </c>
      <c r="C226" s="4">
        <v>44978</v>
      </c>
      <c r="D226" s="4">
        <v>44978</v>
      </c>
      <c r="E226" t="s">
        <v>271</v>
      </c>
      <c r="F226">
        <v>200</v>
      </c>
      <c r="G226" t="s">
        <v>48</v>
      </c>
      <c r="H226" t="s">
        <v>49</v>
      </c>
      <c r="I226" t="s">
        <v>12</v>
      </c>
      <c r="J226" t="s">
        <v>40</v>
      </c>
      <c r="K226" s="4">
        <v>44958</v>
      </c>
      <c r="L226">
        <v>2023</v>
      </c>
      <c r="M226" s="4">
        <v>44978</v>
      </c>
      <c r="N226">
        <v>2561.6799999999989</v>
      </c>
      <c r="O226">
        <v>5</v>
      </c>
    </row>
    <row r="227" spans="1:15" hidden="1" x14ac:dyDescent="0.25">
      <c r="A227" s="92">
        <v>225</v>
      </c>
      <c r="B227" s="47">
        <f>MONTH(dis_table[[#This Row],[Date]])</f>
        <v>2</v>
      </c>
      <c r="C227" s="4">
        <v>44978</v>
      </c>
      <c r="D227" s="4">
        <v>44978</v>
      </c>
      <c r="E227" t="s">
        <v>269</v>
      </c>
      <c r="F227">
        <v>18.690000000000001</v>
      </c>
      <c r="G227" t="s">
        <v>9</v>
      </c>
      <c r="H227" t="s">
        <v>62</v>
      </c>
      <c r="I227" t="s">
        <v>12</v>
      </c>
      <c r="J227" t="s">
        <v>13</v>
      </c>
      <c r="K227" s="4">
        <v>44958</v>
      </c>
      <c r="L227">
        <v>2023</v>
      </c>
      <c r="M227" s="4">
        <v>44978</v>
      </c>
      <c r="N227">
        <v>2580.369999999999</v>
      </c>
      <c r="O227">
        <v>3</v>
      </c>
    </row>
    <row r="228" spans="1:15" hidden="1" x14ac:dyDescent="0.25">
      <c r="A228" s="92">
        <v>226</v>
      </c>
      <c r="B228" s="47">
        <f>MONTH(dis_table[[#This Row],[Date]])</f>
        <v>2</v>
      </c>
      <c r="C228" s="4">
        <v>44978</v>
      </c>
      <c r="D228" s="4">
        <v>44978</v>
      </c>
      <c r="E228" t="s">
        <v>81</v>
      </c>
      <c r="F228">
        <v>7.43</v>
      </c>
      <c r="G228" t="s">
        <v>16</v>
      </c>
      <c r="H228" t="s">
        <v>45</v>
      </c>
      <c r="I228" t="s">
        <v>12</v>
      </c>
      <c r="J228" t="s">
        <v>19</v>
      </c>
      <c r="K228" s="4">
        <v>44958</v>
      </c>
      <c r="L228">
        <v>2023</v>
      </c>
      <c r="M228" s="4">
        <v>44978</v>
      </c>
      <c r="N228">
        <v>2587.7999999999988</v>
      </c>
      <c r="O228">
        <v>20</v>
      </c>
    </row>
    <row r="229" spans="1:15" hidden="1" x14ac:dyDescent="0.25">
      <c r="A229" s="92">
        <v>227</v>
      </c>
      <c r="B229" s="47">
        <f>MONTH(dis_table[[#This Row],[Date]])</f>
        <v>2</v>
      </c>
      <c r="C229" s="4">
        <v>44979</v>
      </c>
      <c r="D229" s="4">
        <v>44979</v>
      </c>
      <c r="E229" t="s">
        <v>272</v>
      </c>
      <c r="F229">
        <v>29.98</v>
      </c>
      <c r="G229" t="s">
        <v>36</v>
      </c>
      <c r="H229" t="s">
        <v>94</v>
      </c>
      <c r="I229" t="s">
        <v>12</v>
      </c>
      <c r="J229" t="s">
        <v>273</v>
      </c>
      <c r="K229" s="4">
        <v>44958</v>
      </c>
      <c r="L229">
        <v>2023</v>
      </c>
      <c r="M229" s="4">
        <v>44979</v>
      </c>
      <c r="N229">
        <v>2617.7799999999988</v>
      </c>
      <c r="O229">
        <v>1</v>
      </c>
    </row>
    <row r="230" spans="1:15" hidden="1" x14ac:dyDescent="0.25">
      <c r="A230" s="92">
        <v>228</v>
      </c>
      <c r="B230" s="47">
        <f>MONTH(dis_table[[#This Row],[Date]])</f>
        <v>2</v>
      </c>
      <c r="C230" s="4">
        <v>44980</v>
      </c>
      <c r="D230" s="4">
        <v>44980</v>
      </c>
      <c r="E230" t="s">
        <v>274</v>
      </c>
      <c r="F230">
        <v>43.43</v>
      </c>
      <c r="G230" t="s">
        <v>9</v>
      </c>
      <c r="H230" t="s">
        <v>10</v>
      </c>
      <c r="I230" t="s">
        <v>12</v>
      </c>
      <c r="J230" t="s">
        <v>13</v>
      </c>
      <c r="K230" s="4">
        <v>44958</v>
      </c>
      <c r="L230">
        <v>2023</v>
      </c>
      <c r="M230" s="4">
        <v>44980</v>
      </c>
      <c r="N230">
        <v>2661.2099999999991</v>
      </c>
      <c r="O230">
        <v>17</v>
      </c>
    </row>
    <row r="231" spans="1:15" hidden="1" x14ac:dyDescent="0.25">
      <c r="A231" s="92">
        <v>229</v>
      </c>
      <c r="B231" s="47">
        <f>MONTH(dis_table[[#This Row],[Date]])</f>
        <v>2</v>
      </c>
      <c r="C231" s="4">
        <v>44980</v>
      </c>
      <c r="D231" s="4">
        <v>44980</v>
      </c>
      <c r="E231" t="s">
        <v>275</v>
      </c>
      <c r="F231">
        <v>142</v>
      </c>
      <c r="G231" t="s">
        <v>22</v>
      </c>
      <c r="H231" t="s">
        <v>497</v>
      </c>
      <c r="I231" t="s">
        <v>18</v>
      </c>
      <c r="J231" t="s">
        <v>19</v>
      </c>
      <c r="K231" s="4">
        <v>44958</v>
      </c>
      <c r="L231">
        <v>2023</v>
      </c>
      <c r="M231" s="4">
        <v>44980</v>
      </c>
      <c r="N231">
        <v>2803.2099999999991</v>
      </c>
      <c r="O231">
        <v>1</v>
      </c>
    </row>
    <row r="232" spans="1:15" hidden="1" x14ac:dyDescent="0.25">
      <c r="A232" s="92">
        <v>230</v>
      </c>
      <c r="B232" s="47">
        <f>MONTH(dis_table[[#This Row],[Date]])</f>
        <v>2</v>
      </c>
      <c r="C232" s="4">
        <v>44980</v>
      </c>
      <c r="D232" s="4">
        <v>44980</v>
      </c>
      <c r="E232" t="s">
        <v>276</v>
      </c>
      <c r="F232">
        <v>27.32</v>
      </c>
      <c r="G232" t="s">
        <v>58</v>
      </c>
      <c r="H232" t="s">
        <v>209</v>
      </c>
      <c r="I232" t="s">
        <v>18</v>
      </c>
      <c r="J232" t="s">
        <v>59</v>
      </c>
      <c r="K232" s="4">
        <v>44958</v>
      </c>
      <c r="L232">
        <v>2023</v>
      </c>
      <c r="M232" s="4">
        <v>44980</v>
      </c>
      <c r="N232">
        <v>2830.5299999999988</v>
      </c>
      <c r="O232">
        <v>4</v>
      </c>
    </row>
    <row r="233" spans="1:15" hidden="1" x14ac:dyDescent="0.25">
      <c r="A233" s="92">
        <v>231</v>
      </c>
      <c r="B233" s="47">
        <f>MONTH(dis_table[[#This Row],[Date]])</f>
        <v>2</v>
      </c>
      <c r="C233" s="4">
        <v>44981</v>
      </c>
      <c r="D233" s="4">
        <v>44981</v>
      </c>
      <c r="E233" t="s">
        <v>26</v>
      </c>
      <c r="F233">
        <v>-1432.39</v>
      </c>
      <c r="G233" t="s">
        <v>27</v>
      </c>
      <c r="H233" t="s">
        <v>28</v>
      </c>
      <c r="I233" t="s">
        <v>12</v>
      </c>
      <c r="J233" t="s">
        <v>122</v>
      </c>
      <c r="K233" s="4">
        <v>44958</v>
      </c>
      <c r="L233">
        <v>2023</v>
      </c>
      <c r="M233" s="4">
        <v>44981</v>
      </c>
      <c r="N233">
        <v>1398.139999999999</v>
      </c>
      <c r="O233">
        <v>5</v>
      </c>
    </row>
    <row r="234" spans="1:15" hidden="1" x14ac:dyDescent="0.25">
      <c r="A234" s="92">
        <v>232</v>
      </c>
      <c r="B234" s="47">
        <f>MONTH(dis_table[[#This Row],[Date]])</f>
        <v>2</v>
      </c>
      <c r="C234" s="4">
        <v>44981</v>
      </c>
      <c r="D234" s="4">
        <v>44981</v>
      </c>
      <c r="E234" t="s">
        <v>129</v>
      </c>
      <c r="F234">
        <v>84.59</v>
      </c>
      <c r="G234" t="s">
        <v>34</v>
      </c>
      <c r="H234" t="s">
        <v>35</v>
      </c>
      <c r="I234" t="s">
        <v>12</v>
      </c>
      <c r="J234" t="s">
        <v>13</v>
      </c>
      <c r="K234" s="4">
        <v>44958</v>
      </c>
      <c r="L234">
        <v>2023</v>
      </c>
      <c r="M234" s="4">
        <v>44981</v>
      </c>
      <c r="N234">
        <v>1482.7299999999991</v>
      </c>
      <c r="O234">
        <v>8</v>
      </c>
    </row>
    <row r="235" spans="1:15" hidden="1" x14ac:dyDescent="0.25">
      <c r="A235" s="92">
        <v>233</v>
      </c>
      <c r="B235" s="47">
        <f>MONTH(dis_table[[#This Row],[Date]])</f>
        <v>2</v>
      </c>
      <c r="C235" s="4">
        <v>44982</v>
      </c>
      <c r="D235" s="4">
        <v>44982</v>
      </c>
      <c r="E235" t="s">
        <v>278</v>
      </c>
      <c r="F235">
        <v>18</v>
      </c>
      <c r="G235" t="s">
        <v>36</v>
      </c>
      <c r="H235" t="s">
        <v>14</v>
      </c>
      <c r="I235" t="s">
        <v>12</v>
      </c>
      <c r="J235" t="s">
        <v>13</v>
      </c>
      <c r="K235" s="4">
        <v>44958</v>
      </c>
      <c r="L235">
        <v>2023</v>
      </c>
      <c r="M235" s="4">
        <v>44982</v>
      </c>
      <c r="N235">
        <v>1500.7299999999991</v>
      </c>
      <c r="O235">
        <v>28</v>
      </c>
    </row>
    <row r="236" spans="1:15" hidden="1" x14ac:dyDescent="0.25">
      <c r="A236" s="92">
        <v>234</v>
      </c>
      <c r="B236" s="47">
        <f>MONTH(dis_table[[#This Row],[Date]])</f>
        <v>2</v>
      </c>
      <c r="C236" s="4">
        <v>44982</v>
      </c>
      <c r="D236" s="4">
        <v>44982</v>
      </c>
      <c r="E236" t="s">
        <v>277</v>
      </c>
      <c r="F236">
        <v>16.89</v>
      </c>
      <c r="G236" t="s">
        <v>16</v>
      </c>
      <c r="H236" t="s">
        <v>14</v>
      </c>
      <c r="I236" t="s">
        <v>12</v>
      </c>
      <c r="J236" t="s">
        <v>13</v>
      </c>
      <c r="K236" s="4">
        <v>44958</v>
      </c>
      <c r="L236">
        <v>2023</v>
      </c>
      <c r="M236" s="4">
        <v>44982</v>
      </c>
      <c r="N236">
        <v>1517.619999999999</v>
      </c>
      <c r="O236">
        <v>29</v>
      </c>
    </row>
    <row r="237" spans="1:15" hidden="1" x14ac:dyDescent="0.25">
      <c r="A237" s="92">
        <v>235</v>
      </c>
      <c r="B237" s="47">
        <f>MONTH(dis_table[[#This Row],[Date]])</f>
        <v>2</v>
      </c>
      <c r="C237" s="4">
        <v>44983</v>
      </c>
      <c r="D237" s="4">
        <v>44983</v>
      </c>
      <c r="E237" t="s">
        <v>280</v>
      </c>
      <c r="F237">
        <v>65.14</v>
      </c>
      <c r="G237" t="s">
        <v>36</v>
      </c>
      <c r="H237" t="s">
        <v>65</v>
      </c>
      <c r="I237" t="s">
        <v>12</v>
      </c>
      <c r="J237" t="s">
        <v>19</v>
      </c>
      <c r="K237" s="4">
        <v>44958</v>
      </c>
      <c r="L237">
        <v>2023</v>
      </c>
      <c r="M237" s="4">
        <v>44983</v>
      </c>
      <c r="N237">
        <v>1582.7599999999991</v>
      </c>
      <c r="O237">
        <v>1</v>
      </c>
    </row>
    <row r="238" spans="1:15" hidden="1" x14ac:dyDescent="0.25">
      <c r="A238" s="92">
        <v>236</v>
      </c>
      <c r="B238" s="47">
        <f>MONTH(dis_table[[#This Row],[Date]])</f>
        <v>2</v>
      </c>
      <c r="C238" s="4">
        <v>44983</v>
      </c>
      <c r="D238" s="4">
        <v>44983</v>
      </c>
      <c r="E238" t="s">
        <v>279</v>
      </c>
      <c r="F238">
        <v>32.880000000000003</v>
      </c>
      <c r="G238" t="s">
        <v>16</v>
      </c>
      <c r="H238" t="s">
        <v>21</v>
      </c>
      <c r="I238" t="s">
        <v>12</v>
      </c>
      <c r="J238" t="s">
        <v>24</v>
      </c>
      <c r="K238" s="4">
        <v>44958</v>
      </c>
      <c r="L238">
        <v>2023</v>
      </c>
      <c r="M238" s="4">
        <v>44983</v>
      </c>
      <c r="N238">
        <v>1615.639999999999</v>
      </c>
      <c r="O238">
        <v>6</v>
      </c>
    </row>
    <row r="239" spans="1:15" hidden="1" x14ac:dyDescent="0.25">
      <c r="A239" s="92">
        <v>237</v>
      </c>
      <c r="B239" s="47">
        <f>MONTH(dis_table[[#This Row],[Date]])</f>
        <v>2</v>
      </c>
      <c r="C239" s="4">
        <v>44984</v>
      </c>
      <c r="D239" s="4">
        <v>44984</v>
      </c>
      <c r="E239" t="s">
        <v>140</v>
      </c>
      <c r="F239">
        <v>15.17</v>
      </c>
      <c r="G239" t="s">
        <v>9</v>
      </c>
      <c r="H239" t="s">
        <v>10</v>
      </c>
      <c r="I239" t="s">
        <v>12</v>
      </c>
      <c r="J239" t="s">
        <v>13</v>
      </c>
      <c r="K239" s="4">
        <v>44958</v>
      </c>
      <c r="L239">
        <v>2023</v>
      </c>
      <c r="M239" s="4">
        <v>44984</v>
      </c>
      <c r="N239">
        <v>1630.809999999999</v>
      </c>
      <c r="O239">
        <v>18</v>
      </c>
    </row>
    <row r="240" spans="1:15" hidden="1" x14ac:dyDescent="0.25">
      <c r="A240" s="92">
        <v>238</v>
      </c>
      <c r="B240" s="47">
        <f>MONTH(dis_table[[#This Row],[Date]])</f>
        <v>2</v>
      </c>
      <c r="C240" s="4">
        <v>44984</v>
      </c>
      <c r="D240" s="4">
        <v>44984</v>
      </c>
      <c r="E240" t="s">
        <v>281</v>
      </c>
      <c r="F240">
        <v>225</v>
      </c>
      <c r="G240" t="s">
        <v>16</v>
      </c>
      <c r="H240" t="s">
        <v>127</v>
      </c>
      <c r="I240" t="s">
        <v>12</v>
      </c>
      <c r="J240" t="s">
        <v>19</v>
      </c>
      <c r="K240" s="4">
        <v>44958</v>
      </c>
      <c r="L240">
        <v>2023</v>
      </c>
      <c r="M240" s="4">
        <v>44984</v>
      </c>
      <c r="N240">
        <v>1855.809999999999</v>
      </c>
      <c r="O240">
        <v>1</v>
      </c>
    </row>
    <row r="241" spans="1:15" hidden="1" x14ac:dyDescent="0.25">
      <c r="A241" s="92">
        <v>239</v>
      </c>
      <c r="B241" s="47">
        <f>MONTH(dis_table[[#This Row],[Date]])</f>
        <v>2</v>
      </c>
      <c r="C241" s="4">
        <v>44984</v>
      </c>
      <c r="D241" s="4">
        <v>44984</v>
      </c>
      <c r="E241" t="s">
        <v>282</v>
      </c>
      <c r="F241">
        <v>40</v>
      </c>
      <c r="G241" t="s">
        <v>36</v>
      </c>
      <c r="H241" t="s">
        <v>66</v>
      </c>
      <c r="I241" t="s">
        <v>12</v>
      </c>
      <c r="J241" t="s">
        <v>24</v>
      </c>
      <c r="K241" s="4">
        <v>44958</v>
      </c>
      <c r="L241">
        <v>2023</v>
      </c>
      <c r="M241" s="4">
        <v>44984</v>
      </c>
      <c r="N241">
        <v>1895.809999999999</v>
      </c>
      <c r="O241">
        <v>3</v>
      </c>
    </row>
    <row r="242" spans="1:15" hidden="1" x14ac:dyDescent="0.25">
      <c r="A242" s="92">
        <v>240</v>
      </c>
      <c r="B242" s="47">
        <f>MONTH(dis_table[[#This Row],[Date]])</f>
        <v>2</v>
      </c>
      <c r="C242" s="4">
        <v>44985</v>
      </c>
      <c r="D242" s="4">
        <v>44985</v>
      </c>
      <c r="E242" t="s">
        <v>26</v>
      </c>
      <c r="F242">
        <v>-1000</v>
      </c>
      <c r="G242" t="s">
        <v>27</v>
      </c>
      <c r="H242" t="s">
        <v>28</v>
      </c>
      <c r="I242" t="s">
        <v>12</v>
      </c>
      <c r="J242" t="s">
        <v>122</v>
      </c>
      <c r="K242" s="4">
        <v>44958</v>
      </c>
      <c r="L242">
        <v>2023</v>
      </c>
      <c r="M242" s="4">
        <v>44985</v>
      </c>
      <c r="N242">
        <v>895.80999999999904</v>
      </c>
      <c r="O242">
        <v>6</v>
      </c>
    </row>
    <row r="243" spans="1:15" hidden="1" x14ac:dyDescent="0.25">
      <c r="A243" s="92">
        <v>241</v>
      </c>
      <c r="B243" s="47">
        <f>MONTH(dis_table[[#This Row],[Date]])</f>
        <v>3</v>
      </c>
      <c r="C243" s="4">
        <v>44986</v>
      </c>
      <c r="D243" s="4">
        <v>44988</v>
      </c>
      <c r="E243" t="s">
        <v>15</v>
      </c>
      <c r="F243">
        <v>10.59</v>
      </c>
      <c r="G243" t="s">
        <v>16</v>
      </c>
      <c r="H243" t="s">
        <v>17</v>
      </c>
      <c r="I243" t="s">
        <v>18</v>
      </c>
      <c r="J243" t="s">
        <v>19</v>
      </c>
      <c r="K243" s="4">
        <v>44986</v>
      </c>
      <c r="L243">
        <v>2023</v>
      </c>
      <c r="M243" s="4">
        <v>44986</v>
      </c>
      <c r="N243">
        <v>906.39999999999907</v>
      </c>
      <c r="O243">
        <v>3</v>
      </c>
    </row>
    <row r="244" spans="1:15" hidden="1" x14ac:dyDescent="0.25">
      <c r="A244" s="92">
        <v>242</v>
      </c>
      <c r="B244" s="47">
        <f>MONTH(dis_table[[#This Row],[Date]])</f>
        <v>3</v>
      </c>
      <c r="C244" s="4">
        <v>44986</v>
      </c>
      <c r="D244" s="4">
        <v>44988</v>
      </c>
      <c r="E244" t="s">
        <v>83</v>
      </c>
      <c r="F244">
        <v>5</v>
      </c>
      <c r="G244" t="s">
        <v>36</v>
      </c>
      <c r="H244" t="s">
        <v>84</v>
      </c>
      <c r="I244" t="s">
        <v>18</v>
      </c>
      <c r="J244" t="s">
        <v>24</v>
      </c>
      <c r="K244" s="4">
        <v>44986</v>
      </c>
      <c r="L244">
        <v>2023</v>
      </c>
      <c r="M244" s="4">
        <v>44986</v>
      </c>
      <c r="N244">
        <v>911.39999999999907</v>
      </c>
      <c r="O244">
        <v>2</v>
      </c>
    </row>
    <row r="245" spans="1:15" hidden="1" x14ac:dyDescent="0.25">
      <c r="A245" s="92">
        <v>243</v>
      </c>
      <c r="B245" s="47">
        <f>MONTH(dis_table[[#This Row],[Date]])</f>
        <v>3</v>
      </c>
      <c r="C245" s="4">
        <v>44986</v>
      </c>
      <c r="D245" s="4">
        <v>44988</v>
      </c>
      <c r="E245" t="s">
        <v>284</v>
      </c>
      <c r="F245">
        <v>13.26</v>
      </c>
      <c r="G245" t="s">
        <v>9</v>
      </c>
      <c r="H245" t="s">
        <v>10</v>
      </c>
      <c r="I245" t="s">
        <v>12</v>
      </c>
      <c r="J245" t="s">
        <v>13</v>
      </c>
      <c r="K245" s="4">
        <v>44986</v>
      </c>
      <c r="L245">
        <v>2023</v>
      </c>
      <c r="M245" s="4">
        <v>44986</v>
      </c>
      <c r="N245">
        <v>924.65999999999906</v>
      </c>
      <c r="O245">
        <v>19</v>
      </c>
    </row>
    <row r="246" spans="1:15" hidden="1" x14ac:dyDescent="0.25">
      <c r="A246" s="92">
        <v>244</v>
      </c>
      <c r="B246" s="47">
        <f>MONTH(dis_table[[#This Row],[Date]])</f>
        <v>3</v>
      </c>
      <c r="C246" s="4">
        <v>44986</v>
      </c>
      <c r="D246" s="4">
        <v>44986</v>
      </c>
      <c r="E246" t="s">
        <v>70</v>
      </c>
      <c r="F246">
        <v>15.94</v>
      </c>
      <c r="G246" t="s">
        <v>22</v>
      </c>
      <c r="H246" t="s">
        <v>42</v>
      </c>
      <c r="I246" t="s">
        <v>12</v>
      </c>
      <c r="J246" t="s">
        <v>31</v>
      </c>
      <c r="K246" s="4">
        <v>44986</v>
      </c>
      <c r="L246">
        <v>2023</v>
      </c>
      <c r="M246" s="4">
        <v>44986</v>
      </c>
      <c r="N246">
        <v>940.59999999999911</v>
      </c>
      <c r="O246">
        <v>35</v>
      </c>
    </row>
    <row r="247" spans="1:15" hidden="1" x14ac:dyDescent="0.25">
      <c r="A247" s="92">
        <v>245</v>
      </c>
      <c r="B247" s="47">
        <f>MONTH(dis_table[[#This Row],[Date]])</f>
        <v>3</v>
      </c>
      <c r="C247" s="4">
        <v>44986</v>
      </c>
      <c r="D247" s="4">
        <v>44986</v>
      </c>
      <c r="E247" t="s">
        <v>70</v>
      </c>
      <c r="F247">
        <v>8.67</v>
      </c>
      <c r="G247" t="s">
        <v>22</v>
      </c>
      <c r="H247" t="s">
        <v>42</v>
      </c>
      <c r="I247" t="s">
        <v>12</v>
      </c>
      <c r="J247" t="s">
        <v>31</v>
      </c>
      <c r="K247" s="4">
        <v>44986</v>
      </c>
      <c r="L247">
        <v>2023</v>
      </c>
      <c r="M247" s="4">
        <v>44986</v>
      </c>
      <c r="N247">
        <v>949.26999999999907</v>
      </c>
      <c r="O247">
        <v>36</v>
      </c>
    </row>
    <row r="248" spans="1:15" hidden="1" x14ac:dyDescent="0.25">
      <c r="A248" s="92">
        <v>246</v>
      </c>
      <c r="B248" s="47">
        <f>MONTH(dis_table[[#This Row],[Date]])</f>
        <v>3</v>
      </c>
      <c r="C248" s="4">
        <v>44986</v>
      </c>
      <c r="D248" s="4">
        <v>44986</v>
      </c>
      <c r="E248" t="s">
        <v>202</v>
      </c>
      <c r="F248">
        <v>5.42</v>
      </c>
      <c r="G248" t="s">
        <v>36</v>
      </c>
      <c r="H248" t="s">
        <v>203</v>
      </c>
      <c r="I248" t="s">
        <v>18</v>
      </c>
      <c r="J248" t="s">
        <v>19</v>
      </c>
      <c r="K248" s="4">
        <v>44986</v>
      </c>
      <c r="L248">
        <v>2023</v>
      </c>
      <c r="M248" s="4">
        <v>44986</v>
      </c>
      <c r="N248">
        <v>954.68999999999903</v>
      </c>
      <c r="O248">
        <v>2</v>
      </c>
    </row>
    <row r="249" spans="1:15" hidden="1" x14ac:dyDescent="0.25">
      <c r="A249" s="92">
        <v>247</v>
      </c>
      <c r="B249" s="47">
        <f>MONTH(dis_table[[#This Row],[Date]])</f>
        <v>3</v>
      </c>
      <c r="C249" s="4">
        <v>44986</v>
      </c>
      <c r="D249" s="4">
        <v>44986</v>
      </c>
      <c r="E249" t="s">
        <v>70</v>
      </c>
      <c r="F249">
        <v>14.95</v>
      </c>
      <c r="G249" t="s">
        <v>22</v>
      </c>
      <c r="H249" t="s">
        <v>42</v>
      </c>
      <c r="I249" t="s">
        <v>12</v>
      </c>
      <c r="J249" t="s">
        <v>31</v>
      </c>
      <c r="K249" s="4">
        <v>44986</v>
      </c>
      <c r="L249">
        <v>2023</v>
      </c>
      <c r="M249" s="4">
        <v>44986</v>
      </c>
      <c r="N249">
        <v>969.63999999999908</v>
      </c>
      <c r="O249">
        <v>37</v>
      </c>
    </row>
    <row r="250" spans="1:15" hidden="1" x14ac:dyDescent="0.25">
      <c r="A250" s="92">
        <v>248</v>
      </c>
      <c r="B250" s="47">
        <f>MONTH(dis_table[[#This Row],[Date]])</f>
        <v>3</v>
      </c>
      <c r="C250" s="4">
        <v>44986</v>
      </c>
      <c r="D250" s="4">
        <v>44986</v>
      </c>
      <c r="E250" t="s">
        <v>283</v>
      </c>
      <c r="F250">
        <v>4.99</v>
      </c>
      <c r="G250" t="s">
        <v>16</v>
      </c>
      <c r="H250" t="s">
        <v>20</v>
      </c>
      <c r="I250" t="s">
        <v>18</v>
      </c>
      <c r="J250" t="s">
        <v>19</v>
      </c>
      <c r="K250" s="4">
        <v>44986</v>
      </c>
      <c r="L250">
        <v>2023</v>
      </c>
      <c r="M250" s="4">
        <v>44986</v>
      </c>
      <c r="N250">
        <v>974.62999999999909</v>
      </c>
      <c r="O250">
        <v>3</v>
      </c>
    </row>
    <row r="251" spans="1:15" hidden="1" x14ac:dyDescent="0.25">
      <c r="A251" s="92">
        <v>249</v>
      </c>
      <c r="B251" s="47">
        <f>MONTH(dis_table[[#This Row],[Date]])</f>
        <v>3</v>
      </c>
      <c r="C251" s="4">
        <v>44987</v>
      </c>
      <c r="D251" s="4">
        <v>44987</v>
      </c>
      <c r="E251" t="s">
        <v>285</v>
      </c>
      <c r="F251">
        <v>164</v>
      </c>
      <c r="G251" t="s">
        <v>36</v>
      </c>
      <c r="H251" t="s">
        <v>286</v>
      </c>
      <c r="I251" t="s">
        <v>18</v>
      </c>
      <c r="J251" t="s">
        <v>24</v>
      </c>
      <c r="K251" s="4">
        <v>44986</v>
      </c>
      <c r="L251">
        <v>2023</v>
      </c>
      <c r="M251" s="4">
        <v>44987</v>
      </c>
      <c r="N251">
        <v>1138.629999999999</v>
      </c>
      <c r="O251">
        <v>1</v>
      </c>
    </row>
    <row r="252" spans="1:15" hidden="1" x14ac:dyDescent="0.25">
      <c r="A252" s="92">
        <v>250</v>
      </c>
      <c r="B252" s="47">
        <f>MONTH(dis_table[[#This Row],[Date]])</f>
        <v>3</v>
      </c>
      <c r="C252" s="4">
        <v>44987</v>
      </c>
      <c r="D252" s="4">
        <v>44988</v>
      </c>
      <c r="E252" t="s">
        <v>287</v>
      </c>
      <c r="F252">
        <v>105.41</v>
      </c>
      <c r="G252" t="s">
        <v>16</v>
      </c>
      <c r="H252" t="s">
        <v>239</v>
      </c>
      <c r="I252" t="s">
        <v>12</v>
      </c>
      <c r="J252" t="s">
        <v>24</v>
      </c>
      <c r="K252" s="4">
        <v>44986</v>
      </c>
      <c r="L252">
        <v>2023</v>
      </c>
      <c r="M252" s="4">
        <v>44987</v>
      </c>
      <c r="N252">
        <v>1244.0399999999991</v>
      </c>
      <c r="O252">
        <v>4</v>
      </c>
    </row>
    <row r="253" spans="1:15" hidden="1" x14ac:dyDescent="0.25">
      <c r="A253" s="92">
        <v>251</v>
      </c>
      <c r="B253" s="47">
        <f>MONTH(dis_table[[#This Row],[Date]])</f>
        <v>3</v>
      </c>
      <c r="C253" s="4">
        <v>44987</v>
      </c>
      <c r="D253" s="4">
        <v>44988</v>
      </c>
      <c r="E253" t="s">
        <v>43</v>
      </c>
      <c r="F253">
        <v>10</v>
      </c>
      <c r="G253" t="s">
        <v>16</v>
      </c>
      <c r="H253" t="s">
        <v>44</v>
      </c>
      <c r="I253" t="s">
        <v>18</v>
      </c>
      <c r="J253" t="s">
        <v>19</v>
      </c>
      <c r="K253" s="4">
        <v>44986</v>
      </c>
      <c r="L253">
        <v>2023</v>
      </c>
      <c r="M253" s="4">
        <v>44987</v>
      </c>
      <c r="N253">
        <v>1254.0399999999991</v>
      </c>
      <c r="O253">
        <v>3</v>
      </c>
    </row>
    <row r="254" spans="1:15" hidden="1" x14ac:dyDescent="0.25">
      <c r="A254" s="92">
        <v>252</v>
      </c>
      <c r="B254" s="47">
        <f>MONTH(dis_table[[#This Row],[Date]])</f>
        <v>3</v>
      </c>
      <c r="C254" s="4">
        <v>44987</v>
      </c>
      <c r="D254" s="4">
        <v>44988</v>
      </c>
      <c r="E254" t="s">
        <v>288</v>
      </c>
      <c r="F254">
        <v>150</v>
      </c>
      <c r="G254" t="s">
        <v>58</v>
      </c>
      <c r="H254" t="s">
        <v>209</v>
      </c>
      <c r="I254" t="s">
        <v>18</v>
      </c>
      <c r="J254" t="s">
        <v>59</v>
      </c>
      <c r="K254" s="4">
        <v>44986</v>
      </c>
      <c r="L254">
        <v>2023</v>
      </c>
      <c r="M254" s="4">
        <v>44987</v>
      </c>
      <c r="N254">
        <v>1404.0399999999991</v>
      </c>
      <c r="O254">
        <v>5</v>
      </c>
    </row>
    <row r="255" spans="1:15" hidden="1" x14ac:dyDescent="0.25">
      <c r="A255" s="92">
        <v>253</v>
      </c>
      <c r="B255" s="47">
        <f>MONTH(dis_table[[#This Row],[Date]])</f>
        <v>3</v>
      </c>
      <c r="C255" s="4">
        <v>44987</v>
      </c>
      <c r="D255" s="4">
        <v>44988</v>
      </c>
      <c r="E255" t="s">
        <v>289</v>
      </c>
      <c r="F255">
        <v>18.82</v>
      </c>
      <c r="G255" t="s">
        <v>9</v>
      </c>
      <c r="H255" t="s">
        <v>10</v>
      </c>
      <c r="I255" t="s">
        <v>12</v>
      </c>
      <c r="J255" t="s">
        <v>13</v>
      </c>
      <c r="K255" s="4">
        <v>44986</v>
      </c>
      <c r="L255">
        <v>2023</v>
      </c>
      <c r="M255" s="4">
        <v>44987</v>
      </c>
      <c r="N255">
        <v>1422.859999999999</v>
      </c>
      <c r="O255">
        <v>20</v>
      </c>
    </row>
    <row r="256" spans="1:15" hidden="1" x14ac:dyDescent="0.25">
      <c r="A256" s="92">
        <v>254</v>
      </c>
      <c r="B256" s="47">
        <f>MONTH(dis_table[[#This Row],[Date]])</f>
        <v>3</v>
      </c>
      <c r="C256" s="4">
        <v>44988</v>
      </c>
      <c r="D256" s="4">
        <v>44988</v>
      </c>
      <c r="E256" t="s">
        <v>136</v>
      </c>
      <c r="F256">
        <v>5.44</v>
      </c>
      <c r="G256" t="s">
        <v>9</v>
      </c>
      <c r="H256" t="s">
        <v>14</v>
      </c>
      <c r="I256" t="s">
        <v>12</v>
      </c>
      <c r="J256" t="s">
        <v>13</v>
      </c>
      <c r="K256" s="4">
        <v>44986</v>
      </c>
      <c r="L256">
        <v>2023</v>
      </c>
      <c r="M256" s="4">
        <v>44988</v>
      </c>
      <c r="N256">
        <v>1428.299999999999</v>
      </c>
      <c r="O256">
        <v>30</v>
      </c>
    </row>
    <row r="257" spans="1:15" hidden="1" x14ac:dyDescent="0.25">
      <c r="A257" s="92">
        <v>255</v>
      </c>
      <c r="B257" s="47">
        <f>MONTH(dis_table[[#This Row],[Date]])</f>
        <v>3</v>
      </c>
      <c r="C257" s="4">
        <v>44988</v>
      </c>
      <c r="D257" s="4">
        <v>44988</v>
      </c>
      <c r="E257" t="s">
        <v>292</v>
      </c>
      <c r="F257">
        <v>5.34</v>
      </c>
      <c r="G257" t="s">
        <v>34</v>
      </c>
      <c r="H257" t="s">
        <v>35</v>
      </c>
      <c r="I257" t="s">
        <v>12</v>
      </c>
      <c r="J257" t="s">
        <v>13</v>
      </c>
      <c r="K257" s="4">
        <v>44986</v>
      </c>
      <c r="L257">
        <v>2023</v>
      </c>
      <c r="M257" s="4">
        <v>44988</v>
      </c>
      <c r="N257">
        <v>1433.639999999999</v>
      </c>
      <c r="O257">
        <v>9</v>
      </c>
    </row>
    <row r="258" spans="1:15" hidden="1" x14ac:dyDescent="0.25">
      <c r="A258" s="92">
        <v>256</v>
      </c>
      <c r="B258" s="47">
        <f>MONTH(dis_table[[#This Row],[Date]])</f>
        <v>3</v>
      </c>
      <c r="C258" s="4">
        <v>44988</v>
      </c>
      <c r="D258" s="4">
        <v>44988</v>
      </c>
      <c r="E258" t="s">
        <v>291</v>
      </c>
      <c r="F258">
        <v>11.9</v>
      </c>
      <c r="G258" t="s">
        <v>9</v>
      </c>
      <c r="H258" t="s">
        <v>10</v>
      </c>
      <c r="I258" t="s">
        <v>12</v>
      </c>
      <c r="J258" t="s">
        <v>13</v>
      </c>
      <c r="K258" s="4">
        <v>44986</v>
      </c>
      <c r="L258">
        <v>2023</v>
      </c>
      <c r="M258" s="4">
        <v>44988</v>
      </c>
      <c r="N258">
        <v>1445.5399999999991</v>
      </c>
      <c r="O258">
        <v>21</v>
      </c>
    </row>
    <row r="259" spans="1:15" hidden="1" x14ac:dyDescent="0.25">
      <c r="A259" s="92">
        <v>257</v>
      </c>
      <c r="B259" s="47">
        <f>MONTH(dis_table[[#This Row],[Date]])</f>
        <v>3</v>
      </c>
      <c r="C259" s="4">
        <v>44988</v>
      </c>
      <c r="D259" s="4">
        <v>44988</v>
      </c>
      <c r="E259" t="s">
        <v>143</v>
      </c>
      <c r="F259">
        <v>-47.46</v>
      </c>
      <c r="G259" t="s">
        <v>32</v>
      </c>
      <c r="H259" t="s">
        <v>1027</v>
      </c>
      <c r="I259" t="s">
        <v>12</v>
      </c>
      <c r="J259" t="s">
        <v>122</v>
      </c>
      <c r="K259" s="4">
        <v>44986</v>
      </c>
      <c r="L259">
        <v>2023</v>
      </c>
      <c r="M259" s="4">
        <v>44988</v>
      </c>
      <c r="N259">
        <v>1398.079999999999</v>
      </c>
      <c r="O259">
        <v>3</v>
      </c>
    </row>
    <row r="260" spans="1:15" hidden="1" x14ac:dyDescent="0.25">
      <c r="A260" s="92">
        <v>258</v>
      </c>
      <c r="B260" s="47">
        <f>MONTH(dis_table[[#This Row],[Date]])</f>
        <v>3</v>
      </c>
      <c r="C260" s="4">
        <v>44988</v>
      </c>
      <c r="D260" s="4">
        <v>44988</v>
      </c>
      <c r="E260" t="s">
        <v>290</v>
      </c>
      <c r="F260">
        <v>15.89</v>
      </c>
      <c r="G260" t="s">
        <v>16</v>
      </c>
      <c r="H260" t="s">
        <v>54</v>
      </c>
      <c r="I260" t="s">
        <v>18</v>
      </c>
      <c r="J260" t="s">
        <v>19</v>
      </c>
      <c r="K260" s="4">
        <v>44986</v>
      </c>
      <c r="L260">
        <v>2023</v>
      </c>
      <c r="M260" s="4">
        <v>44988</v>
      </c>
      <c r="N260">
        <v>1413.9699999999989</v>
      </c>
      <c r="O260">
        <v>5</v>
      </c>
    </row>
    <row r="261" spans="1:15" hidden="1" x14ac:dyDescent="0.25">
      <c r="A261" s="92">
        <v>259</v>
      </c>
      <c r="B261" s="47">
        <f>MONTH(dis_table[[#This Row],[Date]])</f>
        <v>3</v>
      </c>
      <c r="C261" s="4">
        <v>44988</v>
      </c>
      <c r="D261" s="4">
        <v>44988</v>
      </c>
      <c r="E261" t="s">
        <v>136</v>
      </c>
      <c r="F261">
        <v>16.75</v>
      </c>
      <c r="G261" t="s">
        <v>9</v>
      </c>
      <c r="H261" t="s">
        <v>14</v>
      </c>
      <c r="I261" t="s">
        <v>12</v>
      </c>
      <c r="J261" t="s">
        <v>13</v>
      </c>
      <c r="K261" s="4">
        <v>44986</v>
      </c>
      <c r="L261">
        <v>2023</v>
      </c>
      <c r="M261" s="4">
        <v>44988</v>
      </c>
      <c r="N261">
        <v>1430.7199999999989</v>
      </c>
      <c r="O261">
        <v>31</v>
      </c>
    </row>
    <row r="262" spans="1:15" hidden="1" x14ac:dyDescent="0.25">
      <c r="A262" s="92">
        <v>260</v>
      </c>
      <c r="B262" s="47">
        <f>MONTH(dis_table[[#This Row],[Date]])</f>
        <v>3</v>
      </c>
      <c r="C262" s="4">
        <v>44989</v>
      </c>
      <c r="D262" s="4">
        <v>44989</v>
      </c>
      <c r="E262" t="s">
        <v>181</v>
      </c>
      <c r="F262">
        <v>6</v>
      </c>
      <c r="G262" t="s">
        <v>16</v>
      </c>
      <c r="H262" t="s">
        <v>74</v>
      </c>
      <c r="I262" t="s">
        <v>12</v>
      </c>
      <c r="J262" t="s">
        <v>19</v>
      </c>
      <c r="K262" s="4">
        <v>44986</v>
      </c>
      <c r="L262">
        <v>2023</v>
      </c>
      <c r="M262" s="4">
        <v>44989</v>
      </c>
      <c r="N262">
        <v>1436.7199999999989</v>
      </c>
      <c r="O262">
        <v>5</v>
      </c>
    </row>
    <row r="263" spans="1:15" hidden="1" x14ac:dyDescent="0.25">
      <c r="A263" s="92">
        <v>261</v>
      </c>
      <c r="B263" s="47">
        <f>MONTH(dis_table[[#This Row],[Date]])</f>
        <v>3</v>
      </c>
      <c r="C263" s="4">
        <v>44989</v>
      </c>
      <c r="D263" s="4">
        <v>44989</v>
      </c>
      <c r="E263" t="s">
        <v>298</v>
      </c>
      <c r="F263">
        <v>5.99</v>
      </c>
      <c r="G263" t="s">
        <v>22</v>
      </c>
      <c r="H263" t="s">
        <v>131</v>
      </c>
      <c r="I263" t="s">
        <v>12</v>
      </c>
      <c r="J263" t="s">
        <v>37</v>
      </c>
      <c r="K263" s="4">
        <v>44986</v>
      </c>
      <c r="L263">
        <v>2023</v>
      </c>
      <c r="M263" s="4">
        <v>44989</v>
      </c>
      <c r="N263">
        <v>1442.7099999999989</v>
      </c>
      <c r="O263">
        <v>1</v>
      </c>
    </row>
    <row r="264" spans="1:15" hidden="1" x14ac:dyDescent="0.25">
      <c r="A264" s="92">
        <v>262</v>
      </c>
      <c r="B264" s="47">
        <f>MONTH(dis_table[[#This Row],[Date]])</f>
        <v>3</v>
      </c>
      <c r="C264" s="4">
        <v>44989</v>
      </c>
      <c r="D264" s="4">
        <v>44989</v>
      </c>
      <c r="E264" t="s">
        <v>297</v>
      </c>
      <c r="F264">
        <v>19.309999999999999</v>
      </c>
      <c r="G264" t="s">
        <v>9</v>
      </c>
      <c r="H264" t="s">
        <v>10</v>
      </c>
      <c r="I264" t="s">
        <v>12</v>
      </c>
      <c r="J264" t="s">
        <v>13</v>
      </c>
      <c r="K264" s="4">
        <v>44986</v>
      </c>
      <c r="L264">
        <v>2023</v>
      </c>
      <c r="M264" s="4">
        <v>44989</v>
      </c>
      <c r="N264">
        <v>1462.0199999999991</v>
      </c>
      <c r="O264">
        <v>22</v>
      </c>
    </row>
    <row r="265" spans="1:15" hidden="1" x14ac:dyDescent="0.25">
      <c r="A265" s="92">
        <v>263</v>
      </c>
      <c r="B265" s="47">
        <f>MONTH(dis_table[[#This Row],[Date]])</f>
        <v>3</v>
      </c>
      <c r="C265" s="4">
        <v>44989</v>
      </c>
      <c r="D265" s="4">
        <v>44989</v>
      </c>
      <c r="E265" t="s">
        <v>136</v>
      </c>
      <c r="F265">
        <v>21.54</v>
      </c>
      <c r="G265" t="s">
        <v>9</v>
      </c>
      <c r="H265" t="s">
        <v>14</v>
      </c>
      <c r="I265" t="s">
        <v>12</v>
      </c>
      <c r="J265" t="s">
        <v>13</v>
      </c>
      <c r="K265" s="4">
        <v>44986</v>
      </c>
      <c r="L265">
        <v>2023</v>
      </c>
      <c r="M265" s="4">
        <v>44989</v>
      </c>
      <c r="N265">
        <v>1483.559999999999</v>
      </c>
      <c r="O265">
        <v>32</v>
      </c>
    </row>
    <row r="266" spans="1:15" hidden="1" x14ac:dyDescent="0.25">
      <c r="A266" s="92">
        <v>264</v>
      </c>
      <c r="B266" s="47">
        <f>MONTH(dis_table[[#This Row],[Date]])</f>
        <v>3</v>
      </c>
      <c r="C266" s="4">
        <v>44989</v>
      </c>
      <c r="D266" s="4">
        <v>44989</v>
      </c>
      <c r="E266" t="s">
        <v>139</v>
      </c>
      <c r="F266">
        <v>27.32</v>
      </c>
      <c r="G266" t="s">
        <v>16</v>
      </c>
      <c r="H266" t="s">
        <v>25</v>
      </c>
      <c r="I266" t="s">
        <v>12</v>
      </c>
      <c r="J266" t="s">
        <v>24</v>
      </c>
      <c r="K266" s="4">
        <v>44986</v>
      </c>
      <c r="L266">
        <v>2023</v>
      </c>
      <c r="M266" s="4">
        <v>44989</v>
      </c>
      <c r="N266">
        <v>1510.879999999999</v>
      </c>
      <c r="O266">
        <v>5</v>
      </c>
    </row>
    <row r="267" spans="1:15" hidden="1" x14ac:dyDescent="0.25">
      <c r="A267" s="92">
        <v>265</v>
      </c>
      <c r="B267" s="47">
        <f>MONTH(dis_table[[#This Row],[Date]])</f>
        <v>3</v>
      </c>
      <c r="C267" s="4">
        <v>44989</v>
      </c>
      <c r="D267" s="4">
        <v>44989</v>
      </c>
      <c r="E267" t="s">
        <v>187</v>
      </c>
      <c r="F267">
        <v>25</v>
      </c>
      <c r="G267" t="s">
        <v>22</v>
      </c>
      <c r="H267" t="s">
        <v>188</v>
      </c>
      <c r="I267" t="s">
        <v>12</v>
      </c>
      <c r="J267" t="s">
        <v>31</v>
      </c>
      <c r="K267" s="4">
        <v>44986</v>
      </c>
      <c r="L267">
        <v>2023</v>
      </c>
      <c r="M267" s="4">
        <v>44989</v>
      </c>
      <c r="N267">
        <v>1535.879999999999</v>
      </c>
      <c r="O267">
        <v>4</v>
      </c>
    </row>
    <row r="268" spans="1:15" hidden="1" x14ac:dyDescent="0.25">
      <c r="A268" s="92">
        <v>266</v>
      </c>
      <c r="B268" s="47">
        <f>MONTH(dis_table[[#This Row],[Date]])</f>
        <v>3</v>
      </c>
      <c r="C268" s="4">
        <v>44989</v>
      </c>
      <c r="D268" s="4">
        <v>44989</v>
      </c>
      <c r="E268" t="s">
        <v>144</v>
      </c>
      <c r="F268">
        <v>49</v>
      </c>
      <c r="G268" t="s">
        <v>69</v>
      </c>
      <c r="H268" t="s">
        <v>145</v>
      </c>
      <c r="I268" t="s">
        <v>18</v>
      </c>
      <c r="J268" t="s">
        <v>24</v>
      </c>
      <c r="K268" s="4">
        <v>44986</v>
      </c>
      <c r="L268">
        <v>2023</v>
      </c>
      <c r="M268" s="4">
        <v>44989</v>
      </c>
      <c r="N268">
        <v>1584.879999999999</v>
      </c>
      <c r="O268">
        <v>4</v>
      </c>
    </row>
    <row r="269" spans="1:15" hidden="1" x14ac:dyDescent="0.25">
      <c r="A269" s="92">
        <v>267</v>
      </c>
      <c r="B269" s="47">
        <f>MONTH(dis_table[[#This Row],[Date]])</f>
        <v>3</v>
      </c>
      <c r="C269" s="4">
        <v>44989</v>
      </c>
      <c r="D269" s="4">
        <v>44989</v>
      </c>
      <c r="E269" t="s">
        <v>295</v>
      </c>
      <c r="F269">
        <v>12.35</v>
      </c>
      <c r="G269" t="s">
        <v>36</v>
      </c>
      <c r="H269" t="s">
        <v>63</v>
      </c>
      <c r="I269" t="s">
        <v>12</v>
      </c>
      <c r="J269" t="s">
        <v>31</v>
      </c>
      <c r="K269" s="4">
        <v>44986</v>
      </c>
      <c r="L269">
        <v>2023</v>
      </c>
      <c r="M269" s="4">
        <v>44989</v>
      </c>
      <c r="N269">
        <v>1597.2299999999991</v>
      </c>
      <c r="O269">
        <v>7</v>
      </c>
    </row>
    <row r="270" spans="1:15" hidden="1" x14ac:dyDescent="0.25">
      <c r="A270" s="92">
        <v>268</v>
      </c>
      <c r="B270" s="47">
        <f>MONTH(dis_table[[#This Row],[Date]])</f>
        <v>3</v>
      </c>
      <c r="C270" s="4">
        <v>44989</v>
      </c>
      <c r="D270" s="4">
        <v>44989</v>
      </c>
      <c r="E270" t="s">
        <v>294</v>
      </c>
      <c r="F270">
        <v>12.35</v>
      </c>
      <c r="G270" t="s">
        <v>36</v>
      </c>
      <c r="H270" t="s">
        <v>63</v>
      </c>
      <c r="I270" t="s">
        <v>12</v>
      </c>
      <c r="J270" t="s">
        <v>31</v>
      </c>
      <c r="K270" s="4">
        <v>44986</v>
      </c>
      <c r="L270">
        <v>2023</v>
      </c>
      <c r="M270" s="4">
        <v>44989</v>
      </c>
      <c r="N270">
        <v>1609.579999999999</v>
      </c>
      <c r="O270">
        <v>8</v>
      </c>
    </row>
    <row r="271" spans="1:15" hidden="1" x14ac:dyDescent="0.25">
      <c r="A271" s="92">
        <v>269</v>
      </c>
      <c r="B271" s="47">
        <f>MONTH(dis_table[[#This Row],[Date]])</f>
        <v>3</v>
      </c>
      <c r="C271" s="4">
        <v>44989</v>
      </c>
      <c r="D271" s="4">
        <v>44989</v>
      </c>
      <c r="E271" t="s">
        <v>293</v>
      </c>
      <c r="F271">
        <v>48.12</v>
      </c>
      <c r="G271" t="s">
        <v>29</v>
      </c>
      <c r="H271" t="s">
        <v>30</v>
      </c>
      <c r="I271" t="s">
        <v>12</v>
      </c>
      <c r="J271" t="s">
        <v>31</v>
      </c>
      <c r="K271" s="4">
        <v>44986</v>
      </c>
      <c r="L271">
        <v>2023</v>
      </c>
      <c r="M271" s="4">
        <v>44989</v>
      </c>
      <c r="N271">
        <v>1657.6999999999989</v>
      </c>
      <c r="O271">
        <v>6</v>
      </c>
    </row>
    <row r="272" spans="1:15" hidden="1" x14ac:dyDescent="0.25">
      <c r="A272" s="92">
        <v>270</v>
      </c>
      <c r="B272" s="47">
        <f>MONTH(dis_table[[#This Row],[Date]])</f>
        <v>3</v>
      </c>
      <c r="C272" s="4">
        <v>44989</v>
      </c>
      <c r="D272" s="4">
        <v>44989</v>
      </c>
      <c r="E272" t="s">
        <v>296</v>
      </c>
      <c r="F272">
        <v>63.75</v>
      </c>
      <c r="G272" t="s">
        <v>9</v>
      </c>
      <c r="H272" t="s">
        <v>14</v>
      </c>
      <c r="I272" t="s">
        <v>12</v>
      </c>
      <c r="J272" t="s">
        <v>13</v>
      </c>
      <c r="K272" s="4">
        <v>44986</v>
      </c>
      <c r="L272">
        <v>2023</v>
      </c>
      <c r="M272" s="4">
        <v>44989</v>
      </c>
      <c r="N272">
        <v>1721.4499999999989</v>
      </c>
      <c r="O272">
        <v>33</v>
      </c>
    </row>
    <row r="273" spans="1:15" hidden="1" x14ac:dyDescent="0.25">
      <c r="A273" s="92">
        <v>271</v>
      </c>
      <c r="B273" s="47">
        <f>MONTH(dis_table[[#This Row],[Date]])</f>
        <v>3</v>
      </c>
      <c r="C273" s="4">
        <v>44990</v>
      </c>
      <c r="D273" s="4">
        <v>44990</v>
      </c>
      <c r="E273" t="s">
        <v>303</v>
      </c>
      <c r="F273">
        <v>30.34</v>
      </c>
      <c r="G273" t="s">
        <v>22</v>
      </c>
      <c r="H273" t="s">
        <v>67</v>
      </c>
      <c r="I273" t="s">
        <v>12</v>
      </c>
      <c r="J273" t="s">
        <v>19</v>
      </c>
      <c r="K273" s="4">
        <v>44986</v>
      </c>
      <c r="L273">
        <v>2023</v>
      </c>
      <c r="M273" s="4">
        <v>44990</v>
      </c>
      <c r="N273">
        <v>1751.7899999999991</v>
      </c>
      <c r="O273">
        <v>3</v>
      </c>
    </row>
    <row r="274" spans="1:15" hidden="1" x14ac:dyDescent="0.25">
      <c r="A274" s="92">
        <v>272</v>
      </c>
      <c r="B274" s="47">
        <f>MONTH(dis_table[[#This Row],[Date]])</f>
        <v>3</v>
      </c>
      <c r="C274" s="4">
        <v>44990</v>
      </c>
      <c r="D274" s="4">
        <v>44990</v>
      </c>
      <c r="E274" t="s">
        <v>301</v>
      </c>
      <c r="F274">
        <v>62.89</v>
      </c>
      <c r="G274" t="s">
        <v>36</v>
      </c>
      <c r="H274" t="s">
        <v>329</v>
      </c>
      <c r="I274" t="s">
        <v>12</v>
      </c>
      <c r="J274" t="s">
        <v>24</v>
      </c>
      <c r="K274" s="4">
        <v>44986</v>
      </c>
      <c r="L274">
        <v>2023</v>
      </c>
      <c r="M274" s="4">
        <v>44990</v>
      </c>
      <c r="N274">
        <v>1814.6799999999989</v>
      </c>
      <c r="O274">
        <v>2</v>
      </c>
    </row>
    <row r="275" spans="1:15" hidden="1" x14ac:dyDescent="0.25">
      <c r="A275" s="92">
        <v>273</v>
      </c>
      <c r="B275" s="47">
        <f>MONTH(dis_table[[#This Row],[Date]])</f>
        <v>3</v>
      </c>
      <c r="C275" s="4">
        <v>44990</v>
      </c>
      <c r="D275" s="4">
        <v>44990</v>
      </c>
      <c r="E275" t="s">
        <v>302</v>
      </c>
      <c r="F275">
        <v>10.93</v>
      </c>
      <c r="G275" t="s">
        <v>34</v>
      </c>
      <c r="H275" t="s">
        <v>133</v>
      </c>
      <c r="I275" t="s">
        <v>12</v>
      </c>
      <c r="J275" t="s">
        <v>24</v>
      </c>
      <c r="K275" s="4">
        <v>44986</v>
      </c>
      <c r="L275">
        <v>2023</v>
      </c>
      <c r="M275" s="4">
        <v>44990</v>
      </c>
      <c r="N275">
        <v>1825.609999999999</v>
      </c>
      <c r="O275">
        <v>9</v>
      </c>
    </row>
    <row r="276" spans="1:15" hidden="1" x14ac:dyDescent="0.25">
      <c r="A276" s="92">
        <v>274</v>
      </c>
      <c r="B276" s="47">
        <f>MONTH(dis_table[[#This Row],[Date]])</f>
        <v>3</v>
      </c>
      <c r="C276" s="4">
        <v>44990</v>
      </c>
      <c r="D276" s="4">
        <v>44990</v>
      </c>
      <c r="E276" t="s">
        <v>300</v>
      </c>
      <c r="F276">
        <v>152.12</v>
      </c>
      <c r="G276" t="s">
        <v>16</v>
      </c>
      <c r="H276" t="s">
        <v>21</v>
      </c>
      <c r="I276" t="s">
        <v>12</v>
      </c>
      <c r="J276" t="s">
        <v>24</v>
      </c>
      <c r="K276" s="4">
        <v>44986</v>
      </c>
      <c r="L276">
        <v>2023</v>
      </c>
      <c r="M276" s="4">
        <v>44990</v>
      </c>
      <c r="N276">
        <v>1977.7299999999991</v>
      </c>
      <c r="O276">
        <v>7</v>
      </c>
    </row>
    <row r="277" spans="1:15" hidden="1" x14ac:dyDescent="0.25">
      <c r="A277" s="92">
        <v>275</v>
      </c>
      <c r="B277" s="47">
        <f>MONTH(dis_table[[#This Row],[Date]])</f>
        <v>3</v>
      </c>
      <c r="C277" s="4">
        <v>44990</v>
      </c>
      <c r="D277" s="4">
        <v>44990</v>
      </c>
      <c r="E277" t="s">
        <v>299</v>
      </c>
      <c r="F277">
        <v>43.84</v>
      </c>
      <c r="G277" t="s">
        <v>16</v>
      </c>
      <c r="H277" t="s">
        <v>21</v>
      </c>
      <c r="I277" t="s">
        <v>12</v>
      </c>
      <c r="J277" t="s">
        <v>24</v>
      </c>
      <c r="K277" s="4">
        <v>44986</v>
      </c>
      <c r="L277">
        <v>2023</v>
      </c>
      <c r="M277" s="4">
        <v>44990</v>
      </c>
      <c r="N277">
        <v>2021.569999999999</v>
      </c>
      <c r="O277">
        <v>8</v>
      </c>
    </row>
    <row r="278" spans="1:15" hidden="1" x14ac:dyDescent="0.25">
      <c r="A278" s="92">
        <v>276</v>
      </c>
      <c r="B278" s="47">
        <f>MONTH(dis_table[[#This Row],[Date]])</f>
        <v>3</v>
      </c>
      <c r="C278" s="4">
        <v>44990</v>
      </c>
      <c r="D278" s="4">
        <v>44990</v>
      </c>
      <c r="E278" t="s">
        <v>123</v>
      </c>
      <c r="F278">
        <v>10</v>
      </c>
      <c r="G278" t="s">
        <v>16</v>
      </c>
      <c r="H278" t="s">
        <v>369</v>
      </c>
      <c r="I278" t="s">
        <v>18</v>
      </c>
      <c r="J278" t="s">
        <v>24</v>
      </c>
      <c r="K278" s="4">
        <v>44986</v>
      </c>
      <c r="L278">
        <v>2023</v>
      </c>
      <c r="M278" s="4">
        <v>44990</v>
      </c>
      <c r="N278">
        <v>2031.569999999999</v>
      </c>
      <c r="O278">
        <v>3</v>
      </c>
    </row>
    <row r="279" spans="1:15" hidden="1" x14ac:dyDescent="0.25">
      <c r="A279" s="92">
        <v>277</v>
      </c>
      <c r="B279" s="47">
        <f>MONTH(dis_table[[#This Row],[Date]])</f>
        <v>3</v>
      </c>
      <c r="C279" s="4">
        <v>44991</v>
      </c>
      <c r="D279" s="4">
        <v>44991</v>
      </c>
      <c r="E279" t="s">
        <v>304</v>
      </c>
      <c r="F279">
        <v>9.99</v>
      </c>
      <c r="G279" t="s">
        <v>16</v>
      </c>
      <c r="H279" t="s">
        <v>135</v>
      </c>
      <c r="I279" t="s">
        <v>18</v>
      </c>
      <c r="J279" t="s">
        <v>24</v>
      </c>
      <c r="K279" s="4">
        <v>44986</v>
      </c>
      <c r="L279">
        <v>2023</v>
      </c>
      <c r="M279" s="4">
        <v>44991</v>
      </c>
      <c r="N279">
        <v>2041.559999999999</v>
      </c>
      <c r="O279">
        <v>3</v>
      </c>
    </row>
    <row r="280" spans="1:15" hidden="1" x14ac:dyDescent="0.25">
      <c r="A280" s="92">
        <v>278</v>
      </c>
      <c r="B280" s="47">
        <f>MONTH(dis_table[[#This Row],[Date]])</f>
        <v>3</v>
      </c>
      <c r="C280" s="4">
        <v>44991</v>
      </c>
      <c r="D280" s="4">
        <v>44991</v>
      </c>
      <c r="E280" t="s">
        <v>305</v>
      </c>
      <c r="F280">
        <v>5</v>
      </c>
      <c r="G280" t="s">
        <v>22</v>
      </c>
      <c r="H280" t="s">
        <v>57</v>
      </c>
      <c r="I280" t="s">
        <v>12</v>
      </c>
      <c r="J280" t="s">
        <v>19</v>
      </c>
      <c r="K280" s="4">
        <v>44986</v>
      </c>
      <c r="L280">
        <v>2023</v>
      </c>
      <c r="M280" s="4">
        <v>44991</v>
      </c>
      <c r="N280">
        <v>2046.559999999999</v>
      </c>
      <c r="O280">
        <v>3</v>
      </c>
    </row>
    <row r="281" spans="1:15" hidden="1" x14ac:dyDescent="0.25">
      <c r="A281" s="92">
        <v>279</v>
      </c>
      <c r="B281" s="47">
        <f>MONTH(dis_table[[#This Row],[Date]])</f>
        <v>3</v>
      </c>
      <c r="C281" s="4">
        <v>44991</v>
      </c>
      <c r="D281" s="4">
        <v>44991</v>
      </c>
      <c r="E281" t="s">
        <v>269</v>
      </c>
      <c r="F281">
        <v>8.34</v>
      </c>
      <c r="G281" t="s">
        <v>9</v>
      </c>
      <c r="H281" t="s">
        <v>62</v>
      </c>
      <c r="I281" t="s">
        <v>12</v>
      </c>
      <c r="J281" t="s">
        <v>13</v>
      </c>
      <c r="K281" s="4">
        <v>44986</v>
      </c>
      <c r="L281">
        <v>2023</v>
      </c>
      <c r="M281" s="4">
        <v>44991</v>
      </c>
      <c r="N281">
        <v>2054.8999999999992</v>
      </c>
      <c r="O281">
        <v>4</v>
      </c>
    </row>
    <row r="282" spans="1:15" hidden="1" x14ac:dyDescent="0.25">
      <c r="A282" s="92">
        <v>280</v>
      </c>
      <c r="B282" s="47">
        <f>MONTH(dis_table[[#This Row],[Date]])</f>
        <v>3</v>
      </c>
      <c r="C282" s="4">
        <v>44991</v>
      </c>
      <c r="D282" s="4">
        <v>44991</v>
      </c>
      <c r="E282" t="s">
        <v>81</v>
      </c>
      <c r="F282">
        <v>13.81</v>
      </c>
      <c r="G282" t="s">
        <v>16</v>
      </c>
      <c r="H282" t="s">
        <v>45</v>
      </c>
      <c r="I282" t="s">
        <v>12</v>
      </c>
      <c r="J282" t="s">
        <v>19</v>
      </c>
      <c r="K282" s="4">
        <v>44986</v>
      </c>
      <c r="L282">
        <v>2023</v>
      </c>
      <c r="M282" s="4">
        <v>44991</v>
      </c>
      <c r="N282">
        <v>2068.7099999999991</v>
      </c>
      <c r="O282">
        <v>21</v>
      </c>
    </row>
    <row r="283" spans="1:15" hidden="1" x14ac:dyDescent="0.25">
      <c r="A283" s="92">
        <v>281</v>
      </c>
      <c r="B283" s="47">
        <f>MONTH(dis_table[[#This Row],[Date]])</f>
        <v>3</v>
      </c>
      <c r="C283" s="4">
        <v>44991</v>
      </c>
      <c r="D283" s="4">
        <v>44991</v>
      </c>
      <c r="E283" t="s">
        <v>306</v>
      </c>
      <c r="F283">
        <v>17.100000000000001</v>
      </c>
      <c r="G283" t="s">
        <v>60</v>
      </c>
      <c r="H283" t="s">
        <v>131</v>
      </c>
      <c r="I283" t="s">
        <v>12</v>
      </c>
      <c r="J283" t="s">
        <v>37</v>
      </c>
      <c r="K283" s="4">
        <v>44986</v>
      </c>
      <c r="L283">
        <v>2023</v>
      </c>
      <c r="M283" s="4">
        <v>44991</v>
      </c>
      <c r="N283">
        <v>2085.809999999999</v>
      </c>
      <c r="O283">
        <v>2</v>
      </c>
    </row>
    <row r="284" spans="1:15" hidden="1" x14ac:dyDescent="0.25">
      <c r="A284" s="92">
        <v>282</v>
      </c>
      <c r="B284" s="47">
        <f>MONTH(dis_table[[#This Row],[Date]])</f>
        <v>3</v>
      </c>
      <c r="C284" s="4">
        <v>44992</v>
      </c>
      <c r="D284" s="4">
        <v>44992</v>
      </c>
      <c r="E284" t="s">
        <v>309</v>
      </c>
      <c r="F284">
        <v>24.32</v>
      </c>
      <c r="G284" t="s">
        <v>9</v>
      </c>
      <c r="H284" t="s">
        <v>14</v>
      </c>
      <c r="I284" t="s">
        <v>12</v>
      </c>
      <c r="J284" t="s">
        <v>13</v>
      </c>
      <c r="K284" s="4">
        <v>44986</v>
      </c>
      <c r="L284">
        <v>2023</v>
      </c>
      <c r="M284" s="4">
        <v>44992</v>
      </c>
      <c r="N284">
        <v>2110.1299999999992</v>
      </c>
      <c r="O284">
        <v>34</v>
      </c>
    </row>
    <row r="285" spans="1:15" hidden="1" x14ac:dyDescent="0.25">
      <c r="A285" s="92">
        <v>283</v>
      </c>
      <c r="B285" s="47">
        <f>MONTH(dis_table[[#This Row],[Date]])</f>
        <v>3</v>
      </c>
      <c r="C285" s="4">
        <v>44992</v>
      </c>
      <c r="D285" s="4">
        <v>44992</v>
      </c>
      <c r="E285" t="s">
        <v>310</v>
      </c>
      <c r="F285">
        <v>68</v>
      </c>
      <c r="G285" t="s">
        <v>58</v>
      </c>
      <c r="H285" t="s">
        <v>209</v>
      </c>
      <c r="I285" t="s">
        <v>18</v>
      </c>
      <c r="J285" t="s">
        <v>59</v>
      </c>
      <c r="K285" s="4">
        <v>44986</v>
      </c>
      <c r="L285">
        <v>2023</v>
      </c>
      <c r="M285" s="4">
        <v>44992</v>
      </c>
      <c r="N285">
        <v>2178.1299999999992</v>
      </c>
      <c r="O285">
        <v>6</v>
      </c>
    </row>
    <row r="286" spans="1:15" hidden="1" x14ac:dyDescent="0.25">
      <c r="A286" s="92">
        <v>284</v>
      </c>
      <c r="B286" s="47">
        <f>MONTH(dis_table[[#This Row],[Date]])</f>
        <v>3</v>
      </c>
      <c r="C286" s="4">
        <v>44992</v>
      </c>
      <c r="D286" s="4">
        <v>44992</v>
      </c>
      <c r="E286" t="s">
        <v>81</v>
      </c>
      <c r="F286">
        <v>4.51</v>
      </c>
      <c r="G286" t="s">
        <v>16</v>
      </c>
      <c r="H286" t="s">
        <v>45</v>
      </c>
      <c r="I286" t="s">
        <v>12</v>
      </c>
      <c r="J286" t="s">
        <v>19</v>
      </c>
      <c r="K286" s="4">
        <v>44986</v>
      </c>
      <c r="L286">
        <v>2023</v>
      </c>
      <c r="M286" s="4">
        <v>44992</v>
      </c>
      <c r="N286">
        <v>2182.639999999999</v>
      </c>
      <c r="O286">
        <v>22</v>
      </c>
    </row>
    <row r="287" spans="1:15" hidden="1" x14ac:dyDescent="0.25">
      <c r="A287" s="92">
        <v>285</v>
      </c>
      <c r="B287" s="47">
        <f>MONTH(dis_table[[#This Row],[Date]])</f>
        <v>3</v>
      </c>
      <c r="C287" s="4">
        <v>44992</v>
      </c>
      <c r="D287" s="4">
        <v>44992</v>
      </c>
      <c r="E287" t="s">
        <v>26</v>
      </c>
      <c r="F287">
        <v>-1079.82</v>
      </c>
      <c r="G287" t="s">
        <v>27</v>
      </c>
      <c r="H287" t="s">
        <v>28</v>
      </c>
      <c r="I287" t="s">
        <v>12</v>
      </c>
      <c r="J287" t="s">
        <v>122</v>
      </c>
      <c r="K287" s="4">
        <v>44986</v>
      </c>
      <c r="L287">
        <v>2023</v>
      </c>
      <c r="M287" s="4">
        <v>44992</v>
      </c>
      <c r="N287">
        <v>1102.819999999999</v>
      </c>
      <c r="O287">
        <v>7</v>
      </c>
    </row>
    <row r="288" spans="1:15" hidden="1" x14ac:dyDescent="0.25">
      <c r="A288" s="92">
        <v>286</v>
      </c>
      <c r="B288" s="47">
        <f>MONTH(dis_table[[#This Row],[Date]])</f>
        <v>3</v>
      </c>
      <c r="C288" s="4">
        <v>44992</v>
      </c>
      <c r="D288" s="4">
        <v>44992</v>
      </c>
      <c r="E288" t="s">
        <v>308</v>
      </c>
      <c r="F288">
        <v>13.73</v>
      </c>
      <c r="G288" t="s">
        <v>9</v>
      </c>
      <c r="H288" t="s">
        <v>14</v>
      </c>
      <c r="I288" t="s">
        <v>12</v>
      </c>
      <c r="J288" t="s">
        <v>13</v>
      </c>
      <c r="K288" s="4">
        <v>44986</v>
      </c>
      <c r="L288">
        <v>2023</v>
      </c>
      <c r="M288" s="4">
        <v>44992</v>
      </c>
      <c r="N288">
        <v>1116.549999999999</v>
      </c>
      <c r="O288">
        <v>35</v>
      </c>
    </row>
    <row r="289" spans="1:15" hidden="1" x14ac:dyDescent="0.25">
      <c r="A289" s="92">
        <v>287</v>
      </c>
      <c r="B289" s="47">
        <f>MONTH(dis_table[[#This Row],[Date]])</f>
        <v>3</v>
      </c>
      <c r="C289" s="4">
        <v>44992</v>
      </c>
      <c r="D289" s="4">
        <v>44992</v>
      </c>
      <c r="E289" t="s">
        <v>308</v>
      </c>
      <c r="F289">
        <v>13.73</v>
      </c>
      <c r="G289" t="s">
        <v>9</v>
      </c>
      <c r="H289" t="s">
        <v>14</v>
      </c>
      <c r="I289" t="s">
        <v>12</v>
      </c>
      <c r="J289" t="s">
        <v>13</v>
      </c>
      <c r="K289" s="4">
        <v>44986</v>
      </c>
      <c r="L289">
        <v>2023</v>
      </c>
      <c r="M289" s="4">
        <v>44992</v>
      </c>
      <c r="N289">
        <v>1130.28</v>
      </c>
      <c r="O289">
        <v>36</v>
      </c>
    </row>
    <row r="290" spans="1:15" hidden="1" x14ac:dyDescent="0.25">
      <c r="A290" s="92">
        <v>288</v>
      </c>
      <c r="B290" s="47">
        <f>MONTH(dis_table[[#This Row],[Date]])</f>
        <v>3</v>
      </c>
      <c r="C290" s="4">
        <v>44992</v>
      </c>
      <c r="D290" s="4">
        <v>44992</v>
      </c>
      <c r="E290" t="s">
        <v>307</v>
      </c>
      <c r="F290">
        <v>13.85</v>
      </c>
      <c r="G290" t="s">
        <v>16</v>
      </c>
      <c r="H290" t="s">
        <v>133</v>
      </c>
      <c r="I290" t="s">
        <v>12</v>
      </c>
      <c r="J290" t="s">
        <v>24</v>
      </c>
      <c r="K290" s="4">
        <v>44986</v>
      </c>
      <c r="L290">
        <v>2023</v>
      </c>
      <c r="M290" s="4">
        <v>44992</v>
      </c>
      <c r="N290">
        <v>1144.129999999999</v>
      </c>
      <c r="O290">
        <v>10</v>
      </c>
    </row>
    <row r="291" spans="1:15" hidden="1" x14ac:dyDescent="0.25">
      <c r="A291" s="92">
        <v>289</v>
      </c>
      <c r="B291" s="47">
        <f>MONTH(dis_table[[#This Row],[Date]])</f>
        <v>3</v>
      </c>
      <c r="C291" s="4">
        <v>44993</v>
      </c>
      <c r="D291" s="4">
        <v>44993</v>
      </c>
      <c r="E291" t="s">
        <v>311</v>
      </c>
      <c r="F291">
        <v>2.99</v>
      </c>
      <c r="G291" t="s">
        <v>34</v>
      </c>
      <c r="H291" t="s">
        <v>35</v>
      </c>
      <c r="I291" t="s">
        <v>12</v>
      </c>
      <c r="J291" t="s">
        <v>13</v>
      </c>
      <c r="K291" s="4">
        <v>44986</v>
      </c>
      <c r="L291">
        <v>2023</v>
      </c>
      <c r="M291" s="4">
        <v>44993</v>
      </c>
      <c r="N291">
        <v>1147.119999999999</v>
      </c>
      <c r="O291">
        <v>10</v>
      </c>
    </row>
    <row r="292" spans="1:15" hidden="1" x14ac:dyDescent="0.25">
      <c r="A292" s="92">
        <v>290</v>
      </c>
      <c r="B292" s="47">
        <f>MONTH(dis_table[[#This Row],[Date]])</f>
        <v>3</v>
      </c>
      <c r="C292" s="4">
        <v>44993</v>
      </c>
      <c r="D292" s="4">
        <v>44993</v>
      </c>
      <c r="E292" t="s">
        <v>311</v>
      </c>
      <c r="F292">
        <v>58.26</v>
      </c>
      <c r="G292" t="s">
        <v>34</v>
      </c>
      <c r="H292" t="s">
        <v>35</v>
      </c>
      <c r="I292" t="s">
        <v>12</v>
      </c>
      <c r="J292" t="s">
        <v>13</v>
      </c>
      <c r="K292" s="4">
        <v>44986</v>
      </c>
      <c r="L292">
        <v>2023</v>
      </c>
      <c r="M292" s="4">
        <v>44993</v>
      </c>
      <c r="N292">
        <v>1205.379999999999</v>
      </c>
      <c r="O292">
        <v>11</v>
      </c>
    </row>
    <row r="293" spans="1:15" hidden="1" x14ac:dyDescent="0.25">
      <c r="A293" s="92">
        <v>291</v>
      </c>
      <c r="B293" s="47">
        <f>MONTH(dis_table[[#This Row],[Date]])</f>
        <v>3</v>
      </c>
      <c r="C293" s="4">
        <v>44993</v>
      </c>
      <c r="D293" s="4">
        <v>44993</v>
      </c>
      <c r="E293" t="s">
        <v>70</v>
      </c>
      <c r="F293">
        <v>48.9</v>
      </c>
      <c r="G293" t="s">
        <v>22</v>
      </c>
      <c r="H293" t="s">
        <v>42</v>
      </c>
      <c r="I293" t="s">
        <v>12</v>
      </c>
      <c r="J293" t="s">
        <v>31</v>
      </c>
      <c r="K293" s="4">
        <v>44986</v>
      </c>
      <c r="L293">
        <v>2023</v>
      </c>
      <c r="M293" s="4">
        <v>44993</v>
      </c>
      <c r="N293">
        <v>1254.28</v>
      </c>
      <c r="O293">
        <v>38</v>
      </c>
    </row>
    <row r="294" spans="1:15" hidden="1" x14ac:dyDescent="0.25">
      <c r="A294" s="92">
        <v>292</v>
      </c>
      <c r="B294" s="47">
        <f>MONTH(dis_table[[#This Row],[Date]])</f>
        <v>3</v>
      </c>
      <c r="C294" s="4">
        <v>44993</v>
      </c>
      <c r="D294" s="4">
        <v>44993</v>
      </c>
      <c r="E294" t="s">
        <v>139</v>
      </c>
      <c r="F294">
        <v>66.430000000000007</v>
      </c>
      <c r="G294" t="s">
        <v>16</v>
      </c>
      <c r="H294" t="s">
        <v>25</v>
      </c>
      <c r="I294" t="s">
        <v>12</v>
      </c>
      <c r="J294" t="s">
        <v>24</v>
      </c>
      <c r="K294" s="4">
        <v>44986</v>
      </c>
      <c r="L294">
        <v>2023</v>
      </c>
      <c r="M294" s="4">
        <v>44993</v>
      </c>
      <c r="N294">
        <v>1320.71</v>
      </c>
      <c r="O294">
        <v>6</v>
      </c>
    </row>
    <row r="295" spans="1:15" hidden="1" x14ac:dyDescent="0.25">
      <c r="A295" s="92">
        <v>293</v>
      </c>
      <c r="B295" s="47">
        <f>MONTH(dis_table[[#This Row],[Date]])</f>
        <v>3</v>
      </c>
      <c r="C295" s="4">
        <v>44994</v>
      </c>
      <c r="D295" s="4">
        <v>44994</v>
      </c>
      <c r="E295" t="s">
        <v>314</v>
      </c>
      <c r="F295">
        <v>30</v>
      </c>
      <c r="G295" t="s">
        <v>36</v>
      </c>
      <c r="H295" t="s">
        <v>64</v>
      </c>
      <c r="I295" t="s">
        <v>12</v>
      </c>
      <c r="J295" t="s">
        <v>24</v>
      </c>
      <c r="K295" s="4">
        <v>44986</v>
      </c>
      <c r="L295">
        <v>2023</v>
      </c>
      <c r="M295" s="4">
        <v>44994</v>
      </c>
      <c r="N295">
        <v>1350.71</v>
      </c>
      <c r="O295">
        <v>1</v>
      </c>
    </row>
    <row r="296" spans="1:15" hidden="1" x14ac:dyDescent="0.25">
      <c r="A296" s="92">
        <v>294</v>
      </c>
      <c r="B296" s="47">
        <f>MONTH(dis_table[[#This Row],[Date]])</f>
        <v>3</v>
      </c>
      <c r="C296" s="4">
        <v>44994</v>
      </c>
      <c r="D296" s="4">
        <v>44994</v>
      </c>
      <c r="E296" t="s">
        <v>313</v>
      </c>
      <c r="F296">
        <v>40.33</v>
      </c>
      <c r="G296" t="s">
        <v>9</v>
      </c>
      <c r="H296" t="s">
        <v>14</v>
      </c>
      <c r="I296" t="s">
        <v>12</v>
      </c>
      <c r="J296" t="s">
        <v>13</v>
      </c>
      <c r="K296" s="4">
        <v>44986</v>
      </c>
      <c r="L296">
        <v>2023</v>
      </c>
      <c r="M296" s="4">
        <v>44994</v>
      </c>
      <c r="N296">
        <v>1391.04</v>
      </c>
      <c r="O296">
        <v>37</v>
      </c>
    </row>
    <row r="297" spans="1:15" hidden="1" x14ac:dyDescent="0.25">
      <c r="A297" s="92">
        <v>295</v>
      </c>
      <c r="B297" s="47">
        <f>MONTH(dis_table[[#This Row],[Date]])</f>
        <v>3</v>
      </c>
      <c r="C297" s="4">
        <v>44994</v>
      </c>
      <c r="D297" s="4">
        <v>44994</v>
      </c>
      <c r="E297" t="s">
        <v>312</v>
      </c>
      <c r="F297">
        <v>64.989999999999995</v>
      </c>
      <c r="G297" t="s">
        <v>36</v>
      </c>
      <c r="H297" t="s">
        <v>54</v>
      </c>
      <c r="I297" t="s">
        <v>18</v>
      </c>
      <c r="J297" t="s">
        <v>19</v>
      </c>
      <c r="K297" s="4">
        <v>44986</v>
      </c>
      <c r="L297">
        <v>2023</v>
      </c>
      <c r="M297" s="4">
        <v>44994</v>
      </c>
      <c r="N297">
        <v>1456.03</v>
      </c>
      <c r="O297">
        <v>6</v>
      </c>
    </row>
    <row r="298" spans="1:15" hidden="1" x14ac:dyDescent="0.25">
      <c r="A298" s="92">
        <v>296</v>
      </c>
      <c r="B298" s="47">
        <f>MONTH(dis_table[[#This Row],[Date]])</f>
        <v>3</v>
      </c>
      <c r="C298" s="4">
        <v>44995</v>
      </c>
      <c r="D298" s="4">
        <v>44995</v>
      </c>
      <c r="E298" t="s">
        <v>71</v>
      </c>
      <c r="F298">
        <v>49.7</v>
      </c>
      <c r="G298" t="s">
        <v>16</v>
      </c>
      <c r="H298" t="s">
        <v>133</v>
      </c>
      <c r="I298" t="s">
        <v>12</v>
      </c>
      <c r="J298" t="s">
        <v>24</v>
      </c>
      <c r="K298" s="4">
        <v>44986</v>
      </c>
      <c r="L298">
        <v>2023</v>
      </c>
      <c r="M298" s="4">
        <v>44995</v>
      </c>
      <c r="N298">
        <v>1505.73</v>
      </c>
      <c r="O298">
        <v>11</v>
      </c>
    </row>
    <row r="299" spans="1:15" hidden="1" x14ac:dyDescent="0.25">
      <c r="A299" s="92">
        <v>297</v>
      </c>
      <c r="B299" s="47">
        <f>MONTH(dis_table[[#This Row],[Date]])</f>
        <v>3</v>
      </c>
      <c r="C299" s="4">
        <v>44995</v>
      </c>
      <c r="D299" s="4">
        <v>44995</v>
      </c>
      <c r="E299" t="s">
        <v>139</v>
      </c>
      <c r="F299">
        <v>2.94</v>
      </c>
      <c r="G299" t="s">
        <v>16</v>
      </c>
      <c r="H299" t="s">
        <v>25</v>
      </c>
      <c r="I299" t="s">
        <v>12</v>
      </c>
      <c r="J299" t="s">
        <v>24</v>
      </c>
      <c r="K299" s="4">
        <v>44986</v>
      </c>
      <c r="L299">
        <v>2023</v>
      </c>
      <c r="M299" s="4">
        <v>44995</v>
      </c>
      <c r="N299">
        <v>1508.67</v>
      </c>
      <c r="O299">
        <v>7</v>
      </c>
    </row>
    <row r="300" spans="1:15" hidden="1" x14ac:dyDescent="0.25">
      <c r="A300" s="92">
        <v>298</v>
      </c>
      <c r="B300" s="47">
        <f>MONTH(dis_table[[#This Row],[Date]])</f>
        <v>3</v>
      </c>
      <c r="C300" s="4">
        <v>44995</v>
      </c>
      <c r="D300" s="4">
        <v>44995</v>
      </c>
      <c r="E300" t="s">
        <v>139</v>
      </c>
      <c r="F300">
        <v>28.41</v>
      </c>
      <c r="G300" t="s">
        <v>16</v>
      </c>
      <c r="H300" t="s">
        <v>25</v>
      </c>
      <c r="I300" t="s">
        <v>12</v>
      </c>
      <c r="J300" t="s">
        <v>24</v>
      </c>
      <c r="K300" s="4">
        <v>44986</v>
      </c>
      <c r="L300">
        <v>2023</v>
      </c>
      <c r="M300" s="4">
        <v>44995</v>
      </c>
      <c r="N300">
        <v>1537.08</v>
      </c>
      <c r="O300">
        <v>8</v>
      </c>
    </row>
    <row r="301" spans="1:15" hidden="1" x14ac:dyDescent="0.25">
      <c r="A301" s="92">
        <v>299</v>
      </c>
      <c r="B301" s="47">
        <f>MONTH(dis_table[[#This Row],[Date]])</f>
        <v>3</v>
      </c>
      <c r="C301" s="4">
        <v>44996</v>
      </c>
      <c r="D301" s="4">
        <v>44996</v>
      </c>
      <c r="E301" t="s">
        <v>315</v>
      </c>
      <c r="F301">
        <v>16.95</v>
      </c>
      <c r="G301" t="s">
        <v>16</v>
      </c>
      <c r="H301" t="s">
        <v>33</v>
      </c>
      <c r="I301" t="s">
        <v>18</v>
      </c>
      <c r="J301" t="s">
        <v>19</v>
      </c>
      <c r="K301" s="4">
        <v>44986</v>
      </c>
      <c r="L301">
        <v>2023</v>
      </c>
      <c r="M301" s="4">
        <v>44996</v>
      </c>
      <c r="N301">
        <v>1554.03</v>
      </c>
      <c r="O301">
        <v>3</v>
      </c>
    </row>
    <row r="302" spans="1:15" hidden="1" x14ac:dyDescent="0.25">
      <c r="A302" s="92">
        <v>300</v>
      </c>
      <c r="B302" s="47">
        <f>MONTH(dis_table[[#This Row],[Date]])</f>
        <v>3</v>
      </c>
      <c r="C302" s="4">
        <v>44996</v>
      </c>
      <c r="D302" s="4">
        <v>44996</v>
      </c>
      <c r="E302" t="s">
        <v>316</v>
      </c>
      <c r="F302">
        <v>8.5399999999999991</v>
      </c>
      <c r="G302" t="s">
        <v>9</v>
      </c>
      <c r="H302" t="s">
        <v>14</v>
      </c>
      <c r="I302" t="s">
        <v>12</v>
      </c>
      <c r="J302" t="s">
        <v>13</v>
      </c>
      <c r="K302" s="4">
        <v>44986</v>
      </c>
      <c r="L302">
        <v>2023</v>
      </c>
      <c r="M302" s="4">
        <v>44996</v>
      </c>
      <c r="N302">
        <v>1562.57</v>
      </c>
      <c r="O302">
        <v>38</v>
      </c>
    </row>
    <row r="303" spans="1:15" hidden="1" x14ac:dyDescent="0.25">
      <c r="A303" s="92">
        <v>301</v>
      </c>
      <c r="B303" s="47">
        <f>MONTH(dis_table[[#This Row],[Date]])</f>
        <v>3</v>
      </c>
      <c r="C303" s="4">
        <v>44996</v>
      </c>
      <c r="D303" s="4">
        <v>44996</v>
      </c>
      <c r="E303" t="s">
        <v>317</v>
      </c>
      <c r="F303">
        <v>9.8800000000000008</v>
      </c>
      <c r="G303" t="s">
        <v>9</v>
      </c>
      <c r="H303" t="s">
        <v>14</v>
      </c>
      <c r="I303" t="s">
        <v>12</v>
      </c>
      <c r="J303" t="s">
        <v>13</v>
      </c>
      <c r="K303" s="4">
        <v>44986</v>
      </c>
      <c r="L303">
        <v>2023</v>
      </c>
      <c r="M303" s="4">
        <v>44996</v>
      </c>
      <c r="N303">
        <v>1572.45</v>
      </c>
      <c r="O303">
        <v>39</v>
      </c>
    </row>
    <row r="304" spans="1:15" hidden="1" x14ac:dyDescent="0.25">
      <c r="A304" s="92">
        <v>302</v>
      </c>
      <c r="B304" s="47">
        <f>MONTH(dis_table[[#This Row],[Date]])</f>
        <v>3</v>
      </c>
      <c r="C304" s="4">
        <v>44997</v>
      </c>
      <c r="D304" s="4">
        <v>44997</v>
      </c>
      <c r="E304" t="s">
        <v>321</v>
      </c>
      <c r="F304">
        <v>39</v>
      </c>
      <c r="G304" t="s">
        <v>16</v>
      </c>
      <c r="H304" t="s">
        <v>49</v>
      </c>
      <c r="I304" t="s">
        <v>12</v>
      </c>
      <c r="J304" t="s">
        <v>40</v>
      </c>
      <c r="K304" s="4">
        <v>44986</v>
      </c>
      <c r="L304">
        <v>2023</v>
      </c>
      <c r="M304" s="4">
        <v>44997</v>
      </c>
      <c r="N304">
        <v>1611.45</v>
      </c>
      <c r="O304">
        <v>6</v>
      </c>
    </row>
    <row r="305" spans="1:15" hidden="1" x14ac:dyDescent="0.25">
      <c r="A305" s="92">
        <v>303</v>
      </c>
      <c r="B305" s="47">
        <f>MONTH(dis_table[[#This Row],[Date]])</f>
        <v>3</v>
      </c>
      <c r="C305" s="4">
        <v>44997</v>
      </c>
      <c r="D305" s="4">
        <v>44997</v>
      </c>
      <c r="E305" t="s">
        <v>320</v>
      </c>
      <c r="F305">
        <v>19.55</v>
      </c>
      <c r="G305" t="s">
        <v>34</v>
      </c>
      <c r="H305" t="s">
        <v>35</v>
      </c>
      <c r="I305" t="s">
        <v>12</v>
      </c>
      <c r="J305" t="s">
        <v>13</v>
      </c>
      <c r="K305" s="4">
        <v>44986</v>
      </c>
      <c r="L305">
        <v>2023</v>
      </c>
      <c r="M305" s="4">
        <v>44997</v>
      </c>
      <c r="N305">
        <v>1631</v>
      </c>
      <c r="O305">
        <v>12</v>
      </c>
    </row>
    <row r="306" spans="1:15" hidden="1" x14ac:dyDescent="0.25">
      <c r="A306" s="92">
        <v>304</v>
      </c>
      <c r="B306" s="47">
        <f>MONTH(dis_table[[#This Row],[Date]])</f>
        <v>3</v>
      </c>
      <c r="C306" s="4">
        <v>44997</v>
      </c>
      <c r="D306" s="4">
        <v>44997</v>
      </c>
      <c r="E306" t="s">
        <v>318</v>
      </c>
      <c r="F306">
        <v>36.590000000000003</v>
      </c>
      <c r="G306" t="s">
        <v>22</v>
      </c>
      <c r="H306" t="s">
        <v>214</v>
      </c>
      <c r="I306" t="s">
        <v>12</v>
      </c>
      <c r="J306" t="s">
        <v>24</v>
      </c>
      <c r="K306" s="4">
        <v>44986</v>
      </c>
      <c r="L306">
        <v>2023</v>
      </c>
      <c r="M306" s="4">
        <v>44997</v>
      </c>
      <c r="N306">
        <v>1667.59</v>
      </c>
      <c r="O306">
        <v>3</v>
      </c>
    </row>
    <row r="307" spans="1:15" hidden="1" x14ac:dyDescent="0.25">
      <c r="A307" s="92">
        <v>305</v>
      </c>
      <c r="B307" s="47">
        <f>MONTH(dis_table[[#This Row],[Date]])</f>
        <v>3</v>
      </c>
      <c r="C307" s="4">
        <v>44997</v>
      </c>
      <c r="D307" s="4">
        <v>44997</v>
      </c>
      <c r="E307" t="s">
        <v>236</v>
      </c>
      <c r="F307">
        <v>49</v>
      </c>
      <c r="G307" t="s">
        <v>69</v>
      </c>
      <c r="H307" t="s">
        <v>145</v>
      </c>
      <c r="I307" t="s">
        <v>18</v>
      </c>
      <c r="J307" t="s">
        <v>24</v>
      </c>
      <c r="K307" s="4">
        <v>44986</v>
      </c>
      <c r="L307">
        <v>2023</v>
      </c>
      <c r="M307" s="4">
        <v>44997</v>
      </c>
      <c r="N307">
        <v>1716.59</v>
      </c>
      <c r="O307">
        <v>5</v>
      </c>
    </row>
    <row r="308" spans="1:15" hidden="1" x14ac:dyDescent="0.25">
      <c r="A308" s="92">
        <v>306</v>
      </c>
      <c r="B308" s="47">
        <f>MONTH(dis_table[[#This Row],[Date]])</f>
        <v>3</v>
      </c>
      <c r="C308" s="4">
        <v>44997</v>
      </c>
      <c r="D308" s="4">
        <v>44997</v>
      </c>
      <c r="E308" t="s">
        <v>319</v>
      </c>
      <c r="F308">
        <v>0.99</v>
      </c>
      <c r="G308" t="s">
        <v>16</v>
      </c>
      <c r="H308" t="s">
        <v>57</v>
      </c>
      <c r="I308" t="s">
        <v>12</v>
      </c>
      <c r="J308" t="s">
        <v>19</v>
      </c>
      <c r="K308" s="4">
        <v>44986</v>
      </c>
      <c r="L308">
        <v>2023</v>
      </c>
      <c r="M308" s="4">
        <v>44997</v>
      </c>
      <c r="N308">
        <v>1717.58</v>
      </c>
      <c r="O308">
        <v>4</v>
      </c>
    </row>
    <row r="309" spans="1:15" hidden="1" x14ac:dyDescent="0.25">
      <c r="A309" s="92">
        <v>307</v>
      </c>
      <c r="B309" s="47">
        <f>MONTH(dis_table[[#This Row],[Date]])</f>
        <v>3</v>
      </c>
      <c r="C309" s="4">
        <v>44998</v>
      </c>
      <c r="D309" s="4">
        <v>44998</v>
      </c>
      <c r="E309" t="s">
        <v>322</v>
      </c>
      <c r="F309">
        <v>9.09</v>
      </c>
      <c r="G309" t="s">
        <v>16</v>
      </c>
      <c r="H309" t="s">
        <v>14</v>
      </c>
      <c r="I309" t="s">
        <v>12</v>
      </c>
      <c r="J309" t="s">
        <v>13</v>
      </c>
      <c r="K309" s="4">
        <v>44986</v>
      </c>
      <c r="L309">
        <v>2023</v>
      </c>
      <c r="M309" s="4">
        <v>44998</v>
      </c>
      <c r="N309">
        <v>1726.67</v>
      </c>
      <c r="O309">
        <v>40</v>
      </c>
    </row>
    <row r="310" spans="1:15" hidden="1" x14ac:dyDescent="0.25">
      <c r="A310" s="92">
        <v>308</v>
      </c>
      <c r="B310" s="47">
        <f>MONTH(dis_table[[#This Row],[Date]])</f>
        <v>3</v>
      </c>
      <c r="C310" s="4">
        <v>45000</v>
      </c>
      <c r="D310" s="4">
        <v>45000</v>
      </c>
      <c r="E310" t="s">
        <v>222</v>
      </c>
      <c r="F310">
        <v>11.78</v>
      </c>
      <c r="G310" t="s">
        <v>9</v>
      </c>
      <c r="H310" t="s">
        <v>35</v>
      </c>
      <c r="I310" t="s">
        <v>12</v>
      </c>
      <c r="J310" t="s">
        <v>13</v>
      </c>
      <c r="K310" s="4">
        <v>44986</v>
      </c>
      <c r="L310">
        <v>2023</v>
      </c>
      <c r="M310" s="4">
        <v>45000</v>
      </c>
      <c r="N310">
        <v>1738.45</v>
      </c>
      <c r="O310">
        <v>13</v>
      </c>
    </row>
    <row r="311" spans="1:15" hidden="1" x14ac:dyDescent="0.25">
      <c r="A311" s="92">
        <v>309</v>
      </c>
      <c r="B311" s="47">
        <f>MONTH(dis_table[[#This Row],[Date]])</f>
        <v>3</v>
      </c>
      <c r="C311" s="4">
        <v>45000</v>
      </c>
      <c r="D311" s="4">
        <v>45000</v>
      </c>
      <c r="E311" t="s">
        <v>323</v>
      </c>
      <c r="F311">
        <v>3</v>
      </c>
      <c r="G311" t="s">
        <v>36</v>
      </c>
      <c r="H311" t="s">
        <v>63</v>
      </c>
      <c r="I311" t="s">
        <v>12</v>
      </c>
      <c r="J311" t="s">
        <v>31</v>
      </c>
      <c r="K311" s="4">
        <v>44986</v>
      </c>
      <c r="L311">
        <v>2023</v>
      </c>
      <c r="M311" s="4">
        <v>45000</v>
      </c>
      <c r="N311">
        <v>1741.45</v>
      </c>
      <c r="O311">
        <v>9</v>
      </c>
    </row>
    <row r="312" spans="1:15" hidden="1" x14ac:dyDescent="0.25">
      <c r="A312" s="92">
        <v>310</v>
      </c>
      <c r="B312" s="47">
        <f>MONTH(dis_table[[#This Row],[Date]])</f>
        <v>3</v>
      </c>
      <c r="C312" s="4">
        <v>45000</v>
      </c>
      <c r="D312" s="4">
        <v>45000</v>
      </c>
      <c r="E312" t="s">
        <v>324</v>
      </c>
      <c r="F312">
        <v>4.4000000000000004</v>
      </c>
      <c r="G312" t="s">
        <v>22</v>
      </c>
      <c r="H312" t="s">
        <v>214</v>
      </c>
      <c r="I312" t="s">
        <v>12</v>
      </c>
      <c r="J312" t="s">
        <v>24</v>
      </c>
      <c r="K312" s="4">
        <v>44986</v>
      </c>
      <c r="L312">
        <v>2023</v>
      </c>
      <c r="M312" s="4">
        <v>45000</v>
      </c>
      <c r="N312">
        <v>1745.85</v>
      </c>
      <c r="O312">
        <v>4</v>
      </c>
    </row>
    <row r="313" spans="1:15" hidden="1" x14ac:dyDescent="0.25">
      <c r="A313" s="92">
        <v>311</v>
      </c>
      <c r="B313" s="47">
        <f>MONTH(dis_table[[#This Row],[Date]])</f>
        <v>3</v>
      </c>
      <c r="C313" s="4">
        <v>45000</v>
      </c>
      <c r="D313" s="4">
        <v>45000</v>
      </c>
      <c r="E313" t="s">
        <v>171</v>
      </c>
      <c r="F313">
        <v>7.99</v>
      </c>
      <c r="G313" t="s">
        <v>36</v>
      </c>
      <c r="H313" t="s">
        <v>56</v>
      </c>
      <c r="I313" t="s">
        <v>18</v>
      </c>
      <c r="J313" t="s">
        <v>19</v>
      </c>
      <c r="K313" s="4">
        <v>44986</v>
      </c>
      <c r="L313">
        <v>2023</v>
      </c>
      <c r="M313" s="4">
        <v>45000</v>
      </c>
      <c r="N313">
        <v>1753.84</v>
      </c>
      <c r="O313">
        <v>3</v>
      </c>
    </row>
    <row r="314" spans="1:15" hidden="1" x14ac:dyDescent="0.25">
      <c r="A314" s="92">
        <v>312</v>
      </c>
      <c r="B314" s="47">
        <f>MONTH(dis_table[[#This Row],[Date]])</f>
        <v>3</v>
      </c>
      <c r="C314" s="4">
        <v>45000</v>
      </c>
      <c r="D314" s="4">
        <v>45000</v>
      </c>
      <c r="E314" t="s">
        <v>325</v>
      </c>
      <c r="F314">
        <v>14.67</v>
      </c>
      <c r="G314" t="s">
        <v>34</v>
      </c>
      <c r="H314" t="s">
        <v>62</v>
      </c>
      <c r="I314" t="s">
        <v>12</v>
      </c>
      <c r="J314" t="s">
        <v>13</v>
      </c>
      <c r="K314" s="4">
        <v>44986</v>
      </c>
      <c r="L314">
        <v>2023</v>
      </c>
      <c r="M314" s="4">
        <v>45000</v>
      </c>
      <c r="N314">
        <v>1768.51</v>
      </c>
      <c r="O314">
        <v>5</v>
      </c>
    </row>
    <row r="315" spans="1:15" hidden="1" x14ac:dyDescent="0.25">
      <c r="A315" s="92">
        <v>313</v>
      </c>
      <c r="B315" s="47">
        <f>MONTH(dis_table[[#This Row],[Date]])</f>
        <v>3</v>
      </c>
      <c r="C315" s="4">
        <v>45000</v>
      </c>
      <c r="D315" s="4">
        <v>45000</v>
      </c>
      <c r="E315" t="s">
        <v>326</v>
      </c>
      <c r="F315">
        <v>26.1</v>
      </c>
      <c r="G315" t="s">
        <v>34</v>
      </c>
      <c r="H315" t="s">
        <v>133</v>
      </c>
      <c r="I315" t="s">
        <v>12</v>
      </c>
      <c r="J315" t="s">
        <v>24</v>
      </c>
      <c r="K315" s="4">
        <v>44986</v>
      </c>
      <c r="L315">
        <v>2023</v>
      </c>
      <c r="M315" s="4">
        <v>45000</v>
      </c>
      <c r="N315">
        <v>1794.61</v>
      </c>
      <c r="O315">
        <v>12</v>
      </c>
    </row>
    <row r="316" spans="1:15" hidden="1" x14ac:dyDescent="0.25">
      <c r="A316" s="92">
        <v>314</v>
      </c>
      <c r="B316" s="47">
        <f>MONTH(dis_table[[#This Row],[Date]])</f>
        <v>3</v>
      </c>
      <c r="C316" s="4">
        <v>45000</v>
      </c>
      <c r="D316" s="4">
        <v>45000</v>
      </c>
      <c r="E316" t="s">
        <v>130</v>
      </c>
      <c r="F316">
        <v>50.72</v>
      </c>
      <c r="G316" t="s">
        <v>36</v>
      </c>
      <c r="H316" t="s">
        <v>72</v>
      </c>
      <c r="I316" t="s">
        <v>12</v>
      </c>
      <c r="J316" t="s">
        <v>24</v>
      </c>
      <c r="K316" s="4">
        <v>44986</v>
      </c>
      <c r="L316">
        <v>2023</v>
      </c>
      <c r="M316" s="4">
        <v>45000</v>
      </c>
      <c r="N316">
        <v>1845.33</v>
      </c>
      <c r="O316">
        <v>5</v>
      </c>
    </row>
    <row r="317" spans="1:15" hidden="1" x14ac:dyDescent="0.25">
      <c r="A317" s="92">
        <v>315</v>
      </c>
      <c r="B317" s="47">
        <f>MONTH(dis_table[[#This Row],[Date]])</f>
        <v>3</v>
      </c>
      <c r="C317" s="4">
        <v>45001</v>
      </c>
      <c r="D317" s="4">
        <v>45001</v>
      </c>
      <c r="E317" t="s">
        <v>330</v>
      </c>
      <c r="F317">
        <v>109.44</v>
      </c>
      <c r="G317" t="s">
        <v>16</v>
      </c>
      <c r="H317" t="s">
        <v>66</v>
      </c>
      <c r="I317" t="s">
        <v>12</v>
      </c>
      <c r="J317" t="s">
        <v>24</v>
      </c>
      <c r="K317" s="4">
        <v>44986</v>
      </c>
      <c r="L317">
        <v>2023</v>
      </c>
      <c r="M317" s="4">
        <v>45001</v>
      </c>
      <c r="N317">
        <v>1954.77</v>
      </c>
      <c r="O317">
        <v>4</v>
      </c>
    </row>
    <row r="318" spans="1:15" hidden="1" x14ac:dyDescent="0.25">
      <c r="A318" s="92">
        <v>316</v>
      </c>
      <c r="B318" s="47">
        <f>MONTH(dis_table[[#This Row],[Date]])</f>
        <v>3</v>
      </c>
      <c r="C318" s="4">
        <v>45001</v>
      </c>
      <c r="D318" s="4">
        <v>45001</v>
      </c>
      <c r="E318" t="s">
        <v>327</v>
      </c>
      <c r="F318">
        <v>14.93</v>
      </c>
      <c r="G318" t="s">
        <v>9</v>
      </c>
      <c r="H318" t="s">
        <v>14</v>
      </c>
      <c r="I318" t="s">
        <v>12</v>
      </c>
      <c r="J318" t="s">
        <v>13</v>
      </c>
      <c r="K318" s="4">
        <v>44986</v>
      </c>
      <c r="L318">
        <v>2023</v>
      </c>
      <c r="M318" s="4">
        <v>45001</v>
      </c>
      <c r="N318">
        <v>1969.7</v>
      </c>
      <c r="O318">
        <v>41</v>
      </c>
    </row>
    <row r="319" spans="1:15" hidden="1" x14ac:dyDescent="0.25">
      <c r="A319" s="92">
        <v>317</v>
      </c>
      <c r="B319" s="47">
        <f>MONTH(dis_table[[#This Row],[Date]])</f>
        <v>3</v>
      </c>
      <c r="C319" s="4">
        <v>45001</v>
      </c>
      <c r="D319" s="4">
        <v>45001</v>
      </c>
      <c r="E319" t="s">
        <v>81</v>
      </c>
      <c r="F319">
        <v>15.95</v>
      </c>
      <c r="G319" t="s">
        <v>16</v>
      </c>
      <c r="H319" t="s">
        <v>45</v>
      </c>
      <c r="I319" t="s">
        <v>12</v>
      </c>
      <c r="J319" t="s">
        <v>19</v>
      </c>
      <c r="K319" s="4">
        <v>44986</v>
      </c>
      <c r="L319">
        <v>2023</v>
      </c>
      <c r="M319" s="4">
        <v>45001</v>
      </c>
      <c r="N319">
        <v>1985.65</v>
      </c>
      <c r="O319">
        <v>23</v>
      </c>
    </row>
    <row r="320" spans="1:15" hidden="1" x14ac:dyDescent="0.25">
      <c r="A320" s="92">
        <v>318</v>
      </c>
      <c r="B320" s="47">
        <f>MONTH(dis_table[[#This Row],[Date]])</f>
        <v>3</v>
      </c>
      <c r="C320" s="4">
        <v>45001</v>
      </c>
      <c r="D320" s="4">
        <v>45001</v>
      </c>
      <c r="E320" t="s">
        <v>328</v>
      </c>
      <c r="F320">
        <v>134.04</v>
      </c>
      <c r="G320" t="s">
        <v>16</v>
      </c>
      <c r="H320" t="s">
        <v>329</v>
      </c>
      <c r="I320" t="s">
        <v>12</v>
      </c>
      <c r="J320" t="s">
        <v>24</v>
      </c>
      <c r="K320" s="4">
        <v>44986</v>
      </c>
      <c r="L320">
        <v>2023</v>
      </c>
      <c r="M320" s="4">
        <v>45001</v>
      </c>
      <c r="N320">
        <v>2119.69</v>
      </c>
      <c r="O320">
        <v>3</v>
      </c>
    </row>
    <row r="321" spans="1:15" hidden="1" x14ac:dyDescent="0.25">
      <c r="A321" s="92">
        <v>319</v>
      </c>
      <c r="B321" s="47">
        <f>MONTH(dis_table[[#This Row],[Date]])</f>
        <v>3</v>
      </c>
      <c r="C321" s="4">
        <v>45002</v>
      </c>
      <c r="D321" s="4">
        <v>45002</v>
      </c>
      <c r="E321" t="s">
        <v>332</v>
      </c>
      <c r="F321">
        <v>48.56</v>
      </c>
      <c r="G321" t="s">
        <v>9</v>
      </c>
      <c r="H321" t="s">
        <v>14</v>
      </c>
      <c r="I321" t="s">
        <v>12</v>
      </c>
      <c r="J321" t="s">
        <v>13</v>
      </c>
      <c r="K321" s="4">
        <v>44986</v>
      </c>
      <c r="L321">
        <v>2023</v>
      </c>
      <c r="M321" s="4">
        <v>45002</v>
      </c>
      <c r="N321">
        <v>2168.25</v>
      </c>
      <c r="O321">
        <v>42</v>
      </c>
    </row>
    <row r="322" spans="1:15" hidden="1" x14ac:dyDescent="0.25">
      <c r="A322" s="92">
        <v>320</v>
      </c>
      <c r="B322" s="47">
        <f>MONTH(dis_table[[#This Row],[Date]])</f>
        <v>3</v>
      </c>
      <c r="C322" s="4">
        <v>45002</v>
      </c>
      <c r="D322" s="4">
        <v>45002</v>
      </c>
      <c r="E322" t="s">
        <v>38</v>
      </c>
      <c r="F322">
        <v>111.63</v>
      </c>
      <c r="G322" t="s">
        <v>16</v>
      </c>
      <c r="H322" t="s">
        <v>39</v>
      </c>
      <c r="I322" t="s">
        <v>18</v>
      </c>
      <c r="J322" t="s">
        <v>40</v>
      </c>
      <c r="K322" s="4">
        <v>44986</v>
      </c>
      <c r="L322">
        <v>2023</v>
      </c>
      <c r="M322" s="4">
        <v>45002</v>
      </c>
      <c r="N322">
        <v>2279.88</v>
      </c>
      <c r="O322">
        <v>3</v>
      </c>
    </row>
    <row r="323" spans="1:15" hidden="1" x14ac:dyDescent="0.25">
      <c r="A323" s="92">
        <v>321</v>
      </c>
      <c r="B323" s="47">
        <f>MONTH(dis_table[[#This Row],[Date]])</f>
        <v>3</v>
      </c>
      <c r="C323" s="4">
        <v>45002</v>
      </c>
      <c r="D323" s="4">
        <v>45002</v>
      </c>
      <c r="E323" t="s">
        <v>331</v>
      </c>
      <c r="F323">
        <v>938.85</v>
      </c>
      <c r="G323" t="s">
        <v>58</v>
      </c>
      <c r="H323" t="s">
        <v>161</v>
      </c>
      <c r="I323" t="s">
        <v>12</v>
      </c>
      <c r="J323" t="s">
        <v>59</v>
      </c>
      <c r="K323" s="4">
        <v>44986</v>
      </c>
      <c r="L323">
        <v>2023</v>
      </c>
      <c r="M323" s="4">
        <v>45002</v>
      </c>
      <c r="N323">
        <v>3218.73</v>
      </c>
      <c r="O323">
        <v>2</v>
      </c>
    </row>
    <row r="324" spans="1:15" hidden="1" x14ac:dyDescent="0.25">
      <c r="A324" s="92">
        <v>322</v>
      </c>
      <c r="B324" s="47">
        <f>MONTH(dis_table[[#This Row],[Date]])</f>
        <v>3</v>
      </c>
      <c r="C324" s="4">
        <v>45003</v>
      </c>
      <c r="D324" s="4">
        <v>45003</v>
      </c>
      <c r="E324" t="s">
        <v>81</v>
      </c>
      <c r="F324">
        <v>5.3</v>
      </c>
      <c r="G324" t="s">
        <v>16</v>
      </c>
      <c r="H324" t="s">
        <v>45</v>
      </c>
      <c r="I324" t="s">
        <v>12</v>
      </c>
      <c r="J324" t="s">
        <v>19</v>
      </c>
      <c r="K324" s="4">
        <v>44986</v>
      </c>
      <c r="L324">
        <v>2023</v>
      </c>
      <c r="M324" s="4">
        <v>45003</v>
      </c>
      <c r="N324">
        <v>3224.03</v>
      </c>
      <c r="O324">
        <v>24</v>
      </c>
    </row>
    <row r="325" spans="1:15" hidden="1" x14ac:dyDescent="0.25">
      <c r="A325" s="92">
        <v>323</v>
      </c>
      <c r="B325" s="47">
        <f>MONTH(dis_table[[#This Row],[Date]])</f>
        <v>3</v>
      </c>
      <c r="C325" s="4">
        <v>45003</v>
      </c>
      <c r="D325" s="4">
        <v>45003</v>
      </c>
      <c r="E325" t="s">
        <v>126</v>
      </c>
      <c r="F325">
        <v>75.81</v>
      </c>
      <c r="G325" t="s">
        <v>34</v>
      </c>
      <c r="H325" t="s">
        <v>35</v>
      </c>
      <c r="I325" t="s">
        <v>12</v>
      </c>
      <c r="J325" t="s">
        <v>13</v>
      </c>
      <c r="K325" s="4">
        <v>44986</v>
      </c>
      <c r="L325">
        <v>2023</v>
      </c>
      <c r="M325" s="4">
        <v>45003</v>
      </c>
      <c r="N325">
        <v>3299.84</v>
      </c>
      <c r="O325">
        <v>14</v>
      </c>
    </row>
    <row r="326" spans="1:15" hidden="1" x14ac:dyDescent="0.25">
      <c r="A326" s="92">
        <v>324</v>
      </c>
      <c r="B326" s="47">
        <f>MONTH(dis_table[[#This Row],[Date]])</f>
        <v>3</v>
      </c>
      <c r="C326" s="4">
        <v>45004</v>
      </c>
      <c r="D326" s="4">
        <v>45004</v>
      </c>
      <c r="E326" t="s">
        <v>333</v>
      </c>
      <c r="F326">
        <v>2.1800000000000002</v>
      </c>
      <c r="G326" t="s">
        <v>34</v>
      </c>
      <c r="H326" t="s">
        <v>35</v>
      </c>
      <c r="I326" t="s">
        <v>12</v>
      </c>
      <c r="J326" t="s">
        <v>13</v>
      </c>
      <c r="K326" s="4">
        <v>44986</v>
      </c>
      <c r="L326">
        <v>2023</v>
      </c>
      <c r="M326" s="4">
        <v>45004</v>
      </c>
      <c r="N326">
        <v>3302.02</v>
      </c>
      <c r="O326">
        <v>15</v>
      </c>
    </row>
    <row r="327" spans="1:15" hidden="1" x14ac:dyDescent="0.25">
      <c r="A327" s="92">
        <v>325</v>
      </c>
      <c r="B327" s="47">
        <f>MONTH(dis_table[[#This Row],[Date]])</f>
        <v>3</v>
      </c>
      <c r="C327" s="4">
        <v>45004</v>
      </c>
      <c r="D327" s="4">
        <v>45004</v>
      </c>
      <c r="E327" t="s">
        <v>334</v>
      </c>
      <c r="F327">
        <v>15.19</v>
      </c>
      <c r="G327" t="s">
        <v>16</v>
      </c>
      <c r="H327" t="s">
        <v>133</v>
      </c>
      <c r="I327" t="s">
        <v>12</v>
      </c>
      <c r="J327" t="s">
        <v>24</v>
      </c>
      <c r="K327" s="4">
        <v>44986</v>
      </c>
      <c r="L327">
        <v>2023</v>
      </c>
      <c r="M327" s="4">
        <v>45004</v>
      </c>
      <c r="N327">
        <v>3317.21</v>
      </c>
      <c r="O327">
        <v>13</v>
      </c>
    </row>
    <row r="328" spans="1:15" hidden="1" x14ac:dyDescent="0.25">
      <c r="A328" s="92">
        <v>326</v>
      </c>
      <c r="B328" s="47">
        <f>MONTH(dis_table[[#This Row],[Date]])</f>
        <v>3</v>
      </c>
      <c r="C328" s="4">
        <v>45004</v>
      </c>
      <c r="D328" s="4">
        <v>45004</v>
      </c>
      <c r="E328" t="s">
        <v>335</v>
      </c>
      <c r="F328">
        <v>5.47</v>
      </c>
      <c r="G328" t="s">
        <v>16</v>
      </c>
      <c r="H328" t="s">
        <v>21</v>
      </c>
      <c r="I328" t="s">
        <v>12</v>
      </c>
      <c r="J328" t="s">
        <v>24</v>
      </c>
      <c r="K328" s="4">
        <v>44986</v>
      </c>
      <c r="L328">
        <v>2023</v>
      </c>
      <c r="M328" s="4">
        <v>45004</v>
      </c>
      <c r="N328">
        <v>3322.68</v>
      </c>
      <c r="O328">
        <v>9</v>
      </c>
    </row>
    <row r="329" spans="1:15" hidden="1" x14ac:dyDescent="0.25">
      <c r="A329" s="92">
        <v>327</v>
      </c>
      <c r="B329" s="47">
        <f>MONTH(dis_table[[#This Row],[Date]])</f>
        <v>3</v>
      </c>
      <c r="C329" s="4">
        <v>45004</v>
      </c>
      <c r="D329" s="4">
        <v>45004</v>
      </c>
      <c r="E329" t="s">
        <v>336</v>
      </c>
      <c r="F329">
        <v>5.29</v>
      </c>
      <c r="G329" t="s">
        <v>16</v>
      </c>
      <c r="H329" t="s">
        <v>41</v>
      </c>
      <c r="I329" t="s">
        <v>18</v>
      </c>
      <c r="J329" t="s">
        <v>19</v>
      </c>
      <c r="K329" s="4">
        <v>44986</v>
      </c>
      <c r="L329">
        <v>2023</v>
      </c>
      <c r="M329" s="4">
        <v>45004</v>
      </c>
      <c r="N329">
        <v>3327.97</v>
      </c>
      <c r="O329">
        <v>1</v>
      </c>
    </row>
    <row r="330" spans="1:15" hidden="1" x14ac:dyDescent="0.25">
      <c r="A330" s="92">
        <v>328</v>
      </c>
      <c r="B330" s="47">
        <f>MONTH(dis_table[[#This Row],[Date]])</f>
        <v>3</v>
      </c>
      <c r="C330" s="4">
        <v>45004</v>
      </c>
      <c r="D330" s="4">
        <v>45004</v>
      </c>
      <c r="E330" t="s">
        <v>337</v>
      </c>
      <c r="F330">
        <v>125.1</v>
      </c>
      <c r="G330" t="s">
        <v>36</v>
      </c>
      <c r="H330" t="s">
        <v>286</v>
      </c>
      <c r="I330" t="s">
        <v>18</v>
      </c>
      <c r="J330" t="s">
        <v>24</v>
      </c>
      <c r="K330" s="4">
        <v>44986</v>
      </c>
      <c r="L330">
        <v>2023</v>
      </c>
      <c r="M330" s="4">
        <v>45004</v>
      </c>
      <c r="N330">
        <v>3453.07</v>
      </c>
      <c r="O330">
        <v>2</v>
      </c>
    </row>
    <row r="331" spans="1:15" hidden="1" x14ac:dyDescent="0.25">
      <c r="A331" s="92">
        <v>329</v>
      </c>
      <c r="B331" s="47">
        <f>MONTH(dis_table[[#This Row],[Date]])</f>
        <v>3</v>
      </c>
      <c r="C331" s="4">
        <v>45004</v>
      </c>
      <c r="D331" s="4">
        <v>45004</v>
      </c>
      <c r="E331" t="s">
        <v>338</v>
      </c>
      <c r="F331">
        <v>33</v>
      </c>
      <c r="G331" t="s">
        <v>34</v>
      </c>
      <c r="H331" t="s">
        <v>14</v>
      </c>
      <c r="I331" t="s">
        <v>12</v>
      </c>
      <c r="J331" t="s">
        <v>13</v>
      </c>
      <c r="K331" s="4">
        <v>44986</v>
      </c>
      <c r="L331">
        <v>2023</v>
      </c>
      <c r="M331" s="4">
        <v>45004</v>
      </c>
      <c r="N331">
        <v>3486.07</v>
      </c>
      <c r="O331">
        <v>43</v>
      </c>
    </row>
    <row r="332" spans="1:15" hidden="1" x14ac:dyDescent="0.25">
      <c r="A332" s="92">
        <v>330</v>
      </c>
      <c r="B332" s="47">
        <f>MONTH(dis_table[[#This Row],[Date]])</f>
        <v>3</v>
      </c>
      <c r="C332" s="4">
        <v>45005</v>
      </c>
      <c r="D332" s="4">
        <v>45005</v>
      </c>
      <c r="E332" t="s">
        <v>339</v>
      </c>
      <c r="F332">
        <v>20</v>
      </c>
      <c r="G332" t="s">
        <v>16</v>
      </c>
      <c r="H332" t="s">
        <v>340</v>
      </c>
      <c r="I332" t="s">
        <v>18</v>
      </c>
      <c r="J332" t="s">
        <v>24</v>
      </c>
      <c r="K332" s="4">
        <v>44986</v>
      </c>
      <c r="L332">
        <v>2023</v>
      </c>
      <c r="M332" s="4">
        <v>45005</v>
      </c>
      <c r="N332">
        <v>3506.07</v>
      </c>
      <c r="O332">
        <v>1</v>
      </c>
    </row>
    <row r="333" spans="1:15" hidden="1" x14ac:dyDescent="0.25">
      <c r="A333" s="92">
        <v>331</v>
      </c>
      <c r="B333" s="47">
        <f>MONTH(dis_table[[#This Row],[Date]])</f>
        <v>3</v>
      </c>
      <c r="C333" s="4">
        <v>45005</v>
      </c>
      <c r="D333" s="4">
        <v>45005</v>
      </c>
      <c r="E333" t="s">
        <v>324</v>
      </c>
      <c r="F333">
        <v>130.76</v>
      </c>
      <c r="G333" t="s">
        <v>22</v>
      </c>
      <c r="H333" t="s">
        <v>214</v>
      </c>
      <c r="I333" t="s">
        <v>12</v>
      </c>
      <c r="J333" t="s">
        <v>24</v>
      </c>
      <c r="K333" s="4">
        <v>44986</v>
      </c>
      <c r="L333">
        <v>2023</v>
      </c>
      <c r="M333" s="4">
        <v>45005</v>
      </c>
      <c r="N333">
        <v>3636.83</v>
      </c>
      <c r="O333">
        <v>5</v>
      </c>
    </row>
    <row r="334" spans="1:15" hidden="1" x14ac:dyDescent="0.25">
      <c r="A334" s="92">
        <v>332</v>
      </c>
      <c r="B334" s="47">
        <f>MONTH(dis_table[[#This Row],[Date]])</f>
        <v>3</v>
      </c>
      <c r="C334" s="4">
        <v>45006</v>
      </c>
      <c r="D334" s="4">
        <v>45006</v>
      </c>
      <c r="E334" t="s">
        <v>26</v>
      </c>
      <c r="F334">
        <v>-1079.82</v>
      </c>
      <c r="G334" t="s">
        <v>27</v>
      </c>
      <c r="H334" t="s">
        <v>28</v>
      </c>
      <c r="I334" t="s">
        <v>12</v>
      </c>
      <c r="J334" t="s">
        <v>122</v>
      </c>
      <c r="K334" s="4">
        <v>44986</v>
      </c>
      <c r="L334">
        <v>2023</v>
      </c>
      <c r="M334" s="4">
        <v>45006</v>
      </c>
      <c r="N334">
        <v>2557.0100000000002</v>
      </c>
      <c r="O334">
        <v>8</v>
      </c>
    </row>
    <row r="335" spans="1:15" hidden="1" x14ac:dyDescent="0.25">
      <c r="A335" s="92">
        <v>333</v>
      </c>
      <c r="B335" s="47">
        <f>MONTH(dis_table[[#This Row],[Date]])</f>
        <v>3</v>
      </c>
      <c r="C335" s="4">
        <v>45006</v>
      </c>
      <c r="D335" s="4">
        <v>45006</v>
      </c>
      <c r="E335" t="s">
        <v>341</v>
      </c>
      <c r="F335">
        <v>55</v>
      </c>
      <c r="G335" t="s">
        <v>16</v>
      </c>
      <c r="H335" t="s">
        <v>67</v>
      </c>
      <c r="I335" t="s">
        <v>12</v>
      </c>
      <c r="J335" t="s">
        <v>19</v>
      </c>
      <c r="K335" s="4">
        <v>44986</v>
      </c>
      <c r="L335">
        <v>2023</v>
      </c>
      <c r="M335" s="4">
        <v>45006</v>
      </c>
      <c r="N335">
        <v>2612.0100000000002</v>
      </c>
      <c r="O335">
        <v>4</v>
      </c>
    </row>
    <row r="336" spans="1:15" hidden="1" x14ac:dyDescent="0.25">
      <c r="A336" s="92">
        <v>334</v>
      </c>
      <c r="B336" s="47">
        <f>MONTH(dis_table[[#This Row],[Date]])</f>
        <v>3</v>
      </c>
      <c r="C336" s="4">
        <v>45007</v>
      </c>
      <c r="D336" s="4">
        <v>45007</v>
      </c>
      <c r="E336" t="s">
        <v>345</v>
      </c>
      <c r="F336">
        <v>53.25</v>
      </c>
      <c r="G336" t="s">
        <v>22</v>
      </c>
      <c r="H336" t="s">
        <v>67</v>
      </c>
      <c r="I336" t="s">
        <v>12</v>
      </c>
      <c r="J336" t="s">
        <v>19</v>
      </c>
      <c r="K336" s="4">
        <v>44986</v>
      </c>
      <c r="L336">
        <v>2023</v>
      </c>
      <c r="M336" s="4">
        <v>45007</v>
      </c>
      <c r="N336">
        <v>2665.26</v>
      </c>
      <c r="O336">
        <v>5</v>
      </c>
    </row>
    <row r="337" spans="1:15" hidden="1" x14ac:dyDescent="0.25">
      <c r="A337" s="92">
        <v>335</v>
      </c>
      <c r="B337" s="47">
        <f>MONTH(dis_table[[#This Row],[Date]])</f>
        <v>3</v>
      </c>
      <c r="C337" s="4">
        <v>45007</v>
      </c>
      <c r="D337" s="4">
        <v>45007</v>
      </c>
      <c r="E337" t="s">
        <v>346</v>
      </c>
      <c r="F337">
        <v>58.95</v>
      </c>
      <c r="G337" t="s">
        <v>34</v>
      </c>
      <c r="H337" t="s">
        <v>329</v>
      </c>
      <c r="I337" t="s">
        <v>12</v>
      </c>
      <c r="J337" t="s">
        <v>24</v>
      </c>
      <c r="K337" s="4">
        <v>44986</v>
      </c>
      <c r="L337">
        <v>2023</v>
      </c>
      <c r="M337" s="4">
        <v>45007</v>
      </c>
      <c r="N337">
        <v>2724.21</v>
      </c>
      <c r="O337">
        <v>4</v>
      </c>
    </row>
    <row r="338" spans="1:15" hidden="1" x14ac:dyDescent="0.25">
      <c r="A338" s="92">
        <v>336</v>
      </c>
      <c r="B338" s="47">
        <f>MONTH(dis_table[[#This Row],[Date]])</f>
        <v>3</v>
      </c>
      <c r="C338" s="4">
        <v>45007</v>
      </c>
      <c r="D338" s="4">
        <v>45007</v>
      </c>
      <c r="E338" t="s">
        <v>344</v>
      </c>
      <c r="F338">
        <v>40.659999999999997</v>
      </c>
      <c r="G338" t="s">
        <v>22</v>
      </c>
      <c r="H338" t="s">
        <v>57</v>
      </c>
      <c r="I338" t="s">
        <v>12</v>
      </c>
      <c r="J338" t="s">
        <v>19</v>
      </c>
      <c r="K338" s="4">
        <v>44986</v>
      </c>
      <c r="L338">
        <v>2023</v>
      </c>
      <c r="M338" s="4">
        <v>45007</v>
      </c>
      <c r="N338">
        <v>2764.87</v>
      </c>
      <c r="O338">
        <v>5</v>
      </c>
    </row>
    <row r="339" spans="1:15" hidden="1" x14ac:dyDescent="0.25">
      <c r="A339" s="92">
        <v>337</v>
      </c>
      <c r="B339" s="47">
        <f>MONTH(dis_table[[#This Row],[Date]])</f>
        <v>3</v>
      </c>
      <c r="C339" s="4">
        <v>45007</v>
      </c>
      <c r="D339" s="4">
        <v>45007</v>
      </c>
      <c r="E339" t="s">
        <v>343</v>
      </c>
      <c r="F339">
        <v>48.34</v>
      </c>
      <c r="G339" t="s">
        <v>48</v>
      </c>
      <c r="H339" t="s">
        <v>66</v>
      </c>
      <c r="I339" t="s">
        <v>12</v>
      </c>
      <c r="J339" t="s">
        <v>24</v>
      </c>
      <c r="K339" s="4">
        <v>44986</v>
      </c>
      <c r="L339">
        <v>2023</v>
      </c>
      <c r="M339" s="4">
        <v>45007</v>
      </c>
      <c r="N339">
        <v>2813.21</v>
      </c>
      <c r="O339">
        <v>5</v>
      </c>
    </row>
    <row r="340" spans="1:15" hidden="1" x14ac:dyDescent="0.25">
      <c r="A340" s="92">
        <v>338</v>
      </c>
      <c r="B340" s="47">
        <f>MONTH(dis_table[[#This Row],[Date]])</f>
        <v>3</v>
      </c>
      <c r="C340" s="4">
        <v>45007</v>
      </c>
      <c r="D340" s="4">
        <v>45007</v>
      </c>
      <c r="E340" t="s">
        <v>342</v>
      </c>
      <c r="F340">
        <v>5</v>
      </c>
      <c r="G340" t="s">
        <v>22</v>
      </c>
      <c r="H340" t="s">
        <v>57</v>
      </c>
      <c r="I340" t="s">
        <v>12</v>
      </c>
      <c r="J340" t="s">
        <v>19</v>
      </c>
      <c r="K340" s="4">
        <v>44986</v>
      </c>
      <c r="L340">
        <v>2023</v>
      </c>
      <c r="M340" s="4">
        <v>45007</v>
      </c>
      <c r="N340">
        <v>2818.21</v>
      </c>
      <c r="O340">
        <v>6</v>
      </c>
    </row>
    <row r="341" spans="1:15" hidden="1" x14ac:dyDescent="0.25">
      <c r="A341" s="92">
        <v>339</v>
      </c>
      <c r="B341" s="47">
        <f>MONTH(dis_table[[#This Row],[Date]])</f>
        <v>3</v>
      </c>
      <c r="C341" s="4">
        <v>45007</v>
      </c>
      <c r="D341" s="4">
        <v>45007</v>
      </c>
      <c r="E341" t="s">
        <v>343</v>
      </c>
      <c r="F341">
        <v>58.22</v>
      </c>
      <c r="G341" t="s">
        <v>48</v>
      </c>
      <c r="H341" t="s">
        <v>66</v>
      </c>
      <c r="I341" t="s">
        <v>12</v>
      </c>
      <c r="J341" t="s">
        <v>24</v>
      </c>
      <c r="K341" s="4">
        <v>44986</v>
      </c>
      <c r="L341">
        <v>2023</v>
      </c>
      <c r="M341" s="4">
        <v>45007</v>
      </c>
      <c r="N341">
        <v>2876.43</v>
      </c>
      <c r="O341">
        <v>6</v>
      </c>
    </row>
    <row r="342" spans="1:15" hidden="1" x14ac:dyDescent="0.25">
      <c r="A342" s="92">
        <v>340</v>
      </c>
      <c r="B342" s="47">
        <f>MONTH(dis_table[[#This Row],[Date]])</f>
        <v>3</v>
      </c>
      <c r="C342" s="4">
        <v>45008</v>
      </c>
      <c r="D342" s="4">
        <v>45008</v>
      </c>
      <c r="E342" t="s">
        <v>26</v>
      </c>
      <c r="F342">
        <v>-1582.05</v>
      </c>
      <c r="G342" t="s">
        <v>27</v>
      </c>
      <c r="H342" t="s">
        <v>28</v>
      </c>
      <c r="I342" t="s">
        <v>12</v>
      </c>
      <c r="J342" t="s">
        <v>122</v>
      </c>
      <c r="K342" s="4">
        <v>44986</v>
      </c>
      <c r="L342">
        <v>2023</v>
      </c>
      <c r="M342" s="4">
        <v>45008</v>
      </c>
      <c r="N342">
        <v>1294.3800000000001</v>
      </c>
      <c r="O342">
        <v>9</v>
      </c>
    </row>
    <row r="343" spans="1:15" hidden="1" x14ac:dyDescent="0.25">
      <c r="A343" s="92">
        <v>341</v>
      </c>
      <c r="B343" s="47">
        <f>MONTH(dis_table[[#This Row],[Date]])</f>
        <v>3</v>
      </c>
      <c r="C343" s="4">
        <v>45009</v>
      </c>
      <c r="D343" s="4">
        <v>45009</v>
      </c>
      <c r="E343" t="s">
        <v>347</v>
      </c>
      <c r="F343">
        <v>6.35</v>
      </c>
      <c r="G343" t="s">
        <v>16</v>
      </c>
      <c r="H343" t="s">
        <v>348</v>
      </c>
      <c r="I343" t="s">
        <v>12</v>
      </c>
      <c r="J343" t="s">
        <v>53</v>
      </c>
      <c r="K343" s="4">
        <v>44986</v>
      </c>
      <c r="L343">
        <v>2023</v>
      </c>
      <c r="M343" s="4">
        <v>45009</v>
      </c>
      <c r="N343">
        <v>1300.73</v>
      </c>
      <c r="O343">
        <v>1</v>
      </c>
    </row>
    <row r="344" spans="1:15" hidden="1" x14ac:dyDescent="0.25">
      <c r="A344" s="92">
        <v>342</v>
      </c>
      <c r="B344" s="47">
        <f>MONTH(dis_table[[#This Row],[Date]])</f>
        <v>3</v>
      </c>
      <c r="C344" s="4">
        <v>45009</v>
      </c>
      <c r="D344" s="4">
        <v>45009</v>
      </c>
      <c r="E344" t="s">
        <v>77</v>
      </c>
      <c r="F344">
        <v>30.82</v>
      </c>
      <c r="G344" t="s">
        <v>9</v>
      </c>
      <c r="H344" t="s">
        <v>62</v>
      </c>
      <c r="I344" t="s">
        <v>12</v>
      </c>
      <c r="J344" t="s">
        <v>13</v>
      </c>
      <c r="K344" s="4">
        <v>44986</v>
      </c>
      <c r="L344">
        <v>2023</v>
      </c>
      <c r="M344" s="4">
        <v>45009</v>
      </c>
      <c r="N344">
        <v>1331.55</v>
      </c>
      <c r="O344">
        <v>6</v>
      </c>
    </row>
    <row r="345" spans="1:15" hidden="1" x14ac:dyDescent="0.25">
      <c r="A345" s="92">
        <v>343</v>
      </c>
      <c r="B345" s="47">
        <f>MONTH(dis_table[[#This Row],[Date]])</f>
        <v>3</v>
      </c>
      <c r="C345" s="4">
        <v>45009</v>
      </c>
      <c r="D345" s="4">
        <v>45009</v>
      </c>
      <c r="E345" t="s">
        <v>324</v>
      </c>
      <c r="F345">
        <v>5.49</v>
      </c>
      <c r="G345" t="s">
        <v>22</v>
      </c>
      <c r="H345" t="s">
        <v>214</v>
      </c>
      <c r="I345" t="s">
        <v>12</v>
      </c>
      <c r="J345" t="s">
        <v>24</v>
      </c>
      <c r="K345" s="4">
        <v>44986</v>
      </c>
      <c r="L345">
        <v>2023</v>
      </c>
      <c r="M345" s="4">
        <v>45009</v>
      </c>
      <c r="N345">
        <v>1337.04</v>
      </c>
      <c r="O345">
        <v>6</v>
      </c>
    </row>
    <row r="346" spans="1:15" hidden="1" x14ac:dyDescent="0.25">
      <c r="A346" s="92">
        <v>344</v>
      </c>
      <c r="B346" s="47">
        <f>MONTH(dis_table[[#This Row],[Date]])</f>
        <v>3</v>
      </c>
      <c r="C346" s="4">
        <v>45009</v>
      </c>
      <c r="D346" s="4">
        <v>45011</v>
      </c>
      <c r="E346" t="s">
        <v>339</v>
      </c>
      <c r="F346">
        <v>-20</v>
      </c>
      <c r="G346" t="s">
        <v>27</v>
      </c>
      <c r="H346" t="s">
        <v>340</v>
      </c>
      <c r="I346" t="s">
        <v>18</v>
      </c>
      <c r="J346" t="s">
        <v>24</v>
      </c>
      <c r="K346" s="4">
        <v>44986</v>
      </c>
      <c r="L346">
        <v>2023</v>
      </c>
      <c r="M346" s="4">
        <v>45009</v>
      </c>
      <c r="N346">
        <v>1317.04</v>
      </c>
      <c r="O346">
        <v>2</v>
      </c>
    </row>
    <row r="347" spans="1:15" hidden="1" x14ac:dyDescent="0.25">
      <c r="A347" s="92">
        <v>345</v>
      </c>
      <c r="B347" s="47">
        <f>MONTH(dis_table[[#This Row],[Date]])</f>
        <v>3</v>
      </c>
      <c r="C347" s="4">
        <v>45010</v>
      </c>
      <c r="D347" s="4">
        <v>45010</v>
      </c>
      <c r="E347" t="s">
        <v>349</v>
      </c>
      <c r="F347">
        <v>15.74</v>
      </c>
      <c r="G347" t="s">
        <v>9</v>
      </c>
      <c r="H347" t="s">
        <v>10</v>
      </c>
      <c r="I347" t="s">
        <v>12</v>
      </c>
      <c r="J347" t="s">
        <v>13</v>
      </c>
      <c r="K347" s="4">
        <v>44986</v>
      </c>
      <c r="L347">
        <v>2023</v>
      </c>
      <c r="M347" s="4">
        <v>45010</v>
      </c>
      <c r="N347">
        <v>1332.78</v>
      </c>
      <c r="O347">
        <v>23</v>
      </c>
    </row>
    <row r="348" spans="1:15" hidden="1" x14ac:dyDescent="0.25">
      <c r="A348" s="92">
        <v>346</v>
      </c>
      <c r="B348" s="47">
        <f>MONTH(dis_table[[#This Row],[Date]])</f>
        <v>3</v>
      </c>
      <c r="C348" s="4">
        <v>45010</v>
      </c>
      <c r="D348" s="4">
        <v>45010</v>
      </c>
      <c r="E348" t="s">
        <v>350</v>
      </c>
      <c r="F348">
        <v>43.7</v>
      </c>
      <c r="G348" t="s">
        <v>16</v>
      </c>
      <c r="H348" t="s">
        <v>351</v>
      </c>
      <c r="I348" t="s">
        <v>12</v>
      </c>
      <c r="J348" t="s">
        <v>24</v>
      </c>
      <c r="K348" s="4">
        <v>44986</v>
      </c>
      <c r="L348">
        <v>2023</v>
      </c>
      <c r="M348" s="4">
        <v>45010</v>
      </c>
      <c r="N348">
        <v>1376.48</v>
      </c>
      <c r="O348">
        <v>1</v>
      </c>
    </row>
    <row r="349" spans="1:15" hidden="1" x14ac:dyDescent="0.25">
      <c r="A349" s="92">
        <v>347</v>
      </c>
      <c r="B349" s="47">
        <f>MONTH(dis_table[[#This Row],[Date]])</f>
        <v>3</v>
      </c>
      <c r="C349" s="4">
        <v>45010</v>
      </c>
      <c r="D349" s="4">
        <v>45010</v>
      </c>
      <c r="E349" t="s">
        <v>352</v>
      </c>
      <c r="F349">
        <v>350</v>
      </c>
      <c r="G349" t="s">
        <v>69</v>
      </c>
      <c r="H349" t="s">
        <v>353</v>
      </c>
      <c r="I349" t="s">
        <v>12</v>
      </c>
      <c r="J349" t="s">
        <v>31</v>
      </c>
      <c r="K349" s="4">
        <v>44986</v>
      </c>
      <c r="L349">
        <v>2023</v>
      </c>
      <c r="M349" s="4">
        <v>45010</v>
      </c>
      <c r="N349">
        <v>1726.48</v>
      </c>
      <c r="O349">
        <v>1</v>
      </c>
    </row>
    <row r="350" spans="1:15" hidden="1" x14ac:dyDescent="0.25">
      <c r="A350" s="92">
        <v>348</v>
      </c>
      <c r="B350" s="47">
        <f>MONTH(dis_table[[#This Row],[Date]])</f>
        <v>3</v>
      </c>
      <c r="C350" s="4">
        <v>45011</v>
      </c>
      <c r="D350" s="4">
        <v>45011</v>
      </c>
      <c r="E350" t="s">
        <v>354</v>
      </c>
      <c r="F350">
        <v>17.36</v>
      </c>
      <c r="G350" t="s">
        <v>58</v>
      </c>
      <c r="H350" t="s">
        <v>368</v>
      </c>
      <c r="I350" t="s">
        <v>12</v>
      </c>
      <c r="J350" t="s">
        <v>24</v>
      </c>
      <c r="K350" s="4">
        <v>44986</v>
      </c>
      <c r="L350">
        <v>2023</v>
      </c>
      <c r="M350" s="4">
        <v>45011</v>
      </c>
      <c r="N350">
        <v>1743.84</v>
      </c>
      <c r="O350">
        <v>1</v>
      </c>
    </row>
    <row r="351" spans="1:15" hidden="1" x14ac:dyDescent="0.25">
      <c r="A351" s="92">
        <v>349</v>
      </c>
      <c r="B351" s="47">
        <f>MONTH(dis_table[[#This Row],[Date]])</f>
        <v>3</v>
      </c>
      <c r="C351" s="4">
        <v>45011</v>
      </c>
      <c r="D351" s="4">
        <v>45011</v>
      </c>
      <c r="E351" t="s">
        <v>355</v>
      </c>
      <c r="F351">
        <v>12.92</v>
      </c>
      <c r="G351" t="s">
        <v>9</v>
      </c>
      <c r="H351" t="s">
        <v>10</v>
      </c>
      <c r="I351" t="s">
        <v>12</v>
      </c>
      <c r="J351" t="s">
        <v>13</v>
      </c>
      <c r="K351" s="4">
        <v>44986</v>
      </c>
      <c r="L351">
        <v>2023</v>
      </c>
      <c r="M351" s="4">
        <v>45011</v>
      </c>
      <c r="N351">
        <v>1756.76</v>
      </c>
      <c r="O351">
        <v>24</v>
      </c>
    </row>
    <row r="352" spans="1:15" hidden="1" x14ac:dyDescent="0.25">
      <c r="A352" s="92">
        <v>350</v>
      </c>
      <c r="B352" s="47">
        <f>MONTH(dis_table[[#This Row],[Date]])</f>
        <v>3</v>
      </c>
      <c r="C352" s="4">
        <v>45011</v>
      </c>
      <c r="D352" s="4">
        <v>45011</v>
      </c>
      <c r="E352" t="s">
        <v>356</v>
      </c>
      <c r="F352">
        <v>72.47</v>
      </c>
      <c r="G352" t="s">
        <v>34</v>
      </c>
      <c r="H352" t="s">
        <v>133</v>
      </c>
      <c r="I352" t="s">
        <v>12</v>
      </c>
      <c r="J352" t="s">
        <v>24</v>
      </c>
      <c r="K352" s="4">
        <v>44986</v>
      </c>
      <c r="L352">
        <v>2023</v>
      </c>
      <c r="M352" s="4">
        <v>45011</v>
      </c>
      <c r="N352">
        <v>1829.23</v>
      </c>
      <c r="O352">
        <v>14</v>
      </c>
    </row>
    <row r="353" spans="1:15" hidden="1" x14ac:dyDescent="0.25">
      <c r="A353" s="92">
        <v>351</v>
      </c>
      <c r="B353" s="47">
        <f>MONTH(dis_table[[#This Row],[Date]])</f>
        <v>3</v>
      </c>
      <c r="C353" s="4">
        <v>45011</v>
      </c>
      <c r="D353" s="4">
        <v>45011</v>
      </c>
      <c r="E353" t="s">
        <v>357</v>
      </c>
      <c r="F353">
        <v>51.44</v>
      </c>
      <c r="G353" t="s">
        <v>29</v>
      </c>
      <c r="H353" t="s">
        <v>14</v>
      </c>
      <c r="I353" t="s">
        <v>12</v>
      </c>
      <c r="J353" t="s">
        <v>13</v>
      </c>
      <c r="K353" s="4">
        <v>44986</v>
      </c>
      <c r="L353">
        <v>2023</v>
      </c>
      <c r="M353" s="4">
        <v>45011</v>
      </c>
      <c r="N353">
        <v>1880.67</v>
      </c>
      <c r="O353">
        <v>44</v>
      </c>
    </row>
    <row r="354" spans="1:15" hidden="1" x14ac:dyDescent="0.25">
      <c r="A354" s="92">
        <v>352</v>
      </c>
      <c r="B354" s="47">
        <f>MONTH(dis_table[[#This Row],[Date]])</f>
        <v>3</v>
      </c>
      <c r="C354" s="4">
        <v>45012</v>
      </c>
      <c r="D354" s="4">
        <v>45012</v>
      </c>
      <c r="E354" t="s">
        <v>359</v>
      </c>
      <c r="F354">
        <v>4.3899999999999997</v>
      </c>
      <c r="G354" t="s">
        <v>22</v>
      </c>
      <c r="H354" t="s">
        <v>214</v>
      </c>
      <c r="I354" t="s">
        <v>12</v>
      </c>
      <c r="J354" t="s">
        <v>24</v>
      </c>
      <c r="K354" s="4">
        <v>44986</v>
      </c>
      <c r="L354">
        <v>2023</v>
      </c>
      <c r="M354" s="4">
        <v>45012</v>
      </c>
      <c r="N354">
        <v>1885.06</v>
      </c>
      <c r="O354">
        <v>7</v>
      </c>
    </row>
    <row r="355" spans="1:15" hidden="1" x14ac:dyDescent="0.25">
      <c r="A355" s="92">
        <v>353</v>
      </c>
      <c r="B355" s="47">
        <f>MONTH(dis_table[[#This Row],[Date]])</f>
        <v>3</v>
      </c>
      <c r="C355" s="4">
        <v>45012</v>
      </c>
      <c r="D355" s="4">
        <v>45012</v>
      </c>
      <c r="E355" t="s">
        <v>358</v>
      </c>
      <c r="F355">
        <v>1.5</v>
      </c>
      <c r="G355" t="s">
        <v>36</v>
      </c>
      <c r="H355" t="s">
        <v>63</v>
      </c>
      <c r="I355" t="s">
        <v>12</v>
      </c>
      <c r="J355" t="s">
        <v>31</v>
      </c>
      <c r="K355" s="4">
        <v>44986</v>
      </c>
      <c r="L355">
        <v>2023</v>
      </c>
      <c r="M355" s="4">
        <v>45012</v>
      </c>
      <c r="N355">
        <v>1886.56</v>
      </c>
      <c r="O355">
        <v>10</v>
      </c>
    </row>
    <row r="356" spans="1:15" hidden="1" x14ac:dyDescent="0.25">
      <c r="A356" s="92">
        <v>354</v>
      </c>
      <c r="B356" s="47">
        <f>MONTH(dis_table[[#This Row],[Date]])</f>
        <v>3</v>
      </c>
      <c r="C356" s="4">
        <v>45012</v>
      </c>
      <c r="D356" s="4">
        <v>45012</v>
      </c>
      <c r="E356" t="s">
        <v>360</v>
      </c>
      <c r="F356">
        <v>63.73</v>
      </c>
      <c r="G356" t="s">
        <v>34</v>
      </c>
      <c r="H356" t="s">
        <v>35</v>
      </c>
      <c r="I356" t="s">
        <v>12</v>
      </c>
      <c r="J356" t="s">
        <v>13</v>
      </c>
      <c r="K356" s="4">
        <v>44986</v>
      </c>
      <c r="L356">
        <v>2023</v>
      </c>
      <c r="M356" s="4">
        <v>45012</v>
      </c>
      <c r="N356">
        <v>1950.29</v>
      </c>
      <c r="O356">
        <v>16</v>
      </c>
    </row>
    <row r="357" spans="1:15" hidden="1" x14ac:dyDescent="0.25">
      <c r="A357" s="92">
        <v>355</v>
      </c>
      <c r="B357" s="47">
        <f>MONTH(dis_table[[#This Row],[Date]])</f>
        <v>3</v>
      </c>
      <c r="C357" s="4">
        <v>45013</v>
      </c>
      <c r="D357" s="4">
        <v>45013</v>
      </c>
      <c r="E357" t="s">
        <v>498</v>
      </c>
      <c r="F357">
        <v>115.5</v>
      </c>
      <c r="G357" t="s">
        <v>16</v>
      </c>
      <c r="H357" t="s">
        <v>67</v>
      </c>
      <c r="I357" t="s">
        <v>12</v>
      </c>
      <c r="J357" t="s">
        <v>19</v>
      </c>
      <c r="K357" s="4">
        <v>44986</v>
      </c>
      <c r="L357">
        <v>2023</v>
      </c>
      <c r="M357" s="4">
        <v>45013</v>
      </c>
      <c r="N357">
        <v>2065.79</v>
      </c>
      <c r="O357">
        <v>6</v>
      </c>
    </row>
    <row r="358" spans="1:15" hidden="1" x14ac:dyDescent="0.25">
      <c r="A358" s="92">
        <v>356</v>
      </c>
      <c r="B358" s="47">
        <f>MONTH(dis_table[[#This Row],[Date]])</f>
        <v>3</v>
      </c>
      <c r="C358" s="4">
        <v>45013</v>
      </c>
      <c r="D358" s="4">
        <v>45013</v>
      </c>
      <c r="E358" t="s">
        <v>362</v>
      </c>
      <c r="F358">
        <v>68.78</v>
      </c>
      <c r="G358" t="s">
        <v>16</v>
      </c>
      <c r="H358" t="s">
        <v>67</v>
      </c>
      <c r="I358" t="s">
        <v>12</v>
      </c>
      <c r="J358" t="s">
        <v>19</v>
      </c>
      <c r="K358" s="4">
        <v>44986</v>
      </c>
      <c r="L358">
        <v>2023</v>
      </c>
      <c r="M358" s="4">
        <v>45013</v>
      </c>
      <c r="N358">
        <v>2134.5700000000002</v>
      </c>
      <c r="O358">
        <v>7</v>
      </c>
    </row>
    <row r="359" spans="1:15" hidden="1" x14ac:dyDescent="0.25">
      <c r="A359" s="92">
        <v>357</v>
      </c>
      <c r="B359" s="47">
        <f>MONTH(dis_table[[#This Row],[Date]])</f>
        <v>3</v>
      </c>
      <c r="C359" s="4">
        <v>45013</v>
      </c>
      <c r="D359" s="4">
        <v>45013</v>
      </c>
      <c r="E359" t="s">
        <v>330</v>
      </c>
      <c r="F359">
        <v>87.68</v>
      </c>
      <c r="G359" t="s">
        <v>16</v>
      </c>
      <c r="H359" t="s">
        <v>66</v>
      </c>
      <c r="I359" t="s">
        <v>12</v>
      </c>
      <c r="J359" t="s">
        <v>24</v>
      </c>
      <c r="K359" s="4">
        <v>44986</v>
      </c>
      <c r="L359">
        <v>2023</v>
      </c>
      <c r="M359" s="4">
        <v>45013</v>
      </c>
      <c r="N359">
        <v>2222.25</v>
      </c>
      <c r="O359">
        <v>7</v>
      </c>
    </row>
    <row r="360" spans="1:15" hidden="1" x14ac:dyDescent="0.25">
      <c r="A360" s="92">
        <v>358</v>
      </c>
      <c r="B360" s="47">
        <f>MONTH(dis_table[[#This Row],[Date]])</f>
        <v>3</v>
      </c>
      <c r="C360" s="4">
        <v>45013</v>
      </c>
      <c r="D360" s="4">
        <v>45013</v>
      </c>
      <c r="E360" t="s">
        <v>323</v>
      </c>
      <c r="F360">
        <v>3</v>
      </c>
      <c r="G360" t="s">
        <v>36</v>
      </c>
      <c r="H360" t="s">
        <v>63</v>
      </c>
      <c r="I360" t="s">
        <v>12</v>
      </c>
      <c r="J360" t="s">
        <v>31</v>
      </c>
      <c r="K360" s="4">
        <v>44986</v>
      </c>
      <c r="L360">
        <v>2023</v>
      </c>
      <c r="M360" s="4">
        <v>45013</v>
      </c>
      <c r="N360">
        <v>2225.25</v>
      </c>
      <c r="O360">
        <v>11</v>
      </c>
    </row>
    <row r="361" spans="1:15" hidden="1" x14ac:dyDescent="0.25">
      <c r="A361" s="92">
        <v>359</v>
      </c>
      <c r="B361" s="47">
        <f>MONTH(dis_table[[#This Row],[Date]])</f>
        <v>3</v>
      </c>
      <c r="C361" s="4">
        <v>45013</v>
      </c>
      <c r="D361" s="4">
        <v>45013</v>
      </c>
      <c r="E361" t="s">
        <v>361</v>
      </c>
      <c r="F361">
        <v>31.86</v>
      </c>
      <c r="G361" t="s">
        <v>9</v>
      </c>
      <c r="H361" t="s">
        <v>67</v>
      </c>
      <c r="I361" t="s">
        <v>12</v>
      </c>
      <c r="J361" t="s">
        <v>19</v>
      </c>
      <c r="K361" s="4">
        <v>44986</v>
      </c>
      <c r="L361">
        <v>2023</v>
      </c>
      <c r="M361" s="4">
        <v>45013</v>
      </c>
      <c r="N361">
        <v>2257.11</v>
      </c>
      <c r="O361">
        <v>8</v>
      </c>
    </row>
    <row r="362" spans="1:15" hidden="1" x14ac:dyDescent="0.25">
      <c r="A362" s="92">
        <v>360</v>
      </c>
      <c r="B362" s="47">
        <f>MONTH(dis_table[[#This Row],[Date]])</f>
        <v>3</v>
      </c>
      <c r="C362" s="4">
        <v>45014</v>
      </c>
      <c r="D362" s="4">
        <v>45014</v>
      </c>
      <c r="E362" t="s">
        <v>81</v>
      </c>
      <c r="F362">
        <v>11.16</v>
      </c>
      <c r="G362" t="s">
        <v>16</v>
      </c>
      <c r="H362" t="s">
        <v>45</v>
      </c>
      <c r="I362" t="s">
        <v>12</v>
      </c>
      <c r="J362" t="s">
        <v>19</v>
      </c>
      <c r="K362" s="4">
        <v>44986</v>
      </c>
      <c r="L362">
        <v>2023</v>
      </c>
      <c r="M362" s="4">
        <v>45014</v>
      </c>
      <c r="N362">
        <v>2268.27</v>
      </c>
      <c r="O362">
        <v>25</v>
      </c>
    </row>
    <row r="363" spans="1:15" hidden="1" x14ac:dyDescent="0.25">
      <c r="A363" s="92">
        <v>361</v>
      </c>
      <c r="B363" s="47">
        <f>MONTH(dis_table[[#This Row],[Date]])</f>
        <v>3</v>
      </c>
      <c r="C363" s="4">
        <v>45014</v>
      </c>
      <c r="D363" s="4">
        <v>45014</v>
      </c>
      <c r="E363" t="s">
        <v>499</v>
      </c>
      <c r="F363">
        <v>9.81</v>
      </c>
      <c r="G363" t="s">
        <v>9</v>
      </c>
      <c r="H363" t="s">
        <v>14</v>
      </c>
      <c r="I363" t="s">
        <v>12</v>
      </c>
      <c r="J363" t="s">
        <v>13</v>
      </c>
      <c r="K363" s="4">
        <v>44986</v>
      </c>
      <c r="L363">
        <v>2023</v>
      </c>
      <c r="M363" s="4">
        <v>45014</v>
      </c>
      <c r="N363">
        <v>2278.08</v>
      </c>
      <c r="O363">
        <v>45</v>
      </c>
    </row>
    <row r="364" spans="1:15" hidden="1" x14ac:dyDescent="0.25">
      <c r="A364" s="92">
        <v>362</v>
      </c>
      <c r="B364" s="47">
        <f>MONTH(dis_table[[#This Row],[Date]])</f>
        <v>3</v>
      </c>
      <c r="C364" s="4">
        <v>45014</v>
      </c>
      <c r="D364" s="4">
        <v>45014</v>
      </c>
      <c r="E364" t="s">
        <v>70</v>
      </c>
      <c r="F364">
        <v>11.97</v>
      </c>
      <c r="G364" t="s">
        <v>22</v>
      </c>
      <c r="H364" t="s">
        <v>42</v>
      </c>
      <c r="I364" t="s">
        <v>12</v>
      </c>
      <c r="J364" t="s">
        <v>31</v>
      </c>
      <c r="K364" s="4">
        <v>44986</v>
      </c>
      <c r="L364">
        <v>2023</v>
      </c>
      <c r="M364" s="4">
        <v>45014</v>
      </c>
      <c r="N364">
        <v>2290.0500000000002</v>
      </c>
      <c r="O364">
        <v>39</v>
      </c>
    </row>
    <row r="365" spans="1:15" hidden="1" x14ac:dyDescent="0.25">
      <c r="A365" s="92">
        <v>363</v>
      </c>
      <c r="B365" s="47">
        <f>MONTH(dis_table[[#This Row],[Date]])</f>
        <v>3</v>
      </c>
      <c r="C365" s="4">
        <v>45014</v>
      </c>
      <c r="D365" s="4">
        <v>45014</v>
      </c>
      <c r="E365" t="s">
        <v>70</v>
      </c>
      <c r="F365">
        <v>13.94</v>
      </c>
      <c r="G365" t="s">
        <v>22</v>
      </c>
      <c r="H365" t="s">
        <v>42</v>
      </c>
      <c r="I365" t="s">
        <v>12</v>
      </c>
      <c r="J365" t="s">
        <v>31</v>
      </c>
      <c r="K365" s="4">
        <v>44986</v>
      </c>
      <c r="L365">
        <v>2023</v>
      </c>
      <c r="M365" s="4">
        <v>45014</v>
      </c>
      <c r="N365">
        <v>2303.9899999999998</v>
      </c>
      <c r="O365">
        <v>40</v>
      </c>
    </row>
    <row r="366" spans="1:15" hidden="1" x14ac:dyDescent="0.25">
      <c r="A366" s="92">
        <v>364</v>
      </c>
      <c r="B366" s="47">
        <f>MONTH(dis_table[[#This Row],[Date]])</f>
        <v>3</v>
      </c>
      <c r="C366" s="4">
        <v>45015</v>
      </c>
      <c r="D366" s="4">
        <v>45015</v>
      </c>
      <c r="E366" t="s">
        <v>500</v>
      </c>
      <c r="F366">
        <v>109.99</v>
      </c>
      <c r="G366" t="s">
        <v>36</v>
      </c>
      <c r="H366" t="s">
        <v>501</v>
      </c>
      <c r="I366" t="s">
        <v>18</v>
      </c>
      <c r="J366" t="s">
        <v>19</v>
      </c>
      <c r="K366" s="4">
        <v>44986</v>
      </c>
      <c r="L366">
        <v>2023</v>
      </c>
      <c r="M366" s="4">
        <v>45015</v>
      </c>
      <c r="N366">
        <v>2413.98</v>
      </c>
      <c r="O366">
        <v>1</v>
      </c>
    </row>
    <row r="367" spans="1:15" hidden="1" x14ac:dyDescent="0.25">
      <c r="A367" s="92">
        <v>365</v>
      </c>
      <c r="B367" s="47">
        <f>MONTH(dis_table[[#This Row],[Date]])</f>
        <v>3</v>
      </c>
      <c r="C367" s="4">
        <v>45015</v>
      </c>
      <c r="D367" s="4">
        <v>45015</v>
      </c>
      <c r="E367" t="s">
        <v>502</v>
      </c>
      <c r="F367">
        <v>16.12</v>
      </c>
      <c r="G367" t="s">
        <v>9</v>
      </c>
      <c r="H367" t="s">
        <v>14</v>
      </c>
      <c r="I367" t="s">
        <v>12</v>
      </c>
      <c r="J367" t="s">
        <v>13</v>
      </c>
      <c r="K367" s="4">
        <v>44986</v>
      </c>
      <c r="L367">
        <v>2023</v>
      </c>
      <c r="M367" s="4">
        <v>45015</v>
      </c>
      <c r="N367">
        <v>2430.099999999999</v>
      </c>
      <c r="O367">
        <v>46</v>
      </c>
    </row>
    <row r="368" spans="1:15" hidden="1" x14ac:dyDescent="0.25">
      <c r="A368" s="92">
        <v>366</v>
      </c>
      <c r="B368" s="47">
        <f>MONTH(dis_table[[#This Row],[Date]])</f>
        <v>4</v>
      </c>
      <c r="C368" s="4">
        <v>45017</v>
      </c>
      <c r="D368" s="4">
        <v>45019</v>
      </c>
      <c r="E368" t="s">
        <v>83</v>
      </c>
      <c r="F368">
        <v>5</v>
      </c>
      <c r="G368" t="s">
        <v>36</v>
      </c>
      <c r="H368" t="s">
        <v>84</v>
      </c>
      <c r="I368" t="s">
        <v>18</v>
      </c>
      <c r="J368" t="s">
        <v>24</v>
      </c>
      <c r="K368" s="4">
        <v>45017</v>
      </c>
      <c r="L368">
        <v>2023</v>
      </c>
      <c r="M368" s="4">
        <v>45017</v>
      </c>
      <c r="N368">
        <v>2435.099999999999</v>
      </c>
      <c r="O368">
        <v>3</v>
      </c>
    </row>
    <row r="369" spans="1:15" hidden="1" x14ac:dyDescent="0.25">
      <c r="A369" s="92">
        <v>367</v>
      </c>
      <c r="B369" s="47">
        <f>MONTH(dis_table[[#This Row],[Date]])</f>
        <v>4</v>
      </c>
      <c r="C369" s="4">
        <v>45017</v>
      </c>
      <c r="D369" s="4">
        <v>45019</v>
      </c>
      <c r="E369" t="s">
        <v>15</v>
      </c>
      <c r="F369">
        <v>10.59</v>
      </c>
      <c r="G369" t="s">
        <v>16</v>
      </c>
      <c r="H369" t="s">
        <v>17</v>
      </c>
      <c r="I369" t="s">
        <v>18</v>
      </c>
      <c r="J369" t="s">
        <v>19</v>
      </c>
      <c r="K369" s="4">
        <v>45017</v>
      </c>
      <c r="L369">
        <v>2023</v>
      </c>
      <c r="M369" s="4">
        <v>45017</v>
      </c>
      <c r="N369">
        <v>2445.69</v>
      </c>
      <c r="O369">
        <v>4</v>
      </c>
    </row>
    <row r="370" spans="1:15" hidden="1" x14ac:dyDescent="0.25">
      <c r="A370" s="92">
        <v>368</v>
      </c>
      <c r="B370" s="47">
        <f>MONTH(dis_table[[#This Row],[Date]])</f>
        <v>4</v>
      </c>
      <c r="C370" s="4">
        <v>45017</v>
      </c>
      <c r="D370" s="4">
        <v>45017</v>
      </c>
      <c r="E370" t="s">
        <v>506</v>
      </c>
      <c r="F370">
        <v>30.51</v>
      </c>
      <c r="G370" t="s">
        <v>9</v>
      </c>
      <c r="H370" t="s">
        <v>14</v>
      </c>
      <c r="I370" t="s">
        <v>12</v>
      </c>
      <c r="J370" t="s">
        <v>13</v>
      </c>
      <c r="K370" s="4">
        <v>45017</v>
      </c>
      <c r="L370">
        <v>2023</v>
      </c>
      <c r="M370" s="4">
        <v>45017</v>
      </c>
      <c r="N370">
        <v>2476.1999999999998</v>
      </c>
      <c r="O370">
        <v>47</v>
      </c>
    </row>
    <row r="371" spans="1:15" hidden="1" x14ac:dyDescent="0.25">
      <c r="A371" s="92">
        <v>369</v>
      </c>
      <c r="B371" s="47">
        <f>MONTH(dis_table[[#This Row],[Date]])</f>
        <v>4</v>
      </c>
      <c r="C371" s="4">
        <v>45017</v>
      </c>
      <c r="D371" s="4">
        <v>45017</v>
      </c>
      <c r="E371" t="s">
        <v>504</v>
      </c>
      <c r="F371">
        <v>27.16</v>
      </c>
      <c r="G371" t="s">
        <v>16</v>
      </c>
      <c r="H371" t="s">
        <v>61</v>
      </c>
      <c r="I371" t="s">
        <v>12</v>
      </c>
      <c r="J371" t="s">
        <v>19</v>
      </c>
      <c r="K371" s="4">
        <v>45017</v>
      </c>
      <c r="L371">
        <v>2023</v>
      </c>
      <c r="M371" s="4">
        <v>45017</v>
      </c>
      <c r="N371">
        <v>2503.36</v>
      </c>
      <c r="O371">
        <v>2</v>
      </c>
    </row>
    <row r="372" spans="1:15" hidden="1" x14ac:dyDescent="0.25">
      <c r="A372" s="92">
        <v>370</v>
      </c>
      <c r="B372" s="47">
        <f>MONTH(dis_table[[#This Row],[Date]])</f>
        <v>4</v>
      </c>
      <c r="C372" s="4">
        <v>45017</v>
      </c>
      <c r="D372" s="4">
        <v>45017</v>
      </c>
      <c r="E372" t="s">
        <v>503</v>
      </c>
      <c r="F372">
        <v>147.75</v>
      </c>
      <c r="G372" t="s">
        <v>36</v>
      </c>
      <c r="H372" t="s">
        <v>61</v>
      </c>
      <c r="I372" t="s">
        <v>12</v>
      </c>
      <c r="J372" t="s">
        <v>19</v>
      </c>
      <c r="K372" s="4">
        <v>45017</v>
      </c>
      <c r="L372">
        <v>2023</v>
      </c>
      <c r="M372" s="4">
        <v>45017</v>
      </c>
      <c r="N372">
        <v>2651.11</v>
      </c>
      <c r="O372">
        <v>3</v>
      </c>
    </row>
    <row r="373" spans="1:15" hidden="1" x14ac:dyDescent="0.25">
      <c r="A373" s="92">
        <v>371</v>
      </c>
      <c r="B373" s="47">
        <f>MONTH(dis_table[[#This Row],[Date]])</f>
        <v>4</v>
      </c>
      <c r="C373" s="4">
        <v>45017</v>
      </c>
      <c r="D373" s="4">
        <v>45017</v>
      </c>
      <c r="E373" t="s">
        <v>505</v>
      </c>
      <c r="F373">
        <v>4.99</v>
      </c>
      <c r="G373" t="s">
        <v>16</v>
      </c>
      <c r="H373" t="s">
        <v>20</v>
      </c>
      <c r="I373" t="s">
        <v>18</v>
      </c>
      <c r="J373" t="s">
        <v>19</v>
      </c>
      <c r="K373" s="4">
        <v>45017</v>
      </c>
      <c r="L373">
        <v>2023</v>
      </c>
      <c r="M373" s="4">
        <v>45017</v>
      </c>
      <c r="N373">
        <v>2656.099999999999</v>
      </c>
      <c r="O373">
        <v>4</v>
      </c>
    </row>
    <row r="374" spans="1:15" hidden="1" x14ac:dyDescent="0.25">
      <c r="A374" s="92">
        <v>372</v>
      </c>
      <c r="B374" s="47">
        <f>MONTH(dis_table[[#This Row],[Date]])</f>
        <v>4</v>
      </c>
      <c r="C374" s="4">
        <v>45018</v>
      </c>
      <c r="D374" s="4">
        <v>45018</v>
      </c>
      <c r="E374" t="s">
        <v>507</v>
      </c>
      <c r="F374">
        <v>125.1</v>
      </c>
      <c r="G374" t="s">
        <v>36</v>
      </c>
      <c r="H374" t="s">
        <v>286</v>
      </c>
      <c r="I374" t="s">
        <v>18</v>
      </c>
      <c r="J374" t="s">
        <v>24</v>
      </c>
      <c r="K374" s="4">
        <v>45017</v>
      </c>
      <c r="L374">
        <v>2023</v>
      </c>
      <c r="M374" s="4">
        <v>45018</v>
      </c>
      <c r="N374">
        <v>2781.1999999999989</v>
      </c>
      <c r="O374">
        <v>3</v>
      </c>
    </row>
    <row r="375" spans="1:15" hidden="1" x14ac:dyDescent="0.25">
      <c r="A375" s="92">
        <v>373</v>
      </c>
      <c r="B375" s="47">
        <f>MONTH(dis_table[[#This Row],[Date]])</f>
        <v>4</v>
      </c>
      <c r="C375" s="4">
        <v>45018</v>
      </c>
      <c r="D375" s="4">
        <v>45018</v>
      </c>
      <c r="E375" t="s">
        <v>508</v>
      </c>
      <c r="F375">
        <v>139</v>
      </c>
      <c r="G375" t="s">
        <v>36</v>
      </c>
      <c r="H375" t="s">
        <v>286</v>
      </c>
      <c r="I375" t="s">
        <v>18</v>
      </c>
      <c r="J375" t="s">
        <v>24</v>
      </c>
      <c r="K375" s="4">
        <v>45017</v>
      </c>
      <c r="L375">
        <v>2023</v>
      </c>
      <c r="M375" s="4">
        <v>45018</v>
      </c>
      <c r="N375">
        <v>2920.1999999999989</v>
      </c>
      <c r="O375">
        <v>4</v>
      </c>
    </row>
    <row r="376" spans="1:15" hidden="1" x14ac:dyDescent="0.25">
      <c r="A376" s="92">
        <v>374</v>
      </c>
      <c r="B376" s="47">
        <f>MONTH(dis_table[[#This Row],[Date]])</f>
        <v>4</v>
      </c>
      <c r="C376" s="4">
        <v>45018</v>
      </c>
      <c r="D376" s="4">
        <v>45018</v>
      </c>
      <c r="E376" t="s">
        <v>70</v>
      </c>
      <c r="F376">
        <v>14.98</v>
      </c>
      <c r="G376" t="s">
        <v>22</v>
      </c>
      <c r="H376" t="s">
        <v>42</v>
      </c>
      <c r="I376" t="s">
        <v>12</v>
      </c>
      <c r="J376" t="s">
        <v>31</v>
      </c>
      <c r="K376" s="4">
        <v>45017</v>
      </c>
      <c r="L376">
        <v>2023</v>
      </c>
      <c r="M376" s="4">
        <v>45018</v>
      </c>
      <c r="N376">
        <v>2935.1799999999989</v>
      </c>
      <c r="O376">
        <v>41</v>
      </c>
    </row>
    <row r="377" spans="1:15" hidden="1" x14ac:dyDescent="0.25">
      <c r="A377" s="92">
        <v>375</v>
      </c>
      <c r="B377" s="47">
        <f>MONTH(dis_table[[#This Row],[Date]])</f>
        <v>4</v>
      </c>
      <c r="C377" s="4">
        <v>45018</v>
      </c>
      <c r="D377" s="4">
        <v>45019</v>
      </c>
      <c r="E377" t="s">
        <v>43</v>
      </c>
      <c r="F377">
        <v>10</v>
      </c>
      <c r="G377" t="s">
        <v>16</v>
      </c>
      <c r="H377" t="s">
        <v>44</v>
      </c>
      <c r="I377" t="s">
        <v>18</v>
      </c>
      <c r="J377" t="s">
        <v>19</v>
      </c>
      <c r="K377" s="4">
        <v>45017</v>
      </c>
      <c r="L377">
        <v>2023</v>
      </c>
      <c r="M377" s="4">
        <v>45018</v>
      </c>
      <c r="N377">
        <v>2945.1799999999989</v>
      </c>
      <c r="O377">
        <v>4</v>
      </c>
    </row>
    <row r="378" spans="1:15" hidden="1" x14ac:dyDescent="0.25">
      <c r="A378" s="92">
        <v>376</v>
      </c>
      <c r="B378" s="47">
        <f>MONTH(dis_table[[#This Row],[Date]])</f>
        <v>4</v>
      </c>
      <c r="C378" s="4">
        <v>45019</v>
      </c>
      <c r="D378" s="4">
        <v>45019</v>
      </c>
      <c r="E378" t="s">
        <v>512</v>
      </c>
      <c r="F378">
        <v>54.61</v>
      </c>
      <c r="G378" t="s">
        <v>34</v>
      </c>
      <c r="H378" t="s">
        <v>35</v>
      </c>
      <c r="I378" t="s">
        <v>12</v>
      </c>
      <c r="J378" t="s">
        <v>13</v>
      </c>
      <c r="K378" s="4">
        <v>45017</v>
      </c>
      <c r="L378">
        <v>2023</v>
      </c>
      <c r="M378" s="4">
        <v>45019</v>
      </c>
      <c r="N378">
        <v>2999.79</v>
      </c>
      <c r="O378">
        <v>17</v>
      </c>
    </row>
    <row r="379" spans="1:15" hidden="1" x14ac:dyDescent="0.25">
      <c r="A379" s="92">
        <v>377</v>
      </c>
      <c r="B379" s="47">
        <f>MONTH(dis_table[[#This Row],[Date]])</f>
        <v>4</v>
      </c>
      <c r="C379" s="4">
        <v>45019</v>
      </c>
      <c r="D379" s="4">
        <v>45019</v>
      </c>
      <c r="E379" t="s">
        <v>513</v>
      </c>
      <c r="F379">
        <v>30</v>
      </c>
      <c r="G379" t="s">
        <v>36</v>
      </c>
      <c r="H379" t="s">
        <v>63</v>
      </c>
      <c r="I379" t="s">
        <v>12</v>
      </c>
      <c r="J379" t="s">
        <v>31</v>
      </c>
      <c r="K379" s="4">
        <v>45017</v>
      </c>
      <c r="L379">
        <v>2023</v>
      </c>
      <c r="M379" s="4">
        <v>45019</v>
      </c>
      <c r="N379">
        <v>3029.79</v>
      </c>
      <c r="O379">
        <v>12</v>
      </c>
    </row>
    <row r="380" spans="1:15" hidden="1" x14ac:dyDescent="0.25">
      <c r="A380" s="92">
        <v>378</v>
      </c>
      <c r="B380" s="47">
        <f>MONTH(dis_table[[#This Row],[Date]])</f>
        <v>4</v>
      </c>
      <c r="C380" s="4">
        <v>45019</v>
      </c>
      <c r="D380" s="4">
        <v>45019</v>
      </c>
      <c r="E380" t="s">
        <v>511</v>
      </c>
      <c r="F380">
        <v>15.89</v>
      </c>
      <c r="G380" t="s">
        <v>36</v>
      </c>
      <c r="H380" t="s">
        <v>54</v>
      </c>
      <c r="I380" t="s">
        <v>18</v>
      </c>
      <c r="J380" t="s">
        <v>19</v>
      </c>
      <c r="K380" s="4">
        <v>45017</v>
      </c>
      <c r="L380">
        <v>2023</v>
      </c>
      <c r="M380" s="4">
        <v>45019</v>
      </c>
      <c r="N380">
        <v>3045.6799999999989</v>
      </c>
      <c r="O380">
        <v>7</v>
      </c>
    </row>
    <row r="381" spans="1:15" hidden="1" x14ac:dyDescent="0.25">
      <c r="A381" s="92">
        <v>379</v>
      </c>
      <c r="B381" s="47">
        <f>MONTH(dis_table[[#This Row],[Date]])</f>
        <v>4</v>
      </c>
      <c r="C381" s="4">
        <v>45019</v>
      </c>
      <c r="D381" s="4">
        <v>45019</v>
      </c>
      <c r="E381" t="s">
        <v>510</v>
      </c>
      <c r="F381">
        <v>45</v>
      </c>
      <c r="G381" t="s">
        <v>16</v>
      </c>
      <c r="H381" t="s">
        <v>21</v>
      </c>
      <c r="I381" t="s">
        <v>12</v>
      </c>
      <c r="J381" t="s">
        <v>24</v>
      </c>
      <c r="K381" s="4">
        <v>45017</v>
      </c>
      <c r="L381">
        <v>2023</v>
      </c>
      <c r="M381" s="4">
        <v>45019</v>
      </c>
      <c r="N381">
        <v>3090.6799999999989</v>
      </c>
      <c r="O381">
        <v>10</v>
      </c>
    </row>
    <row r="382" spans="1:15" hidden="1" x14ac:dyDescent="0.25">
      <c r="A382" s="92">
        <v>380</v>
      </c>
      <c r="B382" s="47">
        <f>MONTH(dis_table[[#This Row],[Date]])</f>
        <v>4</v>
      </c>
      <c r="C382" s="4">
        <v>45019</v>
      </c>
      <c r="D382" s="4">
        <v>45019</v>
      </c>
      <c r="E382" t="s">
        <v>143</v>
      </c>
      <c r="F382">
        <v>-57.91</v>
      </c>
      <c r="G382" t="s">
        <v>32</v>
      </c>
      <c r="H382" t="s">
        <v>1027</v>
      </c>
      <c r="I382" t="s">
        <v>12</v>
      </c>
      <c r="J382" t="s">
        <v>122</v>
      </c>
      <c r="K382" s="4">
        <v>45017</v>
      </c>
      <c r="L382">
        <v>2023</v>
      </c>
      <c r="M382" s="4">
        <v>45019</v>
      </c>
      <c r="N382">
        <v>3032.77</v>
      </c>
      <c r="O382">
        <v>4</v>
      </c>
    </row>
    <row r="383" spans="1:15" hidden="1" x14ac:dyDescent="0.25">
      <c r="A383" s="92">
        <v>381</v>
      </c>
      <c r="B383" s="47">
        <f>MONTH(dis_table[[#This Row],[Date]])</f>
        <v>4</v>
      </c>
      <c r="C383" s="4">
        <v>45019</v>
      </c>
      <c r="D383" s="4">
        <v>45019</v>
      </c>
      <c r="E383" t="s">
        <v>509</v>
      </c>
      <c r="F383">
        <v>30.38</v>
      </c>
      <c r="G383" t="s">
        <v>16</v>
      </c>
      <c r="H383" t="s">
        <v>133</v>
      </c>
      <c r="I383" t="s">
        <v>12</v>
      </c>
      <c r="J383" t="s">
        <v>24</v>
      </c>
      <c r="K383" s="4">
        <v>45017</v>
      </c>
      <c r="L383">
        <v>2023</v>
      </c>
      <c r="M383" s="4">
        <v>45019</v>
      </c>
      <c r="N383">
        <v>3063.15</v>
      </c>
      <c r="O383">
        <v>15</v>
      </c>
    </row>
    <row r="384" spans="1:15" hidden="1" x14ac:dyDescent="0.25">
      <c r="A384" s="92">
        <v>382</v>
      </c>
      <c r="B384" s="47">
        <f>MONTH(dis_table[[#This Row],[Date]])</f>
        <v>4</v>
      </c>
      <c r="C384" s="4">
        <v>45021</v>
      </c>
      <c r="D384" s="4">
        <v>45021</v>
      </c>
      <c r="E384" t="s">
        <v>514</v>
      </c>
      <c r="F384">
        <v>26.3</v>
      </c>
      <c r="G384" t="s">
        <v>16</v>
      </c>
      <c r="H384" t="s">
        <v>329</v>
      </c>
      <c r="I384" t="s">
        <v>12</v>
      </c>
      <c r="J384" t="s">
        <v>24</v>
      </c>
      <c r="K384" s="4">
        <v>45017</v>
      </c>
      <c r="L384">
        <v>2023</v>
      </c>
      <c r="M384" s="4">
        <v>45021</v>
      </c>
      <c r="N384">
        <v>3089.45</v>
      </c>
      <c r="O384">
        <v>5</v>
      </c>
    </row>
    <row r="385" spans="1:15" hidden="1" x14ac:dyDescent="0.25">
      <c r="A385" s="92">
        <v>383</v>
      </c>
      <c r="B385" s="47">
        <f>MONTH(dis_table[[#This Row],[Date]])</f>
        <v>4</v>
      </c>
      <c r="C385" s="4">
        <v>45021</v>
      </c>
      <c r="D385" s="4">
        <v>45021</v>
      </c>
      <c r="E385" t="s">
        <v>515</v>
      </c>
      <c r="F385">
        <v>35</v>
      </c>
      <c r="G385" t="s">
        <v>22</v>
      </c>
      <c r="H385" t="s">
        <v>214</v>
      </c>
      <c r="I385" t="s">
        <v>12</v>
      </c>
      <c r="J385" t="s">
        <v>24</v>
      </c>
      <c r="K385" s="4">
        <v>45017</v>
      </c>
      <c r="L385">
        <v>2023</v>
      </c>
      <c r="M385" s="4">
        <v>45021</v>
      </c>
      <c r="N385">
        <v>3124.45</v>
      </c>
      <c r="O385">
        <v>8</v>
      </c>
    </row>
    <row r="386" spans="1:15" hidden="1" x14ac:dyDescent="0.25">
      <c r="A386" s="92">
        <v>384</v>
      </c>
      <c r="B386" s="47">
        <f>MONTH(dis_table[[#This Row],[Date]])</f>
        <v>4</v>
      </c>
      <c r="C386" s="4">
        <v>45021</v>
      </c>
      <c r="D386" s="4">
        <v>45021</v>
      </c>
      <c r="E386" t="s">
        <v>516</v>
      </c>
      <c r="F386">
        <v>12.26</v>
      </c>
      <c r="G386" t="s">
        <v>34</v>
      </c>
      <c r="H386" t="s">
        <v>35</v>
      </c>
      <c r="I386" t="s">
        <v>12</v>
      </c>
      <c r="J386" t="s">
        <v>13</v>
      </c>
      <c r="K386" s="4">
        <v>45017</v>
      </c>
      <c r="L386">
        <v>2023</v>
      </c>
      <c r="M386" s="4">
        <v>45021</v>
      </c>
      <c r="N386">
        <v>3136.71</v>
      </c>
      <c r="O386">
        <v>18</v>
      </c>
    </row>
    <row r="387" spans="1:15" hidden="1" x14ac:dyDescent="0.25">
      <c r="A387" s="92">
        <v>385</v>
      </c>
      <c r="B387" s="47">
        <f>MONTH(dis_table[[#This Row],[Date]])</f>
        <v>4</v>
      </c>
      <c r="C387" s="4">
        <v>45021</v>
      </c>
      <c r="D387" s="4">
        <v>45021</v>
      </c>
      <c r="E387" t="s">
        <v>26</v>
      </c>
      <c r="F387">
        <v>-2889.63</v>
      </c>
      <c r="G387" t="s">
        <v>27</v>
      </c>
      <c r="H387" t="s">
        <v>28</v>
      </c>
      <c r="I387" t="s">
        <v>12</v>
      </c>
      <c r="J387" t="s">
        <v>122</v>
      </c>
      <c r="K387" s="4">
        <v>45017</v>
      </c>
      <c r="L387">
        <v>2023</v>
      </c>
      <c r="M387" s="4">
        <v>45021</v>
      </c>
      <c r="N387">
        <v>247.0799999999999</v>
      </c>
      <c r="O387">
        <v>10</v>
      </c>
    </row>
    <row r="388" spans="1:15" hidden="1" x14ac:dyDescent="0.25">
      <c r="A388" s="92">
        <v>386</v>
      </c>
      <c r="B388" s="47">
        <f>MONTH(dis_table[[#This Row],[Date]])</f>
        <v>4</v>
      </c>
      <c r="C388" s="4">
        <v>45021</v>
      </c>
      <c r="D388" s="4">
        <v>45021</v>
      </c>
      <c r="E388" t="s">
        <v>517</v>
      </c>
      <c r="F388">
        <v>7.17</v>
      </c>
      <c r="G388" t="s">
        <v>34</v>
      </c>
      <c r="H388" t="s">
        <v>35</v>
      </c>
      <c r="I388" t="s">
        <v>12</v>
      </c>
      <c r="J388" t="s">
        <v>13</v>
      </c>
      <c r="K388" s="4">
        <v>45017</v>
      </c>
      <c r="L388">
        <v>2023</v>
      </c>
      <c r="M388" s="4">
        <v>45021</v>
      </c>
      <c r="N388">
        <v>254.24999999999989</v>
      </c>
      <c r="O388">
        <v>19</v>
      </c>
    </row>
    <row r="389" spans="1:15" hidden="1" x14ac:dyDescent="0.25">
      <c r="A389" s="92">
        <v>387</v>
      </c>
      <c r="B389" s="47">
        <f>MONTH(dis_table[[#This Row],[Date]])</f>
        <v>4</v>
      </c>
      <c r="C389" s="4">
        <v>45021</v>
      </c>
      <c r="D389" s="4">
        <v>45021</v>
      </c>
      <c r="E389" t="s">
        <v>517</v>
      </c>
      <c r="F389">
        <v>7.98</v>
      </c>
      <c r="G389" t="s">
        <v>34</v>
      </c>
      <c r="H389" t="s">
        <v>35</v>
      </c>
      <c r="I389" t="s">
        <v>12</v>
      </c>
      <c r="J389" t="s">
        <v>13</v>
      </c>
      <c r="K389" s="4">
        <v>45017</v>
      </c>
      <c r="L389">
        <v>2023</v>
      </c>
      <c r="M389" s="4">
        <v>45021</v>
      </c>
      <c r="N389">
        <v>262.2299999999999</v>
      </c>
      <c r="O389">
        <v>20</v>
      </c>
    </row>
    <row r="390" spans="1:15" hidden="1" x14ac:dyDescent="0.25">
      <c r="A390" s="92">
        <v>388</v>
      </c>
      <c r="B390" s="47">
        <f>MONTH(dis_table[[#This Row],[Date]])</f>
        <v>4</v>
      </c>
      <c r="C390" s="4">
        <v>45021</v>
      </c>
      <c r="D390" s="4">
        <v>45021</v>
      </c>
      <c r="E390" t="s">
        <v>123</v>
      </c>
      <c r="F390">
        <v>10</v>
      </c>
      <c r="G390" t="s">
        <v>16</v>
      </c>
      <c r="H390" t="s">
        <v>369</v>
      </c>
      <c r="I390" t="s">
        <v>18</v>
      </c>
      <c r="J390" t="s">
        <v>24</v>
      </c>
      <c r="K390" s="4">
        <v>45017</v>
      </c>
      <c r="L390">
        <v>2023</v>
      </c>
      <c r="M390" s="4">
        <v>45021</v>
      </c>
      <c r="N390">
        <v>272.2299999999999</v>
      </c>
      <c r="O390">
        <v>4</v>
      </c>
    </row>
    <row r="391" spans="1:15" hidden="1" x14ac:dyDescent="0.25">
      <c r="A391" s="92">
        <v>389</v>
      </c>
      <c r="B391" s="47">
        <f>MONTH(dis_table[[#This Row],[Date]])</f>
        <v>4</v>
      </c>
      <c r="C391" s="4">
        <v>45021</v>
      </c>
      <c r="D391" s="4">
        <v>45021</v>
      </c>
      <c r="E391" t="s">
        <v>125</v>
      </c>
      <c r="F391">
        <v>10.66</v>
      </c>
      <c r="G391" t="s">
        <v>34</v>
      </c>
      <c r="H391" t="s">
        <v>133</v>
      </c>
      <c r="I391" t="s">
        <v>12</v>
      </c>
      <c r="J391" t="s">
        <v>24</v>
      </c>
      <c r="K391" s="4">
        <v>45017</v>
      </c>
      <c r="L391">
        <v>2023</v>
      </c>
      <c r="M391" s="4">
        <v>45021</v>
      </c>
      <c r="N391">
        <v>282.88999999999987</v>
      </c>
      <c r="O391">
        <v>16</v>
      </c>
    </row>
    <row r="392" spans="1:15" hidden="1" x14ac:dyDescent="0.25">
      <c r="A392" s="92">
        <v>390</v>
      </c>
      <c r="B392" s="47">
        <f>MONTH(dis_table[[#This Row],[Date]])</f>
        <v>4</v>
      </c>
      <c r="C392" s="4">
        <v>45021</v>
      </c>
      <c r="D392" s="4">
        <v>45021</v>
      </c>
      <c r="E392" t="s">
        <v>306</v>
      </c>
      <c r="F392">
        <v>16.940000000000001</v>
      </c>
      <c r="G392" t="s">
        <v>60</v>
      </c>
      <c r="H392" t="s">
        <v>131</v>
      </c>
      <c r="I392" t="s">
        <v>12</v>
      </c>
      <c r="J392" t="s">
        <v>37</v>
      </c>
      <c r="K392" s="4">
        <v>45017</v>
      </c>
      <c r="L392">
        <v>2023</v>
      </c>
      <c r="M392" s="4">
        <v>45021</v>
      </c>
      <c r="N392">
        <v>299.82999999999993</v>
      </c>
      <c r="O392">
        <v>3</v>
      </c>
    </row>
    <row r="393" spans="1:15" hidden="1" x14ac:dyDescent="0.25">
      <c r="A393" s="92">
        <v>391</v>
      </c>
      <c r="B393" s="47">
        <f>MONTH(dis_table[[#This Row],[Date]])</f>
        <v>4</v>
      </c>
      <c r="C393" s="4">
        <v>45022</v>
      </c>
      <c r="D393" s="4">
        <v>45022</v>
      </c>
      <c r="E393" t="s">
        <v>520</v>
      </c>
      <c r="F393">
        <v>40</v>
      </c>
      <c r="G393" t="s">
        <v>36</v>
      </c>
      <c r="H393" t="s">
        <v>66</v>
      </c>
      <c r="I393" t="s">
        <v>12</v>
      </c>
      <c r="J393" t="s">
        <v>24</v>
      </c>
      <c r="K393" s="4">
        <v>45017</v>
      </c>
      <c r="L393">
        <v>2023</v>
      </c>
      <c r="M393" s="4">
        <v>45022</v>
      </c>
      <c r="N393">
        <v>339.82999999999993</v>
      </c>
      <c r="O393">
        <v>8</v>
      </c>
    </row>
    <row r="394" spans="1:15" hidden="1" x14ac:dyDescent="0.25">
      <c r="A394" s="92">
        <v>392</v>
      </c>
      <c r="B394" s="47">
        <f>MONTH(dis_table[[#This Row],[Date]])</f>
        <v>4</v>
      </c>
      <c r="C394" s="4">
        <v>45022</v>
      </c>
      <c r="D394" s="4">
        <v>45022</v>
      </c>
      <c r="E394" t="s">
        <v>518</v>
      </c>
      <c r="F394">
        <v>50</v>
      </c>
      <c r="G394" t="s">
        <v>36</v>
      </c>
      <c r="H394" t="s">
        <v>57</v>
      </c>
      <c r="I394" t="s">
        <v>12</v>
      </c>
      <c r="J394" t="s">
        <v>19</v>
      </c>
      <c r="K394" s="4">
        <v>45017</v>
      </c>
      <c r="L394">
        <v>2023</v>
      </c>
      <c r="M394" s="4">
        <v>45022</v>
      </c>
      <c r="N394">
        <v>389.82999999999993</v>
      </c>
      <c r="O394">
        <v>7</v>
      </c>
    </row>
    <row r="395" spans="1:15" hidden="1" x14ac:dyDescent="0.25">
      <c r="A395" s="92">
        <v>393</v>
      </c>
      <c r="B395" s="47">
        <f>MONTH(dis_table[[#This Row],[Date]])</f>
        <v>4</v>
      </c>
      <c r="C395" s="4">
        <v>45022</v>
      </c>
      <c r="D395" s="4">
        <v>45022</v>
      </c>
      <c r="E395" t="s">
        <v>519</v>
      </c>
      <c r="F395">
        <v>15.34</v>
      </c>
      <c r="G395" t="s">
        <v>16</v>
      </c>
      <c r="H395" t="s">
        <v>21</v>
      </c>
      <c r="I395" t="s">
        <v>12</v>
      </c>
      <c r="J395" t="s">
        <v>24</v>
      </c>
      <c r="K395" s="4">
        <v>45017</v>
      </c>
      <c r="L395">
        <v>2023</v>
      </c>
      <c r="M395" s="4">
        <v>45022</v>
      </c>
      <c r="N395">
        <v>405.1699999999999</v>
      </c>
      <c r="O395">
        <v>11</v>
      </c>
    </row>
    <row r="396" spans="1:15" hidden="1" x14ac:dyDescent="0.25">
      <c r="A396" s="92">
        <v>394</v>
      </c>
      <c r="B396" s="47">
        <f>MONTH(dis_table[[#This Row],[Date]])</f>
        <v>4</v>
      </c>
      <c r="C396" s="4">
        <v>45023</v>
      </c>
      <c r="D396" s="4">
        <v>45023</v>
      </c>
      <c r="E396" t="s">
        <v>125</v>
      </c>
      <c r="F396">
        <v>31.37</v>
      </c>
      <c r="G396" t="s">
        <v>34</v>
      </c>
      <c r="H396" t="s">
        <v>133</v>
      </c>
      <c r="I396" t="s">
        <v>12</v>
      </c>
      <c r="J396" t="s">
        <v>24</v>
      </c>
      <c r="K396" s="4">
        <v>45017</v>
      </c>
      <c r="L396">
        <v>2023</v>
      </c>
      <c r="M396" s="4">
        <v>45023</v>
      </c>
      <c r="N396">
        <v>436.53999999999991</v>
      </c>
      <c r="O396">
        <v>17</v>
      </c>
    </row>
    <row r="397" spans="1:15" hidden="1" x14ac:dyDescent="0.25">
      <c r="A397" s="92">
        <v>395</v>
      </c>
      <c r="B397" s="47">
        <f>MONTH(dis_table[[#This Row],[Date]])</f>
        <v>4</v>
      </c>
      <c r="C397" s="4">
        <v>45023</v>
      </c>
      <c r="D397" s="4">
        <v>45023</v>
      </c>
      <c r="E397" t="s">
        <v>521</v>
      </c>
      <c r="F397">
        <v>9.99</v>
      </c>
      <c r="G397" t="s">
        <v>16</v>
      </c>
      <c r="H397" t="s">
        <v>135</v>
      </c>
      <c r="I397" t="s">
        <v>18</v>
      </c>
      <c r="J397" t="s">
        <v>24</v>
      </c>
      <c r="K397" s="4">
        <v>45017</v>
      </c>
      <c r="L397">
        <v>2023</v>
      </c>
      <c r="M397" s="4">
        <v>45023</v>
      </c>
      <c r="N397">
        <v>446.52999999999992</v>
      </c>
      <c r="O397">
        <v>4</v>
      </c>
    </row>
    <row r="398" spans="1:15" hidden="1" x14ac:dyDescent="0.25">
      <c r="A398" s="92">
        <v>396</v>
      </c>
      <c r="B398" s="47">
        <f>MONTH(dis_table[[#This Row],[Date]])</f>
        <v>4</v>
      </c>
      <c r="C398" s="4">
        <v>45023</v>
      </c>
      <c r="D398" s="4">
        <v>45023</v>
      </c>
      <c r="E398" t="s">
        <v>77</v>
      </c>
      <c r="F398">
        <v>25.88</v>
      </c>
      <c r="G398" t="s">
        <v>9</v>
      </c>
      <c r="H398" t="s">
        <v>62</v>
      </c>
      <c r="I398" t="s">
        <v>12</v>
      </c>
      <c r="J398" t="s">
        <v>13</v>
      </c>
      <c r="K398" s="4">
        <v>45017</v>
      </c>
      <c r="L398">
        <v>2023</v>
      </c>
      <c r="M398" s="4">
        <v>45023</v>
      </c>
      <c r="N398">
        <v>472.40999999999991</v>
      </c>
      <c r="O398">
        <v>7</v>
      </c>
    </row>
    <row r="399" spans="1:15" hidden="1" x14ac:dyDescent="0.25">
      <c r="A399" s="92">
        <v>397</v>
      </c>
      <c r="B399" s="47">
        <f>MONTH(dis_table[[#This Row],[Date]])</f>
        <v>4</v>
      </c>
      <c r="C399" s="4">
        <v>45024</v>
      </c>
      <c r="D399" s="4">
        <v>45024</v>
      </c>
      <c r="E399" t="s">
        <v>522</v>
      </c>
      <c r="F399">
        <v>4.13</v>
      </c>
      <c r="G399" t="s">
        <v>16</v>
      </c>
      <c r="H399" t="s">
        <v>14</v>
      </c>
      <c r="I399" t="s">
        <v>12</v>
      </c>
      <c r="J399" t="s">
        <v>13</v>
      </c>
      <c r="K399" s="4">
        <v>45017</v>
      </c>
      <c r="L399">
        <v>2023</v>
      </c>
      <c r="M399" s="4">
        <v>45024</v>
      </c>
      <c r="N399">
        <v>476.53999999999991</v>
      </c>
      <c r="O399">
        <v>48</v>
      </c>
    </row>
    <row r="400" spans="1:15" hidden="1" x14ac:dyDescent="0.25">
      <c r="A400" s="92">
        <v>398</v>
      </c>
      <c r="B400" s="47">
        <f>MONTH(dis_table[[#This Row],[Date]])</f>
        <v>4</v>
      </c>
      <c r="C400" s="4">
        <v>45024</v>
      </c>
      <c r="D400" s="4">
        <v>45024</v>
      </c>
      <c r="E400" t="s">
        <v>522</v>
      </c>
      <c r="F400">
        <v>6.05</v>
      </c>
      <c r="G400" t="s">
        <v>16</v>
      </c>
      <c r="H400" t="s">
        <v>14</v>
      </c>
      <c r="I400" t="s">
        <v>12</v>
      </c>
      <c r="J400" t="s">
        <v>13</v>
      </c>
      <c r="K400" s="4">
        <v>45017</v>
      </c>
      <c r="L400">
        <v>2023</v>
      </c>
      <c r="M400" s="4">
        <v>45024</v>
      </c>
      <c r="N400">
        <v>482.58999999999992</v>
      </c>
      <c r="O400">
        <v>49</v>
      </c>
    </row>
    <row r="401" spans="1:15" hidden="1" x14ac:dyDescent="0.25">
      <c r="A401" s="92">
        <v>399</v>
      </c>
      <c r="B401" s="47">
        <f>MONTH(dis_table[[#This Row],[Date]])</f>
        <v>4</v>
      </c>
      <c r="C401" s="4">
        <v>45024</v>
      </c>
      <c r="D401" s="4">
        <v>45024</v>
      </c>
      <c r="E401" t="s">
        <v>523</v>
      </c>
      <c r="F401">
        <v>20</v>
      </c>
      <c r="G401" t="s">
        <v>36</v>
      </c>
      <c r="H401" t="s">
        <v>63</v>
      </c>
      <c r="I401" t="s">
        <v>12</v>
      </c>
      <c r="J401" t="s">
        <v>31</v>
      </c>
      <c r="K401" s="4">
        <v>45017</v>
      </c>
      <c r="L401">
        <v>2023</v>
      </c>
      <c r="M401" s="4">
        <v>45024</v>
      </c>
      <c r="N401">
        <v>502.58999999999992</v>
      </c>
      <c r="O401">
        <v>13</v>
      </c>
    </row>
    <row r="402" spans="1:15" hidden="1" x14ac:dyDescent="0.25">
      <c r="A402" s="92">
        <v>400</v>
      </c>
      <c r="B402" s="47">
        <f>MONTH(dis_table[[#This Row],[Date]])</f>
        <v>4</v>
      </c>
      <c r="C402" s="4">
        <v>45024</v>
      </c>
      <c r="D402" s="4">
        <v>45024</v>
      </c>
      <c r="E402" t="s">
        <v>524</v>
      </c>
      <c r="F402">
        <v>127.94</v>
      </c>
      <c r="G402" t="s">
        <v>16</v>
      </c>
      <c r="H402" t="s">
        <v>353</v>
      </c>
      <c r="I402" t="s">
        <v>12</v>
      </c>
      <c r="J402" t="s">
        <v>31</v>
      </c>
      <c r="K402" s="4">
        <v>45017</v>
      </c>
      <c r="L402">
        <v>2023</v>
      </c>
      <c r="M402" s="4">
        <v>45024</v>
      </c>
      <c r="N402">
        <v>630.53</v>
      </c>
      <c r="O402">
        <v>2</v>
      </c>
    </row>
    <row r="403" spans="1:15" hidden="1" x14ac:dyDescent="0.25">
      <c r="A403" s="92">
        <v>401</v>
      </c>
      <c r="B403" s="47">
        <f>MONTH(dis_table[[#This Row],[Date]])</f>
        <v>4</v>
      </c>
      <c r="C403" s="4">
        <v>45025</v>
      </c>
      <c r="D403" s="4">
        <v>45025</v>
      </c>
      <c r="E403" t="s">
        <v>527</v>
      </c>
      <c r="F403">
        <v>7.72</v>
      </c>
      <c r="G403" t="s">
        <v>9</v>
      </c>
      <c r="H403" t="s">
        <v>14</v>
      </c>
      <c r="I403" t="s">
        <v>12</v>
      </c>
      <c r="J403" t="s">
        <v>13</v>
      </c>
      <c r="K403" s="4">
        <v>45017</v>
      </c>
      <c r="L403">
        <v>2023</v>
      </c>
      <c r="M403" s="4">
        <v>45025</v>
      </c>
      <c r="N403">
        <v>638.25</v>
      </c>
      <c r="O403">
        <v>50</v>
      </c>
    </row>
    <row r="404" spans="1:15" hidden="1" x14ac:dyDescent="0.25">
      <c r="A404" s="92">
        <v>402</v>
      </c>
      <c r="B404" s="47">
        <f>MONTH(dis_table[[#This Row],[Date]])</f>
        <v>4</v>
      </c>
      <c r="C404" s="4">
        <v>45025</v>
      </c>
      <c r="D404" s="4">
        <v>45025</v>
      </c>
      <c r="E404" t="s">
        <v>526</v>
      </c>
      <c r="F404">
        <v>48.23</v>
      </c>
      <c r="G404" t="s">
        <v>29</v>
      </c>
      <c r="H404" t="s">
        <v>30</v>
      </c>
      <c r="I404" t="s">
        <v>12</v>
      </c>
      <c r="J404" t="s">
        <v>31</v>
      </c>
      <c r="K404" s="4">
        <v>45017</v>
      </c>
      <c r="L404">
        <v>2023</v>
      </c>
      <c r="M404" s="4">
        <v>45025</v>
      </c>
      <c r="N404">
        <v>686.48</v>
      </c>
      <c r="O404">
        <v>7</v>
      </c>
    </row>
    <row r="405" spans="1:15" hidden="1" x14ac:dyDescent="0.25">
      <c r="A405" s="92">
        <v>403</v>
      </c>
      <c r="B405" s="47">
        <f>MONTH(dis_table[[#This Row],[Date]])</f>
        <v>4</v>
      </c>
      <c r="C405" s="4">
        <v>45025</v>
      </c>
      <c r="D405" s="4">
        <v>45025</v>
      </c>
      <c r="E405" t="s">
        <v>527</v>
      </c>
      <c r="F405">
        <v>6.43</v>
      </c>
      <c r="G405" t="s">
        <v>9</v>
      </c>
      <c r="H405" t="s">
        <v>14</v>
      </c>
      <c r="I405" t="s">
        <v>12</v>
      </c>
      <c r="J405" t="s">
        <v>13</v>
      </c>
      <c r="K405" s="4">
        <v>45017</v>
      </c>
      <c r="L405">
        <v>2023</v>
      </c>
      <c r="M405" s="4">
        <v>45025</v>
      </c>
      <c r="N405">
        <v>692.91</v>
      </c>
      <c r="O405">
        <v>51</v>
      </c>
    </row>
    <row r="406" spans="1:15" hidden="1" x14ac:dyDescent="0.25">
      <c r="A406" s="92">
        <v>404</v>
      </c>
      <c r="B406" s="47">
        <f>MONTH(dis_table[[#This Row],[Date]])</f>
        <v>4</v>
      </c>
      <c r="C406" s="4">
        <v>45025</v>
      </c>
      <c r="D406" s="4">
        <v>45025</v>
      </c>
      <c r="E406" t="s">
        <v>318</v>
      </c>
      <c r="F406">
        <v>3</v>
      </c>
      <c r="G406" t="s">
        <v>22</v>
      </c>
      <c r="H406" t="s">
        <v>214</v>
      </c>
      <c r="I406" t="s">
        <v>12</v>
      </c>
      <c r="J406" t="s">
        <v>24</v>
      </c>
      <c r="K406" s="4">
        <v>45017</v>
      </c>
      <c r="L406">
        <v>2023</v>
      </c>
      <c r="M406" s="4">
        <v>45025</v>
      </c>
      <c r="N406">
        <v>695.91</v>
      </c>
      <c r="O406">
        <v>9</v>
      </c>
    </row>
    <row r="407" spans="1:15" hidden="1" x14ac:dyDescent="0.25">
      <c r="A407" s="92">
        <v>405</v>
      </c>
      <c r="B407" s="47">
        <f>MONTH(dis_table[[#This Row],[Date]])</f>
        <v>4</v>
      </c>
      <c r="C407" s="4">
        <v>45025</v>
      </c>
      <c r="D407" s="4">
        <v>45025</v>
      </c>
      <c r="E407" t="s">
        <v>525</v>
      </c>
      <c r="F407">
        <v>64.989999999999995</v>
      </c>
      <c r="G407" t="s">
        <v>36</v>
      </c>
      <c r="H407" t="s">
        <v>54</v>
      </c>
      <c r="I407" t="s">
        <v>18</v>
      </c>
      <c r="J407" t="s">
        <v>19</v>
      </c>
      <c r="K407" s="4">
        <v>45017</v>
      </c>
      <c r="L407">
        <v>2023</v>
      </c>
      <c r="M407" s="4">
        <v>45025</v>
      </c>
      <c r="N407">
        <v>760.9</v>
      </c>
      <c r="O407">
        <v>8</v>
      </c>
    </row>
    <row r="408" spans="1:15" hidden="1" x14ac:dyDescent="0.25">
      <c r="A408" s="92">
        <v>406</v>
      </c>
      <c r="B408" s="47">
        <f>MONTH(dis_table[[#This Row],[Date]])</f>
        <v>4</v>
      </c>
      <c r="C408" s="4">
        <v>45026</v>
      </c>
      <c r="D408" s="4">
        <v>45026</v>
      </c>
      <c r="E408" t="s">
        <v>528</v>
      </c>
      <c r="F408">
        <v>16.649999999999999</v>
      </c>
      <c r="G408" t="s">
        <v>16</v>
      </c>
      <c r="H408" t="s">
        <v>21</v>
      </c>
      <c r="I408" t="s">
        <v>12</v>
      </c>
      <c r="J408" t="s">
        <v>24</v>
      </c>
      <c r="K408" s="4">
        <v>45017</v>
      </c>
      <c r="L408">
        <v>2023</v>
      </c>
      <c r="M408" s="4">
        <v>45026</v>
      </c>
      <c r="N408">
        <v>777.55</v>
      </c>
      <c r="O408">
        <v>12</v>
      </c>
    </row>
    <row r="409" spans="1:15" hidden="1" x14ac:dyDescent="0.25">
      <c r="A409" s="92">
        <v>407</v>
      </c>
      <c r="B409" s="47">
        <f>MONTH(dis_table[[#This Row],[Date]])</f>
        <v>4</v>
      </c>
      <c r="C409" s="4">
        <v>45026</v>
      </c>
      <c r="D409" s="4">
        <v>45026</v>
      </c>
      <c r="E409" t="s">
        <v>529</v>
      </c>
      <c r="F409">
        <v>16.95</v>
      </c>
      <c r="G409" t="s">
        <v>16</v>
      </c>
      <c r="H409" t="s">
        <v>33</v>
      </c>
      <c r="I409" t="s">
        <v>18</v>
      </c>
      <c r="J409" t="s">
        <v>19</v>
      </c>
      <c r="K409" s="4">
        <v>45017</v>
      </c>
      <c r="L409">
        <v>2023</v>
      </c>
      <c r="M409" s="4">
        <v>45026</v>
      </c>
      <c r="N409">
        <v>794.5</v>
      </c>
      <c r="O409">
        <v>4</v>
      </c>
    </row>
    <row r="410" spans="1:15" hidden="1" x14ac:dyDescent="0.25">
      <c r="A410" s="92">
        <v>408</v>
      </c>
      <c r="B410" s="47">
        <f>MONTH(dis_table[[#This Row],[Date]])</f>
        <v>4</v>
      </c>
      <c r="C410" s="4">
        <v>45026</v>
      </c>
      <c r="D410" s="4">
        <v>45026</v>
      </c>
      <c r="E410" t="s">
        <v>530</v>
      </c>
      <c r="F410">
        <v>32.479999999999997</v>
      </c>
      <c r="G410" t="s">
        <v>58</v>
      </c>
      <c r="H410" t="s">
        <v>531</v>
      </c>
      <c r="I410" t="s">
        <v>12</v>
      </c>
      <c r="J410" t="s">
        <v>59</v>
      </c>
      <c r="K410" s="4">
        <v>45017</v>
      </c>
      <c r="L410">
        <v>2023</v>
      </c>
      <c r="M410" s="4">
        <v>45026</v>
      </c>
      <c r="N410">
        <v>826.98</v>
      </c>
      <c r="O410">
        <v>1</v>
      </c>
    </row>
    <row r="411" spans="1:15" hidden="1" x14ac:dyDescent="0.25">
      <c r="A411" s="92">
        <v>409</v>
      </c>
      <c r="B411" s="47">
        <f>MONTH(dis_table[[#This Row],[Date]])</f>
        <v>4</v>
      </c>
      <c r="C411" s="4">
        <v>45026</v>
      </c>
      <c r="D411" s="4">
        <v>45026</v>
      </c>
      <c r="E411" t="s">
        <v>530</v>
      </c>
      <c r="F411">
        <v>34.049999999999997</v>
      </c>
      <c r="G411" t="s">
        <v>58</v>
      </c>
      <c r="H411" t="s">
        <v>531</v>
      </c>
      <c r="I411" t="s">
        <v>12</v>
      </c>
      <c r="J411" t="s">
        <v>59</v>
      </c>
      <c r="K411" s="4">
        <v>45017</v>
      </c>
      <c r="L411">
        <v>2023</v>
      </c>
      <c r="M411" s="4">
        <v>45026</v>
      </c>
      <c r="N411">
        <v>861.03</v>
      </c>
      <c r="O411">
        <v>2</v>
      </c>
    </row>
    <row r="412" spans="1:15" hidden="1" x14ac:dyDescent="0.25">
      <c r="A412" s="92">
        <v>410</v>
      </c>
      <c r="B412" s="47">
        <f>MONTH(dis_table[[#This Row],[Date]])</f>
        <v>4</v>
      </c>
      <c r="C412" s="4">
        <v>45026</v>
      </c>
      <c r="D412" s="4">
        <v>45026</v>
      </c>
      <c r="E412" t="s">
        <v>515</v>
      </c>
      <c r="F412">
        <v>3</v>
      </c>
      <c r="G412" t="s">
        <v>22</v>
      </c>
      <c r="H412" t="s">
        <v>214</v>
      </c>
      <c r="I412" t="s">
        <v>12</v>
      </c>
      <c r="J412" t="s">
        <v>24</v>
      </c>
      <c r="K412" s="4">
        <v>45017</v>
      </c>
      <c r="L412">
        <v>2023</v>
      </c>
      <c r="M412" s="4">
        <v>45026</v>
      </c>
      <c r="N412">
        <v>864.03</v>
      </c>
      <c r="O412">
        <v>10</v>
      </c>
    </row>
    <row r="413" spans="1:15" hidden="1" x14ac:dyDescent="0.25">
      <c r="A413" s="92">
        <v>411</v>
      </c>
      <c r="B413" s="47">
        <f>MONTH(dis_table[[#This Row],[Date]])</f>
        <v>4</v>
      </c>
      <c r="C413" s="4">
        <v>45026</v>
      </c>
      <c r="D413" s="4">
        <v>45026</v>
      </c>
      <c r="E413" t="s">
        <v>515</v>
      </c>
      <c r="F413">
        <v>8.7200000000000006</v>
      </c>
      <c r="G413" t="s">
        <v>22</v>
      </c>
      <c r="H413" t="s">
        <v>214</v>
      </c>
      <c r="I413" t="s">
        <v>12</v>
      </c>
      <c r="J413" t="s">
        <v>24</v>
      </c>
      <c r="K413" s="4">
        <v>45017</v>
      </c>
      <c r="L413">
        <v>2023</v>
      </c>
      <c r="M413" s="4">
        <v>45026</v>
      </c>
      <c r="N413">
        <v>872.75</v>
      </c>
      <c r="O413">
        <v>11</v>
      </c>
    </row>
    <row r="414" spans="1:15" hidden="1" x14ac:dyDescent="0.25">
      <c r="A414" s="92">
        <v>412</v>
      </c>
      <c r="B414" s="47">
        <f>MONTH(dis_table[[#This Row],[Date]])</f>
        <v>4</v>
      </c>
      <c r="C414" s="4">
        <v>45027</v>
      </c>
      <c r="D414" s="4">
        <v>45027</v>
      </c>
      <c r="E414" t="s">
        <v>125</v>
      </c>
      <c r="F414">
        <v>38.450000000000003</v>
      </c>
      <c r="G414" t="s">
        <v>34</v>
      </c>
      <c r="H414" t="s">
        <v>133</v>
      </c>
      <c r="I414" t="s">
        <v>12</v>
      </c>
      <c r="J414" t="s">
        <v>24</v>
      </c>
      <c r="K414" s="4">
        <v>45017</v>
      </c>
      <c r="L414">
        <v>2023</v>
      </c>
      <c r="M414" s="4">
        <v>45027</v>
      </c>
      <c r="N414">
        <v>911.2</v>
      </c>
      <c r="O414">
        <v>18</v>
      </c>
    </row>
    <row r="415" spans="1:15" hidden="1" x14ac:dyDescent="0.25">
      <c r="A415" s="92">
        <v>413</v>
      </c>
      <c r="B415" s="47">
        <f>MONTH(dis_table[[#This Row],[Date]])</f>
        <v>4</v>
      </c>
      <c r="C415" s="4">
        <v>45028</v>
      </c>
      <c r="D415" s="4">
        <v>45028</v>
      </c>
      <c r="E415" t="s">
        <v>533</v>
      </c>
      <c r="F415">
        <v>80.03</v>
      </c>
      <c r="G415" t="s">
        <v>16</v>
      </c>
      <c r="H415" t="s">
        <v>329</v>
      </c>
      <c r="I415" t="s">
        <v>12</v>
      </c>
      <c r="J415" t="s">
        <v>24</v>
      </c>
      <c r="K415" s="4">
        <v>45017</v>
      </c>
      <c r="L415">
        <v>2023</v>
      </c>
      <c r="M415" s="4">
        <v>45028</v>
      </c>
      <c r="N415">
        <v>991.23</v>
      </c>
      <c r="O415">
        <v>6</v>
      </c>
    </row>
    <row r="416" spans="1:15" hidden="1" x14ac:dyDescent="0.25">
      <c r="A416" s="92">
        <v>414</v>
      </c>
      <c r="B416" s="47">
        <f>MONTH(dis_table[[#This Row],[Date]])</f>
        <v>4</v>
      </c>
      <c r="C416" s="4">
        <v>45028</v>
      </c>
      <c r="D416" s="4">
        <v>45028</v>
      </c>
      <c r="E416" t="s">
        <v>532</v>
      </c>
      <c r="F416">
        <v>44.46</v>
      </c>
      <c r="G416" t="s">
        <v>16</v>
      </c>
      <c r="H416" t="s">
        <v>21</v>
      </c>
      <c r="I416" t="s">
        <v>12</v>
      </c>
      <c r="J416" t="s">
        <v>24</v>
      </c>
      <c r="K416" s="4">
        <v>45017</v>
      </c>
      <c r="L416">
        <v>2023</v>
      </c>
      <c r="M416" s="4">
        <v>45028</v>
      </c>
      <c r="N416">
        <v>1035.69</v>
      </c>
      <c r="O416">
        <v>13</v>
      </c>
    </row>
    <row r="417" spans="1:15" hidden="1" x14ac:dyDescent="0.25">
      <c r="A417" s="92">
        <v>415</v>
      </c>
      <c r="B417" s="47">
        <f>MONTH(dis_table[[#This Row],[Date]])</f>
        <v>4</v>
      </c>
      <c r="C417" s="4">
        <v>45028</v>
      </c>
      <c r="D417" s="4">
        <v>45028</v>
      </c>
      <c r="E417" t="s">
        <v>533</v>
      </c>
      <c r="F417">
        <v>34.28</v>
      </c>
      <c r="G417" t="s">
        <v>16</v>
      </c>
      <c r="H417" t="s">
        <v>329</v>
      </c>
      <c r="I417" t="s">
        <v>12</v>
      </c>
      <c r="J417" t="s">
        <v>24</v>
      </c>
      <c r="K417" s="4">
        <v>45017</v>
      </c>
      <c r="L417">
        <v>2023</v>
      </c>
      <c r="M417" s="4">
        <v>45028</v>
      </c>
      <c r="N417">
        <v>1069.97</v>
      </c>
      <c r="O417">
        <v>7</v>
      </c>
    </row>
    <row r="418" spans="1:15" hidden="1" x14ac:dyDescent="0.25">
      <c r="A418" s="92">
        <v>416</v>
      </c>
      <c r="B418" s="47">
        <f>MONTH(dis_table[[#This Row],[Date]])</f>
        <v>4</v>
      </c>
      <c r="C418" s="4">
        <v>45029</v>
      </c>
      <c r="D418" s="4">
        <v>45029</v>
      </c>
      <c r="E418" t="s">
        <v>534</v>
      </c>
      <c r="F418">
        <v>9.86</v>
      </c>
      <c r="G418" t="s">
        <v>16</v>
      </c>
      <c r="H418" t="s">
        <v>21</v>
      </c>
      <c r="I418" t="s">
        <v>12</v>
      </c>
      <c r="J418" t="s">
        <v>24</v>
      </c>
      <c r="K418" s="4">
        <v>45017</v>
      </c>
      <c r="L418">
        <v>2023</v>
      </c>
      <c r="M418" s="4">
        <v>45029</v>
      </c>
      <c r="N418">
        <v>1079.83</v>
      </c>
      <c r="O418">
        <v>14</v>
      </c>
    </row>
    <row r="419" spans="1:15" hidden="1" x14ac:dyDescent="0.25">
      <c r="A419" s="92">
        <v>417</v>
      </c>
      <c r="B419" s="47">
        <f>MONTH(dis_table[[#This Row],[Date]])</f>
        <v>4</v>
      </c>
      <c r="C419" s="4">
        <v>45029</v>
      </c>
      <c r="D419" s="4">
        <v>45029</v>
      </c>
      <c r="E419" t="s">
        <v>535</v>
      </c>
      <c r="F419">
        <v>13.21</v>
      </c>
      <c r="G419" t="s">
        <v>16</v>
      </c>
      <c r="H419" t="s">
        <v>348</v>
      </c>
      <c r="I419" t="s">
        <v>12</v>
      </c>
      <c r="J419" t="s">
        <v>53</v>
      </c>
      <c r="K419" s="4">
        <v>45017</v>
      </c>
      <c r="L419">
        <v>2023</v>
      </c>
      <c r="M419" s="4">
        <v>45029</v>
      </c>
      <c r="N419">
        <v>1093.04</v>
      </c>
      <c r="O419">
        <v>2</v>
      </c>
    </row>
    <row r="420" spans="1:15" hidden="1" x14ac:dyDescent="0.25">
      <c r="A420" s="92">
        <v>418</v>
      </c>
      <c r="B420" s="47">
        <f>MONTH(dis_table[[#This Row],[Date]])</f>
        <v>4</v>
      </c>
      <c r="C420" s="4">
        <v>45029</v>
      </c>
      <c r="D420" s="4">
        <v>45029</v>
      </c>
      <c r="E420" t="s">
        <v>536</v>
      </c>
      <c r="F420">
        <v>23.91</v>
      </c>
      <c r="G420" t="s">
        <v>86</v>
      </c>
      <c r="H420" t="s">
        <v>537</v>
      </c>
      <c r="I420" t="s">
        <v>12</v>
      </c>
      <c r="J420" t="s">
        <v>68</v>
      </c>
      <c r="K420" s="4">
        <v>45017</v>
      </c>
      <c r="L420">
        <v>2023</v>
      </c>
      <c r="M420" s="4">
        <v>45029</v>
      </c>
      <c r="N420">
        <v>1116.95</v>
      </c>
      <c r="O420">
        <v>1</v>
      </c>
    </row>
    <row r="421" spans="1:15" hidden="1" x14ac:dyDescent="0.25">
      <c r="A421" s="92">
        <v>419</v>
      </c>
      <c r="B421" s="47">
        <f>MONTH(dis_table[[#This Row],[Date]])</f>
        <v>4</v>
      </c>
      <c r="C421" s="4">
        <v>45029</v>
      </c>
      <c r="D421" s="4">
        <v>45029</v>
      </c>
      <c r="E421" t="s">
        <v>538</v>
      </c>
      <c r="F421">
        <v>56.76</v>
      </c>
      <c r="G421" t="s">
        <v>16</v>
      </c>
      <c r="H421" t="s">
        <v>539</v>
      </c>
      <c r="I421" t="s">
        <v>12</v>
      </c>
      <c r="J421" t="s">
        <v>19</v>
      </c>
      <c r="K421" s="4">
        <v>45017</v>
      </c>
      <c r="L421">
        <v>2023</v>
      </c>
      <c r="M421" s="4">
        <v>45029</v>
      </c>
      <c r="N421">
        <v>1173.71</v>
      </c>
      <c r="O421">
        <v>1</v>
      </c>
    </row>
    <row r="422" spans="1:15" hidden="1" x14ac:dyDescent="0.25">
      <c r="A422" s="92">
        <v>420</v>
      </c>
      <c r="B422" s="47">
        <f>MONTH(dis_table[[#This Row],[Date]])</f>
        <v>4</v>
      </c>
      <c r="C422" s="4">
        <v>45030</v>
      </c>
      <c r="D422" s="4">
        <v>45030</v>
      </c>
      <c r="E422" t="s">
        <v>540</v>
      </c>
      <c r="F422">
        <v>32.97</v>
      </c>
      <c r="G422" t="s">
        <v>9</v>
      </c>
      <c r="H422" t="s">
        <v>14</v>
      </c>
      <c r="I422" t="s">
        <v>12</v>
      </c>
      <c r="J422" t="s">
        <v>13</v>
      </c>
      <c r="K422" s="4">
        <v>45017</v>
      </c>
      <c r="L422">
        <v>2023</v>
      </c>
      <c r="M422" s="4">
        <v>45030</v>
      </c>
      <c r="N422">
        <v>1206.68</v>
      </c>
      <c r="O422">
        <v>52</v>
      </c>
    </row>
    <row r="423" spans="1:15" hidden="1" x14ac:dyDescent="0.25">
      <c r="A423" s="92">
        <v>421</v>
      </c>
      <c r="B423" s="47">
        <f>MONTH(dis_table[[#This Row],[Date]])</f>
        <v>4</v>
      </c>
      <c r="C423" s="4">
        <v>45030</v>
      </c>
      <c r="D423" s="4">
        <v>45030</v>
      </c>
      <c r="E423" t="s">
        <v>81</v>
      </c>
      <c r="F423">
        <v>12.76</v>
      </c>
      <c r="G423" t="s">
        <v>16</v>
      </c>
      <c r="H423" t="s">
        <v>45</v>
      </c>
      <c r="I423" t="s">
        <v>12</v>
      </c>
      <c r="J423" t="s">
        <v>19</v>
      </c>
      <c r="K423" s="4">
        <v>45017</v>
      </c>
      <c r="L423">
        <v>2023</v>
      </c>
      <c r="M423" s="4">
        <v>45030</v>
      </c>
      <c r="N423">
        <v>1219.44</v>
      </c>
      <c r="O423">
        <v>26</v>
      </c>
    </row>
    <row r="424" spans="1:15" hidden="1" x14ac:dyDescent="0.25">
      <c r="A424" s="92">
        <v>422</v>
      </c>
      <c r="B424" s="47">
        <f>MONTH(dis_table[[#This Row],[Date]])</f>
        <v>4</v>
      </c>
      <c r="C424" s="4">
        <v>45030</v>
      </c>
      <c r="D424" s="4">
        <v>45030</v>
      </c>
      <c r="E424" t="s">
        <v>541</v>
      </c>
      <c r="F424">
        <v>21.66</v>
      </c>
      <c r="G424" t="s">
        <v>22</v>
      </c>
      <c r="H424" t="s">
        <v>55</v>
      </c>
      <c r="I424" t="s">
        <v>12</v>
      </c>
      <c r="J424" t="s">
        <v>31</v>
      </c>
      <c r="K424" s="4">
        <v>45017</v>
      </c>
      <c r="L424">
        <v>2023</v>
      </c>
      <c r="M424" s="4">
        <v>45030</v>
      </c>
      <c r="N424">
        <v>1241.0999999999999</v>
      </c>
      <c r="O424">
        <v>9</v>
      </c>
    </row>
    <row r="425" spans="1:15" hidden="1" x14ac:dyDescent="0.25">
      <c r="A425" s="92">
        <v>423</v>
      </c>
      <c r="B425" s="47">
        <f>MONTH(dis_table[[#This Row],[Date]])</f>
        <v>4</v>
      </c>
      <c r="C425" s="4">
        <v>45030</v>
      </c>
      <c r="D425" s="4">
        <v>45030</v>
      </c>
      <c r="E425" t="s">
        <v>541</v>
      </c>
      <c r="F425">
        <v>21.66</v>
      </c>
      <c r="G425" t="s">
        <v>22</v>
      </c>
      <c r="H425" t="s">
        <v>55</v>
      </c>
      <c r="I425" t="s">
        <v>12</v>
      </c>
      <c r="J425" t="s">
        <v>31</v>
      </c>
      <c r="K425" s="4">
        <v>45017</v>
      </c>
      <c r="L425">
        <v>2023</v>
      </c>
      <c r="M425" s="4">
        <v>45030</v>
      </c>
      <c r="N425">
        <v>1262.76</v>
      </c>
      <c r="O425">
        <v>10</v>
      </c>
    </row>
    <row r="426" spans="1:15" hidden="1" x14ac:dyDescent="0.25">
      <c r="A426" s="92">
        <v>424</v>
      </c>
      <c r="B426" s="47">
        <f>MONTH(dis_table[[#This Row],[Date]])</f>
        <v>4</v>
      </c>
      <c r="C426" s="4">
        <v>45030</v>
      </c>
      <c r="D426" s="4">
        <v>45030</v>
      </c>
      <c r="E426" t="s">
        <v>542</v>
      </c>
      <c r="F426">
        <v>9.2200000000000006</v>
      </c>
      <c r="G426" t="s">
        <v>16</v>
      </c>
      <c r="H426" t="s">
        <v>543</v>
      </c>
      <c r="I426" t="s">
        <v>12</v>
      </c>
      <c r="J426" t="s">
        <v>53</v>
      </c>
      <c r="K426" s="4">
        <v>45017</v>
      </c>
      <c r="L426">
        <v>2023</v>
      </c>
      <c r="M426" s="4">
        <v>45030</v>
      </c>
      <c r="N426">
        <v>1271.98</v>
      </c>
      <c r="O426">
        <v>1</v>
      </c>
    </row>
    <row r="427" spans="1:15" hidden="1" x14ac:dyDescent="0.25">
      <c r="A427" s="92">
        <v>425</v>
      </c>
      <c r="B427" s="47">
        <f>MONTH(dis_table[[#This Row],[Date]])</f>
        <v>4</v>
      </c>
      <c r="C427" s="4">
        <v>45030</v>
      </c>
      <c r="D427" s="4">
        <v>45030</v>
      </c>
      <c r="E427" t="s">
        <v>360</v>
      </c>
      <c r="F427">
        <v>64.05</v>
      </c>
      <c r="G427" t="s">
        <v>34</v>
      </c>
      <c r="H427" t="s">
        <v>35</v>
      </c>
      <c r="I427" t="s">
        <v>12</v>
      </c>
      <c r="J427" t="s">
        <v>13</v>
      </c>
      <c r="K427" s="4">
        <v>45017</v>
      </c>
      <c r="L427">
        <v>2023</v>
      </c>
      <c r="M427" s="4">
        <v>45030</v>
      </c>
      <c r="N427">
        <v>1336.03</v>
      </c>
      <c r="O427">
        <v>21</v>
      </c>
    </row>
    <row r="428" spans="1:15" hidden="1" x14ac:dyDescent="0.25">
      <c r="A428" s="92">
        <v>426</v>
      </c>
      <c r="B428" s="47">
        <f>MONTH(dis_table[[#This Row],[Date]])</f>
        <v>4</v>
      </c>
      <c r="C428" s="4">
        <v>45030</v>
      </c>
      <c r="D428" s="4">
        <v>45030</v>
      </c>
      <c r="E428" t="s">
        <v>50</v>
      </c>
      <c r="F428">
        <v>80.040000000000006</v>
      </c>
      <c r="G428" t="s">
        <v>16</v>
      </c>
      <c r="H428" t="s">
        <v>51</v>
      </c>
      <c r="I428" t="s">
        <v>18</v>
      </c>
      <c r="J428" t="s">
        <v>52</v>
      </c>
      <c r="K428" s="4">
        <v>45017</v>
      </c>
      <c r="L428">
        <v>2023</v>
      </c>
      <c r="M428" s="4">
        <v>45030</v>
      </c>
      <c r="N428">
        <v>1416.07</v>
      </c>
      <c r="O428">
        <v>4</v>
      </c>
    </row>
    <row r="429" spans="1:15" hidden="1" x14ac:dyDescent="0.25">
      <c r="A429" s="92">
        <v>427</v>
      </c>
      <c r="B429" s="47">
        <f>MONTH(dis_table[[#This Row],[Date]])</f>
        <v>4</v>
      </c>
      <c r="C429" s="4">
        <v>45031</v>
      </c>
      <c r="D429" s="4">
        <v>45031</v>
      </c>
      <c r="E429" t="s">
        <v>187</v>
      </c>
      <c r="F429">
        <v>25</v>
      </c>
      <c r="G429" t="s">
        <v>22</v>
      </c>
      <c r="H429" t="s">
        <v>188</v>
      </c>
      <c r="I429" t="s">
        <v>12</v>
      </c>
      <c r="J429" t="s">
        <v>31</v>
      </c>
      <c r="K429" s="4">
        <v>45017</v>
      </c>
      <c r="L429">
        <v>2023</v>
      </c>
      <c r="M429" s="4">
        <v>45031</v>
      </c>
      <c r="N429">
        <v>1441.07</v>
      </c>
      <c r="O429">
        <v>5</v>
      </c>
    </row>
    <row r="430" spans="1:15" hidden="1" x14ac:dyDescent="0.25">
      <c r="A430" s="92">
        <v>428</v>
      </c>
      <c r="B430" s="47">
        <f>MONTH(dis_table[[#This Row],[Date]])</f>
        <v>4</v>
      </c>
      <c r="C430" s="4">
        <v>45031</v>
      </c>
      <c r="D430" s="4">
        <v>45031</v>
      </c>
      <c r="E430" t="s">
        <v>544</v>
      </c>
      <c r="F430">
        <v>126.33</v>
      </c>
      <c r="G430" t="s">
        <v>16</v>
      </c>
      <c r="H430" t="s">
        <v>353</v>
      </c>
      <c r="I430" t="s">
        <v>12</v>
      </c>
      <c r="J430" t="s">
        <v>31</v>
      </c>
      <c r="K430" s="4">
        <v>45017</v>
      </c>
      <c r="L430">
        <v>2023</v>
      </c>
      <c r="M430" s="4">
        <v>45031</v>
      </c>
      <c r="N430">
        <v>1567.4</v>
      </c>
      <c r="O430">
        <v>3</v>
      </c>
    </row>
    <row r="431" spans="1:15" hidden="1" x14ac:dyDescent="0.25">
      <c r="A431" s="92">
        <v>429</v>
      </c>
      <c r="B431" s="47">
        <f>MONTH(dis_table[[#This Row],[Date]])</f>
        <v>4</v>
      </c>
      <c r="C431" s="4">
        <v>45032</v>
      </c>
      <c r="D431" s="4">
        <v>45032</v>
      </c>
      <c r="E431" t="s">
        <v>171</v>
      </c>
      <c r="F431">
        <v>7.99</v>
      </c>
      <c r="G431" t="s">
        <v>36</v>
      </c>
      <c r="H431" t="s">
        <v>56</v>
      </c>
      <c r="I431" t="s">
        <v>18</v>
      </c>
      <c r="J431" t="s">
        <v>19</v>
      </c>
      <c r="K431" s="4">
        <v>45017</v>
      </c>
      <c r="L431">
        <v>2023</v>
      </c>
      <c r="M431" s="4">
        <v>45032</v>
      </c>
      <c r="N431">
        <v>1575.39</v>
      </c>
      <c r="O431">
        <v>4</v>
      </c>
    </row>
    <row r="432" spans="1:15" hidden="1" x14ac:dyDescent="0.25">
      <c r="A432" s="92">
        <v>430</v>
      </c>
      <c r="B432" s="47">
        <f>MONTH(dis_table[[#This Row],[Date]])</f>
        <v>4</v>
      </c>
      <c r="C432" s="4">
        <v>45033</v>
      </c>
      <c r="D432" s="4">
        <v>45033</v>
      </c>
      <c r="E432" t="s">
        <v>38</v>
      </c>
      <c r="F432">
        <v>111.63</v>
      </c>
      <c r="G432" t="s">
        <v>16</v>
      </c>
      <c r="H432" t="s">
        <v>39</v>
      </c>
      <c r="I432" t="s">
        <v>18</v>
      </c>
      <c r="J432" t="s">
        <v>40</v>
      </c>
      <c r="K432" s="4">
        <v>45017</v>
      </c>
      <c r="L432">
        <v>2023</v>
      </c>
      <c r="M432" s="4">
        <v>45033</v>
      </c>
      <c r="N432">
        <v>1687.02</v>
      </c>
      <c r="O432">
        <v>4</v>
      </c>
    </row>
    <row r="433" spans="1:15" hidden="1" x14ac:dyDescent="0.25">
      <c r="A433" s="92">
        <v>431</v>
      </c>
      <c r="B433" s="47">
        <f>MONTH(dis_table[[#This Row],[Date]])</f>
        <v>4</v>
      </c>
      <c r="C433" s="4">
        <v>45033</v>
      </c>
      <c r="D433" s="4">
        <v>45033</v>
      </c>
      <c r="E433" t="s">
        <v>515</v>
      </c>
      <c r="F433">
        <v>3.27</v>
      </c>
      <c r="G433" t="s">
        <v>22</v>
      </c>
      <c r="H433" t="s">
        <v>214</v>
      </c>
      <c r="I433" t="s">
        <v>12</v>
      </c>
      <c r="J433" t="s">
        <v>24</v>
      </c>
      <c r="K433" s="4">
        <v>45017</v>
      </c>
      <c r="L433">
        <v>2023</v>
      </c>
      <c r="M433" s="4">
        <v>45033</v>
      </c>
      <c r="N433">
        <v>1690.29</v>
      </c>
      <c r="O433">
        <v>12</v>
      </c>
    </row>
    <row r="434" spans="1:15" hidden="1" x14ac:dyDescent="0.25">
      <c r="A434" s="92">
        <v>432</v>
      </c>
      <c r="B434" s="47">
        <f>MONTH(dis_table[[#This Row],[Date]])</f>
        <v>4</v>
      </c>
      <c r="C434" s="4">
        <v>45033</v>
      </c>
      <c r="D434" s="4">
        <v>45033</v>
      </c>
      <c r="E434" t="s">
        <v>545</v>
      </c>
      <c r="F434">
        <v>19.72</v>
      </c>
      <c r="G434" t="s">
        <v>16</v>
      </c>
      <c r="H434" t="s">
        <v>133</v>
      </c>
      <c r="I434" t="s">
        <v>12</v>
      </c>
      <c r="J434" t="s">
        <v>24</v>
      </c>
      <c r="K434" s="4">
        <v>45017</v>
      </c>
      <c r="L434">
        <v>2023</v>
      </c>
      <c r="M434" s="4">
        <v>45033</v>
      </c>
      <c r="N434">
        <v>1710.01</v>
      </c>
      <c r="O434">
        <v>19</v>
      </c>
    </row>
    <row r="435" spans="1:15" hidden="1" x14ac:dyDescent="0.25">
      <c r="A435" s="92">
        <v>433</v>
      </c>
      <c r="B435" s="47">
        <f>MONTH(dis_table[[#This Row],[Date]])</f>
        <v>4</v>
      </c>
      <c r="C435" s="4">
        <v>45033</v>
      </c>
      <c r="D435" s="4">
        <v>45033</v>
      </c>
      <c r="E435" t="s">
        <v>546</v>
      </c>
      <c r="F435">
        <v>87.68</v>
      </c>
      <c r="G435" t="s">
        <v>16</v>
      </c>
      <c r="H435" t="s">
        <v>21</v>
      </c>
      <c r="I435" t="s">
        <v>12</v>
      </c>
      <c r="J435" t="s">
        <v>24</v>
      </c>
      <c r="K435" s="4">
        <v>45017</v>
      </c>
      <c r="L435">
        <v>2023</v>
      </c>
      <c r="M435" s="4">
        <v>45033</v>
      </c>
      <c r="N435">
        <v>1797.69</v>
      </c>
      <c r="O435">
        <v>15</v>
      </c>
    </row>
    <row r="436" spans="1:15" hidden="1" x14ac:dyDescent="0.25">
      <c r="A436" s="92">
        <v>434</v>
      </c>
      <c r="B436" s="47">
        <f>MONTH(dis_table[[#This Row],[Date]])</f>
        <v>4</v>
      </c>
      <c r="C436" s="4">
        <v>45033</v>
      </c>
      <c r="D436" s="4">
        <v>45033</v>
      </c>
      <c r="E436" t="s">
        <v>529</v>
      </c>
      <c r="F436">
        <v>7.41</v>
      </c>
      <c r="G436" t="s">
        <v>16</v>
      </c>
      <c r="H436" t="s">
        <v>41</v>
      </c>
      <c r="I436" t="s">
        <v>18</v>
      </c>
      <c r="J436" t="s">
        <v>19</v>
      </c>
      <c r="K436" s="4">
        <v>45017</v>
      </c>
      <c r="L436">
        <v>2023</v>
      </c>
      <c r="M436" s="4">
        <v>45033</v>
      </c>
      <c r="N436">
        <v>1805.1</v>
      </c>
      <c r="O436">
        <v>2</v>
      </c>
    </row>
    <row r="437" spans="1:15" hidden="1" x14ac:dyDescent="0.25">
      <c r="A437" s="92">
        <v>435</v>
      </c>
      <c r="B437" s="47">
        <f>MONTH(dis_table[[#This Row],[Date]])</f>
        <v>4</v>
      </c>
      <c r="C437" s="4">
        <v>45034</v>
      </c>
      <c r="D437" s="4">
        <v>45034</v>
      </c>
      <c r="E437" t="s">
        <v>547</v>
      </c>
      <c r="F437">
        <v>32.28</v>
      </c>
      <c r="G437" t="s">
        <v>16</v>
      </c>
      <c r="H437" t="s">
        <v>133</v>
      </c>
      <c r="I437" t="s">
        <v>12</v>
      </c>
      <c r="J437" t="s">
        <v>24</v>
      </c>
      <c r="K437" s="4">
        <v>45017</v>
      </c>
      <c r="L437">
        <v>2023</v>
      </c>
      <c r="M437" s="4">
        <v>45034</v>
      </c>
      <c r="N437">
        <v>1837.38</v>
      </c>
      <c r="O437">
        <v>20</v>
      </c>
    </row>
    <row r="438" spans="1:15" hidden="1" x14ac:dyDescent="0.25">
      <c r="A438" s="92">
        <v>436</v>
      </c>
      <c r="B438" s="47">
        <f>MONTH(dis_table[[#This Row],[Date]])</f>
        <v>4</v>
      </c>
      <c r="C438" s="4">
        <v>45034</v>
      </c>
      <c r="D438" s="4">
        <v>45034</v>
      </c>
      <c r="E438" t="s">
        <v>26</v>
      </c>
      <c r="F438">
        <v>-1494.12</v>
      </c>
      <c r="G438" t="s">
        <v>27</v>
      </c>
      <c r="H438" t="s">
        <v>28</v>
      </c>
      <c r="I438" t="s">
        <v>12</v>
      </c>
      <c r="J438" t="s">
        <v>122</v>
      </c>
      <c r="K438" s="4">
        <v>45017</v>
      </c>
      <c r="L438">
        <v>2023</v>
      </c>
      <c r="M438" s="4">
        <v>45034</v>
      </c>
      <c r="N438">
        <v>343.26000000000022</v>
      </c>
      <c r="O438">
        <v>11</v>
      </c>
    </row>
    <row r="439" spans="1:15" hidden="1" x14ac:dyDescent="0.25">
      <c r="A439" s="92">
        <v>437</v>
      </c>
      <c r="B439" s="47">
        <f>MONTH(dis_table[[#This Row],[Date]])</f>
        <v>4</v>
      </c>
      <c r="C439" s="4">
        <v>45034</v>
      </c>
      <c r="D439" s="4">
        <v>45034</v>
      </c>
      <c r="E439" t="s">
        <v>125</v>
      </c>
      <c r="F439">
        <v>50.28</v>
      </c>
      <c r="G439" t="s">
        <v>34</v>
      </c>
      <c r="H439" t="s">
        <v>133</v>
      </c>
      <c r="I439" t="s">
        <v>12</v>
      </c>
      <c r="J439" t="s">
        <v>24</v>
      </c>
      <c r="K439" s="4">
        <v>45017</v>
      </c>
      <c r="L439">
        <v>2023</v>
      </c>
      <c r="M439" s="4">
        <v>45034</v>
      </c>
      <c r="N439">
        <v>393.54000000000019</v>
      </c>
      <c r="O439">
        <v>21</v>
      </c>
    </row>
    <row r="440" spans="1:15" hidden="1" x14ac:dyDescent="0.25">
      <c r="A440" s="92">
        <v>438</v>
      </c>
      <c r="B440" s="47">
        <f>MONTH(dis_table[[#This Row],[Date]])</f>
        <v>4</v>
      </c>
      <c r="C440" s="4">
        <v>45035</v>
      </c>
      <c r="D440" s="4">
        <v>45035</v>
      </c>
      <c r="E440" t="s">
        <v>548</v>
      </c>
      <c r="F440">
        <v>54.8</v>
      </c>
      <c r="G440" t="s">
        <v>16</v>
      </c>
      <c r="H440" t="s">
        <v>21</v>
      </c>
      <c r="I440" t="s">
        <v>12</v>
      </c>
      <c r="J440" t="s">
        <v>24</v>
      </c>
      <c r="K440" s="4">
        <v>45017</v>
      </c>
      <c r="L440">
        <v>2023</v>
      </c>
      <c r="M440" s="4">
        <v>45035</v>
      </c>
      <c r="N440">
        <v>448.3400000000002</v>
      </c>
      <c r="O440">
        <v>16</v>
      </c>
    </row>
    <row r="441" spans="1:15" hidden="1" x14ac:dyDescent="0.25">
      <c r="A441" s="92">
        <v>439</v>
      </c>
      <c r="B441" s="47">
        <f>MONTH(dis_table[[#This Row],[Date]])</f>
        <v>4</v>
      </c>
      <c r="C441" s="4">
        <v>45035</v>
      </c>
      <c r="D441" s="4">
        <v>45035</v>
      </c>
      <c r="E441" t="s">
        <v>549</v>
      </c>
      <c r="F441">
        <v>32.880000000000003</v>
      </c>
      <c r="G441" t="s">
        <v>16</v>
      </c>
      <c r="H441" t="s">
        <v>21</v>
      </c>
      <c r="I441" t="s">
        <v>12</v>
      </c>
      <c r="J441" t="s">
        <v>24</v>
      </c>
      <c r="K441" s="4">
        <v>45017</v>
      </c>
      <c r="L441">
        <v>2023</v>
      </c>
      <c r="M441" s="4">
        <v>45035</v>
      </c>
      <c r="N441">
        <v>481.2200000000002</v>
      </c>
      <c r="O441">
        <v>17</v>
      </c>
    </row>
    <row r="442" spans="1:15" hidden="1" x14ac:dyDescent="0.25">
      <c r="A442" s="92">
        <v>440</v>
      </c>
      <c r="B442" s="47">
        <f>MONTH(dis_table[[#This Row],[Date]])</f>
        <v>4</v>
      </c>
      <c r="C442" s="4">
        <v>45035</v>
      </c>
      <c r="D442" s="4">
        <v>45035</v>
      </c>
      <c r="E442" t="s">
        <v>550</v>
      </c>
      <c r="F442">
        <v>15.31</v>
      </c>
      <c r="G442" t="s">
        <v>22</v>
      </c>
      <c r="H442" t="s">
        <v>214</v>
      </c>
      <c r="I442" t="s">
        <v>12</v>
      </c>
      <c r="J442" t="s">
        <v>24</v>
      </c>
      <c r="K442" s="4">
        <v>45017</v>
      </c>
      <c r="L442">
        <v>2023</v>
      </c>
      <c r="M442" s="4">
        <v>45035</v>
      </c>
      <c r="N442">
        <v>496.5300000000002</v>
      </c>
      <c r="O442">
        <v>13</v>
      </c>
    </row>
    <row r="443" spans="1:15" hidden="1" x14ac:dyDescent="0.25">
      <c r="A443" s="92">
        <v>441</v>
      </c>
      <c r="B443" s="47">
        <f>MONTH(dis_table[[#This Row],[Date]])</f>
        <v>4</v>
      </c>
      <c r="C443" s="4">
        <v>45035</v>
      </c>
      <c r="D443" s="4">
        <v>45035</v>
      </c>
      <c r="E443" t="s">
        <v>551</v>
      </c>
      <c r="F443">
        <v>51.27</v>
      </c>
      <c r="G443" t="s">
        <v>29</v>
      </c>
      <c r="H443" t="s">
        <v>30</v>
      </c>
      <c r="I443" t="s">
        <v>12</v>
      </c>
      <c r="J443" t="s">
        <v>31</v>
      </c>
      <c r="K443" s="4">
        <v>45017</v>
      </c>
      <c r="L443">
        <v>2023</v>
      </c>
      <c r="M443" s="4">
        <v>45035</v>
      </c>
      <c r="N443">
        <v>547.80000000000018</v>
      </c>
      <c r="O443">
        <v>8</v>
      </c>
    </row>
    <row r="444" spans="1:15" hidden="1" x14ac:dyDescent="0.25">
      <c r="A444" s="92">
        <v>442</v>
      </c>
      <c r="B444" s="47">
        <f>MONTH(dis_table[[#This Row],[Date]])</f>
        <v>4</v>
      </c>
      <c r="C444" s="4">
        <v>45035</v>
      </c>
      <c r="D444" s="4">
        <v>45035</v>
      </c>
      <c r="E444" t="s">
        <v>552</v>
      </c>
      <c r="F444">
        <v>10.36</v>
      </c>
      <c r="G444" t="s">
        <v>9</v>
      </c>
      <c r="H444" t="s">
        <v>10</v>
      </c>
      <c r="I444" t="s">
        <v>12</v>
      </c>
      <c r="J444" t="s">
        <v>13</v>
      </c>
      <c r="K444" s="4">
        <v>45017</v>
      </c>
      <c r="L444">
        <v>2023</v>
      </c>
      <c r="M444" s="4">
        <v>45035</v>
      </c>
      <c r="N444">
        <v>558.1600000000002</v>
      </c>
      <c r="O444">
        <v>25</v>
      </c>
    </row>
    <row r="445" spans="1:15" hidden="1" x14ac:dyDescent="0.25">
      <c r="A445" s="92">
        <v>443</v>
      </c>
      <c r="B445" s="47">
        <f>MONTH(dis_table[[#This Row],[Date]])</f>
        <v>4</v>
      </c>
      <c r="C445" s="4">
        <v>45036</v>
      </c>
      <c r="D445" s="4">
        <v>45036</v>
      </c>
      <c r="E445" t="s">
        <v>553</v>
      </c>
      <c r="F445">
        <v>47.06</v>
      </c>
      <c r="G445" t="s">
        <v>16</v>
      </c>
      <c r="H445" t="s">
        <v>21</v>
      </c>
      <c r="I445" t="s">
        <v>12</v>
      </c>
      <c r="J445" t="s">
        <v>24</v>
      </c>
      <c r="K445" s="4">
        <v>45017</v>
      </c>
      <c r="L445">
        <v>2023</v>
      </c>
      <c r="M445" s="4">
        <v>45036</v>
      </c>
      <c r="N445">
        <v>605.22000000000025</v>
      </c>
      <c r="O445">
        <v>18</v>
      </c>
    </row>
    <row r="446" spans="1:15" hidden="1" x14ac:dyDescent="0.25">
      <c r="A446" s="92">
        <v>444</v>
      </c>
      <c r="B446" s="47">
        <f>MONTH(dis_table[[#This Row],[Date]])</f>
        <v>4</v>
      </c>
      <c r="C446" s="4">
        <v>45036</v>
      </c>
      <c r="D446" s="4">
        <v>45036</v>
      </c>
      <c r="E446" t="s">
        <v>554</v>
      </c>
      <c r="F446">
        <v>10.58</v>
      </c>
      <c r="G446" t="s">
        <v>9</v>
      </c>
      <c r="H446" t="s">
        <v>10</v>
      </c>
      <c r="I446" t="s">
        <v>12</v>
      </c>
      <c r="J446" t="s">
        <v>13</v>
      </c>
      <c r="K446" s="4">
        <v>45017</v>
      </c>
      <c r="L446">
        <v>2023</v>
      </c>
      <c r="M446" s="4">
        <v>45036</v>
      </c>
      <c r="N446">
        <v>615.8000000000003</v>
      </c>
      <c r="O446">
        <v>26</v>
      </c>
    </row>
    <row r="447" spans="1:15" hidden="1" x14ac:dyDescent="0.25">
      <c r="A447" s="92">
        <v>445</v>
      </c>
      <c r="B447" s="47">
        <f>MONTH(dis_table[[#This Row],[Date]])</f>
        <v>4</v>
      </c>
      <c r="C447" s="4">
        <v>45036</v>
      </c>
      <c r="D447" s="4">
        <v>45036</v>
      </c>
      <c r="E447" t="s">
        <v>126</v>
      </c>
      <c r="F447">
        <v>58.65</v>
      </c>
      <c r="G447" t="s">
        <v>34</v>
      </c>
      <c r="H447" t="s">
        <v>35</v>
      </c>
      <c r="I447" t="s">
        <v>12</v>
      </c>
      <c r="J447" t="s">
        <v>13</v>
      </c>
      <c r="K447" s="4">
        <v>45017</v>
      </c>
      <c r="L447">
        <v>2023</v>
      </c>
      <c r="M447" s="4">
        <v>45036</v>
      </c>
      <c r="N447">
        <v>674.45000000000027</v>
      </c>
      <c r="O447">
        <v>22</v>
      </c>
    </row>
    <row r="448" spans="1:15" hidden="1" x14ac:dyDescent="0.25">
      <c r="A448" s="92">
        <v>446</v>
      </c>
      <c r="B448" s="47">
        <f>MONTH(dis_table[[#This Row],[Date]])</f>
        <v>4</v>
      </c>
      <c r="C448" s="4">
        <v>45036</v>
      </c>
      <c r="D448" s="4">
        <v>45037</v>
      </c>
      <c r="E448" t="s">
        <v>555</v>
      </c>
      <c r="F448">
        <v>-44.46</v>
      </c>
      <c r="G448" t="s">
        <v>27</v>
      </c>
      <c r="H448" t="s">
        <v>21</v>
      </c>
      <c r="I448" t="s">
        <v>12</v>
      </c>
      <c r="J448" t="s">
        <v>24</v>
      </c>
      <c r="K448" s="4">
        <v>45017</v>
      </c>
      <c r="L448">
        <v>2023</v>
      </c>
      <c r="M448" s="4">
        <v>45036</v>
      </c>
      <c r="N448">
        <v>629.99000000000024</v>
      </c>
      <c r="O448">
        <v>19</v>
      </c>
    </row>
    <row r="449" spans="1:15" hidden="1" x14ac:dyDescent="0.25">
      <c r="A449" s="92">
        <v>447</v>
      </c>
      <c r="B449" s="47">
        <f>MONTH(dis_table[[#This Row],[Date]])</f>
        <v>4</v>
      </c>
      <c r="C449" s="4">
        <v>45037</v>
      </c>
      <c r="D449" s="4">
        <v>45037</v>
      </c>
      <c r="E449" t="s">
        <v>360</v>
      </c>
      <c r="F449">
        <v>90.75</v>
      </c>
      <c r="G449" t="s">
        <v>34</v>
      </c>
      <c r="H449" t="s">
        <v>35</v>
      </c>
      <c r="I449" t="s">
        <v>12</v>
      </c>
      <c r="J449" t="s">
        <v>13</v>
      </c>
      <c r="K449" s="4">
        <v>45017</v>
      </c>
      <c r="L449">
        <v>2023</v>
      </c>
      <c r="M449" s="4">
        <v>45037</v>
      </c>
      <c r="N449">
        <v>720.74000000000024</v>
      </c>
      <c r="O449">
        <v>23</v>
      </c>
    </row>
    <row r="450" spans="1:15" hidden="1" x14ac:dyDescent="0.25">
      <c r="A450" s="92">
        <v>448</v>
      </c>
      <c r="B450" s="47">
        <f>MONTH(dis_table[[#This Row],[Date]])</f>
        <v>4</v>
      </c>
      <c r="C450" s="4">
        <v>45037</v>
      </c>
      <c r="D450" s="4">
        <v>45037</v>
      </c>
      <c r="E450" t="s">
        <v>126</v>
      </c>
      <c r="F450">
        <v>10.94</v>
      </c>
      <c r="G450" t="s">
        <v>34</v>
      </c>
      <c r="H450" t="s">
        <v>35</v>
      </c>
      <c r="I450" t="s">
        <v>12</v>
      </c>
      <c r="J450" t="s">
        <v>13</v>
      </c>
      <c r="K450" s="4">
        <v>45017</v>
      </c>
      <c r="L450">
        <v>2023</v>
      </c>
      <c r="M450" s="4">
        <v>45037</v>
      </c>
      <c r="N450">
        <v>731.68000000000029</v>
      </c>
      <c r="O450">
        <v>24</v>
      </c>
    </row>
    <row r="451" spans="1:15" hidden="1" x14ac:dyDescent="0.25">
      <c r="A451" s="92">
        <v>449</v>
      </c>
      <c r="B451" s="47">
        <f>MONTH(dis_table[[#This Row],[Date]])</f>
        <v>4</v>
      </c>
      <c r="C451" s="4">
        <v>45037</v>
      </c>
      <c r="D451" s="4">
        <v>45037</v>
      </c>
      <c r="E451" t="s">
        <v>85</v>
      </c>
      <c r="F451">
        <v>38.020000000000003</v>
      </c>
      <c r="G451" t="s">
        <v>34</v>
      </c>
      <c r="H451" t="s">
        <v>35</v>
      </c>
      <c r="I451" t="s">
        <v>12</v>
      </c>
      <c r="J451" t="s">
        <v>13</v>
      </c>
      <c r="K451" s="4">
        <v>45017</v>
      </c>
      <c r="L451">
        <v>2023</v>
      </c>
      <c r="M451" s="4">
        <v>45037</v>
      </c>
      <c r="N451">
        <v>769.70000000000027</v>
      </c>
      <c r="O451">
        <v>25</v>
      </c>
    </row>
    <row r="452" spans="1:15" hidden="1" x14ac:dyDescent="0.25">
      <c r="A452" s="92">
        <v>450</v>
      </c>
      <c r="B452" s="47">
        <f>MONTH(dis_table[[#This Row],[Date]])</f>
        <v>4</v>
      </c>
      <c r="C452" s="4">
        <v>45038</v>
      </c>
      <c r="D452" s="4">
        <v>45038</v>
      </c>
      <c r="E452" t="s">
        <v>556</v>
      </c>
      <c r="F452">
        <v>76.73</v>
      </c>
      <c r="G452" t="s">
        <v>16</v>
      </c>
      <c r="H452" t="s">
        <v>21</v>
      </c>
      <c r="I452" t="s">
        <v>12</v>
      </c>
      <c r="J452" t="s">
        <v>24</v>
      </c>
      <c r="K452" s="4">
        <v>45017</v>
      </c>
      <c r="L452">
        <v>2023</v>
      </c>
      <c r="M452" s="4">
        <v>45038</v>
      </c>
      <c r="N452">
        <v>846.43000000000029</v>
      </c>
      <c r="O452">
        <v>20</v>
      </c>
    </row>
    <row r="453" spans="1:15" hidden="1" x14ac:dyDescent="0.25">
      <c r="A453" s="92">
        <v>451</v>
      </c>
      <c r="B453" s="47">
        <f>MONTH(dis_table[[#This Row],[Date]])</f>
        <v>4</v>
      </c>
      <c r="C453" s="4">
        <v>45038</v>
      </c>
      <c r="D453" s="4">
        <v>45038</v>
      </c>
      <c r="E453" t="s">
        <v>557</v>
      </c>
      <c r="F453">
        <v>49.15</v>
      </c>
      <c r="G453" t="s">
        <v>16</v>
      </c>
      <c r="H453" t="s">
        <v>21</v>
      </c>
      <c r="I453" t="s">
        <v>12</v>
      </c>
      <c r="J453" t="s">
        <v>24</v>
      </c>
      <c r="K453" s="4">
        <v>45017</v>
      </c>
      <c r="L453">
        <v>2023</v>
      </c>
      <c r="M453" s="4">
        <v>45038</v>
      </c>
      <c r="N453">
        <v>895.58000000000027</v>
      </c>
      <c r="O453">
        <v>21</v>
      </c>
    </row>
    <row r="454" spans="1:15" hidden="1" x14ac:dyDescent="0.25">
      <c r="A454" s="92">
        <v>452</v>
      </c>
      <c r="B454" s="47">
        <f>MONTH(dis_table[[#This Row],[Date]])</f>
        <v>4</v>
      </c>
      <c r="C454" s="4">
        <v>45038</v>
      </c>
      <c r="D454" s="4">
        <v>45038</v>
      </c>
      <c r="E454" t="s">
        <v>558</v>
      </c>
      <c r="F454">
        <v>12.95</v>
      </c>
      <c r="G454" t="s">
        <v>16</v>
      </c>
      <c r="H454" t="s">
        <v>539</v>
      </c>
      <c r="I454" t="s">
        <v>12</v>
      </c>
      <c r="J454" t="s">
        <v>19</v>
      </c>
      <c r="K454" s="4">
        <v>45017</v>
      </c>
      <c r="L454">
        <v>2023</v>
      </c>
      <c r="M454" s="4">
        <v>45038</v>
      </c>
      <c r="N454">
        <v>908.53000000000031</v>
      </c>
      <c r="O454">
        <v>2</v>
      </c>
    </row>
    <row r="455" spans="1:15" hidden="1" x14ac:dyDescent="0.25">
      <c r="A455" s="92">
        <v>453</v>
      </c>
      <c r="B455" s="47">
        <f>MONTH(dis_table[[#This Row],[Date]])</f>
        <v>4</v>
      </c>
      <c r="C455" s="4">
        <v>45038</v>
      </c>
      <c r="D455" s="4">
        <v>45038</v>
      </c>
      <c r="E455" t="s">
        <v>558</v>
      </c>
      <c r="F455">
        <v>14.95</v>
      </c>
      <c r="G455" t="s">
        <v>16</v>
      </c>
      <c r="H455" t="s">
        <v>539</v>
      </c>
      <c r="I455" t="s">
        <v>12</v>
      </c>
      <c r="J455" t="s">
        <v>19</v>
      </c>
      <c r="K455" s="4">
        <v>45017</v>
      </c>
      <c r="L455">
        <v>2023</v>
      </c>
      <c r="M455" s="4">
        <v>45038</v>
      </c>
      <c r="N455">
        <v>923.48000000000036</v>
      </c>
      <c r="O455">
        <v>3</v>
      </c>
    </row>
    <row r="456" spans="1:15" hidden="1" x14ac:dyDescent="0.25">
      <c r="A456" s="92">
        <v>454</v>
      </c>
      <c r="B456" s="47">
        <f>MONTH(dis_table[[#This Row],[Date]])</f>
        <v>4</v>
      </c>
      <c r="C456" s="4">
        <v>45039</v>
      </c>
      <c r="D456" s="4">
        <v>45039</v>
      </c>
      <c r="E456" t="s">
        <v>559</v>
      </c>
      <c r="F456">
        <v>26.23</v>
      </c>
      <c r="G456" t="s">
        <v>9</v>
      </c>
      <c r="H456" t="s">
        <v>14</v>
      </c>
      <c r="I456" t="s">
        <v>12</v>
      </c>
      <c r="J456" t="s">
        <v>13</v>
      </c>
      <c r="K456" s="4">
        <v>45017</v>
      </c>
      <c r="L456">
        <v>2023</v>
      </c>
      <c r="M456" s="4">
        <v>45039</v>
      </c>
      <c r="N456">
        <v>949.71000000000038</v>
      </c>
      <c r="O456">
        <v>53</v>
      </c>
    </row>
    <row r="457" spans="1:15" hidden="1" x14ac:dyDescent="0.25">
      <c r="A457" s="92">
        <v>455</v>
      </c>
      <c r="B457" s="47">
        <f>MONTH(dis_table[[#This Row],[Date]])</f>
        <v>4</v>
      </c>
      <c r="C457" s="4">
        <v>45039</v>
      </c>
      <c r="D457" s="4">
        <v>45039</v>
      </c>
      <c r="E457" t="s">
        <v>560</v>
      </c>
      <c r="F457">
        <v>11.36</v>
      </c>
      <c r="G457" t="s">
        <v>9</v>
      </c>
      <c r="H457" t="s">
        <v>33</v>
      </c>
      <c r="I457" t="s">
        <v>18</v>
      </c>
      <c r="J457" t="s">
        <v>19</v>
      </c>
      <c r="K457" s="4">
        <v>45017</v>
      </c>
      <c r="L457">
        <v>2023</v>
      </c>
      <c r="M457" s="4">
        <v>45039</v>
      </c>
      <c r="N457">
        <v>961.07000000000039</v>
      </c>
      <c r="O457">
        <v>5</v>
      </c>
    </row>
    <row r="458" spans="1:15" hidden="1" x14ac:dyDescent="0.25">
      <c r="A458" s="92">
        <v>456</v>
      </c>
      <c r="B458" s="47">
        <f>MONTH(dis_table[[#This Row],[Date]])</f>
        <v>4</v>
      </c>
      <c r="C458" s="4">
        <v>45039</v>
      </c>
      <c r="D458" s="4">
        <v>45039</v>
      </c>
      <c r="E458" t="s">
        <v>561</v>
      </c>
      <c r="F458">
        <v>8.52</v>
      </c>
      <c r="G458" t="s">
        <v>9</v>
      </c>
      <c r="H458" t="s">
        <v>14</v>
      </c>
      <c r="I458" t="s">
        <v>12</v>
      </c>
      <c r="J458" t="s">
        <v>13</v>
      </c>
      <c r="K458" s="4">
        <v>45017</v>
      </c>
      <c r="L458">
        <v>2023</v>
      </c>
      <c r="M458" s="4">
        <v>45039</v>
      </c>
      <c r="N458">
        <v>969.59000000000037</v>
      </c>
      <c r="O458">
        <v>54</v>
      </c>
    </row>
    <row r="459" spans="1:15" hidden="1" x14ac:dyDescent="0.25">
      <c r="A459" s="92">
        <v>457</v>
      </c>
      <c r="B459" s="47">
        <f>MONTH(dis_table[[#This Row],[Date]])</f>
        <v>4</v>
      </c>
      <c r="C459" s="4">
        <v>45041</v>
      </c>
      <c r="D459" s="4">
        <v>45041</v>
      </c>
      <c r="E459" t="s">
        <v>567</v>
      </c>
      <c r="F459">
        <v>49.83</v>
      </c>
      <c r="G459" t="s">
        <v>9</v>
      </c>
      <c r="H459" t="s">
        <v>14</v>
      </c>
      <c r="I459" t="s">
        <v>12</v>
      </c>
      <c r="J459" t="s">
        <v>13</v>
      </c>
      <c r="K459" s="4">
        <v>45017</v>
      </c>
      <c r="L459">
        <v>2023</v>
      </c>
      <c r="M459" s="4">
        <v>45041</v>
      </c>
      <c r="N459">
        <v>1019.42</v>
      </c>
      <c r="O459">
        <v>55</v>
      </c>
    </row>
    <row r="460" spans="1:15" hidden="1" x14ac:dyDescent="0.25">
      <c r="A460" s="92">
        <v>458</v>
      </c>
      <c r="B460" s="47">
        <f>MONTH(dis_table[[#This Row],[Date]])</f>
        <v>4</v>
      </c>
      <c r="C460" s="4">
        <v>45041</v>
      </c>
      <c r="D460" s="4">
        <v>45041</v>
      </c>
      <c r="E460" t="s">
        <v>562</v>
      </c>
      <c r="F460">
        <v>63.9</v>
      </c>
      <c r="G460" t="s">
        <v>22</v>
      </c>
      <c r="H460" t="s">
        <v>55</v>
      </c>
      <c r="I460" t="s">
        <v>12</v>
      </c>
      <c r="J460" t="s">
        <v>31</v>
      </c>
      <c r="K460" s="4">
        <v>45017</v>
      </c>
      <c r="L460">
        <v>2023</v>
      </c>
      <c r="M460" s="4">
        <v>45041</v>
      </c>
      <c r="N460">
        <v>1083.32</v>
      </c>
      <c r="O460">
        <v>11</v>
      </c>
    </row>
    <row r="461" spans="1:15" hidden="1" x14ac:dyDescent="0.25">
      <c r="A461" s="92">
        <v>459</v>
      </c>
      <c r="B461" s="47">
        <f>MONTH(dis_table[[#This Row],[Date]])</f>
        <v>4</v>
      </c>
      <c r="C461" s="4">
        <v>45041</v>
      </c>
      <c r="D461" s="4">
        <v>45041</v>
      </c>
      <c r="E461" t="s">
        <v>563</v>
      </c>
      <c r="F461">
        <v>35.93</v>
      </c>
      <c r="G461" t="s">
        <v>16</v>
      </c>
      <c r="H461" t="s">
        <v>21</v>
      </c>
      <c r="I461" t="s">
        <v>12</v>
      </c>
      <c r="J461" t="s">
        <v>24</v>
      </c>
      <c r="K461" s="4">
        <v>45017</v>
      </c>
      <c r="L461">
        <v>2023</v>
      </c>
      <c r="M461" s="4">
        <v>45041</v>
      </c>
      <c r="N461">
        <v>1119.25</v>
      </c>
      <c r="O461">
        <v>22</v>
      </c>
    </row>
    <row r="462" spans="1:15" hidden="1" x14ac:dyDescent="0.25">
      <c r="A462" s="92">
        <v>460</v>
      </c>
      <c r="B462" s="47">
        <f>MONTH(dis_table[[#This Row],[Date]])</f>
        <v>4</v>
      </c>
      <c r="C462" s="4">
        <v>45041</v>
      </c>
      <c r="D462" s="4">
        <v>45041</v>
      </c>
      <c r="E462" t="s">
        <v>564</v>
      </c>
      <c r="F462">
        <v>40.31</v>
      </c>
      <c r="G462" t="s">
        <v>16</v>
      </c>
      <c r="H462" t="s">
        <v>21</v>
      </c>
      <c r="I462" t="s">
        <v>12</v>
      </c>
      <c r="J462" t="s">
        <v>24</v>
      </c>
      <c r="K462" s="4">
        <v>45017</v>
      </c>
      <c r="L462">
        <v>2023</v>
      </c>
      <c r="M462" s="4">
        <v>45041</v>
      </c>
      <c r="N462">
        <v>1159.56</v>
      </c>
      <c r="O462">
        <v>23</v>
      </c>
    </row>
    <row r="463" spans="1:15" hidden="1" x14ac:dyDescent="0.25">
      <c r="A463" s="92">
        <v>461</v>
      </c>
      <c r="B463" s="47">
        <f>MONTH(dis_table[[#This Row],[Date]])</f>
        <v>4</v>
      </c>
      <c r="C463" s="4">
        <v>45041</v>
      </c>
      <c r="D463" s="4">
        <v>45041</v>
      </c>
      <c r="E463" t="s">
        <v>565</v>
      </c>
      <c r="F463">
        <v>48.88</v>
      </c>
      <c r="G463" t="s">
        <v>29</v>
      </c>
      <c r="H463" t="s">
        <v>55</v>
      </c>
      <c r="I463" t="s">
        <v>12</v>
      </c>
      <c r="J463" t="s">
        <v>31</v>
      </c>
      <c r="K463" s="4">
        <v>45017</v>
      </c>
      <c r="L463">
        <v>2023</v>
      </c>
      <c r="M463" s="4">
        <v>45041</v>
      </c>
      <c r="N463">
        <v>1208.440000000001</v>
      </c>
      <c r="O463">
        <v>12</v>
      </c>
    </row>
    <row r="464" spans="1:15" hidden="1" x14ac:dyDescent="0.25">
      <c r="A464" s="92">
        <v>462</v>
      </c>
      <c r="B464" s="47">
        <f>MONTH(dis_table[[#This Row],[Date]])</f>
        <v>4</v>
      </c>
      <c r="C464" s="4">
        <v>45041</v>
      </c>
      <c r="D464" s="4">
        <v>45041</v>
      </c>
      <c r="E464" t="s">
        <v>566</v>
      </c>
      <c r="F464">
        <v>53.9</v>
      </c>
      <c r="G464" t="s">
        <v>22</v>
      </c>
      <c r="H464" t="s">
        <v>55</v>
      </c>
      <c r="I464" t="s">
        <v>12</v>
      </c>
      <c r="J464" t="s">
        <v>31</v>
      </c>
      <c r="K464" s="4">
        <v>45017</v>
      </c>
      <c r="L464">
        <v>2023</v>
      </c>
      <c r="M464" s="4">
        <v>45041</v>
      </c>
      <c r="N464">
        <v>1262.3400000000011</v>
      </c>
      <c r="O464">
        <v>13</v>
      </c>
    </row>
    <row r="465" spans="1:15" hidden="1" x14ac:dyDescent="0.25">
      <c r="A465" s="92">
        <v>463</v>
      </c>
      <c r="B465" s="47">
        <f>MONTH(dis_table[[#This Row],[Date]])</f>
        <v>4</v>
      </c>
      <c r="C465" s="4">
        <v>45041</v>
      </c>
      <c r="D465" s="4">
        <v>45041</v>
      </c>
      <c r="E465" t="s">
        <v>360</v>
      </c>
      <c r="F465">
        <v>76.400000000000006</v>
      </c>
      <c r="G465" t="s">
        <v>34</v>
      </c>
      <c r="H465" t="s">
        <v>35</v>
      </c>
      <c r="I465" t="s">
        <v>12</v>
      </c>
      <c r="J465" t="s">
        <v>13</v>
      </c>
      <c r="K465" s="4">
        <v>45017</v>
      </c>
      <c r="L465">
        <v>2023</v>
      </c>
      <c r="M465" s="4">
        <v>45041</v>
      </c>
      <c r="N465">
        <v>1338.7400000000009</v>
      </c>
      <c r="O465">
        <v>26</v>
      </c>
    </row>
    <row r="466" spans="1:15" hidden="1" x14ac:dyDescent="0.25">
      <c r="A466" s="92">
        <v>464</v>
      </c>
      <c r="B466" s="47">
        <f>MONTH(dis_table[[#This Row],[Date]])</f>
        <v>4</v>
      </c>
      <c r="C466" s="4">
        <v>45042</v>
      </c>
      <c r="D466" s="4">
        <v>45042</v>
      </c>
      <c r="E466" t="s">
        <v>81</v>
      </c>
      <c r="F466">
        <v>13.81</v>
      </c>
      <c r="G466" t="s">
        <v>16</v>
      </c>
      <c r="H466" t="s">
        <v>45</v>
      </c>
      <c r="I466" t="s">
        <v>12</v>
      </c>
      <c r="J466" t="s">
        <v>19</v>
      </c>
      <c r="K466" s="4">
        <v>45017</v>
      </c>
      <c r="L466">
        <v>2023</v>
      </c>
      <c r="M466" s="4">
        <v>45042</v>
      </c>
      <c r="N466">
        <v>1352.5500000000011</v>
      </c>
      <c r="O466">
        <v>27</v>
      </c>
    </row>
    <row r="467" spans="1:15" hidden="1" x14ac:dyDescent="0.25">
      <c r="A467" s="92">
        <v>465</v>
      </c>
      <c r="B467" s="47">
        <f>MONTH(dis_table[[#This Row],[Date]])</f>
        <v>4</v>
      </c>
      <c r="C467" s="4">
        <v>45042</v>
      </c>
      <c r="D467" s="4">
        <v>45042</v>
      </c>
      <c r="E467" t="s">
        <v>324</v>
      </c>
      <c r="F467">
        <v>22</v>
      </c>
      <c r="G467" t="s">
        <v>22</v>
      </c>
      <c r="H467" t="s">
        <v>214</v>
      </c>
      <c r="I467" t="s">
        <v>12</v>
      </c>
      <c r="J467" t="s">
        <v>24</v>
      </c>
      <c r="K467" s="4">
        <v>45017</v>
      </c>
      <c r="L467">
        <v>2023</v>
      </c>
      <c r="M467" s="4">
        <v>45042</v>
      </c>
      <c r="N467">
        <v>1374.5500000000011</v>
      </c>
      <c r="O467">
        <v>14</v>
      </c>
    </row>
    <row r="468" spans="1:15" hidden="1" x14ac:dyDescent="0.25">
      <c r="A468" s="92">
        <v>466</v>
      </c>
      <c r="B468" s="47">
        <f>MONTH(dis_table[[#This Row],[Date]])</f>
        <v>4</v>
      </c>
      <c r="C468" s="4">
        <v>45042</v>
      </c>
      <c r="D468" s="4">
        <v>45042</v>
      </c>
      <c r="E468" t="s">
        <v>568</v>
      </c>
      <c r="F468">
        <v>119.49</v>
      </c>
      <c r="G468" t="s">
        <v>16</v>
      </c>
      <c r="H468" t="s">
        <v>21</v>
      </c>
      <c r="I468" t="s">
        <v>12</v>
      </c>
      <c r="J468" t="s">
        <v>24</v>
      </c>
      <c r="K468" s="4">
        <v>45017</v>
      </c>
      <c r="L468">
        <v>2023</v>
      </c>
      <c r="M468" s="4">
        <v>45042</v>
      </c>
      <c r="N468">
        <v>1494.0400000000011</v>
      </c>
      <c r="O468">
        <v>24</v>
      </c>
    </row>
    <row r="469" spans="1:15" hidden="1" x14ac:dyDescent="0.25">
      <c r="A469" s="92">
        <v>467</v>
      </c>
      <c r="B469" s="47">
        <f>MONTH(dis_table[[#This Row],[Date]])</f>
        <v>4</v>
      </c>
      <c r="C469" s="4">
        <v>45042</v>
      </c>
      <c r="D469" s="4">
        <v>45042</v>
      </c>
      <c r="E469" t="s">
        <v>81</v>
      </c>
      <c r="F469">
        <v>7.43</v>
      </c>
      <c r="G469" t="s">
        <v>16</v>
      </c>
      <c r="H469" t="s">
        <v>45</v>
      </c>
      <c r="I469" t="s">
        <v>12</v>
      </c>
      <c r="J469" t="s">
        <v>19</v>
      </c>
      <c r="K469" s="4">
        <v>45017</v>
      </c>
      <c r="L469">
        <v>2023</v>
      </c>
      <c r="M469" s="4">
        <v>45042</v>
      </c>
      <c r="N469">
        <v>1501.4700000000009</v>
      </c>
      <c r="O469">
        <v>28</v>
      </c>
    </row>
    <row r="470" spans="1:15" hidden="1" x14ac:dyDescent="0.25">
      <c r="A470" s="92">
        <v>468</v>
      </c>
      <c r="B470" s="47">
        <f>MONTH(dis_table[[#This Row],[Date]])</f>
        <v>4</v>
      </c>
      <c r="C470" s="4">
        <v>45043</v>
      </c>
      <c r="D470" s="4">
        <v>45043</v>
      </c>
      <c r="E470" t="s">
        <v>569</v>
      </c>
      <c r="F470">
        <v>51.52</v>
      </c>
      <c r="G470" t="s">
        <v>16</v>
      </c>
      <c r="H470" t="s">
        <v>28</v>
      </c>
      <c r="I470" t="s">
        <v>12</v>
      </c>
      <c r="J470" t="s">
        <v>122</v>
      </c>
      <c r="K470" s="4">
        <v>45017</v>
      </c>
      <c r="L470">
        <v>2023</v>
      </c>
      <c r="M470" s="4">
        <v>45043</v>
      </c>
      <c r="N470">
        <v>1552.9900000000009</v>
      </c>
      <c r="O470">
        <v>12</v>
      </c>
    </row>
    <row r="471" spans="1:15" hidden="1" x14ac:dyDescent="0.25">
      <c r="A471" s="92">
        <v>469</v>
      </c>
      <c r="B471" s="47">
        <f>MONTH(dis_table[[#This Row],[Date]])</f>
        <v>4</v>
      </c>
      <c r="C471" s="4">
        <v>45044</v>
      </c>
      <c r="D471" s="4">
        <v>45044</v>
      </c>
      <c r="E471" t="s">
        <v>570</v>
      </c>
      <c r="F471">
        <v>157.47</v>
      </c>
      <c r="G471" t="s">
        <v>16</v>
      </c>
      <c r="H471" t="s">
        <v>127</v>
      </c>
      <c r="I471" t="s">
        <v>12</v>
      </c>
      <c r="J471" t="s">
        <v>19</v>
      </c>
      <c r="K471" s="4">
        <v>45017</v>
      </c>
      <c r="L471">
        <v>2023</v>
      </c>
      <c r="M471" s="4">
        <v>45044</v>
      </c>
      <c r="N471">
        <v>1710.4600000000009</v>
      </c>
      <c r="O471">
        <v>2</v>
      </c>
    </row>
    <row r="472" spans="1:15" hidden="1" x14ac:dyDescent="0.25">
      <c r="A472" s="92">
        <v>470</v>
      </c>
      <c r="B472" s="47">
        <f>MONTH(dis_table[[#This Row],[Date]])</f>
        <v>4</v>
      </c>
      <c r="C472" s="4">
        <v>45045</v>
      </c>
      <c r="D472" s="4">
        <v>45045</v>
      </c>
      <c r="E472" t="s">
        <v>571</v>
      </c>
      <c r="F472">
        <v>36.229999999999997</v>
      </c>
      <c r="G472" t="s">
        <v>9</v>
      </c>
      <c r="H472" t="s">
        <v>67</v>
      </c>
      <c r="I472" t="s">
        <v>12</v>
      </c>
      <c r="J472" t="s">
        <v>19</v>
      </c>
      <c r="K472" s="4">
        <v>45017</v>
      </c>
      <c r="L472">
        <v>2023</v>
      </c>
      <c r="M472" s="4">
        <v>45045</v>
      </c>
      <c r="N472">
        <v>1746.690000000001</v>
      </c>
      <c r="O472">
        <v>9</v>
      </c>
    </row>
    <row r="473" spans="1:15" hidden="1" x14ac:dyDescent="0.25">
      <c r="A473" s="92">
        <v>471</v>
      </c>
      <c r="B473" s="47">
        <f>MONTH(dis_table[[#This Row],[Date]])</f>
        <v>4</v>
      </c>
      <c r="C473" s="4">
        <v>45045</v>
      </c>
      <c r="D473" s="4">
        <v>45045</v>
      </c>
      <c r="E473" t="s">
        <v>572</v>
      </c>
      <c r="F473">
        <v>27.16</v>
      </c>
      <c r="G473" t="s">
        <v>16</v>
      </c>
      <c r="H473" t="s">
        <v>539</v>
      </c>
      <c r="I473" t="s">
        <v>12</v>
      </c>
      <c r="J473" t="s">
        <v>19</v>
      </c>
      <c r="K473" s="4">
        <v>45017</v>
      </c>
      <c r="L473">
        <v>2023</v>
      </c>
      <c r="M473" s="4">
        <v>45045</v>
      </c>
      <c r="N473">
        <v>1773.850000000001</v>
      </c>
      <c r="O473">
        <v>4</v>
      </c>
    </row>
    <row r="474" spans="1:15" hidden="1" x14ac:dyDescent="0.25">
      <c r="A474" s="92">
        <v>472</v>
      </c>
      <c r="B474" s="47">
        <f>MONTH(dis_table[[#This Row],[Date]])</f>
        <v>4</v>
      </c>
      <c r="C474" s="4">
        <v>45045</v>
      </c>
      <c r="D474" s="4">
        <v>45045</v>
      </c>
      <c r="E474" t="s">
        <v>573</v>
      </c>
      <c r="F474">
        <v>255.09</v>
      </c>
      <c r="G474" t="s">
        <v>16</v>
      </c>
      <c r="H474" t="s">
        <v>329</v>
      </c>
      <c r="I474" t="s">
        <v>12</v>
      </c>
      <c r="J474" t="s">
        <v>24</v>
      </c>
      <c r="K474" s="4">
        <v>45017</v>
      </c>
      <c r="L474">
        <v>2023</v>
      </c>
      <c r="M474" s="4">
        <v>45045</v>
      </c>
      <c r="N474">
        <v>2028.940000000001</v>
      </c>
      <c r="O474">
        <v>8</v>
      </c>
    </row>
    <row r="475" spans="1:15" hidden="1" x14ac:dyDescent="0.25">
      <c r="A475" s="92">
        <v>473</v>
      </c>
      <c r="B475" s="47">
        <f>MONTH(dis_table[[#This Row],[Date]])</f>
        <v>4</v>
      </c>
      <c r="C475" s="4">
        <v>45045</v>
      </c>
      <c r="D475" s="4">
        <v>45045</v>
      </c>
      <c r="E475" t="s">
        <v>574</v>
      </c>
      <c r="F475">
        <v>13.91</v>
      </c>
      <c r="G475" t="s">
        <v>9</v>
      </c>
      <c r="H475" t="s">
        <v>14</v>
      </c>
      <c r="I475" t="s">
        <v>12</v>
      </c>
      <c r="J475" t="s">
        <v>13</v>
      </c>
      <c r="K475" s="4">
        <v>45017</v>
      </c>
      <c r="L475">
        <v>2023</v>
      </c>
      <c r="M475" s="4">
        <v>45045</v>
      </c>
      <c r="N475">
        <v>2042.850000000001</v>
      </c>
      <c r="O475">
        <v>56</v>
      </c>
    </row>
    <row r="476" spans="1:15" hidden="1" x14ac:dyDescent="0.25">
      <c r="A476" s="92">
        <v>474</v>
      </c>
      <c r="B476" s="47">
        <f>MONTH(dis_table[[#This Row],[Date]])</f>
        <v>4</v>
      </c>
      <c r="C476" s="4">
        <v>45045</v>
      </c>
      <c r="D476" s="4">
        <v>45045</v>
      </c>
      <c r="E476" t="s">
        <v>575</v>
      </c>
      <c r="F476">
        <v>2.34</v>
      </c>
      <c r="G476" t="s">
        <v>36</v>
      </c>
      <c r="H476" t="s">
        <v>63</v>
      </c>
      <c r="I476" t="s">
        <v>12</v>
      </c>
      <c r="J476" t="s">
        <v>31</v>
      </c>
      <c r="K476" s="4">
        <v>45017</v>
      </c>
      <c r="L476">
        <v>2023</v>
      </c>
      <c r="M476" s="4">
        <v>45045</v>
      </c>
      <c r="N476">
        <v>2045.190000000001</v>
      </c>
      <c r="O476">
        <v>14</v>
      </c>
    </row>
    <row r="477" spans="1:15" hidden="1" x14ac:dyDescent="0.25">
      <c r="A477" s="92">
        <v>475</v>
      </c>
      <c r="B477" s="47">
        <f>MONTH(dis_table[[#This Row],[Date]])</f>
        <v>4</v>
      </c>
      <c r="C477" s="4">
        <v>45046</v>
      </c>
      <c r="D477" s="4">
        <v>45046</v>
      </c>
      <c r="E477" t="s">
        <v>318</v>
      </c>
      <c r="F477">
        <v>6</v>
      </c>
      <c r="G477" t="s">
        <v>22</v>
      </c>
      <c r="H477" t="s">
        <v>214</v>
      </c>
      <c r="I477" t="s">
        <v>12</v>
      </c>
      <c r="J477" t="s">
        <v>24</v>
      </c>
      <c r="K477" s="4">
        <v>45017</v>
      </c>
      <c r="L477">
        <v>2023</v>
      </c>
      <c r="M477" s="4">
        <v>45046</v>
      </c>
      <c r="N477">
        <v>2051.190000000001</v>
      </c>
      <c r="O477">
        <v>15</v>
      </c>
    </row>
    <row r="478" spans="1:15" hidden="1" x14ac:dyDescent="0.25">
      <c r="A478" s="92">
        <v>476</v>
      </c>
      <c r="B478" s="47">
        <f>MONTH(dis_table[[#This Row],[Date]])</f>
        <v>4</v>
      </c>
      <c r="C478" s="4">
        <v>45046</v>
      </c>
      <c r="D478" s="4">
        <v>45046</v>
      </c>
      <c r="E478" t="s">
        <v>70</v>
      </c>
      <c r="F478">
        <v>12.15</v>
      </c>
      <c r="G478" t="s">
        <v>22</v>
      </c>
      <c r="H478" t="s">
        <v>42</v>
      </c>
      <c r="I478" t="s">
        <v>12</v>
      </c>
      <c r="J478" t="s">
        <v>31</v>
      </c>
      <c r="K478" s="4">
        <v>45017</v>
      </c>
      <c r="L478">
        <v>2023</v>
      </c>
      <c r="M478" s="4">
        <v>45046</v>
      </c>
      <c r="N478">
        <v>2063.3400000000011</v>
      </c>
      <c r="O478">
        <v>42</v>
      </c>
    </row>
    <row r="479" spans="1:15" hidden="1" x14ac:dyDescent="0.25">
      <c r="A479" s="92">
        <v>477</v>
      </c>
      <c r="B479" s="47">
        <f>MONTH(dis_table[[#This Row],[Date]])</f>
        <v>4</v>
      </c>
      <c r="C479" s="4">
        <v>45046</v>
      </c>
      <c r="D479" s="4">
        <v>45046</v>
      </c>
      <c r="E479" t="s">
        <v>70</v>
      </c>
      <c r="F479">
        <v>35.909999999999997</v>
      </c>
      <c r="G479" t="s">
        <v>22</v>
      </c>
      <c r="H479" t="s">
        <v>42</v>
      </c>
      <c r="I479" t="s">
        <v>12</v>
      </c>
      <c r="J479" t="s">
        <v>31</v>
      </c>
      <c r="K479" s="4">
        <v>45017</v>
      </c>
      <c r="L479">
        <v>2023</v>
      </c>
      <c r="M479" s="4">
        <v>45046</v>
      </c>
      <c r="N479">
        <v>2099.25</v>
      </c>
      <c r="O479">
        <v>43</v>
      </c>
    </row>
    <row r="480" spans="1:15" hidden="1" x14ac:dyDescent="0.25">
      <c r="A480" s="92">
        <v>478</v>
      </c>
      <c r="B480" s="47">
        <f>MONTH(dis_table[[#This Row],[Date]])</f>
        <v>5</v>
      </c>
      <c r="C480" s="4">
        <v>45047</v>
      </c>
      <c r="D480" s="4">
        <v>45049</v>
      </c>
      <c r="E480" t="s">
        <v>83</v>
      </c>
      <c r="F480">
        <v>5</v>
      </c>
      <c r="G480" t="s">
        <v>36</v>
      </c>
      <c r="H480" t="s">
        <v>84</v>
      </c>
      <c r="I480" t="s">
        <v>18</v>
      </c>
      <c r="J480" t="s">
        <v>24</v>
      </c>
      <c r="K480" s="4">
        <v>45047</v>
      </c>
      <c r="L480">
        <v>2023</v>
      </c>
      <c r="M480" s="4">
        <v>45047</v>
      </c>
      <c r="N480">
        <v>2104.25</v>
      </c>
      <c r="O480">
        <v>4</v>
      </c>
    </row>
    <row r="481" spans="1:15" hidden="1" x14ac:dyDescent="0.25">
      <c r="A481" s="92">
        <v>479</v>
      </c>
      <c r="B481" s="47">
        <f>MONTH(dis_table[[#This Row],[Date]])</f>
        <v>5</v>
      </c>
      <c r="C481" s="4">
        <v>45047</v>
      </c>
      <c r="D481" s="4">
        <v>45047</v>
      </c>
      <c r="E481" t="s">
        <v>577</v>
      </c>
      <c r="F481">
        <v>4.99</v>
      </c>
      <c r="G481" t="s">
        <v>16</v>
      </c>
      <c r="H481" t="s">
        <v>20</v>
      </c>
      <c r="I481" t="s">
        <v>18</v>
      </c>
      <c r="J481" t="s">
        <v>19</v>
      </c>
      <c r="K481" s="4">
        <v>45047</v>
      </c>
      <c r="L481">
        <v>2023</v>
      </c>
      <c r="M481" s="4">
        <v>45047</v>
      </c>
      <c r="N481">
        <v>2109.2399999999998</v>
      </c>
      <c r="O481">
        <v>5</v>
      </c>
    </row>
    <row r="482" spans="1:15" hidden="1" x14ac:dyDescent="0.25">
      <c r="A482" s="92">
        <v>480</v>
      </c>
      <c r="B482" s="47">
        <f>MONTH(dis_table[[#This Row],[Date]])</f>
        <v>5</v>
      </c>
      <c r="C482" s="4">
        <v>45047</v>
      </c>
      <c r="D482" s="4">
        <v>45047</v>
      </c>
      <c r="E482" t="s">
        <v>142</v>
      </c>
      <c r="F482">
        <v>41</v>
      </c>
      <c r="G482" t="s">
        <v>60</v>
      </c>
      <c r="H482" t="s">
        <v>49</v>
      </c>
      <c r="I482" t="s">
        <v>12</v>
      </c>
      <c r="J482" t="s">
        <v>40</v>
      </c>
      <c r="K482" s="4">
        <v>45047</v>
      </c>
      <c r="L482">
        <v>2023</v>
      </c>
      <c r="M482" s="4">
        <v>45047</v>
      </c>
      <c r="N482">
        <v>2150.2399999999998</v>
      </c>
      <c r="O482">
        <v>7</v>
      </c>
    </row>
    <row r="483" spans="1:15" hidden="1" x14ac:dyDescent="0.25">
      <c r="A483" s="92">
        <v>481</v>
      </c>
      <c r="B483" s="47">
        <f>MONTH(dis_table[[#This Row],[Date]])</f>
        <v>5</v>
      </c>
      <c r="C483" s="4">
        <v>45047</v>
      </c>
      <c r="D483" s="4">
        <v>45049</v>
      </c>
      <c r="E483" t="s">
        <v>15</v>
      </c>
      <c r="F483">
        <v>10.59</v>
      </c>
      <c r="G483" t="s">
        <v>16</v>
      </c>
      <c r="H483" t="s">
        <v>17</v>
      </c>
      <c r="I483" t="s">
        <v>18</v>
      </c>
      <c r="J483" t="s">
        <v>19</v>
      </c>
      <c r="K483" s="4">
        <v>45047</v>
      </c>
      <c r="L483">
        <v>2023</v>
      </c>
      <c r="M483" s="4">
        <v>45047</v>
      </c>
      <c r="N483">
        <v>2160.83</v>
      </c>
      <c r="O483">
        <v>5</v>
      </c>
    </row>
    <row r="484" spans="1:15" hidden="1" x14ac:dyDescent="0.25">
      <c r="A484" s="92">
        <v>482</v>
      </c>
      <c r="B484" s="47">
        <f>MONTH(dis_table[[#This Row],[Date]])</f>
        <v>5</v>
      </c>
      <c r="C484" s="4">
        <v>45047</v>
      </c>
      <c r="D484" s="4">
        <v>45047</v>
      </c>
      <c r="E484" t="s">
        <v>141</v>
      </c>
      <c r="F484">
        <v>0.7</v>
      </c>
      <c r="G484" t="s">
        <v>60</v>
      </c>
      <c r="H484" t="s">
        <v>49</v>
      </c>
      <c r="I484" t="s">
        <v>12</v>
      </c>
      <c r="J484" t="s">
        <v>40</v>
      </c>
      <c r="K484" s="4">
        <v>45047</v>
      </c>
      <c r="L484">
        <v>2023</v>
      </c>
      <c r="M484" s="4">
        <v>45047</v>
      </c>
      <c r="N484">
        <v>2161.5300000000002</v>
      </c>
      <c r="O484">
        <v>8</v>
      </c>
    </row>
    <row r="485" spans="1:15" hidden="1" x14ac:dyDescent="0.25">
      <c r="A485" s="92">
        <v>483</v>
      </c>
      <c r="B485" s="47">
        <f>MONTH(dis_table[[#This Row],[Date]])</f>
        <v>5</v>
      </c>
      <c r="C485" s="4">
        <v>45047</v>
      </c>
      <c r="D485" s="4">
        <v>45047</v>
      </c>
      <c r="E485" t="s">
        <v>141</v>
      </c>
      <c r="F485">
        <v>0.87</v>
      </c>
      <c r="G485" t="s">
        <v>60</v>
      </c>
      <c r="H485" t="s">
        <v>49</v>
      </c>
      <c r="I485" t="s">
        <v>12</v>
      </c>
      <c r="J485" t="s">
        <v>40</v>
      </c>
      <c r="K485" s="4">
        <v>45047</v>
      </c>
      <c r="L485">
        <v>2023</v>
      </c>
      <c r="M485" s="4">
        <v>45047</v>
      </c>
      <c r="N485">
        <v>2162.4</v>
      </c>
      <c r="O485">
        <v>9</v>
      </c>
    </row>
    <row r="486" spans="1:15" hidden="1" x14ac:dyDescent="0.25">
      <c r="A486" s="92">
        <v>484</v>
      </c>
      <c r="B486" s="47">
        <f>MONTH(dis_table[[#This Row],[Date]])</f>
        <v>5</v>
      </c>
      <c r="C486" s="4">
        <v>45047</v>
      </c>
      <c r="D486" s="4">
        <v>45047</v>
      </c>
      <c r="E486" t="s">
        <v>576</v>
      </c>
      <c r="F486">
        <v>32.28</v>
      </c>
      <c r="G486" t="s">
        <v>16</v>
      </c>
      <c r="H486" t="s">
        <v>133</v>
      </c>
      <c r="I486" t="s">
        <v>12</v>
      </c>
      <c r="J486" t="s">
        <v>24</v>
      </c>
      <c r="K486" s="4">
        <v>45047</v>
      </c>
      <c r="L486">
        <v>2023</v>
      </c>
      <c r="M486" s="4">
        <v>45047</v>
      </c>
      <c r="N486">
        <v>2194.6799999999998</v>
      </c>
      <c r="O486">
        <v>22</v>
      </c>
    </row>
    <row r="487" spans="1:15" hidden="1" x14ac:dyDescent="0.25">
      <c r="A487" s="92">
        <v>485</v>
      </c>
      <c r="B487" s="47">
        <f>MONTH(dis_table[[#This Row],[Date]])</f>
        <v>5</v>
      </c>
      <c r="C487" s="4">
        <v>45047</v>
      </c>
      <c r="D487" s="4">
        <v>45048</v>
      </c>
      <c r="E487" t="s">
        <v>141</v>
      </c>
      <c r="F487">
        <v>-0.7</v>
      </c>
      <c r="G487" t="s">
        <v>27</v>
      </c>
      <c r="H487" t="s">
        <v>49</v>
      </c>
      <c r="I487" t="s">
        <v>12</v>
      </c>
      <c r="J487" t="s">
        <v>40</v>
      </c>
      <c r="K487" s="4">
        <v>45047</v>
      </c>
      <c r="L487">
        <v>2023</v>
      </c>
      <c r="M487" s="4">
        <v>45047</v>
      </c>
      <c r="N487">
        <v>2193.98</v>
      </c>
      <c r="O487">
        <v>10</v>
      </c>
    </row>
    <row r="488" spans="1:15" hidden="1" x14ac:dyDescent="0.25">
      <c r="A488" s="92">
        <v>486</v>
      </c>
      <c r="B488" s="47">
        <f>MONTH(dis_table[[#This Row],[Date]])</f>
        <v>5</v>
      </c>
      <c r="C488" s="4">
        <v>45047</v>
      </c>
      <c r="D488" s="4">
        <v>45047</v>
      </c>
      <c r="E488" t="s">
        <v>339</v>
      </c>
      <c r="F488">
        <v>20</v>
      </c>
      <c r="G488" t="s">
        <v>16</v>
      </c>
      <c r="H488" t="s">
        <v>340</v>
      </c>
      <c r="I488" t="s">
        <v>18</v>
      </c>
      <c r="J488" t="s">
        <v>24</v>
      </c>
      <c r="K488" s="4">
        <v>45047</v>
      </c>
      <c r="L488">
        <v>2023</v>
      </c>
      <c r="M488" s="4">
        <v>45047</v>
      </c>
      <c r="N488">
        <v>2213.98</v>
      </c>
      <c r="O488">
        <v>3</v>
      </c>
    </row>
    <row r="489" spans="1:15" hidden="1" x14ac:dyDescent="0.25">
      <c r="A489" s="92">
        <v>487</v>
      </c>
      <c r="B489" s="47">
        <f>MONTH(dis_table[[#This Row],[Date]])</f>
        <v>5</v>
      </c>
      <c r="C489" s="4">
        <v>45048</v>
      </c>
      <c r="D489" s="4">
        <v>45049</v>
      </c>
      <c r="E489" t="s">
        <v>575</v>
      </c>
      <c r="F489">
        <v>6</v>
      </c>
      <c r="G489" t="s">
        <v>36</v>
      </c>
      <c r="H489" t="s">
        <v>63</v>
      </c>
      <c r="I489" t="s">
        <v>12</v>
      </c>
      <c r="J489" t="s">
        <v>31</v>
      </c>
      <c r="K489" s="4">
        <v>45047</v>
      </c>
      <c r="L489">
        <v>2023</v>
      </c>
      <c r="M489" s="4">
        <v>45048</v>
      </c>
      <c r="N489">
        <v>2219.98</v>
      </c>
      <c r="O489">
        <v>15</v>
      </c>
    </row>
    <row r="490" spans="1:15" hidden="1" x14ac:dyDescent="0.25">
      <c r="A490" s="92">
        <v>488</v>
      </c>
      <c r="B490" s="47">
        <f>MONTH(dis_table[[#This Row],[Date]])</f>
        <v>5</v>
      </c>
      <c r="C490" s="4">
        <v>45048</v>
      </c>
      <c r="D490" s="4">
        <v>45048</v>
      </c>
      <c r="E490" t="s">
        <v>578</v>
      </c>
      <c r="F490">
        <v>125.1</v>
      </c>
      <c r="G490" t="s">
        <v>36</v>
      </c>
      <c r="H490" t="s">
        <v>286</v>
      </c>
      <c r="I490" t="s">
        <v>18</v>
      </c>
      <c r="J490" t="s">
        <v>24</v>
      </c>
      <c r="K490" s="4">
        <v>45047</v>
      </c>
      <c r="L490">
        <v>2023</v>
      </c>
      <c r="M490" s="4">
        <v>45048</v>
      </c>
      <c r="N490">
        <v>2345.08</v>
      </c>
      <c r="O490">
        <v>5</v>
      </c>
    </row>
    <row r="491" spans="1:15" hidden="1" x14ac:dyDescent="0.25">
      <c r="A491" s="92">
        <v>489</v>
      </c>
      <c r="B491" s="47">
        <f>MONTH(dis_table[[#This Row],[Date]])</f>
        <v>5</v>
      </c>
      <c r="C491" s="4">
        <v>45048</v>
      </c>
      <c r="D491" s="4">
        <v>45048</v>
      </c>
      <c r="E491" t="s">
        <v>579</v>
      </c>
      <c r="F491">
        <v>139</v>
      </c>
      <c r="G491" t="s">
        <v>36</v>
      </c>
      <c r="H491" t="s">
        <v>286</v>
      </c>
      <c r="I491" t="s">
        <v>18</v>
      </c>
      <c r="J491" t="s">
        <v>24</v>
      </c>
      <c r="K491" s="4">
        <v>45047</v>
      </c>
      <c r="L491">
        <v>2023</v>
      </c>
      <c r="M491" s="4">
        <v>45048</v>
      </c>
      <c r="N491">
        <v>2484.08</v>
      </c>
      <c r="O491">
        <v>6</v>
      </c>
    </row>
    <row r="492" spans="1:15" hidden="1" x14ac:dyDescent="0.25">
      <c r="A492" s="92">
        <v>490</v>
      </c>
      <c r="B492" s="47">
        <f>MONTH(dis_table[[#This Row],[Date]])</f>
        <v>5</v>
      </c>
      <c r="C492" s="4">
        <v>45048</v>
      </c>
      <c r="D492" s="4">
        <v>45049</v>
      </c>
      <c r="E492" t="s">
        <v>580</v>
      </c>
      <c r="F492">
        <v>48.84</v>
      </c>
      <c r="G492" t="s">
        <v>29</v>
      </c>
      <c r="H492" t="s">
        <v>30</v>
      </c>
      <c r="I492" t="s">
        <v>12</v>
      </c>
      <c r="J492" t="s">
        <v>31</v>
      </c>
      <c r="K492" s="4">
        <v>45047</v>
      </c>
      <c r="L492">
        <v>2023</v>
      </c>
      <c r="M492" s="4">
        <v>45048</v>
      </c>
      <c r="N492">
        <v>2532.920000000001</v>
      </c>
      <c r="O492">
        <v>9</v>
      </c>
    </row>
    <row r="493" spans="1:15" hidden="1" x14ac:dyDescent="0.25">
      <c r="A493" s="92">
        <v>491</v>
      </c>
      <c r="B493" s="47">
        <f>MONTH(dis_table[[#This Row],[Date]])</f>
        <v>5</v>
      </c>
      <c r="C493" s="4">
        <v>45048</v>
      </c>
      <c r="D493" s="4">
        <v>45049</v>
      </c>
      <c r="E493" t="s">
        <v>581</v>
      </c>
      <c r="F493">
        <v>32.68</v>
      </c>
      <c r="G493" t="s">
        <v>9</v>
      </c>
      <c r="H493" t="s">
        <v>10</v>
      </c>
      <c r="I493" t="s">
        <v>12</v>
      </c>
      <c r="J493" t="s">
        <v>13</v>
      </c>
      <c r="K493" s="4">
        <v>45047</v>
      </c>
      <c r="L493">
        <v>2023</v>
      </c>
      <c r="M493" s="4">
        <v>45048</v>
      </c>
      <c r="N493">
        <v>2565.6</v>
      </c>
      <c r="O493">
        <v>27</v>
      </c>
    </row>
    <row r="494" spans="1:15" hidden="1" x14ac:dyDescent="0.25">
      <c r="A494" s="92">
        <v>492</v>
      </c>
      <c r="B494" s="47">
        <f>MONTH(dis_table[[#This Row],[Date]])</f>
        <v>5</v>
      </c>
      <c r="C494" s="4">
        <v>45048</v>
      </c>
      <c r="D494" s="4">
        <v>45049</v>
      </c>
      <c r="E494" t="s">
        <v>43</v>
      </c>
      <c r="F494">
        <v>10</v>
      </c>
      <c r="G494" t="s">
        <v>16</v>
      </c>
      <c r="H494" t="s">
        <v>44</v>
      </c>
      <c r="I494" t="s">
        <v>18</v>
      </c>
      <c r="J494" t="s">
        <v>19</v>
      </c>
      <c r="K494" s="4">
        <v>45047</v>
      </c>
      <c r="L494">
        <v>2023</v>
      </c>
      <c r="M494" s="4">
        <v>45048</v>
      </c>
      <c r="N494">
        <v>2575.6</v>
      </c>
      <c r="O494">
        <v>5</v>
      </c>
    </row>
    <row r="495" spans="1:15" hidden="1" x14ac:dyDescent="0.25">
      <c r="A495" s="92">
        <v>493</v>
      </c>
      <c r="B495" s="47">
        <f>MONTH(dis_table[[#This Row],[Date]])</f>
        <v>5</v>
      </c>
      <c r="C495" s="4">
        <v>45049</v>
      </c>
      <c r="D495" s="4">
        <v>45049</v>
      </c>
      <c r="E495" t="s">
        <v>584</v>
      </c>
      <c r="F495">
        <v>45.41</v>
      </c>
      <c r="G495" t="s">
        <v>9</v>
      </c>
      <c r="H495" t="s">
        <v>14</v>
      </c>
      <c r="I495" t="s">
        <v>12</v>
      </c>
      <c r="J495" t="s">
        <v>13</v>
      </c>
      <c r="K495" s="4">
        <v>45047</v>
      </c>
      <c r="L495">
        <v>2023</v>
      </c>
      <c r="M495" s="4">
        <v>45049</v>
      </c>
      <c r="N495">
        <v>2621.0100000000002</v>
      </c>
      <c r="O495">
        <v>57</v>
      </c>
    </row>
    <row r="496" spans="1:15" hidden="1" x14ac:dyDescent="0.25">
      <c r="A496" s="92">
        <v>494</v>
      </c>
      <c r="B496" s="47">
        <f>MONTH(dis_table[[#This Row],[Date]])</f>
        <v>5</v>
      </c>
      <c r="C496" s="4">
        <v>45049</v>
      </c>
      <c r="D496" s="4">
        <v>45049</v>
      </c>
      <c r="E496" t="s">
        <v>583</v>
      </c>
      <c r="F496">
        <v>29.59</v>
      </c>
      <c r="G496" t="s">
        <v>9</v>
      </c>
      <c r="H496" t="s">
        <v>80</v>
      </c>
      <c r="I496" t="s">
        <v>12</v>
      </c>
      <c r="J496" t="s">
        <v>19</v>
      </c>
      <c r="K496" s="4">
        <v>45047</v>
      </c>
      <c r="L496">
        <v>2023</v>
      </c>
      <c r="M496" s="4">
        <v>45049</v>
      </c>
      <c r="N496">
        <v>2650.6</v>
      </c>
      <c r="O496">
        <v>2</v>
      </c>
    </row>
    <row r="497" spans="1:15" hidden="1" x14ac:dyDescent="0.25">
      <c r="A497" s="92">
        <v>495</v>
      </c>
      <c r="B497" s="47">
        <f>MONTH(dis_table[[#This Row],[Date]])</f>
        <v>5</v>
      </c>
      <c r="C497" s="4">
        <v>45049</v>
      </c>
      <c r="D497" s="4">
        <v>45049</v>
      </c>
      <c r="E497" t="s">
        <v>359</v>
      </c>
      <c r="F497">
        <v>4.3899999999999997</v>
      </c>
      <c r="G497" t="s">
        <v>22</v>
      </c>
      <c r="H497" t="s">
        <v>214</v>
      </c>
      <c r="I497" t="s">
        <v>12</v>
      </c>
      <c r="J497" t="s">
        <v>24</v>
      </c>
      <c r="K497" s="4">
        <v>45047</v>
      </c>
      <c r="L497">
        <v>2023</v>
      </c>
      <c r="M497" s="4">
        <v>45049</v>
      </c>
      <c r="N497">
        <v>2654.99</v>
      </c>
      <c r="O497">
        <v>16</v>
      </c>
    </row>
    <row r="498" spans="1:15" hidden="1" x14ac:dyDescent="0.25">
      <c r="A498" s="92">
        <v>496</v>
      </c>
      <c r="B498" s="47">
        <f>MONTH(dis_table[[#This Row],[Date]])</f>
        <v>5</v>
      </c>
      <c r="C498" s="4">
        <v>45049</v>
      </c>
      <c r="D498" s="4">
        <v>45049</v>
      </c>
      <c r="E498" t="s">
        <v>582</v>
      </c>
      <c r="F498">
        <v>15.89</v>
      </c>
      <c r="G498" t="s">
        <v>36</v>
      </c>
      <c r="H498" t="s">
        <v>54</v>
      </c>
      <c r="I498" t="s">
        <v>18</v>
      </c>
      <c r="J498" t="s">
        <v>19</v>
      </c>
      <c r="K498" s="4">
        <v>45047</v>
      </c>
      <c r="L498">
        <v>2023</v>
      </c>
      <c r="M498" s="4">
        <v>45049</v>
      </c>
      <c r="N498">
        <v>2670.88</v>
      </c>
      <c r="O498">
        <v>9</v>
      </c>
    </row>
    <row r="499" spans="1:15" hidden="1" x14ac:dyDescent="0.25">
      <c r="A499" s="92">
        <v>497</v>
      </c>
      <c r="B499" s="47">
        <f>MONTH(dis_table[[#This Row],[Date]])</f>
        <v>5</v>
      </c>
      <c r="C499" s="4">
        <v>45049</v>
      </c>
      <c r="D499" s="4">
        <v>45049</v>
      </c>
      <c r="E499" t="s">
        <v>143</v>
      </c>
      <c r="F499">
        <v>-46.32</v>
      </c>
      <c r="G499" t="s">
        <v>32</v>
      </c>
      <c r="H499" t="s">
        <v>1027</v>
      </c>
      <c r="I499" t="s">
        <v>12</v>
      </c>
      <c r="J499" t="s">
        <v>122</v>
      </c>
      <c r="K499" s="4">
        <v>45047</v>
      </c>
      <c r="L499">
        <v>2023</v>
      </c>
      <c r="M499" s="4">
        <v>45049</v>
      </c>
      <c r="N499">
        <v>2624.56</v>
      </c>
      <c r="O499">
        <v>5</v>
      </c>
    </row>
    <row r="500" spans="1:15" hidden="1" x14ac:dyDescent="0.25">
      <c r="A500" s="92">
        <v>498</v>
      </c>
      <c r="B500" s="47">
        <f>MONTH(dis_table[[#This Row],[Date]])</f>
        <v>5</v>
      </c>
      <c r="C500" s="4">
        <v>45049</v>
      </c>
      <c r="D500" s="4">
        <v>45049</v>
      </c>
      <c r="E500" t="s">
        <v>26</v>
      </c>
      <c r="F500">
        <v>-2069.29</v>
      </c>
      <c r="G500" t="s">
        <v>27</v>
      </c>
      <c r="H500" t="s">
        <v>28</v>
      </c>
      <c r="I500" t="s">
        <v>12</v>
      </c>
      <c r="J500" t="s">
        <v>122</v>
      </c>
      <c r="K500" s="4">
        <v>45047</v>
      </c>
      <c r="L500">
        <v>2023</v>
      </c>
      <c r="M500" s="4">
        <v>45049</v>
      </c>
      <c r="N500">
        <v>555.27</v>
      </c>
      <c r="O500">
        <v>13</v>
      </c>
    </row>
    <row r="501" spans="1:15" hidden="1" x14ac:dyDescent="0.25">
      <c r="A501" s="92">
        <v>499</v>
      </c>
      <c r="B501" s="47">
        <f>MONTH(dis_table[[#This Row],[Date]])</f>
        <v>5</v>
      </c>
      <c r="C501" s="4">
        <v>45050</v>
      </c>
      <c r="D501" s="4">
        <v>45050</v>
      </c>
      <c r="E501" t="s">
        <v>591</v>
      </c>
      <c r="F501">
        <v>54.5</v>
      </c>
      <c r="G501" t="s">
        <v>34</v>
      </c>
      <c r="H501" t="s">
        <v>133</v>
      </c>
      <c r="I501" t="s">
        <v>12</v>
      </c>
      <c r="J501" t="s">
        <v>24</v>
      </c>
      <c r="K501" s="4">
        <v>45047</v>
      </c>
      <c r="L501">
        <v>2023</v>
      </c>
      <c r="M501" s="4">
        <v>45050</v>
      </c>
      <c r="N501">
        <v>609.77</v>
      </c>
      <c r="O501">
        <v>23</v>
      </c>
    </row>
    <row r="502" spans="1:15" hidden="1" x14ac:dyDescent="0.25">
      <c r="A502" s="92">
        <v>500</v>
      </c>
      <c r="B502" s="47">
        <f>MONTH(dis_table[[#This Row],[Date]])</f>
        <v>5</v>
      </c>
      <c r="C502" s="4">
        <v>45050</v>
      </c>
      <c r="D502" s="4">
        <v>45050</v>
      </c>
      <c r="E502" t="s">
        <v>360</v>
      </c>
      <c r="F502">
        <v>110.58</v>
      </c>
      <c r="G502" t="s">
        <v>34</v>
      </c>
      <c r="H502" t="s">
        <v>35</v>
      </c>
      <c r="I502" t="s">
        <v>12</v>
      </c>
      <c r="J502" t="s">
        <v>13</v>
      </c>
      <c r="K502" s="4">
        <v>45047</v>
      </c>
      <c r="L502">
        <v>2023</v>
      </c>
      <c r="M502" s="4">
        <v>45050</v>
      </c>
      <c r="N502">
        <v>720.35</v>
      </c>
      <c r="O502">
        <v>27</v>
      </c>
    </row>
    <row r="503" spans="1:15" hidden="1" x14ac:dyDescent="0.25">
      <c r="A503" s="92">
        <v>501</v>
      </c>
      <c r="B503" s="47">
        <f>MONTH(dis_table[[#This Row],[Date]])</f>
        <v>5</v>
      </c>
      <c r="C503" s="4">
        <v>45050</v>
      </c>
      <c r="D503" s="4">
        <v>45050</v>
      </c>
      <c r="E503" t="s">
        <v>590</v>
      </c>
      <c r="F503">
        <v>96.47</v>
      </c>
      <c r="G503" t="s">
        <v>16</v>
      </c>
      <c r="H503" t="s">
        <v>539</v>
      </c>
      <c r="I503" t="s">
        <v>12</v>
      </c>
      <c r="J503" t="s">
        <v>19</v>
      </c>
      <c r="K503" s="4">
        <v>45047</v>
      </c>
      <c r="L503">
        <v>2023</v>
      </c>
      <c r="M503" s="4">
        <v>45050</v>
      </c>
      <c r="N503">
        <v>816.82</v>
      </c>
      <c r="O503">
        <v>5</v>
      </c>
    </row>
    <row r="504" spans="1:15" hidden="1" x14ac:dyDescent="0.25">
      <c r="A504" s="92">
        <v>502</v>
      </c>
      <c r="B504" s="47">
        <f>MONTH(dis_table[[#This Row],[Date]])</f>
        <v>5</v>
      </c>
      <c r="C504" s="4">
        <v>45050</v>
      </c>
      <c r="D504" s="4">
        <v>45050</v>
      </c>
      <c r="E504" t="s">
        <v>589</v>
      </c>
      <c r="F504">
        <v>109.63</v>
      </c>
      <c r="G504" t="s">
        <v>16</v>
      </c>
      <c r="H504" t="s">
        <v>214</v>
      </c>
      <c r="I504" t="s">
        <v>12</v>
      </c>
      <c r="J504" t="s">
        <v>24</v>
      </c>
      <c r="K504" s="4">
        <v>45047</v>
      </c>
      <c r="L504">
        <v>2023</v>
      </c>
      <c r="M504" s="4">
        <v>45050</v>
      </c>
      <c r="N504">
        <v>926.45</v>
      </c>
      <c r="O504">
        <v>17</v>
      </c>
    </row>
    <row r="505" spans="1:15" hidden="1" x14ac:dyDescent="0.25">
      <c r="A505" s="92">
        <v>503</v>
      </c>
      <c r="B505" s="47">
        <f>MONTH(dis_table[[#This Row],[Date]])</f>
        <v>5</v>
      </c>
      <c r="C505" s="4">
        <v>45050</v>
      </c>
      <c r="D505" s="4">
        <v>45050</v>
      </c>
      <c r="E505" t="s">
        <v>588</v>
      </c>
      <c r="F505">
        <v>59</v>
      </c>
      <c r="G505" t="s">
        <v>36</v>
      </c>
      <c r="H505" t="s">
        <v>72</v>
      </c>
      <c r="I505" t="s">
        <v>12</v>
      </c>
      <c r="J505" t="s">
        <v>24</v>
      </c>
      <c r="K505" s="4">
        <v>45047</v>
      </c>
      <c r="L505">
        <v>2023</v>
      </c>
      <c r="M505" s="4">
        <v>45050</v>
      </c>
      <c r="N505">
        <v>985.45</v>
      </c>
      <c r="O505">
        <v>6</v>
      </c>
    </row>
    <row r="506" spans="1:15" hidden="1" x14ac:dyDescent="0.25">
      <c r="A506" s="92">
        <v>504</v>
      </c>
      <c r="B506" s="47">
        <f>MONTH(dis_table[[#This Row],[Date]])</f>
        <v>5</v>
      </c>
      <c r="C506" s="4">
        <v>45050</v>
      </c>
      <c r="D506" s="4">
        <v>45050</v>
      </c>
      <c r="E506" t="s">
        <v>587</v>
      </c>
      <c r="F506">
        <v>49</v>
      </c>
      <c r="G506" t="s">
        <v>69</v>
      </c>
      <c r="H506" t="s">
        <v>145</v>
      </c>
      <c r="I506" t="s">
        <v>18</v>
      </c>
      <c r="J506" t="s">
        <v>24</v>
      </c>
      <c r="K506" s="4">
        <v>45047</v>
      </c>
      <c r="L506">
        <v>2023</v>
      </c>
      <c r="M506" s="4">
        <v>45050</v>
      </c>
      <c r="N506">
        <v>1034.45</v>
      </c>
      <c r="O506">
        <v>6</v>
      </c>
    </row>
    <row r="507" spans="1:15" hidden="1" x14ac:dyDescent="0.25">
      <c r="A507" s="92">
        <v>505</v>
      </c>
      <c r="B507" s="47">
        <f>MONTH(dis_table[[#This Row],[Date]])</f>
        <v>5</v>
      </c>
      <c r="C507" s="4">
        <v>45050</v>
      </c>
      <c r="D507" s="4">
        <v>45050</v>
      </c>
      <c r="E507" t="s">
        <v>586</v>
      </c>
      <c r="F507">
        <v>49</v>
      </c>
      <c r="G507" t="s">
        <v>69</v>
      </c>
      <c r="H507" t="s">
        <v>145</v>
      </c>
      <c r="I507" t="s">
        <v>18</v>
      </c>
      <c r="J507" t="s">
        <v>24</v>
      </c>
      <c r="K507" s="4">
        <v>45047</v>
      </c>
      <c r="L507">
        <v>2023</v>
      </c>
      <c r="M507" s="4">
        <v>45050</v>
      </c>
      <c r="N507">
        <v>1083.45</v>
      </c>
      <c r="O507">
        <v>7</v>
      </c>
    </row>
    <row r="508" spans="1:15" hidden="1" x14ac:dyDescent="0.25">
      <c r="A508" s="92">
        <v>506</v>
      </c>
      <c r="B508" s="47">
        <f>MONTH(dis_table[[#This Row],[Date]])</f>
        <v>5</v>
      </c>
      <c r="C508" s="4">
        <v>45050</v>
      </c>
      <c r="D508" s="4">
        <v>45050</v>
      </c>
      <c r="E508" t="s">
        <v>585</v>
      </c>
      <c r="F508">
        <v>98.65</v>
      </c>
      <c r="G508" t="s">
        <v>16</v>
      </c>
      <c r="H508" t="s">
        <v>21</v>
      </c>
      <c r="I508" t="s">
        <v>12</v>
      </c>
      <c r="J508" t="s">
        <v>24</v>
      </c>
      <c r="K508" s="4">
        <v>45047</v>
      </c>
      <c r="L508">
        <v>2023</v>
      </c>
      <c r="M508" s="4">
        <v>45050</v>
      </c>
      <c r="N508">
        <v>1182.0999999999999</v>
      </c>
      <c r="O508">
        <v>25</v>
      </c>
    </row>
    <row r="509" spans="1:15" hidden="1" x14ac:dyDescent="0.25">
      <c r="A509" s="92">
        <v>507</v>
      </c>
      <c r="B509" s="47">
        <f>MONTH(dis_table[[#This Row],[Date]])</f>
        <v>5</v>
      </c>
      <c r="C509" s="4">
        <v>45050</v>
      </c>
      <c r="D509" s="4">
        <v>45050</v>
      </c>
      <c r="E509" t="s">
        <v>187</v>
      </c>
      <c r="F509">
        <v>25</v>
      </c>
      <c r="G509" t="s">
        <v>22</v>
      </c>
      <c r="H509" t="s">
        <v>188</v>
      </c>
      <c r="I509" t="s">
        <v>12</v>
      </c>
      <c r="J509" t="s">
        <v>31</v>
      </c>
      <c r="K509" s="4">
        <v>45047</v>
      </c>
      <c r="L509">
        <v>2023</v>
      </c>
      <c r="M509" s="4">
        <v>45050</v>
      </c>
      <c r="N509">
        <v>1207.0999999999999</v>
      </c>
      <c r="O509">
        <v>6</v>
      </c>
    </row>
    <row r="510" spans="1:15" hidden="1" x14ac:dyDescent="0.25">
      <c r="A510" s="92">
        <v>508</v>
      </c>
      <c r="B510" s="47">
        <f>MONTH(dis_table[[#This Row],[Date]])</f>
        <v>5</v>
      </c>
      <c r="C510" s="4">
        <v>45052</v>
      </c>
      <c r="D510" s="4">
        <v>45052</v>
      </c>
      <c r="E510" t="s">
        <v>592</v>
      </c>
      <c r="F510">
        <v>33.200000000000003</v>
      </c>
      <c r="G510" t="s">
        <v>22</v>
      </c>
      <c r="H510" t="s">
        <v>57</v>
      </c>
      <c r="I510" t="s">
        <v>12</v>
      </c>
      <c r="J510" t="s">
        <v>19</v>
      </c>
      <c r="K510" s="4">
        <v>45047</v>
      </c>
      <c r="L510">
        <v>2023</v>
      </c>
      <c r="M510" s="4">
        <v>45052</v>
      </c>
      <c r="N510">
        <v>1240.3</v>
      </c>
      <c r="O510">
        <v>8</v>
      </c>
    </row>
    <row r="511" spans="1:15" hidden="1" x14ac:dyDescent="0.25">
      <c r="A511" s="92">
        <v>509</v>
      </c>
      <c r="B511" s="47">
        <f>MONTH(dis_table[[#This Row],[Date]])</f>
        <v>5</v>
      </c>
      <c r="C511" s="4">
        <v>45052</v>
      </c>
      <c r="D511" s="4">
        <v>45052</v>
      </c>
      <c r="E511" t="s">
        <v>593</v>
      </c>
      <c r="F511">
        <v>10.95</v>
      </c>
      <c r="G511" t="s">
        <v>22</v>
      </c>
      <c r="H511" t="s">
        <v>57</v>
      </c>
      <c r="I511" t="s">
        <v>12</v>
      </c>
      <c r="J511" t="s">
        <v>19</v>
      </c>
      <c r="K511" s="4">
        <v>45047</v>
      </c>
      <c r="L511">
        <v>2023</v>
      </c>
      <c r="M511" s="4">
        <v>45052</v>
      </c>
      <c r="N511">
        <v>1251.25</v>
      </c>
      <c r="O511">
        <v>9</v>
      </c>
    </row>
    <row r="512" spans="1:15" hidden="1" x14ac:dyDescent="0.25">
      <c r="A512" s="92">
        <v>510</v>
      </c>
      <c r="B512" s="47">
        <f>MONTH(dis_table[[#This Row],[Date]])</f>
        <v>5</v>
      </c>
      <c r="C512" s="4">
        <v>45052</v>
      </c>
      <c r="D512" s="4">
        <v>45052</v>
      </c>
      <c r="E512" t="s">
        <v>314</v>
      </c>
      <c r="F512">
        <v>150</v>
      </c>
      <c r="G512" t="s">
        <v>36</v>
      </c>
      <c r="H512" t="s">
        <v>64</v>
      </c>
      <c r="I512" t="s">
        <v>12</v>
      </c>
      <c r="J512" t="s">
        <v>24</v>
      </c>
      <c r="K512" s="4">
        <v>45047</v>
      </c>
      <c r="L512">
        <v>2023</v>
      </c>
      <c r="M512" s="4">
        <v>45052</v>
      </c>
      <c r="N512">
        <v>1401.25</v>
      </c>
      <c r="O512">
        <v>2</v>
      </c>
    </row>
    <row r="513" spans="1:15" hidden="1" x14ac:dyDescent="0.25">
      <c r="A513" s="92">
        <v>511</v>
      </c>
      <c r="B513" s="47">
        <f>MONTH(dis_table[[#This Row],[Date]])</f>
        <v>5</v>
      </c>
      <c r="C513" s="4">
        <v>45052</v>
      </c>
      <c r="D513" s="4">
        <v>45052</v>
      </c>
      <c r="E513" t="s">
        <v>594</v>
      </c>
      <c r="F513">
        <v>12.86</v>
      </c>
      <c r="G513" t="s">
        <v>9</v>
      </c>
      <c r="H513" t="s">
        <v>10</v>
      </c>
      <c r="I513" t="s">
        <v>12</v>
      </c>
      <c r="J513" t="s">
        <v>13</v>
      </c>
      <c r="K513" s="4">
        <v>45047</v>
      </c>
      <c r="L513">
        <v>2023</v>
      </c>
      <c r="M513" s="4">
        <v>45052</v>
      </c>
      <c r="N513">
        <v>1414.11</v>
      </c>
      <c r="O513">
        <v>28</v>
      </c>
    </row>
    <row r="514" spans="1:15" hidden="1" x14ac:dyDescent="0.25">
      <c r="A514" s="92">
        <v>512</v>
      </c>
      <c r="B514" s="47">
        <f>MONTH(dis_table[[#This Row],[Date]])</f>
        <v>5</v>
      </c>
      <c r="C514" s="4">
        <v>45053</v>
      </c>
      <c r="D514" s="4">
        <v>45053</v>
      </c>
      <c r="E514" t="s">
        <v>595</v>
      </c>
      <c r="F514">
        <v>9.99</v>
      </c>
      <c r="G514" t="s">
        <v>16</v>
      </c>
      <c r="H514" t="s">
        <v>135</v>
      </c>
      <c r="I514" t="s">
        <v>18</v>
      </c>
      <c r="J514" t="s">
        <v>24</v>
      </c>
      <c r="K514" s="4">
        <v>45047</v>
      </c>
      <c r="L514">
        <v>2023</v>
      </c>
      <c r="M514" s="4">
        <v>45053</v>
      </c>
      <c r="N514">
        <v>1424.1</v>
      </c>
      <c r="O514">
        <v>5</v>
      </c>
    </row>
    <row r="515" spans="1:15" hidden="1" x14ac:dyDescent="0.25">
      <c r="A515" s="92">
        <v>513</v>
      </c>
      <c r="B515" s="47">
        <f>MONTH(dis_table[[#This Row],[Date]])</f>
        <v>5</v>
      </c>
      <c r="C515" s="4">
        <v>45053</v>
      </c>
      <c r="D515" s="4">
        <v>45053</v>
      </c>
      <c r="E515" t="s">
        <v>596</v>
      </c>
      <c r="F515">
        <v>38.14</v>
      </c>
      <c r="G515" t="s">
        <v>16</v>
      </c>
      <c r="H515" t="s">
        <v>597</v>
      </c>
      <c r="I515" t="s">
        <v>18</v>
      </c>
      <c r="J515" t="s">
        <v>19</v>
      </c>
      <c r="K515" s="4">
        <v>45047</v>
      </c>
      <c r="L515">
        <v>2023</v>
      </c>
      <c r="M515" s="4">
        <v>45053</v>
      </c>
      <c r="N515">
        <v>1462.24</v>
      </c>
      <c r="O515">
        <v>1</v>
      </c>
    </row>
    <row r="516" spans="1:15" hidden="1" x14ac:dyDescent="0.25">
      <c r="A516" s="92">
        <v>514</v>
      </c>
      <c r="B516" s="47">
        <f>MONTH(dis_table[[#This Row],[Date]])</f>
        <v>5</v>
      </c>
      <c r="C516" s="4">
        <v>45053</v>
      </c>
      <c r="D516" s="4">
        <v>45053</v>
      </c>
      <c r="E516" t="s">
        <v>598</v>
      </c>
      <c r="F516">
        <v>68.040000000000006</v>
      </c>
      <c r="G516" t="s">
        <v>34</v>
      </c>
      <c r="H516" t="s">
        <v>599</v>
      </c>
      <c r="I516" t="s">
        <v>12</v>
      </c>
      <c r="J516" t="s">
        <v>53</v>
      </c>
      <c r="K516" s="4">
        <v>45047</v>
      </c>
      <c r="L516">
        <v>2023</v>
      </c>
      <c r="M516" s="4">
        <v>45053</v>
      </c>
      <c r="N516">
        <v>1530.28</v>
      </c>
      <c r="O516">
        <v>1</v>
      </c>
    </row>
    <row r="517" spans="1:15" hidden="1" x14ac:dyDescent="0.25">
      <c r="A517" s="92">
        <v>515</v>
      </c>
      <c r="B517" s="47">
        <f>MONTH(dis_table[[#This Row],[Date]])</f>
        <v>5</v>
      </c>
      <c r="C517" s="4">
        <v>45053</v>
      </c>
      <c r="D517" s="4">
        <v>45053</v>
      </c>
      <c r="E517" t="s">
        <v>600</v>
      </c>
      <c r="F517">
        <v>4.75</v>
      </c>
      <c r="G517" t="s">
        <v>16</v>
      </c>
      <c r="H517" t="s">
        <v>14</v>
      </c>
      <c r="I517" t="s">
        <v>12</v>
      </c>
      <c r="J517" t="s">
        <v>13</v>
      </c>
      <c r="K517" s="4">
        <v>45047</v>
      </c>
      <c r="L517">
        <v>2023</v>
      </c>
      <c r="M517" s="4">
        <v>45053</v>
      </c>
      <c r="N517">
        <v>1535.03</v>
      </c>
      <c r="O517">
        <v>58</v>
      </c>
    </row>
    <row r="518" spans="1:15" hidden="1" x14ac:dyDescent="0.25">
      <c r="A518" s="92">
        <v>516</v>
      </c>
      <c r="B518" s="47">
        <f>MONTH(dis_table[[#This Row],[Date]])</f>
        <v>5</v>
      </c>
      <c r="C518" s="4">
        <v>45053</v>
      </c>
      <c r="D518" s="4">
        <v>45053</v>
      </c>
      <c r="E518" t="s">
        <v>601</v>
      </c>
      <c r="F518">
        <v>44.49</v>
      </c>
      <c r="G518" t="s">
        <v>34</v>
      </c>
      <c r="H518" t="s">
        <v>14</v>
      </c>
      <c r="I518" t="s">
        <v>12</v>
      </c>
      <c r="J518" t="s">
        <v>13</v>
      </c>
      <c r="K518" s="4">
        <v>45047</v>
      </c>
      <c r="L518">
        <v>2023</v>
      </c>
      <c r="M518" s="4">
        <v>45053</v>
      </c>
      <c r="N518">
        <v>1579.52</v>
      </c>
      <c r="O518">
        <v>59</v>
      </c>
    </row>
    <row r="519" spans="1:15" hidden="1" x14ac:dyDescent="0.25">
      <c r="A519" s="92">
        <v>517</v>
      </c>
      <c r="B519" s="47">
        <f>MONTH(dis_table[[#This Row],[Date]])</f>
        <v>5</v>
      </c>
      <c r="C519" s="4">
        <v>45053</v>
      </c>
      <c r="D519" s="4">
        <v>45053</v>
      </c>
      <c r="E519" t="s">
        <v>602</v>
      </c>
      <c r="F519">
        <v>40</v>
      </c>
      <c r="G519" t="s">
        <v>16</v>
      </c>
      <c r="H519" t="s">
        <v>599</v>
      </c>
      <c r="I519" t="s">
        <v>12</v>
      </c>
      <c r="J519" t="s">
        <v>53</v>
      </c>
      <c r="K519" s="4">
        <v>45047</v>
      </c>
      <c r="L519">
        <v>2023</v>
      </c>
      <c r="M519" s="4">
        <v>45053</v>
      </c>
      <c r="N519">
        <v>1619.52</v>
      </c>
      <c r="O519">
        <v>2</v>
      </c>
    </row>
    <row r="520" spans="1:15" hidden="1" x14ac:dyDescent="0.25">
      <c r="A520" s="92">
        <v>518</v>
      </c>
      <c r="B520" s="47">
        <f>MONTH(dis_table[[#This Row],[Date]])</f>
        <v>5</v>
      </c>
      <c r="C520" s="4">
        <v>45054</v>
      </c>
      <c r="D520" s="4">
        <v>45054</v>
      </c>
      <c r="E520" t="s">
        <v>604</v>
      </c>
      <c r="F520">
        <v>20</v>
      </c>
      <c r="G520" t="s">
        <v>36</v>
      </c>
      <c r="H520" t="s">
        <v>539</v>
      </c>
      <c r="I520" t="s">
        <v>12</v>
      </c>
      <c r="J520" t="s">
        <v>19</v>
      </c>
      <c r="K520" s="4">
        <v>45047</v>
      </c>
      <c r="L520">
        <v>2023</v>
      </c>
      <c r="M520" s="4">
        <v>45054</v>
      </c>
      <c r="N520">
        <v>1639.52</v>
      </c>
      <c r="O520">
        <v>6</v>
      </c>
    </row>
    <row r="521" spans="1:15" hidden="1" x14ac:dyDescent="0.25">
      <c r="A521" s="92">
        <v>519</v>
      </c>
      <c r="B521" s="47">
        <f>MONTH(dis_table[[#This Row],[Date]])</f>
        <v>5</v>
      </c>
      <c r="C521" s="4">
        <v>45054</v>
      </c>
      <c r="D521" s="4">
        <v>45054</v>
      </c>
      <c r="E521" t="s">
        <v>605</v>
      </c>
      <c r="F521">
        <v>13.35</v>
      </c>
      <c r="G521" t="s">
        <v>9</v>
      </c>
      <c r="H521" t="s">
        <v>10</v>
      </c>
      <c r="I521" t="s">
        <v>12</v>
      </c>
      <c r="J521" t="s">
        <v>13</v>
      </c>
      <c r="K521" s="4">
        <v>45047</v>
      </c>
      <c r="L521">
        <v>2023</v>
      </c>
      <c r="M521" s="4">
        <v>45054</v>
      </c>
      <c r="N521">
        <v>1652.87</v>
      </c>
      <c r="O521">
        <v>29</v>
      </c>
    </row>
    <row r="522" spans="1:15" hidden="1" x14ac:dyDescent="0.25">
      <c r="A522" s="92">
        <v>520</v>
      </c>
      <c r="B522" s="47">
        <f>MONTH(dis_table[[#This Row],[Date]])</f>
        <v>5</v>
      </c>
      <c r="C522" s="4">
        <v>45054</v>
      </c>
      <c r="D522" s="4">
        <v>45054</v>
      </c>
      <c r="E522" t="s">
        <v>603</v>
      </c>
      <c r="F522">
        <v>7.23</v>
      </c>
      <c r="G522" t="s">
        <v>29</v>
      </c>
      <c r="H522" t="s">
        <v>25</v>
      </c>
      <c r="I522" t="s">
        <v>12</v>
      </c>
      <c r="J522" t="s">
        <v>24</v>
      </c>
      <c r="K522" s="4">
        <v>45047</v>
      </c>
      <c r="L522">
        <v>2023</v>
      </c>
      <c r="M522" s="4">
        <v>45054</v>
      </c>
      <c r="N522">
        <v>1660.1</v>
      </c>
      <c r="O522">
        <v>9</v>
      </c>
    </row>
    <row r="523" spans="1:15" hidden="1" x14ac:dyDescent="0.25">
      <c r="A523" s="92">
        <v>521</v>
      </c>
      <c r="B523" s="47">
        <f>MONTH(dis_table[[#This Row],[Date]])</f>
        <v>5</v>
      </c>
      <c r="C523" s="4">
        <v>45055</v>
      </c>
      <c r="D523" s="4">
        <v>45055</v>
      </c>
      <c r="E523" t="s">
        <v>606</v>
      </c>
      <c r="F523">
        <v>60</v>
      </c>
      <c r="G523" t="s">
        <v>9</v>
      </c>
      <c r="H523" t="s">
        <v>14</v>
      </c>
      <c r="I523" t="s">
        <v>12</v>
      </c>
      <c r="J523" t="s">
        <v>13</v>
      </c>
      <c r="K523" s="4">
        <v>45047</v>
      </c>
      <c r="L523">
        <v>2023</v>
      </c>
      <c r="M523" s="4">
        <v>45055</v>
      </c>
      <c r="N523">
        <v>1720.1</v>
      </c>
      <c r="O523">
        <v>60</v>
      </c>
    </row>
    <row r="524" spans="1:15" hidden="1" x14ac:dyDescent="0.25">
      <c r="A524" s="92">
        <v>522</v>
      </c>
      <c r="B524" s="47">
        <f>MONTH(dis_table[[#This Row],[Date]])</f>
        <v>5</v>
      </c>
      <c r="C524" s="4">
        <v>45055</v>
      </c>
      <c r="D524" s="4">
        <v>45055</v>
      </c>
      <c r="E524" t="s">
        <v>358</v>
      </c>
      <c r="F524">
        <v>1</v>
      </c>
      <c r="G524" t="s">
        <v>36</v>
      </c>
      <c r="H524" t="s">
        <v>63</v>
      </c>
      <c r="I524" t="s">
        <v>12</v>
      </c>
      <c r="J524" t="s">
        <v>31</v>
      </c>
      <c r="K524" s="4">
        <v>45047</v>
      </c>
      <c r="L524">
        <v>2023</v>
      </c>
      <c r="M524" s="4">
        <v>45055</v>
      </c>
      <c r="N524">
        <v>1721.1</v>
      </c>
      <c r="O524">
        <v>16</v>
      </c>
    </row>
    <row r="525" spans="1:15" hidden="1" x14ac:dyDescent="0.25">
      <c r="A525" s="92">
        <v>523</v>
      </c>
      <c r="B525" s="47">
        <f>MONTH(dis_table[[#This Row],[Date]])</f>
        <v>5</v>
      </c>
      <c r="C525" s="4">
        <v>45055</v>
      </c>
      <c r="D525" s="4">
        <v>45055</v>
      </c>
      <c r="E525" t="s">
        <v>607</v>
      </c>
      <c r="F525">
        <v>72.989999999999995</v>
      </c>
      <c r="G525" t="s">
        <v>36</v>
      </c>
      <c r="H525" t="s">
        <v>54</v>
      </c>
      <c r="I525" t="s">
        <v>18</v>
      </c>
      <c r="J525" t="s">
        <v>19</v>
      </c>
      <c r="K525" s="4">
        <v>45047</v>
      </c>
      <c r="L525">
        <v>2023</v>
      </c>
      <c r="M525" s="4">
        <v>45055</v>
      </c>
      <c r="N525">
        <v>1794.09</v>
      </c>
      <c r="O525">
        <v>10</v>
      </c>
    </row>
    <row r="526" spans="1:15" hidden="1" x14ac:dyDescent="0.25">
      <c r="A526" s="92">
        <v>524</v>
      </c>
      <c r="B526" s="47">
        <f>MONTH(dis_table[[#This Row],[Date]])</f>
        <v>5</v>
      </c>
      <c r="C526" s="4">
        <v>45055</v>
      </c>
      <c r="D526" s="4">
        <v>45055</v>
      </c>
      <c r="E526" t="s">
        <v>608</v>
      </c>
      <c r="F526">
        <v>96.47</v>
      </c>
      <c r="G526" t="s">
        <v>9</v>
      </c>
      <c r="H526" t="s">
        <v>14</v>
      </c>
      <c r="I526" t="s">
        <v>12</v>
      </c>
      <c r="J526" t="s">
        <v>13</v>
      </c>
      <c r="K526" s="4">
        <v>45047</v>
      </c>
      <c r="L526">
        <v>2023</v>
      </c>
      <c r="M526" s="4">
        <v>45055</v>
      </c>
      <c r="N526">
        <v>1890.56</v>
      </c>
      <c r="O526">
        <v>61</v>
      </c>
    </row>
    <row r="527" spans="1:15" hidden="1" x14ac:dyDescent="0.25">
      <c r="A527" s="92">
        <v>525</v>
      </c>
      <c r="B527" s="47">
        <f>MONTH(dis_table[[#This Row],[Date]])</f>
        <v>5</v>
      </c>
      <c r="C527" s="4">
        <v>45055</v>
      </c>
      <c r="D527" s="4">
        <v>45055</v>
      </c>
      <c r="E527" t="s">
        <v>609</v>
      </c>
      <c r="F527">
        <v>38.18</v>
      </c>
      <c r="G527" t="s">
        <v>60</v>
      </c>
      <c r="H527" t="s">
        <v>131</v>
      </c>
      <c r="I527" t="s">
        <v>12</v>
      </c>
      <c r="J527" t="s">
        <v>37</v>
      </c>
      <c r="K527" s="4">
        <v>45047</v>
      </c>
      <c r="L527">
        <v>2023</v>
      </c>
      <c r="M527" s="4">
        <v>45055</v>
      </c>
      <c r="N527">
        <v>1928.74</v>
      </c>
      <c r="O527">
        <v>4</v>
      </c>
    </row>
    <row r="528" spans="1:15" hidden="1" x14ac:dyDescent="0.25">
      <c r="A528" s="92">
        <v>526</v>
      </c>
      <c r="B528" s="47">
        <f>MONTH(dis_table[[#This Row],[Date]])</f>
        <v>5</v>
      </c>
      <c r="C528" s="4">
        <v>45056</v>
      </c>
      <c r="D528" s="4">
        <v>45056</v>
      </c>
      <c r="E528" t="s">
        <v>554</v>
      </c>
      <c r="F528">
        <v>13.7</v>
      </c>
      <c r="G528" t="s">
        <v>9</v>
      </c>
      <c r="H528" t="s">
        <v>10</v>
      </c>
      <c r="I528" t="s">
        <v>12</v>
      </c>
      <c r="J528" t="s">
        <v>13</v>
      </c>
      <c r="K528" s="4">
        <v>45047</v>
      </c>
      <c r="L528">
        <v>2023</v>
      </c>
      <c r="M528" s="4">
        <v>45056</v>
      </c>
      <c r="N528">
        <v>1942.44</v>
      </c>
      <c r="O528">
        <v>30</v>
      </c>
    </row>
    <row r="529" spans="1:15" hidden="1" x14ac:dyDescent="0.25">
      <c r="A529" s="92">
        <v>527</v>
      </c>
      <c r="B529" s="47">
        <f>MONTH(dis_table[[#This Row],[Date]])</f>
        <v>5</v>
      </c>
      <c r="C529" s="4">
        <v>45056</v>
      </c>
      <c r="D529" s="4">
        <v>45056</v>
      </c>
      <c r="E529" t="s">
        <v>126</v>
      </c>
      <c r="F529">
        <v>61.62</v>
      </c>
      <c r="G529" t="s">
        <v>34</v>
      </c>
      <c r="H529" t="s">
        <v>35</v>
      </c>
      <c r="I529" t="s">
        <v>12</v>
      </c>
      <c r="J529" t="s">
        <v>13</v>
      </c>
      <c r="K529" s="4">
        <v>45047</v>
      </c>
      <c r="L529">
        <v>2023</v>
      </c>
      <c r="M529" s="4">
        <v>45056</v>
      </c>
      <c r="N529">
        <v>2004.06</v>
      </c>
      <c r="O529">
        <v>28</v>
      </c>
    </row>
    <row r="530" spans="1:15" hidden="1" x14ac:dyDescent="0.25">
      <c r="A530" s="92">
        <v>528</v>
      </c>
      <c r="B530" s="47">
        <f>MONTH(dis_table[[#This Row],[Date]])</f>
        <v>5</v>
      </c>
      <c r="C530" s="4">
        <v>45057</v>
      </c>
      <c r="D530" s="4">
        <v>45057</v>
      </c>
      <c r="E530" t="s">
        <v>569</v>
      </c>
      <c r="F530">
        <v>51.52</v>
      </c>
      <c r="G530" t="s">
        <v>16</v>
      </c>
      <c r="H530" t="s">
        <v>28</v>
      </c>
      <c r="I530" t="s">
        <v>12</v>
      </c>
      <c r="J530" t="s">
        <v>122</v>
      </c>
      <c r="K530" s="4">
        <v>45047</v>
      </c>
      <c r="L530">
        <v>2023</v>
      </c>
      <c r="M530" s="4">
        <v>45057</v>
      </c>
      <c r="N530">
        <v>2055.58</v>
      </c>
      <c r="O530">
        <v>14</v>
      </c>
    </row>
    <row r="531" spans="1:15" hidden="1" x14ac:dyDescent="0.25">
      <c r="A531" s="92">
        <v>529</v>
      </c>
      <c r="B531" s="47">
        <f>MONTH(dis_table[[#This Row],[Date]])</f>
        <v>5</v>
      </c>
      <c r="C531" s="4">
        <v>45057</v>
      </c>
      <c r="D531" s="4">
        <v>45057</v>
      </c>
      <c r="E531" t="s">
        <v>610</v>
      </c>
      <c r="F531">
        <v>35.68</v>
      </c>
      <c r="G531" t="s">
        <v>16</v>
      </c>
      <c r="H531" t="s">
        <v>21</v>
      </c>
      <c r="I531" t="s">
        <v>12</v>
      </c>
      <c r="J531" t="s">
        <v>24</v>
      </c>
      <c r="K531" s="4">
        <v>45047</v>
      </c>
      <c r="L531">
        <v>2023</v>
      </c>
      <c r="M531" s="4">
        <v>45057</v>
      </c>
      <c r="N531">
        <v>2091.2600000000002</v>
      </c>
      <c r="O531">
        <v>26</v>
      </c>
    </row>
    <row r="532" spans="1:15" hidden="1" x14ac:dyDescent="0.25">
      <c r="A532" s="92">
        <v>530</v>
      </c>
      <c r="B532" s="47">
        <f>MONTH(dis_table[[#This Row],[Date]])</f>
        <v>5</v>
      </c>
      <c r="C532" s="4">
        <v>45057</v>
      </c>
      <c r="D532" s="4">
        <v>45057</v>
      </c>
      <c r="E532" t="s">
        <v>611</v>
      </c>
      <c r="F532">
        <v>16.95</v>
      </c>
      <c r="G532" t="s">
        <v>16</v>
      </c>
      <c r="H532" t="s">
        <v>33</v>
      </c>
      <c r="I532" t="s">
        <v>18</v>
      </c>
      <c r="J532" t="s">
        <v>19</v>
      </c>
      <c r="K532" s="4">
        <v>45047</v>
      </c>
      <c r="L532">
        <v>2023</v>
      </c>
      <c r="M532" s="4">
        <v>45057</v>
      </c>
      <c r="N532">
        <v>2108.21</v>
      </c>
      <c r="O532">
        <v>6</v>
      </c>
    </row>
    <row r="533" spans="1:15" hidden="1" x14ac:dyDescent="0.25">
      <c r="A533" s="92">
        <v>531</v>
      </c>
      <c r="B533" s="47">
        <f>MONTH(dis_table[[#This Row],[Date]])</f>
        <v>5</v>
      </c>
      <c r="C533" s="4">
        <v>45057</v>
      </c>
      <c r="D533" s="4">
        <v>45057</v>
      </c>
      <c r="E533" t="s">
        <v>81</v>
      </c>
      <c r="F533">
        <v>9.66</v>
      </c>
      <c r="G533" t="s">
        <v>16</v>
      </c>
      <c r="H533" t="s">
        <v>45</v>
      </c>
      <c r="I533" t="s">
        <v>12</v>
      </c>
      <c r="J533" t="s">
        <v>19</v>
      </c>
      <c r="K533" s="4">
        <v>45047</v>
      </c>
      <c r="L533">
        <v>2023</v>
      </c>
      <c r="M533" s="4">
        <v>45057</v>
      </c>
      <c r="N533">
        <v>2117.87</v>
      </c>
      <c r="O533">
        <v>29</v>
      </c>
    </row>
    <row r="534" spans="1:15" hidden="1" x14ac:dyDescent="0.25">
      <c r="A534" s="92">
        <v>532</v>
      </c>
      <c r="B534" s="47">
        <f>MONTH(dis_table[[#This Row],[Date]])</f>
        <v>5</v>
      </c>
      <c r="C534" s="4">
        <v>45057</v>
      </c>
      <c r="D534" s="4">
        <v>45057</v>
      </c>
      <c r="E534" t="s">
        <v>70</v>
      </c>
      <c r="F534">
        <v>1</v>
      </c>
      <c r="G534" t="s">
        <v>22</v>
      </c>
      <c r="H534" t="s">
        <v>42</v>
      </c>
      <c r="I534" t="s">
        <v>12</v>
      </c>
      <c r="J534" t="s">
        <v>31</v>
      </c>
      <c r="K534" s="4">
        <v>45047</v>
      </c>
      <c r="L534">
        <v>2023</v>
      </c>
      <c r="M534" s="4">
        <v>45057</v>
      </c>
      <c r="N534">
        <v>2118.87</v>
      </c>
      <c r="O534">
        <v>44</v>
      </c>
    </row>
    <row r="535" spans="1:15" hidden="1" x14ac:dyDescent="0.25">
      <c r="A535" s="92">
        <v>533</v>
      </c>
      <c r="B535" s="47">
        <f>MONTH(dis_table[[#This Row],[Date]])</f>
        <v>5</v>
      </c>
      <c r="C535" s="4">
        <v>45057</v>
      </c>
      <c r="D535" s="4">
        <v>45057</v>
      </c>
      <c r="E535" t="s">
        <v>70</v>
      </c>
      <c r="F535">
        <v>3</v>
      </c>
      <c r="G535" t="s">
        <v>22</v>
      </c>
      <c r="H535" t="s">
        <v>42</v>
      </c>
      <c r="I535" t="s">
        <v>12</v>
      </c>
      <c r="J535" t="s">
        <v>31</v>
      </c>
      <c r="K535" s="4">
        <v>45047</v>
      </c>
      <c r="L535">
        <v>2023</v>
      </c>
      <c r="M535" s="4">
        <v>45057</v>
      </c>
      <c r="N535">
        <v>2121.87</v>
      </c>
      <c r="O535">
        <v>45</v>
      </c>
    </row>
    <row r="536" spans="1:15" hidden="1" x14ac:dyDescent="0.25">
      <c r="A536" s="92">
        <v>534</v>
      </c>
      <c r="B536" s="47">
        <f>MONTH(dis_table[[#This Row],[Date]])</f>
        <v>5</v>
      </c>
      <c r="C536" s="4">
        <v>45057</v>
      </c>
      <c r="D536" s="4">
        <v>45057</v>
      </c>
      <c r="E536" t="s">
        <v>70</v>
      </c>
      <c r="F536">
        <v>13.9</v>
      </c>
      <c r="G536" t="s">
        <v>22</v>
      </c>
      <c r="H536" t="s">
        <v>42</v>
      </c>
      <c r="I536" t="s">
        <v>12</v>
      </c>
      <c r="J536" t="s">
        <v>31</v>
      </c>
      <c r="K536" s="4">
        <v>45047</v>
      </c>
      <c r="L536">
        <v>2023</v>
      </c>
      <c r="M536" s="4">
        <v>45057</v>
      </c>
      <c r="N536">
        <v>2135.77</v>
      </c>
      <c r="O536">
        <v>46</v>
      </c>
    </row>
    <row r="537" spans="1:15" hidden="1" x14ac:dyDescent="0.25">
      <c r="A537" s="92">
        <v>535</v>
      </c>
      <c r="B537" s="47">
        <f>MONTH(dis_table[[#This Row],[Date]])</f>
        <v>5</v>
      </c>
      <c r="C537" s="4">
        <v>45057</v>
      </c>
      <c r="D537" s="4">
        <v>45057</v>
      </c>
      <c r="E537" t="s">
        <v>70</v>
      </c>
      <c r="F537">
        <v>14.98</v>
      </c>
      <c r="G537" t="s">
        <v>22</v>
      </c>
      <c r="H537" t="s">
        <v>42</v>
      </c>
      <c r="I537" t="s">
        <v>12</v>
      </c>
      <c r="J537" t="s">
        <v>31</v>
      </c>
      <c r="K537" s="4">
        <v>45047</v>
      </c>
      <c r="L537">
        <v>2023</v>
      </c>
      <c r="M537" s="4">
        <v>45057</v>
      </c>
      <c r="N537">
        <v>2150.75</v>
      </c>
      <c r="O537">
        <v>47</v>
      </c>
    </row>
    <row r="538" spans="1:15" hidden="1" x14ac:dyDescent="0.25">
      <c r="A538" s="92">
        <v>536</v>
      </c>
      <c r="B538" s="47">
        <f>MONTH(dis_table[[#This Row],[Date]])</f>
        <v>5</v>
      </c>
      <c r="C538" s="4">
        <v>45058</v>
      </c>
      <c r="D538" s="4">
        <v>45058</v>
      </c>
      <c r="E538" t="s">
        <v>616</v>
      </c>
      <c r="F538">
        <v>77.94</v>
      </c>
      <c r="G538" t="s">
        <v>22</v>
      </c>
      <c r="H538" t="s">
        <v>80</v>
      </c>
      <c r="I538" t="s">
        <v>12</v>
      </c>
      <c r="J538" t="s">
        <v>19</v>
      </c>
      <c r="K538" s="4">
        <v>45047</v>
      </c>
      <c r="L538">
        <v>2023</v>
      </c>
      <c r="M538" s="4">
        <v>45058</v>
      </c>
      <c r="N538">
        <v>2228.69</v>
      </c>
      <c r="O538">
        <v>3</v>
      </c>
    </row>
    <row r="539" spans="1:15" hidden="1" x14ac:dyDescent="0.25">
      <c r="A539" s="92">
        <v>537</v>
      </c>
      <c r="B539" s="47">
        <f>MONTH(dis_table[[#This Row],[Date]])</f>
        <v>5</v>
      </c>
      <c r="C539" s="4">
        <v>45058</v>
      </c>
      <c r="D539" s="4">
        <v>45058</v>
      </c>
      <c r="E539" t="s">
        <v>614</v>
      </c>
      <c r="F539">
        <v>10</v>
      </c>
      <c r="G539" t="s">
        <v>16</v>
      </c>
      <c r="H539" t="s">
        <v>66</v>
      </c>
      <c r="I539" t="s">
        <v>12</v>
      </c>
      <c r="J539" t="s">
        <v>24</v>
      </c>
      <c r="K539" s="4">
        <v>45047</v>
      </c>
      <c r="L539">
        <v>2023</v>
      </c>
      <c r="M539" s="4">
        <v>45058</v>
      </c>
      <c r="N539">
        <v>2238.69</v>
      </c>
      <c r="O539">
        <v>9</v>
      </c>
    </row>
    <row r="540" spans="1:15" hidden="1" x14ac:dyDescent="0.25">
      <c r="A540" s="92">
        <v>538</v>
      </c>
      <c r="B540" s="47">
        <f>MONTH(dis_table[[#This Row],[Date]])</f>
        <v>5</v>
      </c>
      <c r="C540" s="4">
        <v>45058</v>
      </c>
      <c r="D540" s="4">
        <v>45058</v>
      </c>
      <c r="E540" t="s">
        <v>615</v>
      </c>
      <c r="F540">
        <v>117.32</v>
      </c>
      <c r="G540" t="s">
        <v>16</v>
      </c>
      <c r="H540" t="s">
        <v>539</v>
      </c>
      <c r="I540" t="s">
        <v>12</v>
      </c>
      <c r="J540" t="s">
        <v>19</v>
      </c>
      <c r="K540" s="4">
        <v>45047</v>
      </c>
      <c r="L540">
        <v>2023</v>
      </c>
      <c r="M540" s="4">
        <v>45058</v>
      </c>
      <c r="N540">
        <v>2356.0100000000002</v>
      </c>
      <c r="O540">
        <v>7</v>
      </c>
    </row>
    <row r="541" spans="1:15" hidden="1" x14ac:dyDescent="0.25">
      <c r="A541" s="92">
        <v>539</v>
      </c>
      <c r="B541" s="47">
        <f>MONTH(dis_table[[#This Row],[Date]])</f>
        <v>5</v>
      </c>
      <c r="C541" s="4">
        <v>45058</v>
      </c>
      <c r="D541" s="4">
        <v>45058</v>
      </c>
      <c r="E541" t="s">
        <v>612</v>
      </c>
      <c r="F541">
        <v>45.3</v>
      </c>
      <c r="G541" t="s">
        <v>9</v>
      </c>
      <c r="H541" t="s">
        <v>14</v>
      </c>
      <c r="I541" t="s">
        <v>12</v>
      </c>
      <c r="J541" t="s">
        <v>13</v>
      </c>
      <c r="K541" s="4">
        <v>45047</v>
      </c>
      <c r="L541">
        <v>2023</v>
      </c>
      <c r="M541" s="4">
        <v>45058</v>
      </c>
      <c r="N541">
        <v>2401.31</v>
      </c>
      <c r="O541">
        <v>62</v>
      </c>
    </row>
    <row r="542" spans="1:15" hidden="1" x14ac:dyDescent="0.25">
      <c r="A542" s="92">
        <v>540</v>
      </c>
      <c r="B542" s="47">
        <f>MONTH(dis_table[[#This Row],[Date]])</f>
        <v>5</v>
      </c>
      <c r="C542" s="4">
        <v>45058</v>
      </c>
      <c r="D542" s="4">
        <v>45058</v>
      </c>
      <c r="E542" t="s">
        <v>613</v>
      </c>
      <c r="F542">
        <v>36.54</v>
      </c>
      <c r="G542" t="s">
        <v>16</v>
      </c>
      <c r="H542" t="s">
        <v>66</v>
      </c>
      <c r="I542" t="s">
        <v>12</v>
      </c>
      <c r="J542" t="s">
        <v>24</v>
      </c>
      <c r="K542" s="4">
        <v>45047</v>
      </c>
      <c r="L542">
        <v>2023</v>
      </c>
      <c r="M542" s="4">
        <v>45058</v>
      </c>
      <c r="N542">
        <v>2437.85</v>
      </c>
      <c r="O542">
        <v>10</v>
      </c>
    </row>
    <row r="543" spans="1:15" hidden="1" x14ac:dyDescent="0.25">
      <c r="A543" s="92">
        <v>541</v>
      </c>
      <c r="B543" s="47">
        <f>MONTH(dis_table[[#This Row],[Date]])</f>
        <v>5</v>
      </c>
      <c r="C543" s="4">
        <v>45059</v>
      </c>
      <c r="D543" s="4">
        <v>45059</v>
      </c>
      <c r="E543" t="s">
        <v>617</v>
      </c>
      <c r="F543">
        <v>8.8000000000000007</v>
      </c>
      <c r="G543" t="s">
        <v>9</v>
      </c>
      <c r="H543" t="s">
        <v>14</v>
      </c>
      <c r="I543" t="s">
        <v>12</v>
      </c>
      <c r="J543" t="s">
        <v>13</v>
      </c>
      <c r="K543" s="4">
        <v>45047</v>
      </c>
      <c r="L543">
        <v>2023</v>
      </c>
      <c r="M543" s="4">
        <v>45059</v>
      </c>
      <c r="N543">
        <v>2446.650000000001</v>
      </c>
      <c r="O543">
        <v>63</v>
      </c>
    </row>
    <row r="544" spans="1:15" hidden="1" x14ac:dyDescent="0.25">
      <c r="A544" s="92">
        <v>542</v>
      </c>
      <c r="B544" s="47">
        <f>MONTH(dis_table[[#This Row],[Date]])</f>
        <v>5</v>
      </c>
      <c r="C544" s="4">
        <v>45059</v>
      </c>
      <c r="D544" s="4">
        <v>45059</v>
      </c>
      <c r="E544" t="s">
        <v>618</v>
      </c>
      <c r="F544">
        <v>190.4</v>
      </c>
      <c r="G544" t="s">
        <v>22</v>
      </c>
      <c r="H544" t="s">
        <v>134</v>
      </c>
      <c r="I544" t="s">
        <v>12</v>
      </c>
      <c r="J544" t="s">
        <v>68</v>
      </c>
      <c r="K544" s="4">
        <v>45047</v>
      </c>
      <c r="L544">
        <v>2023</v>
      </c>
      <c r="M544" s="4">
        <v>45059</v>
      </c>
      <c r="N544">
        <v>2637.0500000000011</v>
      </c>
      <c r="O544">
        <v>3</v>
      </c>
    </row>
    <row r="545" spans="1:15" hidden="1" x14ac:dyDescent="0.25">
      <c r="A545" s="92">
        <v>543</v>
      </c>
      <c r="B545" s="47">
        <f>MONTH(dis_table[[#This Row],[Date]])</f>
        <v>5</v>
      </c>
      <c r="C545" s="4">
        <v>45059</v>
      </c>
      <c r="D545" s="4">
        <v>45059</v>
      </c>
      <c r="E545" t="s">
        <v>619</v>
      </c>
      <c r="F545">
        <v>35.72</v>
      </c>
      <c r="G545" t="s">
        <v>9</v>
      </c>
      <c r="H545" t="s">
        <v>14</v>
      </c>
      <c r="I545" t="s">
        <v>12</v>
      </c>
      <c r="J545" t="s">
        <v>13</v>
      </c>
      <c r="K545" s="4">
        <v>45047</v>
      </c>
      <c r="L545">
        <v>2023</v>
      </c>
      <c r="M545" s="4">
        <v>45059</v>
      </c>
      <c r="N545">
        <v>2672.77</v>
      </c>
      <c r="O545">
        <v>64</v>
      </c>
    </row>
    <row r="546" spans="1:15" hidden="1" x14ac:dyDescent="0.25">
      <c r="A546" s="92">
        <v>544</v>
      </c>
      <c r="B546" s="47">
        <f>MONTH(dis_table[[#This Row],[Date]])</f>
        <v>5</v>
      </c>
      <c r="C546" s="4">
        <v>45059</v>
      </c>
      <c r="D546" s="4">
        <v>45059</v>
      </c>
      <c r="E546" t="s">
        <v>620</v>
      </c>
      <c r="F546">
        <v>5.29</v>
      </c>
      <c r="G546" t="s">
        <v>9</v>
      </c>
      <c r="H546" t="s">
        <v>14</v>
      </c>
      <c r="I546" t="s">
        <v>12</v>
      </c>
      <c r="J546" t="s">
        <v>13</v>
      </c>
      <c r="K546" s="4">
        <v>45047</v>
      </c>
      <c r="L546">
        <v>2023</v>
      </c>
      <c r="M546" s="4">
        <v>45059</v>
      </c>
      <c r="N546">
        <v>2678.06</v>
      </c>
      <c r="O546">
        <v>65</v>
      </c>
    </row>
    <row r="547" spans="1:15" hidden="1" x14ac:dyDescent="0.25">
      <c r="A547" s="92">
        <v>545</v>
      </c>
      <c r="B547" s="47">
        <f>MONTH(dis_table[[#This Row],[Date]])</f>
        <v>5</v>
      </c>
      <c r="C547" s="4">
        <v>45059</v>
      </c>
      <c r="D547" s="4">
        <v>45059</v>
      </c>
      <c r="E547" t="s">
        <v>70</v>
      </c>
      <c r="F547">
        <v>16.73</v>
      </c>
      <c r="G547" t="s">
        <v>22</v>
      </c>
      <c r="H547" t="s">
        <v>42</v>
      </c>
      <c r="I547" t="s">
        <v>12</v>
      </c>
      <c r="J547" t="s">
        <v>31</v>
      </c>
      <c r="K547" s="4">
        <v>45047</v>
      </c>
      <c r="L547">
        <v>2023</v>
      </c>
      <c r="M547" s="4">
        <v>45059</v>
      </c>
      <c r="N547">
        <v>2694.79</v>
      </c>
      <c r="O547">
        <v>48</v>
      </c>
    </row>
    <row r="548" spans="1:15" hidden="1" x14ac:dyDescent="0.25">
      <c r="A548" s="92">
        <v>546</v>
      </c>
      <c r="B548" s="47">
        <f>MONTH(dis_table[[#This Row],[Date]])</f>
        <v>5</v>
      </c>
      <c r="C548" s="4">
        <v>45059</v>
      </c>
      <c r="D548" s="4">
        <v>45059</v>
      </c>
      <c r="E548" t="s">
        <v>70</v>
      </c>
      <c r="F548">
        <v>18.93</v>
      </c>
      <c r="G548" t="s">
        <v>22</v>
      </c>
      <c r="H548" t="s">
        <v>42</v>
      </c>
      <c r="I548" t="s">
        <v>12</v>
      </c>
      <c r="J548" t="s">
        <v>31</v>
      </c>
      <c r="K548" s="4">
        <v>45047</v>
      </c>
      <c r="L548">
        <v>2023</v>
      </c>
      <c r="M548" s="4">
        <v>45059</v>
      </c>
      <c r="N548">
        <v>2713.72</v>
      </c>
      <c r="O548">
        <v>49</v>
      </c>
    </row>
    <row r="549" spans="1:15" hidden="1" x14ac:dyDescent="0.25">
      <c r="A549" s="92">
        <v>547</v>
      </c>
      <c r="B549" s="47">
        <f>MONTH(dis_table[[#This Row],[Date]])</f>
        <v>5</v>
      </c>
      <c r="C549" s="4">
        <v>45059</v>
      </c>
      <c r="D549" s="4">
        <v>45059</v>
      </c>
      <c r="E549" t="s">
        <v>621</v>
      </c>
      <c r="F549">
        <v>5</v>
      </c>
      <c r="G549" t="s">
        <v>22</v>
      </c>
      <c r="H549" t="s">
        <v>42</v>
      </c>
      <c r="I549" t="s">
        <v>12</v>
      </c>
      <c r="J549" t="s">
        <v>31</v>
      </c>
      <c r="K549" s="4">
        <v>45047</v>
      </c>
      <c r="L549">
        <v>2023</v>
      </c>
      <c r="M549" s="4">
        <v>45059</v>
      </c>
      <c r="N549">
        <v>2718.72</v>
      </c>
      <c r="O549">
        <v>50</v>
      </c>
    </row>
    <row r="550" spans="1:15" hidden="1" x14ac:dyDescent="0.25">
      <c r="A550" s="92">
        <v>548</v>
      </c>
      <c r="B550" s="47">
        <f>MONTH(dis_table[[#This Row],[Date]])</f>
        <v>5</v>
      </c>
      <c r="C550" s="4">
        <v>45059</v>
      </c>
      <c r="D550" s="4">
        <v>45059</v>
      </c>
      <c r="E550" t="s">
        <v>621</v>
      </c>
      <c r="F550">
        <v>66.92</v>
      </c>
      <c r="G550" t="s">
        <v>22</v>
      </c>
      <c r="H550" t="s">
        <v>42</v>
      </c>
      <c r="I550" t="s">
        <v>12</v>
      </c>
      <c r="J550" t="s">
        <v>31</v>
      </c>
      <c r="K550" s="4">
        <v>45047</v>
      </c>
      <c r="L550">
        <v>2023</v>
      </c>
      <c r="M550" s="4">
        <v>45059</v>
      </c>
      <c r="N550">
        <v>2785.64</v>
      </c>
      <c r="O550">
        <v>51</v>
      </c>
    </row>
    <row r="551" spans="1:15" hidden="1" x14ac:dyDescent="0.25">
      <c r="A551" s="92">
        <v>549</v>
      </c>
      <c r="B551" s="47">
        <f>MONTH(dis_table[[#This Row],[Date]])</f>
        <v>5</v>
      </c>
      <c r="C551" s="4">
        <v>45059</v>
      </c>
      <c r="D551" s="4">
        <v>45059</v>
      </c>
      <c r="E551" t="s">
        <v>70</v>
      </c>
      <c r="F551">
        <v>42.98</v>
      </c>
      <c r="G551" t="s">
        <v>22</v>
      </c>
      <c r="H551" t="s">
        <v>42</v>
      </c>
      <c r="I551" t="s">
        <v>12</v>
      </c>
      <c r="J551" t="s">
        <v>31</v>
      </c>
      <c r="K551" s="4">
        <v>45047</v>
      </c>
      <c r="L551">
        <v>2023</v>
      </c>
      <c r="M551" s="4">
        <v>45059</v>
      </c>
      <c r="N551">
        <v>2828.62</v>
      </c>
      <c r="O551">
        <v>52</v>
      </c>
    </row>
    <row r="552" spans="1:15" hidden="1" x14ac:dyDescent="0.25">
      <c r="A552" s="92">
        <v>550</v>
      </c>
      <c r="B552" s="47">
        <f>MONTH(dis_table[[#This Row],[Date]])</f>
        <v>5</v>
      </c>
      <c r="C552" s="4">
        <v>45060</v>
      </c>
      <c r="D552" s="4">
        <v>45060</v>
      </c>
      <c r="E552" t="s">
        <v>70</v>
      </c>
      <c r="F552">
        <v>15.94</v>
      </c>
      <c r="G552" t="s">
        <v>22</v>
      </c>
      <c r="H552" t="s">
        <v>42</v>
      </c>
      <c r="I552" t="s">
        <v>12</v>
      </c>
      <c r="J552" t="s">
        <v>31</v>
      </c>
      <c r="K552" s="4">
        <v>45047</v>
      </c>
      <c r="L552">
        <v>2023</v>
      </c>
      <c r="M552" s="4">
        <v>45060</v>
      </c>
      <c r="N552">
        <v>2844.56</v>
      </c>
      <c r="O552">
        <v>53</v>
      </c>
    </row>
    <row r="553" spans="1:15" hidden="1" x14ac:dyDescent="0.25">
      <c r="A553" s="92">
        <v>551</v>
      </c>
      <c r="B553" s="47">
        <f>MONTH(dis_table[[#This Row],[Date]])</f>
        <v>5</v>
      </c>
      <c r="C553" s="4">
        <v>45060</v>
      </c>
      <c r="D553" s="4">
        <v>45060</v>
      </c>
      <c r="E553" t="s">
        <v>622</v>
      </c>
      <c r="F553">
        <v>51.25</v>
      </c>
      <c r="G553" t="s">
        <v>16</v>
      </c>
      <c r="H553" t="s">
        <v>72</v>
      </c>
      <c r="I553" t="s">
        <v>12</v>
      </c>
      <c r="J553" t="s">
        <v>24</v>
      </c>
      <c r="K553" s="4">
        <v>45047</v>
      </c>
      <c r="L553">
        <v>2023</v>
      </c>
      <c r="M553" s="4">
        <v>45060</v>
      </c>
      <c r="N553">
        <v>2895.81</v>
      </c>
      <c r="O553">
        <v>7</v>
      </c>
    </row>
    <row r="554" spans="1:15" hidden="1" x14ac:dyDescent="0.25">
      <c r="A554" s="92">
        <v>552</v>
      </c>
      <c r="B554" s="47">
        <f>MONTH(dis_table[[#This Row],[Date]])</f>
        <v>5</v>
      </c>
      <c r="C554" s="4">
        <v>45060</v>
      </c>
      <c r="D554" s="4">
        <v>45060</v>
      </c>
      <c r="E554" t="s">
        <v>623</v>
      </c>
      <c r="F554">
        <v>19.53</v>
      </c>
      <c r="G554" t="s">
        <v>34</v>
      </c>
      <c r="H554" t="s">
        <v>14</v>
      </c>
      <c r="I554" t="s">
        <v>12</v>
      </c>
      <c r="J554" t="s">
        <v>13</v>
      </c>
      <c r="K554" s="4">
        <v>45047</v>
      </c>
      <c r="L554">
        <v>2023</v>
      </c>
      <c r="M554" s="4">
        <v>45060</v>
      </c>
      <c r="N554">
        <v>2915.3400000000011</v>
      </c>
      <c r="O554">
        <v>66</v>
      </c>
    </row>
    <row r="555" spans="1:15" hidden="1" x14ac:dyDescent="0.25">
      <c r="A555" s="92">
        <v>553</v>
      </c>
      <c r="B555" s="47">
        <f>MONTH(dis_table[[#This Row],[Date]])</f>
        <v>5</v>
      </c>
      <c r="C555" s="4">
        <v>45060</v>
      </c>
      <c r="D555" s="4">
        <v>45060</v>
      </c>
      <c r="E555" t="s">
        <v>624</v>
      </c>
      <c r="F555">
        <v>10.68</v>
      </c>
      <c r="G555" t="s">
        <v>34</v>
      </c>
      <c r="H555" t="s">
        <v>14</v>
      </c>
      <c r="I555" t="s">
        <v>12</v>
      </c>
      <c r="J555" t="s">
        <v>13</v>
      </c>
      <c r="K555" s="4">
        <v>45047</v>
      </c>
      <c r="L555">
        <v>2023</v>
      </c>
      <c r="M555" s="4">
        <v>45060</v>
      </c>
      <c r="N555">
        <v>2926.02</v>
      </c>
      <c r="O555">
        <v>67</v>
      </c>
    </row>
    <row r="556" spans="1:15" hidden="1" x14ac:dyDescent="0.25">
      <c r="A556" s="92">
        <v>554</v>
      </c>
      <c r="B556" s="47">
        <f>MONTH(dis_table[[#This Row],[Date]])</f>
        <v>5</v>
      </c>
      <c r="C556" s="4">
        <v>45060</v>
      </c>
      <c r="D556" s="4">
        <v>45060</v>
      </c>
      <c r="E556" t="s">
        <v>625</v>
      </c>
      <c r="F556">
        <v>19.16</v>
      </c>
      <c r="G556" t="s">
        <v>9</v>
      </c>
      <c r="H556" t="s">
        <v>14</v>
      </c>
      <c r="I556" t="s">
        <v>12</v>
      </c>
      <c r="J556" t="s">
        <v>13</v>
      </c>
      <c r="K556" s="4">
        <v>45047</v>
      </c>
      <c r="L556">
        <v>2023</v>
      </c>
      <c r="M556" s="4">
        <v>45060</v>
      </c>
      <c r="N556">
        <v>2945.18</v>
      </c>
      <c r="O556">
        <v>68</v>
      </c>
    </row>
    <row r="557" spans="1:15" hidden="1" x14ac:dyDescent="0.25">
      <c r="A557" s="92">
        <v>555</v>
      </c>
      <c r="B557" s="47">
        <f>MONTH(dis_table[[#This Row],[Date]])</f>
        <v>5</v>
      </c>
      <c r="C557" s="4">
        <v>45060</v>
      </c>
      <c r="D557" s="4">
        <v>45060</v>
      </c>
      <c r="E557" t="s">
        <v>70</v>
      </c>
      <c r="F557">
        <v>5</v>
      </c>
      <c r="G557" t="s">
        <v>22</v>
      </c>
      <c r="H557" t="s">
        <v>42</v>
      </c>
      <c r="I557" t="s">
        <v>12</v>
      </c>
      <c r="J557" t="s">
        <v>31</v>
      </c>
      <c r="K557" s="4">
        <v>45047</v>
      </c>
      <c r="L557">
        <v>2023</v>
      </c>
      <c r="M557" s="4">
        <v>45060</v>
      </c>
      <c r="N557">
        <v>2950.18</v>
      </c>
      <c r="O557">
        <v>54</v>
      </c>
    </row>
    <row r="558" spans="1:15" hidden="1" x14ac:dyDescent="0.25">
      <c r="A558" s="92">
        <v>556</v>
      </c>
      <c r="B558" s="47">
        <f>MONTH(dis_table[[#This Row],[Date]])</f>
        <v>5</v>
      </c>
      <c r="C558" s="4">
        <v>45061</v>
      </c>
      <c r="D558" s="4">
        <v>45061</v>
      </c>
      <c r="E558" t="s">
        <v>626</v>
      </c>
      <c r="F558">
        <v>86.99</v>
      </c>
      <c r="G558" t="s">
        <v>22</v>
      </c>
      <c r="H558" t="s">
        <v>42</v>
      </c>
      <c r="I558" t="s">
        <v>12</v>
      </c>
      <c r="J558" t="s">
        <v>31</v>
      </c>
      <c r="K558" s="4">
        <v>45047</v>
      </c>
      <c r="L558">
        <v>2023</v>
      </c>
      <c r="M558" s="4">
        <v>45061</v>
      </c>
      <c r="N558">
        <v>3037.17</v>
      </c>
      <c r="O558">
        <v>55</v>
      </c>
    </row>
    <row r="559" spans="1:15" hidden="1" x14ac:dyDescent="0.25">
      <c r="A559" s="92">
        <v>557</v>
      </c>
      <c r="B559" s="47">
        <f>MONTH(dis_table[[#This Row],[Date]])</f>
        <v>5</v>
      </c>
      <c r="C559" s="4">
        <v>45061</v>
      </c>
      <c r="D559" s="4">
        <v>45061</v>
      </c>
      <c r="E559" t="s">
        <v>530</v>
      </c>
      <c r="F559">
        <v>33.82</v>
      </c>
      <c r="G559" t="s">
        <v>58</v>
      </c>
      <c r="H559" t="s">
        <v>531</v>
      </c>
      <c r="I559" t="s">
        <v>12</v>
      </c>
      <c r="J559" t="s">
        <v>59</v>
      </c>
      <c r="K559" s="4">
        <v>45047</v>
      </c>
      <c r="L559">
        <v>2023</v>
      </c>
      <c r="M559" s="4">
        <v>45061</v>
      </c>
      <c r="N559">
        <v>3070.99</v>
      </c>
      <c r="O559">
        <v>3</v>
      </c>
    </row>
    <row r="560" spans="1:15" hidden="1" x14ac:dyDescent="0.25">
      <c r="A560" s="92">
        <v>558</v>
      </c>
      <c r="B560" s="47">
        <f>MONTH(dis_table[[#This Row],[Date]])</f>
        <v>5</v>
      </c>
      <c r="C560" s="4">
        <v>45062</v>
      </c>
      <c r="D560" s="4">
        <v>45062</v>
      </c>
      <c r="E560" t="s">
        <v>627</v>
      </c>
      <c r="F560">
        <v>22.08</v>
      </c>
      <c r="G560" t="s">
        <v>16</v>
      </c>
      <c r="H560" t="s">
        <v>133</v>
      </c>
      <c r="I560" t="s">
        <v>12</v>
      </c>
      <c r="J560" t="s">
        <v>24</v>
      </c>
      <c r="K560" s="4">
        <v>45047</v>
      </c>
      <c r="L560">
        <v>2023</v>
      </c>
      <c r="M560" s="4">
        <v>45062</v>
      </c>
      <c r="N560">
        <v>3093.07</v>
      </c>
      <c r="O560">
        <v>24</v>
      </c>
    </row>
    <row r="561" spans="1:15" hidden="1" x14ac:dyDescent="0.25">
      <c r="A561" s="92">
        <v>559</v>
      </c>
      <c r="B561" s="47">
        <f>MONTH(dis_table[[#This Row],[Date]])</f>
        <v>5</v>
      </c>
      <c r="C561" s="4">
        <v>45062</v>
      </c>
      <c r="D561" s="4">
        <v>45062</v>
      </c>
      <c r="E561" t="s">
        <v>50</v>
      </c>
      <c r="F561">
        <v>88.02</v>
      </c>
      <c r="G561" t="s">
        <v>16</v>
      </c>
      <c r="H561" t="s">
        <v>51</v>
      </c>
      <c r="I561" t="s">
        <v>18</v>
      </c>
      <c r="J561" t="s">
        <v>52</v>
      </c>
      <c r="K561" s="4">
        <v>45047</v>
      </c>
      <c r="L561">
        <v>2023</v>
      </c>
      <c r="M561" s="4">
        <v>45062</v>
      </c>
      <c r="N561">
        <v>3181.09</v>
      </c>
      <c r="O561">
        <v>5</v>
      </c>
    </row>
    <row r="562" spans="1:15" hidden="1" x14ac:dyDescent="0.25">
      <c r="A562" s="92">
        <v>560</v>
      </c>
      <c r="B562" s="47">
        <f>MONTH(dis_table[[#This Row],[Date]])</f>
        <v>5</v>
      </c>
      <c r="C562" s="4">
        <v>45062</v>
      </c>
      <c r="D562" s="4">
        <v>45062</v>
      </c>
      <c r="E562" t="s">
        <v>360</v>
      </c>
      <c r="F562">
        <v>163.03</v>
      </c>
      <c r="G562" t="s">
        <v>34</v>
      </c>
      <c r="H562" t="s">
        <v>35</v>
      </c>
      <c r="I562" t="s">
        <v>12</v>
      </c>
      <c r="J562" t="s">
        <v>13</v>
      </c>
      <c r="K562" s="4">
        <v>45047</v>
      </c>
      <c r="L562">
        <v>2023</v>
      </c>
      <c r="M562" s="4">
        <v>45062</v>
      </c>
      <c r="N562">
        <v>3344.12</v>
      </c>
      <c r="O562">
        <v>29</v>
      </c>
    </row>
    <row r="563" spans="1:15" hidden="1" x14ac:dyDescent="0.25">
      <c r="A563" s="92">
        <v>561</v>
      </c>
      <c r="B563" s="47">
        <f>MONTH(dis_table[[#This Row],[Date]])</f>
        <v>5</v>
      </c>
      <c r="C563" s="4">
        <v>45062</v>
      </c>
      <c r="D563" s="4">
        <v>45062</v>
      </c>
      <c r="E563" t="s">
        <v>171</v>
      </c>
      <c r="F563">
        <v>7.99</v>
      </c>
      <c r="G563" t="s">
        <v>36</v>
      </c>
      <c r="H563" t="s">
        <v>56</v>
      </c>
      <c r="I563" t="s">
        <v>18</v>
      </c>
      <c r="J563" t="s">
        <v>19</v>
      </c>
      <c r="K563" s="4">
        <v>45047</v>
      </c>
      <c r="L563">
        <v>2023</v>
      </c>
      <c r="M563" s="4">
        <v>45062</v>
      </c>
      <c r="N563">
        <v>3352.11</v>
      </c>
      <c r="O563">
        <v>5</v>
      </c>
    </row>
    <row r="564" spans="1:15" hidden="1" x14ac:dyDescent="0.25">
      <c r="A564" s="92">
        <v>562</v>
      </c>
      <c r="B564" s="47">
        <f>MONTH(dis_table[[#This Row],[Date]])</f>
        <v>5</v>
      </c>
      <c r="C564" s="4">
        <v>45062</v>
      </c>
      <c r="D564" s="4">
        <v>45062</v>
      </c>
      <c r="E564" t="s">
        <v>356</v>
      </c>
      <c r="F564">
        <v>141.05000000000001</v>
      </c>
      <c r="G564" t="s">
        <v>34</v>
      </c>
      <c r="H564" t="s">
        <v>133</v>
      </c>
      <c r="I564" t="s">
        <v>12</v>
      </c>
      <c r="J564" t="s">
        <v>24</v>
      </c>
      <c r="K564" s="4">
        <v>45047</v>
      </c>
      <c r="L564">
        <v>2023</v>
      </c>
      <c r="M564" s="4">
        <v>45062</v>
      </c>
      <c r="N564">
        <v>3493.16</v>
      </c>
      <c r="O564">
        <v>25</v>
      </c>
    </row>
    <row r="565" spans="1:15" hidden="1" x14ac:dyDescent="0.25">
      <c r="A565" s="92">
        <v>563</v>
      </c>
      <c r="B565" s="47">
        <f>MONTH(dis_table[[#This Row],[Date]])</f>
        <v>5</v>
      </c>
      <c r="C565" s="4">
        <v>45062</v>
      </c>
      <c r="D565" s="4">
        <v>45062</v>
      </c>
      <c r="E565" t="s">
        <v>629</v>
      </c>
      <c r="F565">
        <v>30</v>
      </c>
      <c r="G565" t="s">
        <v>22</v>
      </c>
      <c r="H565" t="s">
        <v>214</v>
      </c>
      <c r="I565" t="s">
        <v>12</v>
      </c>
      <c r="J565" t="s">
        <v>24</v>
      </c>
      <c r="K565" s="4">
        <v>45047</v>
      </c>
      <c r="L565">
        <v>2023</v>
      </c>
      <c r="M565" s="4">
        <v>45062</v>
      </c>
      <c r="N565">
        <v>3523.16</v>
      </c>
      <c r="O565">
        <v>18</v>
      </c>
    </row>
    <row r="566" spans="1:15" hidden="1" x14ac:dyDescent="0.25">
      <c r="A566" s="92">
        <v>564</v>
      </c>
      <c r="B566" s="47">
        <f>MONTH(dis_table[[#This Row],[Date]])</f>
        <v>5</v>
      </c>
      <c r="C566" s="4">
        <v>45062</v>
      </c>
      <c r="D566" s="4">
        <v>45062</v>
      </c>
      <c r="E566" t="s">
        <v>629</v>
      </c>
      <c r="F566">
        <v>30</v>
      </c>
      <c r="G566" t="s">
        <v>22</v>
      </c>
      <c r="H566" t="s">
        <v>214</v>
      </c>
      <c r="I566" t="s">
        <v>12</v>
      </c>
      <c r="J566" t="s">
        <v>24</v>
      </c>
      <c r="K566" s="4">
        <v>45047</v>
      </c>
      <c r="L566">
        <v>2023</v>
      </c>
      <c r="M566" s="4">
        <v>45062</v>
      </c>
      <c r="N566">
        <v>3553.16</v>
      </c>
      <c r="O566">
        <v>19</v>
      </c>
    </row>
    <row r="567" spans="1:15" hidden="1" x14ac:dyDescent="0.25">
      <c r="A567" s="92">
        <v>565</v>
      </c>
      <c r="B567" s="47">
        <f>MONTH(dis_table[[#This Row],[Date]])</f>
        <v>5</v>
      </c>
      <c r="C567" s="4">
        <v>45062</v>
      </c>
      <c r="D567" s="4">
        <v>45062</v>
      </c>
      <c r="E567" t="s">
        <v>628</v>
      </c>
      <c r="F567">
        <v>71</v>
      </c>
      <c r="G567" t="s">
        <v>16</v>
      </c>
      <c r="H567" t="s">
        <v>21</v>
      </c>
      <c r="I567" t="s">
        <v>12</v>
      </c>
      <c r="J567" t="s">
        <v>24</v>
      </c>
      <c r="K567" s="4">
        <v>45047</v>
      </c>
      <c r="L567">
        <v>2023</v>
      </c>
      <c r="M567" s="4">
        <v>45062</v>
      </c>
      <c r="N567">
        <v>3624.16</v>
      </c>
      <c r="O567">
        <v>27</v>
      </c>
    </row>
    <row r="568" spans="1:15" hidden="1" x14ac:dyDescent="0.25">
      <c r="A568" s="92">
        <v>566</v>
      </c>
      <c r="B568" s="47">
        <f>MONTH(dis_table[[#This Row],[Date]])</f>
        <v>5</v>
      </c>
      <c r="C568" s="4">
        <v>45062</v>
      </c>
      <c r="D568" s="4">
        <v>45062</v>
      </c>
      <c r="E568" t="s">
        <v>26</v>
      </c>
      <c r="F568">
        <v>-2729.82</v>
      </c>
      <c r="G568" t="s">
        <v>27</v>
      </c>
      <c r="H568" t="s">
        <v>28</v>
      </c>
      <c r="I568" t="s">
        <v>12</v>
      </c>
      <c r="J568" t="s">
        <v>122</v>
      </c>
      <c r="K568" s="4">
        <v>45047</v>
      </c>
      <c r="L568">
        <v>2023</v>
      </c>
      <c r="M568" s="4">
        <v>45062</v>
      </c>
      <c r="N568">
        <v>894.34000000000015</v>
      </c>
      <c r="O568">
        <v>15</v>
      </c>
    </row>
    <row r="569" spans="1:15" hidden="1" x14ac:dyDescent="0.25">
      <c r="A569" s="92">
        <v>567</v>
      </c>
      <c r="B569" s="47">
        <f>MONTH(dis_table[[#This Row],[Date]])</f>
        <v>5</v>
      </c>
      <c r="C569" s="4">
        <v>45063</v>
      </c>
      <c r="D569" s="4">
        <v>45063</v>
      </c>
      <c r="E569" t="s">
        <v>139</v>
      </c>
      <c r="F569">
        <v>30.73</v>
      </c>
      <c r="G569" t="s">
        <v>16</v>
      </c>
      <c r="H569" t="s">
        <v>25</v>
      </c>
      <c r="I569" t="s">
        <v>12</v>
      </c>
      <c r="J569" t="s">
        <v>24</v>
      </c>
      <c r="K569" s="4">
        <v>45047</v>
      </c>
      <c r="L569">
        <v>2023</v>
      </c>
      <c r="M569" s="4">
        <v>45063</v>
      </c>
      <c r="N569">
        <v>925.07000000000016</v>
      </c>
      <c r="O569">
        <v>10</v>
      </c>
    </row>
    <row r="570" spans="1:15" hidden="1" x14ac:dyDescent="0.25">
      <c r="A570" s="92">
        <v>568</v>
      </c>
      <c r="B570" s="47">
        <f>MONTH(dis_table[[#This Row],[Date]])</f>
        <v>5</v>
      </c>
      <c r="C570" s="4">
        <v>45063</v>
      </c>
      <c r="D570" s="4">
        <v>45063</v>
      </c>
      <c r="E570" t="s">
        <v>630</v>
      </c>
      <c r="F570">
        <v>39.17</v>
      </c>
      <c r="G570" t="s">
        <v>16</v>
      </c>
      <c r="H570" t="s">
        <v>21</v>
      </c>
      <c r="I570" t="s">
        <v>12</v>
      </c>
      <c r="J570" t="s">
        <v>24</v>
      </c>
      <c r="K570" s="4">
        <v>45047</v>
      </c>
      <c r="L570">
        <v>2023</v>
      </c>
      <c r="M570" s="4">
        <v>45063</v>
      </c>
      <c r="N570">
        <v>964.24000000000012</v>
      </c>
      <c r="O570">
        <v>28</v>
      </c>
    </row>
    <row r="571" spans="1:15" hidden="1" x14ac:dyDescent="0.25">
      <c r="A571" s="92">
        <v>569</v>
      </c>
      <c r="B571" s="47">
        <f>MONTH(dis_table[[#This Row],[Date]])</f>
        <v>5</v>
      </c>
      <c r="C571" s="4">
        <v>45063</v>
      </c>
      <c r="D571" s="4">
        <v>45063</v>
      </c>
      <c r="E571" t="s">
        <v>631</v>
      </c>
      <c r="F571">
        <v>3.17</v>
      </c>
      <c r="G571" t="s">
        <v>16</v>
      </c>
      <c r="H571" t="s">
        <v>632</v>
      </c>
      <c r="I571" t="s">
        <v>18</v>
      </c>
      <c r="J571" t="s">
        <v>19</v>
      </c>
      <c r="K571" s="4">
        <v>45047</v>
      </c>
      <c r="L571">
        <v>2023</v>
      </c>
      <c r="M571" s="4">
        <v>45063</v>
      </c>
      <c r="N571">
        <v>967.41000000000008</v>
      </c>
      <c r="O571">
        <v>1</v>
      </c>
    </row>
    <row r="572" spans="1:15" hidden="1" x14ac:dyDescent="0.25">
      <c r="A572" s="92">
        <v>570</v>
      </c>
      <c r="B572" s="47">
        <f>MONTH(dis_table[[#This Row],[Date]])</f>
        <v>5</v>
      </c>
      <c r="C572" s="4">
        <v>45063</v>
      </c>
      <c r="D572" s="4">
        <v>45063</v>
      </c>
      <c r="E572" t="s">
        <v>633</v>
      </c>
      <c r="F572">
        <v>40.229999999999997</v>
      </c>
      <c r="G572" t="s">
        <v>34</v>
      </c>
      <c r="H572" t="s">
        <v>214</v>
      </c>
      <c r="I572" t="s">
        <v>12</v>
      </c>
      <c r="J572" t="s">
        <v>24</v>
      </c>
      <c r="K572" s="4">
        <v>45047</v>
      </c>
      <c r="L572">
        <v>2023</v>
      </c>
      <c r="M572" s="4">
        <v>45063</v>
      </c>
      <c r="N572">
        <v>1007.64</v>
      </c>
      <c r="O572">
        <v>20</v>
      </c>
    </row>
    <row r="573" spans="1:15" hidden="1" x14ac:dyDescent="0.25">
      <c r="A573" s="92">
        <v>571</v>
      </c>
      <c r="B573" s="47">
        <f>MONTH(dis_table[[#This Row],[Date]])</f>
        <v>5</v>
      </c>
      <c r="C573" s="4">
        <v>45063</v>
      </c>
      <c r="D573" s="4">
        <v>45063</v>
      </c>
      <c r="E573" t="s">
        <v>634</v>
      </c>
      <c r="F573">
        <v>11.68</v>
      </c>
      <c r="G573" t="s">
        <v>9</v>
      </c>
      <c r="H573" t="s">
        <v>10</v>
      </c>
      <c r="I573" t="s">
        <v>12</v>
      </c>
      <c r="J573" t="s">
        <v>13</v>
      </c>
      <c r="K573" s="4">
        <v>45047</v>
      </c>
      <c r="L573">
        <v>2023</v>
      </c>
      <c r="M573" s="4">
        <v>45063</v>
      </c>
      <c r="N573">
        <v>1019.32</v>
      </c>
      <c r="O573">
        <v>31</v>
      </c>
    </row>
    <row r="574" spans="1:15" hidden="1" x14ac:dyDescent="0.25">
      <c r="A574" s="92">
        <v>572</v>
      </c>
      <c r="B574" s="47">
        <f>MONTH(dis_table[[#This Row],[Date]])</f>
        <v>5</v>
      </c>
      <c r="C574" s="4">
        <v>45063</v>
      </c>
      <c r="D574" s="4">
        <v>45063</v>
      </c>
      <c r="E574" t="s">
        <v>635</v>
      </c>
      <c r="F574">
        <v>55.19</v>
      </c>
      <c r="G574" t="s">
        <v>29</v>
      </c>
      <c r="H574" t="s">
        <v>30</v>
      </c>
      <c r="I574" t="s">
        <v>12</v>
      </c>
      <c r="J574" t="s">
        <v>31</v>
      </c>
      <c r="K574" s="4">
        <v>45047</v>
      </c>
      <c r="L574">
        <v>2023</v>
      </c>
      <c r="M574" s="4">
        <v>45063</v>
      </c>
      <c r="N574">
        <v>1074.51</v>
      </c>
      <c r="O574">
        <v>10</v>
      </c>
    </row>
    <row r="575" spans="1:15" hidden="1" x14ac:dyDescent="0.25">
      <c r="A575" s="92">
        <v>573</v>
      </c>
      <c r="B575" s="47">
        <f>MONTH(dis_table[[#This Row],[Date]])</f>
        <v>5</v>
      </c>
      <c r="C575" s="4">
        <v>45063</v>
      </c>
      <c r="D575" s="4">
        <v>45063</v>
      </c>
      <c r="E575" t="s">
        <v>38</v>
      </c>
      <c r="F575">
        <v>111.63</v>
      </c>
      <c r="G575" t="s">
        <v>16</v>
      </c>
      <c r="H575" t="s">
        <v>39</v>
      </c>
      <c r="I575" t="s">
        <v>18</v>
      </c>
      <c r="J575" t="s">
        <v>40</v>
      </c>
      <c r="K575" s="4">
        <v>45047</v>
      </c>
      <c r="L575">
        <v>2023</v>
      </c>
      <c r="M575" s="4">
        <v>45063</v>
      </c>
      <c r="N575">
        <v>1186.1400000000001</v>
      </c>
      <c r="O575">
        <v>5</v>
      </c>
    </row>
    <row r="576" spans="1:15" hidden="1" x14ac:dyDescent="0.25">
      <c r="A576" s="92">
        <v>574</v>
      </c>
      <c r="B576" s="47">
        <f>MONTH(dis_table[[#This Row],[Date]])</f>
        <v>5</v>
      </c>
      <c r="C576" s="4">
        <v>45064</v>
      </c>
      <c r="D576" s="4">
        <v>45064</v>
      </c>
      <c r="E576" t="s">
        <v>637</v>
      </c>
      <c r="F576">
        <v>25</v>
      </c>
      <c r="G576" t="s">
        <v>22</v>
      </c>
      <c r="H576" t="s">
        <v>214</v>
      </c>
      <c r="I576" t="s">
        <v>12</v>
      </c>
      <c r="J576" t="s">
        <v>24</v>
      </c>
      <c r="K576" s="4">
        <v>45047</v>
      </c>
      <c r="L576">
        <v>2023</v>
      </c>
      <c r="M576" s="4">
        <v>45064</v>
      </c>
      <c r="N576">
        <v>1211.1400000000001</v>
      </c>
      <c r="O576">
        <v>21</v>
      </c>
    </row>
    <row r="577" spans="1:15" hidden="1" x14ac:dyDescent="0.25">
      <c r="A577" s="92">
        <v>575</v>
      </c>
      <c r="B577" s="47">
        <f>MONTH(dis_table[[#This Row],[Date]])</f>
        <v>5</v>
      </c>
      <c r="C577" s="4">
        <v>45064</v>
      </c>
      <c r="D577" s="4">
        <v>45064</v>
      </c>
      <c r="E577" t="s">
        <v>637</v>
      </c>
      <c r="F577">
        <v>25</v>
      </c>
      <c r="G577" t="s">
        <v>22</v>
      </c>
      <c r="H577" t="s">
        <v>214</v>
      </c>
      <c r="I577" t="s">
        <v>12</v>
      </c>
      <c r="J577" t="s">
        <v>24</v>
      </c>
      <c r="K577" s="4">
        <v>45047</v>
      </c>
      <c r="L577">
        <v>2023</v>
      </c>
      <c r="M577" s="4">
        <v>45064</v>
      </c>
      <c r="N577">
        <v>1236.1400000000001</v>
      </c>
      <c r="O577">
        <v>22</v>
      </c>
    </row>
    <row r="578" spans="1:15" hidden="1" x14ac:dyDescent="0.25">
      <c r="A578" s="92">
        <v>576</v>
      </c>
      <c r="B578" s="47">
        <f>MONTH(dis_table[[#This Row],[Date]])</f>
        <v>5</v>
      </c>
      <c r="C578" s="4">
        <v>45064</v>
      </c>
      <c r="D578" s="4">
        <v>45064</v>
      </c>
      <c r="E578" t="s">
        <v>636</v>
      </c>
      <c r="F578">
        <v>7.41</v>
      </c>
      <c r="G578" t="s">
        <v>16</v>
      </c>
      <c r="H578" t="s">
        <v>41</v>
      </c>
      <c r="I578" t="s">
        <v>18</v>
      </c>
      <c r="J578" t="s">
        <v>19</v>
      </c>
      <c r="K578" s="4">
        <v>45047</v>
      </c>
      <c r="L578">
        <v>2023</v>
      </c>
      <c r="M578" s="4">
        <v>45064</v>
      </c>
      <c r="N578">
        <v>1243.55</v>
      </c>
      <c r="O578">
        <v>3</v>
      </c>
    </row>
    <row r="579" spans="1:15" hidden="1" x14ac:dyDescent="0.25">
      <c r="A579" s="92">
        <v>577</v>
      </c>
      <c r="B579" s="47">
        <f>MONTH(dis_table[[#This Row],[Date]])</f>
        <v>5</v>
      </c>
      <c r="C579" s="4">
        <v>45064</v>
      </c>
      <c r="D579" s="4">
        <v>45064</v>
      </c>
      <c r="E579" t="s">
        <v>251</v>
      </c>
      <c r="F579">
        <v>154.35</v>
      </c>
      <c r="G579" t="s">
        <v>16</v>
      </c>
      <c r="H579" t="s">
        <v>66</v>
      </c>
      <c r="I579" t="s">
        <v>12</v>
      </c>
      <c r="J579" t="s">
        <v>24</v>
      </c>
      <c r="K579" s="4">
        <v>45047</v>
      </c>
      <c r="L579">
        <v>2023</v>
      </c>
      <c r="M579" s="4">
        <v>45064</v>
      </c>
      <c r="N579">
        <v>1397.9</v>
      </c>
      <c r="O579">
        <v>11</v>
      </c>
    </row>
    <row r="580" spans="1:15" hidden="1" x14ac:dyDescent="0.25">
      <c r="A580" s="92">
        <v>578</v>
      </c>
      <c r="B580" s="47">
        <f>MONTH(dis_table[[#This Row],[Date]])</f>
        <v>5</v>
      </c>
      <c r="C580" s="4">
        <v>45065</v>
      </c>
      <c r="D580" s="4">
        <v>45065</v>
      </c>
      <c r="E580" t="s">
        <v>638</v>
      </c>
      <c r="F580">
        <v>159.55000000000001</v>
      </c>
      <c r="G580" t="s">
        <v>16</v>
      </c>
      <c r="H580" t="s">
        <v>57</v>
      </c>
      <c r="I580" t="s">
        <v>12</v>
      </c>
      <c r="J580" t="s">
        <v>19</v>
      </c>
      <c r="K580" s="4">
        <v>45047</v>
      </c>
      <c r="L580">
        <v>2023</v>
      </c>
      <c r="M580" s="4">
        <v>45065</v>
      </c>
      <c r="N580">
        <v>1557.45</v>
      </c>
      <c r="O580">
        <v>10</v>
      </c>
    </row>
    <row r="581" spans="1:15" hidden="1" x14ac:dyDescent="0.25">
      <c r="A581" s="92">
        <v>579</v>
      </c>
      <c r="B581" s="47">
        <f>MONTH(dis_table[[#This Row],[Date]])</f>
        <v>5</v>
      </c>
      <c r="C581" s="4">
        <v>45065</v>
      </c>
      <c r="D581" s="4">
        <v>45065</v>
      </c>
      <c r="E581" t="s">
        <v>639</v>
      </c>
      <c r="F581">
        <v>4.05</v>
      </c>
      <c r="G581" t="s">
        <v>36</v>
      </c>
      <c r="H581" t="s">
        <v>131</v>
      </c>
      <c r="I581" t="s">
        <v>12</v>
      </c>
      <c r="J581" t="s">
        <v>37</v>
      </c>
      <c r="K581" s="4">
        <v>45047</v>
      </c>
      <c r="L581">
        <v>2023</v>
      </c>
      <c r="M581" s="4">
        <v>45065</v>
      </c>
      <c r="N581">
        <v>1561.5</v>
      </c>
      <c r="O581">
        <v>5</v>
      </c>
    </row>
    <row r="582" spans="1:15" hidden="1" x14ac:dyDescent="0.25">
      <c r="A582" s="92">
        <v>580</v>
      </c>
      <c r="B582" s="47">
        <f>MONTH(dis_table[[#This Row],[Date]])</f>
        <v>5</v>
      </c>
      <c r="C582" s="4">
        <v>45065</v>
      </c>
      <c r="D582" s="4">
        <v>45065</v>
      </c>
      <c r="E582" t="s">
        <v>640</v>
      </c>
      <c r="F582">
        <v>10.7</v>
      </c>
      <c r="G582" t="s">
        <v>9</v>
      </c>
      <c r="H582" t="s">
        <v>14</v>
      </c>
      <c r="I582" t="s">
        <v>12</v>
      </c>
      <c r="J582" t="s">
        <v>13</v>
      </c>
      <c r="K582" s="4">
        <v>45047</v>
      </c>
      <c r="L582">
        <v>2023</v>
      </c>
      <c r="M582" s="4">
        <v>45065</v>
      </c>
      <c r="N582">
        <v>1572.2</v>
      </c>
      <c r="O582">
        <v>69</v>
      </c>
    </row>
    <row r="583" spans="1:15" hidden="1" x14ac:dyDescent="0.25">
      <c r="A583" s="92">
        <v>581</v>
      </c>
      <c r="B583" s="47">
        <f>MONTH(dis_table[[#This Row],[Date]])</f>
        <v>5</v>
      </c>
      <c r="C583" s="4">
        <v>45065</v>
      </c>
      <c r="D583" s="4">
        <v>45065</v>
      </c>
      <c r="E583" t="s">
        <v>641</v>
      </c>
      <c r="F583">
        <v>36.75</v>
      </c>
      <c r="G583" t="s">
        <v>16</v>
      </c>
      <c r="H583" t="s">
        <v>539</v>
      </c>
      <c r="I583" t="s">
        <v>12</v>
      </c>
      <c r="J583" t="s">
        <v>19</v>
      </c>
      <c r="K583" s="4">
        <v>45047</v>
      </c>
      <c r="L583">
        <v>2023</v>
      </c>
      <c r="M583" s="4">
        <v>45065</v>
      </c>
      <c r="N583">
        <v>1608.95</v>
      </c>
      <c r="O583">
        <v>8</v>
      </c>
    </row>
    <row r="584" spans="1:15" hidden="1" x14ac:dyDescent="0.25">
      <c r="A584" s="92">
        <v>582</v>
      </c>
      <c r="B584" s="47">
        <f>MONTH(dis_table[[#This Row],[Date]])</f>
        <v>5</v>
      </c>
      <c r="C584" s="4">
        <v>45065</v>
      </c>
      <c r="D584" s="4">
        <v>45065</v>
      </c>
      <c r="E584" t="s">
        <v>360</v>
      </c>
      <c r="F584">
        <v>57.5</v>
      </c>
      <c r="G584" t="s">
        <v>34</v>
      </c>
      <c r="H584" t="s">
        <v>35</v>
      </c>
      <c r="I584" t="s">
        <v>12</v>
      </c>
      <c r="J584" t="s">
        <v>13</v>
      </c>
      <c r="K584" s="4">
        <v>45047</v>
      </c>
      <c r="L584">
        <v>2023</v>
      </c>
      <c r="M584" s="4">
        <v>45065</v>
      </c>
      <c r="N584">
        <v>1666.45</v>
      </c>
      <c r="O584">
        <v>30</v>
      </c>
    </row>
    <row r="585" spans="1:15" hidden="1" x14ac:dyDescent="0.25">
      <c r="A585" s="92">
        <v>583</v>
      </c>
      <c r="B585" s="47">
        <f>MONTH(dis_table[[#This Row],[Date]])</f>
        <v>5</v>
      </c>
      <c r="C585" s="4">
        <v>45065</v>
      </c>
      <c r="D585" s="4">
        <v>45065</v>
      </c>
      <c r="E585" t="s">
        <v>642</v>
      </c>
      <c r="F585">
        <v>24.04</v>
      </c>
      <c r="G585" t="s">
        <v>34</v>
      </c>
      <c r="H585" t="s">
        <v>133</v>
      </c>
      <c r="I585" t="s">
        <v>12</v>
      </c>
      <c r="J585" t="s">
        <v>24</v>
      </c>
      <c r="K585" s="4">
        <v>45047</v>
      </c>
      <c r="L585">
        <v>2023</v>
      </c>
      <c r="M585" s="4">
        <v>45065</v>
      </c>
      <c r="N585">
        <v>1690.49</v>
      </c>
      <c r="O585">
        <v>26</v>
      </c>
    </row>
    <row r="586" spans="1:15" hidden="1" x14ac:dyDescent="0.25">
      <c r="A586" s="92">
        <v>584</v>
      </c>
      <c r="B586" s="47">
        <f>MONTH(dis_table[[#This Row],[Date]])</f>
        <v>5</v>
      </c>
      <c r="C586" s="4">
        <v>45066</v>
      </c>
      <c r="D586" s="4">
        <v>45066</v>
      </c>
      <c r="E586" t="s">
        <v>318</v>
      </c>
      <c r="F586">
        <v>34.61</v>
      </c>
      <c r="G586" t="s">
        <v>22</v>
      </c>
      <c r="H586" t="s">
        <v>214</v>
      </c>
      <c r="I586" t="s">
        <v>12</v>
      </c>
      <c r="J586" t="s">
        <v>24</v>
      </c>
      <c r="K586" s="4">
        <v>45047</v>
      </c>
      <c r="L586">
        <v>2023</v>
      </c>
      <c r="M586" s="4">
        <v>45066</v>
      </c>
      <c r="N586">
        <v>1725.1</v>
      </c>
      <c r="O586">
        <v>23</v>
      </c>
    </row>
    <row r="587" spans="1:15" hidden="1" x14ac:dyDescent="0.25">
      <c r="A587" s="92">
        <v>585</v>
      </c>
      <c r="B587" s="47">
        <f>MONTH(dis_table[[#This Row],[Date]])</f>
        <v>5</v>
      </c>
      <c r="C587" s="4">
        <v>45066</v>
      </c>
      <c r="D587" s="4">
        <v>45066</v>
      </c>
      <c r="E587" t="s">
        <v>581</v>
      </c>
      <c r="F587">
        <v>15.96</v>
      </c>
      <c r="G587" t="s">
        <v>9</v>
      </c>
      <c r="H587" t="s">
        <v>10</v>
      </c>
      <c r="I587" t="s">
        <v>12</v>
      </c>
      <c r="J587" t="s">
        <v>13</v>
      </c>
      <c r="K587" s="4">
        <v>45047</v>
      </c>
      <c r="L587">
        <v>2023</v>
      </c>
      <c r="M587" s="4">
        <v>45066</v>
      </c>
      <c r="N587">
        <v>1741.06</v>
      </c>
      <c r="O587">
        <v>32</v>
      </c>
    </row>
    <row r="588" spans="1:15" hidden="1" x14ac:dyDescent="0.25">
      <c r="A588" s="92">
        <v>586</v>
      </c>
      <c r="B588" s="47">
        <f>MONTH(dis_table[[#This Row],[Date]])</f>
        <v>5</v>
      </c>
      <c r="C588" s="4">
        <v>45066</v>
      </c>
      <c r="D588" s="4">
        <v>45066</v>
      </c>
      <c r="E588" t="s">
        <v>643</v>
      </c>
      <c r="F588">
        <v>72.75</v>
      </c>
      <c r="G588" t="s">
        <v>16</v>
      </c>
      <c r="H588" t="s">
        <v>66</v>
      </c>
      <c r="I588" t="s">
        <v>12</v>
      </c>
      <c r="J588" t="s">
        <v>24</v>
      </c>
      <c r="K588" s="4">
        <v>45047</v>
      </c>
      <c r="L588">
        <v>2023</v>
      </c>
      <c r="M588" s="4">
        <v>45066</v>
      </c>
      <c r="N588">
        <v>1813.81</v>
      </c>
      <c r="O588">
        <v>12</v>
      </c>
    </row>
    <row r="589" spans="1:15" hidden="1" x14ac:dyDescent="0.25">
      <c r="A589" s="92">
        <v>587</v>
      </c>
      <c r="B589" s="47">
        <f>MONTH(dis_table[[#This Row],[Date]])</f>
        <v>5</v>
      </c>
      <c r="C589" s="4">
        <v>45066</v>
      </c>
      <c r="D589" s="4">
        <v>45066</v>
      </c>
      <c r="E589" t="s">
        <v>330</v>
      </c>
      <c r="F589">
        <v>76.45</v>
      </c>
      <c r="G589" t="s">
        <v>16</v>
      </c>
      <c r="H589" t="s">
        <v>66</v>
      </c>
      <c r="I589" t="s">
        <v>12</v>
      </c>
      <c r="J589" t="s">
        <v>24</v>
      </c>
      <c r="K589" s="4">
        <v>45047</v>
      </c>
      <c r="L589">
        <v>2023</v>
      </c>
      <c r="M589" s="4">
        <v>45066</v>
      </c>
      <c r="N589">
        <v>1890.26</v>
      </c>
      <c r="O589">
        <v>13</v>
      </c>
    </row>
    <row r="590" spans="1:15" hidden="1" x14ac:dyDescent="0.25">
      <c r="A590" s="92">
        <v>588</v>
      </c>
      <c r="B590" s="47">
        <f>MONTH(dis_table[[#This Row],[Date]])</f>
        <v>5</v>
      </c>
      <c r="C590" s="4">
        <v>45066</v>
      </c>
      <c r="D590" s="4">
        <v>45066</v>
      </c>
      <c r="E590" t="s">
        <v>330</v>
      </c>
      <c r="F590">
        <v>163.80000000000001</v>
      </c>
      <c r="G590" t="s">
        <v>16</v>
      </c>
      <c r="H590" t="s">
        <v>66</v>
      </c>
      <c r="I590" t="s">
        <v>12</v>
      </c>
      <c r="J590" t="s">
        <v>24</v>
      </c>
      <c r="K590" s="4">
        <v>45047</v>
      </c>
      <c r="L590">
        <v>2023</v>
      </c>
      <c r="M590" s="4">
        <v>45066</v>
      </c>
      <c r="N590">
        <v>2054.06</v>
      </c>
      <c r="O590">
        <v>14</v>
      </c>
    </row>
    <row r="591" spans="1:15" hidden="1" x14ac:dyDescent="0.25">
      <c r="A591" s="92">
        <v>589</v>
      </c>
      <c r="B591" s="47">
        <f>MONTH(dis_table[[#This Row],[Date]])</f>
        <v>5</v>
      </c>
      <c r="C591" s="4">
        <v>45067</v>
      </c>
      <c r="D591" s="4">
        <v>45067</v>
      </c>
      <c r="E591" t="s">
        <v>137</v>
      </c>
      <c r="F591">
        <v>50.31</v>
      </c>
      <c r="G591" t="s">
        <v>29</v>
      </c>
      <c r="H591" t="s">
        <v>30</v>
      </c>
      <c r="I591" t="s">
        <v>12</v>
      </c>
      <c r="J591" t="s">
        <v>31</v>
      </c>
      <c r="K591" s="4">
        <v>45047</v>
      </c>
      <c r="L591">
        <v>2023</v>
      </c>
      <c r="M591" s="4">
        <v>45067</v>
      </c>
      <c r="N591">
        <v>2104.37</v>
      </c>
      <c r="O591">
        <v>11</v>
      </c>
    </row>
    <row r="592" spans="1:15" hidden="1" x14ac:dyDescent="0.25">
      <c r="A592" s="92">
        <v>590</v>
      </c>
      <c r="B592" s="47">
        <f>MONTH(dis_table[[#This Row],[Date]])</f>
        <v>5</v>
      </c>
      <c r="C592" s="4">
        <v>45067</v>
      </c>
      <c r="D592" s="4">
        <v>45067</v>
      </c>
      <c r="E592" t="s">
        <v>644</v>
      </c>
      <c r="F592">
        <v>27.17</v>
      </c>
      <c r="G592" t="s">
        <v>16</v>
      </c>
      <c r="H592" t="s">
        <v>539</v>
      </c>
      <c r="I592" t="s">
        <v>12</v>
      </c>
      <c r="J592" t="s">
        <v>19</v>
      </c>
      <c r="K592" s="4">
        <v>45047</v>
      </c>
      <c r="L592">
        <v>2023</v>
      </c>
      <c r="M592" s="4">
        <v>45067</v>
      </c>
      <c r="N592">
        <v>2131.54</v>
      </c>
      <c r="O592">
        <v>9</v>
      </c>
    </row>
    <row r="593" spans="1:15" hidden="1" x14ac:dyDescent="0.25">
      <c r="A593" s="92">
        <v>591</v>
      </c>
      <c r="B593" s="47">
        <f>MONTH(dis_table[[#This Row],[Date]])</f>
        <v>5</v>
      </c>
      <c r="C593" s="4">
        <v>45067</v>
      </c>
      <c r="D593" s="4">
        <v>45067</v>
      </c>
      <c r="E593" t="s">
        <v>81</v>
      </c>
      <c r="F593">
        <v>10.63</v>
      </c>
      <c r="G593" t="s">
        <v>16</v>
      </c>
      <c r="H593" t="s">
        <v>45</v>
      </c>
      <c r="I593" t="s">
        <v>12</v>
      </c>
      <c r="J593" t="s">
        <v>19</v>
      </c>
      <c r="K593" s="4">
        <v>45047</v>
      </c>
      <c r="L593">
        <v>2023</v>
      </c>
      <c r="M593" s="4">
        <v>45067</v>
      </c>
      <c r="N593">
        <v>2142.17</v>
      </c>
      <c r="O593">
        <v>30</v>
      </c>
    </row>
    <row r="594" spans="1:15" hidden="1" x14ac:dyDescent="0.25">
      <c r="A594" s="92">
        <v>592</v>
      </c>
      <c r="B594" s="47">
        <f>MONTH(dis_table[[#This Row],[Date]])</f>
        <v>5</v>
      </c>
      <c r="C594" s="4">
        <v>45067</v>
      </c>
      <c r="D594" s="4">
        <v>45067</v>
      </c>
      <c r="E594" t="s">
        <v>187</v>
      </c>
      <c r="F594">
        <v>25</v>
      </c>
      <c r="G594" t="s">
        <v>22</v>
      </c>
      <c r="H594" t="s">
        <v>188</v>
      </c>
      <c r="I594" t="s">
        <v>12</v>
      </c>
      <c r="J594" t="s">
        <v>31</v>
      </c>
      <c r="K594" s="4">
        <v>45047</v>
      </c>
      <c r="L594">
        <v>2023</v>
      </c>
      <c r="M594" s="4">
        <v>45067</v>
      </c>
      <c r="N594">
        <v>2167.17</v>
      </c>
      <c r="O594">
        <v>7</v>
      </c>
    </row>
    <row r="595" spans="1:15" hidden="1" x14ac:dyDescent="0.25">
      <c r="A595" s="92">
        <v>593</v>
      </c>
      <c r="B595" s="47">
        <f>MONTH(dis_table[[#This Row],[Date]])</f>
        <v>5</v>
      </c>
      <c r="C595" s="4">
        <v>45068</v>
      </c>
      <c r="D595" s="4">
        <v>45068</v>
      </c>
      <c r="E595" t="s">
        <v>649</v>
      </c>
      <c r="F595">
        <v>27.49</v>
      </c>
      <c r="G595" t="s">
        <v>69</v>
      </c>
      <c r="H595" t="s">
        <v>46</v>
      </c>
      <c r="I595" t="s">
        <v>12</v>
      </c>
      <c r="J595" t="s">
        <v>24</v>
      </c>
      <c r="K595" s="4">
        <v>45047</v>
      </c>
      <c r="L595">
        <v>2023</v>
      </c>
      <c r="M595" s="4">
        <v>45068</v>
      </c>
      <c r="N595">
        <v>2194.66</v>
      </c>
      <c r="O595">
        <v>2</v>
      </c>
    </row>
    <row r="596" spans="1:15" hidden="1" x14ac:dyDescent="0.25">
      <c r="A596" s="92">
        <v>594</v>
      </c>
      <c r="B596" s="47">
        <f>MONTH(dis_table[[#This Row],[Date]])</f>
        <v>5</v>
      </c>
      <c r="C596" s="4">
        <v>45068</v>
      </c>
      <c r="D596" s="4">
        <v>45068</v>
      </c>
      <c r="E596" t="s">
        <v>648</v>
      </c>
      <c r="F596">
        <v>932</v>
      </c>
      <c r="G596" t="s">
        <v>69</v>
      </c>
      <c r="H596" t="s">
        <v>46</v>
      </c>
      <c r="I596" t="s">
        <v>12</v>
      </c>
      <c r="J596" t="s">
        <v>24</v>
      </c>
      <c r="K596" s="4">
        <v>45047</v>
      </c>
      <c r="L596">
        <v>2023</v>
      </c>
      <c r="M596" s="4">
        <v>45068</v>
      </c>
      <c r="N596">
        <v>3126.66</v>
      </c>
      <c r="O596">
        <v>3</v>
      </c>
    </row>
    <row r="597" spans="1:15" hidden="1" x14ac:dyDescent="0.25">
      <c r="A597" s="92">
        <v>595</v>
      </c>
      <c r="B597" s="47">
        <f>MONTH(dis_table[[#This Row],[Date]])</f>
        <v>5</v>
      </c>
      <c r="C597" s="4">
        <v>45068</v>
      </c>
      <c r="D597" s="4">
        <v>45068</v>
      </c>
      <c r="E597" t="s">
        <v>629</v>
      </c>
      <c r="F597">
        <v>30</v>
      </c>
      <c r="G597" t="s">
        <v>22</v>
      </c>
      <c r="H597" t="s">
        <v>214</v>
      </c>
      <c r="I597" t="s">
        <v>12</v>
      </c>
      <c r="J597" t="s">
        <v>24</v>
      </c>
      <c r="K597" s="4">
        <v>45047</v>
      </c>
      <c r="L597">
        <v>2023</v>
      </c>
      <c r="M597" s="4">
        <v>45068</v>
      </c>
      <c r="N597">
        <v>3156.66</v>
      </c>
      <c r="O597">
        <v>24</v>
      </c>
    </row>
    <row r="598" spans="1:15" hidden="1" x14ac:dyDescent="0.25">
      <c r="A598" s="92">
        <v>596</v>
      </c>
      <c r="B598" s="47">
        <f>MONTH(dis_table[[#This Row],[Date]])</f>
        <v>5</v>
      </c>
      <c r="C598" s="4">
        <v>45068</v>
      </c>
      <c r="D598" s="4">
        <v>45068</v>
      </c>
      <c r="E598" t="s">
        <v>530</v>
      </c>
      <c r="F598">
        <v>14.28</v>
      </c>
      <c r="G598" t="s">
        <v>58</v>
      </c>
      <c r="H598" t="s">
        <v>531</v>
      </c>
      <c r="I598" t="s">
        <v>12</v>
      </c>
      <c r="J598" t="s">
        <v>59</v>
      </c>
      <c r="K598" s="4">
        <v>45047</v>
      </c>
      <c r="L598">
        <v>2023</v>
      </c>
      <c r="M598" s="4">
        <v>45068</v>
      </c>
      <c r="N598">
        <v>3170.94</v>
      </c>
      <c r="O598">
        <v>4</v>
      </c>
    </row>
    <row r="599" spans="1:15" hidden="1" x14ac:dyDescent="0.25">
      <c r="A599" s="92">
        <v>597</v>
      </c>
      <c r="B599" s="47">
        <f>MONTH(dis_table[[#This Row],[Date]])</f>
        <v>5</v>
      </c>
      <c r="C599" s="4">
        <v>45068</v>
      </c>
      <c r="D599" s="4">
        <v>45068</v>
      </c>
      <c r="E599" t="s">
        <v>125</v>
      </c>
      <c r="F599">
        <v>8.5</v>
      </c>
      <c r="G599" t="s">
        <v>34</v>
      </c>
      <c r="H599" t="s">
        <v>133</v>
      </c>
      <c r="I599" t="s">
        <v>12</v>
      </c>
      <c r="J599" t="s">
        <v>24</v>
      </c>
      <c r="K599" s="4">
        <v>45047</v>
      </c>
      <c r="L599">
        <v>2023</v>
      </c>
      <c r="M599" s="4">
        <v>45068</v>
      </c>
      <c r="N599">
        <v>3179.44</v>
      </c>
      <c r="O599">
        <v>27</v>
      </c>
    </row>
    <row r="600" spans="1:15" hidden="1" x14ac:dyDescent="0.25">
      <c r="A600" s="92">
        <v>598</v>
      </c>
      <c r="B600" s="47">
        <f>MONTH(dis_table[[#This Row],[Date]])</f>
        <v>5</v>
      </c>
      <c r="C600" s="4">
        <v>45068</v>
      </c>
      <c r="D600" s="4">
        <v>45068</v>
      </c>
      <c r="E600" t="s">
        <v>646</v>
      </c>
      <c r="F600">
        <v>32.880000000000003</v>
      </c>
      <c r="G600" t="s">
        <v>16</v>
      </c>
      <c r="H600" t="s">
        <v>21</v>
      </c>
      <c r="I600" t="s">
        <v>12</v>
      </c>
      <c r="J600" t="s">
        <v>24</v>
      </c>
      <c r="K600" s="4">
        <v>45047</v>
      </c>
      <c r="L600">
        <v>2023</v>
      </c>
      <c r="M600" s="4">
        <v>45068</v>
      </c>
      <c r="N600">
        <v>3212.32</v>
      </c>
      <c r="O600">
        <v>29</v>
      </c>
    </row>
    <row r="601" spans="1:15" hidden="1" x14ac:dyDescent="0.25">
      <c r="A601" s="92">
        <v>599</v>
      </c>
      <c r="B601" s="47">
        <f>MONTH(dis_table[[#This Row],[Date]])</f>
        <v>5</v>
      </c>
      <c r="C601" s="4">
        <v>45068</v>
      </c>
      <c r="D601" s="4">
        <v>45068</v>
      </c>
      <c r="E601" t="s">
        <v>645</v>
      </c>
      <c r="F601">
        <v>129.97</v>
      </c>
      <c r="G601" t="s">
        <v>58</v>
      </c>
      <c r="H601" t="s">
        <v>539</v>
      </c>
      <c r="I601" t="s">
        <v>12</v>
      </c>
      <c r="J601" t="s">
        <v>19</v>
      </c>
      <c r="K601" s="4">
        <v>45047</v>
      </c>
      <c r="L601">
        <v>2023</v>
      </c>
      <c r="M601" s="4">
        <v>45068</v>
      </c>
      <c r="N601">
        <v>3342.29</v>
      </c>
      <c r="O601">
        <v>10</v>
      </c>
    </row>
    <row r="602" spans="1:15" hidden="1" x14ac:dyDescent="0.25">
      <c r="A602" s="92">
        <v>600</v>
      </c>
      <c r="B602" s="47">
        <f>MONTH(dis_table[[#This Row],[Date]])</f>
        <v>5</v>
      </c>
      <c r="C602" s="4">
        <v>45068</v>
      </c>
      <c r="D602" s="4">
        <v>45068</v>
      </c>
      <c r="E602" t="s">
        <v>645</v>
      </c>
      <c r="F602">
        <v>0.01</v>
      </c>
      <c r="G602" t="s">
        <v>58</v>
      </c>
      <c r="H602" t="s">
        <v>539</v>
      </c>
      <c r="I602" t="s">
        <v>12</v>
      </c>
      <c r="J602" t="s">
        <v>19</v>
      </c>
      <c r="K602" s="4">
        <v>45047</v>
      </c>
      <c r="L602">
        <v>2023</v>
      </c>
      <c r="M602" s="4">
        <v>45068</v>
      </c>
      <c r="N602">
        <v>3342.3</v>
      </c>
      <c r="O602">
        <v>11</v>
      </c>
    </row>
    <row r="603" spans="1:15" hidden="1" x14ac:dyDescent="0.25">
      <c r="A603" s="92">
        <v>601</v>
      </c>
      <c r="B603" s="47">
        <f>MONTH(dis_table[[#This Row],[Date]])</f>
        <v>5</v>
      </c>
      <c r="C603" s="4">
        <v>45068</v>
      </c>
      <c r="D603" s="4">
        <v>45068</v>
      </c>
      <c r="E603" t="s">
        <v>647</v>
      </c>
      <c r="F603">
        <v>60.24</v>
      </c>
      <c r="G603" t="s">
        <v>16</v>
      </c>
      <c r="H603" t="s">
        <v>21</v>
      </c>
      <c r="I603" t="s">
        <v>12</v>
      </c>
      <c r="J603" t="s">
        <v>24</v>
      </c>
      <c r="K603" s="4">
        <v>45047</v>
      </c>
      <c r="L603">
        <v>2023</v>
      </c>
      <c r="M603" s="4">
        <v>45068</v>
      </c>
      <c r="N603">
        <v>3402.54</v>
      </c>
      <c r="O603">
        <v>30</v>
      </c>
    </row>
    <row r="604" spans="1:15" hidden="1" x14ac:dyDescent="0.25">
      <c r="A604" s="92">
        <v>602</v>
      </c>
      <c r="B604" s="47">
        <f>MONTH(dis_table[[#This Row],[Date]])</f>
        <v>5</v>
      </c>
      <c r="C604" s="4">
        <v>45069</v>
      </c>
      <c r="D604" s="4">
        <v>45069</v>
      </c>
      <c r="E604" t="s">
        <v>70</v>
      </c>
      <c r="F604">
        <v>1</v>
      </c>
      <c r="G604" t="s">
        <v>22</v>
      </c>
      <c r="H604" t="s">
        <v>42</v>
      </c>
      <c r="I604" t="s">
        <v>12</v>
      </c>
      <c r="J604" t="s">
        <v>31</v>
      </c>
      <c r="K604" s="4">
        <v>45047</v>
      </c>
      <c r="L604">
        <v>2023</v>
      </c>
      <c r="M604" s="4">
        <v>45069</v>
      </c>
      <c r="N604">
        <v>3403.54</v>
      </c>
      <c r="O604">
        <v>56</v>
      </c>
    </row>
    <row r="605" spans="1:15" hidden="1" x14ac:dyDescent="0.25">
      <c r="A605" s="92">
        <v>603</v>
      </c>
      <c r="B605" s="47">
        <f>MONTH(dis_table[[#This Row],[Date]])</f>
        <v>5</v>
      </c>
      <c r="C605" s="4">
        <v>45069</v>
      </c>
      <c r="D605" s="4">
        <v>45069</v>
      </c>
      <c r="E605" t="s">
        <v>139</v>
      </c>
      <c r="F605">
        <v>9</v>
      </c>
      <c r="G605" t="s">
        <v>16</v>
      </c>
      <c r="H605" t="s">
        <v>25</v>
      </c>
      <c r="I605" t="s">
        <v>12</v>
      </c>
      <c r="J605" t="s">
        <v>24</v>
      </c>
      <c r="K605" s="4">
        <v>45047</v>
      </c>
      <c r="L605">
        <v>2023</v>
      </c>
      <c r="M605" s="4">
        <v>45069</v>
      </c>
      <c r="N605">
        <v>3412.54</v>
      </c>
      <c r="O605">
        <v>11</v>
      </c>
    </row>
    <row r="606" spans="1:15" hidden="1" x14ac:dyDescent="0.25">
      <c r="A606" s="92">
        <v>604</v>
      </c>
      <c r="B606" s="47">
        <f>MONTH(dis_table[[#This Row],[Date]])</f>
        <v>5</v>
      </c>
      <c r="C606" s="4">
        <v>45069</v>
      </c>
      <c r="D606" s="4">
        <v>45069</v>
      </c>
      <c r="E606" t="s">
        <v>655</v>
      </c>
      <c r="F606">
        <v>74.680000000000007</v>
      </c>
      <c r="G606" t="s">
        <v>36</v>
      </c>
      <c r="H606" t="s">
        <v>656</v>
      </c>
      <c r="I606" t="s">
        <v>12</v>
      </c>
      <c r="J606" t="s">
        <v>53</v>
      </c>
      <c r="K606" s="4">
        <v>45047</v>
      </c>
      <c r="L606">
        <v>2023</v>
      </c>
      <c r="M606" s="4">
        <v>45069</v>
      </c>
      <c r="N606">
        <v>3487.22</v>
      </c>
      <c r="O606">
        <v>1</v>
      </c>
    </row>
    <row r="607" spans="1:15" hidden="1" x14ac:dyDescent="0.25">
      <c r="A607" s="92">
        <v>605</v>
      </c>
      <c r="B607" s="47">
        <f>MONTH(dis_table[[#This Row],[Date]])</f>
        <v>5</v>
      </c>
      <c r="C607" s="4">
        <v>45069</v>
      </c>
      <c r="D607" s="4">
        <v>45069</v>
      </c>
      <c r="E607" t="s">
        <v>621</v>
      </c>
      <c r="F607">
        <v>8.98</v>
      </c>
      <c r="G607" t="s">
        <v>22</v>
      </c>
      <c r="H607" t="s">
        <v>42</v>
      </c>
      <c r="I607" t="s">
        <v>12</v>
      </c>
      <c r="J607" t="s">
        <v>31</v>
      </c>
      <c r="K607" s="4">
        <v>45047</v>
      </c>
      <c r="L607">
        <v>2023</v>
      </c>
      <c r="M607" s="4">
        <v>45069</v>
      </c>
      <c r="N607">
        <v>3496.2</v>
      </c>
      <c r="O607">
        <v>57</v>
      </c>
    </row>
    <row r="608" spans="1:15" hidden="1" x14ac:dyDescent="0.25">
      <c r="A608" s="92">
        <v>606</v>
      </c>
      <c r="B608" s="47">
        <f>MONTH(dis_table[[#This Row],[Date]])</f>
        <v>5</v>
      </c>
      <c r="C608" s="4">
        <v>45069</v>
      </c>
      <c r="D608" s="4">
        <v>45069</v>
      </c>
      <c r="E608" t="s">
        <v>70</v>
      </c>
      <c r="F608">
        <v>49.98</v>
      </c>
      <c r="G608" t="s">
        <v>22</v>
      </c>
      <c r="H608" t="s">
        <v>42</v>
      </c>
      <c r="I608" t="s">
        <v>12</v>
      </c>
      <c r="J608" t="s">
        <v>31</v>
      </c>
      <c r="K608" s="4">
        <v>45047</v>
      </c>
      <c r="L608">
        <v>2023</v>
      </c>
      <c r="M608" s="4">
        <v>45069</v>
      </c>
      <c r="N608">
        <v>3546.18</v>
      </c>
      <c r="O608">
        <v>58</v>
      </c>
    </row>
    <row r="609" spans="1:15" hidden="1" x14ac:dyDescent="0.25">
      <c r="A609" s="92">
        <v>607</v>
      </c>
      <c r="B609" s="47">
        <f>MONTH(dis_table[[#This Row],[Date]])</f>
        <v>5</v>
      </c>
      <c r="C609" s="4">
        <v>45069</v>
      </c>
      <c r="D609" s="4">
        <v>45069</v>
      </c>
      <c r="E609" t="s">
        <v>70</v>
      </c>
      <c r="F609">
        <v>12.95</v>
      </c>
      <c r="G609" t="s">
        <v>22</v>
      </c>
      <c r="H609" t="s">
        <v>42</v>
      </c>
      <c r="I609" t="s">
        <v>12</v>
      </c>
      <c r="J609" t="s">
        <v>31</v>
      </c>
      <c r="K609" s="4">
        <v>45047</v>
      </c>
      <c r="L609">
        <v>2023</v>
      </c>
      <c r="M609" s="4">
        <v>45069</v>
      </c>
      <c r="N609">
        <v>3559.13</v>
      </c>
      <c r="O609">
        <v>59</v>
      </c>
    </row>
    <row r="610" spans="1:15" hidden="1" x14ac:dyDescent="0.25">
      <c r="A610" s="92">
        <v>608</v>
      </c>
      <c r="B610" s="47">
        <f>MONTH(dis_table[[#This Row],[Date]])</f>
        <v>5</v>
      </c>
      <c r="C610" s="4">
        <v>45069</v>
      </c>
      <c r="D610" s="4">
        <v>45069</v>
      </c>
      <c r="E610" t="s">
        <v>70</v>
      </c>
      <c r="F610">
        <v>7.49</v>
      </c>
      <c r="G610" t="s">
        <v>22</v>
      </c>
      <c r="H610" t="s">
        <v>42</v>
      </c>
      <c r="I610" t="s">
        <v>12</v>
      </c>
      <c r="J610" t="s">
        <v>31</v>
      </c>
      <c r="K610" s="4">
        <v>45047</v>
      </c>
      <c r="L610">
        <v>2023</v>
      </c>
      <c r="M610" s="4">
        <v>45069</v>
      </c>
      <c r="N610">
        <v>3566.619999999999</v>
      </c>
      <c r="O610">
        <v>60</v>
      </c>
    </row>
    <row r="611" spans="1:15" hidden="1" x14ac:dyDescent="0.25">
      <c r="A611" s="92">
        <v>609</v>
      </c>
      <c r="B611" s="47">
        <f>MONTH(dis_table[[#This Row],[Date]])</f>
        <v>5</v>
      </c>
      <c r="C611" s="4">
        <v>45069</v>
      </c>
      <c r="D611" s="4">
        <v>45069</v>
      </c>
      <c r="E611" t="s">
        <v>654</v>
      </c>
      <c r="F611">
        <v>23.05</v>
      </c>
      <c r="G611" t="s">
        <v>9</v>
      </c>
      <c r="H611" t="s">
        <v>14</v>
      </c>
      <c r="I611" t="s">
        <v>12</v>
      </c>
      <c r="J611" t="s">
        <v>13</v>
      </c>
      <c r="K611" s="4">
        <v>45047</v>
      </c>
      <c r="L611">
        <v>2023</v>
      </c>
      <c r="M611" s="4">
        <v>45069</v>
      </c>
      <c r="N611">
        <v>3589.67</v>
      </c>
      <c r="O611">
        <v>70</v>
      </c>
    </row>
    <row r="612" spans="1:15" hidden="1" x14ac:dyDescent="0.25">
      <c r="A612" s="92">
        <v>610</v>
      </c>
      <c r="B612" s="47">
        <f>MONTH(dis_table[[#This Row],[Date]])</f>
        <v>5</v>
      </c>
      <c r="C612" s="4">
        <v>45069</v>
      </c>
      <c r="D612" s="4">
        <v>45069</v>
      </c>
      <c r="E612" t="s">
        <v>653</v>
      </c>
      <c r="F612">
        <v>40.69</v>
      </c>
      <c r="G612" t="s">
        <v>34</v>
      </c>
      <c r="H612" t="s">
        <v>35</v>
      </c>
      <c r="I612" t="s">
        <v>12</v>
      </c>
      <c r="J612" t="s">
        <v>13</v>
      </c>
      <c r="K612" s="4">
        <v>45047</v>
      </c>
      <c r="L612">
        <v>2023</v>
      </c>
      <c r="M612" s="4">
        <v>45069</v>
      </c>
      <c r="N612">
        <v>3630.36</v>
      </c>
      <c r="O612">
        <v>31</v>
      </c>
    </row>
    <row r="613" spans="1:15" hidden="1" x14ac:dyDescent="0.25">
      <c r="A613" s="92">
        <v>611</v>
      </c>
      <c r="B613" s="47">
        <f>MONTH(dis_table[[#This Row],[Date]])</f>
        <v>5</v>
      </c>
      <c r="C613" s="4">
        <v>45069</v>
      </c>
      <c r="D613" s="4">
        <v>45069</v>
      </c>
      <c r="E613" t="s">
        <v>652</v>
      </c>
      <c r="F613">
        <v>79</v>
      </c>
      <c r="G613" t="s">
        <v>16</v>
      </c>
      <c r="H613" t="s">
        <v>72</v>
      </c>
      <c r="I613" t="s">
        <v>12</v>
      </c>
      <c r="J613" t="s">
        <v>24</v>
      </c>
      <c r="K613" s="4">
        <v>45047</v>
      </c>
      <c r="L613">
        <v>2023</v>
      </c>
      <c r="M613" s="4">
        <v>45069</v>
      </c>
      <c r="N613">
        <v>3709.36</v>
      </c>
      <c r="O613">
        <v>8</v>
      </c>
    </row>
    <row r="614" spans="1:15" hidden="1" x14ac:dyDescent="0.25">
      <c r="A614" s="92">
        <v>612</v>
      </c>
      <c r="B614" s="47">
        <f>MONTH(dis_table[[#This Row],[Date]])</f>
        <v>5</v>
      </c>
      <c r="C614" s="4">
        <v>45069</v>
      </c>
      <c r="D614" s="4">
        <v>45069</v>
      </c>
      <c r="E614" t="s">
        <v>81</v>
      </c>
      <c r="F614">
        <v>10.62</v>
      </c>
      <c r="G614" t="s">
        <v>16</v>
      </c>
      <c r="H614" t="s">
        <v>45</v>
      </c>
      <c r="I614" t="s">
        <v>12</v>
      </c>
      <c r="J614" t="s">
        <v>19</v>
      </c>
      <c r="K614" s="4">
        <v>45047</v>
      </c>
      <c r="L614">
        <v>2023</v>
      </c>
      <c r="M614" s="4">
        <v>45069</v>
      </c>
      <c r="N614">
        <v>3719.98</v>
      </c>
      <c r="O614">
        <v>31</v>
      </c>
    </row>
    <row r="615" spans="1:15" hidden="1" x14ac:dyDescent="0.25">
      <c r="A615" s="92">
        <v>613</v>
      </c>
      <c r="B615" s="47">
        <f>MONTH(dis_table[[#This Row],[Date]])</f>
        <v>5</v>
      </c>
      <c r="C615" s="4">
        <v>45069</v>
      </c>
      <c r="D615" s="4">
        <v>45069</v>
      </c>
      <c r="E615" t="s">
        <v>81</v>
      </c>
      <c r="F615">
        <v>10.62</v>
      </c>
      <c r="G615" t="s">
        <v>16</v>
      </c>
      <c r="H615" t="s">
        <v>45</v>
      </c>
      <c r="I615" t="s">
        <v>12</v>
      </c>
      <c r="J615" t="s">
        <v>19</v>
      </c>
      <c r="K615" s="4">
        <v>45047</v>
      </c>
      <c r="L615">
        <v>2023</v>
      </c>
      <c r="M615" s="4">
        <v>45069</v>
      </c>
      <c r="N615">
        <v>3730.599999999999</v>
      </c>
      <c r="O615">
        <v>32</v>
      </c>
    </row>
    <row r="616" spans="1:15" hidden="1" x14ac:dyDescent="0.25">
      <c r="A616" s="92">
        <v>614</v>
      </c>
      <c r="B616" s="47">
        <f>MONTH(dis_table[[#This Row],[Date]])</f>
        <v>5</v>
      </c>
      <c r="C616" s="4">
        <v>45069</v>
      </c>
      <c r="D616" s="4">
        <v>45069</v>
      </c>
      <c r="E616" t="s">
        <v>81</v>
      </c>
      <c r="F616">
        <v>7.43</v>
      </c>
      <c r="G616" t="s">
        <v>16</v>
      </c>
      <c r="H616" t="s">
        <v>45</v>
      </c>
      <c r="I616" t="s">
        <v>12</v>
      </c>
      <c r="J616" t="s">
        <v>19</v>
      </c>
      <c r="K616" s="4">
        <v>45047</v>
      </c>
      <c r="L616">
        <v>2023</v>
      </c>
      <c r="M616" s="4">
        <v>45069</v>
      </c>
      <c r="N616">
        <v>3738.0299999999988</v>
      </c>
      <c r="O616">
        <v>33</v>
      </c>
    </row>
    <row r="617" spans="1:15" hidden="1" x14ac:dyDescent="0.25">
      <c r="A617" s="92">
        <v>615</v>
      </c>
      <c r="B617" s="47">
        <f>MONTH(dis_table[[#This Row],[Date]])</f>
        <v>5</v>
      </c>
      <c r="C617" s="4">
        <v>45069</v>
      </c>
      <c r="D617" s="4">
        <v>45069</v>
      </c>
      <c r="E617" t="s">
        <v>81</v>
      </c>
      <c r="F617">
        <v>4.25</v>
      </c>
      <c r="G617" t="s">
        <v>16</v>
      </c>
      <c r="H617" t="s">
        <v>45</v>
      </c>
      <c r="I617" t="s">
        <v>12</v>
      </c>
      <c r="J617" t="s">
        <v>19</v>
      </c>
      <c r="K617" s="4">
        <v>45047</v>
      </c>
      <c r="L617">
        <v>2023</v>
      </c>
      <c r="M617" s="4">
        <v>45069</v>
      </c>
      <c r="N617">
        <v>3742.2799999999988</v>
      </c>
      <c r="O617">
        <v>34</v>
      </c>
    </row>
    <row r="618" spans="1:15" hidden="1" x14ac:dyDescent="0.25">
      <c r="A618" s="92">
        <v>616</v>
      </c>
      <c r="B618" s="47">
        <f>MONTH(dis_table[[#This Row],[Date]])</f>
        <v>5</v>
      </c>
      <c r="C618" s="4">
        <v>45069</v>
      </c>
      <c r="D618" s="4">
        <v>45069</v>
      </c>
      <c r="E618" t="s">
        <v>638</v>
      </c>
      <c r="F618">
        <v>159.55000000000001</v>
      </c>
      <c r="G618" t="s">
        <v>16</v>
      </c>
      <c r="H618" t="s">
        <v>57</v>
      </c>
      <c r="I618" t="s">
        <v>12</v>
      </c>
      <c r="J618" t="s">
        <v>19</v>
      </c>
      <c r="K618" s="4">
        <v>45047</v>
      </c>
      <c r="L618">
        <v>2023</v>
      </c>
      <c r="M618" s="4">
        <v>45069</v>
      </c>
      <c r="N618">
        <v>3901.829999999999</v>
      </c>
      <c r="O618">
        <v>11</v>
      </c>
    </row>
    <row r="619" spans="1:15" hidden="1" x14ac:dyDescent="0.25">
      <c r="A619" s="92">
        <v>617</v>
      </c>
      <c r="B619" s="47">
        <f>MONTH(dis_table[[#This Row],[Date]])</f>
        <v>5</v>
      </c>
      <c r="C619" s="4">
        <v>45069</v>
      </c>
      <c r="D619" s="4">
        <v>45069</v>
      </c>
      <c r="E619" t="s">
        <v>651</v>
      </c>
      <c r="F619">
        <v>82.21</v>
      </c>
      <c r="G619" t="s">
        <v>16</v>
      </c>
      <c r="H619" t="s">
        <v>21</v>
      </c>
      <c r="I619" t="s">
        <v>12</v>
      </c>
      <c r="J619" t="s">
        <v>24</v>
      </c>
      <c r="K619" s="4">
        <v>45047</v>
      </c>
      <c r="L619">
        <v>2023</v>
      </c>
      <c r="M619" s="4">
        <v>45069</v>
      </c>
      <c r="N619">
        <v>3984.04</v>
      </c>
      <c r="O619">
        <v>31</v>
      </c>
    </row>
    <row r="620" spans="1:15" hidden="1" x14ac:dyDescent="0.25">
      <c r="A620" s="92">
        <v>618</v>
      </c>
      <c r="B620" s="47">
        <f>MONTH(dis_table[[#This Row],[Date]])</f>
        <v>5</v>
      </c>
      <c r="C620" s="4">
        <v>45069</v>
      </c>
      <c r="D620" s="4">
        <v>45069</v>
      </c>
      <c r="E620" t="s">
        <v>650</v>
      </c>
      <c r="F620">
        <v>92.38</v>
      </c>
      <c r="G620" t="s">
        <v>16</v>
      </c>
      <c r="H620" t="s">
        <v>539</v>
      </c>
      <c r="I620" t="s">
        <v>12</v>
      </c>
      <c r="J620" t="s">
        <v>19</v>
      </c>
      <c r="K620" s="4">
        <v>45047</v>
      </c>
      <c r="L620">
        <v>2023</v>
      </c>
      <c r="M620" s="4">
        <v>45069</v>
      </c>
      <c r="N620">
        <v>4076.42</v>
      </c>
      <c r="O620">
        <v>12</v>
      </c>
    </row>
    <row r="621" spans="1:15" hidden="1" x14ac:dyDescent="0.25">
      <c r="A621" s="92">
        <v>619</v>
      </c>
      <c r="B621" s="47">
        <f>MONTH(dis_table[[#This Row],[Date]])</f>
        <v>5</v>
      </c>
      <c r="C621" s="4">
        <v>45071</v>
      </c>
      <c r="D621" s="4">
        <v>45071</v>
      </c>
      <c r="E621" t="s">
        <v>621</v>
      </c>
      <c r="F621">
        <v>8.9600000000000009</v>
      </c>
      <c r="G621" t="s">
        <v>22</v>
      </c>
      <c r="H621" t="s">
        <v>42</v>
      </c>
      <c r="I621" t="s">
        <v>12</v>
      </c>
      <c r="J621" t="s">
        <v>31</v>
      </c>
      <c r="K621" s="4">
        <v>45047</v>
      </c>
      <c r="L621">
        <v>2023</v>
      </c>
      <c r="M621" s="4">
        <v>45071</v>
      </c>
      <c r="N621">
        <v>4085.38</v>
      </c>
      <c r="O621">
        <v>61</v>
      </c>
    </row>
    <row r="622" spans="1:15" hidden="1" x14ac:dyDescent="0.25">
      <c r="A622" s="92">
        <v>620</v>
      </c>
      <c r="B622" s="47">
        <f>MONTH(dis_table[[#This Row],[Date]])</f>
        <v>5</v>
      </c>
      <c r="C622" s="4">
        <v>45071</v>
      </c>
      <c r="D622" s="4">
        <v>45071</v>
      </c>
      <c r="E622" t="s">
        <v>621</v>
      </c>
      <c r="F622">
        <v>1</v>
      </c>
      <c r="G622" t="s">
        <v>22</v>
      </c>
      <c r="H622" t="s">
        <v>42</v>
      </c>
      <c r="I622" t="s">
        <v>12</v>
      </c>
      <c r="J622" t="s">
        <v>31</v>
      </c>
      <c r="K622" s="4">
        <v>45047</v>
      </c>
      <c r="L622">
        <v>2023</v>
      </c>
      <c r="M622" s="4">
        <v>45071</v>
      </c>
      <c r="N622">
        <v>4086.38</v>
      </c>
      <c r="O622">
        <v>62</v>
      </c>
    </row>
    <row r="623" spans="1:15" hidden="1" x14ac:dyDescent="0.25">
      <c r="A623" s="92">
        <v>621</v>
      </c>
      <c r="B623" s="47">
        <f>MONTH(dis_table[[#This Row],[Date]])</f>
        <v>5</v>
      </c>
      <c r="C623" s="4">
        <v>45071</v>
      </c>
      <c r="D623" s="4">
        <v>45071</v>
      </c>
      <c r="E623" t="s">
        <v>660</v>
      </c>
      <c r="F623">
        <v>8.5299999999999994</v>
      </c>
      <c r="G623" t="s">
        <v>9</v>
      </c>
      <c r="H623" t="s">
        <v>14</v>
      </c>
      <c r="I623" t="s">
        <v>12</v>
      </c>
      <c r="J623" t="s">
        <v>13</v>
      </c>
      <c r="K623" s="4">
        <v>45047</v>
      </c>
      <c r="L623">
        <v>2023</v>
      </c>
      <c r="M623" s="4">
        <v>45071</v>
      </c>
      <c r="N623">
        <v>4094.91</v>
      </c>
      <c r="O623">
        <v>71</v>
      </c>
    </row>
    <row r="624" spans="1:15" hidden="1" x14ac:dyDescent="0.25">
      <c r="A624" s="92">
        <v>622</v>
      </c>
      <c r="B624" s="47">
        <f>MONTH(dis_table[[#This Row],[Date]])</f>
        <v>5</v>
      </c>
      <c r="C624" s="4">
        <v>45071</v>
      </c>
      <c r="D624" s="4">
        <v>45071</v>
      </c>
      <c r="E624" t="s">
        <v>569</v>
      </c>
      <c r="F624">
        <v>51.52</v>
      </c>
      <c r="G624" t="s">
        <v>16</v>
      </c>
      <c r="H624" t="s">
        <v>28</v>
      </c>
      <c r="I624" t="s">
        <v>12</v>
      </c>
      <c r="J624" t="s">
        <v>122</v>
      </c>
      <c r="K624" s="4">
        <v>45047</v>
      </c>
      <c r="L624">
        <v>2023</v>
      </c>
      <c r="M624" s="4">
        <v>45071</v>
      </c>
      <c r="N624">
        <v>4146.43</v>
      </c>
      <c r="O624">
        <v>16</v>
      </c>
    </row>
    <row r="625" spans="1:15" hidden="1" x14ac:dyDescent="0.25">
      <c r="A625" s="92">
        <v>623</v>
      </c>
      <c r="B625" s="47">
        <f>MONTH(dis_table[[#This Row],[Date]])</f>
        <v>5</v>
      </c>
      <c r="C625" s="4">
        <v>45071</v>
      </c>
      <c r="D625" s="4">
        <v>45071</v>
      </c>
      <c r="E625" t="s">
        <v>658</v>
      </c>
      <c r="F625">
        <v>11.57</v>
      </c>
      <c r="G625" t="s">
        <v>16</v>
      </c>
      <c r="H625" t="s">
        <v>21</v>
      </c>
      <c r="I625" t="s">
        <v>12</v>
      </c>
      <c r="J625" t="s">
        <v>24</v>
      </c>
      <c r="K625" s="4">
        <v>45047</v>
      </c>
      <c r="L625">
        <v>2023</v>
      </c>
      <c r="M625" s="4">
        <v>45071</v>
      </c>
      <c r="N625">
        <v>4158</v>
      </c>
      <c r="O625">
        <v>32</v>
      </c>
    </row>
    <row r="626" spans="1:15" hidden="1" x14ac:dyDescent="0.25">
      <c r="A626" s="92">
        <v>624</v>
      </c>
      <c r="B626" s="47">
        <f>MONTH(dis_table[[#This Row],[Date]])</f>
        <v>5</v>
      </c>
      <c r="C626" s="4">
        <v>45071</v>
      </c>
      <c r="D626" s="4">
        <v>45071</v>
      </c>
      <c r="E626" t="s">
        <v>657</v>
      </c>
      <c r="F626">
        <v>17.899999999999999</v>
      </c>
      <c r="G626" t="s">
        <v>16</v>
      </c>
      <c r="H626" t="s">
        <v>21</v>
      </c>
      <c r="I626" t="s">
        <v>12</v>
      </c>
      <c r="J626" t="s">
        <v>24</v>
      </c>
      <c r="K626" s="4">
        <v>45047</v>
      </c>
      <c r="L626">
        <v>2023</v>
      </c>
      <c r="M626" s="4">
        <v>45071</v>
      </c>
      <c r="N626">
        <v>4175.8999999999996</v>
      </c>
      <c r="O626">
        <v>33</v>
      </c>
    </row>
    <row r="627" spans="1:15" hidden="1" x14ac:dyDescent="0.25">
      <c r="A627" s="92">
        <v>625</v>
      </c>
      <c r="B627" s="47">
        <f>MONTH(dis_table[[#This Row],[Date]])</f>
        <v>5</v>
      </c>
      <c r="C627" s="4">
        <v>45071</v>
      </c>
      <c r="D627" s="4">
        <v>45071</v>
      </c>
      <c r="E627" t="s">
        <v>659</v>
      </c>
      <c r="F627">
        <v>35</v>
      </c>
      <c r="G627" t="s">
        <v>16</v>
      </c>
      <c r="H627" t="s">
        <v>46</v>
      </c>
      <c r="I627" t="s">
        <v>12</v>
      </c>
      <c r="J627" t="s">
        <v>24</v>
      </c>
      <c r="K627" s="4">
        <v>45047</v>
      </c>
      <c r="L627">
        <v>2023</v>
      </c>
      <c r="M627" s="4">
        <v>45071</v>
      </c>
      <c r="N627">
        <v>4210.8999999999996</v>
      </c>
      <c r="O627">
        <v>4</v>
      </c>
    </row>
    <row r="628" spans="1:15" hidden="1" x14ac:dyDescent="0.25">
      <c r="A628" s="92">
        <v>626</v>
      </c>
      <c r="B628" s="47">
        <f>MONTH(dis_table[[#This Row],[Date]])</f>
        <v>5</v>
      </c>
      <c r="C628" s="4">
        <v>45072</v>
      </c>
      <c r="D628" s="4">
        <v>45072</v>
      </c>
      <c r="E628" t="s">
        <v>621</v>
      </c>
      <c r="F628">
        <v>1</v>
      </c>
      <c r="G628" t="s">
        <v>22</v>
      </c>
      <c r="H628" t="s">
        <v>42</v>
      </c>
      <c r="I628" t="s">
        <v>12</v>
      </c>
      <c r="J628" t="s">
        <v>31</v>
      </c>
      <c r="K628" s="4">
        <v>45047</v>
      </c>
      <c r="L628">
        <v>2023</v>
      </c>
      <c r="M628" s="4">
        <v>45072</v>
      </c>
      <c r="N628">
        <v>4211.8999999999996</v>
      </c>
      <c r="O628">
        <v>63</v>
      </c>
    </row>
    <row r="629" spans="1:15" hidden="1" x14ac:dyDescent="0.25">
      <c r="A629" s="92">
        <v>627</v>
      </c>
      <c r="B629" s="47">
        <f>MONTH(dis_table[[#This Row],[Date]])</f>
        <v>5</v>
      </c>
      <c r="C629" s="4">
        <v>45072</v>
      </c>
      <c r="D629" s="4">
        <v>45072</v>
      </c>
      <c r="E629" t="s">
        <v>663</v>
      </c>
      <c r="F629">
        <v>46.24</v>
      </c>
      <c r="G629" t="s">
        <v>9</v>
      </c>
      <c r="H629" t="s">
        <v>14</v>
      </c>
      <c r="I629" t="s">
        <v>12</v>
      </c>
      <c r="J629" t="s">
        <v>13</v>
      </c>
      <c r="K629" s="4">
        <v>45047</v>
      </c>
      <c r="L629">
        <v>2023</v>
      </c>
      <c r="M629" s="4">
        <v>45072</v>
      </c>
      <c r="N629">
        <v>4258.1399999999994</v>
      </c>
      <c r="O629">
        <v>72</v>
      </c>
    </row>
    <row r="630" spans="1:15" hidden="1" x14ac:dyDescent="0.25">
      <c r="A630" s="92">
        <v>628</v>
      </c>
      <c r="B630" s="47">
        <f>MONTH(dis_table[[#This Row],[Date]])</f>
        <v>5</v>
      </c>
      <c r="C630" s="4">
        <v>45072</v>
      </c>
      <c r="D630" s="4">
        <v>45072</v>
      </c>
      <c r="E630" t="s">
        <v>70</v>
      </c>
      <c r="F630">
        <v>20.02</v>
      </c>
      <c r="G630" t="s">
        <v>22</v>
      </c>
      <c r="H630" t="s">
        <v>42</v>
      </c>
      <c r="I630" t="s">
        <v>12</v>
      </c>
      <c r="J630" t="s">
        <v>31</v>
      </c>
      <c r="K630" s="4">
        <v>45047</v>
      </c>
      <c r="L630">
        <v>2023</v>
      </c>
      <c r="M630" s="4">
        <v>45072</v>
      </c>
      <c r="N630">
        <v>4278.16</v>
      </c>
      <c r="O630">
        <v>64</v>
      </c>
    </row>
    <row r="631" spans="1:15" hidden="1" x14ac:dyDescent="0.25">
      <c r="A631" s="92">
        <v>629</v>
      </c>
      <c r="B631" s="47">
        <f>MONTH(dis_table[[#This Row],[Date]])</f>
        <v>5</v>
      </c>
      <c r="C631" s="4">
        <v>45072</v>
      </c>
      <c r="D631" s="4">
        <v>45072</v>
      </c>
      <c r="E631" t="s">
        <v>662</v>
      </c>
      <c r="F631">
        <v>21.97</v>
      </c>
      <c r="G631" t="s">
        <v>9</v>
      </c>
      <c r="H631" t="s">
        <v>14</v>
      </c>
      <c r="I631" t="s">
        <v>12</v>
      </c>
      <c r="J631" t="s">
        <v>13</v>
      </c>
      <c r="K631" s="4">
        <v>45047</v>
      </c>
      <c r="L631">
        <v>2023</v>
      </c>
      <c r="M631" s="4">
        <v>45072</v>
      </c>
      <c r="N631">
        <v>4300.13</v>
      </c>
      <c r="O631">
        <v>73</v>
      </c>
    </row>
    <row r="632" spans="1:15" hidden="1" x14ac:dyDescent="0.25">
      <c r="A632" s="92">
        <v>630</v>
      </c>
      <c r="B632" s="47">
        <f>MONTH(dis_table[[#This Row],[Date]])</f>
        <v>5</v>
      </c>
      <c r="C632" s="4">
        <v>45072</v>
      </c>
      <c r="D632" s="4">
        <v>45072</v>
      </c>
      <c r="E632" t="s">
        <v>661</v>
      </c>
      <c r="F632">
        <v>21.84</v>
      </c>
      <c r="G632" t="s">
        <v>34</v>
      </c>
      <c r="H632" t="s">
        <v>14</v>
      </c>
      <c r="I632" t="s">
        <v>12</v>
      </c>
      <c r="J632" t="s">
        <v>13</v>
      </c>
      <c r="K632" s="4">
        <v>45047</v>
      </c>
      <c r="L632">
        <v>2023</v>
      </c>
      <c r="M632" s="4">
        <v>45072</v>
      </c>
      <c r="N632">
        <v>4321.97</v>
      </c>
      <c r="O632">
        <v>74</v>
      </c>
    </row>
    <row r="633" spans="1:15" hidden="1" x14ac:dyDescent="0.25">
      <c r="A633" s="92">
        <v>631</v>
      </c>
      <c r="B633" s="47">
        <f>MONTH(dis_table[[#This Row],[Date]])</f>
        <v>5</v>
      </c>
      <c r="C633" s="4">
        <v>45072</v>
      </c>
      <c r="D633" s="4">
        <v>45072</v>
      </c>
      <c r="E633" t="s">
        <v>70</v>
      </c>
      <c r="F633">
        <v>1</v>
      </c>
      <c r="G633" t="s">
        <v>22</v>
      </c>
      <c r="H633" t="s">
        <v>42</v>
      </c>
      <c r="I633" t="s">
        <v>12</v>
      </c>
      <c r="J633" t="s">
        <v>31</v>
      </c>
      <c r="K633" s="4">
        <v>45047</v>
      </c>
      <c r="L633">
        <v>2023</v>
      </c>
      <c r="M633" s="4">
        <v>45072</v>
      </c>
      <c r="N633">
        <v>4322.97</v>
      </c>
      <c r="O633">
        <v>65</v>
      </c>
    </row>
    <row r="634" spans="1:15" hidden="1" x14ac:dyDescent="0.25">
      <c r="A634" s="92">
        <v>632</v>
      </c>
      <c r="B634" s="47">
        <f>MONTH(dis_table[[#This Row],[Date]])</f>
        <v>5</v>
      </c>
      <c r="C634" s="4">
        <v>45073</v>
      </c>
      <c r="D634" s="4">
        <v>45073</v>
      </c>
      <c r="E634" t="s">
        <v>664</v>
      </c>
      <c r="F634">
        <v>7.79</v>
      </c>
      <c r="G634" t="s">
        <v>22</v>
      </c>
      <c r="H634" t="s">
        <v>42</v>
      </c>
      <c r="I634" t="s">
        <v>12</v>
      </c>
      <c r="J634" t="s">
        <v>31</v>
      </c>
      <c r="K634" s="4">
        <v>45047</v>
      </c>
      <c r="L634">
        <v>2023</v>
      </c>
      <c r="M634" s="4">
        <v>45073</v>
      </c>
      <c r="N634">
        <v>4330.76</v>
      </c>
      <c r="O634">
        <v>66</v>
      </c>
    </row>
    <row r="635" spans="1:15" hidden="1" x14ac:dyDescent="0.25">
      <c r="A635" s="92">
        <v>633</v>
      </c>
      <c r="B635" s="47">
        <f>MONTH(dis_table[[#This Row],[Date]])</f>
        <v>5</v>
      </c>
      <c r="C635" s="4">
        <v>45073</v>
      </c>
      <c r="D635" s="4">
        <v>45073</v>
      </c>
      <c r="E635" t="s">
        <v>665</v>
      </c>
      <c r="F635">
        <v>8.58</v>
      </c>
      <c r="G635" t="s">
        <v>22</v>
      </c>
      <c r="H635" t="s">
        <v>42</v>
      </c>
      <c r="I635" t="s">
        <v>12</v>
      </c>
      <c r="J635" t="s">
        <v>31</v>
      </c>
      <c r="K635" s="4">
        <v>45047</v>
      </c>
      <c r="L635">
        <v>2023</v>
      </c>
      <c r="M635" s="4">
        <v>45073</v>
      </c>
      <c r="N635">
        <v>4339.34</v>
      </c>
      <c r="O635">
        <v>67</v>
      </c>
    </row>
    <row r="636" spans="1:15" hidden="1" x14ac:dyDescent="0.25">
      <c r="A636" s="92">
        <v>634</v>
      </c>
      <c r="B636" s="47">
        <f>MONTH(dis_table[[#This Row],[Date]])</f>
        <v>5</v>
      </c>
      <c r="C636" s="4">
        <v>45073</v>
      </c>
      <c r="D636" s="4">
        <v>45073</v>
      </c>
      <c r="E636" t="s">
        <v>666</v>
      </c>
      <c r="F636">
        <v>37.56</v>
      </c>
      <c r="G636" t="s">
        <v>22</v>
      </c>
      <c r="H636" t="s">
        <v>667</v>
      </c>
      <c r="I636" t="s">
        <v>12</v>
      </c>
      <c r="J636" t="s">
        <v>19</v>
      </c>
      <c r="K636" s="4">
        <v>45047</v>
      </c>
      <c r="L636">
        <v>2023</v>
      </c>
      <c r="M636" s="4">
        <v>45073</v>
      </c>
      <c r="N636">
        <v>4376.9000000000005</v>
      </c>
      <c r="O636">
        <v>1</v>
      </c>
    </row>
    <row r="637" spans="1:15" hidden="1" x14ac:dyDescent="0.25">
      <c r="A637" s="92">
        <v>635</v>
      </c>
      <c r="B637" s="47">
        <f>MONTH(dis_table[[#This Row],[Date]])</f>
        <v>5</v>
      </c>
      <c r="C637" s="4">
        <v>45073</v>
      </c>
      <c r="D637" s="4">
        <v>45073</v>
      </c>
      <c r="E637" t="s">
        <v>666</v>
      </c>
      <c r="F637">
        <v>87.51</v>
      </c>
      <c r="G637" t="s">
        <v>22</v>
      </c>
      <c r="H637" t="s">
        <v>667</v>
      </c>
      <c r="I637" t="s">
        <v>12</v>
      </c>
      <c r="J637" t="s">
        <v>19</v>
      </c>
      <c r="K637" s="4">
        <v>45047</v>
      </c>
      <c r="L637">
        <v>2023</v>
      </c>
      <c r="M637" s="4">
        <v>45073</v>
      </c>
      <c r="N637">
        <v>4464.4100000000008</v>
      </c>
      <c r="O637">
        <v>2</v>
      </c>
    </row>
    <row r="638" spans="1:15" hidden="1" x14ac:dyDescent="0.25">
      <c r="A638" s="92">
        <v>636</v>
      </c>
      <c r="B638" s="47">
        <f>MONTH(dis_table[[#This Row],[Date]])</f>
        <v>5</v>
      </c>
      <c r="C638" s="4">
        <v>45073</v>
      </c>
      <c r="D638" s="4">
        <v>45073</v>
      </c>
      <c r="E638" t="s">
        <v>70</v>
      </c>
      <c r="F638">
        <v>41.72</v>
      </c>
      <c r="G638" t="s">
        <v>22</v>
      </c>
      <c r="H638" t="s">
        <v>42</v>
      </c>
      <c r="I638" t="s">
        <v>12</v>
      </c>
      <c r="J638" t="s">
        <v>31</v>
      </c>
      <c r="K638" s="4">
        <v>45047</v>
      </c>
      <c r="L638">
        <v>2023</v>
      </c>
      <c r="M638" s="4">
        <v>45073</v>
      </c>
      <c r="N638">
        <v>4506.130000000001</v>
      </c>
      <c r="O638">
        <v>68</v>
      </c>
    </row>
    <row r="639" spans="1:15" hidden="1" x14ac:dyDescent="0.25">
      <c r="A639" s="92">
        <v>637</v>
      </c>
      <c r="B639" s="47">
        <f>MONTH(dis_table[[#This Row],[Date]])</f>
        <v>5</v>
      </c>
      <c r="C639" s="4">
        <v>45073</v>
      </c>
      <c r="D639" s="4">
        <v>45073</v>
      </c>
      <c r="E639" t="s">
        <v>70</v>
      </c>
      <c r="F639">
        <v>216.34</v>
      </c>
      <c r="G639" t="s">
        <v>22</v>
      </c>
      <c r="H639" t="s">
        <v>42</v>
      </c>
      <c r="I639" t="s">
        <v>12</v>
      </c>
      <c r="J639" t="s">
        <v>31</v>
      </c>
      <c r="K639" s="4">
        <v>45047</v>
      </c>
      <c r="L639">
        <v>2023</v>
      </c>
      <c r="M639" s="4">
        <v>45073</v>
      </c>
      <c r="N639">
        <v>4722.4700000000012</v>
      </c>
      <c r="O639">
        <v>69</v>
      </c>
    </row>
    <row r="640" spans="1:15" hidden="1" x14ac:dyDescent="0.25">
      <c r="A640" s="92">
        <v>638</v>
      </c>
      <c r="B640" s="47">
        <f>MONTH(dis_table[[#This Row],[Date]])</f>
        <v>5</v>
      </c>
      <c r="C640" s="4">
        <v>45074</v>
      </c>
      <c r="D640" s="4">
        <v>45074</v>
      </c>
      <c r="E640" t="s">
        <v>668</v>
      </c>
      <c r="F640">
        <v>22.08</v>
      </c>
      <c r="G640" t="s">
        <v>16</v>
      </c>
      <c r="H640" t="s">
        <v>133</v>
      </c>
      <c r="I640" t="s">
        <v>12</v>
      </c>
      <c r="J640" t="s">
        <v>24</v>
      </c>
      <c r="K640" s="4">
        <v>45047</v>
      </c>
      <c r="L640">
        <v>2023</v>
      </c>
      <c r="M640" s="4">
        <v>45074</v>
      </c>
      <c r="N640">
        <v>4744.5500000000011</v>
      </c>
      <c r="O640">
        <v>28</v>
      </c>
    </row>
    <row r="641" spans="1:15" hidden="1" x14ac:dyDescent="0.25">
      <c r="A641" s="92">
        <v>639</v>
      </c>
      <c r="B641" s="47">
        <f>MONTH(dis_table[[#This Row],[Date]])</f>
        <v>5</v>
      </c>
      <c r="C641" s="4">
        <v>45074</v>
      </c>
      <c r="D641" s="4">
        <v>45074</v>
      </c>
      <c r="E641" t="s">
        <v>669</v>
      </c>
      <c r="F641">
        <v>2.95</v>
      </c>
      <c r="G641" t="s">
        <v>22</v>
      </c>
      <c r="H641" t="s">
        <v>42</v>
      </c>
      <c r="I641" t="s">
        <v>12</v>
      </c>
      <c r="J641" t="s">
        <v>31</v>
      </c>
      <c r="K641" s="4">
        <v>45047</v>
      </c>
      <c r="L641">
        <v>2023</v>
      </c>
      <c r="M641" s="4">
        <v>45074</v>
      </c>
      <c r="N641">
        <v>4747.5000000000009</v>
      </c>
      <c r="O641">
        <v>70</v>
      </c>
    </row>
    <row r="642" spans="1:15" hidden="1" x14ac:dyDescent="0.25">
      <c r="A642" s="92">
        <v>640</v>
      </c>
      <c r="B642" s="47">
        <f>MONTH(dis_table[[#This Row],[Date]])</f>
        <v>5</v>
      </c>
      <c r="C642" s="4">
        <v>45075</v>
      </c>
      <c r="D642" s="4">
        <v>45075</v>
      </c>
      <c r="E642" t="s">
        <v>666</v>
      </c>
      <c r="F642">
        <v>36.479999999999997</v>
      </c>
      <c r="G642" t="s">
        <v>22</v>
      </c>
      <c r="H642" t="s">
        <v>667</v>
      </c>
      <c r="I642" t="s">
        <v>12</v>
      </c>
      <c r="J642" t="s">
        <v>19</v>
      </c>
      <c r="K642" s="4">
        <v>45047</v>
      </c>
      <c r="L642">
        <v>2023</v>
      </c>
      <c r="M642" s="4">
        <v>45075</v>
      </c>
      <c r="N642">
        <v>4783.9799999999996</v>
      </c>
      <c r="O642">
        <v>3</v>
      </c>
    </row>
    <row r="643" spans="1:15" hidden="1" x14ac:dyDescent="0.25">
      <c r="A643" s="92">
        <v>641</v>
      </c>
      <c r="B643" s="47">
        <f>MONTH(dis_table[[#This Row],[Date]])</f>
        <v>5</v>
      </c>
      <c r="C643" s="4">
        <v>45077</v>
      </c>
      <c r="D643" s="4">
        <v>45077</v>
      </c>
      <c r="E643" t="s">
        <v>26</v>
      </c>
      <c r="F643">
        <v>-2432.5300000000002</v>
      </c>
      <c r="G643" t="s">
        <v>27</v>
      </c>
      <c r="H643" t="s">
        <v>28</v>
      </c>
      <c r="I643" t="s">
        <v>12</v>
      </c>
      <c r="J643" t="s">
        <v>122</v>
      </c>
      <c r="K643" s="4">
        <v>45047</v>
      </c>
      <c r="L643">
        <v>2023</v>
      </c>
      <c r="M643" s="4">
        <v>45077</v>
      </c>
      <c r="N643">
        <v>2351.4499999999998</v>
      </c>
      <c r="O643">
        <v>17</v>
      </c>
    </row>
    <row r="644" spans="1:15" hidden="1" x14ac:dyDescent="0.25">
      <c r="A644" s="92">
        <v>642</v>
      </c>
      <c r="B644" s="47">
        <f>MONTH(dis_table[[#This Row],[Date]])</f>
        <v>5</v>
      </c>
      <c r="C644" s="4">
        <v>45077</v>
      </c>
      <c r="D644" s="4">
        <v>45078</v>
      </c>
      <c r="E644" t="s">
        <v>638</v>
      </c>
      <c r="F644">
        <v>-131.55000000000001</v>
      </c>
      <c r="G644" t="s">
        <v>27</v>
      </c>
      <c r="H644" t="s">
        <v>57</v>
      </c>
      <c r="I644" t="s">
        <v>12</v>
      </c>
      <c r="J644" t="s">
        <v>19</v>
      </c>
      <c r="K644" s="4">
        <v>45047</v>
      </c>
      <c r="L644">
        <v>2023</v>
      </c>
      <c r="M644" s="4">
        <v>45077</v>
      </c>
      <c r="N644">
        <v>2219.9</v>
      </c>
      <c r="O644">
        <v>12</v>
      </c>
    </row>
    <row r="645" spans="1:15" hidden="1" x14ac:dyDescent="0.25">
      <c r="A645" s="92">
        <v>643</v>
      </c>
      <c r="B645" s="47">
        <f>MONTH(dis_table[[#This Row],[Date]])</f>
        <v>6</v>
      </c>
      <c r="C645" s="4">
        <v>45078</v>
      </c>
      <c r="D645" s="4">
        <v>45080</v>
      </c>
      <c r="E645" t="s">
        <v>83</v>
      </c>
      <c r="F645">
        <v>5</v>
      </c>
      <c r="G645" t="s">
        <v>36</v>
      </c>
      <c r="H645" t="s">
        <v>84</v>
      </c>
      <c r="I645" t="s">
        <v>18</v>
      </c>
      <c r="J645" t="s">
        <v>24</v>
      </c>
      <c r="K645" s="4">
        <v>45078</v>
      </c>
      <c r="L645">
        <v>2023</v>
      </c>
      <c r="M645" s="4">
        <v>45078</v>
      </c>
      <c r="N645">
        <v>2224.9</v>
      </c>
      <c r="O645">
        <v>5</v>
      </c>
    </row>
    <row r="646" spans="1:15" hidden="1" x14ac:dyDescent="0.25">
      <c r="A646" s="92">
        <v>644</v>
      </c>
      <c r="B646" s="47">
        <f>MONTH(dis_table[[#This Row],[Date]])</f>
        <v>6</v>
      </c>
      <c r="C646" s="4">
        <v>45078</v>
      </c>
      <c r="D646" s="4">
        <v>45078</v>
      </c>
      <c r="E646" t="s">
        <v>671</v>
      </c>
      <c r="F646">
        <v>4.99</v>
      </c>
      <c r="G646" t="s">
        <v>16</v>
      </c>
      <c r="H646" t="s">
        <v>20</v>
      </c>
      <c r="I646" t="s">
        <v>18</v>
      </c>
      <c r="J646" t="s">
        <v>19</v>
      </c>
      <c r="K646" s="4">
        <v>45078</v>
      </c>
      <c r="L646">
        <v>2023</v>
      </c>
      <c r="M646" s="4">
        <v>45078</v>
      </c>
      <c r="N646">
        <v>2229.89</v>
      </c>
      <c r="O646">
        <v>6</v>
      </c>
    </row>
    <row r="647" spans="1:15" hidden="1" x14ac:dyDescent="0.25">
      <c r="A647" s="92">
        <v>645</v>
      </c>
      <c r="B647" s="47">
        <f>MONTH(dis_table[[#This Row],[Date]])</f>
        <v>6</v>
      </c>
      <c r="C647" s="4">
        <v>45078</v>
      </c>
      <c r="D647" s="4">
        <v>45080</v>
      </c>
      <c r="E647" t="s">
        <v>15</v>
      </c>
      <c r="F647">
        <v>10.59</v>
      </c>
      <c r="G647" t="s">
        <v>16</v>
      </c>
      <c r="H647" t="s">
        <v>17</v>
      </c>
      <c r="I647" t="s">
        <v>18</v>
      </c>
      <c r="J647" t="s">
        <v>19</v>
      </c>
      <c r="K647" s="4">
        <v>45078</v>
      </c>
      <c r="L647">
        <v>2023</v>
      </c>
      <c r="M647" s="4">
        <v>45078</v>
      </c>
      <c r="N647">
        <v>2240.48</v>
      </c>
      <c r="O647">
        <v>6</v>
      </c>
    </row>
    <row r="648" spans="1:15" hidden="1" x14ac:dyDescent="0.25">
      <c r="A648" s="92">
        <v>646</v>
      </c>
      <c r="B648" s="47">
        <f>MONTH(dis_table[[#This Row],[Date]])</f>
        <v>6</v>
      </c>
      <c r="C648" s="4">
        <v>45078</v>
      </c>
      <c r="D648" s="4">
        <v>45078</v>
      </c>
      <c r="E648" t="s">
        <v>670</v>
      </c>
      <c r="F648">
        <v>7.99</v>
      </c>
      <c r="G648" t="s">
        <v>16</v>
      </c>
      <c r="H648" t="s">
        <v>667</v>
      </c>
      <c r="I648" t="s">
        <v>12</v>
      </c>
      <c r="J648" t="s">
        <v>19</v>
      </c>
      <c r="K648" s="4">
        <v>45078</v>
      </c>
      <c r="L648">
        <v>2023</v>
      </c>
      <c r="M648" s="4">
        <v>45078</v>
      </c>
      <c r="N648">
        <v>2248.4699999999998</v>
      </c>
      <c r="O648">
        <v>4</v>
      </c>
    </row>
    <row r="649" spans="1:15" hidden="1" x14ac:dyDescent="0.25">
      <c r="A649" s="92">
        <v>647</v>
      </c>
      <c r="B649" s="47">
        <f>MONTH(dis_table[[#This Row],[Date]])</f>
        <v>6</v>
      </c>
      <c r="C649" s="4">
        <v>45078</v>
      </c>
      <c r="D649" s="4">
        <v>45078</v>
      </c>
      <c r="E649" t="s">
        <v>339</v>
      </c>
      <c r="F649">
        <v>20</v>
      </c>
      <c r="G649" t="s">
        <v>16</v>
      </c>
      <c r="H649" t="s">
        <v>340</v>
      </c>
      <c r="I649" t="s">
        <v>18</v>
      </c>
      <c r="J649" t="s">
        <v>24</v>
      </c>
      <c r="K649" s="4">
        <v>45078</v>
      </c>
      <c r="L649">
        <v>2023</v>
      </c>
      <c r="M649" s="4">
        <v>45078</v>
      </c>
      <c r="N649">
        <v>2268.4699999999998</v>
      </c>
      <c r="O649">
        <v>4</v>
      </c>
    </row>
    <row r="650" spans="1:15" hidden="1" x14ac:dyDescent="0.25">
      <c r="A650" s="92">
        <v>648</v>
      </c>
      <c r="B650" s="47">
        <f>MONTH(dis_table[[#This Row],[Date]])</f>
        <v>6</v>
      </c>
      <c r="C650" s="4">
        <v>45079</v>
      </c>
      <c r="D650" s="4">
        <v>45079</v>
      </c>
      <c r="E650" t="s">
        <v>672</v>
      </c>
      <c r="F650">
        <v>125.1</v>
      </c>
      <c r="G650" t="s">
        <v>36</v>
      </c>
      <c r="H650" t="s">
        <v>286</v>
      </c>
      <c r="I650" t="s">
        <v>18</v>
      </c>
      <c r="J650" t="s">
        <v>24</v>
      </c>
      <c r="K650" s="4">
        <v>45078</v>
      </c>
      <c r="L650">
        <v>2023</v>
      </c>
      <c r="M650" s="4">
        <v>45079</v>
      </c>
      <c r="N650">
        <v>2393.5700000000002</v>
      </c>
      <c r="O650">
        <v>7</v>
      </c>
    </row>
    <row r="651" spans="1:15" hidden="1" x14ac:dyDescent="0.25">
      <c r="A651" s="92">
        <v>649</v>
      </c>
      <c r="B651" s="47">
        <f>MONTH(dis_table[[#This Row],[Date]])</f>
        <v>6</v>
      </c>
      <c r="C651" s="4">
        <v>45079</v>
      </c>
      <c r="D651" s="4">
        <v>45079</v>
      </c>
      <c r="E651" t="s">
        <v>673</v>
      </c>
      <c r="F651">
        <v>139</v>
      </c>
      <c r="G651" t="s">
        <v>36</v>
      </c>
      <c r="H651" t="s">
        <v>286</v>
      </c>
      <c r="I651" t="s">
        <v>18</v>
      </c>
      <c r="J651" t="s">
        <v>24</v>
      </c>
      <c r="K651" s="4">
        <v>45078</v>
      </c>
      <c r="L651">
        <v>2023</v>
      </c>
      <c r="M651" s="4">
        <v>45079</v>
      </c>
      <c r="N651">
        <v>2532.5700000000002</v>
      </c>
      <c r="O651">
        <v>8</v>
      </c>
    </row>
    <row r="652" spans="1:15" hidden="1" x14ac:dyDescent="0.25">
      <c r="A652" s="92">
        <v>650</v>
      </c>
      <c r="B652" s="47">
        <f>MONTH(dis_table[[#This Row],[Date]])</f>
        <v>6</v>
      </c>
      <c r="C652" s="4">
        <v>45079</v>
      </c>
      <c r="D652" s="4">
        <v>45080</v>
      </c>
      <c r="E652" t="s">
        <v>43</v>
      </c>
      <c r="F652">
        <v>10</v>
      </c>
      <c r="G652" t="s">
        <v>16</v>
      </c>
      <c r="H652" t="s">
        <v>44</v>
      </c>
      <c r="I652" t="s">
        <v>18</v>
      </c>
      <c r="J652" t="s">
        <v>19</v>
      </c>
      <c r="K652" s="4">
        <v>45078</v>
      </c>
      <c r="L652">
        <v>2023</v>
      </c>
      <c r="M652" s="4">
        <v>45079</v>
      </c>
      <c r="N652">
        <v>2542.5700000000002</v>
      </c>
      <c r="O652">
        <v>6</v>
      </c>
    </row>
    <row r="653" spans="1:15" hidden="1" x14ac:dyDescent="0.25">
      <c r="A653" s="92">
        <v>651</v>
      </c>
      <c r="B653" s="47">
        <f>MONTH(dis_table[[#This Row],[Date]])</f>
        <v>6</v>
      </c>
      <c r="C653" s="4">
        <v>45080</v>
      </c>
      <c r="D653" s="4">
        <v>45080</v>
      </c>
      <c r="E653" t="s">
        <v>143</v>
      </c>
      <c r="F653">
        <v>-80.78</v>
      </c>
      <c r="G653" t="s">
        <v>32</v>
      </c>
      <c r="H653" t="s">
        <v>1027</v>
      </c>
      <c r="I653" t="s">
        <v>12</v>
      </c>
      <c r="J653" t="s">
        <v>122</v>
      </c>
      <c r="K653" s="4">
        <v>45078</v>
      </c>
      <c r="L653">
        <v>2023</v>
      </c>
      <c r="M653" s="4">
        <v>45080</v>
      </c>
      <c r="N653">
        <v>2461.79</v>
      </c>
      <c r="O653">
        <v>6</v>
      </c>
    </row>
    <row r="654" spans="1:15" hidden="1" x14ac:dyDescent="0.25">
      <c r="A654" s="92">
        <v>652</v>
      </c>
      <c r="B654" s="47">
        <f>MONTH(dis_table[[#This Row],[Date]])</f>
        <v>6</v>
      </c>
      <c r="C654" s="4">
        <v>45080</v>
      </c>
      <c r="D654" s="4">
        <v>45080</v>
      </c>
      <c r="E654" t="s">
        <v>674</v>
      </c>
      <c r="F654">
        <v>15.89</v>
      </c>
      <c r="G654" t="s">
        <v>36</v>
      </c>
      <c r="H654" t="s">
        <v>54</v>
      </c>
      <c r="I654" t="s">
        <v>18</v>
      </c>
      <c r="J654" t="s">
        <v>19</v>
      </c>
      <c r="K654" s="4">
        <v>45078</v>
      </c>
      <c r="L654">
        <v>2023</v>
      </c>
      <c r="M654" s="4">
        <v>45080</v>
      </c>
      <c r="N654">
        <v>2477.6799999999989</v>
      </c>
      <c r="O654">
        <v>11</v>
      </c>
    </row>
    <row r="655" spans="1:15" hidden="1" x14ac:dyDescent="0.25">
      <c r="A655" s="92">
        <v>653</v>
      </c>
      <c r="B655" s="47">
        <f>MONTH(dis_table[[#This Row],[Date]])</f>
        <v>6</v>
      </c>
      <c r="C655" s="4">
        <v>45081</v>
      </c>
      <c r="D655" s="4">
        <v>45081</v>
      </c>
      <c r="E655" t="s">
        <v>588</v>
      </c>
      <c r="F655">
        <v>59</v>
      </c>
      <c r="G655" t="s">
        <v>16</v>
      </c>
      <c r="H655" t="s">
        <v>72</v>
      </c>
      <c r="I655" t="s">
        <v>12</v>
      </c>
      <c r="J655" t="s">
        <v>24</v>
      </c>
      <c r="K655" s="4">
        <v>45078</v>
      </c>
      <c r="L655">
        <v>2023</v>
      </c>
      <c r="M655" s="4">
        <v>45081</v>
      </c>
      <c r="N655">
        <v>2536.6799999999989</v>
      </c>
      <c r="O655">
        <v>9</v>
      </c>
    </row>
    <row r="656" spans="1:15" hidden="1" x14ac:dyDescent="0.25">
      <c r="A656" s="92">
        <v>654</v>
      </c>
      <c r="B656" s="47">
        <f>MONTH(dis_table[[#This Row],[Date]])</f>
        <v>6</v>
      </c>
      <c r="C656" s="4">
        <v>45082</v>
      </c>
      <c r="D656" s="4">
        <v>45082</v>
      </c>
      <c r="E656" t="s">
        <v>675</v>
      </c>
      <c r="F656">
        <v>17.2</v>
      </c>
      <c r="G656" t="s">
        <v>22</v>
      </c>
      <c r="H656" t="s">
        <v>57</v>
      </c>
      <c r="I656" t="s">
        <v>12</v>
      </c>
      <c r="J656" t="s">
        <v>19</v>
      </c>
      <c r="K656" s="4">
        <v>45078</v>
      </c>
      <c r="L656">
        <v>2023</v>
      </c>
      <c r="M656" s="4">
        <v>45082</v>
      </c>
      <c r="N656">
        <v>2553.8799999999992</v>
      </c>
      <c r="O656">
        <v>13</v>
      </c>
    </row>
    <row r="657" spans="1:15" hidden="1" x14ac:dyDescent="0.25">
      <c r="A657" s="92">
        <v>655</v>
      </c>
      <c r="B657" s="47">
        <f>MONTH(dis_table[[#This Row],[Date]])</f>
        <v>6</v>
      </c>
      <c r="C657" s="4">
        <v>45083</v>
      </c>
      <c r="D657" s="4">
        <v>45083</v>
      </c>
      <c r="E657" t="s">
        <v>676</v>
      </c>
      <c r="F657">
        <v>9.99</v>
      </c>
      <c r="G657" t="s">
        <v>16</v>
      </c>
      <c r="H657" t="s">
        <v>135</v>
      </c>
      <c r="I657" t="s">
        <v>18</v>
      </c>
      <c r="J657" t="s">
        <v>24</v>
      </c>
      <c r="K657" s="4">
        <v>45078</v>
      </c>
      <c r="L657">
        <v>2023</v>
      </c>
      <c r="M657" s="4">
        <v>45083</v>
      </c>
      <c r="N657">
        <v>2563.869999999999</v>
      </c>
      <c r="O657">
        <v>6</v>
      </c>
    </row>
    <row r="658" spans="1:15" hidden="1" x14ac:dyDescent="0.25">
      <c r="A658" s="92">
        <v>656</v>
      </c>
      <c r="B658" s="47">
        <f>MONTH(dis_table[[#This Row],[Date]])</f>
        <v>6</v>
      </c>
      <c r="C658" s="4">
        <v>45085</v>
      </c>
      <c r="D658" s="4">
        <v>45085</v>
      </c>
      <c r="E658" t="s">
        <v>569</v>
      </c>
      <c r="F658">
        <v>51.54</v>
      </c>
      <c r="G658" t="s">
        <v>16</v>
      </c>
      <c r="H658" t="s">
        <v>28</v>
      </c>
      <c r="I658" t="s">
        <v>12</v>
      </c>
      <c r="J658" t="s">
        <v>122</v>
      </c>
      <c r="K658" s="4">
        <v>45078</v>
      </c>
      <c r="L658">
        <v>2023</v>
      </c>
      <c r="M658" s="4">
        <v>45085</v>
      </c>
      <c r="N658">
        <v>2615.4099999999989</v>
      </c>
      <c r="O658">
        <v>18</v>
      </c>
    </row>
    <row r="659" spans="1:15" hidden="1" x14ac:dyDescent="0.25">
      <c r="A659" s="92">
        <v>657</v>
      </c>
      <c r="B659" s="47">
        <f>MONTH(dis_table[[#This Row],[Date]])</f>
        <v>6</v>
      </c>
      <c r="C659" s="4">
        <v>45086</v>
      </c>
      <c r="D659" s="4">
        <v>45086</v>
      </c>
      <c r="E659" t="s">
        <v>677</v>
      </c>
      <c r="F659">
        <v>72.989999999999995</v>
      </c>
      <c r="G659" t="s">
        <v>36</v>
      </c>
      <c r="H659" t="s">
        <v>54</v>
      </c>
      <c r="I659" t="s">
        <v>18</v>
      </c>
      <c r="J659" t="s">
        <v>19</v>
      </c>
      <c r="K659" s="4">
        <v>45078</v>
      </c>
      <c r="L659">
        <v>2023</v>
      </c>
      <c r="M659" s="4">
        <v>45086</v>
      </c>
      <c r="N659">
        <v>2688.3999999999992</v>
      </c>
      <c r="O659">
        <v>12</v>
      </c>
    </row>
    <row r="660" spans="1:15" hidden="1" x14ac:dyDescent="0.25">
      <c r="A660" s="92">
        <v>658</v>
      </c>
      <c r="B660" s="47">
        <f>MONTH(dis_table[[#This Row],[Date]])</f>
        <v>6</v>
      </c>
      <c r="C660" s="4">
        <v>45086</v>
      </c>
      <c r="D660" s="4">
        <v>45086</v>
      </c>
      <c r="E660" t="s">
        <v>666</v>
      </c>
      <c r="F660">
        <v>38.799999999999997</v>
      </c>
      <c r="G660" t="s">
        <v>22</v>
      </c>
      <c r="H660" t="s">
        <v>667</v>
      </c>
      <c r="I660" t="s">
        <v>12</v>
      </c>
      <c r="J660" t="s">
        <v>19</v>
      </c>
      <c r="K660" s="4">
        <v>45078</v>
      </c>
      <c r="L660">
        <v>2023</v>
      </c>
      <c r="M660" s="4">
        <v>45086</v>
      </c>
      <c r="N660">
        <v>2727.1999999999989</v>
      </c>
      <c r="O660">
        <v>5</v>
      </c>
    </row>
    <row r="661" spans="1:15" hidden="1" x14ac:dyDescent="0.25">
      <c r="A661" s="92">
        <v>659</v>
      </c>
      <c r="B661" s="47">
        <f>MONTH(dis_table[[#This Row],[Date]])</f>
        <v>6</v>
      </c>
      <c r="C661" s="4">
        <v>45088</v>
      </c>
      <c r="D661" s="4">
        <v>45088</v>
      </c>
      <c r="E661" t="s">
        <v>167</v>
      </c>
      <c r="F661">
        <v>13.32</v>
      </c>
      <c r="G661" t="s">
        <v>9</v>
      </c>
      <c r="H661" t="s">
        <v>10</v>
      </c>
      <c r="I661" t="s">
        <v>12</v>
      </c>
      <c r="J661" t="s">
        <v>13</v>
      </c>
      <c r="K661" s="4">
        <v>45078</v>
      </c>
      <c r="L661">
        <v>2023</v>
      </c>
      <c r="M661" s="4">
        <v>45088</v>
      </c>
      <c r="N661">
        <v>2740.5199999999991</v>
      </c>
      <c r="O661">
        <v>33</v>
      </c>
    </row>
    <row r="662" spans="1:15" hidden="1" x14ac:dyDescent="0.25">
      <c r="A662" s="92">
        <v>660</v>
      </c>
      <c r="B662" s="47">
        <f>MONTH(dis_table[[#This Row],[Date]])</f>
        <v>6</v>
      </c>
      <c r="C662" s="4">
        <v>45089</v>
      </c>
      <c r="D662" s="4">
        <v>45089</v>
      </c>
      <c r="E662" t="s">
        <v>81</v>
      </c>
      <c r="F662">
        <v>10.63</v>
      </c>
      <c r="G662" t="s">
        <v>16</v>
      </c>
      <c r="H662" t="s">
        <v>45</v>
      </c>
      <c r="I662" t="s">
        <v>12</v>
      </c>
      <c r="J662" t="s">
        <v>19</v>
      </c>
      <c r="K662" s="4">
        <v>45078</v>
      </c>
      <c r="L662">
        <v>2023</v>
      </c>
      <c r="M662" s="4">
        <v>45089</v>
      </c>
      <c r="N662">
        <v>2751.1499999999992</v>
      </c>
      <c r="O662">
        <v>35</v>
      </c>
    </row>
    <row r="663" spans="1:15" hidden="1" x14ac:dyDescent="0.25">
      <c r="A663" s="92">
        <v>661</v>
      </c>
      <c r="B663" s="47">
        <f>MONTH(dis_table[[#This Row],[Date]])</f>
        <v>6</v>
      </c>
      <c r="C663" s="4">
        <v>45090</v>
      </c>
      <c r="D663" s="4">
        <v>45090</v>
      </c>
      <c r="E663" t="s">
        <v>360</v>
      </c>
      <c r="F663">
        <v>91.74</v>
      </c>
      <c r="G663" t="s">
        <v>34</v>
      </c>
      <c r="H663" t="s">
        <v>35</v>
      </c>
      <c r="I663" t="s">
        <v>12</v>
      </c>
      <c r="J663" t="s">
        <v>13</v>
      </c>
      <c r="K663" s="4">
        <v>45078</v>
      </c>
      <c r="L663">
        <v>2023</v>
      </c>
      <c r="M663" s="4">
        <v>45090</v>
      </c>
      <c r="N663">
        <v>2842.889999999999</v>
      </c>
      <c r="O663">
        <v>32</v>
      </c>
    </row>
    <row r="664" spans="1:15" hidden="1" x14ac:dyDescent="0.25">
      <c r="A664" s="92">
        <v>662</v>
      </c>
      <c r="B664" s="47">
        <f>MONTH(dis_table[[#This Row],[Date]])</f>
        <v>6</v>
      </c>
      <c r="C664" s="4">
        <v>45090</v>
      </c>
      <c r="D664" s="4">
        <v>45090</v>
      </c>
      <c r="E664" t="s">
        <v>680</v>
      </c>
      <c r="F664">
        <v>9.3699999999999992</v>
      </c>
      <c r="G664" t="s">
        <v>9</v>
      </c>
      <c r="H664" t="s">
        <v>10</v>
      </c>
      <c r="I664" t="s">
        <v>12</v>
      </c>
      <c r="J664" t="s">
        <v>13</v>
      </c>
      <c r="K664" s="4">
        <v>45078</v>
      </c>
      <c r="L664">
        <v>2023</v>
      </c>
      <c r="M664" s="4">
        <v>45090</v>
      </c>
      <c r="N664">
        <v>2852.2599999999989</v>
      </c>
      <c r="O664">
        <v>34</v>
      </c>
    </row>
    <row r="665" spans="1:15" hidden="1" x14ac:dyDescent="0.25">
      <c r="A665" s="92">
        <v>663</v>
      </c>
      <c r="B665" s="47">
        <f>MONTH(dis_table[[#This Row],[Date]])</f>
        <v>6</v>
      </c>
      <c r="C665" s="4">
        <v>45090</v>
      </c>
      <c r="D665" s="4">
        <v>45090</v>
      </c>
      <c r="E665" t="s">
        <v>678</v>
      </c>
      <c r="F665">
        <v>22.08</v>
      </c>
      <c r="G665" t="s">
        <v>16</v>
      </c>
      <c r="H665" t="s">
        <v>133</v>
      </c>
      <c r="I665" t="s">
        <v>12</v>
      </c>
      <c r="J665" t="s">
        <v>24</v>
      </c>
      <c r="K665" s="4">
        <v>45078</v>
      </c>
      <c r="L665">
        <v>2023</v>
      </c>
      <c r="M665" s="4">
        <v>45090</v>
      </c>
      <c r="N665">
        <v>2874.3399999999988</v>
      </c>
      <c r="O665">
        <v>29</v>
      </c>
    </row>
    <row r="666" spans="1:15" hidden="1" x14ac:dyDescent="0.25">
      <c r="A666" s="92">
        <v>664</v>
      </c>
      <c r="B666" s="47">
        <f>MONTH(dis_table[[#This Row],[Date]])</f>
        <v>6</v>
      </c>
      <c r="C666" s="4">
        <v>45090</v>
      </c>
      <c r="D666" s="4">
        <v>45090</v>
      </c>
      <c r="E666" t="s">
        <v>679</v>
      </c>
      <c r="F666">
        <v>44.95</v>
      </c>
      <c r="G666" t="s">
        <v>16</v>
      </c>
      <c r="H666" t="s">
        <v>329</v>
      </c>
      <c r="I666" t="s">
        <v>12</v>
      </c>
      <c r="J666" t="s">
        <v>24</v>
      </c>
      <c r="K666" s="4">
        <v>45078</v>
      </c>
      <c r="L666">
        <v>2023</v>
      </c>
      <c r="M666" s="4">
        <v>45090</v>
      </c>
      <c r="N666">
        <v>2919.2899999999991</v>
      </c>
      <c r="O666">
        <v>9</v>
      </c>
    </row>
    <row r="667" spans="1:15" hidden="1" x14ac:dyDescent="0.25">
      <c r="A667" s="92">
        <v>665</v>
      </c>
      <c r="B667" s="47">
        <f>MONTH(dis_table[[#This Row],[Date]])</f>
        <v>6</v>
      </c>
      <c r="C667" s="4">
        <v>45091</v>
      </c>
      <c r="D667" s="4">
        <v>45091</v>
      </c>
      <c r="E667" t="s">
        <v>81</v>
      </c>
      <c r="F667">
        <v>10.62</v>
      </c>
      <c r="G667" t="s">
        <v>16</v>
      </c>
      <c r="H667" t="s">
        <v>45</v>
      </c>
      <c r="I667" t="s">
        <v>12</v>
      </c>
      <c r="J667" t="s">
        <v>19</v>
      </c>
      <c r="K667" s="4">
        <v>45078</v>
      </c>
      <c r="L667">
        <v>2023</v>
      </c>
      <c r="M667" s="4">
        <v>45091</v>
      </c>
      <c r="N667">
        <v>2929.909999999998</v>
      </c>
      <c r="O667">
        <v>36</v>
      </c>
    </row>
    <row r="668" spans="1:15" hidden="1" x14ac:dyDescent="0.25">
      <c r="A668" s="92">
        <v>666</v>
      </c>
      <c r="B668" s="47">
        <f>MONTH(dis_table[[#This Row],[Date]])</f>
        <v>6</v>
      </c>
      <c r="C668" s="4">
        <v>45091</v>
      </c>
      <c r="D668" s="4">
        <v>45091</v>
      </c>
      <c r="E668" t="s">
        <v>681</v>
      </c>
      <c r="F668">
        <v>12</v>
      </c>
      <c r="G668" t="s">
        <v>22</v>
      </c>
      <c r="H668" t="s">
        <v>57</v>
      </c>
      <c r="I668" t="s">
        <v>12</v>
      </c>
      <c r="J668" t="s">
        <v>19</v>
      </c>
      <c r="K668" s="4">
        <v>45078</v>
      </c>
      <c r="L668">
        <v>2023</v>
      </c>
      <c r="M668" s="4">
        <v>45091</v>
      </c>
      <c r="N668">
        <v>2941.909999999998</v>
      </c>
      <c r="O668">
        <v>14</v>
      </c>
    </row>
    <row r="669" spans="1:15" hidden="1" x14ac:dyDescent="0.25">
      <c r="A669" s="92">
        <v>667</v>
      </c>
      <c r="B669" s="47">
        <f>MONTH(dis_table[[#This Row],[Date]])</f>
        <v>6</v>
      </c>
      <c r="C669" s="4">
        <v>45091</v>
      </c>
      <c r="D669" s="4">
        <v>45091</v>
      </c>
      <c r="E669" t="s">
        <v>26</v>
      </c>
      <c r="F669">
        <v>-2487.02</v>
      </c>
      <c r="G669" t="s">
        <v>27</v>
      </c>
      <c r="H669" t="s">
        <v>28</v>
      </c>
      <c r="I669" t="s">
        <v>12</v>
      </c>
      <c r="J669" t="s">
        <v>122</v>
      </c>
      <c r="K669" s="4">
        <v>45078</v>
      </c>
      <c r="L669">
        <v>2023</v>
      </c>
      <c r="M669" s="4">
        <v>45091</v>
      </c>
      <c r="N669">
        <v>454.88999999999851</v>
      </c>
      <c r="O669">
        <v>19</v>
      </c>
    </row>
    <row r="670" spans="1:15" hidden="1" x14ac:dyDescent="0.25">
      <c r="A670" s="92">
        <v>668</v>
      </c>
      <c r="B670" s="47">
        <f>MONTH(dis_table[[#This Row],[Date]])</f>
        <v>6</v>
      </c>
      <c r="C670" s="4">
        <v>45091</v>
      </c>
      <c r="D670" s="4">
        <v>45091</v>
      </c>
      <c r="E670" t="s">
        <v>682</v>
      </c>
      <c r="F670">
        <v>9.99</v>
      </c>
      <c r="G670" t="s">
        <v>22</v>
      </c>
      <c r="H670" t="s">
        <v>42</v>
      </c>
      <c r="I670" t="s">
        <v>12</v>
      </c>
      <c r="J670" t="s">
        <v>31</v>
      </c>
      <c r="K670" s="4">
        <v>45078</v>
      </c>
      <c r="L670">
        <v>2023</v>
      </c>
      <c r="M670" s="4">
        <v>45091</v>
      </c>
      <c r="N670">
        <v>464.87999999999852</v>
      </c>
      <c r="O670">
        <v>71</v>
      </c>
    </row>
    <row r="671" spans="1:15" hidden="1" x14ac:dyDescent="0.25">
      <c r="A671" s="92">
        <v>669</v>
      </c>
      <c r="B671" s="47">
        <f>MONTH(dis_table[[#This Row],[Date]])</f>
        <v>6</v>
      </c>
      <c r="C671" s="4">
        <v>45091</v>
      </c>
      <c r="D671" s="4">
        <v>45091</v>
      </c>
      <c r="E671" t="s">
        <v>50</v>
      </c>
      <c r="F671">
        <v>88.02</v>
      </c>
      <c r="G671" t="s">
        <v>16</v>
      </c>
      <c r="H671" t="s">
        <v>51</v>
      </c>
      <c r="I671" t="s">
        <v>18</v>
      </c>
      <c r="J671" t="s">
        <v>52</v>
      </c>
      <c r="K671" s="4">
        <v>45078</v>
      </c>
      <c r="L671">
        <v>2023</v>
      </c>
      <c r="M671" s="4">
        <v>45091</v>
      </c>
      <c r="N671">
        <v>552.8999999999985</v>
      </c>
      <c r="O671">
        <v>6</v>
      </c>
    </row>
    <row r="672" spans="1:15" hidden="1" x14ac:dyDescent="0.25">
      <c r="A672" s="92">
        <v>670</v>
      </c>
      <c r="B672" s="47">
        <f>MONTH(dis_table[[#This Row],[Date]])</f>
        <v>6</v>
      </c>
      <c r="C672" s="4">
        <v>45093</v>
      </c>
      <c r="D672" s="4">
        <v>45093</v>
      </c>
      <c r="E672" t="s">
        <v>889</v>
      </c>
      <c r="F672">
        <v>18.68</v>
      </c>
      <c r="G672" t="s">
        <v>9</v>
      </c>
      <c r="H672" t="s">
        <v>14</v>
      </c>
      <c r="I672" t="s">
        <v>12</v>
      </c>
      <c r="J672" t="s">
        <v>13</v>
      </c>
      <c r="K672" s="4">
        <v>45078</v>
      </c>
      <c r="L672">
        <v>2023</v>
      </c>
      <c r="M672" s="4">
        <v>45093</v>
      </c>
      <c r="N672">
        <v>571.57999999999845</v>
      </c>
      <c r="O672">
        <v>75</v>
      </c>
    </row>
    <row r="673" spans="1:15" hidden="1" x14ac:dyDescent="0.25">
      <c r="A673" s="92">
        <v>671</v>
      </c>
      <c r="B673" s="47">
        <f>MONTH(dis_table[[#This Row],[Date]])</f>
        <v>6</v>
      </c>
      <c r="C673" s="4">
        <v>45093</v>
      </c>
      <c r="D673" s="4">
        <v>45093</v>
      </c>
      <c r="E673" t="s">
        <v>655</v>
      </c>
      <c r="F673">
        <v>88.39</v>
      </c>
      <c r="G673" t="s">
        <v>36</v>
      </c>
      <c r="H673" t="s">
        <v>890</v>
      </c>
      <c r="I673" t="s">
        <v>12</v>
      </c>
      <c r="J673" t="s">
        <v>53</v>
      </c>
      <c r="K673" s="4">
        <v>45078</v>
      </c>
      <c r="L673">
        <v>2023</v>
      </c>
      <c r="M673" s="4">
        <v>45093</v>
      </c>
      <c r="N673">
        <v>659.96999999999844</v>
      </c>
      <c r="O673">
        <v>1</v>
      </c>
    </row>
    <row r="674" spans="1:15" hidden="1" x14ac:dyDescent="0.25">
      <c r="A674" s="92">
        <v>672</v>
      </c>
      <c r="B674" s="47">
        <f>MONTH(dis_table[[#This Row],[Date]])</f>
        <v>6</v>
      </c>
      <c r="C674" s="4">
        <v>45093</v>
      </c>
      <c r="D674" s="4">
        <v>45093</v>
      </c>
      <c r="E674" t="s">
        <v>171</v>
      </c>
      <c r="F674">
        <v>7.99</v>
      </c>
      <c r="G674" t="s">
        <v>36</v>
      </c>
      <c r="H674" t="s">
        <v>56</v>
      </c>
      <c r="I674" t="s">
        <v>18</v>
      </c>
      <c r="J674" t="s">
        <v>19</v>
      </c>
      <c r="K674" s="4">
        <v>45078</v>
      </c>
      <c r="L674">
        <v>2023</v>
      </c>
      <c r="M674" s="4">
        <v>45093</v>
      </c>
      <c r="N674">
        <v>667.95999999999844</v>
      </c>
      <c r="O674">
        <v>6</v>
      </c>
    </row>
    <row r="675" spans="1:15" hidden="1" x14ac:dyDescent="0.25">
      <c r="A675" s="92">
        <v>673</v>
      </c>
      <c r="B675" s="47">
        <f>MONTH(dis_table[[#This Row],[Date]])</f>
        <v>6</v>
      </c>
      <c r="C675" s="4">
        <v>45093</v>
      </c>
      <c r="D675" s="4">
        <v>45093</v>
      </c>
      <c r="E675" t="s">
        <v>81</v>
      </c>
      <c r="F675">
        <v>12.92</v>
      </c>
      <c r="G675" t="s">
        <v>16</v>
      </c>
      <c r="H675" t="s">
        <v>45</v>
      </c>
      <c r="I675" t="s">
        <v>12</v>
      </c>
      <c r="J675" t="s">
        <v>19</v>
      </c>
      <c r="K675" s="4">
        <v>45078</v>
      </c>
      <c r="L675">
        <v>2023</v>
      </c>
      <c r="M675" s="4">
        <v>45093</v>
      </c>
      <c r="N675">
        <v>680.8799999999984</v>
      </c>
      <c r="O675">
        <v>37</v>
      </c>
    </row>
    <row r="676" spans="1:15" hidden="1" x14ac:dyDescent="0.25">
      <c r="A676" s="92">
        <v>674</v>
      </c>
      <c r="B676" s="47">
        <f>MONTH(dis_table[[#This Row],[Date]])</f>
        <v>6</v>
      </c>
      <c r="C676" s="4">
        <v>45094</v>
      </c>
      <c r="D676" s="4">
        <v>45094</v>
      </c>
      <c r="E676" t="s">
        <v>529</v>
      </c>
      <c r="F676">
        <v>7.41</v>
      </c>
      <c r="G676" t="s">
        <v>16</v>
      </c>
      <c r="H676" t="s">
        <v>41</v>
      </c>
      <c r="I676" t="s">
        <v>18</v>
      </c>
      <c r="J676" t="s">
        <v>19</v>
      </c>
      <c r="K676" s="4">
        <v>45078</v>
      </c>
      <c r="L676">
        <v>2023</v>
      </c>
      <c r="M676" s="4">
        <v>45094</v>
      </c>
      <c r="N676">
        <v>688.28999999999837</v>
      </c>
      <c r="O676">
        <v>4</v>
      </c>
    </row>
    <row r="677" spans="1:15" hidden="1" x14ac:dyDescent="0.25">
      <c r="A677" s="92">
        <v>675</v>
      </c>
      <c r="B677" s="47">
        <f>MONTH(dis_table[[#This Row],[Date]])</f>
        <v>6</v>
      </c>
      <c r="C677" s="4">
        <v>45094</v>
      </c>
      <c r="D677" s="4">
        <v>45094</v>
      </c>
      <c r="E677" t="s">
        <v>81</v>
      </c>
      <c r="F677">
        <v>8.49</v>
      </c>
      <c r="G677" t="s">
        <v>16</v>
      </c>
      <c r="H677" t="s">
        <v>45</v>
      </c>
      <c r="I677" t="s">
        <v>12</v>
      </c>
      <c r="J677" t="s">
        <v>19</v>
      </c>
      <c r="K677" s="4">
        <v>45078</v>
      </c>
      <c r="L677">
        <v>2023</v>
      </c>
      <c r="M677" s="4">
        <v>45094</v>
      </c>
      <c r="N677">
        <v>696.77999999999838</v>
      </c>
      <c r="O677">
        <v>38</v>
      </c>
    </row>
    <row r="678" spans="1:15" hidden="1" x14ac:dyDescent="0.25">
      <c r="A678" s="92">
        <v>676</v>
      </c>
      <c r="B678" s="47">
        <f>MONTH(dis_table[[#This Row],[Date]])</f>
        <v>6</v>
      </c>
      <c r="C678" s="4">
        <v>45094</v>
      </c>
      <c r="D678" s="4">
        <v>45094</v>
      </c>
      <c r="E678" t="s">
        <v>81</v>
      </c>
      <c r="F678">
        <v>10.35</v>
      </c>
      <c r="G678" t="s">
        <v>16</v>
      </c>
      <c r="H678" t="s">
        <v>45</v>
      </c>
      <c r="I678" t="s">
        <v>12</v>
      </c>
      <c r="J678" t="s">
        <v>19</v>
      </c>
      <c r="K678" s="4">
        <v>45078</v>
      </c>
      <c r="L678">
        <v>2023</v>
      </c>
      <c r="M678" s="4">
        <v>45094</v>
      </c>
      <c r="N678">
        <v>707.1299999999984</v>
      </c>
      <c r="O678">
        <v>39</v>
      </c>
    </row>
    <row r="679" spans="1:15" hidden="1" x14ac:dyDescent="0.25">
      <c r="A679" s="92">
        <v>677</v>
      </c>
      <c r="B679" s="47">
        <f>MONTH(dis_table[[#This Row],[Date]])</f>
        <v>6</v>
      </c>
      <c r="C679" s="4">
        <v>45094</v>
      </c>
      <c r="D679" s="4">
        <v>45094</v>
      </c>
      <c r="E679" t="s">
        <v>38</v>
      </c>
      <c r="F679">
        <v>111.63</v>
      </c>
      <c r="G679" t="s">
        <v>16</v>
      </c>
      <c r="H679" t="s">
        <v>39</v>
      </c>
      <c r="I679" t="s">
        <v>18</v>
      </c>
      <c r="J679" t="s">
        <v>40</v>
      </c>
      <c r="K679" s="4">
        <v>45078</v>
      </c>
      <c r="L679">
        <v>2023</v>
      </c>
      <c r="M679" s="4">
        <v>45094</v>
      </c>
      <c r="N679">
        <v>818.7599999999984</v>
      </c>
      <c r="O679">
        <v>6</v>
      </c>
    </row>
    <row r="680" spans="1:15" hidden="1" x14ac:dyDescent="0.25">
      <c r="A680" s="92">
        <v>678</v>
      </c>
      <c r="B680" s="47">
        <f>MONTH(dis_table[[#This Row],[Date]])</f>
        <v>6</v>
      </c>
      <c r="C680" s="4">
        <v>45095</v>
      </c>
      <c r="D680" s="4">
        <v>45095</v>
      </c>
      <c r="E680" t="s">
        <v>891</v>
      </c>
      <c r="F680">
        <v>20.12</v>
      </c>
      <c r="G680" t="s">
        <v>16</v>
      </c>
      <c r="H680" t="s">
        <v>33</v>
      </c>
      <c r="I680" t="s">
        <v>18</v>
      </c>
      <c r="J680" t="s">
        <v>19</v>
      </c>
      <c r="K680" s="4">
        <v>45078</v>
      </c>
      <c r="L680">
        <v>2023</v>
      </c>
      <c r="M680" s="4">
        <v>45095</v>
      </c>
      <c r="N680">
        <v>838.8799999999984</v>
      </c>
      <c r="O680">
        <v>7</v>
      </c>
    </row>
    <row r="681" spans="1:15" hidden="1" x14ac:dyDescent="0.25">
      <c r="A681" s="92">
        <v>679</v>
      </c>
      <c r="B681" s="47">
        <f>MONTH(dis_table[[#This Row],[Date]])</f>
        <v>6</v>
      </c>
      <c r="C681" s="4">
        <v>45096</v>
      </c>
      <c r="D681" s="4">
        <v>45096</v>
      </c>
      <c r="E681" t="s">
        <v>892</v>
      </c>
      <c r="F681">
        <v>79</v>
      </c>
      <c r="G681" t="s">
        <v>16</v>
      </c>
      <c r="H681" t="s">
        <v>72</v>
      </c>
      <c r="I681" t="s">
        <v>12</v>
      </c>
      <c r="J681" t="s">
        <v>24</v>
      </c>
      <c r="K681" s="4">
        <v>45078</v>
      </c>
      <c r="L681">
        <v>2023</v>
      </c>
      <c r="M681" s="4">
        <v>45096</v>
      </c>
      <c r="N681">
        <v>917.8799999999984</v>
      </c>
      <c r="O681">
        <v>10</v>
      </c>
    </row>
    <row r="682" spans="1:15" hidden="1" x14ac:dyDescent="0.25">
      <c r="A682" s="92">
        <v>680</v>
      </c>
      <c r="B682" s="47">
        <f>MONTH(dis_table[[#This Row],[Date]])</f>
        <v>6</v>
      </c>
      <c r="C682" s="4">
        <v>45098</v>
      </c>
      <c r="D682" s="4">
        <v>45098</v>
      </c>
      <c r="E682" t="s">
        <v>893</v>
      </c>
      <c r="F682">
        <v>20.78</v>
      </c>
      <c r="G682" t="s">
        <v>22</v>
      </c>
      <c r="H682" t="s">
        <v>57</v>
      </c>
      <c r="I682" t="s">
        <v>12</v>
      </c>
      <c r="J682" t="s">
        <v>19</v>
      </c>
      <c r="K682" s="4">
        <v>45078</v>
      </c>
      <c r="L682">
        <v>2023</v>
      </c>
      <c r="M682" s="4">
        <v>45098</v>
      </c>
      <c r="N682">
        <v>938.65999999999838</v>
      </c>
      <c r="O682">
        <v>15</v>
      </c>
    </row>
    <row r="683" spans="1:15" hidden="1" x14ac:dyDescent="0.25">
      <c r="A683" s="92">
        <v>681</v>
      </c>
      <c r="B683" s="47">
        <f>MONTH(dis_table[[#This Row],[Date]])</f>
        <v>6</v>
      </c>
      <c r="C683" s="4">
        <v>45102</v>
      </c>
      <c r="D683" s="4">
        <v>45102</v>
      </c>
      <c r="E683" t="s">
        <v>139</v>
      </c>
      <c r="F683">
        <v>21.77</v>
      </c>
      <c r="G683" t="s">
        <v>16</v>
      </c>
      <c r="H683" t="s">
        <v>25</v>
      </c>
      <c r="I683" t="s">
        <v>12</v>
      </c>
      <c r="J683" t="s">
        <v>24</v>
      </c>
      <c r="K683" s="4">
        <v>45078</v>
      </c>
      <c r="L683">
        <v>2023</v>
      </c>
      <c r="M683" s="4">
        <v>45102</v>
      </c>
      <c r="N683">
        <v>960.42999999999836</v>
      </c>
      <c r="O683">
        <v>12</v>
      </c>
    </row>
    <row r="684" spans="1:15" hidden="1" x14ac:dyDescent="0.25">
      <c r="A684" s="92">
        <v>682</v>
      </c>
      <c r="B684" s="47">
        <f>MONTH(dis_table[[#This Row],[Date]])</f>
        <v>6</v>
      </c>
      <c r="C684" s="4">
        <v>45102</v>
      </c>
      <c r="D684" s="4">
        <v>45102</v>
      </c>
      <c r="E684" t="s">
        <v>659</v>
      </c>
      <c r="F684">
        <v>35</v>
      </c>
      <c r="G684" t="s">
        <v>16</v>
      </c>
      <c r="H684" t="s">
        <v>46</v>
      </c>
      <c r="I684" t="s">
        <v>12</v>
      </c>
      <c r="J684" t="s">
        <v>24</v>
      </c>
      <c r="K684" s="4">
        <v>45078</v>
      </c>
      <c r="L684">
        <v>2023</v>
      </c>
      <c r="M684" s="4">
        <v>45102</v>
      </c>
      <c r="N684">
        <v>995.42999999999836</v>
      </c>
      <c r="O684">
        <v>5</v>
      </c>
    </row>
    <row r="685" spans="1:15" hidden="1" x14ac:dyDescent="0.25">
      <c r="A685" s="92">
        <v>683</v>
      </c>
      <c r="B685" s="47">
        <f>MONTH(dis_table[[#This Row],[Date]])</f>
        <v>6</v>
      </c>
      <c r="C685" s="4">
        <v>45103</v>
      </c>
      <c r="D685" s="4">
        <v>45103</v>
      </c>
      <c r="E685" t="s">
        <v>905</v>
      </c>
      <c r="F685">
        <v>25.19</v>
      </c>
      <c r="G685" t="s">
        <v>16</v>
      </c>
      <c r="H685" t="s">
        <v>21</v>
      </c>
      <c r="I685" t="s">
        <v>12</v>
      </c>
      <c r="J685" t="s">
        <v>24</v>
      </c>
      <c r="K685" s="4">
        <v>45078</v>
      </c>
      <c r="L685">
        <v>2023</v>
      </c>
      <c r="M685" s="4">
        <v>45103</v>
      </c>
      <c r="N685">
        <v>1020.619999999998</v>
      </c>
      <c r="O685">
        <v>34</v>
      </c>
    </row>
    <row r="686" spans="1:15" hidden="1" x14ac:dyDescent="0.25">
      <c r="A686" s="92">
        <v>684</v>
      </c>
      <c r="B686" s="47">
        <f>MONTH(dis_table[[#This Row],[Date]])</f>
        <v>6</v>
      </c>
      <c r="C686" s="4">
        <v>45103</v>
      </c>
      <c r="D686" s="4">
        <v>45103</v>
      </c>
      <c r="E686" t="s">
        <v>81</v>
      </c>
      <c r="F686">
        <v>7.43</v>
      </c>
      <c r="G686" t="s">
        <v>16</v>
      </c>
      <c r="H686" t="s">
        <v>45</v>
      </c>
      <c r="I686" t="s">
        <v>12</v>
      </c>
      <c r="J686" t="s">
        <v>19</v>
      </c>
      <c r="K686" s="4">
        <v>45078</v>
      </c>
      <c r="L686">
        <v>2023</v>
      </c>
      <c r="M686" s="4">
        <v>45103</v>
      </c>
      <c r="N686">
        <v>1028.0499999999979</v>
      </c>
      <c r="O686">
        <v>40</v>
      </c>
    </row>
    <row r="687" spans="1:15" hidden="1" x14ac:dyDescent="0.25">
      <c r="A687" s="92">
        <v>685</v>
      </c>
      <c r="B687" s="47">
        <f>MONTH(dis_table[[#This Row],[Date]])</f>
        <v>6</v>
      </c>
      <c r="C687" s="4">
        <v>45103</v>
      </c>
      <c r="D687" s="4">
        <v>45103</v>
      </c>
      <c r="E687" t="s">
        <v>906</v>
      </c>
      <c r="F687">
        <v>20.88</v>
      </c>
      <c r="G687" t="s">
        <v>60</v>
      </c>
      <c r="H687" t="s">
        <v>131</v>
      </c>
      <c r="I687" t="s">
        <v>12</v>
      </c>
      <c r="J687" t="s">
        <v>37</v>
      </c>
      <c r="K687" s="4">
        <v>45078</v>
      </c>
      <c r="L687">
        <v>2023</v>
      </c>
      <c r="M687" s="4">
        <v>45103</v>
      </c>
      <c r="N687">
        <v>1048.929999999998</v>
      </c>
      <c r="O687">
        <v>6</v>
      </c>
    </row>
    <row r="688" spans="1:15" hidden="1" x14ac:dyDescent="0.25">
      <c r="A688" s="92">
        <v>686</v>
      </c>
      <c r="B688" s="47">
        <f>MONTH(dis_table[[#This Row],[Date]])</f>
        <v>6</v>
      </c>
      <c r="C688" s="4">
        <v>45103</v>
      </c>
      <c r="D688" s="4">
        <v>45103</v>
      </c>
      <c r="E688" t="s">
        <v>906</v>
      </c>
      <c r="F688">
        <v>25.45</v>
      </c>
      <c r="G688" t="s">
        <v>60</v>
      </c>
      <c r="H688" t="s">
        <v>131</v>
      </c>
      <c r="I688" t="s">
        <v>12</v>
      </c>
      <c r="J688" t="s">
        <v>37</v>
      </c>
      <c r="K688" s="4">
        <v>45078</v>
      </c>
      <c r="L688">
        <v>2023</v>
      </c>
      <c r="M688" s="4">
        <v>45103</v>
      </c>
      <c r="N688">
        <v>1074.379999999999</v>
      </c>
      <c r="O688">
        <v>7</v>
      </c>
    </row>
    <row r="689" spans="1:15" hidden="1" x14ac:dyDescent="0.25">
      <c r="A689" s="92">
        <v>687</v>
      </c>
      <c r="B689" s="47">
        <f>MONTH(dis_table[[#This Row],[Date]])</f>
        <v>6</v>
      </c>
      <c r="C689" s="4">
        <v>45104</v>
      </c>
      <c r="D689" s="4">
        <v>45104</v>
      </c>
      <c r="E689" t="s">
        <v>907</v>
      </c>
      <c r="F689">
        <v>22.08</v>
      </c>
      <c r="G689" t="s">
        <v>16</v>
      </c>
      <c r="H689" t="s">
        <v>133</v>
      </c>
      <c r="I689" t="s">
        <v>12</v>
      </c>
      <c r="J689" t="s">
        <v>24</v>
      </c>
      <c r="K689" s="4">
        <v>45078</v>
      </c>
      <c r="L689">
        <v>2023</v>
      </c>
      <c r="M689" s="4">
        <v>45104</v>
      </c>
      <c r="N689">
        <v>1096.459999999998</v>
      </c>
      <c r="O689">
        <v>30</v>
      </c>
    </row>
    <row r="690" spans="1:15" hidden="1" x14ac:dyDescent="0.25">
      <c r="A690" s="92">
        <v>688</v>
      </c>
      <c r="B690" s="47">
        <f>MONTH(dis_table[[#This Row],[Date]])</f>
        <v>6</v>
      </c>
      <c r="C690" s="4">
        <v>45104</v>
      </c>
      <c r="D690" s="4">
        <v>45104</v>
      </c>
      <c r="E690" t="s">
        <v>908</v>
      </c>
      <c r="F690">
        <v>9.85</v>
      </c>
      <c r="G690" t="s">
        <v>16</v>
      </c>
      <c r="H690" t="s">
        <v>21</v>
      </c>
      <c r="I690" t="s">
        <v>12</v>
      </c>
      <c r="J690" t="s">
        <v>24</v>
      </c>
      <c r="K690" s="4">
        <v>45078</v>
      </c>
      <c r="L690">
        <v>2023</v>
      </c>
      <c r="M690" s="4">
        <v>45104</v>
      </c>
      <c r="N690">
        <v>1106.3099999999979</v>
      </c>
      <c r="O690">
        <v>35</v>
      </c>
    </row>
    <row r="691" spans="1:15" hidden="1" x14ac:dyDescent="0.25">
      <c r="A691" s="92">
        <v>689</v>
      </c>
      <c r="B691" s="47">
        <f>MONTH(dis_table[[#This Row],[Date]])</f>
        <v>6</v>
      </c>
      <c r="C691" s="4">
        <v>45106</v>
      </c>
      <c r="D691" s="4">
        <v>45106</v>
      </c>
      <c r="E691" t="s">
        <v>909</v>
      </c>
      <c r="F691">
        <v>11.95</v>
      </c>
      <c r="G691" t="s">
        <v>34</v>
      </c>
      <c r="H691" t="s">
        <v>10</v>
      </c>
      <c r="I691" t="s">
        <v>12</v>
      </c>
      <c r="J691" t="s">
        <v>13</v>
      </c>
      <c r="K691" s="4">
        <v>45078</v>
      </c>
      <c r="L691">
        <v>2023</v>
      </c>
      <c r="M691" s="4">
        <v>45106</v>
      </c>
      <c r="N691">
        <v>1118.2599999999979</v>
      </c>
      <c r="O691">
        <v>35</v>
      </c>
    </row>
    <row r="692" spans="1:15" hidden="1" x14ac:dyDescent="0.25">
      <c r="A692" s="92">
        <v>690</v>
      </c>
      <c r="B692" s="47">
        <f>MONTH(dis_table[[#This Row],[Date]])</f>
        <v>6</v>
      </c>
      <c r="C692" s="4">
        <v>45106</v>
      </c>
      <c r="D692" s="4">
        <v>45106</v>
      </c>
      <c r="E692" t="s">
        <v>910</v>
      </c>
      <c r="F692">
        <v>19.989999999999998</v>
      </c>
      <c r="G692" t="s">
        <v>69</v>
      </c>
      <c r="H692" t="s">
        <v>46</v>
      </c>
      <c r="I692" t="s">
        <v>12</v>
      </c>
      <c r="J692" t="s">
        <v>24</v>
      </c>
      <c r="K692" s="4">
        <v>45078</v>
      </c>
      <c r="L692">
        <v>2023</v>
      </c>
      <c r="M692" s="4">
        <v>45106</v>
      </c>
      <c r="N692">
        <v>1138.249999999998</v>
      </c>
      <c r="O692">
        <v>6</v>
      </c>
    </row>
    <row r="693" spans="1:15" hidden="1" x14ac:dyDescent="0.25">
      <c r="A693" s="92">
        <v>691</v>
      </c>
      <c r="B693" s="47">
        <f>MONTH(dis_table[[#This Row],[Date]])</f>
        <v>6</v>
      </c>
      <c r="C693" s="4">
        <v>45107</v>
      </c>
      <c r="D693" s="4">
        <v>45107</v>
      </c>
      <c r="E693" t="s">
        <v>139</v>
      </c>
      <c r="F693">
        <v>20</v>
      </c>
      <c r="G693" t="s">
        <v>16</v>
      </c>
      <c r="H693" t="s">
        <v>25</v>
      </c>
      <c r="I693" t="s">
        <v>12</v>
      </c>
      <c r="J693" t="s">
        <v>24</v>
      </c>
      <c r="K693" s="4">
        <v>45078</v>
      </c>
      <c r="L693">
        <v>2023</v>
      </c>
      <c r="M693" s="4">
        <v>45107</v>
      </c>
      <c r="N693">
        <v>1158.249999999998</v>
      </c>
      <c r="O693">
        <v>13</v>
      </c>
    </row>
    <row r="694" spans="1:15" hidden="1" x14ac:dyDescent="0.25">
      <c r="A694" s="92">
        <v>692</v>
      </c>
      <c r="B694" s="47">
        <f>MONTH(dis_table[[#This Row],[Date]])</f>
        <v>7</v>
      </c>
      <c r="C694" s="4">
        <v>45108</v>
      </c>
      <c r="D694" s="4">
        <v>45108</v>
      </c>
      <c r="E694" t="s">
        <v>339</v>
      </c>
      <c r="F694">
        <v>20</v>
      </c>
      <c r="G694" t="s">
        <v>16</v>
      </c>
      <c r="H694" t="s">
        <v>340</v>
      </c>
      <c r="I694" t="s">
        <v>18</v>
      </c>
      <c r="J694" t="s">
        <v>24</v>
      </c>
      <c r="K694" s="4">
        <v>45108</v>
      </c>
      <c r="L694">
        <v>2023</v>
      </c>
      <c r="M694" s="4">
        <v>45108</v>
      </c>
      <c r="N694">
        <v>1178.249999999998</v>
      </c>
      <c r="O694">
        <v>5</v>
      </c>
    </row>
    <row r="695" spans="1:15" hidden="1" x14ac:dyDescent="0.25">
      <c r="A695" s="92">
        <v>693</v>
      </c>
      <c r="B695" s="47">
        <f>MONTH(dis_table[[#This Row],[Date]])</f>
        <v>7</v>
      </c>
      <c r="C695" s="4">
        <v>45108</v>
      </c>
      <c r="D695" s="4">
        <v>45108</v>
      </c>
      <c r="E695" t="s">
        <v>911</v>
      </c>
      <c r="F695">
        <v>4.99</v>
      </c>
      <c r="G695" t="s">
        <v>16</v>
      </c>
      <c r="H695" t="s">
        <v>20</v>
      </c>
      <c r="I695" t="s">
        <v>18</v>
      </c>
      <c r="J695" t="s">
        <v>19</v>
      </c>
      <c r="K695" s="4">
        <v>45108</v>
      </c>
      <c r="L695">
        <v>2023</v>
      </c>
      <c r="M695" s="4">
        <v>45108</v>
      </c>
      <c r="N695">
        <v>1183.239999999998</v>
      </c>
      <c r="O695">
        <v>7</v>
      </c>
    </row>
    <row r="696" spans="1:15" hidden="1" x14ac:dyDescent="0.25">
      <c r="A696" s="92">
        <v>694</v>
      </c>
      <c r="B696" s="47">
        <f>MONTH(dis_table[[#This Row],[Date]])</f>
        <v>7</v>
      </c>
      <c r="C696" s="4">
        <v>45108</v>
      </c>
      <c r="D696" s="4">
        <v>45110</v>
      </c>
      <c r="E696" t="s">
        <v>15</v>
      </c>
      <c r="F696">
        <v>10.59</v>
      </c>
      <c r="G696" t="s">
        <v>16</v>
      </c>
      <c r="H696" t="s">
        <v>17</v>
      </c>
      <c r="I696" t="s">
        <v>18</v>
      </c>
      <c r="J696" t="s">
        <v>19</v>
      </c>
      <c r="K696" s="4">
        <v>45108</v>
      </c>
      <c r="L696">
        <v>2023</v>
      </c>
      <c r="M696" s="4">
        <v>45108</v>
      </c>
      <c r="N696">
        <v>1193.8299999999981</v>
      </c>
      <c r="O696">
        <v>7</v>
      </c>
    </row>
    <row r="697" spans="1:15" hidden="1" x14ac:dyDescent="0.25">
      <c r="A697" s="92">
        <v>695</v>
      </c>
      <c r="B697" s="47">
        <f>MONTH(dis_table[[#This Row],[Date]])</f>
        <v>7</v>
      </c>
      <c r="C697" s="4">
        <v>45108</v>
      </c>
      <c r="D697" s="4">
        <v>45110</v>
      </c>
      <c r="E697" t="s">
        <v>83</v>
      </c>
      <c r="F697">
        <v>5</v>
      </c>
      <c r="G697" t="s">
        <v>36</v>
      </c>
      <c r="H697" t="s">
        <v>84</v>
      </c>
      <c r="I697" t="s">
        <v>18</v>
      </c>
      <c r="J697" t="s">
        <v>24</v>
      </c>
      <c r="K697" s="4">
        <v>45108</v>
      </c>
      <c r="L697">
        <v>2023</v>
      </c>
      <c r="M697" s="4">
        <v>45108</v>
      </c>
      <c r="N697">
        <v>1198.8299999999981</v>
      </c>
      <c r="O697">
        <v>6</v>
      </c>
    </row>
    <row r="698" spans="1:15" hidden="1" x14ac:dyDescent="0.25">
      <c r="A698" s="92">
        <v>696</v>
      </c>
      <c r="B698" s="47">
        <f>MONTH(dis_table[[#This Row],[Date]])</f>
        <v>7</v>
      </c>
      <c r="C698" s="4">
        <v>45109</v>
      </c>
      <c r="D698" s="4">
        <v>45110</v>
      </c>
      <c r="E698" t="s">
        <v>85</v>
      </c>
      <c r="F698">
        <v>22.35</v>
      </c>
      <c r="G698" t="s">
        <v>34</v>
      </c>
      <c r="H698" t="s">
        <v>35</v>
      </c>
      <c r="I698" t="s">
        <v>12</v>
      </c>
      <c r="J698" t="s">
        <v>13</v>
      </c>
      <c r="K698" s="4">
        <v>45108</v>
      </c>
      <c r="L698">
        <v>2023</v>
      </c>
      <c r="M698" s="4">
        <v>45109</v>
      </c>
      <c r="N698">
        <v>1221.179999999998</v>
      </c>
      <c r="O698">
        <v>33</v>
      </c>
    </row>
    <row r="699" spans="1:15" hidden="1" x14ac:dyDescent="0.25">
      <c r="A699" s="92">
        <v>697</v>
      </c>
      <c r="B699" s="47">
        <f>MONTH(dis_table[[#This Row],[Date]])</f>
        <v>7</v>
      </c>
      <c r="C699" s="4">
        <v>45109</v>
      </c>
      <c r="D699" s="4">
        <v>45110</v>
      </c>
      <c r="E699" t="s">
        <v>43</v>
      </c>
      <c r="F699">
        <v>10</v>
      </c>
      <c r="G699" t="s">
        <v>16</v>
      </c>
      <c r="H699" t="s">
        <v>44</v>
      </c>
      <c r="I699" t="s">
        <v>18</v>
      </c>
      <c r="J699" t="s">
        <v>19</v>
      </c>
      <c r="K699" s="4">
        <v>45108</v>
      </c>
      <c r="L699">
        <v>2023</v>
      </c>
      <c r="M699" s="4">
        <v>45109</v>
      </c>
      <c r="N699">
        <v>1231.179999999998</v>
      </c>
      <c r="O699">
        <v>7</v>
      </c>
    </row>
    <row r="700" spans="1:15" hidden="1" x14ac:dyDescent="0.25">
      <c r="A700" s="92">
        <v>698</v>
      </c>
      <c r="B700" s="47">
        <f>MONTH(dis_table[[#This Row],[Date]])</f>
        <v>7</v>
      </c>
      <c r="C700" s="4">
        <v>45109</v>
      </c>
      <c r="D700" s="4">
        <v>45109</v>
      </c>
      <c r="E700" t="s">
        <v>912</v>
      </c>
      <c r="F700">
        <v>125.1</v>
      </c>
      <c r="G700" t="s">
        <v>36</v>
      </c>
      <c r="H700" t="s">
        <v>286</v>
      </c>
      <c r="I700" t="s">
        <v>18</v>
      </c>
      <c r="J700" t="s">
        <v>24</v>
      </c>
      <c r="K700" s="4">
        <v>45108</v>
      </c>
      <c r="L700">
        <v>2023</v>
      </c>
      <c r="M700" s="4">
        <v>45109</v>
      </c>
      <c r="N700">
        <v>1356.2799999999979</v>
      </c>
      <c r="O700">
        <v>9</v>
      </c>
    </row>
    <row r="701" spans="1:15" hidden="1" x14ac:dyDescent="0.25">
      <c r="A701" s="92">
        <v>699</v>
      </c>
      <c r="B701" s="47">
        <f>MONTH(dis_table[[#This Row],[Date]])</f>
        <v>7</v>
      </c>
      <c r="C701" s="4">
        <v>45109</v>
      </c>
      <c r="D701" s="4">
        <v>45109</v>
      </c>
      <c r="E701" t="s">
        <v>913</v>
      </c>
      <c r="F701">
        <v>139</v>
      </c>
      <c r="G701" t="s">
        <v>36</v>
      </c>
      <c r="H701" t="s">
        <v>286</v>
      </c>
      <c r="I701" t="s">
        <v>18</v>
      </c>
      <c r="J701" t="s">
        <v>24</v>
      </c>
      <c r="K701" s="4">
        <v>45108</v>
      </c>
      <c r="L701">
        <v>2023</v>
      </c>
      <c r="M701" s="4">
        <v>45109</v>
      </c>
      <c r="N701">
        <v>1495.2799999999979</v>
      </c>
      <c r="O701">
        <v>10</v>
      </c>
    </row>
    <row r="702" spans="1:15" hidden="1" x14ac:dyDescent="0.25">
      <c r="A702" s="92">
        <v>700</v>
      </c>
      <c r="B702" s="47">
        <f>MONTH(dis_table[[#This Row],[Date]])</f>
        <v>7</v>
      </c>
      <c r="C702" s="4">
        <v>45110</v>
      </c>
      <c r="D702" s="4">
        <v>45110</v>
      </c>
      <c r="E702" t="s">
        <v>143</v>
      </c>
      <c r="F702">
        <v>-17.190000000000001</v>
      </c>
      <c r="G702" t="s">
        <v>32</v>
      </c>
      <c r="H702" t="s">
        <v>1027</v>
      </c>
      <c r="I702" t="s">
        <v>12</v>
      </c>
      <c r="J702" t="s">
        <v>122</v>
      </c>
      <c r="K702" s="4">
        <v>45108</v>
      </c>
      <c r="L702">
        <v>2023</v>
      </c>
      <c r="M702" s="4">
        <v>45110</v>
      </c>
      <c r="N702">
        <v>1478.0899999999981</v>
      </c>
      <c r="O702">
        <v>7</v>
      </c>
    </row>
    <row r="703" spans="1:15" hidden="1" x14ac:dyDescent="0.25">
      <c r="A703" s="92">
        <v>701</v>
      </c>
      <c r="B703" s="47">
        <f>MONTH(dis_table[[#This Row],[Date]])</f>
        <v>7</v>
      </c>
      <c r="C703" s="4">
        <v>45110</v>
      </c>
      <c r="D703" s="4">
        <v>45110</v>
      </c>
      <c r="E703" t="s">
        <v>359</v>
      </c>
      <c r="F703">
        <v>4.3899999999999997</v>
      </c>
      <c r="G703" t="s">
        <v>22</v>
      </c>
      <c r="H703" t="s">
        <v>214</v>
      </c>
      <c r="I703" t="s">
        <v>12</v>
      </c>
      <c r="J703" t="s">
        <v>24</v>
      </c>
      <c r="K703" s="4">
        <v>45108</v>
      </c>
      <c r="L703">
        <v>2023</v>
      </c>
      <c r="M703" s="4">
        <v>45110</v>
      </c>
      <c r="N703">
        <v>1482.479999999998</v>
      </c>
      <c r="O703">
        <v>25</v>
      </c>
    </row>
    <row r="704" spans="1:15" hidden="1" x14ac:dyDescent="0.25">
      <c r="A704" s="92">
        <v>702</v>
      </c>
      <c r="B704" s="47">
        <f>MONTH(dis_table[[#This Row],[Date]])</f>
        <v>7</v>
      </c>
      <c r="C704" s="4">
        <v>45110</v>
      </c>
      <c r="D704" s="4">
        <v>45110</v>
      </c>
      <c r="E704" t="s">
        <v>139</v>
      </c>
      <c r="F704">
        <v>20.67</v>
      </c>
      <c r="G704" t="s">
        <v>16</v>
      </c>
      <c r="H704" t="s">
        <v>25</v>
      </c>
      <c r="I704" t="s">
        <v>12</v>
      </c>
      <c r="J704" t="s">
        <v>24</v>
      </c>
      <c r="K704" s="4">
        <v>45108</v>
      </c>
      <c r="L704">
        <v>2023</v>
      </c>
      <c r="M704" s="4">
        <v>45110</v>
      </c>
      <c r="N704">
        <v>1503.149999999998</v>
      </c>
      <c r="O704">
        <v>14</v>
      </c>
    </row>
    <row r="705" spans="1:15" hidden="1" x14ac:dyDescent="0.25">
      <c r="A705" s="92">
        <v>703</v>
      </c>
      <c r="B705" s="47">
        <f>MONTH(dis_table[[#This Row],[Date]])</f>
        <v>7</v>
      </c>
      <c r="C705" s="4">
        <v>45111</v>
      </c>
      <c r="D705" s="4">
        <v>45111</v>
      </c>
      <c r="E705" t="s">
        <v>125</v>
      </c>
      <c r="F705">
        <v>307.10000000000002</v>
      </c>
      <c r="G705" t="s">
        <v>34</v>
      </c>
      <c r="H705" t="s">
        <v>133</v>
      </c>
      <c r="I705" t="s">
        <v>12</v>
      </c>
      <c r="J705" t="s">
        <v>24</v>
      </c>
      <c r="K705" s="4">
        <v>45108</v>
      </c>
      <c r="L705">
        <v>2023</v>
      </c>
      <c r="M705" s="4">
        <v>45111</v>
      </c>
      <c r="N705">
        <v>1810.249999999998</v>
      </c>
      <c r="O705">
        <v>31</v>
      </c>
    </row>
    <row r="706" spans="1:15" hidden="1" x14ac:dyDescent="0.25">
      <c r="A706" s="92">
        <v>704</v>
      </c>
      <c r="B706" s="47">
        <f>MONTH(dis_table[[#This Row],[Date]])</f>
        <v>7</v>
      </c>
      <c r="C706" s="4">
        <v>45111</v>
      </c>
      <c r="D706" s="4">
        <v>45111</v>
      </c>
      <c r="E706" t="s">
        <v>914</v>
      </c>
      <c r="F706">
        <v>60.92</v>
      </c>
      <c r="G706" t="s">
        <v>16</v>
      </c>
      <c r="H706" t="s">
        <v>25</v>
      </c>
      <c r="I706" t="s">
        <v>12</v>
      </c>
      <c r="J706" t="s">
        <v>24</v>
      </c>
      <c r="K706" s="4">
        <v>45108</v>
      </c>
      <c r="L706">
        <v>2023</v>
      </c>
      <c r="M706" s="4">
        <v>45111</v>
      </c>
      <c r="N706">
        <v>1871.169999999998</v>
      </c>
      <c r="O706">
        <v>15</v>
      </c>
    </row>
    <row r="707" spans="1:15" hidden="1" x14ac:dyDescent="0.25">
      <c r="A707" s="92">
        <v>705</v>
      </c>
      <c r="B707" s="47">
        <f>MONTH(dis_table[[#This Row],[Date]])</f>
        <v>7</v>
      </c>
      <c r="C707" s="4">
        <v>45111</v>
      </c>
      <c r="D707" s="4">
        <v>45111</v>
      </c>
      <c r="E707" t="s">
        <v>959</v>
      </c>
      <c r="F707">
        <v>6</v>
      </c>
      <c r="G707" t="s">
        <v>34</v>
      </c>
      <c r="H707" t="s">
        <v>35</v>
      </c>
      <c r="I707" t="s">
        <v>12</v>
      </c>
      <c r="J707" t="s">
        <v>13</v>
      </c>
      <c r="K707" s="4">
        <v>45108</v>
      </c>
      <c r="L707">
        <v>2023</v>
      </c>
      <c r="M707" s="4">
        <v>45111</v>
      </c>
      <c r="N707">
        <v>1877.169999999998</v>
      </c>
      <c r="O707">
        <v>34</v>
      </c>
    </row>
    <row r="708" spans="1:15" hidden="1" x14ac:dyDescent="0.25">
      <c r="A708" s="92">
        <v>706</v>
      </c>
      <c r="B708" s="47">
        <f>MONTH(dis_table[[#This Row],[Date]])</f>
        <v>7</v>
      </c>
      <c r="C708" s="4">
        <v>45111</v>
      </c>
      <c r="D708" s="4">
        <v>45111</v>
      </c>
      <c r="E708" t="s">
        <v>125</v>
      </c>
      <c r="F708">
        <v>36.17</v>
      </c>
      <c r="G708" t="s">
        <v>34</v>
      </c>
      <c r="H708" t="s">
        <v>133</v>
      </c>
      <c r="I708" t="s">
        <v>12</v>
      </c>
      <c r="J708" t="s">
        <v>24</v>
      </c>
      <c r="K708" s="4">
        <v>45108</v>
      </c>
      <c r="L708">
        <v>2023</v>
      </c>
      <c r="M708" s="4">
        <v>45111</v>
      </c>
      <c r="N708">
        <v>1913.3399999999981</v>
      </c>
      <c r="O708">
        <v>32</v>
      </c>
    </row>
    <row r="709" spans="1:15" hidden="1" x14ac:dyDescent="0.25">
      <c r="A709" s="92">
        <v>707</v>
      </c>
      <c r="B709" s="47">
        <f>MONTH(dis_table[[#This Row],[Date]])</f>
        <v>7</v>
      </c>
      <c r="C709" s="4">
        <v>45112</v>
      </c>
      <c r="D709" s="4">
        <v>45112</v>
      </c>
      <c r="E709" t="s">
        <v>81</v>
      </c>
      <c r="F709">
        <v>6.37</v>
      </c>
      <c r="G709" t="s">
        <v>16</v>
      </c>
      <c r="H709" t="s">
        <v>45</v>
      </c>
      <c r="I709" t="s">
        <v>12</v>
      </c>
      <c r="J709" t="s">
        <v>19</v>
      </c>
      <c r="K709" s="4">
        <v>45108</v>
      </c>
      <c r="L709">
        <v>2023</v>
      </c>
      <c r="M709" s="4">
        <v>45112</v>
      </c>
      <c r="N709">
        <v>1919.709999999998</v>
      </c>
      <c r="O709">
        <v>41</v>
      </c>
    </row>
    <row r="710" spans="1:15" hidden="1" x14ac:dyDescent="0.25">
      <c r="A710" s="92">
        <v>708</v>
      </c>
      <c r="B710" s="47">
        <f>MONTH(dis_table[[#This Row],[Date]])</f>
        <v>7</v>
      </c>
      <c r="C710" s="4">
        <v>45113</v>
      </c>
      <c r="D710" s="4">
        <v>45113</v>
      </c>
      <c r="E710" t="s">
        <v>529</v>
      </c>
      <c r="F710">
        <v>9.99</v>
      </c>
      <c r="G710" t="s">
        <v>16</v>
      </c>
      <c r="H710" t="s">
        <v>135</v>
      </c>
      <c r="I710" t="s">
        <v>18</v>
      </c>
      <c r="J710" t="s">
        <v>24</v>
      </c>
      <c r="K710" s="4">
        <v>45108</v>
      </c>
      <c r="L710">
        <v>2023</v>
      </c>
      <c r="M710" s="4">
        <v>45113</v>
      </c>
      <c r="N710">
        <v>1929.699999999998</v>
      </c>
      <c r="O710">
        <v>7</v>
      </c>
    </row>
    <row r="711" spans="1:15" hidden="1" x14ac:dyDescent="0.25">
      <c r="A711" s="92">
        <v>709</v>
      </c>
      <c r="B711" s="47">
        <f>MONTH(dis_table[[#This Row],[Date]])</f>
        <v>7</v>
      </c>
      <c r="C711" s="4">
        <v>45113</v>
      </c>
      <c r="D711" s="4">
        <v>45113</v>
      </c>
      <c r="E711" t="s">
        <v>960</v>
      </c>
      <c r="F711">
        <v>13.04</v>
      </c>
      <c r="G711" t="s">
        <v>22</v>
      </c>
      <c r="H711" t="s">
        <v>61</v>
      </c>
      <c r="I711" t="s">
        <v>12</v>
      </c>
      <c r="J711" t="s">
        <v>19</v>
      </c>
      <c r="K711" s="4">
        <v>45108</v>
      </c>
      <c r="L711">
        <v>2023</v>
      </c>
      <c r="M711" s="4">
        <v>45113</v>
      </c>
      <c r="N711">
        <v>1942.739999999998</v>
      </c>
      <c r="O711">
        <v>4</v>
      </c>
    </row>
    <row r="712" spans="1:15" hidden="1" x14ac:dyDescent="0.25">
      <c r="A712" s="92">
        <v>710</v>
      </c>
      <c r="B712" s="47">
        <f>MONTH(dis_table[[#This Row],[Date]])</f>
        <v>7</v>
      </c>
      <c r="C712" s="4">
        <v>45113</v>
      </c>
      <c r="D712" s="4">
        <v>45114</v>
      </c>
      <c r="E712" t="s">
        <v>961</v>
      </c>
      <c r="F712">
        <v>-153.44999999999999</v>
      </c>
      <c r="G712" t="s">
        <v>27</v>
      </c>
      <c r="H712" t="s">
        <v>133</v>
      </c>
      <c r="I712" t="s">
        <v>12</v>
      </c>
      <c r="J712" t="s">
        <v>24</v>
      </c>
      <c r="K712" s="4">
        <v>45108</v>
      </c>
      <c r="L712">
        <v>2023</v>
      </c>
      <c r="M712" s="4">
        <v>45113</v>
      </c>
      <c r="N712">
        <v>1789.2899999999979</v>
      </c>
      <c r="O712">
        <v>33</v>
      </c>
    </row>
    <row r="713" spans="1:15" hidden="1" x14ac:dyDescent="0.25">
      <c r="A713" s="92">
        <v>711</v>
      </c>
      <c r="B713" s="47">
        <f>MONTH(dis_table[[#This Row],[Date]])</f>
        <v>7</v>
      </c>
      <c r="C713" s="4">
        <v>45114</v>
      </c>
      <c r="D713" s="4">
        <v>45114</v>
      </c>
      <c r="E713" t="s">
        <v>85</v>
      </c>
      <c r="F713">
        <v>28.62</v>
      </c>
      <c r="G713" t="s">
        <v>34</v>
      </c>
      <c r="H713" t="s">
        <v>35</v>
      </c>
      <c r="I713" t="s">
        <v>12</v>
      </c>
      <c r="J713" t="s">
        <v>13</v>
      </c>
      <c r="K713" s="4">
        <v>45108</v>
      </c>
      <c r="L713">
        <v>2023</v>
      </c>
      <c r="M713" s="4">
        <v>45114</v>
      </c>
      <c r="N713">
        <v>1817.909999999998</v>
      </c>
      <c r="O713">
        <v>35</v>
      </c>
    </row>
    <row r="714" spans="1:15" hidden="1" x14ac:dyDescent="0.25">
      <c r="A714" s="92">
        <v>712</v>
      </c>
      <c r="B714" s="47">
        <f>MONTH(dis_table[[#This Row],[Date]])</f>
        <v>7</v>
      </c>
      <c r="C714" s="4">
        <v>45114</v>
      </c>
      <c r="D714" s="4">
        <v>45114</v>
      </c>
      <c r="E714" t="s">
        <v>125</v>
      </c>
      <c r="F714">
        <v>59.44</v>
      </c>
      <c r="G714" t="s">
        <v>34</v>
      </c>
      <c r="H714" t="s">
        <v>133</v>
      </c>
      <c r="I714" t="s">
        <v>12</v>
      </c>
      <c r="J714" t="s">
        <v>24</v>
      </c>
      <c r="K714" s="4">
        <v>45108</v>
      </c>
      <c r="L714">
        <v>2023</v>
      </c>
      <c r="M714" s="4">
        <v>45114</v>
      </c>
      <c r="N714">
        <v>1877.3499999999981</v>
      </c>
      <c r="O714">
        <v>34</v>
      </c>
    </row>
    <row r="715" spans="1:15" hidden="1" x14ac:dyDescent="0.25">
      <c r="A715" s="92">
        <v>713</v>
      </c>
      <c r="B715" s="47">
        <f>MONTH(dis_table[[#This Row],[Date]])</f>
        <v>7</v>
      </c>
      <c r="C715" s="4">
        <v>45115</v>
      </c>
      <c r="D715" s="4">
        <v>45115</v>
      </c>
      <c r="E715" t="s">
        <v>962</v>
      </c>
      <c r="F715">
        <v>5</v>
      </c>
      <c r="G715" t="s">
        <v>22</v>
      </c>
      <c r="H715" t="s">
        <v>214</v>
      </c>
      <c r="I715" t="s">
        <v>12</v>
      </c>
      <c r="J715" t="s">
        <v>24</v>
      </c>
      <c r="K715" s="4">
        <v>45108</v>
      </c>
      <c r="L715">
        <v>2023</v>
      </c>
      <c r="M715" s="4">
        <v>45115</v>
      </c>
      <c r="N715">
        <v>1882.3499999999981</v>
      </c>
      <c r="O715">
        <v>26</v>
      </c>
    </row>
    <row r="716" spans="1:15" hidden="1" x14ac:dyDescent="0.25">
      <c r="A716" s="92">
        <v>714</v>
      </c>
      <c r="B716" s="47">
        <f>MONTH(dis_table[[#This Row],[Date]])</f>
        <v>7</v>
      </c>
      <c r="C716" s="4">
        <v>45115</v>
      </c>
      <c r="D716" s="4">
        <v>45115</v>
      </c>
      <c r="E716" t="s">
        <v>963</v>
      </c>
      <c r="F716">
        <v>243.74</v>
      </c>
      <c r="G716" t="s">
        <v>58</v>
      </c>
      <c r="H716" t="s">
        <v>161</v>
      </c>
      <c r="I716" t="s">
        <v>12</v>
      </c>
      <c r="J716" t="s">
        <v>59</v>
      </c>
      <c r="K716" s="4">
        <v>45108</v>
      </c>
      <c r="L716">
        <v>2023</v>
      </c>
      <c r="M716" s="4">
        <v>45115</v>
      </c>
      <c r="N716">
        <v>2126.0899999999979</v>
      </c>
      <c r="O716">
        <v>3</v>
      </c>
    </row>
    <row r="717" spans="1:15" hidden="1" x14ac:dyDescent="0.25">
      <c r="A717" s="92">
        <v>715</v>
      </c>
      <c r="B717" s="47">
        <f>MONTH(dis_table[[#This Row],[Date]])</f>
        <v>7</v>
      </c>
      <c r="C717" s="4">
        <v>45116</v>
      </c>
      <c r="D717" s="4">
        <v>45116</v>
      </c>
      <c r="E717" t="s">
        <v>139</v>
      </c>
      <c r="F717">
        <v>20</v>
      </c>
      <c r="G717" t="s">
        <v>16</v>
      </c>
      <c r="H717" t="s">
        <v>25</v>
      </c>
      <c r="I717" t="s">
        <v>12</v>
      </c>
      <c r="J717" t="s">
        <v>24</v>
      </c>
      <c r="K717" s="4">
        <v>45108</v>
      </c>
      <c r="L717">
        <v>2023</v>
      </c>
      <c r="M717" s="4">
        <v>45116</v>
      </c>
      <c r="N717">
        <v>2146.0899999999979</v>
      </c>
      <c r="O717">
        <v>16</v>
      </c>
    </row>
    <row r="718" spans="1:15" hidden="1" x14ac:dyDescent="0.25">
      <c r="A718" s="92">
        <v>716</v>
      </c>
      <c r="B718" s="47">
        <f>MONTH(dis_table[[#This Row],[Date]])</f>
        <v>7</v>
      </c>
      <c r="C718" s="4">
        <v>45116</v>
      </c>
      <c r="D718" s="4">
        <v>45116</v>
      </c>
      <c r="E718" t="s">
        <v>964</v>
      </c>
      <c r="F718">
        <v>22.1</v>
      </c>
      <c r="G718" t="s">
        <v>9</v>
      </c>
      <c r="H718" t="s">
        <v>10</v>
      </c>
      <c r="I718" t="s">
        <v>12</v>
      </c>
      <c r="J718" t="s">
        <v>13</v>
      </c>
      <c r="K718" s="4">
        <v>45108</v>
      </c>
      <c r="L718">
        <v>2023</v>
      </c>
      <c r="M718" s="4">
        <v>45116</v>
      </c>
      <c r="N718">
        <v>2168.1899999999978</v>
      </c>
      <c r="O718">
        <v>36</v>
      </c>
    </row>
    <row r="719" spans="1:15" hidden="1" x14ac:dyDescent="0.25">
      <c r="A719" s="92">
        <v>717</v>
      </c>
      <c r="B719" s="47">
        <f>MONTH(dis_table[[#This Row],[Date]])</f>
        <v>7</v>
      </c>
      <c r="C719" s="4">
        <v>45116</v>
      </c>
      <c r="D719" s="4">
        <v>45116</v>
      </c>
      <c r="E719" t="s">
        <v>139</v>
      </c>
      <c r="F719">
        <v>30.45</v>
      </c>
      <c r="G719" t="s">
        <v>16</v>
      </c>
      <c r="H719" t="s">
        <v>25</v>
      </c>
      <c r="I719" t="s">
        <v>12</v>
      </c>
      <c r="J719" t="s">
        <v>24</v>
      </c>
      <c r="K719" s="4">
        <v>45108</v>
      </c>
      <c r="L719">
        <v>2023</v>
      </c>
      <c r="M719" s="4">
        <v>45116</v>
      </c>
      <c r="N719">
        <v>2198.6399999999981</v>
      </c>
      <c r="O719">
        <v>17</v>
      </c>
    </row>
    <row r="720" spans="1:15" hidden="1" x14ac:dyDescent="0.25">
      <c r="A720" s="92">
        <v>718</v>
      </c>
      <c r="B720" s="47">
        <f>MONTH(dis_table[[#This Row],[Date]])</f>
        <v>7</v>
      </c>
      <c r="C720" s="4">
        <v>45116</v>
      </c>
      <c r="D720" s="4">
        <v>45116</v>
      </c>
      <c r="E720" t="s">
        <v>81</v>
      </c>
      <c r="F720">
        <v>10.63</v>
      </c>
      <c r="G720" t="s">
        <v>16</v>
      </c>
      <c r="H720" t="s">
        <v>45</v>
      </c>
      <c r="I720" t="s">
        <v>12</v>
      </c>
      <c r="J720" t="s">
        <v>19</v>
      </c>
      <c r="K720" s="4">
        <v>45108</v>
      </c>
      <c r="L720">
        <v>2023</v>
      </c>
      <c r="M720" s="4">
        <v>45116</v>
      </c>
      <c r="N720">
        <v>2209.2699999999982</v>
      </c>
      <c r="O720">
        <v>42</v>
      </c>
    </row>
    <row r="721" spans="1:15" hidden="1" x14ac:dyDescent="0.25">
      <c r="A721" s="92">
        <v>719</v>
      </c>
      <c r="B721" s="47">
        <f>MONTH(dis_table[[#This Row],[Date]])</f>
        <v>7</v>
      </c>
      <c r="C721" s="4">
        <v>45116</v>
      </c>
      <c r="D721" s="4">
        <v>45116</v>
      </c>
      <c r="E721" t="s">
        <v>81</v>
      </c>
      <c r="F721">
        <v>15.95</v>
      </c>
      <c r="G721" t="s">
        <v>16</v>
      </c>
      <c r="H721" t="s">
        <v>45</v>
      </c>
      <c r="I721" t="s">
        <v>12</v>
      </c>
      <c r="J721" t="s">
        <v>19</v>
      </c>
      <c r="K721" s="4">
        <v>45108</v>
      </c>
      <c r="L721">
        <v>2023</v>
      </c>
      <c r="M721" s="4">
        <v>45116</v>
      </c>
      <c r="N721">
        <v>2225.219999999998</v>
      </c>
      <c r="O721">
        <v>43</v>
      </c>
    </row>
    <row r="722" spans="1:15" hidden="1" x14ac:dyDescent="0.25">
      <c r="A722" s="92">
        <v>720</v>
      </c>
      <c r="B722" s="47">
        <f>MONTH(dis_table[[#This Row],[Date]])</f>
        <v>7</v>
      </c>
      <c r="C722" s="4">
        <v>45117</v>
      </c>
      <c r="D722" s="4">
        <v>45117</v>
      </c>
      <c r="E722" t="s">
        <v>965</v>
      </c>
      <c r="F722">
        <v>22.08</v>
      </c>
      <c r="G722" t="s">
        <v>16</v>
      </c>
      <c r="H722" t="s">
        <v>133</v>
      </c>
      <c r="I722" t="s">
        <v>12</v>
      </c>
      <c r="J722" t="s">
        <v>24</v>
      </c>
      <c r="K722" s="4">
        <v>45108</v>
      </c>
      <c r="L722">
        <v>2023</v>
      </c>
      <c r="M722" s="4">
        <v>45117</v>
      </c>
      <c r="N722">
        <v>2247.2999999999979</v>
      </c>
      <c r="O722">
        <v>35</v>
      </c>
    </row>
    <row r="723" spans="1:15" hidden="1" x14ac:dyDescent="0.25">
      <c r="A723" s="92">
        <v>721</v>
      </c>
      <c r="B723" s="47">
        <f>MONTH(dis_table[[#This Row],[Date]])</f>
        <v>7</v>
      </c>
      <c r="C723" s="4">
        <v>45117</v>
      </c>
      <c r="D723" s="4">
        <v>45117</v>
      </c>
      <c r="E723" t="s">
        <v>966</v>
      </c>
      <c r="F723">
        <v>22.99</v>
      </c>
      <c r="G723" t="s">
        <v>16</v>
      </c>
      <c r="H723" t="s">
        <v>21</v>
      </c>
      <c r="I723" t="s">
        <v>12</v>
      </c>
      <c r="J723" t="s">
        <v>24</v>
      </c>
      <c r="K723" s="4">
        <v>45108</v>
      </c>
      <c r="L723">
        <v>2023</v>
      </c>
      <c r="M723" s="4">
        <v>45117</v>
      </c>
      <c r="N723">
        <v>2270.2899999999981</v>
      </c>
      <c r="O723">
        <v>36</v>
      </c>
    </row>
    <row r="724" spans="1:15" hidden="1" x14ac:dyDescent="0.25">
      <c r="A724" s="92">
        <v>722</v>
      </c>
      <c r="B724" s="47">
        <f>MONTH(dis_table[[#This Row],[Date]])</f>
        <v>7</v>
      </c>
      <c r="C724" s="4">
        <v>45117</v>
      </c>
      <c r="D724" s="4">
        <v>45117</v>
      </c>
      <c r="E724" t="s">
        <v>126</v>
      </c>
      <c r="F724">
        <v>49.37</v>
      </c>
      <c r="G724" t="s">
        <v>34</v>
      </c>
      <c r="H724" t="s">
        <v>35</v>
      </c>
      <c r="I724" t="s">
        <v>12</v>
      </c>
      <c r="J724" t="s">
        <v>13</v>
      </c>
      <c r="K724" s="4">
        <v>45108</v>
      </c>
      <c r="L724">
        <v>2023</v>
      </c>
      <c r="M724" s="4">
        <v>45117</v>
      </c>
      <c r="N724">
        <v>2319.659999999998</v>
      </c>
      <c r="O724">
        <v>36</v>
      </c>
    </row>
    <row r="725" spans="1:15" hidden="1" x14ac:dyDescent="0.25">
      <c r="A725" s="92">
        <v>723</v>
      </c>
      <c r="B725" s="47">
        <f>MONTH(dis_table[[#This Row],[Date]])</f>
        <v>7</v>
      </c>
      <c r="C725" s="4">
        <v>45118</v>
      </c>
      <c r="D725" s="4">
        <v>45118</v>
      </c>
      <c r="E725" t="s">
        <v>529</v>
      </c>
      <c r="F725">
        <v>16.95</v>
      </c>
      <c r="G725" t="s">
        <v>16</v>
      </c>
      <c r="H725" t="s">
        <v>33</v>
      </c>
      <c r="I725" t="s">
        <v>18</v>
      </c>
      <c r="J725" t="s">
        <v>19</v>
      </c>
      <c r="K725" s="4">
        <v>45108</v>
      </c>
      <c r="L725">
        <v>2023</v>
      </c>
      <c r="M725" s="4">
        <v>45118</v>
      </c>
      <c r="N725">
        <v>2336.6099999999969</v>
      </c>
      <c r="O725">
        <v>8</v>
      </c>
    </row>
    <row r="726" spans="1:15" hidden="1" x14ac:dyDescent="0.25">
      <c r="A726" s="92">
        <v>724</v>
      </c>
      <c r="B726" s="47">
        <f>MONTH(dis_table[[#This Row],[Date]])</f>
        <v>7</v>
      </c>
      <c r="C726" s="4">
        <v>45118</v>
      </c>
      <c r="D726" s="4">
        <v>45118</v>
      </c>
      <c r="E726" t="s">
        <v>530</v>
      </c>
      <c r="F726">
        <v>22.96</v>
      </c>
      <c r="G726" t="s">
        <v>58</v>
      </c>
      <c r="H726" t="s">
        <v>531</v>
      </c>
      <c r="I726" t="s">
        <v>12</v>
      </c>
      <c r="J726" t="s">
        <v>59</v>
      </c>
      <c r="K726" s="4">
        <v>45108</v>
      </c>
      <c r="L726">
        <v>2023</v>
      </c>
      <c r="M726" s="4">
        <v>45118</v>
      </c>
      <c r="N726">
        <v>2359.569999999997</v>
      </c>
      <c r="O726">
        <v>5</v>
      </c>
    </row>
    <row r="727" spans="1:15" hidden="1" x14ac:dyDescent="0.25">
      <c r="A727" s="92">
        <v>725</v>
      </c>
      <c r="B727" s="47">
        <f>MONTH(dis_table[[#This Row],[Date]])</f>
        <v>7</v>
      </c>
      <c r="C727" s="4">
        <v>45118</v>
      </c>
      <c r="D727" s="4">
        <v>45118</v>
      </c>
      <c r="E727" t="s">
        <v>26</v>
      </c>
      <c r="F727">
        <v>-2118.23</v>
      </c>
      <c r="G727" t="s">
        <v>27</v>
      </c>
      <c r="H727" t="s">
        <v>28</v>
      </c>
      <c r="I727" t="s">
        <v>12</v>
      </c>
      <c r="J727" t="s">
        <v>122</v>
      </c>
      <c r="K727" s="4">
        <v>45108</v>
      </c>
      <c r="L727">
        <v>2023</v>
      </c>
      <c r="M727" s="4">
        <v>45118</v>
      </c>
      <c r="N727">
        <v>241.33999999999739</v>
      </c>
      <c r="O727">
        <v>20</v>
      </c>
    </row>
    <row r="728" spans="1:15" hidden="1" x14ac:dyDescent="0.25">
      <c r="A728" s="92">
        <v>726</v>
      </c>
      <c r="B728" s="47">
        <f>MONTH(dis_table[[#This Row],[Date]])</f>
        <v>7</v>
      </c>
      <c r="C728" s="4">
        <v>45120</v>
      </c>
      <c r="D728" s="4">
        <v>45120</v>
      </c>
      <c r="E728" t="s">
        <v>81</v>
      </c>
      <c r="F728">
        <v>5.32</v>
      </c>
      <c r="G728" t="s">
        <v>16</v>
      </c>
      <c r="H728" t="s">
        <v>45</v>
      </c>
      <c r="I728" t="s">
        <v>12</v>
      </c>
      <c r="J728" t="s">
        <v>19</v>
      </c>
      <c r="K728" s="4">
        <v>45108</v>
      </c>
      <c r="L728">
        <v>2023</v>
      </c>
      <c r="M728" s="4">
        <v>45120</v>
      </c>
      <c r="N728">
        <v>246.65999999999741</v>
      </c>
      <c r="O728">
        <v>44</v>
      </c>
    </row>
    <row r="729" spans="1:15" hidden="1" x14ac:dyDescent="0.25">
      <c r="A729" s="92">
        <v>727</v>
      </c>
      <c r="B729" s="47">
        <f>MONTH(dis_table[[#This Row],[Date]])</f>
        <v>7</v>
      </c>
      <c r="C729" s="4">
        <v>45120</v>
      </c>
      <c r="D729" s="4">
        <v>45120</v>
      </c>
      <c r="E729" t="s">
        <v>139</v>
      </c>
      <c r="F729">
        <v>41.54</v>
      </c>
      <c r="G729" t="s">
        <v>16</v>
      </c>
      <c r="H729" t="s">
        <v>25</v>
      </c>
      <c r="I729" t="s">
        <v>12</v>
      </c>
      <c r="J729" t="s">
        <v>24</v>
      </c>
      <c r="K729" s="4">
        <v>45108</v>
      </c>
      <c r="L729">
        <v>2023</v>
      </c>
      <c r="M729" s="4">
        <v>45120</v>
      </c>
      <c r="N729">
        <v>288.19999999999737</v>
      </c>
      <c r="O729">
        <v>18</v>
      </c>
    </row>
    <row r="730" spans="1:15" hidden="1" x14ac:dyDescent="0.25">
      <c r="A730" s="92">
        <v>728</v>
      </c>
      <c r="B730" s="47">
        <f>MONTH(dis_table[[#This Row],[Date]])</f>
        <v>7</v>
      </c>
      <c r="C730" s="4">
        <v>45121</v>
      </c>
      <c r="D730" s="4">
        <v>45121</v>
      </c>
      <c r="E730" t="s">
        <v>967</v>
      </c>
      <c r="F730">
        <v>9.98</v>
      </c>
      <c r="G730" t="s">
        <v>9</v>
      </c>
      <c r="H730" t="s">
        <v>10</v>
      </c>
      <c r="I730" t="s">
        <v>12</v>
      </c>
      <c r="J730" t="s">
        <v>13</v>
      </c>
      <c r="K730" s="4">
        <v>45108</v>
      </c>
      <c r="L730">
        <v>2023</v>
      </c>
      <c r="M730" s="4">
        <v>45121</v>
      </c>
      <c r="N730">
        <v>298.17999999999739</v>
      </c>
      <c r="O730">
        <v>37</v>
      </c>
    </row>
    <row r="731" spans="1:15" hidden="1" x14ac:dyDescent="0.25">
      <c r="A731" s="92">
        <v>729</v>
      </c>
      <c r="B731" s="47">
        <f>MONTH(dis_table[[#This Row],[Date]])</f>
        <v>7</v>
      </c>
      <c r="C731" s="4">
        <v>45121</v>
      </c>
      <c r="D731" s="4">
        <v>45121</v>
      </c>
      <c r="E731" t="s">
        <v>359</v>
      </c>
      <c r="F731">
        <v>5.48</v>
      </c>
      <c r="G731" t="s">
        <v>22</v>
      </c>
      <c r="H731" t="s">
        <v>214</v>
      </c>
      <c r="I731" t="s">
        <v>12</v>
      </c>
      <c r="J731" t="s">
        <v>24</v>
      </c>
      <c r="K731" s="4">
        <v>45108</v>
      </c>
      <c r="L731">
        <v>2023</v>
      </c>
      <c r="M731" s="4">
        <v>45121</v>
      </c>
      <c r="N731">
        <v>303.65999999999752</v>
      </c>
      <c r="O731">
        <v>27</v>
      </c>
    </row>
    <row r="732" spans="1:15" hidden="1" x14ac:dyDescent="0.25">
      <c r="A732" s="92">
        <v>730</v>
      </c>
      <c r="B732" s="47">
        <f>MONTH(dis_table[[#This Row],[Date]])</f>
        <v>7</v>
      </c>
      <c r="C732" s="4">
        <v>45121</v>
      </c>
      <c r="D732" s="4">
        <v>45121</v>
      </c>
      <c r="E732" t="s">
        <v>968</v>
      </c>
      <c r="F732">
        <v>6.3</v>
      </c>
      <c r="G732" t="s">
        <v>9</v>
      </c>
      <c r="H732" t="s">
        <v>10</v>
      </c>
      <c r="I732" t="s">
        <v>12</v>
      </c>
      <c r="J732" t="s">
        <v>13</v>
      </c>
      <c r="K732" s="4">
        <v>45108</v>
      </c>
      <c r="L732">
        <v>2023</v>
      </c>
      <c r="M732" s="4">
        <v>45121</v>
      </c>
      <c r="N732">
        <v>309.95999999999748</v>
      </c>
      <c r="O732">
        <v>38</v>
      </c>
    </row>
    <row r="733" spans="1:15" hidden="1" x14ac:dyDescent="0.25">
      <c r="A733" s="92">
        <v>731</v>
      </c>
      <c r="B733" s="47">
        <f>MONTH(dis_table[[#This Row],[Date]])</f>
        <v>7</v>
      </c>
      <c r="C733" s="4">
        <v>45121</v>
      </c>
      <c r="D733" s="4">
        <v>45121</v>
      </c>
      <c r="E733" t="s">
        <v>50</v>
      </c>
      <c r="F733">
        <v>88.02</v>
      </c>
      <c r="G733" t="s">
        <v>16</v>
      </c>
      <c r="H733" t="s">
        <v>51</v>
      </c>
      <c r="I733" t="s">
        <v>18</v>
      </c>
      <c r="J733" t="s">
        <v>52</v>
      </c>
      <c r="K733" s="4">
        <v>45108</v>
      </c>
      <c r="L733">
        <v>2023</v>
      </c>
      <c r="M733" s="4">
        <v>45121</v>
      </c>
      <c r="N733">
        <v>397.97999999999752</v>
      </c>
      <c r="O733">
        <v>7</v>
      </c>
    </row>
    <row r="734" spans="1:15" hidden="1" x14ac:dyDescent="0.25">
      <c r="A734" s="92">
        <v>732</v>
      </c>
      <c r="B734" s="47">
        <f>MONTH(dis_table[[#This Row],[Date]])</f>
        <v>7</v>
      </c>
      <c r="C734" s="4">
        <v>45122</v>
      </c>
      <c r="D734" s="4">
        <v>45122</v>
      </c>
      <c r="E734" t="s">
        <v>969</v>
      </c>
      <c r="F734">
        <v>4.2</v>
      </c>
      <c r="G734" t="s">
        <v>9</v>
      </c>
      <c r="H734" t="s">
        <v>14</v>
      </c>
      <c r="I734" t="s">
        <v>12</v>
      </c>
      <c r="J734" t="s">
        <v>13</v>
      </c>
      <c r="K734" s="4">
        <v>45108</v>
      </c>
      <c r="L734">
        <v>2023</v>
      </c>
      <c r="M734" s="4">
        <v>45122</v>
      </c>
      <c r="N734">
        <v>402.17999999999739</v>
      </c>
      <c r="O734">
        <v>76</v>
      </c>
    </row>
    <row r="735" spans="1:15" hidden="1" x14ac:dyDescent="0.25">
      <c r="A735" s="92">
        <v>733</v>
      </c>
      <c r="B735" s="47">
        <f>MONTH(dis_table[[#This Row],[Date]])</f>
        <v>7</v>
      </c>
      <c r="C735" s="4">
        <v>45122</v>
      </c>
      <c r="D735" s="4">
        <v>45122</v>
      </c>
      <c r="E735" t="s">
        <v>970</v>
      </c>
      <c r="F735">
        <v>14.95</v>
      </c>
      <c r="G735" t="s">
        <v>9</v>
      </c>
      <c r="H735" t="s">
        <v>14</v>
      </c>
      <c r="I735" t="s">
        <v>12</v>
      </c>
      <c r="J735" t="s">
        <v>13</v>
      </c>
      <c r="K735" s="4">
        <v>45108</v>
      </c>
      <c r="L735">
        <v>2023</v>
      </c>
      <c r="M735" s="4">
        <v>45122</v>
      </c>
      <c r="N735">
        <v>417.12999999999738</v>
      </c>
      <c r="O735">
        <v>77</v>
      </c>
    </row>
    <row r="736" spans="1:15" hidden="1" x14ac:dyDescent="0.25">
      <c r="A736" s="92">
        <v>734</v>
      </c>
      <c r="B736" s="47">
        <f>MONTH(dis_table[[#This Row],[Date]])</f>
        <v>7</v>
      </c>
      <c r="C736" s="4">
        <v>45123</v>
      </c>
      <c r="D736" s="4">
        <v>45123</v>
      </c>
      <c r="E736" t="s">
        <v>972</v>
      </c>
      <c r="F736">
        <v>4.66</v>
      </c>
      <c r="G736" t="s">
        <v>9</v>
      </c>
      <c r="H736" t="s">
        <v>10</v>
      </c>
      <c r="I736" t="s">
        <v>12</v>
      </c>
      <c r="J736" t="s">
        <v>13</v>
      </c>
      <c r="K736" s="4">
        <v>45108</v>
      </c>
      <c r="L736">
        <v>2023</v>
      </c>
      <c r="M736" s="4">
        <v>45123</v>
      </c>
      <c r="N736">
        <v>421.78999999999752</v>
      </c>
      <c r="O736">
        <v>39</v>
      </c>
    </row>
    <row r="737" spans="1:15" hidden="1" x14ac:dyDescent="0.25">
      <c r="A737" s="92">
        <v>735</v>
      </c>
      <c r="B737" s="47">
        <f>MONTH(dis_table[[#This Row],[Date]])</f>
        <v>7</v>
      </c>
      <c r="C737" s="4">
        <v>45123</v>
      </c>
      <c r="D737" s="4">
        <v>45123</v>
      </c>
      <c r="E737" t="s">
        <v>171</v>
      </c>
      <c r="F737">
        <v>7.99</v>
      </c>
      <c r="G737" t="s">
        <v>36</v>
      </c>
      <c r="H737" t="s">
        <v>56</v>
      </c>
      <c r="I737" t="s">
        <v>18</v>
      </c>
      <c r="J737" t="s">
        <v>19</v>
      </c>
      <c r="K737" s="4">
        <v>45108</v>
      </c>
      <c r="L737">
        <v>2023</v>
      </c>
      <c r="M737" s="4">
        <v>45123</v>
      </c>
      <c r="N737">
        <v>429.77999999999747</v>
      </c>
      <c r="O737">
        <v>7</v>
      </c>
    </row>
    <row r="738" spans="1:15" hidden="1" x14ac:dyDescent="0.25">
      <c r="A738" s="92">
        <v>736</v>
      </c>
      <c r="B738" s="47">
        <f>MONTH(dis_table[[#This Row],[Date]])</f>
        <v>7</v>
      </c>
      <c r="C738" s="4">
        <v>45123</v>
      </c>
      <c r="D738" s="4">
        <v>45123</v>
      </c>
      <c r="E738" t="s">
        <v>971</v>
      </c>
      <c r="F738">
        <v>5</v>
      </c>
      <c r="G738" t="s">
        <v>22</v>
      </c>
      <c r="H738" t="s">
        <v>57</v>
      </c>
      <c r="I738" t="s">
        <v>12</v>
      </c>
      <c r="J738" t="s">
        <v>19</v>
      </c>
      <c r="K738" s="4">
        <v>45108</v>
      </c>
      <c r="L738">
        <v>2023</v>
      </c>
      <c r="M738" s="4">
        <v>45123</v>
      </c>
      <c r="N738">
        <v>434.77999999999747</v>
      </c>
      <c r="O738">
        <v>16</v>
      </c>
    </row>
    <row r="739" spans="1:15" hidden="1" x14ac:dyDescent="0.25">
      <c r="A739" s="92">
        <v>737</v>
      </c>
      <c r="B739" s="47">
        <f>MONTH(dis_table[[#This Row],[Date]])</f>
        <v>7</v>
      </c>
      <c r="C739" s="4">
        <v>45124</v>
      </c>
      <c r="D739" s="4">
        <v>45124</v>
      </c>
      <c r="E739" t="s">
        <v>187</v>
      </c>
      <c r="F739">
        <v>35</v>
      </c>
      <c r="G739" t="s">
        <v>22</v>
      </c>
      <c r="H739" t="s">
        <v>188</v>
      </c>
      <c r="I739" t="s">
        <v>12</v>
      </c>
      <c r="J739" t="s">
        <v>31</v>
      </c>
      <c r="K739" s="4">
        <v>45108</v>
      </c>
      <c r="L739">
        <v>2023</v>
      </c>
      <c r="M739" s="4">
        <v>45124</v>
      </c>
      <c r="N739">
        <v>469.77999999999747</v>
      </c>
      <c r="O739">
        <v>8</v>
      </c>
    </row>
    <row r="740" spans="1:15" hidden="1" x14ac:dyDescent="0.25">
      <c r="A740" s="92">
        <v>738</v>
      </c>
      <c r="B740" s="47">
        <f>MONTH(dis_table[[#This Row],[Date]])</f>
        <v>7</v>
      </c>
      <c r="C740" s="4">
        <v>45124</v>
      </c>
      <c r="D740" s="4">
        <v>45124</v>
      </c>
      <c r="E740" t="s">
        <v>973</v>
      </c>
      <c r="F740">
        <v>50</v>
      </c>
      <c r="G740" t="s">
        <v>36</v>
      </c>
      <c r="H740" t="s">
        <v>84</v>
      </c>
      <c r="I740" t="s">
        <v>18</v>
      </c>
      <c r="J740" t="s">
        <v>24</v>
      </c>
      <c r="K740" s="4">
        <v>45108</v>
      </c>
      <c r="L740">
        <v>2023</v>
      </c>
      <c r="M740" s="4">
        <v>45124</v>
      </c>
      <c r="N740">
        <v>519.77999999999747</v>
      </c>
      <c r="O740">
        <v>7</v>
      </c>
    </row>
    <row r="741" spans="1:15" hidden="1" x14ac:dyDescent="0.25">
      <c r="A741" s="92">
        <v>739</v>
      </c>
      <c r="B741" s="47">
        <f>MONTH(dis_table[[#This Row],[Date]])</f>
        <v>7</v>
      </c>
      <c r="C741" s="4">
        <v>45124</v>
      </c>
      <c r="D741" s="4">
        <v>45124</v>
      </c>
      <c r="E741" t="s">
        <v>38</v>
      </c>
      <c r="F741">
        <v>232.39</v>
      </c>
      <c r="G741" t="s">
        <v>16</v>
      </c>
      <c r="H741" t="s">
        <v>39</v>
      </c>
      <c r="I741" t="s">
        <v>18</v>
      </c>
      <c r="J741" t="s">
        <v>40</v>
      </c>
      <c r="K741" s="4">
        <v>45108</v>
      </c>
      <c r="L741">
        <v>2023</v>
      </c>
      <c r="M741" s="4">
        <v>45124</v>
      </c>
      <c r="N741">
        <v>752.16999999999746</v>
      </c>
      <c r="O741">
        <v>7</v>
      </c>
    </row>
    <row r="742" spans="1:15" hidden="1" x14ac:dyDescent="0.25">
      <c r="A742" s="92">
        <v>740</v>
      </c>
      <c r="B742" s="47">
        <f>MONTH(dis_table[[#This Row],[Date]])</f>
        <v>7</v>
      </c>
      <c r="C742" s="4">
        <v>45125</v>
      </c>
      <c r="D742" s="4">
        <v>45125</v>
      </c>
      <c r="E742" t="s">
        <v>974</v>
      </c>
      <c r="F742">
        <v>87.69</v>
      </c>
      <c r="G742" t="s">
        <v>16</v>
      </c>
      <c r="H742" t="s">
        <v>21</v>
      </c>
      <c r="I742" t="s">
        <v>12</v>
      </c>
      <c r="J742" t="s">
        <v>24</v>
      </c>
      <c r="K742" s="4">
        <v>45108</v>
      </c>
      <c r="L742">
        <v>2023</v>
      </c>
      <c r="M742" s="4">
        <v>45125</v>
      </c>
      <c r="N742">
        <v>839.8599999999974</v>
      </c>
      <c r="O742">
        <v>37</v>
      </c>
    </row>
    <row r="743" spans="1:15" hidden="1" x14ac:dyDescent="0.25">
      <c r="A743" s="92">
        <v>741</v>
      </c>
      <c r="B743" s="47">
        <f>MONTH(dis_table[[#This Row],[Date]])</f>
        <v>7</v>
      </c>
      <c r="C743" s="4">
        <v>45126</v>
      </c>
      <c r="D743" s="4">
        <v>45126</v>
      </c>
      <c r="E743" t="s">
        <v>81</v>
      </c>
      <c r="F743">
        <v>9.57</v>
      </c>
      <c r="G743" t="s">
        <v>16</v>
      </c>
      <c r="H743" t="s">
        <v>45</v>
      </c>
      <c r="I743" t="s">
        <v>12</v>
      </c>
      <c r="J743" t="s">
        <v>19</v>
      </c>
      <c r="K743" s="4">
        <v>45108</v>
      </c>
      <c r="L743">
        <v>2023</v>
      </c>
      <c r="M743" s="4">
        <v>45126</v>
      </c>
      <c r="N743">
        <v>849.42999999999745</v>
      </c>
      <c r="O743">
        <v>45</v>
      </c>
    </row>
    <row r="744" spans="1:15" hidden="1" x14ac:dyDescent="0.25">
      <c r="A744" s="92">
        <v>742</v>
      </c>
      <c r="B744" s="47">
        <f>MONTH(dis_table[[#This Row],[Date]])</f>
        <v>7</v>
      </c>
      <c r="C744" s="4">
        <v>45127</v>
      </c>
      <c r="D744" s="4">
        <v>45127</v>
      </c>
      <c r="E744" t="s">
        <v>984</v>
      </c>
      <c r="F744">
        <v>74.31</v>
      </c>
      <c r="G744" t="s">
        <v>16</v>
      </c>
      <c r="H744" t="s">
        <v>25</v>
      </c>
      <c r="I744" t="s">
        <v>12</v>
      </c>
      <c r="J744" t="s">
        <v>24</v>
      </c>
      <c r="K744" s="4">
        <v>45108</v>
      </c>
      <c r="L744">
        <v>2023</v>
      </c>
      <c r="M744" s="4">
        <v>45127</v>
      </c>
      <c r="N744">
        <v>923.73999999999751</v>
      </c>
      <c r="O744">
        <v>19</v>
      </c>
    </row>
    <row r="745" spans="1:15" hidden="1" x14ac:dyDescent="0.25">
      <c r="A745" s="92">
        <v>743</v>
      </c>
      <c r="B745" s="47">
        <f>MONTH(dis_table[[#This Row],[Date]])</f>
        <v>7</v>
      </c>
      <c r="C745" s="4">
        <v>45127</v>
      </c>
      <c r="D745" s="4">
        <v>45127</v>
      </c>
      <c r="E745" t="s">
        <v>975</v>
      </c>
      <c r="F745">
        <v>23.7</v>
      </c>
      <c r="G745" t="s">
        <v>22</v>
      </c>
      <c r="H745" t="s">
        <v>57</v>
      </c>
      <c r="I745" t="s">
        <v>12</v>
      </c>
      <c r="J745" t="s">
        <v>19</v>
      </c>
      <c r="K745" s="4">
        <v>45108</v>
      </c>
      <c r="L745">
        <v>2023</v>
      </c>
      <c r="M745" s="4">
        <v>45127</v>
      </c>
      <c r="N745">
        <v>947.43999999999755</v>
      </c>
      <c r="O745">
        <v>17</v>
      </c>
    </row>
    <row r="746" spans="1:15" hidden="1" x14ac:dyDescent="0.25">
      <c r="A746" s="92">
        <v>744</v>
      </c>
      <c r="B746" s="47">
        <f>MONTH(dis_table[[#This Row],[Date]])</f>
        <v>7</v>
      </c>
      <c r="C746" s="4">
        <v>45127</v>
      </c>
      <c r="D746" s="4">
        <v>45127</v>
      </c>
      <c r="E746" t="s">
        <v>983</v>
      </c>
      <c r="F746">
        <v>13.15</v>
      </c>
      <c r="G746" t="s">
        <v>22</v>
      </c>
      <c r="H746" t="s">
        <v>57</v>
      </c>
      <c r="I746" t="s">
        <v>12</v>
      </c>
      <c r="J746" t="s">
        <v>19</v>
      </c>
      <c r="K746" s="4">
        <v>45108</v>
      </c>
      <c r="L746">
        <v>2023</v>
      </c>
      <c r="M746" s="4">
        <v>45127</v>
      </c>
      <c r="N746">
        <v>960.58999999999753</v>
      </c>
      <c r="O746">
        <v>18</v>
      </c>
    </row>
    <row r="747" spans="1:15" hidden="1" x14ac:dyDescent="0.25">
      <c r="A747" s="92">
        <v>745</v>
      </c>
      <c r="B747" s="47">
        <f>MONTH(dis_table[[#This Row],[Date]])</f>
        <v>7</v>
      </c>
      <c r="C747" s="4">
        <v>45128</v>
      </c>
      <c r="D747" s="4">
        <v>45128</v>
      </c>
      <c r="E747" t="s">
        <v>985</v>
      </c>
      <c r="F747">
        <v>5.4</v>
      </c>
      <c r="G747" t="s">
        <v>22</v>
      </c>
      <c r="H747" t="s">
        <v>57</v>
      </c>
      <c r="I747" t="s">
        <v>12</v>
      </c>
      <c r="J747" t="s">
        <v>19</v>
      </c>
      <c r="K747" s="4">
        <v>45108</v>
      </c>
      <c r="L747">
        <v>2023</v>
      </c>
      <c r="M747" s="4">
        <v>45128</v>
      </c>
      <c r="N747">
        <v>965.98999999999751</v>
      </c>
      <c r="O747">
        <v>19</v>
      </c>
    </row>
    <row r="748" spans="1:15" hidden="1" x14ac:dyDescent="0.25">
      <c r="A748" s="92">
        <v>746</v>
      </c>
      <c r="B748" s="47">
        <f>MONTH(dis_table[[#This Row],[Date]])</f>
        <v>7</v>
      </c>
      <c r="C748" s="4">
        <v>45132</v>
      </c>
      <c r="D748" s="4">
        <v>45132</v>
      </c>
      <c r="E748" t="s">
        <v>986</v>
      </c>
      <c r="F748">
        <v>22.08</v>
      </c>
      <c r="G748" t="s">
        <v>16</v>
      </c>
      <c r="H748" t="s">
        <v>133</v>
      </c>
      <c r="I748" t="s">
        <v>12</v>
      </c>
      <c r="J748" t="s">
        <v>24</v>
      </c>
      <c r="K748" s="4">
        <v>45108</v>
      </c>
      <c r="L748">
        <v>2023</v>
      </c>
      <c r="M748" s="4">
        <v>45132</v>
      </c>
      <c r="N748">
        <v>988.06999999999755</v>
      </c>
      <c r="O748">
        <v>36</v>
      </c>
    </row>
    <row r="749" spans="1:15" hidden="1" x14ac:dyDescent="0.25">
      <c r="A749" s="92">
        <v>747</v>
      </c>
      <c r="B749" s="47">
        <f>MONTH(dis_table[[#This Row],[Date]])</f>
        <v>7</v>
      </c>
      <c r="C749" s="4">
        <v>45132</v>
      </c>
      <c r="D749" s="4">
        <v>45132</v>
      </c>
      <c r="E749" t="s">
        <v>26</v>
      </c>
      <c r="F749">
        <v>-500</v>
      </c>
      <c r="G749" t="s">
        <v>27</v>
      </c>
      <c r="H749" t="s">
        <v>28</v>
      </c>
      <c r="I749" t="s">
        <v>12</v>
      </c>
      <c r="J749" t="s">
        <v>122</v>
      </c>
      <c r="K749" s="4">
        <v>45108</v>
      </c>
      <c r="L749">
        <v>2023</v>
      </c>
      <c r="M749" s="4">
        <v>45132</v>
      </c>
      <c r="N749">
        <v>488.06999999999749</v>
      </c>
      <c r="O749">
        <v>21</v>
      </c>
    </row>
    <row r="750" spans="1:15" hidden="1" x14ac:dyDescent="0.25">
      <c r="A750" s="92">
        <v>748</v>
      </c>
      <c r="B750" s="47">
        <f>MONTH(dis_table[[#This Row],[Date]])</f>
        <v>7</v>
      </c>
      <c r="C750" s="4">
        <v>45132</v>
      </c>
      <c r="D750" s="4">
        <v>45134</v>
      </c>
      <c r="E750" t="s">
        <v>81</v>
      </c>
      <c r="F750">
        <v>-9.57</v>
      </c>
      <c r="G750" t="s">
        <v>27</v>
      </c>
      <c r="H750" t="s">
        <v>45</v>
      </c>
      <c r="I750" t="s">
        <v>12</v>
      </c>
      <c r="J750" t="s">
        <v>19</v>
      </c>
      <c r="K750" s="4">
        <v>45108</v>
      </c>
      <c r="L750">
        <v>2023</v>
      </c>
      <c r="M750" s="4">
        <v>45132</v>
      </c>
      <c r="N750">
        <v>478.49999999999761</v>
      </c>
      <c r="O750">
        <v>46</v>
      </c>
    </row>
    <row r="751" spans="1:15" hidden="1" x14ac:dyDescent="0.25">
      <c r="A751" s="92">
        <v>749</v>
      </c>
      <c r="B751" s="47">
        <f>MONTH(dis_table[[#This Row],[Date]])</f>
        <v>7</v>
      </c>
      <c r="C751" s="4">
        <v>45133</v>
      </c>
      <c r="D751" s="4">
        <v>45133</v>
      </c>
      <c r="E751" t="s">
        <v>81</v>
      </c>
      <c r="F751">
        <v>6.37</v>
      </c>
      <c r="G751" t="s">
        <v>16</v>
      </c>
      <c r="H751" t="s">
        <v>45</v>
      </c>
      <c r="I751" t="s">
        <v>12</v>
      </c>
      <c r="J751" t="s">
        <v>19</v>
      </c>
      <c r="K751" s="4">
        <v>45108</v>
      </c>
      <c r="L751">
        <v>2023</v>
      </c>
      <c r="M751" s="4">
        <v>45133</v>
      </c>
      <c r="N751">
        <v>484.86999999999762</v>
      </c>
      <c r="O751">
        <v>47</v>
      </c>
    </row>
    <row r="752" spans="1:15" hidden="1" x14ac:dyDescent="0.25">
      <c r="A752" s="92">
        <v>750</v>
      </c>
      <c r="B752" s="47">
        <f>MONTH(dis_table[[#This Row],[Date]])</f>
        <v>7</v>
      </c>
      <c r="C752" s="4">
        <v>45135</v>
      </c>
      <c r="D752" s="4">
        <v>45135</v>
      </c>
      <c r="E752" t="s">
        <v>987</v>
      </c>
      <c r="F752">
        <v>49.12</v>
      </c>
      <c r="G752" t="s">
        <v>34</v>
      </c>
      <c r="H752" t="s">
        <v>35</v>
      </c>
      <c r="I752" t="s">
        <v>12</v>
      </c>
      <c r="J752" t="s">
        <v>13</v>
      </c>
      <c r="K752" s="4">
        <v>45108</v>
      </c>
      <c r="L752">
        <v>2023</v>
      </c>
      <c r="M752" s="4">
        <v>45135</v>
      </c>
      <c r="N752">
        <v>533.98999999999751</v>
      </c>
      <c r="O752">
        <v>37</v>
      </c>
    </row>
    <row r="753" spans="1:15" hidden="1" x14ac:dyDescent="0.25">
      <c r="A753" s="92">
        <v>751</v>
      </c>
      <c r="B753" s="47">
        <f>MONTH(dis_table[[#This Row],[Date]])</f>
        <v>7</v>
      </c>
      <c r="C753" s="4">
        <v>45136</v>
      </c>
      <c r="D753" s="4">
        <v>45136</v>
      </c>
      <c r="E753" t="s">
        <v>988</v>
      </c>
      <c r="F753">
        <v>7.99</v>
      </c>
      <c r="G753" t="s">
        <v>69</v>
      </c>
      <c r="H753" t="s">
        <v>46</v>
      </c>
      <c r="I753" t="s">
        <v>12</v>
      </c>
      <c r="J753" t="s">
        <v>24</v>
      </c>
      <c r="K753" s="4">
        <v>45108</v>
      </c>
      <c r="L753">
        <v>2023</v>
      </c>
      <c r="M753" s="4">
        <v>45136</v>
      </c>
      <c r="N753">
        <v>541.97999999999752</v>
      </c>
      <c r="O753">
        <v>7</v>
      </c>
    </row>
    <row r="754" spans="1:15" hidden="1" x14ac:dyDescent="0.25">
      <c r="A754" s="92">
        <v>752</v>
      </c>
      <c r="B754" s="47">
        <f>MONTH(dis_table[[#This Row],[Date]])</f>
        <v>8</v>
      </c>
      <c r="C754" s="4">
        <v>45139</v>
      </c>
      <c r="D754" s="4">
        <v>45141</v>
      </c>
      <c r="E754" t="s">
        <v>83</v>
      </c>
      <c r="F754">
        <v>5</v>
      </c>
      <c r="G754" t="s">
        <v>36</v>
      </c>
      <c r="H754" t="s">
        <v>84</v>
      </c>
      <c r="I754" t="s">
        <v>18</v>
      </c>
      <c r="J754" t="s">
        <v>24</v>
      </c>
      <c r="K754" s="4">
        <v>45139</v>
      </c>
      <c r="L754">
        <v>2023</v>
      </c>
      <c r="M754" s="4">
        <v>45139</v>
      </c>
      <c r="N754">
        <v>546.97999999999752</v>
      </c>
      <c r="O754">
        <v>8</v>
      </c>
    </row>
    <row r="755" spans="1:15" hidden="1" x14ac:dyDescent="0.25">
      <c r="A755" s="92">
        <v>753</v>
      </c>
      <c r="B755" s="47">
        <f>MONTH(dis_table[[#This Row],[Date]])</f>
        <v>8</v>
      </c>
      <c r="C755" s="4">
        <v>45139</v>
      </c>
      <c r="D755" s="4">
        <v>45141</v>
      </c>
      <c r="E755" t="s">
        <v>15</v>
      </c>
      <c r="F755">
        <v>10.59</v>
      </c>
      <c r="G755" t="s">
        <v>16</v>
      </c>
      <c r="H755" t="s">
        <v>17</v>
      </c>
      <c r="I755" t="s">
        <v>18</v>
      </c>
      <c r="J755" t="s">
        <v>19</v>
      </c>
      <c r="K755" s="4">
        <v>45139</v>
      </c>
      <c r="L755">
        <v>2023</v>
      </c>
      <c r="M755" s="4">
        <v>45139</v>
      </c>
      <c r="N755">
        <v>557.56999999999755</v>
      </c>
      <c r="O755">
        <v>8</v>
      </c>
    </row>
    <row r="756" spans="1:15" hidden="1" x14ac:dyDescent="0.25">
      <c r="A756" s="92">
        <v>754</v>
      </c>
      <c r="B756" s="47">
        <f>MONTH(dis_table[[#This Row],[Date]])</f>
        <v>8</v>
      </c>
      <c r="C756" s="4">
        <v>45139</v>
      </c>
      <c r="D756" s="4">
        <v>45139</v>
      </c>
      <c r="E756" t="s">
        <v>990</v>
      </c>
      <c r="F756">
        <v>4.99</v>
      </c>
      <c r="G756" t="s">
        <v>16</v>
      </c>
      <c r="H756" t="s">
        <v>20</v>
      </c>
      <c r="I756" t="s">
        <v>18</v>
      </c>
      <c r="J756" t="s">
        <v>19</v>
      </c>
      <c r="K756" s="4">
        <v>45139</v>
      </c>
      <c r="L756">
        <v>2023</v>
      </c>
      <c r="M756" s="4">
        <v>45139</v>
      </c>
      <c r="N756">
        <v>562.55999999999756</v>
      </c>
      <c r="O756">
        <v>8</v>
      </c>
    </row>
    <row r="757" spans="1:15" hidden="1" x14ac:dyDescent="0.25">
      <c r="A757" s="92">
        <v>755</v>
      </c>
      <c r="B757" s="47">
        <f>MONTH(dis_table[[#This Row],[Date]])</f>
        <v>8</v>
      </c>
      <c r="C757" s="4">
        <v>45139</v>
      </c>
      <c r="D757" s="4">
        <v>45139</v>
      </c>
      <c r="E757" t="s">
        <v>989</v>
      </c>
      <c r="F757">
        <v>48.6</v>
      </c>
      <c r="G757" t="s">
        <v>34</v>
      </c>
      <c r="H757" t="s">
        <v>35</v>
      </c>
      <c r="I757" t="s">
        <v>12</v>
      </c>
      <c r="J757" t="s">
        <v>13</v>
      </c>
      <c r="K757" s="4">
        <v>45139</v>
      </c>
      <c r="L757">
        <v>2023</v>
      </c>
      <c r="M757" s="4">
        <v>45139</v>
      </c>
      <c r="N757">
        <v>611.15999999999758</v>
      </c>
      <c r="O757">
        <v>38</v>
      </c>
    </row>
    <row r="758" spans="1:15" hidden="1" x14ac:dyDescent="0.25">
      <c r="A758" s="92">
        <v>756</v>
      </c>
      <c r="B758" s="47">
        <f>MONTH(dis_table[[#This Row],[Date]])</f>
        <v>8</v>
      </c>
      <c r="C758" s="4">
        <v>45139</v>
      </c>
      <c r="D758" s="4">
        <v>45139</v>
      </c>
      <c r="E758" t="s">
        <v>339</v>
      </c>
      <c r="F758">
        <v>20</v>
      </c>
      <c r="G758" t="s">
        <v>16</v>
      </c>
      <c r="H758" t="s">
        <v>340</v>
      </c>
      <c r="I758" t="s">
        <v>18</v>
      </c>
      <c r="J758" t="s">
        <v>24</v>
      </c>
      <c r="K758" s="4">
        <v>45139</v>
      </c>
      <c r="L758">
        <v>2023</v>
      </c>
      <c r="M758" s="4">
        <v>45139</v>
      </c>
      <c r="N758">
        <v>631.15999999999758</v>
      </c>
      <c r="O758">
        <v>6</v>
      </c>
    </row>
    <row r="759" spans="1:15" hidden="1" x14ac:dyDescent="0.25">
      <c r="A759" s="92">
        <v>757</v>
      </c>
      <c r="B759" s="47">
        <f>MONTH(dis_table[[#This Row],[Date]])</f>
        <v>8</v>
      </c>
      <c r="C759" s="4">
        <v>45140</v>
      </c>
      <c r="D759" s="4">
        <v>45140</v>
      </c>
      <c r="E759" t="s">
        <v>991</v>
      </c>
      <c r="F759">
        <v>125.1</v>
      </c>
      <c r="G759" t="s">
        <v>36</v>
      </c>
      <c r="H759" t="s">
        <v>286</v>
      </c>
      <c r="I759" t="s">
        <v>18</v>
      </c>
      <c r="J759" t="s">
        <v>24</v>
      </c>
      <c r="K759" s="4">
        <v>45139</v>
      </c>
      <c r="L759">
        <v>2023</v>
      </c>
      <c r="M759" s="4">
        <v>45140</v>
      </c>
      <c r="N759">
        <v>756.2599999999976</v>
      </c>
      <c r="O759">
        <v>11</v>
      </c>
    </row>
    <row r="760" spans="1:15" hidden="1" x14ac:dyDescent="0.25">
      <c r="A760" s="92">
        <v>758</v>
      </c>
      <c r="B760" s="47">
        <f>MONTH(dis_table[[#This Row],[Date]])</f>
        <v>8</v>
      </c>
      <c r="C760" s="4">
        <v>45140</v>
      </c>
      <c r="D760" s="4">
        <v>45140</v>
      </c>
      <c r="E760" t="s">
        <v>992</v>
      </c>
      <c r="F760">
        <v>139</v>
      </c>
      <c r="G760" t="s">
        <v>36</v>
      </c>
      <c r="H760" t="s">
        <v>286</v>
      </c>
      <c r="I760" t="s">
        <v>18</v>
      </c>
      <c r="J760" t="s">
        <v>24</v>
      </c>
      <c r="K760" s="4">
        <v>45139</v>
      </c>
      <c r="L760">
        <v>2023</v>
      </c>
      <c r="M760" s="4">
        <v>45140</v>
      </c>
      <c r="N760">
        <v>895.2599999999976</v>
      </c>
      <c r="O760">
        <v>12</v>
      </c>
    </row>
    <row r="761" spans="1:15" hidden="1" x14ac:dyDescent="0.25">
      <c r="A761" s="92">
        <v>759</v>
      </c>
      <c r="B761" s="47">
        <f>MONTH(dis_table[[#This Row],[Date]])</f>
        <v>8</v>
      </c>
      <c r="C761" s="4">
        <v>45140</v>
      </c>
      <c r="D761" s="4">
        <v>45141</v>
      </c>
      <c r="E761" t="s">
        <v>43</v>
      </c>
      <c r="F761">
        <v>10</v>
      </c>
      <c r="G761" t="s">
        <v>16</v>
      </c>
      <c r="H761" t="s">
        <v>44</v>
      </c>
      <c r="I761" t="s">
        <v>18</v>
      </c>
      <c r="J761" t="s">
        <v>19</v>
      </c>
      <c r="K761" s="4">
        <v>45139</v>
      </c>
      <c r="L761">
        <v>2023</v>
      </c>
      <c r="M761" s="4">
        <v>45140</v>
      </c>
      <c r="N761">
        <v>905.2599999999976</v>
      </c>
      <c r="O761">
        <v>8</v>
      </c>
    </row>
    <row r="762" spans="1:15" hidden="1" x14ac:dyDescent="0.25">
      <c r="A762" s="92">
        <v>760</v>
      </c>
      <c r="B762" s="47">
        <f>MONTH(dis_table[[#This Row],[Date]])</f>
        <v>8</v>
      </c>
      <c r="C762" s="4">
        <v>45141</v>
      </c>
      <c r="D762" s="4">
        <v>45141</v>
      </c>
      <c r="E762" t="s">
        <v>143</v>
      </c>
      <c r="F762">
        <v>-24.69</v>
      </c>
      <c r="G762" t="s">
        <v>32</v>
      </c>
      <c r="H762" t="s">
        <v>1027</v>
      </c>
      <c r="I762" t="s">
        <v>12</v>
      </c>
      <c r="J762" t="s">
        <v>122</v>
      </c>
      <c r="K762" s="4">
        <v>45139</v>
      </c>
      <c r="L762">
        <v>2023</v>
      </c>
      <c r="M762" s="4">
        <v>45141</v>
      </c>
      <c r="N762">
        <v>880.56999999999755</v>
      </c>
      <c r="O762">
        <v>8</v>
      </c>
    </row>
    <row r="763" spans="1:15" hidden="1" x14ac:dyDescent="0.25">
      <c r="A763" s="92">
        <v>761</v>
      </c>
      <c r="B763" s="47">
        <f>MONTH(dis_table[[#This Row],[Date]])</f>
        <v>8</v>
      </c>
      <c r="C763" s="4">
        <v>45141</v>
      </c>
      <c r="D763" s="4">
        <v>45141</v>
      </c>
      <c r="E763" t="s">
        <v>81</v>
      </c>
      <c r="F763">
        <v>7.43</v>
      </c>
      <c r="G763" t="s">
        <v>16</v>
      </c>
      <c r="H763" t="s">
        <v>45</v>
      </c>
      <c r="I763" t="s">
        <v>12</v>
      </c>
      <c r="J763" t="s">
        <v>19</v>
      </c>
      <c r="K763" s="4">
        <v>45139</v>
      </c>
      <c r="L763">
        <v>2023</v>
      </c>
      <c r="M763" s="4">
        <v>45141</v>
      </c>
      <c r="N763">
        <v>887.9999999999975</v>
      </c>
      <c r="O763">
        <v>48</v>
      </c>
    </row>
    <row r="764" spans="1:15" hidden="1" x14ac:dyDescent="0.25">
      <c r="A764" s="92">
        <v>762</v>
      </c>
      <c r="B764" s="47">
        <f>MONTH(dis_table[[#This Row],[Date]])</f>
        <v>8</v>
      </c>
      <c r="C764" s="4">
        <v>45141</v>
      </c>
      <c r="D764" s="4">
        <v>45141</v>
      </c>
      <c r="E764" t="s">
        <v>993</v>
      </c>
      <c r="F764">
        <v>18.73</v>
      </c>
      <c r="G764" t="s">
        <v>36</v>
      </c>
      <c r="H764" t="s">
        <v>14</v>
      </c>
      <c r="I764" t="s">
        <v>12</v>
      </c>
      <c r="J764" t="s">
        <v>13</v>
      </c>
      <c r="K764" s="4">
        <v>45139</v>
      </c>
      <c r="L764">
        <v>2023</v>
      </c>
      <c r="M764" s="4">
        <v>45141</v>
      </c>
      <c r="N764">
        <v>906.72999999999752</v>
      </c>
      <c r="O764">
        <v>78</v>
      </c>
    </row>
    <row r="765" spans="1:15" hidden="1" x14ac:dyDescent="0.25">
      <c r="A765" s="92">
        <v>763</v>
      </c>
      <c r="B765" s="47">
        <f>MONTH(dis_table[[#This Row],[Date]])</f>
        <v>8</v>
      </c>
      <c r="C765" s="4">
        <v>45143</v>
      </c>
      <c r="D765" s="4">
        <v>45143</v>
      </c>
      <c r="E765" t="s">
        <v>994</v>
      </c>
      <c r="F765">
        <v>49</v>
      </c>
      <c r="G765" t="s">
        <v>69</v>
      </c>
      <c r="H765" t="s">
        <v>145</v>
      </c>
      <c r="I765" t="s">
        <v>18</v>
      </c>
      <c r="J765" t="s">
        <v>24</v>
      </c>
      <c r="K765" s="4">
        <v>45139</v>
      </c>
      <c r="L765">
        <v>2023</v>
      </c>
      <c r="M765" s="4">
        <v>45143</v>
      </c>
      <c r="N765">
        <v>955.72999999999752</v>
      </c>
      <c r="O765">
        <v>8</v>
      </c>
    </row>
    <row r="766" spans="1:15" hidden="1" x14ac:dyDescent="0.25">
      <c r="A766" s="92">
        <v>764</v>
      </c>
      <c r="B766" s="47">
        <f>MONTH(dis_table[[#This Row],[Date]])</f>
        <v>8</v>
      </c>
      <c r="C766" s="4">
        <v>45143</v>
      </c>
      <c r="D766" s="4">
        <v>45143</v>
      </c>
      <c r="E766" t="s">
        <v>995</v>
      </c>
      <c r="F766">
        <v>19.36</v>
      </c>
      <c r="G766" t="s">
        <v>9</v>
      </c>
      <c r="H766" t="s">
        <v>65</v>
      </c>
      <c r="I766" t="s">
        <v>12</v>
      </c>
      <c r="J766" t="s">
        <v>19</v>
      </c>
      <c r="K766" s="4">
        <v>45139</v>
      </c>
      <c r="L766">
        <v>2023</v>
      </c>
      <c r="M766" s="4">
        <v>45143</v>
      </c>
      <c r="N766">
        <v>975.08999999999753</v>
      </c>
      <c r="O766">
        <v>2</v>
      </c>
    </row>
    <row r="767" spans="1:15" hidden="1" x14ac:dyDescent="0.25">
      <c r="A767" s="92">
        <v>765</v>
      </c>
      <c r="B767" s="47">
        <f>MONTH(dis_table[[#This Row],[Date]])</f>
        <v>8</v>
      </c>
      <c r="C767" s="4">
        <v>45143</v>
      </c>
      <c r="D767" s="4">
        <v>45143</v>
      </c>
      <c r="E767" t="s">
        <v>995</v>
      </c>
      <c r="F767">
        <v>39.119999999999997</v>
      </c>
      <c r="G767" t="s">
        <v>9</v>
      </c>
      <c r="H767" t="s">
        <v>65</v>
      </c>
      <c r="I767" t="s">
        <v>12</v>
      </c>
      <c r="J767" t="s">
        <v>19</v>
      </c>
      <c r="K767" s="4">
        <v>45139</v>
      </c>
      <c r="L767">
        <v>2023</v>
      </c>
      <c r="M767" s="4">
        <v>45143</v>
      </c>
      <c r="N767">
        <v>1014.209999999998</v>
      </c>
      <c r="O767">
        <v>3</v>
      </c>
    </row>
    <row r="768" spans="1:15" hidden="1" x14ac:dyDescent="0.25">
      <c r="A768" s="92">
        <v>766</v>
      </c>
      <c r="B768" s="47">
        <f>MONTH(dis_table[[#This Row],[Date]])</f>
        <v>8</v>
      </c>
      <c r="C768" s="4">
        <v>45144</v>
      </c>
      <c r="D768" s="4">
        <v>45144</v>
      </c>
      <c r="E768" t="s">
        <v>85</v>
      </c>
      <c r="F768">
        <v>36.72</v>
      </c>
      <c r="G768" t="s">
        <v>34</v>
      </c>
      <c r="H768" t="s">
        <v>35</v>
      </c>
      <c r="I768" t="s">
        <v>12</v>
      </c>
      <c r="J768" t="s">
        <v>13</v>
      </c>
      <c r="K768" s="4">
        <v>45139</v>
      </c>
      <c r="L768">
        <v>2023</v>
      </c>
      <c r="M768" s="4">
        <v>45144</v>
      </c>
      <c r="N768">
        <v>1050.929999999998</v>
      </c>
      <c r="O768">
        <v>39</v>
      </c>
    </row>
    <row r="769" spans="1:15" hidden="1" x14ac:dyDescent="0.25">
      <c r="A769" s="92">
        <v>767</v>
      </c>
      <c r="B769" s="47">
        <f>MONTH(dis_table[[#This Row],[Date]])</f>
        <v>8</v>
      </c>
      <c r="C769" s="4">
        <v>45144</v>
      </c>
      <c r="D769" s="4">
        <v>45144</v>
      </c>
      <c r="E769" t="s">
        <v>996</v>
      </c>
      <c r="F769">
        <v>2.5</v>
      </c>
      <c r="G769" t="s">
        <v>34</v>
      </c>
      <c r="H769" t="s">
        <v>35</v>
      </c>
      <c r="I769" t="s">
        <v>12</v>
      </c>
      <c r="J769" t="s">
        <v>13</v>
      </c>
      <c r="K769" s="4">
        <v>45139</v>
      </c>
      <c r="L769">
        <v>2023</v>
      </c>
      <c r="M769" s="4">
        <v>45144</v>
      </c>
      <c r="N769">
        <v>1053.429999999998</v>
      </c>
      <c r="O769">
        <v>40</v>
      </c>
    </row>
    <row r="770" spans="1:15" hidden="1" x14ac:dyDescent="0.25">
      <c r="A770" s="92">
        <v>768</v>
      </c>
      <c r="B770" s="47">
        <f>MONTH(dis_table[[#This Row],[Date]])</f>
        <v>8</v>
      </c>
      <c r="C770" s="4">
        <v>45144</v>
      </c>
      <c r="D770" s="4">
        <v>45144</v>
      </c>
      <c r="E770" t="s">
        <v>997</v>
      </c>
      <c r="F770">
        <v>27.19</v>
      </c>
      <c r="G770" t="s">
        <v>16</v>
      </c>
      <c r="H770" t="s">
        <v>14</v>
      </c>
      <c r="I770" t="s">
        <v>12</v>
      </c>
      <c r="J770" t="s">
        <v>13</v>
      </c>
      <c r="K770" s="4">
        <v>45139</v>
      </c>
      <c r="L770">
        <v>2023</v>
      </c>
      <c r="M770" s="4">
        <v>45144</v>
      </c>
      <c r="N770">
        <v>1080.6199999999981</v>
      </c>
      <c r="O770">
        <v>79</v>
      </c>
    </row>
    <row r="771" spans="1:15" hidden="1" x14ac:dyDescent="0.25">
      <c r="A771" s="92">
        <v>769</v>
      </c>
      <c r="B771" s="47">
        <f>MONTH(dis_table[[#This Row],[Date]])</f>
        <v>8</v>
      </c>
      <c r="C771" s="4">
        <v>45144</v>
      </c>
      <c r="D771" s="4">
        <v>45144</v>
      </c>
      <c r="E771" t="s">
        <v>998</v>
      </c>
      <c r="F771">
        <v>4</v>
      </c>
      <c r="G771" t="s">
        <v>16</v>
      </c>
      <c r="H771" t="s">
        <v>35</v>
      </c>
      <c r="I771" t="s">
        <v>12</v>
      </c>
      <c r="J771" t="s">
        <v>13</v>
      </c>
      <c r="K771" s="4">
        <v>45139</v>
      </c>
      <c r="L771">
        <v>2023</v>
      </c>
      <c r="M771" s="4">
        <v>45144</v>
      </c>
      <c r="N771">
        <v>1084.6199999999981</v>
      </c>
      <c r="O771">
        <v>41</v>
      </c>
    </row>
    <row r="772" spans="1:15" hidden="1" x14ac:dyDescent="0.25">
      <c r="A772" s="92">
        <v>770</v>
      </c>
      <c r="B772" s="47">
        <f>MONTH(dis_table[[#This Row],[Date]])</f>
        <v>8</v>
      </c>
      <c r="C772" s="4">
        <v>45145</v>
      </c>
      <c r="D772" s="4">
        <v>45145</v>
      </c>
      <c r="E772" t="s">
        <v>139</v>
      </c>
      <c r="F772">
        <v>16.12</v>
      </c>
      <c r="G772" t="s">
        <v>16</v>
      </c>
      <c r="H772" t="s">
        <v>25</v>
      </c>
      <c r="I772" t="s">
        <v>12</v>
      </c>
      <c r="J772" t="s">
        <v>24</v>
      </c>
      <c r="K772" s="4">
        <v>45139</v>
      </c>
      <c r="L772">
        <v>2023</v>
      </c>
      <c r="M772" s="4">
        <v>45145</v>
      </c>
      <c r="N772">
        <v>1100.739999999998</v>
      </c>
      <c r="O772">
        <v>20</v>
      </c>
    </row>
    <row r="773" spans="1:15" hidden="1" x14ac:dyDescent="0.25">
      <c r="A773" s="92">
        <v>771</v>
      </c>
      <c r="B773" s="47">
        <f>MONTH(dis_table[[#This Row],[Date]])</f>
        <v>8</v>
      </c>
      <c r="C773" s="4">
        <v>45145</v>
      </c>
      <c r="D773" s="4">
        <v>45145</v>
      </c>
      <c r="E773" t="s">
        <v>1000</v>
      </c>
      <c r="F773">
        <v>9.99</v>
      </c>
      <c r="G773" t="s">
        <v>16</v>
      </c>
      <c r="H773" t="s">
        <v>135</v>
      </c>
      <c r="I773" t="s">
        <v>18</v>
      </c>
      <c r="J773" t="s">
        <v>24</v>
      </c>
      <c r="K773" s="4">
        <v>45139</v>
      </c>
      <c r="L773">
        <v>2023</v>
      </c>
      <c r="M773" s="4">
        <v>45145</v>
      </c>
      <c r="N773">
        <v>1110.729999999998</v>
      </c>
      <c r="O773">
        <v>8</v>
      </c>
    </row>
    <row r="774" spans="1:15" hidden="1" x14ac:dyDescent="0.25">
      <c r="A774" s="92">
        <v>772</v>
      </c>
      <c r="B774" s="47">
        <f>MONTH(dis_table[[#This Row],[Date]])</f>
        <v>8</v>
      </c>
      <c r="C774" s="4">
        <v>45145</v>
      </c>
      <c r="D774" s="4">
        <v>45145</v>
      </c>
      <c r="E774" t="s">
        <v>999</v>
      </c>
      <c r="F774">
        <v>22.08</v>
      </c>
      <c r="G774" t="s">
        <v>16</v>
      </c>
      <c r="H774" t="s">
        <v>133</v>
      </c>
      <c r="I774" t="s">
        <v>12</v>
      </c>
      <c r="J774" t="s">
        <v>24</v>
      </c>
      <c r="K774" s="4">
        <v>45139</v>
      </c>
      <c r="L774">
        <v>2023</v>
      </c>
      <c r="M774" s="4">
        <v>45145</v>
      </c>
      <c r="N774">
        <v>1132.809999999997</v>
      </c>
      <c r="O774">
        <v>37</v>
      </c>
    </row>
    <row r="775" spans="1:15" hidden="1" x14ac:dyDescent="0.25">
      <c r="A775" s="92">
        <v>773</v>
      </c>
      <c r="B775" s="47">
        <f>MONTH(dis_table[[#This Row],[Date]])</f>
        <v>8</v>
      </c>
      <c r="C775" s="4">
        <v>45146</v>
      </c>
      <c r="D775" s="4">
        <v>45146</v>
      </c>
      <c r="E775" t="s">
        <v>1001</v>
      </c>
      <c r="F775">
        <v>48</v>
      </c>
      <c r="G775" t="s">
        <v>16</v>
      </c>
      <c r="H775" t="s">
        <v>72</v>
      </c>
      <c r="I775" t="s">
        <v>12</v>
      </c>
      <c r="J775" t="s">
        <v>24</v>
      </c>
      <c r="K775" s="4">
        <v>45139</v>
      </c>
      <c r="L775">
        <v>2023</v>
      </c>
      <c r="M775" s="4">
        <v>45146</v>
      </c>
      <c r="N775">
        <v>1180.809999999997</v>
      </c>
      <c r="O775">
        <v>11</v>
      </c>
    </row>
    <row r="776" spans="1:15" hidden="1" x14ac:dyDescent="0.25">
      <c r="A776" s="92">
        <v>774</v>
      </c>
      <c r="B776" s="47">
        <f>MONTH(dis_table[[#This Row],[Date]])</f>
        <v>8</v>
      </c>
      <c r="C776" s="4">
        <v>45146</v>
      </c>
      <c r="D776" s="4">
        <v>45146</v>
      </c>
      <c r="E776" t="s">
        <v>81</v>
      </c>
      <c r="F776">
        <v>10.62</v>
      </c>
      <c r="G776" t="s">
        <v>16</v>
      </c>
      <c r="H776" t="s">
        <v>45</v>
      </c>
      <c r="I776" t="s">
        <v>12</v>
      </c>
      <c r="J776" t="s">
        <v>19</v>
      </c>
      <c r="K776" s="4">
        <v>45139</v>
      </c>
      <c r="L776">
        <v>2023</v>
      </c>
      <c r="M776" s="4">
        <v>45146</v>
      </c>
      <c r="N776">
        <v>1191.4299999999971</v>
      </c>
      <c r="O776">
        <v>49</v>
      </c>
    </row>
    <row r="777" spans="1:15" hidden="1" x14ac:dyDescent="0.25">
      <c r="A777" s="92">
        <v>775</v>
      </c>
      <c r="B777" s="47">
        <f>MONTH(dis_table[[#This Row],[Date]])</f>
        <v>8</v>
      </c>
      <c r="C777" s="4">
        <v>45146</v>
      </c>
      <c r="D777" s="4">
        <v>45146</v>
      </c>
      <c r="E777" t="s">
        <v>26</v>
      </c>
      <c r="F777">
        <v>-1027.93</v>
      </c>
      <c r="G777" t="s">
        <v>27</v>
      </c>
      <c r="H777" t="s">
        <v>28</v>
      </c>
      <c r="I777" t="s">
        <v>12</v>
      </c>
      <c r="J777" t="s">
        <v>122</v>
      </c>
      <c r="K777" s="4">
        <v>45139</v>
      </c>
      <c r="L777">
        <v>2023</v>
      </c>
      <c r="M777" s="4">
        <v>45146</v>
      </c>
      <c r="N777">
        <v>163.4999999999973</v>
      </c>
      <c r="O777">
        <v>22</v>
      </c>
    </row>
    <row r="778" spans="1:15" hidden="1" x14ac:dyDescent="0.25">
      <c r="A778" s="92">
        <v>776</v>
      </c>
      <c r="B778" s="47">
        <f>MONTH(dis_table[[#This Row],[Date]])</f>
        <v>8</v>
      </c>
      <c r="C778" s="4">
        <v>45147</v>
      </c>
      <c r="D778" s="4">
        <v>45147</v>
      </c>
      <c r="E778" t="s">
        <v>140</v>
      </c>
      <c r="F778">
        <v>15.17</v>
      </c>
      <c r="G778" t="s">
        <v>9</v>
      </c>
      <c r="H778" t="s">
        <v>10</v>
      </c>
      <c r="I778" t="s">
        <v>12</v>
      </c>
      <c r="J778" t="s">
        <v>13</v>
      </c>
      <c r="K778" s="4">
        <v>45139</v>
      </c>
      <c r="L778">
        <v>2023</v>
      </c>
      <c r="M778" s="4">
        <v>45147</v>
      </c>
      <c r="N778">
        <v>178.66999999999729</v>
      </c>
      <c r="O778">
        <v>40</v>
      </c>
    </row>
    <row r="779" spans="1:15" hidden="1" x14ac:dyDescent="0.25">
      <c r="A779" s="92">
        <v>777</v>
      </c>
      <c r="B779" s="47">
        <f>MONTH(dis_table[[#This Row],[Date]])</f>
        <v>8</v>
      </c>
      <c r="C779" s="4">
        <v>45147</v>
      </c>
      <c r="D779" s="4">
        <v>45147</v>
      </c>
      <c r="E779" t="s">
        <v>85</v>
      </c>
      <c r="F779">
        <v>25.49</v>
      </c>
      <c r="G779" t="s">
        <v>34</v>
      </c>
      <c r="H779" t="s">
        <v>35</v>
      </c>
      <c r="I779" t="s">
        <v>12</v>
      </c>
      <c r="J779" t="s">
        <v>13</v>
      </c>
      <c r="K779" s="4">
        <v>45139</v>
      </c>
      <c r="L779">
        <v>2023</v>
      </c>
      <c r="M779" s="4">
        <v>45147</v>
      </c>
      <c r="N779">
        <v>204.1599999999973</v>
      </c>
      <c r="O779">
        <v>42</v>
      </c>
    </row>
    <row r="780" spans="1:15" hidden="1" x14ac:dyDescent="0.25">
      <c r="A780" s="92">
        <v>778</v>
      </c>
      <c r="B780" s="47">
        <f>MONTH(dis_table[[#This Row],[Date]])</f>
        <v>8</v>
      </c>
      <c r="C780" s="4">
        <v>45148</v>
      </c>
      <c r="D780" s="4">
        <v>45148</v>
      </c>
      <c r="E780" t="s">
        <v>137</v>
      </c>
      <c r="F780">
        <v>28.32</v>
      </c>
      <c r="G780" t="s">
        <v>29</v>
      </c>
      <c r="H780" t="s">
        <v>30</v>
      </c>
      <c r="I780" t="s">
        <v>12</v>
      </c>
      <c r="J780" t="s">
        <v>31</v>
      </c>
      <c r="K780" s="4">
        <v>45139</v>
      </c>
      <c r="L780">
        <v>2023</v>
      </c>
      <c r="M780" s="4">
        <v>45148</v>
      </c>
      <c r="N780">
        <v>232.47999999999729</v>
      </c>
      <c r="O780">
        <v>12</v>
      </c>
    </row>
    <row r="781" spans="1:15" hidden="1" x14ac:dyDescent="0.25">
      <c r="A781" s="92">
        <v>779</v>
      </c>
      <c r="B781" s="47">
        <f>MONTH(dis_table[[#This Row],[Date]])</f>
        <v>8</v>
      </c>
      <c r="C781" s="4">
        <v>45148</v>
      </c>
      <c r="D781" s="4">
        <v>45148</v>
      </c>
      <c r="E781" t="s">
        <v>1003</v>
      </c>
      <c r="F781">
        <v>48.34</v>
      </c>
      <c r="G781" t="s">
        <v>16</v>
      </c>
      <c r="H781" t="s">
        <v>1004</v>
      </c>
      <c r="I781" t="s">
        <v>12</v>
      </c>
      <c r="J781" t="s">
        <v>53</v>
      </c>
      <c r="K781" s="4">
        <v>45139</v>
      </c>
      <c r="L781">
        <v>2023</v>
      </c>
      <c r="M781" s="4">
        <v>45148</v>
      </c>
      <c r="N781">
        <v>280.81999999999732</v>
      </c>
      <c r="O781">
        <v>1</v>
      </c>
    </row>
    <row r="782" spans="1:15" hidden="1" x14ac:dyDescent="0.25">
      <c r="A782" s="92">
        <v>780</v>
      </c>
      <c r="B782" s="47">
        <f>MONTH(dis_table[[#This Row],[Date]])</f>
        <v>8</v>
      </c>
      <c r="C782" s="4">
        <v>45148</v>
      </c>
      <c r="D782" s="4">
        <v>45148</v>
      </c>
      <c r="E782" t="s">
        <v>1002</v>
      </c>
      <c r="F782">
        <v>82.55</v>
      </c>
      <c r="G782" t="s">
        <v>9</v>
      </c>
      <c r="H782" t="s">
        <v>14</v>
      </c>
      <c r="I782" t="s">
        <v>12</v>
      </c>
      <c r="J782" t="s">
        <v>13</v>
      </c>
      <c r="K782" s="4">
        <v>45139</v>
      </c>
      <c r="L782">
        <v>2023</v>
      </c>
      <c r="M782" s="4">
        <v>45148</v>
      </c>
      <c r="N782">
        <v>363.36999999999728</v>
      </c>
      <c r="O782">
        <v>80</v>
      </c>
    </row>
    <row r="783" spans="1:15" hidden="1" x14ac:dyDescent="0.25">
      <c r="A783" s="92">
        <v>781</v>
      </c>
      <c r="B783" s="47">
        <f>MONTH(dis_table[[#This Row],[Date]])</f>
        <v>8</v>
      </c>
      <c r="C783" s="4">
        <v>45149</v>
      </c>
      <c r="D783" s="4">
        <v>45149</v>
      </c>
      <c r="E783" t="s">
        <v>1005</v>
      </c>
      <c r="F783">
        <v>35.79</v>
      </c>
      <c r="G783" t="s">
        <v>9</v>
      </c>
      <c r="H783" t="s">
        <v>14</v>
      </c>
      <c r="I783" t="s">
        <v>12</v>
      </c>
      <c r="J783" t="s">
        <v>13</v>
      </c>
      <c r="K783" s="4">
        <v>45139</v>
      </c>
      <c r="L783">
        <v>2023</v>
      </c>
      <c r="M783" s="4">
        <v>45149</v>
      </c>
      <c r="N783">
        <v>399.1599999999973</v>
      </c>
      <c r="O783">
        <v>81</v>
      </c>
    </row>
    <row r="784" spans="1:15" hidden="1" x14ac:dyDescent="0.25">
      <c r="A784" s="92">
        <v>782</v>
      </c>
      <c r="B784" s="47">
        <f>MONTH(dis_table[[#This Row],[Date]])</f>
        <v>8</v>
      </c>
      <c r="C784" s="4">
        <v>45149</v>
      </c>
      <c r="D784" s="4">
        <v>45149</v>
      </c>
      <c r="E784" t="s">
        <v>1006</v>
      </c>
      <c r="F784">
        <v>19</v>
      </c>
      <c r="G784" t="s">
        <v>16</v>
      </c>
      <c r="H784" t="s">
        <v>72</v>
      </c>
      <c r="I784" t="s">
        <v>12</v>
      </c>
      <c r="J784" t="s">
        <v>24</v>
      </c>
      <c r="K784" s="4">
        <v>45139</v>
      </c>
      <c r="L784">
        <v>2023</v>
      </c>
      <c r="M784" s="4">
        <v>45149</v>
      </c>
      <c r="N784">
        <v>418.1599999999973</v>
      </c>
      <c r="O784">
        <v>12</v>
      </c>
    </row>
    <row r="785" spans="1:15" hidden="1" x14ac:dyDescent="0.25">
      <c r="A785" s="92">
        <v>783</v>
      </c>
      <c r="B785" s="47">
        <f>MONTH(dis_table[[#This Row],[Date]])</f>
        <v>8</v>
      </c>
      <c r="C785" s="4">
        <v>45149</v>
      </c>
      <c r="D785" s="4">
        <v>45149</v>
      </c>
      <c r="E785" t="s">
        <v>1007</v>
      </c>
      <c r="F785">
        <v>34.53</v>
      </c>
      <c r="G785" t="s">
        <v>9</v>
      </c>
      <c r="H785" t="s">
        <v>10</v>
      </c>
      <c r="I785" t="s">
        <v>12</v>
      </c>
      <c r="J785" t="s">
        <v>13</v>
      </c>
      <c r="K785" s="4">
        <v>45139</v>
      </c>
      <c r="L785">
        <v>2023</v>
      </c>
      <c r="M785" s="4">
        <v>45149</v>
      </c>
      <c r="N785">
        <v>452.68999999999733</v>
      </c>
      <c r="O785">
        <v>41</v>
      </c>
    </row>
    <row r="786" spans="1:15" hidden="1" x14ac:dyDescent="0.25">
      <c r="A786" s="92">
        <v>784</v>
      </c>
      <c r="B786" s="47">
        <f>MONTH(dis_table[[#This Row],[Date]])</f>
        <v>8</v>
      </c>
      <c r="C786" s="4">
        <v>45149</v>
      </c>
      <c r="D786" s="4">
        <v>45149</v>
      </c>
      <c r="E786" t="s">
        <v>621</v>
      </c>
      <c r="F786">
        <v>10.95</v>
      </c>
      <c r="G786" t="s">
        <v>22</v>
      </c>
      <c r="H786" t="s">
        <v>42</v>
      </c>
      <c r="I786" t="s">
        <v>12</v>
      </c>
      <c r="J786" t="s">
        <v>31</v>
      </c>
      <c r="K786" s="4">
        <v>45139</v>
      </c>
      <c r="L786">
        <v>2023</v>
      </c>
      <c r="M786" s="4">
        <v>45149</v>
      </c>
      <c r="N786">
        <v>463.63999999999731</v>
      </c>
      <c r="O786">
        <v>72</v>
      </c>
    </row>
    <row r="787" spans="1:15" hidden="1" x14ac:dyDescent="0.25">
      <c r="A787" s="92">
        <v>785</v>
      </c>
      <c r="B787" s="47">
        <f>MONTH(dis_table[[#This Row],[Date]])</f>
        <v>8</v>
      </c>
      <c r="C787" s="4">
        <v>45150</v>
      </c>
      <c r="D787" s="4">
        <v>45150</v>
      </c>
      <c r="E787" t="s">
        <v>70</v>
      </c>
      <c r="F787">
        <v>10.99</v>
      </c>
      <c r="G787" t="s">
        <v>22</v>
      </c>
      <c r="H787" t="s">
        <v>42</v>
      </c>
      <c r="I787" t="s">
        <v>12</v>
      </c>
      <c r="J787" t="s">
        <v>31</v>
      </c>
      <c r="K787" s="4">
        <v>45139</v>
      </c>
      <c r="L787">
        <v>2023</v>
      </c>
      <c r="M787" s="4">
        <v>45150</v>
      </c>
      <c r="N787">
        <v>474.62999999999732</v>
      </c>
      <c r="O787">
        <v>73</v>
      </c>
    </row>
    <row r="788" spans="1:15" hidden="1" x14ac:dyDescent="0.25">
      <c r="A788" s="92">
        <v>786</v>
      </c>
      <c r="B788" s="47">
        <f>MONTH(dis_table[[#This Row],[Date]])</f>
        <v>8</v>
      </c>
      <c r="C788" s="4">
        <v>45150</v>
      </c>
      <c r="D788" s="4">
        <v>45150</v>
      </c>
      <c r="E788" t="s">
        <v>621</v>
      </c>
      <c r="F788">
        <v>9.93</v>
      </c>
      <c r="G788" t="s">
        <v>22</v>
      </c>
      <c r="H788" t="s">
        <v>42</v>
      </c>
      <c r="I788" t="s">
        <v>12</v>
      </c>
      <c r="J788" t="s">
        <v>31</v>
      </c>
      <c r="K788" s="4">
        <v>45139</v>
      </c>
      <c r="L788">
        <v>2023</v>
      </c>
      <c r="M788" s="4">
        <v>45150</v>
      </c>
      <c r="N788">
        <v>484.55999999999727</v>
      </c>
      <c r="O788">
        <v>74</v>
      </c>
    </row>
    <row r="789" spans="1:15" hidden="1" x14ac:dyDescent="0.25">
      <c r="A789" s="92">
        <v>787</v>
      </c>
      <c r="B789" s="47">
        <f>MONTH(dis_table[[#This Row],[Date]])</f>
        <v>8</v>
      </c>
      <c r="C789" s="4">
        <v>45151</v>
      </c>
      <c r="D789" s="4">
        <v>45151</v>
      </c>
      <c r="E789" t="s">
        <v>70</v>
      </c>
      <c r="F789">
        <v>28.97</v>
      </c>
      <c r="G789" t="s">
        <v>22</v>
      </c>
      <c r="H789" t="s">
        <v>42</v>
      </c>
      <c r="I789" t="s">
        <v>12</v>
      </c>
      <c r="J789" t="s">
        <v>31</v>
      </c>
      <c r="K789" s="4">
        <v>45139</v>
      </c>
      <c r="L789">
        <v>2023</v>
      </c>
      <c r="M789" s="4">
        <v>45151</v>
      </c>
      <c r="N789">
        <v>513.52999999999736</v>
      </c>
      <c r="O789">
        <v>75</v>
      </c>
    </row>
    <row r="790" spans="1:15" hidden="1" x14ac:dyDescent="0.25">
      <c r="A790" s="92">
        <v>788</v>
      </c>
      <c r="B790" s="47">
        <f>MONTH(dis_table[[#This Row],[Date]])</f>
        <v>8</v>
      </c>
      <c r="C790" s="4">
        <v>45151</v>
      </c>
      <c r="D790" s="4">
        <v>45151</v>
      </c>
      <c r="E790" t="s">
        <v>70</v>
      </c>
      <c r="F790">
        <v>21.91</v>
      </c>
      <c r="G790" t="s">
        <v>22</v>
      </c>
      <c r="H790" t="s">
        <v>42</v>
      </c>
      <c r="I790" t="s">
        <v>12</v>
      </c>
      <c r="J790" t="s">
        <v>31</v>
      </c>
      <c r="K790" s="4">
        <v>45139</v>
      </c>
      <c r="L790">
        <v>2023</v>
      </c>
      <c r="M790" s="4">
        <v>45151</v>
      </c>
      <c r="N790">
        <v>535.43999999999733</v>
      </c>
      <c r="O790">
        <v>76</v>
      </c>
    </row>
    <row r="791" spans="1:15" hidden="1" x14ac:dyDescent="0.25">
      <c r="A791" s="92">
        <v>789</v>
      </c>
      <c r="B791" s="47">
        <f>MONTH(dis_table[[#This Row],[Date]])</f>
        <v>8</v>
      </c>
      <c r="C791" s="4">
        <v>45151</v>
      </c>
      <c r="D791" s="4">
        <v>45151</v>
      </c>
      <c r="E791" t="s">
        <v>1012</v>
      </c>
      <c r="F791">
        <v>50.31</v>
      </c>
      <c r="G791" t="s">
        <v>9</v>
      </c>
      <c r="H791" t="s">
        <v>14</v>
      </c>
      <c r="I791" t="s">
        <v>12</v>
      </c>
      <c r="J791" t="s">
        <v>13</v>
      </c>
      <c r="K791" s="4">
        <v>45139</v>
      </c>
      <c r="L791">
        <v>2023</v>
      </c>
      <c r="M791" s="4">
        <v>45151</v>
      </c>
      <c r="N791">
        <v>585.74999999999727</v>
      </c>
      <c r="O791">
        <v>82</v>
      </c>
    </row>
    <row r="792" spans="1:15" hidden="1" x14ac:dyDescent="0.25">
      <c r="A792" s="92">
        <v>790</v>
      </c>
      <c r="B792" s="47">
        <f>MONTH(dis_table[[#This Row],[Date]])</f>
        <v>8</v>
      </c>
      <c r="C792" s="4">
        <v>45151</v>
      </c>
      <c r="D792" s="4">
        <v>45151</v>
      </c>
      <c r="E792" t="s">
        <v>1009</v>
      </c>
      <c r="F792">
        <v>76.64</v>
      </c>
      <c r="G792" t="s">
        <v>16</v>
      </c>
      <c r="H792" t="s">
        <v>21</v>
      </c>
      <c r="I792" t="s">
        <v>12</v>
      </c>
      <c r="J792" t="s">
        <v>24</v>
      </c>
      <c r="K792" s="4">
        <v>45139</v>
      </c>
      <c r="L792">
        <v>2023</v>
      </c>
      <c r="M792" s="4">
        <v>45151</v>
      </c>
      <c r="N792">
        <v>662.38999999999726</v>
      </c>
      <c r="O792">
        <v>38</v>
      </c>
    </row>
    <row r="793" spans="1:15" hidden="1" x14ac:dyDescent="0.25">
      <c r="A793" s="92">
        <v>791</v>
      </c>
      <c r="B793" s="47">
        <f>MONTH(dis_table[[#This Row],[Date]])</f>
        <v>8</v>
      </c>
      <c r="C793" s="4">
        <v>45151</v>
      </c>
      <c r="D793" s="4">
        <v>45151</v>
      </c>
      <c r="E793" t="s">
        <v>1008</v>
      </c>
      <c r="F793">
        <v>20.6</v>
      </c>
      <c r="G793" t="s">
        <v>16</v>
      </c>
      <c r="H793" t="s">
        <v>21</v>
      </c>
      <c r="I793" t="s">
        <v>12</v>
      </c>
      <c r="J793" t="s">
        <v>24</v>
      </c>
      <c r="K793" s="4">
        <v>45139</v>
      </c>
      <c r="L793">
        <v>2023</v>
      </c>
      <c r="M793" s="4">
        <v>45151</v>
      </c>
      <c r="N793">
        <v>682.98999999999728</v>
      </c>
      <c r="O793">
        <v>39</v>
      </c>
    </row>
    <row r="794" spans="1:15" hidden="1" x14ac:dyDescent="0.25">
      <c r="A794" s="92">
        <v>792</v>
      </c>
      <c r="B794" s="47">
        <f>MONTH(dis_table[[#This Row],[Date]])</f>
        <v>8</v>
      </c>
      <c r="C794" s="4">
        <v>45151</v>
      </c>
      <c r="D794" s="4">
        <v>45151</v>
      </c>
      <c r="E794" t="s">
        <v>1010</v>
      </c>
      <c r="F794">
        <v>41.82</v>
      </c>
      <c r="G794" t="s">
        <v>16</v>
      </c>
      <c r="H794" t="s">
        <v>1011</v>
      </c>
      <c r="I794" t="s">
        <v>12</v>
      </c>
      <c r="J794" t="s">
        <v>19</v>
      </c>
      <c r="K794" s="4">
        <v>45139</v>
      </c>
      <c r="L794">
        <v>2023</v>
      </c>
      <c r="M794" s="4">
        <v>45151</v>
      </c>
      <c r="N794">
        <v>724.80999999999733</v>
      </c>
      <c r="O794">
        <v>1</v>
      </c>
    </row>
    <row r="795" spans="1:15" hidden="1" x14ac:dyDescent="0.25">
      <c r="A795" s="92">
        <v>793</v>
      </c>
      <c r="B795" s="47">
        <f>MONTH(dis_table[[#This Row],[Date]])</f>
        <v>8</v>
      </c>
      <c r="C795" s="4">
        <v>45152</v>
      </c>
      <c r="D795" s="4">
        <v>45152</v>
      </c>
      <c r="E795" t="s">
        <v>1013</v>
      </c>
      <c r="F795">
        <v>12.49</v>
      </c>
      <c r="G795" t="s">
        <v>16</v>
      </c>
      <c r="H795" t="s">
        <v>21</v>
      </c>
      <c r="I795" t="s">
        <v>12</v>
      </c>
      <c r="J795" t="s">
        <v>24</v>
      </c>
      <c r="K795" s="4">
        <v>45139</v>
      </c>
      <c r="L795">
        <v>2023</v>
      </c>
      <c r="M795" s="4">
        <v>45152</v>
      </c>
      <c r="N795">
        <v>737.29999999999734</v>
      </c>
      <c r="O795">
        <v>40</v>
      </c>
    </row>
    <row r="796" spans="1:15" hidden="1" x14ac:dyDescent="0.25">
      <c r="A796" s="92">
        <v>794</v>
      </c>
      <c r="B796" s="47">
        <f>MONTH(dis_table[[#This Row],[Date]])</f>
        <v>8</v>
      </c>
      <c r="C796" s="4">
        <v>45152</v>
      </c>
      <c r="D796" s="4">
        <v>45152</v>
      </c>
      <c r="E796" t="s">
        <v>70</v>
      </c>
      <c r="F796">
        <v>22.95</v>
      </c>
      <c r="G796" t="s">
        <v>22</v>
      </c>
      <c r="H796" t="s">
        <v>42</v>
      </c>
      <c r="I796" t="s">
        <v>12</v>
      </c>
      <c r="J796" t="s">
        <v>31</v>
      </c>
      <c r="K796" s="4">
        <v>45139</v>
      </c>
      <c r="L796">
        <v>2023</v>
      </c>
      <c r="M796" s="4">
        <v>45152</v>
      </c>
      <c r="N796">
        <v>760.24999999999739</v>
      </c>
      <c r="O796">
        <v>77</v>
      </c>
    </row>
    <row r="797" spans="1:15" hidden="1" x14ac:dyDescent="0.25">
      <c r="A797" s="92">
        <v>795</v>
      </c>
      <c r="B797" s="47">
        <f>MONTH(dis_table[[#This Row],[Date]])</f>
        <v>8</v>
      </c>
      <c r="C797" s="4">
        <v>45152</v>
      </c>
      <c r="D797" s="4">
        <v>45152</v>
      </c>
      <c r="E797" t="s">
        <v>70</v>
      </c>
      <c r="F797">
        <v>90.34</v>
      </c>
      <c r="G797" t="s">
        <v>22</v>
      </c>
      <c r="H797" t="s">
        <v>42</v>
      </c>
      <c r="I797" t="s">
        <v>12</v>
      </c>
      <c r="J797" t="s">
        <v>31</v>
      </c>
      <c r="K797" s="4">
        <v>45139</v>
      </c>
      <c r="L797">
        <v>2023</v>
      </c>
      <c r="M797" s="4">
        <v>45152</v>
      </c>
      <c r="N797">
        <v>850.58999999999742</v>
      </c>
      <c r="O797">
        <v>78</v>
      </c>
    </row>
    <row r="798" spans="1:15" hidden="1" x14ac:dyDescent="0.25">
      <c r="A798" s="92">
        <v>796</v>
      </c>
      <c r="B798" s="47">
        <f>MONTH(dis_table[[#This Row],[Date]])</f>
        <v>8</v>
      </c>
      <c r="C798" s="4">
        <v>45153</v>
      </c>
      <c r="D798" s="4">
        <v>45153</v>
      </c>
      <c r="E798" t="s">
        <v>1014</v>
      </c>
      <c r="F798">
        <v>16.95</v>
      </c>
      <c r="G798" t="s">
        <v>16</v>
      </c>
      <c r="H798" t="s">
        <v>33</v>
      </c>
      <c r="I798" t="s">
        <v>18</v>
      </c>
      <c r="J798" t="s">
        <v>19</v>
      </c>
      <c r="K798" s="4">
        <v>45139</v>
      </c>
      <c r="L798">
        <v>2023</v>
      </c>
      <c r="M798" s="4">
        <v>45153</v>
      </c>
      <c r="N798">
        <v>867.53999999999746</v>
      </c>
      <c r="O798">
        <v>9</v>
      </c>
    </row>
    <row r="799" spans="1:15" hidden="1" x14ac:dyDescent="0.25">
      <c r="A799" s="92">
        <v>797</v>
      </c>
      <c r="B799" s="47">
        <f>MONTH(dis_table[[#This Row],[Date]])</f>
        <v>8</v>
      </c>
      <c r="C799" s="4">
        <v>45153</v>
      </c>
      <c r="D799" s="4">
        <v>45153</v>
      </c>
      <c r="E799" t="s">
        <v>1015</v>
      </c>
      <c r="F799">
        <v>2019.8</v>
      </c>
      <c r="G799" t="s">
        <v>29</v>
      </c>
      <c r="H799" t="s">
        <v>49</v>
      </c>
      <c r="I799" t="s">
        <v>12</v>
      </c>
      <c r="J799" t="s">
        <v>40</v>
      </c>
      <c r="K799" s="4">
        <v>45139</v>
      </c>
      <c r="L799">
        <v>2023</v>
      </c>
      <c r="M799" s="4">
        <v>45153</v>
      </c>
      <c r="N799">
        <v>2887.339999999997</v>
      </c>
      <c r="O799">
        <v>11</v>
      </c>
    </row>
    <row r="800" spans="1:15" hidden="1" x14ac:dyDescent="0.25">
      <c r="A800" s="92">
        <v>798</v>
      </c>
      <c r="B800" s="47">
        <f>MONTH(dis_table[[#This Row],[Date]])</f>
        <v>8</v>
      </c>
      <c r="C800" s="4">
        <v>45153</v>
      </c>
      <c r="D800" s="4">
        <v>45153</v>
      </c>
      <c r="E800" t="s">
        <v>50</v>
      </c>
      <c r="F800">
        <v>90.83</v>
      </c>
      <c r="G800" t="s">
        <v>16</v>
      </c>
      <c r="H800" t="s">
        <v>51</v>
      </c>
      <c r="I800" t="s">
        <v>18</v>
      </c>
      <c r="J800" t="s">
        <v>52</v>
      </c>
      <c r="K800" s="4">
        <v>45139</v>
      </c>
      <c r="L800">
        <v>2023</v>
      </c>
      <c r="M800" s="4">
        <v>45153</v>
      </c>
      <c r="N800">
        <v>2978.1699999999969</v>
      </c>
      <c r="O800">
        <v>8</v>
      </c>
    </row>
    <row r="801" spans="1:15" hidden="1" x14ac:dyDescent="0.25">
      <c r="A801" s="92">
        <v>799</v>
      </c>
      <c r="B801" s="47">
        <f>MONTH(dis_table[[#This Row],[Date]])</f>
        <v>8</v>
      </c>
      <c r="C801" s="4">
        <v>45154</v>
      </c>
      <c r="D801" s="4">
        <v>45154</v>
      </c>
      <c r="E801" t="s">
        <v>171</v>
      </c>
      <c r="F801">
        <v>7.99</v>
      </c>
      <c r="G801" t="s">
        <v>36</v>
      </c>
      <c r="H801" t="s">
        <v>56</v>
      </c>
      <c r="I801" t="s">
        <v>18</v>
      </c>
      <c r="J801" t="s">
        <v>19</v>
      </c>
      <c r="K801" s="4">
        <v>45139</v>
      </c>
      <c r="L801">
        <v>2023</v>
      </c>
      <c r="M801" s="4">
        <v>45154</v>
      </c>
      <c r="N801">
        <v>2986.1599999999971</v>
      </c>
      <c r="O801">
        <v>8</v>
      </c>
    </row>
    <row r="802" spans="1:15" hidden="1" x14ac:dyDescent="0.25">
      <c r="A802" s="92">
        <v>800</v>
      </c>
      <c r="B802" s="47">
        <f>MONTH(dis_table[[#This Row],[Date]])</f>
        <v>8</v>
      </c>
      <c r="C802" s="4">
        <v>45154</v>
      </c>
      <c r="D802" s="4">
        <v>45154</v>
      </c>
      <c r="E802" t="s">
        <v>70</v>
      </c>
      <c r="F802">
        <v>10.99</v>
      </c>
      <c r="G802" t="s">
        <v>22</v>
      </c>
      <c r="H802" t="s">
        <v>42</v>
      </c>
      <c r="I802" t="s">
        <v>12</v>
      </c>
      <c r="J802" t="s">
        <v>31</v>
      </c>
      <c r="K802" s="4">
        <v>45139</v>
      </c>
      <c r="L802">
        <v>2023</v>
      </c>
      <c r="M802" s="4">
        <v>45154</v>
      </c>
      <c r="N802">
        <v>2997.1499999999969</v>
      </c>
      <c r="O802">
        <v>79</v>
      </c>
    </row>
    <row r="803" spans="1:15" hidden="1" x14ac:dyDescent="0.25">
      <c r="A803" s="92">
        <v>801</v>
      </c>
      <c r="B803" s="47">
        <f>MONTH(dis_table[[#This Row],[Date]])</f>
        <v>8</v>
      </c>
      <c r="C803" s="4">
        <v>45155</v>
      </c>
      <c r="D803" s="4">
        <v>45155</v>
      </c>
      <c r="E803" t="s">
        <v>85</v>
      </c>
      <c r="F803">
        <v>22.07</v>
      </c>
      <c r="G803" t="s">
        <v>34</v>
      </c>
      <c r="H803" t="s">
        <v>35</v>
      </c>
      <c r="I803" t="s">
        <v>12</v>
      </c>
      <c r="J803" t="s">
        <v>13</v>
      </c>
      <c r="K803" s="4">
        <v>45139</v>
      </c>
      <c r="L803">
        <v>2023</v>
      </c>
      <c r="M803" s="4">
        <v>45155</v>
      </c>
      <c r="N803">
        <v>3019.2199999999971</v>
      </c>
      <c r="O803">
        <v>43</v>
      </c>
    </row>
    <row r="804" spans="1:15" hidden="1" x14ac:dyDescent="0.25">
      <c r="A804" s="92">
        <v>802</v>
      </c>
      <c r="B804" s="47">
        <f>MONTH(dis_table[[#This Row],[Date]])</f>
        <v>8</v>
      </c>
      <c r="C804" s="4">
        <v>45156</v>
      </c>
      <c r="D804" s="4">
        <v>45156</v>
      </c>
      <c r="E804" t="s">
        <v>81</v>
      </c>
      <c r="F804">
        <v>9.56</v>
      </c>
      <c r="G804" t="s">
        <v>16</v>
      </c>
      <c r="H804" t="s">
        <v>45</v>
      </c>
      <c r="I804" t="s">
        <v>12</v>
      </c>
      <c r="J804" t="s">
        <v>19</v>
      </c>
      <c r="K804" s="4">
        <v>45139</v>
      </c>
      <c r="L804">
        <v>2023</v>
      </c>
      <c r="M804" s="4">
        <v>45156</v>
      </c>
      <c r="N804">
        <v>3028.779999999997</v>
      </c>
      <c r="O804">
        <v>50</v>
      </c>
    </row>
    <row r="805" spans="1:15" hidden="1" x14ac:dyDescent="0.25">
      <c r="A805" s="92">
        <v>803</v>
      </c>
      <c r="B805" s="47">
        <f>MONTH(dis_table[[#This Row],[Date]])</f>
        <v>8</v>
      </c>
      <c r="C805" s="4">
        <v>45159</v>
      </c>
      <c r="D805" s="4">
        <v>45159</v>
      </c>
      <c r="E805" t="s">
        <v>79</v>
      </c>
      <c r="F805">
        <v>59.99</v>
      </c>
      <c r="G805" t="s">
        <v>22</v>
      </c>
      <c r="H805" t="s">
        <v>80</v>
      </c>
      <c r="I805" t="s">
        <v>12</v>
      </c>
      <c r="J805" t="s">
        <v>19</v>
      </c>
      <c r="K805" s="4">
        <v>45139</v>
      </c>
      <c r="L805">
        <v>2023</v>
      </c>
      <c r="M805" s="4">
        <v>45159</v>
      </c>
      <c r="N805">
        <v>3088.7699999999968</v>
      </c>
      <c r="O805">
        <v>4</v>
      </c>
    </row>
    <row r="806" spans="1:15" hidden="1" x14ac:dyDescent="0.25">
      <c r="A806" s="92">
        <v>804</v>
      </c>
      <c r="B806" s="47">
        <f>MONTH(dis_table[[#This Row],[Date]])</f>
        <v>8</v>
      </c>
      <c r="C806" s="4">
        <v>45159</v>
      </c>
      <c r="D806" s="4">
        <v>45159</v>
      </c>
      <c r="E806" t="s">
        <v>1018</v>
      </c>
      <c r="F806">
        <v>122.7</v>
      </c>
      <c r="G806" t="s">
        <v>16</v>
      </c>
      <c r="H806" t="s">
        <v>127</v>
      </c>
      <c r="I806" t="s">
        <v>12</v>
      </c>
      <c r="J806" t="s">
        <v>19</v>
      </c>
      <c r="K806" s="4">
        <v>45139</v>
      </c>
      <c r="L806">
        <v>2023</v>
      </c>
      <c r="M806" s="4">
        <v>45159</v>
      </c>
      <c r="N806">
        <v>3211.4699999999971</v>
      </c>
      <c r="O806">
        <v>3</v>
      </c>
    </row>
    <row r="807" spans="1:15" hidden="1" x14ac:dyDescent="0.25">
      <c r="A807" s="92">
        <v>805</v>
      </c>
      <c r="B807" s="47">
        <f>MONTH(dis_table[[#This Row],[Date]])</f>
        <v>8</v>
      </c>
      <c r="C807" s="4">
        <v>45159</v>
      </c>
      <c r="D807" s="4">
        <v>45159</v>
      </c>
      <c r="E807" t="s">
        <v>1019</v>
      </c>
      <c r="F807">
        <v>26.56</v>
      </c>
      <c r="G807" t="s">
        <v>16</v>
      </c>
      <c r="H807" t="s">
        <v>133</v>
      </c>
      <c r="I807" t="s">
        <v>12</v>
      </c>
      <c r="J807" t="s">
        <v>24</v>
      </c>
      <c r="K807" s="4">
        <v>45139</v>
      </c>
      <c r="L807">
        <v>2023</v>
      </c>
      <c r="M807" s="4">
        <v>45159</v>
      </c>
      <c r="N807">
        <v>3238.029999999997</v>
      </c>
      <c r="O807">
        <v>38</v>
      </c>
    </row>
    <row r="808" spans="1:15" hidden="1" x14ac:dyDescent="0.25">
      <c r="A808" s="92">
        <v>806</v>
      </c>
      <c r="B808" s="47">
        <f>MONTH(dis_table[[#This Row],[Date]])</f>
        <v>8</v>
      </c>
      <c r="C808" s="4">
        <v>45159</v>
      </c>
      <c r="D808" s="4">
        <v>45159</v>
      </c>
      <c r="E808" t="s">
        <v>1016</v>
      </c>
      <c r="F808">
        <v>51.98</v>
      </c>
      <c r="G808" t="s">
        <v>29</v>
      </c>
      <c r="H808" t="s">
        <v>30</v>
      </c>
      <c r="I808" t="s">
        <v>12</v>
      </c>
      <c r="J808" t="s">
        <v>31</v>
      </c>
      <c r="K808" s="4">
        <v>45139</v>
      </c>
      <c r="L808">
        <v>2023</v>
      </c>
      <c r="M808" s="4">
        <v>45159</v>
      </c>
      <c r="N808">
        <v>3290.009999999997</v>
      </c>
      <c r="O808">
        <v>13</v>
      </c>
    </row>
    <row r="809" spans="1:15" hidden="1" x14ac:dyDescent="0.25">
      <c r="A809" s="92">
        <v>807</v>
      </c>
      <c r="B809" s="47">
        <f>MONTH(dis_table[[#This Row],[Date]])</f>
        <v>8</v>
      </c>
      <c r="C809" s="4">
        <v>45159</v>
      </c>
      <c r="D809" s="4">
        <v>45159</v>
      </c>
      <c r="E809" t="s">
        <v>1017</v>
      </c>
      <c r="F809">
        <v>22.08</v>
      </c>
      <c r="G809" t="s">
        <v>16</v>
      </c>
      <c r="H809" t="s">
        <v>133</v>
      </c>
      <c r="I809" t="s">
        <v>12</v>
      </c>
      <c r="J809" t="s">
        <v>24</v>
      </c>
      <c r="K809" s="4">
        <v>45139</v>
      </c>
      <c r="L809">
        <v>2023</v>
      </c>
      <c r="M809" s="4">
        <v>45159</v>
      </c>
      <c r="N809">
        <v>3312.089999999997</v>
      </c>
      <c r="O809">
        <v>39</v>
      </c>
    </row>
    <row r="810" spans="1:15" hidden="1" x14ac:dyDescent="0.25">
      <c r="A810" s="92">
        <v>808</v>
      </c>
      <c r="B810" s="47">
        <f>MONTH(dis_table[[#This Row],[Date]])</f>
        <v>8</v>
      </c>
      <c r="C810" s="4">
        <v>45160</v>
      </c>
      <c r="D810" s="4">
        <v>45160</v>
      </c>
      <c r="E810" t="s">
        <v>360</v>
      </c>
      <c r="F810">
        <v>77.099999999999994</v>
      </c>
      <c r="G810" t="s">
        <v>34</v>
      </c>
      <c r="H810" t="s">
        <v>35</v>
      </c>
      <c r="I810" t="s">
        <v>12</v>
      </c>
      <c r="J810" t="s">
        <v>13</v>
      </c>
      <c r="K810" s="4">
        <v>45139</v>
      </c>
      <c r="L810">
        <v>2023</v>
      </c>
      <c r="M810" s="4">
        <v>45160</v>
      </c>
      <c r="N810">
        <v>3389.189999999996</v>
      </c>
      <c r="O810">
        <v>44</v>
      </c>
    </row>
    <row r="811" spans="1:15" hidden="1" x14ac:dyDescent="0.25">
      <c r="A811" s="92">
        <v>809</v>
      </c>
      <c r="B811" s="47">
        <f>MONTH(dis_table[[#This Row],[Date]])</f>
        <v>8</v>
      </c>
      <c r="C811" s="4">
        <v>45162</v>
      </c>
      <c r="D811" s="4">
        <v>45162</v>
      </c>
      <c r="E811" t="s">
        <v>26</v>
      </c>
      <c r="F811">
        <v>-2000</v>
      </c>
      <c r="G811" t="s">
        <v>27</v>
      </c>
      <c r="H811" t="s">
        <v>28</v>
      </c>
      <c r="I811" t="s">
        <v>12</v>
      </c>
      <c r="J811" t="s">
        <v>122</v>
      </c>
      <c r="K811" s="4">
        <v>45139</v>
      </c>
      <c r="L811">
        <v>2023</v>
      </c>
      <c r="M811" s="4">
        <v>45162</v>
      </c>
      <c r="N811">
        <v>1389.189999999996</v>
      </c>
      <c r="O811">
        <v>23</v>
      </c>
    </row>
    <row r="812" spans="1:15" hidden="1" x14ac:dyDescent="0.25">
      <c r="A812" s="92">
        <v>810</v>
      </c>
      <c r="B812" s="47">
        <f>MONTH(dis_table[[#This Row],[Date]])</f>
        <v>8</v>
      </c>
      <c r="C812" s="4">
        <v>45162</v>
      </c>
      <c r="D812" s="4">
        <v>45162</v>
      </c>
      <c r="E812" t="s">
        <v>1020</v>
      </c>
      <c r="F812">
        <v>49.61</v>
      </c>
      <c r="G812" t="s">
        <v>9</v>
      </c>
      <c r="H812" t="s">
        <v>67</v>
      </c>
      <c r="I812" t="s">
        <v>12</v>
      </c>
      <c r="J812" t="s">
        <v>19</v>
      </c>
      <c r="K812" s="4">
        <v>45139</v>
      </c>
      <c r="L812">
        <v>2023</v>
      </c>
      <c r="M812" s="4">
        <v>45162</v>
      </c>
      <c r="N812">
        <v>1438.7999999999961</v>
      </c>
      <c r="O812">
        <v>10</v>
      </c>
    </row>
    <row r="813" spans="1:15" hidden="1" x14ac:dyDescent="0.25">
      <c r="A813" s="92">
        <v>811</v>
      </c>
      <c r="B813" s="47">
        <f>MONTH(dis_table[[#This Row],[Date]])</f>
        <v>8</v>
      </c>
      <c r="C813" s="4">
        <v>45167</v>
      </c>
      <c r="D813" s="4">
        <v>45167</v>
      </c>
      <c r="E813" t="s">
        <v>139</v>
      </c>
      <c r="F813">
        <v>34.979999999999997</v>
      </c>
      <c r="G813" t="s">
        <v>16</v>
      </c>
      <c r="H813" t="s">
        <v>25</v>
      </c>
      <c r="I813" t="s">
        <v>12</v>
      </c>
      <c r="J813" t="s">
        <v>24</v>
      </c>
      <c r="K813" s="4">
        <v>45139</v>
      </c>
      <c r="L813">
        <v>2023</v>
      </c>
      <c r="M813" s="4">
        <v>45167</v>
      </c>
      <c r="N813">
        <v>1473.7799999999961</v>
      </c>
      <c r="O813">
        <v>21</v>
      </c>
    </row>
    <row r="814" spans="1:15" hidden="1" x14ac:dyDescent="0.25">
      <c r="A814" s="92">
        <v>812</v>
      </c>
      <c r="B814" s="47">
        <f>MONTH(dis_table[[#This Row],[Date]])</f>
        <v>8</v>
      </c>
      <c r="C814" s="4">
        <v>45167</v>
      </c>
      <c r="D814" s="4">
        <v>45167</v>
      </c>
      <c r="E814" t="s">
        <v>125</v>
      </c>
      <c r="F814">
        <v>50.26</v>
      </c>
      <c r="G814" t="s">
        <v>34</v>
      </c>
      <c r="H814" t="s">
        <v>133</v>
      </c>
      <c r="I814" t="s">
        <v>12</v>
      </c>
      <c r="J814" t="s">
        <v>24</v>
      </c>
      <c r="K814" s="4">
        <v>45139</v>
      </c>
      <c r="L814">
        <v>2023</v>
      </c>
      <c r="M814" s="4">
        <v>45167</v>
      </c>
      <c r="N814">
        <v>1524.0399999999961</v>
      </c>
      <c r="O814">
        <v>40</v>
      </c>
    </row>
    <row r="815" spans="1:15" hidden="1" x14ac:dyDescent="0.25">
      <c r="A815" s="92">
        <v>813</v>
      </c>
      <c r="B815" s="47">
        <f>MONTH(dis_table[[#This Row],[Date]])</f>
        <v>8</v>
      </c>
      <c r="C815" s="4">
        <v>45167</v>
      </c>
      <c r="D815" s="4">
        <v>45167</v>
      </c>
      <c r="E815" t="s">
        <v>653</v>
      </c>
      <c r="F815">
        <v>72.88</v>
      </c>
      <c r="G815" t="s">
        <v>34</v>
      </c>
      <c r="H815" t="s">
        <v>35</v>
      </c>
      <c r="I815" t="s">
        <v>12</v>
      </c>
      <c r="J815" t="s">
        <v>13</v>
      </c>
      <c r="K815" s="4">
        <v>45139</v>
      </c>
      <c r="L815">
        <v>2023</v>
      </c>
      <c r="M815" s="4">
        <v>45167</v>
      </c>
      <c r="N815">
        <v>1596.919999999996</v>
      </c>
      <c r="O815">
        <v>45</v>
      </c>
    </row>
    <row r="816" spans="1:15" hidden="1" x14ac:dyDescent="0.25">
      <c r="A816" s="92">
        <v>814</v>
      </c>
      <c r="B816" s="47">
        <f>MONTH(dis_table[[#This Row],[Date]])</f>
        <v>8</v>
      </c>
      <c r="C816" s="4">
        <v>45167</v>
      </c>
      <c r="D816" s="4">
        <v>45167</v>
      </c>
      <c r="E816" t="s">
        <v>167</v>
      </c>
      <c r="F816">
        <v>10.85</v>
      </c>
      <c r="G816" t="s">
        <v>9</v>
      </c>
      <c r="H816" t="s">
        <v>10</v>
      </c>
      <c r="I816" t="s">
        <v>12</v>
      </c>
      <c r="J816" t="s">
        <v>13</v>
      </c>
      <c r="K816" s="4">
        <v>45139</v>
      </c>
      <c r="L816">
        <v>2023</v>
      </c>
      <c r="M816" s="4">
        <v>45167</v>
      </c>
      <c r="N816">
        <v>1607.7699999999959</v>
      </c>
      <c r="O816">
        <v>42</v>
      </c>
    </row>
    <row r="817" spans="1:15" hidden="1" x14ac:dyDescent="0.25">
      <c r="A817" s="92">
        <v>815</v>
      </c>
      <c r="B817" s="47">
        <f>MONTH(dis_table[[#This Row],[Date]])</f>
        <v>8</v>
      </c>
      <c r="C817" s="4">
        <v>45167</v>
      </c>
      <c r="D817" s="4">
        <v>45167</v>
      </c>
      <c r="E817" t="s">
        <v>1021</v>
      </c>
      <c r="F817">
        <v>39.369999999999997</v>
      </c>
      <c r="G817" t="s">
        <v>16</v>
      </c>
      <c r="H817" t="s">
        <v>127</v>
      </c>
      <c r="I817" t="s">
        <v>12</v>
      </c>
      <c r="J817" t="s">
        <v>19</v>
      </c>
      <c r="K817" s="4">
        <v>45139</v>
      </c>
      <c r="L817">
        <v>2023</v>
      </c>
      <c r="M817" s="4">
        <v>45167</v>
      </c>
      <c r="N817">
        <v>1647.139999999996</v>
      </c>
      <c r="O817">
        <v>4</v>
      </c>
    </row>
    <row r="818" spans="1:15" hidden="1" x14ac:dyDescent="0.25">
      <c r="A818" s="92">
        <v>816</v>
      </c>
      <c r="B818" s="47">
        <f>MONTH(dis_table[[#This Row],[Date]])</f>
        <v>8</v>
      </c>
      <c r="C818" s="4">
        <v>45167</v>
      </c>
      <c r="D818" s="4">
        <v>45167</v>
      </c>
      <c r="E818" t="s">
        <v>570</v>
      </c>
      <c r="F818">
        <v>185.92</v>
      </c>
      <c r="G818" t="s">
        <v>16</v>
      </c>
      <c r="H818" t="s">
        <v>127</v>
      </c>
      <c r="I818" t="s">
        <v>12</v>
      </c>
      <c r="J818" t="s">
        <v>19</v>
      </c>
      <c r="K818" s="4">
        <v>45139</v>
      </c>
      <c r="L818">
        <v>2023</v>
      </c>
      <c r="M818" s="4">
        <v>45167</v>
      </c>
      <c r="N818">
        <v>1833.0599999999961</v>
      </c>
      <c r="O818">
        <v>5</v>
      </c>
    </row>
    <row r="819" spans="1:15" hidden="1" x14ac:dyDescent="0.25">
      <c r="A819" s="92">
        <v>817</v>
      </c>
      <c r="B819" s="47">
        <f>MONTH(dis_table[[#This Row],[Date]])</f>
        <v>8</v>
      </c>
      <c r="C819" s="4">
        <v>45167</v>
      </c>
      <c r="D819" s="4">
        <v>45167</v>
      </c>
      <c r="E819" t="s">
        <v>570</v>
      </c>
      <c r="F819">
        <v>2.34</v>
      </c>
      <c r="G819" t="s">
        <v>16</v>
      </c>
      <c r="H819" t="s">
        <v>127</v>
      </c>
      <c r="I819" t="s">
        <v>12</v>
      </c>
      <c r="J819" t="s">
        <v>19</v>
      </c>
      <c r="K819" s="4">
        <v>45139</v>
      </c>
      <c r="L819">
        <v>2023</v>
      </c>
      <c r="M819" s="4">
        <v>45167</v>
      </c>
      <c r="N819">
        <v>1835.399999999996</v>
      </c>
      <c r="O819">
        <v>6</v>
      </c>
    </row>
    <row r="820" spans="1:15" hidden="1" x14ac:dyDescent="0.25">
      <c r="A820" s="92">
        <v>818</v>
      </c>
      <c r="B820" s="47">
        <f>MONTH(dis_table[[#This Row],[Date]])</f>
        <v>8</v>
      </c>
      <c r="C820" s="4">
        <v>45167</v>
      </c>
      <c r="D820" s="4">
        <v>45167</v>
      </c>
      <c r="E820" t="s">
        <v>1022</v>
      </c>
      <c r="F820">
        <v>63.26</v>
      </c>
      <c r="G820" t="s">
        <v>16</v>
      </c>
      <c r="H820" t="s">
        <v>127</v>
      </c>
      <c r="I820" t="s">
        <v>12</v>
      </c>
      <c r="J820" t="s">
        <v>19</v>
      </c>
      <c r="K820" s="4">
        <v>45139</v>
      </c>
      <c r="L820">
        <v>2023</v>
      </c>
      <c r="M820" s="4">
        <v>45167</v>
      </c>
      <c r="N820">
        <v>1898.659999999996</v>
      </c>
      <c r="O820">
        <v>7</v>
      </c>
    </row>
    <row r="821" spans="1:15" hidden="1" x14ac:dyDescent="0.25">
      <c r="A821" s="92">
        <v>819</v>
      </c>
      <c r="B821" s="47">
        <f>MONTH(dis_table[[#This Row],[Date]])</f>
        <v>9</v>
      </c>
      <c r="C821" s="4">
        <v>45170</v>
      </c>
      <c r="D821" s="4">
        <v>45172</v>
      </c>
      <c r="E821" t="s">
        <v>339</v>
      </c>
      <c r="F821">
        <v>20</v>
      </c>
      <c r="G821" t="s">
        <v>16</v>
      </c>
      <c r="H821" t="s">
        <v>340</v>
      </c>
      <c r="I821" t="s">
        <v>18</v>
      </c>
      <c r="J821" t="s">
        <v>24</v>
      </c>
      <c r="K821" s="4">
        <v>45170</v>
      </c>
      <c r="L821">
        <v>2023</v>
      </c>
      <c r="M821" s="4">
        <v>45170</v>
      </c>
      <c r="N821">
        <v>1918.659999999996</v>
      </c>
      <c r="O821">
        <v>7</v>
      </c>
    </row>
    <row r="822" spans="1:15" hidden="1" x14ac:dyDescent="0.25">
      <c r="A822" s="92">
        <v>820</v>
      </c>
      <c r="B822" s="47">
        <f>MONTH(dis_table[[#This Row],[Date]])</f>
        <v>9</v>
      </c>
      <c r="C822" s="4">
        <v>45170</v>
      </c>
      <c r="D822" s="4">
        <v>45172</v>
      </c>
      <c r="E822" t="s">
        <v>15</v>
      </c>
      <c r="F822">
        <v>10.59</v>
      </c>
      <c r="G822" t="s">
        <v>16</v>
      </c>
      <c r="H822" t="s">
        <v>17</v>
      </c>
      <c r="I822" t="s">
        <v>18</v>
      </c>
      <c r="J822" t="s">
        <v>19</v>
      </c>
      <c r="K822" s="4">
        <v>45170</v>
      </c>
      <c r="L822">
        <v>2023</v>
      </c>
      <c r="M822" s="4">
        <v>45170</v>
      </c>
      <c r="N822">
        <v>1929.2499999999959</v>
      </c>
      <c r="O822">
        <v>9</v>
      </c>
    </row>
    <row r="823" spans="1:15" hidden="1" x14ac:dyDescent="0.25">
      <c r="A823" s="92">
        <v>821</v>
      </c>
      <c r="B823" s="47">
        <f>MONTH(dis_table[[#This Row],[Date]])</f>
        <v>9</v>
      </c>
      <c r="C823" s="4">
        <v>45170</v>
      </c>
      <c r="D823" s="4">
        <v>45172</v>
      </c>
      <c r="E823" t="s">
        <v>83</v>
      </c>
      <c r="F823">
        <v>5</v>
      </c>
      <c r="G823" t="s">
        <v>36</v>
      </c>
      <c r="H823" t="s">
        <v>84</v>
      </c>
      <c r="I823" t="s">
        <v>18</v>
      </c>
      <c r="J823" t="s">
        <v>24</v>
      </c>
      <c r="K823" s="4">
        <v>45170</v>
      </c>
      <c r="L823">
        <v>2023</v>
      </c>
      <c r="M823" s="4">
        <v>45170</v>
      </c>
      <c r="N823">
        <v>1934.2499999999959</v>
      </c>
      <c r="O823">
        <v>9</v>
      </c>
    </row>
    <row r="824" spans="1:15" hidden="1" x14ac:dyDescent="0.25">
      <c r="A824" s="92">
        <v>822</v>
      </c>
      <c r="B824" s="47">
        <f>MONTH(dis_table[[#This Row],[Date]])</f>
        <v>9</v>
      </c>
      <c r="C824" s="4">
        <v>45170</v>
      </c>
      <c r="D824" s="4">
        <v>45172</v>
      </c>
      <c r="E824" t="s">
        <v>1023</v>
      </c>
      <c r="F824">
        <v>5.99</v>
      </c>
      <c r="G824" t="s">
        <v>16</v>
      </c>
      <c r="H824" t="s">
        <v>20</v>
      </c>
      <c r="I824" t="s">
        <v>18</v>
      </c>
      <c r="J824" t="s">
        <v>19</v>
      </c>
      <c r="K824" s="4">
        <v>45170</v>
      </c>
      <c r="L824">
        <v>2023</v>
      </c>
      <c r="M824" s="4">
        <v>45170</v>
      </c>
      <c r="N824">
        <v>1940.2399999999959</v>
      </c>
      <c r="O824">
        <v>9</v>
      </c>
    </row>
    <row r="825" spans="1:15" hidden="1" x14ac:dyDescent="0.25">
      <c r="A825" s="92">
        <v>823</v>
      </c>
      <c r="B825" s="47">
        <f>MONTH(dis_table[[#This Row],[Date]])</f>
        <v>9</v>
      </c>
      <c r="C825" s="4">
        <v>45171</v>
      </c>
      <c r="D825" s="4">
        <v>45172</v>
      </c>
      <c r="E825" t="s">
        <v>1024</v>
      </c>
      <c r="F825">
        <v>125.1</v>
      </c>
      <c r="G825" t="s">
        <v>36</v>
      </c>
      <c r="H825" t="s">
        <v>286</v>
      </c>
      <c r="I825" t="s">
        <v>18</v>
      </c>
      <c r="J825" t="s">
        <v>24</v>
      </c>
      <c r="K825" s="4">
        <v>45170</v>
      </c>
      <c r="L825">
        <v>2023</v>
      </c>
      <c r="M825" s="4">
        <v>45171</v>
      </c>
      <c r="N825">
        <v>2065.3399999999961</v>
      </c>
      <c r="O825">
        <v>13</v>
      </c>
    </row>
    <row r="826" spans="1:15" hidden="1" x14ac:dyDescent="0.25">
      <c r="A826" s="92">
        <v>824</v>
      </c>
      <c r="B826" s="47">
        <f>MONTH(dis_table[[#This Row],[Date]])</f>
        <v>9</v>
      </c>
      <c r="C826" s="4">
        <v>45171</v>
      </c>
      <c r="D826" s="4">
        <v>45172</v>
      </c>
      <c r="E826" t="s">
        <v>43</v>
      </c>
      <c r="F826">
        <v>10</v>
      </c>
      <c r="G826" t="s">
        <v>16</v>
      </c>
      <c r="H826" t="s">
        <v>44</v>
      </c>
      <c r="I826" t="s">
        <v>18</v>
      </c>
      <c r="J826" t="s">
        <v>19</v>
      </c>
      <c r="K826" s="4">
        <v>45170</v>
      </c>
      <c r="L826">
        <v>2023</v>
      </c>
      <c r="M826" s="4">
        <v>45171</v>
      </c>
      <c r="N826">
        <v>2075.3399999999961</v>
      </c>
      <c r="O826">
        <v>9</v>
      </c>
    </row>
    <row r="827" spans="1:15" hidden="1" x14ac:dyDescent="0.25">
      <c r="A827" s="92">
        <v>825</v>
      </c>
      <c r="B827" s="47">
        <f>MONTH(dis_table[[#This Row],[Date]])</f>
        <v>9</v>
      </c>
      <c r="C827" s="4">
        <v>45171</v>
      </c>
      <c r="D827" s="4">
        <v>45172</v>
      </c>
      <c r="E827" t="s">
        <v>1025</v>
      </c>
      <c r="F827">
        <v>139</v>
      </c>
      <c r="G827" t="s">
        <v>36</v>
      </c>
      <c r="H827" t="s">
        <v>286</v>
      </c>
      <c r="I827" t="s">
        <v>18</v>
      </c>
      <c r="J827" t="s">
        <v>24</v>
      </c>
      <c r="K827" s="4">
        <v>45170</v>
      </c>
      <c r="L827">
        <v>2023</v>
      </c>
      <c r="M827" s="4">
        <v>45171</v>
      </c>
      <c r="N827">
        <v>2214.3399999999961</v>
      </c>
      <c r="O827">
        <v>14</v>
      </c>
    </row>
    <row r="828" spans="1:15" hidden="1" x14ac:dyDescent="0.25">
      <c r="A828" s="92">
        <v>826</v>
      </c>
      <c r="B828" s="47">
        <f>MONTH(dis_table[[#This Row],[Date]])</f>
        <v>9</v>
      </c>
      <c r="C828" s="4">
        <v>45172</v>
      </c>
      <c r="D828" s="4">
        <v>45172</v>
      </c>
      <c r="E828" t="s">
        <v>1026</v>
      </c>
      <c r="F828">
        <v>31.81</v>
      </c>
      <c r="G828" t="s">
        <v>34</v>
      </c>
      <c r="H828" t="s">
        <v>14</v>
      </c>
      <c r="I828" t="s">
        <v>12</v>
      </c>
      <c r="J828" t="s">
        <v>13</v>
      </c>
      <c r="K828" s="4">
        <v>45170</v>
      </c>
      <c r="L828">
        <v>2023</v>
      </c>
      <c r="M828" s="4">
        <v>45172</v>
      </c>
      <c r="N828">
        <v>2246.149999999996</v>
      </c>
      <c r="O828">
        <v>83</v>
      </c>
    </row>
    <row r="829" spans="1:15" hidden="1" x14ac:dyDescent="0.25">
      <c r="A829" s="92">
        <v>827</v>
      </c>
      <c r="B829" s="47">
        <f>MONTH(dis_table[[#This Row],[Date]])</f>
        <v>9</v>
      </c>
      <c r="C829" s="4">
        <v>45173</v>
      </c>
      <c r="D829" s="4">
        <v>45173</v>
      </c>
      <c r="E829" t="s">
        <v>143</v>
      </c>
      <c r="F829">
        <v>-51.34</v>
      </c>
      <c r="G829" t="s">
        <v>32</v>
      </c>
      <c r="H829" t="s">
        <v>1027</v>
      </c>
      <c r="I829" t="s">
        <v>12</v>
      </c>
      <c r="J829" t="s">
        <v>122</v>
      </c>
      <c r="K829" s="4">
        <v>45170</v>
      </c>
      <c r="L829">
        <v>2023</v>
      </c>
      <c r="M829" s="4">
        <v>45173</v>
      </c>
      <c r="N829">
        <v>2194.8099999999959</v>
      </c>
      <c r="O829">
        <v>9</v>
      </c>
    </row>
    <row r="830" spans="1:15" hidden="1" x14ac:dyDescent="0.25">
      <c r="A830" s="92">
        <v>828</v>
      </c>
      <c r="B830" s="47">
        <f>MONTH(dis_table[[#This Row],[Date]])</f>
        <v>9</v>
      </c>
      <c r="C830" s="4">
        <v>45174</v>
      </c>
      <c r="D830" s="4">
        <v>45174</v>
      </c>
      <c r="E830" t="s">
        <v>1097</v>
      </c>
      <c r="F830">
        <v>22.08</v>
      </c>
      <c r="G830" t="s">
        <v>16</v>
      </c>
      <c r="H830" t="s">
        <v>133</v>
      </c>
      <c r="I830" t="s">
        <v>12</v>
      </c>
      <c r="J830" t="s">
        <v>24</v>
      </c>
      <c r="K830" s="4">
        <v>45170</v>
      </c>
      <c r="L830">
        <v>2023</v>
      </c>
      <c r="M830" s="4">
        <v>45174</v>
      </c>
      <c r="N830">
        <v>2216.8899999999958</v>
      </c>
      <c r="O830">
        <v>41</v>
      </c>
    </row>
    <row r="831" spans="1:15" hidden="1" x14ac:dyDescent="0.25">
      <c r="A831" s="92">
        <v>829</v>
      </c>
      <c r="B831" s="47">
        <f>MONTH(dis_table[[#This Row],[Date]])</f>
        <v>9</v>
      </c>
      <c r="C831" s="4">
        <v>45174</v>
      </c>
      <c r="D831" s="4">
        <v>45174</v>
      </c>
      <c r="E831" t="s">
        <v>26</v>
      </c>
      <c r="F831">
        <v>-2133.04</v>
      </c>
      <c r="G831" t="s">
        <v>27</v>
      </c>
      <c r="H831" t="s">
        <v>28</v>
      </c>
      <c r="I831" t="s">
        <v>12</v>
      </c>
      <c r="J831" t="s">
        <v>122</v>
      </c>
      <c r="K831" s="4">
        <v>45170</v>
      </c>
      <c r="L831">
        <v>2023</v>
      </c>
      <c r="M831" s="4">
        <v>45174</v>
      </c>
      <c r="N831">
        <v>83.849999999995816</v>
      </c>
      <c r="O831">
        <v>24</v>
      </c>
    </row>
    <row r="832" spans="1:15" hidden="1" x14ac:dyDescent="0.25">
      <c r="A832" s="92">
        <v>830</v>
      </c>
      <c r="B832" s="47">
        <f>MONTH(dis_table[[#This Row],[Date]])</f>
        <v>9</v>
      </c>
      <c r="C832" s="4">
        <v>45175</v>
      </c>
      <c r="D832" s="4">
        <v>45175</v>
      </c>
      <c r="E832" t="s">
        <v>1098</v>
      </c>
      <c r="F832">
        <v>10.95</v>
      </c>
      <c r="G832" t="s">
        <v>9</v>
      </c>
      <c r="H832" t="s">
        <v>10</v>
      </c>
      <c r="I832" t="s">
        <v>12</v>
      </c>
      <c r="J832" t="s">
        <v>13</v>
      </c>
      <c r="K832" s="4">
        <v>45170</v>
      </c>
      <c r="L832">
        <v>2023</v>
      </c>
      <c r="M832" s="4">
        <v>45175</v>
      </c>
      <c r="N832">
        <v>94.799999999995819</v>
      </c>
      <c r="O832">
        <v>43</v>
      </c>
    </row>
    <row r="833" spans="1:15" hidden="1" x14ac:dyDescent="0.25">
      <c r="A833" s="92">
        <v>831</v>
      </c>
      <c r="B833" s="47">
        <f>MONTH(dis_table[[#This Row],[Date]])</f>
        <v>9</v>
      </c>
      <c r="C833" s="4">
        <v>45175</v>
      </c>
      <c r="D833" s="4">
        <v>45175</v>
      </c>
      <c r="E833" t="s">
        <v>1099</v>
      </c>
      <c r="F833">
        <v>69</v>
      </c>
      <c r="G833" t="s">
        <v>36</v>
      </c>
      <c r="H833" t="s">
        <v>1100</v>
      </c>
      <c r="I833" t="s">
        <v>12</v>
      </c>
      <c r="J833" t="s">
        <v>19</v>
      </c>
      <c r="K833" s="4">
        <v>45170</v>
      </c>
      <c r="L833">
        <v>2023</v>
      </c>
      <c r="M833" s="4">
        <v>45175</v>
      </c>
      <c r="N833">
        <v>163.7999999999958</v>
      </c>
      <c r="O833">
        <v>1</v>
      </c>
    </row>
    <row r="834" spans="1:15" hidden="1" x14ac:dyDescent="0.25">
      <c r="A834" s="92">
        <v>832</v>
      </c>
      <c r="B834" s="47">
        <f>MONTH(dis_table[[#This Row],[Date]])</f>
        <v>9</v>
      </c>
      <c r="C834" s="4">
        <v>45176</v>
      </c>
      <c r="D834" s="4">
        <v>45176</v>
      </c>
      <c r="E834" t="s">
        <v>1101</v>
      </c>
      <c r="F834">
        <v>9.99</v>
      </c>
      <c r="G834" t="s">
        <v>16</v>
      </c>
      <c r="H834" t="s">
        <v>135</v>
      </c>
      <c r="I834" t="s">
        <v>18</v>
      </c>
      <c r="J834" t="s">
        <v>24</v>
      </c>
      <c r="K834" s="4">
        <v>45170</v>
      </c>
      <c r="L834">
        <v>2023</v>
      </c>
      <c r="M834" s="4">
        <v>45176</v>
      </c>
      <c r="N834">
        <v>173.78999999999581</v>
      </c>
      <c r="O834">
        <v>9</v>
      </c>
    </row>
    <row r="835" spans="1:15" hidden="1" x14ac:dyDescent="0.25">
      <c r="A835" s="92">
        <v>833</v>
      </c>
      <c r="B835" s="47">
        <f>MONTH(dis_table[[#This Row],[Date]])</f>
        <v>9</v>
      </c>
      <c r="C835" s="4">
        <v>45176</v>
      </c>
      <c r="D835" s="4">
        <v>45176</v>
      </c>
      <c r="E835" t="s">
        <v>269</v>
      </c>
      <c r="F835">
        <v>34.409999999999997</v>
      </c>
      <c r="G835" t="s">
        <v>9</v>
      </c>
      <c r="H835" t="s">
        <v>62</v>
      </c>
      <c r="I835" t="s">
        <v>12</v>
      </c>
      <c r="J835" t="s">
        <v>13</v>
      </c>
      <c r="K835" s="4">
        <v>45170</v>
      </c>
      <c r="L835">
        <v>2023</v>
      </c>
      <c r="M835" s="4">
        <v>45176</v>
      </c>
      <c r="N835">
        <v>208.19999999999581</v>
      </c>
      <c r="O835">
        <v>8</v>
      </c>
    </row>
    <row r="836" spans="1:15" hidden="1" x14ac:dyDescent="0.25">
      <c r="A836" s="92">
        <v>834</v>
      </c>
      <c r="B836" s="47">
        <f>MONTH(dis_table[[#This Row],[Date]])</f>
        <v>9</v>
      </c>
      <c r="C836" s="4">
        <v>45177</v>
      </c>
      <c r="D836" s="4">
        <v>45177</v>
      </c>
      <c r="E836" t="s">
        <v>1106</v>
      </c>
      <c r="F836">
        <v>111.63</v>
      </c>
      <c r="G836" t="s">
        <v>16</v>
      </c>
      <c r="H836" t="s">
        <v>39</v>
      </c>
      <c r="I836" t="s">
        <v>18</v>
      </c>
      <c r="J836" t="s">
        <v>40</v>
      </c>
      <c r="K836" s="4">
        <v>45170</v>
      </c>
      <c r="L836">
        <v>2023</v>
      </c>
      <c r="M836" s="4">
        <v>45177</v>
      </c>
      <c r="N836">
        <v>319.82999999999578</v>
      </c>
      <c r="O836">
        <v>8</v>
      </c>
    </row>
    <row r="837" spans="1:15" hidden="1" x14ac:dyDescent="0.25">
      <c r="A837" s="92">
        <v>835</v>
      </c>
      <c r="B837" s="47">
        <f>MONTH(dis_table[[#This Row],[Date]])</f>
        <v>9</v>
      </c>
      <c r="C837" s="4">
        <v>45177</v>
      </c>
      <c r="D837" s="4">
        <v>45177</v>
      </c>
      <c r="E837" t="s">
        <v>1105</v>
      </c>
      <c r="F837">
        <v>6.01</v>
      </c>
      <c r="G837" t="s">
        <v>60</v>
      </c>
      <c r="H837" t="s">
        <v>537</v>
      </c>
      <c r="I837" t="s">
        <v>12</v>
      </c>
      <c r="J837" t="s">
        <v>68</v>
      </c>
      <c r="K837" s="4">
        <v>45170</v>
      </c>
      <c r="L837">
        <v>2023</v>
      </c>
      <c r="M837" s="4">
        <v>45177</v>
      </c>
      <c r="N837">
        <v>325.83999999999583</v>
      </c>
      <c r="O837">
        <v>2</v>
      </c>
    </row>
    <row r="838" spans="1:15" hidden="1" x14ac:dyDescent="0.25">
      <c r="A838" s="92">
        <v>836</v>
      </c>
      <c r="B838" s="47">
        <f>MONTH(dis_table[[#This Row],[Date]])</f>
        <v>9</v>
      </c>
      <c r="C838" s="4">
        <v>45177</v>
      </c>
      <c r="D838" s="4">
        <v>45177</v>
      </c>
      <c r="E838" t="s">
        <v>1104</v>
      </c>
      <c r="F838">
        <v>185</v>
      </c>
      <c r="G838" t="s">
        <v>60</v>
      </c>
      <c r="H838" t="s">
        <v>1103</v>
      </c>
      <c r="I838" t="s">
        <v>12</v>
      </c>
      <c r="J838" t="s">
        <v>19</v>
      </c>
      <c r="K838" s="4">
        <v>45170</v>
      </c>
      <c r="L838">
        <v>2023</v>
      </c>
      <c r="M838" s="4">
        <v>45177</v>
      </c>
      <c r="N838">
        <v>510.83999999999583</v>
      </c>
      <c r="O838">
        <v>1</v>
      </c>
    </row>
    <row r="839" spans="1:15" hidden="1" x14ac:dyDescent="0.25">
      <c r="A839" s="92">
        <v>837</v>
      </c>
      <c r="B839" s="47">
        <f>MONTH(dis_table[[#This Row],[Date]])</f>
        <v>9</v>
      </c>
      <c r="C839" s="4">
        <v>45177</v>
      </c>
      <c r="D839" s="4">
        <v>45177</v>
      </c>
      <c r="E839" t="s">
        <v>1102</v>
      </c>
      <c r="F839">
        <v>163.91</v>
      </c>
      <c r="G839" t="s">
        <v>16</v>
      </c>
      <c r="H839" t="s">
        <v>1103</v>
      </c>
      <c r="I839" t="s">
        <v>12</v>
      </c>
      <c r="J839" t="s">
        <v>19</v>
      </c>
      <c r="K839" s="4">
        <v>45170</v>
      </c>
      <c r="L839">
        <v>2023</v>
      </c>
      <c r="M839" s="4">
        <v>45177</v>
      </c>
      <c r="N839">
        <v>674.74999999999579</v>
      </c>
      <c r="O839">
        <v>2</v>
      </c>
    </row>
    <row r="840" spans="1:15" hidden="1" x14ac:dyDescent="0.25">
      <c r="A840" s="92">
        <v>838</v>
      </c>
      <c r="B840" s="47">
        <f>MONTH(dis_table[[#This Row],[Date]])</f>
        <v>9</v>
      </c>
      <c r="C840" s="4">
        <v>45178</v>
      </c>
      <c r="D840" s="4">
        <v>45178</v>
      </c>
      <c r="E840" t="s">
        <v>81</v>
      </c>
      <c r="F840">
        <v>7.43</v>
      </c>
      <c r="G840" t="s">
        <v>16</v>
      </c>
      <c r="H840" t="s">
        <v>45</v>
      </c>
      <c r="I840" t="s">
        <v>12</v>
      </c>
      <c r="J840" t="s">
        <v>19</v>
      </c>
      <c r="K840" s="4">
        <v>45170</v>
      </c>
      <c r="L840">
        <v>2023</v>
      </c>
      <c r="M840" s="4">
        <v>45178</v>
      </c>
      <c r="N840">
        <v>682.17999999999574</v>
      </c>
      <c r="O840">
        <v>51</v>
      </c>
    </row>
    <row r="841" spans="1:15" hidden="1" x14ac:dyDescent="0.25">
      <c r="A841" s="92">
        <v>839</v>
      </c>
      <c r="B841" s="47">
        <f>MONTH(dis_table[[#This Row],[Date]])</f>
        <v>9</v>
      </c>
      <c r="C841" s="4">
        <v>45178</v>
      </c>
      <c r="D841" s="4">
        <v>45178</v>
      </c>
      <c r="E841" t="s">
        <v>1107</v>
      </c>
      <c r="F841">
        <v>86.09</v>
      </c>
      <c r="G841" t="s">
        <v>9</v>
      </c>
      <c r="H841" t="s">
        <v>10</v>
      </c>
      <c r="I841" t="s">
        <v>12</v>
      </c>
      <c r="J841" t="s">
        <v>13</v>
      </c>
      <c r="K841" s="4">
        <v>45170</v>
      </c>
      <c r="L841">
        <v>2023</v>
      </c>
      <c r="M841" s="4">
        <v>45178</v>
      </c>
      <c r="N841">
        <v>768.26999999999578</v>
      </c>
      <c r="O841">
        <v>44</v>
      </c>
    </row>
    <row r="842" spans="1:15" hidden="1" x14ac:dyDescent="0.25">
      <c r="A842" s="92">
        <v>840</v>
      </c>
      <c r="B842" s="47">
        <f>MONTH(dis_table[[#This Row],[Date]])</f>
        <v>9</v>
      </c>
      <c r="C842" s="4">
        <v>45178</v>
      </c>
      <c r="D842" s="4">
        <v>45178</v>
      </c>
      <c r="E842" t="s">
        <v>1108</v>
      </c>
      <c r="F842">
        <v>164.44</v>
      </c>
      <c r="G842" t="s">
        <v>16</v>
      </c>
      <c r="H842" t="s">
        <v>1103</v>
      </c>
      <c r="I842" t="s">
        <v>12</v>
      </c>
      <c r="J842" t="s">
        <v>19</v>
      </c>
      <c r="K842" s="4">
        <v>45170</v>
      </c>
      <c r="L842">
        <v>2023</v>
      </c>
      <c r="M842" s="4">
        <v>45178</v>
      </c>
      <c r="N842">
        <v>932.70999999999572</v>
      </c>
      <c r="O842">
        <v>3</v>
      </c>
    </row>
    <row r="843" spans="1:15" hidden="1" x14ac:dyDescent="0.25">
      <c r="A843" s="92">
        <v>841</v>
      </c>
      <c r="B843" s="47">
        <f>MONTH(dis_table[[#This Row],[Date]])</f>
        <v>9</v>
      </c>
      <c r="C843" s="4">
        <v>45179</v>
      </c>
      <c r="D843" s="4">
        <v>45179</v>
      </c>
      <c r="E843" t="s">
        <v>1109</v>
      </c>
      <c r="F843">
        <v>16.95</v>
      </c>
      <c r="G843" t="s">
        <v>16</v>
      </c>
      <c r="H843" t="s">
        <v>33</v>
      </c>
      <c r="I843" t="s">
        <v>18</v>
      </c>
      <c r="J843" t="s">
        <v>19</v>
      </c>
      <c r="K843" s="4">
        <v>45170</v>
      </c>
      <c r="L843">
        <v>2023</v>
      </c>
      <c r="M843" s="4">
        <v>45179</v>
      </c>
      <c r="N843">
        <v>949.65999999999576</v>
      </c>
      <c r="O843">
        <v>10</v>
      </c>
    </row>
    <row r="844" spans="1:15" hidden="1" x14ac:dyDescent="0.25">
      <c r="A844" s="92">
        <v>842</v>
      </c>
      <c r="B844" s="47">
        <f>MONTH(dis_table[[#This Row],[Date]])</f>
        <v>9</v>
      </c>
      <c r="C844" s="4">
        <v>45179</v>
      </c>
      <c r="D844" s="4">
        <v>45179</v>
      </c>
      <c r="E844" t="s">
        <v>514</v>
      </c>
      <c r="F844">
        <v>62.45</v>
      </c>
      <c r="G844" t="s">
        <v>16</v>
      </c>
      <c r="H844" t="s">
        <v>329</v>
      </c>
      <c r="I844" t="s">
        <v>12</v>
      </c>
      <c r="J844" t="s">
        <v>24</v>
      </c>
      <c r="K844" s="4">
        <v>45170</v>
      </c>
      <c r="L844">
        <v>2023</v>
      </c>
      <c r="M844" s="4">
        <v>45179</v>
      </c>
      <c r="N844">
        <v>1012.109999999996</v>
      </c>
      <c r="O844">
        <v>10</v>
      </c>
    </row>
    <row r="845" spans="1:15" hidden="1" x14ac:dyDescent="0.25">
      <c r="A845" s="92">
        <v>843</v>
      </c>
      <c r="B845" s="47">
        <f>MONTH(dis_table[[#This Row],[Date]])</f>
        <v>9</v>
      </c>
      <c r="C845" s="4">
        <v>45180</v>
      </c>
      <c r="D845" s="4">
        <v>45180</v>
      </c>
      <c r="E845" t="s">
        <v>1110</v>
      </c>
      <c r="F845">
        <v>15.22</v>
      </c>
      <c r="G845" t="s">
        <v>9</v>
      </c>
      <c r="H845" t="s">
        <v>10</v>
      </c>
      <c r="I845" t="s">
        <v>12</v>
      </c>
      <c r="J845" t="s">
        <v>13</v>
      </c>
      <c r="K845" s="4">
        <v>45170</v>
      </c>
      <c r="L845">
        <v>2023</v>
      </c>
      <c r="M845" s="4">
        <v>45180</v>
      </c>
      <c r="N845">
        <v>1027.3299999999961</v>
      </c>
      <c r="O845">
        <v>45</v>
      </c>
    </row>
    <row r="846" spans="1:15" hidden="1" x14ac:dyDescent="0.25">
      <c r="A846" s="92">
        <v>844</v>
      </c>
      <c r="B846" s="47">
        <f>MONTH(dis_table[[#This Row],[Date]])</f>
        <v>9</v>
      </c>
      <c r="C846" s="4">
        <v>45180</v>
      </c>
      <c r="D846" s="4">
        <v>45180</v>
      </c>
      <c r="E846" t="s">
        <v>187</v>
      </c>
      <c r="F846">
        <v>25</v>
      </c>
      <c r="G846" t="s">
        <v>22</v>
      </c>
      <c r="H846" t="s">
        <v>188</v>
      </c>
      <c r="I846" t="s">
        <v>12</v>
      </c>
      <c r="J846" t="s">
        <v>31</v>
      </c>
      <c r="K846" s="4">
        <v>45170</v>
      </c>
      <c r="L846">
        <v>2023</v>
      </c>
      <c r="M846" s="4">
        <v>45180</v>
      </c>
      <c r="N846">
        <v>1052.3299999999961</v>
      </c>
      <c r="O846">
        <v>9</v>
      </c>
    </row>
    <row r="847" spans="1:15" hidden="1" x14ac:dyDescent="0.25">
      <c r="A847" s="92">
        <v>845</v>
      </c>
      <c r="B847" s="47">
        <f>MONTH(dis_table[[#This Row],[Date]])</f>
        <v>9</v>
      </c>
      <c r="C847" s="4">
        <v>45180</v>
      </c>
      <c r="D847" s="4">
        <v>45180</v>
      </c>
      <c r="E847" t="s">
        <v>1006</v>
      </c>
      <c r="F847">
        <v>19</v>
      </c>
      <c r="G847" t="s">
        <v>16</v>
      </c>
      <c r="H847" t="s">
        <v>72</v>
      </c>
      <c r="I847" t="s">
        <v>12</v>
      </c>
      <c r="J847" t="s">
        <v>24</v>
      </c>
      <c r="K847" s="4">
        <v>45170</v>
      </c>
      <c r="L847">
        <v>2023</v>
      </c>
      <c r="M847" s="4">
        <v>45180</v>
      </c>
      <c r="N847">
        <v>1071.3299999999961</v>
      </c>
      <c r="O847">
        <v>13</v>
      </c>
    </row>
    <row r="848" spans="1:15" hidden="1" x14ac:dyDescent="0.25">
      <c r="A848" s="92">
        <v>846</v>
      </c>
      <c r="B848" s="47">
        <f>MONTH(dis_table[[#This Row],[Date]])</f>
        <v>9</v>
      </c>
      <c r="C848" s="4">
        <v>45181</v>
      </c>
      <c r="D848" s="4">
        <v>45181</v>
      </c>
      <c r="E848" t="s">
        <v>167</v>
      </c>
      <c r="F848">
        <v>10.85</v>
      </c>
      <c r="G848" t="s">
        <v>9</v>
      </c>
      <c r="H848" t="s">
        <v>10</v>
      </c>
      <c r="I848" t="s">
        <v>12</v>
      </c>
      <c r="J848" t="s">
        <v>13</v>
      </c>
      <c r="K848" s="4">
        <v>45170</v>
      </c>
      <c r="L848">
        <v>2023</v>
      </c>
      <c r="M848" s="4">
        <v>45181</v>
      </c>
      <c r="N848">
        <v>1082.179999999996</v>
      </c>
      <c r="O848">
        <v>46</v>
      </c>
    </row>
    <row r="849" spans="1:15" hidden="1" x14ac:dyDescent="0.25">
      <c r="A849" s="92">
        <v>847</v>
      </c>
      <c r="B849" s="47">
        <f>MONTH(dis_table[[#This Row],[Date]])</f>
        <v>9</v>
      </c>
      <c r="C849" s="4">
        <v>45181</v>
      </c>
      <c r="D849" s="4">
        <v>45181</v>
      </c>
      <c r="E849" t="s">
        <v>1111</v>
      </c>
      <c r="F849">
        <v>25</v>
      </c>
      <c r="G849" t="s">
        <v>16</v>
      </c>
      <c r="H849" t="s">
        <v>1103</v>
      </c>
      <c r="I849" t="s">
        <v>12</v>
      </c>
      <c r="J849" t="s">
        <v>19</v>
      </c>
      <c r="K849" s="4">
        <v>45170</v>
      </c>
      <c r="L849">
        <v>2023</v>
      </c>
      <c r="M849" s="4">
        <v>45181</v>
      </c>
      <c r="N849">
        <v>1107.179999999996</v>
      </c>
      <c r="O849">
        <v>4</v>
      </c>
    </row>
    <row r="850" spans="1:15" hidden="1" x14ac:dyDescent="0.25">
      <c r="A850" s="92">
        <v>848</v>
      </c>
      <c r="B850" s="47">
        <f>MONTH(dis_table[[#This Row],[Date]])</f>
        <v>9</v>
      </c>
      <c r="C850" s="4">
        <v>45183</v>
      </c>
      <c r="D850" s="4">
        <v>45183</v>
      </c>
      <c r="E850" t="s">
        <v>50</v>
      </c>
      <c r="F850">
        <v>90.83</v>
      </c>
      <c r="G850" t="s">
        <v>16</v>
      </c>
      <c r="H850" t="s">
        <v>51</v>
      </c>
      <c r="I850" t="s">
        <v>18</v>
      </c>
      <c r="J850" t="s">
        <v>52</v>
      </c>
      <c r="K850" s="4">
        <v>45170</v>
      </c>
      <c r="L850">
        <v>2023</v>
      </c>
      <c r="M850" s="4">
        <v>45183</v>
      </c>
      <c r="N850">
        <v>1198.0099999999959</v>
      </c>
      <c r="O850">
        <v>9</v>
      </c>
    </row>
    <row r="851" spans="1:15" hidden="1" x14ac:dyDescent="0.25">
      <c r="A851" s="92">
        <v>849</v>
      </c>
      <c r="B851" s="47">
        <f>MONTH(dis_table[[#This Row],[Date]])</f>
        <v>9</v>
      </c>
      <c r="C851" s="4">
        <v>45184</v>
      </c>
      <c r="D851" s="4">
        <v>45184</v>
      </c>
      <c r="E851" t="s">
        <v>171</v>
      </c>
      <c r="F851">
        <v>7.99</v>
      </c>
      <c r="G851" t="s">
        <v>36</v>
      </c>
      <c r="H851" t="s">
        <v>56</v>
      </c>
      <c r="I851" t="s">
        <v>18</v>
      </c>
      <c r="J851" t="s">
        <v>19</v>
      </c>
      <c r="K851" s="4">
        <v>45170</v>
      </c>
      <c r="L851">
        <v>2023</v>
      </c>
      <c r="M851" s="4">
        <v>45184</v>
      </c>
      <c r="N851">
        <v>1205.9999999999959</v>
      </c>
      <c r="O851">
        <v>9</v>
      </c>
    </row>
    <row r="852" spans="1:15" hidden="1" x14ac:dyDescent="0.25">
      <c r="A852" s="92">
        <v>850</v>
      </c>
      <c r="B852" s="47">
        <f>MONTH(dis_table[[#This Row],[Date]])</f>
        <v>9</v>
      </c>
      <c r="C852" s="4">
        <v>45185</v>
      </c>
      <c r="D852" s="4">
        <v>45185</v>
      </c>
      <c r="E852" t="s">
        <v>1112</v>
      </c>
      <c r="F852">
        <v>5.97</v>
      </c>
      <c r="G852" t="s">
        <v>16</v>
      </c>
      <c r="H852" t="s">
        <v>62</v>
      </c>
      <c r="I852" t="s">
        <v>12</v>
      </c>
      <c r="J852" t="s">
        <v>13</v>
      </c>
      <c r="K852" s="4">
        <v>45170</v>
      </c>
      <c r="L852">
        <v>2023</v>
      </c>
      <c r="M852" s="4">
        <v>45185</v>
      </c>
      <c r="N852">
        <v>1211.9699999999959</v>
      </c>
      <c r="O852">
        <v>9</v>
      </c>
    </row>
    <row r="853" spans="1:15" hidden="1" x14ac:dyDescent="0.25">
      <c r="A853" s="92">
        <v>851</v>
      </c>
      <c r="B853" s="47">
        <f>MONTH(dis_table[[#This Row],[Date]])</f>
        <v>9</v>
      </c>
      <c r="C853" s="4">
        <v>45185</v>
      </c>
      <c r="D853" s="4">
        <v>45185</v>
      </c>
      <c r="E853" t="s">
        <v>1113</v>
      </c>
      <c r="F853">
        <v>18.989999999999998</v>
      </c>
      <c r="G853" t="s">
        <v>16</v>
      </c>
      <c r="H853" t="s">
        <v>329</v>
      </c>
      <c r="I853" t="s">
        <v>12</v>
      </c>
      <c r="J853" t="s">
        <v>24</v>
      </c>
      <c r="K853" s="4">
        <v>45170</v>
      </c>
      <c r="L853">
        <v>2023</v>
      </c>
      <c r="M853" s="4">
        <v>45185</v>
      </c>
      <c r="N853">
        <v>1230.9599999999959</v>
      </c>
      <c r="O853">
        <v>11</v>
      </c>
    </row>
    <row r="854" spans="1:15" hidden="1" x14ac:dyDescent="0.25">
      <c r="A854" s="92">
        <v>852</v>
      </c>
      <c r="B854" s="47">
        <f>MONTH(dis_table[[#This Row],[Date]])</f>
        <v>9</v>
      </c>
      <c r="C854" s="4">
        <v>45185</v>
      </c>
      <c r="D854" s="4">
        <v>45185</v>
      </c>
      <c r="E854" t="s">
        <v>1114</v>
      </c>
      <c r="F854">
        <v>20.399999999999999</v>
      </c>
      <c r="G854" t="s">
        <v>9</v>
      </c>
      <c r="H854" t="s">
        <v>14</v>
      </c>
      <c r="I854" t="s">
        <v>12</v>
      </c>
      <c r="J854" t="s">
        <v>13</v>
      </c>
      <c r="K854" s="4">
        <v>45170</v>
      </c>
      <c r="L854">
        <v>2023</v>
      </c>
      <c r="M854" s="4">
        <v>45185</v>
      </c>
      <c r="N854">
        <v>1251.359999999996</v>
      </c>
      <c r="O854">
        <v>84</v>
      </c>
    </row>
    <row r="855" spans="1:15" hidden="1" x14ac:dyDescent="0.25">
      <c r="A855" s="92">
        <v>853</v>
      </c>
      <c r="B855" s="47">
        <f>MONTH(dis_table[[#This Row],[Date]])</f>
        <v>9</v>
      </c>
      <c r="C855" s="4">
        <v>45186</v>
      </c>
      <c r="D855" s="4">
        <v>45186</v>
      </c>
      <c r="E855" t="s">
        <v>1116</v>
      </c>
      <c r="F855">
        <v>30.51</v>
      </c>
      <c r="G855" t="s">
        <v>9</v>
      </c>
      <c r="H855" t="s">
        <v>14</v>
      </c>
      <c r="I855" t="s">
        <v>12</v>
      </c>
      <c r="J855" t="s">
        <v>13</v>
      </c>
      <c r="K855" s="4">
        <v>45170</v>
      </c>
      <c r="L855">
        <v>2023</v>
      </c>
      <c r="M855" s="4">
        <v>45186</v>
      </c>
      <c r="N855">
        <v>1281.869999999996</v>
      </c>
      <c r="O855">
        <v>85</v>
      </c>
    </row>
    <row r="856" spans="1:15" hidden="1" x14ac:dyDescent="0.25">
      <c r="A856" s="92">
        <v>854</v>
      </c>
      <c r="B856" s="47">
        <f>MONTH(dis_table[[#This Row],[Date]])</f>
        <v>9</v>
      </c>
      <c r="C856" s="4">
        <v>45186</v>
      </c>
      <c r="D856" s="4">
        <v>45186</v>
      </c>
      <c r="E856" t="s">
        <v>1115</v>
      </c>
      <c r="F856">
        <v>7</v>
      </c>
      <c r="G856" t="s">
        <v>9</v>
      </c>
      <c r="H856" t="s">
        <v>10</v>
      </c>
      <c r="I856" t="s">
        <v>12</v>
      </c>
      <c r="J856" t="s">
        <v>13</v>
      </c>
      <c r="K856" s="4">
        <v>45170</v>
      </c>
      <c r="L856">
        <v>2023</v>
      </c>
      <c r="M856" s="4">
        <v>45186</v>
      </c>
      <c r="N856">
        <v>1288.869999999996</v>
      </c>
      <c r="O856">
        <v>47</v>
      </c>
    </row>
    <row r="857" spans="1:15" hidden="1" x14ac:dyDescent="0.25">
      <c r="A857" s="92">
        <v>855</v>
      </c>
      <c r="B857" s="47">
        <f>MONTH(dis_table[[#This Row],[Date]])</f>
        <v>9</v>
      </c>
      <c r="C857" s="4">
        <v>45187</v>
      </c>
      <c r="D857" s="4">
        <v>45187</v>
      </c>
      <c r="E857" t="s">
        <v>1117</v>
      </c>
      <c r="F857">
        <v>22.08</v>
      </c>
      <c r="G857" t="s">
        <v>16</v>
      </c>
      <c r="H857" t="s">
        <v>133</v>
      </c>
      <c r="I857" t="s">
        <v>12</v>
      </c>
      <c r="J857" t="s">
        <v>24</v>
      </c>
      <c r="K857" s="4">
        <v>45170</v>
      </c>
      <c r="L857">
        <v>2023</v>
      </c>
      <c r="M857" s="4">
        <v>45187</v>
      </c>
      <c r="N857">
        <v>1310.949999999996</v>
      </c>
      <c r="O857">
        <v>42</v>
      </c>
    </row>
    <row r="858" spans="1:15" hidden="1" x14ac:dyDescent="0.25">
      <c r="A858" s="92">
        <v>856</v>
      </c>
      <c r="B858" s="47">
        <f>MONTH(dis_table[[#This Row],[Date]])</f>
        <v>9</v>
      </c>
      <c r="C858" s="4">
        <v>45188</v>
      </c>
      <c r="D858" s="4">
        <v>45188</v>
      </c>
      <c r="E858" t="s">
        <v>1118</v>
      </c>
      <c r="F858">
        <v>29.02</v>
      </c>
      <c r="G858" t="s">
        <v>29</v>
      </c>
      <c r="H858" t="s">
        <v>30</v>
      </c>
      <c r="I858" t="s">
        <v>12</v>
      </c>
      <c r="J858" t="s">
        <v>31</v>
      </c>
      <c r="K858" s="4">
        <v>45170</v>
      </c>
      <c r="L858">
        <v>2023</v>
      </c>
      <c r="M858" s="4">
        <v>45188</v>
      </c>
      <c r="N858">
        <v>1339.9699999999959</v>
      </c>
      <c r="O858">
        <v>14</v>
      </c>
    </row>
    <row r="859" spans="1:15" hidden="1" x14ac:dyDescent="0.25">
      <c r="A859" s="92">
        <v>857</v>
      </c>
      <c r="B859" s="47">
        <f>MONTH(dis_table[[#This Row],[Date]])</f>
        <v>9</v>
      </c>
      <c r="C859" s="4">
        <v>45189</v>
      </c>
      <c r="D859" s="4">
        <v>45189</v>
      </c>
      <c r="E859" t="s">
        <v>26</v>
      </c>
      <c r="F859">
        <v>-1280.99</v>
      </c>
      <c r="G859" t="s">
        <v>27</v>
      </c>
      <c r="H859" t="s">
        <v>28</v>
      </c>
      <c r="I859" t="s">
        <v>12</v>
      </c>
      <c r="J859" t="s">
        <v>122</v>
      </c>
      <c r="K859" s="4">
        <v>45170</v>
      </c>
      <c r="L859">
        <v>2023</v>
      </c>
      <c r="M859" s="4">
        <v>45189</v>
      </c>
      <c r="N859">
        <v>58.979999999995698</v>
      </c>
      <c r="O859">
        <v>25</v>
      </c>
    </row>
    <row r="860" spans="1:15" hidden="1" x14ac:dyDescent="0.25">
      <c r="A860" s="92">
        <v>858</v>
      </c>
      <c r="B860" s="47">
        <f>MONTH(dis_table[[#This Row],[Date]])</f>
        <v>9</v>
      </c>
      <c r="C860" s="4">
        <v>45190</v>
      </c>
      <c r="D860" s="4">
        <v>45190</v>
      </c>
      <c r="E860" t="s">
        <v>1119</v>
      </c>
      <c r="F860">
        <v>32.42</v>
      </c>
      <c r="G860" t="s">
        <v>22</v>
      </c>
      <c r="H860" t="s">
        <v>67</v>
      </c>
      <c r="I860" t="s">
        <v>12</v>
      </c>
      <c r="J860" t="s">
        <v>19</v>
      </c>
      <c r="K860" s="4">
        <v>45170</v>
      </c>
      <c r="L860">
        <v>2023</v>
      </c>
      <c r="M860" s="4">
        <v>45190</v>
      </c>
      <c r="N860">
        <v>91.3999999999957</v>
      </c>
      <c r="O860">
        <v>11</v>
      </c>
    </row>
    <row r="861" spans="1:15" hidden="1" x14ac:dyDescent="0.25">
      <c r="A861" s="92">
        <v>859</v>
      </c>
      <c r="B861" s="47">
        <f>MONTH(dis_table[[#This Row],[Date]])</f>
        <v>9</v>
      </c>
      <c r="C861" s="4">
        <v>45191</v>
      </c>
      <c r="D861" s="4">
        <v>45189</v>
      </c>
      <c r="E861" t="s">
        <v>1120</v>
      </c>
      <c r="F861">
        <v>-1280.99</v>
      </c>
      <c r="G861" t="s">
        <v>27</v>
      </c>
      <c r="H861" t="s">
        <v>28</v>
      </c>
      <c r="I861" t="s">
        <v>12</v>
      </c>
      <c r="J861" t="s">
        <v>122</v>
      </c>
      <c r="K861" s="4">
        <v>45170</v>
      </c>
      <c r="L861">
        <v>2023</v>
      </c>
      <c r="M861" s="4">
        <v>45191</v>
      </c>
      <c r="N861">
        <v>-1189.590000000004</v>
      </c>
      <c r="O861">
        <v>26</v>
      </c>
    </row>
    <row r="862" spans="1:15" hidden="1" x14ac:dyDescent="0.25">
      <c r="A862" s="92">
        <v>860</v>
      </c>
      <c r="B862" s="47">
        <f>MONTH(dis_table[[#This Row],[Date]])</f>
        <v>9</v>
      </c>
      <c r="C862" s="4">
        <v>45191</v>
      </c>
      <c r="D862" s="4">
        <v>45189</v>
      </c>
      <c r="E862" t="s">
        <v>1121</v>
      </c>
      <c r="F862">
        <v>1280.99</v>
      </c>
      <c r="G862" t="s">
        <v>27</v>
      </c>
      <c r="H862" t="s">
        <v>28</v>
      </c>
      <c r="I862" t="s">
        <v>12</v>
      </c>
      <c r="J862" t="s">
        <v>122</v>
      </c>
      <c r="K862" s="4">
        <v>45170</v>
      </c>
      <c r="L862">
        <v>2023</v>
      </c>
      <c r="M862" s="4">
        <v>45191</v>
      </c>
      <c r="N862">
        <v>91.399999999995771</v>
      </c>
      <c r="O862">
        <v>27</v>
      </c>
    </row>
    <row r="863" spans="1:15" hidden="1" x14ac:dyDescent="0.25">
      <c r="A863" s="92">
        <v>861</v>
      </c>
      <c r="B863" s="47">
        <f>MONTH(dis_table[[#This Row],[Date]])</f>
        <v>9</v>
      </c>
      <c r="C863" s="4">
        <v>45191</v>
      </c>
      <c r="D863" s="4">
        <v>45191</v>
      </c>
      <c r="E863" t="s">
        <v>1124</v>
      </c>
      <c r="F863">
        <v>30</v>
      </c>
      <c r="G863" t="s">
        <v>717</v>
      </c>
      <c r="H863" t="s">
        <v>1125</v>
      </c>
      <c r="I863" t="s">
        <v>12</v>
      </c>
      <c r="J863" t="s">
        <v>122</v>
      </c>
      <c r="K863" s="4">
        <v>45170</v>
      </c>
      <c r="L863">
        <v>2023</v>
      </c>
      <c r="M863" s="4">
        <v>45191</v>
      </c>
      <c r="N863">
        <v>121.3999999999958</v>
      </c>
      <c r="O863">
        <v>1</v>
      </c>
    </row>
    <row r="864" spans="1:15" hidden="1" x14ac:dyDescent="0.25">
      <c r="A864" s="92">
        <v>862</v>
      </c>
      <c r="B864" s="47">
        <f>MONTH(dis_table[[#This Row],[Date]])</f>
        <v>9</v>
      </c>
      <c r="C864" s="4">
        <v>45193</v>
      </c>
      <c r="D864" s="4">
        <v>45193</v>
      </c>
      <c r="E864" t="s">
        <v>1126</v>
      </c>
      <c r="F864">
        <v>10.45</v>
      </c>
      <c r="G864" t="s">
        <v>9</v>
      </c>
      <c r="H864" t="s">
        <v>62</v>
      </c>
      <c r="I864" t="s">
        <v>12</v>
      </c>
      <c r="J864" t="s">
        <v>13</v>
      </c>
      <c r="K864" s="4">
        <v>45170</v>
      </c>
      <c r="L864">
        <v>2023</v>
      </c>
      <c r="M864" s="4">
        <v>45193</v>
      </c>
      <c r="N864">
        <v>131.84999999999579</v>
      </c>
      <c r="O864">
        <v>10</v>
      </c>
    </row>
    <row r="865" spans="1:15" hidden="1" x14ac:dyDescent="0.25">
      <c r="A865" s="92">
        <v>863</v>
      </c>
      <c r="B865" s="47">
        <f>MONTH(dis_table[[#This Row],[Date]])</f>
        <v>9</v>
      </c>
      <c r="C865" s="4">
        <v>45194</v>
      </c>
      <c r="D865" s="4">
        <v>45194</v>
      </c>
      <c r="E865" t="s">
        <v>139</v>
      </c>
      <c r="F865">
        <v>63.42</v>
      </c>
      <c r="G865" t="s">
        <v>16</v>
      </c>
      <c r="H865" t="s">
        <v>25</v>
      </c>
      <c r="I865" t="s">
        <v>12</v>
      </c>
      <c r="J865" t="s">
        <v>24</v>
      </c>
      <c r="K865" s="4">
        <v>45170</v>
      </c>
      <c r="L865">
        <v>2023</v>
      </c>
      <c r="M865" s="4">
        <v>45194</v>
      </c>
      <c r="N865">
        <v>195.2699999999958</v>
      </c>
      <c r="O865">
        <v>22</v>
      </c>
    </row>
    <row r="866" spans="1:15" hidden="1" x14ac:dyDescent="0.25">
      <c r="A866" s="92">
        <v>864</v>
      </c>
      <c r="B866" s="47">
        <f>MONTH(dis_table[[#This Row],[Date]])</f>
        <v>9</v>
      </c>
      <c r="C866" s="4">
        <v>45194</v>
      </c>
      <c r="D866" s="4">
        <v>45194</v>
      </c>
      <c r="E866" t="s">
        <v>1108</v>
      </c>
      <c r="F866">
        <v>164.43</v>
      </c>
      <c r="G866" t="s">
        <v>16</v>
      </c>
      <c r="H866" t="s">
        <v>1103</v>
      </c>
      <c r="I866" t="s">
        <v>12</v>
      </c>
      <c r="J866" t="s">
        <v>19</v>
      </c>
      <c r="K866" s="4">
        <v>45170</v>
      </c>
      <c r="L866">
        <v>2023</v>
      </c>
      <c r="M866" s="4">
        <v>45194</v>
      </c>
      <c r="N866">
        <v>359.69999999999578</v>
      </c>
      <c r="O866">
        <v>5</v>
      </c>
    </row>
    <row r="867" spans="1:15" hidden="1" x14ac:dyDescent="0.25">
      <c r="A867" s="92">
        <v>865</v>
      </c>
      <c r="B867" s="47">
        <f>MONTH(dis_table[[#This Row],[Date]])</f>
        <v>9</v>
      </c>
      <c r="C867" s="4">
        <v>45195</v>
      </c>
      <c r="D867" s="4">
        <v>45189</v>
      </c>
      <c r="E867" t="s">
        <v>1121</v>
      </c>
      <c r="F867">
        <v>1280.99</v>
      </c>
      <c r="G867" t="s">
        <v>27</v>
      </c>
      <c r="H867" t="s">
        <v>28</v>
      </c>
      <c r="I867" t="s">
        <v>12</v>
      </c>
      <c r="J867" t="s">
        <v>122</v>
      </c>
      <c r="K867" s="4">
        <v>45170</v>
      </c>
      <c r="L867">
        <v>2023</v>
      </c>
      <c r="M867" s="4">
        <v>45195</v>
      </c>
      <c r="N867">
        <v>1640.689999999996</v>
      </c>
      <c r="O867">
        <v>28</v>
      </c>
    </row>
    <row r="868" spans="1:15" hidden="1" x14ac:dyDescent="0.25">
      <c r="A868" s="92">
        <v>866</v>
      </c>
      <c r="B868" s="47">
        <f>MONTH(dis_table[[#This Row],[Date]])</f>
        <v>9</v>
      </c>
      <c r="C868" s="4">
        <v>45195</v>
      </c>
      <c r="D868" s="4">
        <v>45195</v>
      </c>
      <c r="E868" t="s">
        <v>621</v>
      </c>
      <c r="F868">
        <v>9.91</v>
      </c>
      <c r="G868" t="s">
        <v>22</v>
      </c>
      <c r="H868" t="s">
        <v>42</v>
      </c>
      <c r="I868" t="s">
        <v>12</v>
      </c>
      <c r="J868" t="s">
        <v>31</v>
      </c>
      <c r="K868" s="4">
        <v>45170</v>
      </c>
      <c r="L868">
        <v>2023</v>
      </c>
      <c r="M868" s="4">
        <v>45195</v>
      </c>
      <c r="N868">
        <v>1650.599999999996</v>
      </c>
      <c r="O868">
        <v>80</v>
      </c>
    </row>
    <row r="869" spans="1:15" hidden="1" x14ac:dyDescent="0.25">
      <c r="A869" s="92">
        <v>867</v>
      </c>
      <c r="B869" s="47">
        <f>MONTH(dis_table[[#This Row],[Date]])</f>
        <v>9</v>
      </c>
      <c r="C869" s="4">
        <v>45197</v>
      </c>
      <c r="D869" s="4">
        <v>45197</v>
      </c>
      <c r="E869" t="s">
        <v>1110</v>
      </c>
      <c r="F869">
        <v>13.46</v>
      </c>
      <c r="G869" t="s">
        <v>9</v>
      </c>
      <c r="H869" t="s">
        <v>10</v>
      </c>
      <c r="I869" t="s">
        <v>12</v>
      </c>
      <c r="J869" t="s">
        <v>13</v>
      </c>
      <c r="K869" s="4">
        <v>45170</v>
      </c>
      <c r="L869">
        <v>2023</v>
      </c>
      <c r="M869" s="4">
        <v>45197</v>
      </c>
      <c r="N869">
        <v>1664.0599999999961</v>
      </c>
      <c r="O869">
        <v>48</v>
      </c>
    </row>
    <row r="870" spans="1:15" hidden="1" x14ac:dyDescent="0.25">
      <c r="A870" s="92">
        <v>868</v>
      </c>
      <c r="B870" s="47">
        <f>MONTH(dis_table[[#This Row],[Date]])</f>
        <v>9</v>
      </c>
      <c r="C870" s="4">
        <v>45199</v>
      </c>
      <c r="D870" s="4">
        <v>45199</v>
      </c>
      <c r="E870" t="s">
        <v>167</v>
      </c>
      <c r="F870">
        <v>16.329999999999998</v>
      </c>
      <c r="G870" t="s">
        <v>9</v>
      </c>
      <c r="H870" t="s">
        <v>10</v>
      </c>
      <c r="I870" t="s">
        <v>12</v>
      </c>
      <c r="J870" t="s">
        <v>13</v>
      </c>
      <c r="K870" s="4">
        <v>45170</v>
      </c>
      <c r="L870">
        <v>2023</v>
      </c>
      <c r="M870" s="4">
        <v>45199</v>
      </c>
      <c r="N870">
        <v>1680.389999999996</v>
      </c>
      <c r="O870">
        <v>49</v>
      </c>
    </row>
    <row r="871" spans="1:15" hidden="1" x14ac:dyDescent="0.25">
      <c r="A871" s="92">
        <v>869</v>
      </c>
      <c r="B871" s="47">
        <f>MONTH(dis_table[[#This Row],[Date]])</f>
        <v>10</v>
      </c>
      <c r="C871" s="4">
        <v>45200</v>
      </c>
      <c r="D871" s="4">
        <v>45200</v>
      </c>
      <c r="E871" t="s">
        <v>339</v>
      </c>
      <c r="F871">
        <v>20</v>
      </c>
      <c r="G871" t="s">
        <v>16</v>
      </c>
      <c r="H871" t="s">
        <v>340</v>
      </c>
      <c r="I871" t="s">
        <v>18</v>
      </c>
      <c r="J871" t="s">
        <v>24</v>
      </c>
      <c r="K871" s="4">
        <v>45200</v>
      </c>
      <c r="L871">
        <v>2023</v>
      </c>
      <c r="M871" s="4">
        <v>45200</v>
      </c>
      <c r="N871">
        <v>1700.389999999996</v>
      </c>
      <c r="O871">
        <v>8</v>
      </c>
    </row>
    <row r="872" spans="1:15" hidden="1" x14ac:dyDescent="0.25">
      <c r="A872" s="92">
        <v>870</v>
      </c>
      <c r="B872" s="47">
        <f>MONTH(dis_table[[#This Row],[Date]])</f>
        <v>10</v>
      </c>
      <c r="C872" s="4">
        <v>45200</v>
      </c>
      <c r="D872" s="4">
        <v>45200</v>
      </c>
      <c r="E872" t="s">
        <v>1127</v>
      </c>
      <c r="F872">
        <v>5.99</v>
      </c>
      <c r="G872" t="s">
        <v>16</v>
      </c>
      <c r="H872" t="s">
        <v>20</v>
      </c>
      <c r="I872" t="s">
        <v>18</v>
      </c>
      <c r="J872" t="s">
        <v>19</v>
      </c>
      <c r="K872" s="4">
        <v>45200</v>
      </c>
      <c r="L872">
        <v>2023</v>
      </c>
      <c r="M872" s="4">
        <v>45200</v>
      </c>
      <c r="N872">
        <v>1706.379999999996</v>
      </c>
      <c r="O872">
        <v>10</v>
      </c>
    </row>
    <row r="873" spans="1:15" hidden="1" x14ac:dyDescent="0.25">
      <c r="A873" s="92">
        <v>871</v>
      </c>
      <c r="B873" s="47">
        <f>MONTH(dis_table[[#This Row],[Date]])</f>
        <v>10</v>
      </c>
      <c r="C873" s="4">
        <v>45200</v>
      </c>
      <c r="D873" s="4">
        <v>45202</v>
      </c>
      <c r="E873" t="s">
        <v>83</v>
      </c>
      <c r="F873">
        <v>5</v>
      </c>
      <c r="G873" t="s">
        <v>36</v>
      </c>
      <c r="H873" t="s">
        <v>84</v>
      </c>
      <c r="I873" t="s">
        <v>18</v>
      </c>
      <c r="J873" t="s">
        <v>24</v>
      </c>
      <c r="K873" s="4">
        <v>45200</v>
      </c>
      <c r="L873">
        <v>2023</v>
      </c>
      <c r="M873" s="4">
        <v>45200</v>
      </c>
      <c r="N873">
        <v>1711.379999999996</v>
      </c>
      <c r="O873">
        <v>10</v>
      </c>
    </row>
    <row r="874" spans="1:15" hidden="1" x14ac:dyDescent="0.25">
      <c r="A874" s="92">
        <v>872</v>
      </c>
      <c r="B874" s="47">
        <f>MONTH(dis_table[[#This Row],[Date]])</f>
        <v>10</v>
      </c>
      <c r="C874" s="4">
        <v>45200</v>
      </c>
      <c r="D874" s="4">
        <v>45202</v>
      </c>
      <c r="E874" t="s">
        <v>85</v>
      </c>
      <c r="F874">
        <v>39.18</v>
      </c>
      <c r="G874" t="s">
        <v>34</v>
      </c>
      <c r="H874" t="s">
        <v>35</v>
      </c>
      <c r="I874" t="s">
        <v>12</v>
      </c>
      <c r="J874" t="s">
        <v>13</v>
      </c>
      <c r="K874" s="4">
        <v>45200</v>
      </c>
      <c r="L874">
        <v>2023</v>
      </c>
      <c r="M874" s="4">
        <v>45200</v>
      </c>
      <c r="N874">
        <v>1750.5599999999961</v>
      </c>
      <c r="O874">
        <v>46</v>
      </c>
    </row>
    <row r="875" spans="1:15" hidden="1" x14ac:dyDescent="0.25">
      <c r="A875" s="92">
        <v>873</v>
      </c>
      <c r="B875" s="47">
        <f>MONTH(dis_table[[#This Row],[Date]])</f>
        <v>10</v>
      </c>
      <c r="C875" s="4">
        <v>45201</v>
      </c>
      <c r="D875" s="4">
        <v>45201</v>
      </c>
      <c r="E875" t="s">
        <v>1128</v>
      </c>
      <c r="F875">
        <v>125.1</v>
      </c>
      <c r="G875" t="s">
        <v>36</v>
      </c>
      <c r="H875" t="s">
        <v>286</v>
      </c>
      <c r="I875" t="s">
        <v>18</v>
      </c>
      <c r="J875" t="s">
        <v>24</v>
      </c>
      <c r="K875" s="4">
        <v>45200</v>
      </c>
      <c r="L875">
        <v>2023</v>
      </c>
      <c r="M875" s="4">
        <v>45201</v>
      </c>
      <c r="N875">
        <v>1875.659999999996</v>
      </c>
      <c r="O875">
        <v>15</v>
      </c>
    </row>
    <row r="876" spans="1:15" hidden="1" x14ac:dyDescent="0.25">
      <c r="A876" s="92">
        <v>874</v>
      </c>
      <c r="B876" s="47">
        <f>MONTH(dis_table[[#This Row],[Date]])</f>
        <v>10</v>
      </c>
      <c r="C876" s="4">
        <v>45201</v>
      </c>
      <c r="D876" s="4">
        <v>45201</v>
      </c>
      <c r="E876" t="s">
        <v>1129</v>
      </c>
      <c r="F876">
        <v>139</v>
      </c>
      <c r="G876" t="s">
        <v>36</v>
      </c>
      <c r="H876" t="s">
        <v>286</v>
      </c>
      <c r="I876" t="s">
        <v>18</v>
      </c>
      <c r="J876" t="s">
        <v>24</v>
      </c>
      <c r="K876" s="4">
        <v>45200</v>
      </c>
      <c r="L876">
        <v>2023</v>
      </c>
      <c r="M876" s="4">
        <v>45201</v>
      </c>
      <c r="N876">
        <v>2014.659999999996</v>
      </c>
      <c r="O876">
        <v>16</v>
      </c>
    </row>
    <row r="877" spans="1:15" hidden="1" x14ac:dyDescent="0.25">
      <c r="A877" s="92">
        <v>875</v>
      </c>
      <c r="B877" s="47">
        <f>MONTH(dis_table[[#This Row],[Date]])</f>
        <v>10</v>
      </c>
      <c r="C877" s="4">
        <v>45201</v>
      </c>
      <c r="D877" s="4">
        <v>45202</v>
      </c>
      <c r="E877" t="s">
        <v>1130</v>
      </c>
      <c r="F877">
        <v>22.08</v>
      </c>
      <c r="G877" t="s">
        <v>16</v>
      </c>
      <c r="H877" t="s">
        <v>133</v>
      </c>
      <c r="I877" t="s">
        <v>12</v>
      </c>
      <c r="J877" t="s">
        <v>24</v>
      </c>
      <c r="K877" s="4">
        <v>45200</v>
      </c>
      <c r="L877">
        <v>2023</v>
      </c>
      <c r="M877" s="4">
        <v>45201</v>
      </c>
      <c r="N877">
        <v>2036.7399999999959</v>
      </c>
      <c r="O877">
        <v>43</v>
      </c>
    </row>
    <row r="878" spans="1:15" hidden="1" x14ac:dyDescent="0.25">
      <c r="A878" s="92">
        <v>876</v>
      </c>
      <c r="B878" s="47">
        <f>MONTH(dis_table[[#This Row],[Date]])</f>
        <v>10</v>
      </c>
      <c r="C878" s="4">
        <v>45201</v>
      </c>
      <c r="D878" s="4">
        <v>45202</v>
      </c>
      <c r="E878" t="s">
        <v>43</v>
      </c>
      <c r="F878">
        <v>10</v>
      </c>
      <c r="G878" t="s">
        <v>16</v>
      </c>
      <c r="H878" t="s">
        <v>44</v>
      </c>
      <c r="I878" t="s">
        <v>18</v>
      </c>
      <c r="J878" t="s">
        <v>19</v>
      </c>
      <c r="K878" s="4">
        <v>45200</v>
      </c>
      <c r="L878">
        <v>2023</v>
      </c>
      <c r="M878" s="4">
        <v>45201</v>
      </c>
      <c r="N878">
        <v>2046.7399999999959</v>
      </c>
      <c r="O878">
        <v>10</v>
      </c>
    </row>
    <row r="879" spans="1:15" hidden="1" x14ac:dyDescent="0.25">
      <c r="A879" s="92">
        <v>877</v>
      </c>
      <c r="B879" s="47">
        <f>MONTH(dis_table[[#This Row],[Date]])</f>
        <v>10</v>
      </c>
      <c r="C879" s="4">
        <v>45202</v>
      </c>
      <c r="D879" s="4">
        <v>45202</v>
      </c>
      <c r="E879" t="s">
        <v>26</v>
      </c>
      <c r="F879">
        <v>-1900</v>
      </c>
      <c r="G879" t="s">
        <v>27</v>
      </c>
      <c r="H879" t="s">
        <v>28</v>
      </c>
      <c r="I879" t="s">
        <v>12</v>
      </c>
      <c r="J879" t="s">
        <v>122</v>
      </c>
      <c r="K879" s="4">
        <v>45200</v>
      </c>
      <c r="L879">
        <v>2023</v>
      </c>
      <c r="M879" s="4">
        <v>45202</v>
      </c>
      <c r="N879">
        <v>146.73999999999569</v>
      </c>
      <c r="O879">
        <v>29</v>
      </c>
    </row>
    <row r="880" spans="1:15" hidden="1" x14ac:dyDescent="0.25">
      <c r="A880" s="92">
        <v>878</v>
      </c>
      <c r="B880" s="47">
        <f>MONTH(dis_table[[#This Row],[Date]])</f>
        <v>10</v>
      </c>
      <c r="C880" s="4">
        <v>45202</v>
      </c>
      <c r="D880" s="4">
        <v>45202</v>
      </c>
      <c r="E880" t="s">
        <v>1131</v>
      </c>
      <c r="F880">
        <v>6</v>
      </c>
      <c r="G880" t="s">
        <v>22</v>
      </c>
      <c r="H880" t="s">
        <v>1103</v>
      </c>
      <c r="I880" t="s">
        <v>12</v>
      </c>
      <c r="J880" t="s">
        <v>19</v>
      </c>
      <c r="K880" s="4">
        <v>45200</v>
      </c>
      <c r="L880">
        <v>2023</v>
      </c>
      <c r="M880" s="4">
        <v>45202</v>
      </c>
      <c r="N880">
        <v>152.73999999999569</v>
      </c>
      <c r="O880">
        <v>6</v>
      </c>
    </row>
    <row r="881" spans="1:15" hidden="1" x14ac:dyDescent="0.25">
      <c r="A881" s="92">
        <v>879</v>
      </c>
      <c r="B881" s="47">
        <f>MONTH(dis_table[[#This Row],[Date]])</f>
        <v>10</v>
      </c>
      <c r="C881" s="4">
        <v>45202</v>
      </c>
      <c r="D881" s="4">
        <v>45202</v>
      </c>
      <c r="E881" t="s">
        <v>143</v>
      </c>
      <c r="F881">
        <v>-24.26</v>
      </c>
      <c r="G881" t="s">
        <v>32</v>
      </c>
      <c r="H881" t="s">
        <v>1027</v>
      </c>
      <c r="I881" t="s">
        <v>12</v>
      </c>
      <c r="J881" t="s">
        <v>122</v>
      </c>
      <c r="K881" s="4">
        <v>45200</v>
      </c>
      <c r="L881">
        <v>2023</v>
      </c>
      <c r="M881" s="4">
        <v>45202</v>
      </c>
      <c r="N881">
        <v>128.4799999999957</v>
      </c>
      <c r="O881">
        <v>10</v>
      </c>
    </row>
    <row r="882" spans="1:15" hidden="1" x14ac:dyDescent="0.25">
      <c r="A882" s="92">
        <v>880</v>
      </c>
      <c r="B882" s="47">
        <f>MONTH(dis_table[[#This Row],[Date]])</f>
        <v>10</v>
      </c>
      <c r="C882" s="4">
        <v>45203</v>
      </c>
      <c r="D882" s="4">
        <v>45203</v>
      </c>
      <c r="E882" t="s">
        <v>1132</v>
      </c>
      <c r="F882">
        <v>11.79</v>
      </c>
      <c r="G882" t="s">
        <v>9</v>
      </c>
      <c r="H882" t="s">
        <v>14</v>
      </c>
      <c r="I882" t="s">
        <v>12</v>
      </c>
      <c r="J882" t="s">
        <v>13</v>
      </c>
      <c r="K882" s="4">
        <v>45200</v>
      </c>
      <c r="L882">
        <v>2023</v>
      </c>
      <c r="M882" s="4">
        <v>45203</v>
      </c>
      <c r="N882">
        <v>140.26999999999569</v>
      </c>
      <c r="O882">
        <v>86</v>
      </c>
    </row>
    <row r="883" spans="1:15" hidden="1" x14ac:dyDescent="0.25">
      <c r="A883" s="92">
        <v>881</v>
      </c>
      <c r="B883" s="47">
        <f>MONTH(dis_table[[#This Row],[Date]])</f>
        <v>10</v>
      </c>
      <c r="C883" s="4">
        <v>45203</v>
      </c>
      <c r="D883" s="4">
        <v>45203</v>
      </c>
      <c r="E883" t="s">
        <v>1133</v>
      </c>
      <c r="F883">
        <v>86.98</v>
      </c>
      <c r="G883" t="s">
        <v>9</v>
      </c>
      <c r="H883" t="s">
        <v>10</v>
      </c>
      <c r="I883" t="s">
        <v>12</v>
      </c>
      <c r="J883" t="s">
        <v>13</v>
      </c>
      <c r="K883" s="4">
        <v>45200</v>
      </c>
      <c r="L883">
        <v>2023</v>
      </c>
      <c r="M883" s="4">
        <v>45203</v>
      </c>
      <c r="N883">
        <v>227.24999999999571</v>
      </c>
      <c r="O883">
        <v>50</v>
      </c>
    </row>
    <row r="884" spans="1:15" hidden="1" x14ac:dyDescent="0.25">
      <c r="A884" s="92">
        <v>882</v>
      </c>
      <c r="B884" s="47">
        <f>MONTH(dis_table[[#This Row],[Date]])</f>
        <v>10</v>
      </c>
      <c r="C884" s="4">
        <v>45204</v>
      </c>
      <c r="D884" s="4">
        <v>45204</v>
      </c>
      <c r="E884" t="s">
        <v>1102</v>
      </c>
      <c r="F884">
        <v>50</v>
      </c>
      <c r="G884" t="s">
        <v>16</v>
      </c>
      <c r="H884" t="s">
        <v>1103</v>
      </c>
      <c r="I884" t="s">
        <v>12</v>
      </c>
      <c r="J884" t="s">
        <v>19</v>
      </c>
      <c r="K884" s="4">
        <v>45200</v>
      </c>
      <c r="L884">
        <v>2023</v>
      </c>
      <c r="M884" s="4">
        <v>45204</v>
      </c>
      <c r="N884">
        <v>277.24999999999568</v>
      </c>
      <c r="O884">
        <v>7</v>
      </c>
    </row>
    <row r="885" spans="1:15" hidden="1" x14ac:dyDescent="0.25">
      <c r="A885" s="92">
        <v>883</v>
      </c>
      <c r="B885" s="47">
        <f>MONTH(dis_table[[#This Row],[Date]])</f>
        <v>10</v>
      </c>
      <c r="C885" s="4">
        <v>45204</v>
      </c>
      <c r="D885" s="4">
        <v>45204</v>
      </c>
      <c r="E885" t="s">
        <v>125</v>
      </c>
      <c r="F885">
        <v>99.67</v>
      </c>
      <c r="G885" t="s">
        <v>34</v>
      </c>
      <c r="H885" t="s">
        <v>133</v>
      </c>
      <c r="I885" t="s">
        <v>12</v>
      </c>
      <c r="J885" t="s">
        <v>24</v>
      </c>
      <c r="K885" s="4">
        <v>45200</v>
      </c>
      <c r="L885">
        <v>2023</v>
      </c>
      <c r="M885" s="4">
        <v>45204</v>
      </c>
      <c r="N885">
        <v>376.9199999999957</v>
      </c>
      <c r="O885">
        <v>44</v>
      </c>
    </row>
    <row r="886" spans="1:15" hidden="1" x14ac:dyDescent="0.25">
      <c r="A886" s="92">
        <v>884</v>
      </c>
      <c r="B886" s="47">
        <f>MONTH(dis_table[[#This Row],[Date]])</f>
        <v>10</v>
      </c>
      <c r="C886" s="4">
        <v>45206</v>
      </c>
      <c r="D886" s="4">
        <v>45206</v>
      </c>
      <c r="E886" t="s">
        <v>1134</v>
      </c>
      <c r="F886">
        <v>27.13</v>
      </c>
      <c r="G886" t="s">
        <v>16</v>
      </c>
      <c r="H886" t="s">
        <v>25</v>
      </c>
      <c r="I886" t="s">
        <v>12</v>
      </c>
      <c r="J886" t="s">
        <v>24</v>
      </c>
      <c r="K886" s="4">
        <v>45200</v>
      </c>
      <c r="L886">
        <v>2023</v>
      </c>
      <c r="M886" s="4">
        <v>45206</v>
      </c>
      <c r="N886">
        <v>404.04999999999569</v>
      </c>
      <c r="O886">
        <v>23</v>
      </c>
    </row>
    <row r="887" spans="1:15" hidden="1" x14ac:dyDescent="0.25">
      <c r="A887" s="92">
        <v>885</v>
      </c>
      <c r="B887" s="47">
        <f>MONTH(dis_table[[#This Row],[Date]])</f>
        <v>10</v>
      </c>
      <c r="C887" s="4">
        <v>45206</v>
      </c>
      <c r="D887" s="4">
        <v>45206</v>
      </c>
      <c r="E887" t="s">
        <v>1135</v>
      </c>
      <c r="F887">
        <v>9.99</v>
      </c>
      <c r="G887" t="s">
        <v>16</v>
      </c>
      <c r="H887" t="s">
        <v>135</v>
      </c>
      <c r="I887" t="s">
        <v>18</v>
      </c>
      <c r="J887" t="s">
        <v>24</v>
      </c>
      <c r="K887" s="4">
        <v>45200</v>
      </c>
      <c r="L887">
        <v>2023</v>
      </c>
      <c r="M887" s="4">
        <v>45206</v>
      </c>
      <c r="N887">
        <v>414.0399999999957</v>
      </c>
      <c r="O887">
        <v>10</v>
      </c>
    </row>
    <row r="888" spans="1:15" hidden="1" x14ac:dyDescent="0.25">
      <c r="A888" s="92">
        <v>886</v>
      </c>
      <c r="B888" s="47">
        <f>MONTH(dis_table[[#This Row],[Date]])</f>
        <v>10</v>
      </c>
      <c r="C888" s="4">
        <v>45206</v>
      </c>
      <c r="D888" s="4">
        <v>45206</v>
      </c>
      <c r="E888" t="s">
        <v>1136</v>
      </c>
      <c r="F888">
        <v>5.18</v>
      </c>
      <c r="G888" t="s">
        <v>34</v>
      </c>
      <c r="H888" t="s">
        <v>35</v>
      </c>
      <c r="I888" t="s">
        <v>12</v>
      </c>
      <c r="J888" t="s">
        <v>13</v>
      </c>
      <c r="K888" s="4">
        <v>45200</v>
      </c>
      <c r="L888">
        <v>2023</v>
      </c>
      <c r="M888" s="4">
        <v>45206</v>
      </c>
      <c r="N888">
        <v>419.21999999999571</v>
      </c>
      <c r="O888">
        <v>47</v>
      </c>
    </row>
    <row r="889" spans="1:15" hidden="1" x14ac:dyDescent="0.25">
      <c r="A889" s="92">
        <v>887</v>
      </c>
      <c r="B889" s="47">
        <f>MONTH(dis_table[[#This Row],[Date]])</f>
        <v>10</v>
      </c>
      <c r="C889" s="4">
        <v>45206</v>
      </c>
      <c r="D889" s="4">
        <v>45206</v>
      </c>
      <c r="E889" t="s">
        <v>1137</v>
      </c>
      <c r="F889">
        <v>13.8</v>
      </c>
      <c r="G889" t="s">
        <v>9</v>
      </c>
      <c r="H889" t="s">
        <v>14</v>
      </c>
      <c r="I889" t="s">
        <v>12</v>
      </c>
      <c r="J889" t="s">
        <v>13</v>
      </c>
      <c r="K889" s="4">
        <v>45200</v>
      </c>
      <c r="L889">
        <v>2023</v>
      </c>
      <c r="M889" s="4">
        <v>45206</v>
      </c>
      <c r="N889">
        <v>433.01999999999572</v>
      </c>
      <c r="O889">
        <v>87</v>
      </c>
    </row>
    <row r="890" spans="1:15" hidden="1" x14ac:dyDescent="0.25">
      <c r="A890" s="92">
        <v>888</v>
      </c>
      <c r="B890" s="47">
        <f>MONTH(dis_table[[#This Row],[Date]])</f>
        <v>10</v>
      </c>
      <c r="C890" s="4">
        <v>45207</v>
      </c>
      <c r="D890" s="4">
        <v>45207</v>
      </c>
      <c r="E890" t="s">
        <v>1138</v>
      </c>
      <c r="F890">
        <v>54.52</v>
      </c>
      <c r="G890" t="s">
        <v>9</v>
      </c>
      <c r="H890" t="s">
        <v>14</v>
      </c>
      <c r="I890" t="s">
        <v>12</v>
      </c>
      <c r="J890" t="s">
        <v>13</v>
      </c>
      <c r="K890" s="4">
        <v>45200</v>
      </c>
      <c r="L890">
        <v>2023</v>
      </c>
      <c r="M890" s="4">
        <v>45207</v>
      </c>
      <c r="N890">
        <v>487.5399999999957</v>
      </c>
      <c r="O890">
        <v>88</v>
      </c>
    </row>
    <row r="891" spans="1:15" hidden="1" x14ac:dyDescent="0.25">
      <c r="A891" s="92">
        <v>889</v>
      </c>
      <c r="B891" s="47">
        <f>MONTH(dis_table[[#This Row],[Date]])</f>
        <v>10</v>
      </c>
      <c r="C891" s="4">
        <v>45207</v>
      </c>
      <c r="D891" s="4">
        <v>45207</v>
      </c>
      <c r="E891" t="s">
        <v>1139</v>
      </c>
      <c r="F891">
        <v>19.809999999999999</v>
      </c>
      <c r="G891" t="s">
        <v>9</v>
      </c>
      <c r="H891" t="s">
        <v>14</v>
      </c>
      <c r="I891" t="s">
        <v>12</v>
      </c>
      <c r="J891" t="s">
        <v>13</v>
      </c>
      <c r="K891" s="4">
        <v>45200</v>
      </c>
      <c r="L891">
        <v>2023</v>
      </c>
      <c r="M891" s="4">
        <v>45207</v>
      </c>
      <c r="N891">
        <v>507.3499999999957</v>
      </c>
      <c r="O891">
        <v>89</v>
      </c>
    </row>
    <row r="892" spans="1:15" hidden="1" x14ac:dyDescent="0.25">
      <c r="A892" s="92">
        <v>890</v>
      </c>
      <c r="B892" s="47">
        <f>MONTH(dis_table[[#This Row],[Date]])</f>
        <v>10</v>
      </c>
      <c r="C892" s="4">
        <v>45207</v>
      </c>
      <c r="D892" s="4">
        <v>45207</v>
      </c>
      <c r="E892" t="s">
        <v>1140</v>
      </c>
      <c r="F892">
        <v>100</v>
      </c>
      <c r="G892" t="s">
        <v>36</v>
      </c>
      <c r="H892" t="s">
        <v>72</v>
      </c>
      <c r="I892" t="s">
        <v>12</v>
      </c>
      <c r="J892" t="s">
        <v>24</v>
      </c>
      <c r="K892" s="4">
        <v>45200</v>
      </c>
      <c r="L892">
        <v>2023</v>
      </c>
      <c r="M892" s="4">
        <v>45207</v>
      </c>
      <c r="N892">
        <v>607.3499999999957</v>
      </c>
      <c r="O892">
        <v>14</v>
      </c>
    </row>
    <row r="893" spans="1:15" hidden="1" x14ac:dyDescent="0.25">
      <c r="A893" s="92">
        <v>891</v>
      </c>
      <c r="B893" s="47">
        <f>MONTH(dis_table[[#This Row],[Date]])</f>
        <v>10</v>
      </c>
      <c r="C893" s="4">
        <v>45207</v>
      </c>
      <c r="D893" s="4">
        <v>45207</v>
      </c>
      <c r="E893" t="s">
        <v>1141</v>
      </c>
      <c r="F893">
        <v>136.57</v>
      </c>
      <c r="G893" t="s">
        <v>22</v>
      </c>
      <c r="H893" t="s">
        <v>65</v>
      </c>
      <c r="I893" t="s">
        <v>12</v>
      </c>
      <c r="J893" t="s">
        <v>19</v>
      </c>
      <c r="K893" s="4">
        <v>45200</v>
      </c>
      <c r="L893">
        <v>2023</v>
      </c>
      <c r="M893" s="4">
        <v>45207</v>
      </c>
      <c r="N893">
        <v>743.91999999999575</v>
      </c>
      <c r="O893">
        <v>4</v>
      </c>
    </row>
    <row r="894" spans="1:15" hidden="1" x14ac:dyDescent="0.25">
      <c r="A894" s="92">
        <v>892</v>
      </c>
      <c r="B894" s="47">
        <f>MONTH(dis_table[[#This Row],[Date]])</f>
        <v>10</v>
      </c>
      <c r="C894" s="4">
        <v>45207</v>
      </c>
      <c r="D894" s="4">
        <v>45207</v>
      </c>
      <c r="E894" t="s">
        <v>1142</v>
      </c>
      <c r="F894">
        <v>76.31</v>
      </c>
      <c r="G894" t="s">
        <v>16</v>
      </c>
      <c r="H894" t="s">
        <v>1143</v>
      </c>
      <c r="I894" t="s">
        <v>18</v>
      </c>
      <c r="J894" t="s">
        <v>19</v>
      </c>
      <c r="K894" s="4">
        <v>45200</v>
      </c>
      <c r="L894">
        <v>2023</v>
      </c>
      <c r="M894" s="4">
        <v>45207</v>
      </c>
      <c r="N894">
        <v>820.2299999999957</v>
      </c>
      <c r="O894">
        <v>1</v>
      </c>
    </row>
    <row r="895" spans="1:15" hidden="1" x14ac:dyDescent="0.25">
      <c r="A895" s="92">
        <v>893</v>
      </c>
      <c r="B895" s="47">
        <f>MONTH(dis_table[[#This Row],[Date]])</f>
        <v>10</v>
      </c>
      <c r="C895" s="4">
        <v>45207</v>
      </c>
      <c r="D895" s="4">
        <v>45207</v>
      </c>
      <c r="E895" t="s">
        <v>1144</v>
      </c>
      <c r="F895">
        <v>29</v>
      </c>
      <c r="G895" t="s">
        <v>16</v>
      </c>
      <c r="H895" t="s">
        <v>39</v>
      </c>
      <c r="I895" t="s">
        <v>18</v>
      </c>
      <c r="J895" t="s">
        <v>40</v>
      </c>
      <c r="K895" s="4">
        <v>45200</v>
      </c>
      <c r="L895">
        <v>2023</v>
      </c>
      <c r="M895" s="4">
        <v>45207</v>
      </c>
      <c r="N895">
        <v>849.2299999999957</v>
      </c>
      <c r="O895">
        <v>9</v>
      </c>
    </row>
    <row r="896" spans="1:15" hidden="1" x14ac:dyDescent="0.25">
      <c r="A896" s="92">
        <v>894</v>
      </c>
      <c r="B896" s="47">
        <f>MONTH(dis_table[[#This Row],[Date]])</f>
        <v>10</v>
      </c>
      <c r="C896" s="4">
        <v>45207</v>
      </c>
      <c r="D896" s="4">
        <v>45207</v>
      </c>
      <c r="E896" t="s">
        <v>1145</v>
      </c>
      <c r="F896">
        <v>8.86</v>
      </c>
      <c r="G896" t="s">
        <v>9</v>
      </c>
      <c r="H896" t="s">
        <v>14</v>
      </c>
      <c r="I896" t="s">
        <v>12</v>
      </c>
      <c r="J896" t="s">
        <v>13</v>
      </c>
      <c r="K896" s="4">
        <v>45200</v>
      </c>
      <c r="L896">
        <v>2023</v>
      </c>
      <c r="M896" s="4">
        <v>45207</v>
      </c>
      <c r="N896">
        <v>858.08999999999571</v>
      </c>
      <c r="O896">
        <v>90</v>
      </c>
    </row>
    <row r="897" spans="1:15" hidden="1" x14ac:dyDescent="0.25">
      <c r="A897" s="92">
        <v>895</v>
      </c>
      <c r="B897" s="47">
        <f>MONTH(dis_table[[#This Row],[Date]])</f>
        <v>10</v>
      </c>
      <c r="C897" s="4">
        <v>45208</v>
      </c>
      <c r="D897" s="4">
        <v>45208</v>
      </c>
      <c r="E897" t="s">
        <v>1146</v>
      </c>
      <c r="F897">
        <v>79.2</v>
      </c>
      <c r="G897" t="s">
        <v>22</v>
      </c>
      <c r="H897" t="s">
        <v>74</v>
      </c>
      <c r="I897" t="s">
        <v>12</v>
      </c>
      <c r="J897" t="s">
        <v>19</v>
      </c>
      <c r="K897" s="4">
        <v>45200</v>
      </c>
      <c r="L897">
        <v>2023</v>
      </c>
      <c r="M897" s="4">
        <v>45208</v>
      </c>
      <c r="N897">
        <v>937.28999999999576</v>
      </c>
      <c r="O897">
        <v>6</v>
      </c>
    </row>
    <row r="898" spans="1:15" hidden="1" x14ac:dyDescent="0.25">
      <c r="A898" s="92">
        <v>896</v>
      </c>
      <c r="B898" s="47">
        <f>MONTH(dis_table[[#This Row],[Date]])</f>
        <v>10</v>
      </c>
      <c r="C898" s="4">
        <v>45208</v>
      </c>
      <c r="D898" s="4">
        <v>45208</v>
      </c>
      <c r="E898" t="s">
        <v>1147</v>
      </c>
      <c r="F898">
        <v>18.739999999999998</v>
      </c>
      <c r="G898" t="s">
        <v>9</v>
      </c>
      <c r="H898" t="s">
        <v>14</v>
      </c>
      <c r="I898" t="s">
        <v>12</v>
      </c>
      <c r="J898" t="s">
        <v>13</v>
      </c>
      <c r="K898" s="4">
        <v>45200</v>
      </c>
      <c r="L898">
        <v>2023</v>
      </c>
      <c r="M898" s="4">
        <v>45208</v>
      </c>
      <c r="N898">
        <v>956.02999999999577</v>
      </c>
      <c r="O898">
        <v>91</v>
      </c>
    </row>
    <row r="899" spans="1:15" hidden="1" x14ac:dyDescent="0.25">
      <c r="A899" s="92">
        <v>897</v>
      </c>
      <c r="B899" s="47">
        <f>MONTH(dis_table[[#This Row],[Date]])</f>
        <v>10</v>
      </c>
      <c r="C899" s="4">
        <v>45208</v>
      </c>
      <c r="D899" s="4">
        <v>45208</v>
      </c>
      <c r="E899" t="s">
        <v>1108</v>
      </c>
      <c r="F899">
        <v>164.43</v>
      </c>
      <c r="G899" t="s">
        <v>16</v>
      </c>
      <c r="H899" t="s">
        <v>1103</v>
      </c>
      <c r="I899" t="s">
        <v>12</v>
      </c>
      <c r="J899" t="s">
        <v>19</v>
      </c>
      <c r="K899" s="4">
        <v>45200</v>
      </c>
      <c r="L899">
        <v>2023</v>
      </c>
      <c r="M899" s="4">
        <v>45208</v>
      </c>
      <c r="N899">
        <v>1120.4599999999959</v>
      </c>
      <c r="O899">
        <v>8</v>
      </c>
    </row>
    <row r="900" spans="1:15" hidden="1" x14ac:dyDescent="0.25">
      <c r="A900" s="92">
        <v>898</v>
      </c>
      <c r="B900" s="47">
        <f>MONTH(dis_table[[#This Row],[Date]])</f>
        <v>10</v>
      </c>
      <c r="C900" s="4">
        <v>45209</v>
      </c>
      <c r="D900" s="4">
        <v>45209</v>
      </c>
      <c r="E900" t="s">
        <v>1148</v>
      </c>
      <c r="F900">
        <v>30</v>
      </c>
      <c r="G900" t="s">
        <v>36</v>
      </c>
      <c r="H900" t="s">
        <v>1149</v>
      </c>
      <c r="I900" t="s">
        <v>12</v>
      </c>
      <c r="J900" t="s">
        <v>19</v>
      </c>
      <c r="K900" s="4">
        <v>45200</v>
      </c>
      <c r="L900">
        <v>2023</v>
      </c>
      <c r="M900" s="4">
        <v>45209</v>
      </c>
      <c r="N900">
        <v>1150.4599999999959</v>
      </c>
      <c r="O900">
        <v>1</v>
      </c>
    </row>
    <row r="901" spans="1:15" hidden="1" x14ac:dyDescent="0.25">
      <c r="A901" s="92">
        <v>899</v>
      </c>
      <c r="B901" s="47">
        <f>MONTH(dis_table[[#This Row],[Date]])</f>
        <v>10</v>
      </c>
      <c r="C901" s="4">
        <v>45209</v>
      </c>
      <c r="D901" s="4">
        <v>45209</v>
      </c>
      <c r="E901" t="s">
        <v>125</v>
      </c>
      <c r="F901">
        <v>54.22</v>
      </c>
      <c r="G901" t="s">
        <v>34</v>
      </c>
      <c r="H901" t="s">
        <v>133</v>
      </c>
      <c r="I901" t="s">
        <v>12</v>
      </c>
      <c r="J901" t="s">
        <v>24</v>
      </c>
      <c r="K901" s="4">
        <v>45200</v>
      </c>
      <c r="L901">
        <v>2023</v>
      </c>
      <c r="M901" s="4">
        <v>45209</v>
      </c>
      <c r="N901">
        <v>1204.679999999996</v>
      </c>
      <c r="O901">
        <v>45</v>
      </c>
    </row>
    <row r="902" spans="1:15" hidden="1" x14ac:dyDescent="0.25">
      <c r="A902" s="92">
        <v>900</v>
      </c>
      <c r="B902" s="47">
        <f>MONTH(dis_table[[#This Row],[Date]])</f>
        <v>10</v>
      </c>
      <c r="C902" s="4">
        <v>45210</v>
      </c>
      <c r="D902" s="4">
        <v>45210</v>
      </c>
      <c r="E902" t="s">
        <v>1006</v>
      </c>
      <c r="F902">
        <v>19</v>
      </c>
      <c r="G902" t="s">
        <v>16</v>
      </c>
      <c r="H902" t="s">
        <v>72</v>
      </c>
      <c r="I902" t="s">
        <v>12</v>
      </c>
      <c r="J902" t="s">
        <v>24</v>
      </c>
      <c r="K902" s="4">
        <v>45200</v>
      </c>
      <c r="L902">
        <v>2023</v>
      </c>
      <c r="M902" s="4">
        <v>45210</v>
      </c>
      <c r="N902">
        <v>1223.679999999996</v>
      </c>
      <c r="O902">
        <v>15</v>
      </c>
    </row>
    <row r="903" spans="1:15" hidden="1" x14ac:dyDescent="0.25">
      <c r="A903" s="92">
        <v>901</v>
      </c>
      <c r="B903" s="47">
        <f>MONTH(dis_table[[#This Row],[Date]])</f>
        <v>10</v>
      </c>
      <c r="C903" s="4">
        <v>45211</v>
      </c>
      <c r="D903" s="4">
        <v>45211</v>
      </c>
      <c r="E903" t="s">
        <v>85</v>
      </c>
      <c r="F903">
        <v>69.510000000000005</v>
      </c>
      <c r="G903" t="s">
        <v>34</v>
      </c>
      <c r="H903" t="s">
        <v>35</v>
      </c>
      <c r="I903" t="s">
        <v>12</v>
      </c>
      <c r="J903" t="s">
        <v>13</v>
      </c>
      <c r="K903" s="4">
        <v>45200</v>
      </c>
      <c r="L903">
        <v>2023</v>
      </c>
      <c r="M903" s="4">
        <v>45211</v>
      </c>
      <c r="N903">
        <v>1293.189999999996</v>
      </c>
      <c r="O903">
        <v>48</v>
      </c>
    </row>
    <row r="904" spans="1:15" hidden="1" x14ac:dyDescent="0.25">
      <c r="A904" s="92">
        <v>902</v>
      </c>
      <c r="B904" s="47">
        <f>MONTH(dis_table[[#This Row],[Date]])</f>
        <v>10</v>
      </c>
      <c r="C904" s="4">
        <v>45211</v>
      </c>
      <c r="D904" s="4">
        <v>45211</v>
      </c>
      <c r="E904" t="s">
        <v>1150</v>
      </c>
      <c r="F904">
        <v>23.76</v>
      </c>
      <c r="G904" t="s">
        <v>9</v>
      </c>
      <c r="H904" t="s">
        <v>14</v>
      </c>
      <c r="I904" t="s">
        <v>12</v>
      </c>
      <c r="J904" t="s">
        <v>13</v>
      </c>
      <c r="K904" s="4">
        <v>45200</v>
      </c>
      <c r="L904">
        <v>2023</v>
      </c>
      <c r="M904" s="4">
        <v>45211</v>
      </c>
      <c r="N904">
        <v>1316.949999999996</v>
      </c>
      <c r="O904">
        <v>92</v>
      </c>
    </row>
    <row r="905" spans="1:15" hidden="1" x14ac:dyDescent="0.25">
      <c r="A905" s="92">
        <v>903</v>
      </c>
      <c r="B905" s="47">
        <f>MONTH(dis_table[[#This Row],[Date]])</f>
        <v>10</v>
      </c>
      <c r="C905" s="4">
        <v>45211</v>
      </c>
      <c r="D905" s="4">
        <v>45211</v>
      </c>
      <c r="E905" t="s">
        <v>1151</v>
      </c>
      <c r="F905">
        <v>27.75</v>
      </c>
      <c r="G905" t="s">
        <v>22</v>
      </c>
      <c r="H905" t="s">
        <v>65</v>
      </c>
      <c r="I905" t="s">
        <v>12</v>
      </c>
      <c r="J905" t="s">
        <v>19</v>
      </c>
      <c r="K905" s="4">
        <v>45200</v>
      </c>
      <c r="L905">
        <v>2023</v>
      </c>
      <c r="M905" s="4">
        <v>45211</v>
      </c>
      <c r="N905">
        <v>1344.699999999996</v>
      </c>
      <c r="O905">
        <v>5</v>
      </c>
    </row>
    <row r="906" spans="1:15" hidden="1" x14ac:dyDescent="0.25">
      <c r="A906" s="92">
        <v>904</v>
      </c>
      <c r="B906" s="47">
        <f>MONTH(dis_table[[#This Row],[Date]])</f>
        <v>10</v>
      </c>
      <c r="C906" s="4">
        <v>45213</v>
      </c>
      <c r="D906" s="4">
        <v>45213</v>
      </c>
      <c r="E906" t="s">
        <v>50</v>
      </c>
      <c r="F906">
        <v>90.83</v>
      </c>
      <c r="G906" t="s">
        <v>16</v>
      </c>
      <c r="H906" t="s">
        <v>51</v>
      </c>
      <c r="I906" t="s">
        <v>18</v>
      </c>
      <c r="J906" t="s">
        <v>52</v>
      </c>
      <c r="K906" s="4">
        <v>45200</v>
      </c>
      <c r="L906">
        <v>2023</v>
      </c>
      <c r="M906" s="4">
        <v>45213</v>
      </c>
      <c r="N906">
        <v>1435.5299999999961</v>
      </c>
      <c r="O906">
        <v>10</v>
      </c>
    </row>
    <row r="907" spans="1:15" hidden="1" x14ac:dyDescent="0.25">
      <c r="A907" s="92">
        <v>905</v>
      </c>
      <c r="B907" s="47">
        <f>MONTH(dis_table[[#This Row],[Date]])</f>
        <v>10</v>
      </c>
      <c r="C907" s="4">
        <v>45214</v>
      </c>
      <c r="D907" s="4">
        <v>45214</v>
      </c>
      <c r="E907" t="s">
        <v>1152</v>
      </c>
      <c r="F907">
        <v>30.06</v>
      </c>
      <c r="G907" t="s">
        <v>9</v>
      </c>
      <c r="H907" t="s">
        <v>14</v>
      </c>
      <c r="I907" t="s">
        <v>12</v>
      </c>
      <c r="J907" t="s">
        <v>13</v>
      </c>
      <c r="K907" s="4">
        <v>45200</v>
      </c>
      <c r="L907">
        <v>2023</v>
      </c>
      <c r="M907" s="4">
        <v>45214</v>
      </c>
      <c r="N907">
        <v>1465.5899999999961</v>
      </c>
      <c r="O907">
        <v>93</v>
      </c>
    </row>
    <row r="908" spans="1:15" hidden="1" x14ac:dyDescent="0.25">
      <c r="A908" s="92">
        <v>906</v>
      </c>
      <c r="B908" s="47">
        <f>MONTH(dis_table[[#This Row],[Date]])</f>
        <v>10</v>
      </c>
      <c r="C908" s="4">
        <v>45214</v>
      </c>
      <c r="D908" s="4">
        <v>45214</v>
      </c>
      <c r="E908" t="s">
        <v>621</v>
      </c>
      <c r="F908">
        <v>15.93</v>
      </c>
      <c r="G908" t="s">
        <v>22</v>
      </c>
      <c r="H908" t="s">
        <v>42</v>
      </c>
      <c r="I908" t="s">
        <v>12</v>
      </c>
      <c r="J908" t="s">
        <v>31</v>
      </c>
      <c r="K908" s="4">
        <v>45200</v>
      </c>
      <c r="L908">
        <v>2023</v>
      </c>
      <c r="M908" s="4">
        <v>45214</v>
      </c>
      <c r="N908">
        <v>1481.5199999999959</v>
      </c>
      <c r="O908">
        <v>81</v>
      </c>
    </row>
    <row r="909" spans="1:15" hidden="1" x14ac:dyDescent="0.25">
      <c r="A909" s="92">
        <v>907</v>
      </c>
      <c r="B909" s="47">
        <f>MONTH(dis_table[[#This Row],[Date]])</f>
        <v>10</v>
      </c>
      <c r="C909" s="4">
        <v>45214</v>
      </c>
      <c r="D909" s="4">
        <v>45214</v>
      </c>
      <c r="E909" t="s">
        <v>139</v>
      </c>
      <c r="F909">
        <v>6.02</v>
      </c>
      <c r="G909" t="s">
        <v>16</v>
      </c>
      <c r="H909" t="s">
        <v>25</v>
      </c>
      <c r="I909" t="s">
        <v>12</v>
      </c>
      <c r="J909" t="s">
        <v>24</v>
      </c>
      <c r="K909" s="4">
        <v>45200</v>
      </c>
      <c r="L909">
        <v>2023</v>
      </c>
      <c r="M909" s="4">
        <v>45214</v>
      </c>
      <c r="N909">
        <v>1487.5399999999961</v>
      </c>
      <c r="O909">
        <v>24</v>
      </c>
    </row>
    <row r="910" spans="1:15" hidden="1" x14ac:dyDescent="0.25">
      <c r="A910" s="92">
        <v>908</v>
      </c>
      <c r="B910" s="47">
        <f>MONTH(dis_table[[#This Row],[Date]])</f>
        <v>10</v>
      </c>
      <c r="C910" s="4">
        <v>45214</v>
      </c>
      <c r="D910" s="4">
        <v>45214</v>
      </c>
      <c r="E910" t="s">
        <v>139</v>
      </c>
      <c r="F910">
        <v>52.49</v>
      </c>
      <c r="G910" t="s">
        <v>16</v>
      </c>
      <c r="H910" t="s">
        <v>25</v>
      </c>
      <c r="I910" t="s">
        <v>12</v>
      </c>
      <c r="J910" t="s">
        <v>24</v>
      </c>
      <c r="K910" s="4">
        <v>45200</v>
      </c>
      <c r="L910">
        <v>2023</v>
      </c>
      <c r="M910" s="4">
        <v>45214</v>
      </c>
      <c r="N910">
        <v>1540.0299999999961</v>
      </c>
      <c r="O910">
        <v>25</v>
      </c>
    </row>
    <row r="911" spans="1:15" hidden="1" x14ac:dyDescent="0.25">
      <c r="A911" s="92">
        <v>909</v>
      </c>
      <c r="B911" s="47">
        <f>MONTH(dis_table[[#This Row],[Date]])</f>
        <v>10</v>
      </c>
      <c r="C911" s="4">
        <v>45215</v>
      </c>
      <c r="D911" s="4">
        <v>45215</v>
      </c>
      <c r="E911" t="s">
        <v>70</v>
      </c>
      <c r="F911">
        <v>14.97</v>
      </c>
      <c r="G911" t="s">
        <v>22</v>
      </c>
      <c r="H911" t="s">
        <v>42</v>
      </c>
      <c r="I911" t="s">
        <v>12</v>
      </c>
      <c r="J911" t="s">
        <v>31</v>
      </c>
      <c r="K911" s="4">
        <v>45200</v>
      </c>
      <c r="L911">
        <v>2023</v>
      </c>
      <c r="M911" s="4">
        <v>45215</v>
      </c>
      <c r="N911">
        <v>1554.9999999999959</v>
      </c>
      <c r="O911">
        <v>82</v>
      </c>
    </row>
    <row r="912" spans="1:15" hidden="1" x14ac:dyDescent="0.25">
      <c r="A912" s="92">
        <v>910</v>
      </c>
      <c r="B912" s="47">
        <f>MONTH(dis_table[[#This Row],[Date]])</f>
        <v>10</v>
      </c>
      <c r="C912" s="4">
        <v>45215</v>
      </c>
      <c r="D912" s="4">
        <v>45215</v>
      </c>
      <c r="E912" t="s">
        <v>1153</v>
      </c>
      <c r="F912">
        <v>39.619999999999997</v>
      </c>
      <c r="G912" t="s">
        <v>22</v>
      </c>
      <c r="H912" t="s">
        <v>329</v>
      </c>
      <c r="I912" t="s">
        <v>12</v>
      </c>
      <c r="J912" t="s">
        <v>24</v>
      </c>
      <c r="K912" s="4">
        <v>45200</v>
      </c>
      <c r="L912">
        <v>2023</v>
      </c>
      <c r="M912" s="4">
        <v>45215</v>
      </c>
      <c r="N912">
        <v>1594.619999999996</v>
      </c>
      <c r="O912">
        <v>12</v>
      </c>
    </row>
    <row r="913" spans="1:15" hidden="1" x14ac:dyDescent="0.25">
      <c r="A913" s="92">
        <v>911</v>
      </c>
      <c r="B913" s="47">
        <f>MONTH(dis_table[[#This Row],[Date]])</f>
        <v>10</v>
      </c>
      <c r="C913" s="4">
        <v>45215</v>
      </c>
      <c r="D913" s="4">
        <v>45215</v>
      </c>
      <c r="E913" t="s">
        <v>1154</v>
      </c>
      <c r="F913">
        <v>10.86</v>
      </c>
      <c r="G913" t="s">
        <v>22</v>
      </c>
      <c r="H913" t="s">
        <v>67</v>
      </c>
      <c r="I913" t="s">
        <v>12</v>
      </c>
      <c r="J913" t="s">
        <v>19</v>
      </c>
      <c r="K913" s="4">
        <v>45200</v>
      </c>
      <c r="L913">
        <v>2023</v>
      </c>
      <c r="M913" s="4">
        <v>45215</v>
      </c>
      <c r="N913">
        <v>1605.479999999995</v>
      </c>
      <c r="O913">
        <v>12</v>
      </c>
    </row>
    <row r="914" spans="1:15" hidden="1" x14ac:dyDescent="0.25">
      <c r="A914" s="92">
        <v>912</v>
      </c>
      <c r="B914" s="47">
        <f>MONTH(dis_table[[#This Row],[Date]])</f>
        <v>10</v>
      </c>
      <c r="C914" s="4">
        <v>45215</v>
      </c>
      <c r="D914" s="4">
        <v>45215</v>
      </c>
      <c r="E914" t="s">
        <v>1155</v>
      </c>
      <c r="F914">
        <v>62</v>
      </c>
      <c r="G914" t="s">
        <v>9</v>
      </c>
      <c r="H914" t="s">
        <v>14</v>
      </c>
      <c r="I914" t="s">
        <v>12</v>
      </c>
      <c r="J914" t="s">
        <v>13</v>
      </c>
      <c r="K914" s="4">
        <v>45200</v>
      </c>
      <c r="L914">
        <v>2023</v>
      </c>
      <c r="M914" s="4">
        <v>45215</v>
      </c>
      <c r="N914">
        <v>1667.479999999995</v>
      </c>
      <c r="O914">
        <v>94</v>
      </c>
    </row>
    <row r="915" spans="1:15" hidden="1" x14ac:dyDescent="0.25">
      <c r="A915" s="92">
        <v>913</v>
      </c>
      <c r="B915" s="47">
        <f>MONTH(dis_table[[#This Row],[Date]])</f>
        <v>10</v>
      </c>
      <c r="C915" s="4">
        <v>45215</v>
      </c>
      <c r="D915" s="4">
        <v>45215</v>
      </c>
      <c r="E915" t="s">
        <v>1156</v>
      </c>
      <c r="F915">
        <v>22.08</v>
      </c>
      <c r="G915" t="s">
        <v>16</v>
      </c>
      <c r="H915" t="s">
        <v>133</v>
      </c>
      <c r="I915" t="s">
        <v>12</v>
      </c>
      <c r="J915" t="s">
        <v>24</v>
      </c>
      <c r="K915" s="4">
        <v>45200</v>
      </c>
      <c r="L915">
        <v>2023</v>
      </c>
      <c r="M915" s="4">
        <v>45215</v>
      </c>
      <c r="N915">
        <v>1689.5599999999949</v>
      </c>
      <c r="O915">
        <v>46</v>
      </c>
    </row>
    <row r="916" spans="1:15" hidden="1" x14ac:dyDescent="0.25">
      <c r="A916" s="92">
        <v>914</v>
      </c>
      <c r="B916" s="47">
        <f>MONTH(dis_table[[#This Row],[Date]])</f>
        <v>10</v>
      </c>
      <c r="C916" s="4">
        <v>45215</v>
      </c>
      <c r="D916" s="4">
        <v>45215</v>
      </c>
      <c r="E916" t="s">
        <v>187</v>
      </c>
      <c r="F916">
        <v>25</v>
      </c>
      <c r="G916" t="s">
        <v>22</v>
      </c>
      <c r="H916" t="s">
        <v>188</v>
      </c>
      <c r="I916" t="s">
        <v>12</v>
      </c>
      <c r="J916" t="s">
        <v>31</v>
      </c>
      <c r="K916" s="4">
        <v>45200</v>
      </c>
      <c r="L916">
        <v>2023</v>
      </c>
      <c r="M916" s="4">
        <v>45215</v>
      </c>
      <c r="N916">
        <v>1714.5599999999949</v>
      </c>
      <c r="O916">
        <v>10</v>
      </c>
    </row>
    <row r="917" spans="1:15" hidden="1" x14ac:dyDescent="0.25">
      <c r="A917" s="92">
        <v>915</v>
      </c>
      <c r="B917" s="47">
        <f>MONTH(dis_table[[#This Row],[Date]])</f>
        <v>10</v>
      </c>
      <c r="C917" s="4">
        <v>45216</v>
      </c>
      <c r="D917" s="4">
        <v>45216</v>
      </c>
      <c r="E917" t="s">
        <v>1157</v>
      </c>
      <c r="F917">
        <v>12.95</v>
      </c>
      <c r="G917" t="s">
        <v>9</v>
      </c>
      <c r="H917" t="s">
        <v>14</v>
      </c>
      <c r="I917" t="s">
        <v>12</v>
      </c>
      <c r="J917" t="s">
        <v>13</v>
      </c>
      <c r="K917" s="4">
        <v>45200</v>
      </c>
      <c r="L917">
        <v>2023</v>
      </c>
      <c r="M917" s="4">
        <v>45216</v>
      </c>
      <c r="N917">
        <v>1727.509999999995</v>
      </c>
      <c r="O917">
        <v>95</v>
      </c>
    </row>
    <row r="918" spans="1:15" hidden="1" x14ac:dyDescent="0.25">
      <c r="A918" s="92">
        <v>916</v>
      </c>
      <c r="B918" s="47">
        <f>MONTH(dis_table[[#This Row],[Date]])</f>
        <v>10</v>
      </c>
      <c r="C918" s="4">
        <v>45217</v>
      </c>
      <c r="D918" s="4">
        <v>45217</v>
      </c>
      <c r="E918" t="s">
        <v>26</v>
      </c>
      <c r="F918">
        <v>-1582.98</v>
      </c>
      <c r="G918" t="s">
        <v>27</v>
      </c>
      <c r="H918" t="s">
        <v>28</v>
      </c>
      <c r="I918" t="s">
        <v>12</v>
      </c>
      <c r="J918" t="s">
        <v>122</v>
      </c>
      <c r="K918" s="4">
        <v>45200</v>
      </c>
      <c r="L918">
        <v>2023</v>
      </c>
      <c r="M918" s="4">
        <v>45217</v>
      </c>
      <c r="N918">
        <v>144.5299999999954</v>
      </c>
      <c r="O918">
        <v>30</v>
      </c>
    </row>
    <row r="919" spans="1:15" hidden="1" x14ac:dyDescent="0.25">
      <c r="A919" s="92">
        <v>917</v>
      </c>
      <c r="B919" s="47">
        <f>MONTH(dis_table[[#This Row],[Date]])</f>
        <v>10</v>
      </c>
      <c r="C919" s="4">
        <v>45217</v>
      </c>
      <c r="D919" s="4">
        <v>45217</v>
      </c>
      <c r="E919" t="s">
        <v>78</v>
      </c>
      <c r="F919">
        <v>49.99</v>
      </c>
      <c r="G919" t="s">
        <v>22</v>
      </c>
      <c r="H919" t="s">
        <v>55</v>
      </c>
      <c r="I919" t="s">
        <v>12</v>
      </c>
      <c r="J919" t="s">
        <v>31</v>
      </c>
      <c r="K919" s="4">
        <v>45200</v>
      </c>
      <c r="L919">
        <v>2023</v>
      </c>
      <c r="M919" s="4">
        <v>45217</v>
      </c>
      <c r="N919">
        <v>194.51999999999541</v>
      </c>
      <c r="O919">
        <v>14</v>
      </c>
    </row>
    <row r="920" spans="1:15" hidden="1" x14ac:dyDescent="0.25">
      <c r="A920" s="92">
        <v>918</v>
      </c>
      <c r="B920" s="47">
        <f>MONTH(dis_table[[#This Row],[Date]])</f>
        <v>10</v>
      </c>
      <c r="C920" s="4">
        <v>45218</v>
      </c>
      <c r="D920" s="4">
        <v>45218</v>
      </c>
      <c r="E920" t="s">
        <v>1158</v>
      </c>
      <c r="F920">
        <v>8.5299999999999994</v>
      </c>
      <c r="G920" t="s">
        <v>9</v>
      </c>
      <c r="H920" t="s">
        <v>10</v>
      </c>
      <c r="I920" t="s">
        <v>12</v>
      </c>
      <c r="J920" t="s">
        <v>13</v>
      </c>
      <c r="K920" s="4">
        <v>45200</v>
      </c>
      <c r="L920">
        <v>2023</v>
      </c>
      <c r="M920" s="4">
        <v>45218</v>
      </c>
      <c r="N920">
        <v>203.04999999999541</v>
      </c>
      <c r="O920">
        <v>51</v>
      </c>
    </row>
    <row r="921" spans="1:15" hidden="1" x14ac:dyDescent="0.25">
      <c r="A921" s="92">
        <v>919</v>
      </c>
      <c r="B921" s="47">
        <f>MONTH(dis_table[[#This Row],[Date]])</f>
        <v>10</v>
      </c>
      <c r="C921" s="4">
        <v>45219</v>
      </c>
      <c r="D921" s="4">
        <v>45219</v>
      </c>
      <c r="E921" t="s">
        <v>1159</v>
      </c>
      <c r="F921">
        <v>52.99</v>
      </c>
      <c r="G921" t="s">
        <v>16</v>
      </c>
      <c r="H921" t="s">
        <v>25</v>
      </c>
      <c r="I921" t="s">
        <v>12</v>
      </c>
      <c r="J921" t="s">
        <v>24</v>
      </c>
      <c r="K921" s="4">
        <v>45200</v>
      </c>
      <c r="L921">
        <v>2023</v>
      </c>
      <c r="M921" s="4">
        <v>45219</v>
      </c>
      <c r="N921">
        <v>256.03999999999542</v>
      </c>
      <c r="O921">
        <v>26</v>
      </c>
    </row>
    <row r="922" spans="1:15" hidden="1" x14ac:dyDescent="0.25">
      <c r="A922" s="92">
        <v>920</v>
      </c>
      <c r="B922" s="47">
        <f>MONTH(dis_table[[#This Row],[Date]])</f>
        <v>10</v>
      </c>
      <c r="C922" s="4">
        <v>45219</v>
      </c>
      <c r="D922" s="4">
        <v>45219</v>
      </c>
      <c r="E922" t="s">
        <v>1160</v>
      </c>
      <c r="F922">
        <v>12.55</v>
      </c>
      <c r="G922" t="s">
        <v>22</v>
      </c>
      <c r="H922" t="s">
        <v>57</v>
      </c>
      <c r="I922" t="s">
        <v>12</v>
      </c>
      <c r="J922" t="s">
        <v>19</v>
      </c>
      <c r="K922" s="4">
        <v>45200</v>
      </c>
      <c r="L922">
        <v>2023</v>
      </c>
      <c r="M922" s="4">
        <v>45219</v>
      </c>
      <c r="N922">
        <v>268.58999999999543</v>
      </c>
      <c r="O922">
        <v>20</v>
      </c>
    </row>
    <row r="923" spans="1:15" hidden="1" x14ac:dyDescent="0.25">
      <c r="A923" s="92">
        <v>921</v>
      </c>
      <c r="B923" s="47">
        <f>MONTH(dis_table[[#This Row],[Date]])</f>
        <v>10</v>
      </c>
      <c r="C923" s="4">
        <v>45219</v>
      </c>
      <c r="D923" s="4">
        <v>45219</v>
      </c>
      <c r="E923" t="s">
        <v>530</v>
      </c>
      <c r="F923">
        <v>0.6</v>
      </c>
      <c r="G923" t="s">
        <v>58</v>
      </c>
      <c r="H923" t="s">
        <v>531</v>
      </c>
      <c r="I923" t="s">
        <v>12</v>
      </c>
      <c r="J923" t="s">
        <v>59</v>
      </c>
      <c r="K923" s="4">
        <v>45200</v>
      </c>
      <c r="L923">
        <v>2023</v>
      </c>
      <c r="M923" s="4">
        <v>45219</v>
      </c>
      <c r="N923">
        <v>269.18999999999551</v>
      </c>
      <c r="O923">
        <v>6</v>
      </c>
    </row>
    <row r="924" spans="1:15" hidden="1" x14ac:dyDescent="0.25">
      <c r="A924" s="92">
        <v>922</v>
      </c>
      <c r="B924" s="47">
        <f>MONTH(dis_table[[#This Row],[Date]])</f>
        <v>10</v>
      </c>
      <c r="C924" s="4">
        <v>45219</v>
      </c>
      <c r="D924" s="4">
        <v>45219</v>
      </c>
      <c r="E924" t="s">
        <v>1161</v>
      </c>
      <c r="F924">
        <v>59.95</v>
      </c>
      <c r="G924" t="s">
        <v>16</v>
      </c>
      <c r="H924" t="s">
        <v>1162</v>
      </c>
      <c r="I924" t="s">
        <v>12</v>
      </c>
      <c r="J924" t="s">
        <v>19</v>
      </c>
      <c r="K924" s="4">
        <v>45200</v>
      </c>
      <c r="L924">
        <v>2023</v>
      </c>
      <c r="M924" s="4">
        <v>45219</v>
      </c>
      <c r="N924">
        <v>329.13999999999538</v>
      </c>
      <c r="O924">
        <v>1</v>
      </c>
    </row>
    <row r="925" spans="1:15" hidden="1" x14ac:dyDescent="0.25">
      <c r="A925" s="92">
        <v>923</v>
      </c>
      <c r="B925" s="47">
        <f>MONTH(dis_table[[#This Row],[Date]])</f>
        <v>10</v>
      </c>
      <c r="C925" s="4">
        <v>45220</v>
      </c>
      <c r="D925" s="4">
        <v>45220</v>
      </c>
      <c r="E925" t="s">
        <v>1163</v>
      </c>
      <c r="F925">
        <v>5</v>
      </c>
      <c r="G925" t="s">
        <v>22</v>
      </c>
      <c r="H925" t="s">
        <v>57</v>
      </c>
      <c r="I925" t="s">
        <v>12</v>
      </c>
      <c r="J925" t="s">
        <v>19</v>
      </c>
      <c r="K925" s="4">
        <v>45200</v>
      </c>
      <c r="L925">
        <v>2023</v>
      </c>
      <c r="M925" s="4">
        <v>45220</v>
      </c>
      <c r="N925">
        <v>334.13999999999538</v>
      </c>
      <c r="O925">
        <v>21</v>
      </c>
    </row>
    <row r="926" spans="1:15" hidden="1" x14ac:dyDescent="0.25">
      <c r="A926" s="92">
        <v>924</v>
      </c>
      <c r="B926" s="47">
        <f>MONTH(dis_table[[#This Row],[Date]])</f>
        <v>10</v>
      </c>
      <c r="C926" s="4">
        <v>45220</v>
      </c>
      <c r="D926" s="4">
        <v>45220</v>
      </c>
      <c r="E926" t="s">
        <v>1164</v>
      </c>
      <c r="F926">
        <v>361.8</v>
      </c>
      <c r="G926" t="s">
        <v>22</v>
      </c>
      <c r="H926" t="s">
        <v>35</v>
      </c>
      <c r="I926" t="s">
        <v>12</v>
      </c>
      <c r="J926" t="s">
        <v>13</v>
      </c>
      <c r="K926" s="4">
        <v>45200</v>
      </c>
      <c r="L926">
        <v>2023</v>
      </c>
      <c r="M926" s="4">
        <v>45220</v>
      </c>
      <c r="N926">
        <v>695.93999999999551</v>
      </c>
      <c r="O926">
        <v>49</v>
      </c>
    </row>
    <row r="927" spans="1:15" hidden="1" x14ac:dyDescent="0.25">
      <c r="A927" s="92">
        <v>925</v>
      </c>
      <c r="B927" s="47">
        <f>MONTH(dis_table[[#This Row],[Date]])</f>
        <v>10</v>
      </c>
      <c r="C927" s="4">
        <v>45222</v>
      </c>
      <c r="D927" s="4">
        <v>45222</v>
      </c>
      <c r="E927" t="s">
        <v>1165</v>
      </c>
      <c r="F927">
        <v>15.09</v>
      </c>
      <c r="G927" t="s">
        <v>16</v>
      </c>
      <c r="H927" t="s">
        <v>10</v>
      </c>
      <c r="I927" t="s">
        <v>12</v>
      </c>
      <c r="J927" t="s">
        <v>13</v>
      </c>
      <c r="K927" s="4">
        <v>45200</v>
      </c>
      <c r="L927">
        <v>2023</v>
      </c>
      <c r="M927" s="4">
        <v>45222</v>
      </c>
      <c r="N927">
        <v>711.02999999999554</v>
      </c>
      <c r="O927">
        <v>52</v>
      </c>
    </row>
    <row r="928" spans="1:15" hidden="1" x14ac:dyDescent="0.25">
      <c r="A928" s="92">
        <v>926</v>
      </c>
      <c r="B928" s="47">
        <f>MONTH(dis_table[[#This Row],[Date]])</f>
        <v>10</v>
      </c>
      <c r="C928" s="4">
        <v>45222</v>
      </c>
      <c r="D928" s="4">
        <v>45222</v>
      </c>
      <c r="E928" t="s">
        <v>1166</v>
      </c>
      <c r="F928">
        <v>25.67</v>
      </c>
      <c r="G928" t="s">
        <v>34</v>
      </c>
      <c r="H928" t="s">
        <v>35</v>
      </c>
      <c r="I928" t="s">
        <v>12</v>
      </c>
      <c r="J928" t="s">
        <v>13</v>
      </c>
      <c r="K928" s="4">
        <v>45200</v>
      </c>
      <c r="L928">
        <v>2023</v>
      </c>
      <c r="M928" s="4">
        <v>45222</v>
      </c>
      <c r="N928">
        <v>736.6999999999955</v>
      </c>
      <c r="O928">
        <v>50</v>
      </c>
    </row>
    <row r="929" spans="1:15" hidden="1" x14ac:dyDescent="0.25">
      <c r="A929" s="92">
        <v>927</v>
      </c>
      <c r="B929" s="47">
        <f>MONTH(dis_table[[#This Row],[Date]])</f>
        <v>10</v>
      </c>
      <c r="C929" s="4">
        <v>45222</v>
      </c>
      <c r="D929" s="4">
        <v>45222</v>
      </c>
      <c r="E929" t="s">
        <v>1108</v>
      </c>
      <c r="F929">
        <v>164.44</v>
      </c>
      <c r="G929" t="s">
        <v>16</v>
      </c>
      <c r="H929" t="s">
        <v>1103</v>
      </c>
      <c r="I929" t="s">
        <v>12</v>
      </c>
      <c r="J929" t="s">
        <v>19</v>
      </c>
      <c r="K929" s="4">
        <v>45200</v>
      </c>
      <c r="L929">
        <v>2023</v>
      </c>
      <c r="M929" s="4">
        <v>45222</v>
      </c>
      <c r="N929">
        <v>901.13999999999555</v>
      </c>
      <c r="O929">
        <v>9</v>
      </c>
    </row>
    <row r="930" spans="1:15" hidden="1" x14ac:dyDescent="0.25">
      <c r="A930" s="92">
        <v>928</v>
      </c>
      <c r="B930" s="47">
        <f>MONTH(dis_table[[#This Row],[Date]])</f>
        <v>10</v>
      </c>
      <c r="C930" s="4">
        <v>45222</v>
      </c>
      <c r="D930" s="4">
        <v>45222</v>
      </c>
      <c r="E930" t="s">
        <v>1167</v>
      </c>
      <c r="F930">
        <v>5.95</v>
      </c>
      <c r="G930" t="s">
        <v>16</v>
      </c>
      <c r="H930" t="s">
        <v>10</v>
      </c>
      <c r="I930" t="s">
        <v>12</v>
      </c>
      <c r="J930" t="s">
        <v>13</v>
      </c>
      <c r="K930" s="4">
        <v>45200</v>
      </c>
      <c r="L930">
        <v>2023</v>
      </c>
      <c r="M930" s="4">
        <v>45222</v>
      </c>
      <c r="N930">
        <v>907.0899999999956</v>
      </c>
      <c r="O930">
        <v>53</v>
      </c>
    </row>
    <row r="931" spans="1:15" hidden="1" x14ac:dyDescent="0.25">
      <c r="A931" s="92">
        <v>929</v>
      </c>
      <c r="B931" s="47">
        <f>MONTH(dis_table[[#This Row],[Date]])</f>
        <v>10</v>
      </c>
      <c r="C931" s="4">
        <v>45222</v>
      </c>
      <c r="D931" s="4">
        <v>45222</v>
      </c>
      <c r="E931" t="s">
        <v>139</v>
      </c>
      <c r="F931">
        <v>10</v>
      </c>
      <c r="G931" t="s">
        <v>16</v>
      </c>
      <c r="H931" t="s">
        <v>25</v>
      </c>
      <c r="I931" t="s">
        <v>12</v>
      </c>
      <c r="J931" t="s">
        <v>24</v>
      </c>
      <c r="K931" s="4">
        <v>45200</v>
      </c>
      <c r="L931">
        <v>2023</v>
      </c>
      <c r="M931" s="4">
        <v>45222</v>
      </c>
      <c r="N931">
        <v>917.0899999999956</v>
      </c>
      <c r="O931">
        <v>27</v>
      </c>
    </row>
    <row r="932" spans="1:15" hidden="1" x14ac:dyDescent="0.25">
      <c r="A932" s="92">
        <v>930</v>
      </c>
      <c r="B932" s="47">
        <f>MONTH(dis_table[[#This Row],[Date]])</f>
        <v>10</v>
      </c>
      <c r="C932" s="4">
        <v>45224</v>
      </c>
      <c r="D932" s="4">
        <v>45224</v>
      </c>
      <c r="E932" t="s">
        <v>77</v>
      </c>
      <c r="F932">
        <v>27.07</v>
      </c>
      <c r="G932" t="s">
        <v>9</v>
      </c>
      <c r="H932" t="s">
        <v>62</v>
      </c>
      <c r="I932" t="s">
        <v>12</v>
      </c>
      <c r="J932" t="s">
        <v>13</v>
      </c>
      <c r="K932" s="4">
        <v>45200</v>
      </c>
      <c r="L932">
        <v>2023</v>
      </c>
      <c r="M932" s="4">
        <v>45224</v>
      </c>
      <c r="N932">
        <v>944.15999999999565</v>
      </c>
      <c r="O932">
        <v>11</v>
      </c>
    </row>
    <row r="933" spans="1:15" hidden="1" x14ac:dyDescent="0.25">
      <c r="A933" s="92">
        <v>931</v>
      </c>
      <c r="B933" s="47">
        <f>MONTH(dis_table[[#This Row],[Date]])</f>
        <v>10</v>
      </c>
      <c r="C933" s="4">
        <v>45225</v>
      </c>
      <c r="D933" s="4">
        <v>45225</v>
      </c>
      <c r="E933" t="s">
        <v>1110</v>
      </c>
      <c r="F933">
        <v>10.4</v>
      </c>
      <c r="G933" t="s">
        <v>9</v>
      </c>
      <c r="H933" t="s">
        <v>10</v>
      </c>
      <c r="I933" t="s">
        <v>12</v>
      </c>
      <c r="J933" t="s">
        <v>13</v>
      </c>
      <c r="K933" s="4">
        <v>45200</v>
      </c>
      <c r="L933">
        <v>2023</v>
      </c>
      <c r="M933" s="4">
        <v>45225</v>
      </c>
      <c r="N933">
        <v>954.55999999999563</v>
      </c>
      <c r="O933">
        <v>54</v>
      </c>
    </row>
    <row r="934" spans="1:15" hidden="1" x14ac:dyDescent="0.25">
      <c r="A934" s="92">
        <v>932</v>
      </c>
      <c r="B934" s="47">
        <f>MONTH(dis_table[[#This Row],[Date]])</f>
        <v>10</v>
      </c>
      <c r="C934" s="4">
        <v>45226</v>
      </c>
      <c r="D934" s="4">
        <v>45226</v>
      </c>
      <c r="E934" t="s">
        <v>1168</v>
      </c>
      <c r="F934">
        <v>15.99</v>
      </c>
      <c r="G934" t="s">
        <v>36</v>
      </c>
      <c r="H934" t="s">
        <v>1169</v>
      </c>
      <c r="I934" t="s">
        <v>12</v>
      </c>
      <c r="J934" t="s">
        <v>19</v>
      </c>
      <c r="K934" s="4">
        <v>45200</v>
      </c>
      <c r="L934">
        <v>2023</v>
      </c>
      <c r="M934" s="4">
        <v>45226</v>
      </c>
      <c r="N934">
        <v>970.54999999999563</v>
      </c>
      <c r="O934">
        <v>1</v>
      </c>
    </row>
    <row r="935" spans="1:15" hidden="1" x14ac:dyDescent="0.25">
      <c r="A935" s="92">
        <v>933</v>
      </c>
      <c r="B935" s="47">
        <f>MONTH(dis_table[[#This Row],[Date]])</f>
        <v>10</v>
      </c>
      <c r="C935" s="4">
        <v>45226</v>
      </c>
      <c r="D935" s="4">
        <v>45226</v>
      </c>
      <c r="E935" t="s">
        <v>1170</v>
      </c>
      <c r="F935">
        <v>13.04</v>
      </c>
      <c r="G935" t="s">
        <v>9</v>
      </c>
      <c r="H935" t="s">
        <v>62</v>
      </c>
      <c r="I935" t="s">
        <v>12</v>
      </c>
      <c r="J935" t="s">
        <v>13</v>
      </c>
      <c r="K935" s="4">
        <v>45200</v>
      </c>
      <c r="L935">
        <v>2023</v>
      </c>
      <c r="M935" s="4">
        <v>45226</v>
      </c>
      <c r="N935">
        <v>983.5899999999956</v>
      </c>
      <c r="O935">
        <v>12</v>
      </c>
    </row>
    <row r="936" spans="1:15" hidden="1" x14ac:dyDescent="0.25">
      <c r="A936" s="92">
        <v>934</v>
      </c>
      <c r="B936" s="47">
        <f>MONTH(dis_table[[#This Row],[Date]])</f>
        <v>10</v>
      </c>
      <c r="C936" s="4">
        <v>45227</v>
      </c>
      <c r="D936" s="4">
        <v>45227</v>
      </c>
      <c r="E936" t="s">
        <v>1171</v>
      </c>
      <c r="F936">
        <v>18</v>
      </c>
      <c r="G936" t="s">
        <v>36</v>
      </c>
      <c r="H936" t="s">
        <v>63</v>
      </c>
      <c r="I936" t="s">
        <v>12</v>
      </c>
      <c r="J936" t="s">
        <v>31</v>
      </c>
      <c r="K936" s="4">
        <v>45200</v>
      </c>
      <c r="L936">
        <v>2023</v>
      </c>
      <c r="M936" s="4">
        <v>45227</v>
      </c>
      <c r="N936">
        <v>1001.5899999999961</v>
      </c>
      <c r="O936">
        <v>17</v>
      </c>
    </row>
    <row r="937" spans="1:15" hidden="1" x14ac:dyDescent="0.25">
      <c r="A937" s="92">
        <v>935</v>
      </c>
      <c r="B937" s="47">
        <f>MONTH(dis_table[[#This Row],[Date]])</f>
        <v>10</v>
      </c>
      <c r="C937" s="4">
        <v>45228</v>
      </c>
      <c r="D937" s="4">
        <v>45228</v>
      </c>
      <c r="E937" t="s">
        <v>1172</v>
      </c>
      <c r="F937">
        <v>6</v>
      </c>
      <c r="G937" t="s">
        <v>36</v>
      </c>
      <c r="H937" t="s">
        <v>63</v>
      </c>
      <c r="I937" t="s">
        <v>12</v>
      </c>
      <c r="J937" t="s">
        <v>31</v>
      </c>
      <c r="K937" s="4">
        <v>45200</v>
      </c>
      <c r="L937">
        <v>2023</v>
      </c>
      <c r="M937" s="4">
        <v>45228</v>
      </c>
      <c r="N937">
        <v>1007.5899999999961</v>
      </c>
      <c r="O937">
        <v>18</v>
      </c>
    </row>
    <row r="938" spans="1:15" hidden="1" x14ac:dyDescent="0.25">
      <c r="A938" s="92">
        <v>936</v>
      </c>
      <c r="B938" s="47">
        <f>MONTH(dis_table[[#This Row],[Date]])</f>
        <v>10</v>
      </c>
      <c r="C938" s="4">
        <v>45228</v>
      </c>
      <c r="D938" s="4">
        <v>45228</v>
      </c>
      <c r="E938" t="s">
        <v>1173</v>
      </c>
      <c r="F938">
        <v>14.3</v>
      </c>
      <c r="G938" t="s">
        <v>9</v>
      </c>
      <c r="H938" t="s">
        <v>14</v>
      </c>
      <c r="I938" t="s">
        <v>12</v>
      </c>
      <c r="J938" t="s">
        <v>13</v>
      </c>
      <c r="K938" s="4">
        <v>45200</v>
      </c>
      <c r="L938">
        <v>2023</v>
      </c>
      <c r="M938" s="4">
        <v>45228</v>
      </c>
      <c r="N938">
        <v>1021.889999999996</v>
      </c>
      <c r="O938">
        <v>96</v>
      </c>
    </row>
    <row r="939" spans="1:15" hidden="1" x14ac:dyDescent="0.25">
      <c r="A939" s="92">
        <v>937</v>
      </c>
      <c r="B939" s="47">
        <f>MONTH(dis_table[[#This Row],[Date]])</f>
        <v>10</v>
      </c>
      <c r="C939" s="4">
        <v>45229</v>
      </c>
      <c r="D939" s="4">
        <v>45229</v>
      </c>
      <c r="E939" t="s">
        <v>1174</v>
      </c>
      <c r="F939">
        <v>6.58</v>
      </c>
      <c r="G939" t="s">
        <v>16</v>
      </c>
      <c r="H939" t="s">
        <v>21</v>
      </c>
      <c r="I939" t="s">
        <v>12</v>
      </c>
      <c r="J939" t="s">
        <v>24</v>
      </c>
      <c r="K939" s="4">
        <v>45200</v>
      </c>
      <c r="L939">
        <v>2023</v>
      </c>
      <c r="M939" s="4">
        <v>45229</v>
      </c>
      <c r="N939">
        <v>1028.469999999995</v>
      </c>
      <c r="O939">
        <v>41</v>
      </c>
    </row>
    <row r="940" spans="1:15" hidden="1" x14ac:dyDescent="0.25">
      <c r="A940" s="92">
        <v>938</v>
      </c>
      <c r="B940" s="47">
        <f>MONTH(dis_table[[#This Row],[Date]])</f>
        <v>10</v>
      </c>
      <c r="C940" s="4">
        <v>45229</v>
      </c>
      <c r="D940" s="4">
        <v>45229</v>
      </c>
      <c r="E940" t="s">
        <v>1175</v>
      </c>
      <c r="F940">
        <v>44.91</v>
      </c>
      <c r="G940" t="s">
        <v>16</v>
      </c>
      <c r="H940" t="s">
        <v>21</v>
      </c>
      <c r="I940" t="s">
        <v>12</v>
      </c>
      <c r="J940" t="s">
        <v>24</v>
      </c>
      <c r="K940" s="4">
        <v>45200</v>
      </c>
      <c r="L940">
        <v>2023</v>
      </c>
      <c r="M940" s="4">
        <v>45229</v>
      </c>
      <c r="N940">
        <v>1073.379999999996</v>
      </c>
      <c r="O940">
        <v>42</v>
      </c>
    </row>
    <row r="941" spans="1:15" hidden="1" x14ac:dyDescent="0.25">
      <c r="A941" s="92">
        <v>939</v>
      </c>
      <c r="B941" s="47">
        <f>MONTH(dis_table[[#This Row],[Date]])</f>
        <v>10</v>
      </c>
      <c r="C941" s="4">
        <v>45230</v>
      </c>
      <c r="D941" s="4">
        <v>45230</v>
      </c>
      <c r="E941" t="s">
        <v>1176</v>
      </c>
      <c r="F941">
        <v>22.08</v>
      </c>
      <c r="G941" t="s">
        <v>16</v>
      </c>
      <c r="H941" t="s">
        <v>133</v>
      </c>
      <c r="I941" t="s">
        <v>12</v>
      </c>
      <c r="J941" t="s">
        <v>24</v>
      </c>
      <c r="K941" s="4">
        <v>45200</v>
      </c>
      <c r="L941">
        <v>2023</v>
      </c>
      <c r="M941" s="4">
        <v>45230</v>
      </c>
      <c r="N941">
        <v>1095.459999999995</v>
      </c>
      <c r="O941">
        <v>47</v>
      </c>
    </row>
    <row r="942" spans="1:15" hidden="1" x14ac:dyDescent="0.25">
      <c r="A942" s="92">
        <v>940</v>
      </c>
      <c r="B942" s="47">
        <f>MONTH(dis_table[[#This Row],[Date]])</f>
        <v>10</v>
      </c>
      <c r="C942" s="4">
        <v>45230</v>
      </c>
      <c r="D942" s="4">
        <v>45230</v>
      </c>
      <c r="E942" t="s">
        <v>1177</v>
      </c>
      <c r="F942">
        <v>22.44</v>
      </c>
      <c r="G942" t="s">
        <v>34</v>
      </c>
      <c r="H942" t="s">
        <v>35</v>
      </c>
      <c r="I942" t="s">
        <v>12</v>
      </c>
      <c r="J942" t="s">
        <v>13</v>
      </c>
      <c r="K942" s="4">
        <v>45200</v>
      </c>
      <c r="L942">
        <v>2023</v>
      </c>
      <c r="M942" s="4">
        <v>45230</v>
      </c>
      <c r="N942">
        <v>1117.899999999996</v>
      </c>
      <c r="O942">
        <v>51</v>
      </c>
    </row>
    <row r="943" spans="1:15" hidden="1" x14ac:dyDescent="0.25">
      <c r="A943" s="92">
        <v>941</v>
      </c>
      <c r="B943" s="47">
        <f>MONTH(dis_table[[#This Row],[Date]])</f>
        <v>11</v>
      </c>
      <c r="C943" s="4">
        <v>45231</v>
      </c>
      <c r="D943" s="4">
        <v>45233</v>
      </c>
      <c r="E943" t="s">
        <v>1178</v>
      </c>
      <c r="F943">
        <v>5.99</v>
      </c>
      <c r="G943" t="s">
        <v>16</v>
      </c>
      <c r="H943" t="s">
        <v>20</v>
      </c>
      <c r="I943" t="s">
        <v>18</v>
      </c>
      <c r="J943" t="s">
        <v>19</v>
      </c>
      <c r="K943" s="4">
        <v>45231</v>
      </c>
      <c r="L943">
        <v>2023</v>
      </c>
      <c r="M943" s="4">
        <v>45231</v>
      </c>
      <c r="N943">
        <v>1123.889999999996</v>
      </c>
      <c r="O943">
        <v>11</v>
      </c>
    </row>
    <row r="944" spans="1:15" hidden="1" x14ac:dyDescent="0.25">
      <c r="A944" s="92">
        <v>942</v>
      </c>
      <c r="B944" s="47">
        <f>MONTH(dis_table[[#This Row],[Date]])</f>
        <v>11</v>
      </c>
      <c r="C944" s="4">
        <v>45231</v>
      </c>
      <c r="D944" s="4">
        <v>45233</v>
      </c>
      <c r="E944" t="s">
        <v>83</v>
      </c>
      <c r="F944">
        <v>5</v>
      </c>
      <c r="G944" t="s">
        <v>36</v>
      </c>
      <c r="H944" t="s">
        <v>84</v>
      </c>
      <c r="I944" t="s">
        <v>18</v>
      </c>
      <c r="J944" t="s">
        <v>24</v>
      </c>
      <c r="K944" s="4">
        <v>45231</v>
      </c>
      <c r="L944">
        <v>2023</v>
      </c>
      <c r="M944" s="4">
        <v>45231</v>
      </c>
      <c r="N944">
        <v>1128.889999999996</v>
      </c>
      <c r="O944">
        <v>11</v>
      </c>
    </row>
    <row r="945" spans="1:15" hidden="1" x14ac:dyDescent="0.25">
      <c r="A945" s="92">
        <v>943</v>
      </c>
      <c r="B945" s="47">
        <f>MONTH(dis_table[[#This Row],[Date]])</f>
        <v>11</v>
      </c>
      <c r="C945" s="4">
        <v>45231</v>
      </c>
      <c r="D945" s="4">
        <v>45231</v>
      </c>
      <c r="E945" t="s">
        <v>78</v>
      </c>
      <c r="F945">
        <v>134.31</v>
      </c>
      <c r="G945" t="s">
        <v>22</v>
      </c>
      <c r="H945" t="s">
        <v>55</v>
      </c>
      <c r="I945" t="s">
        <v>12</v>
      </c>
      <c r="J945" t="s">
        <v>31</v>
      </c>
      <c r="K945" s="4">
        <v>45231</v>
      </c>
      <c r="L945">
        <v>2023</v>
      </c>
      <c r="M945" s="4">
        <v>45231</v>
      </c>
      <c r="N945">
        <v>1263.199999999995</v>
      </c>
      <c r="O945">
        <v>15</v>
      </c>
    </row>
    <row r="946" spans="1:15" hidden="1" x14ac:dyDescent="0.25">
      <c r="A946" s="92">
        <v>944</v>
      </c>
      <c r="B946" s="47">
        <f>MONTH(dis_table[[#This Row],[Date]])</f>
        <v>11</v>
      </c>
      <c r="C946" s="4">
        <v>45231</v>
      </c>
      <c r="D946" s="4">
        <v>45231</v>
      </c>
      <c r="E946" t="s">
        <v>339</v>
      </c>
      <c r="F946">
        <v>20</v>
      </c>
      <c r="G946" t="s">
        <v>16</v>
      </c>
      <c r="H946" t="s">
        <v>340</v>
      </c>
      <c r="I946" t="s">
        <v>18</v>
      </c>
      <c r="J946" t="s">
        <v>24</v>
      </c>
      <c r="K946" s="4">
        <v>45231</v>
      </c>
      <c r="L946">
        <v>2023</v>
      </c>
      <c r="M946" s="4">
        <v>45231</v>
      </c>
      <c r="N946">
        <v>1283.199999999995</v>
      </c>
      <c r="O946">
        <v>9</v>
      </c>
    </row>
    <row r="947" spans="1:15" hidden="1" x14ac:dyDescent="0.25">
      <c r="A947" s="92">
        <v>945</v>
      </c>
      <c r="B947" s="47">
        <f>MONTH(dis_table[[#This Row],[Date]])</f>
        <v>11</v>
      </c>
      <c r="C947" s="4">
        <v>45231</v>
      </c>
      <c r="D947" s="4">
        <v>45231</v>
      </c>
      <c r="E947" t="s">
        <v>1179</v>
      </c>
      <c r="F947">
        <v>18.55</v>
      </c>
      <c r="G947" t="s">
        <v>9</v>
      </c>
      <c r="H947" t="s">
        <v>10</v>
      </c>
      <c r="I947" t="s">
        <v>12</v>
      </c>
      <c r="J947" t="s">
        <v>13</v>
      </c>
      <c r="K947" s="4">
        <v>45231</v>
      </c>
      <c r="L947">
        <v>2023</v>
      </c>
      <c r="M947" s="4">
        <v>45231</v>
      </c>
      <c r="N947">
        <v>1301.749999999995</v>
      </c>
      <c r="O947">
        <v>55</v>
      </c>
    </row>
    <row r="948" spans="1:15" hidden="1" x14ac:dyDescent="0.25">
      <c r="A948" s="92">
        <v>946</v>
      </c>
      <c r="B948" s="47">
        <f>MONTH(dis_table[[#This Row],[Date]])</f>
        <v>11</v>
      </c>
      <c r="C948" s="4">
        <v>45231</v>
      </c>
      <c r="D948" s="4">
        <v>45231</v>
      </c>
      <c r="E948" t="s">
        <v>529</v>
      </c>
      <c r="F948">
        <v>15.89</v>
      </c>
      <c r="G948" t="s">
        <v>16</v>
      </c>
      <c r="H948" t="s">
        <v>33</v>
      </c>
      <c r="I948" t="s">
        <v>18</v>
      </c>
      <c r="J948" t="s">
        <v>19</v>
      </c>
      <c r="K948" s="4">
        <v>45231</v>
      </c>
      <c r="L948">
        <v>2023</v>
      </c>
      <c r="M948" s="4">
        <v>45231</v>
      </c>
      <c r="N948">
        <v>1317.639999999996</v>
      </c>
      <c r="O948">
        <v>11</v>
      </c>
    </row>
    <row r="949" spans="1:15" hidden="1" x14ac:dyDescent="0.25">
      <c r="A949" s="92">
        <v>947</v>
      </c>
      <c r="B949" s="47">
        <f>MONTH(dis_table[[#This Row],[Date]])</f>
        <v>11</v>
      </c>
      <c r="C949" s="4">
        <v>45231</v>
      </c>
      <c r="D949" s="4">
        <v>45231</v>
      </c>
      <c r="E949" t="s">
        <v>1180</v>
      </c>
      <c r="F949">
        <v>1.97</v>
      </c>
      <c r="G949" t="s">
        <v>9</v>
      </c>
      <c r="H949" t="s">
        <v>10</v>
      </c>
      <c r="I949" t="s">
        <v>12</v>
      </c>
      <c r="J949" t="s">
        <v>13</v>
      </c>
      <c r="K949" s="4">
        <v>45231</v>
      </c>
      <c r="L949">
        <v>2023</v>
      </c>
      <c r="M949" s="4">
        <v>45231</v>
      </c>
      <c r="N949">
        <v>1319.609999999996</v>
      </c>
      <c r="O949">
        <v>56</v>
      </c>
    </row>
    <row r="950" spans="1:15" hidden="1" x14ac:dyDescent="0.25">
      <c r="A950" s="92">
        <v>948</v>
      </c>
      <c r="B950" s="47">
        <f>MONTH(dis_table[[#This Row],[Date]])</f>
        <v>11</v>
      </c>
      <c r="C950" s="4">
        <v>45232</v>
      </c>
      <c r="D950" s="4">
        <v>45233</v>
      </c>
      <c r="E950" t="s">
        <v>125</v>
      </c>
      <c r="F950">
        <v>52.13</v>
      </c>
      <c r="G950" t="s">
        <v>34</v>
      </c>
      <c r="H950" t="s">
        <v>133</v>
      </c>
      <c r="I950" t="s">
        <v>12</v>
      </c>
      <c r="J950" t="s">
        <v>24</v>
      </c>
      <c r="K950" s="4">
        <v>45231</v>
      </c>
      <c r="L950">
        <v>2023</v>
      </c>
      <c r="M950" s="4">
        <v>45232</v>
      </c>
      <c r="N950">
        <v>1371.7399999999959</v>
      </c>
      <c r="O950">
        <v>48</v>
      </c>
    </row>
    <row r="951" spans="1:15" hidden="1" x14ac:dyDescent="0.25">
      <c r="A951" s="92">
        <v>949</v>
      </c>
      <c r="B951" s="47">
        <f>MONTH(dis_table[[#This Row],[Date]])</f>
        <v>11</v>
      </c>
      <c r="C951" s="4">
        <v>45232</v>
      </c>
      <c r="D951" s="4">
        <v>45233</v>
      </c>
      <c r="E951" t="s">
        <v>1181</v>
      </c>
      <c r="F951">
        <v>6.93</v>
      </c>
      <c r="G951" t="s">
        <v>34</v>
      </c>
      <c r="H951" t="s">
        <v>35</v>
      </c>
      <c r="I951" t="s">
        <v>12</v>
      </c>
      <c r="J951" t="s">
        <v>13</v>
      </c>
      <c r="K951" s="4">
        <v>45231</v>
      </c>
      <c r="L951">
        <v>2023</v>
      </c>
      <c r="M951" s="4">
        <v>45232</v>
      </c>
      <c r="N951">
        <v>1378.669999999996</v>
      </c>
      <c r="O951">
        <v>52</v>
      </c>
    </row>
    <row r="952" spans="1:15" hidden="1" x14ac:dyDescent="0.25">
      <c r="A952" s="92">
        <v>950</v>
      </c>
      <c r="B952" s="47">
        <f>MONTH(dis_table[[#This Row],[Date]])</f>
        <v>11</v>
      </c>
      <c r="C952" s="4">
        <v>45232</v>
      </c>
      <c r="D952" s="4">
        <v>45233</v>
      </c>
      <c r="E952" t="s">
        <v>1181</v>
      </c>
      <c r="F952">
        <v>6.8</v>
      </c>
      <c r="G952" t="s">
        <v>34</v>
      </c>
      <c r="H952" t="s">
        <v>35</v>
      </c>
      <c r="I952" t="s">
        <v>12</v>
      </c>
      <c r="J952" t="s">
        <v>13</v>
      </c>
      <c r="K952" s="4">
        <v>45231</v>
      </c>
      <c r="L952">
        <v>2023</v>
      </c>
      <c r="M952" s="4">
        <v>45232</v>
      </c>
      <c r="N952">
        <v>1385.4699999999959</v>
      </c>
      <c r="O952">
        <v>53</v>
      </c>
    </row>
    <row r="953" spans="1:15" hidden="1" x14ac:dyDescent="0.25">
      <c r="A953" s="92">
        <v>951</v>
      </c>
      <c r="B953" s="47">
        <f>MONTH(dis_table[[#This Row],[Date]])</f>
        <v>11</v>
      </c>
      <c r="C953" s="4">
        <v>45232</v>
      </c>
      <c r="D953" s="4">
        <v>45233</v>
      </c>
      <c r="E953" t="s">
        <v>1110</v>
      </c>
      <c r="F953">
        <v>15.45</v>
      </c>
      <c r="G953" t="s">
        <v>9</v>
      </c>
      <c r="H953" t="s">
        <v>10</v>
      </c>
      <c r="I953" t="s">
        <v>12</v>
      </c>
      <c r="J953" t="s">
        <v>13</v>
      </c>
      <c r="K953" s="4">
        <v>45231</v>
      </c>
      <c r="L953">
        <v>2023</v>
      </c>
      <c r="M953" s="4">
        <v>45232</v>
      </c>
      <c r="N953">
        <v>1400.919999999996</v>
      </c>
      <c r="O953">
        <v>57</v>
      </c>
    </row>
    <row r="954" spans="1:15" hidden="1" x14ac:dyDescent="0.25">
      <c r="A954" s="92">
        <v>952</v>
      </c>
      <c r="B954" s="47">
        <f>MONTH(dis_table[[#This Row],[Date]])</f>
        <v>11</v>
      </c>
      <c r="C954" s="4">
        <v>45232</v>
      </c>
      <c r="D954" s="4">
        <v>45232</v>
      </c>
      <c r="E954" t="s">
        <v>26</v>
      </c>
      <c r="F954">
        <v>-1065.5</v>
      </c>
      <c r="G954" t="s">
        <v>27</v>
      </c>
      <c r="H954" t="s">
        <v>28</v>
      </c>
      <c r="I954" t="s">
        <v>12</v>
      </c>
      <c r="J954" t="s">
        <v>122</v>
      </c>
      <c r="K954" s="4">
        <v>45231</v>
      </c>
      <c r="L954">
        <v>2023</v>
      </c>
      <c r="M954" s="4">
        <v>45232</v>
      </c>
      <c r="N954">
        <v>335.41999999999581</v>
      </c>
      <c r="O954">
        <v>31</v>
      </c>
    </row>
    <row r="955" spans="1:15" hidden="1" x14ac:dyDescent="0.25">
      <c r="A955" s="92">
        <v>953</v>
      </c>
      <c r="B955" s="47">
        <f>MONTH(dis_table[[#This Row],[Date]])</f>
        <v>11</v>
      </c>
      <c r="C955" s="4">
        <v>45232</v>
      </c>
      <c r="D955" s="4">
        <v>45232</v>
      </c>
      <c r="E955" t="s">
        <v>1182</v>
      </c>
      <c r="F955">
        <v>139</v>
      </c>
      <c r="G955" t="s">
        <v>36</v>
      </c>
      <c r="H955" t="s">
        <v>286</v>
      </c>
      <c r="I955" t="s">
        <v>18</v>
      </c>
      <c r="J955" t="s">
        <v>24</v>
      </c>
      <c r="K955" s="4">
        <v>45231</v>
      </c>
      <c r="L955">
        <v>2023</v>
      </c>
      <c r="M955" s="4">
        <v>45232</v>
      </c>
      <c r="N955">
        <v>474.41999999999581</v>
      </c>
      <c r="O955">
        <v>17</v>
      </c>
    </row>
    <row r="956" spans="1:15" hidden="1" x14ac:dyDescent="0.25">
      <c r="A956" s="92">
        <v>954</v>
      </c>
      <c r="B956" s="47">
        <f>MONTH(dis_table[[#This Row],[Date]])</f>
        <v>11</v>
      </c>
      <c r="C956" s="4">
        <v>45232</v>
      </c>
      <c r="D956" s="4">
        <v>45232</v>
      </c>
      <c r="E956" t="s">
        <v>1183</v>
      </c>
      <c r="F956">
        <v>125.1</v>
      </c>
      <c r="G956" t="s">
        <v>36</v>
      </c>
      <c r="H956" t="s">
        <v>286</v>
      </c>
      <c r="I956" t="s">
        <v>18</v>
      </c>
      <c r="J956" t="s">
        <v>24</v>
      </c>
      <c r="K956" s="4">
        <v>45231</v>
      </c>
      <c r="L956">
        <v>2023</v>
      </c>
      <c r="M956" s="4">
        <v>45232</v>
      </c>
      <c r="N956">
        <v>599.51999999999578</v>
      </c>
      <c r="O956">
        <v>18</v>
      </c>
    </row>
    <row r="957" spans="1:15" hidden="1" x14ac:dyDescent="0.25">
      <c r="A957" s="92">
        <v>955</v>
      </c>
      <c r="B957" s="47">
        <f>MONTH(dis_table[[#This Row],[Date]])</f>
        <v>11</v>
      </c>
      <c r="C957" s="4">
        <v>45232</v>
      </c>
      <c r="D957" s="4">
        <v>45233</v>
      </c>
      <c r="E957" t="s">
        <v>43</v>
      </c>
      <c r="F957">
        <v>10</v>
      </c>
      <c r="G957" t="s">
        <v>16</v>
      </c>
      <c r="H957" t="s">
        <v>44</v>
      </c>
      <c r="I957" t="s">
        <v>18</v>
      </c>
      <c r="J957" t="s">
        <v>19</v>
      </c>
      <c r="K957" s="4">
        <v>45231</v>
      </c>
      <c r="L957">
        <v>2023</v>
      </c>
      <c r="M957" s="4">
        <v>45232</v>
      </c>
      <c r="N957">
        <v>609.51999999999578</v>
      </c>
      <c r="O957">
        <v>11</v>
      </c>
    </row>
    <row r="958" spans="1:15" hidden="1" x14ac:dyDescent="0.25">
      <c r="A958" s="92">
        <v>956</v>
      </c>
      <c r="B958" s="47">
        <f>MONTH(dis_table[[#This Row],[Date]])</f>
        <v>11</v>
      </c>
      <c r="C958" s="4">
        <v>45233</v>
      </c>
      <c r="D958" s="4">
        <v>45233</v>
      </c>
      <c r="E958" t="s">
        <v>143</v>
      </c>
      <c r="F958">
        <v>-36.65</v>
      </c>
      <c r="G958" t="s">
        <v>32</v>
      </c>
      <c r="H958" t="s">
        <v>1027</v>
      </c>
      <c r="I958" t="s">
        <v>12</v>
      </c>
      <c r="J958" t="s">
        <v>122</v>
      </c>
      <c r="K958" s="4">
        <v>45231</v>
      </c>
      <c r="L958">
        <v>2023</v>
      </c>
      <c r="M958" s="4">
        <v>45233</v>
      </c>
      <c r="N958">
        <v>572.8699999999958</v>
      </c>
      <c r="O958">
        <v>11</v>
      </c>
    </row>
    <row r="959" spans="1:15" hidden="1" x14ac:dyDescent="0.25">
      <c r="A959" s="92">
        <v>957</v>
      </c>
      <c r="B959" s="47">
        <f>MONTH(dis_table[[#This Row],[Date]])</f>
        <v>11</v>
      </c>
      <c r="C959" s="4">
        <v>45233</v>
      </c>
      <c r="D959" s="4">
        <v>45233</v>
      </c>
      <c r="E959" t="s">
        <v>1184</v>
      </c>
      <c r="F959">
        <v>17.510000000000002</v>
      </c>
      <c r="G959" t="s">
        <v>9</v>
      </c>
      <c r="H959" t="s">
        <v>10</v>
      </c>
      <c r="I959" t="s">
        <v>12</v>
      </c>
      <c r="J959" t="s">
        <v>13</v>
      </c>
      <c r="K959" s="4">
        <v>45231</v>
      </c>
      <c r="L959">
        <v>2023</v>
      </c>
      <c r="M959" s="4">
        <v>45233</v>
      </c>
      <c r="N959">
        <v>590.37999999999579</v>
      </c>
      <c r="O959">
        <v>58</v>
      </c>
    </row>
    <row r="960" spans="1:15" hidden="1" x14ac:dyDescent="0.25">
      <c r="A960" s="92">
        <v>958</v>
      </c>
      <c r="B960" s="47">
        <f>MONTH(dis_table[[#This Row],[Date]])</f>
        <v>11</v>
      </c>
      <c r="C960" s="4">
        <v>45233</v>
      </c>
      <c r="D960" s="4">
        <v>45233</v>
      </c>
      <c r="E960" t="s">
        <v>1185</v>
      </c>
      <c r="F960">
        <v>37.090000000000003</v>
      </c>
      <c r="G960" t="s">
        <v>16</v>
      </c>
      <c r="H960" t="s">
        <v>66</v>
      </c>
      <c r="I960" t="s">
        <v>12</v>
      </c>
      <c r="J960" t="s">
        <v>24</v>
      </c>
      <c r="K960" s="4">
        <v>45231</v>
      </c>
      <c r="L960">
        <v>2023</v>
      </c>
      <c r="M960" s="4">
        <v>45233</v>
      </c>
      <c r="N960">
        <v>627.46999999999582</v>
      </c>
      <c r="O960">
        <v>15</v>
      </c>
    </row>
    <row r="961" spans="1:15" hidden="1" x14ac:dyDescent="0.25">
      <c r="A961" s="92">
        <v>959</v>
      </c>
      <c r="B961" s="47">
        <f>MONTH(dis_table[[#This Row],[Date]])</f>
        <v>11</v>
      </c>
      <c r="C961" s="4">
        <v>45233</v>
      </c>
      <c r="D961" s="4">
        <v>45233</v>
      </c>
      <c r="E961" t="s">
        <v>1186</v>
      </c>
      <c r="F961">
        <v>22.09</v>
      </c>
      <c r="G961" t="s">
        <v>34</v>
      </c>
      <c r="H961" t="s">
        <v>62</v>
      </c>
      <c r="I961" t="s">
        <v>12</v>
      </c>
      <c r="J961" t="s">
        <v>13</v>
      </c>
      <c r="K961" s="4">
        <v>45231</v>
      </c>
      <c r="L961">
        <v>2023</v>
      </c>
      <c r="M961" s="4">
        <v>45233</v>
      </c>
      <c r="N961">
        <v>649.55999999999585</v>
      </c>
      <c r="O961">
        <v>13</v>
      </c>
    </row>
    <row r="962" spans="1:15" hidden="1" x14ac:dyDescent="0.25">
      <c r="A962" s="92">
        <v>960</v>
      </c>
      <c r="B962" s="47">
        <f>MONTH(dis_table[[#This Row],[Date]])</f>
        <v>11</v>
      </c>
      <c r="C962" s="4">
        <v>45233</v>
      </c>
      <c r="D962" s="4">
        <v>45233</v>
      </c>
      <c r="E962" t="s">
        <v>70</v>
      </c>
      <c r="F962">
        <v>23.97</v>
      </c>
      <c r="G962" t="s">
        <v>22</v>
      </c>
      <c r="H962" t="s">
        <v>42</v>
      </c>
      <c r="I962" t="s">
        <v>12</v>
      </c>
      <c r="J962" t="s">
        <v>31</v>
      </c>
      <c r="K962" s="4">
        <v>45231</v>
      </c>
      <c r="L962">
        <v>2023</v>
      </c>
      <c r="M962" s="4">
        <v>45233</v>
      </c>
      <c r="N962">
        <v>673.52999999999588</v>
      </c>
      <c r="O962">
        <v>83</v>
      </c>
    </row>
    <row r="963" spans="1:15" hidden="1" x14ac:dyDescent="0.25">
      <c r="A963" s="92">
        <v>961</v>
      </c>
      <c r="B963" s="47">
        <f>MONTH(dis_table[[#This Row],[Date]])</f>
        <v>11</v>
      </c>
      <c r="C963" s="4">
        <v>45233</v>
      </c>
      <c r="D963" s="4">
        <v>45233</v>
      </c>
      <c r="E963" t="s">
        <v>172</v>
      </c>
      <c r="F963">
        <v>35</v>
      </c>
      <c r="G963" t="s">
        <v>22</v>
      </c>
      <c r="H963" t="s">
        <v>55</v>
      </c>
      <c r="I963" t="s">
        <v>12</v>
      </c>
      <c r="J963" t="s">
        <v>31</v>
      </c>
      <c r="K963" s="4">
        <v>45231</v>
      </c>
      <c r="L963">
        <v>2023</v>
      </c>
      <c r="M963" s="4">
        <v>45233</v>
      </c>
      <c r="N963">
        <v>708.52999999999588</v>
      </c>
      <c r="O963">
        <v>16</v>
      </c>
    </row>
    <row r="964" spans="1:15" hidden="1" x14ac:dyDescent="0.25">
      <c r="A964" s="92">
        <v>962</v>
      </c>
      <c r="B964" s="47">
        <f>MONTH(dis_table[[#This Row],[Date]])</f>
        <v>11</v>
      </c>
      <c r="C964" s="4">
        <v>45234</v>
      </c>
      <c r="D964" s="4">
        <v>45234</v>
      </c>
      <c r="E964" t="s">
        <v>1187</v>
      </c>
      <c r="F964">
        <v>84</v>
      </c>
      <c r="G964" t="s">
        <v>16</v>
      </c>
      <c r="H964" t="s">
        <v>1188</v>
      </c>
      <c r="I964" t="s">
        <v>18</v>
      </c>
      <c r="J964" t="s">
        <v>24</v>
      </c>
      <c r="K964" s="4">
        <v>45231</v>
      </c>
      <c r="L964">
        <v>2023</v>
      </c>
      <c r="M964" s="4">
        <v>45234</v>
      </c>
      <c r="N964">
        <v>792.52999999999588</v>
      </c>
      <c r="O964">
        <v>1</v>
      </c>
    </row>
    <row r="965" spans="1:15" hidden="1" x14ac:dyDescent="0.25">
      <c r="A965" s="92">
        <v>963</v>
      </c>
      <c r="B965" s="47">
        <f>MONTH(dis_table[[#This Row],[Date]])</f>
        <v>11</v>
      </c>
      <c r="C965" s="4">
        <v>45235</v>
      </c>
      <c r="D965" s="4">
        <v>45235</v>
      </c>
      <c r="E965" t="s">
        <v>1189</v>
      </c>
      <c r="F965">
        <v>182</v>
      </c>
      <c r="G965" t="s">
        <v>36</v>
      </c>
      <c r="H965" t="s">
        <v>57</v>
      </c>
      <c r="I965" t="s">
        <v>12</v>
      </c>
      <c r="J965" t="s">
        <v>19</v>
      </c>
      <c r="K965" s="4">
        <v>45231</v>
      </c>
      <c r="L965">
        <v>2023</v>
      </c>
      <c r="M965" s="4">
        <v>45235</v>
      </c>
      <c r="N965">
        <v>974.52999999999588</v>
      </c>
      <c r="O965">
        <v>22</v>
      </c>
    </row>
    <row r="966" spans="1:15" hidden="1" x14ac:dyDescent="0.25">
      <c r="A966" s="92">
        <v>964</v>
      </c>
      <c r="B966" s="47">
        <f>MONTH(dis_table[[#This Row],[Date]])</f>
        <v>11</v>
      </c>
      <c r="C966" s="4">
        <v>45236</v>
      </c>
      <c r="D966" s="4">
        <v>45236</v>
      </c>
      <c r="E966" t="s">
        <v>1190</v>
      </c>
      <c r="F966">
        <v>850</v>
      </c>
      <c r="G966" t="s">
        <v>36</v>
      </c>
      <c r="H966" t="s">
        <v>92</v>
      </c>
      <c r="I966" t="s">
        <v>12</v>
      </c>
      <c r="J966" t="s">
        <v>53</v>
      </c>
      <c r="K966" s="4">
        <v>45231</v>
      </c>
      <c r="L966">
        <v>2023</v>
      </c>
      <c r="M966" s="4">
        <v>45236</v>
      </c>
      <c r="N966">
        <v>1824.5299999999961</v>
      </c>
      <c r="O966">
        <v>1</v>
      </c>
    </row>
    <row r="967" spans="1:15" hidden="1" x14ac:dyDescent="0.25">
      <c r="A967" s="92">
        <v>965</v>
      </c>
      <c r="B967" s="47">
        <f>MONTH(dis_table[[#This Row],[Date]])</f>
        <v>11</v>
      </c>
      <c r="C967" s="4">
        <v>45237</v>
      </c>
      <c r="D967" s="4">
        <v>45237</v>
      </c>
      <c r="E967" t="s">
        <v>1191</v>
      </c>
      <c r="F967">
        <v>9.99</v>
      </c>
      <c r="G967" t="s">
        <v>16</v>
      </c>
      <c r="H967" t="s">
        <v>135</v>
      </c>
      <c r="I967" t="s">
        <v>18</v>
      </c>
      <c r="J967" t="s">
        <v>24</v>
      </c>
      <c r="K967" s="4">
        <v>45231</v>
      </c>
      <c r="L967">
        <v>2023</v>
      </c>
      <c r="M967" s="4">
        <v>45237</v>
      </c>
      <c r="N967">
        <v>1834.5199999999959</v>
      </c>
      <c r="O967">
        <v>11</v>
      </c>
    </row>
    <row r="968" spans="1:15" hidden="1" x14ac:dyDescent="0.25">
      <c r="A968" s="92">
        <v>966</v>
      </c>
      <c r="B968" s="47">
        <f>MONTH(dis_table[[#This Row],[Date]])</f>
        <v>11</v>
      </c>
      <c r="C968" s="4">
        <v>45238</v>
      </c>
      <c r="D968" s="4">
        <v>45238</v>
      </c>
      <c r="E968" t="s">
        <v>1192</v>
      </c>
      <c r="F968">
        <v>39.83</v>
      </c>
      <c r="G968" t="s">
        <v>9</v>
      </c>
      <c r="H968" t="s">
        <v>14</v>
      </c>
      <c r="I968" t="s">
        <v>12</v>
      </c>
      <c r="J968" t="s">
        <v>13</v>
      </c>
      <c r="K968" s="4">
        <v>45231</v>
      </c>
      <c r="L968">
        <v>2023</v>
      </c>
      <c r="M968" s="4">
        <v>45238</v>
      </c>
      <c r="N968">
        <v>1874.349999999996</v>
      </c>
      <c r="O968">
        <v>97</v>
      </c>
    </row>
    <row r="969" spans="1:15" hidden="1" x14ac:dyDescent="0.25">
      <c r="A969" s="92">
        <v>967</v>
      </c>
      <c r="B969" s="47">
        <f>MONTH(dis_table[[#This Row],[Date]])</f>
        <v>11</v>
      </c>
      <c r="C969" s="4">
        <v>45238</v>
      </c>
      <c r="D969" s="4">
        <v>45238</v>
      </c>
      <c r="E969" t="s">
        <v>1193</v>
      </c>
      <c r="F969">
        <v>77.94</v>
      </c>
      <c r="G969" t="s">
        <v>22</v>
      </c>
      <c r="H969" t="s">
        <v>80</v>
      </c>
      <c r="I969" t="s">
        <v>12</v>
      </c>
      <c r="J969" t="s">
        <v>19</v>
      </c>
      <c r="K969" s="4">
        <v>45231</v>
      </c>
      <c r="L969">
        <v>2023</v>
      </c>
      <c r="M969" s="4">
        <v>45238</v>
      </c>
      <c r="N969">
        <v>1952.2899999999961</v>
      </c>
      <c r="O969">
        <v>5</v>
      </c>
    </row>
    <row r="970" spans="1:15" hidden="1" x14ac:dyDescent="0.25">
      <c r="A970" s="92">
        <v>968</v>
      </c>
      <c r="B970" s="47">
        <f>MONTH(dis_table[[#This Row],[Date]])</f>
        <v>11</v>
      </c>
      <c r="C970" s="4">
        <v>45239</v>
      </c>
      <c r="D970" s="4">
        <v>45239</v>
      </c>
      <c r="E970" t="s">
        <v>1194</v>
      </c>
      <c r="F970">
        <v>29.2</v>
      </c>
      <c r="G970" t="s">
        <v>9</v>
      </c>
      <c r="H970" t="s">
        <v>14</v>
      </c>
      <c r="I970" t="s">
        <v>12</v>
      </c>
      <c r="J970" t="s">
        <v>13</v>
      </c>
      <c r="K970" s="4">
        <v>45231</v>
      </c>
      <c r="L970">
        <v>2023</v>
      </c>
      <c r="M970" s="4">
        <v>45239</v>
      </c>
      <c r="N970">
        <v>1981.4899999999959</v>
      </c>
      <c r="O970">
        <v>98</v>
      </c>
    </row>
    <row r="971" spans="1:15" hidden="1" x14ac:dyDescent="0.25">
      <c r="A971" s="92">
        <v>969</v>
      </c>
      <c r="B971" s="47">
        <f>MONTH(dis_table[[#This Row],[Date]])</f>
        <v>11</v>
      </c>
      <c r="C971" s="4">
        <v>45239</v>
      </c>
      <c r="D971" s="4">
        <v>45239</v>
      </c>
      <c r="E971" t="s">
        <v>1195</v>
      </c>
      <c r="F971">
        <v>166.71</v>
      </c>
      <c r="G971" t="s">
        <v>34</v>
      </c>
      <c r="H971" t="s">
        <v>133</v>
      </c>
      <c r="I971" t="s">
        <v>12</v>
      </c>
      <c r="J971" t="s">
        <v>24</v>
      </c>
      <c r="K971" s="4">
        <v>45231</v>
      </c>
      <c r="L971">
        <v>2023</v>
      </c>
      <c r="M971" s="4">
        <v>45239</v>
      </c>
      <c r="N971">
        <v>2148.1999999999962</v>
      </c>
      <c r="O971">
        <v>49</v>
      </c>
    </row>
    <row r="972" spans="1:15" hidden="1" x14ac:dyDescent="0.25">
      <c r="A972" s="92">
        <v>970</v>
      </c>
      <c r="B972" s="47">
        <f>MONTH(dis_table[[#This Row],[Date]])</f>
        <v>11</v>
      </c>
      <c r="C972" s="4">
        <v>45240</v>
      </c>
      <c r="D972" s="4">
        <v>45240</v>
      </c>
      <c r="E972" t="s">
        <v>1196</v>
      </c>
      <c r="F972">
        <v>25.27</v>
      </c>
      <c r="G972" t="s">
        <v>29</v>
      </c>
      <c r="H972" t="s">
        <v>1197</v>
      </c>
      <c r="I972" t="s">
        <v>12</v>
      </c>
      <c r="J972" t="s">
        <v>19</v>
      </c>
      <c r="K972" s="4">
        <v>45231</v>
      </c>
      <c r="L972">
        <v>2023</v>
      </c>
      <c r="M972" s="4">
        <v>45240</v>
      </c>
      <c r="N972">
        <v>2173.4699999999962</v>
      </c>
      <c r="O972">
        <v>1</v>
      </c>
    </row>
    <row r="973" spans="1:15" hidden="1" x14ac:dyDescent="0.25">
      <c r="A973" s="92">
        <v>971</v>
      </c>
      <c r="B973" s="47">
        <f>MONTH(dis_table[[#This Row],[Date]])</f>
        <v>11</v>
      </c>
      <c r="C973" s="4">
        <v>45240</v>
      </c>
      <c r="D973" s="4">
        <v>45240</v>
      </c>
      <c r="E973" t="s">
        <v>1198</v>
      </c>
      <c r="F973">
        <v>84.76</v>
      </c>
      <c r="G973" t="s">
        <v>34</v>
      </c>
      <c r="H973" t="s">
        <v>133</v>
      </c>
      <c r="I973" t="s">
        <v>12</v>
      </c>
      <c r="J973" t="s">
        <v>24</v>
      </c>
      <c r="K973" s="4">
        <v>45231</v>
      </c>
      <c r="L973">
        <v>2023</v>
      </c>
      <c r="M973" s="4">
        <v>45240</v>
      </c>
      <c r="N973">
        <v>2258.2299999999959</v>
      </c>
      <c r="O973">
        <v>50</v>
      </c>
    </row>
    <row r="974" spans="1:15" hidden="1" x14ac:dyDescent="0.25">
      <c r="A974" s="92">
        <v>972</v>
      </c>
      <c r="B974" s="47">
        <f>MONTH(dis_table[[#This Row],[Date]])</f>
        <v>11</v>
      </c>
      <c r="C974" s="4">
        <v>45241</v>
      </c>
      <c r="D974" s="4">
        <v>45271</v>
      </c>
      <c r="E974" t="s">
        <v>1199</v>
      </c>
      <c r="F974">
        <v>19</v>
      </c>
      <c r="G974" t="s">
        <v>16</v>
      </c>
      <c r="H974" t="s">
        <v>46</v>
      </c>
      <c r="I974" t="s">
        <v>12</v>
      </c>
      <c r="J974" t="s">
        <v>24</v>
      </c>
      <c r="K974" s="4">
        <v>45231</v>
      </c>
      <c r="L974">
        <v>2023</v>
      </c>
      <c r="M974" s="4">
        <v>45241</v>
      </c>
      <c r="N974">
        <v>2277.2299999999959</v>
      </c>
      <c r="O974">
        <v>8</v>
      </c>
    </row>
    <row r="975" spans="1:15" hidden="1" x14ac:dyDescent="0.25">
      <c r="A975" s="92">
        <v>973</v>
      </c>
      <c r="B975" s="47">
        <f>MONTH(dis_table[[#This Row],[Date]])</f>
        <v>11</v>
      </c>
      <c r="C975" s="4">
        <v>45241</v>
      </c>
      <c r="D975" s="4">
        <v>45241</v>
      </c>
      <c r="E975" t="s">
        <v>1200</v>
      </c>
      <c r="F975">
        <v>19</v>
      </c>
      <c r="G975" t="s">
        <v>16</v>
      </c>
      <c r="H975" t="s">
        <v>46</v>
      </c>
      <c r="I975" t="s">
        <v>12</v>
      </c>
      <c r="J975" t="s">
        <v>24</v>
      </c>
      <c r="K975" s="4">
        <v>45231</v>
      </c>
      <c r="L975">
        <v>2023</v>
      </c>
      <c r="M975" s="4">
        <v>45241</v>
      </c>
      <c r="N975">
        <v>2296.2299999999959</v>
      </c>
      <c r="O975">
        <v>9</v>
      </c>
    </row>
    <row r="976" spans="1:15" hidden="1" x14ac:dyDescent="0.25">
      <c r="A976" s="92">
        <v>974</v>
      </c>
      <c r="B976" s="47">
        <f>MONTH(dis_table[[#This Row],[Date]])</f>
        <v>11</v>
      </c>
      <c r="C976" s="4">
        <v>45241</v>
      </c>
      <c r="D976" s="4">
        <v>45241</v>
      </c>
      <c r="E976" t="s">
        <v>26</v>
      </c>
      <c r="F976">
        <v>-2089.04</v>
      </c>
      <c r="G976" t="s">
        <v>27</v>
      </c>
      <c r="H976" t="s">
        <v>28</v>
      </c>
      <c r="I976" t="s">
        <v>12</v>
      </c>
      <c r="J976" t="s">
        <v>122</v>
      </c>
      <c r="K976" s="4">
        <v>45231</v>
      </c>
      <c r="L976">
        <v>2023</v>
      </c>
      <c r="M976" s="4">
        <v>45241</v>
      </c>
      <c r="N976">
        <v>207.18999999999599</v>
      </c>
      <c r="O976">
        <v>32</v>
      </c>
    </row>
    <row r="977" spans="1:15" hidden="1" x14ac:dyDescent="0.25">
      <c r="A977" s="92">
        <v>975</v>
      </c>
      <c r="B977" s="47">
        <f>MONTH(dis_table[[#This Row],[Date]])</f>
        <v>11</v>
      </c>
      <c r="C977" s="4">
        <v>45241</v>
      </c>
      <c r="D977" s="4">
        <v>45241</v>
      </c>
      <c r="E977" t="s">
        <v>1201</v>
      </c>
      <c r="F977">
        <v>45.09</v>
      </c>
      <c r="G977" t="s">
        <v>9</v>
      </c>
      <c r="H977" t="s">
        <v>10</v>
      </c>
      <c r="I977" t="s">
        <v>12</v>
      </c>
      <c r="J977" t="s">
        <v>13</v>
      </c>
      <c r="K977" s="4">
        <v>45231</v>
      </c>
      <c r="L977">
        <v>2023</v>
      </c>
      <c r="M977" s="4">
        <v>45241</v>
      </c>
      <c r="N977">
        <v>252.27999999999599</v>
      </c>
      <c r="O977">
        <v>59</v>
      </c>
    </row>
    <row r="978" spans="1:15" hidden="1" x14ac:dyDescent="0.25">
      <c r="A978" s="92">
        <v>976</v>
      </c>
      <c r="B978" s="47">
        <f>MONTH(dis_table[[#This Row],[Date]])</f>
        <v>11</v>
      </c>
      <c r="C978" s="4">
        <v>45242</v>
      </c>
      <c r="D978" s="4">
        <v>45242</v>
      </c>
      <c r="E978" t="s">
        <v>70</v>
      </c>
      <c r="F978">
        <v>43.91</v>
      </c>
      <c r="G978" t="s">
        <v>22</v>
      </c>
      <c r="H978" t="s">
        <v>42</v>
      </c>
      <c r="I978" t="s">
        <v>12</v>
      </c>
      <c r="J978" t="s">
        <v>31</v>
      </c>
      <c r="K978" s="4">
        <v>45231</v>
      </c>
      <c r="L978">
        <v>2023</v>
      </c>
      <c r="M978" s="4">
        <v>45242</v>
      </c>
      <c r="N978">
        <v>296.18999999999602</v>
      </c>
      <c r="O978">
        <v>84</v>
      </c>
    </row>
    <row r="979" spans="1:15" hidden="1" x14ac:dyDescent="0.25">
      <c r="A979" s="92">
        <v>977</v>
      </c>
      <c r="B979" s="47">
        <f>MONTH(dis_table[[#This Row],[Date]])</f>
        <v>11</v>
      </c>
      <c r="C979" s="4">
        <v>45242</v>
      </c>
      <c r="D979" s="4">
        <v>45242</v>
      </c>
      <c r="E979" t="s">
        <v>70</v>
      </c>
      <c r="F979">
        <v>58.97</v>
      </c>
      <c r="G979" t="s">
        <v>22</v>
      </c>
      <c r="H979" t="s">
        <v>42</v>
      </c>
      <c r="I979" t="s">
        <v>12</v>
      </c>
      <c r="J979" t="s">
        <v>31</v>
      </c>
      <c r="K979" s="4">
        <v>45231</v>
      </c>
      <c r="L979">
        <v>2023</v>
      </c>
      <c r="M979" s="4">
        <v>45242</v>
      </c>
      <c r="N979">
        <v>355.15999999999599</v>
      </c>
      <c r="O979">
        <v>85</v>
      </c>
    </row>
    <row r="980" spans="1:15" hidden="1" x14ac:dyDescent="0.25">
      <c r="A980" s="92">
        <v>978</v>
      </c>
      <c r="B980" s="47">
        <f>MONTH(dis_table[[#This Row],[Date]])</f>
        <v>11</v>
      </c>
      <c r="C980" s="4">
        <v>45243</v>
      </c>
      <c r="D980" s="4">
        <v>45241</v>
      </c>
      <c r="E980" t="s">
        <v>1202</v>
      </c>
      <c r="F980">
        <v>-19</v>
      </c>
      <c r="G980" t="s">
        <v>27</v>
      </c>
      <c r="H980" t="s">
        <v>46</v>
      </c>
      <c r="I980" t="s">
        <v>12</v>
      </c>
      <c r="J980" t="s">
        <v>24</v>
      </c>
      <c r="K980" s="4">
        <v>45231</v>
      </c>
      <c r="L980">
        <v>2023</v>
      </c>
      <c r="M980" s="4">
        <v>45243</v>
      </c>
      <c r="N980">
        <v>336.15999999999599</v>
      </c>
      <c r="O980">
        <v>10</v>
      </c>
    </row>
    <row r="981" spans="1:15" hidden="1" x14ac:dyDescent="0.25">
      <c r="A981" s="92">
        <v>979</v>
      </c>
      <c r="B981" s="47">
        <f>MONTH(dis_table[[#This Row],[Date]])</f>
        <v>11</v>
      </c>
      <c r="C981" s="4">
        <v>45243</v>
      </c>
      <c r="D981" s="4">
        <v>45243</v>
      </c>
      <c r="E981" t="s">
        <v>1203</v>
      </c>
      <c r="F981">
        <v>60</v>
      </c>
      <c r="G981" t="s">
        <v>36</v>
      </c>
      <c r="H981" t="s">
        <v>57</v>
      </c>
      <c r="I981" t="s">
        <v>12</v>
      </c>
      <c r="J981" t="s">
        <v>19</v>
      </c>
      <c r="K981" s="4">
        <v>45231</v>
      </c>
      <c r="L981">
        <v>2023</v>
      </c>
      <c r="M981" s="4">
        <v>45243</v>
      </c>
      <c r="N981">
        <v>396.15999999999599</v>
      </c>
      <c r="O981">
        <v>23</v>
      </c>
    </row>
    <row r="982" spans="1:15" hidden="1" x14ac:dyDescent="0.25">
      <c r="A982" s="92">
        <v>980</v>
      </c>
      <c r="B982" s="47">
        <f>MONTH(dis_table[[#This Row],[Date]])</f>
        <v>11</v>
      </c>
      <c r="C982" s="4">
        <v>45244</v>
      </c>
      <c r="D982" s="4">
        <v>45244</v>
      </c>
      <c r="E982" t="s">
        <v>1204</v>
      </c>
      <c r="F982">
        <v>35.479999999999997</v>
      </c>
      <c r="G982" t="s">
        <v>9</v>
      </c>
      <c r="H982" t="s">
        <v>10</v>
      </c>
      <c r="I982" t="s">
        <v>12</v>
      </c>
      <c r="J982" t="s">
        <v>13</v>
      </c>
      <c r="K982" s="4">
        <v>45231</v>
      </c>
      <c r="L982">
        <v>2023</v>
      </c>
      <c r="M982" s="4">
        <v>45244</v>
      </c>
      <c r="N982">
        <v>431.63999999999601</v>
      </c>
      <c r="O982">
        <v>60</v>
      </c>
    </row>
    <row r="983" spans="1:15" hidden="1" x14ac:dyDescent="0.25">
      <c r="A983" s="92">
        <v>981</v>
      </c>
      <c r="B983" s="47">
        <f>MONTH(dis_table[[#This Row],[Date]])</f>
        <v>11</v>
      </c>
      <c r="C983" s="4">
        <v>45244</v>
      </c>
      <c r="D983" s="4">
        <v>45244</v>
      </c>
      <c r="E983" t="s">
        <v>50</v>
      </c>
      <c r="F983">
        <v>90.83</v>
      </c>
      <c r="G983" t="s">
        <v>16</v>
      </c>
      <c r="H983" t="s">
        <v>51</v>
      </c>
      <c r="I983" t="s">
        <v>18</v>
      </c>
      <c r="J983" t="s">
        <v>52</v>
      </c>
      <c r="K983" s="4">
        <v>45231</v>
      </c>
      <c r="L983">
        <v>2023</v>
      </c>
      <c r="M983" s="4">
        <v>45244</v>
      </c>
      <c r="N983">
        <v>522.46999999999605</v>
      </c>
      <c r="O983">
        <v>11</v>
      </c>
    </row>
    <row r="984" spans="1:15" hidden="1" x14ac:dyDescent="0.25">
      <c r="A984" s="92">
        <v>982</v>
      </c>
      <c r="B984" s="47">
        <f>MONTH(dis_table[[#This Row],[Date]])</f>
        <v>11</v>
      </c>
      <c r="C984" s="4">
        <v>45244</v>
      </c>
      <c r="D984" s="4">
        <v>45244</v>
      </c>
      <c r="E984" t="s">
        <v>530</v>
      </c>
      <c r="F984">
        <v>24.06</v>
      </c>
      <c r="G984" t="s">
        <v>58</v>
      </c>
      <c r="H984" t="s">
        <v>531</v>
      </c>
      <c r="I984" t="s">
        <v>12</v>
      </c>
      <c r="J984" t="s">
        <v>59</v>
      </c>
      <c r="K984" s="4">
        <v>45231</v>
      </c>
      <c r="L984">
        <v>2023</v>
      </c>
      <c r="M984" s="4">
        <v>45244</v>
      </c>
      <c r="N984">
        <v>546.52999999999599</v>
      </c>
      <c r="O984">
        <v>7</v>
      </c>
    </row>
    <row r="985" spans="1:15" hidden="1" x14ac:dyDescent="0.25">
      <c r="A985" s="92">
        <v>983</v>
      </c>
      <c r="B985" s="47">
        <f>MONTH(dis_table[[#This Row],[Date]])</f>
        <v>11</v>
      </c>
      <c r="C985" s="4">
        <v>45244</v>
      </c>
      <c r="D985" s="4">
        <v>45244</v>
      </c>
      <c r="E985" t="s">
        <v>1205</v>
      </c>
      <c r="F985">
        <v>22.08</v>
      </c>
      <c r="G985" t="s">
        <v>16</v>
      </c>
      <c r="H985" t="s">
        <v>133</v>
      </c>
      <c r="I985" t="s">
        <v>12</v>
      </c>
      <c r="J985" t="s">
        <v>24</v>
      </c>
      <c r="K985" s="4">
        <v>45231</v>
      </c>
      <c r="L985">
        <v>2023</v>
      </c>
      <c r="M985" s="4">
        <v>45244</v>
      </c>
      <c r="N985">
        <v>568.60999999999603</v>
      </c>
      <c r="O985">
        <v>51</v>
      </c>
    </row>
    <row r="986" spans="1:15" hidden="1" x14ac:dyDescent="0.25">
      <c r="A986" s="92">
        <v>984</v>
      </c>
      <c r="B986" s="47">
        <f>MONTH(dis_table[[#This Row],[Date]])</f>
        <v>11</v>
      </c>
      <c r="C986" s="4">
        <v>45244</v>
      </c>
      <c r="D986" s="4">
        <v>45244</v>
      </c>
      <c r="E986" t="s">
        <v>1206</v>
      </c>
      <c r="F986">
        <v>16.5</v>
      </c>
      <c r="G986" t="s">
        <v>16</v>
      </c>
      <c r="H986" t="s">
        <v>133</v>
      </c>
      <c r="I986" t="s">
        <v>12</v>
      </c>
      <c r="J986" t="s">
        <v>24</v>
      </c>
      <c r="K986" s="4">
        <v>45231</v>
      </c>
      <c r="L986">
        <v>2023</v>
      </c>
      <c r="M986" s="4">
        <v>45244</v>
      </c>
      <c r="N986">
        <v>585.10999999999603</v>
      </c>
      <c r="O986">
        <v>52</v>
      </c>
    </row>
    <row r="987" spans="1:15" hidden="1" x14ac:dyDescent="0.25">
      <c r="A987" s="92">
        <v>985</v>
      </c>
      <c r="B987" s="47">
        <f>MONTH(dis_table[[#This Row],[Date]])</f>
        <v>11</v>
      </c>
      <c r="C987" s="4">
        <v>45244</v>
      </c>
      <c r="D987" s="4">
        <v>45244</v>
      </c>
      <c r="E987" t="s">
        <v>530</v>
      </c>
      <c r="F987">
        <v>22.96</v>
      </c>
      <c r="G987" t="s">
        <v>58</v>
      </c>
      <c r="H987" t="s">
        <v>531</v>
      </c>
      <c r="I987" t="s">
        <v>12</v>
      </c>
      <c r="J987" t="s">
        <v>59</v>
      </c>
      <c r="K987" s="4">
        <v>45231</v>
      </c>
      <c r="L987">
        <v>2023</v>
      </c>
      <c r="M987" s="4">
        <v>45244</v>
      </c>
      <c r="N987">
        <v>608.06999999999607</v>
      </c>
      <c r="O987">
        <v>8</v>
      </c>
    </row>
    <row r="988" spans="1:15" hidden="1" x14ac:dyDescent="0.25">
      <c r="A988" s="92">
        <v>986</v>
      </c>
      <c r="B988" s="47">
        <f>MONTH(dis_table[[#This Row],[Date]])</f>
        <v>11</v>
      </c>
      <c r="C988" s="4">
        <v>45245</v>
      </c>
      <c r="D988" s="4">
        <v>45245</v>
      </c>
      <c r="E988" t="s">
        <v>1207</v>
      </c>
      <c r="F988">
        <v>26.99</v>
      </c>
      <c r="G988" t="s">
        <v>16</v>
      </c>
      <c r="H988" t="s">
        <v>1208</v>
      </c>
      <c r="I988" t="s">
        <v>12</v>
      </c>
      <c r="J988" t="s">
        <v>68</v>
      </c>
      <c r="K988" s="4">
        <v>45231</v>
      </c>
      <c r="L988">
        <v>2023</v>
      </c>
      <c r="M988" s="4">
        <v>45245</v>
      </c>
      <c r="N988">
        <v>635.05999999999608</v>
      </c>
      <c r="O988">
        <v>1</v>
      </c>
    </row>
    <row r="989" spans="1:15" hidden="1" x14ac:dyDescent="0.25">
      <c r="A989" s="92">
        <v>987</v>
      </c>
      <c r="B989" s="47">
        <f>MONTH(dis_table[[#This Row],[Date]])</f>
        <v>11</v>
      </c>
      <c r="C989" s="4">
        <v>45245</v>
      </c>
      <c r="D989" s="4">
        <v>45245</v>
      </c>
      <c r="E989" t="s">
        <v>1209</v>
      </c>
      <c r="F989">
        <v>269</v>
      </c>
      <c r="G989" t="s">
        <v>22</v>
      </c>
      <c r="H989" t="s">
        <v>23</v>
      </c>
      <c r="I989" t="s">
        <v>18</v>
      </c>
      <c r="J989" t="s">
        <v>24</v>
      </c>
      <c r="K989" s="4">
        <v>45231</v>
      </c>
      <c r="L989">
        <v>2023</v>
      </c>
      <c r="M989" s="4">
        <v>45245</v>
      </c>
      <c r="N989">
        <v>904.05999999999608</v>
      </c>
      <c r="O989">
        <v>1</v>
      </c>
    </row>
    <row r="990" spans="1:15" hidden="1" x14ac:dyDescent="0.25">
      <c r="A990" s="92">
        <v>988</v>
      </c>
      <c r="B990" s="47">
        <f>MONTH(dis_table[[#This Row],[Date]])</f>
        <v>11</v>
      </c>
      <c r="C990" s="4">
        <v>45246</v>
      </c>
      <c r="D990" s="4">
        <v>45246</v>
      </c>
      <c r="E990" t="s">
        <v>81</v>
      </c>
      <c r="F990">
        <v>14.87</v>
      </c>
      <c r="G990" t="s">
        <v>16</v>
      </c>
      <c r="H990" t="s">
        <v>45</v>
      </c>
      <c r="I990" t="s">
        <v>12</v>
      </c>
      <c r="J990" t="s">
        <v>19</v>
      </c>
      <c r="K990" s="4">
        <v>45231</v>
      </c>
      <c r="L990">
        <v>2023</v>
      </c>
      <c r="M990" s="4">
        <v>45246</v>
      </c>
      <c r="N990">
        <v>918.92999999999608</v>
      </c>
      <c r="O990">
        <v>52</v>
      </c>
    </row>
    <row r="991" spans="1:15" hidden="1" x14ac:dyDescent="0.25">
      <c r="A991" s="92">
        <v>989</v>
      </c>
      <c r="B991" s="47">
        <f>MONTH(dis_table[[#This Row],[Date]])</f>
        <v>11</v>
      </c>
      <c r="C991" s="4">
        <v>45246</v>
      </c>
      <c r="D991" s="4">
        <v>45247</v>
      </c>
      <c r="E991" t="s">
        <v>1210</v>
      </c>
      <c r="F991">
        <v>-22.08</v>
      </c>
      <c r="G991" t="s">
        <v>27</v>
      </c>
      <c r="H991" t="s">
        <v>133</v>
      </c>
      <c r="I991" t="s">
        <v>12</v>
      </c>
      <c r="J991" t="s">
        <v>24</v>
      </c>
      <c r="K991" s="4">
        <v>45231</v>
      </c>
      <c r="L991">
        <v>2023</v>
      </c>
      <c r="M991" s="4">
        <v>45246</v>
      </c>
      <c r="N991">
        <v>896.84999999999604</v>
      </c>
      <c r="O991">
        <v>53</v>
      </c>
    </row>
    <row r="992" spans="1:15" hidden="1" x14ac:dyDescent="0.25">
      <c r="A992" s="92">
        <v>990</v>
      </c>
      <c r="B992" s="47">
        <f>MONTH(dis_table[[#This Row],[Date]])</f>
        <v>11</v>
      </c>
      <c r="C992" s="4">
        <v>45247</v>
      </c>
      <c r="D992" s="4">
        <v>45247</v>
      </c>
      <c r="E992" t="s">
        <v>1211</v>
      </c>
      <c r="F992">
        <v>123.45</v>
      </c>
      <c r="G992" t="s">
        <v>34</v>
      </c>
      <c r="H992" t="s">
        <v>133</v>
      </c>
      <c r="I992" t="s">
        <v>12</v>
      </c>
      <c r="J992" t="s">
        <v>24</v>
      </c>
      <c r="K992" s="4">
        <v>45231</v>
      </c>
      <c r="L992">
        <v>2023</v>
      </c>
      <c r="M992" s="4">
        <v>45247</v>
      </c>
      <c r="N992">
        <v>1020.299999999996</v>
      </c>
      <c r="O992">
        <v>54</v>
      </c>
    </row>
    <row r="993" spans="1:15" hidden="1" x14ac:dyDescent="0.25">
      <c r="A993" s="92">
        <v>991</v>
      </c>
      <c r="B993" s="47">
        <f>MONTH(dis_table[[#This Row],[Date]])</f>
        <v>11</v>
      </c>
      <c r="C993" s="4">
        <v>45247</v>
      </c>
      <c r="D993" s="4">
        <v>45247</v>
      </c>
      <c r="E993" t="s">
        <v>1212</v>
      </c>
      <c r="F993">
        <v>69.38</v>
      </c>
      <c r="G993" t="s">
        <v>34</v>
      </c>
      <c r="H993" t="s">
        <v>329</v>
      </c>
      <c r="I993" t="s">
        <v>12</v>
      </c>
      <c r="J993" t="s">
        <v>24</v>
      </c>
      <c r="K993" s="4">
        <v>45231</v>
      </c>
      <c r="L993">
        <v>2023</v>
      </c>
      <c r="M993" s="4">
        <v>45247</v>
      </c>
      <c r="N993">
        <v>1089.679999999996</v>
      </c>
      <c r="O993">
        <v>13</v>
      </c>
    </row>
    <row r="994" spans="1:15" hidden="1" x14ac:dyDescent="0.25">
      <c r="A994" s="92">
        <v>992</v>
      </c>
      <c r="B994" s="47">
        <f>MONTH(dis_table[[#This Row],[Date]])</f>
        <v>11</v>
      </c>
      <c r="C994" s="4">
        <v>45248</v>
      </c>
      <c r="D994" s="4">
        <v>45248</v>
      </c>
      <c r="E994" t="s">
        <v>1213</v>
      </c>
      <c r="F994">
        <v>10</v>
      </c>
      <c r="G994" t="s">
        <v>48</v>
      </c>
      <c r="H994" t="s">
        <v>30</v>
      </c>
      <c r="I994" t="s">
        <v>12</v>
      </c>
      <c r="J994" t="s">
        <v>31</v>
      </c>
      <c r="K994" s="4">
        <v>45231</v>
      </c>
      <c r="L994">
        <v>2023</v>
      </c>
      <c r="M994" s="4">
        <v>45248</v>
      </c>
      <c r="N994">
        <v>1099.679999999996</v>
      </c>
      <c r="O994">
        <v>15</v>
      </c>
    </row>
    <row r="995" spans="1:15" hidden="1" x14ac:dyDescent="0.25">
      <c r="A995" s="92">
        <v>993</v>
      </c>
      <c r="B995" s="47">
        <f>MONTH(dis_table[[#This Row],[Date]])</f>
        <v>11</v>
      </c>
      <c r="C995" s="4">
        <v>45248</v>
      </c>
      <c r="D995" s="4">
        <v>45248</v>
      </c>
      <c r="E995" t="s">
        <v>1214</v>
      </c>
      <c r="F995">
        <v>169.59</v>
      </c>
      <c r="G995" t="s">
        <v>16</v>
      </c>
      <c r="H995" t="s">
        <v>47</v>
      </c>
      <c r="I995" t="s">
        <v>12</v>
      </c>
      <c r="J995" t="s">
        <v>19</v>
      </c>
      <c r="K995" s="4">
        <v>45231</v>
      </c>
      <c r="L995">
        <v>2023</v>
      </c>
      <c r="M995" s="4">
        <v>45248</v>
      </c>
      <c r="N995">
        <v>1269.2699999999959</v>
      </c>
      <c r="O995">
        <v>2</v>
      </c>
    </row>
    <row r="996" spans="1:15" hidden="1" x14ac:dyDescent="0.25">
      <c r="A996" s="92">
        <v>994</v>
      </c>
      <c r="B996" s="47">
        <f>MONTH(dis_table[[#This Row],[Date]])</f>
        <v>11</v>
      </c>
      <c r="C996" s="4">
        <v>45248</v>
      </c>
      <c r="D996" s="4">
        <v>45248</v>
      </c>
      <c r="E996" t="s">
        <v>1215</v>
      </c>
      <c r="F996">
        <v>124.8</v>
      </c>
      <c r="G996" t="s">
        <v>22</v>
      </c>
      <c r="H996" t="s">
        <v>243</v>
      </c>
      <c r="I996" t="s">
        <v>12</v>
      </c>
      <c r="J996" t="s">
        <v>53</v>
      </c>
      <c r="K996" s="4">
        <v>45231</v>
      </c>
      <c r="L996">
        <v>2023</v>
      </c>
      <c r="M996" s="4">
        <v>45248</v>
      </c>
      <c r="N996">
        <v>1394.0699999999961</v>
      </c>
      <c r="O996">
        <v>4</v>
      </c>
    </row>
    <row r="997" spans="1:15" hidden="1" x14ac:dyDescent="0.25">
      <c r="A997" s="92">
        <v>995</v>
      </c>
      <c r="B997" s="47">
        <f>MONTH(dis_table[[#This Row],[Date]])</f>
        <v>11</v>
      </c>
      <c r="C997" s="4">
        <v>45248</v>
      </c>
      <c r="D997" s="4">
        <v>45248</v>
      </c>
      <c r="E997" t="s">
        <v>1216</v>
      </c>
      <c r="F997">
        <v>97.67</v>
      </c>
      <c r="G997" t="s">
        <v>16</v>
      </c>
      <c r="H997" t="s">
        <v>133</v>
      </c>
      <c r="I997" t="s">
        <v>12</v>
      </c>
      <c r="J997" t="s">
        <v>24</v>
      </c>
      <c r="K997" s="4">
        <v>45231</v>
      </c>
      <c r="L997">
        <v>2023</v>
      </c>
      <c r="M997" s="4">
        <v>45248</v>
      </c>
      <c r="N997">
        <v>1491.7399999999959</v>
      </c>
      <c r="O997">
        <v>55</v>
      </c>
    </row>
    <row r="998" spans="1:15" hidden="1" x14ac:dyDescent="0.25">
      <c r="A998" s="92">
        <v>996</v>
      </c>
      <c r="B998" s="47">
        <f>MONTH(dis_table[[#This Row],[Date]])</f>
        <v>11</v>
      </c>
      <c r="C998" s="4">
        <v>45249</v>
      </c>
      <c r="D998" s="4">
        <v>45249</v>
      </c>
      <c r="E998" t="s">
        <v>1215</v>
      </c>
      <c r="F998">
        <v>79.5</v>
      </c>
      <c r="G998" t="s">
        <v>22</v>
      </c>
      <c r="H998" t="s">
        <v>243</v>
      </c>
      <c r="I998" t="s">
        <v>12</v>
      </c>
      <c r="J998" t="s">
        <v>53</v>
      </c>
      <c r="K998" s="4">
        <v>45231</v>
      </c>
      <c r="L998">
        <v>2023</v>
      </c>
      <c r="M998" s="4">
        <v>45249</v>
      </c>
      <c r="N998">
        <v>1571.2399999999959</v>
      </c>
      <c r="O998">
        <v>5</v>
      </c>
    </row>
    <row r="999" spans="1:15" hidden="1" x14ac:dyDescent="0.25">
      <c r="A999" s="92">
        <v>997</v>
      </c>
      <c r="B999" s="47">
        <f>MONTH(dis_table[[#This Row],[Date]])</f>
        <v>11</v>
      </c>
      <c r="C999" s="4">
        <v>45249</v>
      </c>
      <c r="D999" s="4">
        <v>45249</v>
      </c>
      <c r="E999" t="s">
        <v>1217</v>
      </c>
      <c r="F999">
        <v>25.62</v>
      </c>
      <c r="G999" t="s">
        <v>9</v>
      </c>
      <c r="H999" t="s">
        <v>10</v>
      </c>
      <c r="I999" t="s">
        <v>12</v>
      </c>
      <c r="J999" t="s">
        <v>13</v>
      </c>
      <c r="K999" s="4">
        <v>45231</v>
      </c>
      <c r="L999">
        <v>2023</v>
      </c>
      <c r="M999" s="4">
        <v>45249</v>
      </c>
      <c r="N999">
        <v>1596.859999999996</v>
      </c>
      <c r="O999">
        <v>61</v>
      </c>
    </row>
    <row r="1000" spans="1:15" hidden="1" x14ac:dyDescent="0.25">
      <c r="A1000" s="92">
        <v>998</v>
      </c>
      <c r="B1000" s="47">
        <f>MONTH(dis_table[[#This Row],[Date]])</f>
        <v>11</v>
      </c>
      <c r="C1000" s="4">
        <v>45249</v>
      </c>
      <c r="D1000" s="4">
        <v>45249</v>
      </c>
      <c r="E1000" t="s">
        <v>1218</v>
      </c>
      <c r="F1000">
        <v>6</v>
      </c>
      <c r="G1000" t="s">
        <v>36</v>
      </c>
      <c r="H1000" t="s">
        <v>63</v>
      </c>
      <c r="I1000" t="s">
        <v>12</v>
      </c>
      <c r="J1000" t="s">
        <v>31</v>
      </c>
      <c r="K1000" s="4">
        <v>45231</v>
      </c>
      <c r="L1000">
        <v>2023</v>
      </c>
      <c r="M1000" s="4">
        <v>45249</v>
      </c>
      <c r="N1000">
        <v>1602.859999999996</v>
      </c>
      <c r="O1000">
        <v>19</v>
      </c>
    </row>
    <row r="1001" spans="1:15" hidden="1" x14ac:dyDescent="0.25">
      <c r="A1001" s="92">
        <v>999</v>
      </c>
      <c r="B1001" s="47">
        <f>MONTH(dis_table[[#This Row],[Date]])</f>
        <v>11</v>
      </c>
      <c r="C1001" s="4">
        <v>45249</v>
      </c>
      <c r="D1001" s="4">
        <v>45249</v>
      </c>
      <c r="E1001" t="s">
        <v>1219</v>
      </c>
      <c r="F1001">
        <v>47.7</v>
      </c>
      <c r="G1001" t="s">
        <v>9</v>
      </c>
      <c r="H1001" t="s">
        <v>243</v>
      </c>
      <c r="I1001" t="s">
        <v>12</v>
      </c>
      <c r="J1001" t="s">
        <v>53</v>
      </c>
      <c r="K1001" s="4">
        <v>45231</v>
      </c>
      <c r="L1001">
        <v>2023</v>
      </c>
      <c r="M1001" s="4">
        <v>45249</v>
      </c>
      <c r="N1001">
        <v>1650.5599999999961</v>
      </c>
      <c r="O1001">
        <v>6</v>
      </c>
    </row>
    <row r="1002" spans="1:15" hidden="1" x14ac:dyDescent="0.25">
      <c r="A1002" s="92">
        <v>1000</v>
      </c>
      <c r="B1002" s="47">
        <f>MONTH(dis_table[[#This Row],[Date]])</f>
        <v>11</v>
      </c>
      <c r="C1002" s="4">
        <v>45249</v>
      </c>
      <c r="D1002" s="4">
        <v>45249</v>
      </c>
      <c r="E1002" t="s">
        <v>1220</v>
      </c>
      <c r="F1002">
        <v>49.56</v>
      </c>
      <c r="G1002" t="s">
        <v>9</v>
      </c>
      <c r="H1002" t="s">
        <v>243</v>
      </c>
      <c r="I1002" t="s">
        <v>12</v>
      </c>
      <c r="J1002" t="s">
        <v>53</v>
      </c>
      <c r="K1002" s="4">
        <v>45231</v>
      </c>
      <c r="L1002">
        <v>2023</v>
      </c>
      <c r="M1002" s="4">
        <v>45249</v>
      </c>
      <c r="N1002">
        <v>1700.119999999996</v>
      </c>
      <c r="O1002">
        <v>7</v>
      </c>
    </row>
    <row r="1003" spans="1:15" hidden="1" x14ac:dyDescent="0.25">
      <c r="A1003" s="92">
        <v>1001</v>
      </c>
      <c r="B1003" s="47">
        <f>MONTH(dis_table[[#This Row],[Date]])</f>
        <v>11</v>
      </c>
      <c r="C1003" s="4">
        <v>45249</v>
      </c>
      <c r="D1003" s="4">
        <v>45249</v>
      </c>
      <c r="E1003" t="s">
        <v>1215</v>
      </c>
      <c r="F1003">
        <v>15.9</v>
      </c>
      <c r="G1003" t="s">
        <v>22</v>
      </c>
      <c r="H1003" t="s">
        <v>243</v>
      </c>
      <c r="I1003" t="s">
        <v>12</v>
      </c>
      <c r="J1003" t="s">
        <v>53</v>
      </c>
      <c r="K1003" s="4">
        <v>45231</v>
      </c>
      <c r="L1003">
        <v>2023</v>
      </c>
      <c r="M1003" s="4">
        <v>45249</v>
      </c>
      <c r="N1003">
        <v>1716.0199999999959</v>
      </c>
      <c r="O1003">
        <v>8</v>
      </c>
    </row>
    <row r="1004" spans="1:15" hidden="1" x14ac:dyDescent="0.25">
      <c r="A1004" s="92">
        <v>1002</v>
      </c>
      <c r="B1004" s="47">
        <f>MONTH(dis_table[[#This Row],[Date]])</f>
        <v>11</v>
      </c>
      <c r="C1004" s="4">
        <v>45249</v>
      </c>
      <c r="D1004" s="4">
        <v>45249</v>
      </c>
      <c r="E1004" t="s">
        <v>1221</v>
      </c>
      <c r="F1004">
        <v>10.6</v>
      </c>
      <c r="G1004" t="s">
        <v>9</v>
      </c>
      <c r="H1004" t="s">
        <v>243</v>
      </c>
      <c r="I1004" t="s">
        <v>12</v>
      </c>
      <c r="J1004" t="s">
        <v>53</v>
      </c>
      <c r="K1004" s="4">
        <v>45231</v>
      </c>
      <c r="L1004">
        <v>2023</v>
      </c>
      <c r="M1004" s="4">
        <v>45249</v>
      </c>
      <c r="N1004">
        <v>1726.619999999996</v>
      </c>
      <c r="O1004">
        <v>9</v>
      </c>
    </row>
    <row r="1005" spans="1:15" hidden="1" x14ac:dyDescent="0.25">
      <c r="A1005" s="92">
        <v>1003</v>
      </c>
      <c r="B1005" s="47">
        <f>MONTH(dis_table[[#This Row],[Date]])</f>
        <v>11</v>
      </c>
      <c r="C1005" s="4">
        <v>45249</v>
      </c>
      <c r="D1005" s="4">
        <v>45249</v>
      </c>
      <c r="E1005" t="s">
        <v>1222</v>
      </c>
      <c r="F1005">
        <v>10</v>
      </c>
      <c r="G1005" t="s">
        <v>48</v>
      </c>
      <c r="H1005" t="s">
        <v>49</v>
      </c>
      <c r="I1005" t="s">
        <v>12</v>
      </c>
      <c r="J1005" t="s">
        <v>40</v>
      </c>
      <c r="K1005" s="4">
        <v>45231</v>
      </c>
      <c r="L1005">
        <v>2023</v>
      </c>
      <c r="M1005" s="4">
        <v>45249</v>
      </c>
      <c r="N1005">
        <v>1736.619999999996</v>
      </c>
      <c r="O1005">
        <v>12</v>
      </c>
    </row>
    <row r="1006" spans="1:15" hidden="1" x14ac:dyDescent="0.25">
      <c r="A1006" s="92">
        <v>1004</v>
      </c>
      <c r="B1006" s="47">
        <f>MONTH(dis_table[[#This Row],[Date]])</f>
        <v>11</v>
      </c>
      <c r="C1006" s="4">
        <v>45249</v>
      </c>
      <c r="D1006" s="4">
        <v>45249</v>
      </c>
      <c r="E1006" t="s">
        <v>1218</v>
      </c>
      <c r="F1006">
        <v>6</v>
      </c>
      <c r="G1006" t="s">
        <v>36</v>
      </c>
      <c r="H1006" t="s">
        <v>63</v>
      </c>
      <c r="I1006" t="s">
        <v>12</v>
      </c>
      <c r="J1006" t="s">
        <v>31</v>
      </c>
      <c r="K1006" s="4">
        <v>45231</v>
      </c>
      <c r="L1006">
        <v>2023</v>
      </c>
      <c r="M1006" s="4">
        <v>45249</v>
      </c>
      <c r="N1006">
        <v>1742.619999999996</v>
      </c>
      <c r="O1006">
        <v>20</v>
      </c>
    </row>
    <row r="1007" spans="1:15" hidden="1" x14ac:dyDescent="0.25">
      <c r="A1007" s="92">
        <v>1005</v>
      </c>
      <c r="B1007" s="47">
        <f>MONTH(dis_table[[#This Row],[Date]])</f>
        <v>11</v>
      </c>
      <c r="C1007" s="4">
        <v>45249</v>
      </c>
      <c r="D1007" s="4">
        <v>45249</v>
      </c>
      <c r="E1007" t="s">
        <v>1222</v>
      </c>
      <c r="F1007">
        <v>10</v>
      </c>
      <c r="G1007" t="s">
        <v>48</v>
      </c>
      <c r="H1007" t="s">
        <v>49</v>
      </c>
      <c r="I1007" t="s">
        <v>12</v>
      </c>
      <c r="J1007" t="s">
        <v>40</v>
      </c>
      <c r="K1007" s="4">
        <v>45231</v>
      </c>
      <c r="L1007">
        <v>2023</v>
      </c>
      <c r="M1007" s="4">
        <v>45249</v>
      </c>
      <c r="N1007">
        <v>1752.619999999996</v>
      </c>
      <c r="O1007">
        <v>13</v>
      </c>
    </row>
    <row r="1008" spans="1:15" hidden="1" x14ac:dyDescent="0.25">
      <c r="A1008" s="92">
        <v>1006</v>
      </c>
      <c r="B1008" s="47">
        <f>MONTH(dis_table[[#This Row],[Date]])</f>
        <v>11</v>
      </c>
      <c r="C1008" s="4">
        <v>45249</v>
      </c>
      <c r="D1008" s="4">
        <v>45249</v>
      </c>
      <c r="E1008" t="s">
        <v>1222</v>
      </c>
      <c r="F1008">
        <v>10</v>
      </c>
      <c r="G1008" t="s">
        <v>48</v>
      </c>
      <c r="H1008" t="s">
        <v>49</v>
      </c>
      <c r="I1008" t="s">
        <v>12</v>
      </c>
      <c r="J1008" t="s">
        <v>40</v>
      </c>
      <c r="K1008" s="4">
        <v>45231</v>
      </c>
      <c r="L1008">
        <v>2023</v>
      </c>
      <c r="M1008" s="4">
        <v>45249</v>
      </c>
      <c r="N1008">
        <v>1762.619999999996</v>
      </c>
      <c r="O1008">
        <v>14</v>
      </c>
    </row>
    <row r="1009" spans="1:15" hidden="1" x14ac:dyDescent="0.25">
      <c r="A1009" s="92">
        <v>1007</v>
      </c>
      <c r="B1009" s="47">
        <f>MONTH(dis_table[[#This Row],[Date]])</f>
        <v>11</v>
      </c>
      <c r="C1009" s="4">
        <v>45249</v>
      </c>
      <c r="D1009" s="4">
        <v>45249</v>
      </c>
      <c r="E1009" t="s">
        <v>1222</v>
      </c>
      <c r="F1009">
        <v>10</v>
      </c>
      <c r="G1009" t="s">
        <v>48</v>
      </c>
      <c r="H1009" t="s">
        <v>49</v>
      </c>
      <c r="I1009" t="s">
        <v>12</v>
      </c>
      <c r="J1009" t="s">
        <v>40</v>
      </c>
      <c r="K1009" s="4">
        <v>45231</v>
      </c>
      <c r="L1009">
        <v>2023</v>
      </c>
      <c r="M1009" s="4">
        <v>45249</v>
      </c>
      <c r="N1009">
        <v>1772.619999999996</v>
      </c>
      <c r="O1009">
        <v>15</v>
      </c>
    </row>
    <row r="1010" spans="1:15" hidden="1" x14ac:dyDescent="0.25">
      <c r="A1010" s="92">
        <v>1008</v>
      </c>
      <c r="B1010" s="47">
        <f>MONTH(dis_table[[#This Row],[Date]])</f>
        <v>11</v>
      </c>
      <c r="C1010" s="4">
        <v>45249</v>
      </c>
      <c r="D1010" s="4">
        <v>45249</v>
      </c>
      <c r="E1010" t="s">
        <v>1222</v>
      </c>
      <c r="F1010">
        <v>10</v>
      </c>
      <c r="G1010" t="s">
        <v>48</v>
      </c>
      <c r="H1010" t="s">
        <v>49</v>
      </c>
      <c r="I1010" t="s">
        <v>12</v>
      </c>
      <c r="J1010" t="s">
        <v>40</v>
      </c>
      <c r="K1010" s="4">
        <v>45231</v>
      </c>
      <c r="L1010">
        <v>2023</v>
      </c>
      <c r="M1010" s="4">
        <v>45249</v>
      </c>
      <c r="N1010">
        <v>1782.619999999996</v>
      </c>
      <c r="O1010">
        <v>16</v>
      </c>
    </row>
    <row r="1011" spans="1:15" hidden="1" x14ac:dyDescent="0.25">
      <c r="A1011" s="92">
        <v>1009</v>
      </c>
      <c r="B1011" s="47">
        <f>MONTH(dis_table[[#This Row],[Date]])</f>
        <v>11</v>
      </c>
      <c r="C1011" s="4">
        <v>45249</v>
      </c>
      <c r="D1011" s="4">
        <v>45249</v>
      </c>
      <c r="E1011" t="s">
        <v>1223</v>
      </c>
      <c r="F1011">
        <v>9.85</v>
      </c>
      <c r="G1011" t="s">
        <v>16</v>
      </c>
      <c r="H1011" t="s">
        <v>25</v>
      </c>
      <c r="I1011" t="s">
        <v>12</v>
      </c>
      <c r="J1011" t="s">
        <v>24</v>
      </c>
      <c r="K1011" s="4">
        <v>45231</v>
      </c>
      <c r="L1011">
        <v>2023</v>
      </c>
      <c r="M1011" s="4">
        <v>45249</v>
      </c>
      <c r="N1011">
        <v>1792.4699999999959</v>
      </c>
      <c r="O1011">
        <v>28</v>
      </c>
    </row>
    <row r="1012" spans="1:15" hidden="1" x14ac:dyDescent="0.25">
      <c r="A1012" s="92">
        <v>1010</v>
      </c>
      <c r="B1012" s="47">
        <f>MONTH(dis_table[[#This Row],[Date]])</f>
        <v>11</v>
      </c>
      <c r="C1012" s="4">
        <v>45249</v>
      </c>
      <c r="D1012" s="4">
        <v>45249</v>
      </c>
      <c r="E1012" t="s">
        <v>1223</v>
      </c>
      <c r="F1012">
        <v>5.65</v>
      </c>
      <c r="G1012" t="s">
        <v>16</v>
      </c>
      <c r="H1012" t="s">
        <v>25</v>
      </c>
      <c r="I1012" t="s">
        <v>12</v>
      </c>
      <c r="J1012" t="s">
        <v>24</v>
      </c>
      <c r="K1012" s="4">
        <v>45231</v>
      </c>
      <c r="L1012">
        <v>2023</v>
      </c>
      <c r="M1012" s="4">
        <v>45249</v>
      </c>
      <c r="N1012">
        <v>1798.119999999996</v>
      </c>
      <c r="O1012">
        <v>29</v>
      </c>
    </row>
    <row r="1013" spans="1:15" hidden="1" x14ac:dyDescent="0.25">
      <c r="A1013" s="92">
        <v>1011</v>
      </c>
      <c r="B1013" s="47">
        <f>MONTH(dis_table[[#This Row],[Date]])</f>
        <v>11</v>
      </c>
      <c r="C1013" s="4">
        <v>45249</v>
      </c>
      <c r="D1013" s="4">
        <v>45249</v>
      </c>
      <c r="E1013" t="s">
        <v>1224</v>
      </c>
      <c r="F1013">
        <v>14.6</v>
      </c>
      <c r="G1013" t="s">
        <v>9</v>
      </c>
      <c r="H1013" t="s">
        <v>14</v>
      </c>
      <c r="I1013" t="s">
        <v>12</v>
      </c>
      <c r="J1013" t="s">
        <v>13</v>
      </c>
      <c r="K1013" s="4">
        <v>45231</v>
      </c>
      <c r="L1013">
        <v>2023</v>
      </c>
      <c r="M1013" s="4">
        <v>45249</v>
      </c>
      <c r="N1013">
        <v>1812.7199999999959</v>
      </c>
      <c r="O1013">
        <v>99</v>
      </c>
    </row>
    <row r="1014" spans="1:15" hidden="1" x14ac:dyDescent="0.25">
      <c r="A1014" s="92">
        <v>1012</v>
      </c>
      <c r="B1014" s="47">
        <f>MONTH(dis_table[[#This Row],[Date]])</f>
        <v>11</v>
      </c>
      <c r="C1014" s="4">
        <v>45249</v>
      </c>
      <c r="D1014" s="4">
        <v>45249</v>
      </c>
      <c r="E1014" t="s">
        <v>1225</v>
      </c>
      <c r="F1014">
        <v>21.34</v>
      </c>
      <c r="G1014" t="s">
        <v>16</v>
      </c>
      <c r="H1014" t="s">
        <v>21</v>
      </c>
      <c r="I1014" t="s">
        <v>12</v>
      </c>
      <c r="J1014" t="s">
        <v>24</v>
      </c>
      <c r="K1014" s="4">
        <v>45231</v>
      </c>
      <c r="L1014">
        <v>2023</v>
      </c>
      <c r="M1014" s="4">
        <v>45249</v>
      </c>
      <c r="N1014">
        <v>1834.0599999999961</v>
      </c>
      <c r="O1014">
        <v>43</v>
      </c>
    </row>
    <row r="1015" spans="1:15" hidden="1" x14ac:dyDescent="0.25">
      <c r="A1015" s="92">
        <v>1013</v>
      </c>
      <c r="B1015" s="47">
        <f>MONTH(dis_table[[#This Row],[Date]])</f>
        <v>11</v>
      </c>
      <c r="C1015" s="4">
        <v>45250</v>
      </c>
      <c r="D1015" s="4">
        <v>45250</v>
      </c>
      <c r="E1015" t="s">
        <v>1226</v>
      </c>
      <c r="F1015">
        <v>10.16</v>
      </c>
      <c r="G1015" t="s">
        <v>9</v>
      </c>
      <c r="H1015" t="s">
        <v>10</v>
      </c>
      <c r="I1015" t="s">
        <v>12</v>
      </c>
      <c r="J1015" t="s">
        <v>13</v>
      </c>
      <c r="K1015" s="4">
        <v>45231</v>
      </c>
      <c r="L1015">
        <v>2023</v>
      </c>
      <c r="M1015" s="4">
        <v>45250</v>
      </c>
      <c r="N1015">
        <v>1844.2199999999959</v>
      </c>
      <c r="O1015">
        <v>62</v>
      </c>
    </row>
    <row r="1016" spans="1:15" hidden="1" x14ac:dyDescent="0.25">
      <c r="A1016" s="92">
        <v>1014</v>
      </c>
      <c r="B1016" s="47">
        <f>MONTH(dis_table[[#This Row],[Date]])</f>
        <v>11</v>
      </c>
      <c r="C1016" s="4">
        <v>45251</v>
      </c>
      <c r="D1016" s="4">
        <v>45251</v>
      </c>
      <c r="E1016" t="s">
        <v>1227</v>
      </c>
      <c r="F1016">
        <v>3.93</v>
      </c>
      <c r="G1016" t="s">
        <v>48</v>
      </c>
      <c r="H1016" t="s">
        <v>49</v>
      </c>
      <c r="I1016" t="s">
        <v>12</v>
      </c>
      <c r="J1016" t="s">
        <v>40</v>
      </c>
      <c r="K1016" s="4">
        <v>45231</v>
      </c>
      <c r="L1016">
        <v>2023</v>
      </c>
      <c r="M1016" s="4">
        <v>45251</v>
      </c>
      <c r="N1016">
        <v>1848.149999999996</v>
      </c>
      <c r="O1016">
        <v>17</v>
      </c>
    </row>
    <row r="1017" spans="1:15" hidden="1" x14ac:dyDescent="0.25">
      <c r="A1017" s="92">
        <v>1015</v>
      </c>
      <c r="B1017" s="47">
        <f>MONTH(dis_table[[#This Row],[Date]])</f>
        <v>11</v>
      </c>
      <c r="C1017" s="4">
        <v>45251</v>
      </c>
      <c r="D1017" s="4">
        <v>45251</v>
      </c>
      <c r="E1017" t="s">
        <v>1227</v>
      </c>
      <c r="F1017">
        <v>0.01</v>
      </c>
      <c r="G1017" t="s">
        <v>48</v>
      </c>
      <c r="H1017" t="s">
        <v>49</v>
      </c>
      <c r="I1017" t="s">
        <v>12</v>
      </c>
      <c r="J1017" t="s">
        <v>40</v>
      </c>
      <c r="K1017" s="4">
        <v>45231</v>
      </c>
      <c r="L1017">
        <v>2023</v>
      </c>
      <c r="M1017" s="4">
        <v>45251</v>
      </c>
      <c r="N1017">
        <v>1848.159999999996</v>
      </c>
      <c r="O1017">
        <v>18</v>
      </c>
    </row>
    <row r="1018" spans="1:15" hidden="1" x14ac:dyDescent="0.25">
      <c r="A1018" s="92">
        <v>1016</v>
      </c>
      <c r="B1018" s="47">
        <f>MONTH(dis_table[[#This Row],[Date]])</f>
        <v>11</v>
      </c>
      <c r="C1018" s="4">
        <v>45252</v>
      </c>
      <c r="D1018" s="4">
        <v>45252</v>
      </c>
      <c r="E1018" t="s">
        <v>81</v>
      </c>
      <c r="F1018">
        <v>7.43</v>
      </c>
      <c r="G1018" t="s">
        <v>16</v>
      </c>
      <c r="H1018" t="s">
        <v>45</v>
      </c>
      <c r="I1018" t="s">
        <v>12</v>
      </c>
      <c r="J1018" t="s">
        <v>19</v>
      </c>
      <c r="K1018" s="4">
        <v>45231</v>
      </c>
      <c r="L1018">
        <v>2023</v>
      </c>
      <c r="M1018" s="4">
        <v>45252</v>
      </c>
      <c r="N1018">
        <v>1855.5899999999961</v>
      </c>
      <c r="O1018">
        <v>53</v>
      </c>
    </row>
    <row r="1019" spans="1:15" hidden="1" x14ac:dyDescent="0.25">
      <c r="A1019" s="92">
        <v>1017</v>
      </c>
      <c r="B1019" s="47">
        <f>MONTH(dis_table[[#This Row],[Date]])</f>
        <v>11</v>
      </c>
      <c r="C1019" s="4">
        <v>45252</v>
      </c>
      <c r="D1019" s="4">
        <v>45252</v>
      </c>
      <c r="E1019" t="s">
        <v>1228</v>
      </c>
      <c r="F1019">
        <v>16.07</v>
      </c>
      <c r="G1019" t="s">
        <v>9</v>
      </c>
      <c r="H1019" t="s">
        <v>14</v>
      </c>
      <c r="I1019" t="s">
        <v>12</v>
      </c>
      <c r="J1019" t="s">
        <v>13</v>
      </c>
      <c r="K1019" s="4">
        <v>45231</v>
      </c>
      <c r="L1019">
        <v>2023</v>
      </c>
      <c r="M1019" s="4">
        <v>45252</v>
      </c>
      <c r="N1019">
        <v>1871.659999999996</v>
      </c>
      <c r="O1019">
        <v>100</v>
      </c>
    </row>
    <row r="1020" spans="1:15" hidden="1" x14ac:dyDescent="0.25">
      <c r="A1020" s="92">
        <v>1018</v>
      </c>
      <c r="B1020" s="47">
        <f>MONTH(dis_table[[#This Row],[Date]])</f>
        <v>11</v>
      </c>
      <c r="C1020" s="4">
        <v>45252</v>
      </c>
      <c r="D1020" s="4">
        <v>45252</v>
      </c>
      <c r="E1020" t="s">
        <v>1222</v>
      </c>
      <c r="F1020">
        <v>10</v>
      </c>
      <c r="G1020" t="s">
        <v>48</v>
      </c>
      <c r="H1020" t="s">
        <v>49</v>
      </c>
      <c r="I1020" t="s">
        <v>12</v>
      </c>
      <c r="J1020" t="s">
        <v>40</v>
      </c>
      <c r="K1020" s="4">
        <v>45231</v>
      </c>
      <c r="L1020">
        <v>2023</v>
      </c>
      <c r="M1020" s="4">
        <v>45252</v>
      </c>
      <c r="N1020">
        <v>1881.659999999996</v>
      </c>
      <c r="O1020">
        <v>19</v>
      </c>
    </row>
    <row r="1021" spans="1:15" hidden="1" x14ac:dyDescent="0.25">
      <c r="A1021" s="92">
        <v>1019</v>
      </c>
      <c r="B1021" s="47">
        <f>MONTH(dis_table[[#This Row],[Date]])</f>
        <v>11</v>
      </c>
      <c r="C1021" s="4">
        <v>45252</v>
      </c>
      <c r="D1021" s="4">
        <v>45252</v>
      </c>
      <c r="E1021" t="s">
        <v>1222</v>
      </c>
      <c r="F1021">
        <v>10</v>
      </c>
      <c r="G1021" t="s">
        <v>48</v>
      </c>
      <c r="H1021" t="s">
        <v>49</v>
      </c>
      <c r="I1021" t="s">
        <v>12</v>
      </c>
      <c r="J1021" t="s">
        <v>40</v>
      </c>
      <c r="K1021" s="4">
        <v>45231</v>
      </c>
      <c r="L1021">
        <v>2023</v>
      </c>
      <c r="M1021" s="4">
        <v>45252</v>
      </c>
      <c r="N1021">
        <v>1891.659999999996</v>
      </c>
      <c r="O1021">
        <v>20</v>
      </c>
    </row>
    <row r="1022" spans="1:15" hidden="1" x14ac:dyDescent="0.25">
      <c r="A1022" s="92">
        <v>1020</v>
      </c>
      <c r="B1022" s="47">
        <f>MONTH(dis_table[[#This Row],[Date]])</f>
        <v>11</v>
      </c>
      <c r="C1022" s="4">
        <v>45252</v>
      </c>
      <c r="D1022" s="4">
        <v>45252</v>
      </c>
      <c r="E1022" t="s">
        <v>1229</v>
      </c>
      <c r="F1022">
        <v>10.050000000000001</v>
      </c>
      <c r="G1022" t="s">
        <v>9</v>
      </c>
      <c r="H1022" t="s">
        <v>10</v>
      </c>
      <c r="I1022" t="s">
        <v>12</v>
      </c>
      <c r="J1022" t="s">
        <v>13</v>
      </c>
      <c r="K1022" s="4">
        <v>45231</v>
      </c>
      <c r="L1022">
        <v>2023</v>
      </c>
      <c r="M1022" s="4">
        <v>45252</v>
      </c>
      <c r="N1022">
        <v>1901.7099999999959</v>
      </c>
      <c r="O1022">
        <v>63</v>
      </c>
    </row>
    <row r="1023" spans="1:15" hidden="1" x14ac:dyDescent="0.25">
      <c r="A1023" s="92">
        <v>1021</v>
      </c>
      <c r="B1023" s="47">
        <f>MONTH(dis_table[[#This Row],[Date]])</f>
        <v>11</v>
      </c>
      <c r="C1023" s="4">
        <v>45254</v>
      </c>
      <c r="D1023" s="4">
        <v>45254</v>
      </c>
      <c r="E1023" t="s">
        <v>1230</v>
      </c>
      <c r="F1023">
        <v>17.07</v>
      </c>
      <c r="G1023" t="s">
        <v>9</v>
      </c>
      <c r="H1023" t="s">
        <v>14</v>
      </c>
      <c r="I1023" t="s">
        <v>12</v>
      </c>
      <c r="J1023" t="s">
        <v>13</v>
      </c>
      <c r="K1023" s="4">
        <v>45231</v>
      </c>
      <c r="L1023">
        <v>2023</v>
      </c>
      <c r="M1023" s="4">
        <v>45254</v>
      </c>
      <c r="N1023">
        <v>1918.7799999999961</v>
      </c>
      <c r="O1023">
        <v>101</v>
      </c>
    </row>
    <row r="1024" spans="1:15" hidden="1" x14ac:dyDescent="0.25">
      <c r="A1024" s="92">
        <v>1022</v>
      </c>
      <c r="B1024" s="47">
        <f>MONTH(dis_table[[#This Row],[Date]])</f>
        <v>11</v>
      </c>
      <c r="C1024" s="4">
        <v>45254</v>
      </c>
      <c r="D1024" s="4">
        <v>45254</v>
      </c>
      <c r="E1024" t="s">
        <v>1231</v>
      </c>
      <c r="F1024">
        <v>31.69</v>
      </c>
      <c r="G1024" t="s">
        <v>16</v>
      </c>
      <c r="H1024" t="s">
        <v>66</v>
      </c>
      <c r="I1024" t="s">
        <v>12</v>
      </c>
      <c r="J1024" t="s">
        <v>24</v>
      </c>
      <c r="K1024" s="4">
        <v>45231</v>
      </c>
      <c r="L1024">
        <v>2023</v>
      </c>
      <c r="M1024" s="4">
        <v>45254</v>
      </c>
      <c r="N1024">
        <v>1950.4699999999959</v>
      </c>
      <c r="O1024">
        <v>16</v>
      </c>
    </row>
    <row r="1025" spans="1:15" hidden="1" x14ac:dyDescent="0.25">
      <c r="A1025" s="92">
        <v>1023</v>
      </c>
      <c r="B1025" s="47">
        <f>MONTH(dis_table[[#This Row],[Date]])</f>
        <v>11</v>
      </c>
      <c r="C1025" s="4">
        <v>45254</v>
      </c>
      <c r="D1025" s="4">
        <v>45254</v>
      </c>
      <c r="E1025" t="s">
        <v>1195</v>
      </c>
      <c r="F1025">
        <v>121.34</v>
      </c>
      <c r="G1025" t="s">
        <v>34</v>
      </c>
      <c r="H1025" t="s">
        <v>133</v>
      </c>
      <c r="I1025" t="s">
        <v>12</v>
      </c>
      <c r="J1025" t="s">
        <v>24</v>
      </c>
      <c r="K1025" s="4">
        <v>45231</v>
      </c>
      <c r="L1025">
        <v>2023</v>
      </c>
      <c r="M1025" s="4">
        <v>45254</v>
      </c>
      <c r="N1025">
        <v>2071.8099999999959</v>
      </c>
      <c r="O1025">
        <v>56</v>
      </c>
    </row>
    <row r="1026" spans="1:15" hidden="1" x14ac:dyDescent="0.25">
      <c r="A1026" s="92">
        <v>1024</v>
      </c>
      <c r="B1026" s="47">
        <f>MONTH(dis_table[[#This Row],[Date]])</f>
        <v>11</v>
      </c>
      <c r="C1026" s="4">
        <v>45254</v>
      </c>
      <c r="D1026" s="4">
        <v>45254</v>
      </c>
      <c r="E1026" t="s">
        <v>1232</v>
      </c>
      <c r="F1026">
        <v>8</v>
      </c>
      <c r="G1026" t="s">
        <v>22</v>
      </c>
      <c r="H1026" t="s">
        <v>57</v>
      </c>
      <c r="I1026" t="s">
        <v>12</v>
      </c>
      <c r="J1026" t="s">
        <v>19</v>
      </c>
      <c r="K1026" s="4">
        <v>45231</v>
      </c>
      <c r="L1026">
        <v>2023</v>
      </c>
      <c r="M1026" s="4">
        <v>45254</v>
      </c>
      <c r="N1026">
        <v>2079.8099999999959</v>
      </c>
      <c r="O1026">
        <v>24</v>
      </c>
    </row>
    <row r="1027" spans="1:15" hidden="1" x14ac:dyDescent="0.25">
      <c r="A1027" s="92">
        <v>1025</v>
      </c>
      <c r="B1027" s="47">
        <f>MONTH(dis_table[[#This Row],[Date]])</f>
        <v>11</v>
      </c>
      <c r="C1027" s="4">
        <v>45254</v>
      </c>
      <c r="D1027" s="4">
        <v>45254</v>
      </c>
      <c r="E1027" t="s">
        <v>1233</v>
      </c>
      <c r="F1027">
        <v>27.05</v>
      </c>
      <c r="G1027" t="s">
        <v>9</v>
      </c>
      <c r="H1027" t="s">
        <v>14</v>
      </c>
      <c r="I1027" t="s">
        <v>12</v>
      </c>
      <c r="J1027" t="s">
        <v>13</v>
      </c>
      <c r="K1027" s="4">
        <v>45231</v>
      </c>
      <c r="L1027">
        <v>2023</v>
      </c>
      <c r="M1027" s="4">
        <v>45254</v>
      </c>
      <c r="N1027">
        <v>2106.859999999996</v>
      </c>
      <c r="O1027">
        <v>102</v>
      </c>
    </row>
    <row r="1028" spans="1:15" hidden="1" x14ac:dyDescent="0.25">
      <c r="A1028" s="92">
        <v>1026</v>
      </c>
      <c r="B1028" s="47">
        <f>MONTH(dis_table[[#This Row],[Date]])</f>
        <v>11</v>
      </c>
      <c r="C1028" s="4">
        <v>45254</v>
      </c>
      <c r="D1028" s="4">
        <v>45254</v>
      </c>
      <c r="E1028" t="s">
        <v>1234</v>
      </c>
      <c r="F1028">
        <v>26.49</v>
      </c>
      <c r="G1028" t="s">
        <v>16</v>
      </c>
      <c r="H1028" t="s">
        <v>1208</v>
      </c>
      <c r="I1028" t="s">
        <v>12</v>
      </c>
      <c r="J1028" t="s">
        <v>68</v>
      </c>
      <c r="K1028" s="4">
        <v>45231</v>
      </c>
      <c r="L1028">
        <v>2023</v>
      </c>
      <c r="M1028" s="4">
        <v>45254</v>
      </c>
      <c r="N1028">
        <v>2133.3499999999958</v>
      </c>
      <c r="O1028">
        <v>2</v>
      </c>
    </row>
    <row r="1029" spans="1:15" hidden="1" x14ac:dyDescent="0.25">
      <c r="A1029" s="92">
        <v>1027</v>
      </c>
      <c r="B1029" s="47">
        <f>MONTH(dis_table[[#This Row],[Date]])</f>
        <v>11</v>
      </c>
      <c r="C1029" s="4">
        <v>45254</v>
      </c>
      <c r="D1029" s="4">
        <v>45254</v>
      </c>
      <c r="E1029" t="s">
        <v>1235</v>
      </c>
      <c r="F1029">
        <v>35.36</v>
      </c>
      <c r="G1029" t="s">
        <v>22</v>
      </c>
      <c r="H1029" t="s">
        <v>57</v>
      </c>
      <c r="I1029" t="s">
        <v>12</v>
      </c>
      <c r="J1029" t="s">
        <v>19</v>
      </c>
      <c r="K1029" s="4">
        <v>45231</v>
      </c>
      <c r="L1029">
        <v>2023</v>
      </c>
      <c r="M1029" s="4">
        <v>45254</v>
      </c>
      <c r="N1029">
        <v>2168.7099999999959</v>
      </c>
      <c r="O1029">
        <v>25</v>
      </c>
    </row>
    <row r="1030" spans="1:15" hidden="1" x14ac:dyDescent="0.25">
      <c r="A1030" s="92">
        <v>1028</v>
      </c>
      <c r="B1030" s="47">
        <f>MONTH(dis_table[[#This Row],[Date]])</f>
        <v>11</v>
      </c>
      <c r="C1030" s="4">
        <v>45254</v>
      </c>
      <c r="D1030" s="4">
        <v>45254</v>
      </c>
      <c r="E1030" t="s">
        <v>1222</v>
      </c>
      <c r="F1030">
        <v>10</v>
      </c>
      <c r="G1030" t="s">
        <v>48</v>
      </c>
      <c r="H1030" t="s">
        <v>49</v>
      </c>
      <c r="I1030" t="s">
        <v>12</v>
      </c>
      <c r="J1030" t="s">
        <v>40</v>
      </c>
      <c r="K1030" s="4">
        <v>45231</v>
      </c>
      <c r="L1030">
        <v>2023</v>
      </c>
      <c r="M1030" s="4">
        <v>45254</v>
      </c>
      <c r="N1030">
        <v>2178.7099999999959</v>
      </c>
      <c r="O1030">
        <v>21</v>
      </c>
    </row>
    <row r="1031" spans="1:15" hidden="1" x14ac:dyDescent="0.25">
      <c r="A1031" s="92">
        <v>1029</v>
      </c>
      <c r="B1031" s="47">
        <f>MONTH(dis_table[[#This Row],[Date]])</f>
        <v>11</v>
      </c>
      <c r="C1031" s="4">
        <v>45254</v>
      </c>
      <c r="D1031" s="4">
        <v>45254</v>
      </c>
      <c r="E1031" t="s">
        <v>1222</v>
      </c>
      <c r="F1031">
        <v>10</v>
      </c>
      <c r="G1031" t="s">
        <v>48</v>
      </c>
      <c r="H1031" t="s">
        <v>49</v>
      </c>
      <c r="I1031" t="s">
        <v>12</v>
      </c>
      <c r="J1031" t="s">
        <v>40</v>
      </c>
      <c r="K1031" s="4">
        <v>45231</v>
      </c>
      <c r="L1031">
        <v>2023</v>
      </c>
      <c r="M1031" s="4">
        <v>45254</v>
      </c>
      <c r="N1031">
        <v>2188.7099999999959</v>
      </c>
      <c r="O1031">
        <v>22</v>
      </c>
    </row>
    <row r="1032" spans="1:15" hidden="1" x14ac:dyDescent="0.25">
      <c r="A1032" s="92">
        <v>1030</v>
      </c>
      <c r="B1032" s="47">
        <f>MONTH(dis_table[[#This Row],[Date]])</f>
        <v>11</v>
      </c>
      <c r="C1032" s="4">
        <v>45254</v>
      </c>
      <c r="D1032" s="4">
        <v>45254</v>
      </c>
      <c r="E1032" t="s">
        <v>1236</v>
      </c>
      <c r="F1032">
        <v>8.34</v>
      </c>
      <c r="G1032" t="s">
        <v>9</v>
      </c>
      <c r="H1032" t="s">
        <v>62</v>
      </c>
      <c r="I1032" t="s">
        <v>12</v>
      </c>
      <c r="J1032" t="s">
        <v>13</v>
      </c>
      <c r="K1032" s="4">
        <v>45231</v>
      </c>
      <c r="L1032">
        <v>2023</v>
      </c>
      <c r="M1032" s="4">
        <v>45254</v>
      </c>
      <c r="N1032">
        <v>2197.0499999999961</v>
      </c>
      <c r="O1032">
        <v>14</v>
      </c>
    </row>
    <row r="1033" spans="1:15" hidden="1" x14ac:dyDescent="0.25">
      <c r="A1033" s="92">
        <v>1031</v>
      </c>
      <c r="B1033" s="47">
        <f>MONTH(dis_table[[#This Row],[Date]])</f>
        <v>11</v>
      </c>
      <c r="C1033" s="4">
        <v>45254</v>
      </c>
      <c r="D1033" s="4">
        <v>45254</v>
      </c>
      <c r="E1033" t="s">
        <v>1235</v>
      </c>
      <c r="F1033">
        <v>42.37</v>
      </c>
      <c r="G1033" t="s">
        <v>22</v>
      </c>
      <c r="H1033" t="s">
        <v>57</v>
      </c>
      <c r="I1033" t="s">
        <v>12</v>
      </c>
      <c r="J1033" t="s">
        <v>19</v>
      </c>
      <c r="K1033" s="4">
        <v>45231</v>
      </c>
      <c r="L1033">
        <v>2023</v>
      </c>
      <c r="M1033" s="4">
        <v>45254</v>
      </c>
      <c r="N1033">
        <v>2239.419999999996</v>
      </c>
      <c r="O1033">
        <v>26</v>
      </c>
    </row>
    <row r="1034" spans="1:15" hidden="1" x14ac:dyDescent="0.25">
      <c r="A1034" s="92">
        <v>1032</v>
      </c>
      <c r="B1034" s="47">
        <f>MONTH(dis_table[[#This Row],[Date]])</f>
        <v>11</v>
      </c>
      <c r="C1034" s="4">
        <v>45254</v>
      </c>
      <c r="D1034" s="4">
        <v>45254</v>
      </c>
      <c r="E1034" t="s">
        <v>1237</v>
      </c>
      <c r="F1034">
        <v>47.69</v>
      </c>
      <c r="G1034" t="s">
        <v>36</v>
      </c>
      <c r="H1034" t="s">
        <v>243</v>
      </c>
      <c r="I1034" t="s">
        <v>12</v>
      </c>
      <c r="J1034" t="s">
        <v>53</v>
      </c>
      <c r="K1034" s="4">
        <v>45231</v>
      </c>
      <c r="L1034">
        <v>2023</v>
      </c>
      <c r="M1034" s="4">
        <v>45254</v>
      </c>
      <c r="N1034">
        <v>2287.109999999996</v>
      </c>
      <c r="O1034">
        <v>10</v>
      </c>
    </row>
    <row r="1035" spans="1:15" hidden="1" x14ac:dyDescent="0.25">
      <c r="A1035" s="92">
        <v>1033</v>
      </c>
      <c r="B1035" s="47">
        <f>MONTH(dis_table[[#This Row],[Date]])</f>
        <v>11</v>
      </c>
      <c r="C1035" s="4">
        <v>45254</v>
      </c>
      <c r="D1035" s="4">
        <v>45254</v>
      </c>
      <c r="E1035" t="s">
        <v>1222</v>
      </c>
      <c r="F1035">
        <v>10</v>
      </c>
      <c r="G1035" t="s">
        <v>48</v>
      </c>
      <c r="H1035" t="s">
        <v>49</v>
      </c>
      <c r="I1035" t="s">
        <v>12</v>
      </c>
      <c r="J1035" t="s">
        <v>40</v>
      </c>
      <c r="K1035" s="4">
        <v>45231</v>
      </c>
      <c r="L1035">
        <v>2023</v>
      </c>
      <c r="M1035" s="4">
        <v>45254</v>
      </c>
      <c r="N1035">
        <v>2297.109999999996</v>
      </c>
      <c r="O1035">
        <v>23</v>
      </c>
    </row>
    <row r="1036" spans="1:15" hidden="1" x14ac:dyDescent="0.25">
      <c r="A1036" s="92">
        <v>1034</v>
      </c>
      <c r="B1036" s="47">
        <f>MONTH(dis_table[[#This Row],[Date]])</f>
        <v>11</v>
      </c>
      <c r="C1036" s="4">
        <v>45255</v>
      </c>
      <c r="D1036" s="4">
        <v>45255</v>
      </c>
      <c r="E1036" t="s">
        <v>1238</v>
      </c>
      <c r="F1036">
        <v>37.01</v>
      </c>
      <c r="G1036" t="s">
        <v>9</v>
      </c>
      <c r="H1036" t="s">
        <v>10</v>
      </c>
      <c r="I1036" t="s">
        <v>12</v>
      </c>
      <c r="J1036" t="s">
        <v>13</v>
      </c>
      <c r="K1036" s="4">
        <v>45231</v>
      </c>
      <c r="L1036">
        <v>2023</v>
      </c>
      <c r="M1036" s="4">
        <v>45255</v>
      </c>
      <c r="N1036">
        <v>2334.1199999999958</v>
      </c>
      <c r="O1036">
        <v>64</v>
      </c>
    </row>
    <row r="1037" spans="1:15" hidden="1" x14ac:dyDescent="0.25">
      <c r="A1037" s="92">
        <v>1035</v>
      </c>
      <c r="B1037" s="47">
        <f>MONTH(dis_table[[#This Row],[Date]])</f>
        <v>11</v>
      </c>
      <c r="C1037" s="4">
        <v>45255</v>
      </c>
      <c r="D1037" s="4">
        <v>45255</v>
      </c>
      <c r="E1037" t="s">
        <v>1239</v>
      </c>
      <c r="F1037">
        <v>35.549999999999997</v>
      </c>
      <c r="G1037" t="s">
        <v>16</v>
      </c>
      <c r="H1037" t="s">
        <v>243</v>
      </c>
      <c r="I1037" t="s">
        <v>12</v>
      </c>
      <c r="J1037" t="s">
        <v>53</v>
      </c>
      <c r="K1037" s="4">
        <v>45231</v>
      </c>
      <c r="L1037">
        <v>2023</v>
      </c>
      <c r="M1037" s="4">
        <v>45255</v>
      </c>
      <c r="N1037">
        <v>2369.669999999996</v>
      </c>
      <c r="O1037">
        <v>11</v>
      </c>
    </row>
    <row r="1038" spans="1:15" hidden="1" x14ac:dyDescent="0.25">
      <c r="A1038" s="92">
        <v>1036</v>
      </c>
      <c r="B1038" s="47">
        <f>MONTH(dis_table[[#This Row],[Date]])</f>
        <v>11</v>
      </c>
      <c r="C1038" s="4">
        <v>45255</v>
      </c>
      <c r="D1038" s="4">
        <v>45255</v>
      </c>
      <c r="E1038" t="s">
        <v>1240</v>
      </c>
      <c r="F1038">
        <v>178.8</v>
      </c>
      <c r="G1038" t="s">
        <v>22</v>
      </c>
      <c r="H1038" t="s">
        <v>243</v>
      </c>
      <c r="I1038" t="s">
        <v>12</v>
      </c>
      <c r="J1038" t="s">
        <v>53</v>
      </c>
      <c r="K1038" s="4">
        <v>45231</v>
      </c>
      <c r="L1038">
        <v>2023</v>
      </c>
      <c r="M1038" s="4">
        <v>45255</v>
      </c>
      <c r="N1038">
        <v>2548.4699999999971</v>
      </c>
      <c r="O1038">
        <v>12</v>
      </c>
    </row>
    <row r="1039" spans="1:15" hidden="1" x14ac:dyDescent="0.25">
      <c r="A1039" s="92">
        <v>1037</v>
      </c>
      <c r="B1039" s="47">
        <f>MONTH(dis_table[[#This Row],[Date]])</f>
        <v>11</v>
      </c>
      <c r="C1039" s="4">
        <v>45255</v>
      </c>
      <c r="D1039" s="4">
        <v>45255</v>
      </c>
      <c r="E1039" t="s">
        <v>1241</v>
      </c>
      <c r="F1039">
        <v>14.24</v>
      </c>
      <c r="G1039" t="s">
        <v>36</v>
      </c>
      <c r="H1039" t="s">
        <v>1125</v>
      </c>
      <c r="I1039" t="s">
        <v>12</v>
      </c>
      <c r="J1039" t="s">
        <v>122</v>
      </c>
      <c r="K1039" s="4">
        <v>45231</v>
      </c>
      <c r="L1039">
        <v>2023</v>
      </c>
      <c r="M1039" s="4">
        <v>45255</v>
      </c>
      <c r="N1039">
        <v>2562.7099999999959</v>
      </c>
      <c r="O1039">
        <v>2</v>
      </c>
    </row>
    <row r="1040" spans="1:15" hidden="1" x14ac:dyDescent="0.25">
      <c r="A1040" s="92">
        <v>1038</v>
      </c>
      <c r="B1040" s="47">
        <f>MONTH(dis_table[[#This Row],[Date]])</f>
        <v>11</v>
      </c>
      <c r="C1040" s="4">
        <v>45255</v>
      </c>
      <c r="D1040" s="4">
        <v>45255</v>
      </c>
      <c r="E1040" t="s">
        <v>1242</v>
      </c>
      <c r="F1040">
        <v>24.48</v>
      </c>
      <c r="G1040" t="s">
        <v>48</v>
      </c>
      <c r="H1040" t="s">
        <v>49</v>
      </c>
      <c r="I1040" t="s">
        <v>12</v>
      </c>
      <c r="J1040" t="s">
        <v>40</v>
      </c>
      <c r="K1040" s="4">
        <v>45231</v>
      </c>
      <c r="L1040">
        <v>2023</v>
      </c>
      <c r="M1040" s="4">
        <v>45255</v>
      </c>
      <c r="N1040">
        <v>2587.189999999996</v>
      </c>
      <c r="O1040">
        <v>24</v>
      </c>
    </row>
    <row r="1041" spans="1:15" hidden="1" x14ac:dyDescent="0.25">
      <c r="A1041" s="92">
        <v>1039</v>
      </c>
      <c r="B1041" s="47">
        <f>MONTH(dis_table[[#This Row],[Date]])</f>
        <v>11</v>
      </c>
      <c r="C1041" s="4">
        <v>45255</v>
      </c>
      <c r="D1041" s="4">
        <v>45255</v>
      </c>
      <c r="E1041" t="s">
        <v>1243</v>
      </c>
      <c r="F1041">
        <v>44.24</v>
      </c>
      <c r="G1041" t="s">
        <v>16</v>
      </c>
      <c r="H1041" t="s">
        <v>25</v>
      </c>
      <c r="I1041" t="s">
        <v>12</v>
      </c>
      <c r="J1041" t="s">
        <v>24</v>
      </c>
      <c r="K1041" s="4">
        <v>45231</v>
      </c>
      <c r="L1041">
        <v>2023</v>
      </c>
      <c r="M1041" s="4">
        <v>45255</v>
      </c>
      <c r="N1041">
        <v>2631.4299999999962</v>
      </c>
      <c r="O1041">
        <v>30</v>
      </c>
    </row>
    <row r="1042" spans="1:15" hidden="1" x14ac:dyDescent="0.25">
      <c r="A1042" s="92">
        <v>1040</v>
      </c>
      <c r="B1042" s="47">
        <f>MONTH(dis_table[[#This Row],[Date]])</f>
        <v>11</v>
      </c>
      <c r="C1042" s="4">
        <v>45256</v>
      </c>
      <c r="D1042" s="4">
        <v>45256</v>
      </c>
      <c r="E1042" t="s">
        <v>1244</v>
      </c>
      <c r="F1042">
        <v>232.11</v>
      </c>
      <c r="G1042" t="s">
        <v>16</v>
      </c>
      <c r="H1042" t="s">
        <v>127</v>
      </c>
      <c r="I1042" t="s">
        <v>12</v>
      </c>
      <c r="J1042" t="s">
        <v>19</v>
      </c>
      <c r="K1042" s="4">
        <v>45231</v>
      </c>
      <c r="L1042">
        <v>2023</v>
      </c>
      <c r="M1042" s="4">
        <v>45256</v>
      </c>
      <c r="N1042">
        <v>2863.5399999999959</v>
      </c>
      <c r="O1042">
        <v>8</v>
      </c>
    </row>
    <row r="1043" spans="1:15" hidden="1" x14ac:dyDescent="0.25">
      <c r="A1043" s="92">
        <v>1041</v>
      </c>
      <c r="B1043" s="47">
        <f>MONTH(dis_table[[#This Row],[Date]])</f>
        <v>11</v>
      </c>
      <c r="C1043" s="4">
        <v>45256</v>
      </c>
      <c r="D1043" s="4">
        <v>45256</v>
      </c>
      <c r="E1043" t="s">
        <v>1245</v>
      </c>
      <c r="F1043">
        <v>30.16</v>
      </c>
      <c r="G1043" t="s">
        <v>9</v>
      </c>
      <c r="H1043" t="s">
        <v>14</v>
      </c>
      <c r="I1043" t="s">
        <v>12</v>
      </c>
      <c r="J1043" t="s">
        <v>13</v>
      </c>
      <c r="K1043" s="4">
        <v>45231</v>
      </c>
      <c r="L1043">
        <v>2023</v>
      </c>
      <c r="M1043" s="4">
        <v>45256</v>
      </c>
      <c r="N1043">
        <v>2893.6999999999962</v>
      </c>
      <c r="O1043">
        <v>103</v>
      </c>
    </row>
    <row r="1044" spans="1:15" hidden="1" x14ac:dyDescent="0.25">
      <c r="A1044" s="92">
        <v>1042</v>
      </c>
      <c r="B1044" s="47">
        <f>MONTH(dis_table[[#This Row],[Date]])</f>
        <v>11</v>
      </c>
      <c r="C1044" s="4">
        <v>45257</v>
      </c>
      <c r="D1044" s="4">
        <v>45257</v>
      </c>
      <c r="E1044" t="s">
        <v>1246</v>
      </c>
      <c r="F1044">
        <v>22.08</v>
      </c>
      <c r="G1044" t="s">
        <v>16</v>
      </c>
      <c r="H1044" t="s">
        <v>133</v>
      </c>
      <c r="I1044" t="s">
        <v>12</v>
      </c>
      <c r="J1044" t="s">
        <v>24</v>
      </c>
      <c r="K1044" s="4">
        <v>45231</v>
      </c>
      <c r="L1044">
        <v>2023</v>
      </c>
      <c r="M1044" s="4">
        <v>45257</v>
      </c>
      <c r="N1044">
        <v>2915.7799999999961</v>
      </c>
      <c r="O1044">
        <v>57</v>
      </c>
    </row>
    <row r="1045" spans="1:15" hidden="1" x14ac:dyDescent="0.25">
      <c r="A1045" s="92">
        <v>1043</v>
      </c>
      <c r="B1045" s="47">
        <f>MONTH(dis_table[[#This Row],[Date]])</f>
        <v>11</v>
      </c>
      <c r="C1045" s="4">
        <v>45257</v>
      </c>
      <c r="D1045" s="4">
        <v>45257</v>
      </c>
      <c r="E1045" t="s">
        <v>1247</v>
      </c>
      <c r="F1045">
        <v>31.37</v>
      </c>
      <c r="G1045" t="s">
        <v>16</v>
      </c>
      <c r="H1045" t="s">
        <v>21</v>
      </c>
      <c r="I1045" t="s">
        <v>12</v>
      </c>
      <c r="J1045" t="s">
        <v>24</v>
      </c>
      <c r="K1045" s="4">
        <v>45231</v>
      </c>
      <c r="L1045">
        <v>2023</v>
      </c>
      <c r="M1045" s="4">
        <v>45257</v>
      </c>
      <c r="N1045">
        <v>2947.149999999996</v>
      </c>
      <c r="O1045">
        <v>44</v>
      </c>
    </row>
    <row r="1046" spans="1:15" hidden="1" x14ac:dyDescent="0.25">
      <c r="A1046" s="92">
        <v>1044</v>
      </c>
      <c r="B1046" s="47">
        <f>MONTH(dis_table[[#This Row],[Date]])</f>
        <v>11</v>
      </c>
      <c r="C1046" s="4">
        <v>45257</v>
      </c>
      <c r="D1046" s="4">
        <v>45257</v>
      </c>
      <c r="E1046" t="s">
        <v>1168</v>
      </c>
      <c r="F1046">
        <v>15.99</v>
      </c>
      <c r="G1046" t="s">
        <v>36</v>
      </c>
      <c r="H1046" t="s">
        <v>1169</v>
      </c>
      <c r="I1046" t="s">
        <v>12</v>
      </c>
      <c r="J1046" t="s">
        <v>19</v>
      </c>
      <c r="K1046" s="4">
        <v>45231</v>
      </c>
      <c r="L1046">
        <v>2023</v>
      </c>
      <c r="M1046" s="4">
        <v>45257</v>
      </c>
      <c r="N1046">
        <v>2963.1399999999958</v>
      </c>
      <c r="O1046">
        <v>2</v>
      </c>
    </row>
    <row r="1047" spans="1:15" hidden="1" x14ac:dyDescent="0.25">
      <c r="A1047" s="92">
        <v>1045</v>
      </c>
      <c r="B1047" s="47">
        <f>MONTH(dis_table[[#This Row],[Date]])</f>
        <v>11</v>
      </c>
      <c r="C1047" s="4">
        <v>45258</v>
      </c>
      <c r="D1047" s="4">
        <v>45258</v>
      </c>
      <c r="E1047" t="s">
        <v>1248</v>
      </c>
      <c r="F1047">
        <v>15.89</v>
      </c>
      <c r="G1047" t="s">
        <v>16</v>
      </c>
      <c r="H1047" t="s">
        <v>33</v>
      </c>
      <c r="I1047" t="s">
        <v>18</v>
      </c>
      <c r="J1047" t="s">
        <v>19</v>
      </c>
      <c r="K1047" s="4">
        <v>45231</v>
      </c>
      <c r="L1047">
        <v>2023</v>
      </c>
      <c r="M1047" s="4">
        <v>45258</v>
      </c>
      <c r="N1047">
        <v>2979.0299999999961</v>
      </c>
      <c r="O1047">
        <v>12</v>
      </c>
    </row>
    <row r="1048" spans="1:15" hidden="1" x14ac:dyDescent="0.25">
      <c r="A1048" s="92">
        <v>1046</v>
      </c>
      <c r="B1048" s="47">
        <f>MONTH(dis_table[[#This Row],[Date]])</f>
        <v>11</v>
      </c>
      <c r="C1048" s="4">
        <v>45258</v>
      </c>
      <c r="D1048" s="4">
        <v>45258</v>
      </c>
      <c r="E1048" t="s">
        <v>26</v>
      </c>
      <c r="F1048">
        <v>-1000</v>
      </c>
      <c r="G1048" t="s">
        <v>27</v>
      </c>
      <c r="H1048" t="s">
        <v>28</v>
      </c>
      <c r="I1048" t="s">
        <v>12</v>
      </c>
      <c r="J1048" t="s">
        <v>122</v>
      </c>
      <c r="K1048" s="4">
        <v>45231</v>
      </c>
      <c r="L1048">
        <v>2023</v>
      </c>
      <c r="M1048" s="4">
        <v>45258</v>
      </c>
      <c r="N1048">
        <v>1979.0299999999961</v>
      </c>
      <c r="O1048">
        <v>33</v>
      </c>
    </row>
    <row r="1049" spans="1:15" hidden="1" x14ac:dyDescent="0.25">
      <c r="A1049" s="92">
        <v>1047</v>
      </c>
      <c r="B1049" s="47">
        <f>MONTH(dis_table[[#This Row],[Date]])</f>
        <v>11</v>
      </c>
      <c r="C1049" s="4">
        <v>45258</v>
      </c>
      <c r="D1049" s="4">
        <v>45258</v>
      </c>
      <c r="E1049" t="s">
        <v>1249</v>
      </c>
      <c r="F1049">
        <v>9.94</v>
      </c>
      <c r="G1049" t="s">
        <v>9</v>
      </c>
      <c r="H1049" t="s">
        <v>10</v>
      </c>
      <c r="I1049" t="s">
        <v>12</v>
      </c>
      <c r="J1049" t="s">
        <v>13</v>
      </c>
      <c r="K1049" s="4">
        <v>45231</v>
      </c>
      <c r="L1049">
        <v>2023</v>
      </c>
      <c r="M1049" s="4">
        <v>45258</v>
      </c>
      <c r="N1049">
        <v>1988.9699999999959</v>
      </c>
      <c r="O1049">
        <v>65</v>
      </c>
    </row>
    <row r="1050" spans="1:15" hidden="1" x14ac:dyDescent="0.25">
      <c r="A1050" s="92">
        <v>1048</v>
      </c>
      <c r="B1050" s="47">
        <f>MONTH(dis_table[[#This Row],[Date]])</f>
        <v>11</v>
      </c>
      <c r="C1050" s="4">
        <v>45259</v>
      </c>
      <c r="D1050" s="4">
        <v>45259</v>
      </c>
      <c r="E1050" t="s">
        <v>1222</v>
      </c>
      <c r="F1050">
        <v>10</v>
      </c>
      <c r="G1050" t="s">
        <v>48</v>
      </c>
      <c r="H1050" t="s">
        <v>49</v>
      </c>
      <c r="I1050" t="s">
        <v>12</v>
      </c>
      <c r="J1050" t="s">
        <v>40</v>
      </c>
      <c r="K1050" s="4">
        <v>45231</v>
      </c>
      <c r="L1050">
        <v>2023</v>
      </c>
      <c r="M1050" s="4">
        <v>45259</v>
      </c>
      <c r="N1050">
        <v>1998.9699999999959</v>
      </c>
      <c r="O1050">
        <v>25</v>
      </c>
    </row>
    <row r="1051" spans="1:15" hidden="1" x14ac:dyDescent="0.25">
      <c r="A1051" s="92">
        <v>1049</v>
      </c>
      <c r="B1051" s="47">
        <f>MONTH(dis_table[[#This Row],[Date]])</f>
        <v>11</v>
      </c>
      <c r="C1051" s="4">
        <v>45259</v>
      </c>
      <c r="D1051" s="4">
        <v>45259</v>
      </c>
      <c r="E1051" t="s">
        <v>1222</v>
      </c>
      <c r="F1051">
        <v>10</v>
      </c>
      <c r="G1051" t="s">
        <v>48</v>
      </c>
      <c r="H1051" t="s">
        <v>49</v>
      </c>
      <c r="I1051" t="s">
        <v>12</v>
      </c>
      <c r="J1051" t="s">
        <v>40</v>
      </c>
      <c r="K1051" s="4">
        <v>45231</v>
      </c>
      <c r="L1051">
        <v>2023</v>
      </c>
      <c r="M1051" s="4">
        <v>45259</v>
      </c>
      <c r="N1051">
        <v>2008.9699999999959</v>
      </c>
      <c r="O1051">
        <v>26</v>
      </c>
    </row>
    <row r="1052" spans="1:15" hidden="1" x14ac:dyDescent="0.25">
      <c r="A1052" s="92">
        <v>1050</v>
      </c>
      <c r="B1052" s="47">
        <f>MONTH(dis_table[[#This Row],[Date]])</f>
        <v>11</v>
      </c>
      <c r="C1052" s="4">
        <v>45259</v>
      </c>
      <c r="D1052" s="4">
        <v>45259</v>
      </c>
      <c r="E1052" t="s">
        <v>1250</v>
      </c>
      <c r="F1052">
        <v>51.99</v>
      </c>
      <c r="G1052" t="s">
        <v>16</v>
      </c>
      <c r="H1052" t="s">
        <v>133</v>
      </c>
      <c r="I1052" t="s">
        <v>12</v>
      </c>
      <c r="J1052" t="s">
        <v>24</v>
      </c>
      <c r="K1052" s="4">
        <v>45231</v>
      </c>
      <c r="L1052">
        <v>2023</v>
      </c>
      <c r="M1052" s="4">
        <v>45259</v>
      </c>
      <c r="N1052">
        <v>2060.959999999995</v>
      </c>
      <c r="O1052">
        <v>58</v>
      </c>
    </row>
    <row r="1053" spans="1:15" hidden="1" x14ac:dyDescent="0.25">
      <c r="A1053" s="92">
        <v>1051</v>
      </c>
      <c r="B1053" s="47">
        <f>MONTH(dis_table[[#This Row],[Date]])</f>
        <v>11</v>
      </c>
      <c r="C1053" s="4">
        <v>45260</v>
      </c>
      <c r="D1053" s="4">
        <v>45260</v>
      </c>
      <c r="E1053" t="s">
        <v>1242</v>
      </c>
      <c r="F1053">
        <v>17.25</v>
      </c>
      <c r="G1053" t="s">
        <v>48</v>
      </c>
      <c r="H1053" t="s">
        <v>49</v>
      </c>
      <c r="I1053" t="s">
        <v>12</v>
      </c>
      <c r="J1053" t="s">
        <v>40</v>
      </c>
      <c r="K1053" s="4">
        <v>45231</v>
      </c>
      <c r="L1053">
        <v>2023</v>
      </c>
      <c r="M1053" s="4">
        <v>45260</v>
      </c>
      <c r="N1053">
        <v>2078.209999999995</v>
      </c>
      <c r="O1053">
        <v>27</v>
      </c>
    </row>
    <row r="1054" spans="1:15" hidden="1" x14ac:dyDescent="0.25">
      <c r="A1054" s="92">
        <v>1052</v>
      </c>
      <c r="B1054" s="47">
        <f>MONTH(dis_table[[#This Row],[Date]])</f>
        <v>11</v>
      </c>
      <c r="C1054" s="4">
        <v>45260</v>
      </c>
      <c r="D1054" s="4">
        <v>45263</v>
      </c>
      <c r="E1054" t="s">
        <v>1251</v>
      </c>
      <c r="F1054">
        <v>112.95</v>
      </c>
      <c r="G1054" t="s">
        <v>9</v>
      </c>
      <c r="H1054" t="s">
        <v>14</v>
      </c>
      <c r="I1054" t="s">
        <v>12</v>
      </c>
      <c r="J1054" t="s">
        <v>13</v>
      </c>
      <c r="K1054" s="4">
        <v>45231</v>
      </c>
      <c r="L1054">
        <v>2023</v>
      </c>
      <c r="M1054" s="4">
        <v>45260</v>
      </c>
      <c r="N1054">
        <v>2191.1599999999949</v>
      </c>
      <c r="O1054">
        <v>104</v>
      </c>
    </row>
    <row r="1055" spans="1:15" x14ac:dyDescent="0.25">
      <c r="A1055" s="92">
        <v>1053</v>
      </c>
      <c r="B1055" s="47">
        <f>MONTH(dis_table[[#This Row],[Date]])</f>
        <v>12</v>
      </c>
      <c r="C1055" s="4">
        <v>45261</v>
      </c>
      <c r="D1055" s="4">
        <v>45263</v>
      </c>
      <c r="E1055" t="s">
        <v>1252</v>
      </c>
      <c r="F1055" s="2">
        <v>53.45</v>
      </c>
      <c r="G1055" t="s">
        <v>22</v>
      </c>
      <c r="H1055" t="s">
        <v>67</v>
      </c>
      <c r="I1055" t="s">
        <v>12</v>
      </c>
      <c r="J1055" t="s">
        <v>19</v>
      </c>
      <c r="K1055" s="4">
        <v>45261</v>
      </c>
      <c r="L1055">
        <v>2023</v>
      </c>
      <c r="M1055" s="4">
        <v>45261</v>
      </c>
      <c r="N1055">
        <v>2244.6099999999951</v>
      </c>
      <c r="O1055">
        <v>13</v>
      </c>
    </row>
    <row r="1056" spans="1:15" x14ac:dyDescent="0.25">
      <c r="A1056" s="92">
        <v>1054</v>
      </c>
      <c r="B1056" s="47">
        <f>MONTH(dis_table[[#This Row],[Date]])</f>
        <v>12</v>
      </c>
      <c r="C1056" s="4">
        <v>45261</v>
      </c>
      <c r="D1056" s="4">
        <v>45263</v>
      </c>
      <c r="E1056" t="s">
        <v>1253</v>
      </c>
      <c r="F1056" s="2">
        <v>18.8</v>
      </c>
      <c r="G1056" t="s">
        <v>22</v>
      </c>
      <c r="H1056" t="s">
        <v>67</v>
      </c>
      <c r="I1056" t="s">
        <v>12</v>
      </c>
      <c r="J1056" t="s">
        <v>19</v>
      </c>
      <c r="K1056" s="4">
        <v>45261</v>
      </c>
      <c r="L1056">
        <v>2023</v>
      </c>
      <c r="M1056" s="4">
        <v>45261</v>
      </c>
      <c r="N1056">
        <v>2263.4099999999949</v>
      </c>
      <c r="O1056">
        <v>14</v>
      </c>
    </row>
    <row r="1057" spans="1:15" x14ac:dyDescent="0.25">
      <c r="A1057" s="92">
        <v>1055</v>
      </c>
      <c r="B1057" s="47">
        <f>MONTH(dis_table[[#This Row],[Date]])</f>
        <v>12</v>
      </c>
      <c r="C1057" s="4">
        <v>45261</v>
      </c>
      <c r="D1057" s="4">
        <v>45263</v>
      </c>
      <c r="E1057" t="s">
        <v>1254</v>
      </c>
      <c r="F1057" s="2">
        <v>5.99</v>
      </c>
      <c r="G1057" t="s">
        <v>16</v>
      </c>
      <c r="H1057" t="s">
        <v>20</v>
      </c>
      <c r="I1057" t="s">
        <v>18</v>
      </c>
      <c r="J1057" t="s">
        <v>19</v>
      </c>
      <c r="K1057" s="4">
        <v>45261</v>
      </c>
      <c r="L1057">
        <v>2023</v>
      </c>
      <c r="M1057" s="4">
        <v>45261</v>
      </c>
      <c r="N1057">
        <v>2269.3999999999951</v>
      </c>
      <c r="O1057">
        <v>12</v>
      </c>
    </row>
    <row r="1058" spans="1:15" x14ac:dyDescent="0.25">
      <c r="A1058" s="92">
        <v>1056</v>
      </c>
      <c r="B1058" s="47">
        <f>MONTH(dis_table[[#This Row],[Date]])</f>
        <v>12</v>
      </c>
      <c r="C1058" s="4">
        <v>45261</v>
      </c>
      <c r="D1058" s="4">
        <v>45263</v>
      </c>
      <c r="E1058" t="s">
        <v>1255</v>
      </c>
      <c r="F1058" s="2">
        <v>42</v>
      </c>
      <c r="G1058" t="s">
        <v>22</v>
      </c>
      <c r="H1058" t="s">
        <v>67</v>
      </c>
      <c r="I1058" t="s">
        <v>12</v>
      </c>
      <c r="J1058" t="s">
        <v>19</v>
      </c>
      <c r="K1058" s="4">
        <v>45261</v>
      </c>
      <c r="L1058">
        <v>2023</v>
      </c>
      <c r="M1058" s="4">
        <v>45261</v>
      </c>
      <c r="N1058">
        <v>2311.3999999999951</v>
      </c>
      <c r="O1058">
        <v>15</v>
      </c>
    </row>
    <row r="1059" spans="1:15" x14ac:dyDescent="0.25">
      <c r="A1059" s="92">
        <v>1057</v>
      </c>
      <c r="B1059" s="47">
        <f>MONTH(dis_table[[#This Row],[Date]])</f>
        <v>12</v>
      </c>
      <c r="C1059" s="4">
        <v>45261</v>
      </c>
      <c r="D1059" s="4">
        <v>45263</v>
      </c>
      <c r="E1059" t="s">
        <v>339</v>
      </c>
      <c r="F1059" s="2">
        <v>20</v>
      </c>
      <c r="G1059" t="s">
        <v>16</v>
      </c>
      <c r="H1059" t="s">
        <v>340</v>
      </c>
      <c r="I1059" t="s">
        <v>18</v>
      </c>
      <c r="J1059" t="s">
        <v>24</v>
      </c>
      <c r="K1059" s="4">
        <v>45261</v>
      </c>
      <c r="L1059">
        <v>2023</v>
      </c>
      <c r="M1059" s="4">
        <v>45261</v>
      </c>
      <c r="N1059">
        <v>2331.3999999999951</v>
      </c>
      <c r="O1059">
        <v>10</v>
      </c>
    </row>
    <row r="1060" spans="1:15" x14ac:dyDescent="0.25">
      <c r="A1060" s="92">
        <v>1058</v>
      </c>
      <c r="B1060" s="47">
        <f>MONTH(dis_table[[#This Row],[Date]])</f>
        <v>12</v>
      </c>
      <c r="C1060" s="4">
        <v>45261</v>
      </c>
      <c r="D1060" s="4">
        <v>45261</v>
      </c>
      <c r="E1060" t="s">
        <v>26</v>
      </c>
      <c r="F1060" s="2">
        <v>-2012</v>
      </c>
      <c r="G1060" t="s">
        <v>27</v>
      </c>
      <c r="H1060" t="s">
        <v>28</v>
      </c>
      <c r="I1060" t="s">
        <v>12</v>
      </c>
      <c r="J1060" t="s">
        <v>122</v>
      </c>
      <c r="K1060" s="4">
        <v>45261</v>
      </c>
      <c r="L1060">
        <v>2023</v>
      </c>
      <c r="M1060" s="4">
        <v>45261</v>
      </c>
      <c r="N1060">
        <v>319.39999999999509</v>
      </c>
      <c r="O1060">
        <v>34</v>
      </c>
    </row>
    <row r="1061" spans="1:15" x14ac:dyDescent="0.25">
      <c r="A1061" s="92">
        <v>1059</v>
      </c>
      <c r="B1061" s="47">
        <f>MONTH(dis_table[[#This Row],[Date]])</f>
        <v>12</v>
      </c>
      <c r="C1061" s="4">
        <v>45261</v>
      </c>
      <c r="D1061" s="4">
        <v>45263</v>
      </c>
      <c r="E1061" t="s">
        <v>83</v>
      </c>
      <c r="F1061" s="2">
        <v>5</v>
      </c>
      <c r="G1061" t="s">
        <v>36</v>
      </c>
      <c r="H1061" t="s">
        <v>84</v>
      </c>
      <c r="I1061" t="s">
        <v>18</v>
      </c>
      <c r="J1061" t="s">
        <v>24</v>
      </c>
      <c r="K1061" s="4">
        <v>45261</v>
      </c>
      <c r="L1061">
        <v>2023</v>
      </c>
      <c r="M1061" s="4">
        <v>45261</v>
      </c>
      <c r="N1061">
        <v>324.39999999999509</v>
      </c>
      <c r="O1061">
        <v>12</v>
      </c>
    </row>
    <row r="1062" spans="1:15" x14ac:dyDescent="0.25">
      <c r="A1062" s="92">
        <v>1060</v>
      </c>
      <c r="B1062" s="47">
        <f>MONTH(dis_table[[#This Row],[Date]])</f>
        <v>12</v>
      </c>
      <c r="C1062" s="4">
        <v>45262</v>
      </c>
      <c r="D1062" s="4">
        <v>45263</v>
      </c>
      <c r="E1062" t="s">
        <v>1256</v>
      </c>
      <c r="F1062" s="2">
        <v>6.23</v>
      </c>
      <c r="G1062" t="s">
        <v>29</v>
      </c>
      <c r="H1062" t="s">
        <v>10</v>
      </c>
      <c r="I1062" t="s">
        <v>12</v>
      </c>
      <c r="J1062" t="s">
        <v>13</v>
      </c>
      <c r="K1062" s="4">
        <v>45261</v>
      </c>
      <c r="L1062">
        <v>2023</v>
      </c>
      <c r="M1062" s="4">
        <v>45262</v>
      </c>
      <c r="N1062">
        <v>330.62999999999511</v>
      </c>
      <c r="O1062">
        <v>66</v>
      </c>
    </row>
    <row r="1063" spans="1:15" x14ac:dyDescent="0.25">
      <c r="A1063" s="92">
        <v>1061</v>
      </c>
      <c r="B1063" s="47">
        <f>MONTH(dis_table[[#This Row],[Date]])</f>
        <v>12</v>
      </c>
      <c r="C1063" s="4">
        <v>45262</v>
      </c>
      <c r="D1063" s="4">
        <v>45263</v>
      </c>
      <c r="E1063" t="s">
        <v>1257</v>
      </c>
      <c r="F1063" s="2">
        <v>7.94</v>
      </c>
      <c r="G1063" t="s">
        <v>22</v>
      </c>
      <c r="H1063" t="s">
        <v>57</v>
      </c>
      <c r="I1063" t="s">
        <v>12</v>
      </c>
      <c r="J1063" t="s">
        <v>19</v>
      </c>
      <c r="K1063" s="4">
        <v>45261</v>
      </c>
      <c r="L1063">
        <v>2023</v>
      </c>
      <c r="M1063" s="4">
        <v>45262</v>
      </c>
      <c r="N1063">
        <v>338.5699999999951</v>
      </c>
      <c r="O1063">
        <v>27</v>
      </c>
    </row>
    <row r="1064" spans="1:15" x14ac:dyDescent="0.25">
      <c r="A1064" s="92">
        <v>1062</v>
      </c>
      <c r="B1064" s="47">
        <f>MONTH(dis_table[[#This Row],[Date]])</f>
        <v>12</v>
      </c>
      <c r="C1064" s="4">
        <v>45262</v>
      </c>
      <c r="D1064" s="4">
        <v>45263</v>
      </c>
      <c r="E1064" t="s">
        <v>1257</v>
      </c>
      <c r="F1064" s="2">
        <v>10.91</v>
      </c>
      <c r="G1064" t="s">
        <v>22</v>
      </c>
      <c r="H1064" t="s">
        <v>57</v>
      </c>
      <c r="I1064" t="s">
        <v>12</v>
      </c>
      <c r="J1064" t="s">
        <v>19</v>
      </c>
      <c r="K1064" s="4">
        <v>45261</v>
      </c>
      <c r="L1064">
        <v>2023</v>
      </c>
      <c r="M1064" s="4">
        <v>45262</v>
      </c>
      <c r="N1064">
        <v>349.47999999999507</v>
      </c>
      <c r="O1064">
        <v>28</v>
      </c>
    </row>
    <row r="1065" spans="1:15" x14ac:dyDescent="0.25">
      <c r="A1065" s="92">
        <v>1063</v>
      </c>
      <c r="B1065" s="47">
        <f>MONTH(dis_table[[#This Row],[Date]])</f>
        <v>12</v>
      </c>
      <c r="C1065" s="4">
        <v>45262</v>
      </c>
      <c r="D1065" s="4">
        <v>45263</v>
      </c>
      <c r="E1065" t="s">
        <v>1258</v>
      </c>
      <c r="F1065" s="2">
        <v>27.94</v>
      </c>
      <c r="G1065" t="s">
        <v>22</v>
      </c>
      <c r="H1065" t="s">
        <v>57</v>
      </c>
      <c r="I1065" t="s">
        <v>12</v>
      </c>
      <c r="J1065" t="s">
        <v>19</v>
      </c>
      <c r="K1065" s="4">
        <v>45261</v>
      </c>
      <c r="L1065">
        <v>2023</v>
      </c>
      <c r="M1065" s="4">
        <v>45262</v>
      </c>
      <c r="N1065">
        <v>377.41999999999513</v>
      </c>
      <c r="O1065">
        <v>29</v>
      </c>
    </row>
    <row r="1066" spans="1:15" x14ac:dyDescent="0.25">
      <c r="A1066" s="92">
        <v>1064</v>
      </c>
      <c r="B1066" s="47">
        <f>MONTH(dis_table[[#This Row],[Date]])</f>
        <v>12</v>
      </c>
      <c r="C1066" s="4">
        <v>45262</v>
      </c>
      <c r="D1066" s="4">
        <v>45263</v>
      </c>
      <c r="E1066" t="s">
        <v>1259</v>
      </c>
      <c r="F1066" s="2">
        <v>40.43</v>
      </c>
      <c r="G1066" t="s">
        <v>9</v>
      </c>
      <c r="H1066" t="s">
        <v>14</v>
      </c>
      <c r="I1066" t="s">
        <v>12</v>
      </c>
      <c r="J1066" t="s">
        <v>13</v>
      </c>
      <c r="K1066" s="4">
        <v>45261</v>
      </c>
      <c r="L1066">
        <v>2023</v>
      </c>
      <c r="M1066" s="4">
        <v>45262</v>
      </c>
      <c r="N1066">
        <v>417.84999999999508</v>
      </c>
      <c r="O1066">
        <v>105</v>
      </c>
    </row>
    <row r="1067" spans="1:15" x14ac:dyDescent="0.25">
      <c r="A1067" s="92">
        <v>1065</v>
      </c>
      <c r="B1067" s="47">
        <f>MONTH(dis_table[[#This Row],[Date]])</f>
        <v>12</v>
      </c>
      <c r="C1067" s="4">
        <v>45262</v>
      </c>
      <c r="D1067" s="4">
        <v>45263</v>
      </c>
      <c r="E1067" t="s">
        <v>81</v>
      </c>
      <c r="F1067" s="2">
        <v>5.3</v>
      </c>
      <c r="G1067" t="s">
        <v>16</v>
      </c>
      <c r="H1067" t="s">
        <v>45</v>
      </c>
      <c r="I1067" t="s">
        <v>12</v>
      </c>
      <c r="J1067" t="s">
        <v>19</v>
      </c>
      <c r="K1067" s="4">
        <v>45261</v>
      </c>
      <c r="L1067">
        <v>2023</v>
      </c>
      <c r="M1067" s="4">
        <v>45262</v>
      </c>
      <c r="N1067">
        <v>423.14999999999509</v>
      </c>
      <c r="O1067">
        <v>54</v>
      </c>
    </row>
    <row r="1068" spans="1:15" x14ac:dyDescent="0.25">
      <c r="A1068" s="92">
        <v>1066</v>
      </c>
      <c r="B1068" s="47">
        <f>MONTH(dis_table[[#This Row],[Date]])</f>
        <v>12</v>
      </c>
      <c r="C1068" s="4">
        <v>45262</v>
      </c>
      <c r="D1068" s="4">
        <v>45263</v>
      </c>
      <c r="E1068" t="s">
        <v>1242</v>
      </c>
      <c r="F1068" s="2">
        <v>26.65</v>
      </c>
      <c r="G1068" t="s">
        <v>48</v>
      </c>
      <c r="H1068" t="s">
        <v>49</v>
      </c>
      <c r="I1068" t="s">
        <v>12</v>
      </c>
      <c r="J1068" t="s">
        <v>40</v>
      </c>
      <c r="K1068" s="4">
        <v>45261</v>
      </c>
      <c r="L1068">
        <v>2023</v>
      </c>
      <c r="M1068" s="4">
        <v>45262</v>
      </c>
      <c r="N1068">
        <v>449.79999999999512</v>
      </c>
      <c r="O1068">
        <v>28</v>
      </c>
    </row>
    <row r="1069" spans="1:15" x14ac:dyDescent="0.25">
      <c r="A1069" s="92">
        <v>1067</v>
      </c>
      <c r="B1069" s="47">
        <f>MONTH(dis_table[[#This Row],[Date]])</f>
        <v>12</v>
      </c>
      <c r="C1069" s="4">
        <v>45262</v>
      </c>
      <c r="D1069" s="4">
        <v>45263</v>
      </c>
      <c r="E1069" t="s">
        <v>43</v>
      </c>
      <c r="F1069" s="2">
        <v>10</v>
      </c>
      <c r="G1069" t="s">
        <v>16</v>
      </c>
      <c r="H1069" t="s">
        <v>44</v>
      </c>
      <c r="I1069" t="s">
        <v>18</v>
      </c>
      <c r="J1069" t="s">
        <v>19</v>
      </c>
      <c r="K1069" s="4">
        <v>45261</v>
      </c>
      <c r="L1069">
        <v>2023</v>
      </c>
      <c r="M1069" s="4">
        <v>45262</v>
      </c>
      <c r="N1069">
        <v>459.79999999999512</v>
      </c>
      <c r="O1069">
        <v>12</v>
      </c>
    </row>
    <row r="1070" spans="1:15" x14ac:dyDescent="0.25">
      <c r="A1070" s="92">
        <v>1068</v>
      </c>
      <c r="B1070" s="47">
        <f>MONTH(dis_table[[#This Row],[Date]])</f>
        <v>12</v>
      </c>
      <c r="C1070" s="4">
        <v>45262</v>
      </c>
      <c r="D1070" s="4">
        <v>45263</v>
      </c>
      <c r="E1070" t="s">
        <v>1260</v>
      </c>
      <c r="F1070" s="2">
        <v>125.1</v>
      </c>
      <c r="G1070" t="s">
        <v>36</v>
      </c>
      <c r="H1070" t="s">
        <v>286</v>
      </c>
      <c r="I1070" t="s">
        <v>18</v>
      </c>
      <c r="J1070" t="s">
        <v>24</v>
      </c>
      <c r="K1070" s="4">
        <v>45261</v>
      </c>
      <c r="L1070">
        <v>2023</v>
      </c>
      <c r="M1070" s="4">
        <v>45262</v>
      </c>
      <c r="N1070">
        <v>584.89999999999509</v>
      </c>
      <c r="O1070">
        <v>19</v>
      </c>
    </row>
    <row r="1071" spans="1:15" x14ac:dyDescent="0.25">
      <c r="A1071" s="92">
        <v>1069</v>
      </c>
      <c r="B1071" s="47">
        <f>MONTH(dis_table[[#This Row],[Date]])</f>
        <v>12</v>
      </c>
      <c r="C1071" s="4">
        <v>45262</v>
      </c>
      <c r="D1071" s="4">
        <v>45263</v>
      </c>
      <c r="E1071" t="s">
        <v>1261</v>
      </c>
      <c r="F1071" s="2">
        <v>139</v>
      </c>
      <c r="G1071" t="s">
        <v>36</v>
      </c>
      <c r="H1071" t="s">
        <v>286</v>
      </c>
      <c r="I1071" t="s">
        <v>18</v>
      </c>
      <c r="J1071" t="s">
        <v>24</v>
      </c>
      <c r="K1071" s="4">
        <v>45261</v>
      </c>
      <c r="L1071">
        <v>2023</v>
      </c>
      <c r="M1071" s="4">
        <v>45262</v>
      </c>
      <c r="N1071">
        <v>723.89999999999509</v>
      </c>
      <c r="O1071">
        <v>20</v>
      </c>
    </row>
    <row r="1072" spans="1:15" x14ac:dyDescent="0.25">
      <c r="A1072" s="92">
        <v>1070</v>
      </c>
      <c r="B1072" s="47">
        <f>MONTH(dis_table[[#This Row],[Date]])</f>
        <v>12</v>
      </c>
      <c r="C1072" s="4">
        <v>45262</v>
      </c>
      <c r="D1072" s="4">
        <v>45263</v>
      </c>
      <c r="E1072" t="s">
        <v>172</v>
      </c>
      <c r="F1072" s="2">
        <v>35</v>
      </c>
      <c r="G1072" t="s">
        <v>22</v>
      </c>
      <c r="H1072" t="s">
        <v>55</v>
      </c>
      <c r="I1072" t="s">
        <v>12</v>
      </c>
      <c r="J1072" t="s">
        <v>31</v>
      </c>
      <c r="K1072" s="4">
        <v>45261</v>
      </c>
      <c r="L1072">
        <v>2023</v>
      </c>
      <c r="M1072" s="4">
        <v>45262</v>
      </c>
      <c r="N1072">
        <v>758.89999999999509</v>
      </c>
      <c r="O1072">
        <v>17</v>
      </c>
    </row>
    <row r="1073" spans="1:15" x14ac:dyDescent="0.25">
      <c r="A1073" s="92">
        <v>1071</v>
      </c>
      <c r="B1073" s="47">
        <f>MONTH(dis_table[[#This Row],[Date]])</f>
        <v>12</v>
      </c>
      <c r="C1073" s="4">
        <v>45263</v>
      </c>
      <c r="D1073" s="4">
        <v>45263</v>
      </c>
      <c r="E1073" t="s">
        <v>81</v>
      </c>
      <c r="F1073" s="2">
        <v>10.63</v>
      </c>
      <c r="G1073" t="s">
        <v>16</v>
      </c>
      <c r="H1073" t="s">
        <v>45</v>
      </c>
      <c r="I1073" t="s">
        <v>12</v>
      </c>
      <c r="J1073" t="s">
        <v>19</v>
      </c>
      <c r="K1073" s="4">
        <v>45261</v>
      </c>
      <c r="L1073">
        <v>2023</v>
      </c>
      <c r="M1073" s="4">
        <v>45263</v>
      </c>
      <c r="N1073">
        <v>769.52999999999508</v>
      </c>
      <c r="O1073">
        <v>55</v>
      </c>
    </row>
    <row r="1074" spans="1:15" x14ac:dyDescent="0.25">
      <c r="A1074" s="92">
        <v>1072</v>
      </c>
      <c r="B1074" s="47">
        <f>MONTH(dis_table[[#This Row],[Date]])</f>
        <v>12</v>
      </c>
      <c r="C1074" s="4">
        <v>45263</v>
      </c>
      <c r="D1074" s="4">
        <v>45263</v>
      </c>
      <c r="E1074" t="s">
        <v>81</v>
      </c>
      <c r="F1074" s="2">
        <v>13.81</v>
      </c>
      <c r="G1074" t="s">
        <v>16</v>
      </c>
      <c r="H1074" t="s">
        <v>45</v>
      </c>
      <c r="I1074" t="s">
        <v>12</v>
      </c>
      <c r="J1074" t="s">
        <v>19</v>
      </c>
      <c r="K1074" s="4">
        <v>45261</v>
      </c>
      <c r="L1074">
        <v>2023</v>
      </c>
      <c r="M1074" s="4">
        <v>45263</v>
      </c>
      <c r="N1074">
        <v>783.33999999999503</v>
      </c>
      <c r="O1074">
        <v>56</v>
      </c>
    </row>
    <row r="1075" spans="1:15" x14ac:dyDescent="0.25">
      <c r="A1075" s="92">
        <v>1073</v>
      </c>
      <c r="B1075" s="47">
        <f>MONTH(dis_table[[#This Row],[Date]])</f>
        <v>12</v>
      </c>
      <c r="C1075" s="4">
        <v>45263</v>
      </c>
      <c r="D1075" s="4">
        <v>45263</v>
      </c>
      <c r="E1075" t="s">
        <v>81</v>
      </c>
      <c r="F1075" s="2">
        <v>5.32</v>
      </c>
      <c r="G1075" t="s">
        <v>16</v>
      </c>
      <c r="H1075" t="s">
        <v>45</v>
      </c>
      <c r="I1075" t="s">
        <v>12</v>
      </c>
      <c r="J1075" t="s">
        <v>19</v>
      </c>
      <c r="K1075" s="4">
        <v>45261</v>
      </c>
      <c r="L1075">
        <v>2023</v>
      </c>
      <c r="M1075" s="4">
        <v>45263</v>
      </c>
      <c r="N1075">
        <v>788.65999999999508</v>
      </c>
      <c r="O1075">
        <v>57</v>
      </c>
    </row>
    <row r="1076" spans="1:15" x14ac:dyDescent="0.25">
      <c r="A1076" s="92">
        <v>1074</v>
      </c>
      <c r="B1076" s="47">
        <f>MONTH(dis_table[[#This Row],[Date]])</f>
        <v>12</v>
      </c>
      <c r="C1076" s="4">
        <v>45263</v>
      </c>
      <c r="D1076" s="4">
        <v>45263</v>
      </c>
      <c r="E1076" t="s">
        <v>1262</v>
      </c>
      <c r="F1076" s="2">
        <v>9.93</v>
      </c>
      <c r="G1076" t="s">
        <v>9</v>
      </c>
      <c r="H1076" t="s">
        <v>62</v>
      </c>
      <c r="I1076" t="s">
        <v>12</v>
      </c>
      <c r="J1076" t="s">
        <v>13</v>
      </c>
      <c r="K1076" s="4">
        <v>45261</v>
      </c>
      <c r="L1076">
        <v>2023</v>
      </c>
      <c r="M1076" s="4">
        <v>45263</v>
      </c>
      <c r="N1076">
        <v>798.58999999999503</v>
      </c>
      <c r="O1076">
        <v>15</v>
      </c>
    </row>
    <row r="1077" spans="1:15" x14ac:dyDescent="0.25">
      <c r="A1077" s="92">
        <v>1075</v>
      </c>
      <c r="B1077" s="47">
        <f>MONTH(dis_table[[#This Row],[Date]])</f>
        <v>12</v>
      </c>
      <c r="C1077" s="4">
        <v>45264</v>
      </c>
      <c r="D1077" s="4">
        <v>45264</v>
      </c>
      <c r="E1077" t="s">
        <v>167</v>
      </c>
      <c r="F1077" s="2">
        <v>16.22</v>
      </c>
      <c r="G1077" t="s">
        <v>9</v>
      </c>
      <c r="H1077" t="s">
        <v>10</v>
      </c>
      <c r="I1077" t="s">
        <v>12</v>
      </c>
      <c r="J1077" t="s">
        <v>13</v>
      </c>
      <c r="K1077" s="4">
        <v>45261</v>
      </c>
      <c r="L1077">
        <v>2023</v>
      </c>
      <c r="M1077" s="4">
        <v>45264</v>
      </c>
      <c r="N1077">
        <v>814.80999999999506</v>
      </c>
      <c r="O1077">
        <v>67</v>
      </c>
    </row>
    <row r="1078" spans="1:15" x14ac:dyDescent="0.25">
      <c r="A1078" s="92">
        <v>1076</v>
      </c>
      <c r="B1078" s="47">
        <f>MONTH(dis_table[[#This Row],[Date]])</f>
        <v>12</v>
      </c>
      <c r="C1078" s="4">
        <v>45264</v>
      </c>
      <c r="D1078" s="4">
        <v>45264</v>
      </c>
      <c r="E1078" t="s">
        <v>1263</v>
      </c>
      <c r="F1078" s="2">
        <v>-17.25</v>
      </c>
      <c r="G1078" t="s">
        <v>32</v>
      </c>
      <c r="H1078" t="s">
        <v>1027</v>
      </c>
      <c r="I1078" t="s">
        <v>12</v>
      </c>
      <c r="J1078" t="s">
        <v>122</v>
      </c>
      <c r="K1078" s="4">
        <v>45261</v>
      </c>
      <c r="L1078">
        <v>2023</v>
      </c>
      <c r="M1078" s="4">
        <v>45264</v>
      </c>
      <c r="N1078">
        <v>797.55999999999506</v>
      </c>
      <c r="O1078">
        <v>12</v>
      </c>
    </row>
    <row r="1079" spans="1:15" x14ac:dyDescent="0.25">
      <c r="A1079" s="92">
        <v>1077</v>
      </c>
      <c r="B1079" s="47">
        <f>MONTH(dis_table[[#This Row],[Date]])</f>
        <v>12</v>
      </c>
      <c r="C1079" s="4">
        <v>45264</v>
      </c>
      <c r="D1079" s="4">
        <v>45264</v>
      </c>
      <c r="E1079" t="s">
        <v>85</v>
      </c>
      <c r="F1079" s="2">
        <v>107.15</v>
      </c>
      <c r="G1079" t="s">
        <v>34</v>
      </c>
      <c r="H1079" t="s">
        <v>35</v>
      </c>
      <c r="I1079" t="s">
        <v>12</v>
      </c>
      <c r="J1079" t="s">
        <v>13</v>
      </c>
      <c r="K1079" s="4">
        <v>45261</v>
      </c>
      <c r="L1079">
        <v>2023</v>
      </c>
      <c r="M1079" s="4">
        <v>45264</v>
      </c>
      <c r="N1079">
        <v>904.70999999999503</v>
      </c>
      <c r="O1079">
        <v>54</v>
      </c>
    </row>
    <row r="1080" spans="1:15" x14ac:dyDescent="0.25">
      <c r="A1080" s="92">
        <v>1078</v>
      </c>
      <c r="B1080" s="47">
        <f>MONTH(dis_table[[#This Row],[Date]])</f>
        <v>12</v>
      </c>
      <c r="C1080" s="4">
        <v>45265</v>
      </c>
      <c r="D1080" s="4">
        <v>45265</v>
      </c>
      <c r="E1080" t="s">
        <v>139</v>
      </c>
      <c r="F1080" s="2">
        <v>36.9</v>
      </c>
      <c r="G1080" t="s">
        <v>16</v>
      </c>
      <c r="H1080" t="s">
        <v>25</v>
      </c>
      <c r="I1080" t="s">
        <v>12</v>
      </c>
      <c r="J1080" t="s">
        <v>24</v>
      </c>
      <c r="K1080" s="4">
        <v>45261</v>
      </c>
      <c r="L1080">
        <v>2023</v>
      </c>
      <c r="M1080" s="4">
        <v>45265</v>
      </c>
      <c r="N1080">
        <v>941.60999999999501</v>
      </c>
      <c r="O1080">
        <v>31</v>
      </c>
    </row>
    <row r="1081" spans="1:15" x14ac:dyDescent="0.25">
      <c r="A1081" s="92">
        <v>1079</v>
      </c>
      <c r="B1081" s="47">
        <f>MONTH(dis_table[[#This Row],[Date]])</f>
        <v>12</v>
      </c>
      <c r="C1081" s="4">
        <v>45266</v>
      </c>
      <c r="D1081" s="4">
        <v>45266</v>
      </c>
      <c r="E1081" t="s">
        <v>1264</v>
      </c>
      <c r="F1081" s="2">
        <v>109.62</v>
      </c>
      <c r="G1081" t="s">
        <v>16</v>
      </c>
      <c r="H1081" t="s">
        <v>57</v>
      </c>
      <c r="I1081" t="s">
        <v>12</v>
      </c>
      <c r="J1081" t="s">
        <v>19</v>
      </c>
      <c r="K1081" s="4">
        <v>45261</v>
      </c>
      <c r="L1081">
        <v>2023</v>
      </c>
      <c r="M1081" s="4">
        <v>45266</v>
      </c>
      <c r="N1081">
        <v>1051.229999999995</v>
      </c>
      <c r="O1081">
        <v>30</v>
      </c>
    </row>
    <row r="1082" spans="1:15" x14ac:dyDescent="0.25">
      <c r="A1082" s="92">
        <v>1080</v>
      </c>
      <c r="B1082" s="47">
        <f>MONTH(dis_table[[#This Row],[Date]])</f>
        <v>12</v>
      </c>
      <c r="C1082" s="4">
        <v>45266</v>
      </c>
      <c r="D1082" s="4">
        <v>45266</v>
      </c>
      <c r="E1082" t="s">
        <v>125</v>
      </c>
      <c r="F1082" s="2">
        <v>30.68</v>
      </c>
      <c r="G1082" t="s">
        <v>34</v>
      </c>
      <c r="H1082" t="s">
        <v>133</v>
      </c>
      <c r="I1082" t="s">
        <v>12</v>
      </c>
      <c r="J1082" t="s">
        <v>24</v>
      </c>
      <c r="K1082" s="4">
        <v>45261</v>
      </c>
      <c r="L1082">
        <v>2023</v>
      </c>
      <c r="M1082" s="4">
        <v>45266</v>
      </c>
      <c r="N1082">
        <v>1081.9099999999951</v>
      </c>
      <c r="O1082">
        <v>59</v>
      </c>
    </row>
    <row r="1083" spans="1:15" x14ac:dyDescent="0.25">
      <c r="A1083" s="92">
        <v>1081</v>
      </c>
      <c r="B1083" s="47">
        <f>MONTH(dis_table[[#This Row],[Date]])</f>
        <v>12</v>
      </c>
      <c r="C1083" s="4">
        <v>45266</v>
      </c>
      <c r="D1083" s="4">
        <v>45266</v>
      </c>
      <c r="E1083" t="s">
        <v>1177</v>
      </c>
      <c r="F1083" s="2">
        <v>25.24</v>
      </c>
      <c r="G1083" t="s">
        <v>34</v>
      </c>
      <c r="H1083" t="s">
        <v>35</v>
      </c>
      <c r="I1083" t="s">
        <v>12</v>
      </c>
      <c r="J1083" t="s">
        <v>13</v>
      </c>
      <c r="K1083" s="4">
        <v>45261</v>
      </c>
      <c r="L1083">
        <v>2023</v>
      </c>
      <c r="M1083" s="4">
        <v>45266</v>
      </c>
      <c r="N1083">
        <v>1107.1499999999951</v>
      </c>
      <c r="O1083">
        <v>55</v>
      </c>
    </row>
    <row r="1084" spans="1:15" x14ac:dyDescent="0.25">
      <c r="A1084" s="92">
        <v>1082</v>
      </c>
      <c r="B1084" s="47">
        <f>MONTH(dis_table[[#This Row],[Date]])</f>
        <v>12</v>
      </c>
      <c r="C1084" s="4">
        <v>45267</v>
      </c>
      <c r="D1084" s="4">
        <v>45267</v>
      </c>
      <c r="E1084" t="s">
        <v>1265</v>
      </c>
      <c r="F1084" s="2">
        <v>49.32</v>
      </c>
      <c r="G1084" t="s">
        <v>16</v>
      </c>
      <c r="H1084" t="s">
        <v>133</v>
      </c>
      <c r="I1084" t="s">
        <v>12</v>
      </c>
      <c r="J1084" t="s">
        <v>24</v>
      </c>
      <c r="K1084" s="4">
        <v>45261</v>
      </c>
      <c r="L1084">
        <v>2023</v>
      </c>
      <c r="M1084" s="4">
        <v>45267</v>
      </c>
      <c r="N1084">
        <v>1156.469999999995</v>
      </c>
      <c r="O1084">
        <v>60</v>
      </c>
    </row>
    <row r="1085" spans="1:15" x14ac:dyDescent="0.25">
      <c r="A1085" s="92">
        <v>1083</v>
      </c>
      <c r="B1085" s="47">
        <f>MONTH(dis_table[[#This Row],[Date]])</f>
        <v>12</v>
      </c>
      <c r="C1085" s="4">
        <v>45267</v>
      </c>
      <c r="D1085" s="4">
        <v>45267</v>
      </c>
      <c r="E1085" t="s">
        <v>1266</v>
      </c>
      <c r="F1085" s="2">
        <v>91.57</v>
      </c>
      <c r="G1085" t="s">
        <v>16</v>
      </c>
      <c r="H1085" t="s">
        <v>133</v>
      </c>
      <c r="I1085" t="s">
        <v>12</v>
      </c>
      <c r="J1085" t="s">
        <v>24</v>
      </c>
      <c r="K1085" s="4">
        <v>45261</v>
      </c>
      <c r="L1085">
        <v>2023</v>
      </c>
      <c r="M1085" s="4">
        <v>45267</v>
      </c>
      <c r="N1085">
        <v>1248.039999999995</v>
      </c>
      <c r="O1085">
        <v>61</v>
      </c>
    </row>
    <row r="1086" spans="1:15" x14ac:dyDescent="0.25">
      <c r="A1086" s="92">
        <v>1084</v>
      </c>
      <c r="B1086" s="47">
        <f>MONTH(dis_table[[#This Row],[Date]])</f>
        <v>12</v>
      </c>
      <c r="C1086" s="4">
        <v>45267</v>
      </c>
      <c r="D1086" s="4">
        <v>45267</v>
      </c>
      <c r="E1086" t="s">
        <v>1267</v>
      </c>
      <c r="F1086" s="2">
        <v>68.08</v>
      </c>
      <c r="G1086" t="s">
        <v>16</v>
      </c>
      <c r="H1086" t="s">
        <v>21</v>
      </c>
      <c r="I1086" t="s">
        <v>12</v>
      </c>
      <c r="J1086" t="s">
        <v>24</v>
      </c>
      <c r="K1086" s="4">
        <v>45261</v>
      </c>
      <c r="L1086">
        <v>2023</v>
      </c>
      <c r="M1086" s="4">
        <v>45267</v>
      </c>
      <c r="N1086">
        <v>1316.1199999999949</v>
      </c>
      <c r="O1086">
        <v>45</v>
      </c>
    </row>
    <row r="1087" spans="1:15" x14ac:dyDescent="0.25">
      <c r="A1087" s="92">
        <v>1085</v>
      </c>
      <c r="B1087" s="47">
        <f>MONTH(dis_table[[#This Row],[Date]])</f>
        <v>12</v>
      </c>
      <c r="C1087" s="4">
        <v>45267</v>
      </c>
      <c r="D1087" s="4">
        <v>45267</v>
      </c>
      <c r="E1087" t="s">
        <v>125</v>
      </c>
      <c r="F1087" s="2">
        <v>101.84</v>
      </c>
      <c r="G1087" t="s">
        <v>34</v>
      </c>
      <c r="H1087" t="s">
        <v>133</v>
      </c>
      <c r="I1087" t="s">
        <v>12</v>
      </c>
      <c r="J1087" t="s">
        <v>24</v>
      </c>
      <c r="K1087" s="4">
        <v>45261</v>
      </c>
      <c r="L1087">
        <v>2023</v>
      </c>
      <c r="M1087" s="4">
        <v>45267</v>
      </c>
      <c r="N1087">
        <v>1417.959999999995</v>
      </c>
      <c r="O1087">
        <v>62</v>
      </c>
    </row>
    <row r="1088" spans="1:15" x14ac:dyDescent="0.25">
      <c r="A1088" s="92">
        <v>1086</v>
      </c>
      <c r="B1088" s="47">
        <f>MONTH(dis_table[[#This Row],[Date]])</f>
        <v>12</v>
      </c>
      <c r="C1088" s="4">
        <v>45268</v>
      </c>
      <c r="D1088" s="4">
        <v>45268</v>
      </c>
      <c r="E1088" t="s">
        <v>79</v>
      </c>
      <c r="F1088" s="2">
        <v>26.99</v>
      </c>
      <c r="G1088" t="s">
        <v>22</v>
      </c>
      <c r="H1088" t="s">
        <v>80</v>
      </c>
      <c r="I1088" t="s">
        <v>12</v>
      </c>
      <c r="J1088" t="s">
        <v>19</v>
      </c>
      <c r="K1088" s="4">
        <v>45261</v>
      </c>
      <c r="L1088">
        <v>2023</v>
      </c>
      <c r="M1088" s="4">
        <v>45268</v>
      </c>
      <c r="N1088">
        <v>1444.949999999995</v>
      </c>
      <c r="O1088">
        <v>6</v>
      </c>
    </row>
    <row r="1089" spans="1:15" x14ac:dyDescent="0.25">
      <c r="A1089" s="92">
        <v>1087</v>
      </c>
      <c r="B1089" s="47">
        <f>MONTH(dis_table[[#This Row],[Date]])</f>
        <v>12</v>
      </c>
      <c r="C1089" s="4">
        <v>45268</v>
      </c>
      <c r="D1089" s="4">
        <v>45268</v>
      </c>
      <c r="E1089" t="s">
        <v>1268</v>
      </c>
      <c r="F1089" s="2">
        <v>48.78</v>
      </c>
      <c r="G1089" t="s">
        <v>9</v>
      </c>
      <c r="H1089" t="s">
        <v>14</v>
      </c>
      <c r="I1089" t="s">
        <v>12</v>
      </c>
      <c r="J1089" t="s">
        <v>13</v>
      </c>
      <c r="K1089" s="4">
        <v>45261</v>
      </c>
      <c r="L1089">
        <v>2023</v>
      </c>
      <c r="M1089" s="4">
        <v>45268</v>
      </c>
      <c r="N1089">
        <v>1493.729999999995</v>
      </c>
      <c r="O1089">
        <v>106</v>
      </c>
    </row>
    <row r="1090" spans="1:15" x14ac:dyDescent="0.25">
      <c r="A1090" s="92">
        <v>1088</v>
      </c>
      <c r="B1090" s="47">
        <f>MONTH(dis_table[[#This Row],[Date]])</f>
        <v>12</v>
      </c>
      <c r="C1090" s="4">
        <v>45268</v>
      </c>
      <c r="D1090" s="4">
        <v>45268</v>
      </c>
      <c r="E1090" t="s">
        <v>1269</v>
      </c>
      <c r="F1090" s="2">
        <v>49.5</v>
      </c>
      <c r="G1090" t="s">
        <v>16</v>
      </c>
      <c r="H1090" t="s">
        <v>23</v>
      </c>
      <c r="I1090" t="s">
        <v>18</v>
      </c>
      <c r="J1090" t="s">
        <v>24</v>
      </c>
      <c r="K1090" s="4">
        <v>45261</v>
      </c>
      <c r="L1090">
        <v>2023</v>
      </c>
      <c r="M1090" s="4">
        <v>45268</v>
      </c>
      <c r="N1090">
        <v>1543.229999999995</v>
      </c>
      <c r="O1090">
        <v>2</v>
      </c>
    </row>
    <row r="1091" spans="1:15" x14ac:dyDescent="0.25">
      <c r="A1091" s="92">
        <v>1089</v>
      </c>
      <c r="B1091" s="47">
        <f>MONTH(dis_table[[#This Row],[Date]])</f>
        <v>12</v>
      </c>
      <c r="C1091" s="4">
        <v>45268</v>
      </c>
      <c r="D1091" s="4">
        <v>45268</v>
      </c>
      <c r="E1091" t="s">
        <v>1270</v>
      </c>
      <c r="F1091" s="2">
        <v>65.760000000000005</v>
      </c>
      <c r="G1091" t="s">
        <v>16</v>
      </c>
      <c r="H1091" t="s">
        <v>21</v>
      </c>
      <c r="I1091" t="s">
        <v>12</v>
      </c>
      <c r="J1091" t="s">
        <v>24</v>
      </c>
      <c r="K1091" s="4">
        <v>45261</v>
      </c>
      <c r="L1091">
        <v>2023</v>
      </c>
      <c r="M1091" s="4">
        <v>45268</v>
      </c>
      <c r="N1091">
        <v>1608.989999999995</v>
      </c>
      <c r="O1091">
        <v>46</v>
      </c>
    </row>
    <row r="1092" spans="1:15" x14ac:dyDescent="0.25">
      <c r="A1092" s="92">
        <v>1090</v>
      </c>
      <c r="B1092" s="47">
        <f>MONTH(dis_table[[#This Row],[Date]])</f>
        <v>12</v>
      </c>
      <c r="C1092" s="4">
        <v>45268</v>
      </c>
      <c r="D1092" s="4">
        <v>45268</v>
      </c>
      <c r="E1092" t="s">
        <v>1271</v>
      </c>
      <c r="F1092" s="2">
        <v>22.08</v>
      </c>
      <c r="G1092" t="s">
        <v>16</v>
      </c>
      <c r="H1092" t="s">
        <v>133</v>
      </c>
      <c r="I1092" t="s">
        <v>12</v>
      </c>
      <c r="J1092" t="s">
        <v>24</v>
      </c>
      <c r="K1092" s="4">
        <v>45261</v>
      </c>
      <c r="L1092">
        <v>2023</v>
      </c>
      <c r="M1092" s="4">
        <v>45268</v>
      </c>
      <c r="N1092">
        <v>1631.0699999999949</v>
      </c>
      <c r="O1092">
        <v>63</v>
      </c>
    </row>
    <row r="1093" spans="1:15" x14ac:dyDescent="0.25">
      <c r="A1093" s="92">
        <v>1091</v>
      </c>
      <c r="B1093" s="47">
        <f>MONTH(dis_table[[#This Row],[Date]])</f>
        <v>12</v>
      </c>
      <c r="C1093" s="4">
        <v>45268</v>
      </c>
      <c r="D1093" s="4">
        <v>45268</v>
      </c>
      <c r="E1093" t="s">
        <v>1272</v>
      </c>
      <c r="F1093" s="2">
        <v>9.99</v>
      </c>
      <c r="G1093" t="s">
        <v>16</v>
      </c>
      <c r="H1093" t="s">
        <v>135</v>
      </c>
      <c r="I1093" t="s">
        <v>18</v>
      </c>
      <c r="J1093" t="s">
        <v>24</v>
      </c>
      <c r="K1093" s="4">
        <v>45261</v>
      </c>
      <c r="L1093">
        <v>2023</v>
      </c>
      <c r="M1093" s="4">
        <v>45268</v>
      </c>
      <c r="N1093">
        <v>1641.0599999999949</v>
      </c>
      <c r="O1093">
        <v>12</v>
      </c>
    </row>
    <row r="1094" spans="1:15" x14ac:dyDescent="0.25">
      <c r="A1094" s="92">
        <v>1092</v>
      </c>
      <c r="B1094" s="47">
        <f>MONTH(dis_table[[#This Row],[Date]])</f>
        <v>12</v>
      </c>
      <c r="C1094" s="4">
        <v>45270</v>
      </c>
      <c r="D1094" s="4">
        <v>45270</v>
      </c>
      <c r="E1094" t="s">
        <v>1273</v>
      </c>
      <c r="F1094" s="2">
        <v>36</v>
      </c>
      <c r="G1094" t="s">
        <v>22</v>
      </c>
      <c r="H1094" t="s">
        <v>67</v>
      </c>
      <c r="I1094" t="s">
        <v>12</v>
      </c>
      <c r="J1094" t="s">
        <v>19</v>
      </c>
      <c r="K1094" s="4">
        <v>45261</v>
      </c>
      <c r="L1094">
        <v>2023</v>
      </c>
      <c r="M1094" s="4">
        <v>45270</v>
      </c>
      <c r="N1094">
        <v>1677.0599999999949</v>
      </c>
      <c r="O1094">
        <v>16</v>
      </c>
    </row>
    <row r="1095" spans="1:15" x14ac:dyDescent="0.25">
      <c r="A1095" s="92">
        <v>1093</v>
      </c>
      <c r="B1095" s="47">
        <f>MONTH(dis_table[[#This Row],[Date]])</f>
        <v>12</v>
      </c>
      <c r="C1095" s="4">
        <v>45270</v>
      </c>
      <c r="D1095" s="4">
        <v>45270</v>
      </c>
      <c r="E1095" t="s">
        <v>1274</v>
      </c>
      <c r="F1095" s="2">
        <v>23.01</v>
      </c>
      <c r="G1095" t="s">
        <v>16</v>
      </c>
      <c r="H1095" t="s">
        <v>25</v>
      </c>
      <c r="I1095" t="s">
        <v>12</v>
      </c>
      <c r="J1095" t="s">
        <v>24</v>
      </c>
      <c r="K1095" s="4">
        <v>45261</v>
      </c>
      <c r="L1095">
        <v>2023</v>
      </c>
      <c r="M1095" s="4">
        <v>45270</v>
      </c>
      <c r="N1095">
        <v>1700.0699999999949</v>
      </c>
      <c r="O1095">
        <v>32</v>
      </c>
    </row>
    <row r="1096" spans="1:15" x14ac:dyDescent="0.25">
      <c r="A1096" s="92">
        <v>1094</v>
      </c>
      <c r="B1096" s="47">
        <f>MONTH(dis_table[[#This Row],[Date]])</f>
        <v>12</v>
      </c>
      <c r="C1096" s="4">
        <v>45271</v>
      </c>
      <c r="D1096" s="4">
        <v>45271</v>
      </c>
      <c r="E1096" t="s">
        <v>126</v>
      </c>
      <c r="F1096" s="2">
        <v>14.99</v>
      </c>
      <c r="G1096" t="s">
        <v>34</v>
      </c>
      <c r="H1096" t="s">
        <v>35</v>
      </c>
      <c r="I1096" t="s">
        <v>12</v>
      </c>
      <c r="J1096" t="s">
        <v>13</v>
      </c>
      <c r="K1096" s="4">
        <v>45261</v>
      </c>
      <c r="L1096">
        <v>2023</v>
      </c>
      <c r="M1096" s="4">
        <v>45271</v>
      </c>
      <c r="N1096">
        <v>1715.0599999999949</v>
      </c>
      <c r="O1096">
        <v>56</v>
      </c>
    </row>
    <row r="1097" spans="1:15" x14ac:dyDescent="0.25">
      <c r="A1097" s="92">
        <v>1095</v>
      </c>
      <c r="B1097" s="47">
        <f>MONTH(dis_table[[#This Row],[Date]])</f>
        <v>12</v>
      </c>
      <c r="C1097" s="4">
        <v>45271</v>
      </c>
      <c r="D1097" s="4">
        <v>45272</v>
      </c>
      <c r="E1097" t="s">
        <v>1200</v>
      </c>
      <c r="F1097" s="2">
        <v>-19</v>
      </c>
      <c r="G1097" t="s">
        <v>27</v>
      </c>
      <c r="H1097" t="s">
        <v>46</v>
      </c>
      <c r="I1097" t="s">
        <v>12</v>
      </c>
      <c r="J1097" t="s">
        <v>24</v>
      </c>
      <c r="K1097" s="4">
        <v>45261</v>
      </c>
      <c r="L1097">
        <v>2023</v>
      </c>
      <c r="M1097" s="4">
        <v>45271</v>
      </c>
      <c r="N1097">
        <v>1696.0599999999949</v>
      </c>
      <c r="O1097">
        <v>11</v>
      </c>
    </row>
    <row r="1098" spans="1:15" x14ac:dyDescent="0.25">
      <c r="A1098" s="92">
        <v>1096</v>
      </c>
      <c r="B1098" s="47">
        <f>MONTH(dis_table[[#This Row],[Date]])</f>
        <v>12</v>
      </c>
      <c r="C1098" s="4">
        <v>45271</v>
      </c>
      <c r="D1098" s="4">
        <v>45271</v>
      </c>
      <c r="E1098" t="s">
        <v>1200</v>
      </c>
      <c r="F1098" s="2">
        <v>19</v>
      </c>
      <c r="G1098" t="s">
        <v>16</v>
      </c>
      <c r="H1098" t="s">
        <v>46</v>
      </c>
      <c r="I1098" t="s">
        <v>12</v>
      </c>
      <c r="J1098" t="s">
        <v>24</v>
      </c>
      <c r="K1098" s="4">
        <v>45261</v>
      </c>
      <c r="L1098">
        <v>2023</v>
      </c>
      <c r="M1098" s="4">
        <v>45271</v>
      </c>
      <c r="N1098">
        <v>1715.0599999999949</v>
      </c>
      <c r="O1098">
        <v>12</v>
      </c>
    </row>
    <row r="1099" spans="1:15" x14ac:dyDescent="0.25">
      <c r="A1099" s="92">
        <v>1097</v>
      </c>
      <c r="B1099" s="47">
        <f>MONTH(dis_table[[#This Row],[Date]])</f>
        <v>12</v>
      </c>
      <c r="C1099" s="4">
        <v>45271</v>
      </c>
      <c r="D1099" s="4">
        <v>45271</v>
      </c>
      <c r="E1099" t="s">
        <v>125</v>
      </c>
      <c r="F1099" s="2">
        <v>13.57</v>
      </c>
      <c r="G1099" t="s">
        <v>34</v>
      </c>
      <c r="H1099" t="s">
        <v>133</v>
      </c>
      <c r="I1099" t="s">
        <v>12</v>
      </c>
      <c r="J1099" t="s">
        <v>24</v>
      </c>
      <c r="K1099" s="4">
        <v>45261</v>
      </c>
      <c r="L1099">
        <v>2023</v>
      </c>
      <c r="M1099" s="4">
        <v>45271</v>
      </c>
      <c r="N1099">
        <v>1728.6299999999951</v>
      </c>
      <c r="O1099">
        <v>64</v>
      </c>
    </row>
    <row r="1100" spans="1:15" x14ac:dyDescent="0.25">
      <c r="A1100" s="92">
        <v>1098</v>
      </c>
      <c r="B1100" s="47">
        <f>MONTH(dis_table[[#This Row],[Date]])</f>
        <v>12</v>
      </c>
      <c r="C1100" s="4">
        <v>45271</v>
      </c>
      <c r="D1100" s="4">
        <v>45271</v>
      </c>
      <c r="E1100" t="s">
        <v>1275</v>
      </c>
      <c r="F1100" s="2">
        <v>17.920000000000002</v>
      </c>
      <c r="G1100" t="s">
        <v>9</v>
      </c>
      <c r="H1100" t="s">
        <v>14</v>
      </c>
      <c r="I1100" t="s">
        <v>12</v>
      </c>
      <c r="J1100" t="s">
        <v>13</v>
      </c>
      <c r="K1100" s="4">
        <v>45261</v>
      </c>
      <c r="L1100">
        <v>2023</v>
      </c>
      <c r="M1100" s="4">
        <v>45271</v>
      </c>
      <c r="N1100">
        <v>1746.549999999995</v>
      </c>
      <c r="O1100">
        <v>107</v>
      </c>
    </row>
    <row r="1101" spans="1:15" x14ac:dyDescent="0.25">
      <c r="A1101" s="92">
        <v>1099</v>
      </c>
      <c r="B1101" s="47">
        <f>MONTH(dis_table[[#This Row],[Date]])</f>
        <v>12</v>
      </c>
      <c r="C1101" s="4">
        <v>45271</v>
      </c>
      <c r="D1101" s="4">
        <v>45271</v>
      </c>
      <c r="E1101" t="s">
        <v>1276</v>
      </c>
      <c r="F1101" s="2">
        <v>116.43</v>
      </c>
      <c r="G1101" t="s">
        <v>16</v>
      </c>
      <c r="H1101" t="s">
        <v>47</v>
      </c>
      <c r="I1101" t="s">
        <v>12</v>
      </c>
      <c r="J1101" t="s">
        <v>19</v>
      </c>
      <c r="K1101" s="4">
        <v>45261</v>
      </c>
      <c r="L1101">
        <v>2023</v>
      </c>
      <c r="M1101" s="4">
        <v>45271</v>
      </c>
      <c r="N1101">
        <v>1862.979999999995</v>
      </c>
      <c r="O1101">
        <v>3</v>
      </c>
    </row>
    <row r="1102" spans="1:15" x14ac:dyDescent="0.25">
      <c r="A1102" s="92">
        <v>1100</v>
      </c>
      <c r="B1102" s="47">
        <f>MONTH(dis_table[[#This Row],[Date]])</f>
        <v>12</v>
      </c>
      <c r="C1102" s="4">
        <v>45271</v>
      </c>
      <c r="D1102" s="4">
        <v>45271</v>
      </c>
      <c r="E1102" t="s">
        <v>554</v>
      </c>
      <c r="F1102" s="2">
        <v>15.13</v>
      </c>
      <c r="G1102" t="s">
        <v>9</v>
      </c>
      <c r="H1102" t="s">
        <v>10</v>
      </c>
      <c r="I1102" t="s">
        <v>12</v>
      </c>
      <c r="J1102" t="s">
        <v>13</v>
      </c>
      <c r="K1102" s="4">
        <v>45261</v>
      </c>
      <c r="L1102">
        <v>2023</v>
      </c>
      <c r="M1102" s="4">
        <v>45271</v>
      </c>
      <c r="N1102">
        <v>1878.1099999999949</v>
      </c>
      <c r="O1102">
        <v>68</v>
      </c>
    </row>
    <row r="1103" spans="1:15" x14ac:dyDescent="0.25">
      <c r="A1103" s="92">
        <v>1101</v>
      </c>
      <c r="B1103" s="47">
        <f>MONTH(dis_table[[#This Row],[Date]])</f>
        <v>12</v>
      </c>
      <c r="C1103" s="4">
        <v>45272</v>
      </c>
      <c r="D1103" s="4">
        <v>45241</v>
      </c>
      <c r="E1103" t="s">
        <v>1277</v>
      </c>
      <c r="F1103" s="2">
        <v>-19</v>
      </c>
      <c r="G1103" t="s">
        <v>27</v>
      </c>
      <c r="H1103" t="s">
        <v>1125</v>
      </c>
      <c r="I1103" t="s">
        <v>12</v>
      </c>
      <c r="J1103" t="s">
        <v>122</v>
      </c>
      <c r="K1103" s="4">
        <v>45261</v>
      </c>
      <c r="L1103">
        <v>2023</v>
      </c>
      <c r="M1103" s="4">
        <v>45272</v>
      </c>
      <c r="N1103">
        <v>1859.1099999999949</v>
      </c>
      <c r="O1103">
        <v>3</v>
      </c>
    </row>
    <row r="1104" spans="1:15" x14ac:dyDescent="0.25">
      <c r="A1104" s="92">
        <v>1102</v>
      </c>
      <c r="B1104" s="47">
        <f>MONTH(dis_table[[#This Row],[Date]])</f>
        <v>12</v>
      </c>
      <c r="C1104" s="4">
        <v>45272</v>
      </c>
      <c r="D1104" s="4">
        <v>45272</v>
      </c>
      <c r="E1104" t="s">
        <v>1278</v>
      </c>
      <c r="F1104" s="2">
        <v>6</v>
      </c>
      <c r="G1104" t="s">
        <v>9</v>
      </c>
      <c r="H1104" t="s">
        <v>14</v>
      </c>
      <c r="I1104" t="s">
        <v>12</v>
      </c>
      <c r="J1104" t="s">
        <v>13</v>
      </c>
      <c r="K1104" s="4">
        <v>45261</v>
      </c>
      <c r="L1104">
        <v>2023</v>
      </c>
      <c r="M1104" s="4">
        <v>45272</v>
      </c>
      <c r="N1104">
        <v>1865.1099999999949</v>
      </c>
      <c r="O1104">
        <v>108</v>
      </c>
    </row>
    <row r="1105" spans="1:15" x14ac:dyDescent="0.25">
      <c r="A1105" s="92">
        <v>1103</v>
      </c>
      <c r="B1105" s="47">
        <f>MONTH(dis_table[[#This Row],[Date]])</f>
        <v>12</v>
      </c>
      <c r="C1105" s="4">
        <v>45272</v>
      </c>
      <c r="D1105" s="4">
        <v>45272</v>
      </c>
      <c r="E1105" t="s">
        <v>1279</v>
      </c>
      <c r="F1105" s="2">
        <v>64.5</v>
      </c>
      <c r="G1105" t="s">
        <v>9</v>
      </c>
      <c r="H1105" t="s">
        <v>14</v>
      </c>
      <c r="I1105" t="s">
        <v>12</v>
      </c>
      <c r="J1105" t="s">
        <v>13</v>
      </c>
      <c r="K1105" s="4">
        <v>45261</v>
      </c>
      <c r="L1105">
        <v>2023</v>
      </c>
      <c r="M1105" s="4">
        <v>45272</v>
      </c>
      <c r="N1105">
        <v>1929.6099999999949</v>
      </c>
      <c r="O1105">
        <v>109</v>
      </c>
    </row>
    <row r="1106" spans="1:15" x14ac:dyDescent="0.25">
      <c r="A1106" s="92">
        <v>1104</v>
      </c>
      <c r="B1106" s="47">
        <f>MONTH(dis_table[[#This Row],[Date]])</f>
        <v>12</v>
      </c>
      <c r="C1106" s="4">
        <v>45273</v>
      </c>
      <c r="D1106" s="4">
        <v>45273</v>
      </c>
      <c r="E1106" t="s">
        <v>1280</v>
      </c>
      <c r="F1106" s="2">
        <v>-36.11</v>
      </c>
      <c r="G1106" t="s">
        <v>32</v>
      </c>
      <c r="H1106" t="s">
        <v>1281</v>
      </c>
      <c r="I1106" t="s">
        <v>12</v>
      </c>
      <c r="J1106" t="s">
        <v>122</v>
      </c>
      <c r="K1106" s="4">
        <v>45261</v>
      </c>
      <c r="L1106">
        <v>2023</v>
      </c>
      <c r="M1106" s="4">
        <v>45273</v>
      </c>
      <c r="N1106">
        <v>1893.499999999995</v>
      </c>
      <c r="O1106">
        <v>1</v>
      </c>
    </row>
    <row r="1107" spans="1:15" x14ac:dyDescent="0.25">
      <c r="A1107" s="92">
        <v>1105</v>
      </c>
      <c r="B1107" s="47">
        <f>MONTH(dis_table[[#This Row],[Date]])</f>
        <v>12</v>
      </c>
      <c r="C1107" s="4">
        <v>45273</v>
      </c>
      <c r="D1107" s="4">
        <v>45273</v>
      </c>
      <c r="E1107" t="s">
        <v>26</v>
      </c>
      <c r="F1107" s="2">
        <v>-1661.62</v>
      </c>
      <c r="G1107" t="s">
        <v>27</v>
      </c>
      <c r="H1107" t="s">
        <v>28</v>
      </c>
      <c r="I1107" t="s">
        <v>12</v>
      </c>
      <c r="J1107" t="s">
        <v>122</v>
      </c>
      <c r="K1107" s="4">
        <v>45261</v>
      </c>
      <c r="L1107">
        <v>2023</v>
      </c>
      <c r="M1107" s="4">
        <v>45273</v>
      </c>
      <c r="N1107">
        <v>231.87999999999511</v>
      </c>
      <c r="O1107">
        <v>35</v>
      </c>
    </row>
    <row r="1108" spans="1:15" x14ac:dyDescent="0.25">
      <c r="A1108" s="92">
        <v>1106</v>
      </c>
      <c r="B1108" s="47">
        <f>MONTH(dis_table[[#This Row],[Date]])</f>
        <v>12</v>
      </c>
      <c r="C1108" s="4">
        <v>45274</v>
      </c>
      <c r="D1108" s="4">
        <v>45274</v>
      </c>
      <c r="E1108" t="s">
        <v>50</v>
      </c>
      <c r="F1108" s="2">
        <v>90.83</v>
      </c>
      <c r="G1108" t="s">
        <v>16</v>
      </c>
      <c r="H1108" t="s">
        <v>51</v>
      </c>
      <c r="I1108" t="s">
        <v>18</v>
      </c>
      <c r="J1108" t="s">
        <v>52</v>
      </c>
      <c r="K1108" s="4">
        <v>45261</v>
      </c>
      <c r="L1108">
        <v>2023</v>
      </c>
      <c r="M1108" s="4">
        <v>45274</v>
      </c>
      <c r="N1108">
        <v>322.70999999999509</v>
      </c>
      <c r="O1108">
        <v>12</v>
      </c>
    </row>
    <row r="1109" spans="1:15" x14ac:dyDescent="0.25">
      <c r="A1109" s="92">
        <v>1107</v>
      </c>
      <c r="B1109" s="47">
        <f>MONTH(dis_table[[#This Row],[Date]])</f>
        <v>12</v>
      </c>
      <c r="C1109" s="4">
        <v>45274</v>
      </c>
      <c r="D1109" s="4">
        <v>45274</v>
      </c>
      <c r="E1109" t="s">
        <v>1278</v>
      </c>
      <c r="F1109" s="2">
        <v>8.34</v>
      </c>
      <c r="G1109" t="s">
        <v>9</v>
      </c>
      <c r="H1109" t="s">
        <v>14</v>
      </c>
      <c r="I1109" t="s">
        <v>12</v>
      </c>
      <c r="J1109" t="s">
        <v>13</v>
      </c>
      <c r="K1109" s="4">
        <v>45261</v>
      </c>
      <c r="L1109">
        <v>2023</v>
      </c>
      <c r="M1109" s="4">
        <v>45274</v>
      </c>
      <c r="N1109">
        <v>331.04999999999512</v>
      </c>
      <c r="O1109">
        <v>110</v>
      </c>
    </row>
    <row r="1110" spans="1:15" x14ac:dyDescent="0.25">
      <c r="A1110" s="92">
        <v>1108</v>
      </c>
      <c r="B1110" s="47">
        <f>MONTH(dis_table[[#This Row],[Date]])</f>
        <v>12</v>
      </c>
      <c r="C1110" s="4">
        <v>45274</v>
      </c>
      <c r="D1110" s="4">
        <v>45274</v>
      </c>
      <c r="E1110" t="s">
        <v>1282</v>
      </c>
      <c r="F1110" s="2">
        <v>9.09</v>
      </c>
      <c r="G1110" t="s">
        <v>34</v>
      </c>
      <c r="H1110" t="s">
        <v>35</v>
      </c>
      <c r="I1110" t="s">
        <v>12</v>
      </c>
      <c r="J1110" t="s">
        <v>13</v>
      </c>
      <c r="K1110" s="4">
        <v>45261</v>
      </c>
      <c r="L1110">
        <v>2023</v>
      </c>
      <c r="M1110" s="4">
        <v>45274</v>
      </c>
      <c r="N1110">
        <v>340.13999999999498</v>
      </c>
      <c r="O1110">
        <v>57</v>
      </c>
    </row>
    <row r="1111" spans="1:15" x14ac:dyDescent="0.25">
      <c r="A1111" s="92">
        <v>1109</v>
      </c>
      <c r="B1111" s="47">
        <f>MONTH(dis_table[[#This Row],[Date]])</f>
        <v>12</v>
      </c>
      <c r="C1111" s="4">
        <v>45275</v>
      </c>
      <c r="D1111" s="4">
        <v>45275</v>
      </c>
      <c r="E1111" t="s">
        <v>1283</v>
      </c>
      <c r="F1111" s="2">
        <v>220</v>
      </c>
      <c r="G1111" t="s">
        <v>22</v>
      </c>
      <c r="H1111" t="s">
        <v>23</v>
      </c>
      <c r="I1111" t="s">
        <v>18</v>
      </c>
      <c r="J1111" t="s">
        <v>24</v>
      </c>
      <c r="K1111" s="4">
        <v>45261</v>
      </c>
      <c r="L1111">
        <v>2023</v>
      </c>
      <c r="M1111" s="4">
        <v>45275</v>
      </c>
      <c r="N1111">
        <v>560.1399999999951</v>
      </c>
      <c r="O1111">
        <v>3</v>
      </c>
    </row>
    <row r="1112" spans="1:15" x14ac:dyDescent="0.25">
      <c r="A1112" s="92">
        <v>1110</v>
      </c>
      <c r="B1112" s="47">
        <f>MONTH(dis_table[[#This Row],[Date]])</f>
        <v>12</v>
      </c>
      <c r="C1112" s="4">
        <v>45277</v>
      </c>
      <c r="D1112" s="4">
        <v>45277</v>
      </c>
      <c r="E1112" t="s">
        <v>1284</v>
      </c>
      <c r="F1112" s="2">
        <v>63.59</v>
      </c>
      <c r="G1112" t="s">
        <v>16</v>
      </c>
      <c r="H1112" t="s">
        <v>21</v>
      </c>
      <c r="I1112" t="s">
        <v>12</v>
      </c>
      <c r="J1112" t="s">
        <v>24</v>
      </c>
      <c r="K1112" s="4">
        <v>45261</v>
      </c>
      <c r="L1112">
        <v>2023</v>
      </c>
      <c r="M1112" s="4">
        <v>45277</v>
      </c>
      <c r="N1112">
        <v>623.72999999999513</v>
      </c>
      <c r="O1112">
        <v>47</v>
      </c>
    </row>
    <row r="1113" spans="1:15" x14ac:dyDescent="0.25">
      <c r="A1113" s="92">
        <v>1111</v>
      </c>
      <c r="B1113" s="47">
        <f>MONTH(dis_table[[#This Row],[Date]])</f>
        <v>12</v>
      </c>
      <c r="C1113" s="4">
        <v>45279</v>
      </c>
      <c r="D1113" s="4">
        <v>45279</v>
      </c>
      <c r="E1113" t="s">
        <v>81</v>
      </c>
      <c r="F1113" s="2">
        <v>8.83</v>
      </c>
      <c r="G1113" t="s">
        <v>16</v>
      </c>
      <c r="H1113" t="s">
        <v>45</v>
      </c>
      <c r="I1113" t="s">
        <v>12</v>
      </c>
      <c r="J1113" t="s">
        <v>19</v>
      </c>
      <c r="K1113" s="4">
        <v>45261</v>
      </c>
      <c r="L1113">
        <v>2023</v>
      </c>
      <c r="M1113" s="4">
        <v>45279</v>
      </c>
      <c r="N1113">
        <v>632.55999999999517</v>
      </c>
      <c r="O1113">
        <v>58</v>
      </c>
    </row>
    <row r="1114" spans="1:15" x14ac:dyDescent="0.25">
      <c r="A1114" s="92">
        <v>1112</v>
      </c>
      <c r="B1114" s="47">
        <f>MONTH(dis_table[[#This Row],[Date]])</f>
        <v>12</v>
      </c>
      <c r="C1114" s="4">
        <v>45279</v>
      </c>
      <c r="D1114" s="4">
        <v>45279</v>
      </c>
      <c r="E1114" t="s">
        <v>1285</v>
      </c>
      <c r="F1114" s="2">
        <v>23.9</v>
      </c>
      <c r="G1114" t="s">
        <v>34</v>
      </c>
      <c r="H1114" t="s">
        <v>35</v>
      </c>
      <c r="I1114" t="s">
        <v>12</v>
      </c>
      <c r="J1114" t="s">
        <v>13</v>
      </c>
      <c r="K1114" s="4">
        <v>45261</v>
      </c>
      <c r="L1114">
        <v>2023</v>
      </c>
      <c r="M1114" s="4">
        <v>45279</v>
      </c>
      <c r="N1114">
        <v>656.45999999999515</v>
      </c>
      <c r="O1114">
        <v>58</v>
      </c>
    </row>
    <row r="1115" spans="1:15" x14ac:dyDescent="0.25">
      <c r="A1115" s="92">
        <v>1113</v>
      </c>
      <c r="B1115" s="47">
        <f>MONTH(dis_table[[#This Row],[Date]])</f>
        <v>12</v>
      </c>
      <c r="C1115" s="4">
        <v>45280</v>
      </c>
      <c r="D1115" s="4">
        <v>45280</v>
      </c>
      <c r="E1115" t="s">
        <v>1286</v>
      </c>
      <c r="F1115" s="2">
        <v>12.55</v>
      </c>
      <c r="G1115" t="s">
        <v>9</v>
      </c>
      <c r="H1115" t="s">
        <v>14</v>
      </c>
      <c r="I1115" t="s">
        <v>12</v>
      </c>
      <c r="J1115" t="s">
        <v>13</v>
      </c>
      <c r="K1115" s="4">
        <v>45261</v>
      </c>
      <c r="L1115">
        <v>2023</v>
      </c>
      <c r="M1115" s="4">
        <v>45280</v>
      </c>
      <c r="N1115">
        <v>669.0099999999951</v>
      </c>
      <c r="O1115">
        <v>111</v>
      </c>
    </row>
    <row r="1116" spans="1:15" x14ac:dyDescent="0.25">
      <c r="A1116" s="92">
        <v>1114</v>
      </c>
      <c r="B1116" s="47">
        <f>MONTH(dis_table[[#This Row],[Date]])</f>
        <v>12</v>
      </c>
      <c r="C1116" s="4">
        <v>45280</v>
      </c>
      <c r="D1116" s="4">
        <v>45280</v>
      </c>
      <c r="E1116" t="s">
        <v>680</v>
      </c>
      <c r="F1116" s="2">
        <v>15.13</v>
      </c>
      <c r="G1116" t="s">
        <v>9</v>
      </c>
      <c r="H1116" t="s">
        <v>10</v>
      </c>
      <c r="I1116" t="s">
        <v>12</v>
      </c>
      <c r="J1116" t="s">
        <v>13</v>
      </c>
      <c r="K1116" s="4">
        <v>45261</v>
      </c>
      <c r="L1116">
        <v>2023</v>
      </c>
      <c r="M1116" s="4">
        <v>45280</v>
      </c>
      <c r="N1116">
        <v>684.1399999999951</v>
      </c>
      <c r="O1116">
        <v>69</v>
      </c>
    </row>
    <row r="1117" spans="1:15" x14ac:dyDescent="0.25">
      <c r="A1117" s="92">
        <v>1115</v>
      </c>
      <c r="B1117" s="47">
        <f>MONTH(dis_table[[#This Row],[Date]])</f>
        <v>12</v>
      </c>
      <c r="C1117" s="4">
        <v>45280</v>
      </c>
      <c r="D1117" s="4">
        <v>45280</v>
      </c>
      <c r="E1117" t="s">
        <v>1287</v>
      </c>
      <c r="F1117" s="2">
        <v>124.39</v>
      </c>
      <c r="G1117" t="s">
        <v>48</v>
      </c>
      <c r="H1117" t="s">
        <v>49</v>
      </c>
      <c r="I1117" t="s">
        <v>12</v>
      </c>
      <c r="J1117" t="s">
        <v>40</v>
      </c>
      <c r="K1117" s="4">
        <v>45261</v>
      </c>
      <c r="L1117">
        <v>2023</v>
      </c>
      <c r="M1117" s="4">
        <v>45280</v>
      </c>
      <c r="N1117">
        <v>808.52999999999508</v>
      </c>
      <c r="O1117">
        <v>29</v>
      </c>
    </row>
    <row r="1118" spans="1:15" x14ac:dyDescent="0.25">
      <c r="A1118" s="92">
        <v>1116</v>
      </c>
      <c r="B1118" s="47">
        <f>MONTH(dis_table[[#This Row],[Date]])</f>
        <v>12</v>
      </c>
      <c r="C1118" s="4">
        <v>45280</v>
      </c>
      <c r="D1118" s="4">
        <v>45280</v>
      </c>
      <c r="E1118" t="s">
        <v>1288</v>
      </c>
      <c r="F1118" s="2">
        <v>33.72</v>
      </c>
      <c r="G1118" t="s">
        <v>9</v>
      </c>
      <c r="H1118" t="s">
        <v>14</v>
      </c>
      <c r="I1118" t="s">
        <v>12</v>
      </c>
      <c r="J1118" t="s">
        <v>13</v>
      </c>
      <c r="K1118" s="4">
        <v>45261</v>
      </c>
      <c r="L1118">
        <v>2023</v>
      </c>
      <c r="M1118" s="4">
        <v>45280</v>
      </c>
      <c r="N1118">
        <v>842.24999999999511</v>
      </c>
      <c r="O1118">
        <v>112</v>
      </c>
    </row>
    <row r="1119" spans="1:15" x14ac:dyDescent="0.25">
      <c r="A1119" s="92">
        <v>1117</v>
      </c>
      <c r="B1119" s="47">
        <f>MONTH(dis_table[[#This Row],[Date]])</f>
        <v>12</v>
      </c>
      <c r="C1119" s="4">
        <v>45280</v>
      </c>
      <c r="D1119" s="4">
        <v>45280</v>
      </c>
      <c r="E1119" t="s">
        <v>1289</v>
      </c>
      <c r="F1119" s="2">
        <v>12.95</v>
      </c>
      <c r="G1119" t="s">
        <v>36</v>
      </c>
      <c r="H1119" t="s">
        <v>1290</v>
      </c>
      <c r="I1119" t="s">
        <v>12</v>
      </c>
      <c r="J1119" t="s">
        <v>53</v>
      </c>
      <c r="K1119" s="4">
        <v>45261</v>
      </c>
      <c r="L1119">
        <v>2023</v>
      </c>
      <c r="M1119" s="4">
        <v>45280</v>
      </c>
      <c r="N1119">
        <v>855.19999999999516</v>
      </c>
      <c r="O1119">
        <v>1</v>
      </c>
    </row>
    <row r="1120" spans="1:15" x14ac:dyDescent="0.25">
      <c r="A1120" s="92">
        <v>1118</v>
      </c>
      <c r="B1120" s="47">
        <f>MONTH(dis_table[[#This Row],[Date]])</f>
        <v>12</v>
      </c>
      <c r="C1120" s="4">
        <v>45280</v>
      </c>
      <c r="D1120" s="4">
        <v>45280</v>
      </c>
      <c r="E1120" t="s">
        <v>1289</v>
      </c>
      <c r="F1120" s="2">
        <v>12.95</v>
      </c>
      <c r="G1120" t="s">
        <v>36</v>
      </c>
      <c r="H1120" t="s">
        <v>1290</v>
      </c>
      <c r="I1120" t="s">
        <v>12</v>
      </c>
      <c r="J1120" t="s">
        <v>53</v>
      </c>
      <c r="K1120" s="4">
        <v>45261</v>
      </c>
      <c r="L1120">
        <v>2023</v>
      </c>
      <c r="M1120" s="4">
        <v>45280</v>
      </c>
      <c r="N1120">
        <v>868.1499999999952</v>
      </c>
      <c r="O1120">
        <v>2</v>
      </c>
    </row>
    <row r="1121" spans="1:15" x14ac:dyDescent="0.25">
      <c r="A1121" s="92">
        <v>1119</v>
      </c>
      <c r="B1121" s="47">
        <f>MONTH(dis_table[[#This Row],[Date]])</f>
        <v>12</v>
      </c>
      <c r="C1121" s="4">
        <v>45280</v>
      </c>
      <c r="D1121" s="4">
        <v>45280</v>
      </c>
      <c r="E1121" t="s">
        <v>1289</v>
      </c>
      <c r="F1121" s="2">
        <v>12.95</v>
      </c>
      <c r="G1121" t="s">
        <v>36</v>
      </c>
      <c r="H1121" t="s">
        <v>1290</v>
      </c>
      <c r="I1121" t="s">
        <v>12</v>
      </c>
      <c r="J1121" t="s">
        <v>53</v>
      </c>
      <c r="K1121" s="4">
        <v>45261</v>
      </c>
      <c r="L1121">
        <v>2023</v>
      </c>
      <c r="M1121" s="4">
        <v>45280</v>
      </c>
      <c r="N1121">
        <v>881.09999999999525</v>
      </c>
      <c r="O1121">
        <v>3</v>
      </c>
    </row>
    <row r="1122" spans="1:15" x14ac:dyDescent="0.25">
      <c r="A1122" s="92">
        <v>1120</v>
      </c>
      <c r="B1122" s="47">
        <f>MONTH(dis_table[[#This Row],[Date]])</f>
        <v>12</v>
      </c>
      <c r="C1122" s="4">
        <v>45280</v>
      </c>
      <c r="D1122" s="4">
        <v>45280</v>
      </c>
      <c r="E1122" t="s">
        <v>1289</v>
      </c>
      <c r="F1122" s="2">
        <v>19.46</v>
      </c>
      <c r="G1122" t="s">
        <v>36</v>
      </c>
      <c r="H1122" t="s">
        <v>1290</v>
      </c>
      <c r="I1122" t="s">
        <v>12</v>
      </c>
      <c r="J1122" t="s">
        <v>53</v>
      </c>
      <c r="K1122" s="4">
        <v>45261</v>
      </c>
      <c r="L1122">
        <v>2023</v>
      </c>
      <c r="M1122" s="4">
        <v>45280</v>
      </c>
      <c r="N1122">
        <v>900.55999999999528</v>
      </c>
      <c r="O1122">
        <v>4</v>
      </c>
    </row>
    <row r="1123" spans="1:15" x14ac:dyDescent="0.25">
      <c r="A1123" s="92">
        <v>1121</v>
      </c>
      <c r="B1123" s="47">
        <f>MONTH(dis_table[[#This Row],[Date]])</f>
        <v>12</v>
      </c>
      <c r="C1123" s="4">
        <v>45281</v>
      </c>
      <c r="D1123" s="4">
        <v>45281</v>
      </c>
      <c r="E1123" t="s">
        <v>1291</v>
      </c>
      <c r="F1123" s="2">
        <v>22.08</v>
      </c>
      <c r="G1123" t="s">
        <v>16</v>
      </c>
      <c r="H1123" t="s">
        <v>133</v>
      </c>
      <c r="I1123" t="s">
        <v>12</v>
      </c>
      <c r="J1123" t="s">
        <v>24</v>
      </c>
      <c r="K1123" s="4">
        <v>45261</v>
      </c>
      <c r="L1123">
        <v>2023</v>
      </c>
      <c r="M1123" s="4">
        <v>45281</v>
      </c>
      <c r="N1123">
        <v>922.63999999999533</v>
      </c>
      <c r="O1123">
        <v>65</v>
      </c>
    </row>
    <row r="1124" spans="1:15" x14ac:dyDescent="0.25">
      <c r="A1124" s="92">
        <v>1122</v>
      </c>
      <c r="B1124" s="47">
        <f>MONTH(dis_table[[#This Row],[Date]])</f>
        <v>12</v>
      </c>
      <c r="C1124" s="4">
        <v>45281</v>
      </c>
      <c r="D1124" s="4">
        <v>45281</v>
      </c>
      <c r="E1124" t="s">
        <v>1292</v>
      </c>
      <c r="F1124" s="2">
        <v>41.79</v>
      </c>
      <c r="G1124" t="s">
        <v>22</v>
      </c>
      <c r="H1124" t="s">
        <v>74</v>
      </c>
      <c r="I1124" t="s">
        <v>12</v>
      </c>
      <c r="J1124" t="s">
        <v>19</v>
      </c>
      <c r="K1124" s="4">
        <v>45261</v>
      </c>
      <c r="L1124">
        <v>2023</v>
      </c>
      <c r="M1124" s="4">
        <v>45281</v>
      </c>
      <c r="N1124">
        <v>964.42999999999529</v>
      </c>
      <c r="O1124">
        <v>7</v>
      </c>
    </row>
    <row r="1125" spans="1:15" x14ac:dyDescent="0.25">
      <c r="A1125" s="92">
        <v>1123</v>
      </c>
      <c r="B1125" s="47">
        <f>MONTH(dis_table[[#This Row],[Date]])</f>
        <v>12</v>
      </c>
      <c r="C1125" s="4">
        <v>45282</v>
      </c>
      <c r="D1125" s="4">
        <v>45282</v>
      </c>
      <c r="E1125" t="s">
        <v>1293</v>
      </c>
      <c r="F1125" s="2">
        <v>24.52</v>
      </c>
      <c r="G1125" t="s">
        <v>9</v>
      </c>
      <c r="H1125" t="s">
        <v>14</v>
      </c>
      <c r="I1125" t="s">
        <v>12</v>
      </c>
      <c r="J1125" t="s">
        <v>13</v>
      </c>
      <c r="K1125" s="4">
        <v>45261</v>
      </c>
      <c r="L1125">
        <v>2023</v>
      </c>
      <c r="M1125" s="4">
        <v>45282</v>
      </c>
      <c r="N1125">
        <v>988.94999999999527</v>
      </c>
      <c r="O1125">
        <v>113</v>
      </c>
    </row>
    <row r="1126" spans="1:15" x14ac:dyDescent="0.25">
      <c r="A1126" s="92">
        <v>1124</v>
      </c>
      <c r="B1126" s="47">
        <f>MONTH(dis_table[[#This Row],[Date]])</f>
        <v>12</v>
      </c>
      <c r="C1126" s="4">
        <v>45282</v>
      </c>
      <c r="D1126" s="4">
        <v>45282</v>
      </c>
      <c r="E1126" t="s">
        <v>1289</v>
      </c>
      <c r="F1126" s="2">
        <v>12.95</v>
      </c>
      <c r="G1126" t="s">
        <v>36</v>
      </c>
      <c r="H1126" t="s">
        <v>1290</v>
      </c>
      <c r="I1126" t="s">
        <v>12</v>
      </c>
      <c r="J1126" t="s">
        <v>53</v>
      </c>
      <c r="K1126" s="4">
        <v>45261</v>
      </c>
      <c r="L1126">
        <v>2023</v>
      </c>
      <c r="M1126" s="4">
        <v>45282</v>
      </c>
      <c r="N1126">
        <v>1001.899999999995</v>
      </c>
      <c r="O1126">
        <v>5</v>
      </c>
    </row>
    <row r="1127" spans="1:15" x14ac:dyDescent="0.25">
      <c r="A1127" s="92">
        <v>1125</v>
      </c>
      <c r="B1127" s="47">
        <f>MONTH(dis_table[[#This Row],[Date]])</f>
        <v>12</v>
      </c>
      <c r="C1127" s="4">
        <v>45282</v>
      </c>
      <c r="D1127" s="4">
        <v>45282</v>
      </c>
      <c r="E1127" t="s">
        <v>530</v>
      </c>
      <c r="F1127" s="2">
        <v>13.66</v>
      </c>
      <c r="G1127" t="s">
        <v>58</v>
      </c>
      <c r="H1127" t="s">
        <v>531</v>
      </c>
      <c r="I1127" t="s">
        <v>12</v>
      </c>
      <c r="J1127" t="s">
        <v>59</v>
      </c>
      <c r="K1127" s="4">
        <v>45261</v>
      </c>
      <c r="L1127">
        <v>2023</v>
      </c>
      <c r="M1127" s="4">
        <v>45282</v>
      </c>
      <c r="N1127">
        <v>1015.5599999999949</v>
      </c>
      <c r="O1127">
        <v>9</v>
      </c>
    </row>
    <row r="1128" spans="1:15" x14ac:dyDescent="0.25">
      <c r="A1128" s="92">
        <v>1126</v>
      </c>
      <c r="B1128" s="47">
        <f>MONTH(dis_table[[#This Row],[Date]])</f>
        <v>12</v>
      </c>
      <c r="C1128" s="4">
        <v>45282</v>
      </c>
      <c r="D1128" s="4">
        <v>45282</v>
      </c>
      <c r="E1128" t="s">
        <v>530</v>
      </c>
      <c r="F1128" s="2">
        <v>26.99</v>
      </c>
      <c r="G1128" t="s">
        <v>58</v>
      </c>
      <c r="H1128" t="s">
        <v>531</v>
      </c>
      <c r="I1128" t="s">
        <v>12</v>
      </c>
      <c r="J1128" t="s">
        <v>59</v>
      </c>
      <c r="K1128" s="4">
        <v>45261</v>
      </c>
      <c r="L1128">
        <v>2023</v>
      </c>
      <c r="M1128" s="4">
        <v>45282</v>
      </c>
      <c r="N1128">
        <v>1042.549999999995</v>
      </c>
      <c r="O1128">
        <v>10</v>
      </c>
    </row>
    <row r="1129" spans="1:15" x14ac:dyDescent="0.25">
      <c r="A1129" s="92">
        <v>1127</v>
      </c>
      <c r="B1129" s="47">
        <f>MONTH(dis_table[[#This Row],[Date]])</f>
        <v>12</v>
      </c>
      <c r="C1129" s="4">
        <v>45282</v>
      </c>
      <c r="D1129" s="4">
        <v>45282</v>
      </c>
      <c r="E1129" t="s">
        <v>1166</v>
      </c>
      <c r="F1129" s="2">
        <v>44.47</v>
      </c>
      <c r="G1129" t="s">
        <v>34</v>
      </c>
      <c r="H1129" t="s">
        <v>35</v>
      </c>
      <c r="I1129" t="s">
        <v>12</v>
      </c>
      <c r="J1129" t="s">
        <v>13</v>
      </c>
      <c r="K1129" s="4">
        <v>45261</v>
      </c>
      <c r="L1129">
        <v>2023</v>
      </c>
      <c r="M1129" s="4">
        <v>45282</v>
      </c>
      <c r="N1129">
        <v>1087.019999999995</v>
      </c>
      <c r="O1129">
        <v>59</v>
      </c>
    </row>
    <row r="1130" spans="1:15" x14ac:dyDescent="0.25">
      <c r="A1130" s="92">
        <v>1128</v>
      </c>
      <c r="B1130" s="47">
        <f>MONTH(dis_table[[#This Row],[Date]])</f>
        <v>12</v>
      </c>
      <c r="C1130" s="4">
        <v>45282</v>
      </c>
      <c r="D1130" s="4">
        <v>45282</v>
      </c>
      <c r="E1130" t="s">
        <v>1294</v>
      </c>
      <c r="F1130" s="2">
        <v>35.19</v>
      </c>
      <c r="G1130" t="s">
        <v>9</v>
      </c>
      <c r="H1130" t="s">
        <v>14</v>
      </c>
      <c r="I1130" t="s">
        <v>12</v>
      </c>
      <c r="J1130" t="s">
        <v>13</v>
      </c>
      <c r="K1130" s="4">
        <v>45261</v>
      </c>
      <c r="L1130">
        <v>2023</v>
      </c>
      <c r="M1130" s="4">
        <v>45282</v>
      </c>
      <c r="N1130">
        <v>1122.209999999995</v>
      </c>
      <c r="O1130">
        <v>114</v>
      </c>
    </row>
    <row r="1131" spans="1:15" x14ac:dyDescent="0.25">
      <c r="A1131" s="92">
        <v>1129</v>
      </c>
      <c r="B1131" s="47">
        <f>MONTH(dis_table[[#This Row],[Date]])</f>
        <v>12</v>
      </c>
      <c r="C1131" s="4">
        <v>45282</v>
      </c>
      <c r="D1131" s="4">
        <v>45282</v>
      </c>
      <c r="E1131" t="s">
        <v>1295</v>
      </c>
      <c r="F1131" s="2">
        <v>6.5</v>
      </c>
      <c r="G1131" t="s">
        <v>34</v>
      </c>
      <c r="H1131" t="s">
        <v>14</v>
      </c>
      <c r="I1131" t="s">
        <v>12</v>
      </c>
      <c r="J1131" t="s">
        <v>13</v>
      </c>
      <c r="K1131" s="4">
        <v>45261</v>
      </c>
      <c r="L1131">
        <v>2023</v>
      </c>
      <c r="M1131" s="4">
        <v>45282</v>
      </c>
      <c r="N1131">
        <v>1128.709999999995</v>
      </c>
      <c r="O1131">
        <v>115</v>
      </c>
    </row>
    <row r="1132" spans="1:15" x14ac:dyDescent="0.25">
      <c r="A1132" s="92">
        <v>1130</v>
      </c>
      <c r="B1132" s="47">
        <f>MONTH(dis_table[[#This Row],[Date]])</f>
        <v>12</v>
      </c>
      <c r="C1132" s="4">
        <v>45282</v>
      </c>
      <c r="D1132" s="4">
        <v>45282</v>
      </c>
      <c r="E1132" t="s">
        <v>1296</v>
      </c>
      <c r="F1132" s="2">
        <v>22.14</v>
      </c>
      <c r="G1132" t="s">
        <v>34</v>
      </c>
      <c r="H1132" t="s">
        <v>35</v>
      </c>
      <c r="I1132" t="s">
        <v>12</v>
      </c>
      <c r="J1132" t="s">
        <v>13</v>
      </c>
      <c r="K1132" s="4">
        <v>45261</v>
      </c>
      <c r="L1132">
        <v>2023</v>
      </c>
      <c r="M1132" s="4">
        <v>45282</v>
      </c>
      <c r="N1132">
        <v>1150.8499999999949</v>
      </c>
      <c r="O1132">
        <v>60</v>
      </c>
    </row>
    <row r="1133" spans="1:15" x14ac:dyDescent="0.25">
      <c r="A1133" s="92">
        <v>1131</v>
      </c>
      <c r="B1133" s="47">
        <f>MONTH(dis_table[[#This Row],[Date]])</f>
        <v>12</v>
      </c>
      <c r="C1133" s="4">
        <v>45282</v>
      </c>
      <c r="D1133" s="4">
        <v>45282</v>
      </c>
      <c r="E1133" t="s">
        <v>357</v>
      </c>
      <c r="F1133" s="2">
        <v>43.93</v>
      </c>
      <c r="G1133" t="s">
        <v>29</v>
      </c>
      <c r="H1133" t="s">
        <v>14</v>
      </c>
      <c r="I1133" t="s">
        <v>12</v>
      </c>
      <c r="J1133" t="s">
        <v>13</v>
      </c>
      <c r="K1133" s="4">
        <v>45261</v>
      </c>
      <c r="L1133">
        <v>2023</v>
      </c>
      <c r="M1133" s="4">
        <v>45282</v>
      </c>
      <c r="N1133">
        <v>1194.779999999995</v>
      </c>
      <c r="O1133">
        <v>116</v>
      </c>
    </row>
    <row r="1134" spans="1:15" x14ac:dyDescent="0.25">
      <c r="A1134" s="92">
        <v>1132</v>
      </c>
      <c r="B1134" s="47">
        <f>MONTH(dis_table[[#This Row],[Date]])</f>
        <v>12</v>
      </c>
      <c r="C1134" s="4">
        <v>45282</v>
      </c>
      <c r="D1134" s="4">
        <v>45282</v>
      </c>
      <c r="E1134" t="s">
        <v>139</v>
      </c>
      <c r="F1134" s="2">
        <v>16.34</v>
      </c>
      <c r="G1134" t="s">
        <v>16</v>
      </c>
      <c r="H1134" t="s">
        <v>25</v>
      </c>
      <c r="I1134" t="s">
        <v>12</v>
      </c>
      <c r="J1134" t="s">
        <v>24</v>
      </c>
      <c r="K1134" s="4">
        <v>45261</v>
      </c>
      <c r="L1134">
        <v>2023</v>
      </c>
      <c r="M1134" s="4">
        <v>45282</v>
      </c>
      <c r="N1134">
        <v>1211.1199999999949</v>
      </c>
      <c r="O1134">
        <v>33</v>
      </c>
    </row>
    <row r="1135" spans="1:15" x14ac:dyDescent="0.25">
      <c r="A1135" s="92">
        <v>1133</v>
      </c>
      <c r="B1135" s="47">
        <f>MONTH(dis_table[[#This Row],[Date]])</f>
        <v>12</v>
      </c>
      <c r="C1135" s="4">
        <v>45282</v>
      </c>
      <c r="D1135" s="4">
        <v>45282</v>
      </c>
      <c r="E1135" t="s">
        <v>139</v>
      </c>
      <c r="F1135" s="2">
        <v>40.659999999999997</v>
      </c>
      <c r="G1135" t="s">
        <v>16</v>
      </c>
      <c r="H1135" t="s">
        <v>25</v>
      </c>
      <c r="I1135" t="s">
        <v>12</v>
      </c>
      <c r="J1135" t="s">
        <v>24</v>
      </c>
      <c r="K1135" s="4">
        <v>45261</v>
      </c>
      <c r="L1135">
        <v>2023</v>
      </c>
      <c r="M1135" s="4">
        <v>45282</v>
      </c>
      <c r="N1135">
        <v>1251.779999999995</v>
      </c>
      <c r="O1135">
        <v>34</v>
      </c>
    </row>
    <row r="1136" spans="1:15" x14ac:dyDescent="0.25">
      <c r="A1136" s="92">
        <v>1134</v>
      </c>
      <c r="B1136" s="47">
        <f>MONTH(dis_table[[#This Row],[Date]])</f>
        <v>12</v>
      </c>
      <c r="C1136" s="4">
        <v>45283</v>
      </c>
      <c r="D1136" s="4">
        <v>45283</v>
      </c>
      <c r="E1136" t="s">
        <v>85</v>
      </c>
      <c r="F1136" s="2">
        <v>49.93</v>
      </c>
      <c r="G1136" t="s">
        <v>34</v>
      </c>
      <c r="H1136" t="s">
        <v>35</v>
      </c>
      <c r="I1136" t="s">
        <v>12</v>
      </c>
      <c r="J1136" t="s">
        <v>13</v>
      </c>
      <c r="K1136" s="4">
        <v>45261</v>
      </c>
      <c r="L1136">
        <v>2023</v>
      </c>
      <c r="M1136" s="4">
        <v>45283</v>
      </c>
      <c r="N1136">
        <v>1301.709999999995</v>
      </c>
      <c r="O1136">
        <v>61</v>
      </c>
    </row>
    <row r="1137" spans="1:15" x14ac:dyDescent="0.25">
      <c r="A1137" s="92">
        <v>1135</v>
      </c>
      <c r="B1137" s="47">
        <f>MONTH(dis_table[[#This Row],[Date]])</f>
        <v>12</v>
      </c>
      <c r="C1137" s="4">
        <v>45284</v>
      </c>
      <c r="D1137" s="4">
        <v>45284</v>
      </c>
      <c r="E1137" t="s">
        <v>85</v>
      </c>
      <c r="F1137" s="2">
        <v>14.34</v>
      </c>
      <c r="G1137" t="s">
        <v>34</v>
      </c>
      <c r="H1137" t="s">
        <v>35</v>
      </c>
      <c r="I1137" t="s">
        <v>12</v>
      </c>
      <c r="J1137" t="s">
        <v>13</v>
      </c>
      <c r="K1137" s="4">
        <v>45261</v>
      </c>
      <c r="L1137">
        <v>2023</v>
      </c>
      <c r="M1137" s="4">
        <v>45284</v>
      </c>
      <c r="N1137">
        <v>1316.049999999995</v>
      </c>
      <c r="O1137">
        <v>62</v>
      </c>
    </row>
    <row r="1138" spans="1:15" x14ac:dyDescent="0.25">
      <c r="A1138" s="92">
        <v>1136</v>
      </c>
      <c r="B1138" s="47">
        <f>MONTH(dis_table[[#This Row],[Date]])</f>
        <v>12</v>
      </c>
      <c r="C1138" s="4">
        <v>45285</v>
      </c>
      <c r="D1138" s="4">
        <v>45285</v>
      </c>
      <c r="E1138" t="s">
        <v>1297</v>
      </c>
      <c r="F1138" s="2">
        <v>15.89</v>
      </c>
      <c r="G1138" t="s">
        <v>16</v>
      </c>
      <c r="H1138" t="s">
        <v>33</v>
      </c>
      <c r="I1138" t="s">
        <v>18</v>
      </c>
      <c r="J1138" t="s">
        <v>19</v>
      </c>
      <c r="K1138" s="4">
        <v>45261</v>
      </c>
      <c r="L1138">
        <v>2023</v>
      </c>
      <c r="M1138" s="4">
        <v>45285</v>
      </c>
      <c r="N1138">
        <v>1331.939999999996</v>
      </c>
      <c r="O1138">
        <v>13</v>
      </c>
    </row>
    <row r="1139" spans="1:15" x14ac:dyDescent="0.25">
      <c r="A1139" s="92">
        <v>1137</v>
      </c>
      <c r="B1139" s="47">
        <f>MONTH(dis_table[[#This Row],[Date]])</f>
        <v>12</v>
      </c>
      <c r="C1139" s="4">
        <v>45285</v>
      </c>
      <c r="D1139" s="4">
        <v>45285</v>
      </c>
      <c r="E1139" t="s">
        <v>81</v>
      </c>
      <c r="F1139" s="2">
        <v>19.13</v>
      </c>
      <c r="G1139" t="s">
        <v>16</v>
      </c>
      <c r="H1139" t="s">
        <v>45</v>
      </c>
      <c r="I1139" t="s">
        <v>12</v>
      </c>
      <c r="J1139" t="s">
        <v>19</v>
      </c>
      <c r="K1139" s="4">
        <v>45261</v>
      </c>
      <c r="L1139">
        <v>2023</v>
      </c>
      <c r="M1139" s="4">
        <v>45285</v>
      </c>
      <c r="N1139">
        <v>1351.0699999999961</v>
      </c>
      <c r="O1139">
        <v>59</v>
      </c>
    </row>
    <row r="1140" spans="1:15" x14ac:dyDescent="0.25">
      <c r="A1140" s="92">
        <v>1138</v>
      </c>
      <c r="B1140" s="47">
        <f>MONTH(dis_table[[#This Row],[Date]])</f>
        <v>12</v>
      </c>
      <c r="C1140" s="4">
        <v>45286</v>
      </c>
      <c r="D1140" s="4">
        <v>45286</v>
      </c>
      <c r="E1140" t="s">
        <v>81</v>
      </c>
      <c r="F1140" s="2">
        <v>8.49</v>
      </c>
      <c r="G1140" t="s">
        <v>16</v>
      </c>
      <c r="H1140" t="s">
        <v>45</v>
      </c>
      <c r="I1140" t="s">
        <v>12</v>
      </c>
      <c r="J1140" t="s">
        <v>19</v>
      </c>
      <c r="K1140" s="4">
        <v>45261</v>
      </c>
      <c r="L1140">
        <v>2023</v>
      </c>
      <c r="M1140" s="4">
        <v>45286</v>
      </c>
      <c r="N1140">
        <v>1359.5599999999961</v>
      </c>
      <c r="O1140">
        <v>60</v>
      </c>
    </row>
    <row r="1141" spans="1:15" x14ac:dyDescent="0.25">
      <c r="A1141" s="92">
        <v>1139</v>
      </c>
      <c r="B1141" s="47">
        <f>MONTH(dis_table[[#This Row],[Date]])</f>
        <v>12</v>
      </c>
      <c r="C1141" s="4">
        <v>45286</v>
      </c>
      <c r="D1141" s="4">
        <v>45286</v>
      </c>
      <c r="E1141" t="s">
        <v>81</v>
      </c>
      <c r="F1141" s="2">
        <v>10.63</v>
      </c>
      <c r="G1141" t="s">
        <v>16</v>
      </c>
      <c r="H1141" t="s">
        <v>45</v>
      </c>
      <c r="I1141" t="s">
        <v>12</v>
      </c>
      <c r="J1141" t="s">
        <v>19</v>
      </c>
      <c r="K1141" s="4">
        <v>45261</v>
      </c>
      <c r="L1141">
        <v>2023</v>
      </c>
      <c r="M1141" s="4">
        <v>45286</v>
      </c>
      <c r="N1141">
        <v>1370.189999999996</v>
      </c>
      <c r="O1141">
        <v>61</v>
      </c>
    </row>
    <row r="1142" spans="1:15" x14ac:dyDescent="0.25">
      <c r="A1142" s="92">
        <v>1140</v>
      </c>
      <c r="B1142" s="47">
        <f>MONTH(dis_table[[#This Row],[Date]])</f>
        <v>12</v>
      </c>
      <c r="C1142" s="4">
        <v>45286</v>
      </c>
      <c r="D1142" s="4">
        <v>45286</v>
      </c>
      <c r="E1142" t="s">
        <v>1298</v>
      </c>
      <c r="F1142" s="2">
        <v>169.56</v>
      </c>
      <c r="G1142" t="s">
        <v>22</v>
      </c>
      <c r="H1142" t="s">
        <v>65</v>
      </c>
      <c r="I1142" t="s">
        <v>12</v>
      </c>
      <c r="J1142" t="s">
        <v>19</v>
      </c>
      <c r="K1142" s="4">
        <v>45261</v>
      </c>
      <c r="L1142">
        <v>2023</v>
      </c>
      <c r="M1142" s="4">
        <v>45286</v>
      </c>
      <c r="N1142">
        <v>1539.7499999999959</v>
      </c>
      <c r="O1142">
        <v>6</v>
      </c>
    </row>
    <row r="1143" spans="1:15" x14ac:dyDescent="0.25">
      <c r="A1143" s="92">
        <v>1141</v>
      </c>
      <c r="B1143" s="47">
        <f>MONTH(dis_table[[#This Row],[Date]])</f>
        <v>12</v>
      </c>
      <c r="C1143" s="4">
        <v>45286</v>
      </c>
      <c r="D1143" s="4">
        <v>45286</v>
      </c>
      <c r="E1143" t="s">
        <v>1274</v>
      </c>
      <c r="F1143" s="2">
        <v>8.91</v>
      </c>
      <c r="G1143" t="s">
        <v>16</v>
      </c>
      <c r="H1143" t="s">
        <v>25</v>
      </c>
      <c r="I1143" t="s">
        <v>12</v>
      </c>
      <c r="J1143" t="s">
        <v>24</v>
      </c>
      <c r="K1143" s="4">
        <v>45261</v>
      </c>
      <c r="L1143">
        <v>2023</v>
      </c>
      <c r="M1143" s="4">
        <v>45286</v>
      </c>
      <c r="N1143">
        <v>1548.659999999996</v>
      </c>
      <c r="O1143">
        <v>35</v>
      </c>
    </row>
    <row r="1144" spans="1:15" x14ac:dyDescent="0.25">
      <c r="A1144" s="92">
        <v>1142</v>
      </c>
      <c r="B1144" s="47">
        <f>MONTH(dis_table[[#This Row],[Date]])</f>
        <v>12</v>
      </c>
      <c r="C1144" s="4">
        <v>45288</v>
      </c>
      <c r="D1144" s="4">
        <v>45288</v>
      </c>
      <c r="E1144" t="s">
        <v>1299</v>
      </c>
      <c r="F1144" s="2">
        <v>29.99</v>
      </c>
      <c r="G1144" t="s">
        <v>16</v>
      </c>
      <c r="H1144" t="s">
        <v>1300</v>
      </c>
      <c r="I1144" t="s">
        <v>18</v>
      </c>
      <c r="J1144" t="s">
        <v>24</v>
      </c>
      <c r="K1144" s="4">
        <v>45261</v>
      </c>
      <c r="L1144">
        <v>2023</v>
      </c>
      <c r="M1144" s="4">
        <v>45288</v>
      </c>
      <c r="N1144">
        <v>1578.649999999996</v>
      </c>
      <c r="O1144">
        <v>1</v>
      </c>
    </row>
    <row r="1145" spans="1:15" x14ac:dyDescent="0.25">
      <c r="A1145" s="92">
        <v>1143</v>
      </c>
      <c r="B1145" s="47">
        <f>MONTH(dis_table[[#This Row],[Date]])</f>
        <v>12</v>
      </c>
      <c r="C1145" s="4">
        <v>45288</v>
      </c>
      <c r="D1145" s="4">
        <v>45288</v>
      </c>
      <c r="E1145" t="s">
        <v>1301</v>
      </c>
      <c r="F1145" s="2">
        <v>21.91</v>
      </c>
      <c r="G1145" t="s">
        <v>16</v>
      </c>
      <c r="H1145" t="s">
        <v>21</v>
      </c>
      <c r="I1145" t="s">
        <v>12</v>
      </c>
      <c r="J1145" t="s">
        <v>24</v>
      </c>
      <c r="K1145" s="4">
        <v>45261</v>
      </c>
      <c r="L1145">
        <v>2023</v>
      </c>
      <c r="M1145" s="4">
        <v>45288</v>
      </c>
      <c r="N1145">
        <v>1600.5599999999961</v>
      </c>
      <c r="O1145">
        <v>48</v>
      </c>
    </row>
    <row r="1146" spans="1:15" x14ac:dyDescent="0.25">
      <c r="A1146" s="92">
        <v>1144</v>
      </c>
      <c r="B1146" s="47">
        <f>MONTH(dis_table[[#This Row],[Date]])</f>
        <v>12</v>
      </c>
      <c r="C1146" s="4">
        <v>45288</v>
      </c>
      <c r="D1146" s="4">
        <v>45288</v>
      </c>
      <c r="E1146" t="s">
        <v>680</v>
      </c>
      <c r="F1146" s="2">
        <v>16.66</v>
      </c>
      <c r="G1146" t="s">
        <v>9</v>
      </c>
      <c r="H1146" t="s">
        <v>10</v>
      </c>
      <c r="I1146" t="s">
        <v>12</v>
      </c>
      <c r="J1146" t="s">
        <v>13</v>
      </c>
      <c r="K1146" s="4">
        <v>45261</v>
      </c>
      <c r="L1146">
        <v>2023</v>
      </c>
      <c r="M1146" s="4">
        <v>45288</v>
      </c>
      <c r="N1146">
        <v>1617.2199999999959</v>
      </c>
      <c r="O1146">
        <v>70</v>
      </c>
    </row>
    <row r="1147" spans="1:15" x14ac:dyDescent="0.25">
      <c r="A1147" s="92">
        <v>1145</v>
      </c>
      <c r="B1147" s="47">
        <f>MONTH(dis_table[[#This Row],[Date]])</f>
        <v>12</v>
      </c>
      <c r="C1147" s="4">
        <v>45288</v>
      </c>
      <c r="D1147" s="4">
        <v>45288</v>
      </c>
      <c r="E1147" t="s">
        <v>1302</v>
      </c>
      <c r="F1147" s="2">
        <v>24.63</v>
      </c>
      <c r="G1147" t="s">
        <v>34</v>
      </c>
      <c r="H1147" t="s">
        <v>133</v>
      </c>
      <c r="I1147" t="s">
        <v>12</v>
      </c>
      <c r="J1147" t="s">
        <v>24</v>
      </c>
      <c r="K1147" s="4">
        <v>45261</v>
      </c>
      <c r="L1147">
        <v>2023</v>
      </c>
      <c r="M1147" s="4">
        <v>45288</v>
      </c>
      <c r="N1147">
        <v>1641.849999999996</v>
      </c>
      <c r="O1147">
        <v>66</v>
      </c>
    </row>
    <row r="1148" spans="1:15" x14ac:dyDescent="0.25">
      <c r="A1148" s="92">
        <v>1146</v>
      </c>
      <c r="B1148" s="47">
        <f>MONTH(dis_table[[#This Row],[Date]])</f>
        <v>12</v>
      </c>
      <c r="C1148" s="4">
        <v>45289</v>
      </c>
      <c r="D1148" s="4">
        <v>45289</v>
      </c>
      <c r="E1148" t="s">
        <v>1303</v>
      </c>
      <c r="F1148" s="2">
        <v>6.18</v>
      </c>
      <c r="G1148" t="s">
        <v>9</v>
      </c>
      <c r="H1148" t="s">
        <v>14</v>
      </c>
      <c r="I1148" t="s">
        <v>12</v>
      </c>
      <c r="J1148" t="s">
        <v>13</v>
      </c>
      <c r="K1148" s="4">
        <v>45261</v>
      </c>
      <c r="L1148">
        <v>2023</v>
      </c>
      <c r="M1148" s="4">
        <v>45289</v>
      </c>
      <c r="N1148">
        <v>1648.0299999999961</v>
      </c>
      <c r="O1148">
        <v>117</v>
      </c>
    </row>
    <row r="1149" spans="1:15" x14ac:dyDescent="0.25">
      <c r="A1149" s="92">
        <v>1147</v>
      </c>
      <c r="B1149" s="47">
        <f>MONTH(dis_table[[#This Row],[Date]])</f>
        <v>12</v>
      </c>
      <c r="C1149" s="4">
        <v>45289</v>
      </c>
      <c r="D1149" s="4">
        <v>45289</v>
      </c>
      <c r="E1149" t="s">
        <v>1304</v>
      </c>
      <c r="F1149" s="2">
        <v>8.65</v>
      </c>
      <c r="G1149" t="s">
        <v>9</v>
      </c>
      <c r="H1149" t="s">
        <v>14</v>
      </c>
      <c r="I1149" t="s">
        <v>12</v>
      </c>
      <c r="J1149" t="s">
        <v>13</v>
      </c>
      <c r="K1149" s="4">
        <v>45261</v>
      </c>
      <c r="L1149">
        <v>2023</v>
      </c>
      <c r="M1149" s="4">
        <v>45289</v>
      </c>
      <c r="N1149">
        <v>1656.679999999996</v>
      </c>
      <c r="O1149">
        <v>118</v>
      </c>
    </row>
    <row r="1150" spans="1:15" x14ac:dyDescent="0.25">
      <c r="A1150" s="92">
        <v>1148</v>
      </c>
      <c r="B1150" s="47">
        <f>MONTH(dis_table[[#This Row],[Date]])</f>
        <v>12</v>
      </c>
      <c r="C1150" s="4">
        <v>45290</v>
      </c>
      <c r="D1150" s="4">
        <v>45290</v>
      </c>
      <c r="E1150" t="s">
        <v>26</v>
      </c>
      <c r="F1150" s="2">
        <v>-1568.14</v>
      </c>
      <c r="G1150" t="s">
        <v>27</v>
      </c>
      <c r="H1150" t="s">
        <v>28</v>
      </c>
      <c r="I1150" t="s">
        <v>12</v>
      </c>
      <c r="J1150" t="s">
        <v>122</v>
      </c>
      <c r="K1150" s="4">
        <v>45261</v>
      </c>
      <c r="L1150">
        <v>2023</v>
      </c>
      <c r="M1150" s="4">
        <v>45290</v>
      </c>
      <c r="N1150">
        <v>88.539999999996098</v>
      </c>
      <c r="O1150">
        <v>36</v>
      </c>
    </row>
    <row r="1151" spans="1:15" x14ac:dyDescent="0.25">
      <c r="A1151" s="92">
        <v>1149</v>
      </c>
      <c r="B1151" s="47">
        <f>MONTH(dis_table[[#This Row],[Date]])</f>
        <v>12</v>
      </c>
      <c r="C1151" s="4">
        <v>45290</v>
      </c>
      <c r="D1151" s="4">
        <v>45290</v>
      </c>
      <c r="E1151" t="s">
        <v>1305</v>
      </c>
      <c r="F1151" s="2">
        <v>52.15</v>
      </c>
      <c r="G1151" t="s">
        <v>9</v>
      </c>
      <c r="H1151" t="s">
        <v>14</v>
      </c>
      <c r="I1151" t="s">
        <v>12</v>
      </c>
      <c r="J1151" t="s">
        <v>13</v>
      </c>
      <c r="K1151" s="4">
        <v>45261</v>
      </c>
      <c r="L1151">
        <v>2023</v>
      </c>
      <c r="M1151" s="4">
        <v>45290</v>
      </c>
      <c r="N1151">
        <v>140.6899999999961</v>
      </c>
      <c r="O1151">
        <v>119</v>
      </c>
    </row>
    <row r="1152" spans="1:15" x14ac:dyDescent="0.25">
      <c r="A1152" s="92">
        <v>1150</v>
      </c>
      <c r="B1152" s="47">
        <f>MONTH(dis_table[[#This Row],[Date]])</f>
        <v>12</v>
      </c>
      <c r="C1152" s="4">
        <v>45290</v>
      </c>
      <c r="D1152" s="4">
        <v>45290</v>
      </c>
      <c r="E1152" t="s">
        <v>81</v>
      </c>
      <c r="F1152" s="2">
        <v>5.04</v>
      </c>
      <c r="G1152" t="s">
        <v>16</v>
      </c>
      <c r="H1152" t="s">
        <v>45</v>
      </c>
      <c r="I1152" t="s">
        <v>12</v>
      </c>
      <c r="J1152" t="s">
        <v>19</v>
      </c>
      <c r="K1152" s="4">
        <v>45261</v>
      </c>
      <c r="L1152">
        <v>2023</v>
      </c>
      <c r="M1152" s="4">
        <v>45290</v>
      </c>
      <c r="N1152">
        <v>145.7299999999961</v>
      </c>
      <c r="O1152">
        <v>62</v>
      </c>
    </row>
    <row r="1153" spans="1:15" x14ac:dyDescent="0.25">
      <c r="A1153" s="92">
        <v>1151</v>
      </c>
      <c r="B1153" s="47">
        <f>MONTH(dis_table[[#This Row],[Date]])</f>
        <v>12</v>
      </c>
      <c r="C1153" s="4">
        <v>45290</v>
      </c>
      <c r="D1153" s="4">
        <v>45290</v>
      </c>
      <c r="E1153" t="s">
        <v>1306</v>
      </c>
      <c r="F1153" s="2">
        <v>5.88</v>
      </c>
      <c r="G1153" t="s">
        <v>9</v>
      </c>
      <c r="H1153" t="s">
        <v>62</v>
      </c>
      <c r="I1153" t="s">
        <v>12</v>
      </c>
      <c r="J1153" t="s">
        <v>13</v>
      </c>
      <c r="K1153" s="4">
        <v>45261</v>
      </c>
      <c r="L1153">
        <v>2023</v>
      </c>
      <c r="M1153" s="4">
        <v>45290</v>
      </c>
      <c r="N1153">
        <v>151.60999999999609</v>
      </c>
      <c r="O1153">
        <v>16</v>
      </c>
    </row>
    <row r="1154" spans="1:15" x14ac:dyDescent="0.25">
      <c r="A1154" s="92">
        <v>1152</v>
      </c>
      <c r="B1154" s="47">
        <f>MONTH(dis_table[[#This Row],[Date]])</f>
        <v>12</v>
      </c>
      <c r="C1154" s="4">
        <v>45291</v>
      </c>
      <c r="D1154" s="4">
        <v>45291</v>
      </c>
      <c r="E1154" t="s">
        <v>1307</v>
      </c>
      <c r="F1154" s="2">
        <v>21.75</v>
      </c>
      <c r="G1154" t="s">
        <v>9</v>
      </c>
      <c r="H1154" t="s">
        <v>14</v>
      </c>
      <c r="I1154" t="s">
        <v>12</v>
      </c>
      <c r="J1154" t="s">
        <v>13</v>
      </c>
      <c r="K1154" s="4">
        <v>45261</v>
      </c>
      <c r="L1154">
        <v>2023</v>
      </c>
      <c r="M1154" s="4">
        <v>45291</v>
      </c>
      <c r="N1154">
        <v>173.35999999999609</v>
      </c>
      <c r="O1154">
        <v>120</v>
      </c>
    </row>
    <row r="1155" spans="1:15" x14ac:dyDescent="0.25">
      <c r="A1155" s="92">
        <v>1153</v>
      </c>
      <c r="B1155" s="47">
        <f>MONTH(dis_table[[#This Row],[Date]])</f>
        <v>12</v>
      </c>
      <c r="C1155" s="4">
        <v>45291</v>
      </c>
      <c r="D1155" s="4">
        <v>45291</v>
      </c>
      <c r="E1155" t="s">
        <v>1308</v>
      </c>
      <c r="F1155" s="2">
        <v>84.34</v>
      </c>
      <c r="G1155" t="s">
        <v>9</v>
      </c>
      <c r="H1155" t="s">
        <v>14</v>
      </c>
      <c r="I1155" t="s">
        <v>12</v>
      </c>
      <c r="J1155" t="s">
        <v>13</v>
      </c>
      <c r="K1155" s="4">
        <v>45261</v>
      </c>
      <c r="L1155">
        <v>2023</v>
      </c>
      <c r="M1155" s="4">
        <v>45291</v>
      </c>
      <c r="N1155">
        <v>257.69999999999612</v>
      </c>
      <c r="O1155">
        <v>121</v>
      </c>
    </row>
  </sheetData>
  <phoneticPr fontId="5" type="noConversion"/>
  <pageMargins left="0.75" right="0.75" top="1" bottom="1" header="0.5" footer="0.5"/>
  <pageSetup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53CA-FA96-40DB-8035-3BD07AD0A276}">
  <sheetPr>
    <tabColor theme="4"/>
  </sheetPr>
  <dimension ref="A1:H39"/>
  <sheetViews>
    <sheetView topLeftCell="A10" workbookViewId="0">
      <selection activeCell="D28" activeCellId="2" sqref="D38 D30:D33 D28"/>
    </sheetView>
  </sheetViews>
  <sheetFormatPr defaultRowHeight="15" x14ac:dyDescent="0.25"/>
  <cols>
    <col min="1" max="1" width="17.85546875" style="47" customWidth="1"/>
    <col min="2" max="2" width="18.140625" bestFit="1" customWidth="1"/>
    <col min="3" max="3" width="61.28515625" bestFit="1" customWidth="1"/>
    <col min="4" max="4" width="11.28515625" bestFit="1" customWidth="1"/>
    <col min="5" max="5" width="10.5703125" customWidth="1"/>
    <col min="6" max="7" width="13" customWidth="1"/>
    <col min="8" max="8" width="9.7109375" customWidth="1"/>
  </cols>
  <sheetData>
    <row r="1" spans="1:8" x14ac:dyDescent="0.25">
      <c r="A1" s="47" t="s">
        <v>685</v>
      </c>
      <c r="B1" t="s">
        <v>87</v>
      </c>
      <c r="C1" t="s">
        <v>1087</v>
      </c>
      <c r="D1" t="s">
        <v>1</v>
      </c>
      <c r="E1" t="s">
        <v>473</v>
      </c>
      <c r="F1" t="s">
        <v>474</v>
      </c>
      <c r="G1" t="s">
        <v>3</v>
      </c>
      <c r="H1" t="s">
        <v>6</v>
      </c>
    </row>
    <row r="2" spans="1:8" x14ac:dyDescent="0.25">
      <c r="A2" s="47">
        <f>MONTH(sofiS_table8[[#This Row],[Transaction Date]])</f>
        <v>5</v>
      </c>
      <c r="B2" s="4">
        <v>45062</v>
      </c>
      <c r="C2" t="s">
        <v>744</v>
      </c>
      <c r="D2" s="5">
        <v>525</v>
      </c>
    </row>
    <row r="3" spans="1:8" x14ac:dyDescent="0.25">
      <c r="A3" s="47">
        <f>MONTH(sofiS_table8[[#This Row],[Transaction Date]])</f>
        <v>5</v>
      </c>
      <c r="B3" s="4">
        <v>45074</v>
      </c>
      <c r="C3" t="s">
        <v>740</v>
      </c>
      <c r="D3" s="5">
        <v>8.61</v>
      </c>
    </row>
    <row r="4" spans="1:8" x14ac:dyDescent="0.25">
      <c r="A4" s="47">
        <f>MONTH(sofiS_table8[[#This Row],[Transaction Date]])</f>
        <v>5</v>
      </c>
      <c r="B4" s="4">
        <v>45074</v>
      </c>
      <c r="C4" t="s">
        <v>741</v>
      </c>
      <c r="D4" s="5">
        <v>8.66</v>
      </c>
    </row>
    <row r="5" spans="1:8" x14ac:dyDescent="0.25">
      <c r="A5" s="47">
        <f>MONTH(sofiS_table8[[#This Row],[Transaction Date]])</f>
        <v>5</v>
      </c>
      <c r="B5" s="4">
        <v>45074</v>
      </c>
      <c r="C5" t="s">
        <v>742</v>
      </c>
      <c r="D5" s="5">
        <v>21.41</v>
      </c>
      <c r="E5" t="s">
        <v>894</v>
      </c>
    </row>
    <row r="6" spans="1:8" x14ac:dyDescent="0.25">
      <c r="A6" s="47">
        <f>MONTH(sofiS_table8[[#This Row],[Transaction Date]])</f>
        <v>5</v>
      </c>
      <c r="B6" s="4">
        <v>45074</v>
      </c>
      <c r="C6" t="s">
        <v>743</v>
      </c>
      <c r="D6" s="5">
        <v>5.38</v>
      </c>
    </row>
    <row r="7" spans="1:8" x14ac:dyDescent="0.25">
      <c r="A7" s="47">
        <f>MONTH(sofiS_table8[[#This Row],[Transaction Date]])</f>
        <v>5</v>
      </c>
      <c r="B7" s="4">
        <v>45075</v>
      </c>
      <c r="C7" t="s">
        <v>736</v>
      </c>
      <c r="D7" s="5">
        <v>77.349999999999994</v>
      </c>
      <c r="E7" t="s">
        <v>894</v>
      </c>
    </row>
    <row r="8" spans="1:8" x14ac:dyDescent="0.25">
      <c r="A8" s="47">
        <f>MONTH(sofiS_table8[[#This Row],[Transaction Date]])</f>
        <v>5</v>
      </c>
      <c r="B8" s="4">
        <v>45075</v>
      </c>
      <c r="C8" t="s">
        <v>737</v>
      </c>
      <c r="D8" s="5">
        <v>9.15</v>
      </c>
    </row>
    <row r="9" spans="1:8" x14ac:dyDescent="0.25">
      <c r="A9" s="47">
        <f>MONTH(sofiS_table8[[#This Row],[Transaction Date]])</f>
        <v>5</v>
      </c>
      <c r="B9" s="4">
        <v>45075</v>
      </c>
      <c r="C9" t="s">
        <v>738</v>
      </c>
      <c r="D9" s="5">
        <v>20.55</v>
      </c>
    </row>
    <row r="10" spans="1:8" x14ac:dyDescent="0.25">
      <c r="A10" s="47">
        <f>MONTH(sofiS_table8[[#This Row],[Transaction Date]])</f>
        <v>5</v>
      </c>
      <c r="B10" s="4">
        <v>45075</v>
      </c>
      <c r="C10" t="s">
        <v>739</v>
      </c>
      <c r="D10" s="5">
        <v>5.38</v>
      </c>
    </row>
    <row r="11" spans="1:8" x14ac:dyDescent="0.25">
      <c r="A11" s="47">
        <f>MONTH(sofiS_table8[[#This Row],[Transaction Date]])</f>
        <v>5</v>
      </c>
      <c r="B11" s="4">
        <v>45077</v>
      </c>
      <c r="C11" t="s">
        <v>728</v>
      </c>
      <c r="D11" s="5">
        <v>2.58</v>
      </c>
    </row>
    <row r="12" spans="1:8" x14ac:dyDescent="0.25">
      <c r="A12" s="47">
        <f>MONTH(sofiS_table8[[#This Row],[Transaction Date]])</f>
        <v>5</v>
      </c>
      <c r="B12" s="4">
        <v>45077</v>
      </c>
      <c r="C12" t="s">
        <v>729</v>
      </c>
      <c r="D12" s="5">
        <v>2.58</v>
      </c>
    </row>
    <row r="13" spans="1:8" x14ac:dyDescent="0.25">
      <c r="A13" s="47">
        <f>MONTH(sofiS_table8[[#This Row],[Transaction Date]])</f>
        <v>5</v>
      </c>
      <c r="B13" s="4">
        <v>45077</v>
      </c>
      <c r="C13" t="s">
        <v>730</v>
      </c>
      <c r="D13" s="5">
        <v>15.37</v>
      </c>
    </row>
    <row r="14" spans="1:8" x14ac:dyDescent="0.25">
      <c r="A14" s="47">
        <f>MONTH(sofiS_table8[[#This Row],[Transaction Date]])</f>
        <v>5</v>
      </c>
      <c r="B14" s="4">
        <v>45077</v>
      </c>
      <c r="C14" t="s">
        <v>731</v>
      </c>
      <c r="D14" s="5">
        <v>7.4</v>
      </c>
    </row>
    <row r="15" spans="1:8" x14ac:dyDescent="0.25">
      <c r="A15" s="47">
        <f>MONTH(sofiS_table8[[#This Row],[Transaction Date]])</f>
        <v>5</v>
      </c>
      <c r="B15" s="4">
        <v>45077</v>
      </c>
      <c r="C15" t="s">
        <v>732</v>
      </c>
      <c r="D15" s="5">
        <v>10.75</v>
      </c>
    </row>
    <row r="16" spans="1:8" x14ac:dyDescent="0.25">
      <c r="A16" s="47">
        <f>MONTH(sofiS_table8[[#This Row],[Transaction Date]])</f>
        <v>5</v>
      </c>
      <c r="B16" s="4">
        <v>45077</v>
      </c>
      <c r="C16" t="s">
        <v>733</v>
      </c>
      <c r="D16" s="5">
        <v>10.75</v>
      </c>
    </row>
    <row r="17" spans="1:5" x14ac:dyDescent="0.25">
      <c r="A17" s="47">
        <f>MONTH(sofiS_table8[[#This Row],[Transaction Date]])</f>
        <v>5</v>
      </c>
      <c r="B17" s="4">
        <v>45077</v>
      </c>
      <c r="C17" t="s">
        <v>734</v>
      </c>
      <c r="D17" s="5">
        <v>134.25</v>
      </c>
      <c r="E17" t="s">
        <v>894</v>
      </c>
    </row>
    <row r="18" spans="1:5" x14ac:dyDescent="0.25">
      <c r="A18" s="47">
        <f>MONTH(sofiS_table8[[#This Row],[Transaction Date]])</f>
        <v>5</v>
      </c>
      <c r="B18" s="4">
        <v>45077</v>
      </c>
      <c r="C18" t="s">
        <v>735</v>
      </c>
      <c r="D18" s="5">
        <v>-681.49</v>
      </c>
      <c r="E18" t="s">
        <v>871</v>
      </c>
    </row>
    <row r="19" spans="1:5" x14ac:dyDescent="0.25">
      <c r="A19" s="47">
        <f>MONTH(sofiS_table8[[#This Row],[Transaction Date]])</f>
        <v>6</v>
      </c>
      <c r="B19" s="4">
        <v>45078</v>
      </c>
      <c r="C19" t="s">
        <v>725</v>
      </c>
      <c r="D19" s="5">
        <v>11.76</v>
      </c>
    </row>
    <row r="20" spans="1:5" x14ac:dyDescent="0.25">
      <c r="A20" s="47">
        <f>MONTH(sofiS_table8[[#This Row],[Transaction Date]])</f>
        <v>6</v>
      </c>
      <c r="B20" s="4">
        <v>45078</v>
      </c>
      <c r="C20" t="s">
        <v>726</v>
      </c>
      <c r="D20" s="5">
        <v>75.25</v>
      </c>
    </row>
    <row r="21" spans="1:5" x14ac:dyDescent="0.25">
      <c r="A21" s="47">
        <f>MONTH(sofiS_table8[[#This Row],[Transaction Date]])</f>
        <v>6</v>
      </c>
      <c r="B21" s="4">
        <v>45078</v>
      </c>
      <c r="C21" t="s">
        <v>727</v>
      </c>
      <c r="D21" s="5">
        <v>11.83</v>
      </c>
    </row>
    <row r="22" spans="1:5" x14ac:dyDescent="0.25">
      <c r="A22" s="47">
        <f>MONTH(sofiS_table8[[#This Row],[Transaction Date]])</f>
        <v>6</v>
      </c>
      <c r="B22" s="4">
        <v>45079</v>
      </c>
      <c r="C22" t="s">
        <v>722</v>
      </c>
      <c r="D22" s="5">
        <v>3.67</v>
      </c>
    </row>
    <row r="23" spans="1:5" x14ac:dyDescent="0.25">
      <c r="A23" s="47">
        <f>MONTH(sofiS_table8[[#This Row],[Transaction Date]])</f>
        <v>6</v>
      </c>
      <c r="B23" s="4">
        <v>45079</v>
      </c>
      <c r="C23" t="s">
        <v>723</v>
      </c>
      <c r="D23" s="5">
        <v>12.91</v>
      </c>
    </row>
    <row r="24" spans="1:5" x14ac:dyDescent="0.25">
      <c r="A24" s="47">
        <f>MONTH(sofiS_table8[[#This Row],[Transaction Date]])</f>
        <v>6</v>
      </c>
      <c r="B24" s="4">
        <v>45079</v>
      </c>
      <c r="C24" t="s">
        <v>724</v>
      </c>
      <c r="D24" s="5">
        <v>3.76</v>
      </c>
    </row>
    <row r="25" spans="1:5" x14ac:dyDescent="0.25">
      <c r="A25" s="47">
        <f>MONTH(sofiS_table8[[#This Row],[Transaction Date]])</f>
        <v>6</v>
      </c>
      <c r="B25" s="4">
        <v>45086</v>
      </c>
      <c r="C25" t="s">
        <v>721</v>
      </c>
      <c r="D25" s="5">
        <v>5.03</v>
      </c>
    </row>
    <row r="26" spans="1:5" x14ac:dyDescent="0.25">
      <c r="A26" s="47">
        <f>MONTH(sofiS_table8[[#This Row],[Transaction Date]])</f>
        <v>6</v>
      </c>
      <c r="B26" s="4">
        <v>45090</v>
      </c>
      <c r="C26" t="s">
        <v>720</v>
      </c>
      <c r="D26" s="5">
        <v>5695</v>
      </c>
    </row>
    <row r="27" spans="1:5" x14ac:dyDescent="0.25">
      <c r="A27" s="47">
        <f>MONTH(sofiS_table8[[#This Row],[Transaction Date]])</f>
        <v>6</v>
      </c>
      <c r="B27" s="4">
        <v>45105</v>
      </c>
      <c r="C27" t="s">
        <v>922</v>
      </c>
      <c r="D27" s="5">
        <v>178</v>
      </c>
    </row>
    <row r="28" spans="1:5" x14ac:dyDescent="0.25">
      <c r="A28" s="47">
        <f>MONTH(sofiS_table8[[#This Row],[Transaction Date]])</f>
        <v>6</v>
      </c>
      <c r="B28" s="4">
        <v>45105</v>
      </c>
      <c r="C28" t="s">
        <v>923</v>
      </c>
      <c r="D28" s="5">
        <v>-130</v>
      </c>
      <c r="E28" t="s">
        <v>871</v>
      </c>
    </row>
    <row r="29" spans="1:5" x14ac:dyDescent="0.25">
      <c r="A29" s="47">
        <f>MONTH(sofiS_table8[[#This Row],[Transaction Date]])</f>
        <v>6</v>
      </c>
      <c r="B29" s="4">
        <v>45105</v>
      </c>
      <c r="C29" t="s">
        <v>924</v>
      </c>
      <c r="D29" s="5">
        <v>-178</v>
      </c>
    </row>
    <row r="30" spans="1:5" x14ac:dyDescent="0.25">
      <c r="A30" s="47">
        <f>MONTH(sofiS_table8[[#This Row],[Transaction Date]])</f>
        <v>7</v>
      </c>
      <c r="B30" s="4">
        <v>45108</v>
      </c>
      <c r="C30" t="s">
        <v>925</v>
      </c>
      <c r="D30" s="5">
        <v>-178</v>
      </c>
      <c r="E30" t="s">
        <v>871</v>
      </c>
    </row>
    <row r="31" spans="1:5" x14ac:dyDescent="0.25">
      <c r="A31" s="47">
        <f>MONTH(sofiS_table8[[#This Row],[Transaction Date]])</f>
        <v>7</v>
      </c>
      <c r="B31" s="4">
        <v>45117</v>
      </c>
      <c r="C31" t="s">
        <v>1081</v>
      </c>
      <c r="D31" s="5">
        <v>-250</v>
      </c>
      <c r="E31" t="s">
        <v>871</v>
      </c>
    </row>
    <row r="32" spans="1:5" x14ac:dyDescent="0.25">
      <c r="A32" s="47">
        <f>MONTH(sofiS_table8[[#This Row],[Transaction Date]])</f>
        <v>7</v>
      </c>
      <c r="B32" s="4">
        <v>45117</v>
      </c>
      <c r="C32" t="s">
        <v>1082</v>
      </c>
      <c r="D32" s="5">
        <v>-90.39</v>
      </c>
      <c r="E32" t="s">
        <v>871</v>
      </c>
    </row>
    <row r="33" spans="1:7" x14ac:dyDescent="0.25">
      <c r="A33" s="47">
        <f>MONTH(sofiS_table8[[#This Row],[Transaction Date]])</f>
        <v>7</v>
      </c>
      <c r="B33" s="4">
        <v>45133</v>
      </c>
      <c r="C33" t="s">
        <v>1083</v>
      </c>
      <c r="D33" s="5">
        <v>-200</v>
      </c>
      <c r="E33" t="s">
        <v>871</v>
      </c>
    </row>
    <row r="34" spans="1:7" x14ac:dyDescent="0.25">
      <c r="A34" s="47">
        <f>MONTH(sofiS_table8[[#This Row],[Transaction Date]])</f>
        <v>7</v>
      </c>
      <c r="B34" s="4">
        <v>45134</v>
      </c>
      <c r="C34" t="s">
        <v>1084</v>
      </c>
      <c r="D34" s="5">
        <v>-1514.22</v>
      </c>
      <c r="G34" t="s">
        <v>1088</v>
      </c>
    </row>
    <row r="35" spans="1:7" x14ac:dyDescent="0.25">
      <c r="A35" s="47">
        <f>MONTH(sofiS_table8[[#This Row],[Transaction Date]])</f>
        <v>8</v>
      </c>
      <c r="B35" s="4">
        <v>45148</v>
      </c>
      <c r="C35" t="s">
        <v>1081</v>
      </c>
      <c r="D35" s="5">
        <v>50</v>
      </c>
    </row>
    <row r="36" spans="1:7" x14ac:dyDescent="0.25">
      <c r="A36" s="47">
        <f>MONTH(sofiS_table8[[#This Row],[Transaction Date]])</f>
        <v>8</v>
      </c>
      <c r="B36" s="4">
        <v>45149</v>
      </c>
      <c r="C36" t="s">
        <v>1083</v>
      </c>
      <c r="D36" s="5">
        <v>130</v>
      </c>
      <c r="G36" t="s">
        <v>1088</v>
      </c>
    </row>
    <row r="37" spans="1:7" x14ac:dyDescent="0.25">
      <c r="A37" s="47">
        <f>MONTH(sofiS_table8[[#This Row],[Transaction Date]])</f>
        <v>9</v>
      </c>
      <c r="B37" s="4">
        <v>45170</v>
      </c>
      <c r="C37" t="s">
        <v>1085</v>
      </c>
      <c r="D37" s="5">
        <v>91</v>
      </c>
    </row>
    <row r="38" spans="1:7" x14ac:dyDescent="0.25">
      <c r="A38" s="47">
        <f>MONTH(sofiS_table8[[#This Row],[Transaction Date]])</f>
        <v>9</v>
      </c>
      <c r="B38" s="4">
        <v>45175</v>
      </c>
      <c r="C38" t="s">
        <v>1083</v>
      </c>
      <c r="D38" s="5">
        <v>237.29</v>
      </c>
      <c r="E38" t="s">
        <v>871</v>
      </c>
    </row>
    <row r="39" spans="1:7" x14ac:dyDescent="0.25">
      <c r="A39" s="47">
        <f>MONTH(sofiS_table8[[#This Row],[Transaction Date]])</f>
        <v>9</v>
      </c>
      <c r="B39" s="4">
        <v>45185</v>
      </c>
      <c r="C39" t="s">
        <v>1086</v>
      </c>
      <c r="D39" s="5">
        <v>-214.11</v>
      </c>
      <c r="G39" t="s">
        <v>1088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BE5D-98CC-4007-BBF8-FFC4CB6E9F54}">
  <sheetPr>
    <tabColor theme="4"/>
  </sheetPr>
  <dimension ref="A1:H19"/>
  <sheetViews>
    <sheetView workbookViewId="0">
      <selection activeCell="H19" sqref="H19"/>
    </sheetView>
  </sheetViews>
  <sheetFormatPr defaultRowHeight="15" x14ac:dyDescent="0.25"/>
  <cols>
    <col min="1" max="1" width="17.85546875" style="47" customWidth="1"/>
    <col min="2" max="2" width="11.140625" bestFit="1" customWidth="1"/>
    <col min="3" max="3" width="43.7109375" bestFit="1" customWidth="1"/>
    <col min="4" max="4" width="16.5703125" bestFit="1" customWidth="1"/>
    <col min="5" max="5" width="13" customWidth="1"/>
    <col min="6" max="6" width="24.85546875" bestFit="1" customWidth="1"/>
  </cols>
  <sheetData>
    <row r="1" spans="1:8" ht="15.75" thickBot="1" x14ac:dyDescent="0.3">
      <c r="A1" s="54" t="s">
        <v>685</v>
      </c>
      <c r="B1" s="6" t="s">
        <v>87</v>
      </c>
      <c r="C1" s="7" t="s">
        <v>1</v>
      </c>
      <c r="D1" s="7" t="s">
        <v>0</v>
      </c>
      <c r="E1" s="8" t="s">
        <v>2</v>
      </c>
      <c r="F1" s="7" t="s">
        <v>3</v>
      </c>
      <c r="G1" s="8" t="s">
        <v>6</v>
      </c>
      <c r="H1" s="7" t="s">
        <v>1095</v>
      </c>
    </row>
    <row r="2" spans="1:8" ht="15.75" thickTop="1" x14ac:dyDescent="0.25">
      <c r="A2" s="47">
        <f>MONTH(bb_table[[#This Row],[Transaction Date]])</f>
        <v>3</v>
      </c>
      <c r="B2" s="4">
        <v>44994</v>
      </c>
      <c r="C2" s="5">
        <v>-180.41</v>
      </c>
      <c r="D2" t="s">
        <v>88</v>
      </c>
      <c r="E2" t="s">
        <v>28</v>
      </c>
    </row>
    <row r="3" spans="1:8" x14ac:dyDescent="0.25">
      <c r="A3" s="47">
        <f>MONTH(bb_table[[#This Row],[Transaction Date]])</f>
        <v>3</v>
      </c>
      <c r="B3" s="4">
        <v>44986</v>
      </c>
      <c r="C3" s="5">
        <v>180.41</v>
      </c>
      <c r="D3" t="s">
        <v>371</v>
      </c>
      <c r="E3" t="s">
        <v>372</v>
      </c>
      <c r="F3" t="s">
        <v>435</v>
      </c>
      <c r="G3" t="s">
        <v>436</v>
      </c>
    </row>
    <row r="4" spans="1:8" x14ac:dyDescent="0.25">
      <c r="A4" s="47">
        <f>MONTH(bb_table[[#This Row],[Transaction Date]])</f>
        <v>3</v>
      </c>
      <c r="B4" s="4">
        <v>45005</v>
      </c>
      <c r="C4" s="5">
        <v>0</v>
      </c>
      <c r="D4" t="s">
        <v>75</v>
      </c>
      <c r="E4" t="s">
        <v>373</v>
      </c>
    </row>
    <row r="5" spans="1:8" x14ac:dyDescent="0.25">
      <c r="A5" s="47">
        <f>MONTH(bb_table[[#This Row],[Transaction Date]])</f>
        <v>3</v>
      </c>
      <c r="B5" s="4">
        <v>45005</v>
      </c>
      <c r="C5" s="5">
        <v>0</v>
      </c>
      <c r="D5" t="s">
        <v>374</v>
      </c>
      <c r="E5" t="s">
        <v>373</v>
      </c>
    </row>
    <row r="6" spans="1:8" x14ac:dyDescent="0.25">
      <c r="A6" s="47">
        <f>MONTH(bb_table[[#This Row],[Transaction Date]])</f>
        <v>4</v>
      </c>
      <c r="B6" s="4">
        <v>45019</v>
      </c>
      <c r="C6" s="5">
        <v>40.83</v>
      </c>
      <c r="D6" t="s">
        <v>371</v>
      </c>
      <c r="E6" t="s">
        <v>372</v>
      </c>
    </row>
    <row r="7" spans="1:8" x14ac:dyDescent="0.25">
      <c r="A7" s="47">
        <f>MONTH(bb_table[[#This Row],[Transaction Date]])</f>
        <v>4</v>
      </c>
      <c r="B7" s="4">
        <v>45020</v>
      </c>
      <c r="C7" s="5">
        <v>112.27</v>
      </c>
      <c r="D7" t="s">
        <v>371</v>
      </c>
      <c r="E7" t="s">
        <v>372</v>
      </c>
    </row>
    <row r="8" spans="1:8" x14ac:dyDescent="0.25">
      <c r="A8" s="47">
        <f>MONTH(bb_table[[#This Row],[Transaction Date]])</f>
        <v>4</v>
      </c>
      <c r="B8" s="4">
        <v>45026</v>
      </c>
      <c r="C8" s="5">
        <v>-153.1</v>
      </c>
      <c r="D8" t="s">
        <v>88</v>
      </c>
      <c r="E8" t="s">
        <v>28</v>
      </c>
    </row>
    <row r="9" spans="1:8" x14ac:dyDescent="0.25">
      <c r="A9" s="47">
        <f>MONTH(bb_table[[#This Row],[Transaction Date]])</f>
        <v>4</v>
      </c>
      <c r="B9" s="4">
        <v>45029</v>
      </c>
      <c r="C9" s="5">
        <v>49.32</v>
      </c>
      <c r="D9" t="s">
        <v>371</v>
      </c>
      <c r="E9" t="s">
        <v>372</v>
      </c>
    </row>
    <row r="10" spans="1:8" x14ac:dyDescent="0.25">
      <c r="A10" s="47">
        <f>MONTH(bb_table[[#This Row],[Transaction Date]])</f>
        <v>4</v>
      </c>
      <c r="B10" s="4">
        <v>45035</v>
      </c>
      <c r="C10" s="5">
        <v>0</v>
      </c>
      <c r="D10" t="s">
        <v>374</v>
      </c>
      <c r="E10" t="s">
        <v>373</v>
      </c>
    </row>
    <row r="11" spans="1:8" x14ac:dyDescent="0.25">
      <c r="A11" s="47">
        <f>MONTH(bb_table[[#This Row],[Transaction Date]])</f>
        <v>4</v>
      </c>
      <c r="B11" s="4">
        <v>45035</v>
      </c>
      <c r="C11" s="5">
        <v>0</v>
      </c>
      <c r="D11" t="s">
        <v>75</v>
      </c>
      <c r="E11" t="s">
        <v>373</v>
      </c>
    </row>
    <row r="12" spans="1:8" x14ac:dyDescent="0.25">
      <c r="A12" s="47">
        <f>MONTH(bb_table[[#This Row],[Transaction Date]])</f>
        <v>4</v>
      </c>
      <c r="B12" s="4">
        <v>45042</v>
      </c>
      <c r="C12" s="5">
        <v>-49.32</v>
      </c>
      <c r="D12" t="s">
        <v>88</v>
      </c>
      <c r="E12" t="s">
        <v>28</v>
      </c>
    </row>
    <row r="13" spans="1:8" x14ac:dyDescent="0.25">
      <c r="A13" s="47">
        <f>MONTH(bb_table[[#This Row],[Transaction Date]])</f>
        <v>4</v>
      </c>
      <c r="B13" s="4">
        <v>45043</v>
      </c>
      <c r="C13" s="5">
        <v>393.74</v>
      </c>
      <c r="D13" t="s">
        <v>371</v>
      </c>
      <c r="E13" t="s">
        <v>372</v>
      </c>
    </row>
    <row r="14" spans="1:8" x14ac:dyDescent="0.25">
      <c r="A14" s="47">
        <f>MONTH(bb_table[[#This Row],[Transaction Date]])</f>
        <v>5</v>
      </c>
      <c r="B14" s="4">
        <v>45057</v>
      </c>
      <c r="C14" s="5">
        <v>27.33</v>
      </c>
      <c r="D14" t="s">
        <v>371</v>
      </c>
      <c r="E14" t="s">
        <v>372</v>
      </c>
    </row>
    <row r="15" spans="1:8" x14ac:dyDescent="0.25">
      <c r="A15" s="47">
        <f>MONTH(bb_table[[#This Row],[Transaction Date]])</f>
        <v>5</v>
      </c>
      <c r="B15" s="4">
        <v>45065</v>
      </c>
      <c r="C15" s="5">
        <v>0</v>
      </c>
      <c r="D15" t="s">
        <v>374</v>
      </c>
      <c r="E15" t="s">
        <v>373</v>
      </c>
    </row>
    <row r="16" spans="1:8" x14ac:dyDescent="0.25">
      <c r="A16" s="47">
        <f>MONTH(bb_table[[#This Row],[Transaction Date]])</f>
        <v>5</v>
      </c>
      <c r="B16" s="4">
        <v>45065</v>
      </c>
      <c r="C16" s="5">
        <v>0</v>
      </c>
      <c r="D16" t="s">
        <v>75</v>
      </c>
      <c r="E16" t="s">
        <v>373</v>
      </c>
    </row>
    <row r="17" spans="1:8" x14ac:dyDescent="0.25">
      <c r="A17" s="47">
        <f>MONTH(bb_table[[#This Row],[Transaction Date]])</f>
        <v>5</v>
      </c>
      <c r="B17" s="4">
        <v>45066</v>
      </c>
      <c r="C17" s="5">
        <v>-100</v>
      </c>
      <c r="D17" t="s">
        <v>88</v>
      </c>
      <c r="E17" t="s">
        <v>28</v>
      </c>
    </row>
    <row r="18" spans="1:8" x14ac:dyDescent="0.25">
      <c r="A18" s="47">
        <f>MONTH(bb_table[[#This Row],[Transaction Date]])</f>
        <v>5</v>
      </c>
      <c r="B18" s="4">
        <v>45067</v>
      </c>
      <c r="C18" s="5">
        <v>-321.07</v>
      </c>
      <c r="D18" t="s">
        <v>88</v>
      </c>
      <c r="E18" t="s">
        <v>28</v>
      </c>
    </row>
    <row r="19" spans="1:8" x14ac:dyDescent="0.25">
      <c r="A19" s="47">
        <f>MONTH(bb_table[[#This Row],[Transaction Date]])</f>
        <v>9</v>
      </c>
      <c r="B19" s="4">
        <v>45183</v>
      </c>
      <c r="C19" s="2">
        <v>1845.69</v>
      </c>
      <c r="D19" t="s">
        <v>1089</v>
      </c>
      <c r="E19" t="s">
        <v>372</v>
      </c>
      <c r="H19" s="13">
        <f>bb_table[[#This Row],[Amount]]/12</f>
        <v>153.8075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D5BF-14CE-47B2-A820-46BB20027AD1}">
  <sheetPr>
    <tabColor theme="4"/>
  </sheetPr>
  <dimension ref="A1:C5"/>
  <sheetViews>
    <sheetView workbookViewId="0">
      <selection activeCell="C3" sqref="C3:C4"/>
    </sheetView>
  </sheetViews>
  <sheetFormatPr defaultRowHeight="15" x14ac:dyDescent="0.25"/>
  <cols>
    <col min="1" max="1" width="10.140625" bestFit="1" customWidth="1"/>
    <col min="2" max="2" width="14.28515625" customWidth="1"/>
    <col min="3" max="3" width="13.5703125" bestFit="1" customWidth="1"/>
  </cols>
  <sheetData>
    <row r="1" spans="1:3" ht="15.75" x14ac:dyDescent="0.25">
      <c r="A1" s="100" t="s">
        <v>4</v>
      </c>
      <c r="B1" s="101" t="s">
        <v>0</v>
      </c>
      <c r="C1" s="102" t="s">
        <v>1</v>
      </c>
    </row>
    <row r="2" spans="1:3" x14ac:dyDescent="0.25">
      <c r="A2" s="4">
        <v>45154</v>
      </c>
      <c r="B2" t="s">
        <v>1090</v>
      </c>
      <c r="C2" s="2">
        <v>-84.02</v>
      </c>
    </row>
    <row r="3" spans="1:3" x14ac:dyDescent="0.25">
      <c r="A3" s="4">
        <v>45176</v>
      </c>
      <c r="B3" t="s">
        <v>1091</v>
      </c>
      <c r="C3" s="2">
        <v>-377.15</v>
      </c>
    </row>
    <row r="4" spans="1:3" x14ac:dyDescent="0.25">
      <c r="A4" s="4">
        <v>45176</v>
      </c>
      <c r="B4" t="s">
        <v>1091</v>
      </c>
      <c r="C4" s="2">
        <v>-10.65</v>
      </c>
    </row>
    <row r="5" spans="1:3" x14ac:dyDescent="0.25">
      <c r="A5" s="4">
        <v>45190</v>
      </c>
      <c r="B5" t="s">
        <v>1090</v>
      </c>
      <c r="C5" s="2">
        <v>-80.06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6C7B-5642-4AC0-A939-7CE745DE738C}">
  <sheetPr>
    <tabColor theme="9"/>
  </sheetPr>
  <dimension ref="A1:F26"/>
  <sheetViews>
    <sheetView workbookViewId="0">
      <selection activeCell="F16" sqref="F16"/>
    </sheetView>
  </sheetViews>
  <sheetFormatPr defaultRowHeight="15" x14ac:dyDescent="0.25"/>
  <cols>
    <col min="1" max="1" width="17.85546875" style="47" customWidth="1"/>
    <col min="2" max="2" width="18.140625" bestFit="1" customWidth="1"/>
    <col min="3" max="3" width="22.7109375" bestFit="1" customWidth="1"/>
    <col min="4" max="4" width="10.5703125" customWidth="1"/>
    <col min="5" max="5" width="14.28515625" bestFit="1" customWidth="1"/>
  </cols>
  <sheetData>
    <row r="1" spans="1:6" x14ac:dyDescent="0.25">
      <c r="A1" s="47" t="s">
        <v>685</v>
      </c>
      <c r="B1" t="s">
        <v>87</v>
      </c>
      <c r="C1" t="s">
        <v>0</v>
      </c>
      <c r="D1" t="s">
        <v>1</v>
      </c>
      <c r="E1" t="s">
        <v>852</v>
      </c>
      <c r="F1" t="s">
        <v>2</v>
      </c>
    </row>
    <row r="2" spans="1:6" x14ac:dyDescent="0.25">
      <c r="A2" s="47">
        <f>MONTH(sofiS_table89[[#This Row],[Transaction Date]])</f>
        <v>1</v>
      </c>
      <c r="B2" s="4">
        <v>44927</v>
      </c>
      <c r="C2" s="4" t="s">
        <v>856</v>
      </c>
      <c r="D2" s="5">
        <v>5000</v>
      </c>
      <c r="E2" s="4">
        <v>43374</v>
      </c>
      <c r="F2" s="4"/>
    </row>
    <row r="3" spans="1:6" x14ac:dyDescent="0.25">
      <c r="A3" s="47">
        <f>MONTH(sofiS_table89[[#This Row],[Transaction Date]])</f>
        <v>1</v>
      </c>
      <c r="B3" s="4">
        <v>44927</v>
      </c>
      <c r="C3" s="4" t="s">
        <v>856</v>
      </c>
      <c r="D3" s="5">
        <v>5032</v>
      </c>
      <c r="E3" s="4">
        <v>43678</v>
      </c>
      <c r="F3" s="4"/>
    </row>
    <row r="4" spans="1:6" x14ac:dyDescent="0.25">
      <c r="A4" s="47">
        <f>MONTH(sofiS_table89[[#This Row],[Transaction Date]])</f>
        <v>1</v>
      </c>
      <c r="B4" s="4">
        <v>44927</v>
      </c>
      <c r="C4" s="4" t="s">
        <v>857</v>
      </c>
      <c r="D4" s="5">
        <v>2629.34</v>
      </c>
      <c r="E4" s="4">
        <v>44775</v>
      </c>
      <c r="F4" s="4"/>
    </row>
    <row r="5" spans="1:6" x14ac:dyDescent="0.25">
      <c r="A5" s="47">
        <f>MONTH(sofiS_table89[[#This Row],[Transaction Date]])</f>
        <v>1</v>
      </c>
      <c r="B5" s="4">
        <v>44927</v>
      </c>
      <c r="C5" s="4" t="s">
        <v>858</v>
      </c>
      <c r="D5" s="5">
        <v>1757</v>
      </c>
      <c r="E5" s="4">
        <v>44792</v>
      </c>
      <c r="F5" s="4"/>
    </row>
    <row r="6" spans="1:6" x14ac:dyDescent="0.25">
      <c r="A6" s="47">
        <f>MONTH(sofiS_table89[[#This Row],[Transaction Date]])</f>
        <v>1</v>
      </c>
      <c r="B6" s="4">
        <v>44927</v>
      </c>
      <c r="C6" s="4"/>
      <c r="D6" s="5">
        <v>-420</v>
      </c>
      <c r="E6" s="4">
        <v>44010</v>
      </c>
      <c r="F6" s="4" t="s">
        <v>871</v>
      </c>
    </row>
    <row r="7" spans="1:6" x14ac:dyDescent="0.25">
      <c r="A7" s="47">
        <f>MONTH(sofiS_table89[[#This Row],[Transaction Date]])</f>
        <v>1</v>
      </c>
      <c r="B7" s="4">
        <v>44927</v>
      </c>
      <c r="C7" s="4"/>
      <c r="D7" s="5">
        <v>-150</v>
      </c>
      <c r="E7" s="4">
        <v>44036</v>
      </c>
      <c r="F7" s="4" t="s">
        <v>871</v>
      </c>
    </row>
    <row r="8" spans="1:6" x14ac:dyDescent="0.25">
      <c r="A8" s="47">
        <f>MONTH(sofiS_table89[[#This Row],[Transaction Date]])</f>
        <v>4</v>
      </c>
      <c r="B8" s="4">
        <v>45017</v>
      </c>
      <c r="C8" s="4" t="s">
        <v>853</v>
      </c>
      <c r="D8" s="5">
        <v>-125.1</v>
      </c>
      <c r="F8" t="s">
        <v>871</v>
      </c>
    </row>
    <row r="9" spans="1:6" x14ac:dyDescent="0.25">
      <c r="A9" s="47">
        <f>MONTH(sofiS_table89[[#This Row],[Transaction Date]])</f>
        <v>5</v>
      </c>
      <c r="B9" s="4">
        <v>45047</v>
      </c>
      <c r="C9" s="4" t="s">
        <v>853</v>
      </c>
      <c r="D9" s="5">
        <v>-125.1</v>
      </c>
      <c r="F9" t="s">
        <v>871</v>
      </c>
    </row>
    <row r="10" spans="1:6" x14ac:dyDescent="0.25">
      <c r="A10" s="47">
        <f>MONTH(sofiS_table89[[#This Row],[Transaction Date]])</f>
        <v>6</v>
      </c>
      <c r="B10" s="4">
        <v>45078</v>
      </c>
      <c r="C10" s="4" t="s">
        <v>853</v>
      </c>
      <c r="D10" s="5">
        <v>-125.1</v>
      </c>
      <c r="F10" t="s">
        <v>871</v>
      </c>
    </row>
    <row r="11" spans="1:6" x14ac:dyDescent="0.25">
      <c r="A11" s="47">
        <f>MONTH(sofiS_table89[[#This Row],[Transaction Date]])</f>
        <v>6</v>
      </c>
      <c r="B11" s="4">
        <v>45087</v>
      </c>
      <c r="C11" s="4" t="s">
        <v>854</v>
      </c>
      <c r="D11" s="5">
        <v>1998.74</v>
      </c>
      <c r="E11" s="4">
        <v>45087</v>
      </c>
      <c r="F11" s="4"/>
    </row>
    <row r="12" spans="1:6" x14ac:dyDescent="0.25">
      <c r="A12" s="47">
        <f>MONTH(sofiS_table89[[#This Row],[Transaction Date]])</f>
        <v>6</v>
      </c>
      <c r="B12" s="4">
        <v>45087</v>
      </c>
      <c r="C12" s="4" t="s">
        <v>855</v>
      </c>
      <c r="D12" s="5">
        <v>1987.73</v>
      </c>
      <c r="E12" s="4">
        <v>45087</v>
      </c>
      <c r="F12" s="4"/>
    </row>
    <row r="13" spans="1:6" x14ac:dyDescent="0.25">
      <c r="A13" s="47">
        <f>MONTH(sofiS_table89[[#This Row],[Transaction Date]])</f>
        <v>6</v>
      </c>
      <c r="B13" s="4">
        <v>45092</v>
      </c>
      <c r="C13" s="4" t="s">
        <v>926</v>
      </c>
      <c r="D13" s="5">
        <f>SUMIFS(Care_Credit!$D:$D,Care_Credit!$E:$E,"s")/2*-1</f>
        <v>-116.505</v>
      </c>
      <c r="E13" s="4">
        <v>45092</v>
      </c>
      <c r="F13" t="s">
        <v>871</v>
      </c>
    </row>
    <row r="14" spans="1:6" x14ac:dyDescent="0.25">
      <c r="A14" s="47">
        <v>6</v>
      </c>
      <c r="B14" s="4">
        <v>45092</v>
      </c>
      <c r="C14" s="4" t="s">
        <v>927</v>
      </c>
      <c r="D14" s="5">
        <f>(SUMIFS('Discover Data'!$F:$F,'Discover Data'!$H:$H,"Europe_Trip")-7.99)/2*-1</f>
        <v>-100.17500000000001</v>
      </c>
      <c r="F14" t="s">
        <v>871</v>
      </c>
    </row>
    <row r="15" spans="1:6" x14ac:dyDescent="0.25">
      <c r="A15" s="47">
        <f>MONTH(sofiS_table89[[#This Row],[Transaction Date]])</f>
        <v>6</v>
      </c>
      <c r="B15" s="4">
        <v>45106</v>
      </c>
      <c r="C15" t="s">
        <v>450</v>
      </c>
      <c r="D15" s="5">
        <v>-1814.85</v>
      </c>
      <c r="F15" t="s">
        <v>871</v>
      </c>
    </row>
    <row r="16" spans="1:6" x14ac:dyDescent="0.25">
      <c r="B16" s="4"/>
      <c r="C16" s="4" t="s">
        <v>958</v>
      </c>
      <c r="D16" s="5">
        <f>(125.1*8)*-1</f>
        <v>-1000.8</v>
      </c>
    </row>
    <row r="17" spans="2:4" x14ac:dyDescent="0.25">
      <c r="B17" s="4"/>
      <c r="C17" s="4"/>
      <c r="D17" s="5"/>
    </row>
    <row r="18" spans="2:4" x14ac:dyDescent="0.25">
      <c r="B18" s="4"/>
      <c r="C18" s="4"/>
      <c r="D18" s="5"/>
    </row>
    <row r="19" spans="2:4" x14ac:dyDescent="0.25">
      <c r="B19" s="4"/>
      <c r="C19" s="4"/>
      <c r="D19" s="5"/>
    </row>
    <row r="20" spans="2:4" x14ac:dyDescent="0.25">
      <c r="B20" s="4"/>
      <c r="C20" s="4"/>
      <c r="D20" s="5"/>
    </row>
    <row r="21" spans="2:4" x14ac:dyDescent="0.25">
      <c r="B21" s="4"/>
      <c r="C21" s="4"/>
      <c r="D21" s="5"/>
    </row>
    <row r="22" spans="2:4" x14ac:dyDescent="0.25">
      <c r="B22" s="4"/>
      <c r="C22" s="4"/>
      <c r="D22" s="5"/>
    </row>
    <row r="23" spans="2:4" x14ac:dyDescent="0.25">
      <c r="B23" s="4"/>
      <c r="C23" s="4"/>
      <c r="D23" s="5"/>
    </row>
    <row r="24" spans="2:4" x14ac:dyDescent="0.25">
      <c r="B24" s="4"/>
      <c r="C24" s="4"/>
      <c r="D24" s="5"/>
    </row>
    <row r="25" spans="2:4" x14ac:dyDescent="0.25">
      <c r="B25" s="4"/>
      <c r="C25" s="4"/>
      <c r="D25" s="5"/>
    </row>
    <row r="26" spans="2:4" x14ac:dyDescent="0.25">
      <c r="B26" s="4"/>
      <c r="C26" s="4"/>
      <c r="D26" s="5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7795-FF7D-4531-8E3E-6881F6248673}">
  <sheetPr>
    <tabColor theme="1"/>
  </sheetPr>
  <dimension ref="A1:P91"/>
  <sheetViews>
    <sheetView tabSelected="1" zoomScale="70" zoomScaleNormal="70" workbookViewId="0">
      <pane xSplit="3" ySplit="3" topLeftCell="D61" activePane="bottomRight" state="frozen"/>
      <selection pane="topRight" activeCell="D1" sqref="D1"/>
      <selection pane="bottomLeft" activeCell="A4" sqref="A4"/>
      <selection pane="bottomRight" activeCell="E81" sqref="E81:P81"/>
    </sheetView>
  </sheetViews>
  <sheetFormatPr defaultRowHeight="15" x14ac:dyDescent="0.25"/>
  <cols>
    <col min="1" max="1" width="29.28515625" bestFit="1" customWidth="1"/>
    <col min="2" max="2" width="6.85546875" bestFit="1" customWidth="1"/>
    <col min="3" max="3" width="14.28515625" bestFit="1" customWidth="1"/>
    <col min="4" max="4" width="14.28515625" customWidth="1"/>
    <col min="5" max="16" width="13.7109375" customWidth="1"/>
  </cols>
  <sheetData>
    <row r="1" spans="1:16" x14ac:dyDescent="0.25">
      <c r="A1" s="48"/>
      <c r="B1" s="48"/>
      <c r="D1" s="49" t="s">
        <v>132</v>
      </c>
      <c r="E1" s="50">
        <v>2023</v>
      </c>
      <c r="F1" s="50">
        <v>2023</v>
      </c>
      <c r="G1" s="50">
        <v>2023</v>
      </c>
      <c r="H1" s="50">
        <v>2023</v>
      </c>
      <c r="I1" s="50">
        <v>2023</v>
      </c>
      <c r="J1" s="50">
        <v>2023</v>
      </c>
      <c r="K1" s="50">
        <v>2023</v>
      </c>
      <c r="L1" s="50">
        <v>2023</v>
      </c>
      <c r="M1" s="50">
        <v>2023</v>
      </c>
      <c r="N1" s="50">
        <v>2023</v>
      </c>
      <c r="O1" s="50">
        <v>2023</v>
      </c>
      <c r="P1" s="50">
        <v>2023</v>
      </c>
    </row>
    <row r="2" spans="1:16" x14ac:dyDescent="0.25">
      <c r="A2" s="48"/>
      <c r="B2" s="49" t="s">
        <v>745</v>
      </c>
      <c r="D2" s="49" t="s">
        <v>685</v>
      </c>
      <c r="E2" s="50" t="s">
        <v>687</v>
      </c>
      <c r="F2" s="50" t="s">
        <v>688</v>
      </c>
      <c r="G2" s="50" t="s">
        <v>689</v>
      </c>
      <c r="H2" s="50" t="s">
        <v>690</v>
      </c>
      <c r="I2" s="50" t="s">
        <v>691</v>
      </c>
      <c r="J2" s="50" t="s">
        <v>692</v>
      </c>
      <c r="K2" s="50" t="s">
        <v>693</v>
      </c>
      <c r="L2" s="50" t="s">
        <v>694</v>
      </c>
      <c r="M2" s="50" t="s">
        <v>695</v>
      </c>
      <c r="N2" s="50" t="s">
        <v>696</v>
      </c>
      <c r="O2" s="50" t="s">
        <v>697</v>
      </c>
      <c r="P2" s="50" t="s">
        <v>686</v>
      </c>
    </row>
    <row r="3" spans="1:16" x14ac:dyDescent="0.25">
      <c r="A3" s="48"/>
      <c r="B3" s="48"/>
      <c r="C3" s="48"/>
      <c r="D3" s="48"/>
      <c r="E3" s="48">
        <v>1</v>
      </c>
      <c r="F3" s="48">
        <f>E3+1</f>
        <v>2</v>
      </c>
      <c r="G3" s="48">
        <f t="shared" ref="G3:P3" si="0">F3+1</f>
        <v>3</v>
      </c>
      <c r="H3" s="48">
        <f t="shared" si="0"/>
        <v>4</v>
      </c>
      <c r="I3" s="48">
        <f t="shared" si="0"/>
        <v>5</v>
      </c>
      <c r="J3" s="48">
        <f t="shared" si="0"/>
        <v>6</v>
      </c>
      <c r="K3" s="48">
        <f t="shared" si="0"/>
        <v>7</v>
      </c>
      <c r="L3" s="48">
        <f t="shared" si="0"/>
        <v>8</v>
      </c>
      <c r="M3" s="48">
        <f t="shared" si="0"/>
        <v>9</v>
      </c>
      <c r="N3" s="48">
        <f t="shared" si="0"/>
        <v>10</v>
      </c>
      <c r="O3" s="48">
        <f t="shared" si="0"/>
        <v>11</v>
      </c>
      <c r="P3" s="48">
        <f t="shared" si="0"/>
        <v>12</v>
      </c>
    </row>
    <row r="4" spans="1:16" x14ac:dyDescent="0.25">
      <c r="A4" s="49" t="s">
        <v>746</v>
      </c>
      <c r="B4" s="48" t="s">
        <v>747</v>
      </c>
      <c r="C4" s="48" t="s">
        <v>495</v>
      </c>
      <c r="D4" s="48"/>
      <c r="E4" s="57">
        <f>SUMIFS('Wells Fargo'!$C:$C,'Wells Fargo'!$A:$A,Summary!E$3)</f>
        <v>553.97</v>
      </c>
      <c r="F4" s="57">
        <f ca="1">SUMIFS('Wells Fargo'!$C:$C,'Wells Fargo'!$A:$A,Summary!F$3)+IF(F3&lt;=MONTH(TODAY()), E4,0)</f>
        <v>223.10999999999996</v>
      </c>
      <c r="G4" s="57">
        <f ca="1">SUMIFS('Wells Fargo'!$C:$C,'Wells Fargo'!$A:$A,Summary!G$3)+IF(G3&lt;=MONTH(TODAY()), F4,0)</f>
        <v>265.04000000000008</v>
      </c>
      <c r="H4" s="57">
        <f ca="1">SUMIFS('Wells Fargo'!$C:$C,'Wells Fargo'!$A:$A,Summary!H$3)+IF(H3&lt;=MONTH(TODAY()), G4,0)</f>
        <v>4.3299999999999272</v>
      </c>
      <c r="I4" s="57">
        <f ca="1">SUMIFS('Wells Fargo'!$C:$C,'Wells Fargo'!$A:$A,Summary!I$3)+IF(I3&lt;=MONTH(TODAY()), H4,0)</f>
        <v>15.779999999999919</v>
      </c>
      <c r="J4" s="57">
        <f ca="1">SUMIFS('Wells Fargo'!$C:$C,'Wells Fargo'!$A:$A,Summary!J$3)+IF(J3&lt;=MONTH(TODAY()), I4,0)</f>
        <v>7.7399999999998421</v>
      </c>
      <c r="K4" s="57">
        <f ca="1">SUMIFS('Wells Fargo'!$C:$C,'Wells Fargo'!$A:$A,Summary!K$3)+IF(K3&lt;=MONTH(TODAY()), J4,0)</f>
        <v>2.9499999999998501</v>
      </c>
      <c r="L4" s="57">
        <f ca="1">SUMIFS('Wells Fargo'!$C:$C,'Wells Fargo'!$A:$A,Summary!L$3)+IF(L3&lt;=MONTH(TODAY()), K4,0)</f>
        <v>32.749999999999915</v>
      </c>
      <c r="M4" s="57">
        <f ca="1">SUMIFS('Wells Fargo'!$C:$C,'Wells Fargo'!$A:$A,Summary!M$3)+IF(M3&lt;=MONTH(TODAY()), L4,0)</f>
        <v>786.81999999999994</v>
      </c>
      <c r="N4" s="57">
        <f ca="1">SUMIFS('Wells Fargo'!$C:$C,'Wells Fargo'!$A:$A,Summary!N$3)+IF(N3&lt;=MONTH(TODAY()), M4,0)</f>
        <v>2.0299999999999727</v>
      </c>
      <c r="O4" s="57">
        <f ca="1">SUMIFS('Wells Fargo'!$C:$C,'Wells Fargo'!$A:$A,Summary!O$3)+IF(O3&lt;=MONTH(TODAY()), N4,0)</f>
        <v>744.19</v>
      </c>
      <c r="P4" s="57">
        <f ca="1">SUMIFS('Wells Fargo'!$C:$C,'Wells Fargo'!$A:$A,Summary!P$3)+IF(P3&lt;=MONTH(TODAY()), O4,0)</f>
        <v>616.53000000000009</v>
      </c>
    </row>
    <row r="5" spans="1:16" x14ac:dyDescent="0.25">
      <c r="A5" s="49"/>
      <c r="B5" s="48"/>
      <c r="C5" s="48"/>
      <c r="D5" s="48"/>
      <c r="E5" s="59">
        <f>SUMIFS('Wells Fargo'!$C:$C,'Wells Fargo'!$A:$A,Summary!E$3,'Wells Fargo'!$E:$E,"debit")</f>
        <v>-1452.2299999999998</v>
      </c>
      <c r="F5" s="59">
        <f>SUMIFS('Wells Fargo'!$C:$C,'Wells Fargo'!$A:$A,Summary!F$3,'Wells Fargo'!$E:$E,"debit")</f>
        <v>-1638.3500000000001</v>
      </c>
      <c r="G5" s="59">
        <f>SUMIFS('Wells Fargo'!$C:$C,'Wells Fargo'!$A:$A,Summary!G$3,'Wells Fargo'!$E:$E,"debit")</f>
        <v>-1138.06</v>
      </c>
      <c r="H5" s="59">
        <f>SUMIFS('Wells Fargo'!$C:$C,'Wells Fargo'!$A:$A,Summary!H$3,'Wells Fargo'!$E:$E,"debit")</f>
        <v>-1434.75</v>
      </c>
      <c r="I5" s="59">
        <f>SUMIFS('Wells Fargo'!$C:$C,'Wells Fargo'!$A:$A,Summary!I$3,'Wells Fargo'!$E:$E,"debit")</f>
        <v>-921.38999999999987</v>
      </c>
      <c r="J5" s="59">
        <f>SUMIFS('Wells Fargo'!$C:$C,'Wells Fargo'!$A:$A,Summary!J$3,'Wells Fargo'!$E:$E,"debit")</f>
        <v>-1193.43</v>
      </c>
      <c r="K5" s="59">
        <f>SUMIFS('Wells Fargo'!$C:$C,'Wells Fargo'!$A:$A,Summary!K$3,'Wells Fargo'!$E:$E,"debit")</f>
        <v>-1082.8600000000001</v>
      </c>
      <c r="L5" s="59">
        <f>SUMIFS('Wells Fargo'!$C:$C,'Wells Fargo'!$A:$A,Summary!L$3,'Wells Fargo'!$E:$E,"debit")</f>
        <v>-1007.0699999999999</v>
      </c>
      <c r="M5" s="59">
        <f>SUMIFS('Wells Fargo'!$C:$C,'Wells Fargo'!$A:$A,Summary!M$3,'Wells Fargo'!$E:$E,"debit")</f>
        <v>-726.70999999999992</v>
      </c>
      <c r="N5" s="59">
        <f>SUMIFS('Wells Fargo'!$C:$C,'Wells Fargo'!$A:$A,Summary!N$3,'Wells Fargo'!$E:$E,"debit")</f>
        <v>-1819.2700000000002</v>
      </c>
      <c r="O5" s="59">
        <f>SUMIFS('Wells Fargo'!$C:$C,'Wells Fargo'!$A:$A,Summary!O$3,'Wells Fargo'!$E:$E,"debit")</f>
        <v>-1304.56</v>
      </c>
      <c r="P5" s="59">
        <f>SUMIFS('Wells Fargo'!$C:$C,'Wells Fargo'!$A:$A,Summary!P$3,'Wells Fargo'!$E:$E,"debit")</f>
        <v>-1192.1500000000001</v>
      </c>
    </row>
    <row r="6" spans="1:16" x14ac:dyDescent="0.25">
      <c r="A6" s="49" t="s">
        <v>746</v>
      </c>
      <c r="B6" s="48" t="s">
        <v>747</v>
      </c>
      <c r="C6" s="48" t="s">
        <v>496</v>
      </c>
      <c r="D6" s="48"/>
      <c r="E6" s="57">
        <f>SUMIFS(SOFI_CHECKING!$E:$E,SOFI_CHECKING!$A:$A,Summary!E$3)</f>
        <v>93.390000000000015</v>
      </c>
      <c r="F6" s="57">
        <f ca="1">SUMIFS(SOFI_CHECKING!$E:$E,SOFI_CHECKING!$A:$A,Summary!F$3)+IF(F3&lt;=MONTH(TODAY()), E6,0)</f>
        <v>25.470000000000013</v>
      </c>
      <c r="G6" s="57">
        <f ca="1">SUMIFS(SOFI_CHECKING!$E:$E,SOFI_CHECKING!$A:$A,Summary!G$3)+IF(G3&lt;=MONTH(TODAY()), F6,0)</f>
        <v>42.440000000000055</v>
      </c>
      <c r="H6" s="57">
        <f ca="1">SUMIFS(SOFI_CHECKING!$E:$E,SOFI_CHECKING!$A:$A,Summary!H$3)+IF(H3&lt;=MONTH(TODAY()), G6,0)</f>
        <v>53.350000000000051</v>
      </c>
      <c r="I6" s="57">
        <f ca="1">SUMIFS(SOFI_CHECKING!$E:$E,SOFI_CHECKING!$A:$A,Summary!I$3)+IF(I3&lt;=MONTH(TODAY()), H6,0)</f>
        <v>691.11</v>
      </c>
      <c r="J6" s="57">
        <f ca="1">SUMIFS(SOFI_CHECKING!$E:$E,SOFI_CHECKING!$A:$A,Summary!J$3)+IF(J3&lt;=MONTH(TODAY()), I6,0)</f>
        <v>5.17999999999995</v>
      </c>
      <c r="K6" s="57">
        <f ca="1">SUMIFS(SOFI_CHECKING!$E:$E,SOFI_CHECKING!$A:$A,Summary!K$3)+IF(K3&lt;=MONTH(TODAY()), J6,0)</f>
        <v>0.88000000000004075</v>
      </c>
      <c r="L6" s="57">
        <f ca="1">SUMIFS(SOFI_CHECKING!$E:$E,SOFI_CHECKING!$A:$A,Summary!L$3)+IF(L3&lt;=MONTH(TODAY()), K6,0)</f>
        <v>105.16999999999994</v>
      </c>
      <c r="M6" s="57">
        <f ca="1">SUMIFS(SOFI_CHECKING!$E:$E,SOFI_CHECKING!$A:$A,Summary!M$3)+IF(M3&lt;=MONTH(TODAY()), L6,0)</f>
        <v>11.769999999999854</v>
      </c>
      <c r="N6" s="57">
        <f ca="1">SUMIFS(SOFI_CHECKING!$E:$E,SOFI_CHECKING!$A:$A,Summary!N$3)+IF(N3&lt;=MONTH(TODAY()), M6,0)</f>
        <v>11.769999999999854</v>
      </c>
      <c r="O6" s="57">
        <f ca="1">SUMIFS(SOFI_CHECKING!$E:$E,SOFI_CHECKING!$A:$A,Summary!O$3)+IF(O3&lt;=MONTH(TODAY()), N6,0)</f>
        <v>11.769999999999854</v>
      </c>
      <c r="P6" s="57">
        <f ca="1">SUMIFS(SOFI_CHECKING!$E:$E,SOFI_CHECKING!$A:$A,Summary!P$3)+IF(P3&lt;=MONTH(TODAY()), O6,0)</f>
        <v>11.769999999999854</v>
      </c>
    </row>
    <row r="7" spans="1:16" x14ac:dyDescent="0.25">
      <c r="A7" s="49"/>
      <c r="B7" s="48"/>
      <c r="C7" s="48"/>
      <c r="D7" s="48"/>
      <c r="E7" s="59" cm="1">
        <f t="array" ref="E7">SUM(SUMIFS(SOFI_CHECKING!$E:$E,SOFI_CHECKING!$A:$A,Summary!E$3,SOFI_CHECKING!$D:$D,{"Direct Payment","Debit Card"}))</f>
        <v>-810.45</v>
      </c>
      <c r="F7" s="59" cm="1">
        <f t="array" ref="F7">SUM(SUMIFS(SOFI_CHECKING!$E:$E,SOFI_CHECKING!$A:$A,Summary!F$3,SOFI_CHECKING!$D:$D,{"Direct Payment","Debit Card"}))</f>
        <v>-168</v>
      </c>
      <c r="G7" s="59" cm="1">
        <f t="array" ref="G7">SUM(SUMIFS(SOFI_CHECKING!$E:$E,SOFI_CHECKING!$A:$A,Summary!G$3,SOFI_CHECKING!$D:$D,{"Direct Payment","Debit Card"}))</f>
        <v>-1074.9000000000001</v>
      </c>
      <c r="H7" s="59" cm="1">
        <f t="array" ref="H7">SUM(SUMIFS(SOFI_CHECKING!$E:$E,SOFI_CHECKING!$A:$A,Summary!H$3,SOFI_CHECKING!$D:$D,{"Direct Payment","Debit Card"}))</f>
        <v>-356.75</v>
      </c>
      <c r="I7" s="59" cm="1">
        <f t="array" ref="I7">SUM(SUMIFS(SOFI_CHECKING!$E:$E,SOFI_CHECKING!$A:$A,Summary!I$3,SOFI_CHECKING!$D:$D,{"Direct Payment","Debit Card"}))</f>
        <v>-407.31</v>
      </c>
      <c r="J7" s="59" cm="1">
        <f t="array" ref="J7">SUM(SUMIFS(SOFI_CHECKING!$E:$E,SOFI_CHECKING!$A:$A,Summary!J$3,SOFI_CHECKING!$D:$D,{"Direct Payment","Debit Card"}))</f>
        <v>-2520.84</v>
      </c>
      <c r="K7" s="59" cm="1">
        <f t="array" ref="K7">SUM(SUMIFS(SOFI_CHECKING!$E:$E,SOFI_CHECKING!$A:$A,Summary!K$3,SOFI_CHECKING!$D:$D,{"Direct Payment","Debit Card"}))</f>
        <v>-178</v>
      </c>
      <c r="L7" s="59" cm="1">
        <f t="array" ref="L7">SUM(SUMIFS(SOFI_CHECKING!$E:$E,SOFI_CHECKING!$A:$A,Summary!L$3,SOFI_CHECKING!$D:$D,{"Direct Payment","Debit Card"}))</f>
        <v>0</v>
      </c>
      <c r="M7" s="59" cm="1">
        <f t="array" ref="M7">SUM(SUMIFS(SOFI_CHECKING!$E:$E,SOFI_CHECKING!$A:$A,Summary!M$3,SOFI_CHECKING!$D:$D,{"Direct Payment","Debit Card"}))</f>
        <v>0</v>
      </c>
      <c r="N7" s="59" cm="1">
        <f t="array" ref="N7">SUM(SUMIFS(SOFI_CHECKING!$E:$E,SOFI_CHECKING!$A:$A,Summary!N$3,SOFI_CHECKING!$D:$D,{"Direct Payment","Debit Card"}))</f>
        <v>0</v>
      </c>
      <c r="O7" s="59" cm="1">
        <f t="array" ref="O7">SUM(SUMIFS(SOFI_CHECKING!$E:$E,SOFI_CHECKING!$A:$A,Summary!O$3,SOFI_CHECKING!$D:$D,{"Direct Payment","Debit Card"}))</f>
        <v>0</v>
      </c>
      <c r="P7" s="59" cm="1">
        <f t="array" ref="P7">SUM(SUMIFS(SOFI_CHECKING!$E:$E,SOFI_CHECKING!$A:$A,Summary!P$3,SOFI_CHECKING!$D:$D,{"Direct Payment","Debit Card"}))</f>
        <v>0</v>
      </c>
    </row>
    <row r="8" spans="1:16" x14ac:dyDescent="0.25">
      <c r="A8" s="49" t="s">
        <v>746</v>
      </c>
      <c r="B8" s="48" t="s">
        <v>749</v>
      </c>
      <c r="C8" s="48" t="s">
        <v>472</v>
      </c>
      <c r="D8" s="48"/>
      <c r="E8" s="57">
        <f>SUMIFS(SOFI_SAVINGS!$E:$E,SOFI_SAVINGS!$A:$A,Summary!E$3)</f>
        <v>1126.9899999999998</v>
      </c>
      <c r="F8" s="57">
        <f ca="1">SUMIFS(SOFI_SAVINGS!$E:$E,SOFI_SAVINGS!$A:$A,Summary!F$3)+IF(F3&lt;=MONTH(TODAY()), E8,0)</f>
        <v>1439.9599999999996</v>
      </c>
      <c r="G8" s="57">
        <f ca="1">SUMIFS(SOFI_SAVINGS!$E:$E,SOFI_SAVINGS!$A:$A,Summary!G$3)+IF(G3&lt;=MONTH(TODAY()), F8,0)</f>
        <v>414.13999999999987</v>
      </c>
      <c r="H8" s="57">
        <f ca="1">SUMIFS(SOFI_SAVINGS!$E:$E,SOFI_SAVINGS!$A:$A,Summary!H$3)+IF(H3&lt;=MONTH(TODAY()), G8,0)</f>
        <v>800.4399999999996</v>
      </c>
      <c r="I8" s="57">
        <f ca="1">SUMIFS(SOFI_SAVINGS!$E:$E,SOFI_SAVINGS!$A:$A,Summary!I$3)+IF(I3&lt;=MONTH(TODAY()), H8,0)</f>
        <v>2527.4099999999994</v>
      </c>
      <c r="J8" s="57">
        <f ca="1">SUMIFS(SOFI_SAVINGS!$E:$E,SOFI_SAVINGS!$A:$A,Summary!J$3)+IF(J3&lt;=MONTH(TODAY()), I8,0)</f>
        <v>441.41999999999916</v>
      </c>
      <c r="K8" s="57">
        <f ca="1">SUMIFS(SOFI_SAVINGS!$E:$E,SOFI_SAVINGS!$A:$A,Summary!K$3)+IF(K3&lt;=MONTH(TODAY()), J8,0)</f>
        <v>109.40999999999872</v>
      </c>
      <c r="L8" s="57">
        <f ca="1">SUMIFS(SOFI_SAVINGS!$E:$E,SOFI_SAVINGS!$A:$A,Summary!L$3)+IF(L3&lt;=MONTH(TODAY()), K8,0)</f>
        <v>146.0899999999985</v>
      </c>
      <c r="M8" s="57">
        <f ca="1">SUMIFS(SOFI_SAVINGS!$E:$E,SOFI_SAVINGS!$A:$A,Summary!M$3)+IF(M3&lt;=MONTH(TODAY()), L8,0)</f>
        <v>1196.7499999999984</v>
      </c>
      <c r="N8" s="57">
        <f ca="1">SUMIFS(SOFI_SAVINGS!$E:$E,SOFI_SAVINGS!$A:$A,Summary!N$3)+IF(N3&lt;=MONTH(TODAY()), M8,0)</f>
        <v>4772.7399999999989</v>
      </c>
      <c r="O8" s="57">
        <f ca="1">SUMIFS(SOFI_SAVINGS!$E:$E,SOFI_SAVINGS!$A:$A,Summary!O$3)+IF(O3&lt;=MONTH(TODAY()), N8,0)</f>
        <v>4594.3199999999988</v>
      </c>
      <c r="P8" s="57">
        <f ca="1">SUMIFS(SOFI_SAVINGS!$E:$E,SOFI_SAVINGS!$A:$A,Summary!P$3)+IF(P3&lt;=MONTH(TODAY()), O8,0)</f>
        <v>3551.7499999999986</v>
      </c>
    </row>
    <row r="9" spans="1:16" x14ac:dyDescent="0.25">
      <c r="A9" s="49" t="s">
        <v>746</v>
      </c>
      <c r="B9" s="48" t="s">
        <v>749</v>
      </c>
      <c r="C9" s="48" t="s">
        <v>821</v>
      </c>
      <c r="D9" s="48"/>
      <c r="E9" s="57">
        <v>0</v>
      </c>
      <c r="F9" s="57">
        <v>0</v>
      </c>
      <c r="G9" s="57">
        <v>5</v>
      </c>
      <c r="H9" s="57">
        <v>5</v>
      </c>
      <c r="I9" s="57">
        <v>5</v>
      </c>
      <c r="J9" s="57">
        <v>5</v>
      </c>
      <c r="K9" s="57">
        <v>5</v>
      </c>
      <c r="L9" s="57">
        <v>6</v>
      </c>
      <c r="M9" s="57">
        <v>7</v>
      </c>
      <c r="N9" s="57">
        <v>8</v>
      </c>
      <c r="O9" s="57">
        <v>9</v>
      </c>
      <c r="P9" s="57">
        <v>10</v>
      </c>
    </row>
    <row r="10" spans="1:16" x14ac:dyDescent="0.25">
      <c r="A10" s="49" t="s">
        <v>746</v>
      </c>
      <c r="B10" s="48" t="s">
        <v>835</v>
      </c>
      <c r="C10" s="48" t="s">
        <v>822</v>
      </c>
      <c r="D10" s="48"/>
      <c r="E10" s="57">
        <f>SUMIFS(HSA!$D:$D,HSA!$A:$A,Summary!E$3)</f>
        <v>764.05000000000007</v>
      </c>
      <c r="F10" s="57">
        <f ca="1">SUMIFS(HSA!$D:$D,HSA!$A:$A,Summary!F$3)+IF(F3&lt;=MONTH(TODAY()), E10,0)</f>
        <v>307.07000000000016</v>
      </c>
      <c r="G10" s="57">
        <f ca="1">SUMIFS(HSA!$D:$D,HSA!$A:$A,Summary!G$3)+IF(G3&lt;=MONTH(TODAY()), F10,0)</f>
        <v>204.79000000000016</v>
      </c>
      <c r="H10" s="57">
        <f ca="1">SUMIFS(HSA!$D:$D,HSA!$A:$A,Summary!H$3)+IF(H3&lt;=MONTH(TODAY()), G10,0)</f>
        <v>274.5100000000001</v>
      </c>
      <c r="I10" s="57">
        <f ca="1">SUMIFS(HSA!$D:$D,HSA!$A:$A,Summary!I$3)+IF(I3&lt;=MONTH(TODAY()), H10,0)</f>
        <v>448.6400000000001</v>
      </c>
      <c r="J10" s="57">
        <f ca="1">SUMIFS(HSA!$D:$D,HSA!$A:$A,Summary!J$3)+IF(J3&lt;=MONTH(TODAY()), I10,0)</f>
        <v>605.23</v>
      </c>
      <c r="K10" s="57">
        <f ca="1">SUMIFS(HSA!$D:$D,HSA!$A:$A,Summary!K$3)+IF(K3&lt;=MONTH(TODAY()), J10,0)</f>
        <v>243.31000000000006</v>
      </c>
      <c r="L10" s="57">
        <f ca="1">SUMIFS(HSA!$D:$D,HSA!$A:$A,Summary!L$3)+IF(L3&lt;=MONTH(TODAY()), K10,0)</f>
        <v>281.31000000000006</v>
      </c>
      <c r="M10" s="57">
        <f ca="1">SUMIFS(HSA!$D:$D,HSA!$A:$A,Summary!M$3)+IF(M3&lt;=MONTH(TODAY()), L10,0)</f>
        <v>309.01000000000005</v>
      </c>
      <c r="N10" s="57">
        <f ca="1">SUMIFS(HSA!$D:$D,HSA!$A:$A,Summary!N$3)+IF(N3&lt;=MONTH(TODAY()), M10,0)</f>
        <v>309.01000000000005</v>
      </c>
      <c r="O10" s="57">
        <f ca="1">SUMIFS(HSA!$D:$D,HSA!$A:$A,Summary!O$3)+IF(O3&lt;=MONTH(TODAY()), N10,0)</f>
        <v>309.01000000000005</v>
      </c>
      <c r="P10" s="57">
        <f ca="1">SUMIFS(HSA!$D:$D,HSA!$A:$A,Summary!P$3)+IF(P3&lt;=MONTH(TODAY()), O10,0)</f>
        <v>309.01000000000005</v>
      </c>
    </row>
    <row r="11" spans="1:16" x14ac:dyDescent="0.25">
      <c r="A11" s="49" t="s">
        <v>748</v>
      </c>
      <c r="B11" s="48" t="s">
        <v>868</v>
      </c>
      <c r="C11" s="48" t="s">
        <v>859</v>
      </c>
      <c r="D11" s="48"/>
      <c r="E11" s="57">
        <f>SUMIFS(Fidelity!$E:$E,Fidelity!$A:$A,Summary!E$3)</f>
        <v>14702.14</v>
      </c>
      <c r="F11" s="57">
        <f ca="1">SUMIFS(Fidelity!$E:$E,Fidelity!$A:$A,Summary!F$3)+IF(F3&lt;=MONTH(TODAY()), E11,0)</f>
        <v>16184.38</v>
      </c>
      <c r="G11" s="57">
        <f ca="1">SUMIFS(Fidelity!$E:$E,Fidelity!$A:$A,Summary!G$3)+IF(G3&lt;=MONTH(TODAY()), F11,0)</f>
        <v>17224.379999999997</v>
      </c>
      <c r="H11" s="57">
        <f ca="1">SUMIFS(Fidelity!$E:$E,Fidelity!$A:$A,Summary!H$3)+IF(H3&lt;=MONTH(TODAY()), G11,0)</f>
        <v>17544.379999999997</v>
      </c>
      <c r="I11" s="57">
        <f ca="1">SUMIFS(Fidelity!$E:$E,Fidelity!$A:$A,Summary!I$3)+IF(I3&lt;=MONTH(TODAY()), H11,0)</f>
        <v>17861.979999999996</v>
      </c>
      <c r="J11" s="57">
        <f ca="1">SUMIFS(Fidelity!$E:$E,Fidelity!$A:$A,Summary!J$3)+IF(J3&lt;=MONTH(TODAY()), I11,0)</f>
        <v>19793.709999999995</v>
      </c>
      <c r="K11" s="57">
        <f ca="1">SUMIFS(Fidelity!$E:$E,Fidelity!$A:$A,Summary!K$3)+IF(K3&lt;=MONTH(TODAY()), J11,0)</f>
        <v>19793.769999999997</v>
      </c>
      <c r="L11" s="57">
        <f ca="1">SUMIFS(Fidelity!$E:$E,Fidelity!$A:$A,Summary!L$3)+IF(L3&lt;=MONTH(TODAY()), K11,0)</f>
        <v>19789.589999999997</v>
      </c>
      <c r="M11" s="57">
        <f ca="1">SUMIFS(Fidelity!$E:$E,Fidelity!$A:$A,Summary!M$3)+IF(M3&lt;=MONTH(TODAY()), L11,0)</f>
        <v>19789.619999999995</v>
      </c>
      <c r="N11" s="57">
        <f ca="1">SUMIFS(Fidelity!$E:$E,Fidelity!$A:$A,Summary!N$3)+IF(N3&lt;=MONTH(TODAY()), M11,0)</f>
        <v>19789.619999999995</v>
      </c>
      <c r="O11" s="57">
        <f ca="1">SUMIFS(Fidelity!$E:$E,Fidelity!$A:$A,Summary!O$3)+IF(O3&lt;=MONTH(TODAY()), N11,0)</f>
        <v>19789.619999999995</v>
      </c>
      <c r="P11" s="57">
        <f ca="1">SUMIFS(Fidelity!$E:$E,Fidelity!$A:$A,Summary!P$3)+IF(P3&lt;=MONTH(TODAY()), O11,0)</f>
        <v>19789.619999999995</v>
      </c>
    </row>
    <row r="12" spans="1:16" x14ac:dyDescent="0.25">
      <c r="A12" s="49" t="s">
        <v>750</v>
      </c>
      <c r="B12" s="48" t="s">
        <v>751</v>
      </c>
      <c r="C12" s="48" t="s">
        <v>96</v>
      </c>
      <c r="D12" s="48"/>
      <c r="E12" s="57">
        <v>0</v>
      </c>
      <c r="F12" s="57">
        <v>0</v>
      </c>
      <c r="G12" s="57">
        <v>0</v>
      </c>
      <c r="H12" s="57">
        <v>0</v>
      </c>
      <c r="I12" s="57">
        <v>0</v>
      </c>
      <c r="J12" s="57">
        <f>SUMIFS(Care_Credit!$D:$D,Care_Credit!$A:$A,Summary!J$3)+SUMIFS(Care_Credit!$D:$D,Care_Credit!$A:$A,"&lt;="&amp;Summary!I$3)</f>
        <v>5872.89</v>
      </c>
      <c r="K12" s="57">
        <f ca="1">SUMIFS(Care_Credit!$D:$D,Care_Credit!$A:$A,Summary!K$3)+IF(K3&lt;=MONTH(TODAY()), J12,0)</f>
        <v>3640.28</v>
      </c>
      <c r="L12" s="57">
        <f ca="1">SUMIFS(Care_Credit!$D:$D,Care_Credit!$A:$A,Summary!L$3)+IF(L3&lt;=MONTH(TODAY()), K12,0)</f>
        <v>3820.28</v>
      </c>
      <c r="M12" s="57">
        <f ca="1">SUMIFS(Care_Credit!$D:$D,Care_Credit!$A:$A,Summary!M$3)+IF(M3&lt;=MONTH(TODAY()), L12,0)</f>
        <v>3934.46</v>
      </c>
      <c r="N12" s="57">
        <f ca="1">SUMIFS(Care_Credit!$D:$D,Care_Credit!$A:$A,Summary!N$3)+IF(N3&lt;=MONTH(TODAY()), M12,0)</f>
        <v>3934.46</v>
      </c>
      <c r="O12" s="57">
        <f ca="1">SUMIFS(Care_Credit!$D:$D,Care_Credit!$A:$A,Summary!O$3)+IF(O3&lt;=MONTH(TODAY()), N12,0)</f>
        <v>3934.46</v>
      </c>
      <c r="P12" s="57">
        <f ca="1">SUMIFS(Care_Credit!$D:$D,Care_Credit!$A:$A,Summary!P$3)+IF(P3&lt;=MONTH(TODAY()), O12,0)</f>
        <v>3934.46</v>
      </c>
    </row>
    <row r="13" spans="1:16" x14ac:dyDescent="0.25">
      <c r="A13" s="49"/>
      <c r="B13" s="48"/>
      <c r="C13" s="48"/>
      <c r="D13" s="48"/>
      <c r="E13" s="59">
        <f>SUMIFS(Care_Credit!$D:$D,Care_Credit!$A:$A,Summary!E$3,Care_Credit!$E:$E,"p")</f>
        <v>0</v>
      </c>
      <c r="F13" s="59">
        <f>SUMIFS(Care_Credit!$D:$D,Care_Credit!$A:$A,Summary!F$3,Care_Credit!$E:$E,"p")</f>
        <v>0</v>
      </c>
      <c r="G13" s="59">
        <f>SUMIFS(Care_Credit!$D:$D,Care_Credit!$A:$A,Summary!G$3,Care_Credit!$E:$E,"p")</f>
        <v>0</v>
      </c>
      <c r="H13" s="59">
        <f>SUMIFS(Care_Credit!$D:$D,Care_Credit!$A:$A,Summary!H$3,Care_Credit!$E:$E,"p")</f>
        <v>0</v>
      </c>
      <c r="I13" s="59">
        <f>SUMIFS(Care_Credit!$D:$D,Care_Credit!$A:$A,Summary!I$3,Care_Credit!$E:$E,"p")</f>
        <v>-681.49</v>
      </c>
      <c r="J13" s="59">
        <f>SUMIFS(Care_Credit!$D:$D,Care_Credit!$A:$A,Summary!J$3,Care_Credit!$E:$E,"p")</f>
        <v>-130</v>
      </c>
      <c r="K13" s="59">
        <f>SUMIFS(Care_Credit!$D:$D,Care_Credit!$A:$A,Summary!K$3,Care_Credit!$E:$E,"p")</f>
        <v>-718.39</v>
      </c>
      <c r="L13" s="59">
        <f>SUMIFS(Care_Credit!$D:$D,Care_Credit!$A:$A,Summary!L$3,Care_Credit!$E:$E,"p")</f>
        <v>0</v>
      </c>
      <c r="M13" s="59">
        <f>SUMIFS(Care_Credit!$D:$D,Care_Credit!$A:$A,Summary!M$3,Care_Credit!$E:$E,"p")</f>
        <v>237.29</v>
      </c>
      <c r="N13" s="59">
        <f>SUMIFS(Care_Credit!$D:$D,Care_Credit!$A:$A,Summary!N$3,Care_Credit!$E:$E,"p")</f>
        <v>0</v>
      </c>
      <c r="O13" s="59">
        <f>SUMIFS(Care_Credit!$D:$D,Care_Credit!$A:$A,Summary!O$3,Care_Credit!$E:$E,"p")</f>
        <v>0</v>
      </c>
      <c r="P13" s="59">
        <f>SUMIFS(Care_Credit!$D:$D,Care_Credit!$A:$A,Summary!P$3,Care_Credit!$E:$E,"p")</f>
        <v>0</v>
      </c>
    </row>
    <row r="14" spans="1:16" x14ac:dyDescent="0.25">
      <c r="A14" s="49" t="s">
        <v>752</v>
      </c>
      <c r="B14" s="48" t="s">
        <v>751</v>
      </c>
      <c r="C14" s="48" t="s">
        <v>95</v>
      </c>
      <c r="D14" s="48"/>
      <c r="E14" s="57">
        <v>0</v>
      </c>
      <c r="F14" s="57">
        <v>0</v>
      </c>
      <c r="G14" s="57">
        <v>0</v>
      </c>
      <c r="H14" s="57">
        <v>0</v>
      </c>
      <c r="I14" s="57">
        <v>0</v>
      </c>
      <c r="J14" s="57">
        <f>SUMIFS('Discover Data'!$F:$F,'Discover Data'!$B:$B,Summary!J$3)+SUMIFS('Discover Data'!$F:$F,'Discover Data'!$B:$B,"&lt;="&amp;Summary!I$3)</f>
        <v>1158.2500000000007</v>
      </c>
      <c r="K14" s="57">
        <f ca="1">SUMIFS('Discover Data'!$F:$F,'Discover Data'!$B:$B,Summary!K$3)+IF(K3&lt;=MONTH(TODAY()), J14,0)</f>
        <v>541.98000000000059</v>
      </c>
      <c r="L14" s="57">
        <f ca="1">SUMIFS('Discover Data'!$F:$F,'Discover Data'!$B:$B,Summary!L$3)+IF(L3&lt;=MONTH(TODAY()), K14,0)</f>
        <v>1898.6599999999994</v>
      </c>
      <c r="M14" s="57">
        <f ca="1">SUMIFS('Discover Data'!$F:$F,'Discover Data'!$B:$B,Summary!M$3)+IF(M3&lt;=MONTH(TODAY()), L14,0)</f>
        <v>1680.39</v>
      </c>
      <c r="N14" s="57">
        <f ca="1">SUMIFS('Discover Data'!$F:$F,'Discover Data'!$B:$B,Summary!N$3)+IF(N3&lt;=MONTH(TODAY()), M14,0)</f>
        <v>1117.9000000000001</v>
      </c>
      <c r="O14" s="57">
        <f ca="1">SUMIFS('Discover Data'!$F:$F,'Discover Data'!$B:$B,Summary!O$3)+IF(O3&lt;=MONTH(TODAY()), N14,0)</f>
        <v>2191.16</v>
      </c>
      <c r="P14" s="57">
        <f ca="1">SUMIFS('Discover Data'!$F:$F,'Discover Data'!$B:$B,Summary!P$3)+IF(P3&lt;=MONTH(TODAY()), O14,0)</f>
        <v>257.7000000000005</v>
      </c>
    </row>
    <row r="15" spans="1:16" x14ac:dyDescent="0.25">
      <c r="A15" s="49"/>
      <c r="B15" s="48"/>
      <c r="C15" s="48"/>
      <c r="D15" s="48"/>
      <c r="E15" s="59">
        <f>SUMIFS('Discover Data'!$F:$F,'Discover Data'!$B:$B,Summary!E$3,'Discover Data'!$G:$G,"Payments and Credits")</f>
        <v>-3624.1099999999997</v>
      </c>
      <c r="F15" s="59">
        <f>SUMIFS('Discover Data'!$F:$F,'Discover Data'!$B:$B,Summary!F$3,'Discover Data'!$G:$G,"Payments and Credits")</f>
        <v>-4427.6000000000004</v>
      </c>
      <c r="G15" s="59">
        <f>SUMIFS('Discover Data'!$F:$F,'Discover Data'!$B:$B,Summary!G$3,'Discover Data'!$G:$G,"Payments and Credits")</f>
        <v>-3761.6899999999996</v>
      </c>
      <c r="H15" s="59">
        <f>SUMIFS('Discover Data'!$F:$F,'Discover Data'!$B:$B,Summary!H$3,'Discover Data'!$G:$G,"Payments and Credits")</f>
        <v>-4428.21</v>
      </c>
      <c r="I15" s="59">
        <f>SUMIFS('Discover Data'!$F:$F,'Discover Data'!$B:$B,Summary!I$3,'Discover Data'!$G:$G,"Payments and Credits")</f>
        <v>-7363.89</v>
      </c>
      <c r="J15" s="59">
        <f>SUMIFS('Discover Data'!$F:$F,'Discover Data'!$B:$B,Summary!J$3,'Discover Data'!$G:$G,"Payments and Credits")</f>
        <v>-2487.02</v>
      </c>
      <c r="K15" s="59">
        <f>SUMIFS('Discover Data'!$F:$F,'Discover Data'!$B:$B,Summary!K$3,'Discover Data'!$G:$G,"Payments and Credits")</f>
        <v>-2781.25</v>
      </c>
      <c r="L15" s="59">
        <f>SUMIFS('Discover Data'!$F:$F,'Discover Data'!$B:$B,Summary!L$3,'Discover Data'!$G:$G,"Payments and Credits")</f>
        <v>-3027.9300000000003</v>
      </c>
      <c r="M15" s="59">
        <f>SUMIFS('Discover Data'!$F:$F,'Discover Data'!$B:$B,Summary!M$3,'Discover Data'!$G:$G,"Payments and Credits")</f>
        <v>-2133.04</v>
      </c>
      <c r="N15" s="59">
        <f>SUMIFS('Discover Data'!$F:$F,'Discover Data'!$B:$B,Summary!N$3,'Discover Data'!$G:$G,"Payments and Credits")</f>
        <v>-3482.98</v>
      </c>
      <c r="O15" s="59">
        <f>SUMIFS('Discover Data'!$F:$F,'Discover Data'!$B:$B,Summary!O$3,'Discover Data'!$G:$G,"Payments and Credits")</f>
        <v>-4195.62</v>
      </c>
      <c r="P15" s="59">
        <f>SUMIFS('Discover Data'!$F:$F,'Discover Data'!$B:$B,Summary!P$3,'Discover Data'!$G:$G,"Payments and Credits")</f>
        <v>-5279.76</v>
      </c>
    </row>
    <row r="16" spans="1:16" x14ac:dyDescent="0.25">
      <c r="A16" s="49" t="s">
        <v>752</v>
      </c>
      <c r="B16" s="48" t="s">
        <v>751</v>
      </c>
      <c r="C16" s="48" t="s">
        <v>97</v>
      </c>
      <c r="D16" s="48"/>
      <c r="E16" s="57">
        <f>SUMIFS('Best Buy'!$C:$C,'Best Buy'!$A:$A,Summary!E$3)</f>
        <v>0</v>
      </c>
      <c r="F16" s="57">
        <f ca="1">SUMIFS('Best Buy'!$C:$C,'Best Buy'!$A:$A,Summary!F$3)+IF(F3&lt;=MONTH(TODAY()), E16,0)</f>
        <v>0</v>
      </c>
      <c r="G16" s="57">
        <f ca="1">SUMIFS('Best Buy'!$C:$C,'Best Buy'!$A:$A,Summary!G$3)+IF(G3&lt;=MONTH(TODAY()), F16,0)</f>
        <v>0</v>
      </c>
      <c r="H16" s="57">
        <v>0</v>
      </c>
      <c r="I16" s="57">
        <v>0</v>
      </c>
      <c r="J16" s="57">
        <f>SUMIFS('Best Buy'!$C:$C,'Best Buy'!$A:$A,Summary!J$3)+SUMIFS('Best Buy'!$C:$C,'Best Buy'!$A:$A,"&lt;="&amp;Summary!I$3)</f>
        <v>0</v>
      </c>
      <c r="K16" s="57">
        <f>SUMIFS('Best Buy'!$C:$C,'Best Buy'!$A:$A,Summary!K$3)+SUMIFS('Best Buy'!$C:$C,'Best Buy'!$A:$A,"&lt;="&amp;Summary!J$3)</f>
        <v>0</v>
      </c>
      <c r="L16" s="57">
        <f>SUMIFS('Best Buy'!$C:$C,'Best Buy'!$A:$A,Summary!L$3)+SUMIFS('Best Buy'!$C:$C,'Best Buy'!$A:$A,"&lt;="&amp;Summary!K$3)</f>
        <v>0</v>
      </c>
      <c r="M16" s="57">
        <f>SUMIFS('Best Buy'!$C:$C,'Best Buy'!$A:$A,Summary!M$3)+SUMIFS('Best Buy'!$C:$C,'Best Buy'!$A:$A,"&lt;="&amp;Summary!L$3)</f>
        <v>1845.69</v>
      </c>
      <c r="N16" s="57">
        <f>SUMIFS('Best Buy'!$C:$C,'Best Buy'!$A:$A,Summary!N$3)+SUMIFS('Best Buy'!$C:$C,'Best Buy'!$A:$A,"&lt;="&amp;Summary!M$3)</f>
        <v>1845.69</v>
      </c>
      <c r="O16" s="57">
        <f>SUMIFS('Best Buy'!$C:$C,'Best Buy'!$A:$A,Summary!O$3)+SUMIFS('Best Buy'!$C:$C,'Best Buy'!$A:$A,"&lt;="&amp;Summary!N$3)</f>
        <v>1845.69</v>
      </c>
      <c r="P16" s="57">
        <f>SUMIFS('Best Buy'!$C:$C,'Best Buy'!$A:$A,Summary!P$3)+SUMIFS('Best Buy'!$C:$C,'Best Buy'!$A:$A,"&lt;="&amp;Summary!O$3)</f>
        <v>1845.69</v>
      </c>
    </row>
    <row r="17" spans="1:16" x14ac:dyDescent="0.25">
      <c r="A17" s="49"/>
      <c r="B17" s="48"/>
      <c r="C17" s="48"/>
      <c r="D17" s="48"/>
      <c r="E17" s="59">
        <f>SUMIFS('Best Buy'!$C:$C,'Best Buy'!$A:$A,Summary!E$3,'Best Buy'!$E:$E,"payment")</f>
        <v>0</v>
      </c>
      <c r="F17" s="59">
        <f>SUMIFS('Best Buy'!$C:$C,'Best Buy'!$A:$A,Summary!F$3,'Best Buy'!$E:$E,"payment")</f>
        <v>0</v>
      </c>
      <c r="G17" s="59">
        <f>SUMIFS('Best Buy'!$C:$C,'Best Buy'!$A:$A,Summary!G$3,'Best Buy'!$E:$E,"payment")</f>
        <v>-180.41</v>
      </c>
      <c r="H17" s="59">
        <f>SUMIFS('Best Buy'!$C:$C,'Best Buy'!$A:$A,Summary!H$3,'Best Buy'!$E:$E,"payment")</f>
        <v>-202.42</v>
      </c>
      <c r="I17" s="59">
        <f>SUMIFS('Best Buy'!$C:$C,'Best Buy'!$A:$A,Summary!I$3,'Best Buy'!$E:$E,"payment")</f>
        <v>-421.07</v>
      </c>
      <c r="J17" s="59">
        <f>SUMIFS('Best Buy'!$C:$C,'Best Buy'!$A:$A,Summary!J$3,'Best Buy'!$E:$E,"payment")</f>
        <v>0</v>
      </c>
      <c r="K17" s="59">
        <f>SUMIFS('Best Buy'!$C:$C,'Best Buy'!$A:$A,Summary!K$3,'Best Buy'!$E:$E,"payment")</f>
        <v>0</v>
      </c>
      <c r="L17" s="59">
        <f>SUMIFS('Best Buy'!$C:$C,'Best Buy'!$A:$A,Summary!L$3,'Best Buy'!$E:$E,"payment")</f>
        <v>0</v>
      </c>
      <c r="M17" s="59">
        <f>SUMIFS('Best Buy'!$C:$C,'Best Buy'!$A:$A,Summary!M$3,'Best Buy'!$E:$E,"payment")</f>
        <v>0</v>
      </c>
      <c r="N17" s="59">
        <f>SUMIFS('Best Buy'!$C:$C,'Best Buy'!$A:$A,Summary!N$3,'Best Buy'!$E:$E,"payment")</f>
        <v>0</v>
      </c>
      <c r="O17" s="59">
        <f>SUMIFS('Best Buy'!$C:$C,'Best Buy'!$A:$A,Summary!O$3,'Best Buy'!$E:$E,"payment")</f>
        <v>0</v>
      </c>
      <c r="P17" s="59">
        <f>SUMIFS('Best Buy'!$C:$C,'Best Buy'!$A:$A,Summary!P$3,'Best Buy'!$E:$E,"payment")</f>
        <v>0</v>
      </c>
    </row>
    <row r="18" spans="1:16" x14ac:dyDescent="0.25">
      <c r="A18" s="49" t="s">
        <v>752</v>
      </c>
      <c r="B18" s="48" t="s">
        <v>833</v>
      </c>
      <c r="C18" s="48" t="s">
        <v>915</v>
      </c>
      <c r="D18" s="48"/>
      <c r="E18" s="57">
        <f>SUMIFS(Vincent!$D:$D,Vincent!$A:$A,Summary!E$3)</f>
        <v>13848.34</v>
      </c>
      <c r="F18" s="57">
        <f ca="1">SUMIFS(Vincent!$D:$D,Vincent!$A:$A,Summary!F$3)+IF(F3&lt;=MONTH(TODAY()), E18,0)</f>
        <v>13848.34</v>
      </c>
      <c r="G18" s="57">
        <f ca="1">SUMIFS(Vincent!$D:$D,Vincent!$A:$A,Summary!G$3)+IF(G3&lt;=MONTH(TODAY()), F18,0)</f>
        <v>13848.34</v>
      </c>
      <c r="H18" s="57">
        <f ca="1">SUMIFS(Vincent!$D:$D,Vincent!$A:$A,Summary!H$3)+IF(H3&lt;=MONTH(TODAY()), G18,0)</f>
        <v>13723.24</v>
      </c>
      <c r="I18" s="57">
        <f ca="1">SUMIFS(Vincent!$D:$D,Vincent!$A:$A,Summary!I$3)+IF(I3&lt;=MONTH(TODAY()), H18,0)</f>
        <v>13598.14</v>
      </c>
      <c r="J18" s="57">
        <f ca="1">SUMIFS(Vincent!$D:$D,Vincent!$A:$A,Summary!J$3)+IF(J3&lt;=MONTH(TODAY()), I18,0)</f>
        <v>15427.98</v>
      </c>
      <c r="K18" s="57">
        <f ca="1">SUMIFS(Vincent!$D:$D,Vincent!$A:$A,Summary!K$3)+IF(K3&lt;=MONTH(TODAY()), J18,0)</f>
        <v>15427.98</v>
      </c>
      <c r="L18" s="57">
        <f ca="1">SUMIFS(Vincent!$D:$D,Vincent!$A:$A,Summary!L$3)+IF(L3&lt;=MONTH(TODAY()), K18,0)</f>
        <v>15427.98</v>
      </c>
      <c r="M18" s="57">
        <f ca="1">SUMIFS(Vincent!$D:$D,Vincent!$A:$A,Summary!M$3)+IF(M3&lt;=MONTH(TODAY()), L18,0)</f>
        <v>15427.98</v>
      </c>
      <c r="N18" s="57">
        <f ca="1">SUMIFS(Vincent!$D:$D,Vincent!$A:$A,Summary!N$3)+IF(N3&lt;=MONTH(TODAY()), M18,0)</f>
        <v>15427.98</v>
      </c>
      <c r="O18" s="57">
        <f ca="1">SUMIFS(Vincent!$D:$D,Vincent!$A:$A,Summary!O$3)+IF(O3&lt;=MONTH(TODAY()), N18,0)</f>
        <v>15427.98</v>
      </c>
      <c r="P18" s="57">
        <f ca="1">SUMIFS(Vincent!$D:$D,Vincent!$A:$A,Summary!P$3)+IF(P3&lt;=MONTH(TODAY()), O18,0)</f>
        <v>15427.98</v>
      </c>
    </row>
    <row r="19" spans="1:16" x14ac:dyDescent="0.25">
      <c r="A19" s="49"/>
      <c r="B19" s="48"/>
      <c r="C19" s="48"/>
      <c r="D19" s="48"/>
      <c r="E19" s="59">
        <f>SUMIFS(Vincent!$D:$D,Vincent!$F:$F,"p",Vincent!$A:$A,Summary!E$3)</f>
        <v>-570</v>
      </c>
      <c r="F19" s="59">
        <f>SUMIFS(Vincent!$D:$D,Vincent!$F:$F,"p",Vincent!$A:$A,Summary!F$3)</f>
        <v>0</v>
      </c>
      <c r="G19" s="59">
        <f>SUMIFS(Vincent!$D:$D,Vincent!$F:$F,"p",Vincent!$A:$A,Summary!G$3)</f>
        <v>0</v>
      </c>
      <c r="H19" s="59">
        <f>SUMIFS(Vincent!$D:$D,Vincent!$F:$F,"p",Vincent!$A:$A,Summary!H$3)</f>
        <v>-125.1</v>
      </c>
      <c r="I19" s="59">
        <f>SUMIFS(Vincent!$D:$D,Vincent!$F:$F,"p",Vincent!$A:$A,Summary!I$3)</f>
        <v>-125.1</v>
      </c>
      <c r="J19" s="59">
        <f>SUMIFS(Vincent!$D:$D,Vincent!$F:$F,"p",Vincent!$A:$A,Summary!J$3)</f>
        <v>-2156.63</v>
      </c>
      <c r="K19" s="59">
        <f>SUMIFS(Vincent!$D:$D,Vincent!$F:$F,"p",Vincent!$A:$A,Summary!K$3)</f>
        <v>0</v>
      </c>
      <c r="L19" s="59">
        <f>SUMIFS(Vincent!$D:$D,Vincent!$F:$F,"p",Vincent!$A:$A,Summary!L$3)</f>
        <v>0</v>
      </c>
      <c r="M19" s="59">
        <f>SUMIFS(Vincent!$D:$D,Vincent!$F:$F,"p",Vincent!$A:$A,Summary!M$3)</f>
        <v>0</v>
      </c>
      <c r="N19" s="59">
        <f>SUMIFS(Vincent!$D:$D,Vincent!$F:$F,"p",Vincent!$A:$A,Summary!N$3)</f>
        <v>0</v>
      </c>
      <c r="O19" s="59">
        <f>SUMIFS(Vincent!$D:$D,Vincent!$F:$F,"p",Vincent!$A:$A,Summary!O$3)</f>
        <v>0</v>
      </c>
      <c r="P19" s="59">
        <f>SUMIFS(Vincent!$D:$D,Vincent!$F:$F,"p",Vincent!$A:$A,Summary!P$3)</f>
        <v>0</v>
      </c>
    </row>
    <row r="20" spans="1:16" x14ac:dyDescent="0.25">
      <c r="A20" s="49" t="s">
        <v>110</v>
      </c>
      <c r="B20" s="48" t="s">
        <v>834</v>
      </c>
      <c r="C20" s="48" t="s">
        <v>860</v>
      </c>
      <c r="D20" s="48"/>
      <c r="E20" s="57">
        <v>22430.560000000001</v>
      </c>
      <c r="F20" s="57">
        <v>22430.560000000001</v>
      </c>
      <c r="G20" s="57">
        <v>22430.560000000001</v>
      </c>
      <c r="H20" s="57">
        <v>22430.560000000001</v>
      </c>
      <c r="I20" s="57">
        <v>22430.560000000001</v>
      </c>
      <c r="J20" s="57">
        <v>22430.560000000001</v>
      </c>
      <c r="K20" s="57">
        <v>22430.560000000001</v>
      </c>
      <c r="L20" s="57">
        <v>22431.56</v>
      </c>
      <c r="M20" s="57">
        <v>22432.560000000001</v>
      </c>
      <c r="N20" s="57">
        <v>22433.56</v>
      </c>
      <c r="O20" s="57">
        <v>22434.560000000001</v>
      </c>
      <c r="P20" s="57">
        <v>22435.56</v>
      </c>
    </row>
    <row r="21" spans="1:16" x14ac:dyDescent="0.25">
      <c r="A21" s="49"/>
      <c r="B21" s="48"/>
      <c r="C21" s="48"/>
      <c r="D21" s="48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</row>
    <row r="22" spans="1:16" x14ac:dyDescent="0.25">
      <c r="A22" s="49" t="s">
        <v>719</v>
      </c>
      <c r="B22" s="49" t="s">
        <v>745</v>
      </c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</row>
    <row r="23" spans="1:16" x14ac:dyDescent="0.25">
      <c r="A23" s="49" t="s">
        <v>748</v>
      </c>
      <c r="B23" s="48" t="s">
        <v>868</v>
      </c>
      <c r="C23" s="48"/>
      <c r="D23" s="48"/>
      <c r="E23" s="58">
        <f t="shared" ref="E23:P29" si="1">SUMIFS(E$4:E$20,$B$4:$B$20,$B23)</f>
        <v>14702.14</v>
      </c>
      <c r="F23" s="58">
        <f t="shared" ca="1" si="1"/>
        <v>16184.38</v>
      </c>
      <c r="G23" s="58">
        <f t="shared" ca="1" si="1"/>
        <v>17224.379999999997</v>
      </c>
      <c r="H23" s="58">
        <f t="shared" ca="1" si="1"/>
        <v>17544.379999999997</v>
      </c>
      <c r="I23" s="58">
        <f t="shared" ca="1" si="1"/>
        <v>17861.979999999996</v>
      </c>
      <c r="J23" s="58">
        <f t="shared" ca="1" si="1"/>
        <v>19793.709999999995</v>
      </c>
      <c r="K23" s="58">
        <f t="shared" ca="1" si="1"/>
        <v>19793.769999999997</v>
      </c>
      <c r="L23" s="58">
        <f t="shared" ca="1" si="1"/>
        <v>19789.589999999997</v>
      </c>
      <c r="M23" s="58">
        <f t="shared" ca="1" si="1"/>
        <v>19789.619999999995</v>
      </c>
      <c r="N23" s="58">
        <f t="shared" ca="1" si="1"/>
        <v>19789.619999999995</v>
      </c>
      <c r="O23" s="58">
        <f t="shared" ca="1" si="1"/>
        <v>19789.619999999995</v>
      </c>
      <c r="P23" s="58">
        <f t="shared" ca="1" si="1"/>
        <v>19789.619999999995</v>
      </c>
    </row>
    <row r="24" spans="1:16" x14ac:dyDescent="0.25">
      <c r="A24" s="49" t="s">
        <v>746</v>
      </c>
      <c r="B24" s="48" t="s">
        <v>747</v>
      </c>
      <c r="C24" s="48"/>
      <c r="D24" s="48"/>
      <c r="E24" s="58">
        <f t="shared" si="1"/>
        <v>647.36</v>
      </c>
      <c r="F24" s="58">
        <f t="shared" ca="1" si="1"/>
        <v>248.57999999999998</v>
      </c>
      <c r="G24" s="58">
        <f t="shared" ca="1" si="1"/>
        <v>307.48000000000013</v>
      </c>
      <c r="H24" s="58">
        <f t="shared" ca="1" si="1"/>
        <v>57.679999999999978</v>
      </c>
      <c r="I24" s="58">
        <f t="shared" ca="1" si="1"/>
        <v>706.89</v>
      </c>
      <c r="J24" s="58">
        <f t="shared" ca="1" si="1"/>
        <v>12.919999999999792</v>
      </c>
      <c r="K24" s="58">
        <f t="shared" ca="1" si="1"/>
        <v>3.8299999999998908</v>
      </c>
      <c r="L24" s="58">
        <f t="shared" ca="1" si="1"/>
        <v>137.91999999999985</v>
      </c>
      <c r="M24" s="58">
        <f t="shared" ca="1" si="1"/>
        <v>798.5899999999998</v>
      </c>
      <c r="N24" s="58">
        <f t="shared" ca="1" si="1"/>
        <v>13.799999999999827</v>
      </c>
      <c r="O24" s="58">
        <f t="shared" ca="1" si="1"/>
        <v>755.95999999999992</v>
      </c>
      <c r="P24" s="58">
        <f t="shared" ca="1" si="1"/>
        <v>628.29999999999995</v>
      </c>
    </row>
    <row r="25" spans="1:16" x14ac:dyDescent="0.25">
      <c r="A25" s="49" t="s">
        <v>746</v>
      </c>
      <c r="B25" s="48" t="s">
        <v>749</v>
      </c>
      <c r="C25" s="48"/>
      <c r="D25" s="48"/>
      <c r="E25" s="58">
        <f t="shared" si="1"/>
        <v>1126.9899999999998</v>
      </c>
      <c r="F25" s="58">
        <f t="shared" ca="1" si="1"/>
        <v>1439.9599999999996</v>
      </c>
      <c r="G25" s="58">
        <f t="shared" ca="1" si="1"/>
        <v>419.13999999999987</v>
      </c>
      <c r="H25" s="58">
        <f t="shared" ca="1" si="1"/>
        <v>805.4399999999996</v>
      </c>
      <c r="I25" s="58">
        <f t="shared" ca="1" si="1"/>
        <v>2532.4099999999994</v>
      </c>
      <c r="J25" s="58">
        <f t="shared" ca="1" si="1"/>
        <v>446.41999999999916</v>
      </c>
      <c r="K25" s="58">
        <f t="shared" ca="1" si="1"/>
        <v>114.40999999999872</v>
      </c>
      <c r="L25" s="58">
        <f t="shared" ca="1" si="1"/>
        <v>152.0899999999985</v>
      </c>
      <c r="M25" s="58">
        <f t="shared" ca="1" si="1"/>
        <v>1203.7499999999984</v>
      </c>
      <c r="N25" s="58">
        <f t="shared" ca="1" si="1"/>
        <v>4780.7399999999989</v>
      </c>
      <c r="O25" s="58">
        <f t="shared" ca="1" si="1"/>
        <v>4603.3199999999988</v>
      </c>
      <c r="P25" s="58">
        <f t="shared" ca="1" si="1"/>
        <v>3561.7499999999986</v>
      </c>
    </row>
    <row r="26" spans="1:16" x14ac:dyDescent="0.25">
      <c r="A26" s="49" t="s">
        <v>746</v>
      </c>
      <c r="B26" s="48" t="s">
        <v>835</v>
      </c>
      <c r="C26" s="48"/>
      <c r="D26" s="48"/>
      <c r="E26" s="58">
        <f t="shared" si="1"/>
        <v>764.05000000000007</v>
      </c>
      <c r="F26" s="58">
        <f t="shared" ca="1" si="1"/>
        <v>307.07000000000016</v>
      </c>
      <c r="G26" s="58">
        <f t="shared" ca="1" si="1"/>
        <v>204.79000000000016</v>
      </c>
      <c r="H26" s="58">
        <f t="shared" ca="1" si="1"/>
        <v>274.5100000000001</v>
      </c>
      <c r="I26" s="58">
        <f t="shared" ca="1" si="1"/>
        <v>448.6400000000001</v>
      </c>
      <c r="J26" s="58">
        <f t="shared" ca="1" si="1"/>
        <v>605.23</v>
      </c>
      <c r="K26" s="58">
        <f t="shared" ca="1" si="1"/>
        <v>243.31000000000006</v>
      </c>
      <c r="L26" s="58">
        <f t="shared" ca="1" si="1"/>
        <v>281.31000000000006</v>
      </c>
      <c r="M26" s="58">
        <f t="shared" ca="1" si="1"/>
        <v>309.01000000000005</v>
      </c>
      <c r="N26" s="58">
        <f t="shared" ca="1" si="1"/>
        <v>309.01000000000005</v>
      </c>
      <c r="O26" s="58">
        <f t="shared" ca="1" si="1"/>
        <v>309.01000000000005</v>
      </c>
      <c r="P26" s="58">
        <f t="shared" ca="1" si="1"/>
        <v>309.01000000000005</v>
      </c>
    </row>
    <row r="27" spans="1:16" x14ac:dyDescent="0.25">
      <c r="A27" s="49" t="s">
        <v>753</v>
      </c>
      <c r="B27" s="48" t="s">
        <v>751</v>
      </c>
      <c r="C27" s="48"/>
      <c r="D27" s="48"/>
      <c r="E27" s="58">
        <f t="shared" si="1"/>
        <v>0</v>
      </c>
      <c r="F27" s="58">
        <f t="shared" ca="1" si="1"/>
        <v>0</v>
      </c>
      <c r="G27" s="58">
        <f t="shared" ca="1" si="1"/>
        <v>0</v>
      </c>
      <c r="H27" s="58">
        <f t="shared" si="1"/>
        <v>0</v>
      </c>
      <c r="I27" s="58">
        <f t="shared" si="1"/>
        <v>0</v>
      </c>
      <c r="J27" s="58">
        <f t="shared" si="1"/>
        <v>7031.1400000000012</v>
      </c>
      <c r="K27" s="58">
        <f t="shared" ca="1" si="1"/>
        <v>4182.2600000000011</v>
      </c>
      <c r="L27" s="58">
        <f t="shared" ca="1" si="1"/>
        <v>5718.94</v>
      </c>
      <c r="M27" s="58">
        <f t="shared" ca="1" si="1"/>
        <v>7460.5400000000009</v>
      </c>
      <c r="N27" s="58">
        <f t="shared" ca="1" si="1"/>
        <v>6898.0500000000011</v>
      </c>
      <c r="O27" s="58">
        <f t="shared" ca="1" si="1"/>
        <v>7971.3099999999995</v>
      </c>
      <c r="P27" s="58">
        <f t="shared" ca="1" si="1"/>
        <v>6037.85</v>
      </c>
    </row>
    <row r="28" spans="1:16" x14ac:dyDescent="0.25">
      <c r="A28" s="49" t="s">
        <v>753</v>
      </c>
      <c r="B28" s="48" t="s">
        <v>833</v>
      </c>
      <c r="C28" s="48"/>
      <c r="D28" s="48"/>
      <c r="E28" s="58">
        <f t="shared" si="1"/>
        <v>13848.34</v>
      </c>
      <c r="F28" s="58">
        <f t="shared" ca="1" si="1"/>
        <v>13848.34</v>
      </c>
      <c r="G28" s="58">
        <f t="shared" ca="1" si="1"/>
        <v>13848.34</v>
      </c>
      <c r="H28" s="58">
        <f t="shared" ca="1" si="1"/>
        <v>13723.24</v>
      </c>
      <c r="I28" s="58">
        <f t="shared" ca="1" si="1"/>
        <v>13598.14</v>
      </c>
      <c r="J28" s="58">
        <f t="shared" ca="1" si="1"/>
        <v>15427.98</v>
      </c>
      <c r="K28" s="58">
        <f t="shared" ca="1" si="1"/>
        <v>15427.98</v>
      </c>
      <c r="L28" s="58">
        <f t="shared" ca="1" si="1"/>
        <v>15427.98</v>
      </c>
      <c r="M28" s="58">
        <f t="shared" ca="1" si="1"/>
        <v>15427.98</v>
      </c>
      <c r="N28" s="58">
        <f t="shared" ca="1" si="1"/>
        <v>15427.98</v>
      </c>
      <c r="O28" s="58">
        <f t="shared" ca="1" si="1"/>
        <v>15427.98</v>
      </c>
      <c r="P28" s="58">
        <f t="shared" ca="1" si="1"/>
        <v>15427.98</v>
      </c>
    </row>
    <row r="29" spans="1:16" x14ac:dyDescent="0.25">
      <c r="A29" s="49" t="s">
        <v>110</v>
      </c>
      <c r="B29" s="48" t="s">
        <v>834</v>
      </c>
      <c r="C29" s="48"/>
      <c r="D29" s="48"/>
      <c r="E29" s="58">
        <f t="shared" si="1"/>
        <v>22430.560000000001</v>
      </c>
      <c r="F29" s="58">
        <f t="shared" si="1"/>
        <v>22430.560000000001</v>
      </c>
      <c r="G29" s="58">
        <f t="shared" si="1"/>
        <v>22430.560000000001</v>
      </c>
      <c r="H29" s="58">
        <f t="shared" si="1"/>
        <v>22430.560000000001</v>
      </c>
      <c r="I29" s="58">
        <f t="shared" si="1"/>
        <v>22430.560000000001</v>
      </c>
      <c r="J29" s="58">
        <f t="shared" si="1"/>
        <v>22430.560000000001</v>
      </c>
      <c r="K29" s="58">
        <f t="shared" si="1"/>
        <v>22430.560000000001</v>
      </c>
      <c r="L29" s="58">
        <f t="shared" si="1"/>
        <v>22431.56</v>
      </c>
      <c r="M29" s="58">
        <f t="shared" si="1"/>
        <v>22432.560000000001</v>
      </c>
      <c r="N29" s="58">
        <f t="shared" si="1"/>
        <v>22433.56</v>
      </c>
      <c r="O29" s="58">
        <f t="shared" si="1"/>
        <v>22434.560000000001</v>
      </c>
      <c r="P29" s="58">
        <f t="shared" si="1"/>
        <v>22435.56</v>
      </c>
    </row>
    <row r="30" spans="1:16" x14ac:dyDescent="0.25">
      <c r="A30" s="49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</row>
    <row r="31" spans="1:16" x14ac:dyDescent="0.25">
      <c r="A31" s="49" t="s">
        <v>748</v>
      </c>
      <c r="B31" s="48"/>
      <c r="C31" s="48"/>
      <c r="D31" s="48"/>
      <c r="E31" s="58">
        <f>SUMIFS(E23:E29,$A$23:$A$29,$A31)</f>
        <v>14702.14</v>
      </c>
      <c r="F31" s="58">
        <f t="shared" ref="F31:P31" ca="1" si="2">SUMIFS(F23:F29,$A$23:$A$29,$A31)</f>
        <v>16184.38</v>
      </c>
      <c r="G31" s="58">
        <f t="shared" ca="1" si="2"/>
        <v>17224.379999999997</v>
      </c>
      <c r="H31" s="58">
        <f t="shared" ca="1" si="2"/>
        <v>17544.379999999997</v>
      </c>
      <c r="I31" s="58">
        <f t="shared" ca="1" si="2"/>
        <v>17861.979999999996</v>
      </c>
      <c r="J31" s="58">
        <f t="shared" ca="1" si="2"/>
        <v>19793.709999999995</v>
      </c>
      <c r="K31" s="58">
        <f t="shared" ca="1" si="2"/>
        <v>19793.769999999997</v>
      </c>
      <c r="L31" s="58">
        <f t="shared" ca="1" si="2"/>
        <v>19789.589999999997</v>
      </c>
      <c r="M31" s="58">
        <f t="shared" ca="1" si="2"/>
        <v>19789.619999999995</v>
      </c>
      <c r="N31" s="58">
        <f t="shared" ca="1" si="2"/>
        <v>19789.619999999995</v>
      </c>
      <c r="O31" s="58">
        <f t="shared" ca="1" si="2"/>
        <v>19789.619999999995</v>
      </c>
      <c r="P31" s="58">
        <f t="shared" ca="1" si="2"/>
        <v>19789.619999999995</v>
      </c>
    </row>
    <row r="32" spans="1:16" x14ac:dyDescent="0.25">
      <c r="A32" s="49" t="s">
        <v>746</v>
      </c>
      <c r="B32" s="48"/>
      <c r="C32" s="48"/>
      <c r="D32" s="48"/>
      <c r="E32" s="58">
        <f>SUMIFS(E23:E29,$A$23:$A$29,$A32)</f>
        <v>2538.4</v>
      </c>
      <c r="F32" s="58">
        <f t="shared" ref="F32:P32" ca="1" si="3">SUMIFS(F23:F29,$A$23:$A$29,$A32)</f>
        <v>1995.6099999999997</v>
      </c>
      <c r="G32" s="58">
        <f t="shared" ca="1" si="3"/>
        <v>931.4100000000002</v>
      </c>
      <c r="H32" s="58">
        <f t="shared" ca="1" si="3"/>
        <v>1137.6299999999997</v>
      </c>
      <c r="I32" s="58">
        <f t="shared" ca="1" si="3"/>
        <v>3687.9399999999996</v>
      </c>
      <c r="J32" s="58">
        <f t="shared" ca="1" si="3"/>
        <v>1064.569999999999</v>
      </c>
      <c r="K32" s="58">
        <f t="shared" ca="1" si="3"/>
        <v>361.54999999999865</v>
      </c>
      <c r="L32" s="58">
        <f t="shared" ca="1" si="3"/>
        <v>571.31999999999834</v>
      </c>
      <c r="M32" s="58">
        <f t="shared" ca="1" si="3"/>
        <v>2311.3499999999985</v>
      </c>
      <c r="N32" s="58">
        <f t="shared" ca="1" si="3"/>
        <v>5103.5499999999993</v>
      </c>
      <c r="O32" s="58">
        <f t="shared" ca="1" si="3"/>
        <v>5668.2899999999991</v>
      </c>
      <c r="P32" s="58">
        <f t="shared" ca="1" si="3"/>
        <v>4499.0599999999986</v>
      </c>
    </row>
    <row r="33" spans="1:16" x14ac:dyDescent="0.25">
      <c r="A33" s="49" t="s">
        <v>753</v>
      </c>
      <c r="B33" s="48"/>
      <c r="C33" s="48"/>
      <c r="D33" s="48"/>
      <c r="E33" s="58">
        <f>SUMIFS(E23:E29,$A$23:$A$29,$A33)</f>
        <v>13848.34</v>
      </c>
      <c r="F33" s="58">
        <f t="shared" ref="F33:P33" ca="1" si="4">SUMIFS(F23:F29,$A$23:$A$29,$A33)</f>
        <v>13848.34</v>
      </c>
      <c r="G33" s="58">
        <f t="shared" ca="1" si="4"/>
        <v>13848.34</v>
      </c>
      <c r="H33" s="58">
        <f t="shared" ca="1" si="4"/>
        <v>13723.24</v>
      </c>
      <c r="I33" s="58">
        <f t="shared" ca="1" si="4"/>
        <v>13598.14</v>
      </c>
      <c r="J33" s="58">
        <f t="shared" ca="1" si="4"/>
        <v>22459.120000000003</v>
      </c>
      <c r="K33" s="58">
        <f t="shared" ca="1" si="4"/>
        <v>19610.240000000002</v>
      </c>
      <c r="L33" s="58">
        <f t="shared" ca="1" si="4"/>
        <v>21146.92</v>
      </c>
      <c r="M33" s="58">
        <f t="shared" ca="1" si="4"/>
        <v>22888.52</v>
      </c>
      <c r="N33" s="58">
        <f t="shared" ca="1" si="4"/>
        <v>22326.03</v>
      </c>
      <c r="O33" s="58">
        <f t="shared" ca="1" si="4"/>
        <v>23399.29</v>
      </c>
      <c r="P33" s="58">
        <f t="shared" ca="1" si="4"/>
        <v>21465.83</v>
      </c>
    </row>
    <row r="34" spans="1:16" x14ac:dyDescent="0.25">
      <c r="A34" s="49" t="s">
        <v>110</v>
      </c>
      <c r="B34" s="48"/>
      <c r="C34" s="48"/>
      <c r="D34" s="48"/>
      <c r="E34" s="58">
        <f>SUMIFS(E23:E29,$A$23:$A$29,$A34)</f>
        <v>22430.560000000001</v>
      </c>
      <c r="F34" s="58">
        <f t="shared" ref="F34:P34" si="5">SUMIFS(F23:F29,$A$23:$A$29,$A34)</f>
        <v>22430.560000000001</v>
      </c>
      <c r="G34" s="58">
        <f t="shared" si="5"/>
        <v>22430.560000000001</v>
      </c>
      <c r="H34" s="58">
        <f t="shared" si="5"/>
        <v>22430.560000000001</v>
      </c>
      <c r="I34" s="58">
        <f t="shared" si="5"/>
        <v>22430.560000000001</v>
      </c>
      <c r="J34" s="58">
        <f t="shared" si="5"/>
        <v>22430.560000000001</v>
      </c>
      <c r="K34" s="58">
        <f t="shared" si="5"/>
        <v>22430.560000000001</v>
      </c>
      <c r="L34" s="58">
        <f t="shared" si="5"/>
        <v>22431.56</v>
      </c>
      <c r="M34" s="58">
        <f t="shared" si="5"/>
        <v>22432.560000000001</v>
      </c>
      <c r="N34" s="58">
        <f t="shared" si="5"/>
        <v>22433.56</v>
      </c>
      <c r="O34" s="58">
        <f t="shared" si="5"/>
        <v>22434.560000000001</v>
      </c>
      <c r="P34" s="58">
        <f t="shared" si="5"/>
        <v>22435.56</v>
      </c>
    </row>
    <row r="35" spans="1:16" x14ac:dyDescent="0.2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</row>
    <row r="36" spans="1:16" x14ac:dyDescent="0.25">
      <c r="A36" s="49" t="s">
        <v>869</v>
      </c>
      <c r="B36" s="48"/>
      <c r="C36" s="48"/>
      <c r="D36" s="48"/>
      <c r="E36" s="58">
        <f>SUM(E31:E32)-SUM(E33)</f>
        <v>3392.2000000000007</v>
      </c>
      <c r="F36" s="58">
        <f t="shared" ref="F36:P36" ca="1" si="6">SUM(F31:F32)-SUM(F33)</f>
        <v>4331.6499999999978</v>
      </c>
      <c r="G36" s="58">
        <f t="shared" ca="1" si="6"/>
        <v>4307.4499999999971</v>
      </c>
      <c r="H36" s="58">
        <f t="shared" ca="1" si="6"/>
        <v>4958.7699999999986</v>
      </c>
      <c r="I36" s="58">
        <f t="shared" ca="1" si="6"/>
        <v>7951.7799999999952</v>
      </c>
      <c r="J36" s="58">
        <f t="shared" ca="1" si="6"/>
        <v>-1600.8400000000074</v>
      </c>
      <c r="K36" s="58">
        <f t="shared" ca="1" si="6"/>
        <v>545.07999999999447</v>
      </c>
      <c r="L36" s="58">
        <f t="shared" ca="1" si="6"/>
        <v>-786.01000000000204</v>
      </c>
      <c r="M36" s="58">
        <f t="shared" ca="1" si="6"/>
        <v>-787.55000000000655</v>
      </c>
      <c r="N36" s="58">
        <f t="shared" ca="1" si="6"/>
        <v>2567.1399999999958</v>
      </c>
      <c r="O36" s="58">
        <f t="shared" ca="1" si="6"/>
        <v>2058.6199999999953</v>
      </c>
      <c r="P36" s="58">
        <f t="shared" ca="1" si="6"/>
        <v>2822.8499999999913</v>
      </c>
    </row>
    <row r="37" spans="1:16" x14ac:dyDescent="0.25">
      <c r="A37" s="49" t="s">
        <v>870</v>
      </c>
      <c r="B37" s="48"/>
      <c r="C37" s="48"/>
      <c r="D37" s="48"/>
      <c r="E37" s="58">
        <f>SUM(E31:E32)-SUM(E33:E34)</f>
        <v>-19038.36</v>
      </c>
      <c r="F37" s="58">
        <f t="shared" ref="F37:P37" ca="1" si="7">SUM(F31:F32)-SUM(F33:F34)</f>
        <v>-18098.910000000003</v>
      </c>
      <c r="G37" s="58">
        <f t="shared" ca="1" si="7"/>
        <v>-18123.110000000004</v>
      </c>
      <c r="H37" s="58">
        <f t="shared" ca="1" si="7"/>
        <v>-17471.790000000005</v>
      </c>
      <c r="I37" s="58">
        <f t="shared" ca="1" si="7"/>
        <v>-14478.780000000002</v>
      </c>
      <c r="J37" s="58">
        <f t="shared" ca="1" si="7"/>
        <v>-24031.400000000012</v>
      </c>
      <c r="K37" s="58">
        <f t="shared" ca="1" si="7"/>
        <v>-21885.480000000007</v>
      </c>
      <c r="L37" s="58">
        <f t="shared" ca="1" si="7"/>
        <v>-23217.57</v>
      </c>
      <c r="M37" s="58">
        <f t="shared" ca="1" si="7"/>
        <v>-23220.110000000008</v>
      </c>
      <c r="N37" s="58">
        <f t="shared" ca="1" si="7"/>
        <v>-19866.420000000002</v>
      </c>
      <c r="O37" s="58">
        <f t="shared" ca="1" si="7"/>
        <v>-20375.94000000001</v>
      </c>
      <c r="P37" s="58">
        <f t="shared" ca="1" si="7"/>
        <v>-19612.710000000006</v>
      </c>
    </row>
    <row r="38" spans="1:16" x14ac:dyDescent="0.25">
      <c r="A38" s="49" t="s">
        <v>754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</row>
    <row r="39" spans="1:16" x14ac:dyDescent="0.25">
      <c r="A39" s="48"/>
      <c r="B39" s="48" t="s">
        <v>755</v>
      </c>
      <c r="C39" s="48"/>
      <c r="D39" s="48"/>
      <c r="E39" s="51"/>
      <c r="F39" s="56">
        <f ca="1">F36-E36</f>
        <v>939.44999999999709</v>
      </c>
      <c r="G39" s="56">
        <f t="shared" ref="G39:P39" ca="1" si="8">G36-F36</f>
        <v>-24.200000000000728</v>
      </c>
      <c r="H39" s="56">
        <f t="shared" ca="1" si="8"/>
        <v>651.32000000000153</v>
      </c>
      <c r="I39" s="56">
        <f t="shared" ca="1" si="8"/>
        <v>2993.0099999999966</v>
      </c>
      <c r="J39" s="56">
        <f t="shared" ca="1" si="8"/>
        <v>-9552.6200000000026</v>
      </c>
      <c r="K39" s="56">
        <f t="shared" ca="1" si="8"/>
        <v>2145.9200000000019</v>
      </c>
      <c r="L39" s="56">
        <f t="shared" ca="1" si="8"/>
        <v>-1331.0899999999965</v>
      </c>
      <c r="M39" s="56">
        <f t="shared" ca="1" si="8"/>
        <v>-1.5400000000045111</v>
      </c>
      <c r="N39" s="56">
        <f t="shared" ca="1" si="8"/>
        <v>3354.6900000000023</v>
      </c>
      <c r="O39" s="56">
        <f t="shared" ca="1" si="8"/>
        <v>-508.52000000000044</v>
      </c>
      <c r="P39" s="56">
        <f t="shared" ca="1" si="8"/>
        <v>764.22999999999593</v>
      </c>
    </row>
    <row r="41" spans="1:16" x14ac:dyDescent="0.25">
      <c r="A41" s="49" t="s">
        <v>875</v>
      </c>
      <c r="E41" s="61">
        <f>E5+E7+E15+E13++E17</f>
        <v>-5886.7899999999991</v>
      </c>
      <c r="F41" s="61">
        <f t="shared" ref="F41:P41" si="9">F5+F7+F15+F13++F17</f>
        <v>-6233.9500000000007</v>
      </c>
      <c r="G41" s="61">
        <f t="shared" si="9"/>
        <v>-6155.0599999999995</v>
      </c>
      <c r="H41" s="61">
        <f t="shared" si="9"/>
        <v>-6422.13</v>
      </c>
      <c r="I41" s="61">
        <f t="shared" si="9"/>
        <v>-9795.15</v>
      </c>
      <c r="J41" s="61">
        <f t="shared" si="9"/>
        <v>-6331.2900000000009</v>
      </c>
      <c r="K41" s="61">
        <f>K5+K7+K15+K13++K17</f>
        <v>-4760.5</v>
      </c>
      <c r="L41" s="61">
        <f t="shared" si="9"/>
        <v>-4035</v>
      </c>
      <c r="M41" s="61">
        <f t="shared" si="9"/>
        <v>-2622.46</v>
      </c>
      <c r="N41" s="61">
        <f t="shared" si="9"/>
        <v>-5302.25</v>
      </c>
      <c r="O41" s="61">
        <f t="shared" si="9"/>
        <v>-5500.18</v>
      </c>
      <c r="P41" s="61">
        <f t="shared" si="9"/>
        <v>-6471.91</v>
      </c>
    </row>
    <row r="42" spans="1:16" x14ac:dyDescent="0.25">
      <c r="A42" s="65" t="s">
        <v>877</v>
      </c>
      <c r="E42" s="63">
        <v>750</v>
      </c>
      <c r="F42" s="63">
        <v>750</v>
      </c>
      <c r="G42" s="63">
        <v>650</v>
      </c>
      <c r="H42" s="63">
        <v>650</v>
      </c>
      <c r="I42" s="63">
        <v>650</v>
      </c>
      <c r="J42" s="63">
        <v>650</v>
      </c>
      <c r="K42" s="63">
        <v>650</v>
      </c>
      <c r="L42" s="63">
        <v>650</v>
      </c>
      <c r="M42" s="63">
        <v>816.87</v>
      </c>
      <c r="N42" s="63">
        <v>816.87</v>
      </c>
      <c r="O42" s="63">
        <v>816.87</v>
      </c>
      <c r="P42" s="63">
        <v>816.87</v>
      </c>
    </row>
    <row r="43" spans="1:16" x14ac:dyDescent="0.25">
      <c r="A43" s="65" t="s">
        <v>878</v>
      </c>
      <c r="E43" s="63">
        <v>111.63</v>
      </c>
      <c r="F43" s="63">
        <v>111.63</v>
      </c>
      <c r="G43" s="63">
        <v>111.63</v>
      </c>
      <c r="H43" s="63">
        <v>111.63</v>
      </c>
      <c r="I43" s="63">
        <v>111.63</v>
      </c>
      <c r="J43" s="63">
        <v>111.63</v>
      </c>
      <c r="K43" s="63">
        <v>111.63</v>
      </c>
      <c r="L43" s="63">
        <v>111.63</v>
      </c>
      <c r="M43" s="63">
        <v>111.63</v>
      </c>
      <c r="N43" s="63">
        <v>111.63</v>
      </c>
      <c r="O43" s="63">
        <v>111.63</v>
      </c>
      <c r="P43" s="63">
        <v>111.63</v>
      </c>
    </row>
    <row r="44" spans="1:16" x14ac:dyDescent="0.25">
      <c r="A44" s="66" t="s">
        <v>879</v>
      </c>
      <c r="E44" s="64">
        <v>90.09</v>
      </c>
      <c r="F44" s="64">
        <v>178.11</v>
      </c>
      <c r="G44" s="64"/>
      <c r="H44" s="64">
        <v>80.040000000000006</v>
      </c>
      <c r="I44" s="64">
        <v>88.02</v>
      </c>
      <c r="J44" s="64">
        <v>88.02</v>
      </c>
      <c r="K44" s="64">
        <v>88.02</v>
      </c>
      <c r="L44" s="64">
        <v>88.02</v>
      </c>
      <c r="M44" s="64">
        <v>88.02</v>
      </c>
      <c r="N44" s="64">
        <v>88.02</v>
      </c>
      <c r="O44" s="64">
        <v>88.02</v>
      </c>
      <c r="P44" s="64">
        <v>88.02</v>
      </c>
    </row>
    <row r="45" spans="1:16" x14ac:dyDescent="0.25">
      <c r="A45" s="12" t="s">
        <v>876</v>
      </c>
      <c r="D45" s="13">
        <f>SUM(E45:P45)</f>
        <v>11059.44</v>
      </c>
      <c r="E45" s="70">
        <f t="shared" ref="E45:P45" si="10">SUM(E42:E44)</f>
        <v>951.72</v>
      </c>
      <c r="F45" s="70">
        <f t="shared" si="10"/>
        <v>1039.74</v>
      </c>
      <c r="G45" s="70">
        <f t="shared" si="10"/>
        <v>761.63</v>
      </c>
      <c r="H45" s="70">
        <f t="shared" si="10"/>
        <v>841.67</v>
      </c>
      <c r="I45" s="70">
        <f t="shared" si="10"/>
        <v>849.65</v>
      </c>
      <c r="J45" s="70">
        <f t="shared" si="10"/>
        <v>849.65</v>
      </c>
      <c r="K45" s="70">
        <f t="shared" si="10"/>
        <v>849.65</v>
      </c>
      <c r="L45" s="70">
        <f t="shared" si="10"/>
        <v>849.65</v>
      </c>
      <c r="M45" s="70">
        <f t="shared" si="10"/>
        <v>1016.52</v>
      </c>
      <c r="N45" s="70">
        <f t="shared" si="10"/>
        <v>1016.52</v>
      </c>
      <c r="O45" s="70">
        <f t="shared" si="10"/>
        <v>1016.52</v>
      </c>
      <c r="P45" s="70">
        <f t="shared" si="10"/>
        <v>1016.52</v>
      </c>
    </row>
    <row r="46" spans="1:16" x14ac:dyDescent="0.25">
      <c r="A46" s="62" t="s">
        <v>880</v>
      </c>
      <c r="E46" s="5">
        <f t="shared" ref="E46:P46" si="11">E41+E45</f>
        <v>-4935.0699999999988</v>
      </c>
      <c r="F46" s="5">
        <f t="shared" si="11"/>
        <v>-5194.2100000000009</v>
      </c>
      <c r="G46" s="5">
        <f t="shared" si="11"/>
        <v>-5393.4299999999994</v>
      </c>
      <c r="H46" s="5">
        <f t="shared" si="11"/>
        <v>-5580.46</v>
      </c>
      <c r="I46" s="5">
        <f t="shared" si="11"/>
        <v>-8945.5</v>
      </c>
      <c r="J46" s="5">
        <f t="shared" si="11"/>
        <v>-5481.6400000000012</v>
      </c>
      <c r="K46" s="5">
        <f t="shared" si="11"/>
        <v>-3910.85</v>
      </c>
      <c r="L46" s="5">
        <f t="shared" si="11"/>
        <v>-3185.35</v>
      </c>
      <c r="M46" s="5">
        <f t="shared" si="11"/>
        <v>-1605.94</v>
      </c>
      <c r="N46" s="5">
        <f t="shared" si="11"/>
        <v>-4285.7299999999996</v>
      </c>
      <c r="O46" s="5">
        <f t="shared" si="11"/>
        <v>-4483.66</v>
      </c>
      <c r="P46" s="5">
        <f t="shared" si="11"/>
        <v>-5455.3899999999994</v>
      </c>
    </row>
    <row r="47" spans="1:16" x14ac:dyDescent="0.25">
      <c r="A47" s="66" t="s">
        <v>135</v>
      </c>
      <c r="E47" s="64">
        <v>9.99</v>
      </c>
      <c r="F47" s="64">
        <v>9.99</v>
      </c>
      <c r="G47" s="64">
        <v>9.99</v>
      </c>
      <c r="H47" s="64">
        <v>9.99</v>
      </c>
      <c r="I47" s="64">
        <v>9.99</v>
      </c>
      <c r="J47" s="64">
        <v>9.99</v>
      </c>
      <c r="K47" s="64">
        <v>9.99</v>
      </c>
      <c r="L47" s="64">
        <v>9.99</v>
      </c>
      <c r="M47" s="64">
        <v>9.99</v>
      </c>
      <c r="N47" s="64">
        <v>9.99</v>
      </c>
      <c r="O47" s="64">
        <v>9.99</v>
      </c>
      <c r="P47" s="64">
        <v>9.99</v>
      </c>
    </row>
    <row r="48" spans="1:16" x14ac:dyDescent="0.25">
      <c r="A48" s="66" t="s">
        <v>41</v>
      </c>
      <c r="E48" s="64">
        <v>0</v>
      </c>
      <c r="F48" s="64">
        <v>0</v>
      </c>
      <c r="G48" s="64">
        <v>5.29</v>
      </c>
      <c r="H48" s="64">
        <v>7.41</v>
      </c>
      <c r="I48" s="64">
        <v>7.41</v>
      </c>
      <c r="J48" s="64">
        <v>7.41</v>
      </c>
      <c r="K48" s="64">
        <v>0</v>
      </c>
      <c r="L48" s="64">
        <v>7.41</v>
      </c>
      <c r="M48" s="64">
        <v>7.41</v>
      </c>
      <c r="N48" s="64">
        <v>7.41</v>
      </c>
      <c r="O48" s="64">
        <v>7.41</v>
      </c>
      <c r="P48" s="64">
        <v>7.41</v>
      </c>
    </row>
    <row r="49" spans="1:16" x14ac:dyDescent="0.25">
      <c r="A49" s="66" t="s">
        <v>597</v>
      </c>
      <c r="E49" s="64">
        <v>0</v>
      </c>
      <c r="F49" s="64">
        <v>0</v>
      </c>
      <c r="G49" s="64">
        <v>0</v>
      </c>
      <c r="H49" s="64">
        <v>0</v>
      </c>
      <c r="I49" s="64">
        <v>38.14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</row>
    <row r="50" spans="1:16" x14ac:dyDescent="0.25">
      <c r="A50" s="66" t="s">
        <v>44</v>
      </c>
      <c r="E50" s="64">
        <v>10</v>
      </c>
      <c r="F50" s="64">
        <v>10</v>
      </c>
      <c r="G50" s="64">
        <v>10</v>
      </c>
      <c r="H50" s="64">
        <v>10</v>
      </c>
      <c r="I50" s="64">
        <v>10</v>
      </c>
      <c r="J50" s="64">
        <v>10</v>
      </c>
      <c r="K50" s="64">
        <v>10</v>
      </c>
      <c r="L50" s="64">
        <v>10</v>
      </c>
      <c r="M50" s="64">
        <v>10</v>
      </c>
      <c r="N50" s="64">
        <v>10</v>
      </c>
      <c r="O50" s="64">
        <v>10</v>
      </c>
      <c r="P50" s="64">
        <v>10</v>
      </c>
    </row>
    <row r="51" spans="1:16" x14ac:dyDescent="0.25">
      <c r="A51" s="66" t="s">
        <v>340</v>
      </c>
      <c r="E51" s="64">
        <v>0</v>
      </c>
      <c r="F51" s="64">
        <v>0</v>
      </c>
      <c r="G51" s="64">
        <v>0</v>
      </c>
      <c r="H51" s="64">
        <v>0</v>
      </c>
      <c r="I51" s="64">
        <v>20</v>
      </c>
      <c r="J51" s="64">
        <v>20</v>
      </c>
      <c r="K51" s="64">
        <v>20</v>
      </c>
      <c r="L51" s="64">
        <v>20</v>
      </c>
      <c r="M51" s="64">
        <v>20</v>
      </c>
      <c r="N51" s="64">
        <v>20</v>
      </c>
      <c r="O51" s="64">
        <v>20</v>
      </c>
      <c r="P51" s="64">
        <v>20</v>
      </c>
    </row>
    <row r="52" spans="1:16" x14ac:dyDescent="0.25">
      <c r="A52" s="66" t="s">
        <v>145</v>
      </c>
      <c r="E52" s="64">
        <v>49</v>
      </c>
      <c r="F52" s="64">
        <v>98</v>
      </c>
      <c r="G52" s="64">
        <v>98</v>
      </c>
      <c r="H52" s="64">
        <v>0</v>
      </c>
      <c r="I52" s="64">
        <v>98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</row>
    <row r="53" spans="1:16" x14ac:dyDescent="0.25">
      <c r="A53" s="66" t="s">
        <v>56</v>
      </c>
      <c r="E53" s="64">
        <v>7.99</v>
      </c>
      <c r="F53" s="64">
        <v>7.99</v>
      </c>
      <c r="G53" s="64">
        <v>7.99</v>
      </c>
      <c r="H53" s="64">
        <v>7.99</v>
      </c>
      <c r="I53" s="64">
        <v>7.99</v>
      </c>
      <c r="J53" s="64">
        <v>7.99</v>
      </c>
      <c r="K53" s="64">
        <v>7.99</v>
      </c>
      <c r="L53" s="64">
        <v>7.99</v>
      </c>
      <c r="M53" s="64">
        <v>7.99</v>
      </c>
      <c r="N53" s="64">
        <v>7.99</v>
      </c>
      <c r="O53" s="64">
        <v>7.99</v>
      </c>
      <c r="P53" s="64">
        <v>7.99</v>
      </c>
    </row>
    <row r="54" spans="1:16" x14ac:dyDescent="0.25">
      <c r="A54" s="66" t="s">
        <v>501</v>
      </c>
      <c r="E54" s="64">
        <v>0</v>
      </c>
      <c r="F54" s="64">
        <v>0</v>
      </c>
      <c r="G54" s="64">
        <v>109.99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</row>
    <row r="55" spans="1:16" x14ac:dyDescent="0.25">
      <c r="A55" s="66" t="s">
        <v>33</v>
      </c>
      <c r="E55" s="64">
        <v>15.89</v>
      </c>
      <c r="F55" s="64">
        <v>15.89</v>
      </c>
      <c r="G55" s="64">
        <v>16.95</v>
      </c>
      <c r="H55" s="64">
        <v>28.31</v>
      </c>
      <c r="I55" s="64">
        <v>16.95</v>
      </c>
      <c r="J55" s="64">
        <v>20.12</v>
      </c>
      <c r="K55" s="64">
        <v>16.95</v>
      </c>
      <c r="L55" s="64">
        <v>16.95</v>
      </c>
      <c r="M55" s="64">
        <v>16.95</v>
      </c>
      <c r="N55" s="64">
        <v>16.95</v>
      </c>
      <c r="O55" s="64">
        <v>16.95</v>
      </c>
      <c r="P55" s="64">
        <v>16.95</v>
      </c>
    </row>
    <row r="56" spans="1:16" x14ac:dyDescent="0.25">
      <c r="A56" s="66" t="s">
        <v>632</v>
      </c>
      <c r="E56" s="64">
        <v>0</v>
      </c>
      <c r="F56" s="64">
        <v>0</v>
      </c>
      <c r="G56" s="64">
        <v>0</v>
      </c>
      <c r="H56" s="64">
        <v>0</v>
      </c>
      <c r="I56" s="64">
        <v>3.17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</row>
    <row r="57" spans="1:16" x14ac:dyDescent="0.25">
      <c r="A57" s="66" t="s">
        <v>976</v>
      </c>
      <c r="E57" s="64">
        <v>0</v>
      </c>
      <c r="F57" s="64">
        <v>0</v>
      </c>
      <c r="G57" s="64">
        <v>0</v>
      </c>
      <c r="H57" s="64">
        <v>50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0</v>
      </c>
      <c r="P57" s="64">
        <v>0</v>
      </c>
    </row>
    <row r="58" spans="1:16" x14ac:dyDescent="0.25">
      <c r="A58" s="66" t="s">
        <v>497</v>
      </c>
      <c r="E58" s="64">
        <v>0</v>
      </c>
      <c r="F58" s="64">
        <v>142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</row>
    <row r="59" spans="1:16" x14ac:dyDescent="0.25">
      <c r="A59" s="66" t="s">
        <v>17</v>
      </c>
      <c r="E59" s="64">
        <v>10.59</v>
      </c>
      <c r="F59" s="64">
        <v>10.59</v>
      </c>
      <c r="G59" s="64">
        <v>10.59</v>
      </c>
      <c r="H59" s="64">
        <v>10.59</v>
      </c>
      <c r="I59" s="64">
        <v>10.59</v>
      </c>
      <c r="J59" s="64">
        <v>10.59</v>
      </c>
      <c r="K59" s="64">
        <v>10.59</v>
      </c>
      <c r="L59" s="64">
        <v>10.59</v>
      </c>
      <c r="M59" s="64">
        <v>10.59</v>
      </c>
      <c r="N59" s="64">
        <v>10.59</v>
      </c>
      <c r="O59" s="64">
        <v>10.59</v>
      </c>
      <c r="P59" s="64">
        <v>10.59</v>
      </c>
    </row>
    <row r="60" spans="1:16" x14ac:dyDescent="0.25">
      <c r="A60" s="66" t="s">
        <v>369</v>
      </c>
      <c r="E60" s="64">
        <v>10</v>
      </c>
      <c r="F60" s="64">
        <v>10</v>
      </c>
      <c r="G60" s="64">
        <v>10</v>
      </c>
      <c r="H60" s="64">
        <v>10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</row>
    <row r="61" spans="1:16" x14ac:dyDescent="0.25">
      <c r="A61" s="66" t="s">
        <v>203</v>
      </c>
      <c r="E61" s="64">
        <v>0</v>
      </c>
      <c r="F61" s="64">
        <v>5.42</v>
      </c>
      <c r="G61" s="64">
        <v>5.42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</row>
    <row r="62" spans="1:16" x14ac:dyDescent="0.25">
      <c r="A62" s="66" t="s">
        <v>20</v>
      </c>
      <c r="E62" s="64">
        <v>4.99</v>
      </c>
      <c r="F62" s="64">
        <v>4.99</v>
      </c>
      <c r="G62" s="64">
        <v>4.99</v>
      </c>
      <c r="H62" s="64">
        <v>4.99</v>
      </c>
      <c r="I62" s="64">
        <v>4.99</v>
      </c>
      <c r="J62" s="64">
        <v>4.99</v>
      </c>
      <c r="K62" s="64">
        <v>4.99</v>
      </c>
      <c r="L62" s="64">
        <v>4.99</v>
      </c>
      <c r="M62" s="64">
        <v>4.99</v>
      </c>
      <c r="N62" s="64">
        <v>4.99</v>
      </c>
      <c r="O62" s="64">
        <v>4.99</v>
      </c>
      <c r="P62" s="64">
        <v>4.99</v>
      </c>
    </row>
    <row r="63" spans="1:16" x14ac:dyDescent="0.25">
      <c r="A63" s="66" t="s">
        <v>54</v>
      </c>
      <c r="E63" s="64">
        <v>80.88</v>
      </c>
      <c r="F63" s="64">
        <v>80.88</v>
      </c>
      <c r="G63" s="64">
        <v>80.88</v>
      </c>
      <c r="H63" s="64">
        <v>80.88</v>
      </c>
      <c r="I63" s="64">
        <v>88.88</v>
      </c>
      <c r="J63" s="64">
        <v>88.88</v>
      </c>
      <c r="K63" s="64">
        <v>0</v>
      </c>
      <c r="L63" s="64">
        <v>0</v>
      </c>
      <c r="M63" s="64">
        <v>0</v>
      </c>
      <c r="N63" s="64">
        <v>0</v>
      </c>
      <c r="O63" s="64">
        <v>0</v>
      </c>
      <c r="P63" s="64">
        <v>0</v>
      </c>
    </row>
    <row r="64" spans="1:16" x14ac:dyDescent="0.25">
      <c r="A64" s="12" t="s">
        <v>700</v>
      </c>
      <c r="D64" s="13">
        <f>SUM(E64:P64)</f>
        <v>2201.5200000000004</v>
      </c>
      <c r="E64" s="69">
        <f>SUM(E47:E63)</f>
        <v>199.32999999999998</v>
      </c>
      <c r="F64" s="69">
        <f t="shared" ref="F64:P64" si="12">SUM(F47:F63)</f>
        <v>395.75</v>
      </c>
      <c r="G64" s="69">
        <f t="shared" si="12"/>
        <v>370.09</v>
      </c>
      <c r="H64" s="69">
        <f t="shared" si="12"/>
        <v>220.16000000000003</v>
      </c>
      <c r="I64" s="69">
        <f t="shared" si="12"/>
        <v>316.11</v>
      </c>
      <c r="J64" s="69">
        <f t="shared" si="12"/>
        <v>179.97</v>
      </c>
      <c r="K64" s="69">
        <f t="shared" si="12"/>
        <v>80.510000000000005</v>
      </c>
      <c r="L64" s="69">
        <f t="shared" si="12"/>
        <v>87.92</v>
      </c>
      <c r="M64" s="69">
        <f t="shared" si="12"/>
        <v>87.92</v>
      </c>
      <c r="N64" s="69">
        <f t="shared" si="12"/>
        <v>87.92</v>
      </c>
      <c r="O64" s="69">
        <f t="shared" si="12"/>
        <v>87.92</v>
      </c>
      <c r="P64" s="69">
        <f t="shared" si="12"/>
        <v>87.92</v>
      </c>
    </row>
    <row r="65" spans="1:16" x14ac:dyDescent="0.25">
      <c r="A65" s="62" t="s">
        <v>881</v>
      </c>
      <c r="E65" s="5">
        <f t="shared" ref="E65:P65" si="13">E46+E64</f>
        <v>-4735.7399999999989</v>
      </c>
      <c r="F65" s="5">
        <f t="shared" si="13"/>
        <v>-4798.4600000000009</v>
      </c>
      <c r="G65" s="5">
        <f t="shared" si="13"/>
        <v>-5023.3399999999992</v>
      </c>
      <c r="H65" s="5">
        <f t="shared" si="13"/>
        <v>-5360.3</v>
      </c>
      <c r="I65" s="5">
        <f t="shared" si="13"/>
        <v>-8629.39</v>
      </c>
      <c r="J65" s="5">
        <f t="shared" si="13"/>
        <v>-5301.670000000001</v>
      </c>
      <c r="K65" s="5">
        <f t="shared" si="13"/>
        <v>-3830.3399999999997</v>
      </c>
      <c r="L65" s="5">
        <f t="shared" si="13"/>
        <v>-3097.43</v>
      </c>
      <c r="M65" s="5">
        <f t="shared" si="13"/>
        <v>-1518.02</v>
      </c>
      <c r="N65" s="5">
        <f t="shared" si="13"/>
        <v>-4197.8099999999995</v>
      </c>
      <c r="O65" s="5">
        <f t="shared" si="13"/>
        <v>-4395.74</v>
      </c>
      <c r="P65" s="5">
        <f t="shared" si="13"/>
        <v>-5367.4699999999993</v>
      </c>
    </row>
    <row r="66" spans="1:16" x14ac:dyDescent="0.25">
      <c r="A66" s="66" t="s">
        <v>286</v>
      </c>
      <c r="E66" s="64">
        <v>0</v>
      </c>
      <c r="F66" s="64">
        <v>0</v>
      </c>
      <c r="G66" s="64">
        <v>289.10000000000002</v>
      </c>
      <c r="H66" s="64">
        <v>264.10000000000002</v>
      </c>
      <c r="I66" s="64">
        <v>264.10000000000002</v>
      </c>
      <c r="J66" s="64">
        <v>264.10000000000002</v>
      </c>
      <c r="K66" s="64">
        <v>264.10000000000002</v>
      </c>
      <c r="L66" s="64">
        <v>264.10000000000002</v>
      </c>
      <c r="M66" s="64">
        <v>264.10000000000002</v>
      </c>
      <c r="N66" s="64">
        <v>264.10000000000002</v>
      </c>
      <c r="O66" s="64">
        <v>264.10000000000002</v>
      </c>
      <c r="P66" s="64">
        <v>264.10000000000002</v>
      </c>
    </row>
    <row r="67" spans="1:16" x14ac:dyDescent="0.25">
      <c r="A67" s="66" t="s">
        <v>702</v>
      </c>
      <c r="E67" s="64">
        <v>0</v>
      </c>
      <c r="F67" s="64">
        <v>0</v>
      </c>
      <c r="G67" s="63">
        <v>0</v>
      </c>
      <c r="H67" s="63">
        <v>0</v>
      </c>
      <c r="I67" s="63">
        <v>0</v>
      </c>
      <c r="J67" s="64">
        <v>0</v>
      </c>
      <c r="K67" s="64">
        <v>200</v>
      </c>
      <c r="L67" s="64">
        <v>280</v>
      </c>
      <c r="M67" s="64">
        <v>280</v>
      </c>
      <c r="N67" s="64">
        <v>280</v>
      </c>
      <c r="O67" s="64">
        <v>280</v>
      </c>
      <c r="P67" s="64">
        <v>280</v>
      </c>
    </row>
    <row r="68" spans="1:16" x14ac:dyDescent="0.25">
      <c r="A68" s="66" t="s">
        <v>209</v>
      </c>
      <c r="E68" s="64">
        <v>0</v>
      </c>
      <c r="F68" s="64">
        <v>299.32</v>
      </c>
      <c r="G68" s="63">
        <v>218</v>
      </c>
      <c r="H68" s="63">
        <v>0</v>
      </c>
      <c r="I68" s="63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</row>
    <row r="69" spans="1:16" x14ac:dyDescent="0.25">
      <c r="A69" s="66" t="s">
        <v>161</v>
      </c>
      <c r="E69" s="64">
        <v>106.5</v>
      </c>
      <c r="F69" s="64">
        <v>0</v>
      </c>
      <c r="G69" s="63">
        <v>938.85</v>
      </c>
      <c r="H69" s="63">
        <v>0</v>
      </c>
      <c r="I69" s="63">
        <v>0</v>
      </c>
      <c r="J69" s="64">
        <v>0</v>
      </c>
      <c r="K69" s="64">
        <v>243.74</v>
      </c>
      <c r="L69" s="64">
        <v>0</v>
      </c>
      <c r="M69" s="64">
        <v>0</v>
      </c>
      <c r="N69" s="64">
        <v>0</v>
      </c>
      <c r="O69" s="64">
        <v>0</v>
      </c>
      <c r="P69" s="64">
        <v>0</v>
      </c>
    </row>
    <row r="70" spans="1:16" x14ac:dyDescent="0.25">
      <c r="A70" s="66" t="s">
        <v>138</v>
      </c>
      <c r="E70" s="64">
        <v>549.6</v>
      </c>
      <c r="F70" s="64">
        <v>0</v>
      </c>
      <c r="G70" s="63">
        <v>0</v>
      </c>
      <c r="H70" s="63">
        <v>0</v>
      </c>
      <c r="I70" s="63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</row>
    <row r="71" spans="1:16" x14ac:dyDescent="0.25">
      <c r="A71" s="66" t="s">
        <v>977</v>
      </c>
      <c r="E71" s="64">
        <v>1.75</v>
      </c>
      <c r="F71" s="64">
        <v>152.88999999999999</v>
      </c>
      <c r="G71" s="63">
        <v>211.63</v>
      </c>
      <c r="H71" s="63">
        <v>96.3</v>
      </c>
      <c r="I71" s="63">
        <v>478.86</v>
      </c>
      <c r="J71" s="64">
        <v>0</v>
      </c>
      <c r="K71" s="64">
        <v>14.870000000000001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</row>
    <row r="72" spans="1:16" x14ac:dyDescent="0.25">
      <c r="A72" s="66" t="s">
        <v>531</v>
      </c>
      <c r="E72" s="64">
        <v>0</v>
      </c>
      <c r="F72" s="64">
        <v>0</v>
      </c>
      <c r="G72" s="63">
        <v>0</v>
      </c>
      <c r="H72" s="63">
        <v>66.53</v>
      </c>
      <c r="I72" s="63">
        <v>48.1</v>
      </c>
      <c r="J72" s="64">
        <v>0</v>
      </c>
      <c r="K72" s="64">
        <v>22.96</v>
      </c>
      <c r="L72" s="64">
        <v>0</v>
      </c>
      <c r="M72" s="64">
        <v>0</v>
      </c>
      <c r="N72" s="64">
        <v>0</v>
      </c>
      <c r="O72" s="64">
        <v>0</v>
      </c>
      <c r="P72" s="64">
        <v>0</v>
      </c>
    </row>
    <row r="73" spans="1:16" x14ac:dyDescent="0.25">
      <c r="A73" s="66" t="s">
        <v>703</v>
      </c>
      <c r="E73" s="64">
        <v>0</v>
      </c>
      <c r="F73" s="64">
        <v>43.34</v>
      </c>
      <c r="G73" s="63">
        <v>105.41</v>
      </c>
      <c r="H73" s="63">
        <v>0</v>
      </c>
      <c r="I73" s="63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</row>
    <row r="74" spans="1:16" x14ac:dyDescent="0.25">
      <c r="A74" s="68" t="s">
        <v>59</v>
      </c>
      <c r="D74" s="13">
        <f>SUM(E74:P74)</f>
        <v>7864.6500000000033</v>
      </c>
      <c r="E74" s="70">
        <f t="shared" ref="E74:P74" si="14">SUM(E66:E73)</f>
        <v>657.85</v>
      </c>
      <c r="F74" s="70">
        <f t="shared" si="14"/>
        <v>495.54999999999995</v>
      </c>
      <c r="G74" s="70">
        <f t="shared" si="14"/>
        <v>1762.99</v>
      </c>
      <c r="H74" s="70">
        <f t="shared" si="14"/>
        <v>426.93000000000006</v>
      </c>
      <c r="I74" s="70">
        <f t="shared" si="14"/>
        <v>791.06000000000006</v>
      </c>
      <c r="J74" s="70">
        <f t="shared" si="14"/>
        <v>264.10000000000002</v>
      </c>
      <c r="K74" s="70">
        <f t="shared" si="14"/>
        <v>745.67000000000007</v>
      </c>
      <c r="L74" s="70">
        <f t="shared" si="14"/>
        <v>544.1</v>
      </c>
      <c r="M74" s="70">
        <f t="shared" si="14"/>
        <v>544.1</v>
      </c>
      <c r="N74" s="70">
        <f t="shared" si="14"/>
        <v>544.1</v>
      </c>
      <c r="O74" s="70">
        <f t="shared" si="14"/>
        <v>544.1</v>
      </c>
      <c r="P74" s="70">
        <f t="shared" si="14"/>
        <v>544.1</v>
      </c>
    </row>
    <row r="75" spans="1:16" x14ac:dyDescent="0.25">
      <c r="A75" s="62" t="s">
        <v>883</v>
      </c>
      <c r="E75" s="5">
        <f t="shared" ref="E75:P75" si="15">E65+E74</f>
        <v>-4077.889999999999</v>
      </c>
      <c r="F75" s="5">
        <f t="shared" si="15"/>
        <v>-4302.9100000000008</v>
      </c>
      <c r="G75" s="5">
        <f t="shared" si="15"/>
        <v>-3260.3499999999995</v>
      </c>
      <c r="H75" s="5">
        <f t="shared" si="15"/>
        <v>-4933.37</v>
      </c>
      <c r="I75" s="5">
        <f t="shared" si="15"/>
        <v>-7838.329999999999</v>
      </c>
      <c r="J75" s="5">
        <f t="shared" si="15"/>
        <v>-5037.5700000000006</v>
      </c>
      <c r="K75" s="5">
        <f t="shared" si="15"/>
        <v>-3084.6699999999996</v>
      </c>
      <c r="L75" s="5">
        <f t="shared" si="15"/>
        <v>-2553.33</v>
      </c>
      <c r="M75" s="5">
        <f t="shared" si="15"/>
        <v>-973.92</v>
      </c>
      <c r="N75" s="5">
        <f t="shared" si="15"/>
        <v>-3653.7099999999996</v>
      </c>
      <c r="O75" s="5">
        <f t="shared" si="15"/>
        <v>-3851.64</v>
      </c>
      <c r="P75" s="5">
        <f t="shared" si="15"/>
        <v>-4823.369999999999</v>
      </c>
    </row>
    <row r="76" spans="1:16" x14ac:dyDescent="0.25">
      <c r="A76" s="66" t="s">
        <v>882</v>
      </c>
      <c r="D76" s="13">
        <f>SUM(E76:P76)</f>
        <v>932</v>
      </c>
      <c r="E76" s="67"/>
      <c r="F76" s="67"/>
      <c r="G76" s="63"/>
      <c r="H76" s="63"/>
      <c r="I76" s="63">
        <v>932</v>
      </c>
      <c r="J76" s="67"/>
      <c r="K76" s="67"/>
      <c r="L76" s="67"/>
      <c r="M76" s="67"/>
      <c r="N76" s="67"/>
      <c r="O76" s="67"/>
      <c r="P76" s="67"/>
    </row>
    <row r="77" spans="1:16" x14ac:dyDescent="0.25">
      <c r="A77" s="62" t="s">
        <v>884</v>
      </c>
      <c r="D77" s="13"/>
      <c r="E77" s="5">
        <f t="shared" ref="E77:J77" si="16">E75+E76</f>
        <v>-4077.889999999999</v>
      </c>
      <c r="F77" s="5">
        <f t="shared" si="16"/>
        <v>-4302.9100000000008</v>
      </c>
      <c r="G77" s="5">
        <f t="shared" si="16"/>
        <v>-3260.3499999999995</v>
      </c>
      <c r="H77" s="5">
        <f t="shared" si="16"/>
        <v>-4933.37</v>
      </c>
      <c r="I77" s="5">
        <f t="shared" si="16"/>
        <v>-6906.329999999999</v>
      </c>
      <c r="J77" s="5">
        <f t="shared" si="16"/>
        <v>-5037.5700000000006</v>
      </c>
      <c r="K77" s="5">
        <f t="shared" ref="K77:P77" si="17">K75+K76</f>
        <v>-3084.6699999999996</v>
      </c>
      <c r="L77" s="5">
        <f t="shared" si="17"/>
        <v>-2553.33</v>
      </c>
      <c r="M77" s="5">
        <f t="shared" si="17"/>
        <v>-973.92</v>
      </c>
      <c r="N77" s="5">
        <f t="shared" si="17"/>
        <v>-3653.7099999999996</v>
      </c>
      <c r="O77" s="5">
        <f t="shared" si="17"/>
        <v>-3851.64</v>
      </c>
      <c r="P77" s="5">
        <f t="shared" si="17"/>
        <v>-4823.369999999999</v>
      </c>
    </row>
    <row r="78" spans="1:16" x14ac:dyDescent="0.25">
      <c r="E78" s="13">
        <v>216.14000000000001</v>
      </c>
      <c r="F78" s="13">
        <v>298.47000000000003</v>
      </c>
      <c r="G78" s="13">
        <v>641.03</v>
      </c>
      <c r="H78" s="13">
        <v>457.06000000000006</v>
      </c>
      <c r="I78" s="13">
        <v>433.42</v>
      </c>
      <c r="J78" s="13">
        <v>91.74</v>
      </c>
      <c r="K78" s="13">
        <v>106.34</v>
      </c>
    </row>
    <row r="79" spans="1:16" x14ac:dyDescent="0.25">
      <c r="E79" s="13">
        <v>419.14000000000004</v>
      </c>
      <c r="F79" s="13">
        <v>667.4</v>
      </c>
      <c r="G79" s="13">
        <v>546.74</v>
      </c>
      <c r="H79" s="13">
        <v>233.11999999999998</v>
      </c>
      <c r="I79" s="13">
        <v>628.16000000000008</v>
      </c>
      <c r="J79" s="13">
        <v>53.32</v>
      </c>
      <c r="K79" s="13">
        <v>62.19</v>
      </c>
    </row>
    <row r="80" spans="1:16" x14ac:dyDescent="0.25">
      <c r="A80" s="68" t="s">
        <v>13</v>
      </c>
      <c r="E80" s="70">
        <f>SUM(E78:E79)</f>
        <v>635.28000000000009</v>
      </c>
      <c r="F80" s="70">
        <f t="shared" ref="F80:P80" si="18">SUM(F78:F79)</f>
        <v>965.87</v>
      </c>
      <c r="G80" s="70">
        <f t="shared" si="18"/>
        <v>1187.77</v>
      </c>
      <c r="H80" s="70">
        <f t="shared" si="18"/>
        <v>690.18000000000006</v>
      </c>
      <c r="I80" s="70">
        <f t="shared" si="18"/>
        <v>1061.5800000000002</v>
      </c>
      <c r="J80" s="70">
        <f t="shared" si="18"/>
        <v>145.06</v>
      </c>
      <c r="K80" s="70">
        <f t="shared" si="18"/>
        <v>168.53</v>
      </c>
      <c r="L80" s="70">
        <f t="shared" si="18"/>
        <v>0</v>
      </c>
      <c r="M80" s="70">
        <f t="shared" si="18"/>
        <v>0</v>
      </c>
      <c r="N80" s="70">
        <f t="shared" si="18"/>
        <v>0</v>
      </c>
      <c r="O80" s="70">
        <f t="shared" si="18"/>
        <v>0</v>
      </c>
      <c r="P80" s="70">
        <f t="shared" si="18"/>
        <v>0</v>
      </c>
    </row>
    <row r="81" spans="1:16" x14ac:dyDescent="0.25">
      <c r="A81" s="62" t="s">
        <v>982</v>
      </c>
      <c r="E81" s="5">
        <f>E77+E80</f>
        <v>-3442.6099999999988</v>
      </c>
      <c r="F81" s="5">
        <f t="shared" ref="F81:P81" si="19">F77+F80</f>
        <v>-3337.0400000000009</v>
      </c>
      <c r="G81" s="5">
        <f t="shared" si="19"/>
        <v>-2072.5799999999995</v>
      </c>
      <c r="H81" s="5">
        <f t="shared" si="19"/>
        <v>-4243.1899999999996</v>
      </c>
      <c r="I81" s="5">
        <f t="shared" si="19"/>
        <v>-5844.7499999999991</v>
      </c>
      <c r="J81" s="5">
        <f t="shared" si="19"/>
        <v>-4892.51</v>
      </c>
      <c r="K81" s="5">
        <f t="shared" si="19"/>
        <v>-2916.1399999999994</v>
      </c>
      <c r="L81" s="5">
        <f t="shared" si="19"/>
        <v>-2553.33</v>
      </c>
      <c r="M81" s="5">
        <f t="shared" si="19"/>
        <v>-973.92</v>
      </c>
      <c r="N81" s="5">
        <f t="shared" si="19"/>
        <v>-3653.7099999999996</v>
      </c>
      <c r="O81" s="5">
        <f t="shared" si="19"/>
        <v>-3851.64</v>
      </c>
      <c r="P81" s="5">
        <f t="shared" si="19"/>
        <v>-4823.369999999999</v>
      </c>
    </row>
    <row r="84" spans="1:16" x14ac:dyDescent="0.25">
      <c r="E84" s="2" cm="1">
        <f t="array" ref="E84">SUM(SUMIFS(SOFI_SAVINGS!$E:$E,SOFI_SAVINGS!$A:$A,Summary!E$3,SOFI_SAVINGS!$D:$D,{"Deposit","Direct Deposit"}))</f>
        <v>6025.59</v>
      </c>
      <c r="F84" s="2" cm="1">
        <f t="array" ref="F84">SUM(SUMIFS(SOFI_SAVINGS!$E:$E,SOFI_SAVINGS!$A:$A,Summary!F$3,SOFI_SAVINGS!$D:$D,{"Deposit","Direct Deposit"}))</f>
        <v>4686.7700000000004</v>
      </c>
      <c r="G84" s="2" cm="1">
        <f t="array" ref="G84">SUM(SUMIFS(SOFI_SAVINGS!$E:$E,SOFI_SAVINGS!$A:$A,Summary!G$3,SOFI_SAVINGS!$D:$D,{"Deposit","Direct Deposit"}))</f>
        <v>5104.58</v>
      </c>
      <c r="H84" s="2" cm="1">
        <f t="array" ref="H84">SUM(SUMIFS(SOFI_SAVINGS!$E:$E,SOFI_SAVINGS!$A:$A,Summary!H$3,SOFI_SAVINGS!$D:$D,{"Deposit","Direct Deposit"}))</f>
        <v>5416.74</v>
      </c>
      <c r="I84" s="2" cm="1">
        <f t="array" ref="I84">SUM(SUMIFS(SOFI_SAVINGS!$E:$E,SOFI_SAVINGS!$A:$A,Summary!I$3,SOFI_SAVINGS!$D:$D,{"Deposit","Direct Deposit"}))</f>
        <v>7567.3099999999995</v>
      </c>
      <c r="J84" s="2" cm="1">
        <f t="array" ref="J84">SUM(SUMIFS(SOFI_SAVINGS!$E:$E,SOFI_SAVINGS!$A:$A,Summary!J$3,SOFI_SAVINGS!$D:$D,{"Deposit","Direct Deposit"}))</f>
        <v>5016.74</v>
      </c>
      <c r="K84" s="2" cm="1">
        <f t="array" ref="K84">SUM(SUMIFS(SOFI_SAVINGS!$E:$E,SOFI_SAVINGS!$A:$A,Summary!K$3,SOFI_SAVINGS!$D:$D,{"Deposit","Direct Deposit"}))</f>
        <v>5016.38</v>
      </c>
      <c r="L84" s="2" cm="1">
        <f t="array" ref="L84">SUM(SUMIFS(SOFI_SAVINGS!$E:$E,SOFI_SAVINGS!$A:$A,Summary!L$3,SOFI_SAVINGS!$D:$D,{"Deposit","Direct Deposit"}))</f>
        <v>5308.93</v>
      </c>
      <c r="M84" s="2" cm="1">
        <f t="array" ref="M84">SUM(SUMIFS(SOFI_SAVINGS!$E:$E,SOFI_SAVINGS!$A:$A,Summary!M$3,SOFI_SAVINGS!$D:$D,{"Deposit","Direct Deposit"}))</f>
        <v>4991.07</v>
      </c>
      <c r="N84" s="2" cm="1">
        <f t="array" ref="N84">SUM(SUMIFS(SOFI_SAVINGS!$E:$E,SOFI_SAVINGS!$A:$A,Summary!N$3,SOFI_SAVINGS!$D:$D,{"Deposit","Direct Deposit"}))</f>
        <v>8198.130000000001</v>
      </c>
      <c r="O84" s="2" cm="1">
        <f t="array" ref="O84">SUM(SUMIFS(SOFI_SAVINGS!$E:$E,SOFI_SAVINGS!$A:$A,Summary!O$3,SOFI_SAVINGS!$D:$D,{"Deposit","Direct Deposit"}))</f>
        <v>6465.43</v>
      </c>
      <c r="P84" s="2" cm="1">
        <f t="array" ref="P84">SUM(SUMIFS(SOFI_SAVINGS!$E:$E,SOFI_SAVINGS!$A:$A,Summary!P$3,SOFI_SAVINGS!$D:$D,{"Deposit","Direct Deposit"}))</f>
        <v>5465.4699999999993</v>
      </c>
    </row>
    <row r="85" spans="1:16" x14ac:dyDescent="0.25">
      <c r="E85" s="2">
        <f>SUMIFS('Wells Fargo'!$C:$C,'Wells Fargo'!$A:$A,Summary!E$3,'Wells Fargo'!$F:$F,"deposit")</f>
        <v>1018.68</v>
      </c>
      <c r="F85" s="2">
        <f>SUMIFS('Wells Fargo'!$C:$C,'Wells Fargo'!$A:$A,Summary!F$3,'Wells Fargo'!$F:$F,"deposit")</f>
        <v>267.17</v>
      </c>
      <c r="G85" s="2">
        <f>SUMIFS('Wells Fargo'!$C:$C,'Wells Fargo'!$A:$A,Summary!G$3,'Wells Fargo'!$F:$F,"deposit")</f>
        <v>689.05</v>
      </c>
      <c r="H85" s="2">
        <f>SUMIFS('Wells Fargo'!$C:$C,'Wells Fargo'!$A:$A,Summary!H$3,'Wells Fargo'!$F:$F,"deposit")</f>
        <v>797.06</v>
      </c>
      <c r="I85" s="2">
        <f>SUMIFS('Wells Fargo'!$C:$C,'Wells Fargo'!$A:$A,Summary!I$3,'Wells Fargo'!$F:$F,"deposit")</f>
        <v>797.06</v>
      </c>
      <c r="J85" s="2">
        <f>SUMIFS('Wells Fargo'!$C:$C,'Wells Fargo'!$A:$A,Summary!J$3,'Wells Fargo'!$F:$F,"deposit")</f>
        <v>797.06</v>
      </c>
      <c r="K85" s="2">
        <f>SUMIFS('Wells Fargo'!$C:$C,'Wells Fargo'!$A:$A,Summary!K$3,'Wells Fargo'!$F:$F,"deposit")</f>
        <v>797.06999999999994</v>
      </c>
      <c r="L85" s="2">
        <f>SUMIFS('Wells Fargo'!$C:$C,'Wells Fargo'!$A:$A,Summary!L$3,'Wells Fargo'!$F:$F,"deposit")</f>
        <v>936.87000000000012</v>
      </c>
      <c r="M85" s="2">
        <f>SUMIFS('Wells Fargo'!$C:$C,'Wells Fargo'!$A:$A,Summary!M$3,'Wells Fargo'!$F:$F,"deposit")</f>
        <v>880.78</v>
      </c>
      <c r="N85" s="2">
        <f>SUMIFS('Wells Fargo'!$C:$C,'Wells Fargo'!$A:$A,Summary!N$3,'Wells Fargo'!$F:$F,"deposit")</f>
        <v>964.48</v>
      </c>
      <c r="O85" s="2">
        <f>SUMIFS('Wells Fargo'!$C:$C,'Wells Fargo'!$A:$A,Summary!O$3,'Wells Fargo'!$F:$F,"deposit")</f>
        <v>1446.72</v>
      </c>
      <c r="P85" s="2">
        <f>SUMIFS('Wells Fargo'!$C:$C,'Wells Fargo'!$A:$A,Summary!P$3,'Wells Fargo'!$F:$F,"deposit")</f>
        <v>964.49</v>
      </c>
    </row>
    <row r="86" spans="1:16" x14ac:dyDescent="0.25">
      <c r="A86" t="s">
        <v>886</v>
      </c>
      <c r="D86" s="13">
        <f>SUM(E86:P86)</f>
        <v>79619.63</v>
      </c>
      <c r="E86" s="70">
        <f t="shared" ref="E86:J86" si="20">SUM(E84:E85)</f>
        <v>7044.27</v>
      </c>
      <c r="F86" s="70">
        <f t="shared" si="20"/>
        <v>4953.9400000000005</v>
      </c>
      <c r="G86" s="70">
        <f t="shared" si="20"/>
        <v>5793.63</v>
      </c>
      <c r="H86" s="70">
        <f t="shared" si="20"/>
        <v>6213.7999999999993</v>
      </c>
      <c r="I86" s="70">
        <f t="shared" si="20"/>
        <v>8364.369999999999</v>
      </c>
      <c r="J86" s="70">
        <f t="shared" si="20"/>
        <v>5813.7999999999993</v>
      </c>
      <c r="K86" s="70">
        <f t="shared" ref="K86:P86" si="21">SUM(K84:K85)</f>
        <v>5813.45</v>
      </c>
      <c r="L86" s="70">
        <f t="shared" si="21"/>
        <v>6245.8</v>
      </c>
      <c r="M86" s="70">
        <f t="shared" si="21"/>
        <v>5871.8499999999995</v>
      </c>
      <c r="N86" s="70">
        <f t="shared" si="21"/>
        <v>9162.61</v>
      </c>
      <c r="O86" s="70">
        <f t="shared" si="21"/>
        <v>7912.1500000000005</v>
      </c>
      <c r="P86" s="70">
        <f t="shared" si="21"/>
        <v>6429.9599999999991</v>
      </c>
    </row>
    <row r="87" spans="1:16" x14ac:dyDescent="0.25">
      <c r="A87" t="s">
        <v>887</v>
      </c>
      <c r="E87" s="30">
        <f>E81*-1/E86</f>
        <v>0.48871068258314893</v>
      </c>
      <c r="F87" s="30">
        <f t="shared" ref="F87:K87" si="22">F81*-1/F86</f>
        <v>0.67361332595873191</v>
      </c>
      <c r="G87" s="30">
        <f t="shared" si="22"/>
        <v>0.35773427022436699</v>
      </c>
      <c r="H87" s="30">
        <f t="shared" si="22"/>
        <v>0.68286555730792753</v>
      </c>
      <c r="I87" s="30">
        <f t="shared" si="22"/>
        <v>0.69876751028469564</v>
      </c>
      <c r="J87" s="30">
        <f t="shared" si="22"/>
        <v>0.84153393649592367</v>
      </c>
      <c r="K87" s="30">
        <f t="shared" si="22"/>
        <v>0.50161952025045364</v>
      </c>
      <c r="L87" s="30">
        <f t="shared" ref="L87:P87" si="23">L77*-1/L86</f>
        <v>0.40880751865253451</v>
      </c>
      <c r="M87" s="30">
        <f t="shared" si="23"/>
        <v>0.16586254757870178</v>
      </c>
      <c r="N87" s="30">
        <f t="shared" si="23"/>
        <v>0.39876301621481208</v>
      </c>
      <c r="O87" s="30">
        <f t="shared" si="23"/>
        <v>0.48680067996688631</v>
      </c>
      <c r="P87" s="30">
        <f t="shared" si="23"/>
        <v>0.75013996976653041</v>
      </c>
    </row>
    <row r="88" spans="1:16" x14ac:dyDescent="0.25">
      <c r="A88" t="s">
        <v>888</v>
      </c>
      <c r="E88" s="30">
        <f t="shared" ref="E88:P88" si="24">SUM(E45,E64,E74,E76)/E86</f>
        <v>0.25679027067389526</v>
      </c>
      <c r="F88" s="30">
        <f t="shared" si="24"/>
        <v>0.38979882679241162</v>
      </c>
      <c r="G88" s="30">
        <f t="shared" si="24"/>
        <v>0.49963666992887013</v>
      </c>
      <c r="H88" s="30">
        <f t="shared" si="24"/>
        <v>0.23958930123274005</v>
      </c>
      <c r="I88" s="30">
        <f t="shared" si="24"/>
        <v>0.345372096165043</v>
      </c>
      <c r="J88" s="30">
        <f t="shared" si="24"/>
        <v>0.2225257146788675</v>
      </c>
      <c r="K88" s="30">
        <f t="shared" si="24"/>
        <v>0.28826772398489708</v>
      </c>
      <c r="L88" s="30">
        <f t="shared" si="24"/>
        <v>0.2372266162861443</v>
      </c>
      <c r="M88" s="30">
        <f t="shared" si="24"/>
        <v>0.28075308463261156</v>
      </c>
      <c r="N88" s="30">
        <f t="shared" si="24"/>
        <v>0.17992035020589109</v>
      </c>
      <c r="O88" s="30">
        <f t="shared" si="24"/>
        <v>0.20835550387694873</v>
      </c>
      <c r="P88" s="30">
        <f t="shared" si="24"/>
        <v>0.25638417657341572</v>
      </c>
    </row>
    <row r="89" spans="1:16" x14ac:dyDescent="0.25">
      <c r="E89" s="71">
        <f t="shared" ref="E89:J89" si="25">SUM(E87:E88)</f>
        <v>0.74550095325704424</v>
      </c>
      <c r="F89" s="71">
        <f t="shared" si="25"/>
        <v>1.0634121527511435</v>
      </c>
      <c r="G89" s="71">
        <f t="shared" si="25"/>
        <v>0.85737094015323712</v>
      </c>
      <c r="H89" s="71">
        <f t="shared" si="25"/>
        <v>0.92245485854066755</v>
      </c>
      <c r="I89" s="71">
        <f t="shared" si="25"/>
        <v>1.0441396064497386</v>
      </c>
      <c r="J89" s="71">
        <f t="shared" si="25"/>
        <v>1.0640596511747913</v>
      </c>
      <c r="K89" s="71">
        <f t="shared" ref="K89:P89" si="26">SUM(K87:K88)</f>
        <v>0.78988724423535073</v>
      </c>
      <c r="L89" s="71">
        <f t="shared" si="26"/>
        <v>0.64603413493867878</v>
      </c>
      <c r="M89" s="71">
        <f t="shared" si="26"/>
        <v>0.44661563221131334</v>
      </c>
      <c r="N89" s="71">
        <f t="shared" si="26"/>
        <v>0.57868336642070317</v>
      </c>
      <c r="O89" s="71">
        <f t="shared" si="26"/>
        <v>0.69515618384383504</v>
      </c>
      <c r="P89" s="71">
        <f t="shared" si="26"/>
        <v>1.0065241463399461</v>
      </c>
    </row>
    <row r="91" spans="1:16" x14ac:dyDescent="0.25">
      <c r="E91" s="5">
        <f>E77/2</f>
        <v>-2038.9449999999995</v>
      </c>
      <c r="F91" s="5">
        <f t="shared" ref="F91:P91" si="27">F77/2</f>
        <v>-2151.4550000000004</v>
      </c>
      <c r="G91" s="5">
        <f t="shared" si="27"/>
        <v>-1630.1749999999997</v>
      </c>
      <c r="H91" s="5">
        <f t="shared" si="27"/>
        <v>-2466.6849999999999</v>
      </c>
      <c r="I91" s="5">
        <f t="shared" si="27"/>
        <v>-3453.1649999999995</v>
      </c>
      <c r="J91" s="5">
        <f t="shared" si="27"/>
        <v>-2518.7850000000003</v>
      </c>
      <c r="K91" s="5">
        <f t="shared" si="27"/>
        <v>-1542.3349999999998</v>
      </c>
      <c r="L91" s="5">
        <f t="shared" si="27"/>
        <v>-1276.665</v>
      </c>
      <c r="M91" s="5">
        <f t="shared" si="27"/>
        <v>-486.96</v>
      </c>
      <c r="N91" s="5">
        <f t="shared" si="27"/>
        <v>-1826.8549999999998</v>
      </c>
      <c r="O91" s="5">
        <f t="shared" si="27"/>
        <v>-1925.82</v>
      </c>
      <c r="P91" s="5">
        <f t="shared" si="27"/>
        <v>-2411.6849999999995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86F70-CDB8-4086-B790-5F8EB6895EBE}">
  <sheetPr>
    <tabColor theme="1"/>
  </sheetPr>
  <dimension ref="A1:AJ60"/>
  <sheetViews>
    <sheetView workbookViewId="0">
      <pane xSplit="2" ySplit="2" topLeftCell="C29" activePane="bottomRight" state="frozen"/>
      <selection pane="topRight" activeCell="C1" sqref="C1"/>
      <selection pane="bottomLeft" activeCell="A3" sqref="A3"/>
      <selection pane="bottomRight" activeCell="N41" sqref="N41"/>
    </sheetView>
  </sheetViews>
  <sheetFormatPr defaultRowHeight="15" x14ac:dyDescent="0.25"/>
  <cols>
    <col min="1" max="1" width="25.140625" customWidth="1"/>
    <col min="2" max="2" width="32.85546875" customWidth="1"/>
    <col min="3" max="4" width="10.42578125" bestFit="1" customWidth="1"/>
    <col min="5" max="5" width="11.28515625" bestFit="1" customWidth="1"/>
    <col min="6" max="6" width="10.42578125" bestFit="1" customWidth="1"/>
    <col min="7" max="7" width="11.28515625" bestFit="1" customWidth="1"/>
    <col min="8" max="8" width="10.42578125" bestFit="1" customWidth="1"/>
    <col min="9" max="9" width="10.5703125" bestFit="1" customWidth="1"/>
    <col min="10" max="10" width="11.28515625" bestFit="1" customWidth="1"/>
    <col min="11" max="14" width="10.5703125" bestFit="1" customWidth="1"/>
    <col min="17" max="17" width="15.42578125" bestFit="1" customWidth="1"/>
    <col min="18" max="18" width="11.85546875" bestFit="1" customWidth="1"/>
    <col min="19" max="19" width="16.28515625" bestFit="1" customWidth="1"/>
    <col min="20" max="20" width="19.42578125" bestFit="1" customWidth="1"/>
    <col min="21" max="21" width="16.140625" bestFit="1" customWidth="1"/>
    <col min="22" max="22" width="15.85546875" bestFit="1" customWidth="1"/>
    <col min="23" max="23" width="17.28515625" bestFit="1" customWidth="1"/>
  </cols>
  <sheetData>
    <row r="1" spans="1:36" ht="15.75" thickBot="1" x14ac:dyDescent="0.3">
      <c r="A1" s="33"/>
      <c r="B1" s="34" t="s">
        <v>132</v>
      </c>
      <c r="C1" s="35"/>
      <c r="D1" s="36">
        <v>2023</v>
      </c>
      <c r="E1" s="36">
        <v>2023</v>
      </c>
      <c r="F1" s="36">
        <v>2023</v>
      </c>
      <c r="G1" s="36">
        <v>2023</v>
      </c>
      <c r="H1" s="36">
        <v>2023</v>
      </c>
      <c r="I1" s="36">
        <v>2023</v>
      </c>
      <c r="J1" s="36">
        <v>2023</v>
      </c>
      <c r="K1" s="36">
        <v>2023</v>
      </c>
      <c r="L1" s="36">
        <v>2023</v>
      </c>
      <c r="M1" s="36">
        <v>2023</v>
      </c>
      <c r="N1" s="36">
        <v>2023</v>
      </c>
    </row>
    <row r="2" spans="1:36" ht="15.75" thickBot="1" x14ac:dyDescent="0.3">
      <c r="A2" s="33"/>
      <c r="B2" s="37" t="s">
        <v>685</v>
      </c>
      <c r="C2" s="38">
        <v>1</v>
      </c>
      <c r="D2" s="38">
        <f>C2+1</f>
        <v>2</v>
      </c>
      <c r="E2" s="38">
        <f t="shared" ref="E2:N2" si="0">D2+1</f>
        <v>3</v>
      </c>
      <c r="F2" s="38">
        <f t="shared" si="0"/>
        <v>4</v>
      </c>
      <c r="G2" s="38">
        <f t="shared" si="0"/>
        <v>5</v>
      </c>
      <c r="H2" s="38">
        <f t="shared" si="0"/>
        <v>6</v>
      </c>
      <c r="I2" s="38">
        <f t="shared" si="0"/>
        <v>7</v>
      </c>
      <c r="J2" s="38">
        <f t="shared" si="0"/>
        <v>8</v>
      </c>
      <c r="K2" s="38">
        <f t="shared" si="0"/>
        <v>9</v>
      </c>
      <c r="L2" s="38">
        <f t="shared" si="0"/>
        <v>10</v>
      </c>
      <c r="M2" s="38">
        <f t="shared" si="0"/>
        <v>11</v>
      </c>
      <c r="N2" s="38">
        <f t="shared" si="0"/>
        <v>12</v>
      </c>
    </row>
    <row r="3" spans="1:36" ht="15.75" thickBot="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36" x14ac:dyDescent="0.25">
      <c r="A4" s="111" t="s">
        <v>698</v>
      </c>
      <c r="B4" s="41" t="s">
        <v>106</v>
      </c>
      <c r="C4" s="88">
        <v>750</v>
      </c>
      <c r="D4" s="88">
        <v>750</v>
      </c>
      <c r="E4" s="88">
        <v>650</v>
      </c>
      <c r="F4" s="88">
        <v>650</v>
      </c>
      <c r="G4" s="88">
        <v>650</v>
      </c>
      <c r="H4" s="88">
        <v>650</v>
      </c>
      <c r="I4" s="88">
        <v>650</v>
      </c>
      <c r="J4" s="93">
        <v>650</v>
      </c>
      <c r="K4" s="93">
        <v>816.87</v>
      </c>
      <c r="L4" s="93">
        <v>816.87</v>
      </c>
      <c r="M4" s="93">
        <v>816.87</v>
      </c>
      <c r="N4" s="93">
        <v>816.87</v>
      </c>
    </row>
    <row r="5" spans="1:36" x14ac:dyDescent="0.25">
      <c r="A5" s="112"/>
      <c r="B5" s="41" t="s">
        <v>39</v>
      </c>
      <c r="C5" s="88">
        <f>SUM(SUMIFS('Discover Data'!$F:$F,'Discover Data'!$H:$H,$B5,'Discover Data'!$B:$B,'Detailed Summary'!C$2))</f>
        <v>111.63</v>
      </c>
      <c r="D5" s="88">
        <f>SUM(SUMIFS('Discover Data'!$F:$F,'Discover Data'!$H:$H,$B5,'Discover Data'!$B:$B,'Detailed Summary'!D$2))</f>
        <v>111.63</v>
      </c>
      <c r="E5" s="88">
        <f>SUM(SUMIFS('Discover Data'!$F:$F,'Discover Data'!$H:$H,$B5,'Discover Data'!$B:$B,'Detailed Summary'!E$2))</f>
        <v>111.63</v>
      </c>
      <c r="F5" s="88">
        <f>SUM(SUMIFS('Discover Data'!$F:$F,'Discover Data'!$H:$H,$B5,'Discover Data'!$B:$B,'Detailed Summary'!F$2))</f>
        <v>111.63</v>
      </c>
      <c r="G5" s="88">
        <f>SUM(SUMIFS('Discover Data'!$F:$F,'Discover Data'!$H:$H,$B5,'Discover Data'!$B:$B,'Detailed Summary'!G$2))</f>
        <v>111.63</v>
      </c>
      <c r="H5" s="88">
        <f>SUM(SUMIFS('Discover Data'!$F:$F,'Discover Data'!$H:$H,$B5,'Discover Data'!$B:$B,'Detailed Summary'!H$2))</f>
        <v>111.63</v>
      </c>
      <c r="I5" s="88">
        <f>SUM(SUMIFS('Discover Data'!$F:$F,'Discover Data'!$H:$H,$B5,'Discover Data'!$B:$B,'Detailed Summary'!I$2))</f>
        <v>232.39</v>
      </c>
      <c r="J5" s="88">
        <v>111.63</v>
      </c>
      <c r="K5" s="88">
        <v>111.63</v>
      </c>
      <c r="L5" s="88">
        <v>111.63</v>
      </c>
      <c r="M5" s="88">
        <v>111.63</v>
      </c>
      <c r="N5" s="88">
        <v>111.63</v>
      </c>
    </row>
    <row r="6" spans="1:36" x14ac:dyDescent="0.25">
      <c r="A6" s="112"/>
      <c r="B6" s="41" t="s">
        <v>51</v>
      </c>
      <c r="C6" s="88">
        <f>SUM(SUMIFS('Discover Data'!$F:$F,'Discover Data'!$H:$H,$B6,'Discover Data'!$B:$B,'Detailed Summary'!C$2))</f>
        <v>90.09</v>
      </c>
      <c r="D6" s="88">
        <f>SUM(SUMIFS('Discover Data'!$F:$F,'Discover Data'!$H:$H,$B6,'Discover Data'!$B:$B,'Detailed Summary'!D$2))</f>
        <v>178.11</v>
      </c>
      <c r="E6" s="88">
        <f>SUM(SUMIFS('Discover Data'!$F:$F,'Discover Data'!$H:$H,$B6,'Discover Data'!$B:$B,'Detailed Summary'!E$2))</f>
        <v>0</v>
      </c>
      <c r="F6" s="88">
        <f>SUM(SUMIFS('Discover Data'!$F:$F,'Discover Data'!$H:$H,$B6,'Discover Data'!$B:$B,'Detailed Summary'!F$2))</f>
        <v>80.040000000000006</v>
      </c>
      <c r="G6" s="88">
        <f>SUM(SUMIFS('Discover Data'!$F:$F,'Discover Data'!$H:$H,$B6,'Discover Data'!$B:$B,'Detailed Summary'!G$2))</f>
        <v>88.02</v>
      </c>
      <c r="H6" s="88">
        <f>SUM(SUMIFS('Discover Data'!$F:$F,'Discover Data'!$H:$H,$B6,'Discover Data'!$B:$B,'Detailed Summary'!H$2))</f>
        <v>88.02</v>
      </c>
      <c r="I6" s="88">
        <f>SUM(SUMIFS('Discover Data'!$F:$F,'Discover Data'!$H:$H,$B6,'Discover Data'!$B:$B,'Detailed Summary'!I$2))</f>
        <v>88.02</v>
      </c>
      <c r="J6" s="88">
        <f>SUM(SUMIFS('Discover Data'!$F:$F,'Discover Data'!$H:$H,$B6,'Discover Data'!$B:$B,'Detailed Summary'!J$2))</f>
        <v>90.83</v>
      </c>
      <c r="K6" s="88">
        <f>J6</f>
        <v>90.83</v>
      </c>
      <c r="L6" s="88">
        <f t="shared" ref="L6:N6" si="1">K6</f>
        <v>90.83</v>
      </c>
      <c r="M6" s="88">
        <f t="shared" si="1"/>
        <v>90.83</v>
      </c>
      <c r="N6" s="88">
        <f t="shared" si="1"/>
        <v>90.83</v>
      </c>
    </row>
    <row r="7" spans="1:36" x14ac:dyDescent="0.25">
      <c r="A7" s="112"/>
      <c r="B7" s="41" t="s">
        <v>110</v>
      </c>
      <c r="C7" s="40"/>
      <c r="D7" s="40"/>
      <c r="E7" s="40"/>
      <c r="F7" s="40"/>
      <c r="G7" s="40"/>
      <c r="H7" s="40"/>
      <c r="I7" s="40"/>
      <c r="J7" s="94"/>
      <c r="K7" s="94"/>
      <c r="L7" s="94"/>
      <c r="M7" s="94"/>
      <c r="N7" s="94"/>
    </row>
    <row r="8" spans="1:36" ht="15.75" thickBot="1" x14ac:dyDescent="0.3">
      <c r="A8" s="112"/>
      <c r="B8" s="37" t="s">
        <v>980</v>
      </c>
      <c r="C8" s="89"/>
      <c r="D8" s="89"/>
      <c r="E8" s="89"/>
      <c r="F8" s="89"/>
      <c r="G8" s="89"/>
      <c r="H8" s="89">
        <v>1814.85</v>
      </c>
      <c r="I8" s="89">
        <v>1803.4</v>
      </c>
      <c r="J8" s="95">
        <v>1803.4</v>
      </c>
      <c r="K8" s="89">
        <v>1803.4</v>
      </c>
      <c r="L8" s="95">
        <v>1803.4</v>
      </c>
      <c r="M8" s="95">
        <v>1803.4</v>
      </c>
      <c r="N8" s="95">
        <v>1803.4</v>
      </c>
      <c r="AJ8" t="s">
        <v>45</v>
      </c>
    </row>
    <row r="9" spans="1:36" x14ac:dyDescent="0.25">
      <c r="A9" s="111" t="s">
        <v>700</v>
      </c>
      <c r="B9" s="33" t="s">
        <v>135</v>
      </c>
      <c r="C9" s="88">
        <f>SUM(SUMIFS('Discover Data'!$F:$F,'Discover Data'!$H:$H,$B9,'Discover Data'!$B:$B,'Detailed Summary'!C$2))</f>
        <v>9.99</v>
      </c>
      <c r="D9" s="88">
        <f>SUM(SUMIFS('Discover Data'!$F:$F,'Discover Data'!$H:$H,$B9,'Discover Data'!$B:$B,'Detailed Summary'!D$2))</f>
        <v>9.99</v>
      </c>
      <c r="E9" s="88">
        <f>SUM(SUMIFS('Discover Data'!$F:$F,'Discover Data'!$H:$H,$B9,'Discover Data'!$B:$B,'Detailed Summary'!E$2))</f>
        <v>9.99</v>
      </c>
      <c r="F9" s="88">
        <f>SUM(SUMIFS('Discover Data'!$F:$F,'Discover Data'!$H:$H,$B9,'Discover Data'!$B:$B,'Detailed Summary'!F$2))</f>
        <v>9.99</v>
      </c>
      <c r="G9" s="88">
        <f>SUM(SUMIFS('Discover Data'!$F:$F,'Discover Data'!$H:$H,$B9,'Discover Data'!$B:$B,'Detailed Summary'!G$2))</f>
        <v>9.99</v>
      </c>
      <c r="H9" s="88">
        <f>SUM(SUMIFS('Discover Data'!$F:$F,'Discover Data'!$H:$H,$B9,'Discover Data'!$B:$B,'Detailed Summary'!H$2))</f>
        <v>9.99</v>
      </c>
      <c r="I9" s="88">
        <f>SUM(SUMIFS('Discover Data'!$F:$F,'Discover Data'!$H:$H,$B9,'Discover Data'!$B:$B,'Detailed Summary'!I$2))</f>
        <v>9.99</v>
      </c>
      <c r="J9" s="88">
        <f>SUM(SUMIFS('Discover Data'!$F:$F,'Discover Data'!$H:$H,$B9,'Discover Data'!$B:$B,'Detailed Summary'!J$2))</f>
        <v>9.99</v>
      </c>
      <c r="K9" s="88">
        <f>SUM(SUMIFS('Discover Data'!$F:$F,'Discover Data'!$H:$H,$B9,'Discover Data'!$B:$B,'Detailed Summary'!K$2))</f>
        <v>9.99</v>
      </c>
      <c r="L9" s="88">
        <f>SUM(SUMIFS('Discover Data'!$F:$F,'Discover Data'!$H:$H,$B9,'Discover Data'!$B:$B,'Detailed Summary'!L$2))</f>
        <v>9.99</v>
      </c>
      <c r="M9" s="88">
        <f>SUM(SUMIFS('Discover Data'!$F:$F,'Discover Data'!$H:$H,$B9,'Discover Data'!$B:$B,'Detailed Summary'!M$2))</f>
        <v>9.99</v>
      </c>
      <c r="N9" s="88">
        <f>SUM(SUMIFS('Discover Data'!$F:$F,'Discover Data'!$H:$H,$B9,'Discover Data'!$B:$B,'Detailed Summary'!N$2))</f>
        <v>9.99</v>
      </c>
    </row>
    <row r="10" spans="1:36" x14ac:dyDescent="0.25">
      <c r="A10" s="112"/>
      <c r="B10" s="41" t="s">
        <v>41</v>
      </c>
      <c r="C10" s="88">
        <f>SUM(SUMIFS('Discover Data'!$F:$F,'Discover Data'!$H:$H,$B10,'Discover Data'!$B:$B,'Detailed Summary'!C$2))</f>
        <v>0</v>
      </c>
      <c r="D10" s="88">
        <f>SUM(SUMIFS('Discover Data'!$F:$F,'Discover Data'!$H:$H,$B10,'Discover Data'!$B:$B,'Detailed Summary'!D$2))</f>
        <v>0</v>
      </c>
      <c r="E10" s="88">
        <f>SUM(SUMIFS('Discover Data'!$F:$F,'Discover Data'!$H:$H,$B10,'Discover Data'!$B:$B,'Detailed Summary'!E$2))</f>
        <v>5.29</v>
      </c>
      <c r="F10" s="88">
        <f>SUM(SUMIFS('Discover Data'!$F:$F,'Discover Data'!$H:$H,$B10,'Discover Data'!$B:$B,'Detailed Summary'!F$2))</f>
        <v>7.41</v>
      </c>
      <c r="G10" s="88">
        <f>SUM(SUMIFS('Discover Data'!$F:$F,'Discover Data'!$H:$H,$B10,'Discover Data'!$B:$B,'Detailed Summary'!G$2))</f>
        <v>7.41</v>
      </c>
      <c r="H10" s="88">
        <f>SUM(SUMIFS('Discover Data'!$F:$F,'Discover Data'!$H:$H,$B10,'Discover Data'!$B:$B,'Detailed Summary'!H$2))</f>
        <v>7.41</v>
      </c>
      <c r="I10" s="88">
        <f>SUM(SUMIFS('Discover Data'!$F:$F,'Discover Data'!$H:$H,$B10,'Discover Data'!$B:$B,'Detailed Summary'!I$2))</f>
        <v>0</v>
      </c>
      <c r="J10" s="88">
        <f>SUM(SUMIFS('Discover Data'!$F:$F,'Discover Data'!$H:$H,$B10,'Discover Data'!$B:$B,'Detailed Summary'!J$2))</f>
        <v>0</v>
      </c>
      <c r="K10" s="88">
        <f>SUM(SUMIFS('Discover Data'!$F:$F,'Discover Data'!$H:$H,$B10,'Discover Data'!$B:$B,'Detailed Summary'!K$2))</f>
        <v>0</v>
      </c>
      <c r="L10" s="88">
        <f>SUM(SUMIFS('Discover Data'!$F:$F,'Discover Data'!$H:$H,$B10,'Discover Data'!$B:$B,'Detailed Summary'!L$2))</f>
        <v>0</v>
      </c>
      <c r="M10" s="88">
        <f>SUM(SUMIFS('Discover Data'!$F:$F,'Discover Data'!$H:$H,$B10,'Discover Data'!$B:$B,'Detailed Summary'!M$2))</f>
        <v>0</v>
      </c>
      <c r="N10" s="88">
        <f>SUM(SUMIFS('Discover Data'!$F:$F,'Discover Data'!$H:$H,$B10,'Discover Data'!$B:$B,'Detailed Summary'!N$2))</f>
        <v>0</v>
      </c>
    </row>
    <row r="11" spans="1:36" x14ac:dyDescent="0.25">
      <c r="A11" s="112"/>
      <c r="B11" s="41" t="s">
        <v>597</v>
      </c>
      <c r="C11" s="88">
        <f>SUM(SUMIFS('Discover Data'!$F:$F,'Discover Data'!$H:$H,$B11,'Discover Data'!$B:$B,'Detailed Summary'!C$2))</f>
        <v>0</v>
      </c>
      <c r="D11" s="88">
        <f>SUM(SUMIFS('Discover Data'!$F:$F,'Discover Data'!$H:$H,$B11,'Discover Data'!$B:$B,'Detailed Summary'!D$2))</f>
        <v>0</v>
      </c>
      <c r="E11" s="88">
        <f>SUM(SUMIFS('Discover Data'!$F:$F,'Discover Data'!$H:$H,$B11,'Discover Data'!$B:$B,'Detailed Summary'!E$2))</f>
        <v>0</v>
      </c>
      <c r="F11" s="88">
        <f>SUM(SUMIFS('Discover Data'!$F:$F,'Discover Data'!$H:$H,$B11,'Discover Data'!$B:$B,'Detailed Summary'!F$2))</f>
        <v>0</v>
      </c>
      <c r="G11" s="88">
        <f>SUM(SUMIFS('Discover Data'!$F:$F,'Discover Data'!$H:$H,$B11,'Discover Data'!$B:$B,'Detailed Summary'!G$2))</f>
        <v>38.14</v>
      </c>
      <c r="H11" s="88">
        <f>SUM(SUMIFS('Discover Data'!$F:$F,'Discover Data'!$H:$H,$B11,'Discover Data'!$B:$B,'Detailed Summary'!H$2))</f>
        <v>0</v>
      </c>
      <c r="I11" s="88">
        <f>SUM(SUMIFS('Discover Data'!$F:$F,'Discover Data'!$H:$H,$B11,'Discover Data'!$B:$B,'Detailed Summary'!I$2))</f>
        <v>0</v>
      </c>
      <c r="J11" s="88">
        <f>SUM(SUMIFS('Discover Data'!$F:$F,'Discover Data'!$H:$H,$B11,'Discover Data'!$B:$B,'Detailed Summary'!J$2))</f>
        <v>0</v>
      </c>
      <c r="K11" s="88">
        <f>SUM(SUMIFS('Discover Data'!$F:$F,'Discover Data'!$H:$H,$B11,'Discover Data'!$B:$B,'Detailed Summary'!K$2))</f>
        <v>0</v>
      </c>
      <c r="L11" s="88">
        <f>SUM(SUMIFS('Discover Data'!$F:$F,'Discover Data'!$H:$H,$B11,'Discover Data'!$B:$B,'Detailed Summary'!L$2))</f>
        <v>0</v>
      </c>
      <c r="M11" s="88">
        <f>SUM(SUMIFS('Discover Data'!$F:$F,'Discover Data'!$H:$H,$B11,'Discover Data'!$B:$B,'Detailed Summary'!M$2))</f>
        <v>0</v>
      </c>
      <c r="N11" s="88">
        <f>SUM(SUMIFS('Discover Data'!$F:$F,'Discover Data'!$H:$H,$B11,'Discover Data'!$B:$B,'Detailed Summary'!N$2))</f>
        <v>0</v>
      </c>
    </row>
    <row r="12" spans="1:36" x14ac:dyDescent="0.25">
      <c r="A12" s="112"/>
      <c r="B12" s="41" t="s">
        <v>44</v>
      </c>
      <c r="C12" s="88">
        <f>SUM(SUMIFS('Discover Data'!$F:$F,'Discover Data'!$H:$H,$B12,'Discover Data'!$B:$B,'Detailed Summary'!C$2))</f>
        <v>10</v>
      </c>
      <c r="D12" s="88">
        <f>SUM(SUMIFS('Discover Data'!$F:$F,'Discover Data'!$H:$H,$B12,'Discover Data'!$B:$B,'Detailed Summary'!D$2))</f>
        <v>10</v>
      </c>
      <c r="E12" s="88">
        <f>SUM(SUMIFS('Discover Data'!$F:$F,'Discover Data'!$H:$H,$B12,'Discover Data'!$B:$B,'Detailed Summary'!E$2))</f>
        <v>10</v>
      </c>
      <c r="F12" s="88">
        <f>SUM(SUMIFS('Discover Data'!$F:$F,'Discover Data'!$H:$H,$B12,'Discover Data'!$B:$B,'Detailed Summary'!F$2))</f>
        <v>10</v>
      </c>
      <c r="G12" s="88">
        <f>SUM(SUMIFS('Discover Data'!$F:$F,'Discover Data'!$H:$H,$B12,'Discover Data'!$B:$B,'Detailed Summary'!G$2))</f>
        <v>10</v>
      </c>
      <c r="H12" s="88">
        <f>SUM(SUMIFS('Discover Data'!$F:$F,'Discover Data'!$H:$H,$B12,'Discover Data'!$B:$B,'Detailed Summary'!H$2))</f>
        <v>10</v>
      </c>
      <c r="I12" s="88">
        <f>SUM(SUMIFS('Discover Data'!$F:$F,'Discover Data'!$H:$H,$B12,'Discover Data'!$B:$B,'Detailed Summary'!I$2))</f>
        <v>10</v>
      </c>
      <c r="J12" s="88">
        <f>SUM(SUMIFS('Discover Data'!$F:$F,'Discover Data'!$H:$H,$B12,'Discover Data'!$B:$B,'Detailed Summary'!J$2))</f>
        <v>10</v>
      </c>
      <c r="K12" s="88">
        <f>SUM(SUMIFS('Discover Data'!$F:$F,'Discover Data'!$H:$H,$B12,'Discover Data'!$B:$B,'Detailed Summary'!K$2))</f>
        <v>10</v>
      </c>
      <c r="L12" s="88">
        <f>SUM(SUMIFS('Discover Data'!$F:$F,'Discover Data'!$H:$H,$B12,'Discover Data'!$B:$B,'Detailed Summary'!L$2))</f>
        <v>10</v>
      </c>
      <c r="M12" s="88">
        <f>SUM(SUMIFS('Discover Data'!$F:$F,'Discover Data'!$H:$H,$B12,'Discover Data'!$B:$B,'Detailed Summary'!M$2))</f>
        <v>10</v>
      </c>
      <c r="N12" s="88">
        <f>SUM(SUMIFS('Discover Data'!$F:$F,'Discover Data'!$H:$H,$B12,'Discover Data'!$B:$B,'Detailed Summary'!N$2))</f>
        <v>10</v>
      </c>
    </row>
    <row r="13" spans="1:36" x14ac:dyDescent="0.25">
      <c r="A13" s="112"/>
      <c r="B13" s="41" t="s">
        <v>340</v>
      </c>
      <c r="C13" s="88">
        <f>SUM(SUMIFS('Discover Data'!$F:$F,'Discover Data'!$H:$H,$B13,'Discover Data'!$B:$B,'Detailed Summary'!C$2))</f>
        <v>0</v>
      </c>
      <c r="D13" s="88">
        <f>SUM(SUMIFS('Discover Data'!$F:$F,'Discover Data'!$H:$H,$B13,'Discover Data'!$B:$B,'Detailed Summary'!D$2))</f>
        <v>0</v>
      </c>
      <c r="E13" s="88">
        <f>SUM(SUMIFS('Discover Data'!$F:$F,'Discover Data'!$H:$H,$B13,'Discover Data'!$B:$B,'Detailed Summary'!E$2))</f>
        <v>0</v>
      </c>
      <c r="F13" s="88">
        <f>SUM(SUMIFS('Discover Data'!$F:$F,'Discover Data'!$H:$H,$B13,'Discover Data'!$B:$B,'Detailed Summary'!F$2))</f>
        <v>0</v>
      </c>
      <c r="G13" s="88">
        <f>SUM(SUMIFS('Discover Data'!$F:$F,'Discover Data'!$H:$H,$B13,'Discover Data'!$B:$B,'Detailed Summary'!G$2))</f>
        <v>20</v>
      </c>
      <c r="H13" s="88">
        <f>SUM(SUMIFS('Discover Data'!$F:$F,'Discover Data'!$H:$H,$B13,'Discover Data'!$B:$B,'Detailed Summary'!H$2))</f>
        <v>20</v>
      </c>
      <c r="I13" s="88">
        <f>SUM(SUMIFS('Discover Data'!$F:$F,'Discover Data'!$H:$H,$B13,'Discover Data'!$B:$B,'Detailed Summary'!I$2))</f>
        <v>20</v>
      </c>
      <c r="J13" s="88">
        <f>SUM(SUMIFS('Discover Data'!$F:$F,'Discover Data'!$H:$H,$B13,'Discover Data'!$B:$B,'Detailed Summary'!J$2))</f>
        <v>20</v>
      </c>
      <c r="K13" s="88">
        <f>SUM(SUMIFS('Discover Data'!$F:$F,'Discover Data'!$H:$H,$B13,'Discover Data'!$B:$B,'Detailed Summary'!K$2))</f>
        <v>20</v>
      </c>
      <c r="L13" s="88">
        <f>SUM(SUMIFS('Discover Data'!$F:$F,'Discover Data'!$H:$H,$B13,'Discover Data'!$B:$B,'Detailed Summary'!L$2))</f>
        <v>20</v>
      </c>
      <c r="M13" s="88">
        <f>SUM(SUMIFS('Discover Data'!$F:$F,'Discover Data'!$H:$H,$B13,'Discover Data'!$B:$B,'Detailed Summary'!M$2))</f>
        <v>20</v>
      </c>
      <c r="N13" s="88">
        <f>SUM(SUMIFS('Discover Data'!$F:$F,'Discover Data'!$H:$H,$B13,'Discover Data'!$B:$B,'Detailed Summary'!N$2))</f>
        <v>20</v>
      </c>
    </row>
    <row r="14" spans="1:36" x14ac:dyDescent="0.25">
      <c r="A14" s="112"/>
      <c r="B14" s="41" t="s">
        <v>145</v>
      </c>
      <c r="C14" s="88">
        <f>SUM(SUMIFS('Discover Data'!$F:$F,'Discover Data'!$H:$H,$B14,'Discover Data'!$B:$B,'Detailed Summary'!C$2))</f>
        <v>49</v>
      </c>
      <c r="D14" s="88">
        <f>SUM(SUMIFS('Discover Data'!$F:$F,'Discover Data'!$H:$H,$B14,'Discover Data'!$B:$B,'Detailed Summary'!D$2))</f>
        <v>98</v>
      </c>
      <c r="E14" s="88">
        <f>SUM(SUMIFS('Discover Data'!$F:$F,'Discover Data'!$H:$H,$B14,'Discover Data'!$B:$B,'Detailed Summary'!E$2))</f>
        <v>98</v>
      </c>
      <c r="F14" s="88">
        <f>SUM(SUMIFS('Discover Data'!$F:$F,'Discover Data'!$H:$H,$B14,'Discover Data'!$B:$B,'Detailed Summary'!F$2))</f>
        <v>0</v>
      </c>
      <c r="G14" s="88">
        <f>SUM(SUMIFS('Discover Data'!$F:$F,'Discover Data'!$H:$H,$B14,'Discover Data'!$B:$B,'Detailed Summary'!G$2))</f>
        <v>98</v>
      </c>
      <c r="H14" s="88">
        <f>SUM(SUMIFS('Discover Data'!$F:$F,'Discover Data'!$H:$H,$B14,'Discover Data'!$B:$B,'Detailed Summary'!H$2))</f>
        <v>0</v>
      </c>
      <c r="I14" s="88">
        <f>SUM(SUMIFS('Discover Data'!$F:$F,'Discover Data'!$H:$H,$B14,'Discover Data'!$B:$B,'Detailed Summary'!I$2))</f>
        <v>0</v>
      </c>
      <c r="J14" s="88">
        <f>SUM(SUMIFS('Discover Data'!$F:$F,'Discover Data'!$H:$H,$B14,'Discover Data'!$B:$B,'Detailed Summary'!J$2))</f>
        <v>49</v>
      </c>
      <c r="K14" s="88">
        <f>SUM(SUMIFS('Discover Data'!$F:$F,'Discover Data'!$H:$H,$B14,'Discover Data'!$B:$B,'Detailed Summary'!K$2))</f>
        <v>0</v>
      </c>
      <c r="L14" s="88">
        <f>SUM(SUMIFS('Discover Data'!$F:$F,'Discover Data'!$H:$H,$B14,'Discover Data'!$B:$B,'Detailed Summary'!L$2))</f>
        <v>0</v>
      </c>
      <c r="M14" s="88">
        <f>SUM(SUMIFS('Discover Data'!$F:$F,'Discover Data'!$H:$H,$B14,'Discover Data'!$B:$B,'Detailed Summary'!M$2))</f>
        <v>0</v>
      </c>
      <c r="N14" s="88">
        <f>SUM(SUMIFS('Discover Data'!$F:$F,'Discover Data'!$H:$H,$B14,'Discover Data'!$B:$B,'Detailed Summary'!N$2))</f>
        <v>0</v>
      </c>
    </row>
    <row r="15" spans="1:36" x14ac:dyDescent="0.25">
      <c r="A15" s="112"/>
      <c r="B15" s="41" t="s">
        <v>56</v>
      </c>
      <c r="C15" s="88">
        <f>SUM(SUMIFS('Discover Data'!$F:$F,'Discover Data'!$H:$H,$B15,'Discover Data'!$B:$B,'Detailed Summary'!C$2))</f>
        <v>7.99</v>
      </c>
      <c r="D15" s="88">
        <f>SUM(SUMIFS('Discover Data'!$F:$F,'Discover Data'!$H:$H,$B15,'Discover Data'!$B:$B,'Detailed Summary'!D$2))</f>
        <v>7.99</v>
      </c>
      <c r="E15" s="88">
        <f>SUM(SUMIFS('Discover Data'!$F:$F,'Discover Data'!$H:$H,$B15,'Discover Data'!$B:$B,'Detailed Summary'!E$2))</f>
        <v>7.99</v>
      </c>
      <c r="F15" s="88">
        <f>SUM(SUMIFS('Discover Data'!$F:$F,'Discover Data'!$H:$H,$B15,'Discover Data'!$B:$B,'Detailed Summary'!F$2))</f>
        <v>7.99</v>
      </c>
      <c r="G15" s="88">
        <f>SUM(SUMIFS('Discover Data'!$F:$F,'Discover Data'!$H:$H,$B15,'Discover Data'!$B:$B,'Detailed Summary'!G$2))</f>
        <v>7.99</v>
      </c>
      <c r="H15" s="88">
        <f>SUM(SUMIFS('Discover Data'!$F:$F,'Discover Data'!$H:$H,$B15,'Discover Data'!$B:$B,'Detailed Summary'!H$2))</f>
        <v>7.99</v>
      </c>
      <c r="I15" s="88">
        <f>SUM(SUMIFS('Discover Data'!$F:$F,'Discover Data'!$H:$H,$B15,'Discover Data'!$B:$B,'Detailed Summary'!I$2))</f>
        <v>7.99</v>
      </c>
      <c r="J15" s="88">
        <f>SUM(SUMIFS('Discover Data'!$F:$F,'Discover Data'!$H:$H,$B15,'Discover Data'!$B:$B,'Detailed Summary'!J$2))</f>
        <v>7.99</v>
      </c>
      <c r="K15" s="88">
        <f>J15</f>
        <v>7.99</v>
      </c>
      <c r="L15" s="88">
        <f t="shared" ref="L15:N15" si="2">K15</f>
        <v>7.99</v>
      </c>
      <c r="M15" s="88">
        <f t="shared" si="2"/>
        <v>7.99</v>
      </c>
      <c r="N15" s="88">
        <f t="shared" si="2"/>
        <v>7.99</v>
      </c>
    </row>
    <row r="16" spans="1:36" x14ac:dyDescent="0.25">
      <c r="A16" s="112"/>
      <c r="B16" s="41" t="s">
        <v>501</v>
      </c>
      <c r="C16" s="88">
        <f>SUM(SUMIFS('Discover Data'!$F:$F,'Discover Data'!$H:$H,$B16,'Discover Data'!$B:$B,'Detailed Summary'!C$2))</f>
        <v>0</v>
      </c>
      <c r="D16" s="88">
        <f>SUM(SUMIFS('Discover Data'!$F:$F,'Discover Data'!$H:$H,$B16,'Discover Data'!$B:$B,'Detailed Summary'!D$2))</f>
        <v>0</v>
      </c>
      <c r="E16" s="88">
        <f>SUM(SUMIFS('Discover Data'!$F:$F,'Discover Data'!$H:$H,$B16,'Discover Data'!$B:$B,'Detailed Summary'!E$2))</f>
        <v>109.99</v>
      </c>
      <c r="F16" s="88">
        <f>SUM(SUMIFS('Discover Data'!$F:$F,'Discover Data'!$H:$H,$B16,'Discover Data'!$B:$B,'Detailed Summary'!F$2))</f>
        <v>0</v>
      </c>
      <c r="G16" s="88">
        <f>SUM(SUMIFS('Discover Data'!$F:$F,'Discover Data'!$H:$H,$B16,'Discover Data'!$B:$B,'Detailed Summary'!G$2))</f>
        <v>0</v>
      </c>
      <c r="H16" s="88">
        <f>SUM(SUMIFS('Discover Data'!$F:$F,'Discover Data'!$H:$H,$B16,'Discover Data'!$B:$B,'Detailed Summary'!H$2))</f>
        <v>0</v>
      </c>
      <c r="I16" s="88">
        <f>SUM(SUMIFS('Discover Data'!$F:$F,'Discover Data'!$H:$H,$B16,'Discover Data'!$B:$B,'Detailed Summary'!I$2))</f>
        <v>0</v>
      </c>
      <c r="J16" s="88">
        <f>SUM(SUMIFS('Discover Data'!$F:$F,'Discover Data'!$H:$H,$B16,'Discover Data'!$B:$B,'Detailed Summary'!J$2))</f>
        <v>0</v>
      </c>
      <c r="K16" s="88">
        <f>SUM(SUMIFS('Discover Data'!$F:$F,'Discover Data'!$H:$H,$B16,'Discover Data'!$B:$B,'Detailed Summary'!K$2))</f>
        <v>0</v>
      </c>
      <c r="L16" s="88">
        <f>SUM(SUMIFS('Discover Data'!$F:$F,'Discover Data'!$H:$H,$B16,'Discover Data'!$B:$B,'Detailed Summary'!L$2))</f>
        <v>0</v>
      </c>
      <c r="M16" s="88">
        <f>SUM(SUMIFS('Discover Data'!$F:$F,'Discover Data'!$H:$H,$B16,'Discover Data'!$B:$B,'Detailed Summary'!M$2))</f>
        <v>0</v>
      </c>
      <c r="N16" s="88">
        <f>SUM(SUMIFS('Discover Data'!$F:$F,'Discover Data'!$H:$H,$B16,'Discover Data'!$B:$B,'Detailed Summary'!N$2))</f>
        <v>0</v>
      </c>
    </row>
    <row r="17" spans="1:14" x14ac:dyDescent="0.25">
      <c r="A17" s="112"/>
      <c r="B17" s="41" t="s">
        <v>33</v>
      </c>
      <c r="C17" s="88">
        <f>SUM(SUMIFS('Discover Data'!$F:$F,'Discover Data'!$H:$H,$B17,'Discover Data'!$B:$B,'Detailed Summary'!C$2))</f>
        <v>15.89</v>
      </c>
      <c r="D17" s="88">
        <f>SUM(SUMIFS('Discover Data'!$F:$F,'Discover Data'!$H:$H,$B17,'Discover Data'!$B:$B,'Detailed Summary'!D$2))</f>
        <v>15.89</v>
      </c>
      <c r="E17" s="88">
        <f>SUM(SUMIFS('Discover Data'!$F:$F,'Discover Data'!$H:$H,$B17,'Discover Data'!$B:$B,'Detailed Summary'!E$2))</f>
        <v>16.95</v>
      </c>
      <c r="F17" s="88">
        <f>SUM(SUMIFS('Discover Data'!$F:$F,'Discover Data'!$H:$H,$B17,'Discover Data'!$B:$B,'Detailed Summary'!F$2))</f>
        <v>28.31</v>
      </c>
      <c r="G17" s="88">
        <f>SUM(SUMIFS('Discover Data'!$F:$F,'Discover Data'!$H:$H,$B17,'Discover Data'!$B:$B,'Detailed Summary'!G$2))</f>
        <v>16.95</v>
      </c>
      <c r="H17" s="88">
        <f>SUM(SUMIFS('Discover Data'!$F:$F,'Discover Data'!$H:$H,$B17,'Discover Data'!$B:$B,'Detailed Summary'!H$2))</f>
        <v>20.12</v>
      </c>
      <c r="I17" s="88">
        <f>SUM(SUMIFS('Discover Data'!$F:$F,'Discover Data'!$H:$H,$B17,'Discover Data'!$B:$B,'Detailed Summary'!I$2))</f>
        <v>16.95</v>
      </c>
      <c r="J17" s="88">
        <f>SUM(SUMIFS('Discover Data'!$F:$F,'Discover Data'!$H:$H,$B17,'Discover Data'!$B:$B,'Detailed Summary'!J$2))</f>
        <v>16.95</v>
      </c>
      <c r="K17" s="88">
        <f>J17</f>
        <v>16.95</v>
      </c>
      <c r="L17" s="88">
        <f t="shared" ref="L17:N17" si="3">K17</f>
        <v>16.95</v>
      </c>
      <c r="M17" s="88">
        <f t="shared" si="3"/>
        <v>16.95</v>
      </c>
      <c r="N17" s="88">
        <f t="shared" si="3"/>
        <v>16.95</v>
      </c>
    </row>
    <row r="18" spans="1:14" x14ac:dyDescent="0.25">
      <c r="A18" s="112"/>
      <c r="B18" s="41" t="s">
        <v>632</v>
      </c>
      <c r="C18" s="88">
        <f>SUM(SUMIFS('Discover Data'!$F:$F,'Discover Data'!$H:$H,$B18,'Discover Data'!$B:$B,'Detailed Summary'!C$2))</f>
        <v>0</v>
      </c>
      <c r="D18" s="88">
        <f>SUM(SUMIFS('Discover Data'!$F:$F,'Discover Data'!$H:$H,$B18,'Discover Data'!$B:$B,'Detailed Summary'!D$2))</f>
        <v>0</v>
      </c>
      <c r="E18" s="88">
        <f>SUM(SUMIFS('Discover Data'!$F:$F,'Discover Data'!$H:$H,$B18,'Discover Data'!$B:$B,'Detailed Summary'!E$2))</f>
        <v>0</v>
      </c>
      <c r="F18" s="88">
        <f>SUM(SUMIFS('Discover Data'!$F:$F,'Discover Data'!$H:$H,$B18,'Discover Data'!$B:$B,'Detailed Summary'!F$2))</f>
        <v>0</v>
      </c>
      <c r="G18" s="88">
        <f>SUM(SUMIFS('Discover Data'!$F:$F,'Discover Data'!$H:$H,$B18,'Discover Data'!$B:$B,'Detailed Summary'!G$2))</f>
        <v>3.17</v>
      </c>
      <c r="H18" s="88">
        <f>SUM(SUMIFS('Discover Data'!$F:$F,'Discover Data'!$H:$H,$B18,'Discover Data'!$B:$B,'Detailed Summary'!H$2))</f>
        <v>0</v>
      </c>
      <c r="I18" s="88">
        <f>SUM(SUMIFS('Discover Data'!$F:$F,'Discover Data'!$H:$H,$B18,'Discover Data'!$B:$B,'Detailed Summary'!I$2))</f>
        <v>0</v>
      </c>
      <c r="J18" s="88">
        <f>SUM(SUMIFS('Discover Data'!$F:$F,'Discover Data'!$H:$H,$B18,'Discover Data'!$B:$B,'Detailed Summary'!J$2))</f>
        <v>0</v>
      </c>
      <c r="K18" s="88">
        <f>SUM(SUMIFS('Discover Data'!$F:$F,'Discover Data'!$H:$H,$B18,'Discover Data'!$B:$B,'Detailed Summary'!K$2))</f>
        <v>0</v>
      </c>
      <c r="L18" s="88">
        <f>SUM(SUMIFS('Discover Data'!$F:$F,'Discover Data'!$H:$H,$B18,'Discover Data'!$B:$B,'Detailed Summary'!L$2))</f>
        <v>0</v>
      </c>
      <c r="M18" s="88">
        <f>SUM(SUMIFS('Discover Data'!$F:$F,'Discover Data'!$H:$H,$B18,'Discover Data'!$B:$B,'Detailed Summary'!M$2))</f>
        <v>0</v>
      </c>
      <c r="N18" s="88">
        <f>SUM(SUMIFS('Discover Data'!$F:$F,'Discover Data'!$H:$H,$B18,'Discover Data'!$B:$B,'Detailed Summary'!N$2))</f>
        <v>0</v>
      </c>
    </row>
    <row r="19" spans="1:14" x14ac:dyDescent="0.25">
      <c r="A19" s="112"/>
      <c r="B19" s="41" t="s">
        <v>976</v>
      </c>
      <c r="C19" s="88">
        <f>SUM(SUMIFS('Discover Data'!$F:$F,'Discover Data'!$H:$H,$B19,'Discover Data'!$B:$B,'Detailed Summary'!C$2))</f>
        <v>0</v>
      </c>
      <c r="D19" s="88">
        <f>SUM(SUMIFS('Discover Data'!$F:$F,'Discover Data'!$H:$H,$B19,'Discover Data'!$B:$B,'Detailed Summary'!D$2))</f>
        <v>0</v>
      </c>
      <c r="E19" s="88">
        <f>SUM(SUMIFS('Discover Data'!$F:$F,'Discover Data'!$H:$H,$B19,'Discover Data'!$B:$B,'Detailed Summary'!E$2))</f>
        <v>0</v>
      </c>
      <c r="F19" s="88">
        <f>SUM(SUMIFS('Discover Data'!$F:$F,'Discover Data'!$H:$H,$B19,'Discover Data'!$B:$B,'Detailed Summary'!F$2))</f>
        <v>0</v>
      </c>
      <c r="G19" s="88">
        <f>SUM(SUMIFS('Discover Data'!$F:$F,'Discover Data'!$H:$H,$B19,'Discover Data'!$B:$B,'Detailed Summary'!G$2))</f>
        <v>0</v>
      </c>
      <c r="H19" s="88">
        <f>SUM(SUMIFS('Discover Data'!$F:$F,'Discover Data'!$H:$H,$B19,'Discover Data'!$B:$B,'Detailed Summary'!H$2))</f>
        <v>0</v>
      </c>
      <c r="I19" s="88">
        <f>SUM(SUMIFS('Discover Data'!$F:$F,'Discover Data'!$H:$H,$B19,'Discover Data'!$B:$B,'Detailed Summary'!I$2))</f>
        <v>0</v>
      </c>
      <c r="J19" s="88">
        <f>SUM(SUMIFS('Discover Data'!$F:$F,'Discover Data'!$H:$H,$B19,'Discover Data'!$B:$B,'Detailed Summary'!J$2))</f>
        <v>0</v>
      </c>
      <c r="K19" s="88">
        <f>SUM(SUMIFS('Discover Data'!$F:$F,'Discover Data'!$H:$H,$B19,'Discover Data'!$B:$B,'Detailed Summary'!K$2))</f>
        <v>0</v>
      </c>
      <c r="L19" s="88">
        <f>SUM(SUMIFS('Discover Data'!$F:$F,'Discover Data'!$H:$H,$B19,'Discover Data'!$B:$B,'Detailed Summary'!L$2))</f>
        <v>0</v>
      </c>
      <c r="M19" s="88">
        <f>SUM(SUMIFS('Discover Data'!$F:$F,'Discover Data'!$H:$H,$B19,'Discover Data'!$B:$B,'Detailed Summary'!M$2))</f>
        <v>0</v>
      </c>
      <c r="N19" s="88">
        <f>SUM(SUMIFS('Discover Data'!$F:$F,'Discover Data'!$H:$H,$B19,'Discover Data'!$B:$B,'Detailed Summary'!N$2))</f>
        <v>0</v>
      </c>
    </row>
    <row r="20" spans="1:14" x14ac:dyDescent="0.25">
      <c r="A20" s="112"/>
      <c r="B20" s="41" t="s">
        <v>497</v>
      </c>
      <c r="C20" s="88">
        <f>SUM(SUMIFS('Discover Data'!$F:$F,'Discover Data'!$H:$H,$B20,'Discover Data'!$B:$B,'Detailed Summary'!C$2))</f>
        <v>0</v>
      </c>
      <c r="D20" s="88">
        <f>SUM(SUMIFS('Discover Data'!$F:$F,'Discover Data'!$H:$H,$B20,'Discover Data'!$B:$B,'Detailed Summary'!D$2))</f>
        <v>142</v>
      </c>
      <c r="E20" s="88">
        <f>SUM(SUMIFS('Discover Data'!$F:$F,'Discover Data'!$H:$H,$B20,'Discover Data'!$B:$B,'Detailed Summary'!E$2))</f>
        <v>0</v>
      </c>
      <c r="F20" s="88">
        <f>SUM(SUMIFS('Discover Data'!$F:$F,'Discover Data'!$H:$H,$B20,'Discover Data'!$B:$B,'Detailed Summary'!F$2))</f>
        <v>0</v>
      </c>
      <c r="G20" s="88">
        <f>SUM(SUMIFS('Discover Data'!$F:$F,'Discover Data'!$H:$H,$B20,'Discover Data'!$B:$B,'Detailed Summary'!G$2))</f>
        <v>0</v>
      </c>
      <c r="H20" s="88">
        <f>SUM(SUMIFS('Discover Data'!$F:$F,'Discover Data'!$H:$H,$B20,'Discover Data'!$B:$B,'Detailed Summary'!H$2))</f>
        <v>0</v>
      </c>
      <c r="I20" s="88">
        <f>SUM(SUMIFS('Discover Data'!$F:$F,'Discover Data'!$H:$H,$B20,'Discover Data'!$B:$B,'Detailed Summary'!I$2))</f>
        <v>0</v>
      </c>
      <c r="J20" s="88">
        <f>SUM(SUMIFS('Discover Data'!$F:$F,'Discover Data'!$H:$H,$B20,'Discover Data'!$B:$B,'Detailed Summary'!J$2))</f>
        <v>0</v>
      </c>
      <c r="K20" s="88">
        <f>SUM(SUMIFS('Discover Data'!$F:$F,'Discover Data'!$H:$H,$B20,'Discover Data'!$B:$B,'Detailed Summary'!K$2))</f>
        <v>0</v>
      </c>
      <c r="L20" s="88">
        <f>SUM(SUMIFS('Discover Data'!$F:$F,'Discover Data'!$H:$H,$B20,'Discover Data'!$B:$B,'Detailed Summary'!L$2))</f>
        <v>0</v>
      </c>
      <c r="M20" s="88">
        <f>SUM(SUMIFS('Discover Data'!$F:$F,'Discover Data'!$H:$H,$B20,'Discover Data'!$B:$B,'Detailed Summary'!M$2))</f>
        <v>0</v>
      </c>
      <c r="N20" s="88">
        <f>SUM(SUMIFS('Discover Data'!$F:$F,'Discover Data'!$H:$H,$B20,'Discover Data'!$B:$B,'Detailed Summary'!N$2))</f>
        <v>0</v>
      </c>
    </row>
    <row r="21" spans="1:14" x14ac:dyDescent="0.25">
      <c r="A21" s="112"/>
      <c r="B21" s="41" t="s">
        <v>17</v>
      </c>
      <c r="C21" s="88">
        <f>SUM(SUMIFS('Discover Data'!$F:$F,'Discover Data'!$H:$H,$B21,'Discover Data'!$B:$B,'Detailed Summary'!C$2))</f>
        <v>10.59</v>
      </c>
      <c r="D21" s="88">
        <f>SUM(SUMIFS('Discover Data'!$F:$F,'Discover Data'!$H:$H,$B21,'Discover Data'!$B:$B,'Detailed Summary'!D$2))</f>
        <v>10.59</v>
      </c>
      <c r="E21" s="88">
        <f>SUM(SUMIFS('Discover Data'!$F:$F,'Discover Data'!$H:$H,$B21,'Discover Data'!$B:$B,'Detailed Summary'!E$2))</f>
        <v>10.59</v>
      </c>
      <c r="F21" s="88">
        <f>SUM(SUMIFS('Discover Data'!$F:$F,'Discover Data'!$H:$H,$B21,'Discover Data'!$B:$B,'Detailed Summary'!F$2))</f>
        <v>10.59</v>
      </c>
      <c r="G21" s="88">
        <f>SUM(SUMIFS('Discover Data'!$F:$F,'Discover Data'!$H:$H,$B21,'Discover Data'!$B:$B,'Detailed Summary'!G$2))</f>
        <v>10.59</v>
      </c>
      <c r="H21" s="88">
        <f>SUM(SUMIFS('Discover Data'!$F:$F,'Discover Data'!$H:$H,$B21,'Discover Data'!$B:$B,'Detailed Summary'!H$2))</f>
        <v>10.59</v>
      </c>
      <c r="I21" s="88">
        <f>SUM(SUMIFS('Discover Data'!$F:$F,'Discover Data'!$H:$H,$B21,'Discover Data'!$B:$B,'Detailed Summary'!I$2))</f>
        <v>10.59</v>
      </c>
      <c r="J21" s="88">
        <f>SUM(SUMIFS('Discover Data'!$F:$F,'Discover Data'!$H:$H,$B21,'Discover Data'!$B:$B,'Detailed Summary'!J$2))</f>
        <v>10.59</v>
      </c>
      <c r="K21" s="88">
        <f>SUM(SUMIFS('Discover Data'!$F:$F,'Discover Data'!$H:$H,$B21,'Discover Data'!$B:$B,'Detailed Summary'!K$2))</f>
        <v>10.59</v>
      </c>
      <c r="L21" s="88">
        <f>SUM(SUMIFS('Discover Data'!$F:$F,'Discover Data'!$H:$H,$B21,'Discover Data'!$B:$B,'Detailed Summary'!L$2))</f>
        <v>0</v>
      </c>
      <c r="M21" s="88">
        <f>SUM(SUMIFS('Discover Data'!$F:$F,'Discover Data'!$H:$H,$B21,'Discover Data'!$B:$B,'Detailed Summary'!M$2))</f>
        <v>0</v>
      </c>
      <c r="N21" s="88">
        <f>SUM(SUMIFS('Discover Data'!$F:$F,'Discover Data'!$H:$H,$B21,'Discover Data'!$B:$B,'Detailed Summary'!N$2))</f>
        <v>0</v>
      </c>
    </row>
    <row r="22" spans="1:14" x14ac:dyDescent="0.25">
      <c r="A22" s="112"/>
      <c r="B22" s="41" t="s">
        <v>369</v>
      </c>
      <c r="C22" s="88">
        <f>SUM(SUMIFS('Discover Data'!$F:$F,'Discover Data'!$H:$H,$B22,'Discover Data'!$B:$B,'Detailed Summary'!C$2))</f>
        <v>10</v>
      </c>
      <c r="D22" s="88">
        <f>SUM(SUMIFS('Discover Data'!$F:$F,'Discover Data'!$H:$H,$B22,'Discover Data'!$B:$B,'Detailed Summary'!D$2))</f>
        <v>10</v>
      </c>
      <c r="E22" s="88">
        <f>SUM(SUMIFS('Discover Data'!$F:$F,'Discover Data'!$H:$H,$B22,'Discover Data'!$B:$B,'Detailed Summary'!E$2))</f>
        <v>10</v>
      </c>
      <c r="F22" s="88">
        <f>SUM(SUMIFS('Discover Data'!$F:$F,'Discover Data'!$H:$H,$B22,'Discover Data'!$B:$B,'Detailed Summary'!F$2))</f>
        <v>10</v>
      </c>
      <c r="G22" s="88">
        <f>SUM(SUMIFS('Discover Data'!$F:$F,'Discover Data'!$H:$H,$B22,'Discover Data'!$B:$B,'Detailed Summary'!G$2))</f>
        <v>0</v>
      </c>
      <c r="H22" s="88">
        <f>SUM(SUMIFS('Discover Data'!$F:$F,'Discover Data'!$H:$H,$B22,'Discover Data'!$B:$B,'Detailed Summary'!H$2))</f>
        <v>0</v>
      </c>
      <c r="I22" s="88">
        <f>SUM(SUMIFS('Discover Data'!$F:$F,'Discover Data'!$H:$H,$B22,'Discover Data'!$B:$B,'Detailed Summary'!I$2))</f>
        <v>0</v>
      </c>
      <c r="J22" s="88">
        <f>SUM(SUMIFS('Discover Data'!$F:$F,'Discover Data'!$H:$H,$B22,'Discover Data'!$B:$B,'Detailed Summary'!J$2))</f>
        <v>0</v>
      </c>
      <c r="K22" s="88">
        <f>SUM(SUMIFS('Discover Data'!$F:$F,'Discover Data'!$H:$H,$B22,'Discover Data'!$B:$B,'Detailed Summary'!K$2))</f>
        <v>0</v>
      </c>
      <c r="L22" s="88">
        <f>SUM(SUMIFS('Discover Data'!$F:$F,'Discover Data'!$H:$H,$B22,'Discover Data'!$B:$B,'Detailed Summary'!L$2))</f>
        <v>0</v>
      </c>
      <c r="M22" s="88">
        <f>SUM(SUMIFS('Discover Data'!$F:$F,'Discover Data'!$H:$H,$B22,'Discover Data'!$B:$B,'Detailed Summary'!M$2))</f>
        <v>0</v>
      </c>
      <c r="N22" s="88">
        <f>SUM(SUMIFS('Discover Data'!$F:$F,'Discover Data'!$H:$H,$B22,'Discover Data'!$B:$B,'Detailed Summary'!N$2))</f>
        <v>0</v>
      </c>
    </row>
    <row r="23" spans="1:14" x14ac:dyDescent="0.25">
      <c r="A23" s="112"/>
      <c r="B23" s="41" t="s">
        <v>203</v>
      </c>
      <c r="C23" s="88">
        <f>SUM(SUMIFS('Discover Data'!$F:$F,'Discover Data'!$H:$H,$B23,'Discover Data'!$B:$B,'Detailed Summary'!C$2))</f>
        <v>0</v>
      </c>
      <c r="D23" s="88">
        <f>SUM(SUMIFS('Discover Data'!$F:$F,'Discover Data'!$H:$H,$B23,'Discover Data'!$B:$B,'Detailed Summary'!D$2))</f>
        <v>5.42</v>
      </c>
      <c r="E23" s="88">
        <f>SUM(SUMIFS('Discover Data'!$F:$F,'Discover Data'!$H:$H,$B23,'Discover Data'!$B:$B,'Detailed Summary'!E$2))</f>
        <v>5.42</v>
      </c>
      <c r="F23" s="88">
        <f>SUM(SUMIFS('Discover Data'!$F:$F,'Discover Data'!$H:$H,$B23,'Discover Data'!$B:$B,'Detailed Summary'!F$2))</f>
        <v>0</v>
      </c>
      <c r="G23" s="88">
        <f>SUM(SUMIFS('Discover Data'!$F:$F,'Discover Data'!$H:$H,$B23,'Discover Data'!$B:$B,'Detailed Summary'!G$2))</f>
        <v>0</v>
      </c>
      <c r="H23" s="88">
        <f>SUM(SUMIFS('Discover Data'!$F:$F,'Discover Data'!$H:$H,$B23,'Discover Data'!$B:$B,'Detailed Summary'!H$2))</f>
        <v>0</v>
      </c>
      <c r="I23" s="88">
        <f>SUM(SUMIFS('Discover Data'!$F:$F,'Discover Data'!$H:$H,$B23,'Discover Data'!$B:$B,'Detailed Summary'!I$2))</f>
        <v>0</v>
      </c>
      <c r="J23" s="88">
        <f>SUM(SUMIFS('Discover Data'!$F:$F,'Discover Data'!$H:$H,$B23,'Discover Data'!$B:$B,'Detailed Summary'!J$2))</f>
        <v>0</v>
      </c>
      <c r="K23" s="88">
        <f>SUM(SUMIFS('Discover Data'!$F:$F,'Discover Data'!$H:$H,$B23,'Discover Data'!$B:$B,'Detailed Summary'!K$2))</f>
        <v>0</v>
      </c>
      <c r="L23" s="88">
        <f>SUM(SUMIFS('Discover Data'!$F:$F,'Discover Data'!$H:$H,$B23,'Discover Data'!$B:$B,'Detailed Summary'!L$2))</f>
        <v>0</v>
      </c>
      <c r="M23" s="88">
        <f>SUM(SUMIFS('Discover Data'!$F:$F,'Discover Data'!$H:$H,$B23,'Discover Data'!$B:$B,'Detailed Summary'!M$2))</f>
        <v>0</v>
      </c>
      <c r="N23" s="88">
        <f>SUM(SUMIFS('Discover Data'!$F:$F,'Discover Data'!$H:$H,$B23,'Discover Data'!$B:$B,'Detailed Summary'!N$2))</f>
        <v>0</v>
      </c>
    </row>
    <row r="24" spans="1:14" x14ac:dyDescent="0.25">
      <c r="A24" s="112"/>
      <c r="B24" s="41" t="s">
        <v>20</v>
      </c>
      <c r="C24" s="88">
        <f>SUM(SUMIFS('Discover Data'!$F:$F,'Discover Data'!$H:$H,$B24,'Discover Data'!$B:$B,'Detailed Summary'!C$2))</f>
        <v>4.99</v>
      </c>
      <c r="D24" s="88">
        <f>SUM(SUMIFS('Discover Data'!$F:$F,'Discover Data'!$H:$H,$B24,'Discover Data'!$B:$B,'Detailed Summary'!D$2))</f>
        <v>4.99</v>
      </c>
      <c r="E24" s="88">
        <f>SUM(SUMIFS('Discover Data'!$F:$F,'Discover Data'!$H:$H,$B24,'Discover Data'!$B:$B,'Detailed Summary'!E$2))</f>
        <v>4.99</v>
      </c>
      <c r="F24" s="88">
        <f>SUM(SUMIFS('Discover Data'!$F:$F,'Discover Data'!$H:$H,$B24,'Discover Data'!$B:$B,'Detailed Summary'!F$2))</f>
        <v>4.99</v>
      </c>
      <c r="G24" s="88">
        <f>SUM(SUMIFS('Discover Data'!$F:$F,'Discover Data'!$H:$H,$B24,'Discover Data'!$B:$B,'Detailed Summary'!G$2))</f>
        <v>4.99</v>
      </c>
      <c r="H24" s="88">
        <f>SUM(SUMIFS('Discover Data'!$F:$F,'Discover Data'!$H:$H,$B24,'Discover Data'!$B:$B,'Detailed Summary'!H$2))</f>
        <v>4.99</v>
      </c>
      <c r="I24" s="88">
        <f>SUM(SUMIFS('Discover Data'!$F:$F,'Discover Data'!$H:$H,$B24,'Discover Data'!$B:$B,'Detailed Summary'!I$2))</f>
        <v>4.99</v>
      </c>
      <c r="J24" s="88">
        <f>SUM(SUMIFS('Discover Data'!$F:$F,'Discover Data'!$H:$H,$B24,'Discover Data'!$B:$B,'Detailed Summary'!J$2))</f>
        <v>4.99</v>
      </c>
      <c r="K24" s="88">
        <f>SUM(SUMIFS('Discover Data'!$F:$F,'Discover Data'!$H:$H,$B24,'Discover Data'!$B:$B,'Detailed Summary'!K$2))</f>
        <v>5.99</v>
      </c>
      <c r="L24" s="88">
        <f>SUM(SUMIFS('Discover Data'!$F:$F,'Discover Data'!$H:$H,$B24,'Discover Data'!$B:$B,'Detailed Summary'!L$2))</f>
        <v>5.99</v>
      </c>
      <c r="M24" s="88">
        <f>SUM(SUMIFS('Discover Data'!$F:$F,'Discover Data'!$H:$H,$B24,'Discover Data'!$B:$B,'Detailed Summary'!M$2))</f>
        <v>5.99</v>
      </c>
      <c r="N24" s="88">
        <f>SUM(SUMIFS('Discover Data'!$F:$F,'Discover Data'!$H:$H,$B24,'Discover Data'!$B:$B,'Detailed Summary'!N$2))</f>
        <v>5.99</v>
      </c>
    </row>
    <row r="25" spans="1:14" ht="15.75" thickBot="1" x14ac:dyDescent="0.3">
      <c r="A25" s="116"/>
      <c r="B25" s="37" t="s">
        <v>54</v>
      </c>
      <c r="C25" s="89">
        <f>SUM(SUMIFS('Discover Data'!$F:$F,'Discover Data'!$H:$H,$B25,'Discover Data'!$B:$B,'Detailed Summary'!C$2))</f>
        <v>80.88</v>
      </c>
      <c r="D25" s="89">
        <f>SUM(SUMIFS('Discover Data'!$F:$F,'Discover Data'!$H:$H,$B25,'Discover Data'!$B:$B,'Detailed Summary'!D$2))</f>
        <v>80.88</v>
      </c>
      <c r="E25" s="89">
        <f>SUM(SUMIFS('Discover Data'!$F:$F,'Discover Data'!$H:$H,$B25,'Discover Data'!$B:$B,'Detailed Summary'!E$2))</f>
        <v>80.88</v>
      </c>
      <c r="F25" s="89">
        <f>SUM(SUMIFS('Discover Data'!$F:$F,'Discover Data'!$H:$H,$B25,'Discover Data'!$B:$B,'Detailed Summary'!F$2))</f>
        <v>80.88</v>
      </c>
      <c r="G25" s="89">
        <f>SUM(SUMIFS('Discover Data'!$F:$F,'Discover Data'!$H:$H,$B25,'Discover Data'!$B:$B,'Detailed Summary'!G$2))</f>
        <v>88.88</v>
      </c>
      <c r="H25" s="89">
        <f>SUM(SUMIFS('Discover Data'!$F:$F,'Discover Data'!$H:$H,$B25,'Discover Data'!$B:$B,'Detailed Summary'!H$2))</f>
        <v>88.88</v>
      </c>
      <c r="I25" s="89">
        <f>SUM(SUMIFS('Discover Data'!$F:$F,'Discover Data'!$H:$H,$B25,'Discover Data'!$B:$B,'Detailed Summary'!I$2))</f>
        <v>0</v>
      </c>
      <c r="J25" s="89">
        <f>SUM(SUMIFS('Discover Data'!$F:$F,'Discover Data'!$H:$H,$B25,'Discover Data'!$B:$B,'Detailed Summary'!J$2))</f>
        <v>0</v>
      </c>
      <c r="K25" s="89">
        <f>SUM(SUMIFS('Discover Data'!$F:$F,'Discover Data'!$H:$H,$B25,'Discover Data'!$B:$B,'Detailed Summary'!K$2))</f>
        <v>0</v>
      </c>
      <c r="L25" s="89">
        <f>SUM(SUMIFS('Discover Data'!$F:$F,'Discover Data'!$H:$H,$B25,'Discover Data'!$B:$B,'Detailed Summary'!L$2))</f>
        <v>0</v>
      </c>
      <c r="M25" s="89">
        <f>SUM(SUMIFS('Discover Data'!$F:$F,'Discover Data'!$H:$H,$B25,'Discover Data'!$B:$B,'Detailed Summary'!M$2))</f>
        <v>0</v>
      </c>
      <c r="N25" s="89">
        <f>SUM(SUMIFS('Discover Data'!$F:$F,'Discover Data'!$H:$H,$B25,'Discover Data'!$B:$B,'Detailed Summary'!N$2))</f>
        <v>0</v>
      </c>
    </row>
    <row r="26" spans="1:14" x14ac:dyDescent="0.25">
      <c r="A26" s="111" t="s">
        <v>701</v>
      </c>
      <c r="B26" s="41" t="s">
        <v>286</v>
      </c>
      <c r="C26" s="88">
        <f>SUM(SUMIFS('Discover Data'!$F:$F,'Discover Data'!$H:$H,$B26,'Discover Data'!$B:$B,'Detailed Summary'!C$2))</f>
        <v>0</v>
      </c>
      <c r="D26" s="88">
        <f>SUM(SUMIFS('Discover Data'!$F:$F,'Discover Data'!$H:$H,$B26,'Discover Data'!$B:$B,'Detailed Summary'!D$2))</f>
        <v>0</v>
      </c>
      <c r="E26" s="88">
        <f>SUM(SUMIFS('Discover Data'!$F:$F,'Discover Data'!$H:$H,$B26,'Discover Data'!$B:$B,'Detailed Summary'!E$2))</f>
        <v>289.10000000000002</v>
      </c>
      <c r="F26" s="88">
        <f>SUM(SUMIFS('Discover Data'!$F:$F,'Discover Data'!$H:$H,$B26,'Discover Data'!$B:$B,'Detailed Summary'!F$2))</f>
        <v>264.10000000000002</v>
      </c>
      <c r="G26" s="88">
        <f>SUM(SUMIFS('Discover Data'!$F:$F,'Discover Data'!$H:$H,$B26,'Discover Data'!$B:$B,'Detailed Summary'!G$2))</f>
        <v>264.10000000000002</v>
      </c>
      <c r="H26" s="88">
        <f>SUM(SUMIFS('Discover Data'!$F:$F,'Discover Data'!$H:$H,$B26,'Discover Data'!$B:$B,'Detailed Summary'!H$2))</f>
        <v>264.10000000000002</v>
      </c>
      <c r="I26" s="88">
        <f>SUM(SUMIFS('Discover Data'!$F:$F,'Discover Data'!$H:$H,$B26,'Discover Data'!$B:$B,'Detailed Summary'!I$2))</f>
        <v>264.10000000000002</v>
      </c>
      <c r="J26" s="88">
        <f>SUM(SUMIFS('Discover Data'!$F:$F,'Discover Data'!$H:$H,$B26,'Discover Data'!$B:$B,'Detailed Summary'!J$2))</f>
        <v>264.10000000000002</v>
      </c>
      <c r="K26" s="88">
        <f>SUM(SUMIFS('Discover Data'!$F:$F,'Discover Data'!$H:$H,$B26,'Discover Data'!$B:$B,'Detailed Summary'!K$2))</f>
        <v>264.10000000000002</v>
      </c>
      <c r="L26" s="88">
        <f>SUM(SUMIFS('Discover Data'!$F:$F,'Discover Data'!$H:$H,$B26,'Discover Data'!$B:$B,'Detailed Summary'!L$2))</f>
        <v>264.10000000000002</v>
      </c>
      <c r="M26" s="88">
        <f>SUM(SUMIFS('Discover Data'!$F:$F,'Discover Data'!$H:$H,$B26,'Discover Data'!$B:$B,'Detailed Summary'!M$2))</f>
        <v>264.10000000000002</v>
      </c>
      <c r="N26" s="88">
        <f>SUM(SUMIFS('Discover Data'!$F:$F,'Discover Data'!$H:$H,$B26,'Discover Data'!$B:$B,'Detailed Summary'!N$2))</f>
        <v>264.10000000000002</v>
      </c>
    </row>
    <row r="27" spans="1:14" x14ac:dyDescent="0.25">
      <c r="A27" s="112"/>
      <c r="B27" s="41" t="s">
        <v>209</v>
      </c>
      <c r="C27" s="88">
        <f>SUM(SUMIFS('Discover Data'!$F:$F,'Discover Data'!$H:$H,$B27,'Discover Data'!$B:$B,'Detailed Summary'!C$2))</f>
        <v>0</v>
      </c>
      <c r="D27" s="88">
        <f>SUM(SUMIFS('Discover Data'!$F:$F,'Discover Data'!$H:$H,$B27,'Discover Data'!$B:$B,'Detailed Summary'!D$2))</f>
        <v>299.32</v>
      </c>
      <c r="E27" s="88">
        <f>SUM(SUMIFS('Discover Data'!$F:$F,'Discover Data'!$H:$H,$B27,'Discover Data'!$B:$B,'Detailed Summary'!E$2))</f>
        <v>218</v>
      </c>
      <c r="F27" s="88">
        <f>SUM(SUMIFS('Discover Data'!$F:$F,'Discover Data'!$H:$H,$B27,'Discover Data'!$B:$B,'Detailed Summary'!F$2))</f>
        <v>0</v>
      </c>
      <c r="G27" s="88">
        <f>SUM(SUMIFS('Discover Data'!$F:$F,'Discover Data'!$H:$H,$B27,'Discover Data'!$B:$B,'Detailed Summary'!G$2))</f>
        <v>0</v>
      </c>
      <c r="H27" s="88">
        <f>SUM(SUMIFS('Discover Data'!$F:$F,'Discover Data'!$H:$H,$B27,'Discover Data'!$B:$B,'Detailed Summary'!H$2))</f>
        <v>0</v>
      </c>
      <c r="I27" s="88">
        <f>SUM(SUMIFS('Discover Data'!$F:$F,'Discover Data'!$H:$H,$B27,'Discover Data'!$B:$B,'Detailed Summary'!I$2))</f>
        <v>0</v>
      </c>
      <c r="J27" s="88">
        <f>SUM(SUMIFS('Discover Data'!$F:$F,'Discover Data'!$H:$H,$B27,'Discover Data'!$B:$B,'Detailed Summary'!J$2))</f>
        <v>0</v>
      </c>
      <c r="K27" s="88">
        <f>SUM(SUMIFS('Discover Data'!$F:$F,'Discover Data'!$H:$H,$B27,'Discover Data'!$B:$B,'Detailed Summary'!K$2))</f>
        <v>0</v>
      </c>
      <c r="L27" s="88">
        <f>SUM(SUMIFS('Discover Data'!$F:$F,'Discover Data'!$H:$H,$B27,'Discover Data'!$B:$B,'Detailed Summary'!L$2))</f>
        <v>0</v>
      </c>
      <c r="M27" s="88">
        <f>SUM(SUMIFS('Discover Data'!$F:$F,'Discover Data'!$H:$H,$B27,'Discover Data'!$B:$B,'Detailed Summary'!M$2))</f>
        <v>0</v>
      </c>
      <c r="N27" s="88">
        <f>SUM(SUMIFS('Discover Data'!$F:$F,'Discover Data'!$H:$H,$B27,'Discover Data'!$B:$B,'Detailed Summary'!N$2))</f>
        <v>0</v>
      </c>
    </row>
    <row r="28" spans="1:14" x14ac:dyDescent="0.25">
      <c r="A28" s="112"/>
      <c r="B28" s="41" t="s">
        <v>161</v>
      </c>
      <c r="C28" s="88">
        <f>SUM(SUMIFS('Discover Data'!$F:$F,'Discover Data'!$H:$H,$B28,'Discover Data'!$B:$B,'Detailed Summary'!C$2))</f>
        <v>106.5</v>
      </c>
      <c r="D28" s="88">
        <f>SUM(SUMIFS('Discover Data'!$F:$F,'Discover Data'!$H:$H,$B28,'Discover Data'!$B:$B,'Detailed Summary'!D$2))</f>
        <v>0</v>
      </c>
      <c r="E28" s="88">
        <f>SUM(SUMIFS('Discover Data'!$F:$F,'Discover Data'!$H:$H,$B28,'Discover Data'!$B:$B,'Detailed Summary'!E$2))</f>
        <v>938.85</v>
      </c>
      <c r="F28" s="88">
        <f>SUM(SUMIFS('Discover Data'!$F:$F,'Discover Data'!$H:$H,$B28,'Discover Data'!$B:$B,'Detailed Summary'!F$2))</f>
        <v>0</v>
      </c>
      <c r="G28" s="88">
        <f>SUM(SUMIFS('Discover Data'!$F:$F,'Discover Data'!$H:$H,$B28,'Discover Data'!$B:$B,'Detailed Summary'!G$2))</f>
        <v>0</v>
      </c>
      <c r="H28" s="88">
        <f>SUM(SUMIFS('Discover Data'!$F:$F,'Discover Data'!$H:$H,$B28,'Discover Data'!$B:$B,'Detailed Summary'!H$2))</f>
        <v>0</v>
      </c>
      <c r="I28" s="88">
        <f>SUM(SUMIFS('Discover Data'!$F:$F,'Discover Data'!$H:$H,$B28,'Discover Data'!$B:$B,'Detailed Summary'!I$2))</f>
        <v>243.74</v>
      </c>
      <c r="J28" s="88">
        <f>SUM(SUMIFS('Discover Data'!$F:$F,'Discover Data'!$H:$H,$B28,'Discover Data'!$B:$B,'Detailed Summary'!J$2))</f>
        <v>0</v>
      </c>
      <c r="K28" s="88">
        <f>SUM(SUMIFS('Discover Data'!$F:$F,'Discover Data'!$H:$H,$B28,'Discover Data'!$B:$B,'Detailed Summary'!K$2))</f>
        <v>0</v>
      </c>
      <c r="L28" s="88">
        <f>SUM(SUMIFS('Discover Data'!$F:$F,'Discover Data'!$H:$H,$B28,'Discover Data'!$B:$B,'Detailed Summary'!L$2))</f>
        <v>0</v>
      </c>
      <c r="M28" s="88">
        <f>SUM(SUMIFS('Discover Data'!$F:$F,'Discover Data'!$H:$H,$B28,'Discover Data'!$B:$B,'Detailed Summary'!M$2))</f>
        <v>0</v>
      </c>
      <c r="N28" s="88">
        <f>SUM(SUMIFS('Discover Data'!$F:$F,'Discover Data'!$H:$H,$B28,'Discover Data'!$B:$B,'Detailed Summary'!N$2))</f>
        <v>0</v>
      </c>
    </row>
    <row r="29" spans="1:14" x14ac:dyDescent="0.25">
      <c r="A29" s="112"/>
      <c r="B29" s="41" t="s">
        <v>138</v>
      </c>
      <c r="C29" s="88">
        <f>SUM(SUMIFS('Discover Data'!$F:$F,'Discover Data'!$H:$H,$B29,'Discover Data'!$B:$B,'Detailed Summary'!C$2))</f>
        <v>549.6</v>
      </c>
      <c r="D29" s="88">
        <f>SUM(SUMIFS('Discover Data'!$F:$F,'Discover Data'!$H:$H,$B29,'Discover Data'!$B:$B,'Detailed Summary'!D$2))</f>
        <v>0</v>
      </c>
      <c r="E29" s="88">
        <f>SUM(SUMIFS('Discover Data'!$F:$F,'Discover Data'!$H:$H,$B29,'Discover Data'!$B:$B,'Detailed Summary'!E$2))</f>
        <v>0</v>
      </c>
      <c r="F29" s="88">
        <f>SUM(SUMIFS('Discover Data'!$F:$F,'Discover Data'!$H:$H,$B29,'Discover Data'!$B:$B,'Detailed Summary'!F$2))</f>
        <v>0</v>
      </c>
      <c r="G29" s="88">
        <f>SUM(SUMIFS('Discover Data'!$F:$F,'Discover Data'!$H:$H,$B29,'Discover Data'!$B:$B,'Detailed Summary'!G$2))</f>
        <v>0</v>
      </c>
      <c r="H29" s="88">
        <f>SUM(SUMIFS('Discover Data'!$F:$F,'Discover Data'!$H:$H,$B29,'Discover Data'!$B:$B,'Detailed Summary'!H$2))</f>
        <v>0</v>
      </c>
      <c r="I29" s="88">
        <f>SUM(SUMIFS('Discover Data'!$F:$F,'Discover Data'!$H:$H,$B29,'Discover Data'!$B:$B,'Detailed Summary'!I$2))</f>
        <v>0</v>
      </c>
      <c r="J29" s="88">
        <f>SUM(SUMIFS('Discover Data'!$F:$F,'Discover Data'!$H:$H,$B29,'Discover Data'!$B:$B,'Detailed Summary'!J$2))</f>
        <v>0</v>
      </c>
      <c r="K29" s="88">
        <f>SUM(SUMIFS('Discover Data'!$F:$F,'Discover Data'!$H:$H,$B29,'Discover Data'!$B:$B,'Detailed Summary'!K$2))</f>
        <v>0</v>
      </c>
      <c r="L29" s="88">
        <f>SUM(SUMIFS('Discover Data'!$F:$F,'Discover Data'!$H:$H,$B29,'Discover Data'!$B:$B,'Detailed Summary'!L$2))</f>
        <v>0</v>
      </c>
      <c r="M29" s="88">
        <f>SUM(SUMIFS('Discover Data'!$F:$F,'Discover Data'!$H:$H,$B29,'Discover Data'!$B:$B,'Detailed Summary'!M$2))</f>
        <v>0</v>
      </c>
      <c r="N29" s="88">
        <f>SUM(SUMIFS('Discover Data'!$F:$F,'Discover Data'!$H:$H,$B29,'Discover Data'!$B:$B,'Detailed Summary'!N$2))</f>
        <v>0</v>
      </c>
    </row>
    <row r="30" spans="1:14" x14ac:dyDescent="0.25">
      <c r="A30" s="112"/>
      <c r="B30" s="41" t="s">
        <v>977</v>
      </c>
      <c r="C30" s="88" cm="1">
        <f t="array" ref="C30">SUM(SUMIFS('Discover Data'!$F:$F,'Discover Data'!$H:$H,{"barbershop";"fitness"},'Discover Data'!$B:$B,'Detailed Summary'!C$2))</f>
        <v>1.75</v>
      </c>
      <c r="D30" s="88" cm="1">
        <f t="array" ref="D30">SUM(SUMIFS('Discover Data'!$F:$F,'Discover Data'!$H:$H,{"barbershop";"fitness"},'Discover Data'!$B:$B,'Detailed Summary'!D$2))</f>
        <v>152.88999999999999</v>
      </c>
      <c r="E30" s="88" cm="1">
        <f t="array" ref="E30">SUM(SUMIFS('Discover Data'!$F:$F,'Discover Data'!$H:$H,{"barbershop";"fitness"},'Discover Data'!$B:$B,'Detailed Summary'!E$2))</f>
        <v>211.63</v>
      </c>
      <c r="F30" s="88" cm="1">
        <f t="array" ref="F30">SUM(SUMIFS('Discover Data'!$F:$F,'Discover Data'!$H:$H,{"barbershop";"fitness"},'Discover Data'!$B:$B,'Detailed Summary'!F$2))</f>
        <v>96.3</v>
      </c>
      <c r="G30" s="88" cm="1">
        <f t="array" ref="G30">SUM(SUMIFS('Discover Data'!$F:$F,'Discover Data'!$H:$H,{"barbershop";"fitness"},'Discover Data'!$B:$B,'Detailed Summary'!G$2))</f>
        <v>478.86</v>
      </c>
      <c r="H30" s="88" cm="1">
        <f t="array" ref="H30">SUM(SUMIFS('Discover Data'!$F:$F,'Discover Data'!$H:$H,{"barbershop";"fitness"},'Discover Data'!$B:$B,'Detailed Summary'!H$2))</f>
        <v>0</v>
      </c>
      <c r="I30" s="88" cm="1">
        <f t="array" ref="I30">SUM(SUMIFS('Discover Data'!$F:$F,'Discover Data'!$H:$H,{"barbershop";"fitness"},'Discover Data'!$B:$B,'Detailed Summary'!I$2))</f>
        <v>14.870000000000001</v>
      </c>
      <c r="J30" s="88" cm="1">
        <f t="array" ref="J30">SUM(SUMIFS('Discover Data'!$F:$F,'Discover Data'!$H:$H,{"barbershop";"fitness"},'Discover Data'!$B:$B,'Detailed Summary'!J$2))</f>
        <v>0</v>
      </c>
      <c r="K30" s="88" cm="1">
        <f t="array" ref="K30">SUM(SUMIFS('Discover Data'!$F:$F,'Discover Data'!$H:$H,{"barbershop";"fitness"},'Discover Data'!$B:$B,'Detailed Summary'!K$2))</f>
        <v>0</v>
      </c>
      <c r="L30" s="88" cm="1">
        <f t="array" ref="L30">SUM(SUMIFS('Discover Data'!$F:$F,'Discover Data'!$H:$H,{"barbershop";"fitness"},'Discover Data'!$B:$B,'Detailed Summary'!L$2))</f>
        <v>0</v>
      </c>
      <c r="M30" s="88" cm="1">
        <f t="array" ref="M30">SUM(SUMIFS('Discover Data'!$F:$F,'Discover Data'!$H:$H,{"barbershop";"fitness"},'Discover Data'!$B:$B,'Detailed Summary'!M$2))</f>
        <v>0</v>
      </c>
      <c r="N30" s="88" cm="1">
        <f t="array" ref="N30">SUM(SUMIFS('Discover Data'!$F:$F,'Discover Data'!$H:$H,{"barbershop";"fitness"},'Discover Data'!$B:$B,'Detailed Summary'!N$2))</f>
        <v>0</v>
      </c>
    </row>
    <row r="31" spans="1:14" x14ac:dyDescent="0.25">
      <c r="A31" s="112"/>
      <c r="B31" s="41" t="s">
        <v>531</v>
      </c>
      <c r="C31" s="88">
        <f>SUM(SUMIFS('Discover Data'!$F:$F,'Discover Data'!$H:$H,$B31,'Discover Data'!$B:$B,'Detailed Summary'!C$2))</f>
        <v>0</v>
      </c>
      <c r="D31" s="88">
        <f>SUM(SUMIFS('Discover Data'!$F:$F,'Discover Data'!$H:$H,$B31,'Discover Data'!$B:$B,'Detailed Summary'!D$2))</f>
        <v>0</v>
      </c>
      <c r="E31" s="88">
        <f>SUM(SUMIFS('Discover Data'!$F:$F,'Discover Data'!$H:$H,$B31,'Discover Data'!$B:$B,'Detailed Summary'!E$2))</f>
        <v>0</v>
      </c>
      <c r="F31" s="88">
        <f>SUM(SUMIFS('Discover Data'!$F:$F,'Discover Data'!$H:$H,$B31,'Discover Data'!$B:$B,'Detailed Summary'!F$2))</f>
        <v>66.53</v>
      </c>
      <c r="G31" s="88">
        <f>SUM(SUMIFS('Discover Data'!$F:$F,'Discover Data'!$H:$H,$B31,'Discover Data'!$B:$B,'Detailed Summary'!G$2))</f>
        <v>48.1</v>
      </c>
      <c r="H31" s="88">
        <f>SUM(SUMIFS('Discover Data'!$F:$F,'Discover Data'!$H:$H,$B31,'Discover Data'!$B:$B,'Detailed Summary'!H$2))</f>
        <v>0</v>
      </c>
      <c r="I31" s="88">
        <f>SUM(SUMIFS('Discover Data'!$F:$F,'Discover Data'!$H:$H,$B31,'Discover Data'!$B:$B,'Detailed Summary'!I$2))</f>
        <v>22.96</v>
      </c>
      <c r="J31" s="88">
        <f>SUM(SUMIFS('Discover Data'!$F:$F,'Discover Data'!$H:$H,$B31,'Discover Data'!$B:$B,'Detailed Summary'!J$2))</f>
        <v>0</v>
      </c>
      <c r="K31" s="88">
        <f>SUM(SUMIFS('Discover Data'!$F:$F,'Discover Data'!$H:$H,$B31,'Discover Data'!$B:$B,'Detailed Summary'!K$2))</f>
        <v>0</v>
      </c>
      <c r="L31" s="88">
        <f>SUM(SUMIFS('Discover Data'!$F:$F,'Discover Data'!$H:$H,$B31,'Discover Data'!$B:$B,'Detailed Summary'!L$2))</f>
        <v>0.6</v>
      </c>
      <c r="M31" s="88">
        <f>SUM(SUMIFS('Discover Data'!$F:$F,'Discover Data'!$H:$H,$B31,'Discover Data'!$B:$B,'Detailed Summary'!M$2))</f>
        <v>47.019999999999996</v>
      </c>
      <c r="N31" s="88">
        <f>SUM(SUMIFS('Discover Data'!$F:$F,'Discover Data'!$H:$H,$B31,'Discover Data'!$B:$B,'Detailed Summary'!N$2))</f>
        <v>40.65</v>
      </c>
    </row>
    <row r="32" spans="1:14" ht="15.75" thickBot="1" x14ac:dyDescent="0.3">
      <c r="A32" s="116"/>
      <c r="B32" s="37" t="s">
        <v>703</v>
      </c>
      <c r="C32" s="89" cm="1">
        <f t="array" ref="C32">SUM(SUMIFS('Discover Data'!$F:$F,'Discover Data'!$H:$H,{"sports_stuff";"sports_gear"},'Discover Data'!$B:$B,'Detailed Summary'!C$2))</f>
        <v>0</v>
      </c>
      <c r="D32" s="89" cm="1">
        <f t="array" ref="D32">SUM(SUMIFS('Discover Data'!$F:$F,'Discover Data'!$H:$H,{"sports_stuff";"sports_gear"},'Discover Data'!$B:$B,'Detailed Summary'!D$2))</f>
        <v>43.34</v>
      </c>
      <c r="E32" s="89" cm="1">
        <f t="array" ref="E32">SUM(SUMIFS('Discover Data'!$F:$F,'Discover Data'!$H:$H,{"sports_stuff";"sports_gear"},'Discover Data'!$B:$B,'Detailed Summary'!E$2))</f>
        <v>105.41</v>
      </c>
      <c r="F32" s="89" cm="1">
        <f t="array" ref="F32">SUM(SUMIFS('Discover Data'!$F:$F,'Discover Data'!$H:$H,{"sports_stuff";"sports_gear"},'Discover Data'!$B:$B,'Detailed Summary'!F$2))</f>
        <v>0</v>
      </c>
      <c r="G32" s="89" cm="1">
        <f t="array" ref="G32">SUM(SUMIFS('Discover Data'!$F:$F,'Discover Data'!$H:$H,{"sports_stuff";"sports_gear"},'Discover Data'!$B:$B,'Detailed Summary'!G$2))</f>
        <v>0</v>
      </c>
      <c r="H32" s="89" cm="1">
        <f t="array" ref="H32">SUM(SUMIFS('Discover Data'!$F:$F,'Discover Data'!$H:$H,{"sports_stuff";"sports_gear"},'Discover Data'!$B:$B,'Detailed Summary'!H$2))</f>
        <v>0</v>
      </c>
      <c r="I32" s="89" cm="1">
        <f t="array" ref="I32">SUM(SUMIFS('Discover Data'!$F:$F,'Discover Data'!$H:$H,{"sports_stuff";"sports_gear"},'Discover Data'!$B:$B,'Detailed Summary'!I$2))</f>
        <v>0</v>
      </c>
      <c r="J32" s="89" cm="1">
        <f t="array" ref="J32">SUM(SUMIFS('Discover Data'!$F:$F,'Discover Data'!$H:$H,{"sports_stuff";"sports_gear"},'Discover Data'!$B:$B,'Detailed Summary'!J$2))</f>
        <v>0</v>
      </c>
      <c r="K32" s="89" cm="1">
        <f t="array" ref="K32">SUM(SUMIFS('Discover Data'!$F:$F,'Discover Data'!$H:$H,{"sports_stuff";"sports_gear"},'Discover Data'!$B:$B,'Detailed Summary'!K$2))</f>
        <v>0</v>
      </c>
      <c r="L32" s="89" cm="1">
        <f t="array" ref="L32">SUM(SUMIFS('Discover Data'!$F:$F,'Discover Data'!$H:$H,{"sports_stuff";"sports_gear"},'Discover Data'!$B:$B,'Detailed Summary'!L$2))</f>
        <v>0</v>
      </c>
      <c r="M32" s="89" cm="1">
        <f t="array" ref="M32">SUM(SUMIFS('Discover Data'!$F:$F,'Discover Data'!$H:$H,{"sports_stuff";"sports_gear"},'Discover Data'!$B:$B,'Detailed Summary'!M$2))</f>
        <v>0</v>
      </c>
      <c r="N32" s="89" cm="1">
        <f t="array" ref="N32">SUM(SUMIFS('Discover Data'!$F:$F,'Discover Data'!$H:$H,{"sports_stuff";"sports_gear"},'Discover Data'!$B:$B,'Detailed Summary'!N$2))</f>
        <v>0</v>
      </c>
    </row>
    <row r="33" spans="1:14" x14ac:dyDescent="0.25">
      <c r="A33" s="111" t="s">
        <v>13</v>
      </c>
      <c r="B33" s="41" t="s">
        <v>704</v>
      </c>
      <c r="C33" s="88" cm="1">
        <f t="array" ref="C33">SUM(SUMIFS('Discover Data'!$F:$F,'Discover Data'!$H:$H,{"groceries";"live_nba";"concerts"},'Discover Data'!$B:$B,'Detailed Summary'!C$2))</f>
        <v>216.14000000000001</v>
      </c>
      <c r="D33" s="88" cm="1">
        <f t="array" ref="D33">SUM(SUMIFS('Discover Data'!$F:$F,'Discover Data'!$H:$H,{"groceries";"live_nba";"concerts"},'Discover Data'!$B:$B,'Detailed Summary'!D$2))</f>
        <v>298.47000000000003</v>
      </c>
      <c r="E33" s="88" cm="1">
        <f t="array" ref="E33">SUM(SUMIFS('Discover Data'!$F:$F,'Discover Data'!$H:$H,{"groceries";"live_nba";"concerts"},'Discover Data'!$B:$B,'Detailed Summary'!E$2))</f>
        <v>600.37</v>
      </c>
      <c r="F33" s="88" cm="1">
        <f t="array" ref="F33">SUM(SUMIFS('Discover Data'!$F:$F,'Discover Data'!$H:$H,{"groceries";"live_nba";"concerts"},'Discover Data'!$B:$B,'Detailed Summary'!F$2))</f>
        <v>457.06000000000006</v>
      </c>
      <c r="G33" s="88" cm="1">
        <f t="array" ref="G33">SUM(SUMIFS('Discover Data'!$F:$F,'Discover Data'!$H:$H,{"groceries";"live_nba";"concerts"},'Discover Data'!$B:$B,'Detailed Summary'!G$2))</f>
        <v>433.42</v>
      </c>
      <c r="H33" s="88" cm="1">
        <f t="array" ref="H33">SUM(SUMIFS('Discover Data'!$F:$F,'Discover Data'!$H:$H,{"groceries";"live_nba";"concerts"},'Discover Data'!$B:$B,'Detailed Summary'!H$2))</f>
        <v>91.74</v>
      </c>
      <c r="I33" s="88" cm="1">
        <f t="array" ref="I33">SUM(SUMIFS('Discover Data'!$F:$F,'Discover Data'!$H:$H,{"groceries";"live_nba";"concerts"},'Discover Data'!$B:$B,'Detailed Summary'!I$2))</f>
        <v>155.46</v>
      </c>
      <c r="J33" s="88" cm="1">
        <f t="array" ref="J33">SUM(SUMIFS('Discover Data'!$F:$F,'Discover Data'!$H:$H,{"groceries";"live_nba";"concerts"},'Discover Data'!$B:$B,'Detailed Summary'!J$2))</f>
        <v>338.97</v>
      </c>
      <c r="K33" s="88" cm="1">
        <f t="array" ref="K33">SUM(SUMIFS('Discover Data'!$F:$F,'Discover Data'!$H:$H,{"groceries";"live_nba";"concerts"},'Discover Data'!$B:$B,'Detailed Summary'!K$2))</f>
        <v>32.42</v>
      </c>
      <c r="L33" s="88" cm="1">
        <f t="array" ref="L33">SUM(SUMIFS('Discover Data'!$F:$F,'Discover Data'!$H:$H,{"groceries";"live_nba";"concerts"},'Discover Data'!$B:$B,'Detailed Summary'!L$2))</f>
        <v>613.84000000000015</v>
      </c>
      <c r="M33" s="88" cm="1">
        <f t="array" ref="M33">SUM(SUMIFS('Discover Data'!$F:$F,'Discover Data'!$H:$H,{"groceries";"live_nba";"concerts"},'Discover Data'!$B:$B,'Detailed Summary'!M$2))</f>
        <v>13.73</v>
      </c>
      <c r="N33" s="88" cm="1">
        <f t="array" ref="N33">SUM(SUMIFS('Discover Data'!$F:$F,'Discover Data'!$H:$H,{"groceries";"live_nba";"concerts"},'Discover Data'!$B:$B,'Detailed Summary'!N$2))</f>
        <v>503.29</v>
      </c>
    </row>
    <row r="34" spans="1:14" ht="15.75" thickBot="1" x14ac:dyDescent="0.3">
      <c r="A34" s="112"/>
      <c r="B34" s="37" t="s">
        <v>705</v>
      </c>
      <c r="C34" s="89" cm="1">
        <f t="array" ref="C34">SUM(SUMIFS('Discover Data'!$F:$F,'Discover Data'!$H:$H,{"coffee";"fast_food";"restaurant"},'Discover Data'!$B:$B,'Detailed Summary'!C$2))</f>
        <v>419.14000000000004</v>
      </c>
      <c r="D34" s="89" cm="1">
        <f t="array" ref="D34">SUM(SUMIFS('Discover Data'!$F:$F,'Discover Data'!$H:$H,{"coffee";"fast_food";"restaurant"},'Discover Data'!$B:$B,'Detailed Summary'!D$2))</f>
        <v>644.88</v>
      </c>
      <c r="E34" s="89" cm="1">
        <f t="array" ref="E34">SUM(SUMIFS('Discover Data'!$F:$F,'Discover Data'!$H:$H,{"coffee";"fast_food";"restaurant"},'Discover Data'!$B:$B,'Detailed Summary'!E$2))</f>
        <v>546.74</v>
      </c>
      <c r="F34" s="89" cm="1">
        <f t="array" ref="F34">SUM(SUMIFS('Discover Data'!$F:$F,'Discover Data'!$H:$H,{"coffee";"fast_food";"restaurant"},'Discover Data'!$B:$B,'Detailed Summary'!F$2))</f>
        <v>233.11999999999998</v>
      </c>
      <c r="G34" s="89" cm="1">
        <f t="array" ref="G34">SUM(SUMIFS('Discover Data'!$F:$F,'Discover Data'!$H:$H,{"coffee";"fast_food";"restaurant"},'Discover Data'!$B:$B,'Detailed Summary'!G$2))</f>
        <v>628.1600000000002</v>
      </c>
      <c r="H34" s="89" cm="1">
        <f t="array" ref="H34">SUM(SUMIFS('Discover Data'!$F:$F,'Discover Data'!$H:$H,{"coffee";"fast_food";"restaurant"},'Discover Data'!$B:$B,'Detailed Summary'!H$2))</f>
        <v>53.32</v>
      </c>
      <c r="I34" s="89" cm="1">
        <f t="array" ref="I34">SUM(SUMIFS('Discover Data'!$F:$F,'Discover Data'!$H:$H,{"coffee";"fast_food";"restaurant"},'Discover Data'!$B:$B,'Detailed Summary'!I$2))</f>
        <v>62.189999999999991</v>
      </c>
      <c r="J34" s="89" cm="1">
        <f t="array" ref="J34">SUM(SUMIFS('Discover Data'!$F:$F,'Discover Data'!$H:$H,{"coffee";"fast_food";"restaurant"},'Discover Data'!$B:$B,'Detailed Summary'!J$2))</f>
        <v>275.12</v>
      </c>
      <c r="K34" s="89" cm="1">
        <f t="array" ref="K34">SUM(SUMIFS('Discover Data'!$F:$F,'Discover Data'!$H:$H,{"coffee";"fast_food";"restaurant"},'Discover Data'!$B:$B,'Detailed Summary'!K$2))</f>
        <v>293.45000000000005</v>
      </c>
      <c r="L34" s="89" cm="1">
        <f t="array" ref="L34">SUM(SUMIFS('Discover Data'!$F:$F,'Discover Data'!$H:$H,{"coffee";"fast_food";"restaurant"},'Discover Data'!$B:$B,'Detailed Summary'!L$2))</f>
        <v>437.65000000000003</v>
      </c>
      <c r="M34" s="89" cm="1">
        <f t="array" ref="M34">SUM(SUMIFS('Discover Data'!$F:$F,'Discover Data'!$H:$H,{"coffee";"fast_food";"restaurant"},'Discover Data'!$B:$B,'Detailed Summary'!M$2))</f>
        <v>544.19000000000005</v>
      </c>
      <c r="N34" s="89" cm="1">
        <f t="array" ref="N34">SUM(SUMIFS('Discover Data'!$F:$F,'Discover Data'!$H:$H,{"coffee";"fast_food";"restaurant"},'Discover Data'!$B:$B,'Detailed Summary'!N$2))</f>
        <v>600.62999999999988</v>
      </c>
    </row>
    <row r="35" spans="1:14" x14ac:dyDescent="0.25">
      <c r="A35" s="111" t="s">
        <v>706</v>
      </c>
      <c r="B35" s="41" t="s">
        <v>66</v>
      </c>
      <c r="C35" s="88" cm="1">
        <f t="array" ref="C35">SUM(SUMIFS('Discover Data'!$F:$F,'Discover Data'!$H:$H,{"clothing";"motor_gear";""},'Discover Data'!$B:$B,'Detailed Summary'!C$2))</f>
        <v>16.399999999999999</v>
      </c>
      <c r="D35" s="88" cm="1">
        <f t="array" ref="D35">SUM(SUMIFS('Discover Data'!$F:$F,'Discover Data'!$H:$H,{"clothing";"motor_gear";""},'Discover Data'!$B:$B,'Detailed Summary'!D$2))</f>
        <v>138.88</v>
      </c>
      <c r="E35" s="88" cm="1">
        <f t="array" ref="E35">SUM(SUMIFS('Discover Data'!$F:$F,'Discover Data'!$H:$H,{"clothing";"motor_gear";""},'Discover Data'!$B:$B,'Detailed Summary'!E$2))</f>
        <v>347.38</v>
      </c>
      <c r="F35" s="88" cm="1">
        <f t="array" ref="F35">SUM(SUMIFS('Discover Data'!$F:$F,'Discover Data'!$H:$H,{"clothing";"motor_gear";""},'Discover Data'!$B:$B,'Detailed Summary'!F$2))</f>
        <v>40</v>
      </c>
      <c r="G35" s="88" cm="1">
        <f t="array" ref="G35">SUM(SUMIFS('Discover Data'!$F:$F,'Discover Data'!$H:$H,{"clothing";"motor_gear";""},'Discover Data'!$B:$B,'Detailed Summary'!G$2))</f>
        <v>513.89</v>
      </c>
      <c r="H35" s="88" cm="1">
        <f t="array" ref="H35">SUM(SUMIFS('Discover Data'!$F:$F,'Discover Data'!$H:$H,{"clothing";"motor_gear";""},'Discover Data'!$B:$B,'Detailed Summary'!H$2))</f>
        <v>0</v>
      </c>
      <c r="I35" s="88" cm="1">
        <f t="array" ref="I35">SUM(SUMIFS('Discover Data'!$F:$F,'Discover Data'!$H:$H,{"clothing";"motor_gear";""},'Discover Data'!$B:$B,'Detailed Summary'!I$2))</f>
        <v>0</v>
      </c>
      <c r="J35" s="88" cm="1">
        <f t="array" ref="J35">SUM(SUMIFS('Discover Data'!$F:$F,'Discover Data'!$H:$H,{"clothing";"motor_gear";""},'Discover Data'!$B:$B,'Detailed Summary'!J$2))</f>
        <v>0</v>
      </c>
      <c r="K35" s="88" cm="1">
        <f t="array" ref="K35">SUM(SUMIFS('Discover Data'!$F:$F,'Discover Data'!$H:$H,{"clothing";"motor_gear";""},'Discover Data'!$B:$B,'Detailed Summary'!K$2))</f>
        <v>0</v>
      </c>
      <c r="L35" s="88" cm="1">
        <f t="array" ref="L35">SUM(SUMIFS('Discover Data'!$F:$F,'Discover Data'!$H:$H,{"clothing";"motor_gear";""},'Discover Data'!$B:$B,'Detailed Summary'!L$2))</f>
        <v>0</v>
      </c>
      <c r="M35" s="88" cm="1">
        <f t="array" ref="M35">SUM(SUMIFS('Discover Data'!$F:$F,'Discover Data'!$H:$H,{"clothing";"motor_gear";""},'Discover Data'!$B:$B,'Detailed Summary'!M$2))</f>
        <v>68.78</v>
      </c>
      <c r="N35" s="88" cm="1">
        <f t="array" ref="N35">SUM(SUMIFS('Discover Data'!$F:$F,'Discover Data'!$H:$H,{"clothing";"motor_gear";""},'Discover Data'!$B:$B,'Detailed Summary'!N$2))</f>
        <v>0</v>
      </c>
    </row>
    <row r="36" spans="1:14" x14ac:dyDescent="0.25">
      <c r="A36" s="112"/>
      <c r="B36" s="41" t="s">
        <v>707</v>
      </c>
      <c r="C36" s="88" cm="1">
        <f t="array" ref="C36">SUM(SUMIFS('Discover Data'!$F:$F,'Discover Data'!$H:$H,{"electronics";"";""},'Discover Data'!$B:$B,'Detailed Summary'!C$2))</f>
        <v>0</v>
      </c>
      <c r="D36" s="88" cm="1">
        <f t="array" ref="D36">SUM(SUMIFS('Discover Data'!$F:$F,'Discover Data'!$H:$H,{"electronics";"";""},'Discover Data'!$B:$B,'Detailed Summary'!D$2))</f>
        <v>225</v>
      </c>
      <c r="E36" s="88" cm="1">
        <f t="array" ref="E36">SUM(SUMIFS('Discover Data'!$F:$F,'Discover Data'!$H:$H,{"electronics";"";""},'Discover Data'!$B:$B,'Detailed Summary'!E$2))</f>
        <v>0</v>
      </c>
      <c r="F36" s="88" cm="1">
        <f t="array" ref="F36">SUM(SUMIFS('Discover Data'!$F:$F,'Discover Data'!$H:$H,{"electronics";"";""},'Discover Data'!$B:$B,'Detailed Summary'!F$2))</f>
        <v>157.47</v>
      </c>
      <c r="G36" s="88" cm="1">
        <f t="array" ref="G36">SUM(SUMIFS('Discover Data'!$F:$F,'Discover Data'!$H:$H,{"electronics";"";""},'Discover Data'!$B:$B,'Detailed Summary'!G$2))</f>
        <v>0</v>
      </c>
      <c r="H36" s="88" cm="1">
        <f t="array" ref="H36">SUM(SUMIFS('Discover Data'!$F:$F,'Discover Data'!$H:$H,{"electronics";"";""},'Discover Data'!$B:$B,'Detailed Summary'!H$2))</f>
        <v>0</v>
      </c>
      <c r="I36" s="88" cm="1">
        <f t="array" ref="I36">SUM(SUMIFS('Discover Data'!$F:$F,'Discover Data'!$H:$H,{"electronics";"";""},'Discover Data'!$B:$B,'Detailed Summary'!I$2))</f>
        <v>0</v>
      </c>
      <c r="J36" s="88" cm="1">
        <f t="array" ref="J36">SUM(SUMIFS('Discover Data'!$F:$F,'Discover Data'!$H:$H,{"electronics";"";""},'Discover Data'!$B:$B,'Detailed Summary'!J$2))</f>
        <v>413.59</v>
      </c>
      <c r="K36" s="88" cm="1">
        <f t="array" ref="K36">SUM(SUMIFS('Discover Data'!$F:$F,'Discover Data'!$H:$H,{"electronics";"";""},'Discover Data'!$B:$B,'Detailed Summary'!K$2))</f>
        <v>0</v>
      </c>
      <c r="L36" s="88" cm="1">
        <f t="array" ref="L36">SUM(SUMIFS('Discover Data'!$F:$F,'Discover Data'!$H:$H,{"electronics";"";""},'Discover Data'!$B:$B,'Detailed Summary'!L$2))</f>
        <v>0</v>
      </c>
      <c r="M36" s="88" cm="1">
        <f t="array" ref="M36">SUM(SUMIFS('Discover Data'!$F:$F,'Discover Data'!$H:$H,{"electronics";"";""},'Discover Data'!$B:$B,'Detailed Summary'!M$2))</f>
        <v>232.11</v>
      </c>
      <c r="N36" s="88" cm="1">
        <f t="array" ref="N36">SUM(SUMIFS('Discover Data'!$F:$F,'Discover Data'!$H:$H,{"electronics";"";""},'Discover Data'!$B:$B,'Detailed Summary'!N$2))</f>
        <v>0</v>
      </c>
    </row>
    <row r="37" spans="1:14" x14ac:dyDescent="0.25">
      <c r="A37" s="112"/>
      <c r="B37" s="41" t="s">
        <v>329</v>
      </c>
      <c r="C37" s="88">
        <f>SUM(SUMIFS('Discover Data'!$F:$F,'Discover Data'!$H:$H,$B37,'Discover Data'!$B:$B,'Detailed Summary'!C$2))</f>
        <v>102.02</v>
      </c>
      <c r="D37" s="88">
        <f>SUM(SUMIFS('Discover Data'!$F:$F,'Discover Data'!$H:$H,$B37,'Discover Data'!$B:$B,'Detailed Summary'!D$2))</f>
        <v>0</v>
      </c>
      <c r="E37" s="88">
        <f>SUM(SUMIFS('Discover Data'!$F:$F,'Discover Data'!$H:$H,$B37,'Discover Data'!$B:$B,'Detailed Summary'!E$2))</f>
        <v>255.88</v>
      </c>
      <c r="F37" s="88">
        <f>SUM(SUMIFS('Discover Data'!$F:$F,'Discover Data'!$H:$H,$B37,'Discover Data'!$B:$B,'Detailed Summary'!F$2))</f>
        <v>395.70000000000005</v>
      </c>
      <c r="G37" s="88">
        <f>SUM(SUMIFS('Discover Data'!$F:$F,'Discover Data'!$H:$H,$B37,'Discover Data'!$B:$B,'Detailed Summary'!G$2))</f>
        <v>0</v>
      </c>
      <c r="H37" s="88">
        <f>SUM(SUMIFS('Discover Data'!$F:$F,'Discover Data'!$H:$H,$B37,'Discover Data'!$B:$B,'Detailed Summary'!H$2))</f>
        <v>44.95</v>
      </c>
      <c r="I37" s="88">
        <f>SUM(SUMIFS('Discover Data'!$F:$F,'Discover Data'!$H:$H,$B37,'Discover Data'!$B:$B,'Detailed Summary'!I$2))</f>
        <v>0</v>
      </c>
      <c r="J37" s="88">
        <f>SUM(SUMIFS('Discover Data'!$F:$F,'Discover Data'!$H:$H,$B37,'Discover Data'!$B:$B,'Detailed Summary'!J$2))</f>
        <v>0</v>
      </c>
      <c r="K37" s="88">
        <f>SUM(SUMIFS('Discover Data'!$F:$F,'Discover Data'!$H:$H,$B37,'Discover Data'!$B:$B,'Detailed Summary'!K$2))</f>
        <v>81.44</v>
      </c>
      <c r="L37" s="88">
        <f>SUM(SUMIFS('Discover Data'!$F:$F,'Discover Data'!$H:$H,$B37,'Discover Data'!$B:$B,'Detailed Summary'!L$2))</f>
        <v>39.619999999999997</v>
      </c>
      <c r="M37" s="88">
        <f>SUM(SUMIFS('Discover Data'!$F:$F,'Discover Data'!$H:$H,$B37,'Discover Data'!$B:$B,'Detailed Summary'!M$2))</f>
        <v>69.38</v>
      </c>
      <c r="N37" s="88">
        <f>SUM(SUMIFS('Discover Data'!$F:$F,'Discover Data'!$H:$H,$B37,'Discover Data'!$B:$B,'Detailed Summary'!N$2))</f>
        <v>0</v>
      </c>
    </row>
    <row r="38" spans="1:14" ht="15.75" thickBot="1" x14ac:dyDescent="0.3">
      <c r="A38" s="116"/>
      <c r="B38" s="37" t="s">
        <v>708</v>
      </c>
      <c r="C38" s="89" cm="1">
        <f t="array" ref="C38">SUM(SUMIFS('Discover Data'!$F:$F,'Discover Data'!$H:$H,{"amazon";"conv_store";"everything_store";"home"},'Discover Data'!$B:$B,'Detailed Summary'!C$2))</f>
        <v>251.54</v>
      </c>
      <c r="D38" s="89" cm="1">
        <f t="array" ref="D38">SUM(SUMIFS('Discover Data'!$F:$F,'Discover Data'!$H:$H,{"amazon";"conv_store";"everything_store";"home"},'Discover Data'!$B:$B,'Detailed Summary'!D$2))</f>
        <v>255.39999999999998</v>
      </c>
      <c r="E38" s="89" cm="1">
        <f t="array" ref="E38">SUM(SUMIFS('Discover Data'!$F:$F,'Discover Data'!$H:$H,{"amazon";"conv_store";"everything_store";"home"},'Discover Data'!$B:$B,'Detailed Summary'!E$2))</f>
        <v>514.77</v>
      </c>
      <c r="F38" s="89" cm="1">
        <f t="array" ref="F38">SUM(SUMIFS('Discover Data'!$F:$F,'Discover Data'!$H:$H,{"amazon";"conv_store";"everything_store";"home"},'Discover Data'!$B:$B,'Detailed Summary'!F$2))</f>
        <v>867.93</v>
      </c>
      <c r="G38" s="89" cm="1">
        <f t="array" ref="G38">SUM(SUMIFS('Discover Data'!$F:$F,'Discover Data'!$H:$H,{"amazon";"conv_store";"everything_store";"home"},'Discover Data'!$B:$B,'Detailed Summary'!G$2))</f>
        <v>800.79</v>
      </c>
      <c r="H38" s="89" cm="1">
        <f t="array" ref="H38">SUM(SUMIFS('Discover Data'!$F:$F,'Discover Data'!$H:$H,{"amazon";"conv_store";"everything_store";"home"},'Discover Data'!$B:$B,'Detailed Summary'!H$2))</f>
        <v>120.97</v>
      </c>
      <c r="I38" s="89" cm="1">
        <f t="array" ref="I38">SUM(SUMIFS('Discover Data'!$F:$F,'Discover Data'!$H:$H,{"amazon";"conv_store";"everything_store";"home"},'Discover Data'!$B:$B,'Detailed Summary'!I$2))</f>
        <v>651.99</v>
      </c>
      <c r="J38" s="89" cm="1">
        <f t="array" ref="J38">SUM(SUMIFS('Discover Data'!$F:$F,'Discover Data'!$H:$H,{"amazon";"conv_store";"everything_store";"home"},'Discover Data'!$B:$B,'Detailed Summary'!J$2))</f>
        <v>281.80999999999995</v>
      </c>
      <c r="K38" s="89" cm="1">
        <f t="array" ref="K38">SUM(SUMIFS('Discover Data'!$F:$F,'Discover Data'!$H:$H,{"amazon";"conv_store";"everything_store";"home"},'Discover Data'!$B:$B,'Detailed Summary'!K$2))</f>
        <v>113.59</v>
      </c>
      <c r="L38" s="89" cm="1">
        <f t="array" ref="L38">SUM(SUMIFS('Discover Data'!$F:$F,'Discover Data'!$H:$H,{"amazon";"conv_store";"everything_store";"home"},'Discover Data'!$B:$B,'Detailed Summary'!L$2))</f>
        <v>420.25</v>
      </c>
      <c r="M38" s="89" cm="1">
        <f t="array" ref="M38">SUM(SUMIFS('Discover Data'!$F:$F,'Discover Data'!$H:$H,{"amazon";"conv_store";"everything_store";"home"},'Discover Data'!$B:$B,'Detailed Summary'!M$2))</f>
        <v>849.08000000000015</v>
      </c>
      <c r="N38" s="89" cm="1">
        <f t="array" ref="N38">SUM(SUMIFS('Discover Data'!$F:$F,'Discover Data'!$H:$H,{"amazon";"conv_store";"everything_store";"home"},'Discover Data'!$B:$B,'Detailed Summary'!N$2))</f>
        <v>700.92999999999984</v>
      </c>
    </row>
    <row r="39" spans="1:14" x14ac:dyDescent="0.25">
      <c r="A39" s="111" t="s">
        <v>709</v>
      </c>
      <c r="B39" s="41" t="s">
        <v>710</v>
      </c>
      <c r="C39" s="88">
        <f>SUMIFS('Discover Data'!$F:$F,'Discover Data'!$H:$H,"movies",'Discover Data'!$B:$B,'Detailed Summary'!C$2)</f>
        <v>0</v>
      </c>
      <c r="D39" s="88">
        <f>SUMIFS('Discover Data'!$F:$F,'Discover Data'!$H:$H,"movies",'Discover Data'!$B:$B,'Detailed Summary'!D$2)</f>
        <v>22.520000000000003</v>
      </c>
      <c r="E39" s="88">
        <f>SUMIFS('Discover Data'!$F:$F,'Discover Data'!$H:$H,"movies",'Discover Data'!$B:$B,'Detailed Summary'!E$2)</f>
        <v>51.65</v>
      </c>
      <c r="F39" s="88">
        <f>SUMIFS('Discover Data'!$F:$F,'Discover Data'!$H:$H,"movies",'Discover Data'!$B:$B,'Detailed Summary'!F$2)</f>
        <v>50</v>
      </c>
      <c r="G39" s="88">
        <f>SUMIFS('Discover Data'!$F:$F,'Discover Data'!$H:$H,"movies",'Discover Data'!$B:$B,'Detailed Summary'!G$2)</f>
        <v>231.7</v>
      </c>
      <c r="H39" s="88">
        <f>SUMIFS('Discover Data'!$F:$F,'Discover Data'!$H:$H,"movies",'Discover Data'!$B:$B,'Detailed Summary'!H$2)</f>
        <v>49.980000000000004</v>
      </c>
      <c r="I39" s="88">
        <f>SUMIFS('Discover Data'!$F:$F,'Discover Data'!$H:$H,"movies",'Discover Data'!$B:$B,'Detailed Summary'!I$2)</f>
        <v>47.25</v>
      </c>
      <c r="J39" s="88">
        <f>SUMIFS('Discover Data'!$F:$F,'Discover Data'!$H:$H,"movies",'Discover Data'!$B:$B,'Detailed Summary'!J$2)</f>
        <v>0</v>
      </c>
      <c r="K39" s="88">
        <f>SUMIFS('Discover Data'!$F:$F,'Discover Data'!$H:$H,"movies",'Discover Data'!$B:$B,'Detailed Summary'!K$2)</f>
        <v>0</v>
      </c>
      <c r="L39" s="88">
        <f>SUMIFS('Discover Data'!$F:$F,'Discover Data'!$H:$H,"movies",'Discover Data'!$B:$B,'Detailed Summary'!L$2)</f>
        <v>17.55</v>
      </c>
      <c r="M39" s="88">
        <f>SUMIFS('Discover Data'!$F:$F,'Discover Data'!$H:$H,"movies",'Discover Data'!$B:$B,'Detailed Summary'!M$2)</f>
        <v>327.73</v>
      </c>
      <c r="N39" s="88">
        <f>SUMIFS('Discover Data'!$F:$F,'Discover Data'!$H:$H,"movies",'Discover Data'!$B:$B,'Detailed Summary'!N$2)</f>
        <v>156.41000000000003</v>
      </c>
    </row>
    <row r="40" spans="1:14" x14ac:dyDescent="0.25">
      <c r="A40" s="112"/>
      <c r="B40" s="41" t="s">
        <v>711</v>
      </c>
      <c r="C40" s="88" cm="1">
        <f t="array" ref="C40">SUM(SUMIFS('Discover Data'!$F:$F,'Discover Data'!$H:$H,{"live_event";"live_nba";"concerts";"convention";"vr_arcade"},'Discover Data'!$B:$B,'Detailed Summary'!C$2))</f>
        <v>311.8</v>
      </c>
      <c r="D40" s="88" cm="1">
        <f t="array" ref="D40">SUM(SUMIFS('Discover Data'!$F:$F,'Discover Data'!$H:$H,{"live_event";"live_nba";"concerts";"convention";"vr_arcade"},'Discover Data'!$B:$B,'Detailed Summary'!D$2))</f>
        <v>441.40999999999997</v>
      </c>
      <c r="E40" s="88" cm="1">
        <f t="array" ref="E40">SUM(SUMIFS('Discover Data'!$F:$F,'Discover Data'!$H:$H,{"live_event";"live_nba";"concerts";"convention";"vr_arcade"},'Discover Data'!$B:$B,'Detailed Summary'!E$2))</f>
        <v>360.73</v>
      </c>
      <c r="F40" s="88" cm="1">
        <f t="array" ref="F40">SUM(SUMIFS('Discover Data'!$F:$F,'Discover Data'!$H:$H,{"live_event";"live_nba";"concerts";"convention";"vr_arcade"},'Discover Data'!$B:$B,'Detailed Summary'!F$2))</f>
        <v>36.229999999999997</v>
      </c>
      <c r="G40" s="88" cm="1">
        <f t="array" ref="G40">SUM(SUMIFS('Discover Data'!$F:$F,'Discover Data'!$H:$H,{"live_event";"live_nba";"concerts";"convention";"vr_arcade"},'Discover Data'!$B:$B,'Detailed Summary'!G$2))</f>
        <v>0</v>
      </c>
      <c r="H40" s="88" cm="1">
        <f t="array" ref="H40">SUM(SUMIFS('Discover Data'!$F:$F,'Discover Data'!$H:$H,{"live_event";"live_nba";"concerts";"convention";"vr_arcade"},'Discover Data'!$B:$B,'Detailed Summary'!H$2))</f>
        <v>0</v>
      </c>
      <c r="I40" s="88" cm="1">
        <f t="array" ref="I40">SUM(SUMIFS('Discover Data'!$F:$F,'Discover Data'!$H:$H,{"live_event";"live_nba";"concerts";"convention";"vr_arcade"},'Discover Data'!$B:$B,'Detailed Summary'!I$2))</f>
        <v>0</v>
      </c>
      <c r="J40" s="88" cm="1">
        <f t="array" ref="J40">SUM(SUMIFS('Discover Data'!$F:$F,'Discover Data'!$H:$H,{"live_event";"live_nba";"concerts";"convention";"vr_arcade"},'Discover Data'!$B:$B,'Detailed Summary'!J$2))</f>
        <v>108.09</v>
      </c>
      <c r="K40" s="88" cm="1">
        <f t="array" ref="K40">SUM(SUMIFS('Discover Data'!$F:$F,'Discover Data'!$H:$H,{"live_event";"live_nba";"concerts";"convention";"vr_arcade"},'Discover Data'!$B:$B,'Detailed Summary'!K$2))</f>
        <v>32.42</v>
      </c>
      <c r="L40" s="88" cm="1">
        <f t="array" ref="L40">SUM(SUMIFS('Discover Data'!$F:$F,'Discover Data'!$H:$H,{"live_event";"live_nba";"concerts";"convention";"vr_arcade"},'Discover Data'!$B:$B,'Detailed Summary'!L$2))</f>
        <v>254.38</v>
      </c>
      <c r="M40" s="88" cm="1">
        <f t="array" ref="M40">SUM(SUMIFS('Discover Data'!$F:$F,'Discover Data'!$H:$H,{"live_event";"live_nba";"concerts";"convention";"vr_arcade"},'Discover Data'!$B:$B,'Detailed Summary'!M$2))</f>
        <v>0</v>
      </c>
      <c r="N40" s="88" cm="1">
        <f t="array" ref="N40">SUM(SUMIFS('Discover Data'!$F:$F,'Discover Data'!$H:$H,{"live_event";"live_nba";"concerts";"convention";"vr_arcade"},'Discover Data'!$B:$B,'Detailed Summary'!N$2))</f>
        <v>361.6</v>
      </c>
    </row>
    <row r="41" spans="1:14" x14ac:dyDescent="0.25">
      <c r="A41" s="112"/>
      <c r="B41" s="41" t="s">
        <v>712</v>
      </c>
      <c r="C41" s="88" cm="1">
        <f t="array" ref="C41">SUM(SUMIFS('Discover Data'!$F:$F,'Discover Data'!$H:$H,{"adity";"nick&amp;julie";"Kaiya_Birthday"},'Discover Data'!$B:$B,'Detailed Summary'!C$2))</f>
        <v>0</v>
      </c>
      <c r="D41" s="88" cm="1">
        <f t="array" ref="D41">SUM(SUMIFS('Discover Data'!$F:$F,'Discover Data'!$H:$H,{"adity";"nick&amp;julie";"Kaiya_Birthday"},'Discover Data'!$B:$B,'Detailed Summary'!D$2))</f>
        <v>0</v>
      </c>
      <c r="E41" s="88" cm="1">
        <f t="array" ref="E41">SUM(SUMIFS('Discover Data'!$F:$F,'Discover Data'!$H:$H,{"adity";"nick&amp;julie";"Kaiya_Birthday"},'Discover Data'!$B:$B,'Detailed Summary'!E$2))</f>
        <v>0</v>
      </c>
      <c r="F41" s="88" cm="1">
        <f t="array" ref="F41">SUM(SUMIFS('Discover Data'!$F:$F,'Discover Data'!$H:$H,{"adity";"nick&amp;julie";"Kaiya_Birthday"},'Discover Data'!$B:$B,'Detailed Summary'!F$2))</f>
        <v>0</v>
      </c>
      <c r="G41" s="88" cm="1">
        <f t="array" ref="G41">SUM(SUMIFS('Discover Data'!$F:$F,'Discover Data'!$H:$H,{"adity";"nick&amp;julie";"Kaiya_Birthday"},'Discover Data'!$B:$B,'Detailed Summary'!G$2))</f>
        <v>182.72000000000003</v>
      </c>
      <c r="H41" s="88" cm="1">
        <f t="array" ref="H41">SUM(SUMIFS('Discover Data'!$F:$F,'Discover Data'!$H:$H,{"adity";"nick&amp;julie";"Kaiya_Birthday"},'Discover Data'!$B:$B,'Detailed Summary'!H$2))</f>
        <v>88.39</v>
      </c>
      <c r="I41" s="88" cm="1">
        <f t="array" ref="I41">SUM(SUMIFS('Discover Data'!$F:$F,'Discover Data'!$H:$H,{"adity";"nick&amp;julie";"Kaiya_Birthday"},'Discover Data'!$B:$B,'Detailed Summary'!I$2))</f>
        <v>0</v>
      </c>
      <c r="J41" s="88" cm="1">
        <f t="array" ref="J41">SUM(SUMIFS('Discover Data'!$F:$F,'Discover Data'!$H:$H,{"adity";"nick&amp;julie";"Kaiya_Birthday"},'Discover Data'!$B:$B,'Detailed Summary'!J$2))</f>
        <v>0</v>
      </c>
      <c r="K41" s="88" cm="1">
        <f t="array" ref="K41">SUM(SUMIFS('Discover Data'!$F:$F,'Discover Data'!$H:$H,{"adity";"nick&amp;julie";"Kaiya_Birthday"},'Discover Data'!$B:$B,'Detailed Summary'!K$2))</f>
        <v>0</v>
      </c>
      <c r="L41" s="88" cm="1">
        <f t="array" ref="L41">SUM(SUMIFS('Discover Data'!$F:$F,'Discover Data'!$H:$H,{"adity";"nick&amp;julie";"Kaiya_Birthday"},'Discover Data'!$B:$B,'Detailed Summary'!L$2))</f>
        <v>0</v>
      </c>
      <c r="M41" s="88" cm="1">
        <f t="array" ref="M41">SUM(SUMIFS('Discover Data'!$F:$F,'Discover Data'!$H:$H,{"adity";"nick&amp;julie";"Kaiya_Birthday"},'Discover Data'!$B:$B,'Detailed Summary'!M$2))</f>
        <v>0</v>
      </c>
      <c r="N41" s="88" cm="1">
        <f t="array" ref="N41">SUM(SUMIFS('Discover Data'!$F:$F,'Discover Data'!$H:$H,{"adity";"nick&amp;julie";"Kaiya_Birthday"},'Discover Data'!$B:$B,'Detailed Summary'!N$2))</f>
        <v>0</v>
      </c>
    </row>
    <row r="42" spans="1:14" ht="15.75" thickBot="1" x14ac:dyDescent="0.3">
      <c r="A42" s="112"/>
      <c r="B42" s="37" t="s">
        <v>713</v>
      </c>
      <c r="C42" s="89" cm="1">
        <f t="array" ref="C42">SUM(SUMIFS('Discover Data'!$F:$F,'Discover Data'!$H:$H,{"museum";"vr_arcade";"video_games"},'Discover Data'!$B:$B,'Detailed Summary'!C$2))</f>
        <v>179.99</v>
      </c>
      <c r="D42" s="89" cm="1">
        <f t="array" ref="D42">SUM(SUMIFS('Discover Data'!$F:$F,'Discover Data'!$H:$H,{"museum";"vr_arcade";"video_games"},'Discover Data'!$B:$B,'Detailed Summary'!D$2))</f>
        <v>63.37</v>
      </c>
      <c r="E42" s="89" cm="1">
        <f t="array" ref="E42">SUM(SUMIFS('Discover Data'!$F:$F,'Discover Data'!$H:$H,{"museum";"vr_arcade";"video_games"},'Discover Data'!$B:$B,'Detailed Summary'!E$2))</f>
        <v>0</v>
      </c>
      <c r="F42" s="89" cm="1">
        <f t="array" ref="F42">SUM(SUMIFS('Discover Data'!$F:$F,'Discover Data'!$H:$H,{"museum";"vr_arcade";"video_games"},'Discover Data'!$B:$B,'Detailed Summary'!F$2))</f>
        <v>174.91</v>
      </c>
      <c r="G42" s="89" cm="1">
        <f t="array" ref="G42">SUM(SUMIFS('Discover Data'!$F:$F,'Discover Data'!$H:$H,{"museum";"vr_arcade";"video_games"},'Discover Data'!$B:$B,'Detailed Summary'!G$2))</f>
        <v>107.53</v>
      </c>
      <c r="H42" s="89" cm="1">
        <f t="array" ref="H42">SUM(SUMIFS('Discover Data'!$F:$F,'Discover Data'!$H:$H,{"museum";"vr_arcade";"video_games"},'Discover Data'!$B:$B,'Detailed Summary'!H$2))</f>
        <v>0</v>
      </c>
      <c r="I42" s="89" cm="1">
        <f t="array" ref="I42">SUM(SUMIFS('Discover Data'!$F:$F,'Discover Data'!$H:$H,{"museum";"vr_arcade";"video_games"},'Discover Data'!$B:$B,'Detailed Summary'!I$2))</f>
        <v>13.04</v>
      </c>
      <c r="J42" s="89" cm="1">
        <f t="array" ref="J42">SUM(SUMIFS('Discover Data'!$F:$F,'Discover Data'!$H:$H,{"museum";"vr_arcade";"video_games"},'Discover Data'!$B:$B,'Detailed Summary'!J$2))</f>
        <v>59.99</v>
      </c>
      <c r="K42" s="89" cm="1">
        <f t="array" ref="K42">SUM(SUMIFS('Discover Data'!$F:$F,'Discover Data'!$H:$H,{"museum";"vr_arcade";"video_games"},'Discover Data'!$B:$B,'Detailed Summary'!K$2))</f>
        <v>0</v>
      </c>
      <c r="L42" s="89" cm="1">
        <f t="array" ref="L42">SUM(SUMIFS('Discover Data'!$F:$F,'Discover Data'!$H:$H,{"museum";"vr_arcade";"video_games"},'Discover Data'!$B:$B,'Detailed Summary'!L$2))</f>
        <v>0</v>
      </c>
      <c r="M42" s="89" cm="1">
        <f t="array" ref="M42">SUM(SUMIFS('Discover Data'!$F:$F,'Discover Data'!$H:$H,{"museum";"vr_arcade";"video_games"},'Discover Data'!$B:$B,'Detailed Summary'!M$2))</f>
        <v>77.94</v>
      </c>
      <c r="N42" s="89" cm="1">
        <f t="array" ref="N42">SUM(SUMIFS('Discover Data'!$F:$F,'Discover Data'!$H:$H,{"museum";"vr_arcade";"video_games"},'Discover Data'!$B:$B,'Detailed Summary'!N$2))</f>
        <v>26.99</v>
      </c>
    </row>
    <row r="43" spans="1:14" x14ac:dyDescent="0.25">
      <c r="A43" s="113" t="s">
        <v>714</v>
      </c>
      <c r="B43" s="41" t="s">
        <v>42</v>
      </c>
      <c r="C43" s="88">
        <f>SUM(SUMIFS('Discover Data'!$F:$F,'Discover Data'!$H:$H,$B43,'Discover Data'!$B:$B,'Detailed Summary'!C$2))</f>
        <v>223.84</v>
      </c>
      <c r="D43" s="88">
        <f>SUM(SUMIFS('Discover Data'!$F:$F,'Discover Data'!$H:$H,$B43,'Discover Data'!$B:$B,'Detailed Summary'!D$2))</f>
        <v>202.79</v>
      </c>
      <c r="E43" s="88">
        <f>SUM(SUMIFS('Discover Data'!$F:$F,'Discover Data'!$H:$H,$B43,'Discover Data'!$B:$B,'Detailed Summary'!E$2))</f>
        <v>114.37</v>
      </c>
      <c r="F43" s="88">
        <f>SUM(SUMIFS('Discover Data'!$F:$F,'Discover Data'!$H:$H,$B43,'Discover Data'!$B:$B,'Detailed Summary'!F$2))</f>
        <v>63.04</v>
      </c>
      <c r="G43" s="88">
        <f>SUM(SUMIFS('Discover Data'!$F:$F,'Discover Data'!$H:$H,$B43,'Discover Data'!$B:$B,'Detailed Summary'!G$2))</f>
        <v>681.13</v>
      </c>
      <c r="H43" s="88">
        <f>SUM(SUMIFS('Discover Data'!$F:$F,'Discover Data'!$H:$H,$B43,'Discover Data'!$B:$B,'Detailed Summary'!H$2))</f>
        <v>9.99</v>
      </c>
      <c r="I43" s="88">
        <f>SUM(SUMIFS('Discover Data'!$F:$F,'Discover Data'!$H:$H,$B43,'Discover Data'!$B:$B,'Detailed Summary'!I$2))</f>
        <v>0</v>
      </c>
      <c r="J43" s="88">
        <f>SUM(SUMIFS('Discover Data'!$F:$F,'Discover Data'!$H:$H,$B43,'Discover Data'!$B:$B,'Detailed Summary'!J$2))</f>
        <v>207.03000000000003</v>
      </c>
      <c r="K43" s="88">
        <f>SUM(SUMIFS('Discover Data'!$F:$F,'Discover Data'!$H:$H,$B43,'Discover Data'!$B:$B,'Detailed Summary'!K$2))</f>
        <v>9.91</v>
      </c>
      <c r="L43" s="88">
        <f>SUM(SUMIFS('Discover Data'!$F:$F,'Discover Data'!$H:$H,$B43,'Discover Data'!$B:$B,'Detailed Summary'!L$2))</f>
        <v>30.9</v>
      </c>
      <c r="M43" s="88">
        <f>SUM(SUMIFS('Discover Data'!$F:$F,'Discover Data'!$H:$H,$B43,'Discover Data'!$B:$B,'Detailed Summary'!M$2))</f>
        <v>126.85</v>
      </c>
      <c r="N43" s="88">
        <f>SUM(SUMIFS('Discover Data'!$F:$F,'Discover Data'!$H:$H,$B43,'Discover Data'!$B:$B,'Detailed Summary'!N$2))</f>
        <v>0</v>
      </c>
    </row>
    <row r="44" spans="1:14" x14ac:dyDescent="0.25">
      <c r="A44" s="114"/>
      <c r="B44" s="41" t="s">
        <v>55</v>
      </c>
      <c r="C44" s="88">
        <f>SUM(SUMIFS('Discover Data'!$F:$F,'Discover Data'!$H:$H,$B44,'Discover Data'!$B:$B,'Detailed Summary'!C$2))</f>
        <v>736.81000000000006</v>
      </c>
      <c r="D44" s="88">
        <f>SUM(SUMIFS('Discover Data'!$F:$F,'Discover Data'!$H:$H,$B44,'Discover Data'!$B:$B,'Detailed Summary'!D$2))</f>
        <v>86</v>
      </c>
      <c r="E44" s="88">
        <f>SUM(SUMIFS('Discover Data'!$F:$F,'Discover Data'!$H:$H,$B44,'Discover Data'!$B:$B,'Detailed Summary'!E$2))</f>
        <v>0</v>
      </c>
      <c r="F44" s="88">
        <f>SUM(SUMIFS('Discover Data'!$F:$F,'Discover Data'!$H:$H,$B44,'Discover Data'!$B:$B,'Detailed Summary'!F$2))</f>
        <v>210</v>
      </c>
      <c r="G44" s="88">
        <f>SUM(SUMIFS('Discover Data'!$F:$F,'Discover Data'!$H:$H,$B44,'Discover Data'!$B:$B,'Detailed Summary'!G$2))</f>
        <v>0</v>
      </c>
      <c r="H44" s="88">
        <f>SUM(SUMIFS('Discover Data'!$F:$F,'Discover Data'!$H:$H,$B44,'Discover Data'!$B:$B,'Detailed Summary'!H$2))</f>
        <v>0</v>
      </c>
      <c r="I44" s="88">
        <f>SUM(SUMIFS('Discover Data'!$F:$F,'Discover Data'!$H:$H,$B44,'Discover Data'!$B:$B,'Detailed Summary'!I$2))</f>
        <v>0</v>
      </c>
      <c r="J44" s="88">
        <f>SUM(SUMIFS('Discover Data'!$F:$F,'Discover Data'!$H:$H,$B44,'Discover Data'!$B:$B,'Detailed Summary'!J$2))</f>
        <v>0</v>
      </c>
      <c r="K44" s="88">
        <f>SUM(SUMIFS('Discover Data'!$F:$F,'Discover Data'!$H:$H,$B44,'Discover Data'!$B:$B,'Detailed Summary'!K$2))</f>
        <v>0</v>
      </c>
      <c r="L44" s="88">
        <f>SUM(SUMIFS('Discover Data'!$F:$F,'Discover Data'!$H:$H,$B44,'Discover Data'!$B:$B,'Detailed Summary'!L$2))</f>
        <v>49.99</v>
      </c>
      <c r="M44" s="88">
        <f>SUM(SUMIFS('Discover Data'!$F:$F,'Discover Data'!$H:$H,$B44,'Discover Data'!$B:$B,'Detailed Summary'!M$2))</f>
        <v>169.31</v>
      </c>
      <c r="N44" s="88">
        <f>SUM(SUMIFS('Discover Data'!$F:$F,'Discover Data'!$H:$H,$B44,'Discover Data'!$B:$B,'Detailed Summary'!N$2))</f>
        <v>35</v>
      </c>
    </row>
    <row r="45" spans="1:14" x14ac:dyDescent="0.25">
      <c r="A45" s="114"/>
      <c r="B45" s="41" t="s">
        <v>30</v>
      </c>
      <c r="C45" s="88">
        <f>SUM(SUMIFS('Discover Data'!$F:$F,'Discover Data'!$H:$H,$B45,'Discover Data'!$B:$B,'Detailed Summary'!C$2))</f>
        <v>132.49</v>
      </c>
      <c r="D45" s="88">
        <f>SUM(SUMIFS('Discover Data'!$F:$F,'Discover Data'!$H:$H,$B45,'Discover Data'!$B:$B,'Detailed Summary'!D$2))</f>
        <v>15.5</v>
      </c>
      <c r="E45" s="88">
        <f>SUM(SUMIFS('Discover Data'!$F:$F,'Discover Data'!$H:$H,$B45,'Discover Data'!$B:$B,'Detailed Summary'!E$2))</f>
        <v>48.12</v>
      </c>
      <c r="F45" s="88">
        <f>SUM(SUMIFS('Discover Data'!$F:$F,'Discover Data'!$H:$H,$B45,'Discover Data'!$B:$B,'Detailed Summary'!F$2))</f>
        <v>99.5</v>
      </c>
      <c r="G45" s="88">
        <f>SUM(SUMIFS('Discover Data'!$F:$F,'Discover Data'!$H:$H,$B45,'Discover Data'!$B:$B,'Detailed Summary'!G$2))</f>
        <v>154.34</v>
      </c>
      <c r="H45" s="88">
        <f>SUM(SUMIFS('Discover Data'!$F:$F,'Discover Data'!$H:$H,$B45,'Discover Data'!$B:$B,'Detailed Summary'!H$2))</f>
        <v>0</v>
      </c>
      <c r="I45" s="88">
        <f>SUM(SUMIFS('Discover Data'!$F:$F,'Discover Data'!$H:$H,$B45,'Discover Data'!$B:$B,'Detailed Summary'!I$2))</f>
        <v>0</v>
      </c>
      <c r="J45" s="88">
        <f>SUM(SUMIFS('Discover Data'!$F:$F,'Discover Data'!$H:$H,$B45,'Discover Data'!$B:$B,'Detailed Summary'!J$2))</f>
        <v>80.3</v>
      </c>
      <c r="K45" s="88">
        <f>SUM(SUMIFS('Discover Data'!$F:$F,'Discover Data'!$H:$H,$B45,'Discover Data'!$B:$B,'Detailed Summary'!K$2))</f>
        <v>29.02</v>
      </c>
      <c r="L45" s="88">
        <f>SUM(SUMIFS('Discover Data'!$F:$F,'Discover Data'!$H:$H,$B45,'Discover Data'!$B:$B,'Detailed Summary'!L$2))</f>
        <v>0</v>
      </c>
      <c r="M45" s="88">
        <f>SUM(SUMIFS('Discover Data'!$F:$F,'Discover Data'!$H:$H,$B45,'Discover Data'!$B:$B,'Detailed Summary'!M$2))</f>
        <v>10</v>
      </c>
      <c r="N45" s="88">
        <f>SUM(SUMIFS('Discover Data'!$F:$F,'Discover Data'!$H:$H,$B45,'Discover Data'!$B:$B,'Detailed Summary'!N$2))</f>
        <v>0</v>
      </c>
    </row>
    <row r="46" spans="1:14" x14ac:dyDescent="0.25">
      <c r="A46" s="114"/>
      <c r="B46" s="41" t="s">
        <v>715</v>
      </c>
      <c r="C46" s="88" cm="1">
        <f t="array" ref="C46">SUM(SUMIFS('Discover Data'!$F:$F,'Discover Data'!$H:$H,{"lodging";""},'Discover Data'!$B:$B,'Detailed Summary'!C$2))</f>
        <v>102.14</v>
      </c>
      <c r="D46" s="88" cm="1">
        <f t="array" ref="D46">SUM(SUMIFS('Discover Data'!$F:$F,'Discover Data'!$H:$H,{"lodging";""},'Discover Data'!$B:$B,'Detailed Summary'!D$2))</f>
        <v>0</v>
      </c>
      <c r="E46" s="88" cm="1">
        <f t="array" ref="E46">SUM(SUMIFS('Discover Data'!$F:$F,'Discover Data'!$H:$H,{"lodging";""},'Discover Data'!$B:$B,'Detailed Summary'!E$2))</f>
        <v>0</v>
      </c>
      <c r="F46" s="88" cm="1">
        <f t="array" ref="F46">SUM(SUMIFS('Discover Data'!$F:$F,'Discover Data'!$H:$H,{"lodging";""},'Discover Data'!$B:$B,'Detailed Summary'!F$2))</f>
        <v>0</v>
      </c>
      <c r="G46" s="88" cm="1">
        <f t="array" ref="G46">SUM(SUMIFS('Discover Data'!$F:$F,'Discover Data'!$H:$H,{"lodging";""},'Discover Data'!$B:$B,'Detailed Summary'!G$2))</f>
        <v>190.4</v>
      </c>
      <c r="H46" s="88" cm="1">
        <f t="array" ref="H46">SUM(SUMIFS('Discover Data'!$F:$F,'Discover Data'!$H:$H,{"lodging";""},'Discover Data'!$B:$B,'Detailed Summary'!H$2))</f>
        <v>0</v>
      </c>
      <c r="I46" s="88" cm="1">
        <f t="array" ref="I46">SUM(SUMIFS('Discover Data'!$F:$F,'Discover Data'!$H:$H,{"lodging";""},'Discover Data'!$B:$B,'Detailed Summary'!I$2))</f>
        <v>0</v>
      </c>
      <c r="J46" s="88" cm="1">
        <f t="array" ref="J46">SUM(SUMIFS('Discover Data'!$F:$F,'Discover Data'!$H:$H,{"lodging";""},'Discover Data'!$B:$B,'Detailed Summary'!J$2))</f>
        <v>0</v>
      </c>
      <c r="K46" s="88" cm="1">
        <f t="array" ref="K46">SUM(SUMIFS('Discover Data'!$F:$F,'Discover Data'!$H:$H,{"lodging";""},'Discover Data'!$B:$B,'Detailed Summary'!K$2))</f>
        <v>0</v>
      </c>
      <c r="L46" s="88" cm="1">
        <f t="array" ref="L46">SUM(SUMIFS('Discover Data'!$F:$F,'Discover Data'!$H:$H,{"lodging";""},'Discover Data'!$B:$B,'Detailed Summary'!L$2))</f>
        <v>0</v>
      </c>
      <c r="M46" s="88" cm="1">
        <f t="array" ref="M46">SUM(SUMIFS('Discover Data'!$F:$F,'Discover Data'!$H:$H,{"lodging";""},'Discover Data'!$B:$B,'Detailed Summary'!M$2))</f>
        <v>0</v>
      </c>
      <c r="N46" s="88" cm="1">
        <f t="array" ref="N46">SUM(SUMIFS('Discover Data'!$F:$F,'Discover Data'!$H:$H,{"lodging";""},'Discover Data'!$B:$B,'Detailed Summary'!N$2))</f>
        <v>0</v>
      </c>
    </row>
    <row r="47" spans="1:14" x14ac:dyDescent="0.25">
      <c r="A47" s="114"/>
      <c r="B47" s="41" t="s">
        <v>978</v>
      </c>
      <c r="C47" s="88" cm="1">
        <f t="array" ref="C47">SUM(SUMIFS('Discover Data'!$F:$F,'Discover Data'!$H:$H,{"car";""},'Discover Data'!$B:$B,'Detailed Summary'!C$2))</f>
        <v>260.36</v>
      </c>
      <c r="D47" s="88" cm="1">
        <f t="array" ref="D47">SUM(SUMIFS('Discover Data'!$F:$F,'Discover Data'!$H:$H,{"car";""},'Discover Data'!$B:$B,'Detailed Summary'!D$2))</f>
        <v>279.89</v>
      </c>
      <c r="E47" s="88" cm="1">
        <f t="array" ref="E47">SUM(SUMIFS('Discover Data'!$F:$F,'Discover Data'!$H:$H,{"car";""},'Discover Data'!$B:$B,'Detailed Summary'!E$2))</f>
        <v>39</v>
      </c>
      <c r="F47" s="88" cm="1">
        <f t="array" ref="F47">SUM(SUMIFS('Discover Data'!$F:$F,'Discover Data'!$H:$H,{"car";""},'Discover Data'!$B:$B,'Detailed Summary'!F$2))</f>
        <v>0</v>
      </c>
      <c r="G47" s="88" cm="1">
        <f t="array" ref="G47">SUM(SUMIFS('Discover Data'!$F:$F,'Discover Data'!$H:$H,{"car";""},'Discover Data'!$B:$B,'Detailed Summary'!G$2))</f>
        <v>41.87</v>
      </c>
      <c r="H47" s="88" cm="1">
        <f t="array" ref="H47">SUM(SUMIFS('Discover Data'!$F:$F,'Discover Data'!$H:$H,{"car";""},'Discover Data'!$B:$B,'Detailed Summary'!H$2))</f>
        <v>0</v>
      </c>
      <c r="I47" s="88" cm="1">
        <f t="array" ref="I47">SUM(SUMIFS('Discover Data'!$F:$F,'Discover Data'!$H:$H,{"car";""},'Discover Data'!$B:$B,'Detailed Summary'!I$2))</f>
        <v>0</v>
      </c>
      <c r="J47" s="88" cm="1">
        <f t="array" ref="J47">SUM(SUMIFS('Discover Data'!$F:$F,'Discover Data'!$H:$H,{"car";""},'Discover Data'!$B:$B,'Detailed Summary'!J$2))</f>
        <v>2019.8</v>
      </c>
      <c r="K47" s="88" cm="1">
        <f t="array" ref="K47">SUM(SUMIFS('Discover Data'!$F:$F,'Discover Data'!$H:$H,{"car";""},'Discover Data'!$B:$B,'Detailed Summary'!K$2))</f>
        <v>0</v>
      </c>
      <c r="L47" s="88" cm="1">
        <f t="array" ref="L47">SUM(SUMIFS('Discover Data'!$F:$F,'Discover Data'!$H:$H,{"car";""},'Discover Data'!$B:$B,'Detailed Summary'!L$2))</f>
        <v>0</v>
      </c>
      <c r="M47" s="88" cm="1">
        <f t="array" ref="M47">SUM(SUMIFS('Discover Data'!$F:$F,'Discover Data'!$H:$H,{"car";""},'Discover Data'!$B:$B,'Detailed Summary'!M$2))</f>
        <v>165.67</v>
      </c>
      <c r="N47" s="88" cm="1">
        <f t="array" ref="N47">SUM(SUMIFS('Discover Data'!$F:$F,'Discover Data'!$H:$H,{"car";""},'Discover Data'!$B:$B,'Detailed Summary'!N$2))</f>
        <v>151.04</v>
      </c>
    </row>
    <row r="48" spans="1:14" x14ac:dyDescent="0.25">
      <c r="A48" s="114"/>
      <c r="B48" s="41" t="s">
        <v>855</v>
      </c>
      <c r="C48" s="88" cm="1">
        <f t="array" ref="C48">SUM(SUMIFS('Discover Data'!$F:$F,'Discover Data'!$H:$H,{"Europe_Trip";"Pre_Europe_Trip"},'Discover Data'!$B:$B,'Detailed Summary'!C$2))</f>
        <v>0</v>
      </c>
      <c r="D48" s="88" cm="1">
        <f t="array" ref="D48">SUM(SUMIFS('Discover Data'!$F:$F,'Discover Data'!$H:$H,{"Europe_Trip";"Pre_Europe_Trip"},'Discover Data'!$B:$B,'Detailed Summary'!D$2))</f>
        <v>0</v>
      </c>
      <c r="E48" s="88" cm="1">
        <f t="array" ref="E48">SUM(SUMIFS('Discover Data'!$F:$F,'Discover Data'!$H:$H,{"Europe_Trip";"Pre_Europe_Trip"},'Discover Data'!$B:$B,'Detailed Summary'!E$2))</f>
        <v>0</v>
      </c>
      <c r="F48" s="88" cm="1">
        <f t="array" ref="F48">SUM(SUMIFS('Discover Data'!$F:$F,'Discover Data'!$H:$H,{"Europe_Trip";"Pre_Europe_Trip"},'Discover Data'!$B:$B,'Detailed Summary'!F$2))</f>
        <v>111.82</v>
      </c>
      <c r="G48" s="88" cm="1">
        <f t="array" ref="G48">SUM(SUMIFS('Discover Data'!$F:$F,'Discover Data'!$H:$H,{"Europe_Trip";"Pre_Europe_Trip"},'Discover Data'!$B:$B,'Detailed Summary'!G$2))</f>
        <v>681.61999999999989</v>
      </c>
      <c r="H48" s="88" cm="1">
        <f t="array" ref="H48">SUM(SUMIFS('Discover Data'!$F:$F,'Discover Data'!$H:$H,{"Europe_Trip";"Pre_Europe_Trip"},'Discover Data'!$B:$B,'Detailed Summary'!H$2))</f>
        <v>46.79</v>
      </c>
      <c r="I48" s="88" cm="1">
        <f t="array" ref="I48">SUM(SUMIFS('Discover Data'!$F:$F,'Discover Data'!$H:$H,{"Europe_Trip";"Pre_Europe_Trip"},'Discover Data'!$B:$B,'Detailed Summary'!I$2))</f>
        <v>0</v>
      </c>
      <c r="J48" s="88" cm="1">
        <f t="array" ref="J48">SUM(SUMIFS('Discover Data'!$F:$F,'Discover Data'!$H:$H,{"Europe_Trip";"Pre_Europe_Trip"},'Discover Data'!$B:$B,'Detailed Summary'!J$2))</f>
        <v>0</v>
      </c>
      <c r="K48" s="88" cm="1">
        <f t="array" ref="K48">SUM(SUMIFS('Discover Data'!$F:$F,'Discover Data'!$H:$H,{"Europe_Trip";"Pre_Europe_Trip"},'Discover Data'!$B:$B,'Detailed Summary'!K$2))</f>
        <v>0</v>
      </c>
      <c r="L48" s="88" cm="1">
        <f t="array" ref="L48">SUM(SUMIFS('Discover Data'!$F:$F,'Discover Data'!$H:$H,{"Europe_Trip";"Pre_Europe_Trip"},'Discover Data'!$B:$B,'Detailed Summary'!L$2))</f>
        <v>0</v>
      </c>
      <c r="M48" s="88" cm="1">
        <f t="array" ref="M48">SUM(SUMIFS('Discover Data'!$F:$F,'Discover Data'!$H:$H,{"Europe_Trip";"Pre_Europe_Trip"},'Discover Data'!$B:$B,'Detailed Summary'!M$2))</f>
        <v>0</v>
      </c>
      <c r="N48" s="88" cm="1">
        <f t="array" ref="N48">SUM(SUMIFS('Discover Data'!$F:$F,'Discover Data'!$H:$H,{"Europe_Trip";"Pre_Europe_Trip"},'Discover Data'!$B:$B,'Detailed Summary'!N$2))</f>
        <v>0</v>
      </c>
    </row>
    <row r="49" spans="1:14" ht="15.75" thickBot="1" x14ac:dyDescent="0.3">
      <c r="A49" s="115"/>
      <c r="B49" s="37" t="s">
        <v>63</v>
      </c>
      <c r="C49" s="89">
        <f>SUM(SUMIFS('Discover Data'!$F:$F,'Discover Data'!$H:$H,$B49,'Discover Data'!$B:$B,'Detailed Summary'!C$2))</f>
        <v>12.35</v>
      </c>
      <c r="D49" s="89">
        <f>SUM(SUMIFS('Discover Data'!$F:$F,'Discover Data'!$H:$H,$B49,'Discover Data'!$B:$B,'Detailed Summary'!D$2))</f>
        <v>57.23</v>
      </c>
      <c r="E49" s="89">
        <f>SUM(SUMIFS('Discover Data'!$F:$F,'Discover Data'!$H:$H,$B49,'Discover Data'!$B:$B,'Detailed Summary'!E$2))</f>
        <v>32.200000000000003</v>
      </c>
      <c r="F49" s="89">
        <f>SUM(SUMIFS('Discover Data'!$F:$F,'Discover Data'!$H:$H,$B49,'Discover Data'!$B:$B,'Detailed Summary'!F$2))</f>
        <v>52.34</v>
      </c>
      <c r="G49" s="89">
        <f>SUM(SUMIFS('Discover Data'!$F:$F,'Discover Data'!$H:$H,$B49,'Discover Data'!$B:$B,'Detailed Summary'!G$2))</f>
        <v>7</v>
      </c>
      <c r="H49" s="89">
        <f>SUM(SUMIFS('Discover Data'!$F:$F,'Discover Data'!$H:$H,$B49,'Discover Data'!$B:$B,'Detailed Summary'!H$2))</f>
        <v>0</v>
      </c>
      <c r="I49" s="89">
        <f>SUM(SUMIFS('Discover Data'!$F:$F,'Discover Data'!$H:$H,$B49,'Discover Data'!$B:$B,'Detailed Summary'!I$2))</f>
        <v>0</v>
      </c>
      <c r="J49" s="89">
        <f>SUM(SUMIFS('Discover Data'!$F:$F,'Discover Data'!$H:$H,$B49,'Discover Data'!$B:$B,'Detailed Summary'!J$2))</f>
        <v>0</v>
      </c>
      <c r="K49" s="89">
        <f>SUM(SUMIFS('Discover Data'!$F:$F,'Discover Data'!$H:$H,$B49,'Discover Data'!$B:$B,'Detailed Summary'!K$2))</f>
        <v>0</v>
      </c>
      <c r="L49" s="89">
        <f>SUM(SUMIFS('Discover Data'!$F:$F,'Discover Data'!$H:$H,$B49,'Discover Data'!$B:$B,'Detailed Summary'!L$2))</f>
        <v>24</v>
      </c>
      <c r="M49" s="89">
        <f>SUM(SUMIFS('Discover Data'!$F:$F,'Discover Data'!$H:$H,$B49,'Discover Data'!$B:$B,'Detailed Summary'!M$2))</f>
        <v>12</v>
      </c>
      <c r="N49" s="89">
        <f>SUM(SUMIFS('Discover Data'!$F:$F,'Discover Data'!$H:$H,$B49,'Discover Data'!$B:$B,'Detailed Summary'!N$2))</f>
        <v>0</v>
      </c>
    </row>
    <row r="50" spans="1:14" x14ac:dyDescent="0.25">
      <c r="A50" s="112"/>
      <c r="B50" s="41" t="s">
        <v>717</v>
      </c>
      <c r="C50" s="88" cm="1">
        <f t="array" ref="C50">SUM(SUMIFS('Discover Data'!$F:$F,'Discover Data'!$H:$H,{"motor_cycle_license";"taxes";"tolls"},'Discover Data'!$B:$B,'Detailed Summary'!C$2))</f>
        <v>125</v>
      </c>
      <c r="D50" s="88" cm="1">
        <f t="array" ref="D50">SUM(SUMIFS('Discover Data'!$F:$F,'Discover Data'!$H:$H,{"motor_cycle_license";"taxes";"tolls"},'Discover Data'!$B:$B,'Detailed Summary'!D$2))</f>
        <v>29.98</v>
      </c>
      <c r="E50" s="88" cm="1">
        <f t="array" ref="E50">SUM(SUMIFS('Discover Data'!$F:$F,'Discover Data'!$H:$H,{"motor_cycle_license";"taxes";"tolls"},'Discover Data'!$B:$B,'Detailed Summary'!E$2))</f>
        <v>375</v>
      </c>
      <c r="F50" s="88" cm="1">
        <f t="array" ref="F50">SUM(SUMIFS('Discover Data'!$F:$F,'Discover Data'!$H:$H,{"motor_cycle_license";"taxes";"tolls"},'Discover Data'!$B:$B,'Detailed Summary'!F$2))</f>
        <v>279.27</v>
      </c>
      <c r="G50" s="88" cm="1">
        <f t="array" ref="G50">SUM(SUMIFS('Discover Data'!$F:$F,'Discover Data'!$H:$H,{"motor_cycle_license";"taxes";"tolls"},'Discover Data'!$B:$B,'Detailed Summary'!G$2))</f>
        <v>50</v>
      </c>
      <c r="H50" s="88" cm="1">
        <f t="array" ref="H50">SUM(SUMIFS('Discover Data'!$F:$F,'Discover Data'!$H:$H,{"motor_cycle_license";"taxes";"tolls"},'Discover Data'!$B:$B,'Detailed Summary'!H$2))</f>
        <v>0</v>
      </c>
      <c r="I50" s="88" cm="1">
        <f t="array" ref="I50">SUM(SUMIFS('Discover Data'!$F:$F,'Discover Data'!$H:$H,{"motor_cycle_license";"taxes";"tolls"},'Discover Data'!$B:$B,'Detailed Summary'!I$2))</f>
        <v>35</v>
      </c>
      <c r="J50" s="88" cm="1">
        <f t="array" ref="J50">SUM(SUMIFS('Discover Data'!$F:$F,'Discover Data'!$H:$H,{"motor_cycle_license";"taxes";"tolls"},'Discover Data'!$B:$B,'Detailed Summary'!J$2))</f>
        <v>0</v>
      </c>
      <c r="K50" s="88" cm="1">
        <f t="array" ref="K50">SUM(SUMIFS('Discover Data'!$F:$F,'Discover Data'!$H:$H,{"motor_cycle_license";"taxes";"tolls"},'Discover Data'!$B:$B,'Detailed Summary'!K$2))</f>
        <v>25</v>
      </c>
      <c r="L50" s="88" cm="1">
        <f t="array" ref="L50">SUM(SUMIFS('Discover Data'!$F:$F,'Discover Data'!$H:$H,{"motor_cycle_license";"taxes";"tolls"},'Discover Data'!$B:$B,'Detailed Summary'!L$2))</f>
        <v>25</v>
      </c>
      <c r="M50" s="88" cm="1">
        <f t="array" ref="M50">SUM(SUMIFS('Discover Data'!$F:$F,'Discover Data'!$H:$H,{"motor_cycle_license";"taxes";"tolls"},'Discover Data'!$B:$B,'Detailed Summary'!M$2))</f>
        <v>0</v>
      </c>
      <c r="N50" s="88" cm="1">
        <f t="array" ref="N50">SUM(SUMIFS('Discover Data'!$F:$F,'Discover Data'!$H:$H,{"motor_cycle_license";"taxes";"tolls"},'Discover Data'!$B:$B,'Detailed Summary'!N$2))</f>
        <v>0</v>
      </c>
    </row>
    <row r="51" spans="1:14" x14ac:dyDescent="0.25">
      <c r="A51" s="112"/>
      <c r="B51" s="41" t="s">
        <v>718</v>
      </c>
      <c r="C51" s="88" cm="1">
        <f t="array" ref="C51">SUM(SUMIFS('Discover Data'!$F:$F,'Discover Data'!$H:$H,{"learning";"professional"},'Discover Data'!$B:$B,'Detailed Summary'!C$2))</f>
        <v>72.989999999999995</v>
      </c>
      <c r="D51" s="88" cm="1">
        <f t="array" ref="D51">SUM(SUMIFS('Discover Data'!$F:$F,'Discover Data'!$H:$H,{"learning";"professional"},'Discover Data'!$B:$B,'Detailed Summary'!D$2))</f>
        <v>58</v>
      </c>
      <c r="E51" s="88" cm="1">
        <f t="array" ref="E51">SUM(SUMIFS('Discover Data'!$F:$F,'Discover Data'!$H:$H,{"learning";"professional"},'Discover Data'!$B:$B,'Detailed Summary'!E$2))</f>
        <v>50.72</v>
      </c>
      <c r="F51" s="88" cm="1">
        <f t="array" ref="F51">SUM(SUMIFS('Discover Data'!$F:$F,'Discover Data'!$H:$H,{"learning";"professional"},'Discover Data'!$B:$B,'Detailed Summary'!F$2))</f>
        <v>0</v>
      </c>
      <c r="G51" s="88" cm="1">
        <f t="array" ref="G51">SUM(SUMIFS('Discover Data'!$F:$F,'Discover Data'!$H:$H,{"learning";"professional"},'Discover Data'!$B:$B,'Detailed Summary'!G$2))</f>
        <v>1183.74</v>
      </c>
      <c r="H51" s="88" cm="1">
        <f t="array" ref="H51">SUM(SUMIFS('Discover Data'!$F:$F,'Discover Data'!$H:$H,{"learning";"professional"},'Discover Data'!$B:$B,'Detailed Summary'!H$2))</f>
        <v>192.99</v>
      </c>
      <c r="I51" s="88" cm="1">
        <f t="array" ref="I51">SUM(SUMIFS('Discover Data'!$F:$F,'Discover Data'!$H:$H,{"learning";"professional"},'Discover Data'!$B:$B,'Detailed Summary'!I$2))</f>
        <v>7.99</v>
      </c>
      <c r="J51" s="88" cm="1">
        <f t="array" ref="J51">SUM(SUMIFS('Discover Data'!$F:$F,'Discover Data'!$H:$H,{"learning";"professional"},'Discover Data'!$B:$B,'Detailed Summary'!J$2))</f>
        <v>67</v>
      </c>
      <c r="K51" s="88" cm="1">
        <f t="array" ref="K51">SUM(SUMIFS('Discover Data'!$F:$F,'Discover Data'!$H:$H,{"learning";"professional"},'Discover Data'!$B:$B,'Detailed Summary'!K$2))</f>
        <v>19</v>
      </c>
      <c r="L51" s="88" cm="1">
        <f t="array" ref="L51">SUM(SUMIFS('Discover Data'!$F:$F,'Discover Data'!$H:$H,{"learning";"professional"},'Discover Data'!$B:$B,'Detailed Summary'!L$2))</f>
        <v>119</v>
      </c>
      <c r="M51" s="88" cm="1">
        <f t="array" ref="M51">SUM(SUMIFS('Discover Data'!$F:$F,'Discover Data'!$H:$H,{"learning";"professional"},'Discover Data'!$B:$B,'Detailed Summary'!M$2))</f>
        <v>19</v>
      </c>
      <c r="N51" s="88" cm="1">
        <f t="array" ref="N51">SUM(SUMIFS('Discover Data'!$F:$F,'Discover Data'!$H:$H,{"learning";"professional"},'Discover Data'!$B:$B,'Detailed Summary'!N$2))</f>
        <v>0</v>
      </c>
    </row>
    <row r="52" spans="1:14" x14ac:dyDescent="0.25">
      <c r="A52" s="112"/>
      <c r="B52" s="41" t="s">
        <v>979</v>
      </c>
      <c r="C52" s="88" cm="1">
        <f t="array" ref="C52">SUM(SUMIFS('Discover Data'!$F:$F,'Discover Data'!$H:$H,{"kids";"dad";"shiloh"},'Discover Data'!$B:$B,'Detailed Summary'!C$2))</f>
        <v>0</v>
      </c>
      <c r="D52" s="88" cm="1">
        <f t="array" ref="D52">SUM(SUMIFS('Discover Data'!$F:$F,'Discover Data'!$H:$H,{"kids";"dad";"shiloh"},'Discover Data'!$B:$B,'Detailed Summary'!D$2))</f>
        <v>44.7</v>
      </c>
      <c r="E52" s="88" cm="1">
        <f t="array" ref="E52">SUM(SUMIFS('Discover Data'!$F:$F,'Discover Data'!$H:$H,{"kids";"dad";"shiloh"},'Discover Data'!$B:$B,'Detailed Summary'!E$2))</f>
        <v>6.35</v>
      </c>
      <c r="F52" s="88" cm="1">
        <f t="array" ref="F52">SUM(SUMIFS('Discover Data'!$F:$F,'Discover Data'!$H:$H,{"kids";"dad";"shiloh"},'Discover Data'!$B:$B,'Detailed Summary'!F$2))</f>
        <v>22.43</v>
      </c>
      <c r="G52" s="88" cm="1">
        <f t="array" ref="G52">SUM(SUMIFS('Discover Data'!$F:$F,'Discover Data'!$H:$H,{"kids";"dad";"shiloh"},'Discover Data'!$B:$B,'Detailed Summary'!G$2))</f>
        <v>0</v>
      </c>
      <c r="H52" s="88" cm="1">
        <f t="array" ref="H52">SUM(SUMIFS('Discover Data'!$F:$F,'Discover Data'!$H:$H,{"kids";"dad";"shiloh"},'Discover Data'!$B:$B,'Detailed Summary'!H$2))</f>
        <v>0</v>
      </c>
      <c r="I52" s="88" cm="1">
        <f t="array" ref="I52">SUM(SUMIFS('Discover Data'!$F:$F,'Discover Data'!$H:$H,{"kids";"dad";"shiloh"},'Discover Data'!$B:$B,'Detailed Summary'!I$2))</f>
        <v>0</v>
      </c>
      <c r="J52" s="88" cm="1">
        <f t="array" ref="J52">SUM(SUMIFS('Discover Data'!$F:$F,'Discover Data'!$H:$H,{"kids";"dad";"shiloh"},'Discover Data'!$B:$B,'Detailed Summary'!J$2))</f>
        <v>0</v>
      </c>
      <c r="K52" s="88" cm="1">
        <f t="array" ref="K52">SUM(SUMIFS('Discover Data'!$F:$F,'Discover Data'!$H:$H,{"kids";"dad";"shiloh"},'Discover Data'!$B:$B,'Detailed Summary'!K$2))</f>
        <v>0</v>
      </c>
      <c r="L52" s="88" cm="1">
        <f t="array" ref="L52">SUM(SUMIFS('Discover Data'!$F:$F,'Discover Data'!$H:$H,{"kids";"dad";"shiloh"},'Discover Data'!$B:$B,'Detailed Summary'!L$2))</f>
        <v>0</v>
      </c>
      <c r="M52" s="88" cm="1">
        <f t="array" ref="M52">SUM(SUMIFS('Discover Data'!$F:$F,'Discover Data'!$H:$H,{"kids";"dad";"shiloh"},'Discover Data'!$B:$B,'Detailed Summary'!M$2))</f>
        <v>590.1</v>
      </c>
      <c r="N52" s="88" cm="1">
        <f t="array" ref="N52">SUM(SUMIFS('Discover Data'!$F:$F,'Discover Data'!$H:$H,{"kids";"dad";"shiloh"},'Discover Data'!$B:$B,'Detailed Summary'!N$2))</f>
        <v>0</v>
      </c>
    </row>
    <row r="53" spans="1:14" x14ac:dyDescent="0.25">
      <c r="A53" s="112"/>
      <c r="B53" s="41" t="s">
        <v>368</v>
      </c>
      <c r="C53" s="88">
        <f>SUM(SUMIFS('Discover Data'!$F:$F,'Discover Data'!$H:$H,$B53,'Discover Data'!$B:$B,'Detailed Summary'!C$2))</f>
        <v>0</v>
      </c>
      <c r="D53" s="88">
        <f>SUM(SUMIFS('Discover Data'!$F:$F,'Discover Data'!$H:$H,$B53,'Discover Data'!$B:$B,'Detailed Summary'!D$2))</f>
        <v>0</v>
      </c>
      <c r="E53" s="88">
        <f>SUM(SUMIFS('Discover Data'!$F:$F,'Discover Data'!$H:$H,$B53,'Discover Data'!$B:$B,'Detailed Summary'!E$2))</f>
        <v>17.36</v>
      </c>
      <c r="F53" s="88">
        <f>SUM(SUMIFS('Discover Data'!$F:$F,'Discover Data'!$H:$H,$B53,'Discover Data'!$B:$B,'Detailed Summary'!F$2))</f>
        <v>0</v>
      </c>
      <c r="G53" s="88">
        <f>SUM(SUMIFS('Discover Data'!$F:$F,'Discover Data'!$H:$H,$B53,'Discover Data'!$B:$B,'Detailed Summary'!G$2))</f>
        <v>0</v>
      </c>
      <c r="H53" s="88">
        <f>SUM(SUMIFS('Discover Data'!$F:$F,'Discover Data'!$H:$H,$B53,'Discover Data'!$B:$B,'Detailed Summary'!H$2))</f>
        <v>0</v>
      </c>
      <c r="I53" s="88">
        <f>SUM(SUMIFS('Discover Data'!$F:$F,'Discover Data'!$H:$H,$B53,'Discover Data'!$B:$B,'Detailed Summary'!I$2))</f>
        <v>0</v>
      </c>
      <c r="J53" s="88">
        <f>SUM(SUMIFS('Discover Data'!$F:$F,'Discover Data'!$H:$H,$B53,'Discover Data'!$B:$B,'Detailed Summary'!J$2))</f>
        <v>0</v>
      </c>
      <c r="K53" s="88">
        <f>SUM(SUMIFS('Discover Data'!$F:$F,'Discover Data'!$H:$H,$B53,'Discover Data'!$B:$B,'Detailed Summary'!K$2))</f>
        <v>0</v>
      </c>
      <c r="L53" s="88">
        <f>SUM(SUMIFS('Discover Data'!$F:$F,'Discover Data'!$H:$H,$B53,'Discover Data'!$B:$B,'Detailed Summary'!L$2))</f>
        <v>0</v>
      </c>
      <c r="M53" s="88">
        <f>SUM(SUMIFS('Discover Data'!$F:$F,'Discover Data'!$H:$H,$B53,'Discover Data'!$B:$B,'Detailed Summary'!M$2))</f>
        <v>0</v>
      </c>
      <c r="N53" s="88">
        <f>SUM(SUMIFS('Discover Data'!$F:$F,'Discover Data'!$H:$H,$B53,'Discover Data'!$B:$B,'Detailed Summary'!N$2))</f>
        <v>0</v>
      </c>
    </row>
    <row r="54" spans="1:14" ht="15.75" thickBot="1" x14ac:dyDescent="0.3">
      <c r="A54" s="116"/>
      <c r="B54" s="37" t="s">
        <v>716</v>
      </c>
      <c r="C54" s="89" cm="1">
        <f t="array" ref="C54">SUM(SUMIFS('Discover Data'!$F:$F,'Discover Data'!$H:$H,{"charity";"dump";"mailing";"moving";"political_cause";"onlyfans"},'Discover Data'!$B:$B,'Detailed Summary'!C$2))</f>
        <v>304.04000000000002</v>
      </c>
      <c r="D54" s="89" cm="1">
        <f t="array" ref="D54">SUM(SUMIFS('Discover Data'!$F:$F,'Discover Data'!$H:$H,{"charity";"dump";"mailing";"moving";"political_cause";"onlyfans"},'Discover Data'!$B:$B,'Detailed Summary'!D$2))</f>
        <v>204.70000000000002</v>
      </c>
      <c r="E54" s="89" cm="1">
        <f t="array" ref="E54">SUM(SUMIFS('Discover Data'!$F:$F,'Discover Data'!$H:$H,{"charity";"dump";"mailing";"moving";"political_cause";"onlyfans"},'Discover Data'!$B:$B,'Detailed Summary'!E$2))</f>
        <v>78.819999999999993</v>
      </c>
      <c r="F54" s="89" cm="1">
        <f t="array" ref="F54">SUM(SUMIFS('Discover Data'!$F:$F,'Discover Data'!$H:$H,{"charity";"dump";"mailing";"moving";"political_cause";"onlyfans"},'Discover Data'!$B:$B,'Detailed Summary'!F$2))</f>
        <v>55.94</v>
      </c>
      <c r="G54" s="89" cm="1">
        <f t="array" ref="G54">SUM(SUMIFS('Discover Data'!$F:$F,'Discover Data'!$H:$H,{"charity";"dump";"mailing";"moving";"political_cause";"onlyfans"},'Discover Data'!$B:$B,'Detailed Summary'!G$2))</f>
        <v>100.44</v>
      </c>
      <c r="H54" s="89" cm="1">
        <f t="array" ref="H54">SUM(SUMIFS('Discover Data'!$F:$F,'Discover Data'!$H:$H,{"charity";"dump";"mailing";"moving";"political_cause";"onlyfans"},'Discover Data'!$B:$B,'Detailed Summary'!H$2))</f>
        <v>111.77000000000001</v>
      </c>
      <c r="I54" s="89" cm="1">
        <f t="array" ref="I54">SUM(SUMIFS('Discover Data'!$F:$F,'Discover Data'!$H:$H,{"charity";"dump";"mailing";"moving";"political_cause";"onlyfans"},'Discover Data'!$B:$B,'Detailed Summary'!I$2))</f>
        <v>99.64</v>
      </c>
      <c r="J54" s="89" cm="1">
        <f t="array" ref="J54">SUM(SUMIFS('Discover Data'!$F:$F,'Discover Data'!$H:$H,{"charity";"dump";"mailing";"moving";"political_cause";"onlyfans"},'Discover Data'!$B:$B,'Detailed Summary'!J$2))</f>
        <v>32.61</v>
      </c>
      <c r="K54" s="89" cm="1">
        <f t="array" ref="K54">SUM(SUMIFS('Discover Data'!$F:$F,'Discover Data'!$H:$H,{"charity";"dump";"mailing";"moving";"political_cause";"onlyfans"},'Discover Data'!$B:$B,'Detailed Summary'!K$2))</f>
        <v>12.43</v>
      </c>
      <c r="L54" s="89" cm="1">
        <f t="array" ref="L54">SUM(SUMIFS('Discover Data'!$F:$F,'Discover Data'!$H:$H,{"charity";"dump";"mailing";"moving";"political_cause";"onlyfans"},'Discover Data'!$B:$B,'Detailed Summary'!L$2))</f>
        <v>5</v>
      </c>
      <c r="M54" s="89" cm="1">
        <f t="array" ref="M54">SUM(SUMIFS('Discover Data'!$F:$F,'Discover Data'!$H:$H,{"charity";"dump";"mailing";"moving";"political_cause";"onlyfans"},'Discover Data'!$B:$B,'Detailed Summary'!M$2))</f>
        <v>27.299999999999997</v>
      </c>
      <c r="N54" s="89" cm="1">
        <f t="array" ref="N54">SUM(SUMIFS('Discover Data'!$F:$F,'Discover Data'!$H:$H,{"charity";"dump";"mailing";"moving";"political_cause";"onlyfans"},'Discover Data'!$B:$B,'Detailed Summary'!N$2))</f>
        <v>92.179999999999993</v>
      </c>
    </row>
    <row r="55" spans="1:14" x14ac:dyDescent="0.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</row>
    <row r="56" spans="1:14" ht="15.75" thickBot="1" x14ac:dyDescent="0.3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</row>
    <row r="57" spans="1:14" ht="15.75" thickBot="1" x14ac:dyDescent="0.3">
      <c r="A57" s="109" t="s">
        <v>719</v>
      </c>
      <c r="B57" s="110"/>
      <c r="C57" s="90">
        <f t="shared" ref="C57:K57" si="4">SUM(C4:C54)</f>
        <v>5275.9500000000007</v>
      </c>
      <c r="D57" s="90">
        <f t="shared" si="4"/>
        <v>4999.7599999999993</v>
      </c>
      <c r="E57" s="90">
        <f t="shared" si="4"/>
        <v>6334.1699999999992</v>
      </c>
      <c r="F57" s="90">
        <f t="shared" si="4"/>
        <v>4745.5199999999995</v>
      </c>
      <c r="G57" s="90">
        <f t="shared" si="4"/>
        <v>7945.5699999999988</v>
      </c>
      <c r="H57" s="90">
        <f t="shared" si="4"/>
        <v>3919.4599999999987</v>
      </c>
      <c r="I57" s="90">
        <f t="shared" si="4"/>
        <v>4472.5499999999993</v>
      </c>
      <c r="J57" s="90">
        <f t="shared" si="4"/>
        <v>6933.7799999999988</v>
      </c>
      <c r="K57" s="96">
        <f t="shared" si="4"/>
        <v>3817.0199999999991</v>
      </c>
      <c r="L57" s="96">
        <f t="shared" ref="L57:N57" si="5">SUM(L4:L54)</f>
        <v>5195.5299999999988</v>
      </c>
      <c r="M57" s="96">
        <f t="shared" si="5"/>
        <v>6507.94</v>
      </c>
      <c r="N57" s="96">
        <f t="shared" si="5"/>
        <v>5826.4699999999984</v>
      </c>
    </row>
    <row r="58" spans="1:14" x14ac:dyDescent="0.25">
      <c r="A58" s="42"/>
      <c r="C58" s="13">
        <v>5313.7999999999993</v>
      </c>
      <c r="D58" s="13">
        <v>5313.7999999999993</v>
      </c>
      <c r="E58" s="13">
        <v>5313.7999999999993</v>
      </c>
      <c r="F58" s="13">
        <v>5313.7999999999993</v>
      </c>
      <c r="G58" s="13">
        <v>5313.7999999999993</v>
      </c>
      <c r="H58" s="13">
        <v>5313.7999999999993</v>
      </c>
      <c r="I58" s="13">
        <v>5313.7999999999993</v>
      </c>
      <c r="J58" s="97">
        <f>SUM('June Plan'!F13:G13)</f>
        <v>5313.8</v>
      </c>
      <c r="K58" s="97">
        <f>SUM('June Plan'!H13:I13)</f>
        <v>5871.85</v>
      </c>
      <c r="L58" s="97">
        <f>SUM('June Plan'!I13:J13)</f>
        <v>6429.8799999999992</v>
      </c>
      <c r="M58" s="97">
        <f>SUM('June Plan'!J13:K13)</f>
        <v>6429.8799999999992</v>
      </c>
      <c r="N58" s="97">
        <f>SUM('June Plan'!K13:L13)</f>
        <v>6429.8799999999992</v>
      </c>
    </row>
    <row r="59" spans="1:14" x14ac:dyDescent="0.25">
      <c r="A59" s="42"/>
      <c r="C59" s="30">
        <f>C57/C58</f>
        <v>0.99287703714855691</v>
      </c>
      <c r="D59" s="30">
        <f t="shared" ref="D59:K59" si="6">D57/D58</f>
        <v>0.94090105009597647</v>
      </c>
      <c r="E59" s="30">
        <f t="shared" si="6"/>
        <v>1.1920226579848696</v>
      </c>
      <c r="F59" s="30">
        <f t="shared" si="6"/>
        <v>0.89305581692950431</v>
      </c>
      <c r="G59" s="30">
        <f t="shared" si="6"/>
        <v>1.4952708043208249</v>
      </c>
      <c r="H59" s="30">
        <f t="shared" si="6"/>
        <v>0.73760021077195215</v>
      </c>
      <c r="I59" s="30">
        <f t="shared" si="6"/>
        <v>0.84168579923971543</v>
      </c>
      <c r="J59" s="98">
        <f t="shared" si="6"/>
        <v>1.3048628100417778</v>
      </c>
      <c r="K59" s="98">
        <f t="shared" si="6"/>
        <v>0.65005407154474293</v>
      </c>
      <c r="L59" s="98">
        <f t="shared" ref="L59:N59" si="7">L57/L58</f>
        <v>0.80802907674793301</v>
      </c>
      <c r="M59" s="98">
        <f t="shared" si="7"/>
        <v>1.0121401954624347</v>
      </c>
      <c r="N59" s="98">
        <f t="shared" si="7"/>
        <v>0.90615532482721284</v>
      </c>
    </row>
    <row r="60" spans="1:14" x14ac:dyDescent="0.25">
      <c r="C60" s="13">
        <f t="shared" ref="C60:I60" si="8">C58-C57</f>
        <v>37.849999999998545</v>
      </c>
      <c r="D60" s="13">
        <f t="shared" si="8"/>
        <v>314.03999999999996</v>
      </c>
      <c r="E60" s="13">
        <f t="shared" si="8"/>
        <v>-1020.3699999999999</v>
      </c>
      <c r="F60" s="13">
        <f t="shared" si="8"/>
        <v>568.27999999999975</v>
      </c>
      <c r="G60" s="13">
        <f t="shared" si="8"/>
        <v>-2631.7699999999995</v>
      </c>
      <c r="H60" s="13">
        <f t="shared" si="8"/>
        <v>1394.3400000000006</v>
      </c>
      <c r="I60" s="13">
        <f t="shared" si="8"/>
        <v>841.25</v>
      </c>
      <c r="J60" s="13">
        <f>J58-J57</f>
        <v>-1619.9799999999987</v>
      </c>
      <c r="K60" s="13">
        <f t="shared" ref="K60:N60" si="9">K58-K57</f>
        <v>2054.8300000000013</v>
      </c>
      <c r="L60" s="13">
        <f t="shared" si="9"/>
        <v>1234.3500000000004</v>
      </c>
      <c r="M60" s="13">
        <f t="shared" si="9"/>
        <v>-78.0600000000004</v>
      </c>
      <c r="N60" s="13">
        <f t="shared" si="9"/>
        <v>603.41000000000076</v>
      </c>
    </row>
  </sheetData>
  <mergeCells count="9">
    <mergeCell ref="A57:B57"/>
    <mergeCell ref="A39:A42"/>
    <mergeCell ref="A43:A49"/>
    <mergeCell ref="A50:A54"/>
    <mergeCell ref="A4:A8"/>
    <mergeCell ref="A9:A25"/>
    <mergeCell ref="A26:A32"/>
    <mergeCell ref="A33:A34"/>
    <mergeCell ref="A35:A3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D2873-E207-4038-A27F-733067F28BAC}">
  <sheetPr>
    <tabColor theme="1"/>
  </sheetPr>
  <dimension ref="A3:N22"/>
  <sheetViews>
    <sheetView workbookViewId="0">
      <selection activeCell="N13" sqref="N13"/>
    </sheetView>
  </sheetViews>
  <sheetFormatPr defaultRowHeight="15" x14ac:dyDescent="0.25"/>
  <cols>
    <col min="1" max="1" width="24.85546875" bestFit="1" customWidth="1"/>
    <col min="2" max="2" width="16.28515625" bestFit="1" customWidth="1"/>
    <col min="3" max="10" width="8.7109375" bestFit="1" customWidth="1"/>
    <col min="11" max="13" width="9.7109375" bestFit="1" customWidth="1"/>
    <col min="14" max="14" width="11.28515625" bestFit="1" customWidth="1"/>
  </cols>
  <sheetData>
    <row r="3" spans="1:14" x14ac:dyDescent="0.25">
      <c r="A3" s="23" t="s">
        <v>120</v>
      </c>
      <c r="B3" s="23" t="s">
        <v>119</v>
      </c>
    </row>
    <row r="4" spans="1:14" x14ac:dyDescent="0.25">
      <c r="A4" s="23" t="s">
        <v>117</v>
      </c>
      <c r="B4" s="4">
        <v>44927</v>
      </c>
      <c r="C4" s="4">
        <v>44958</v>
      </c>
      <c r="D4" s="4">
        <v>44986</v>
      </c>
      <c r="E4" s="4">
        <v>45017</v>
      </c>
      <c r="F4" s="4">
        <v>45047</v>
      </c>
      <c r="G4" s="4">
        <v>45078</v>
      </c>
      <c r="H4" s="4">
        <v>45108</v>
      </c>
      <c r="I4" s="4">
        <v>45139</v>
      </c>
      <c r="J4" s="4">
        <v>45170</v>
      </c>
      <c r="K4" s="4">
        <v>45200</v>
      </c>
      <c r="L4" s="4">
        <v>45231</v>
      </c>
      <c r="M4" s="4">
        <v>45261</v>
      </c>
      <c r="N4" t="s">
        <v>118</v>
      </c>
    </row>
    <row r="5" spans="1:14" x14ac:dyDescent="0.25">
      <c r="A5" s="24" t="s">
        <v>13</v>
      </c>
      <c r="B5" s="3">
        <v>623.48</v>
      </c>
      <c r="C5" s="3">
        <v>771.24999999999989</v>
      </c>
      <c r="D5" s="3">
        <v>786.37999999999977</v>
      </c>
      <c r="E5" s="3">
        <v>653.95000000000005</v>
      </c>
      <c r="F5" s="3">
        <v>1061.5799999999997</v>
      </c>
      <c r="G5" s="3">
        <v>145.06</v>
      </c>
      <c r="H5" s="3">
        <v>217.64999999999998</v>
      </c>
      <c r="I5" s="3">
        <v>564.48</v>
      </c>
      <c r="J5" s="3">
        <v>293.44999999999993</v>
      </c>
      <c r="K5" s="3">
        <v>961.43000000000006</v>
      </c>
      <c r="L5" s="3">
        <v>557.92000000000007</v>
      </c>
      <c r="M5" s="3">
        <v>911.88</v>
      </c>
      <c r="N5" s="3">
        <v>7548.51</v>
      </c>
    </row>
    <row r="6" spans="1:14" x14ac:dyDescent="0.25">
      <c r="A6" s="24" t="s">
        <v>68</v>
      </c>
      <c r="B6" s="3">
        <v>102.14</v>
      </c>
      <c r="C6" s="3"/>
      <c r="D6" s="3"/>
      <c r="E6" s="3">
        <v>23.91</v>
      </c>
      <c r="F6" s="3">
        <v>190.4</v>
      </c>
      <c r="G6" s="3"/>
      <c r="H6" s="3"/>
      <c r="I6" s="3"/>
      <c r="J6" s="3">
        <v>6.01</v>
      </c>
      <c r="K6" s="3"/>
      <c r="L6" s="3">
        <v>53.48</v>
      </c>
      <c r="M6" s="3"/>
      <c r="N6" s="3">
        <v>375.94</v>
      </c>
    </row>
    <row r="7" spans="1:14" x14ac:dyDescent="0.25">
      <c r="A7" s="24" t="s">
        <v>52</v>
      </c>
      <c r="B7" s="3">
        <v>90.09</v>
      </c>
      <c r="C7" s="3">
        <v>178.11</v>
      </c>
      <c r="D7" s="3"/>
      <c r="E7" s="3">
        <v>80.040000000000006</v>
      </c>
      <c r="F7" s="3">
        <v>88.02</v>
      </c>
      <c r="G7" s="3">
        <v>88.02</v>
      </c>
      <c r="H7" s="3">
        <v>88.02</v>
      </c>
      <c r="I7" s="3">
        <v>90.83</v>
      </c>
      <c r="J7" s="3">
        <v>90.83</v>
      </c>
      <c r="K7" s="3">
        <v>90.83</v>
      </c>
      <c r="L7" s="3">
        <v>90.83</v>
      </c>
      <c r="M7" s="3">
        <v>90.83</v>
      </c>
      <c r="N7" s="3">
        <v>1066.4500000000003</v>
      </c>
    </row>
    <row r="8" spans="1:14" x14ac:dyDescent="0.25">
      <c r="A8" s="24" t="s">
        <v>59</v>
      </c>
      <c r="B8" s="3">
        <v>656.1</v>
      </c>
      <c r="C8" s="3">
        <v>299.32</v>
      </c>
      <c r="D8" s="3">
        <v>1156.8499999999999</v>
      </c>
      <c r="E8" s="3">
        <v>66.53</v>
      </c>
      <c r="F8" s="3">
        <v>48.1</v>
      </c>
      <c r="G8" s="3"/>
      <c r="H8" s="3">
        <v>266.7</v>
      </c>
      <c r="I8" s="3"/>
      <c r="J8" s="3"/>
      <c r="K8" s="3">
        <v>0.6</v>
      </c>
      <c r="L8" s="3">
        <v>47.019999999999996</v>
      </c>
      <c r="M8" s="3">
        <v>40.65</v>
      </c>
      <c r="N8" s="3">
        <v>2581.87</v>
      </c>
    </row>
    <row r="9" spans="1:14" x14ac:dyDescent="0.25">
      <c r="A9" s="24" t="s">
        <v>37</v>
      </c>
      <c r="B9" s="3">
        <v>279.60000000000002</v>
      </c>
      <c r="C9" s="3">
        <v>38</v>
      </c>
      <c r="D9" s="3">
        <v>23.090000000000003</v>
      </c>
      <c r="E9" s="3">
        <v>16.940000000000001</v>
      </c>
      <c r="F9" s="3">
        <v>42.23</v>
      </c>
      <c r="G9" s="3">
        <v>46.33</v>
      </c>
      <c r="H9" s="3"/>
      <c r="I9" s="3"/>
      <c r="J9" s="3"/>
      <c r="K9" s="3"/>
      <c r="L9" s="3"/>
      <c r="M9" s="3"/>
      <c r="N9" s="3">
        <v>446.19000000000005</v>
      </c>
    </row>
    <row r="10" spans="1:14" x14ac:dyDescent="0.25">
      <c r="A10" s="24" t="s">
        <v>53</v>
      </c>
      <c r="B10" s="3"/>
      <c r="C10" s="3">
        <v>44.7</v>
      </c>
      <c r="D10" s="3">
        <v>6.35</v>
      </c>
      <c r="E10" s="3">
        <v>22.43</v>
      </c>
      <c r="F10" s="3">
        <v>182.72000000000003</v>
      </c>
      <c r="G10" s="3">
        <v>88.39</v>
      </c>
      <c r="H10" s="3"/>
      <c r="I10" s="3">
        <v>48.34</v>
      </c>
      <c r="J10" s="3"/>
      <c r="K10" s="3"/>
      <c r="L10" s="3">
        <v>1440.1</v>
      </c>
      <c r="M10" s="3">
        <v>71.260000000000005</v>
      </c>
      <c r="N10" s="3">
        <v>1904.29</v>
      </c>
    </row>
    <row r="11" spans="1:14" x14ac:dyDescent="0.25">
      <c r="A11" s="24" t="s">
        <v>24</v>
      </c>
      <c r="B11" s="3">
        <v>513.69000000000005</v>
      </c>
      <c r="C11" s="3">
        <v>771.5</v>
      </c>
      <c r="D11" s="3">
        <v>1915.2400000000002</v>
      </c>
      <c r="E11" s="3">
        <v>1665.11</v>
      </c>
      <c r="F11" s="3">
        <v>3374.3699999999994</v>
      </c>
      <c r="G11" s="3">
        <v>658.00000000000011</v>
      </c>
      <c r="H11" s="3">
        <v>1023.9399999999999</v>
      </c>
      <c r="I11" s="3">
        <v>696.90000000000009</v>
      </c>
      <c r="J11" s="3">
        <v>507.11</v>
      </c>
      <c r="K11" s="3">
        <v>877.96000000000015</v>
      </c>
      <c r="L11" s="3">
        <v>1658.33</v>
      </c>
      <c r="M11" s="3">
        <v>1299.51</v>
      </c>
      <c r="N11" s="3">
        <v>14961.660000000002</v>
      </c>
    </row>
    <row r="12" spans="1:14" x14ac:dyDescent="0.25">
      <c r="A12" s="24" t="s">
        <v>19</v>
      </c>
      <c r="B12" s="3">
        <v>521.55999999999995</v>
      </c>
      <c r="C12" s="3">
        <v>1191.7599999999998</v>
      </c>
      <c r="D12" s="3">
        <v>715.20999999999992</v>
      </c>
      <c r="E12" s="3">
        <v>714.6</v>
      </c>
      <c r="F12" s="3">
        <v>1262.1799999999998</v>
      </c>
      <c r="G12" s="3">
        <v>307.19</v>
      </c>
      <c r="H12" s="3">
        <v>155.45000000000002</v>
      </c>
      <c r="I12" s="3">
        <v>701.62</v>
      </c>
      <c r="J12" s="3">
        <v>863.15000000000009</v>
      </c>
      <c r="K12" s="3">
        <v>855.04</v>
      </c>
      <c r="L12" s="3">
        <v>918.69999999999993</v>
      </c>
      <c r="M12" s="3">
        <v>780.49</v>
      </c>
      <c r="N12" s="3">
        <v>8986.9499999999989</v>
      </c>
    </row>
    <row r="13" spans="1:14" x14ac:dyDescent="0.25">
      <c r="A13" s="24" t="s">
        <v>31</v>
      </c>
      <c r="B13" s="3">
        <v>1230.4900000000005</v>
      </c>
      <c r="C13" s="3">
        <v>361.52</v>
      </c>
      <c r="D13" s="3">
        <v>569.69000000000005</v>
      </c>
      <c r="E13" s="3">
        <v>704.15</v>
      </c>
      <c r="F13" s="3">
        <v>892.47000000000025</v>
      </c>
      <c r="G13" s="3">
        <v>9.99</v>
      </c>
      <c r="H13" s="3">
        <v>35</v>
      </c>
      <c r="I13" s="3">
        <v>287.33</v>
      </c>
      <c r="J13" s="3">
        <v>63.929999999999993</v>
      </c>
      <c r="K13" s="3">
        <v>129.88999999999999</v>
      </c>
      <c r="L13" s="3">
        <v>318.15999999999997</v>
      </c>
      <c r="M13" s="3">
        <v>35</v>
      </c>
      <c r="N13" s="3">
        <v>4637.6200000000008</v>
      </c>
    </row>
    <row r="14" spans="1:14" x14ac:dyDescent="0.25">
      <c r="A14" s="24" t="s">
        <v>40</v>
      </c>
      <c r="B14" s="3">
        <v>371.99</v>
      </c>
      <c r="C14" s="3">
        <v>391.52</v>
      </c>
      <c r="D14" s="3">
        <v>150.63</v>
      </c>
      <c r="E14" s="3">
        <v>111.63</v>
      </c>
      <c r="F14" s="3">
        <v>153.5</v>
      </c>
      <c r="G14" s="3">
        <v>111.63</v>
      </c>
      <c r="H14" s="3">
        <v>232.39</v>
      </c>
      <c r="I14" s="3">
        <v>2019.8</v>
      </c>
      <c r="J14" s="3">
        <v>111.63</v>
      </c>
      <c r="K14" s="3">
        <v>29</v>
      </c>
      <c r="L14" s="3">
        <v>165.67</v>
      </c>
      <c r="M14" s="3">
        <v>151.04</v>
      </c>
      <c r="N14" s="3">
        <v>4000.4300000000003</v>
      </c>
    </row>
    <row r="15" spans="1:14" x14ac:dyDescent="0.25">
      <c r="A15" s="24" t="s">
        <v>118</v>
      </c>
      <c r="B15" s="3">
        <v>4389.1400000000003</v>
      </c>
      <c r="C15" s="3">
        <v>4047.68</v>
      </c>
      <c r="D15" s="3">
        <v>5323.44</v>
      </c>
      <c r="E15" s="3">
        <v>4059.29</v>
      </c>
      <c r="F15" s="3">
        <v>7295.5699999999988</v>
      </c>
      <c r="G15" s="3">
        <v>1454.6100000000001</v>
      </c>
      <c r="H15" s="3">
        <v>2019.15</v>
      </c>
      <c r="I15" s="3">
        <v>4409.3</v>
      </c>
      <c r="J15" s="3">
        <v>1936.1100000000001</v>
      </c>
      <c r="K15" s="3">
        <v>2944.75</v>
      </c>
      <c r="L15" s="3">
        <v>5250.21</v>
      </c>
      <c r="M15" s="3">
        <v>3380.66</v>
      </c>
      <c r="N15" s="3">
        <v>46509.91</v>
      </c>
    </row>
    <row r="21" spans="1:2" x14ac:dyDescent="0.25">
      <c r="A21" s="23" t="s">
        <v>117</v>
      </c>
      <c r="B21" t="s">
        <v>121</v>
      </c>
    </row>
    <row r="22" spans="1:2" x14ac:dyDescent="0.25">
      <c r="A22" s="24" t="s">
        <v>118</v>
      </c>
      <c r="B22" s="1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DDCA-5067-4581-ADA3-16447CA22DF5}">
  <sheetPr>
    <tabColor theme="1"/>
  </sheetPr>
  <dimension ref="A1:J22"/>
  <sheetViews>
    <sheetView workbookViewId="0">
      <selection activeCell="J14" sqref="J14"/>
    </sheetView>
  </sheetViews>
  <sheetFormatPr defaultRowHeight="15" x14ac:dyDescent="0.25"/>
  <cols>
    <col min="1" max="1" width="14.85546875" bestFit="1" customWidth="1"/>
    <col min="2" max="9" width="10.5703125" bestFit="1" customWidth="1"/>
    <col min="10" max="10" width="11.28515625" bestFit="1" customWidth="1"/>
  </cols>
  <sheetData>
    <row r="1" spans="1:10" x14ac:dyDescent="0.25">
      <c r="A1" s="23" t="s">
        <v>6</v>
      </c>
      <c r="B1" t="s">
        <v>53</v>
      </c>
    </row>
    <row r="3" spans="1:10" x14ac:dyDescent="0.25">
      <c r="A3" s="23" t="s">
        <v>120</v>
      </c>
      <c r="B3" s="23" t="s">
        <v>4</v>
      </c>
    </row>
    <row r="4" spans="1:10" x14ac:dyDescent="0.25">
      <c r="A4" s="23" t="s">
        <v>3</v>
      </c>
      <c r="B4" s="4">
        <v>44958</v>
      </c>
      <c r="C4" s="4">
        <v>44986</v>
      </c>
      <c r="D4" s="4">
        <v>45017</v>
      </c>
      <c r="E4" s="4">
        <v>45047</v>
      </c>
      <c r="F4" s="4">
        <v>45078</v>
      </c>
      <c r="G4" s="4">
        <v>45139</v>
      </c>
      <c r="H4" s="4">
        <v>45231</v>
      </c>
      <c r="I4" s="4">
        <v>45261</v>
      </c>
      <c r="J4" t="s">
        <v>118</v>
      </c>
    </row>
    <row r="5" spans="1:10" x14ac:dyDescent="0.25">
      <c r="A5" t="s">
        <v>543</v>
      </c>
      <c r="B5" s="13"/>
      <c r="C5" s="13"/>
      <c r="D5" s="13">
        <v>9.2200000000000006</v>
      </c>
      <c r="E5" s="13"/>
      <c r="F5" s="13"/>
      <c r="G5" s="13"/>
      <c r="H5" s="13"/>
      <c r="I5" s="13"/>
      <c r="J5" s="13">
        <v>9.2200000000000006</v>
      </c>
    </row>
    <row r="6" spans="1:10" x14ac:dyDescent="0.25">
      <c r="A6" t="s">
        <v>243</v>
      </c>
      <c r="B6" s="13">
        <v>44.7</v>
      </c>
      <c r="C6" s="13"/>
      <c r="D6" s="13"/>
      <c r="E6" s="13"/>
      <c r="F6" s="13"/>
      <c r="G6" s="13"/>
      <c r="H6" s="13">
        <v>590.1</v>
      </c>
      <c r="I6" s="13"/>
      <c r="J6" s="13">
        <v>634.80000000000007</v>
      </c>
    </row>
    <row r="7" spans="1:10" x14ac:dyDescent="0.25">
      <c r="A7" t="s">
        <v>348</v>
      </c>
      <c r="B7" s="13"/>
      <c r="C7" s="13">
        <v>6.35</v>
      </c>
      <c r="D7" s="13">
        <v>13.21</v>
      </c>
      <c r="E7" s="13"/>
      <c r="F7" s="13"/>
      <c r="G7" s="13"/>
      <c r="H7" s="13"/>
      <c r="I7" s="13"/>
      <c r="J7" s="13">
        <v>19.560000000000002</v>
      </c>
    </row>
    <row r="8" spans="1:10" x14ac:dyDescent="0.25">
      <c r="A8" t="s">
        <v>599</v>
      </c>
      <c r="B8" s="13"/>
      <c r="C8" s="13"/>
      <c r="D8" s="13"/>
      <c r="E8" s="13">
        <v>108.04</v>
      </c>
      <c r="F8" s="13"/>
      <c r="G8" s="13"/>
      <c r="H8" s="13"/>
      <c r="I8" s="13"/>
      <c r="J8" s="13">
        <v>108.04</v>
      </c>
    </row>
    <row r="9" spans="1:10" x14ac:dyDescent="0.25">
      <c r="A9" t="s">
        <v>656</v>
      </c>
      <c r="B9" s="13"/>
      <c r="C9" s="13"/>
      <c r="D9" s="13"/>
      <c r="E9" s="13">
        <v>74.680000000000007</v>
      </c>
      <c r="F9" s="13"/>
      <c r="G9" s="13"/>
      <c r="H9" s="13"/>
      <c r="I9" s="13"/>
      <c r="J9" s="13">
        <v>74.680000000000007</v>
      </c>
    </row>
    <row r="10" spans="1:10" x14ac:dyDescent="0.25">
      <c r="A10" t="s">
        <v>890</v>
      </c>
      <c r="B10" s="13"/>
      <c r="C10" s="13"/>
      <c r="D10" s="13"/>
      <c r="E10" s="13"/>
      <c r="F10" s="13">
        <v>88.39</v>
      </c>
      <c r="G10" s="13"/>
      <c r="H10" s="13"/>
      <c r="I10" s="13"/>
      <c r="J10" s="13">
        <v>88.39</v>
      </c>
    </row>
    <row r="11" spans="1:10" x14ac:dyDescent="0.25">
      <c r="A11" t="s">
        <v>1004</v>
      </c>
      <c r="B11" s="13"/>
      <c r="C11" s="13"/>
      <c r="D11" s="13"/>
      <c r="E11" s="13"/>
      <c r="F11" s="13"/>
      <c r="G11" s="13">
        <v>48.34</v>
      </c>
      <c r="H11" s="13"/>
      <c r="I11" s="13"/>
      <c r="J11" s="13">
        <v>48.34</v>
      </c>
    </row>
    <row r="12" spans="1:10" x14ac:dyDescent="0.25">
      <c r="A12" t="s">
        <v>92</v>
      </c>
      <c r="B12" s="13"/>
      <c r="C12" s="13"/>
      <c r="D12" s="13"/>
      <c r="E12" s="13"/>
      <c r="F12" s="13"/>
      <c r="G12" s="13"/>
      <c r="H12" s="13">
        <v>850</v>
      </c>
      <c r="I12" s="13"/>
      <c r="J12" s="13">
        <v>850</v>
      </c>
    </row>
    <row r="13" spans="1:10" x14ac:dyDescent="0.25">
      <c r="A13" t="s">
        <v>1290</v>
      </c>
      <c r="B13" s="13"/>
      <c r="C13" s="13"/>
      <c r="D13" s="13"/>
      <c r="E13" s="13"/>
      <c r="F13" s="13"/>
      <c r="G13" s="13"/>
      <c r="H13" s="13"/>
      <c r="I13" s="13">
        <v>71.260000000000005</v>
      </c>
      <c r="J13" s="13">
        <v>71.260000000000005</v>
      </c>
    </row>
    <row r="14" spans="1:10" x14ac:dyDescent="0.25">
      <c r="A14" t="s">
        <v>118</v>
      </c>
      <c r="B14" s="13">
        <v>44.7</v>
      </c>
      <c r="C14" s="13">
        <v>6.35</v>
      </c>
      <c r="D14" s="13">
        <v>22.43</v>
      </c>
      <c r="E14" s="13">
        <v>182.72000000000003</v>
      </c>
      <c r="F14" s="13">
        <v>88.39</v>
      </c>
      <c r="G14" s="13">
        <v>48.34</v>
      </c>
      <c r="H14" s="13">
        <v>1440.1</v>
      </c>
      <c r="I14" s="13">
        <v>71.260000000000005</v>
      </c>
      <c r="J14" s="13">
        <v>1904.2900000000002</v>
      </c>
    </row>
    <row r="15" spans="1:10" x14ac:dyDescent="0.25">
      <c r="A15" s="23" t="s">
        <v>6</v>
      </c>
      <c r="B15" t="s">
        <v>436</v>
      </c>
    </row>
    <row r="17" spans="1:2" x14ac:dyDescent="0.25">
      <c r="A17" s="23" t="s">
        <v>117</v>
      </c>
      <c r="B17" t="s">
        <v>121</v>
      </c>
    </row>
    <row r="18" spans="1:2" x14ac:dyDescent="0.25">
      <c r="A18" s="24" t="s">
        <v>93</v>
      </c>
      <c r="B18" s="13">
        <v>-50</v>
      </c>
    </row>
    <row r="19" spans="1:2" x14ac:dyDescent="0.25">
      <c r="A19" s="24" t="s">
        <v>92</v>
      </c>
      <c r="B19" s="13">
        <v>-965</v>
      </c>
    </row>
    <row r="20" spans="1:2" x14ac:dyDescent="0.25">
      <c r="A20" s="24" t="s">
        <v>435</v>
      </c>
      <c r="B20" s="13">
        <v>-1600</v>
      </c>
    </row>
    <row r="21" spans="1:2" x14ac:dyDescent="0.25">
      <c r="A21" s="24" t="s">
        <v>437</v>
      </c>
      <c r="B21" s="13">
        <v>165.84</v>
      </c>
    </row>
    <row r="22" spans="1:2" x14ac:dyDescent="0.25">
      <c r="A22" s="24" t="s">
        <v>118</v>
      </c>
      <c r="B22" s="13">
        <v>-2449.16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2626-E455-4BEE-8B75-003D91FB8ABE}">
  <sheetPr>
    <tabColor theme="1"/>
  </sheetPr>
  <dimension ref="A1:P201"/>
  <sheetViews>
    <sheetView workbookViewId="0">
      <selection activeCell="P9" sqref="P9"/>
    </sheetView>
  </sheetViews>
  <sheetFormatPr defaultRowHeight="15" x14ac:dyDescent="0.25"/>
  <cols>
    <col min="1" max="1" width="27" bestFit="1" customWidth="1"/>
    <col min="2" max="2" width="18.42578125" bestFit="1" customWidth="1"/>
    <col min="3" max="3" width="49.42578125" bestFit="1" customWidth="1"/>
    <col min="4" max="12" width="11.5703125" style="2" bestFit="1" customWidth="1"/>
    <col min="13" max="16" width="11.5703125" bestFit="1" customWidth="1"/>
  </cols>
  <sheetData>
    <row r="1" spans="1:16" x14ac:dyDescent="0.25">
      <c r="A1" s="23" t="s">
        <v>5</v>
      </c>
      <c r="B1" t="s">
        <v>12</v>
      </c>
    </row>
    <row r="3" spans="1:16" x14ac:dyDescent="0.25">
      <c r="A3" s="23" t="s">
        <v>120</v>
      </c>
      <c r="D3" s="25" t="s">
        <v>4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6" x14ac:dyDescent="0.25">
      <c r="A4" s="23" t="s">
        <v>6</v>
      </c>
      <c r="B4" s="23" t="s">
        <v>3</v>
      </c>
      <c r="C4" s="23" t="s">
        <v>0</v>
      </c>
      <c r="D4" s="4">
        <v>44927</v>
      </c>
      <c r="E4" s="4">
        <v>44958</v>
      </c>
      <c r="F4" s="4">
        <v>44986</v>
      </c>
      <c r="G4" s="4">
        <v>45017</v>
      </c>
      <c r="H4" s="4">
        <v>45047</v>
      </c>
      <c r="I4" s="4">
        <v>45078</v>
      </c>
      <c r="J4" s="13">
        <v>45108</v>
      </c>
      <c r="K4" s="13">
        <v>45139</v>
      </c>
      <c r="L4" s="13">
        <v>45170</v>
      </c>
      <c r="M4" s="13">
        <v>45200</v>
      </c>
      <c r="N4" s="13">
        <v>45231</v>
      </c>
      <c r="O4" s="13">
        <v>45261</v>
      </c>
      <c r="P4" t="s">
        <v>118</v>
      </c>
    </row>
    <row r="5" spans="1:16" x14ac:dyDescent="0.25">
      <c r="A5" t="s">
        <v>24</v>
      </c>
      <c r="B5" t="s">
        <v>21</v>
      </c>
      <c r="D5" s="13">
        <v>107.94</v>
      </c>
      <c r="E5" s="29">
        <v>73.39</v>
      </c>
      <c r="F5" s="29">
        <v>201.43</v>
      </c>
      <c r="G5" s="13">
        <v>630.88000000000011</v>
      </c>
      <c r="H5" s="13">
        <v>449.29999999999995</v>
      </c>
      <c r="I5" s="13">
        <v>35.04</v>
      </c>
      <c r="J5" s="13">
        <v>110.67999999999999</v>
      </c>
      <c r="K5" s="13">
        <v>109.73</v>
      </c>
      <c r="L5" s="13"/>
      <c r="M5" s="13">
        <v>51.489999999999995</v>
      </c>
      <c r="N5" s="13">
        <v>52.71</v>
      </c>
      <c r="O5" s="13">
        <v>219.33999999999997</v>
      </c>
      <c r="P5" s="13">
        <v>2041.93</v>
      </c>
    </row>
    <row r="6" spans="1:16" x14ac:dyDescent="0.25">
      <c r="A6" t="s">
        <v>24</v>
      </c>
      <c r="B6" t="s">
        <v>64</v>
      </c>
      <c r="C6" t="s">
        <v>314</v>
      </c>
      <c r="D6" s="13"/>
      <c r="E6" s="13"/>
      <c r="F6" s="13">
        <v>30</v>
      </c>
      <c r="G6" s="13"/>
      <c r="H6" s="13">
        <v>150</v>
      </c>
      <c r="I6" s="13"/>
      <c r="J6" s="13"/>
      <c r="K6" s="13"/>
      <c r="L6" s="13"/>
      <c r="M6" s="13"/>
      <c r="N6" s="13"/>
      <c r="O6" s="13"/>
      <c r="P6" s="13">
        <v>180</v>
      </c>
    </row>
    <row r="7" spans="1:16" x14ac:dyDescent="0.25">
      <c r="A7" t="s">
        <v>24</v>
      </c>
      <c r="B7" t="s">
        <v>66</v>
      </c>
      <c r="D7" s="13">
        <v>16.399999999999999</v>
      </c>
      <c r="E7" s="13">
        <v>138.88</v>
      </c>
      <c r="F7" s="13">
        <v>303.68</v>
      </c>
      <c r="G7" s="13">
        <v>40</v>
      </c>
      <c r="H7" s="13">
        <v>513.8900000000001</v>
      </c>
      <c r="I7" s="13"/>
      <c r="J7" s="13"/>
      <c r="K7" s="13"/>
      <c r="L7" s="13"/>
      <c r="M7" s="13"/>
      <c r="N7" s="13">
        <v>68.78</v>
      </c>
      <c r="O7" s="13"/>
      <c r="P7" s="13">
        <v>1081.6300000000001</v>
      </c>
    </row>
    <row r="8" spans="1:16" x14ac:dyDescent="0.25">
      <c r="A8" t="s">
        <v>24</v>
      </c>
      <c r="B8" t="s">
        <v>25</v>
      </c>
      <c r="D8" s="13">
        <v>73.78</v>
      </c>
      <c r="E8" s="13">
        <v>38.21</v>
      </c>
      <c r="F8" s="13">
        <v>125.1</v>
      </c>
      <c r="G8" s="13"/>
      <c r="H8" s="13">
        <v>46.960000000000008</v>
      </c>
      <c r="I8" s="13">
        <v>41.769999999999996</v>
      </c>
      <c r="J8" s="13">
        <v>247.89</v>
      </c>
      <c r="K8" s="13">
        <v>51.099999999999994</v>
      </c>
      <c r="L8" s="13">
        <v>63.42</v>
      </c>
      <c r="M8" s="13">
        <v>148.63</v>
      </c>
      <c r="N8" s="13">
        <v>59.74</v>
      </c>
      <c r="O8" s="13">
        <v>125.82</v>
      </c>
      <c r="P8" s="13">
        <v>1022.4200000000001</v>
      </c>
    </row>
    <row r="9" spans="1:16" x14ac:dyDescent="0.25">
      <c r="A9" t="s">
        <v>24</v>
      </c>
      <c r="B9" t="s">
        <v>46</v>
      </c>
      <c r="D9" s="13">
        <v>14.99</v>
      </c>
      <c r="E9" s="13"/>
      <c r="F9" s="13"/>
      <c r="G9" s="13"/>
      <c r="H9" s="13">
        <v>994.49</v>
      </c>
      <c r="I9" s="13">
        <v>54.989999999999995</v>
      </c>
      <c r="J9" s="13">
        <v>7.99</v>
      </c>
      <c r="K9" s="13"/>
      <c r="L9" s="13"/>
      <c r="M9" s="13"/>
      <c r="N9" s="13">
        <v>19</v>
      </c>
      <c r="O9" s="13">
        <v>0</v>
      </c>
      <c r="P9" s="13">
        <v>1091.46</v>
      </c>
    </row>
    <row r="10" spans="1:16" x14ac:dyDescent="0.25">
      <c r="A10" t="s">
        <v>24</v>
      </c>
      <c r="B10" t="s">
        <v>72</v>
      </c>
      <c r="D10" s="13">
        <v>58</v>
      </c>
      <c r="E10" s="13">
        <v>58</v>
      </c>
      <c r="F10" s="13">
        <v>50.72</v>
      </c>
      <c r="G10" s="13"/>
      <c r="H10" s="13">
        <v>189.25</v>
      </c>
      <c r="I10" s="13">
        <v>138</v>
      </c>
      <c r="J10" s="13"/>
      <c r="K10" s="13">
        <v>67</v>
      </c>
      <c r="L10" s="13">
        <v>19</v>
      </c>
      <c r="M10" s="13">
        <v>119</v>
      </c>
      <c r="N10" s="13"/>
      <c r="O10" s="13"/>
      <c r="P10" s="13">
        <v>698.97</v>
      </c>
    </row>
    <row r="11" spans="1:16" x14ac:dyDescent="0.25">
      <c r="A11" t="s">
        <v>24</v>
      </c>
      <c r="B11" t="s">
        <v>133</v>
      </c>
      <c r="D11" s="13">
        <v>69.819999999999993</v>
      </c>
      <c r="E11" s="29">
        <v>143.79999999999998</v>
      </c>
      <c r="F11" s="29">
        <v>188.23999999999998</v>
      </c>
      <c r="G11" s="13">
        <v>213.14000000000001</v>
      </c>
      <c r="H11" s="13">
        <v>304.52999999999997</v>
      </c>
      <c r="I11" s="13">
        <v>44.16</v>
      </c>
      <c r="J11" s="13">
        <v>293.42</v>
      </c>
      <c r="K11" s="13">
        <v>120.98</v>
      </c>
      <c r="L11" s="13">
        <v>44.16</v>
      </c>
      <c r="M11" s="13">
        <v>220.13</v>
      </c>
      <c r="N11" s="13">
        <v>736.63</v>
      </c>
      <c r="O11" s="13">
        <v>355.77</v>
      </c>
      <c r="P11" s="13">
        <v>2734.78</v>
      </c>
    </row>
    <row r="12" spans="1:16" x14ac:dyDescent="0.25">
      <c r="A12" t="s">
        <v>24</v>
      </c>
      <c r="B12" t="s">
        <v>214</v>
      </c>
      <c r="D12" s="13">
        <v>1.75</v>
      </c>
      <c r="E12" s="13">
        <v>152.88999999999999</v>
      </c>
      <c r="F12" s="13">
        <v>181.63</v>
      </c>
      <c r="G12" s="13">
        <v>96.300000000000011</v>
      </c>
      <c r="H12" s="13">
        <v>328.86</v>
      </c>
      <c r="I12" s="13"/>
      <c r="J12" s="13">
        <v>14.870000000000001</v>
      </c>
      <c r="K12" s="13"/>
      <c r="L12" s="13"/>
      <c r="M12" s="13"/>
      <c r="N12" s="13"/>
      <c r="O12" s="13"/>
      <c r="P12" s="13">
        <v>776.30000000000007</v>
      </c>
    </row>
    <row r="13" spans="1:16" x14ac:dyDescent="0.25">
      <c r="A13" t="s">
        <v>24</v>
      </c>
      <c r="B13" t="s">
        <v>239</v>
      </c>
      <c r="D13" s="13"/>
      <c r="E13" s="13">
        <v>43.34</v>
      </c>
      <c r="F13" s="13">
        <v>105.41</v>
      </c>
      <c r="G13" s="13"/>
      <c r="H13" s="13"/>
      <c r="I13" s="13"/>
      <c r="J13" s="13"/>
      <c r="K13" s="13"/>
      <c r="L13" s="13"/>
      <c r="M13" s="13"/>
      <c r="N13" s="13"/>
      <c r="O13" s="13"/>
      <c r="P13" s="13">
        <v>148.75</v>
      </c>
    </row>
    <row r="14" spans="1:16" x14ac:dyDescent="0.25">
      <c r="A14" t="s">
        <v>24</v>
      </c>
      <c r="B14" t="s">
        <v>329</v>
      </c>
      <c r="D14" s="13">
        <v>102.02</v>
      </c>
      <c r="E14" s="13"/>
      <c r="F14" s="13">
        <v>255.88</v>
      </c>
      <c r="G14" s="13">
        <v>395.7</v>
      </c>
      <c r="H14" s="13"/>
      <c r="I14" s="13">
        <v>44.95</v>
      </c>
      <c r="J14" s="13"/>
      <c r="K14" s="13"/>
      <c r="L14" s="13">
        <v>81.44</v>
      </c>
      <c r="M14" s="13">
        <v>39.619999999999997</v>
      </c>
      <c r="N14" s="13">
        <v>69.38</v>
      </c>
      <c r="O14" s="13"/>
      <c r="P14" s="13">
        <v>988.99</v>
      </c>
    </row>
    <row r="15" spans="1:16" x14ac:dyDescent="0.25">
      <c r="A15" t="s">
        <v>24</v>
      </c>
      <c r="B15" t="s">
        <v>351</v>
      </c>
      <c r="C15" t="s">
        <v>350</v>
      </c>
      <c r="D15" s="13"/>
      <c r="E15" s="13"/>
      <c r="F15" s="13">
        <v>43.7</v>
      </c>
      <c r="G15" s="13"/>
      <c r="H15" s="13"/>
      <c r="I15" s="13"/>
      <c r="J15" s="13"/>
      <c r="K15" s="13"/>
      <c r="L15" s="13"/>
      <c r="M15" s="13"/>
      <c r="N15" s="13"/>
      <c r="O15" s="13"/>
      <c r="P15" s="13">
        <v>43.7</v>
      </c>
    </row>
    <row r="16" spans="1:16" x14ac:dyDescent="0.25">
      <c r="A16" t="s">
        <v>24</v>
      </c>
      <c r="B16" t="s">
        <v>368</v>
      </c>
      <c r="C16" t="s">
        <v>354</v>
      </c>
      <c r="D16" s="13"/>
      <c r="E16" s="13"/>
      <c r="F16" s="13">
        <v>17.36</v>
      </c>
      <c r="G16" s="13"/>
      <c r="H16" s="13"/>
      <c r="I16" s="13"/>
      <c r="J16" s="13"/>
      <c r="K16" s="13"/>
      <c r="L16" s="13"/>
      <c r="M16" s="13"/>
      <c r="N16" s="13"/>
      <c r="O16" s="13"/>
      <c r="P16" s="13">
        <v>17.36</v>
      </c>
    </row>
    <row r="17" spans="1:16" x14ac:dyDescent="0.25">
      <c r="A17" t="s">
        <v>118</v>
      </c>
      <c r="D17" s="13">
        <v>444.7</v>
      </c>
      <c r="E17" s="13">
        <v>648.51</v>
      </c>
      <c r="F17" s="13">
        <v>1503.15</v>
      </c>
      <c r="G17" s="13">
        <v>1376.0200000000002</v>
      </c>
      <c r="H17" s="13">
        <v>2977.28</v>
      </c>
      <c r="I17" s="13">
        <v>358.91</v>
      </c>
      <c r="J17" s="13">
        <v>674.85</v>
      </c>
      <c r="K17" s="13">
        <v>348.81</v>
      </c>
      <c r="L17" s="13">
        <v>208.01999999999998</v>
      </c>
      <c r="M17" s="13">
        <v>578.87</v>
      </c>
      <c r="N17" s="13">
        <v>1006.24</v>
      </c>
      <c r="O17" s="13">
        <v>700.93</v>
      </c>
      <c r="P17" s="13">
        <v>10826.29</v>
      </c>
    </row>
    <row r="18" spans="1:16" x14ac:dyDescent="0.25">
      <c r="D18"/>
      <c r="E18"/>
      <c r="F18"/>
      <c r="G18"/>
      <c r="H18"/>
      <c r="I18"/>
      <c r="J18"/>
      <c r="K18"/>
      <c r="L18"/>
    </row>
    <row r="19" spans="1:16" x14ac:dyDescent="0.25">
      <c r="D19"/>
      <c r="E19"/>
      <c r="F19"/>
      <c r="G19"/>
      <c r="H19"/>
      <c r="I19"/>
      <c r="J19"/>
      <c r="K19"/>
      <c r="L19"/>
    </row>
    <row r="20" spans="1:16" x14ac:dyDescent="0.25">
      <c r="D20"/>
      <c r="E20"/>
      <c r="F20"/>
      <c r="G20"/>
      <c r="H20"/>
      <c r="I20"/>
      <c r="J20"/>
      <c r="K20"/>
      <c r="L20"/>
    </row>
    <row r="21" spans="1:16" x14ac:dyDescent="0.25">
      <c r="D21"/>
      <c r="E21"/>
      <c r="F21"/>
      <c r="G21"/>
      <c r="H21"/>
      <c r="I21"/>
      <c r="J21"/>
      <c r="K21"/>
      <c r="L21"/>
    </row>
    <row r="22" spans="1:16" x14ac:dyDescent="0.25">
      <c r="D22"/>
      <c r="E22"/>
      <c r="F22"/>
      <c r="G22"/>
      <c r="H22"/>
      <c r="I22"/>
      <c r="J22"/>
      <c r="K22"/>
      <c r="L22"/>
    </row>
    <row r="23" spans="1:16" x14ac:dyDescent="0.25">
      <c r="D23"/>
      <c r="E23"/>
      <c r="F23"/>
      <c r="G23"/>
      <c r="H23"/>
      <c r="I23"/>
      <c r="J23"/>
      <c r="K23"/>
      <c r="L23"/>
    </row>
    <row r="24" spans="1:16" x14ac:dyDescent="0.25">
      <c r="D24"/>
      <c r="E24"/>
      <c r="F24"/>
      <c r="G24"/>
      <c r="H24"/>
      <c r="I24"/>
      <c r="J24"/>
      <c r="K24"/>
      <c r="L24"/>
    </row>
    <row r="25" spans="1:16" x14ac:dyDescent="0.25">
      <c r="D25"/>
      <c r="E25"/>
      <c r="F25"/>
      <c r="G25"/>
      <c r="H25"/>
      <c r="I25"/>
      <c r="J25"/>
      <c r="K25"/>
      <c r="L25"/>
    </row>
    <row r="26" spans="1:16" x14ac:dyDescent="0.25">
      <c r="D26"/>
      <c r="E26"/>
      <c r="F26"/>
      <c r="G26"/>
      <c r="H26"/>
      <c r="I26"/>
      <c r="J26"/>
      <c r="K26"/>
      <c r="L26"/>
    </row>
    <row r="27" spans="1:16" x14ac:dyDescent="0.25">
      <c r="D27"/>
      <c r="E27"/>
      <c r="F27"/>
      <c r="G27"/>
      <c r="H27"/>
      <c r="I27"/>
      <c r="J27"/>
      <c r="K27"/>
      <c r="L27"/>
    </row>
    <row r="28" spans="1:16" x14ac:dyDescent="0.25">
      <c r="D28"/>
      <c r="E28"/>
      <c r="F28"/>
      <c r="G28"/>
      <c r="H28"/>
      <c r="I28"/>
      <c r="J28"/>
      <c r="K28"/>
      <c r="L28"/>
    </row>
    <row r="29" spans="1:16" x14ac:dyDescent="0.25">
      <c r="D29"/>
      <c r="E29"/>
      <c r="F29"/>
      <c r="G29"/>
      <c r="H29"/>
      <c r="I29"/>
      <c r="J29"/>
      <c r="K29"/>
      <c r="L29"/>
    </row>
    <row r="30" spans="1:16" x14ac:dyDescent="0.25">
      <c r="D30"/>
      <c r="E30"/>
      <c r="F30"/>
      <c r="G30"/>
      <c r="H30"/>
      <c r="I30"/>
      <c r="J30"/>
      <c r="K30"/>
      <c r="L30"/>
    </row>
    <row r="31" spans="1:16" x14ac:dyDescent="0.25">
      <c r="D31"/>
      <c r="E31"/>
      <c r="F31"/>
      <c r="G31"/>
      <c r="H31"/>
      <c r="I31"/>
      <c r="J31"/>
      <c r="K31"/>
      <c r="L31"/>
    </row>
    <row r="32" spans="1:16" x14ac:dyDescent="0.25">
      <c r="D32"/>
      <c r="E32"/>
      <c r="F32"/>
      <c r="G32"/>
      <c r="H32"/>
      <c r="I32"/>
      <c r="J32"/>
      <c r="K32"/>
      <c r="L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spans="4:9" customFormat="1" x14ac:dyDescent="0.25"/>
    <row r="130" spans="4:9" customFormat="1" x14ac:dyDescent="0.25"/>
    <row r="131" spans="4:9" customFormat="1" x14ac:dyDescent="0.25"/>
    <row r="132" spans="4:9" customFormat="1" x14ac:dyDescent="0.25"/>
    <row r="133" spans="4:9" customFormat="1" x14ac:dyDescent="0.25"/>
    <row r="134" spans="4:9" customFormat="1" x14ac:dyDescent="0.25"/>
    <row r="135" spans="4:9" customFormat="1" x14ac:dyDescent="0.25"/>
    <row r="136" spans="4:9" customFormat="1" x14ac:dyDescent="0.25"/>
    <row r="137" spans="4:9" x14ac:dyDescent="0.25">
      <c r="D137"/>
      <c r="E137"/>
      <c r="F137"/>
      <c r="G137"/>
      <c r="H137"/>
      <c r="I137"/>
    </row>
    <row r="138" spans="4:9" x14ac:dyDescent="0.25">
      <c r="D138"/>
      <c r="E138"/>
      <c r="F138"/>
      <c r="G138"/>
      <c r="H138"/>
      <c r="I138"/>
    </row>
    <row r="139" spans="4:9" x14ac:dyDescent="0.25">
      <c r="D139"/>
      <c r="E139"/>
      <c r="F139"/>
      <c r="G139"/>
      <c r="H139"/>
      <c r="I139"/>
    </row>
    <row r="140" spans="4:9" x14ac:dyDescent="0.25">
      <c r="D140"/>
      <c r="E140"/>
      <c r="F140"/>
      <c r="G140"/>
      <c r="H140"/>
      <c r="I140"/>
    </row>
    <row r="141" spans="4:9" x14ac:dyDescent="0.25">
      <c r="D141"/>
      <c r="E141"/>
      <c r="F141"/>
      <c r="G141"/>
      <c r="H141"/>
      <c r="I141"/>
    </row>
    <row r="142" spans="4:9" x14ac:dyDescent="0.25">
      <c r="D142"/>
      <c r="E142"/>
      <c r="F142"/>
      <c r="G142"/>
      <c r="H142"/>
      <c r="I142"/>
    </row>
    <row r="143" spans="4:9" x14ac:dyDescent="0.25">
      <c r="D143"/>
      <c r="E143"/>
      <c r="F143"/>
      <c r="G143"/>
      <c r="H143"/>
      <c r="I143"/>
    </row>
    <row r="144" spans="4:9" x14ac:dyDescent="0.25">
      <c r="D144"/>
      <c r="E144"/>
      <c r="F144"/>
      <c r="G144"/>
      <c r="H144"/>
      <c r="I144"/>
    </row>
    <row r="145" spans="4:9" x14ac:dyDescent="0.25">
      <c r="D145"/>
      <c r="E145"/>
      <c r="F145"/>
      <c r="G145"/>
      <c r="H145"/>
      <c r="I145"/>
    </row>
    <row r="146" spans="4:9" x14ac:dyDescent="0.25">
      <c r="D146"/>
      <c r="E146"/>
      <c r="F146"/>
      <c r="G146"/>
      <c r="H146"/>
      <c r="I146"/>
    </row>
    <row r="147" spans="4:9" x14ac:dyDescent="0.25">
      <c r="D147"/>
      <c r="E147"/>
      <c r="F147"/>
      <c r="G147"/>
      <c r="H147"/>
      <c r="I147"/>
    </row>
    <row r="148" spans="4:9" x14ac:dyDescent="0.25">
      <c r="D148"/>
      <c r="E148"/>
      <c r="F148"/>
      <c r="G148"/>
      <c r="H148"/>
      <c r="I148"/>
    </row>
    <row r="149" spans="4:9" x14ac:dyDescent="0.25">
      <c r="D149"/>
      <c r="E149"/>
      <c r="F149"/>
      <c r="G149"/>
      <c r="H149"/>
      <c r="I149"/>
    </row>
    <row r="150" spans="4:9" x14ac:dyDescent="0.25">
      <c r="D150"/>
      <c r="E150"/>
      <c r="F150"/>
      <c r="G150"/>
      <c r="H150"/>
      <c r="I150"/>
    </row>
    <row r="151" spans="4:9" x14ac:dyDescent="0.25">
      <c r="D151"/>
      <c r="E151"/>
      <c r="F151"/>
      <c r="G151"/>
      <c r="H151"/>
      <c r="I151"/>
    </row>
    <row r="152" spans="4:9" x14ac:dyDescent="0.25">
      <c r="D152"/>
      <c r="E152"/>
      <c r="F152"/>
      <c r="G152"/>
      <c r="H152"/>
      <c r="I152"/>
    </row>
    <row r="153" spans="4:9" x14ac:dyDescent="0.25">
      <c r="D153"/>
      <c r="E153"/>
      <c r="F153"/>
      <c r="G153"/>
      <c r="H153"/>
      <c r="I153"/>
    </row>
    <row r="154" spans="4:9" x14ac:dyDescent="0.25">
      <c r="D154"/>
      <c r="E154"/>
      <c r="F154"/>
      <c r="G154"/>
      <c r="H154"/>
      <c r="I154"/>
    </row>
    <row r="155" spans="4:9" x14ac:dyDescent="0.25">
      <c r="D155"/>
      <c r="E155"/>
      <c r="F155"/>
      <c r="G155"/>
      <c r="H155"/>
      <c r="I155"/>
    </row>
    <row r="156" spans="4:9" x14ac:dyDescent="0.25">
      <c r="D156"/>
      <c r="E156"/>
      <c r="F156"/>
      <c r="G156"/>
      <c r="H156"/>
      <c r="I156"/>
    </row>
    <row r="157" spans="4:9" x14ac:dyDescent="0.25">
      <c r="D157"/>
      <c r="E157"/>
      <c r="F157"/>
      <c r="G157"/>
      <c r="H157"/>
      <c r="I157"/>
    </row>
    <row r="158" spans="4:9" x14ac:dyDescent="0.25">
      <c r="D158"/>
      <c r="E158"/>
      <c r="F158"/>
      <c r="G158"/>
      <c r="H158"/>
      <c r="I158"/>
    </row>
    <row r="159" spans="4:9" x14ac:dyDescent="0.25">
      <c r="D159"/>
      <c r="E159"/>
      <c r="F159"/>
      <c r="G159"/>
      <c r="H159"/>
      <c r="I159"/>
    </row>
    <row r="160" spans="4:9" x14ac:dyDescent="0.25">
      <c r="D160"/>
      <c r="E160"/>
      <c r="F160"/>
      <c r="G160"/>
      <c r="H160"/>
      <c r="I160"/>
    </row>
    <row r="161" spans="4:9" x14ac:dyDescent="0.25">
      <c r="D161"/>
      <c r="E161"/>
      <c r="F161"/>
      <c r="G161"/>
      <c r="H161"/>
      <c r="I161"/>
    </row>
    <row r="162" spans="4:9" x14ac:dyDescent="0.25">
      <c r="D162"/>
      <c r="E162"/>
      <c r="F162"/>
      <c r="G162"/>
      <c r="H162"/>
      <c r="I162"/>
    </row>
    <row r="163" spans="4:9" x14ac:dyDescent="0.25">
      <c r="D163"/>
      <c r="E163"/>
      <c r="F163"/>
      <c r="G163"/>
      <c r="H163"/>
      <c r="I163"/>
    </row>
    <row r="164" spans="4:9" x14ac:dyDescent="0.25">
      <c r="D164"/>
      <c r="E164"/>
      <c r="F164"/>
      <c r="G164"/>
      <c r="H164"/>
      <c r="I164"/>
    </row>
    <row r="165" spans="4:9" x14ac:dyDescent="0.25">
      <c r="D165"/>
      <c r="E165"/>
      <c r="F165"/>
      <c r="G165"/>
      <c r="H165"/>
      <c r="I165"/>
    </row>
    <row r="166" spans="4:9" x14ac:dyDescent="0.25">
      <c r="D166"/>
      <c r="E166"/>
      <c r="F166"/>
      <c r="G166"/>
      <c r="H166"/>
      <c r="I166"/>
    </row>
    <row r="167" spans="4:9" x14ac:dyDescent="0.25">
      <c r="D167"/>
      <c r="E167"/>
      <c r="F167"/>
      <c r="G167"/>
      <c r="H167"/>
      <c r="I167"/>
    </row>
    <row r="168" spans="4:9" x14ac:dyDescent="0.25">
      <c r="D168"/>
      <c r="E168"/>
      <c r="F168"/>
      <c r="G168"/>
      <c r="H168"/>
      <c r="I168"/>
    </row>
    <row r="169" spans="4:9" x14ac:dyDescent="0.25">
      <c r="D169"/>
      <c r="E169"/>
      <c r="F169"/>
      <c r="G169"/>
      <c r="H169"/>
      <c r="I169"/>
    </row>
    <row r="170" spans="4:9" x14ac:dyDescent="0.25">
      <c r="D170"/>
      <c r="E170"/>
      <c r="F170"/>
      <c r="G170"/>
      <c r="H170"/>
      <c r="I170"/>
    </row>
    <row r="171" spans="4:9" x14ac:dyDescent="0.25">
      <c r="D171"/>
      <c r="E171"/>
      <c r="F171"/>
      <c r="G171"/>
      <c r="H171"/>
      <c r="I171"/>
    </row>
    <row r="172" spans="4:9" x14ac:dyDescent="0.25">
      <c r="D172"/>
      <c r="E172"/>
      <c r="F172"/>
      <c r="G172"/>
      <c r="H172"/>
      <c r="I172"/>
    </row>
    <row r="173" spans="4:9" x14ac:dyDescent="0.25">
      <c r="D173"/>
      <c r="E173"/>
      <c r="F173"/>
      <c r="G173"/>
      <c r="H173"/>
      <c r="I173"/>
    </row>
    <row r="174" spans="4:9" x14ac:dyDescent="0.25">
      <c r="D174"/>
      <c r="E174"/>
      <c r="F174"/>
      <c r="G174"/>
      <c r="H174"/>
      <c r="I174"/>
    </row>
    <row r="175" spans="4:9" x14ac:dyDescent="0.25">
      <c r="D175"/>
      <c r="E175"/>
      <c r="F175"/>
      <c r="G175"/>
      <c r="H175"/>
      <c r="I175"/>
    </row>
    <row r="176" spans="4:9" x14ac:dyDescent="0.25">
      <c r="D176"/>
      <c r="E176"/>
      <c r="F176"/>
      <c r="G176"/>
      <c r="H176"/>
      <c r="I176"/>
    </row>
    <row r="177" spans="4:9" x14ac:dyDescent="0.25">
      <c r="D177"/>
      <c r="E177"/>
      <c r="F177"/>
      <c r="G177"/>
      <c r="H177"/>
      <c r="I177"/>
    </row>
    <row r="178" spans="4:9" x14ac:dyDescent="0.25">
      <c r="D178"/>
      <c r="E178"/>
      <c r="F178"/>
      <c r="G178"/>
      <c r="H178"/>
      <c r="I178"/>
    </row>
    <row r="179" spans="4:9" x14ac:dyDescent="0.25">
      <c r="D179"/>
      <c r="E179"/>
      <c r="F179"/>
      <c r="G179"/>
      <c r="H179"/>
      <c r="I179"/>
    </row>
    <row r="180" spans="4:9" x14ac:dyDescent="0.25">
      <c r="D180"/>
      <c r="E180"/>
      <c r="F180"/>
      <c r="G180"/>
      <c r="H180"/>
      <c r="I180"/>
    </row>
    <row r="181" spans="4:9" x14ac:dyDescent="0.25">
      <c r="D181"/>
      <c r="E181"/>
      <c r="F181"/>
      <c r="G181"/>
      <c r="H181"/>
      <c r="I181"/>
    </row>
    <row r="182" spans="4:9" x14ac:dyDescent="0.25">
      <c r="D182"/>
      <c r="E182"/>
      <c r="F182"/>
      <c r="G182"/>
      <c r="H182"/>
      <c r="I182"/>
    </row>
    <row r="183" spans="4:9" x14ac:dyDescent="0.25">
      <c r="D183"/>
      <c r="E183"/>
      <c r="F183"/>
      <c r="G183"/>
      <c r="H183"/>
      <c r="I183"/>
    </row>
    <row r="184" spans="4:9" x14ac:dyDescent="0.25">
      <c r="D184"/>
      <c r="E184"/>
      <c r="F184"/>
      <c r="G184"/>
      <c r="H184"/>
      <c r="I184"/>
    </row>
    <row r="185" spans="4:9" x14ac:dyDescent="0.25">
      <c r="D185"/>
      <c r="E185"/>
      <c r="F185"/>
      <c r="G185"/>
      <c r="H185"/>
      <c r="I185"/>
    </row>
    <row r="186" spans="4:9" x14ac:dyDescent="0.25">
      <c r="D186"/>
      <c r="E186"/>
      <c r="F186"/>
      <c r="G186"/>
      <c r="H186"/>
      <c r="I186"/>
    </row>
    <row r="187" spans="4:9" x14ac:dyDescent="0.25">
      <c r="D187"/>
      <c r="E187"/>
      <c r="F187"/>
      <c r="G187"/>
      <c r="H187"/>
      <c r="I187"/>
    </row>
    <row r="188" spans="4:9" x14ac:dyDescent="0.25">
      <c r="D188"/>
      <c r="E188"/>
      <c r="F188"/>
      <c r="G188"/>
      <c r="H188"/>
      <c r="I188"/>
    </row>
    <row r="189" spans="4:9" x14ac:dyDescent="0.25">
      <c r="D189"/>
      <c r="E189"/>
      <c r="F189"/>
      <c r="G189"/>
      <c r="H189"/>
      <c r="I189"/>
    </row>
    <row r="190" spans="4:9" x14ac:dyDescent="0.25">
      <c r="D190"/>
      <c r="E190"/>
      <c r="F190"/>
      <c r="G190"/>
      <c r="H190"/>
      <c r="I190"/>
    </row>
    <row r="191" spans="4:9" x14ac:dyDescent="0.25">
      <c r="D191"/>
      <c r="E191"/>
      <c r="F191"/>
      <c r="G191"/>
      <c r="H191"/>
      <c r="I191"/>
    </row>
    <row r="192" spans="4:9" x14ac:dyDescent="0.25">
      <c r="D192"/>
      <c r="E192"/>
      <c r="F192"/>
      <c r="G192"/>
      <c r="H192"/>
      <c r="I192"/>
    </row>
    <row r="193" spans="4:9" x14ac:dyDescent="0.25">
      <c r="D193"/>
      <c r="E193"/>
      <c r="F193"/>
      <c r="G193"/>
      <c r="H193"/>
      <c r="I193"/>
    </row>
    <row r="194" spans="4:9" x14ac:dyDescent="0.25">
      <c r="D194"/>
      <c r="E194"/>
      <c r="F194"/>
      <c r="G194"/>
      <c r="H194"/>
      <c r="I194"/>
    </row>
    <row r="195" spans="4:9" x14ac:dyDescent="0.25">
      <c r="D195"/>
      <c r="E195"/>
      <c r="F195"/>
      <c r="G195"/>
      <c r="H195"/>
      <c r="I195"/>
    </row>
    <row r="196" spans="4:9" x14ac:dyDescent="0.25">
      <c r="D196"/>
      <c r="E196"/>
      <c r="F196"/>
      <c r="G196"/>
      <c r="H196"/>
      <c r="I196"/>
    </row>
    <row r="197" spans="4:9" x14ac:dyDescent="0.25">
      <c r="D197"/>
      <c r="E197"/>
      <c r="F197"/>
      <c r="G197"/>
      <c r="H197"/>
      <c r="I197"/>
    </row>
    <row r="198" spans="4:9" x14ac:dyDescent="0.25">
      <c r="D198"/>
      <c r="E198"/>
      <c r="F198"/>
      <c r="G198"/>
      <c r="H198"/>
      <c r="I198"/>
    </row>
    <row r="199" spans="4:9" x14ac:dyDescent="0.25">
      <c r="D199"/>
      <c r="E199"/>
      <c r="F199"/>
      <c r="G199"/>
      <c r="H199"/>
      <c r="I199"/>
    </row>
    <row r="200" spans="4:9" x14ac:dyDescent="0.25">
      <c r="D200"/>
      <c r="E200"/>
      <c r="F200"/>
      <c r="G200"/>
      <c r="H200"/>
      <c r="I200"/>
    </row>
    <row r="201" spans="4:9" x14ac:dyDescent="0.25">
      <c r="D201"/>
      <c r="E201"/>
      <c r="F201"/>
      <c r="G201"/>
      <c r="H201"/>
      <c r="I20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3EE2-69DF-4DB5-AAEE-6067FBD87C17}">
  <sheetPr>
    <tabColor theme="1"/>
  </sheetPr>
  <dimension ref="A3:P201"/>
  <sheetViews>
    <sheetView workbookViewId="0">
      <selection activeCell="P5" sqref="P5"/>
    </sheetView>
  </sheetViews>
  <sheetFormatPr defaultRowHeight="15" x14ac:dyDescent="0.25"/>
  <cols>
    <col min="1" max="1" width="27" bestFit="1" customWidth="1"/>
    <col min="2" max="2" width="18.42578125" bestFit="1" customWidth="1"/>
    <col min="3" max="3" width="27.85546875" bestFit="1" customWidth="1"/>
    <col min="4" max="12" width="11.5703125" style="2" bestFit="1" customWidth="1"/>
    <col min="13" max="15" width="11.5703125" bestFit="1" customWidth="1"/>
    <col min="16" max="16" width="11.28515625" bestFit="1" customWidth="1"/>
  </cols>
  <sheetData>
    <row r="3" spans="1:16" x14ac:dyDescent="0.25">
      <c r="A3" s="23" t="s">
        <v>120</v>
      </c>
      <c r="D3" s="25" t="s">
        <v>4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6" x14ac:dyDescent="0.25">
      <c r="A4" s="23" t="s">
        <v>6</v>
      </c>
      <c r="B4" s="23" t="s">
        <v>3</v>
      </c>
      <c r="C4" s="23" t="s">
        <v>0</v>
      </c>
      <c r="D4" s="4">
        <v>44927</v>
      </c>
      <c r="E4" s="4">
        <v>44958</v>
      </c>
      <c r="F4" s="4">
        <v>44986</v>
      </c>
      <c r="G4" s="4">
        <v>45017</v>
      </c>
      <c r="H4" s="4">
        <v>45047</v>
      </c>
      <c r="I4" s="4">
        <v>45078</v>
      </c>
      <c r="J4" s="13">
        <v>45108</v>
      </c>
      <c r="K4" s="13">
        <v>45139</v>
      </c>
      <c r="L4" s="13">
        <v>45170</v>
      </c>
      <c r="M4" s="13">
        <v>45200</v>
      </c>
      <c r="N4" s="13">
        <v>45231</v>
      </c>
      <c r="O4" s="13">
        <v>45261</v>
      </c>
      <c r="P4" t="s">
        <v>118</v>
      </c>
    </row>
    <row r="5" spans="1:16" x14ac:dyDescent="0.25">
      <c r="A5" t="s">
        <v>31</v>
      </c>
      <c r="B5" t="s">
        <v>55</v>
      </c>
      <c r="D5" s="29">
        <v>736.81000000000006</v>
      </c>
      <c r="E5" s="13">
        <v>86</v>
      </c>
      <c r="F5" s="13"/>
      <c r="G5" s="13">
        <v>210</v>
      </c>
      <c r="H5" s="13"/>
      <c r="I5" s="13"/>
      <c r="J5" s="13"/>
      <c r="K5" s="13"/>
      <c r="L5" s="13"/>
      <c r="M5" s="13">
        <v>49.99</v>
      </c>
      <c r="N5" s="13">
        <v>169.31</v>
      </c>
      <c r="O5" s="13">
        <v>35</v>
      </c>
      <c r="P5" s="13">
        <v>1287.1099999999999</v>
      </c>
    </row>
    <row r="6" spans="1:16" x14ac:dyDescent="0.25">
      <c r="A6" t="s">
        <v>31</v>
      </c>
      <c r="B6" t="s">
        <v>30</v>
      </c>
      <c r="D6" s="13">
        <v>132.49</v>
      </c>
      <c r="E6" s="13">
        <v>15.5</v>
      </c>
      <c r="F6" s="13">
        <v>48.12</v>
      </c>
      <c r="G6" s="13">
        <v>99.5</v>
      </c>
      <c r="H6" s="13">
        <v>154.34</v>
      </c>
      <c r="I6" s="13"/>
      <c r="J6" s="13"/>
      <c r="K6" s="13">
        <v>80.3</v>
      </c>
      <c r="L6" s="13">
        <v>29.02</v>
      </c>
      <c r="M6" s="13"/>
      <c r="N6" s="13">
        <v>10</v>
      </c>
      <c r="O6" s="13"/>
      <c r="P6" s="13">
        <v>569.27</v>
      </c>
    </row>
    <row r="7" spans="1:16" x14ac:dyDescent="0.25">
      <c r="A7" t="s">
        <v>31</v>
      </c>
      <c r="B7" t="s">
        <v>63</v>
      </c>
      <c r="D7" s="13">
        <v>12.35</v>
      </c>
      <c r="E7" s="13">
        <v>57.230000000000004</v>
      </c>
      <c r="F7" s="13">
        <v>32.200000000000003</v>
      </c>
      <c r="G7" s="13">
        <v>52.34</v>
      </c>
      <c r="H7" s="13">
        <v>7</v>
      </c>
      <c r="I7" s="13"/>
      <c r="J7" s="13"/>
      <c r="K7" s="13"/>
      <c r="L7" s="13"/>
      <c r="M7" s="13">
        <v>24</v>
      </c>
      <c r="N7" s="13">
        <v>12</v>
      </c>
      <c r="O7" s="13"/>
      <c r="P7" s="13">
        <v>197.12</v>
      </c>
    </row>
    <row r="8" spans="1:16" x14ac:dyDescent="0.25">
      <c r="A8" t="s">
        <v>31</v>
      </c>
      <c r="B8" t="s">
        <v>42</v>
      </c>
      <c r="D8" s="29">
        <v>223.84</v>
      </c>
      <c r="E8" s="29">
        <v>202.79</v>
      </c>
      <c r="F8" s="29">
        <v>114.37</v>
      </c>
      <c r="G8" s="13">
        <v>63.039999999999992</v>
      </c>
      <c r="H8" s="13">
        <v>681.12999999999988</v>
      </c>
      <c r="I8" s="13">
        <v>9.99</v>
      </c>
      <c r="J8" s="13"/>
      <c r="K8" s="13">
        <v>207.03</v>
      </c>
      <c r="L8" s="13">
        <v>9.91</v>
      </c>
      <c r="M8" s="13">
        <v>30.9</v>
      </c>
      <c r="N8" s="13">
        <v>126.85</v>
      </c>
      <c r="O8" s="13"/>
      <c r="P8" s="13">
        <v>1669.85</v>
      </c>
    </row>
    <row r="9" spans="1:16" x14ac:dyDescent="0.25">
      <c r="A9" t="s">
        <v>31</v>
      </c>
      <c r="B9" t="s">
        <v>188</v>
      </c>
      <c r="C9" t="s">
        <v>187</v>
      </c>
      <c r="D9" s="13">
        <v>125</v>
      </c>
      <c r="E9" s="13"/>
      <c r="F9" s="13">
        <v>25</v>
      </c>
      <c r="G9" s="13">
        <v>25</v>
      </c>
      <c r="H9" s="13">
        <v>50</v>
      </c>
      <c r="I9" s="13"/>
      <c r="J9" s="13">
        <v>35</v>
      </c>
      <c r="K9" s="13"/>
      <c r="L9" s="13">
        <v>25</v>
      </c>
      <c r="M9" s="13">
        <v>25</v>
      </c>
      <c r="N9" s="13"/>
      <c r="O9" s="13"/>
      <c r="P9" s="13">
        <v>310</v>
      </c>
    </row>
    <row r="10" spans="1:16" x14ac:dyDescent="0.25">
      <c r="A10" t="s">
        <v>31</v>
      </c>
      <c r="B10" t="s">
        <v>353</v>
      </c>
      <c r="D10" s="13"/>
      <c r="E10" s="13"/>
      <c r="F10" s="13">
        <v>350</v>
      </c>
      <c r="G10" s="13">
        <v>254.26999999999998</v>
      </c>
      <c r="H10" s="13"/>
      <c r="I10" s="13"/>
      <c r="J10" s="13"/>
      <c r="K10" s="13"/>
      <c r="L10" s="13"/>
      <c r="M10" s="13"/>
      <c r="N10" s="13"/>
      <c r="O10" s="13"/>
      <c r="P10" s="13">
        <v>604.27</v>
      </c>
    </row>
    <row r="11" spans="1:16" x14ac:dyDescent="0.25">
      <c r="A11" t="s">
        <v>118</v>
      </c>
      <c r="D11" s="13">
        <v>1230.49</v>
      </c>
      <c r="E11" s="13">
        <v>361.52</v>
      </c>
      <c r="F11" s="13">
        <v>569.69000000000005</v>
      </c>
      <c r="G11" s="13">
        <v>704.15</v>
      </c>
      <c r="H11" s="13">
        <v>892.46999999999991</v>
      </c>
      <c r="I11" s="13">
        <v>9.99</v>
      </c>
      <c r="J11" s="13">
        <v>35</v>
      </c>
      <c r="K11" s="13">
        <v>287.33</v>
      </c>
      <c r="L11" s="13">
        <v>63.93</v>
      </c>
      <c r="M11" s="13">
        <v>129.89000000000001</v>
      </c>
      <c r="N11" s="13">
        <v>318.15999999999997</v>
      </c>
      <c r="O11" s="13">
        <v>35</v>
      </c>
      <c r="P11" s="13">
        <v>4637.62</v>
      </c>
    </row>
    <row r="12" spans="1:16" x14ac:dyDescent="0.25">
      <c r="D12"/>
      <c r="E12"/>
      <c r="F12"/>
      <c r="G12"/>
      <c r="H12"/>
      <c r="I12"/>
      <c r="J12"/>
      <c r="K12"/>
      <c r="L12"/>
    </row>
    <row r="13" spans="1:16" x14ac:dyDescent="0.25">
      <c r="D13"/>
      <c r="E13"/>
      <c r="F13"/>
      <c r="G13"/>
      <c r="H13"/>
      <c r="I13"/>
      <c r="J13"/>
      <c r="K13"/>
      <c r="L13"/>
    </row>
    <row r="14" spans="1:16" x14ac:dyDescent="0.25">
      <c r="D14"/>
      <c r="E14"/>
      <c r="F14"/>
      <c r="G14"/>
      <c r="H14"/>
      <c r="I14"/>
      <c r="J14"/>
      <c r="K14"/>
      <c r="L14"/>
    </row>
    <row r="15" spans="1:16" x14ac:dyDescent="0.25">
      <c r="D15"/>
      <c r="E15"/>
      <c r="F15"/>
      <c r="G15"/>
      <c r="H15"/>
      <c r="I15"/>
      <c r="J15"/>
      <c r="K15"/>
      <c r="L15"/>
    </row>
    <row r="16" spans="1:16" x14ac:dyDescent="0.25">
      <c r="D16"/>
      <c r="E16"/>
      <c r="F16"/>
      <c r="G16"/>
      <c r="H16"/>
      <c r="I16"/>
      <c r="J16"/>
      <c r="K16"/>
      <c r="L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spans="5:6" customFormat="1" x14ac:dyDescent="0.25"/>
    <row r="34" spans="5:6" customFormat="1" x14ac:dyDescent="0.25"/>
    <row r="35" spans="5:6" customFormat="1" x14ac:dyDescent="0.25"/>
    <row r="36" spans="5:6" customFormat="1" x14ac:dyDescent="0.25"/>
    <row r="37" spans="5:6" customFormat="1" x14ac:dyDescent="0.25"/>
    <row r="38" spans="5:6" customFormat="1" x14ac:dyDescent="0.25"/>
    <row r="39" spans="5:6" customFormat="1" x14ac:dyDescent="0.25">
      <c r="E39" s="30" t="e">
        <f>E38/D38-1</f>
        <v>#DIV/0!</v>
      </c>
      <c r="F39" s="30" t="e">
        <f>F38/E38-1</f>
        <v>#DIV/0!</v>
      </c>
    </row>
    <row r="40" spans="5:6" customFormat="1" x14ac:dyDescent="0.25"/>
    <row r="41" spans="5:6" customFormat="1" x14ac:dyDescent="0.25"/>
    <row r="42" spans="5:6" customFormat="1" x14ac:dyDescent="0.25"/>
    <row r="43" spans="5:6" customFormat="1" x14ac:dyDescent="0.25"/>
    <row r="44" spans="5:6" customFormat="1" x14ac:dyDescent="0.25"/>
    <row r="45" spans="5:6" customFormat="1" x14ac:dyDescent="0.25"/>
    <row r="46" spans="5:6" customFormat="1" x14ac:dyDescent="0.25"/>
    <row r="47" spans="5:6" customFormat="1" x14ac:dyDescent="0.25"/>
    <row r="48" spans="5:6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spans="4:9" customFormat="1" x14ac:dyDescent="0.25"/>
    <row r="130" spans="4:9" customFormat="1" x14ac:dyDescent="0.25"/>
    <row r="131" spans="4:9" customFormat="1" x14ac:dyDescent="0.25"/>
    <row r="132" spans="4:9" customFormat="1" x14ac:dyDescent="0.25"/>
    <row r="133" spans="4:9" customFormat="1" x14ac:dyDescent="0.25"/>
    <row r="134" spans="4:9" customFormat="1" x14ac:dyDescent="0.25"/>
    <row r="135" spans="4:9" customFormat="1" x14ac:dyDescent="0.25"/>
    <row r="136" spans="4:9" customFormat="1" x14ac:dyDescent="0.25"/>
    <row r="137" spans="4:9" x14ac:dyDescent="0.25">
      <c r="D137"/>
      <c r="E137"/>
      <c r="F137"/>
      <c r="G137"/>
      <c r="H137"/>
      <c r="I137"/>
    </row>
    <row r="138" spans="4:9" x14ac:dyDescent="0.25">
      <c r="D138"/>
      <c r="E138"/>
      <c r="F138"/>
      <c r="G138"/>
      <c r="H138"/>
      <c r="I138"/>
    </row>
    <row r="139" spans="4:9" x14ac:dyDescent="0.25">
      <c r="D139"/>
      <c r="E139"/>
      <c r="F139"/>
      <c r="G139"/>
      <c r="H139"/>
      <c r="I139"/>
    </row>
    <row r="140" spans="4:9" x14ac:dyDescent="0.25">
      <c r="D140"/>
      <c r="E140"/>
      <c r="F140"/>
      <c r="G140"/>
      <c r="H140"/>
      <c r="I140"/>
    </row>
    <row r="141" spans="4:9" x14ac:dyDescent="0.25">
      <c r="D141"/>
      <c r="E141"/>
      <c r="F141"/>
      <c r="G141"/>
      <c r="H141"/>
      <c r="I141"/>
    </row>
    <row r="142" spans="4:9" x14ac:dyDescent="0.25">
      <c r="D142"/>
      <c r="E142"/>
      <c r="F142"/>
      <c r="G142"/>
      <c r="H142"/>
      <c r="I142"/>
    </row>
    <row r="143" spans="4:9" x14ac:dyDescent="0.25">
      <c r="D143"/>
      <c r="E143"/>
      <c r="F143"/>
      <c r="G143"/>
      <c r="H143"/>
      <c r="I143"/>
    </row>
    <row r="144" spans="4:9" x14ac:dyDescent="0.25">
      <c r="D144"/>
      <c r="E144"/>
      <c r="F144"/>
      <c r="G144"/>
      <c r="H144"/>
      <c r="I144"/>
    </row>
    <row r="145" spans="4:9" x14ac:dyDescent="0.25">
      <c r="D145"/>
      <c r="E145"/>
      <c r="F145"/>
      <c r="G145"/>
      <c r="H145"/>
      <c r="I145"/>
    </row>
    <row r="146" spans="4:9" x14ac:dyDescent="0.25">
      <c r="D146"/>
      <c r="E146"/>
      <c r="F146"/>
      <c r="G146"/>
      <c r="H146"/>
      <c r="I146"/>
    </row>
    <row r="147" spans="4:9" x14ac:dyDescent="0.25">
      <c r="D147"/>
      <c r="E147"/>
      <c r="F147"/>
      <c r="G147"/>
      <c r="H147"/>
      <c r="I147"/>
    </row>
    <row r="148" spans="4:9" x14ac:dyDescent="0.25">
      <c r="D148"/>
      <c r="E148"/>
      <c r="F148"/>
      <c r="G148"/>
      <c r="H148"/>
      <c r="I148"/>
    </row>
    <row r="149" spans="4:9" x14ac:dyDescent="0.25">
      <c r="D149"/>
      <c r="E149"/>
      <c r="F149"/>
      <c r="G149"/>
      <c r="H149"/>
      <c r="I149"/>
    </row>
    <row r="150" spans="4:9" x14ac:dyDescent="0.25">
      <c r="D150"/>
      <c r="E150"/>
      <c r="F150"/>
      <c r="G150"/>
      <c r="H150"/>
      <c r="I150"/>
    </row>
    <row r="151" spans="4:9" x14ac:dyDescent="0.25">
      <c r="D151"/>
      <c r="E151"/>
      <c r="F151"/>
      <c r="G151"/>
      <c r="H151"/>
      <c r="I151"/>
    </row>
    <row r="152" spans="4:9" x14ac:dyDescent="0.25">
      <c r="D152"/>
      <c r="E152"/>
      <c r="F152"/>
      <c r="G152"/>
      <c r="H152"/>
      <c r="I152"/>
    </row>
    <row r="153" spans="4:9" x14ac:dyDescent="0.25">
      <c r="D153"/>
      <c r="E153"/>
      <c r="F153"/>
      <c r="G153"/>
      <c r="H153"/>
      <c r="I153"/>
    </row>
    <row r="154" spans="4:9" x14ac:dyDescent="0.25">
      <c r="D154"/>
      <c r="E154"/>
      <c r="F154"/>
      <c r="G154"/>
      <c r="H154"/>
      <c r="I154"/>
    </row>
    <row r="155" spans="4:9" x14ac:dyDescent="0.25">
      <c r="D155"/>
      <c r="E155"/>
      <c r="F155"/>
      <c r="G155"/>
      <c r="H155"/>
      <c r="I155"/>
    </row>
    <row r="156" spans="4:9" x14ac:dyDescent="0.25">
      <c r="D156"/>
      <c r="E156"/>
      <c r="F156"/>
      <c r="G156"/>
      <c r="H156"/>
      <c r="I156"/>
    </row>
    <row r="157" spans="4:9" x14ac:dyDescent="0.25">
      <c r="D157"/>
      <c r="E157"/>
      <c r="F157"/>
      <c r="G157"/>
      <c r="H157"/>
      <c r="I157"/>
    </row>
    <row r="158" spans="4:9" x14ac:dyDescent="0.25">
      <c r="D158"/>
      <c r="E158"/>
      <c r="F158"/>
      <c r="G158"/>
      <c r="H158"/>
      <c r="I158"/>
    </row>
    <row r="159" spans="4:9" x14ac:dyDescent="0.25">
      <c r="D159"/>
      <c r="E159"/>
      <c r="F159"/>
      <c r="G159"/>
      <c r="H159"/>
      <c r="I159"/>
    </row>
    <row r="160" spans="4:9" x14ac:dyDescent="0.25">
      <c r="D160"/>
      <c r="E160"/>
      <c r="F160"/>
      <c r="G160"/>
      <c r="H160"/>
      <c r="I160"/>
    </row>
    <row r="161" spans="4:9" x14ac:dyDescent="0.25">
      <c r="D161"/>
      <c r="E161"/>
      <c r="F161"/>
      <c r="G161"/>
      <c r="H161"/>
      <c r="I161"/>
    </row>
    <row r="162" spans="4:9" x14ac:dyDescent="0.25">
      <c r="D162"/>
      <c r="E162"/>
      <c r="F162"/>
      <c r="G162"/>
      <c r="H162"/>
      <c r="I162"/>
    </row>
    <row r="163" spans="4:9" x14ac:dyDescent="0.25">
      <c r="D163"/>
      <c r="E163"/>
      <c r="F163"/>
      <c r="G163"/>
      <c r="H163"/>
      <c r="I163"/>
    </row>
    <row r="164" spans="4:9" x14ac:dyDescent="0.25">
      <c r="D164"/>
      <c r="E164"/>
      <c r="F164"/>
      <c r="G164"/>
      <c r="H164"/>
      <c r="I164"/>
    </row>
    <row r="165" spans="4:9" x14ac:dyDescent="0.25">
      <c r="D165"/>
      <c r="E165"/>
      <c r="F165"/>
      <c r="G165"/>
      <c r="H165"/>
      <c r="I165"/>
    </row>
    <row r="166" spans="4:9" x14ac:dyDescent="0.25">
      <c r="D166"/>
      <c r="E166"/>
      <c r="F166"/>
      <c r="G166"/>
      <c r="H166"/>
      <c r="I166"/>
    </row>
    <row r="167" spans="4:9" x14ac:dyDescent="0.25">
      <c r="D167"/>
      <c r="E167"/>
      <c r="F167"/>
      <c r="G167"/>
      <c r="H167"/>
      <c r="I167"/>
    </row>
    <row r="168" spans="4:9" x14ac:dyDescent="0.25">
      <c r="D168"/>
      <c r="E168"/>
      <c r="F168"/>
      <c r="G168"/>
      <c r="H168"/>
      <c r="I168"/>
    </row>
    <row r="169" spans="4:9" x14ac:dyDescent="0.25">
      <c r="D169"/>
      <c r="E169"/>
      <c r="F169"/>
      <c r="G169"/>
      <c r="H169"/>
      <c r="I169"/>
    </row>
    <row r="170" spans="4:9" x14ac:dyDescent="0.25">
      <c r="D170"/>
      <c r="E170"/>
      <c r="F170"/>
      <c r="G170"/>
      <c r="H170"/>
      <c r="I170"/>
    </row>
    <row r="171" spans="4:9" x14ac:dyDescent="0.25">
      <c r="D171"/>
      <c r="E171"/>
      <c r="F171"/>
      <c r="G171"/>
      <c r="H171"/>
      <c r="I171"/>
    </row>
    <row r="172" spans="4:9" x14ac:dyDescent="0.25">
      <c r="D172"/>
      <c r="E172"/>
      <c r="F172"/>
      <c r="G172"/>
      <c r="H172"/>
      <c r="I172"/>
    </row>
    <row r="173" spans="4:9" x14ac:dyDescent="0.25">
      <c r="D173"/>
      <c r="E173"/>
      <c r="F173"/>
      <c r="G173"/>
      <c r="H173"/>
      <c r="I173"/>
    </row>
    <row r="174" spans="4:9" x14ac:dyDescent="0.25">
      <c r="D174"/>
      <c r="E174"/>
      <c r="F174"/>
      <c r="G174"/>
      <c r="H174"/>
      <c r="I174"/>
    </row>
    <row r="175" spans="4:9" x14ac:dyDescent="0.25">
      <c r="D175"/>
      <c r="E175"/>
      <c r="F175"/>
      <c r="G175"/>
      <c r="H175"/>
      <c r="I175"/>
    </row>
    <row r="176" spans="4:9" x14ac:dyDescent="0.25">
      <c r="D176"/>
      <c r="E176"/>
      <c r="F176"/>
      <c r="G176"/>
      <c r="H176"/>
      <c r="I176"/>
    </row>
    <row r="177" spans="4:9" x14ac:dyDescent="0.25">
      <c r="D177"/>
      <c r="E177"/>
      <c r="F177"/>
      <c r="G177"/>
      <c r="H177"/>
      <c r="I177"/>
    </row>
    <row r="178" spans="4:9" x14ac:dyDescent="0.25">
      <c r="D178"/>
      <c r="E178"/>
      <c r="F178"/>
      <c r="G178"/>
      <c r="H178"/>
      <c r="I178"/>
    </row>
    <row r="179" spans="4:9" x14ac:dyDescent="0.25">
      <c r="D179"/>
      <c r="E179"/>
      <c r="F179"/>
      <c r="G179"/>
      <c r="H179"/>
      <c r="I179"/>
    </row>
    <row r="180" spans="4:9" x14ac:dyDescent="0.25">
      <c r="D180"/>
      <c r="E180"/>
      <c r="F180"/>
      <c r="G180"/>
      <c r="H180"/>
      <c r="I180"/>
    </row>
    <row r="181" spans="4:9" x14ac:dyDescent="0.25">
      <c r="D181"/>
      <c r="E181"/>
      <c r="F181"/>
      <c r="G181"/>
      <c r="H181"/>
      <c r="I181"/>
    </row>
    <row r="182" spans="4:9" x14ac:dyDescent="0.25">
      <c r="D182"/>
      <c r="E182"/>
      <c r="F182"/>
      <c r="G182"/>
      <c r="H182"/>
      <c r="I182"/>
    </row>
    <row r="183" spans="4:9" x14ac:dyDescent="0.25">
      <c r="D183"/>
      <c r="E183"/>
      <c r="F183"/>
      <c r="G183"/>
      <c r="H183"/>
      <c r="I183"/>
    </row>
    <row r="184" spans="4:9" x14ac:dyDescent="0.25">
      <c r="D184"/>
      <c r="E184"/>
      <c r="F184"/>
      <c r="G184"/>
      <c r="H184"/>
      <c r="I184"/>
    </row>
    <row r="185" spans="4:9" x14ac:dyDescent="0.25">
      <c r="D185"/>
      <c r="E185"/>
      <c r="F185"/>
      <c r="G185"/>
      <c r="H185"/>
      <c r="I185"/>
    </row>
    <row r="186" spans="4:9" x14ac:dyDescent="0.25">
      <c r="D186"/>
      <c r="E186"/>
      <c r="F186"/>
      <c r="G186"/>
      <c r="H186"/>
      <c r="I186"/>
    </row>
    <row r="187" spans="4:9" x14ac:dyDescent="0.25">
      <c r="D187"/>
      <c r="E187"/>
      <c r="F187"/>
      <c r="G187"/>
      <c r="H187"/>
      <c r="I187"/>
    </row>
    <row r="188" spans="4:9" x14ac:dyDescent="0.25">
      <c r="D188"/>
      <c r="E188"/>
      <c r="F188"/>
      <c r="G188"/>
      <c r="H188"/>
      <c r="I188"/>
    </row>
    <row r="189" spans="4:9" x14ac:dyDescent="0.25">
      <c r="D189"/>
      <c r="E189"/>
      <c r="F189"/>
      <c r="G189"/>
      <c r="H189"/>
      <c r="I189"/>
    </row>
    <row r="190" spans="4:9" x14ac:dyDescent="0.25">
      <c r="D190"/>
      <c r="E190"/>
      <c r="F190"/>
      <c r="G190"/>
      <c r="H190"/>
      <c r="I190"/>
    </row>
    <row r="191" spans="4:9" x14ac:dyDescent="0.25">
      <c r="D191"/>
      <c r="E191"/>
      <c r="F191"/>
      <c r="G191"/>
      <c r="H191"/>
      <c r="I191"/>
    </row>
    <row r="192" spans="4:9" x14ac:dyDescent="0.25">
      <c r="D192"/>
      <c r="E192"/>
      <c r="F192"/>
      <c r="G192"/>
      <c r="H192"/>
      <c r="I192"/>
    </row>
    <row r="193" spans="4:9" x14ac:dyDescent="0.25">
      <c r="D193"/>
      <c r="E193"/>
      <c r="F193"/>
      <c r="G193"/>
      <c r="H193"/>
      <c r="I193"/>
    </row>
    <row r="194" spans="4:9" x14ac:dyDescent="0.25">
      <c r="D194"/>
      <c r="E194"/>
      <c r="F194"/>
      <c r="G194"/>
      <c r="H194"/>
      <c r="I194"/>
    </row>
    <row r="195" spans="4:9" x14ac:dyDescent="0.25">
      <c r="D195"/>
      <c r="E195"/>
      <c r="F195"/>
      <c r="G195"/>
      <c r="H195"/>
      <c r="I195"/>
    </row>
    <row r="196" spans="4:9" x14ac:dyDescent="0.25">
      <c r="D196"/>
      <c r="E196"/>
      <c r="F196"/>
      <c r="G196"/>
      <c r="H196"/>
      <c r="I196"/>
    </row>
    <row r="197" spans="4:9" x14ac:dyDescent="0.25">
      <c r="D197"/>
      <c r="E197"/>
      <c r="F197"/>
      <c r="G197"/>
      <c r="H197"/>
      <c r="I197"/>
    </row>
    <row r="198" spans="4:9" x14ac:dyDescent="0.25">
      <c r="D198"/>
      <c r="E198"/>
      <c r="F198"/>
      <c r="G198"/>
      <c r="H198"/>
      <c r="I198"/>
    </row>
    <row r="199" spans="4:9" x14ac:dyDescent="0.25">
      <c r="D199"/>
      <c r="E199"/>
      <c r="F199"/>
      <c r="G199"/>
      <c r="H199"/>
      <c r="I199"/>
    </row>
    <row r="200" spans="4:9" x14ac:dyDescent="0.25">
      <c r="D200"/>
      <c r="E200"/>
      <c r="F200"/>
      <c r="G200"/>
      <c r="H200"/>
      <c r="I200"/>
    </row>
    <row r="201" spans="4:9" x14ac:dyDescent="0.25">
      <c r="D201"/>
      <c r="E201"/>
      <c r="F201"/>
      <c r="G201"/>
      <c r="H201"/>
      <c r="I20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959B0-3AB6-4C95-A657-AE4FD70E4456}">
  <sheetPr>
    <tabColor theme="1"/>
  </sheetPr>
  <dimension ref="A3:O323"/>
  <sheetViews>
    <sheetView workbookViewId="0">
      <selection activeCell="J11" sqref="J11"/>
    </sheetView>
  </sheetViews>
  <sheetFormatPr defaultRowHeight="15" x14ac:dyDescent="0.25"/>
  <cols>
    <col min="1" max="1" width="27" bestFit="1" customWidth="1"/>
    <col min="2" max="2" width="84.85546875" bestFit="1" customWidth="1"/>
    <col min="3" max="3" width="65.28515625" bestFit="1" customWidth="1"/>
    <col min="4" max="12" width="11.5703125" style="2" bestFit="1" customWidth="1"/>
    <col min="13" max="14" width="11.5703125" bestFit="1" customWidth="1"/>
    <col min="15" max="15" width="11.28515625" bestFit="1" customWidth="1"/>
    <col min="16" max="16" width="11.5703125" bestFit="1" customWidth="1"/>
  </cols>
  <sheetData>
    <row r="3" spans="1:15" x14ac:dyDescent="0.25">
      <c r="A3" s="23" t="s">
        <v>120</v>
      </c>
      <c r="D3" s="25" t="s">
        <v>4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x14ac:dyDescent="0.25">
      <c r="A4" s="23" t="s">
        <v>2</v>
      </c>
      <c r="B4" s="23" t="s">
        <v>3</v>
      </c>
      <c r="C4" s="23" t="s">
        <v>0</v>
      </c>
      <c r="D4" s="4">
        <v>44927</v>
      </c>
      <c r="E4" s="4">
        <v>44958</v>
      </c>
      <c r="F4" s="4">
        <v>44986</v>
      </c>
      <c r="G4" s="4">
        <v>45017</v>
      </c>
      <c r="H4" s="4">
        <v>45047</v>
      </c>
      <c r="I4" s="4">
        <v>45078</v>
      </c>
      <c r="J4" s="4">
        <v>45108</v>
      </c>
      <c r="K4" s="4">
        <v>45139</v>
      </c>
      <c r="L4" s="4">
        <v>45200</v>
      </c>
      <c r="M4" s="4">
        <v>45231</v>
      </c>
      <c r="N4" s="4">
        <v>45261</v>
      </c>
      <c r="O4" t="s">
        <v>118</v>
      </c>
    </row>
    <row r="5" spans="1:15" x14ac:dyDescent="0.25">
      <c r="A5" t="s">
        <v>34</v>
      </c>
      <c r="B5" t="s">
        <v>35</v>
      </c>
      <c r="C5" t="s">
        <v>333</v>
      </c>
      <c r="D5" s="13"/>
      <c r="E5" s="13"/>
      <c r="F5" s="13">
        <v>2.1800000000000002</v>
      </c>
      <c r="G5" s="13"/>
      <c r="H5" s="13"/>
      <c r="I5" s="13"/>
      <c r="J5" s="13"/>
      <c r="K5" s="13"/>
      <c r="L5" s="13"/>
      <c r="M5" s="13"/>
      <c r="N5" s="13"/>
      <c r="O5" s="13">
        <v>2.1800000000000002</v>
      </c>
    </row>
    <row r="6" spans="1:15" x14ac:dyDescent="0.25">
      <c r="A6" t="s">
        <v>34</v>
      </c>
      <c r="B6" t="s">
        <v>35</v>
      </c>
      <c r="C6" t="s">
        <v>232</v>
      </c>
      <c r="D6" s="13"/>
      <c r="E6" s="13">
        <v>39.15</v>
      </c>
      <c r="F6" s="13"/>
      <c r="G6" s="13"/>
      <c r="H6" s="13"/>
      <c r="I6" s="13"/>
      <c r="J6" s="13"/>
      <c r="K6" s="13"/>
      <c r="L6" s="13"/>
      <c r="M6" s="13"/>
      <c r="N6" s="13"/>
      <c r="O6" s="13">
        <v>39.15</v>
      </c>
    </row>
    <row r="7" spans="1:15" x14ac:dyDescent="0.25">
      <c r="A7" t="s">
        <v>34</v>
      </c>
      <c r="B7" t="s">
        <v>35</v>
      </c>
      <c r="C7" t="s">
        <v>191</v>
      </c>
      <c r="D7" s="13">
        <v>7.98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>
        <v>7.98</v>
      </c>
    </row>
    <row r="8" spans="1:15" x14ac:dyDescent="0.25">
      <c r="A8" t="s">
        <v>34</v>
      </c>
      <c r="B8" t="s">
        <v>35</v>
      </c>
      <c r="C8" t="s">
        <v>129</v>
      </c>
      <c r="D8" s="13"/>
      <c r="E8" s="13">
        <v>84.59</v>
      </c>
      <c r="F8" s="13"/>
      <c r="G8" s="13"/>
      <c r="H8" s="13"/>
      <c r="I8" s="13"/>
      <c r="J8" s="13"/>
      <c r="K8" s="13"/>
      <c r="L8" s="13"/>
      <c r="M8" s="13"/>
      <c r="N8" s="13"/>
      <c r="O8" s="13">
        <v>84.59</v>
      </c>
    </row>
    <row r="9" spans="1:15" x14ac:dyDescent="0.25">
      <c r="A9" t="s">
        <v>34</v>
      </c>
      <c r="B9" t="s">
        <v>35</v>
      </c>
      <c r="C9" t="s">
        <v>85</v>
      </c>
      <c r="D9" s="13">
        <v>196.36</v>
      </c>
      <c r="E9" s="13"/>
      <c r="F9" s="13"/>
      <c r="G9" s="13">
        <v>38.020000000000003</v>
      </c>
      <c r="H9" s="13"/>
      <c r="I9" s="13"/>
      <c r="J9" s="13">
        <v>50.97</v>
      </c>
      <c r="K9" s="13">
        <v>84.28</v>
      </c>
      <c r="L9" s="13">
        <v>108.69</v>
      </c>
      <c r="M9" s="13"/>
      <c r="N9" s="13">
        <v>171.42000000000002</v>
      </c>
      <c r="O9" s="13">
        <v>649.74</v>
      </c>
    </row>
    <row r="10" spans="1:15" x14ac:dyDescent="0.25">
      <c r="A10" t="s">
        <v>34</v>
      </c>
      <c r="B10" t="s">
        <v>35</v>
      </c>
      <c r="C10" t="s">
        <v>360</v>
      </c>
      <c r="D10" s="13"/>
      <c r="E10" s="13"/>
      <c r="F10" s="13">
        <v>63.73</v>
      </c>
      <c r="G10" s="13">
        <v>231.2</v>
      </c>
      <c r="H10" s="13">
        <v>331.11</v>
      </c>
      <c r="I10" s="13">
        <v>91.74</v>
      </c>
      <c r="J10" s="13"/>
      <c r="K10" s="13">
        <v>77.099999999999994</v>
      </c>
      <c r="L10" s="13"/>
      <c r="M10" s="13"/>
      <c r="N10" s="13"/>
      <c r="O10" s="13">
        <v>794.88</v>
      </c>
    </row>
    <row r="11" spans="1:15" x14ac:dyDescent="0.25">
      <c r="A11" t="s">
        <v>34</v>
      </c>
      <c r="B11" t="s">
        <v>35</v>
      </c>
      <c r="C11" t="s">
        <v>320</v>
      </c>
      <c r="D11" s="13"/>
      <c r="E11" s="13"/>
      <c r="F11" s="13">
        <v>19.55</v>
      </c>
      <c r="G11" s="13"/>
      <c r="H11" s="13"/>
      <c r="I11" s="13"/>
      <c r="J11" s="13"/>
      <c r="K11" s="13"/>
      <c r="L11" s="13"/>
      <c r="M11" s="13"/>
      <c r="N11" s="13"/>
      <c r="O11" s="13">
        <v>19.55</v>
      </c>
    </row>
    <row r="12" spans="1:15" x14ac:dyDescent="0.25">
      <c r="A12" t="s">
        <v>34</v>
      </c>
      <c r="B12" t="s">
        <v>35</v>
      </c>
      <c r="C12" t="s">
        <v>311</v>
      </c>
      <c r="D12" s="13"/>
      <c r="E12" s="13"/>
      <c r="F12" s="13">
        <v>61.25</v>
      </c>
      <c r="G12" s="13"/>
      <c r="H12" s="13"/>
      <c r="I12" s="13"/>
      <c r="J12" s="13"/>
      <c r="K12" s="13"/>
      <c r="L12" s="13"/>
      <c r="M12" s="13"/>
      <c r="N12" s="13"/>
      <c r="O12" s="13">
        <v>61.25</v>
      </c>
    </row>
    <row r="13" spans="1:15" x14ac:dyDescent="0.25">
      <c r="A13" t="s">
        <v>34</v>
      </c>
      <c r="B13" t="s">
        <v>35</v>
      </c>
      <c r="C13" t="s">
        <v>126</v>
      </c>
      <c r="D13" s="13"/>
      <c r="E13" s="13"/>
      <c r="F13" s="13">
        <v>75.81</v>
      </c>
      <c r="G13" s="13">
        <v>69.59</v>
      </c>
      <c r="H13" s="13">
        <v>61.62</v>
      </c>
      <c r="I13" s="13"/>
      <c r="J13" s="13">
        <v>49.37</v>
      </c>
      <c r="K13" s="13"/>
      <c r="L13" s="13"/>
      <c r="M13" s="13"/>
      <c r="N13" s="13">
        <v>14.99</v>
      </c>
      <c r="O13" s="13">
        <v>271.38</v>
      </c>
    </row>
    <row r="14" spans="1:15" x14ac:dyDescent="0.25">
      <c r="A14" t="s">
        <v>34</v>
      </c>
      <c r="B14" t="s">
        <v>35</v>
      </c>
      <c r="C14" t="s">
        <v>292</v>
      </c>
      <c r="D14" s="13"/>
      <c r="E14" s="13"/>
      <c r="F14" s="13">
        <v>5.34</v>
      </c>
      <c r="G14" s="13"/>
      <c r="H14" s="13"/>
      <c r="I14" s="13"/>
      <c r="J14" s="13"/>
      <c r="K14" s="13"/>
      <c r="L14" s="13"/>
      <c r="M14" s="13"/>
      <c r="N14" s="13"/>
      <c r="O14" s="13">
        <v>5.34</v>
      </c>
    </row>
    <row r="15" spans="1:15" x14ac:dyDescent="0.25">
      <c r="A15" t="s">
        <v>34</v>
      </c>
      <c r="B15" t="s">
        <v>35</v>
      </c>
      <c r="C15" t="s">
        <v>512</v>
      </c>
      <c r="D15" s="13"/>
      <c r="E15" s="13"/>
      <c r="F15" s="13"/>
      <c r="G15" s="13">
        <v>54.61</v>
      </c>
      <c r="H15" s="13"/>
      <c r="I15" s="13"/>
      <c r="J15" s="13"/>
      <c r="K15" s="13"/>
      <c r="L15" s="13"/>
      <c r="M15" s="13"/>
      <c r="N15" s="13"/>
      <c r="O15" s="13">
        <v>54.61</v>
      </c>
    </row>
    <row r="16" spans="1:15" x14ac:dyDescent="0.25">
      <c r="A16" t="s">
        <v>34</v>
      </c>
      <c r="B16" t="s">
        <v>35</v>
      </c>
      <c r="C16" t="s">
        <v>516</v>
      </c>
      <c r="D16" s="13"/>
      <c r="E16" s="13"/>
      <c r="F16" s="13"/>
      <c r="G16" s="13">
        <v>12.26</v>
      </c>
      <c r="H16" s="13"/>
      <c r="I16" s="13"/>
      <c r="J16" s="13"/>
      <c r="K16" s="13"/>
      <c r="L16" s="13"/>
      <c r="M16" s="13"/>
      <c r="N16" s="13"/>
      <c r="O16" s="13">
        <v>12.26</v>
      </c>
    </row>
    <row r="17" spans="1:15" x14ac:dyDescent="0.25">
      <c r="A17" t="s">
        <v>34</v>
      </c>
      <c r="B17" t="s">
        <v>35</v>
      </c>
      <c r="C17" t="s">
        <v>517</v>
      </c>
      <c r="D17" s="13"/>
      <c r="E17" s="13"/>
      <c r="F17" s="13"/>
      <c r="G17" s="13">
        <v>15.15</v>
      </c>
      <c r="H17" s="13"/>
      <c r="I17" s="13"/>
      <c r="J17" s="13"/>
      <c r="K17" s="13"/>
      <c r="L17" s="13"/>
      <c r="M17" s="13"/>
      <c r="N17" s="13"/>
      <c r="O17" s="13">
        <v>15.15</v>
      </c>
    </row>
    <row r="18" spans="1:15" x14ac:dyDescent="0.25">
      <c r="A18" t="s">
        <v>34</v>
      </c>
      <c r="B18" t="s">
        <v>35</v>
      </c>
      <c r="C18" t="s">
        <v>653</v>
      </c>
      <c r="D18" s="13"/>
      <c r="E18" s="13"/>
      <c r="F18" s="13"/>
      <c r="G18" s="13"/>
      <c r="H18" s="13">
        <v>40.69</v>
      </c>
      <c r="I18" s="13"/>
      <c r="J18" s="13"/>
      <c r="K18" s="13">
        <v>72.88</v>
      </c>
      <c r="L18" s="13"/>
      <c r="M18" s="13"/>
      <c r="N18" s="13"/>
      <c r="O18" s="13">
        <v>113.57</v>
      </c>
    </row>
    <row r="19" spans="1:15" x14ac:dyDescent="0.25">
      <c r="A19" t="s">
        <v>34</v>
      </c>
      <c r="B19" t="s">
        <v>35</v>
      </c>
      <c r="C19" t="s">
        <v>959</v>
      </c>
      <c r="D19" s="13"/>
      <c r="E19" s="13"/>
      <c r="F19" s="13"/>
      <c r="G19" s="13"/>
      <c r="H19" s="13"/>
      <c r="I19" s="13"/>
      <c r="J19" s="13">
        <v>6</v>
      </c>
      <c r="K19" s="13"/>
      <c r="L19" s="13"/>
      <c r="M19" s="13"/>
      <c r="N19" s="13"/>
      <c r="O19" s="13">
        <v>6</v>
      </c>
    </row>
    <row r="20" spans="1:15" x14ac:dyDescent="0.25">
      <c r="A20" t="s">
        <v>34</v>
      </c>
      <c r="B20" t="s">
        <v>35</v>
      </c>
      <c r="C20" t="s">
        <v>987</v>
      </c>
      <c r="D20" s="13"/>
      <c r="E20" s="13"/>
      <c r="F20" s="13"/>
      <c r="G20" s="13"/>
      <c r="H20" s="13"/>
      <c r="I20" s="13"/>
      <c r="J20" s="13">
        <v>49.12</v>
      </c>
      <c r="K20" s="13"/>
      <c r="L20" s="13"/>
      <c r="M20" s="13"/>
      <c r="N20" s="13"/>
      <c r="O20" s="13">
        <v>49.12</v>
      </c>
    </row>
    <row r="21" spans="1:15" x14ac:dyDescent="0.25">
      <c r="A21" t="s">
        <v>34</v>
      </c>
      <c r="B21" t="s">
        <v>35</v>
      </c>
      <c r="C21" t="s">
        <v>989</v>
      </c>
      <c r="D21" s="13"/>
      <c r="E21" s="13"/>
      <c r="F21" s="13"/>
      <c r="G21" s="13"/>
      <c r="H21" s="13"/>
      <c r="I21" s="13"/>
      <c r="J21" s="13"/>
      <c r="K21" s="13">
        <v>48.6</v>
      </c>
      <c r="L21" s="13"/>
      <c r="M21" s="13"/>
      <c r="N21" s="13"/>
      <c r="O21" s="13">
        <v>48.6</v>
      </c>
    </row>
    <row r="22" spans="1:15" x14ac:dyDescent="0.25">
      <c r="A22" t="s">
        <v>34</v>
      </c>
      <c r="B22" t="s">
        <v>35</v>
      </c>
      <c r="C22" t="s">
        <v>996</v>
      </c>
      <c r="D22" s="13"/>
      <c r="E22" s="13"/>
      <c r="F22" s="13"/>
      <c r="G22" s="13"/>
      <c r="H22" s="13"/>
      <c r="I22" s="13"/>
      <c r="J22" s="13"/>
      <c r="K22" s="13">
        <v>2.5</v>
      </c>
      <c r="L22" s="13"/>
      <c r="M22" s="13"/>
      <c r="N22" s="13"/>
      <c r="O22" s="13">
        <v>2.5</v>
      </c>
    </row>
    <row r="23" spans="1:15" x14ac:dyDescent="0.25">
      <c r="A23" t="s">
        <v>34</v>
      </c>
      <c r="B23" t="s">
        <v>35</v>
      </c>
      <c r="C23" t="s">
        <v>1136</v>
      </c>
      <c r="D23" s="13"/>
      <c r="E23" s="13"/>
      <c r="F23" s="13"/>
      <c r="G23" s="13"/>
      <c r="H23" s="13"/>
      <c r="I23" s="13"/>
      <c r="J23" s="13"/>
      <c r="K23" s="13"/>
      <c r="L23" s="13">
        <v>5.18</v>
      </c>
      <c r="M23" s="13"/>
      <c r="N23" s="13"/>
      <c r="O23" s="13">
        <v>5.18</v>
      </c>
    </row>
    <row r="24" spans="1:15" x14ac:dyDescent="0.25">
      <c r="A24" t="s">
        <v>34</v>
      </c>
      <c r="B24" t="s">
        <v>35</v>
      </c>
      <c r="C24" t="s">
        <v>1166</v>
      </c>
      <c r="D24" s="13"/>
      <c r="E24" s="13"/>
      <c r="F24" s="13"/>
      <c r="G24" s="13"/>
      <c r="H24" s="13"/>
      <c r="I24" s="13"/>
      <c r="J24" s="13"/>
      <c r="K24" s="13"/>
      <c r="L24" s="13">
        <v>25.67</v>
      </c>
      <c r="M24" s="13"/>
      <c r="N24" s="13">
        <v>44.47</v>
      </c>
      <c r="O24" s="13">
        <v>70.14</v>
      </c>
    </row>
    <row r="25" spans="1:15" x14ac:dyDescent="0.25">
      <c r="A25" t="s">
        <v>34</v>
      </c>
      <c r="B25" t="s">
        <v>35</v>
      </c>
      <c r="C25" t="s">
        <v>1177</v>
      </c>
      <c r="D25" s="13"/>
      <c r="E25" s="13"/>
      <c r="F25" s="13"/>
      <c r="G25" s="13"/>
      <c r="H25" s="13"/>
      <c r="I25" s="13"/>
      <c r="J25" s="13"/>
      <c r="K25" s="13"/>
      <c r="L25" s="13">
        <v>22.44</v>
      </c>
      <c r="M25" s="13"/>
      <c r="N25" s="13">
        <v>25.24</v>
      </c>
      <c r="O25" s="13">
        <v>47.68</v>
      </c>
    </row>
    <row r="26" spans="1:15" x14ac:dyDescent="0.25">
      <c r="A26" t="s">
        <v>34</v>
      </c>
      <c r="B26" t="s">
        <v>35</v>
      </c>
      <c r="C26" t="s">
        <v>1181</v>
      </c>
      <c r="D26" s="13"/>
      <c r="E26" s="13"/>
      <c r="F26" s="13"/>
      <c r="G26" s="13"/>
      <c r="H26" s="13"/>
      <c r="I26" s="13"/>
      <c r="J26" s="13"/>
      <c r="K26" s="13"/>
      <c r="L26" s="13"/>
      <c r="M26" s="13">
        <v>13.73</v>
      </c>
      <c r="N26" s="13"/>
      <c r="O26" s="13">
        <v>13.73</v>
      </c>
    </row>
    <row r="27" spans="1:15" x14ac:dyDescent="0.25">
      <c r="A27" t="s">
        <v>34</v>
      </c>
      <c r="B27" t="s">
        <v>35</v>
      </c>
      <c r="C27" t="s">
        <v>1282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>
        <v>9.09</v>
      </c>
      <c r="O27" s="13">
        <v>9.09</v>
      </c>
    </row>
    <row r="28" spans="1:15" x14ac:dyDescent="0.25">
      <c r="A28" t="s">
        <v>34</v>
      </c>
      <c r="B28" t="s">
        <v>35</v>
      </c>
      <c r="C28" t="s">
        <v>1285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>
        <v>23.9</v>
      </c>
      <c r="O28" s="13">
        <v>23.9</v>
      </c>
    </row>
    <row r="29" spans="1:15" x14ac:dyDescent="0.25">
      <c r="A29" t="s">
        <v>34</v>
      </c>
      <c r="B29" t="s">
        <v>35</v>
      </c>
      <c r="C29" t="s">
        <v>1296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>
        <v>22.14</v>
      </c>
      <c r="O29" s="13">
        <v>22.14</v>
      </c>
    </row>
    <row r="30" spans="1:15" x14ac:dyDescent="0.25">
      <c r="A30" t="s">
        <v>118</v>
      </c>
      <c r="D30" s="13">
        <v>204.34</v>
      </c>
      <c r="E30" s="13">
        <v>123.74000000000001</v>
      </c>
      <c r="F30" s="13">
        <v>227.85999999999999</v>
      </c>
      <c r="G30" s="13">
        <v>420.82999999999993</v>
      </c>
      <c r="H30" s="13">
        <v>433.42</v>
      </c>
      <c r="I30" s="13">
        <v>91.74</v>
      </c>
      <c r="J30" s="13">
        <v>155.46</v>
      </c>
      <c r="K30" s="13">
        <v>285.36</v>
      </c>
      <c r="L30" s="13">
        <v>161.98000000000002</v>
      </c>
      <c r="M30" s="13">
        <v>13.73</v>
      </c>
      <c r="N30" s="13">
        <v>311.24999999999994</v>
      </c>
      <c r="O30" s="13">
        <v>2429.7099999999991</v>
      </c>
    </row>
    <row r="31" spans="1:15" x14ac:dyDescent="0.25">
      <c r="D31"/>
      <c r="E31"/>
      <c r="F31"/>
      <c r="G31"/>
      <c r="H31"/>
      <c r="I31"/>
      <c r="J31"/>
      <c r="K31"/>
      <c r="L31"/>
    </row>
    <row r="32" spans="1:15" x14ac:dyDescent="0.25">
      <c r="D32"/>
      <c r="E32"/>
      <c r="F32"/>
      <c r="G32"/>
      <c r="H32"/>
      <c r="I32"/>
      <c r="J32"/>
      <c r="K32"/>
      <c r="L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spans="4:10" customFormat="1" x14ac:dyDescent="0.25"/>
    <row r="130" spans="4:10" customFormat="1" x14ac:dyDescent="0.25"/>
    <row r="131" spans="4:10" customFormat="1" x14ac:dyDescent="0.25"/>
    <row r="132" spans="4:10" customFormat="1" x14ac:dyDescent="0.25"/>
    <row r="133" spans="4:10" customFormat="1" x14ac:dyDescent="0.25"/>
    <row r="134" spans="4:10" customFormat="1" x14ac:dyDescent="0.25"/>
    <row r="135" spans="4:10" customFormat="1" x14ac:dyDescent="0.25"/>
    <row r="136" spans="4:10" customFormat="1" x14ac:dyDescent="0.25"/>
    <row r="137" spans="4:10" x14ac:dyDescent="0.25">
      <c r="D137"/>
      <c r="E137"/>
      <c r="F137"/>
      <c r="G137"/>
      <c r="H137"/>
      <c r="I137"/>
      <c r="J137"/>
    </row>
    <row r="138" spans="4:10" x14ac:dyDescent="0.25">
      <c r="D138"/>
      <c r="E138"/>
      <c r="F138"/>
      <c r="G138"/>
      <c r="H138"/>
      <c r="I138"/>
      <c r="J138"/>
    </row>
    <row r="139" spans="4:10" x14ac:dyDescent="0.25">
      <c r="D139"/>
      <c r="E139"/>
      <c r="F139"/>
      <c r="G139"/>
      <c r="H139"/>
      <c r="I139"/>
      <c r="J139"/>
    </row>
    <row r="140" spans="4:10" x14ac:dyDescent="0.25">
      <c r="D140"/>
      <c r="E140"/>
      <c r="F140"/>
      <c r="G140"/>
      <c r="H140"/>
      <c r="I140"/>
      <c r="J140"/>
    </row>
    <row r="141" spans="4:10" x14ac:dyDescent="0.25">
      <c r="D141"/>
      <c r="E141"/>
      <c r="F141"/>
      <c r="G141"/>
      <c r="H141"/>
      <c r="I141"/>
      <c r="J141"/>
    </row>
    <row r="142" spans="4:10" x14ac:dyDescent="0.25">
      <c r="D142"/>
      <c r="E142"/>
      <c r="F142"/>
      <c r="G142"/>
      <c r="H142"/>
      <c r="I142"/>
      <c r="J142"/>
    </row>
    <row r="143" spans="4:10" x14ac:dyDescent="0.25">
      <c r="D143"/>
      <c r="E143"/>
      <c r="F143"/>
      <c r="G143"/>
      <c r="H143"/>
      <c r="I143"/>
      <c r="J143"/>
    </row>
    <row r="144" spans="4:10" x14ac:dyDescent="0.25">
      <c r="D144"/>
      <c r="E144"/>
      <c r="F144"/>
      <c r="G144"/>
      <c r="H144"/>
      <c r="I144"/>
      <c r="J144"/>
    </row>
    <row r="145" spans="4:10" x14ac:dyDescent="0.25">
      <c r="D145"/>
      <c r="E145"/>
      <c r="F145"/>
      <c r="G145"/>
      <c r="H145"/>
      <c r="I145"/>
      <c r="J145"/>
    </row>
    <row r="146" spans="4:10" x14ac:dyDescent="0.25">
      <c r="D146"/>
      <c r="E146"/>
      <c r="F146"/>
      <c r="G146"/>
      <c r="H146"/>
      <c r="I146"/>
      <c r="J146"/>
    </row>
    <row r="147" spans="4:10" x14ac:dyDescent="0.25">
      <c r="D147"/>
      <c r="E147"/>
      <c r="F147"/>
      <c r="G147"/>
      <c r="H147"/>
      <c r="I147"/>
      <c r="J147"/>
    </row>
    <row r="148" spans="4:10" x14ac:dyDescent="0.25">
      <c r="D148"/>
      <c r="E148"/>
      <c r="F148"/>
      <c r="G148"/>
      <c r="H148"/>
      <c r="I148"/>
      <c r="J148"/>
    </row>
    <row r="149" spans="4:10" x14ac:dyDescent="0.25">
      <c r="D149"/>
      <c r="E149"/>
      <c r="F149"/>
      <c r="G149"/>
      <c r="H149"/>
      <c r="I149"/>
      <c r="J149"/>
    </row>
    <row r="150" spans="4:10" x14ac:dyDescent="0.25">
      <c r="D150"/>
      <c r="E150"/>
      <c r="F150"/>
      <c r="G150"/>
      <c r="H150"/>
      <c r="I150"/>
      <c r="J150"/>
    </row>
    <row r="151" spans="4:10" x14ac:dyDescent="0.25">
      <c r="D151"/>
      <c r="E151"/>
      <c r="F151"/>
      <c r="G151"/>
      <c r="H151"/>
      <c r="I151"/>
      <c r="J151"/>
    </row>
    <row r="152" spans="4:10" x14ac:dyDescent="0.25">
      <c r="D152"/>
      <c r="E152"/>
      <c r="F152"/>
      <c r="G152"/>
      <c r="H152"/>
      <c r="I152"/>
      <c r="J152"/>
    </row>
    <row r="153" spans="4:10" x14ac:dyDescent="0.25">
      <c r="D153"/>
      <c r="E153"/>
      <c r="F153"/>
      <c r="G153"/>
      <c r="H153"/>
      <c r="I153"/>
      <c r="J153"/>
    </row>
    <row r="154" spans="4:10" x14ac:dyDescent="0.25">
      <c r="D154"/>
      <c r="E154"/>
      <c r="F154"/>
      <c r="G154"/>
      <c r="H154"/>
      <c r="I154"/>
      <c r="J154"/>
    </row>
    <row r="155" spans="4:10" x14ac:dyDescent="0.25">
      <c r="D155"/>
      <c r="E155"/>
      <c r="F155"/>
      <c r="G155"/>
      <c r="H155"/>
      <c r="I155"/>
      <c r="J155"/>
    </row>
    <row r="156" spans="4:10" x14ac:dyDescent="0.25">
      <c r="D156"/>
      <c r="E156"/>
      <c r="F156"/>
      <c r="G156"/>
      <c r="H156"/>
      <c r="I156"/>
      <c r="J156"/>
    </row>
    <row r="157" spans="4:10" x14ac:dyDescent="0.25">
      <c r="D157"/>
      <c r="E157"/>
      <c r="F157"/>
      <c r="G157"/>
      <c r="H157"/>
      <c r="I157"/>
      <c r="J157"/>
    </row>
    <row r="158" spans="4:10" x14ac:dyDescent="0.25">
      <c r="D158"/>
      <c r="E158"/>
      <c r="F158"/>
      <c r="G158"/>
      <c r="H158"/>
      <c r="I158"/>
      <c r="J158"/>
    </row>
    <row r="159" spans="4:10" x14ac:dyDescent="0.25">
      <c r="D159"/>
      <c r="E159"/>
      <c r="F159"/>
      <c r="G159"/>
      <c r="H159"/>
      <c r="I159"/>
      <c r="J159"/>
    </row>
    <row r="160" spans="4:10" x14ac:dyDescent="0.25">
      <c r="D160"/>
      <c r="E160"/>
      <c r="F160"/>
      <c r="G160"/>
      <c r="H160"/>
      <c r="I160"/>
      <c r="J160"/>
    </row>
    <row r="161" spans="4:10" x14ac:dyDescent="0.25">
      <c r="D161"/>
      <c r="E161"/>
      <c r="F161"/>
      <c r="G161"/>
      <c r="H161"/>
      <c r="I161"/>
      <c r="J161"/>
    </row>
    <row r="162" spans="4:10" x14ac:dyDescent="0.25">
      <c r="D162"/>
      <c r="E162"/>
      <c r="F162"/>
      <c r="G162"/>
      <c r="H162"/>
      <c r="I162"/>
      <c r="J162"/>
    </row>
    <row r="163" spans="4:10" x14ac:dyDescent="0.25">
      <c r="D163"/>
      <c r="E163"/>
      <c r="F163"/>
      <c r="G163"/>
      <c r="H163"/>
      <c r="I163"/>
      <c r="J163"/>
    </row>
    <row r="164" spans="4:10" x14ac:dyDescent="0.25">
      <c r="D164"/>
      <c r="E164"/>
      <c r="F164"/>
      <c r="G164"/>
      <c r="H164"/>
      <c r="I164"/>
      <c r="J164"/>
    </row>
    <row r="165" spans="4:10" x14ac:dyDescent="0.25">
      <c r="D165"/>
      <c r="E165"/>
      <c r="F165"/>
      <c r="G165"/>
      <c r="H165"/>
      <c r="I165"/>
      <c r="J165"/>
    </row>
    <row r="166" spans="4:10" x14ac:dyDescent="0.25">
      <c r="D166"/>
      <c r="E166"/>
      <c r="F166"/>
      <c r="G166"/>
      <c r="H166"/>
      <c r="I166"/>
      <c r="J166"/>
    </row>
    <row r="167" spans="4:10" x14ac:dyDescent="0.25">
      <c r="D167"/>
      <c r="E167"/>
      <c r="F167"/>
      <c r="G167"/>
      <c r="H167"/>
      <c r="I167"/>
      <c r="J167"/>
    </row>
    <row r="168" spans="4:10" x14ac:dyDescent="0.25">
      <c r="D168"/>
      <c r="E168"/>
      <c r="F168"/>
      <c r="G168"/>
      <c r="H168"/>
      <c r="I168"/>
      <c r="J168"/>
    </row>
    <row r="169" spans="4:10" x14ac:dyDescent="0.25">
      <c r="D169"/>
      <c r="E169"/>
      <c r="F169"/>
      <c r="G169"/>
      <c r="H169"/>
      <c r="I169"/>
      <c r="J169"/>
    </row>
    <row r="170" spans="4:10" x14ac:dyDescent="0.25">
      <c r="D170"/>
      <c r="E170"/>
      <c r="F170"/>
      <c r="G170"/>
      <c r="H170"/>
      <c r="I170"/>
      <c r="J170"/>
    </row>
    <row r="171" spans="4:10" x14ac:dyDescent="0.25">
      <c r="D171"/>
      <c r="E171"/>
      <c r="F171"/>
      <c r="G171"/>
      <c r="H171"/>
      <c r="I171"/>
      <c r="J171"/>
    </row>
    <row r="172" spans="4:10" x14ac:dyDescent="0.25">
      <c r="D172"/>
      <c r="E172"/>
      <c r="F172"/>
      <c r="G172"/>
      <c r="H172"/>
      <c r="I172"/>
      <c r="J172"/>
    </row>
    <row r="173" spans="4:10" x14ac:dyDescent="0.25">
      <c r="D173"/>
      <c r="E173"/>
      <c r="F173"/>
      <c r="G173"/>
      <c r="H173"/>
      <c r="I173"/>
      <c r="J173"/>
    </row>
    <row r="174" spans="4:10" x14ac:dyDescent="0.25">
      <c r="D174"/>
      <c r="E174"/>
      <c r="F174"/>
      <c r="G174"/>
      <c r="H174"/>
      <c r="I174"/>
      <c r="J174"/>
    </row>
    <row r="175" spans="4:10" x14ac:dyDescent="0.25">
      <c r="D175"/>
      <c r="E175"/>
      <c r="F175"/>
      <c r="G175"/>
      <c r="H175"/>
      <c r="I175"/>
      <c r="J175"/>
    </row>
    <row r="176" spans="4:10" x14ac:dyDescent="0.25">
      <c r="D176"/>
      <c r="E176"/>
      <c r="F176"/>
      <c r="G176"/>
      <c r="H176"/>
      <c r="I176"/>
      <c r="J176"/>
    </row>
    <row r="177" spans="4:10" x14ac:dyDescent="0.25">
      <c r="D177"/>
      <c r="E177"/>
      <c r="F177"/>
      <c r="G177"/>
      <c r="H177"/>
      <c r="I177"/>
      <c r="J177"/>
    </row>
    <row r="178" spans="4:10" x14ac:dyDescent="0.25">
      <c r="D178"/>
      <c r="E178"/>
      <c r="F178"/>
      <c r="G178"/>
      <c r="H178"/>
      <c r="I178"/>
      <c r="J178"/>
    </row>
    <row r="179" spans="4:10" x14ac:dyDescent="0.25">
      <c r="D179"/>
      <c r="E179"/>
      <c r="F179"/>
      <c r="G179"/>
      <c r="H179"/>
      <c r="I179"/>
      <c r="J179"/>
    </row>
    <row r="180" spans="4:10" x14ac:dyDescent="0.25">
      <c r="D180"/>
      <c r="E180"/>
      <c r="F180"/>
      <c r="G180"/>
      <c r="H180"/>
      <c r="I180"/>
      <c r="J180"/>
    </row>
    <row r="181" spans="4:10" x14ac:dyDescent="0.25">
      <c r="D181"/>
      <c r="E181"/>
      <c r="F181"/>
      <c r="G181"/>
      <c r="H181"/>
      <c r="I181"/>
      <c r="J181"/>
    </row>
    <row r="182" spans="4:10" x14ac:dyDescent="0.25">
      <c r="D182"/>
      <c r="E182"/>
      <c r="F182"/>
      <c r="G182"/>
      <c r="H182"/>
      <c r="I182"/>
      <c r="J182"/>
    </row>
    <row r="183" spans="4:10" x14ac:dyDescent="0.25">
      <c r="D183"/>
      <c r="E183"/>
      <c r="F183"/>
      <c r="G183"/>
      <c r="H183"/>
      <c r="I183"/>
      <c r="J183"/>
    </row>
    <row r="184" spans="4:10" x14ac:dyDescent="0.25">
      <c r="D184"/>
      <c r="E184"/>
      <c r="F184"/>
      <c r="G184"/>
      <c r="H184"/>
      <c r="I184"/>
      <c r="J184"/>
    </row>
    <row r="185" spans="4:10" x14ac:dyDescent="0.25">
      <c r="D185"/>
      <c r="E185"/>
      <c r="F185"/>
      <c r="G185"/>
      <c r="H185"/>
      <c r="I185"/>
      <c r="J185"/>
    </row>
    <row r="186" spans="4:10" x14ac:dyDescent="0.25">
      <c r="D186"/>
      <c r="E186"/>
      <c r="F186"/>
      <c r="G186"/>
      <c r="H186"/>
      <c r="I186"/>
      <c r="J186"/>
    </row>
    <row r="187" spans="4:10" x14ac:dyDescent="0.25">
      <c r="D187"/>
      <c r="E187"/>
      <c r="F187"/>
      <c r="G187"/>
      <c r="H187"/>
      <c r="I187"/>
      <c r="J187"/>
    </row>
    <row r="188" spans="4:10" x14ac:dyDescent="0.25">
      <c r="D188"/>
      <c r="E188"/>
      <c r="F188"/>
      <c r="G188"/>
      <c r="H188"/>
      <c r="I188"/>
      <c r="J188"/>
    </row>
    <row r="189" spans="4:10" x14ac:dyDescent="0.25">
      <c r="D189"/>
      <c r="E189"/>
      <c r="F189"/>
      <c r="G189"/>
      <c r="H189"/>
      <c r="I189"/>
      <c r="J189"/>
    </row>
    <row r="190" spans="4:10" x14ac:dyDescent="0.25">
      <c r="D190"/>
      <c r="E190"/>
      <c r="F190"/>
      <c r="G190"/>
      <c r="H190"/>
      <c r="I190"/>
      <c r="J190"/>
    </row>
    <row r="191" spans="4:10" x14ac:dyDescent="0.25">
      <c r="D191"/>
      <c r="E191"/>
      <c r="F191"/>
      <c r="G191"/>
      <c r="H191"/>
      <c r="I191"/>
      <c r="J191"/>
    </row>
    <row r="192" spans="4:10" x14ac:dyDescent="0.25">
      <c r="D192"/>
      <c r="E192"/>
      <c r="F192"/>
      <c r="G192"/>
      <c r="H192"/>
      <c r="I192"/>
      <c r="J192"/>
    </row>
    <row r="193" spans="4:10" x14ac:dyDescent="0.25">
      <c r="D193"/>
      <c r="E193"/>
      <c r="F193"/>
      <c r="G193"/>
      <c r="H193"/>
      <c r="I193"/>
      <c r="J193"/>
    </row>
    <row r="194" spans="4:10" x14ac:dyDescent="0.25">
      <c r="D194"/>
      <c r="E194"/>
      <c r="F194"/>
      <c r="G194"/>
      <c r="H194"/>
      <c r="I194"/>
      <c r="J194"/>
    </row>
    <row r="195" spans="4:10" x14ac:dyDescent="0.25">
      <c r="D195"/>
      <c r="E195"/>
      <c r="F195"/>
      <c r="G195"/>
      <c r="H195"/>
      <c r="I195"/>
      <c r="J195"/>
    </row>
    <row r="196" spans="4:10" x14ac:dyDescent="0.25">
      <c r="D196"/>
      <c r="E196"/>
      <c r="F196"/>
      <c r="G196"/>
      <c r="H196"/>
      <c r="I196"/>
      <c r="J196"/>
    </row>
    <row r="197" spans="4:10" x14ac:dyDescent="0.25">
      <c r="D197"/>
      <c r="E197"/>
      <c r="F197"/>
      <c r="G197"/>
      <c r="H197"/>
      <c r="I197"/>
      <c r="J197"/>
    </row>
    <row r="198" spans="4:10" x14ac:dyDescent="0.25">
      <c r="D198"/>
      <c r="E198"/>
      <c r="F198"/>
      <c r="G198"/>
      <c r="H198"/>
      <c r="I198"/>
      <c r="J198"/>
    </row>
    <row r="199" spans="4:10" x14ac:dyDescent="0.25">
      <c r="D199"/>
      <c r="E199"/>
      <c r="F199"/>
      <c r="G199"/>
      <c r="H199"/>
      <c r="I199"/>
      <c r="J199"/>
    </row>
    <row r="200" spans="4:10" x14ac:dyDescent="0.25">
      <c r="D200"/>
      <c r="E200"/>
      <c r="F200"/>
      <c r="G200"/>
      <c r="H200"/>
      <c r="I200"/>
      <c r="J200"/>
    </row>
    <row r="201" spans="4:10" x14ac:dyDescent="0.25">
      <c r="D201"/>
      <c r="E201"/>
      <c r="F201"/>
      <c r="G201"/>
      <c r="H201"/>
      <c r="I201"/>
      <c r="J201"/>
    </row>
    <row r="202" spans="4:10" x14ac:dyDescent="0.25">
      <c r="D202"/>
      <c r="E202"/>
      <c r="F202"/>
      <c r="G202"/>
      <c r="H202"/>
      <c r="I202"/>
      <c r="J202"/>
    </row>
    <row r="203" spans="4:10" x14ac:dyDescent="0.25">
      <c r="D203"/>
      <c r="E203"/>
      <c r="F203"/>
      <c r="G203"/>
      <c r="H203"/>
      <c r="I203"/>
      <c r="J203"/>
    </row>
    <row r="204" spans="4:10" x14ac:dyDescent="0.25">
      <c r="D204"/>
      <c r="E204"/>
      <c r="F204"/>
      <c r="G204"/>
      <c r="H204"/>
      <c r="I204"/>
      <c r="J204"/>
    </row>
    <row r="205" spans="4:10" x14ac:dyDescent="0.25">
      <c r="D205"/>
      <c r="E205"/>
      <c r="F205"/>
      <c r="G205"/>
      <c r="H205"/>
      <c r="I205"/>
      <c r="J205"/>
    </row>
    <row r="206" spans="4:10" x14ac:dyDescent="0.25">
      <c r="D206"/>
      <c r="E206"/>
      <c r="F206"/>
      <c r="G206"/>
      <c r="H206"/>
      <c r="I206"/>
      <c r="J206"/>
    </row>
    <row r="207" spans="4:10" x14ac:dyDescent="0.25">
      <c r="D207"/>
      <c r="E207"/>
      <c r="F207"/>
      <c r="G207"/>
      <c r="H207"/>
      <c r="I207"/>
      <c r="J207"/>
    </row>
    <row r="208" spans="4:10" x14ac:dyDescent="0.25">
      <c r="D208"/>
      <c r="E208"/>
      <c r="F208"/>
      <c r="G208"/>
      <c r="H208"/>
      <c r="I208"/>
      <c r="J208"/>
    </row>
    <row r="209" spans="4:10" x14ac:dyDescent="0.25">
      <c r="D209"/>
      <c r="E209"/>
      <c r="F209"/>
      <c r="G209"/>
      <c r="H209"/>
      <c r="I209"/>
      <c r="J209"/>
    </row>
    <row r="210" spans="4:10" x14ac:dyDescent="0.25">
      <c r="D210"/>
      <c r="E210"/>
      <c r="F210"/>
      <c r="G210"/>
      <c r="H210"/>
      <c r="I210"/>
      <c r="J210"/>
    </row>
    <row r="211" spans="4:10" x14ac:dyDescent="0.25">
      <c r="D211"/>
      <c r="E211"/>
      <c r="F211"/>
      <c r="G211"/>
      <c r="H211"/>
      <c r="I211"/>
      <c r="J211"/>
    </row>
    <row r="212" spans="4:10" x14ac:dyDescent="0.25">
      <c r="D212"/>
      <c r="E212"/>
      <c r="F212"/>
      <c r="G212"/>
      <c r="H212"/>
      <c r="I212"/>
      <c r="J212"/>
    </row>
    <row r="213" spans="4:10" x14ac:dyDescent="0.25">
      <c r="D213"/>
      <c r="E213"/>
      <c r="F213"/>
      <c r="G213"/>
      <c r="H213"/>
      <c r="I213"/>
      <c r="J213"/>
    </row>
    <row r="214" spans="4:10" x14ac:dyDescent="0.25">
      <c r="D214"/>
      <c r="E214"/>
      <c r="F214"/>
      <c r="G214"/>
      <c r="H214"/>
      <c r="I214"/>
      <c r="J214"/>
    </row>
    <row r="215" spans="4:10" x14ac:dyDescent="0.25">
      <c r="D215"/>
      <c r="E215"/>
      <c r="F215"/>
      <c r="G215"/>
      <c r="H215"/>
      <c r="I215"/>
      <c r="J215"/>
    </row>
    <row r="216" spans="4:10" x14ac:dyDescent="0.25">
      <c r="D216"/>
      <c r="E216"/>
      <c r="F216"/>
      <c r="G216"/>
      <c r="H216"/>
      <c r="I216"/>
      <c r="J216"/>
    </row>
    <row r="217" spans="4:10" x14ac:dyDescent="0.25">
      <c r="D217"/>
      <c r="E217"/>
      <c r="F217"/>
      <c r="G217"/>
      <c r="H217"/>
      <c r="I217"/>
      <c r="J217"/>
    </row>
    <row r="218" spans="4:10" x14ac:dyDescent="0.25">
      <c r="D218"/>
      <c r="E218"/>
      <c r="F218"/>
      <c r="G218"/>
      <c r="H218"/>
      <c r="I218"/>
      <c r="J218"/>
    </row>
    <row r="219" spans="4:10" x14ac:dyDescent="0.25">
      <c r="D219"/>
      <c r="E219"/>
      <c r="F219"/>
      <c r="G219"/>
      <c r="H219"/>
      <c r="I219"/>
      <c r="J219"/>
    </row>
    <row r="220" spans="4:10" x14ac:dyDescent="0.25">
      <c r="D220"/>
      <c r="E220"/>
      <c r="F220"/>
      <c r="G220"/>
      <c r="H220"/>
      <c r="I220"/>
      <c r="J220"/>
    </row>
    <row r="221" spans="4:10" x14ac:dyDescent="0.25">
      <c r="D221"/>
      <c r="E221"/>
      <c r="F221"/>
      <c r="G221"/>
      <c r="H221"/>
      <c r="I221"/>
      <c r="J221"/>
    </row>
    <row r="222" spans="4:10" x14ac:dyDescent="0.25">
      <c r="D222"/>
      <c r="E222"/>
      <c r="F222"/>
      <c r="G222"/>
      <c r="H222"/>
      <c r="I222"/>
      <c r="J222"/>
    </row>
    <row r="223" spans="4:10" x14ac:dyDescent="0.25">
      <c r="D223"/>
      <c r="E223"/>
      <c r="F223"/>
      <c r="G223"/>
      <c r="H223"/>
      <c r="I223"/>
      <c r="J223"/>
    </row>
    <row r="224" spans="4:10" x14ac:dyDescent="0.25">
      <c r="D224"/>
      <c r="E224"/>
      <c r="F224"/>
      <c r="G224"/>
      <c r="H224"/>
      <c r="I224"/>
      <c r="J224"/>
    </row>
    <row r="225" spans="4:10" x14ac:dyDescent="0.25">
      <c r="D225"/>
      <c r="E225"/>
      <c r="F225"/>
      <c r="G225"/>
      <c r="H225"/>
      <c r="I225"/>
      <c r="J225"/>
    </row>
    <row r="226" spans="4:10" x14ac:dyDescent="0.25">
      <c r="D226"/>
      <c r="E226"/>
      <c r="F226"/>
      <c r="G226"/>
      <c r="H226"/>
      <c r="I226"/>
      <c r="J226"/>
    </row>
    <row r="227" spans="4:10" x14ac:dyDescent="0.25">
      <c r="D227"/>
      <c r="E227"/>
      <c r="F227"/>
      <c r="G227"/>
      <c r="H227"/>
      <c r="I227"/>
      <c r="J227"/>
    </row>
    <row r="228" spans="4:10" x14ac:dyDescent="0.25">
      <c r="D228"/>
      <c r="E228"/>
      <c r="F228"/>
      <c r="G228"/>
      <c r="H228"/>
      <c r="I228"/>
      <c r="J228"/>
    </row>
    <row r="229" spans="4:10" x14ac:dyDescent="0.25">
      <c r="D229"/>
      <c r="E229"/>
      <c r="F229"/>
      <c r="G229"/>
      <c r="H229"/>
      <c r="I229"/>
      <c r="J229"/>
    </row>
    <row r="230" spans="4:10" x14ac:dyDescent="0.25">
      <c r="D230"/>
      <c r="E230"/>
      <c r="F230"/>
      <c r="G230"/>
      <c r="H230"/>
      <c r="I230"/>
      <c r="J230"/>
    </row>
    <row r="231" spans="4:10" x14ac:dyDescent="0.25">
      <c r="D231"/>
      <c r="E231"/>
      <c r="F231"/>
      <c r="G231"/>
      <c r="H231"/>
      <c r="I231"/>
      <c r="J231"/>
    </row>
    <row r="232" spans="4:10" x14ac:dyDescent="0.25">
      <c r="D232"/>
      <c r="E232"/>
      <c r="F232"/>
      <c r="G232"/>
      <c r="H232"/>
      <c r="I232"/>
      <c r="J232"/>
    </row>
    <row r="233" spans="4:10" x14ac:dyDescent="0.25">
      <c r="D233"/>
      <c r="E233"/>
      <c r="F233"/>
      <c r="G233"/>
      <c r="H233"/>
      <c r="I233"/>
      <c r="J233"/>
    </row>
    <row r="234" spans="4:10" x14ac:dyDescent="0.25">
      <c r="D234"/>
      <c r="E234"/>
      <c r="F234"/>
      <c r="G234"/>
      <c r="H234"/>
      <c r="I234"/>
      <c r="J234"/>
    </row>
    <row r="235" spans="4:10" x14ac:dyDescent="0.25">
      <c r="D235"/>
      <c r="E235"/>
      <c r="F235"/>
      <c r="G235"/>
      <c r="H235"/>
      <c r="I235"/>
      <c r="J235"/>
    </row>
    <row r="236" spans="4:10" x14ac:dyDescent="0.25">
      <c r="D236"/>
      <c r="E236"/>
      <c r="F236"/>
      <c r="G236"/>
      <c r="H236"/>
      <c r="I236"/>
      <c r="J236"/>
    </row>
    <row r="237" spans="4:10" x14ac:dyDescent="0.25">
      <c r="D237"/>
      <c r="E237"/>
      <c r="F237"/>
      <c r="G237"/>
      <c r="H237"/>
      <c r="I237"/>
      <c r="J237"/>
    </row>
    <row r="238" spans="4:10" x14ac:dyDescent="0.25">
      <c r="D238"/>
      <c r="E238"/>
      <c r="F238"/>
      <c r="G238"/>
      <c r="H238"/>
      <c r="I238"/>
      <c r="J238"/>
    </row>
    <row r="239" spans="4:10" x14ac:dyDescent="0.25">
      <c r="D239"/>
      <c r="E239"/>
      <c r="F239"/>
      <c r="G239"/>
      <c r="H239"/>
      <c r="I239"/>
      <c r="J239"/>
    </row>
    <row r="240" spans="4:10" x14ac:dyDescent="0.25">
      <c r="D240"/>
      <c r="E240"/>
      <c r="F240"/>
      <c r="G240"/>
      <c r="H240"/>
      <c r="I240"/>
      <c r="J240"/>
    </row>
    <row r="241" spans="4:10" x14ac:dyDescent="0.25">
      <c r="D241"/>
      <c r="E241"/>
      <c r="F241"/>
      <c r="G241"/>
      <c r="H241"/>
      <c r="I241"/>
      <c r="J241"/>
    </row>
    <row r="242" spans="4:10" x14ac:dyDescent="0.25">
      <c r="D242"/>
      <c r="E242"/>
      <c r="F242"/>
      <c r="G242"/>
      <c r="H242"/>
      <c r="I242"/>
      <c r="J242"/>
    </row>
    <row r="243" spans="4:10" x14ac:dyDescent="0.25">
      <c r="D243"/>
      <c r="E243"/>
      <c r="F243"/>
      <c r="G243"/>
      <c r="H243"/>
      <c r="I243"/>
      <c r="J243"/>
    </row>
    <row r="244" spans="4:10" x14ac:dyDescent="0.25">
      <c r="D244"/>
      <c r="E244"/>
      <c r="F244"/>
      <c r="G244"/>
      <c r="H244"/>
      <c r="I244"/>
      <c r="J244"/>
    </row>
    <row r="245" spans="4:10" x14ac:dyDescent="0.25">
      <c r="D245"/>
      <c r="E245"/>
      <c r="F245"/>
      <c r="G245"/>
      <c r="H245"/>
      <c r="I245"/>
      <c r="J245"/>
    </row>
    <row r="246" spans="4:10" x14ac:dyDescent="0.25">
      <c r="D246"/>
      <c r="E246"/>
      <c r="F246"/>
      <c r="G246"/>
      <c r="H246"/>
      <c r="I246"/>
      <c r="J246"/>
    </row>
    <row r="247" spans="4:10" x14ac:dyDescent="0.25">
      <c r="D247"/>
      <c r="E247"/>
      <c r="F247"/>
      <c r="G247"/>
      <c r="H247"/>
      <c r="I247"/>
      <c r="J247"/>
    </row>
    <row r="248" spans="4:10" x14ac:dyDescent="0.25">
      <c r="D248"/>
      <c r="E248"/>
      <c r="F248"/>
      <c r="G248"/>
      <c r="H248"/>
      <c r="I248"/>
      <c r="J248"/>
    </row>
    <row r="249" spans="4:10" x14ac:dyDescent="0.25">
      <c r="D249"/>
      <c r="E249"/>
      <c r="F249"/>
      <c r="G249"/>
      <c r="H249"/>
      <c r="I249"/>
      <c r="J249"/>
    </row>
    <row r="250" spans="4:10" x14ac:dyDescent="0.25">
      <c r="D250"/>
      <c r="E250"/>
      <c r="F250"/>
      <c r="G250"/>
      <c r="H250"/>
      <c r="I250"/>
      <c r="J250"/>
    </row>
    <row r="251" spans="4:10" x14ac:dyDescent="0.25">
      <c r="D251"/>
      <c r="E251"/>
      <c r="F251"/>
      <c r="G251"/>
      <c r="H251"/>
      <c r="I251"/>
      <c r="J251"/>
    </row>
    <row r="252" spans="4:10" x14ac:dyDescent="0.25">
      <c r="D252"/>
      <c r="E252"/>
      <c r="F252"/>
      <c r="G252"/>
      <c r="H252"/>
      <c r="I252"/>
      <c r="J252"/>
    </row>
    <row r="253" spans="4:10" x14ac:dyDescent="0.25">
      <c r="D253"/>
      <c r="E253"/>
      <c r="F253"/>
      <c r="G253"/>
      <c r="H253"/>
      <c r="I253"/>
      <c r="J253"/>
    </row>
    <row r="254" spans="4:10" x14ac:dyDescent="0.25">
      <c r="D254"/>
      <c r="E254"/>
      <c r="F254"/>
      <c r="G254"/>
      <c r="H254"/>
      <c r="I254"/>
      <c r="J254"/>
    </row>
    <row r="255" spans="4:10" x14ac:dyDescent="0.25">
      <c r="D255"/>
      <c r="E255"/>
      <c r="F255"/>
      <c r="G255"/>
      <c r="H255"/>
      <c r="I255"/>
      <c r="J255"/>
    </row>
    <row r="256" spans="4:10" x14ac:dyDescent="0.25">
      <c r="D256"/>
      <c r="E256"/>
      <c r="F256"/>
      <c r="G256"/>
      <c r="H256"/>
      <c r="I256"/>
      <c r="J256"/>
    </row>
    <row r="257" spans="4:10" x14ac:dyDescent="0.25">
      <c r="D257"/>
      <c r="E257"/>
      <c r="F257"/>
      <c r="G257"/>
      <c r="H257"/>
      <c r="I257"/>
      <c r="J257"/>
    </row>
    <row r="258" spans="4:10" x14ac:dyDescent="0.25">
      <c r="D258"/>
      <c r="E258"/>
      <c r="F258"/>
      <c r="G258"/>
      <c r="H258"/>
      <c r="I258"/>
      <c r="J258"/>
    </row>
    <row r="259" spans="4:10" x14ac:dyDescent="0.25">
      <c r="D259"/>
      <c r="E259"/>
      <c r="F259"/>
      <c r="G259"/>
      <c r="H259"/>
      <c r="I259"/>
      <c r="J259"/>
    </row>
    <row r="260" spans="4:10" x14ac:dyDescent="0.25">
      <c r="D260"/>
      <c r="E260"/>
      <c r="F260"/>
      <c r="G260"/>
      <c r="H260"/>
      <c r="I260"/>
      <c r="J260"/>
    </row>
    <row r="261" spans="4:10" x14ac:dyDescent="0.25">
      <c r="D261"/>
      <c r="E261"/>
      <c r="F261"/>
      <c r="G261"/>
      <c r="H261"/>
      <c r="I261"/>
      <c r="J261"/>
    </row>
    <row r="262" spans="4:10" x14ac:dyDescent="0.25">
      <c r="D262"/>
      <c r="E262"/>
      <c r="F262"/>
      <c r="G262"/>
      <c r="H262"/>
      <c r="I262"/>
      <c r="J262"/>
    </row>
    <row r="263" spans="4:10" x14ac:dyDescent="0.25">
      <c r="D263"/>
      <c r="E263"/>
      <c r="F263"/>
      <c r="G263"/>
      <c r="H263"/>
      <c r="I263"/>
      <c r="J263"/>
    </row>
    <row r="264" spans="4:10" x14ac:dyDescent="0.25">
      <c r="D264"/>
      <c r="E264"/>
      <c r="F264"/>
      <c r="G264"/>
      <c r="H264"/>
      <c r="I264"/>
      <c r="J264"/>
    </row>
    <row r="265" spans="4:10" x14ac:dyDescent="0.25">
      <c r="D265"/>
      <c r="E265"/>
      <c r="F265"/>
      <c r="G265"/>
      <c r="H265"/>
      <c r="I265"/>
      <c r="J265"/>
    </row>
    <row r="266" spans="4:10" x14ac:dyDescent="0.25">
      <c r="D266"/>
      <c r="E266"/>
      <c r="F266"/>
      <c r="G266"/>
      <c r="H266"/>
      <c r="I266"/>
      <c r="J266"/>
    </row>
    <row r="267" spans="4:10" x14ac:dyDescent="0.25">
      <c r="D267"/>
      <c r="E267"/>
      <c r="F267"/>
      <c r="G267"/>
      <c r="H267"/>
      <c r="I267"/>
      <c r="J267"/>
    </row>
    <row r="268" spans="4:10" x14ac:dyDescent="0.25">
      <c r="D268"/>
      <c r="E268"/>
      <c r="F268"/>
      <c r="G268"/>
      <c r="H268"/>
      <c r="I268"/>
      <c r="J268"/>
    </row>
    <row r="269" spans="4:10" x14ac:dyDescent="0.25">
      <c r="D269"/>
      <c r="E269"/>
      <c r="F269"/>
      <c r="G269"/>
      <c r="H269"/>
      <c r="I269"/>
      <c r="J269"/>
    </row>
    <row r="270" spans="4:10" x14ac:dyDescent="0.25">
      <c r="D270"/>
      <c r="E270"/>
      <c r="F270"/>
      <c r="G270"/>
      <c r="H270"/>
      <c r="I270"/>
      <c r="J270"/>
    </row>
    <row r="271" spans="4:10" x14ac:dyDescent="0.25">
      <c r="D271"/>
      <c r="E271"/>
      <c r="F271"/>
      <c r="G271"/>
      <c r="H271"/>
      <c r="I271"/>
      <c r="J271"/>
    </row>
    <row r="272" spans="4:10" x14ac:dyDescent="0.25">
      <c r="D272"/>
      <c r="E272"/>
      <c r="F272"/>
      <c r="G272"/>
      <c r="H272"/>
      <c r="I272"/>
      <c r="J272"/>
    </row>
    <row r="273" spans="4:10" x14ac:dyDescent="0.25">
      <c r="D273"/>
      <c r="E273"/>
      <c r="F273"/>
      <c r="G273"/>
      <c r="H273"/>
      <c r="I273"/>
      <c r="J273"/>
    </row>
    <row r="274" spans="4:10" x14ac:dyDescent="0.25">
      <c r="D274"/>
      <c r="E274"/>
      <c r="F274"/>
      <c r="G274"/>
      <c r="H274"/>
      <c r="I274"/>
      <c r="J274"/>
    </row>
    <row r="275" spans="4:10" x14ac:dyDescent="0.25">
      <c r="D275"/>
      <c r="E275"/>
      <c r="F275"/>
      <c r="G275"/>
      <c r="H275"/>
      <c r="I275"/>
      <c r="J275"/>
    </row>
    <row r="276" spans="4:10" x14ac:dyDescent="0.25">
      <c r="D276"/>
      <c r="E276"/>
      <c r="F276"/>
      <c r="G276"/>
      <c r="H276"/>
      <c r="I276"/>
      <c r="J276"/>
    </row>
    <row r="277" spans="4:10" x14ac:dyDescent="0.25">
      <c r="D277"/>
      <c r="E277"/>
      <c r="F277"/>
      <c r="G277"/>
      <c r="H277"/>
      <c r="I277"/>
      <c r="J277"/>
    </row>
    <row r="278" spans="4:10" x14ac:dyDescent="0.25">
      <c r="D278"/>
      <c r="E278"/>
      <c r="F278"/>
      <c r="G278"/>
      <c r="H278"/>
      <c r="I278"/>
      <c r="J278"/>
    </row>
    <row r="279" spans="4:10" x14ac:dyDescent="0.25">
      <c r="D279"/>
      <c r="E279"/>
      <c r="F279"/>
      <c r="G279"/>
      <c r="H279"/>
      <c r="I279"/>
      <c r="J279"/>
    </row>
    <row r="280" spans="4:10" x14ac:dyDescent="0.25">
      <c r="D280"/>
      <c r="E280"/>
      <c r="F280"/>
      <c r="G280"/>
      <c r="H280"/>
      <c r="I280"/>
      <c r="J280"/>
    </row>
    <row r="281" spans="4:10" x14ac:dyDescent="0.25">
      <c r="D281"/>
      <c r="E281"/>
      <c r="F281"/>
      <c r="G281"/>
      <c r="H281"/>
      <c r="I281"/>
      <c r="J281"/>
    </row>
    <row r="282" spans="4:10" x14ac:dyDescent="0.25">
      <c r="D282"/>
      <c r="E282"/>
      <c r="F282"/>
      <c r="G282"/>
      <c r="H282"/>
      <c r="I282"/>
      <c r="J282"/>
    </row>
    <row r="283" spans="4:10" x14ac:dyDescent="0.25">
      <c r="D283"/>
      <c r="E283"/>
      <c r="F283"/>
      <c r="G283"/>
      <c r="H283"/>
      <c r="I283"/>
      <c r="J283"/>
    </row>
    <row r="284" spans="4:10" x14ac:dyDescent="0.25">
      <c r="D284"/>
      <c r="E284"/>
      <c r="F284"/>
      <c r="G284"/>
      <c r="H284"/>
      <c r="I284"/>
      <c r="J284"/>
    </row>
    <row r="285" spans="4:10" x14ac:dyDescent="0.25">
      <c r="D285"/>
      <c r="E285"/>
      <c r="F285"/>
      <c r="G285"/>
      <c r="H285"/>
      <c r="I285"/>
      <c r="J285"/>
    </row>
    <row r="286" spans="4:10" x14ac:dyDescent="0.25">
      <c r="D286"/>
      <c r="E286"/>
      <c r="F286"/>
      <c r="G286"/>
      <c r="H286"/>
      <c r="I286"/>
      <c r="J286"/>
    </row>
    <row r="287" spans="4:10" x14ac:dyDescent="0.25">
      <c r="D287"/>
      <c r="E287"/>
      <c r="F287"/>
      <c r="G287"/>
      <c r="H287"/>
      <c r="I287"/>
      <c r="J287"/>
    </row>
    <row r="288" spans="4:10" x14ac:dyDescent="0.25">
      <c r="D288"/>
      <c r="E288"/>
      <c r="F288"/>
      <c r="G288"/>
      <c r="H288"/>
      <c r="I288"/>
      <c r="J288"/>
    </row>
    <row r="289" spans="4:10" x14ac:dyDescent="0.25">
      <c r="D289"/>
      <c r="E289"/>
      <c r="F289"/>
      <c r="G289"/>
      <c r="H289"/>
      <c r="I289"/>
      <c r="J289"/>
    </row>
    <row r="290" spans="4:10" x14ac:dyDescent="0.25">
      <c r="D290"/>
      <c r="E290"/>
      <c r="F290"/>
      <c r="G290"/>
      <c r="H290"/>
      <c r="I290"/>
      <c r="J290"/>
    </row>
    <row r="291" spans="4:10" x14ac:dyDescent="0.25">
      <c r="D291"/>
      <c r="E291"/>
      <c r="F291"/>
      <c r="G291"/>
      <c r="H291"/>
      <c r="I291"/>
      <c r="J291"/>
    </row>
    <row r="292" spans="4:10" x14ac:dyDescent="0.25">
      <c r="D292"/>
      <c r="E292"/>
      <c r="F292"/>
      <c r="G292"/>
      <c r="H292"/>
      <c r="I292"/>
      <c r="J292"/>
    </row>
    <row r="293" spans="4:10" x14ac:dyDescent="0.25">
      <c r="D293"/>
      <c r="E293"/>
      <c r="F293"/>
      <c r="G293"/>
      <c r="H293"/>
      <c r="I293"/>
      <c r="J293"/>
    </row>
    <row r="294" spans="4:10" x14ac:dyDescent="0.25">
      <c r="D294"/>
      <c r="E294"/>
      <c r="F294"/>
      <c r="G294"/>
      <c r="H294"/>
      <c r="I294"/>
      <c r="J294"/>
    </row>
    <row r="295" spans="4:10" x14ac:dyDescent="0.25">
      <c r="D295"/>
      <c r="E295"/>
      <c r="F295"/>
      <c r="G295"/>
      <c r="H295"/>
      <c r="I295"/>
      <c r="J295"/>
    </row>
    <row r="296" spans="4:10" x14ac:dyDescent="0.25">
      <c r="D296"/>
      <c r="E296"/>
      <c r="F296"/>
      <c r="G296"/>
      <c r="H296"/>
      <c r="I296"/>
      <c r="J296"/>
    </row>
    <row r="297" spans="4:10" x14ac:dyDescent="0.25">
      <c r="D297"/>
      <c r="E297"/>
      <c r="F297"/>
      <c r="G297"/>
      <c r="H297"/>
      <c r="I297"/>
      <c r="J297"/>
    </row>
    <row r="298" spans="4:10" x14ac:dyDescent="0.25">
      <c r="D298"/>
      <c r="E298"/>
      <c r="F298"/>
      <c r="G298"/>
      <c r="H298"/>
      <c r="I298"/>
      <c r="J298"/>
    </row>
    <row r="299" spans="4:10" x14ac:dyDescent="0.25">
      <c r="D299"/>
      <c r="E299"/>
      <c r="F299"/>
      <c r="G299"/>
      <c r="H299"/>
      <c r="I299"/>
      <c r="J299"/>
    </row>
    <row r="300" spans="4:10" x14ac:dyDescent="0.25">
      <c r="D300"/>
      <c r="E300"/>
      <c r="F300"/>
      <c r="G300"/>
      <c r="H300"/>
      <c r="I300"/>
      <c r="J300"/>
    </row>
    <row r="301" spans="4:10" x14ac:dyDescent="0.25">
      <c r="D301"/>
      <c r="E301"/>
      <c r="F301"/>
      <c r="G301"/>
      <c r="H301"/>
      <c r="I301"/>
      <c r="J301"/>
    </row>
    <row r="302" spans="4:10" x14ac:dyDescent="0.25">
      <c r="D302"/>
      <c r="E302"/>
      <c r="F302"/>
      <c r="G302"/>
      <c r="H302"/>
      <c r="I302"/>
      <c r="J302"/>
    </row>
    <row r="303" spans="4:10" x14ac:dyDescent="0.25">
      <c r="D303"/>
      <c r="E303"/>
      <c r="F303"/>
      <c r="G303"/>
      <c r="H303"/>
      <c r="I303"/>
      <c r="J303"/>
    </row>
    <row r="304" spans="4:10" x14ac:dyDescent="0.25">
      <c r="D304"/>
      <c r="E304"/>
      <c r="F304"/>
      <c r="G304"/>
      <c r="H304"/>
      <c r="I304"/>
      <c r="J304"/>
    </row>
    <row r="305" spans="4:10" x14ac:dyDescent="0.25">
      <c r="D305"/>
      <c r="E305"/>
      <c r="F305"/>
      <c r="G305"/>
      <c r="H305"/>
      <c r="I305"/>
      <c r="J305"/>
    </row>
    <row r="306" spans="4:10" x14ac:dyDescent="0.25">
      <c r="D306"/>
      <c r="E306"/>
      <c r="F306"/>
      <c r="G306"/>
      <c r="H306"/>
      <c r="I306"/>
      <c r="J306"/>
    </row>
    <row r="307" spans="4:10" x14ac:dyDescent="0.25">
      <c r="D307"/>
      <c r="E307"/>
      <c r="F307"/>
      <c r="G307"/>
      <c r="H307"/>
      <c r="I307"/>
      <c r="J307"/>
    </row>
    <row r="308" spans="4:10" x14ac:dyDescent="0.25">
      <c r="D308"/>
      <c r="E308"/>
      <c r="F308"/>
      <c r="G308"/>
      <c r="H308"/>
      <c r="I308"/>
      <c r="J308"/>
    </row>
    <row r="309" spans="4:10" x14ac:dyDescent="0.25">
      <c r="D309"/>
      <c r="E309"/>
      <c r="F309"/>
      <c r="G309"/>
      <c r="H309"/>
      <c r="I309"/>
      <c r="J309"/>
    </row>
    <row r="310" spans="4:10" x14ac:dyDescent="0.25">
      <c r="D310"/>
      <c r="E310"/>
      <c r="F310"/>
      <c r="G310"/>
      <c r="H310"/>
      <c r="I310"/>
      <c r="J310"/>
    </row>
    <row r="311" spans="4:10" x14ac:dyDescent="0.25">
      <c r="D311"/>
      <c r="E311"/>
      <c r="F311"/>
      <c r="G311"/>
      <c r="H311"/>
      <c r="I311"/>
      <c r="J311"/>
    </row>
    <row r="312" spans="4:10" x14ac:dyDescent="0.25">
      <c r="D312"/>
      <c r="E312"/>
      <c r="F312"/>
      <c r="G312"/>
      <c r="H312"/>
      <c r="I312"/>
      <c r="J312"/>
    </row>
    <row r="313" spans="4:10" x14ac:dyDescent="0.25">
      <c r="D313"/>
      <c r="E313"/>
      <c r="F313"/>
      <c r="G313"/>
      <c r="H313"/>
      <c r="I313"/>
      <c r="J313"/>
    </row>
    <row r="314" spans="4:10" x14ac:dyDescent="0.25">
      <c r="D314"/>
      <c r="E314"/>
      <c r="F314"/>
      <c r="G314"/>
      <c r="H314"/>
      <c r="I314"/>
      <c r="J314"/>
    </row>
    <row r="315" spans="4:10" x14ac:dyDescent="0.25">
      <c r="D315"/>
      <c r="E315"/>
      <c r="F315"/>
      <c r="G315"/>
      <c r="H315"/>
      <c r="I315"/>
      <c r="J315"/>
    </row>
    <row r="316" spans="4:10" x14ac:dyDescent="0.25">
      <c r="D316"/>
      <c r="E316"/>
      <c r="F316"/>
      <c r="G316"/>
      <c r="H316"/>
      <c r="I316"/>
      <c r="J316"/>
    </row>
    <row r="317" spans="4:10" x14ac:dyDescent="0.25">
      <c r="D317"/>
      <c r="E317"/>
      <c r="F317"/>
      <c r="G317"/>
      <c r="H317"/>
      <c r="I317"/>
      <c r="J317"/>
    </row>
    <row r="318" spans="4:10" x14ac:dyDescent="0.25">
      <c r="D318"/>
      <c r="E318"/>
      <c r="F318"/>
      <c r="G318"/>
      <c r="H318"/>
      <c r="I318"/>
      <c r="J318"/>
    </row>
    <row r="319" spans="4:10" x14ac:dyDescent="0.25">
      <c r="D319"/>
      <c r="E319"/>
      <c r="F319"/>
      <c r="G319"/>
      <c r="H319"/>
      <c r="I319"/>
      <c r="J319"/>
    </row>
    <row r="320" spans="4:10" x14ac:dyDescent="0.25">
      <c r="D320"/>
      <c r="E320"/>
      <c r="F320"/>
      <c r="G320"/>
      <c r="H320"/>
      <c r="I320"/>
      <c r="J320"/>
    </row>
    <row r="321" spans="4:10" x14ac:dyDescent="0.25">
      <c r="D321"/>
      <c r="E321"/>
      <c r="F321"/>
      <c r="G321"/>
      <c r="H321"/>
      <c r="I321"/>
      <c r="J321"/>
    </row>
    <row r="322" spans="4:10" x14ac:dyDescent="0.25">
      <c r="D322"/>
      <c r="E322"/>
      <c r="F322"/>
      <c r="G322"/>
      <c r="H322"/>
      <c r="I322"/>
      <c r="J322"/>
    </row>
    <row r="323" spans="4:10" x14ac:dyDescent="0.25">
      <c r="D323"/>
      <c r="E323"/>
      <c r="F323"/>
      <c r="G323"/>
      <c r="H323"/>
      <c r="I323"/>
      <c r="J32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93FC-3154-4BFD-A6D9-891FA0EFF450}">
  <sheetPr>
    <tabColor theme="1"/>
  </sheetPr>
  <dimension ref="A3:L323"/>
  <sheetViews>
    <sheetView workbookViewId="0">
      <selection activeCell="B25" sqref="B25"/>
    </sheetView>
  </sheetViews>
  <sheetFormatPr defaultRowHeight="15" x14ac:dyDescent="0.25"/>
  <cols>
    <col min="1" max="1" width="27" bestFit="1" customWidth="1"/>
    <col min="2" max="2" width="84.85546875" bestFit="1" customWidth="1"/>
    <col min="3" max="3" width="40.85546875" bestFit="1" customWidth="1"/>
    <col min="4" max="5" width="9" style="2" bestFit="1" customWidth="1"/>
    <col min="6" max="9" width="11.28515625" style="2" bestFit="1" customWidth="1"/>
    <col min="10" max="10" width="12.28515625" style="2" bestFit="1" customWidth="1"/>
    <col min="11" max="12" width="10.5703125" style="2" bestFit="1" customWidth="1"/>
    <col min="13" max="14" width="10.5703125" bestFit="1" customWidth="1"/>
    <col min="15" max="16" width="11.5703125" bestFit="1" customWidth="1"/>
  </cols>
  <sheetData>
    <row r="3" spans="1:12" x14ac:dyDescent="0.25">
      <c r="A3" s="23" t="s">
        <v>120</v>
      </c>
      <c r="D3" s="25" t="s">
        <v>4</v>
      </c>
      <c r="E3" s="13"/>
      <c r="F3" s="13"/>
      <c r="G3"/>
      <c r="H3"/>
      <c r="I3"/>
      <c r="J3"/>
      <c r="K3"/>
      <c r="L3"/>
    </row>
    <row r="4" spans="1:12" x14ac:dyDescent="0.25">
      <c r="A4" s="23" t="s">
        <v>2</v>
      </c>
      <c r="B4" s="23" t="s">
        <v>3</v>
      </c>
      <c r="C4" s="23" t="s">
        <v>0</v>
      </c>
      <c r="D4" s="4">
        <v>45047</v>
      </c>
      <c r="E4" s="4">
        <v>45078</v>
      </c>
      <c r="F4" t="s">
        <v>118</v>
      </c>
      <c r="G4"/>
      <c r="H4"/>
      <c r="I4"/>
      <c r="J4"/>
      <c r="K4"/>
      <c r="L4"/>
    </row>
    <row r="5" spans="1:12" x14ac:dyDescent="0.25">
      <c r="A5" t="s">
        <v>22</v>
      </c>
      <c r="B5" t="s">
        <v>667</v>
      </c>
      <c r="C5" t="s">
        <v>666</v>
      </c>
      <c r="D5" s="13">
        <v>161.55000000000001</v>
      </c>
      <c r="E5" s="13">
        <v>38.799999999999997</v>
      </c>
      <c r="F5" s="13">
        <v>200.35000000000002</v>
      </c>
      <c r="G5"/>
      <c r="H5"/>
      <c r="I5"/>
      <c r="J5"/>
      <c r="K5"/>
      <c r="L5"/>
    </row>
    <row r="6" spans="1:12" x14ac:dyDescent="0.25">
      <c r="A6" t="s">
        <v>118</v>
      </c>
      <c r="D6" s="13">
        <v>161.55000000000001</v>
      </c>
      <c r="E6" s="13">
        <v>38.799999999999997</v>
      </c>
      <c r="F6" s="13">
        <v>200.35000000000002</v>
      </c>
      <c r="G6"/>
      <c r="H6"/>
      <c r="I6"/>
      <c r="J6"/>
      <c r="K6"/>
      <c r="L6"/>
    </row>
    <row r="7" spans="1:12" x14ac:dyDescent="0.25">
      <c r="D7"/>
      <c r="E7"/>
      <c r="F7"/>
      <c r="G7"/>
      <c r="H7"/>
      <c r="I7"/>
      <c r="J7"/>
      <c r="K7"/>
      <c r="L7"/>
    </row>
    <row r="8" spans="1:12" x14ac:dyDescent="0.25">
      <c r="D8"/>
      <c r="E8"/>
      <c r="F8"/>
      <c r="G8"/>
      <c r="H8"/>
      <c r="I8"/>
      <c r="J8"/>
      <c r="K8"/>
      <c r="L8"/>
    </row>
    <row r="9" spans="1:12" x14ac:dyDescent="0.25">
      <c r="D9"/>
      <c r="E9"/>
      <c r="F9"/>
      <c r="G9"/>
      <c r="H9"/>
      <c r="I9"/>
      <c r="J9"/>
      <c r="K9"/>
      <c r="L9"/>
    </row>
    <row r="10" spans="1:12" x14ac:dyDescent="0.25">
      <c r="D10"/>
      <c r="E10"/>
      <c r="F10"/>
      <c r="G10"/>
      <c r="H10"/>
      <c r="I10"/>
      <c r="J10"/>
      <c r="K10"/>
      <c r="L10"/>
    </row>
    <row r="11" spans="1:12" x14ac:dyDescent="0.25">
      <c r="D11"/>
      <c r="E11"/>
      <c r="F11"/>
      <c r="G11"/>
      <c r="H11"/>
      <c r="I11"/>
      <c r="J11"/>
      <c r="K11"/>
      <c r="L11"/>
    </row>
    <row r="12" spans="1:12" x14ac:dyDescent="0.25">
      <c r="D12"/>
      <c r="E12"/>
      <c r="F12"/>
      <c r="G12"/>
      <c r="H12"/>
      <c r="I12"/>
      <c r="J12"/>
      <c r="K12"/>
      <c r="L12"/>
    </row>
    <row r="13" spans="1:12" x14ac:dyDescent="0.25">
      <c r="D13"/>
      <c r="E13"/>
      <c r="F13"/>
      <c r="G13"/>
      <c r="H13"/>
      <c r="I13"/>
      <c r="J13"/>
      <c r="K13"/>
      <c r="L13"/>
    </row>
    <row r="14" spans="1:12" x14ac:dyDescent="0.25">
      <c r="D14"/>
      <c r="E14"/>
      <c r="F14"/>
      <c r="G14"/>
      <c r="H14"/>
      <c r="I14"/>
      <c r="J14"/>
      <c r="K14"/>
      <c r="L14"/>
    </row>
    <row r="15" spans="1:12" x14ac:dyDescent="0.25">
      <c r="D15"/>
      <c r="E15"/>
      <c r="F15"/>
      <c r="G15"/>
      <c r="H15"/>
      <c r="I15"/>
      <c r="J15"/>
      <c r="K15"/>
      <c r="L15"/>
    </row>
    <row r="16" spans="1:12" x14ac:dyDescent="0.25">
      <c r="D16"/>
      <c r="E16"/>
      <c r="F16"/>
      <c r="G16"/>
      <c r="H16"/>
      <c r="I16"/>
      <c r="J16"/>
      <c r="K16"/>
      <c r="L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spans="4:10" customFormat="1" x14ac:dyDescent="0.25"/>
    <row r="130" spans="4:10" customFormat="1" x14ac:dyDescent="0.25"/>
    <row r="131" spans="4:10" customFormat="1" x14ac:dyDescent="0.25"/>
    <row r="132" spans="4:10" customFormat="1" x14ac:dyDescent="0.25"/>
    <row r="133" spans="4:10" customFormat="1" x14ac:dyDescent="0.25"/>
    <row r="134" spans="4:10" customFormat="1" x14ac:dyDescent="0.25"/>
    <row r="135" spans="4:10" customFormat="1" x14ac:dyDescent="0.25"/>
    <row r="136" spans="4:10" customFormat="1" x14ac:dyDescent="0.25"/>
    <row r="137" spans="4:10" x14ac:dyDescent="0.25">
      <c r="D137"/>
      <c r="E137"/>
      <c r="F137"/>
      <c r="G137"/>
      <c r="H137"/>
      <c r="I137"/>
      <c r="J137"/>
    </row>
    <row r="138" spans="4:10" x14ac:dyDescent="0.25">
      <c r="D138"/>
      <c r="E138"/>
      <c r="F138"/>
      <c r="G138"/>
      <c r="H138"/>
      <c r="I138"/>
      <c r="J138"/>
    </row>
    <row r="139" spans="4:10" x14ac:dyDescent="0.25">
      <c r="D139"/>
      <c r="E139"/>
      <c r="F139"/>
      <c r="G139"/>
      <c r="H139"/>
      <c r="I139"/>
      <c r="J139"/>
    </row>
    <row r="140" spans="4:10" x14ac:dyDescent="0.25">
      <c r="D140"/>
      <c r="E140"/>
      <c r="F140"/>
      <c r="G140"/>
      <c r="H140"/>
      <c r="I140"/>
      <c r="J140"/>
    </row>
    <row r="141" spans="4:10" x14ac:dyDescent="0.25">
      <c r="D141"/>
      <c r="E141"/>
      <c r="F141"/>
      <c r="G141"/>
      <c r="H141"/>
      <c r="I141"/>
      <c r="J141"/>
    </row>
    <row r="142" spans="4:10" x14ac:dyDescent="0.25">
      <c r="D142"/>
      <c r="E142"/>
      <c r="F142"/>
      <c r="G142"/>
      <c r="H142"/>
      <c r="I142"/>
      <c r="J142"/>
    </row>
    <row r="143" spans="4:10" x14ac:dyDescent="0.25">
      <c r="D143"/>
      <c r="E143"/>
      <c r="F143"/>
      <c r="G143"/>
      <c r="H143"/>
      <c r="I143"/>
      <c r="J143"/>
    </row>
    <row r="144" spans="4:10" x14ac:dyDescent="0.25">
      <c r="D144"/>
      <c r="E144"/>
      <c r="F144"/>
      <c r="G144"/>
      <c r="H144"/>
      <c r="I144"/>
      <c r="J144"/>
    </row>
    <row r="145" spans="4:10" x14ac:dyDescent="0.25">
      <c r="D145"/>
      <c r="E145"/>
      <c r="F145"/>
      <c r="G145"/>
      <c r="H145"/>
      <c r="I145"/>
      <c r="J145"/>
    </row>
    <row r="146" spans="4:10" x14ac:dyDescent="0.25">
      <c r="D146"/>
      <c r="E146"/>
      <c r="F146"/>
      <c r="G146"/>
      <c r="H146"/>
      <c r="I146"/>
      <c r="J146"/>
    </row>
    <row r="147" spans="4:10" x14ac:dyDescent="0.25">
      <c r="D147"/>
      <c r="E147"/>
      <c r="F147"/>
      <c r="G147"/>
      <c r="H147"/>
      <c r="I147"/>
      <c r="J147"/>
    </row>
    <row r="148" spans="4:10" x14ac:dyDescent="0.25">
      <c r="D148"/>
      <c r="E148"/>
      <c r="F148"/>
      <c r="G148"/>
      <c r="H148"/>
      <c r="I148"/>
      <c r="J148"/>
    </row>
    <row r="149" spans="4:10" x14ac:dyDescent="0.25">
      <c r="D149"/>
      <c r="E149"/>
      <c r="F149"/>
      <c r="G149"/>
      <c r="H149"/>
      <c r="I149"/>
      <c r="J149"/>
    </row>
    <row r="150" spans="4:10" x14ac:dyDescent="0.25">
      <c r="D150"/>
      <c r="E150"/>
      <c r="F150"/>
      <c r="G150"/>
      <c r="H150"/>
      <c r="I150"/>
      <c r="J150"/>
    </row>
    <row r="151" spans="4:10" x14ac:dyDescent="0.25">
      <c r="D151"/>
      <c r="E151"/>
      <c r="F151"/>
      <c r="G151"/>
      <c r="H151"/>
      <c r="I151"/>
      <c r="J151"/>
    </row>
    <row r="152" spans="4:10" x14ac:dyDescent="0.25">
      <c r="D152"/>
      <c r="E152"/>
      <c r="F152"/>
      <c r="G152"/>
      <c r="H152"/>
      <c r="I152"/>
      <c r="J152"/>
    </row>
    <row r="153" spans="4:10" x14ac:dyDescent="0.25">
      <c r="D153"/>
      <c r="E153"/>
      <c r="F153"/>
      <c r="G153"/>
      <c r="H153"/>
      <c r="I153"/>
      <c r="J153"/>
    </row>
    <row r="154" spans="4:10" x14ac:dyDescent="0.25">
      <c r="D154"/>
      <c r="E154"/>
      <c r="F154"/>
      <c r="G154"/>
      <c r="H154"/>
      <c r="I154"/>
      <c r="J154"/>
    </row>
    <row r="155" spans="4:10" x14ac:dyDescent="0.25">
      <c r="D155"/>
      <c r="E155"/>
      <c r="F155"/>
      <c r="G155"/>
      <c r="H155"/>
      <c r="I155"/>
      <c r="J155"/>
    </row>
    <row r="156" spans="4:10" x14ac:dyDescent="0.25">
      <c r="D156"/>
      <c r="E156"/>
      <c r="F156"/>
      <c r="G156"/>
      <c r="H156"/>
      <c r="I156"/>
      <c r="J156"/>
    </row>
    <row r="157" spans="4:10" x14ac:dyDescent="0.25">
      <c r="D157"/>
      <c r="E157"/>
      <c r="F157"/>
      <c r="G157"/>
      <c r="H157"/>
      <c r="I157"/>
      <c r="J157"/>
    </row>
    <row r="158" spans="4:10" x14ac:dyDescent="0.25">
      <c r="D158"/>
      <c r="E158"/>
      <c r="F158"/>
      <c r="G158"/>
      <c r="H158"/>
      <c r="I158"/>
      <c r="J158"/>
    </row>
    <row r="159" spans="4:10" x14ac:dyDescent="0.25">
      <c r="D159"/>
      <c r="E159"/>
      <c r="F159"/>
      <c r="G159"/>
      <c r="H159"/>
      <c r="I159"/>
      <c r="J159"/>
    </row>
    <row r="160" spans="4:10" x14ac:dyDescent="0.25">
      <c r="D160"/>
      <c r="E160"/>
      <c r="F160"/>
      <c r="G160"/>
      <c r="H160"/>
      <c r="I160"/>
      <c r="J160"/>
    </row>
    <row r="161" spans="4:10" x14ac:dyDescent="0.25">
      <c r="D161"/>
      <c r="E161"/>
      <c r="F161"/>
      <c r="G161"/>
      <c r="H161"/>
      <c r="I161"/>
      <c r="J161"/>
    </row>
    <row r="162" spans="4:10" x14ac:dyDescent="0.25">
      <c r="D162"/>
      <c r="E162"/>
      <c r="F162"/>
      <c r="G162"/>
      <c r="H162"/>
      <c r="I162"/>
      <c r="J162"/>
    </row>
    <row r="163" spans="4:10" x14ac:dyDescent="0.25">
      <c r="D163"/>
      <c r="E163"/>
      <c r="F163"/>
      <c r="G163"/>
      <c r="H163"/>
      <c r="I163"/>
      <c r="J163"/>
    </row>
    <row r="164" spans="4:10" x14ac:dyDescent="0.25">
      <c r="D164"/>
      <c r="E164"/>
      <c r="F164"/>
      <c r="G164"/>
      <c r="H164"/>
      <c r="I164"/>
      <c r="J164"/>
    </row>
    <row r="165" spans="4:10" x14ac:dyDescent="0.25">
      <c r="D165"/>
      <c r="E165"/>
      <c r="F165"/>
      <c r="G165"/>
      <c r="H165"/>
      <c r="I165"/>
      <c r="J165"/>
    </row>
    <row r="166" spans="4:10" x14ac:dyDescent="0.25">
      <c r="D166"/>
      <c r="E166"/>
      <c r="F166"/>
      <c r="G166"/>
      <c r="H166"/>
      <c r="I166"/>
      <c r="J166"/>
    </row>
    <row r="167" spans="4:10" x14ac:dyDescent="0.25">
      <c r="D167"/>
      <c r="E167"/>
      <c r="F167"/>
      <c r="G167"/>
      <c r="H167"/>
      <c r="I167"/>
      <c r="J167"/>
    </row>
    <row r="168" spans="4:10" x14ac:dyDescent="0.25">
      <c r="D168"/>
      <c r="E168"/>
      <c r="F168"/>
      <c r="G168"/>
      <c r="H168"/>
      <c r="I168"/>
      <c r="J168"/>
    </row>
    <row r="169" spans="4:10" x14ac:dyDescent="0.25">
      <c r="D169"/>
      <c r="E169"/>
      <c r="F169"/>
      <c r="G169"/>
      <c r="H169"/>
      <c r="I169"/>
      <c r="J169"/>
    </row>
    <row r="170" spans="4:10" x14ac:dyDescent="0.25">
      <c r="D170"/>
      <c r="E170"/>
      <c r="F170"/>
      <c r="G170"/>
      <c r="H170"/>
      <c r="I170"/>
      <c r="J170"/>
    </row>
    <row r="171" spans="4:10" x14ac:dyDescent="0.25">
      <c r="D171"/>
      <c r="E171"/>
      <c r="F171"/>
      <c r="G171"/>
      <c r="H171"/>
      <c r="I171"/>
      <c r="J171"/>
    </row>
    <row r="172" spans="4:10" x14ac:dyDescent="0.25">
      <c r="D172"/>
      <c r="E172"/>
      <c r="F172"/>
      <c r="G172"/>
      <c r="H172"/>
      <c r="I172"/>
      <c r="J172"/>
    </row>
    <row r="173" spans="4:10" x14ac:dyDescent="0.25">
      <c r="D173"/>
      <c r="E173"/>
      <c r="F173"/>
      <c r="G173"/>
      <c r="H173"/>
      <c r="I173"/>
      <c r="J173"/>
    </row>
    <row r="174" spans="4:10" x14ac:dyDescent="0.25">
      <c r="D174"/>
      <c r="E174"/>
      <c r="F174"/>
      <c r="G174"/>
      <c r="H174"/>
      <c r="I174"/>
      <c r="J174"/>
    </row>
    <row r="175" spans="4:10" x14ac:dyDescent="0.25">
      <c r="D175"/>
      <c r="E175"/>
      <c r="F175"/>
      <c r="G175"/>
      <c r="H175"/>
      <c r="I175"/>
      <c r="J175"/>
    </row>
    <row r="176" spans="4:10" x14ac:dyDescent="0.25">
      <c r="D176"/>
      <c r="E176"/>
      <c r="F176"/>
      <c r="G176"/>
      <c r="H176"/>
      <c r="I176"/>
      <c r="J176"/>
    </row>
    <row r="177" spans="4:10" x14ac:dyDescent="0.25">
      <c r="D177"/>
      <c r="E177"/>
      <c r="F177"/>
      <c r="G177"/>
      <c r="H177"/>
      <c r="I177"/>
      <c r="J177"/>
    </row>
    <row r="178" spans="4:10" x14ac:dyDescent="0.25">
      <c r="D178"/>
      <c r="E178"/>
      <c r="F178"/>
      <c r="G178"/>
      <c r="H178"/>
      <c r="I178"/>
      <c r="J178"/>
    </row>
    <row r="179" spans="4:10" x14ac:dyDescent="0.25">
      <c r="D179"/>
      <c r="E179"/>
      <c r="F179"/>
      <c r="G179"/>
      <c r="H179"/>
      <c r="I179"/>
      <c r="J179"/>
    </row>
    <row r="180" spans="4:10" x14ac:dyDescent="0.25">
      <c r="D180"/>
      <c r="E180"/>
      <c r="F180"/>
      <c r="G180"/>
      <c r="H180"/>
      <c r="I180"/>
      <c r="J180"/>
    </row>
    <row r="181" spans="4:10" x14ac:dyDescent="0.25">
      <c r="D181"/>
      <c r="E181"/>
      <c r="F181"/>
      <c r="G181"/>
      <c r="H181"/>
      <c r="I181"/>
      <c r="J181"/>
    </row>
    <row r="182" spans="4:10" x14ac:dyDescent="0.25">
      <c r="D182"/>
      <c r="E182"/>
      <c r="F182"/>
      <c r="G182"/>
      <c r="H182"/>
      <c r="I182"/>
      <c r="J182"/>
    </row>
    <row r="183" spans="4:10" x14ac:dyDescent="0.25">
      <c r="D183"/>
      <c r="E183"/>
      <c r="F183"/>
      <c r="G183"/>
      <c r="H183"/>
      <c r="I183"/>
      <c r="J183"/>
    </row>
    <row r="184" spans="4:10" x14ac:dyDescent="0.25">
      <c r="D184"/>
      <c r="E184"/>
      <c r="F184"/>
      <c r="G184"/>
      <c r="H184"/>
      <c r="I184"/>
      <c r="J184"/>
    </row>
    <row r="185" spans="4:10" x14ac:dyDescent="0.25">
      <c r="D185"/>
      <c r="E185"/>
      <c r="F185"/>
      <c r="G185"/>
      <c r="H185"/>
      <c r="I185"/>
      <c r="J185"/>
    </row>
    <row r="186" spans="4:10" x14ac:dyDescent="0.25">
      <c r="D186"/>
      <c r="E186"/>
      <c r="F186"/>
      <c r="G186"/>
      <c r="H186"/>
      <c r="I186"/>
      <c r="J186"/>
    </row>
    <row r="187" spans="4:10" x14ac:dyDescent="0.25">
      <c r="D187"/>
      <c r="E187"/>
      <c r="F187"/>
      <c r="G187"/>
      <c r="H187"/>
      <c r="I187"/>
      <c r="J187"/>
    </row>
    <row r="188" spans="4:10" x14ac:dyDescent="0.25">
      <c r="D188"/>
      <c r="E188"/>
      <c r="F188"/>
      <c r="G188"/>
      <c r="H188"/>
      <c r="I188"/>
      <c r="J188"/>
    </row>
    <row r="189" spans="4:10" x14ac:dyDescent="0.25">
      <c r="D189"/>
      <c r="E189"/>
      <c r="F189"/>
      <c r="G189"/>
      <c r="H189"/>
      <c r="I189"/>
      <c r="J189"/>
    </row>
    <row r="190" spans="4:10" x14ac:dyDescent="0.25">
      <c r="D190"/>
      <c r="E190"/>
      <c r="F190"/>
      <c r="G190"/>
      <c r="H190"/>
      <c r="I190"/>
      <c r="J190"/>
    </row>
    <row r="191" spans="4:10" x14ac:dyDescent="0.25">
      <c r="D191"/>
      <c r="E191"/>
      <c r="F191"/>
      <c r="G191"/>
      <c r="H191"/>
      <c r="I191"/>
      <c r="J191"/>
    </row>
    <row r="192" spans="4:10" x14ac:dyDescent="0.25">
      <c r="D192"/>
      <c r="E192"/>
      <c r="F192"/>
      <c r="G192"/>
      <c r="H192"/>
      <c r="I192"/>
      <c r="J192"/>
    </row>
    <row r="193" spans="4:10" x14ac:dyDescent="0.25">
      <c r="D193"/>
      <c r="E193"/>
      <c r="F193"/>
      <c r="G193"/>
      <c r="H193"/>
      <c r="I193"/>
      <c r="J193"/>
    </row>
    <row r="194" spans="4:10" x14ac:dyDescent="0.25">
      <c r="D194"/>
      <c r="E194"/>
      <c r="F194"/>
      <c r="G194"/>
      <c r="H194"/>
      <c r="I194"/>
      <c r="J194"/>
    </row>
    <row r="195" spans="4:10" x14ac:dyDescent="0.25">
      <c r="D195"/>
      <c r="E195"/>
      <c r="F195"/>
      <c r="G195"/>
      <c r="H195"/>
      <c r="I195"/>
      <c r="J195"/>
    </row>
    <row r="196" spans="4:10" x14ac:dyDescent="0.25">
      <c r="D196"/>
      <c r="E196"/>
      <c r="F196"/>
      <c r="G196"/>
      <c r="H196"/>
      <c r="I196"/>
      <c r="J196"/>
    </row>
    <row r="197" spans="4:10" x14ac:dyDescent="0.25">
      <c r="D197"/>
      <c r="E197"/>
      <c r="F197"/>
      <c r="G197"/>
      <c r="H197"/>
      <c r="I197"/>
      <c r="J197"/>
    </row>
    <row r="198" spans="4:10" x14ac:dyDescent="0.25">
      <c r="D198"/>
      <c r="E198"/>
      <c r="F198"/>
      <c r="G198"/>
      <c r="H198"/>
      <c r="I198"/>
      <c r="J198"/>
    </row>
    <row r="199" spans="4:10" x14ac:dyDescent="0.25">
      <c r="D199"/>
      <c r="E199"/>
      <c r="F199"/>
      <c r="G199"/>
      <c r="H199"/>
      <c r="I199"/>
      <c r="J199"/>
    </row>
    <row r="200" spans="4:10" x14ac:dyDescent="0.25">
      <c r="D200"/>
      <c r="E200"/>
      <c r="F200"/>
      <c r="G200"/>
      <c r="H200"/>
      <c r="I200"/>
      <c r="J200"/>
    </row>
    <row r="201" spans="4:10" x14ac:dyDescent="0.25">
      <c r="D201"/>
      <c r="E201"/>
      <c r="F201"/>
      <c r="G201"/>
      <c r="H201"/>
      <c r="I201"/>
      <c r="J201"/>
    </row>
    <row r="202" spans="4:10" x14ac:dyDescent="0.25">
      <c r="D202"/>
      <c r="E202"/>
      <c r="F202"/>
      <c r="G202"/>
      <c r="H202"/>
      <c r="I202"/>
      <c r="J202"/>
    </row>
    <row r="203" spans="4:10" x14ac:dyDescent="0.25">
      <c r="D203"/>
      <c r="E203"/>
      <c r="F203"/>
      <c r="G203"/>
      <c r="H203"/>
      <c r="I203"/>
      <c r="J203"/>
    </row>
    <row r="204" spans="4:10" x14ac:dyDescent="0.25">
      <c r="D204"/>
      <c r="E204"/>
      <c r="F204"/>
      <c r="G204"/>
      <c r="H204"/>
      <c r="I204"/>
      <c r="J204"/>
    </row>
    <row r="205" spans="4:10" x14ac:dyDescent="0.25">
      <c r="D205"/>
      <c r="E205"/>
      <c r="F205"/>
      <c r="G205"/>
      <c r="H205"/>
      <c r="I205"/>
      <c r="J205"/>
    </row>
    <row r="206" spans="4:10" x14ac:dyDescent="0.25">
      <c r="D206"/>
      <c r="E206"/>
      <c r="F206"/>
      <c r="G206"/>
      <c r="H206"/>
      <c r="I206"/>
      <c r="J206"/>
    </row>
    <row r="207" spans="4:10" x14ac:dyDescent="0.25">
      <c r="D207"/>
      <c r="E207"/>
      <c r="F207"/>
      <c r="G207"/>
      <c r="H207"/>
      <c r="I207"/>
      <c r="J207"/>
    </row>
    <row r="208" spans="4:10" x14ac:dyDescent="0.25">
      <c r="D208"/>
      <c r="E208"/>
      <c r="F208"/>
      <c r="G208"/>
      <c r="H208"/>
      <c r="I208"/>
      <c r="J208"/>
    </row>
    <row r="209" spans="4:10" x14ac:dyDescent="0.25">
      <c r="D209"/>
      <c r="E209"/>
      <c r="F209"/>
      <c r="G209"/>
      <c r="H209"/>
      <c r="I209"/>
      <c r="J209"/>
    </row>
    <row r="210" spans="4:10" x14ac:dyDescent="0.25">
      <c r="D210"/>
      <c r="E210"/>
      <c r="F210"/>
      <c r="G210"/>
      <c r="H210"/>
      <c r="I210"/>
      <c r="J210"/>
    </row>
    <row r="211" spans="4:10" x14ac:dyDescent="0.25">
      <c r="D211"/>
      <c r="E211"/>
      <c r="F211"/>
      <c r="G211"/>
      <c r="H211"/>
      <c r="I211"/>
      <c r="J211"/>
    </row>
    <row r="212" spans="4:10" x14ac:dyDescent="0.25">
      <c r="D212"/>
      <c r="E212"/>
      <c r="F212"/>
      <c r="G212"/>
      <c r="H212"/>
      <c r="I212"/>
      <c r="J212"/>
    </row>
    <row r="213" spans="4:10" x14ac:dyDescent="0.25">
      <c r="D213"/>
      <c r="E213"/>
      <c r="F213"/>
      <c r="G213"/>
      <c r="H213"/>
      <c r="I213"/>
      <c r="J213"/>
    </row>
    <row r="214" spans="4:10" x14ac:dyDescent="0.25">
      <c r="D214"/>
      <c r="E214"/>
      <c r="F214"/>
      <c r="G214"/>
      <c r="H214"/>
      <c r="I214"/>
      <c r="J214"/>
    </row>
    <row r="215" spans="4:10" x14ac:dyDescent="0.25">
      <c r="D215"/>
      <c r="E215"/>
      <c r="F215"/>
      <c r="G215"/>
      <c r="H215"/>
      <c r="I215"/>
      <c r="J215"/>
    </row>
    <row r="216" spans="4:10" x14ac:dyDescent="0.25">
      <c r="D216"/>
      <c r="E216"/>
      <c r="F216"/>
      <c r="G216"/>
      <c r="H216"/>
      <c r="I216"/>
      <c r="J216"/>
    </row>
    <row r="217" spans="4:10" x14ac:dyDescent="0.25">
      <c r="D217"/>
      <c r="E217"/>
      <c r="F217"/>
      <c r="G217"/>
      <c r="H217"/>
      <c r="I217"/>
      <c r="J217"/>
    </row>
    <row r="218" spans="4:10" x14ac:dyDescent="0.25">
      <c r="D218"/>
      <c r="E218"/>
      <c r="F218"/>
      <c r="G218"/>
      <c r="H218"/>
      <c r="I218"/>
      <c r="J218"/>
    </row>
    <row r="219" spans="4:10" x14ac:dyDescent="0.25">
      <c r="D219"/>
      <c r="E219"/>
      <c r="F219"/>
      <c r="G219"/>
      <c r="H219"/>
      <c r="I219"/>
      <c r="J219"/>
    </row>
    <row r="220" spans="4:10" x14ac:dyDescent="0.25">
      <c r="D220"/>
      <c r="E220"/>
      <c r="F220"/>
      <c r="G220"/>
      <c r="H220"/>
      <c r="I220"/>
      <c r="J220"/>
    </row>
    <row r="221" spans="4:10" x14ac:dyDescent="0.25">
      <c r="D221"/>
      <c r="E221"/>
      <c r="F221"/>
      <c r="G221"/>
      <c r="H221"/>
      <c r="I221"/>
      <c r="J221"/>
    </row>
    <row r="222" spans="4:10" x14ac:dyDescent="0.25">
      <c r="D222"/>
      <c r="E222"/>
      <c r="F222"/>
      <c r="G222"/>
      <c r="H222"/>
      <c r="I222"/>
      <c r="J222"/>
    </row>
    <row r="223" spans="4:10" x14ac:dyDescent="0.25">
      <c r="D223"/>
      <c r="E223"/>
      <c r="F223"/>
      <c r="G223"/>
      <c r="H223"/>
      <c r="I223"/>
      <c r="J223"/>
    </row>
    <row r="224" spans="4:10" x14ac:dyDescent="0.25">
      <c r="D224"/>
      <c r="E224"/>
      <c r="F224"/>
      <c r="G224"/>
      <c r="H224"/>
      <c r="I224"/>
      <c r="J224"/>
    </row>
    <row r="225" spans="4:10" x14ac:dyDescent="0.25">
      <c r="D225"/>
      <c r="E225"/>
      <c r="F225"/>
      <c r="G225"/>
      <c r="H225"/>
      <c r="I225"/>
      <c r="J225"/>
    </row>
    <row r="226" spans="4:10" x14ac:dyDescent="0.25">
      <c r="D226"/>
      <c r="E226"/>
      <c r="F226"/>
      <c r="G226"/>
      <c r="H226"/>
      <c r="I226"/>
      <c r="J226"/>
    </row>
    <row r="227" spans="4:10" x14ac:dyDescent="0.25">
      <c r="D227"/>
      <c r="E227"/>
      <c r="F227"/>
      <c r="G227"/>
      <c r="H227"/>
      <c r="I227"/>
      <c r="J227"/>
    </row>
    <row r="228" spans="4:10" x14ac:dyDescent="0.25">
      <c r="D228"/>
      <c r="E228"/>
      <c r="F228"/>
      <c r="G228"/>
      <c r="H228"/>
      <c r="I228"/>
      <c r="J228"/>
    </row>
    <row r="229" spans="4:10" x14ac:dyDescent="0.25">
      <c r="D229"/>
      <c r="E229"/>
      <c r="F229"/>
      <c r="G229"/>
      <c r="H229"/>
      <c r="I229"/>
      <c r="J229"/>
    </row>
    <row r="230" spans="4:10" x14ac:dyDescent="0.25">
      <c r="D230"/>
      <c r="E230"/>
      <c r="F230"/>
      <c r="G230"/>
      <c r="H230"/>
      <c r="I230"/>
      <c r="J230"/>
    </row>
    <row r="231" spans="4:10" x14ac:dyDescent="0.25">
      <c r="D231"/>
      <c r="E231"/>
      <c r="F231"/>
      <c r="G231"/>
      <c r="H231"/>
      <c r="I231"/>
      <c r="J231"/>
    </row>
    <row r="232" spans="4:10" x14ac:dyDescent="0.25">
      <c r="D232"/>
      <c r="E232"/>
      <c r="F232"/>
      <c r="G232"/>
      <c r="H232"/>
      <c r="I232"/>
      <c r="J232"/>
    </row>
    <row r="233" spans="4:10" x14ac:dyDescent="0.25">
      <c r="D233"/>
      <c r="E233"/>
      <c r="F233"/>
      <c r="G233"/>
      <c r="H233"/>
      <c r="I233"/>
      <c r="J233"/>
    </row>
    <row r="234" spans="4:10" x14ac:dyDescent="0.25">
      <c r="D234"/>
      <c r="E234"/>
      <c r="F234"/>
      <c r="G234"/>
      <c r="H234"/>
      <c r="I234"/>
      <c r="J234"/>
    </row>
    <row r="235" spans="4:10" x14ac:dyDescent="0.25">
      <c r="D235"/>
      <c r="E235"/>
      <c r="F235"/>
      <c r="G235"/>
      <c r="H235"/>
      <c r="I235"/>
      <c r="J235"/>
    </row>
    <row r="236" spans="4:10" x14ac:dyDescent="0.25">
      <c r="D236"/>
      <c r="E236"/>
      <c r="F236"/>
      <c r="G236"/>
      <c r="H236"/>
      <c r="I236"/>
      <c r="J236"/>
    </row>
    <row r="237" spans="4:10" x14ac:dyDescent="0.25">
      <c r="D237"/>
      <c r="E237"/>
      <c r="F237"/>
      <c r="G237"/>
      <c r="H237"/>
      <c r="I237"/>
      <c r="J237"/>
    </row>
    <row r="238" spans="4:10" x14ac:dyDescent="0.25">
      <c r="D238"/>
      <c r="E238"/>
      <c r="F238"/>
      <c r="G238"/>
      <c r="H238"/>
      <c r="I238"/>
      <c r="J238"/>
    </row>
    <row r="239" spans="4:10" x14ac:dyDescent="0.25">
      <c r="D239"/>
      <c r="E239"/>
      <c r="F239"/>
      <c r="G239"/>
      <c r="H239"/>
      <c r="I239"/>
      <c r="J239"/>
    </row>
    <row r="240" spans="4:10" x14ac:dyDescent="0.25">
      <c r="D240"/>
      <c r="E240"/>
      <c r="F240"/>
      <c r="G240"/>
      <c r="H240"/>
      <c r="I240"/>
      <c r="J240"/>
    </row>
    <row r="241" spans="4:10" x14ac:dyDescent="0.25">
      <c r="D241"/>
      <c r="E241"/>
      <c r="F241"/>
      <c r="G241"/>
      <c r="H241"/>
      <c r="I241"/>
      <c r="J241"/>
    </row>
    <row r="242" spans="4:10" x14ac:dyDescent="0.25">
      <c r="D242"/>
      <c r="E242"/>
      <c r="F242"/>
      <c r="G242"/>
      <c r="H242"/>
      <c r="I242"/>
      <c r="J242"/>
    </row>
    <row r="243" spans="4:10" x14ac:dyDescent="0.25">
      <c r="D243"/>
      <c r="E243"/>
      <c r="F243"/>
      <c r="G243"/>
      <c r="H243"/>
      <c r="I243"/>
      <c r="J243"/>
    </row>
    <row r="244" spans="4:10" x14ac:dyDescent="0.25">
      <c r="D244"/>
      <c r="E244"/>
      <c r="F244"/>
      <c r="G244"/>
      <c r="H244"/>
      <c r="I244"/>
      <c r="J244"/>
    </row>
    <row r="245" spans="4:10" x14ac:dyDescent="0.25">
      <c r="D245"/>
      <c r="E245"/>
      <c r="F245"/>
      <c r="G245"/>
      <c r="H245"/>
      <c r="I245"/>
      <c r="J245"/>
    </row>
    <row r="246" spans="4:10" x14ac:dyDescent="0.25">
      <c r="D246"/>
      <c r="E246"/>
      <c r="F246"/>
      <c r="G246"/>
      <c r="H246"/>
      <c r="I246"/>
      <c r="J246"/>
    </row>
    <row r="247" spans="4:10" x14ac:dyDescent="0.25">
      <c r="D247"/>
      <c r="E247"/>
      <c r="F247"/>
      <c r="G247"/>
      <c r="H247"/>
      <c r="I247"/>
      <c r="J247"/>
    </row>
    <row r="248" spans="4:10" x14ac:dyDescent="0.25">
      <c r="D248"/>
      <c r="E248"/>
      <c r="F248"/>
      <c r="G248"/>
      <c r="H248"/>
      <c r="I248"/>
      <c r="J248"/>
    </row>
    <row r="249" spans="4:10" x14ac:dyDescent="0.25">
      <c r="D249"/>
      <c r="E249"/>
      <c r="F249"/>
      <c r="G249"/>
      <c r="H249"/>
      <c r="I249"/>
      <c r="J249"/>
    </row>
    <row r="250" spans="4:10" x14ac:dyDescent="0.25">
      <c r="D250"/>
      <c r="E250"/>
      <c r="F250"/>
      <c r="G250"/>
      <c r="H250"/>
      <c r="I250"/>
      <c r="J250"/>
    </row>
    <row r="251" spans="4:10" x14ac:dyDescent="0.25">
      <c r="D251"/>
      <c r="E251"/>
      <c r="F251"/>
      <c r="G251"/>
      <c r="H251"/>
      <c r="I251"/>
      <c r="J251"/>
    </row>
    <row r="252" spans="4:10" x14ac:dyDescent="0.25">
      <c r="D252"/>
      <c r="E252"/>
      <c r="F252"/>
      <c r="G252"/>
      <c r="H252"/>
      <c r="I252"/>
      <c r="J252"/>
    </row>
    <row r="253" spans="4:10" x14ac:dyDescent="0.25">
      <c r="D253"/>
      <c r="E253"/>
      <c r="F253"/>
      <c r="G253"/>
      <c r="H253"/>
      <c r="I253"/>
      <c r="J253"/>
    </row>
    <row r="254" spans="4:10" x14ac:dyDescent="0.25">
      <c r="D254"/>
      <c r="E254"/>
      <c r="F254"/>
      <c r="G254"/>
      <c r="H254"/>
      <c r="I254"/>
      <c r="J254"/>
    </row>
    <row r="255" spans="4:10" x14ac:dyDescent="0.25">
      <c r="D255"/>
      <c r="E255"/>
      <c r="F255"/>
      <c r="G255"/>
      <c r="H255"/>
      <c r="I255"/>
      <c r="J255"/>
    </row>
    <row r="256" spans="4:10" x14ac:dyDescent="0.25">
      <c r="D256"/>
      <c r="E256"/>
      <c r="F256"/>
      <c r="G256"/>
      <c r="H256"/>
      <c r="I256"/>
      <c r="J256"/>
    </row>
    <row r="257" spans="4:10" x14ac:dyDescent="0.25">
      <c r="D257"/>
      <c r="E257"/>
      <c r="F257"/>
      <c r="G257"/>
      <c r="H257"/>
      <c r="I257"/>
      <c r="J257"/>
    </row>
    <row r="258" spans="4:10" x14ac:dyDescent="0.25">
      <c r="D258"/>
      <c r="E258"/>
      <c r="F258"/>
      <c r="G258"/>
      <c r="H258"/>
      <c r="I258"/>
      <c r="J258"/>
    </row>
    <row r="259" spans="4:10" x14ac:dyDescent="0.25">
      <c r="D259"/>
      <c r="E259"/>
      <c r="F259"/>
      <c r="G259"/>
      <c r="H259"/>
      <c r="I259"/>
      <c r="J259"/>
    </row>
    <row r="260" spans="4:10" x14ac:dyDescent="0.25">
      <c r="D260"/>
      <c r="E260"/>
      <c r="F260"/>
      <c r="G260"/>
      <c r="H260"/>
      <c r="I260"/>
      <c r="J260"/>
    </row>
    <row r="261" spans="4:10" x14ac:dyDescent="0.25">
      <c r="D261"/>
      <c r="E261"/>
      <c r="F261"/>
      <c r="G261"/>
      <c r="H261"/>
      <c r="I261"/>
      <c r="J261"/>
    </row>
    <row r="262" spans="4:10" x14ac:dyDescent="0.25">
      <c r="D262"/>
      <c r="E262"/>
      <c r="F262"/>
      <c r="G262"/>
      <c r="H262"/>
      <c r="I262"/>
      <c r="J262"/>
    </row>
    <row r="263" spans="4:10" x14ac:dyDescent="0.25">
      <c r="D263"/>
      <c r="E263"/>
      <c r="F263"/>
      <c r="G263"/>
      <c r="H263"/>
      <c r="I263"/>
      <c r="J263"/>
    </row>
    <row r="264" spans="4:10" x14ac:dyDescent="0.25">
      <c r="D264"/>
      <c r="E264"/>
      <c r="F264"/>
      <c r="G264"/>
      <c r="H264"/>
      <c r="I264"/>
      <c r="J264"/>
    </row>
    <row r="265" spans="4:10" x14ac:dyDescent="0.25">
      <c r="D265"/>
      <c r="E265"/>
      <c r="F265"/>
      <c r="G265"/>
      <c r="H265"/>
      <c r="I265"/>
      <c r="J265"/>
    </row>
    <row r="266" spans="4:10" x14ac:dyDescent="0.25">
      <c r="D266"/>
      <c r="E266"/>
      <c r="F266"/>
      <c r="G266"/>
      <c r="H266"/>
      <c r="I266"/>
      <c r="J266"/>
    </row>
    <row r="267" spans="4:10" x14ac:dyDescent="0.25">
      <c r="D267"/>
      <c r="E267"/>
      <c r="F267"/>
      <c r="G267"/>
      <c r="H267"/>
      <c r="I267"/>
      <c r="J267"/>
    </row>
    <row r="268" spans="4:10" x14ac:dyDescent="0.25">
      <c r="D268"/>
      <c r="E268"/>
      <c r="F268"/>
      <c r="G268"/>
      <c r="H268"/>
      <c r="I268"/>
      <c r="J268"/>
    </row>
    <row r="269" spans="4:10" x14ac:dyDescent="0.25">
      <c r="D269"/>
      <c r="E269"/>
      <c r="F269"/>
      <c r="G269"/>
      <c r="H269"/>
      <c r="I269"/>
      <c r="J269"/>
    </row>
    <row r="270" spans="4:10" x14ac:dyDescent="0.25">
      <c r="D270"/>
      <c r="E270"/>
      <c r="F270"/>
      <c r="G270"/>
      <c r="H270"/>
      <c r="I270"/>
      <c r="J270"/>
    </row>
    <row r="271" spans="4:10" x14ac:dyDescent="0.25">
      <c r="D271"/>
      <c r="E271"/>
      <c r="F271"/>
      <c r="G271"/>
      <c r="H271"/>
      <c r="I271"/>
      <c r="J271"/>
    </row>
    <row r="272" spans="4:10" x14ac:dyDescent="0.25">
      <c r="D272"/>
      <c r="E272"/>
      <c r="F272"/>
      <c r="G272"/>
      <c r="H272"/>
      <c r="I272"/>
      <c r="J272"/>
    </row>
    <row r="273" spans="4:10" x14ac:dyDescent="0.25">
      <c r="D273"/>
      <c r="E273"/>
      <c r="F273"/>
      <c r="G273"/>
      <c r="H273"/>
      <c r="I273"/>
      <c r="J273"/>
    </row>
    <row r="274" spans="4:10" x14ac:dyDescent="0.25">
      <c r="D274"/>
      <c r="E274"/>
      <c r="F274"/>
      <c r="G274"/>
      <c r="H274"/>
      <c r="I274"/>
      <c r="J274"/>
    </row>
    <row r="275" spans="4:10" x14ac:dyDescent="0.25">
      <c r="D275"/>
      <c r="E275"/>
      <c r="F275"/>
      <c r="G275"/>
      <c r="H275"/>
      <c r="I275"/>
      <c r="J275"/>
    </row>
    <row r="276" spans="4:10" x14ac:dyDescent="0.25">
      <c r="D276"/>
      <c r="E276"/>
      <c r="F276"/>
      <c r="G276"/>
      <c r="H276"/>
      <c r="I276"/>
      <c r="J276"/>
    </row>
    <row r="277" spans="4:10" x14ac:dyDescent="0.25">
      <c r="D277"/>
      <c r="E277"/>
      <c r="F277"/>
      <c r="G277"/>
      <c r="H277"/>
      <c r="I277"/>
      <c r="J277"/>
    </row>
    <row r="278" spans="4:10" x14ac:dyDescent="0.25">
      <c r="D278"/>
      <c r="E278"/>
      <c r="F278"/>
      <c r="G278"/>
      <c r="H278"/>
      <c r="I278"/>
      <c r="J278"/>
    </row>
    <row r="279" spans="4:10" x14ac:dyDescent="0.25">
      <c r="D279"/>
      <c r="E279"/>
      <c r="F279"/>
      <c r="G279"/>
      <c r="H279"/>
      <c r="I279"/>
      <c r="J279"/>
    </row>
    <row r="280" spans="4:10" x14ac:dyDescent="0.25">
      <c r="D280"/>
      <c r="E280"/>
      <c r="F280"/>
      <c r="G280"/>
      <c r="H280"/>
      <c r="I280"/>
      <c r="J280"/>
    </row>
    <row r="281" spans="4:10" x14ac:dyDescent="0.25">
      <c r="D281"/>
      <c r="E281"/>
      <c r="F281"/>
      <c r="G281"/>
      <c r="H281"/>
      <c r="I281"/>
      <c r="J281"/>
    </row>
    <row r="282" spans="4:10" x14ac:dyDescent="0.25">
      <c r="D282"/>
      <c r="E282"/>
      <c r="F282"/>
      <c r="G282"/>
      <c r="H282"/>
      <c r="I282"/>
      <c r="J282"/>
    </row>
    <row r="283" spans="4:10" x14ac:dyDescent="0.25">
      <c r="D283"/>
      <c r="E283"/>
      <c r="F283"/>
      <c r="G283"/>
      <c r="H283"/>
      <c r="I283"/>
      <c r="J283"/>
    </row>
    <row r="284" spans="4:10" x14ac:dyDescent="0.25">
      <c r="D284"/>
      <c r="E284"/>
      <c r="F284"/>
      <c r="G284"/>
      <c r="H284"/>
      <c r="I284"/>
      <c r="J284"/>
    </row>
    <row r="285" spans="4:10" x14ac:dyDescent="0.25">
      <c r="D285"/>
      <c r="E285"/>
      <c r="F285"/>
      <c r="G285"/>
      <c r="H285"/>
      <c r="I285"/>
      <c r="J285"/>
    </row>
    <row r="286" spans="4:10" x14ac:dyDescent="0.25">
      <c r="D286"/>
      <c r="E286"/>
      <c r="F286"/>
      <c r="G286"/>
      <c r="H286"/>
      <c r="I286"/>
      <c r="J286"/>
    </row>
    <row r="287" spans="4:10" x14ac:dyDescent="0.25">
      <c r="D287"/>
      <c r="E287"/>
      <c r="F287"/>
      <c r="G287"/>
      <c r="H287"/>
      <c r="I287"/>
      <c r="J287"/>
    </row>
    <row r="288" spans="4:10" x14ac:dyDescent="0.25">
      <c r="D288"/>
      <c r="E288"/>
      <c r="F288"/>
      <c r="G288"/>
      <c r="H288"/>
      <c r="I288"/>
      <c r="J288"/>
    </row>
    <row r="289" spans="4:10" x14ac:dyDescent="0.25">
      <c r="D289"/>
      <c r="E289"/>
      <c r="F289"/>
      <c r="G289"/>
      <c r="H289"/>
      <c r="I289"/>
      <c r="J289"/>
    </row>
    <row r="290" spans="4:10" x14ac:dyDescent="0.25">
      <c r="D290"/>
      <c r="E290"/>
      <c r="F290"/>
      <c r="G290"/>
      <c r="H290"/>
      <c r="I290"/>
      <c r="J290"/>
    </row>
    <row r="291" spans="4:10" x14ac:dyDescent="0.25">
      <c r="D291"/>
      <c r="E291"/>
      <c r="F291"/>
      <c r="G291"/>
      <c r="H291"/>
      <c r="I291"/>
      <c r="J291"/>
    </row>
    <row r="292" spans="4:10" x14ac:dyDescent="0.25">
      <c r="D292"/>
      <c r="E292"/>
      <c r="F292"/>
      <c r="G292"/>
      <c r="H292"/>
      <c r="I292"/>
      <c r="J292"/>
    </row>
    <row r="293" spans="4:10" x14ac:dyDescent="0.25">
      <c r="D293"/>
      <c r="E293"/>
      <c r="F293"/>
      <c r="G293"/>
      <c r="H293"/>
      <c r="I293"/>
      <c r="J293"/>
    </row>
    <row r="294" spans="4:10" x14ac:dyDescent="0.25">
      <c r="D294"/>
      <c r="E294"/>
      <c r="F294"/>
      <c r="G294"/>
      <c r="H294"/>
      <c r="I294"/>
      <c r="J294"/>
    </row>
    <row r="295" spans="4:10" x14ac:dyDescent="0.25">
      <c r="D295"/>
      <c r="E295"/>
      <c r="F295"/>
      <c r="G295"/>
      <c r="H295"/>
      <c r="I295"/>
      <c r="J295"/>
    </row>
    <row r="296" spans="4:10" x14ac:dyDescent="0.25">
      <c r="D296"/>
      <c r="E296"/>
      <c r="F296"/>
      <c r="G296"/>
      <c r="H296"/>
      <c r="I296"/>
      <c r="J296"/>
    </row>
    <row r="297" spans="4:10" x14ac:dyDescent="0.25">
      <c r="D297"/>
      <c r="E297"/>
      <c r="F297"/>
      <c r="G297"/>
      <c r="H297"/>
      <c r="I297"/>
      <c r="J297"/>
    </row>
    <row r="298" spans="4:10" x14ac:dyDescent="0.25">
      <c r="D298"/>
      <c r="E298"/>
      <c r="F298"/>
      <c r="G298"/>
      <c r="H298"/>
      <c r="I298"/>
      <c r="J298"/>
    </row>
    <row r="299" spans="4:10" x14ac:dyDescent="0.25">
      <c r="D299"/>
      <c r="E299"/>
      <c r="F299"/>
      <c r="G299"/>
      <c r="H299"/>
      <c r="I299"/>
      <c r="J299"/>
    </row>
    <row r="300" spans="4:10" x14ac:dyDescent="0.25">
      <c r="D300"/>
      <c r="E300"/>
      <c r="F300"/>
      <c r="G300"/>
      <c r="H300"/>
      <c r="I300"/>
      <c r="J300"/>
    </row>
    <row r="301" spans="4:10" x14ac:dyDescent="0.25">
      <c r="D301"/>
      <c r="E301"/>
      <c r="F301"/>
      <c r="G301"/>
      <c r="H301"/>
      <c r="I301"/>
      <c r="J301"/>
    </row>
    <row r="302" spans="4:10" x14ac:dyDescent="0.25">
      <c r="D302"/>
      <c r="E302"/>
      <c r="F302"/>
      <c r="G302"/>
      <c r="H302"/>
      <c r="I302"/>
      <c r="J302"/>
    </row>
    <row r="303" spans="4:10" x14ac:dyDescent="0.25">
      <c r="D303"/>
      <c r="E303"/>
      <c r="F303"/>
      <c r="G303"/>
      <c r="H303"/>
      <c r="I303"/>
      <c r="J303"/>
    </row>
    <row r="304" spans="4:10" x14ac:dyDescent="0.25">
      <c r="D304"/>
      <c r="E304"/>
      <c r="F304"/>
      <c r="G304"/>
      <c r="H304"/>
      <c r="I304"/>
      <c r="J304"/>
    </row>
    <row r="305" spans="4:10" x14ac:dyDescent="0.25">
      <c r="D305"/>
      <c r="E305"/>
      <c r="F305"/>
      <c r="G305"/>
      <c r="H305"/>
      <c r="I305"/>
      <c r="J305"/>
    </row>
    <row r="306" spans="4:10" x14ac:dyDescent="0.25">
      <c r="D306"/>
      <c r="E306"/>
      <c r="F306"/>
      <c r="G306"/>
      <c r="H306"/>
      <c r="I306"/>
      <c r="J306"/>
    </row>
    <row r="307" spans="4:10" x14ac:dyDescent="0.25">
      <c r="D307"/>
      <c r="E307"/>
      <c r="F307"/>
      <c r="G307"/>
      <c r="H307"/>
      <c r="I307"/>
      <c r="J307"/>
    </row>
    <row r="308" spans="4:10" x14ac:dyDescent="0.25">
      <c r="D308"/>
      <c r="E308"/>
      <c r="F308"/>
      <c r="G308"/>
      <c r="H308"/>
      <c r="I308"/>
      <c r="J308"/>
    </row>
    <row r="309" spans="4:10" x14ac:dyDescent="0.25">
      <c r="D309"/>
      <c r="E309"/>
      <c r="F309"/>
      <c r="G309"/>
      <c r="H309"/>
      <c r="I309"/>
      <c r="J309"/>
    </row>
    <row r="310" spans="4:10" x14ac:dyDescent="0.25">
      <c r="D310"/>
      <c r="E310"/>
      <c r="F310"/>
      <c r="G310"/>
      <c r="H310"/>
      <c r="I310"/>
      <c r="J310"/>
    </row>
    <row r="311" spans="4:10" x14ac:dyDescent="0.25">
      <c r="D311"/>
      <c r="E311"/>
      <c r="F311"/>
      <c r="G311"/>
      <c r="H311"/>
      <c r="I311"/>
      <c r="J311"/>
    </row>
    <row r="312" spans="4:10" x14ac:dyDescent="0.25">
      <c r="D312"/>
      <c r="E312"/>
      <c r="F312"/>
      <c r="G312"/>
      <c r="H312"/>
      <c r="I312"/>
      <c r="J312"/>
    </row>
    <row r="313" spans="4:10" x14ac:dyDescent="0.25">
      <c r="D313"/>
      <c r="E313"/>
      <c r="F313"/>
      <c r="G313"/>
      <c r="H313"/>
      <c r="I313"/>
      <c r="J313"/>
    </row>
    <row r="314" spans="4:10" x14ac:dyDescent="0.25">
      <c r="D314"/>
      <c r="E314"/>
      <c r="F314"/>
      <c r="G314"/>
      <c r="H314"/>
      <c r="I314"/>
      <c r="J314"/>
    </row>
    <row r="315" spans="4:10" x14ac:dyDescent="0.25">
      <c r="D315"/>
      <c r="E315"/>
      <c r="F315"/>
      <c r="G315"/>
      <c r="H315"/>
      <c r="I315"/>
      <c r="J315"/>
    </row>
    <row r="316" spans="4:10" x14ac:dyDescent="0.25">
      <c r="D316"/>
      <c r="E316"/>
      <c r="F316"/>
      <c r="G316"/>
      <c r="H316"/>
      <c r="I316"/>
      <c r="J316"/>
    </row>
    <row r="317" spans="4:10" x14ac:dyDescent="0.25">
      <c r="D317"/>
      <c r="E317"/>
      <c r="F317"/>
      <c r="G317"/>
      <c r="H317"/>
      <c r="I317"/>
      <c r="J317"/>
    </row>
    <row r="318" spans="4:10" x14ac:dyDescent="0.25">
      <c r="D318"/>
      <c r="E318"/>
      <c r="F318"/>
      <c r="G318"/>
      <c r="H318"/>
      <c r="I318"/>
      <c r="J318"/>
    </row>
    <row r="319" spans="4:10" x14ac:dyDescent="0.25">
      <c r="D319"/>
      <c r="E319"/>
      <c r="F319"/>
      <c r="G319"/>
      <c r="H319"/>
      <c r="I319"/>
      <c r="J319"/>
    </row>
    <row r="320" spans="4:10" x14ac:dyDescent="0.25">
      <c r="D320"/>
      <c r="E320"/>
      <c r="F320"/>
      <c r="G320"/>
      <c r="H320"/>
      <c r="I320"/>
      <c r="J320"/>
    </row>
    <row r="321" spans="4:10" x14ac:dyDescent="0.25">
      <c r="D321"/>
      <c r="E321"/>
      <c r="F321"/>
      <c r="G321"/>
      <c r="H321"/>
      <c r="I321"/>
      <c r="J321"/>
    </row>
    <row r="322" spans="4:10" x14ac:dyDescent="0.25">
      <c r="D322"/>
      <c r="E322"/>
      <c r="F322"/>
      <c r="G322"/>
      <c r="H322"/>
      <c r="I322"/>
      <c r="J322"/>
    </row>
    <row r="323" spans="4:10" x14ac:dyDescent="0.25">
      <c r="D323"/>
      <c r="E323"/>
      <c r="F323"/>
      <c r="G323"/>
      <c r="H323"/>
      <c r="I323"/>
      <c r="J32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2FB6-645E-45F6-BD75-8E2CA1FB94F5}">
  <sheetPr>
    <tabColor theme="1"/>
  </sheetPr>
  <dimension ref="A1:O30"/>
  <sheetViews>
    <sheetView topLeftCell="B4" workbookViewId="0">
      <selection activeCell="O30" sqref="O30"/>
    </sheetView>
  </sheetViews>
  <sheetFormatPr defaultRowHeight="15" x14ac:dyDescent="0.25"/>
  <cols>
    <col min="1" max="1" width="26.7109375" bestFit="1" customWidth="1"/>
    <col min="2" max="2" width="16.28515625" bestFit="1" customWidth="1"/>
    <col min="3" max="14" width="9.7109375" bestFit="1" customWidth="1"/>
    <col min="15" max="15" width="11.28515625" bestFit="1" customWidth="1"/>
  </cols>
  <sheetData>
    <row r="1" spans="1:15" x14ac:dyDescent="0.25">
      <c r="A1" s="23" t="s">
        <v>5</v>
      </c>
      <c r="B1" t="s">
        <v>18</v>
      </c>
    </row>
    <row r="3" spans="1:15" x14ac:dyDescent="0.25">
      <c r="A3" s="23" t="s">
        <v>120</v>
      </c>
      <c r="C3" s="23" t="s">
        <v>4</v>
      </c>
    </row>
    <row r="4" spans="1:15" x14ac:dyDescent="0.25">
      <c r="A4" s="23" t="s">
        <v>6</v>
      </c>
      <c r="B4" s="23" t="s">
        <v>3</v>
      </c>
      <c r="C4" s="4">
        <v>44927</v>
      </c>
      <c r="D4" s="4">
        <v>44958</v>
      </c>
      <c r="E4" s="4">
        <v>44986</v>
      </c>
      <c r="F4" s="4">
        <v>45017</v>
      </c>
      <c r="G4" s="4">
        <v>45047</v>
      </c>
      <c r="H4" s="4">
        <v>45078</v>
      </c>
      <c r="I4" s="4">
        <v>45108</v>
      </c>
      <c r="J4" s="4">
        <v>45139</v>
      </c>
      <c r="K4" s="4">
        <v>45170</v>
      </c>
      <c r="L4" s="4">
        <v>45200</v>
      </c>
      <c r="M4" s="4">
        <v>45231</v>
      </c>
      <c r="N4" s="4">
        <v>45261</v>
      </c>
      <c r="O4" t="s">
        <v>118</v>
      </c>
    </row>
    <row r="5" spans="1:15" x14ac:dyDescent="0.25">
      <c r="A5" t="s">
        <v>52</v>
      </c>
      <c r="B5" t="s">
        <v>51</v>
      </c>
      <c r="C5" s="13">
        <v>90.09</v>
      </c>
      <c r="D5" s="13">
        <v>178.11</v>
      </c>
      <c r="E5" s="13"/>
      <c r="F5" s="13">
        <v>80.040000000000006</v>
      </c>
      <c r="G5" s="13">
        <v>88.02</v>
      </c>
      <c r="H5" s="13">
        <v>88.02</v>
      </c>
      <c r="I5" s="13">
        <v>88.02</v>
      </c>
      <c r="J5" s="13">
        <v>90.83</v>
      </c>
      <c r="K5" s="13">
        <v>90.83</v>
      </c>
      <c r="L5" s="13">
        <v>90.83</v>
      </c>
      <c r="M5" s="13">
        <v>90.83</v>
      </c>
      <c r="N5" s="13">
        <v>90.83</v>
      </c>
      <c r="O5" s="13">
        <v>1066.4500000000003</v>
      </c>
    </row>
    <row r="6" spans="1:15" x14ac:dyDescent="0.25">
      <c r="A6" t="s">
        <v>59</v>
      </c>
      <c r="B6" t="s">
        <v>209</v>
      </c>
      <c r="C6" s="13"/>
      <c r="D6" s="13">
        <v>299.32</v>
      </c>
      <c r="E6" s="13">
        <v>218</v>
      </c>
      <c r="F6" s="13"/>
      <c r="G6" s="13"/>
      <c r="H6" s="13"/>
      <c r="I6" s="13"/>
      <c r="J6" s="13"/>
      <c r="K6" s="13"/>
      <c r="L6" s="13"/>
      <c r="M6" s="13"/>
      <c r="N6" s="13"/>
      <c r="O6" s="13">
        <v>517.31999999999994</v>
      </c>
    </row>
    <row r="7" spans="1:15" x14ac:dyDescent="0.25">
      <c r="A7" t="s">
        <v>24</v>
      </c>
      <c r="B7" t="s">
        <v>1300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>
        <v>29.99</v>
      </c>
      <c r="O7" s="13">
        <v>29.99</v>
      </c>
    </row>
    <row r="8" spans="1:15" x14ac:dyDescent="0.25">
      <c r="A8" t="s">
        <v>24</v>
      </c>
      <c r="B8" t="s">
        <v>135</v>
      </c>
      <c r="C8" s="13">
        <v>9.99</v>
      </c>
      <c r="D8" s="13">
        <v>9.99</v>
      </c>
      <c r="E8" s="13">
        <v>9.99</v>
      </c>
      <c r="F8" s="13">
        <v>9.99</v>
      </c>
      <c r="G8" s="13">
        <v>9.99</v>
      </c>
      <c r="H8" s="13">
        <v>9.99</v>
      </c>
      <c r="I8" s="13">
        <v>9.99</v>
      </c>
      <c r="J8" s="13">
        <v>9.99</v>
      </c>
      <c r="K8" s="13">
        <v>9.99</v>
      </c>
      <c r="L8" s="13">
        <v>9.99</v>
      </c>
      <c r="M8" s="13">
        <v>9.99</v>
      </c>
      <c r="N8" s="13">
        <v>9.99</v>
      </c>
      <c r="O8" s="13">
        <v>119.87999999999998</v>
      </c>
    </row>
    <row r="9" spans="1:15" x14ac:dyDescent="0.25">
      <c r="A9" t="s">
        <v>24</v>
      </c>
      <c r="B9" t="s">
        <v>340</v>
      </c>
      <c r="C9" s="13"/>
      <c r="D9" s="13"/>
      <c r="E9" s="13">
        <v>0</v>
      </c>
      <c r="F9" s="13"/>
      <c r="G9" s="13">
        <v>20</v>
      </c>
      <c r="H9" s="13">
        <v>20</v>
      </c>
      <c r="I9" s="13">
        <v>20</v>
      </c>
      <c r="J9" s="13">
        <v>20</v>
      </c>
      <c r="K9" s="13">
        <v>20</v>
      </c>
      <c r="L9" s="13">
        <v>20</v>
      </c>
      <c r="M9" s="13">
        <v>20</v>
      </c>
      <c r="N9" s="13">
        <v>20</v>
      </c>
      <c r="O9" s="13">
        <v>160</v>
      </c>
    </row>
    <row r="10" spans="1:15" x14ac:dyDescent="0.25">
      <c r="A10" t="s">
        <v>24</v>
      </c>
      <c r="B10" t="s">
        <v>145</v>
      </c>
      <c r="C10" s="13">
        <v>49</v>
      </c>
      <c r="D10" s="13">
        <v>98</v>
      </c>
      <c r="E10" s="13">
        <v>98</v>
      </c>
      <c r="F10" s="13"/>
      <c r="G10" s="13">
        <v>98</v>
      </c>
      <c r="H10" s="13"/>
      <c r="I10" s="13"/>
      <c r="J10" s="13">
        <v>49</v>
      </c>
      <c r="K10" s="13"/>
      <c r="L10" s="13"/>
      <c r="M10" s="13"/>
      <c r="N10" s="13"/>
      <c r="O10" s="13">
        <v>392</v>
      </c>
    </row>
    <row r="11" spans="1:15" x14ac:dyDescent="0.25">
      <c r="A11" t="s">
        <v>24</v>
      </c>
      <c r="B11" t="s">
        <v>1188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>
        <v>84</v>
      </c>
      <c r="N11" s="13"/>
      <c r="O11" s="13">
        <v>84</v>
      </c>
    </row>
    <row r="12" spans="1:15" x14ac:dyDescent="0.25">
      <c r="A12" t="s">
        <v>24</v>
      </c>
      <c r="B12" t="s">
        <v>23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>
        <v>269</v>
      </c>
      <c r="N12" s="13">
        <v>269.5</v>
      </c>
      <c r="O12" s="13">
        <v>538.5</v>
      </c>
    </row>
    <row r="13" spans="1:15" x14ac:dyDescent="0.25">
      <c r="A13" t="s">
        <v>24</v>
      </c>
      <c r="B13" t="s">
        <v>369</v>
      </c>
      <c r="C13" s="13">
        <v>10</v>
      </c>
      <c r="D13" s="13">
        <v>10</v>
      </c>
      <c r="E13" s="13">
        <v>10</v>
      </c>
      <c r="F13" s="13">
        <v>10</v>
      </c>
      <c r="G13" s="13"/>
      <c r="H13" s="13"/>
      <c r="I13" s="13"/>
      <c r="J13" s="13"/>
      <c r="K13" s="13"/>
      <c r="L13" s="13"/>
      <c r="M13" s="13"/>
      <c r="N13" s="13"/>
      <c r="O13" s="13">
        <v>40</v>
      </c>
    </row>
    <row r="14" spans="1:15" x14ac:dyDescent="0.25">
      <c r="A14" t="s">
        <v>24</v>
      </c>
      <c r="B14" t="s">
        <v>286</v>
      </c>
      <c r="C14" s="13"/>
      <c r="D14" s="13"/>
      <c r="E14" s="13">
        <v>289.10000000000002</v>
      </c>
      <c r="F14" s="13">
        <v>264.10000000000002</v>
      </c>
      <c r="G14" s="13">
        <v>264.10000000000002</v>
      </c>
      <c r="H14" s="13">
        <v>264.10000000000002</v>
      </c>
      <c r="I14" s="13">
        <v>264.10000000000002</v>
      </c>
      <c r="J14" s="13">
        <v>264.10000000000002</v>
      </c>
      <c r="K14" s="13">
        <v>264.10000000000002</v>
      </c>
      <c r="L14" s="13">
        <v>264.10000000000002</v>
      </c>
      <c r="M14" s="13">
        <v>264.10000000000002</v>
      </c>
      <c r="N14" s="13">
        <v>264.10000000000002</v>
      </c>
      <c r="O14" s="13">
        <v>2665.9999999999995</v>
      </c>
    </row>
    <row r="15" spans="1:15" x14ac:dyDescent="0.25">
      <c r="A15" t="s">
        <v>24</v>
      </c>
      <c r="B15" t="s">
        <v>84</v>
      </c>
      <c r="C15" s="13"/>
      <c r="D15" s="13">
        <v>5</v>
      </c>
      <c r="E15" s="13">
        <v>5</v>
      </c>
      <c r="F15" s="13">
        <v>5</v>
      </c>
      <c r="G15" s="13">
        <v>5</v>
      </c>
      <c r="H15" s="13">
        <v>5</v>
      </c>
      <c r="I15" s="13">
        <v>55</v>
      </c>
      <c r="J15" s="13">
        <v>5</v>
      </c>
      <c r="K15" s="13">
        <v>5</v>
      </c>
      <c r="L15" s="13">
        <v>5</v>
      </c>
      <c r="M15" s="13">
        <v>5</v>
      </c>
      <c r="N15" s="13">
        <v>5</v>
      </c>
      <c r="O15" s="13">
        <v>105</v>
      </c>
    </row>
    <row r="16" spans="1:15" x14ac:dyDescent="0.25">
      <c r="A16" t="s">
        <v>19</v>
      </c>
      <c r="B16" t="s">
        <v>41</v>
      </c>
      <c r="C16" s="13"/>
      <c r="D16" s="13"/>
      <c r="E16" s="13">
        <v>5.29</v>
      </c>
      <c r="F16" s="13">
        <v>7.41</v>
      </c>
      <c r="G16" s="13">
        <v>7.41</v>
      </c>
      <c r="H16" s="13">
        <v>7.41</v>
      </c>
      <c r="I16" s="13"/>
      <c r="J16" s="13"/>
      <c r="K16" s="13"/>
      <c r="L16" s="13"/>
      <c r="M16" s="13"/>
      <c r="N16" s="13"/>
      <c r="O16" s="13">
        <v>27.52</v>
      </c>
    </row>
    <row r="17" spans="1:15" x14ac:dyDescent="0.25">
      <c r="A17" t="s">
        <v>19</v>
      </c>
      <c r="B17" t="s">
        <v>597</v>
      </c>
      <c r="C17" s="13"/>
      <c r="D17" s="13"/>
      <c r="E17" s="13"/>
      <c r="F17" s="13"/>
      <c r="G17" s="13">
        <v>38.14</v>
      </c>
      <c r="H17" s="13"/>
      <c r="I17" s="13"/>
      <c r="J17" s="13"/>
      <c r="K17" s="13"/>
      <c r="L17" s="13"/>
      <c r="M17" s="13"/>
      <c r="N17" s="13"/>
      <c r="O17" s="13">
        <v>38.14</v>
      </c>
    </row>
    <row r="18" spans="1:15" x14ac:dyDescent="0.25">
      <c r="A18" t="s">
        <v>19</v>
      </c>
      <c r="B18" t="s">
        <v>44</v>
      </c>
      <c r="C18" s="13">
        <v>10</v>
      </c>
      <c r="D18" s="13">
        <v>10</v>
      </c>
      <c r="E18" s="13">
        <v>10</v>
      </c>
      <c r="F18" s="13">
        <v>10</v>
      </c>
      <c r="G18" s="13">
        <v>10</v>
      </c>
      <c r="H18" s="13">
        <v>10</v>
      </c>
      <c r="I18" s="13">
        <v>10</v>
      </c>
      <c r="J18" s="13">
        <v>10</v>
      </c>
      <c r="K18" s="13">
        <v>10</v>
      </c>
      <c r="L18" s="13">
        <v>10</v>
      </c>
      <c r="M18" s="13">
        <v>10</v>
      </c>
      <c r="N18" s="13">
        <v>10</v>
      </c>
      <c r="O18" s="13">
        <v>120</v>
      </c>
    </row>
    <row r="19" spans="1:15" x14ac:dyDescent="0.25">
      <c r="A19" t="s">
        <v>19</v>
      </c>
      <c r="B19" t="s">
        <v>56</v>
      </c>
      <c r="C19" s="13">
        <v>7.99</v>
      </c>
      <c r="D19" s="13">
        <v>7.99</v>
      </c>
      <c r="E19" s="13">
        <v>7.99</v>
      </c>
      <c r="F19" s="13">
        <v>7.99</v>
      </c>
      <c r="G19" s="13">
        <v>7.99</v>
      </c>
      <c r="H19" s="13">
        <v>7.99</v>
      </c>
      <c r="I19" s="13">
        <v>7.99</v>
      </c>
      <c r="J19" s="13">
        <v>7.99</v>
      </c>
      <c r="K19" s="13">
        <v>7.99</v>
      </c>
      <c r="L19" s="13"/>
      <c r="M19" s="13"/>
      <c r="N19" s="13"/>
      <c r="O19" s="13">
        <v>71.910000000000011</v>
      </c>
    </row>
    <row r="20" spans="1:15" x14ac:dyDescent="0.25">
      <c r="A20" t="s">
        <v>19</v>
      </c>
      <c r="B20" t="s">
        <v>501</v>
      </c>
      <c r="C20" s="13"/>
      <c r="D20" s="13"/>
      <c r="E20" s="13">
        <v>109.99</v>
      </c>
      <c r="F20" s="13"/>
      <c r="G20" s="13"/>
      <c r="H20" s="13"/>
      <c r="I20" s="13"/>
      <c r="J20" s="13"/>
      <c r="K20" s="13"/>
      <c r="L20" s="13"/>
      <c r="M20" s="13"/>
      <c r="N20" s="13"/>
      <c r="O20" s="13">
        <v>109.99</v>
      </c>
    </row>
    <row r="21" spans="1:15" x14ac:dyDescent="0.25">
      <c r="A21" t="s">
        <v>19</v>
      </c>
      <c r="B21" t="s">
        <v>33</v>
      </c>
      <c r="C21" s="13">
        <v>15.89</v>
      </c>
      <c r="D21" s="13">
        <v>15.89</v>
      </c>
      <c r="E21" s="13">
        <v>16.95</v>
      </c>
      <c r="F21" s="13">
        <v>28.31</v>
      </c>
      <c r="G21" s="13">
        <v>16.95</v>
      </c>
      <c r="H21" s="13">
        <v>20.12</v>
      </c>
      <c r="I21" s="13">
        <v>16.95</v>
      </c>
      <c r="J21" s="13">
        <v>16.95</v>
      </c>
      <c r="K21" s="13">
        <v>16.95</v>
      </c>
      <c r="L21" s="13"/>
      <c r="M21" s="13">
        <v>31.78</v>
      </c>
      <c r="N21" s="13">
        <v>15.89</v>
      </c>
      <c r="O21" s="13">
        <v>212.63</v>
      </c>
    </row>
    <row r="22" spans="1:15" x14ac:dyDescent="0.25">
      <c r="A22" t="s">
        <v>19</v>
      </c>
      <c r="B22" t="s">
        <v>632</v>
      </c>
      <c r="C22" s="13"/>
      <c r="D22" s="13"/>
      <c r="E22" s="13"/>
      <c r="F22" s="13"/>
      <c r="G22" s="13">
        <v>3.17</v>
      </c>
      <c r="H22" s="13"/>
      <c r="I22" s="13"/>
      <c r="J22" s="13"/>
      <c r="K22" s="13"/>
      <c r="L22" s="13"/>
      <c r="M22" s="13"/>
      <c r="N22" s="13"/>
      <c r="O22" s="13">
        <v>3.17</v>
      </c>
    </row>
    <row r="23" spans="1:15" x14ac:dyDescent="0.25">
      <c r="A23" t="s">
        <v>19</v>
      </c>
      <c r="B23" t="s">
        <v>497</v>
      </c>
      <c r="C23" s="13"/>
      <c r="D23" s="13">
        <v>142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>
        <v>142</v>
      </c>
    </row>
    <row r="24" spans="1:15" x14ac:dyDescent="0.25">
      <c r="A24" t="s">
        <v>19</v>
      </c>
      <c r="B24" t="s">
        <v>17</v>
      </c>
      <c r="C24" s="13">
        <v>10.59</v>
      </c>
      <c r="D24" s="13">
        <v>10.59</v>
      </c>
      <c r="E24" s="13">
        <v>10.59</v>
      </c>
      <c r="F24" s="13">
        <v>10.59</v>
      </c>
      <c r="G24" s="13">
        <v>10.59</v>
      </c>
      <c r="H24" s="13">
        <v>10.59</v>
      </c>
      <c r="I24" s="13">
        <v>10.59</v>
      </c>
      <c r="J24" s="13">
        <v>10.59</v>
      </c>
      <c r="K24" s="13">
        <v>10.59</v>
      </c>
      <c r="L24" s="13"/>
      <c r="M24" s="13"/>
      <c r="N24" s="13"/>
      <c r="O24" s="13">
        <v>95.310000000000016</v>
      </c>
    </row>
    <row r="25" spans="1:15" x14ac:dyDescent="0.25">
      <c r="A25" t="s">
        <v>19</v>
      </c>
      <c r="B25" t="s">
        <v>203</v>
      </c>
      <c r="C25" s="13"/>
      <c r="D25" s="13">
        <v>5.42</v>
      </c>
      <c r="E25" s="13">
        <v>5.42</v>
      </c>
      <c r="F25" s="13"/>
      <c r="G25" s="13"/>
      <c r="H25" s="13"/>
      <c r="I25" s="13"/>
      <c r="J25" s="13"/>
      <c r="K25" s="13"/>
      <c r="L25" s="13"/>
      <c r="M25" s="13"/>
      <c r="N25" s="13"/>
      <c r="O25" s="13">
        <v>10.84</v>
      </c>
    </row>
    <row r="26" spans="1:15" x14ac:dyDescent="0.25">
      <c r="A26" t="s">
        <v>19</v>
      </c>
      <c r="B26" t="s">
        <v>20</v>
      </c>
      <c r="C26" s="13">
        <v>4.99</v>
      </c>
      <c r="D26" s="13">
        <v>4.99</v>
      </c>
      <c r="E26" s="13">
        <v>4.99</v>
      </c>
      <c r="F26" s="13">
        <v>4.99</v>
      </c>
      <c r="G26" s="13">
        <v>4.99</v>
      </c>
      <c r="H26" s="13">
        <v>4.99</v>
      </c>
      <c r="I26" s="13">
        <v>4.99</v>
      </c>
      <c r="J26" s="13">
        <v>4.99</v>
      </c>
      <c r="K26" s="13">
        <v>5.99</v>
      </c>
      <c r="L26" s="13">
        <v>5.99</v>
      </c>
      <c r="M26" s="13">
        <v>5.99</v>
      </c>
      <c r="N26" s="13">
        <v>5.99</v>
      </c>
      <c r="O26" s="13">
        <v>63.880000000000017</v>
      </c>
    </row>
    <row r="27" spans="1:15" x14ac:dyDescent="0.25">
      <c r="A27" t="s">
        <v>19</v>
      </c>
      <c r="B27" t="s">
        <v>1143</v>
      </c>
      <c r="C27" s="13"/>
      <c r="D27" s="13"/>
      <c r="E27" s="13"/>
      <c r="F27" s="13"/>
      <c r="G27" s="13"/>
      <c r="H27" s="13"/>
      <c r="I27" s="13"/>
      <c r="J27" s="13"/>
      <c r="K27" s="13"/>
      <c r="L27" s="13">
        <v>76.31</v>
      </c>
      <c r="M27" s="13"/>
      <c r="N27" s="13"/>
      <c r="O27" s="13">
        <v>76.31</v>
      </c>
    </row>
    <row r="28" spans="1:15" x14ac:dyDescent="0.25">
      <c r="A28" t="s">
        <v>19</v>
      </c>
      <c r="B28" t="s">
        <v>54</v>
      </c>
      <c r="C28" s="13">
        <v>80.88</v>
      </c>
      <c r="D28" s="13">
        <v>80.88</v>
      </c>
      <c r="E28" s="13">
        <v>80.88</v>
      </c>
      <c r="F28" s="13">
        <v>80.88</v>
      </c>
      <c r="G28" s="13">
        <v>88.88</v>
      </c>
      <c r="H28" s="13">
        <v>88.88</v>
      </c>
      <c r="I28" s="13"/>
      <c r="J28" s="13"/>
      <c r="K28" s="13"/>
      <c r="L28" s="13"/>
      <c r="M28" s="13"/>
      <c r="N28" s="13"/>
      <c r="O28" s="13">
        <v>501.28</v>
      </c>
    </row>
    <row r="29" spans="1:15" x14ac:dyDescent="0.25">
      <c r="A29" t="s">
        <v>40</v>
      </c>
      <c r="B29" t="s">
        <v>39</v>
      </c>
      <c r="C29" s="13">
        <v>111.63</v>
      </c>
      <c r="D29" s="13">
        <v>111.63</v>
      </c>
      <c r="E29" s="13">
        <v>111.63</v>
      </c>
      <c r="F29" s="13">
        <v>111.63</v>
      </c>
      <c r="G29" s="13">
        <v>111.63</v>
      </c>
      <c r="H29" s="13">
        <v>111.63</v>
      </c>
      <c r="I29" s="13">
        <v>232.39</v>
      </c>
      <c r="J29" s="13"/>
      <c r="K29" s="13">
        <v>111.63</v>
      </c>
      <c r="L29" s="13">
        <v>29</v>
      </c>
      <c r="M29" s="13"/>
      <c r="N29" s="13"/>
      <c r="O29" s="13">
        <v>1042.8</v>
      </c>
    </row>
    <row r="30" spans="1:15" x14ac:dyDescent="0.25">
      <c r="A30" t="s">
        <v>118</v>
      </c>
      <c r="C30" s="13">
        <v>401.04999999999995</v>
      </c>
      <c r="D30" s="13">
        <v>989.81000000000006</v>
      </c>
      <c r="E30" s="13">
        <v>993.82</v>
      </c>
      <c r="F30" s="13">
        <v>630.92999999999995</v>
      </c>
      <c r="G30" s="13">
        <v>784.86000000000013</v>
      </c>
      <c r="H30" s="13">
        <v>648.72</v>
      </c>
      <c r="I30" s="13">
        <v>720.02</v>
      </c>
      <c r="J30" s="13">
        <v>489.44</v>
      </c>
      <c r="K30" s="13">
        <v>553.06999999999994</v>
      </c>
      <c r="L30" s="13">
        <v>511.22</v>
      </c>
      <c r="M30" s="13">
        <v>790.69</v>
      </c>
      <c r="N30" s="13">
        <v>721.29000000000008</v>
      </c>
      <c r="O30" s="13">
        <v>8234.92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CF74-8ED1-4241-9F42-AE81923D3272}">
  <sheetPr>
    <tabColor theme="1"/>
  </sheetPr>
  <dimension ref="A1:C24"/>
  <sheetViews>
    <sheetView workbookViewId="0">
      <selection activeCell="A9" sqref="A9"/>
    </sheetView>
  </sheetViews>
  <sheetFormatPr defaultRowHeight="15" x14ac:dyDescent="0.25"/>
  <cols>
    <col min="1" max="1" width="19.42578125" bestFit="1" customWidth="1"/>
    <col min="2" max="2" width="14.85546875" bestFit="1" customWidth="1"/>
    <col min="3" max="3" width="14.85546875" style="1" bestFit="1" customWidth="1"/>
    <col min="4" max="285" width="14.85546875" bestFit="1" customWidth="1"/>
  </cols>
  <sheetData>
    <row r="1" spans="1:3" x14ac:dyDescent="0.25">
      <c r="A1" s="23" t="s">
        <v>5</v>
      </c>
      <c r="B1" t="s">
        <v>12</v>
      </c>
    </row>
    <row r="3" spans="1:3" x14ac:dyDescent="0.25">
      <c r="A3" s="23" t="s">
        <v>3</v>
      </c>
      <c r="B3" t="s">
        <v>684</v>
      </c>
      <c r="C3" t="s">
        <v>120</v>
      </c>
    </row>
    <row r="4" spans="1:3" x14ac:dyDescent="0.25">
      <c r="A4" t="s">
        <v>74</v>
      </c>
      <c r="B4">
        <v>7</v>
      </c>
      <c r="C4">
        <v>295.09000000000003</v>
      </c>
    </row>
    <row r="5" spans="1:3" x14ac:dyDescent="0.25">
      <c r="A5" t="s">
        <v>131</v>
      </c>
      <c r="B5">
        <v>7</v>
      </c>
      <c r="C5">
        <v>128.59</v>
      </c>
    </row>
    <row r="6" spans="1:3" x14ac:dyDescent="0.25">
      <c r="A6" t="s">
        <v>80</v>
      </c>
      <c r="B6">
        <v>6</v>
      </c>
      <c r="C6">
        <v>302.44</v>
      </c>
    </row>
    <row r="7" spans="1:3" x14ac:dyDescent="0.25">
      <c r="A7" t="s">
        <v>65</v>
      </c>
      <c r="B7">
        <v>6</v>
      </c>
      <c r="C7">
        <v>457.5</v>
      </c>
    </row>
    <row r="8" spans="1:3" x14ac:dyDescent="0.25">
      <c r="A8" t="s">
        <v>667</v>
      </c>
      <c r="B8">
        <v>5</v>
      </c>
      <c r="C8">
        <v>208.34000000000003</v>
      </c>
    </row>
    <row r="9" spans="1:3" x14ac:dyDescent="0.25">
      <c r="A9" t="s">
        <v>1290</v>
      </c>
      <c r="B9">
        <v>5</v>
      </c>
      <c r="C9">
        <v>71.260000000000005</v>
      </c>
    </row>
    <row r="10" spans="1:3" x14ac:dyDescent="0.25">
      <c r="A10" t="s">
        <v>239</v>
      </c>
      <c r="B10">
        <v>4</v>
      </c>
      <c r="C10">
        <v>148.75</v>
      </c>
    </row>
    <row r="11" spans="1:3" x14ac:dyDescent="0.25">
      <c r="A11" t="s">
        <v>61</v>
      </c>
      <c r="B11">
        <v>4</v>
      </c>
      <c r="C11">
        <v>251.32</v>
      </c>
    </row>
    <row r="12" spans="1:3" x14ac:dyDescent="0.25">
      <c r="A12" t="s">
        <v>161</v>
      </c>
      <c r="B12">
        <v>3</v>
      </c>
      <c r="C12">
        <v>1289.0899999999999</v>
      </c>
    </row>
    <row r="13" spans="1:3" x14ac:dyDescent="0.25">
      <c r="A13" t="s">
        <v>47</v>
      </c>
      <c r="B13">
        <v>3</v>
      </c>
      <c r="C13">
        <v>311.01</v>
      </c>
    </row>
    <row r="14" spans="1:3" x14ac:dyDescent="0.25">
      <c r="A14" t="s">
        <v>1125</v>
      </c>
      <c r="B14">
        <v>3</v>
      </c>
      <c r="C14">
        <v>25.240000000000002</v>
      </c>
    </row>
    <row r="15" spans="1:3" x14ac:dyDescent="0.25">
      <c r="A15" t="s">
        <v>134</v>
      </c>
      <c r="B15">
        <v>3</v>
      </c>
      <c r="C15">
        <v>292.54000000000002</v>
      </c>
    </row>
    <row r="16" spans="1:3" x14ac:dyDescent="0.25">
      <c r="A16" t="s">
        <v>174</v>
      </c>
      <c r="B16">
        <v>3</v>
      </c>
      <c r="C16">
        <v>354.16999999999996</v>
      </c>
    </row>
    <row r="17" spans="1:3" x14ac:dyDescent="0.25">
      <c r="A17" t="s">
        <v>353</v>
      </c>
      <c r="B17">
        <v>3</v>
      </c>
      <c r="C17">
        <v>604.27</v>
      </c>
    </row>
    <row r="18" spans="1:3" x14ac:dyDescent="0.25">
      <c r="A18" t="s">
        <v>1208</v>
      </c>
      <c r="B18">
        <v>2</v>
      </c>
      <c r="C18">
        <v>53.48</v>
      </c>
    </row>
    <row r="19" spans="1:3" x14ac:dyDescent="0.25">
      <c r="A19" t="s">
        <v>537</v>
      </c>
      <c r="B19">
        <v>2</v>
      </c>
      <c r="C19">
        <v>29.92</v>
      </c>
    </row>
    <row r="20" spans="1:3" x14ac:dyDescent="0.25">
      <c r="A20" t="s">
        <v>1169</v>
      </c>
      <c r="B20">
        <v>2</v>
      </c>
      <c r="C20">
        <v>31.98</v>
      </c>
    </row>
    <row r="21" spans="1:3" x14ac:dyDescent="0.25">
      <c r="A21" t="s">
        <v>599</v>
      </c>
      <c r="B21">
        <v>2</v>
      </c>
      <c r="C21">
        <v>108.04</v>
      </c>
    </row>
    <row r="22" spans="1:3" x14ac:dyDescent="0.25">
      <c r="A22" t="s">
        <v>348</v>
      </c>
      <c r="B22">
        <v>2</v>
      </c>
      <c r="C22">
        <v>19.560000000000002</v>
      </c>
    </row>
    <row r="23" spans="1:3" x14ac:dyDescent="0.25">
      <c r="A23" t="s">
        <v>64</v>
      </c>
      <c r="B23">
        <v>2</v>
      </c>
      <c r="C23">
        <v>180</v>
      </c>
    </row>
    <row r="24" spans="1:3" x14ac:dyDescent="0.25">
      <c r="A24" t="s">
        <v>186</v>
      </c>
      <c r="B24">
        <v>2</v>
      </c>
      <c r="C24">
        <v>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89A8-2085-4BC4-9BE7-ABE2449A9F6D}">
  <dimension ref="A1:R41"/>
  <sheetViews>
    <sheetView topLeftCell="B1" workbookViewId="0">
      <pane ySplit="1" topLeftCell="A2" activePane="bottomLeft" state="frozen"/>
      <selection pane="bottomLeft" activeCell="L5" sqref="L5"/>
    </sheetView>
  </sheetViews>
  <sheetFormatPr defaultRowHeight="15" x14ac:dyDescent="0.25"/>
  <cols>
    <col min="1" max="1" width="13.7109375" customWidth="1"/>
    <col min="2" max="10" width="13.7109375" style="2" customWidth="1"/>
    <col min="11" max="14" width="13.7109375" customWidth="1"/>
    <col min="15" max="18" width="17" customWidth="1"/>
    <col min="19" max="19" width="13.7109375" customWidth="1"/>
  </cols>
  <sheetData>
    <row r="1" spans="1:18" x14ac:dyDescent="0.25">
      <c r="B1" s="15" t="s">
        <v>95</v>
      </c>
      <c r="C1" s="15" t="s">
        <v>100</v>
      </c>
      <c r="D1" s="15" t="s">
        <v>101</v>
      </c>
      <c r="E1" s="15" t="s">
        <v>102</v>
      </c>
      <c r="F1" s="15" t="s">
        <v>110</v>
      </c>
      <c r="G1" s="15" t="s">
        <v>106</v>
      </c>
      <c r="H1" s="15" t="s">
        <v>105</v>
      </c>
      <c r="I1" s="15" t="s">
        <v>104</v>
      </c>
      <c r="J1" s="15" t="s">
        <v>98</v>
      </c>
      <c r="K1" s="15" t="s">
        <v>111</v>
      </c>
      <c r="L1" s="15" t="s">
        <v>114</v>
      </c>
      <c r="M1" s="15" t="s">
        <v>113</v>
      </c>
      <c r="N1" s="15" t="s">
        <v>116</v>
      </c>
      <c r="O1" s="15" t="s">
        <v>107</v>
      </c>
      <c r="P1" s="15" t="s">
        <v>112</v>
      </c>
      <c r="Q1" s="15" t="s">
        <v>109</v>
      </c>
      <c r="R1" s="15" t="s">
        <v>108</v>
      </c>
    </row>
    <row r="2" spans="1:18" x14ac:dyDescent="0.25">
      <c r="A2" s="14" t="s">
        <v>103</v>
      </c>
      <c r="B2" s="2">
        <v>5340.1</v>
      </c>
      <c r="C2" s="2">
        <v>3749.93</v>
      </c>
      <c r="L2" s="18"/>
      <c r="M2" s="18"/>
      <c r="N2" s="18"/>
      <c r="O2" s="16"/>
      <c r="P2" s="16"/>
      <c r="Q2" s="16"/>
      <c r="R2" s="16"/>
    </row>
    <row r="3" spans="1:18" x14ac:dyDescent="0.25">
      <c r="A3" s="4">
        <v>44774</v>
      </c>
      <c r="B3" s="2">
        <v>0</v>
      </c>
      <c r="C3" s="2">
        <f>C2+B2-81.42</f>
        <v>9008.61</v>
      </c>
      <c r="D3" s="2">
        <v>500</v>
      </c>
      <c r="L3" s="21">
        <v>159.81</v>
      </c>
      <c r="M3" s="21">
        <v>711.33</v>
      </c>
      <c r="N3" s="21"/>
      <c r="O3" s="16"/>
      <c r="P3" s="16"/>
      <c r="Q3" s="16"/>
      <c r="R3" s="16"/>
    </row>
    <row r="4" spans="1:18" x14ac:dyDescent="0.25">
      <c r="A4" s="4">
        <v>44785</v>
      </c>
      <c r="B4" s="2">
        <f t="shared" ref="B4:B14" si="0">B3+D3-H4</f>
        <v>0</v>
      </c>
      <c r="C4" s="2">
        <f t="shared" ref="C4:C11" si="1">C3-I4</f>
        <v>9008.61</v>
      </c>
      <c r="D4" s="2">
        <v>500</v>
      </c>
      <c r="H4" s="2">
        <v>500</v>
      </c>
      <c r="I4" s="2">
        <v>0</v>
      </c>
      <c r="J4" s="2">
        <v>2000</v>
      </c>
      <c r="K4" s="13">
        <f>J4-I4-H4-G4-F4-E4</f>
        <v>1500</v>
      </c>
      <c r="L4" s="19">
        <v>962.04</v>
      </c>
      <c r="M4" s="19">
        <v>2936.29</v>
      </c>
      <c r="N4" s="19">
        <v>2482.9</v>
      </c>
      <c r="O4" s="16">
        <v>962.04</v>
      </c>
      <c r="P4" s="22">
        <f>M4-O4</f>
        <v>1974.25</v>
      </c>
      <c r="Q4" s="20">
        <v>961.3</v>
      </c>
      <c r="R4" s="16"/>
    </row>
    <row r="5" spans="1:18" x14ac:dyDescent="0.25">
      <c r="A5" s="4">
        <f>A4+14</f>
        <v>44799</v>
      </c>
      <c r="B5" s="2">
        <f t="shared" si="0"/>
        <v>0</v>
      </c>
      <c r="C5" s="2">
        <f t="shared" si="1"/>
        <v>9008.61</v>
      </c>
      <c r="D5" s="2">
        <v>1200</v>
      </c>
      <c r="G5" s="2">
        <v>1073.3399999999999</v>
      </c>
      <c r="H5" s="2">
        <v>500</v>
      </c>
      <c r="I5" s="2">
        <v>0</v>
      </c>
      <c r="J5" s="2">
        <f>J4</f>
        <v>2000</v>
      </c>
      <c r="K5" s="13">
        <f>J5-I5-H5-G5-F5-E5+K4</f>
        <v>1926.66</v>
      </c>
      <c r="L5" s="19">
        <v>451.88</v>
      </c>
      <c r="M5" s="19">
        <v>1909.18</v>
      </c>
      <c r="N5" s="19">
        <v>1952.12</v>
      </c>
      <c r="O5" s="22">
        <f>L5</f>
        <v>451.88</v>
      </c>
      <c r="P5" s="22">
        <f>M5-O5</f>
        <v>1457.3000000000002</v>
      </c>
      <c r="Q5" s="16"/>
      <c r="R5" s="16"/>
    </row>
    <row r="6" spans="1:18" x14ac:dyDescent="0.25">
      <c r="A6" s="4">
        <f t="shared" ref="A6:A40" si="2">A5+14</f>
        <v>44813</v>
      </c>
      <c r="B6" s="2">
        <f t="shared" si="0"/>
        <v>500</v>
      </c>
      <c r="C6" s="2">
        <f t="shared" si="1"/>
        <v>7708.6100000000006</v>
      </c>
      <c r="D6" s="2">
        <v>500</v>
      </c>
      <c r="H6" s="2">
        <v>700</v>
      </c>
      <c r="I6" s="2">
        <v>1300</v>
      </c>
      <c r="J6" s="2">
        <f t="shared" ref="J6:J40" si="3">J5</f>
        <v>2000</v>
      </c>
      <c r="K6" s="13">
        <f t="shared" ref="K6:K40" si="4">J6-I6-H6-G6-F6-E6+K5</f>
        <v>1926.66</v>
      </c>
      <c r="L6" s="19"/>
      <c r="M6" s="19"/>
      <c r="N6" s="19"/>
      <c r="O6" s="16"/>
      <c r="P6" s="16"/>
      <c r="Q6" s="16"/>
      <c r="R6" s="16"/>
    </row>
    <row r="7" spans="1:18" x14ac:dyDescent="0.25">
      <c r="A7" s="4">
        <f t="shared" si="2"/>
        <v>44827</v>
      </c>
      <c r="B7" s="2">
        <f t="shared" si="0"/>
        <v>0</v>
      </c>
      <c r="C7" s="2">
        <f t="shared" si="1"/>
        <v>7458.6100000000006</v>
      </c>
      <c r="D7" s="2">
        <v>500</v>
      </c>
      <c r="G7" s="2">
        <v>750</v>
      </c>
      <c r="H7" s="2">
        <v>1000</v>
      </c>
      <c r="I7" s="2">
        <v>250</v>
      </c>
      <c r="J7" s="2">
        <f t="shared" si="3"/>
        <v>2000</v>
      </c>
      <c r="K7" s="13">
        <f t="shared" si="4"/>
        <v>1926.66</v>
      </c>
      <c r="L7" s="19"/>
      <c r="M7" s="19"/>
      <c r="N7" s="19"/>
      <c r="O7" s="16"/>
      <c r="P7" s="16"/>
      <c r="Q7" s="16"/>
      <c r="R7" s="16"/>
    </row>
    <row r="8" spans="1:18" x14ac:dyDescent="0.25">
      <c r="A8" s="4">
        <f t="shared" si="2"/>
        <v>44841</v>
      </c>
      <c r="B8" s="2">
        <f t="shared" si="0"/>
        <v>0</v>
      </c>
      <c r="C8" s="2">
        <f t="shared" si="1"/>
        <v>5958.6100000000006</v>
      </c>
      <c r="D8" s="2">
        <v>500</v>
      </c>
      <c r="H8" s="2">
        <v>500</v>
      </c>
      <c r="I8" s="2">
        <v>1500</v>
      </c>
      <c r="J8" s="2">
        <f t="shared" si="3"/>
        <v>2000</v>
      </c>
      <c r="K8" s="13">
        <f t="shared" si="4"/>
        <v>1926.66</v>
      </c>
      <c r="L8" s="19"/>
      <c r="M8" s="19"/>
      <c r="N8" s="19"/>
      <c r="O8" s="16"/>
      <c r="P8" s="16"/>
      <c r="Q8" s="16"/>
      <c r="R8" s="16"/>
    </row>
    <row r="9" spans="1:18" x14ac:dyDescent="0.25">
      <c r="A9" s="4">
        <f t="shared" si="2"/>
        <v>44855</v>
      </c>
      <c r="B9" s="2">
        <f t="shared" si="0"/>
        <v>350</v>
      </c>
      <c r="C9" s="2">
        <f t="shared" si="1"/>
        <v>5208.6100000000006</v>
      </c>
      <c r="D9" s="2">
        <v>150</v>
      </c>
      <c r="F9" s="2">
        <v>348</v>
      </c>
      <c r="G9" s="2">
        <v>750</v>
      </c>
      <c r="H9" s="2">
        <v>150</v>
      </c>
      <c r="I9" s="2">
        <v>750</v>
      </c>
      <c r="J9" s="2">
        <f t="shared" si="3"/>
        <v>2000</v>
      </c>
      <c r="K9" s="13">
        <f t="shared" si="4"/>
        <v>1928.66</v>
      </c>
      <c r="L9" s="19"/>
      <c r="M9" s="19"/>
      <c r="N9" s="19"/>
      <c r="O9" s="16"/>
      <c r="P9" s="16"/>
      <c r="Q9" s="16"/>
      <c r="R9" s="16"/>
    </row>
    <row r="10" spans="1:18" x14ac:dyDescent="0.25">
      <c r="A10" s="4">
        <f t="shared" si="2"/>
        <v>44869</v>
      </c>
      <c r="B10" s="2">
        <f t="shared" si="0"/>
        <v>0</v>
      </c>
      <c r="C10" s="2">
        <f t="shared" si="1"/>
        <v>3708.6100000000006</v>
      </c>
      <c r="D10" s="2">
        <v>500</v>
      </c>
      <c r="H10" s="2">
        <v>500</v>
      </c>
      <c r="I10" s="2">
        <v>1500</v>
      </c>
      <c r="J10" s="2">
        <f t="shared" si="3"/>
        <v>2000</v>
      </c>
      <c r="K10" s="13">
        <f t="shared" si="4"/>
        <v>1928.66</v>
      </c>
      <c r="L10" s="19"/>
      <c r="M10" s="19"/>
      <c r="N10" s="19"/>
      <c r="O10" s="16"/>
      <c r="P10" s="16"/>
      <c r="Q10" s="16"/>
      <c r="R10" s="16"/>
    </row>
    <row r="11" spans="1:18" x14ac:dyDescent="0.25">
      <c r="A11" s="4">
        <f t="shared" si="2"/>
        <v>44883</v>
      </c>
      <c r="B11" s="2">
        <f t="shared" si="0"/>
        <v>350</v>
      </c>
      <c r="C11" s="2">
        <f t="shared" si="1"/>
        <v>2958.6100000000006</v>
      </c>
      <c r="D11" s="2">
        <v>150</v>
      </c>
      <c r="F11" s="2">
        <v>348</v>
      </c>
      <c r="G11" s="2">
        <v>750</v>
      </c>
      <c r="H11" s="2">
        <v>150</v>
      </c>
      <c r="I11" s="2">
        <v>750</v>
      </c>
      <c r="J11" s="2">
        <f t="shared" si="3"/>
        <v>2000</v>
      </c>
      <c r="K11" s="13">
        <f t="shared" si="4"/>
        <v>1930.66</v>
      </c>
      <c r="L11" s="19"/>
      <c r="M11" s="19"/>
      <c r="N11" s="19"/>
      <c r="O11" s="16"/>
      <c r="P11" s="16"/>
      <c r="Q11" s="16"/>
      <c r="R11" s="16"/>
    </row>
    <row r="12" spans="1:18" x14ac:dyDescent="0.25">
      <c r="A12" s="4">
        <f t="shared" si="2"/>
        <v>44897</v>
      </c>
      <c r="B12" s="2">
        <f t="shared" si="0"/>
        <v>0</v>
      </c>
      <c r="C12" s="2">
        <f t="shared" ref="C12:C40" si="5">C11-I12</f>
        <v>1500.0000000000007</v>
      </c>
      <c r="D12" s="2">
        <v>500</v>
      </c>
      <c r="H12" s="2">
        <v>500</v>
      </c>
      <c r="I12" s="2">
        <f>1500-41.39</f>
        <v>1458.61</v>
      </c>
      <c r="J12" s="2">
        <f t="shared" si="3"/>
        <v>2000</v>
      </c>
      <c r="K12" s="13">
        <f t="shared" si="4"/>
        <v>1972.0500000000002</v>
      </c>
      <c r="L12" s="19"/>
      <c r="M12" s="19"/>
      <c r="N12" s="19"/>
      <c r="O12" s="16"/>
      <c r="P12" s="16"/>
      <c r="Q12" s="16"/>
      <c r="R12" s="16"/>
    </row>
    <row r="13" spans="1:18" x14ac:dyDescent="0.25">
      <c r="A13" s="4">
        <f t="shared" si="2"/>
        <v>44911</v>
      </c>
      <c r="B13" s="2">
        <f t="shared" si="0"/>
        <v>350</v>
      </c>
      <c r="C13" s="2">
        <f t="shared" si="5"/>
        <v>1500.0000000000007</v>
      </c>
      <c r="D13" s="2">
        <v>150</v>
      </c>
      <c r="F13" s="2">
        <v>348</v>
      </c>
      <c r="H13" s="2">
        <v>150</v>
      </c>
      <c r="I13" s="2">
        <v>0</v>
      </c>
      <c r="J13" s="2">
        <f t="shared" si="3"/>
        <v>2000</v>
      </c>
      <c r="K13" s="13">
        <f t="shared" si="4"/>
        <v>3474.05</v>
      </c>
      <c r="L13" s="19"/>
      <c r="M13" s="19"/>
      <c r="N13" s="19"/>
      <c r="O13" s="16"/>
      <c r="P13" s="16"/>
      <c r="Q13" s="16"/>
      <c r="R13" s="16"/>
    </row>
    <row r="14" spans="1:18" x14ac:dyDescent="0.25">
      <c r="A14" s="4">
        <f t="shared" si="2"/>
        <v>44925</v>
      </c>
      <c r="B14" s="2">
        <f t="shared" si="0"/>
        <v>0</v>
      </c>
      <c r="C14" s="2">
        <f t="shared" si="5"/>
        <v>1500.0000000000007</v>
      </c>
      <c r="D14" s="2">
        <v>500</v>
      </c>
      <c r="G14" s="2">
        <v>750</v>
      </c>
      <c r="H14" s="2">
        <v>500</v>
      </c>
      <c r="I14" s="2">
        <v>0</v>
      </c>
      <c r="J14" s="2">
        <f t="shared" si="3"/>
        <v>2000</v>
      </c>
      <c r="K14" s="13">
        <f t="shared" si="4"/>
        <v>4224.05</v>
      </c>
      <c r="L14" s="19"/>
      <c r="M14" s="19"/>
      <c r="N14" s="19"/>
      <c r="O14" s="16"/>
      <c r="P14" s="16"/>
      <c r="Q14" s="16"/>
      <c r="R14" s="16"/>
    </row>
    <row r="15" spans="1:18" x14ac:dyDescent="0.25">
      <c r="A15" s="4">
        <f t="shared" si="2"/>
        <v>44939</v>
      </c>
      <c r="B15" s="2">
        <f t="shared" ref="B15:B40" si="6">B14+D14-H15</f>
        <v>0</v>
      </c>
      <c r="C15" s="17">
        <v>9462</v>
      </c>
      <c r="D15" s="2">
        <v>500</v>
      </c>
      <c r="F15" s="2">
        <v>348</v>
      </c>
      <c r="H15" s="2">
        <v>500</v>
      </c>
      <c r="I15" s="2">
        <v>0</v>
      </c>
      <c r="J15" s="2">
        <f t="shared" si="3"/>
        <v>2000</v>
      </c>
      <c r="K15" s="13">
        <f t="shared" si="4"/>
        <v>5376.05</v>
      </c>
      <c r="L15" s="19"/>
      <c r="M15" s="19"/>
      <c r="N15" s="19"/>
      <c r="O15" s="16"/>
      <c r="P15" s="16"/>
      <c r="Q15" s="16"/>
      <c r="R15" s="16"/>
    </row>
    <row r="16" spans="1:18" x14ac:dyDescent="0.25">
      <c r="A16" s="4">
        <f t="shared" si="2"/>
        <v>44953</v>
      </c>
      <c r="B16" s="2">
        <f t="shared" si="6"/>
        <v>0</v>
      </c>
      <c r="C16" s="2">
        <f t="shared" si="5"/>
        <v>7962</v>
      </c>
      <c r="D16" s="2">
        <v>500</v>
      </c>
      <c r="G16" s="2">
        <v>750</v>
      </c>
      <c r="H16" s="2">
        <v>500</v>
      </c>
      <c r="I16" s="2">
        <v>1500</v>
      </c>
      <c r="J16" s="2">
        <f t="shared" si="3"/>
        <v>2000</v>
      </c>
      <c r="K16" s="13">
        <f t="shared" si="4"/>
        <v>4626.05</v>
      </c>
      <c r="L16" s="19"/>
      <c r="M16" s="19"/>
      <c r="N16" s="19"/>
      <c r="O16" s="16"/>
      <c r="P16" s="16"/>
      <c r="Q16" s="16"/>
      <c r="R16" s="16"/>
    </row>
    <row r="17" spans="1:18" x14ac:dyDescent="0.25">
      <c r="A17" s="4">
        <f t="shared" si="2"/>
        <v>44967</v>
      </c>
      <c r="B17" s="2">
        <f t="shared" si="6"/>
        <v>0</v>
      </c>
      <c r="C17" s="2">
        <f t="shared" si="5"/>
        <v>6462</v>
      </c>
      <c r="D17" s="2">
        <v>500</v>
      </c>
      <c r="F17" s="2">
        <v>348</v>
      </c>
      <c r="H17" s="2">
        <v>500</v>
      </c>
      <c r="I17" s="2">
        <v>1500</v>
      </c>
      <c r="J17" s="2">
        <f t="shared" si="3"/>
        <v>2000</v>
      </c>
      <c r="K17" s="13">
        <f t="shared" si="4"/>
        <v>4278.05</v>
      </c>
      <c r="L17" s="19"/>
      <c r="M17" s="19"/>
      <c r="N17" s="19"/>
      <c r="O17" s="16"/>
      <c r="P17" s="16"/>
      <c r="Q17" s="16"/>
      <c r="R17" s="16"/>
    </row>
    <row r="18" spans="1:18" x14ac:dyDescent="0.25">
      <c r="A18" s="4">
        <f t="shared" si="2"/>
        <v>44981</v>
      </c>
      <c r="B18" s="2">
        <f t="shared" si="6"/>
        <v>0</v>
      </c>
      <c r="C18" s="2">
        <f t="shared" si="5"/>
        <v>4962</v>
      </c>
      <c r="D18" s="2">
        <v>500</v>
      </c>
      <c r="G18" s="2">
        <v>750</v>
      </c>
      <c r="H18" s="2">
        <v>500</v>
      </c>
      <c r="I18" s="2">
        <v>1500</v>
      </c>
      <c r="J18" s="2">
        <f t="shared" si="3"/>
        <v>2000</v>
      </c>
      <c r="K18" s="13">
        <f t="shared" si="4"/>
        <v>3528.05</v>
      </c>
      <c r="L18" s="19"/>
      <c r="M18" s="19"/>
      <c r="N18" s="19"/>
      <c r="O18" s="16"/>
      <c r="P18" s="16"/>
      <c r="Q18" s="16"/>
      <c r="R18" s="16"/>
    </row>
    <row r="19" spans="1:18" x14ac:dyDescent="0.25">
      <c r="A19" s="4">
        <f t="shared" si="2"/>
        <v>44995</v>
      </c>
      <c r="B19" s="2">
        <f t="shared" si="6"/>
        <v>0</v>
      </c>
      <c r="C19" s="2">
        <f t="shared" si="5"/>
        <v>3462</v>
      </c>
      <c r="D19" s="2">
        <v>500</v>
      </c>
      <c r="F19" s="2">
        <v>348</v>
      </c>
      <c r="H19" s="2">
        <v>500</v>
      </c>
      <c r="I19" s="2">
        <v>1500</v>
      </c>
      <c r="J19" s="2">
        <f t="shared" si="3"/>
        <v>2000</v>
      </c>
      <c r="K19" s="13">
        <f t="shared" si="4"/>
        <v>3180.05</v>
      </c>
      <c r="L19" s="19"/>
      <c r="M19" s="19"/>
      <c r="N19" s="19"/>
      <c r="O19" s="16"/>
      <c r="P19" s="16"/>
      <c r="Q19" s="16"/>
      <c r="R19" s="16"/>
    </row>
    <row r="20" spans="1:18" x14ac:dyDescent="0.25">
      <c r="A20" s="4">
        <f t="shared" si="2"/>
        <v>45009</v>
      </c>
      <c r="B20" s="2">
        <f t="shared" si="6"/>
        <v>0</v>
      </c>
      <c r="C20" s="2">
        <f t="shared" si="5"/>
        <v>1962</v>
      </c>
      <c r="D20" s="2">
        <v>500</v>
      </c>
      <c r="G20" s="2">
        <v>750</v>
      </c>
      <c r="H20" s="2">
        <v>500</v>
      </c>
      <c r="I20" s="2">
        <v>1500</v>
      </c>
      <c r="J20" s="2">
        <f t="shared" si="3"/>
        <v>2000</v>
      </c>
      <c r="K20" s="13">
        <f t="shared" si="4"/>
        <v>2430.0500000000002</v>
      </c>
      <c r="L20" s="19"/>
      <c r="M20" s="19"/>
      <c r="N20" s="19"/>
      <c r="O20" s="16"/>
      <c r="P20" s="16"/>
      <c r="Q20" s="16"/>
      <c r="R20" s="16"/>
    </row>
    <row r="21" spans="1:18" x14ac:dyDescent="0.25">
      <c r="A21" s="4">
        <f t="shared" si="2"/>
        <v>45023</v>
      </c>
      <c r="B21" s="2">
        <f t="shared" si="6"/>
        <v>0</v>
      </c>
      <c r="C21" s="2">
        <f t="shared" si="5"/>
        <v>462</v>
      </c>
      <c r="D21" s="2">
        <v>500</v>
      </c>
      <c r="F21" s="2">
        <v>348</v>
      </c>
      <c r="H21" s="2">
        <v>500</v>
      </c>
      <c r="I21" s="2">
        <v>1500</v>
      </c>
      <c r="J21" s="2">
        <f t="shared" si="3"/>
        <v>2000</v>
      </c>
      <c r="K21" s="13">
        <f t="shared" si="4"/>
        <v>2082.0500000000002</v>
      </c>
      <c r="L21" s="19"/>
      <c r="M21" s="19"/>
      <c r="N21" s="19"/>
      <c r="O21" s="16"/>
      <c r="P21" s="16"/>
      <c r="Q21" s="16"/>
      <c r="R21" s="16"/>
    </row>
    <row r="22" spans="1:18" x14ac:dyDescent="0.25">
      <c r="A22" s="4">
        <f t="shared" si="2"/>
        <v>45037</v>
      </c>
      <c r="B22" s="2">
        <f t="shared" si="6"/>
        <v>0</v>
      </c>
      <c r="C22" s="2">
        <f t="shared" si="5"/>
        <v>0</v>
      </c>
      <c r="D22" s="2">
        <v>500</v>
      </c>
      <c r="G22" s="2">
        <v>750</v>
      </c>
      <c r="H22" s="2">
        <v>500</v>
      </c>
      <c r="I22" s="2">
        <v>462</v>
      </c>
      <c r="J22" s="2">
        <f t="shared" si="3"/>
        <v>2000</v>
      </c>
      <c r="K22" s="13">
        <f t="shared" si="4"/>
        <v>2370.0500000000002</v>
      </c>
      <c r="L22" s="19"/>
      <c r="M22" s="19"/>
      <c r="N22" s="19"/>
      <c r="O22" s="16"/>
      <c r="P22" s="16"/>
      <c r="Q22" s="16"/>
      <c r="R22" s="16"/>
    </row>
    <row r="23" spans="1:18" x14ac:dyDescent="0.25">
      <c r="A23" s="4">
        <f t="shared" si="2"/>
        <v>45051</v>
      </c>
      <c r="B23" s="2">
        <f t="shared" si="6"/>
        <v>0</v>
      </c>
      <c r="C23" s="2">
        <f t="shared" si="5"/>
        <v>0</v>
      </c>
      <c r="D23" s="2">
        <v>500</v>
      </c>
      <c r="E23" s="2">
        <v>1500</v>
      </c>
      <c r="F23" s="2">
        <v>348</v>
      </c>
      <c r="H23" s="2">
        <v>500</v>
      </c>
      <c r="I23" s="2">
        <v>0</v>
      </c>
      <c r="J23" s="2">
        <f t="shared" si="3"/>
        <v>2000</v>
      </c>
      <c r="K23" s="13">
        <f t="shared" si="4"/>
        <v>2022.0500000000002</v>
      </c>
      <c r="L23" s="19"/>
      <c r="M23" s="19"/>
      <c r="N23" s="19"/>
      <c r="O23" s="16"/>
      <c r="P23" s="16"/>
      <c r="Q23" s="16"/>
      <c r="R23" s="16"/>
    </row>
    <row r="24" spans="1:18" x14ac:dyDescent="0.25">
      <c r="A24" s="4">
        <f t="shared" si="2"/>
        <v>45065</v>
      </c>
      <c r="B24" s="2">
        <f t="shared" si="6"/>
        <v>0</v>
      </c>
      <c r="C24" s="2">
        <f t="shared" si="5"/>
        <v>0</v>
      </c>
      <c r="D24" s="2">
        <v>500</v>
      </c>
      <c r="G24" s="2">
        <v>750</v>
      </c>
      <c r="H24" s="2">
        <v>500</v>
      </c>
      <c r="I24" s="2">
        <v>0</v>
      </c>
      <c r="J24" s="2">
        <f t="shared" si="3"/>
        <v>2000</v>
      </c>
      <c r="K24" s="13">
        <f t="shared" si="4"/>
        <v>2772.05</v>
      </c>
      <c r="L24" s="19"/>
      <c r="M24" s="19"/>
      <c r="N24" s="19"/>
      <c r="O24" s="16"/>
      <c r="P24" s="16"/>
      <c r="Q24" s="16"/>
      <c r="R24" s="16"/>
    </row>
    <row r="25" spans="1:18" x14ac:dyDescent="0.25">
      <c r="A25" s="4">
        <f t="shared" si="2"/>
        <v>45079</v>
      </c>
      <c r="B25" s="2">
        <f t="shared" si="6"/>
        <v>0</v>
      </c>
      <c r="C25" s="2">
        <f t="shared" si="5"/>
        <v>0</v>
      </c>
      <c r="D25" s="2">
        <v>500</v>
      </c>
      <c r="E25" s="2">
        <v>1500</v>
      </c>
      <c r="H25" s="2">
        <v>500</v>
      </c>
      <c r="I25" s="2">
        <v>0</v>
      </c>
      <c r="J25" s="2">
        <f t="shared" si="3"/>
        <v>2000</v>
      </c>
      <c r="K25" s="13">
        <f t="shared" si="4"/>
        <v>2772.05</v>
      </c>
      <c r="L25" s="19"/>
      <c r="M25" s="19"/>
      <c r="N25" s="19"/>
      <c r="O25" s="16"/>
      <c r="P25" s="16"/>
      <c r="Q25" s="16"/>
      <c r="R25" s="16"/>
    </row>
    <row r="26" spans="1:18" x14ac:dyDescent="0.25">
      <c r="A26" s="4">
        <f t="shared" si="2"/>
        <v>45093</v>
      </c>
      <c r="B26" s="2">
        <f t="shared" si="6"/>
        <v>0</v>
      </c>
      <c r="C26" s="2">
        <f t="shared" si="5"/>
        <v>0</v>
      </c>
      <c r="D26" s="2">
        <v>500</v>
      </c>
      <c r="F26" s="2">
        <v>348</v>
      </c>
      <c r="H26" s="2">
        <v>500</v>
      </c>
      <c r="I26" s="2">
        <v>0</v>
      </c>
      <c r="J26" s="2">
        <f t="shared" si="3"/>
        <v>2000</v>
      </c>
      <c r="K26" s="13">
        <f t="shared" si="4"/>
        <v>3924.05</v>
      </c>
      <c r="L26" s="19"/>
      <c r="M26" s="19"/>
      <c r="N26" s="19"/>
      <c r="O26" s="16"/>
      <c r="P26" s="16"/>
      <c r="Q26" s="16"/>
      <c r="R26" s="16"/>
    </row>
    <row r="27" spans="1:18" x14ac:dyDescent="0.25">
      <c r="A27" s="4">
        <f t="shared" si="2"/>
        <v>45107</v>
      </c>
      <c r="B27" s="2">
        <f t="shared" si="6"/>
        <v>0</v>
      </c>
      <c r="C27" s="2">
        <f t="shared" si="5"/>
        <v>0</v>
      </c>
      <c r="D27" s="2">
        <v>500</v>
      </c>
      <c r="E27" s="2">
        <v>1500</v>
      </c>
      <c r="G27" s="2">
        <v>750</v>
      </c>
      <c r="H27" s="2">
        <v>500</v>
      </c>
      <c r="I27" s="2">
        <v>0</v>
      </c>
      <c r="J27" s="2">
        <f t="shared" si="3"/>
        <v>2000</v>
      </c>
      <c r="K27" s="13">
        <f t="shared" si="4"/>
        <v>3174.05</v>
      </c>
      <c r="L27" s="19"/>
      <c r="M27" s="19"/>
      <c r="N27" s="19"/>
      <c r="O27" s="16"/>
      <c r="P27" s="16"/>
      <c r="Q27" s="16"/>
      <c r="R27" s="16"/>
    </row>
    <row r="28" spans="1:18" x14ac:dyDescent="0.25">
      <c r="A28" s="4">
        <f t="shared" si="2"/>
        <v>45121</v>
      </c>
      <c r="B28" s="2">
        <f t="shared" si="6"/>
        <v>0</v>
      </c>
      <c r="C28" s="2">
        <f t="shared" si="5"/>
        <v>0</v>
      </c>
      <c r="D28" s="2">
        <v>500</v>
      </c>
      <c r="F28" s="2">
        <v>348</v>
      </c>
      <c r="H28" s="2">
        <v>500</v>
      </c>
      <c r="I28" s="2">
        <v>0</v>
      </c>
      <c r="J28" s="2">
        <f t="shared" si="3"/>
        <v>2000</v>
      </c>
      <c r="K28" s="13">
        <f t="shared" si="4"/>
        <v>4326.05</v>
      </c>
      <c r="L28" s="19"/>
      <c r="M28" s="19"/>
      <c r="N28" s="19"/>
      <c r="O28" s="16"/>
      <c r="P28" s="16"/>
      <c r="Q28" s="16"/>
      <c r="R28" s="16"/>
    </row>
    <row r="29" spans="1:18" x14ac:dyDescent="0.25">
      <c r="A29" s="4">
        <f t="shared" si="2"/>
        <v>45135</v>
      </c>
      <c r="B29" s="2">
        <f t="shared" si="6"/>
        <v>0</v>
      </c>
      <c r="C29" s="2">
        <f t="shared" si="5"/>
        <v>0</v>
      </c>
      <c r="D29" s="2">
        <v>500</v>
      </c>
      <c r="E29" s="2">
        <v>1500</v>
      </c>
      <c r="G29" s="2">
        <v>750</v>
      </c>
      <c r="H29" s="2">
        <v>500</v>
      </c>
      <c r="I29" s="2">
        <v>0</v>
      </c>
      <c r="J29" s="2">
        <f t="shared" si="3"/>
        <v>2000</v>
      </c>
      <c r="K29" s="13">
        <f t="shared" si="4"/>
        <v>3576.05</v>
      </c>
      <c r="L29" s="19"/>
      <c r="M29" s="19"/>
      <c r="N29" s="19"/>
      <c r="O29" s="16"/>
      <c r="P29" s="16"/>
      <c r="Q29" s="16"/>
      <c r="R29" s="16"/>
    </row>
    <row r="30" spans="1:18" x14ac:dyDescent="0.25">
      <c r="A30" s="4">
        <f t="shared" si="2"/>
        <v>45149</v>
      </c>
      <c r="B30" s="2">
        <f t="shared" si="6"/>
        <v>0</v>
      </c>
      <c r="C30" s="2">
        <f t="shared" si="5"/>
        <v>0</v>
      </c>
      <c r="D30" s="2">
        <v>500</v>
      </c>
      <c r="F30" s="2">
        <v>348</v>
      </c>
      <c r="H30" s="2">
        <v>500</v>
      </c>
      <c r="I30" s="2">
        <v>0</v>
      </c>
      <c r="J30" s="2">
        <f t="shared" si="3"/>
        <v>2000</v>
      </c>
      <c r="K30" s="13">
        <f t="shared" si="4"/>
        <v>4728.05</v>
      </c>
      <c r="L30" s="19"/>
      <c r="M30" s="19"/>
      <c r="N30" s="19"/>
      <c r="O30" s="16"/>
      <c r="P30" s="16"/>
      <c r="Q30" s="16"/>
      <c r="R30" s="16"/>
    </row>
    <row r="31" spans="1:18" x14ac:dyDescent="0.25">
      <c r="A31" s="4">
        <f t="shared" si="2"/>
        <v>45163</v>
      </c>
      <c r="B31" s="2">
        <f t="shared" si="6"/>
        <v>0</v>
      </c>
      <c r="C31" s="2">
        <f t="shared" si="5"/>
        <v>0</v>
      </c>
      <c r="D31" s="2">
        <v>500</v>
      </c>
      <c r="E31" s="2">
        <v>1500</v>
      </c>
      <c r="G31" s="2">
        <v>750</v>
      </c>
      <c r="H31" s="2">
        <v>500</v>
      </c>
      <c r="I31" s="2">
        <v>0</v>
      </c>
      <c r="J31" s="2">
        <f t="shared" si="3"/>
        <v>2000</v>
      </c>
      <c r="K31" s="13">
        <f t="shared" si="4"/>
        <v>3978.05</v>
      </c>
      <c r="L31" s="19"/>
      <c r="M31" s="19"/>
      <c r="N31" s="19"/>
      <c r="O31" s="16"/>
      <c r="P31" s="16"/>
      <c r="Q31" s="16"/>
      <c r="R31" s="16"/>
    </row>
    <row r="32" spans="1:18" x14ac:dyDescent="0.25">
      <c r="A32" s="4">
        <f t="shared" si="2"/>
        <v>45177</v>
      </c>
      <c r="B32" s="2">
        <f t="shared" si="6"/>
        <v>0</v>
      </c>
      <c r="C32" s="2">
        <f t="shared" si="5"/>
        <v>0</v>
      </c>
      <c r="D32" s="2">
        <v>500</v>
      </c>
      <c r="F32" s="2">
        <v>348</v>
      </c>
      <c r="H32" s="2">
        <v>500</v>
      </c>
      <c r="I32" s="2">
        <v>0</v>
      </c>
      <c r="J32" s="2">
        <f t="shared" si="3"/>
        <v>2000</v>
      </c>
      <c r="K32" s="13">
        <f t="shared" si="4"/>
        <v>5130.05</v>
      </c>
      <c r="L32" s="19"/>
      <c r="M32" s="19"/>
      <c r="N32" s="19"/>
      <c r="O32" s="16"/>
      <c r="P32" s="16"/>
      <c r="Q32" s="16"/>
      <c r="R32" s="16"/>
    </row>
    <row r="33" spans="1:18" x14ac:dyDescent="0.25">
      <c r="A33" s="4">
        <f t="shared" si="2"/>
        <v>45191</v>
      </c>
      <c r="B33" s="2">
        <f t="shared" si="6"/>
        <v>0</v>
      </c>
      <c r="C33" s="2">
        <f t="shared" si="5"/>
        <v>0</v>
      </c>
      <c r="D33" s="2">
        <v>500</v>
      </c>
      <c r="E33" s="2">
        <v>1500</v>
      </c>
      <c r="G33" s="2">
        <v>750</v>
      </c>
      <c r="H33" s="2">
        <v>500</v>
      </c>
      <c r="I33" s="2">
        <v>0</v>
      </c>
      <c r="J33" s="2">
        <f t="shared" si="3"/>
        <v>2000</v>
      </c>
      <c r="K33" s="13">
        <f t="shared" si="4"/>
        <v>4380.05</v>
      </c>
      <c r="L33" s="19"/>
      <c r="M33" s="19"/>
      <c r="N33" s="19"/>
      <c r="O33" s="16"/>
      <c r="P33" s="16"/>
      <c r="Q33" s="16"/>
      <c r="R33" s="16"/>
    </row>
    <row r="34" spans="1:18" x14ac:dyDescent="0.25">
      <c r="A34" s="4">
        <f t="shared" si="2"/>
        <v>45205</v>
      </c>
      <c r="B34" s="2">
        <f t="shared" si="6"/>
        <v>0</v>
      </c>
      <c r="C34" s="2">
        <f t="shared" si="5"/>
        <v>0</v>
      </c>
      <c r="D34" s="2">
        <v>500</v>
      </c>
      <c r="F34" s="2">
        <v>348</v>
      </c>
      <c r="H34" s="2">
        <v>500</v>
      </c>
      <c r="I34" s="2">
        <v>0</v>
      </c>
      <c r="J34" s="2">
        <f t="shared" si="3"/>
        <v>2000</v>
      </c>
      <c r="K34" s="13">
        <f t="shared" si="4"/>
        <v>5532.05</v>
      </c>
      <c r="L34" s="19"/>
      <c r="M34" s="19"/>
      <c r="N34" s="19"/>
      <c r="O34" s="16"/>
      <c r="P34" s="16"/>
      <c r="Q34" s="16"/>
      <c r="R34" s="16"/>
    </row>
    <row r="35" spans="1:18" x14ac:dyDescent="0.25">
      <c r="A35" s="4">
        <f t="shared" si="2"/>
        <v>45219</v>
      </c>
      <c r="B35" s="2">
        <f t="shared" si="6"/>
        <v>0</v>
      </c>
      <c r="C35" s="2">
        <f t="shared" si="5"/>
        <v>0</v>
      </c>
      <c r="D35" s="2">
        <v>500</v>
      </c>
      <c r="E35" s="2">
        <v>1500</v>
      </c>
      <c r="G35" s="2">
        <v>750</v>
      </c>
      <c r="H35" s="2">
        <v>500</v>
      </c>
      <c r="I35" s="2">
        <v>0</v>
      </c>
      <c r="J35" s="2">
        <f t="shared" si="3"/>
        <v>2000</v>
      </c>
      <c r="K35" s="13">
        <f t="shared" si="4"/>
        <v>4782.05</v>
      </c>
      <c r="L35" s="19"/>
      <c r="M35" s="19"/>
      <c r="N35" s="19"/>
      <c r="O35" s="16"/>
      <c r="P35" s="16"/>
      <c r="Q35" s="16"/>
      <c r="R35" s="16"/>
    </row>
    <row r="36" spans="1:18" x14ac:dyDescent="0.25">
      <c r="A36" s="4">
        <f t="shared" si="2"/>
        <v>45233</v>
      </c>
      <c r="B36" s="2">
        <f t="shared" si="6"/>
        <v>0</v>
      </c>
      <c r="C36" s="2">
        <f t="shared" si="5"/>
        <v>0</v>
      </c>
      <c r="D36" s="2">
        <v>500</v>
      </c>
      <c r="F36" s="2">
        <v>348</v>
      </c>
      <c r="H36" s="2">
        <v>500</v>
      </c>
      <c r="I36" s="2">
        <v>0</v>
      </c>
      <c r="J36" s="2">
        <f t="shared" si="3"/>
        <v>2000</v>
      </c>
      <c r="K36" s="13">
        <f t="shared" si="4"/>
        <v>5934.05</v>
      </c>
      <c r="L36" s="19"/>
      <c r="M36" s="19"/>
      <c r="N36" s="19"/>
      <c r="O36" s="16"/>
      <c r="P36" s="16"/>
      <c r="Q36" s="16"/>
      <c r="R36" s="16"/>
    </row>
    <row r="37" spans="1:18" x14ac:dyDescent="0.25">
      <c r="A37" s="4">
        <f t="shared" si="2"/>
        <v>45247</v>
      </c>
      <c r="B37" s="2">
        <f t="shared" si="6"/>
        <v>0</v>
      </c>
      <c r="C37" s="2">
        <f t="shared" si="5"/>
        <v>0</v>
      </c>
      <c r="D37" s="2">
        <v>500</v>
      </c>
      <c r="E37" s="2">
        <v>1500</v>
      </c>
      <c r="G37" s="2">
        <v>750</v>
      </c>
      <c r="H37" s="2">
        <v>500</v>
      </c>
      <c r="I37" s="2">
        <v>0</v>
      </c>
      <c r="J37" s="2">
        <f t="shared" si="3"/>
        <v>2000</v>
      </c>
      <c r="K37" s="13">
        <f t="shared" si="4"/>
        <v>5184.05</v>
      </c>
      <c r="L37" s="19"/>
      <c r="M37" s="19"/>
      <c r="N37" s="19"/>
      <c r="O37" s="16"/>
      <c r="P37" s="16"/>
      <c r="Q37" s="16"/>
      <c r="R37" s="16"/>
    </row>
    <row r="38" spans="1:18" x14ac:dyDescent="0.25">
      <c r="A38" s="4">
        <f t="shared" si="2"/>
        <v>45261</v>
      </c>
      <c r="B38" s="2">
        <f t="shared" si="6"/>
        <v>0</v>
      </c>
      <c r="C38" s="2">
        <f t="shared" si="5"/>
        <v>0</v>
      </c>
      <c r="D38" s="2">
        <v>500</v>
      </c>
      <c r="H38" s="2">
        <v>500</v>
      </c>
      <c r="I38" s="2">
        <v>0</v>
      </c>
      <c r="J38" s="2">
        <f t="shared" si="3"/>
        <v>2000</v>
      </c>
      <c r="K38" s="13">
        <f t="shared" si="4"/>
        <v>6684.05</v>
      </c>
      <c r="L38" s="19"/>
      <c r="M38" s="19"/>
      <c r="N38" s="19"/>
      <c r="O38" s="16"/>
      <c r="P38" s="16"/>
      <c r="Q38" s="16"/>
      <c r="R38" s="16"/>
    </row>
    <row r="39" spans="1:18" x14ac:dyDescent="0.25">
      <c r="A39" s="4">
        <f t="shared" si="2"/>
        <v>45275</v>
      </c>
      <c r="B39" s="2">
        <f t="shared" si="6"/>
        <v>0</v>
      </c>
      <c r="C39" s="2">
        <f t="shared" si="5"/>
        <v>0</v>
      </c>
      <c r="D39" s="2">
        <v>500</v>
      </c>
      <c r="E39" s="2">
        <v>1500</v>
      </c>
      <c r="F39" s="2">
        <v>348</v>
      </c>
      <c r="H39" s="2">
        <v>500</v>
      </c>
      <c r="I39" s="2">
        <v>0</v>
      </c>
      <c r="J39" s="2">
        <f t="shared" si="3"/>
        <v>2000</v>
      </c>
      <c r="K39" s="13">
        <f t="shared" si="4"/>
        <v>6336.05</v>
      </c>
      <c r="L39" s="19"/>
      <c r="M39" s="19"/>
      <c r="N39" s="19"/>
      <c r="O39" s="16"/>
      <c r="P39" s="16"/>
      <c r="Q39" s="16"/>
      <c r="R39" s="16"/>
    </row>
    <row r="40" spans="1:18" x14ac:dyDescent="0.25">
      <c r="A40" s="4">
        <f t="shared" si="2"/>
        <v>45289</v>
      </c>
      <c r="B40" s="2">
        <f t="shared" si="6"/>
        <v>0</v>
      </c>
      <c r="C40" s="2">
        <f t="shared" si="5"/>
        <v>0</v>
      </c>
      <c r="D40" s="2">
        <v>500</v>
      </c>
      <c r="G40" s="2">
        <v>750</v>
      </c>
      <c r="H40" s="2">
        <v>500</v>
      </c>
      <c r="I40" s="2">
        <v>0</v>
      </c>
      <c r="J40" s="2">
        <f t="shared" si="3"/>
        <v>2000</v>
      </c>
      <c r="K40" s="13">
        <f t="shared" si="4"/>
        <v>7086.05</v>
      </c>
      <c r="L40" s="19"/>
      <c r="M40" s="19"/>
      <c r="N40" s="19"/>
      <c r="O40" s="16"/>
      <c r="P40" s="16"/>
      <c r="Q40" s="16"/>
      <c r="R40" s="16"/>
    </row>
    <row r="41" spans="1:18" x14ac:dyDescent="0.25">
      <c r="E41" s="2">
        <f>SUM(E2:E40)</f>
        <v>13500</v>
      </c>
      <c r="F41" s="2">
        <f>SUM(F2:F40)</f>
        <v>5220</v>
      </c>
      <c r="G41" s="2">
        <f>SUM(G2:G40)</f>
        <v>13073.34</v>
      </c>
      <c r="H41" s="2">
        <f>SUM(H2:H40)</f>
        <v>18150</v>
      </c>
      <c r="I41" s="2">
        <f>SUM(I2:I40)</f>
        <v>16970.61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June Plan</vt:lpstr>
      <vt:lpstr>Student Loan Amort</vt:lpstr>
      <vt:lpstr>Lasik</vt:lpstr>
      <vt:lpstr>Wells Fargo</vt:lpstr>
      <vt:lpstr>SOFI_CHECKING</vt:lpstr>
      <vt:lpstr>SOFI_SAVINGS</vt:lpstr>
      <vt:lpstr>HSA</vt:lpstr>
      <vt:lpstr>Fidelity</vt:lpstr>
      <vt:lpstr>Discover Data</vt:lpstr>
      <vt:lpstr>Care_Credit</vt:lpstr>
      <vt:lpstr>Best Buy</vt:lpstr>
      <vt:lpstr>American Express</vt:lpstr>
      <vt:lpstr>Vincent</vt:lpstr>
      <vt:lpstr>Summary</vt:lpstr>
      <vt:lpstr>Detailed Summary</vt:lpstr>
      <vt:lpstr>Cat Sum</vt:lpstr>
      <vt:lpstr>People Summary</vt:lpstr>
      <vt:lpstr>Personal Spending</vt:lpstr>
      <vt:lpstr>Transportation</vt:lpstr>
      <vt:lpstr>Groceries</vt:lpstr>
      <vt:lpstr>Europe</vt:lpstr>
      <vt:lpstr>Reoccuring</vt:lpstr>
      <vt:lpstr>Count_Check</vt:lpstr>
      <vt:lpstr>The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Lewis</cp:lastModifiedBy>
  <dcterms:created xsi:type="dcterms:W3CDTF">2022-07-23T17:47:02Z</dcterms:created>
  <dcterms:modified xsi:type="dcterms:W3CDTF">2024-12-23T01:31:44Z</dcterms:modified>
</cp:coreProperties>
</file>