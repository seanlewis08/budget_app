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n\Documents\Personal\Budget\Archive\2023\"/>
    </mc:Choice>
  </mc:AlternateContent>
  <xr:revisionPtr revIDLastSave="0" documentId="13_ncr:1_{E8D7C346-39AB-4519-98C0-C363B3B71BC3}" xr6:coauthVersionLast="47" xr6:coauthVersionMax="47" xr10:uidLastSave="{00000000-0000-0000-0000-000000000000}"/>
  <bookViews>
    <workbookView xWindow="-120" yWindow="-120" windowWidth="38640" windowHeight="15720" xr2:uid="{82C452B8-1BC9-4D5B-89CC-B664FB8E6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6" i="1" l="1"/>
  <c r="AI56" i="1"/>
  <c r="AJ56" i="1"/>
  <c r="AK56" i="1"/>
  <c r="AL56" i="1"/>
  <c r="AM56" i="1"/>
  <c r="AN56" i="1"/>
  <c r="AO56" i="1"/>
  <c r="AP56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AV55" i="1"/>
  <c r="AT56" i="1"/>
  <c r="AU58" i="1"/>
  <c r="BY20" i="1"/>
  <c r="BY37" i="1" s="1"/>
  <c r="BZ20" i="1"/>
  <c r="BZ37" i="1" s="1"/>
  <c r="CA20" i="1"/>
  <c r="CA37" i="1" s="1"/>
  <c r="CB20" i="1"/>
  <c r="CB37" i="1" s="1"/>
  <c r="CC20" i="1"/>
  <c r="CC37" i="1" s="1"/>
  <c r="CD20" i="1"/>
  <c r="CD37" i="1" s="1"/>
  <c r="CE20" i="1"/>
  <c r="CE37" i="1" s="1"/>
  <c r="CF20" i="1"/>
  <c r="CF37" i="1" s="1"/>
  <c r="CG20" i="1"/>
  <c r="CG37" i="1" s="1"/>
  <c r="CH20" i="1"/>
  <c r="CH37" i="1" s="1"/>
  <c r="CI20" i="1"/>
  <c r="CI37" i="1" s="1"/>
  <c r="CJ20" i="1"/>
  <c r="CJ37" i="1" s="1"/>
  <c r="CK20" i="1"/>
  <c r="CK37" i="1" s="1"/>
  <c r="CL20" i="1"/>
  <c r="CL37" i="1" s="1"/>
  <c r="CM20" i="1"/>
  <c r="CM37" i="1" s="1"/>
  <c r="CN20" i="1"/>
  <c r="CN37" i="1" s="1"/>
  <c r="CO20" i="1"/>
  <c r="CO37" i="1" s="1"/>
  <c r="CP20" i="1"/>
  <c r="CP37" i="1" s="1"/>
  <c r="BX37" i="1"/>
  <c r="BX20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BW37" i="1"/>
  <c r="BW20" i="1"/>
  <c r="CN1" i="1"/>
  <c r="CO1" i="1" s="1"/>
  <c r="CP1" i="1" s="1"/>
  <c r="CN2" i="1"/>
  <c r="BV9" i="1"/>
  <c r="BU9" i="1"/>
  <c r="BT9" i="1"/>
  <c r="BS9" i="1"/>
  <c r="BS20" i="1" s="1"/>
  <c r="BR9" i="1"/>
  <c r="BR20" i="1" s="1"/>
  <c r="BQ9" i="1"/>
  <c r="BP9" i="1"/>
  <c r="BP20" i="1" s="1"/>
  <c r="BO9" i="1"/>
  <c r="BO20" i="1" s="1"/>
  <c r="BN9" i="1"/>
  <c r="BM9" i="1"/>
  <c r="BM20" i="1" s="1"/>
  <c r="BM37" i="1" s="1"/>
  <c r="BM51" i="1" s="1"/>
  <c r="BL9" i="1"/>
  <c r="BL20" i="1" s="1"/>
  <c r="BK9" i="1"/>
  <c r="BK46" i="1" s="1"/>
  <c r="BJ9" i="1"/>
  <c r="BI9" i="1"/>
  <c r="BI20" i="1" s="1"/>
  <c r="AX46" i="1"/>
  <c r="AX47" i="1"/>
  <c r="AX48" i="1" s="1"/>
  <c r="AV46" i="1"/>
  <c r="AW46" i="1"/>
  <c r="AY46" i="1"/>
  <c r="AZ46" i="1"/>
  <c r="BA46" i="1"/>
  <c r="BB46" i="1"/>
  <c r="BC46" i="1"/>
  <c r="BD46" i="1"/>
  <c r="BE46" i="1"/>
  <c r="BF46" i="1"/>
  <c r="BG46" i="1"/>
  <c r="BH46" i="1"/>
  <c r="AV47" i="1"/>
  <c r="AV48" i="1" s="1"/>
  <c r="AW47" i="1"/>
  <c r="AW48" i="1" s="1"/>
  <c r="AY47" i="1"/>
  <c r="AY48" i="1" s="1"/>
  <c r="AZ47" i="1"/>
  <c r="AZ48" i="1" s="1"/>
  <c r="BA47" i="1"/>
  <c r="BA48" i="1" s="1"/>
  <c r="BB47" i="1"/>
  <c r="BB48" i="1" s="1"/>
  <c r="BC47" i="1"/>
  <c r="BC48" i="1" s="1"/>
  <c r="BD47" i="1"/>
  <c r="BD48" i="1" s="1"/>
  <c r="BE47" i="1"/>
  <c r="BE48" i="1" s="1"/>
  <c r="BF47" i="1"/>
  <c r="BF48" i="1" s="1"/>
  <c r="BG47" i="1"/>
  <c r="BG48" i="1" s="1"/>
  <c r="BH47" i="1"/>
  <c r="BH48" i="1" s="1"/>
  <c r="AU46" i="1"/>
  <c r="AU47" i="1"/>
  <c r="AU48" i="1" s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AQ53" i="1"/>
  <c r="AS56" i="1"/>
  <c r="AR56" i="1"/>
  <c r="AQ56" i="1"/>
  <c r="AT48" i="1"/>
  <c r="CQ48" i="1" s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Q19" i="1" s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T46" i="1"/>
  <c r="CQ46" i="1" s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BH20" i="1"/>
  <c r="BH39" i="1" s="1"/>
  <c r="BG20" i="1"/>
  <c r="BG37" i="1" s="1"/>
  <c r="BG50" i="1" s="1"/>
  <c r="BF20" i="1"/>
  <c r="BF43" i="1" s="1"/>
  <c r="BE20" i="1"/>
  <c r="BE42" i="1" s="1"/>
  <c r="BD20" i="1"/>
  <c r="BD37" i="1" s="1"/>
  <c r="BC20" i="1"/>
  <c r="BC40" i="1" s="1"/>
  <c r="BB20" i="1"/>
  <c r="BB42" i="1" s="1"/>
  <c r="BA20" i="1"/>
  <c r="BA41" i="1" s="1"/>
  <c r="AZ20" i="1"/>
  <c r="AZ45" i="1" s="1"/>
  <c r="AY20" i="1"/>
  <c r="AY41" i="1" s="1"/>
  <c r="AX20" i="1"/>
  <c r="AX39" i="1" s="1"/>
  <c r="AW20" i="1"/>
  <c r="AW40" i="1" s="1"/>
  <c r="AV20" i="1"/>
  <c r="AV45" i="1" s="1"/>
  <c r="AU20" i="1"/>
  <c r="AU41" i="1" s="1"/>
  <c r="AT20" i="1"/>
  <c r="AT37" i="1" s="1"/>
  <c r="AS20" i="1"/>
  <c r="AS39" i="1" s="1"/>
  <c r="AR20" i="1"/>
  <c r="AR39" i="1" s="1"/>
  <c r="AQ20" i="1"/>
  <c r="AQ45" i="1" s="1"/>
  <c r="AP20" i="1"/>
  <c r="AP45" i="1" s="1"/>
  <c r="AO20" i="1"/>
  <c r="AO45" i="1" s="1"/>
  <c r="AN20" i="1"/>
  <c r="AN44" i="1" s="1"/>
  <c r="AM20" i="1"/>
  <c r="AM44" i="1" s="1"/>
  <c r="AL20" i="1"/>
  <c r="AL44" i="1" s="1"/>
  <c r="AK20" i="1"/>
  <c r="AK43" i="1" s="1"/>
  <c r="AJ20" i="1"/>
  <c r="AJ43" i="1" s="1"/>
  <c r="AI20" i="1"/>
  <c r="AI42" i="1" s="1"/>
  <c r="AH20" i="1"/>
  <c r="AH42" i="1" s="1"/>
  <c r="AG20" i="1"/>
  <c r="AG41" i="1" s="1"/>
  <c r="AF20" i="1"/>
  <c r="AF41" i="1" s="1"/>
  <c r="AE20" i="1"/>
  <c r="AE40" i="1" s="1"/>
  <c r="AD20" i="1"/>
  <c r="AD37" i="1" s="1"/>
  <c r="AC20" i="1"/>
  <c r="AC39" i="1" s="1"/>
  <c r="AB20" i="1"/>
  <c r="AB39" i="1" s="1"/>
  <c r="AA20" i="1"/>
  <c r="AA39" i="1" s="1"/>
  <c r="Z20" i="1"/>
  <c r="Z39" i="1" s="1"/>
  <c r="Y20" i="1"/>
  <c r="Y39" i="1" s="1"/>
  <c r="X20" i="1"/>
  <c r="X37" i="1" s="1"/>
  <c r="W20" i="1"/>
  <c r="W39" i="1" s="1"/>
  <c r="V20" i="1"/>
  <c r="V39" i="1" s="1"/>
  <c r="U20" i="1"/>
  <c r="U43" i="1" s="1"/>
  <c r="T20" i="1"/>
  <c r="T43" i="1" s="1"/>
  <c r="S20" i="1"/>
  <c r="S42" i="1" s="1"/>
  <c r="R20" i="1"/>
  <c r="R42" i="1" s="1"/>
  <c r="P20" i="1"/>
  <c r="P41" i="1" s="1"/>
  <c r="O20" i="1"/>
  <c r="O40" i="1" s="1"/>
  <c r="N20" i="1"/>
  <c r="N37" i="1" s="1"/>
  <c r="M20" i="1"/>
  <c r="M39" i="1" s="1"/>
  <c r="L20" i="1"/>
  <c r="L37" i="1" s="1"/>
  <c r="K20" i="1"/>
  <c r="K39" i="1" s="1"/>
  <c r="J20" i="1"/>
  <c r="J39" i="1" s="1"/>
  <c r="I20" i="1"/>
  <c r="I39" i="1" s="1"/>
  <c r="H20" i="1"/>
  <c r="H37" i="1" s="1"/>
  <c r="G20" i="1"/>
  <c r="G39" i="1" s="1"/>
  <c r="F20" i="1"/>
  <c r="F39" i="1" s="1"/>
  <c r="E20" i="1"/>
  <c r="E43" i="1" s="1"/>
  <c r="D20" i="1"/>
  <c r="D43" i="1" s="1"/>
  <c r="C20" i="1"/>
  <c r="C42" i="1" s="1"/>
  <c r="B20" i="1"/>
  <c r="B42" i="1" s="1"/>
  <c r="CW9" i="1"/>
  <c r="CQ9" i="1"/>
  <c r="CQ20" i="1" s="1"/>
  <c r="CV8" i="1"/>
  <c r="CV9" i="1" s="1"/>
  <c r="B2" i="1"/>
  <c r="C2" i="1" s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CR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BX50" i="1" l="1"/>
  <c r="BX51" i="1"/>
  <c r="BY50" i="1"/>
  <c r="BY51" i="1"/>
  <c r="BZ50" i="1"/>
  <c r="BZ51" i="1"/>
  <c r="CA50" i="1"/>
  <c r="CA51" i="1"/>
  <c r="CB50" i="1"/>
  <c r="CB51" i="1"/>
  <c r="CC50" i="1"/>
  <c r="CC51" i="1"/>
  <c r="CD50" i="1"/>
  <c r="CD51" i="1"/>
  <c r="CE50" i="1"/>
  <c r="CE51" i="1"/>
  <c r="CF50" i="1"/>
  <c r="CF51" i="1"/>
  <c r="CG50" i="1"/>
  <c r="CG51" i="1"/>
  <c r="CH50" i="1"/>
  <c r="CH51" i="1"/>
  <c r="CI50" i="1"/>
  <c r="CI51" i="1"/>
  <c r="CJ50" i="1"/>
  <c r="CJ51" i="1"/>
  <c r="CK50" i="1"/>
  <c r="CK51" i="1"/>
  <c r="CL50" i="1"/>
  <c r="CL51" i="1"/>
  <c r="CM50" i="1"/>
  <c r="CM51" i="1"/>
  <c r="CN50" i="1"/>
  <c r="CN51" i="1"/>
  <c r="CO50" i="1"/>
  <c r="CO51" i="1"/>
  <c r="CP50" i="1"/>
  <c r="CP51" i="1"/>
  <c r="BW50" i="1"/>
  <c r="BW51" i="1"/>
  <c r="CO2" i="1"/>
  <c r="CN3" i="1"/>
  <c r="BV20" i="1"/>
  <c r="BV48" i="1"/>
  <c r="BV35" i="1" s="1"/>
  <c r="BU48" i="1"/>
  <c r="BU35" i="1" s="1"/>
  <c r="BU20" i="1"/>
  <c r="BU23" i="1" s="1"/>
  <c r="BT53" i="1"/>
  <c r="BN20" i="1"/>
  <c r="BN53" i="1"/>
  <c r="BU3" i="1"/>
  <c r="BV2" i="1"/>
  <c r="BU28" i="1"/>
  <c r="BU27" i="1"/>
  <c r="BU22" i="1"/>
  <c r="BU24" i="1"/>
  <c r="BV27" i="1"/>
  <c r="BV28" i="1"/>
  <c r="BV23" i="1"/>
  <c r="BM42" i="1"/>
  <c r="BL3" i="1"/>
  <c r="AV3" i="1"/>
  <c r="AF3" i="1"/>
  <c r="P3" i="1"/>
  <c r="BM3" i="1"/>
  <c r="BM43" i="1"/>
  <c r="BK3" i="1"/>
  <c r="AU3" i="1"/>
  <c r="AE3" i="1"/>
  <c r="O3" i="1"/>
  <c r="BM44" i="1"/>
  <c r="BT20" i="1"/>
  <c r="BJ3" i="1"/>
  <c r="AT3" i="1"/>
  <c r="AD3" i="1"/>
  <c r="N3" i="1"/>
  <c r="AG3" i="1"/>
  <c r="BM45" i="1"/>
  <c r="BT46" i="1"/>
  <c r="BI3" i="1"/>
  <c r="AS3" i="1"/>
  <c r="AC3" i="1"/>
  <c r="M3" i="1"/>
  <c r="BM46" i="1"/>
  <c r="BT47" i="1"/>
  <c r="BT48" i="1" s="1"/>
  <c r="BH3" i="1"/>
  <c r="AR3" i="1"/>
  <c r="AB3" i="1"/>
  <c r="L3" i="1"/>
  <c r="BM47" i="1"/>
  <c r="BM48" i="1" s="1"/>
  <c r="BG3" i="1"/>
  <c r="AQ3" i="1"/>
  <c r="AA3" i="1"/>
  <c r="K3" i="1"/>
  <c r="BF3" i="1"/>
  <c r="AP3" i="1"/>
  <c r="Z3" i="1"/>
  <c r="J3" i="1"/>
  <c r="BT3" i="1"/>
  <c r="BE3" i="1"/>
  <c r="AO3" i="1"/>
  <c r="Y3" i="1"/>
  <c r="I3" i="1"/>
  <c r="BD3" i="1"/>
  <c r="AN3" i="1"/>
  <c r="X3" i="1"/>
  <c r="H3" i="1"/>
  <c r="Q3" i="1"/>
  <c r="BO53" i="1"/>
  <c r="BS3" i="1"/>
  <c r="BC3" i="1"/>
  <c r="AM3" i="1"/>
  <c r="W3" i="1"/>
  <c r="G3" i="1"/>
  <c r="BR3" i="1"/>
  <c r="BB3" i="1"/>
  <c r="AL3" i="1"/>
  <c r="V3" i="1"/>
  <c r="F3" i="1"/>
  <c r="BQ3" i="1"/>
  <c r="BA3" i="1"/>
  <c r="AK3" i="1"/>
  <c r="U3" i="1"/>
  <c r="E3" i="1"/>
  <c r="AW3" i="1"/>
  <c r="BP3" i="1"/>
  <c r="AZ3" i="1"/>
  <c r="AJ3" i="1"/>
  <c r="T3" i="1"/>
  <c r="D3" i="1"/>
  <c r="BQ20" i="1"/>
  <c r="BO3" i="1"/>
  <c r="AY3" i="1"/>
  <c r="AI3" i="1"/>
  <c r="S3" i="1"/>
  <c r="C3" i="1"/>
  <c r="BQ46" i="1"/>
  <c r="BN3" i="1"/>
  <c r="AX3" i="1"/>
  <c r="AH3" i="1"/>
  <c r="R3" i="1"/>
  <c r="B3" i="1"/>
  <c r="BS45" i="1"/>
  <c r="BS37" i="1"/>
  <c r="BS43" i="1"/>
  <c r="BS42" i="1"/>
  <c r="BS41" i="1"/>
  <c r="BS40" i="1"/>
  <c r="BS39" i="1"/>
  <c r="BS46" i="1"/>
  <c r="BS47" i="1"/>
  <c r="BS48" i="1" s="1"/>
  <c r="BS53" i="1"/>
  <c r="BM39" i="1"/>
  <c r="BP53" i="1"/>
  <c r="BM40" i="1"/>
  <c r="BM41" i="1"/>
  <c r="BS44" i="1"/>
  <c r="BP40" i="1"/>
  <c r="BP45" i="1"/>
  <c r="BP44" i="1"/>
  <c r="BP43" i="1"/>
  <c r="BP42" i="1"/>
  <c r="BP37" i="1"/>
  <c r="BP41" i="1"/>
  <c r="BP39" i="1"/>
  <c r="BO37" i="1"/>
  <c r="BO45" i="1"/>
  <c r="BO44" i="1"/>
  <c r="BO43" i="1"/>
  <c r="BO42" i="1"/>
  <c r="BO41" i="1"/>
  <c r="BO40" i="1"/>
  <c r="BO39" i="1"/>
  <c r="BR37" i="1"/>
  <c r="BR41" i="1"/>
  <c r="BR39" i="1"/>
  <c r="BR45" i="1"/>
  <c r="BR44" i="1"/>
  <c r="BR43" i="1"/>
  <c r="BR42" i="1"/>
  <c r="BR40" i="1"/>
  <c r="BN46" i="1"/>
  <c r="BR46" i="1"/>
  <c r="BL53" i="1"/>
  <c r="BN47" i="1"/>
  <c r="BN48" i="1" s="1"/>
  <c r="BO46" i="1"/>
  <c r="BP46" i="1"/>
  <c r="BR47" i="1"/>
  <c r="BR48" i="1" s="1"/>
  <c r="BL47" i="1"/>
  <c r="BL48" i="1" s="1"/>
  <c r="BM50" i="1"/>
  <c r="BO47" i="1"/>
  <c r="BO48" i="1" s="1"/>
  <c r="BP47" i="1"/>
  <c r="BP48" i="1" s="1"/>
  <c r="BQ47" i="1"/>
  <c r="BQ48" i="1" s="1"/>
  <c r="BL46" i="1"/>
  <c r="BQ53" i="1"/>
  <c r="BI22" i="1"/>
  <c r="BI39" i="1" s="1"/>
  <c r="BM53" i="1"/>
  <c r="BR53" i="1"/>
  <c r="BL37" i="1"/>
  <c r="BL50" i="1" s="1"/>
  <c r="BL39" i="1"/>
  <c r="BL40" i="1"/>
  <c r="BL41" i="1"/>
  <c r="BL42" i="1"/>
  <c r="BL43" i="1"/>
  <c r="BL44" i="1"/>
  <c r="BL45" i="1"/>
  <c r="BJ20" i="1"/>
  <c r="AH40" i="1"/>
  <c r="G43" i="1"/>
  <c r="BK20" i="1"/>
  <c r="BK45" i="1" s="1"/>
  <c r="P43" i="1"/>
  <c r="AZ41" i="1"/>
  <c r="AF37" i="1"/>
  <c r="BI53" i="1"/>
  <c r="BJ47" i="1"/>
  <c r="BJ48" i="1" s="1"/>
  <c r="AG40" i="1"/>
  <c r="BK53" i="1"/>
  <c r="BC45" i="1"/>
  <c r="BC42" i="1"/>
  <c r="O42" i="1"/>
  <c r="BJ53" i="1"/>
  <c r="P42" i="1"/>
  <c r="AF42" i="1"/>
  <c r="AU42" i="1"/>
  <c r="BK47" i="1"/>
  <c r="BK48" i="1" s="1"/>
  <c r="BG40" i="1"/>
  <c r="AW39" i="1"/>
  <c r="BH37" i="1"/>
  <c r="BH51" i="1" s="1"/>
  <c r="BE37" i="1"/>
  <c r="BE51" i="1" s="1"/>
  <c r="AW45" i="1"/>
  <c r="AZ37" i="1"/>
  <c r="AZ50" i="1" s="1"/>
  <c r="P37" i="1"/>
  <c r="BJ46" i="1"/>
  <c r="BE44" i="1"/>
  <c r="R37" i="1"/>
  <c r="AU45" i="1"/>
  <c r="BI46" i="1"/>
  <c r="AV44" i="1"/>
  <c r="BG43" i="1"/>
  <c r="AX45" i="1"/>
  <c r="AH37" i="1"/>
  <c r="BI47" i="1"/>
  <c r="BI48" i="1" s="1"/>
  <c r="BB43" i="1"/>
  <c r="AX43" i="1"/>
  <c r="R40" i="1"/>
  <c r="BH42" i="1"/>
  <c r="BI25" i="1" s="1"/>
  <c r="BI42" i="1" s="1"/>
  <c r="AX40" i="1"/>
  <c r="BF42" i="1"/>
  <c r="AW42" i="1"/>
  <c r="R41" i="1"/>
  <c r="AM41" i="1"/>
  <c r="BE41" i="1"/>
  <c r="G42" i="1"/>
  <c r="BC41" i="1"/>
  <c r="BD50" i="1"/>
  <c r="BD51" i="1"/>
  <c r="O39" i="1"/>
  <c r="C41" i="1"/>
  <c r="W42" i="1"/>
  <c r="AG43" i="1"/>
  <c r="AU40" i="1"/>
  <c r="BH44" i="1"/>
  <c r="BJ27" i="1" s="1"/>
  <c r="BE43" i="1"/>
  <c r="BA42" i="1"/>
  <c r="AW41" i="1"/>
  <c r="BG39" i="1"/>
  <c r="BC37" i="1"/>
  <c r="BC50" i="1" s="1"/>
  <c r="X43" i="1"/>
  <c r="P39" i="1"/>
  <c r="G41" i="1"/>
  <c r="X42" i="1"/>
  <c r="AH43" i="1"/>
  <c r="CQ55" i="1"/>
  <c r="CQ56" i="1" s="1"/>
  <c r="AU39" i="1"/>
  <c r="BG44" i="1"/>
  <c r="BD43" i="1"/>
  <c r="AZ42" i="1"/>
  <c r="AV41" i="1"/>
  <c r="BF39" i="1"/>
  <c r="BB37" i="1"/>
  <c r="BB51" i="1" s="1"/>
  <c r="B39" i="1"/>
  <c r="R39" i="1"/>
  <c r="O41" i="1"/>
  <c r="AE42" i="1"/>
  <c r="AM43" i="1"/>
  <c r="AU37" i="1"/>
  <c r="BF44" i="1"/>
  <c r="BC43" i="1"/>
  <c r="AY42" i="1"/>
  <c r="BH40" i="1"/>
  <c r="BJ23" i="1" s="1"/>
  <c r="BE39" i="1"/>
  <c r="BA37" i="1"/>
  <c r="BA51" i="1" s="1"/>
  <c r="AN43" i="1"/>
  <c r="BD39" i="1"/>
  <c r="AE39" i="1"/>
  <c r="S41" i="1"/>
  <c r="AG42" i="1"/>
  <c r="AM45" i="1"/>
  <c r="BH45" i="1"/>
  <c r="BJ28" i="1" s="1"/>
  <c r="BD44" i="1"/>
  <c r="BA43" i="1"/>
  <c r="AV42" i="1"/>
  <c r="BF40" i="1"/>
  <c r="BC39" i="1"/>
  <c r="AY37" i="1"/>
  <c r="AY51" i="1" s="1"/>
  <c r="CQ35" i="1"/>
  <c r="CQ47" i="1" s="1"/>
  <c r="AF39" i="1"/>
  <c r="W41" i="1"/>
  <c r="AK42" i="1"/>
  <c r="AN45" i="1"/>
  <c r="BG45" i="1"/>
  <c r="BC44" i="1"/>
  <c r="AZ43" i="1"/>
  <c r="BE40" i="1"/>
  <c r="BB39" i="1"/>
  <c r="AW37" i="1"/>
  <c r="B37" i="1"/>
  <c r="AG39" i="1"/>
  <c r="AE41" i="1"/>
  <c r="AM42" i="1"/>
  <c r="AS45" i="1"/>
  <c r="BF45" i="1"/>
  <c r="BB44" i="1"/>
  <c r="AY43" i="1"/>
  <c r="BH41" i="1"/>
  <c r="BJ24" i="1" s="1"/>
  <c r="BD40" i="1"/>
  <c r="BA39" i="1"/>
  <c r="AV37" i="1"/>
  <c r="B40" i="1"/>
  <c r="X39" i="1"/>
  <c r="O37" i="1"/>
  <c r="AH39" i="1"/>
  <c r="AH41" i="1"/>
  <c r="AN42" i="1"/>
  <c r="BE45" i="1"/>
  <c r="BA44" i="1"/>
  <c r="AW43" i="1"/>
  <c r="BG41" i="1"/>
  <c r="AZ39" i="1"/>
  <c r="AN39" i="1"/>
  <c r="AI41" i="1"/>
  <c r="B43" i="1"/>
  <c r="BD45" i="1"/>
  <c r="AZ44" i="1"/>
  <c r="AV43" i="1"/>
  <c r="BF41" i="1"/>
  <c r="BB40" i="1"/>
  <c r="AY39" i="1"/>
  <c r="BJ22" i="1"/>
  <c r="AY44" i="1"/>
  <c r="BA40" i="1"/>
  <c r="AE37" i="1"/>
  <c r="P40" i="1"/>
  <c r="E42" i="1"/>
  <c r="H43" i="1"/>
  <c r="BB45" i="1"/>
  <c r="AW44" i="1"/>
  <c r="BG42" i="1"/>
  <c r="BD41" i="1"/>
  <c r="AZ40" i="1"/>
  <c r="AV39" i="1"/>
  <c r="AX44" i="1"/>
  <c r="BA45" i="1"/>
  <c r="AY40" i="1"/>
  <c r="AG37" i="1"/>
  <c r="AF40" i="1"/>
  <c r="H42" i="1"/>
  <c r="R43" i="1"/>
  <c r="AU44" i="1"/>
  <c r="BB41" i="1"/>
  <c r="AX42" i="1"/>
  <c r="W43" i="1"/>
  <c r="AU43" i="1"/>
  <c r="AY45" i="1"/>
  <c r="BH43" i="1"/>
  <c r="BI26" i="1" s="1"/>
  <c r="BI43" i="1" s="1"/>
  <c r="BD42" i="1"/>
  <c r="AV40" i="1"/>
  <c r="BF37" i="1"/>
  <c r="BF51" i="1" s="1"/>
  <c r="AX41" i="1"/>
  <c r="H39" i="1"/>
  <c r="B41" i="1"/>
  <c r="U42" i="1"/>
  <c r="AF43" i="1"/>
  <c r="BG51" i="1"/>
  <c r="AX37" i="1"/>
  <c r="CU20" i="1"/>
  <c r="CT20" i="1"/>
  <c r="Q20" i="1"/>
  <c r="Q46" i="1"/>
  <c r="AT51" i="1"/>
  <c r="AT50" i="1"/>
  <c r="N39" i="1"/>
  <c r="AD39" i="1"/>
  <c r="AT39" i="1"/>
  <c r="CQ39" i="1" s="1"/>
  <c r="CQ22" i="1" s="1"/>
  <c r="D42" i="1"/>
  <c r="T42" i="1"/>
  <c r="AJ42" i="1"/>
  <c r="F43" i="1"/>
  <c r="V43" i="1"/>
  <c r="AL43" i="1"/>
  <c r="AO44" i="1"/>
  <c r="AR45" i="1"/>
  <c r="D41" i="1"/>
  <c r="T41" i="1"/>
  <c r="AJ41" i="1"/>
  <c r="F42" i="1"/>
  <c r="V42" i="1"/>
  <c r="AL42" i="1"/>
  <c r="AQ44" i="1"/>
  <c r="AT45" i="1"/>
  <c r="CQ45" i="1" s="1"/>
  <c r="CQ28" i="1" s="1"/>
  <c r="C40" i="1"/>
  <c r="S40" i="1"/>
  <c r="AI40" i="1"/>
  <c r="E41" i="1"/>
  <c r="U41" i="1"/>
  <c r="AK41" i="1"/>
  <c r="I43" i="1"/>
  <c r="Y43" i="1"/>
  <c r="AO43" i="1"/>
  <c r="AR44" i="1"/>
  <c r="C37" i="1"/>
  <c r="S37" i="1"/>
  <c r="S49" i="1" s="1"/>
  <c r="AI37" i="1"/>
  <c r="D40" i="1"/>
  <c r="T40" i="1"/>
  <c r="AJ40" i="1"/>
  <c r="F41" i="1"/>
  <c r="V41" i="1"/>
  <c r="AL41" i="1"/>
  <c r="J43" i="1"/>
  <c r="Z43" i="1"/>
  <c r="AP43" i="1"/>
  <c r="AS44" i="1"/>
  <c r="D37" i="1"/>
  <c r="T37" i="1"/>
  <c r="S39" i="1"/>
  <c r="AI39" i="1"/>
  <c r="E40" i="1"/>
  <c r="U40" i="1"/>
  <c r="AK40" i="1"/>
  <c r="I42" i="1"/>
  <c r="Y42" i="1"/>
  <c r="AO42" i="1"/>
  <c r="K43" i="1"/>
  <c r="AA43" i="1"/>
  <c r="AQ43" i="1"/>
  <c r="AT44" i="1"/>
  <c r="CQ44" i="1" s="1"/>
  <c r="CQ27" i="1" s="1"/>
  <c r="CR9" i="1"/>
  <c r="CS9" i="1"/>
  <c r="C39" i="1"/>
  <c r="E37" i="1"/>
  <c r="U37" i="1"/>
  <c r="AK37" i="1"/>
  <c r="D39" i="1"/>
  <c r="T39" i="1"/>
  <c r="AJ39" i="1"/>
  <c r="F40" i="1"/>
  <c r="V40" i="1"/>
  <c r="AL40" i="1"/>
  <c r="H41" i="1"/>
  <c r="X41" i="1"/>
  <c r="AN41" i="1"/>
  <c r="J42" i="1"/>
  <c r="Z42" i="1"/>
  <c r="AP42" i="1"/>
  <c r="L43" i="1"/>
  <c r="AB43" i="1"/>
  <c r="AR43" i="1"/>
  <c r="AP44" i="1"/>
  <c r="AJ37" i="1"/>
  <c r="F37" i="1"/>
  <c r="V37" i="1"/>
  <c r="AL37" i="1"/>
  <c r="E39" i="1"/>
  <c r="U39" i="1"/>
  <c r="AK39" i="1"/>
  <c r="G40" i="1"/>
  <c r="W40" i="1"/>
  <c r="AM40" i="1"/>
  <c r="I41" i="1"/>
  <c r="Y41" i="1"/>
  <c r="AO41" i="1"/>
  <c r="K42" i="1"/>
  <c r="AA42" i="1"/>
  <c r="AQ42" i="1"/>
  <c r="M43" i="1"/>
  <c r="AC43" i="1"/>
  <c r="AS43" i="1"/>
  <c r="AI45" i="1"/>
  <c r="G37" i="1"/>
  <c r="W37" i="1"/>
  <c r="AM37" i="1"/>
  <c r="AL39" i="1"/>
  <c r="H40" i="1"/>
  <c r="X40" i="1"/>
  <c r="AN40" i="1"/>
  <c r="J41" i="1"/>
  <c r="Z41" i="1"/>
  <c r="AP41" i="1"/>
  <c r="L42" i="1"/>
  <c r="AB42" i="1"/>
  <c r="AR42" i="1"/>
  <c r="N43" i="1"/>
  <c r="AD43" i="1"/>
  <c r="AT43" i="1"/>
  <c r="CQ43" i="1" s="1"/>
  <c r="CQ26" i="1" s="1"/>
  <c r="AJ45" i="1"/>
  <c r="AN37" i="1"/>
  <c r="AM39" i="1"/>
  <c r="I40" i="1"/>
  <c r="Y40" i="1"/>
  <c r="AO40" i="1"/>
  <c r="K41" i="1"/>
  <c r="AA41" i="1"/>
  <c r="AQ41" i="1"/>
  <c r="M42" i="1"/>
  <c r="AC42" i="1"/>
  <c r="AS42" i="1"/>
  <c r="O43" i="1"/>
  <c r="AE43" i="1"/>
  <c r="AK45" i="1"/>
  <c r="I37" i="1"/>
  <c r="Y37" i="1"/>
  <c r="AO37" i="1"/>
  <c r="J40" i="1"/>
  <c r="Z40" i="1"/>
  <c r="AP40" i="1"/>
  <c r="L41" i="1"/>
  <c r="AB41" i="1"/>
  <c r="AR41" i="1"/>
  <c r="N42" i="1"/>
  <c r="AD42" i="1"/>
  <c r="AT42" i="1"/>
  <c r="CQ42" i="1" s="1"/>
  <c r="CQ25" i="1" s="1"/>
  <c r="AI44" i="1"/>
  <c r="AL45" i="1"/>
  <c r="J37" i="1"/>
  <c r="Z37" i="1"/>
  <c r="AP37" i="1"/>
  <c r="AO39" i="1"/>
  <c r="K40" i="1"/>
  <c r="AA40" i="1"/>
  <c r="AQ40" i="1"/>
  <c r="M41" i="1"/>
  <c r="AC41" i="1"/>
  <c r="AS41" i="1"/>
  <c r="AJ44" i="1"/>
  <c r="K37" i="1"/>
  <c r="AA37" i="1"/>
  <c r="AQ37" i="1"/>
  <c r="AP39" i="1"/>
  <c r="L40" i="1"/>
  <c r="AB40" i="1"/>
  <c r="AR40" i="1"/>
  <c r="N41" i="1"/>
  <c r="AD41" i="1"/>
  <c r="AT41" i="1"/>
  <c r="CQ41" i="1" s="1"/>
  <c r="CQ24" i="1" s="1"/>
  <c r="AK44" i="1"/>
  <c r="AR37" i="1"/>
  <c r="AQ39" i="1"/>
  <c r="M40" i="1"/>
  <c r="AC40" i="1"/>
  <c r="AS40" i="1"/>
  <c r="C43" i="1"/>
  <c r="S43" i="1"/>
  <c r="AI43" i="1"/>
  <c r="AB37" i="1"/>
  <c r="M37" i="1"/>
  <c r="AC37" i="1"/>
  <c r="AS37" i="1"/>
  <c r="L39" i="1"/>
  <c r="N40" i="1"/>
  <c r="AD40" i="1"/>
  <c r="AT40" i="1"/>
  <c r="CQ40" i="1" s="1"/>
  <c r="CQ23" i="1" s="1"/>
  <c r="CO3" i="1" l="1"/>
  <c r="CP2" i="1"/>
  <c r="CP3" i="1" s="1"/>
  <c r="BW2" i="1"/>
  <c r="BV3" i="1"/>
  <c r="BU37" i="1"/>
  <c r="BV22" i="1"/>
  <c r="BV24" i="1"/>
  <c r="BJ45" i="1"/>
  <c r="BN37" i="1"/>
  <c r="BN44" i="1"/>
  <c r="BN42" i="1"/>
  <c r="BN39" i="1"/>
  <c r="BN43" i="1"/>
  <c r="BN40" i="1"/>
  <c r="BN45" i="1"/>
  <c r="BN41" i="1"/>
  <c r="BT37" i="1"/>
  <c r="BT40" i="1"/>
  <c r="BT41" i="1"/>
  <c r="BT42" i="1"/>
  <c r="BQ37" i="1"/>
  <c r="BQ39" i="1"/>
  <c r="BS50" i="1"/>
  <c r="BS51" i="1"/>
  <c r="BQ45" i="1"/>
  <c r="BT39" i="1"/>
  <c r="BQ40" i="1"/>
  <c r="BQ44" i="1"/>
  <c r="BT45" i="1"/>
  <c r="BQ43" i="1"/>
  <c r="BT44" i="1"/>
  <c r="BQ42" i="1"/>
  <c r="BQ41" i="1"/>
  <c r="BT43" i="1"/>
  <c r="BR51" i="1"/>
  <c r="BR50" i="1"/>
  <c r="BO51" i="1"/>
  <c r="BO50" i="1"/>
  <c r="BL51" i="1"/>
  <c r="BP51" i="1"/>
  <c r="BP50" i="1"/>
  <c r="BJ41" i="1"/>
  <c r="BK44" i="1"/>
  <c r="BJ44" i="1"/>
  <c r="BJ40" i="1"/>
  <c r="BK39" i="1"/>
  <c r="BK37" i="1"/>
  <c r="BK50" i="1" s="1"/>
  <c r="AY50" i="1"/>
  <c r="BK41" i="1"/>
  <c r="BK40" i="1"/>
  <c r="BK42" i="1"/>
  <c r="BK43" i="1"/>
  <c r="BJ25" i="1"/>
  <c r="BJ42" i="1" s="1"/>
  <c r="CR55" i="1"/>
  <c r="CR35" i="1" s="1"/>
  <c r="BI23" i="1"/>
  <c r="BI40" i="1" s="1"/>
  <c r="BE50" i="1"/>
  <c r="AZ51" i="1"/>
  <c r="BJ26" i="1"/>
  <c r="BJ43" i="1" s="1"/>
  <c r="BH50" i="1"/>
  <c r="BB50" i="1"/>
  <c r="BI27" i="1"/>
  <c r="BI44" i="1" s="1"/>
  <c r="BA50" i="1"/>
  <c r="AV50" i="1"/>
  <c r="AV51" i="1"/>
  <c r="BI24" i="1"/>
  <c r="BF50" i="1"/>
  <c r="BI28" i="1"/>
  <c r="BI45" i="1" s="1"/>
  <c r="BJ39" i="1"/>
  <c r="BC51" i="1"/>
  <c r="AW50" i="1"/>
  <c r="AW51" i="1"/>
  <c r="CQ37" i="1"/>
  <c r="CQ51" i="1" s="1"/>
  <c r="AU50" i="1"/>
  <c r="AU51" i="1"/>
  <c r="AX51" i="1"/>
  <c r="AX50" i="1"/>
  <c r="AQ50" i="1"/>
  <c r="AQ51" i="1"/>
  <c r="Q41" i="1"/>
  <c r="Q42" i="1"/>
  <c r="Q43" i="1"/>
  <c r="Q40" i="1"/>
  <c r="Q39" i="1"/>
  <c r="Q37" i="1"/>
  <c r="AR51" i="1"/>
  <c r="AR50" i="1"/>
  <c r="CR28" i="1"/>
  <c r="AS50" i="1"/>
  <c r="AS51" i="1"/>
  <c r="BW3" i="1" l="1"/>
  <c r="BX2" i="1"/>
  <c r="BV37" i="1"/>
  <c r="BU51" i="1"/>
  <c r="BU50" i="1"/>
  <c r="BN50" i="1"/>
  <c r="BN51" i="1"/>
  <c r="BT51" i="1"/>
  <c r="BT50" i="1"/>
  <c r="BQ50" i="1"/>
  <c r="BQ51" i="1"/>
  <c r="BK51" i="1"/>
  <c r="BJ37" i="1"/>
  <c r="BJ50" i="1" s="1"/>
  <c r="CR37" i="1"/>
  <c r="CS37" i="1"/>
  <c r="CT37" i="1"/>
  <c r="CQ50" i="1"/>
  <c r="BI37" i="1"/>
  <c r="BI41" i="1"/>
  <c r="BV51" i="1" l="1"/>
  <c r="BV50" i="1"/>
  <c r="BX3" i="1"/>
  <c r="BY2" i="1"/>
  <c r="BJ51" i="1"/>
  <c r="BI51" i="1"/>
  <c r="BI50" i="1"/>
  <c r="BY3" i="1" l="1"/>
  <c r="BZ2" i="1"/>
  <c r="BZ3" i="1" l="1"/>
  <c r="CA2" i="1"/>
  <c r="CA3" i="1" l="1"/>
  <c r="CB2" i="1"/>
  <c r="CC2" i="1" l="1"/>
  <c r="CB3" i="1"/>
  <c r="CD2" i="1" l="1"/>
  <c r="CC3" i="1"/>
  <c r="CD3" i="1" l="1"/>
  <c r="CE2" i="1"/>
  <c r="CF2" i="1" l="1"/>
  <c r="CE3" i="1"/>
  <c r="CG2" i="1" l="1"/>
  <c r="CF3" i="1"/>
  <c r="CH2" i="1" l="1"/>
  <c r="CG3" i="1"/>
  <c r="CH3" i="1" l="1"/>
  <c r="CI2" i="1"/>
  <c r="CI3" i="1" l="1"/>
  <c r="CJ2" i="1"/>
  <c r="CK2" i="1" l="1"/>
  <c r="CJ3" i="1"/>
  <c r="CK3" i="1" l="1"/>
  <c r="CL2" i="1"/>
  <c r="CM2" i="1" l="1"/>
  <c r="CM3" i="1" s="1"/>
  <c r="CL3" i="1"/>
  <c r="AU56" i="1"/>
</calcChain>
</file>

<file path=xl/sharedStrings.xml><?xml version="1.0" encoding="utf-8"?>
<sst xmlns="http://schemas.openxmlformats.org/spreadsheetml/2006/main" count="53" uniqueCount="43">
  <si>
    <t>Start</t>
  </si>
  <si>
    <t>05/31/2021</t>
  </si>
  <si>
    <t>End</t>
  </si>
  <si>
    <t>Projection</t>
  </si>
  <si>
    <t>Earnings</t>
  </si>
  <si>
    <t>Bonus - Non Discretionary</t>
  </si>
  <si>
    <t>Grossed Up Earnings</t>
  </si>
  <si>
    <t>LTD Benefit Credit</t>
  </si>
  <si>
    <t>My Health Completion Credit</t>
  </si>
  <si>
    <t>Regular</t>
  </si>
  <si>
    <t>Job Related Education Reimb</t>
  </si>
  <si>
    <t>AIP</t>
  </si>
  <si>
    <t>Pre Tax Deductions</t>
  </si>
  <si>
    <t>Group Accident Coverage</t>
  </si>
  <si>
    <t>Health Savings Account</t>
  </si>
  <si>
    <t>Medical Coverage</t>
  </si>
  <si>
    <t>Supplemental Accident Coverage</t>
  </si>
  <si>
    <t>Vision Coverage</t>
  </si>
  <si>
    <t>Nationwide Savings Plan</t>
  </si>
  <si>
    <t>Federal and FICA Taxable Wages</t>
  </si>
  <si>
    <t>Taxes</t>
  </si>
  <si>
    <t>OASDI</t>
  </si>
  <si>
    <t>Medicare</t>
  </si>
  <si>
    <t>Federal</t>
  </si>
  <si>
    <t>State Tax (VA)</t>
  </si>
  <si>
    <t>State Tax (AZ)</t>
  </si>
  <si>
    <t>State Tax (CA)</t>
  </si>
  <si>
    <t>CA SDI - CASDI</t>
  </si>
  <si>
    <t>Post Tax Deductions</t>
  </si>
  <si>
    <t>Life Insurance Coverage</t>
  </si>
  <si>
    <t>Long Term Disability Coverage</t>
  </si>
  <si>
    <t>NSP AfterTax Deduction NonRoth</t>
  </si>
  <si>
    <t>Bravo Award - No Cash Net</t>
  </si>
  <si>
    <t>Charitable Giving</t>
  </si>
  <si>
    <t>Roth 401k Deduction - ROTH</t>
  </si>
  <si>
    <t>Net Income</t>
  </si>
  <si>
    <t xml:space="preserve">Roth </t>
  </si>
  <si>
    <t>SOFI</t>
  </si>
  <si>
    <t>WF</t>
  </si>
  <si>
    <t>Base</t>
  </si>
  <si>
    <t>Pay Date</t>
  </si>
  <si>
    <t>PIP</t>
  </si>
  <si>
    <t>Employer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</si>
</sst>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gency FB"/>
      <family val="2"/>
    </font>
    <font>
      <b/>
      <sz val="11"/>
      <color theme="1" tint="4.9989318521683403E-2"/>
      <name val="Segoe UI Black"/>
      <family val="2"/>
    </font>
    <font>
      <b/>
      <sz val="11"/>
      <color theme="1"/>
      <name val="Segoe UI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0" xfId="0" applyNumberFormat="1"/>
    <xf numFmtId="0" fontId="2" fillId="0" borderId="1" xfId="0" applyFont="1" applyBorder="1"/>
    <xf numFmtId="14" fontId="0" fillId="5" borderId="0" xfId="0" applyNumberFormat="1" applyFill="1"/>
    <xf numFmtId="44" fontId="3" fillId="2" borderId="1" xfId="1" applyFont="1" applyFill="1" applyBorder="1"/>
    <xf numFmtId="44" fontId="3" fillId="4" borderId="1" xfId="1" applyFont="1" applyFill="1" applyBorder="1"/>
    <xf numFmtId="44" fontId="3" fillId="3" borderId="1" xfId="1" applyFont="1" applyFill="1" applyBorder="1"/>
    <xf numFmtId="0" fontId="4" fillId="2" borderId="1" xfId="0" applyFont="1" applyFill="1" applyBorder="1"/>
    <xf numFmtId="9" fontId="4" fillId="2" borderId="1" xfId="2" applyFont="1" applyFill="1" applyBorder="1"/>
    <xf numFmtId="44" fontId="4" fillId="2" borderId="1" xfId="1" applyFont="1" applyFill="1" applyBorder="1"/>
    <xf numFmtId="164" fontId="4" fillId="2" borderId="1" xfId="1" applyNumberFormat="1" applyFont="1" applyFill="1" applyBorder="1"/>
    <xf numFmtId="0" fontId="2" fillId="6" borderId="1" xfId="0" applyFont="1" applyFill="1" applyBorder="1"/>
    <xf numFmtId="165" fontId="3" fillId="2" borderId="1" xfId="2" applyNumberFormat="1" applyFont="1" applyFill="1" applyBorder="1"/>
    <xf numFmtId="14" fontId="0" fillId="7" borderId="0" xfId="0" applyNumberFormat="1" applyFill="1"/>
    <xf numFmtId="44" fontId="0" fillId="0" borderId="0" xfId="0" applyNumberFormat="1"/>
    <xf numFmtId="14" fontId="0" fillId="0" borderId="0" xfId="0" applyNumberFormat="1" applyFill="1"/>
    <xf numFmtId="9" fontId="0" fillId="0" borderId="0" xfId="2" applyFont="1"/>
    <xf numFmtId="10" fontId="4" fillId="2" borderId="1" xfId="2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22DE-B960-477F-8F12-BA161EF30528}">
  <dimension ref="A1:CW58"/>
  <sheetViews>
    <sheetView showGridLines="0" tabSelected="1" zoomScale="70" zoomScaleNormal="70" workbookViewId="0">
      <pane xSplit="1" ySplit="2" topLeftCell="AA14" activePane="bottomRight" state="frozen"/>
      <selection pane="topRight" activeCell="B1" sqref="B1"/>
      <selection pane="bottomLeft" activeCell="A3" sqref="A3"/>
      <selection pane="bottomRight" activeCell="AD44" sqref="AD44"/>
    </sheetView>
  </sheetViews>
  <sheetFormatPr defaultRowHeight="15" x14ac:dyDescent="0.25"/>
  <cols>
    <col min="1" max="1" width="33.85546875" bestFit="1" customWidth="1"/>
    <col min="2" max="94" width="15.7109375" customWidth="1"/>
  </cols>
  <sheetData>
    <row r="1" spans="1:101" x14ac:dyDescent="0.25">
      <c r="A1" t="s">
        <v>0</v>
      </c>
      <c r="B1" s="2" t="s">
        <v>1</v>
      </c>
      <c r="C1" s="2">
        <f>B1+14</f>
        <v>44361</v>
      </c>
      <c r="D1" s="2">
        <f t="shared" ref="D1:BK2" si="0">C1+14</f>
        <v>44375</v>
      </c>
      <c r="E1" s="2">
        <f t="shared" si="0"/>
        <v>44389</v>
      </c>
      <c r="F1" s="2">
        <f t="shared" si="0"/>
        <v>44403</v>
      </c>
      <c r="G1" s="2">
        <f t="shared" si="0"/>
        <v>44417</v>
      </c>
      <c r="H1" s="2">
        <f t="shared" si="0"/>
        <v>44431</v>
      </c>
      <c r="I1" s="2">
        <f t="shared" si="0"/>
        <v>44445</v>
      </c>
      <c r="J1" s="2">
        <f t="shared" si="0"/>
        <v>44459</v>
      </c>
      <c r="K1" s="2">
        <f t="shared" si="0"/>
        <v>44473</v>
      </c>
      <c r="L1" s="2">
        <f t="shared" si="0"/>
        <v>44487</v>
      </c>
      <c r="M1" s="2">
        <f t="shared" si="0"/>
        <v>44501</v>
      </c>
      <c r="N1" s="2">
        <f t="shared" si="0"/>
        <v>44515</v>
      </c>
      <c r="O1" s="2">
        <f t="shared" si="0"/>
        <v>44529</v>
      </c>
      <c r="P1" s="2">
        <f t="shared" si="0"/>
        <v>44543</v>
      </c>
      <c r="Q1" s="2">
        <f t="shared" si="0"/>
        <v>44557</v>
      </c>
      <c r="R1" s="2">
        <f t="shared" si="0"/>
        <v>44571</v>
      </c>
      <c r="S1" s="2">
        <f t="shared" si="0"/>
        <v>44585</v>
      </c>
      <c r="T1" s="2">
        <f t="shared" si="0"/>
        <v>44599</v>
      </c>
      <c r="U1" s="2">
        <f t="shared" si="0"/>
        <v>44613</v>
      </c>
      <c r="V1" s="2">
        <f t="shared" si="0"/>
        <v>44627</v>
      </c>
      <c r="W1" s="2">
        <f t="shared" si="0"/>
        <v>44641</v>
      </c>
      <c r="X1" s="2">
        <f t="shared" si="0"/>
        <v>44655</v>
      </c>
      <c r="Y1" s="2">
        <f t="shared" si="0"/>
        <v>44669</v>
      </c>
      <c r="Z1" s="2">
        <f t="shared" si="0"/>
        <v>44683</v>
      </c>
      <c r="AA1" s="2">
        <f t="shared" si="0"/>
        <v>44697</v>
      </c>
      <c r="AB1" s="2">
        <f t="shared" si="0"/>
        <v>44711</v>
      </c>
      <c r="AC1" s="2">
        <f t="shared" si="0"/>
        <v>44725</v>
      </c>
      <c r="AD1" s="2">
        <f t="shared" si="0"/>
        <v>44739</v>
      </c>
      <c r="AE1" s="2">
        <f t="shared" si="0"/>
        <v>44753</v>
      </c>
      <c r="AF1" s="2">
        <f t="shared" si="0"/>
        <v>44767</v>
      </c>
      <c r="AG1" s="2">
        <f t="shared" si="0"/>
        <v>44781</v>
      </c>
      <c r="AH1" s="2">
        <f t="shared" si="0"/>
        <v>44795</v>
      </c>
      <c r="AI1" s="2">
        <f t="shared" si="0"/>
        <v>44809</v>
      </c>
      <c r="AJ1" s="2">
        <f t="shared" si="0"/>
        <v>44823</v>
      </c>
      <c r="AK1" s="2">
        <f t="shared" si="0"/>
        <v>44837</v>
      </c>
      <c r="AL1" s="2">
        <f t="shared" si="0"/>
        <v>44851</v>
      </c>
      <c r="AM1" s="2">
        <f t="shared" si="0"/>
        <v>44865</v>
      </c>
      <c r="AN1" s="2">
        <f t="shared" si="0"/>
        <v>44879</v>
      </c>
      <c r="AO1" s="2">
        <f t="shared" si="0"/>
        <v>44893</v>
      </c>
      <c r="AP1" s="2">
        <f t="shared" si="0"/>
        <v>44907</v>
      </c>
      <c r="AQ1" s="2">
        <f t="shared" si="0"/>
        <v>44921</v>
      </c>
      <c r="AR1" s="2">
        <f t="shared" si="0"/>
        <v>44935</v>
      </c>
      <c r="AS1" s="2">
        <f t="shared" si="0"/>
        <v>44949</v>
      </c>
      <c r="AT1" s="2">
        <f t="shared" si="0"/>
        <v>44963</v>
      </c>
      <c r="AU1" s="4">
        <f t="shared" si="0"/>
        <v>44977</v>
      </c>
      <c r="AV1" s="2">
        <f t="shared" si="0"/>
        <v>44991</v>
      </c>
      <c r="AW1" s="2">
        <f t="shared" si="0"/>
        <v>45005</v>
      </c>
      <c r="AX1" s="2">
        <f t="shared" si="0"/>
        <v>45019</v>
      </c>
      <c r="AY1" s="2">
        <f t="shared" si="0"/>
        <v>45033</v>
      </c>
      <c r="AZ1" s="2">
        <f t="shared" si="0"/>
        <v>45047</v>
      </c>
      <c r="BA1" s="2">
        <f t="shared" si="0"/>
        <v>45061</v>
      </c>
      <c r="BB1" s="2">
        <f t="shared" si="0"/>
        <v>45075</v>
      </c>
      <c r="BC1" s="2">
        <f t="shared" si="0"/>
        <v>45089</v>
      </c>
      <c r="BD1" s="2">
        <f t="shared" si="0"/>
        <v>45103</v>
      </c>
      <c r="BE1" s="2">
        <f t="shared" si="0"/>
        <v>45117</v>
      </c>
      <c r="BF1" s="2">
        <f t="shared" si="0"/>
        <v>45131</v>
      </c>
      <c r="BG1" s="2">
        <f t="shared" si="0"/>
        <v>45145</v>
      </c>
      <c r="BH1" s="2">
        <f t="shared" si="0"/>
        <v>45159</v>
      </c>
      <c r="BI1" s="4">
        <f t="shared" si="0"/>
        <v>45173</v>
      </c>
      <c r="BJ1" s="2">
        <f t="shared" si="0"/>
        <v>45187</v>
      </c>
      <c r="BK1" s="2">
        <f t="shared" si="0"/>
        <v>45201</v>
      </c>
      <c r="BL1" s="2">
        <f t="shared" ref="BL1:BL2" si="1">BK1+14</f>
        <v>45215</v>
      </c>
      <c r="BM1" s="2">
        <f t="shared" ref="BM1:BM2" si="2">BL1+14</f>
        <v>45229</v>
      </c>
      <c r="BN1" s="2">
        <f t="shared" ref="BN1:BN2" si="3">BM1+14</f>
        <v>45243</v>
      </c>
      <c r="BO1" s="2">
        <f t="shared" ref="BO1:BO2" si="4">BN1+14</f>
        <v>45257</v>
      </c>
      <c r="BP1" s="2">
        <f t="shared" ref="BP1:BP2" si="5">BO1+14</f>
        <v>45271</v>
      </c>
      <c r="BQ1" s="2">
        <f t="shared" ref="BQ1:BQ2" si="6">BP1+14</f>
        <v>45285</v>
      </c>
      <c r="BR1" s="2">
        <f t="shared" ref="BR1:BR2" si="7">BQ1+14</f>
        <v>45299</v>
      </c>
      <c r="BS1" s="16">
        <f t="shared" ref="BS1:BS2" si="8">BR1+14</f>
        <v>45313</v>
      </c>
      <c r="BT1" s="16">
        <f t="shared" ref="BT1:BV2" si="9">BS1+14</f>
        <v>45327</v>
      </c>
      <c r="BU1" s="16">
        <f t="shared" si="9"/>
        <v>45341</v>
      </c>
      <c r="BV1" s="16">
        <f t="shared" si="9"/>
        <v>45355</v>
      </c>
      <c r="BW1" s="16">
        <f t="shared" ref="BW1:BW2" si="10">BV1+14</f>
        <v>45369</v>
      </c>
      <c r="BX1" s="16">
        <f t="shared" ref="BX1:BX2" si="11">BW1+14</f>
        <v>45383</v>
      </c>
      <c r="BY1" s="16">
        <f t="shared" ref="BY1:BY2" si="12">BX1+14</f>
        <v>45397</v>
      </c>
      <c r="BZ1" s="16">
        <f t="shared" ref="BZ1:BZ2" si="13">BY1+14</f>
        <v>45411</v>
      </c>
      <c r="CA1" s="16">
        <f t="shared" ref="CA1:CA2" si="14">BZ1+14</f>
        <v>45425</v>
      </c>
      <c r="CB1" s="16">
        <f t="shared" ref="CB1:CB2" si="15">CA1+14</f>
        <v>45439</v>
      </c>
      <c r="CC1" s="16">
        <f t="shared" ref="CC1:CC2" si="16">CB1+14</f>
        <v>45453</v>
      </c>
      <c r="CD1" s="16">
        <f t="shared" ref="CD1:CD2" si="17">CC1+14</f>
        <v>45467</v>
      </c>
      <c r="CE1" s="16">
        <f t="shared" ref="CE1:CE2" si="18">CD1+14</f>
        <v>45481</v>
      </c>
      <c r="CF1" s="16">
        <f t="shared" ref="CF1:CF2" si="19">CE1+14</f>
        <v>45495</v>
      </c>
      <c r="CG1" s="16">
        <f t="shared" ref="CG1:CG2" si="20">CF1+14</f>
        <v>45509</v>
      </c>
      <c r="CH1" s="16">
        <f t="shared" ref="CH1:CH2" si="21">CG1+14</f>
        <v>45523</v>
      </c>
      <c r="CI1" s="16">
        <f t="shared" ref="CI1:CI2" si="22">CH1+14</f>
        <v>45537</v>
      </c>
      <c r="CJ1" s="16">
        <f t="shared" ref="CJ1:CJ2" si="23">CI1+14</f>
        <v>45551</v>
      </c>
      <c r="CK1" s="16">
        <f t="shared" ref="CK1:CK2" si="24">CJ1+14</f>
        <v>45565</v>
      </c>
      <c r="CL1" s="16">
        <f t="shared" ref="CL1:CL2" si="25">CK1+14</f>
        <v>45579</v>
      </c>
      <c r="CM1" s="16">
        <f t="shared" ref="CM1:CM2" si="26">CL1+14</f>
        <v>45593</v>
      </c>
      <c r="CN1" s="16">
        <f t="shared" ref="CN1:CN2" si="27">CM1+14</f>
        <v>45607</v>
      </c>
      <c r="CO1" s="16">
        <f t="shared" ref="CO1:CO2" si="28">CN1+14</f>
        <v>45621</v>
      </c>
      <c r="CP1" s="16">
        <f t="shared" ref="CP1:CP2" si="29">CO1+14</f>
        <v>45635</v>
      </c>
      <c r="CQ1">
        <v>22</v>
      </c>
      <c r="CR1">
        <f>CQ1/2</f>
        <v>11</v>
      </c>
    </row>
    <row r="2" spans="1:101" x14ac:dyDescent="0.25">
      <c r="A2" t="s">
        <v>2</v>
      </c>
      <c r="B2" s="2">
        <f>B1+13</f>
        <v>44360</v>
      </c>
      <c r="C2" s="2">
        <f>B2+14</f>
        <v>44374</v>
      </c>
      <c r="D2" s="2">
        <f t="shared" si="0"/>
        <v>44388</v>
      </c>
      <c r="E2" s="2">
        <f t="shared" si="0"/>
        <v>44402</v>
      </c>
      <c r="F2" s="2">
        <f t="shared" si="0"/>
        <v>44416</v>
      </c>
      <c r="G2" s="2">
        <f t="shared" si="0"/>
        <v>44430</v>
      </c>
      <c r="H2" s="2">
        <f t="shared" si="0"/>
        <v>44444</v>
      </c>
      <c r="I2" s="2">
        <f t="shared" si="0"/>
        <v>44458</v>
      </c>
      <c r="J2" s="2">
        <f t="shared" si="0"/>
        <v>44472</v>
      </c>
      <c r="K2" s="2">
        <f t="shared" si="0"/>
        <v>44486</v>
      </c>
      <c r="L2" s="2">
        <f t="shared" si="0"/>
        <v>44500</v>
      </c>
      <c r="M2" s="2">
        <f t="shared" si="0"/>
        <v>44514</v>
      </c>
      <c r="N2" s="2">
        <f t="shared" si="0"/>
        <v>44528</v>
      </c>
      <c r="O2" s="2">
        <f t="shared" si="0"/>
        <v>44542</v>
      </c>
      <c r="P2" s="2">
        <f t="shared" si="0"/>
        <v>44556</v>
      </c>
      <c r="Q2" s="2">
        <f t="shared" si="0"/>
        <v>44570</v>
      </c>
      <c r="R2" s="2">
        <f t="shared" si="0"/>
        <v>44584</v>
      </c>
      <c r="S2" s="2">
        <f t="shared" si="0"/>
        <v>44598</v>
      </c>
      <c r="T2" s="2">
        <f t="shared" si="0"/>
        <v>44612</v>
      </c>
      <c r="U2" s="2">
        <f t="shared" si="0"/>
        <v>44626</v>
      </c>
      <c r="V2" s="2">
        <f t="shared" si="0"/>
        <v>44640</v>
      </c>
      <c r="W2" s="2">
        <f t="shared" si="0"/>
        <v>44654</v>
      </c>
      <c r="X2" s="2">
        <f t="shared" si="0"/>
        <v>44668</v>
      </c>
      <c r="Y2" s="2">
        <f t="shared" si="0"/>
        <v>44682</v>
      </c>
      <c r="Z2" s="2">
        <f t="shared" si="0"/>
        <v>44696</v>
      </c>
      <c r="AA2" s="2">
        <f t="shared" si="0"/>
        <v>44710</v>
      </c>
      <c r="AB2" s="2">
        <f t="shared" si="0"/>
        <v>44724</v>
      </c>
      <c r="AC2" s="2">
        <f t="shared" si="0"/>
        <v>44738</v>
      </c>
      <c r="AD2" s="2">
        <f t="shared" si="0"/>
        <v>44752</v>
      </c>
      <c r="AE2" s="2">
        <f t="shared" si="0"/>
        <v>44766</v>
      </c>
      <c r="AF2" s="2">
        <f t="shared" si="0"/>
        <v>44780</v>
      </c>
      <c r="AG2" s="2">
        <f t="shared" si="0"/>
        <v>44794</v>
      </c>
      <c r="AH2" s="2">
        <f t="shared" si="0"/>
        <v>44808</v>
      </c>
      <c r="AI2" s="2">
        <f t="shared" si="0"/>
        <v>44822</v>
      </c>
      <c r="AJ2" s="2">
        <f t="shared" si="0"/>
        <v>44836</v>
      </c>
      <c r="AK2" s="2">
        <f t="shared" si="0"/>
        <v>44850</v>
      </c>
      <c r="AL2" s="2">
        <f t="shared" si="0"/>
        <v>44864</v>
      </c>
      <c r="AM2" s="2">
        <f t="shared" si="0"/>
        <v>44878</v>
      </c>
      <c r="AN2" s="2">
        <f t="shared" si="0"/>
        <v>44892</v>
      </c>
      <c r="AO2" s="2">
        <f t="shared" si="0"/>
        <v>44906</v>
      </c>
      <c r="AP2" s="2">
        <f t="shared" si="0"/>
        <v>44920</v>
      </c>
      <c r="AQ2" s="2">
        <f t="shared" si="0"/>
        <v>44934</v>
      </c>
      <c r="AR2" s="2">
        <f t="shared" si="0"/>
        <v>44948</v>
      </c>
      <c r="AS2" s="2">
        <f t="shared" si="0"/>
        <v>44962</v>
      </c>
      <c r="AT2" s="2">
        <f t="shared" si="0"/>
        <v>44976</v>
      </c>
      <c r="AU2" s="4">
        <f t="shared" si="0"/>
        <v>44990</v>
      </c>
      <c r="AV2" s="2">
        <f t="shared" si="0"/>
        <v>45004</v>
      </c>
      <c r="AW2" s="2">
        <f t="shared" si="0"/>
        <v>45018</v>
      </c>
      <c r="AX2" s="2">
        <f t="shared" si="0"/>
        <v>45032</v>
      </c>
      <c r="AY2" s="2">
        <f t="shared" si="0"/>
        <v>45046</v>
      </c>
      <c r="AZ2" s="2">
        <f t="shared" si="0"/>
        <v>45060</v>
      </c>
      <c r="BA2" s="2">
        <f t="shared" si="0"/>
        <v>45074</v>
      </c>
      <c r="BB2" s="2">
        <f t="shared" si="0"/>
        <v>45088</v>
      </c>
      <c r="BC2" s="2">
        <f t="shared" si="0"/>
        <v>45102</v>
      </c>
      <c r="BD2" s="2">
        <f t="shared" si="0"/>
        <v>45116</v>
      </c>
      <c r="BE2" s="2">
        <f t="shared" si="0"/>
        <v>45130</v>
      </c>
      <c r="BF2" s="2">
        <f t="shared" si="0"/>
        <v>45144</v>
      </c>
      <c r="BG2" s="2">
        <f t="shared" si="0"/>
        <v>45158</v>
      </c>
      <c r="BH2" s="2">
        <f t="shared" si="0"/>
        <v>45172</v>
      </c>
      <c r="BI2" s="4">
        <f t="shared" si="0"/>
        <v>45186</v>
      </c>
      <c r="BJ2" s="2">
        <f t="shared" si="0"/>
        <v>45200</v>
      </c>
      <c r="BK2" s="2">
        <f t="shared" si="0"/>
        <v>45214</v>
      </c>
      <c r="BL2" s="2">
        <f t="shared" si="1"/>
        <v>45228</v>
      </c>
      <c r="BM2" s="2">
        <f t="shared" si="2"/>
        <v>45242</v>
      </c>
      <c r="BN2" s="2">
        <f t="shared" si="3"/>
        <v>45256</v>
      </c>
      <c r="BO2" s="2">
        <f t="shared" si="4"/>
        <v>45270</v>
      </c>
      <c r="BP2" s="2">
        <f t="shared" si="5"/>
        <v>45284</v>
      </c>
      <c r="BQ2" s="2">
        <f t="shared" si="6"/>
        <v>45298</v>
      </c>
      <c r="BR2" s="2">
        <f t="shared" si="7"/>
        <v>45312</v>
      </c>
      <c r="BS2" s="16">
        <f t="shared" si="8"/>
        <v>45326</v>
      </c>
      <c r="BT2" s="16">
        <f t="shared" si="9"/>
        <v>45340</v>
      </c>
      <c r="BU2" s="16">
        <f t="shared" si="9"/>
        <v>45354</v>
      </c>
      <c r="BV2" s="16">
        <f t="shared" si="9"/>
        <v>45368</v>
      </c>
      <c r="BW2" s="16">
        <f t="shared" si="10"/>
        <v>45382</v>
      </c>
      <c r="BX2" s="16">
        <f t="shared" si="11"/>
        <v>45396</v>
      </c>
      <c r="BY2" s="16">
        <f t="shared" si="12"/>
        <v>45410</v>
      </c>
      <c r="BZ2" s="16">
        <f t="shared" si="13"/>
        <v>45424</v>
      </c>
      <c r="CA2" s="16">
        <f t="shared" si="14"/>
        <v>45438</v>
      </c>
      <c r="CB2" s="16">
        <f t="shared" si="15"/>
        <v>45452</v>
      </c>
      <c r="CC2" s="16">
        <f t="shared" si="16"/>
        <v>45466</v>
      </c>
      <c r="CD2" s="16">
        <f t="shared" si="17"/>
        <v>45480</v>
      </c>
      <c r="CE2" s="16">
        <f t="shared" si="18"/>
        <v>45494</v>
      </c>
      <c r="CF2" s="16">
        <f t="shared" si="19"/>
        <v>45508</v>
      </c>
      <c r="CG2" s="16">
        <f t="shared" si="20"/>
        <v>45522</v>
      </c>
      <c r="CH2" s="16">
        <f t="shared" si="21"/>
        <v>45536</v>
      </c>
      <c r="CI2" s="16">
        <f t="shared" si="22"/>
        <v>45550</v>
      </c>
      <c r="CJ2" s="16">
        <f t="shared" si="23"/>
        <v>45564</v>
      </c>
      <c r="CK2" s="16">
        <f t="shared" si="24"/>
        <v>45578</v>
      </c>
      <c r="CL2" s="16">
        <f t="shared" si="25"/>
        <v>45592</v>
      </c>
      <c r="CM2" s="16">
        <f t="shared" si="26"/>
        <v>45606</v>
      </c>
      <c r="CN2" s="16">
        <f t="shared" si="27"/>
        <v>45620</v>
      </c>
      <c r="CO2" s="16">
        <f t="shared" si="28"/>
        <v>45634</v>
      </c>
      <c r="CP2" s="16">
        <f t="shared" si="29"/>
        <v>45648</v>
      </c>
      <c r="CQ2" t="s">
        <v>3</v>
      </c>
    </row>
    <row r="3" spans="1:101" x14ac:dyDescent="0.25">
      <c r="A3" s="2" t="s">
        <v>40</v>
      </c>
      <c r="B3" s="2">
        <f t="shared" ref="B3:BL3" si="30">B2+5</f>
        <v>44365</v>
      </c>
      <c r="C3" s="2">
        <f t="shared" si="30"/>
        <v>44379</v>
      </c>
      <c r="D3" s="2">
        <f t="shared" si="30"/>
        <v>44393</v>
      </c>
      <c r="E3" s="2">
        <f t="shared" si="30"/>
        <v>44407</v>
      </c>
      <c r="F3" s="2">
        <f t="shared" si="30"/>
        <v>44421</v>
      </c>
      <c r="G3" s="2">
        <f t="shared" si="30"/>
        <v>44435</v>
      </c>
      <c r="H3" s="2">
        <f t="shared" si="30"/>
        <v>44449</v>
      </c>
      <c r="I3" s="2">
        <f t="shared" si="30"/>
        <v>44463</v>
      </c>
      <c r="J3" s="2">
        <f t="shared" si="30"/>
        <v>44477</v>
      </c>
      <c r="K3" s="2">
        <f t="shared" si="30"/>
        <v>44491</v>
      </c>
      <c r="L3" s="2">
        <f t="shared" si="30"/>
        <v>44505</v>
      </c>
      <c r="M3" s="2">
        <f t="shared" si="30"/>
        <v>44519</v>
      </c>
      <c r="N3" s="2">
        <f t="shared" si="30"/>
        <v>44533</v>
      </c>
      <c r="O3" s="2">
        <f t="shared" si="30"/>
        <v>44547</v>
      </c>
      <c r="P3" s="2">
        <f t="shared" si="30"/>
        <v>44561</v>
      </c>
      <c r="Q3" s="2">
        <f t="shared" si="30"/>
        <v>44575</v>
      </c>
      <c r="R3" s="2">
        <f t="shared" si="30"/>
        <v>44589</v>
      </c>
      <c r="S3" s="2">
        <f t="shared" si="30"/>
        <v>44603</v>
      </c>
      <c r="T3" s="2">
        <f t="shared" si="30"/>
        <v>44617</v>
      </c>
      <c r="U3" s="2">
        <f t="shared" si="30"/>
        <v>44631</v>
      </c>
      <c r="V3" s="2">
        <f t="shared" si="30"/>
        <v>44645</v>
      </c>
      <c r="W3" s="2">
        <f t="shared" si="30"/>
        <v>44659</v>
      </c>
      <c r="X3" s="2">
        <f t="shared" si="30"/>
        <v>44673</v>
      </c>
      <c r="Y3" s="2">
        <f t="shared" si="30"/>
        <v>44687</v>
      </c>
      <c r="Z3" s="2">
        <f t="shared" si="30"/>
        <v>44701</v>
      </c>
      <c r="AA3" s="2">
        <f t="shared" si="30"/>
        <v>44715</v>
      </c>
      <c r="AB3" s="2">
        <f t="shared" si="30"/>
        <v>44729</v>
      </c>
      <c r="AC3" s="2">
        <f t="shared" si="30"/>
        <v>44743</v>
      </c>
      <c r="AD3" s="2">
        <f t="shared" si="30"/>
        <v>44757</v>
      </c>
      <c r="AE3" s="2">
        <f t="shared" si="30"/>
        <v>44771</v>
      </c>
      <c r="AF3" s="2">
        <f t="shared" si="30"/>
        <v>44785</v>
      </c>
      <c r="AG3" s="2">
        <f t="shared" si="30"/>
        <v>44799</v>
      </c>
      <c r="AH3" s="2">
        <f t="shared" si="30"/>
        <v>44813</v>
      </c>
      <c r="AI3" s="2">
        <f t="shared" si="30"/>
        <v>44827</v>
      </c>
      <c r="AJ3" s="2">
        <f t="shared" si="30"/>
        <v>44841</v>
      </c>
      <c r="AK3" s="2">
        <f t="shared" si="30"/>
        <v>44855</v>
      </c>
      <c r="AL3" s="2">
        <f t="shared" si="30"/>
        <v>44869</v>
      </c>
      <c r="AM3" s="2">
        <f t="shared" si="30"/>
        <v>44883</v>
      </c>
      <c r="AN3" s="2">
        <f t="shared" si="30"/>
        <v>44897</v>
      </c>
      <c r="AO3" s="2">
        <f t="shared" si="30"/>
        <v>44911</v>
      </c>
      <c r="AP3" s="2">
        <f t="shared" si="30"/>
        <v>44925</v>
      </c>
      <c r="AQ3" s="2">
        <f t="shared" si="30"/>
        <v>44939</v>
      </c>
      <c r="AR3" s="2">
        <f t="shared" si="30"/>
        <v>44953</v>
      </c>
      <c r="AS3" s="2">
        <f t="shared" si="30"/>
        <v>44967</v>
      </c>
      <c r="AT3" s="2">
        <f t="shared" si="30"/>
        <v>44981</v>
      </c>
      <c r="AU3" s="2">
        <f t="shared" si="30"/>
        <v>44995</v>
      </c>
      <c r="AV3" s="2">
        <f t="shared" si="30"/>
        <v>45009</v>
      </c>
      <c r="AW3" s="2">
        <f t="shared" si="30"/>
        <v>45023</v>
      </c>
      <c r="AX3" s="2">
        <f t="shared" si="30"/>
        <v>45037</v>
      </c>
      <c r="AY3" s="2">
        <f t="shared" si="30"/>
        <v>45051</v>
      </c>
      <c r="AZ3" s="2">
        <f t="shared" si="30"/>
        <v>45065</v>
      </c>
      <c r="BA3" s="2">
        <f t="shared" si="30"/>
        <v>45079</v>
      </c>
      <c r="BB3" s="2">
        <f t="shared" si="30"/>
        <v>45093</v>
      </c>
      <c r="BC3" s="2">
        <f t="shared" si="30"/>
        <v>45107</v>
      </c>
      <c r="BD3" s="2">
        <f t="shared" si="30"/>
        <v>45121</v>
      </c>
      <c r="BE3" s="2">
        <f t="shared" si="30"/>
        <v>45135</v>
      </c>
      <c r="BF3" s="2">
        <f t="shared" si="30"/>
        <v>45149</v>
      </c>
      <c r="BG3" s="2">
        <f t="shared" si="30"/>
        <v>45163</v>
      </c>
      <c r="BH3" s="2">
        <f t="shared" si="30"/>
        <v>45177</v>
      </c>
      <c r="BI3" s="4">
        <f t="shared" si="30"/>
        <v>45191</v>
      </c>
      <c r="BJ3" s="2">
        <f t="shared" si="30"/>
        <v>45205</v>
      </c>
      <c r="BK3" s="2">
        <f t="shared" si="30"/>
        <v>45219</v>
      </c>
      <c r="BL3" s="2">
        <f t="shared" si="30"/>
        <v>45233</v>
      </c>
      <c r="BM3" s="2">
        <f t="shared" ref="BM3:BS3" si="31">BM2+5</f>
        <v>45247</v>
      </c>
      <c r="BN3" s="2">
        <f t="shared" si="31"/>
        <v>45261</v>
      </c>
      <c r="BO3" s="2">
        <f t="shared" si="31"/>
        <v>45275</v>
      </c>
      <c r="BP3" s="2">
        <f t="shared" si="31"/>
        <v>45289</v>
      </c>
      <c r="BQ3" s="2">
        <f t="shared" si="31"/>
        <v>45303</v>
      </c>
      <c r="BR3" s="2">
        <f t="shared" si="31"/>
        <v>45317</v>
      </c>
      <c r="BS3" s="4">
        <f t="shared" si="31"/>
        <v>45331</v>
      </c>
      <c r="BT3" s="2">
        <f>BT2+5</f>
        <v>45345</v>
      </c>
      <c r="BU3" s="14">
        <f>BU2+5</f>
        <v>45359</v>
      </c>
      <c r="BV3" s="14">
        <f>BV2+5</f>
        <v>45373</v>
      </c>
      <c r="BW3" s="14">
        <f t="shared" ref="BW3:CD3" si="32">BW2+5</f>
        <v>45387</v>
      </c>
      <c r="BX3" s="14">
        <f t="shared" si="32"/>
        <v>45401</v>
      </c>
      <c r="BY3" s="14">
        <f t="shared" si="32"/>
        <v>45415</v>
      </c>
      <c r="BZ3" s="14">
        <f t="shared" si="32"/>
        <v>45429</v>
      </c>
      <c r="CA3" s="14">
        <f t="shared" si="32"/>
        <v>45443</v>
      </c>
      <c r="CB3" s="14">
        <f t="shared" si="32"/>
        <v>45457</v>
      </c>
      <c r="CC3" s="14">
        <f t="shared" si="32"/>
        <v>45471</v>
      </c>
      <c r="CD3" s="14">
        <f t="shared" si="32"/>
        <v>45485</v>
      </c>
      <c r="CE3" s="14">
        <f t="shared" ref="CE3" si="33">CE2+5</f>
        <v>45499</v>
      </c>
      <c r="CF3" s="14">
        <f t="shared" ref="CF3" si="34">CF2+5</f>
        <v>45513</v>
      </c>
      <c r="CG3" s="14">
        <f t="shared" ref="CG3" si="35">CG2+5</f>
        <v>45527</v>
      </c>
      <c r="CH3" s="14">
        <f t="shared" ref="CH3" si="36">CH2+5</f>
        <v>45541</v>
      </c>
      <c r="CI3" s="14">
        <f t="shared" ref="CI3" si="37">CI2+5</f>
        <v>45555</v>
      </c>
      <c r="CJ3" s="14">
        <f t="shared" ref="CJ3" si="38">CJ2+5</f>
        <v>45569</v>
      </c>
      <c r="CK3" s="14">
        <f t="shared" ref="CK3" si="39">CK2+5</f>
        <v>45583</v>
      </c>
      <c r="CL3" s="14">
        <f t="shared" ref="CL3" si="40">CL2+5</f>
        <v>45597</v>
      </c>
      <c r="CM3" s="14">
        <f t="shared" ref="CM3" si="41">CM2+5</f>
        <v>45611</v>
      </c>
      <c r="CN3" s="14">
        <f t="shared" ref="CN3" si="42">CN2+5</f>
        <v>45625</v>
      </c>
      <c r="CO3" s="14">
        <f t="shared" ref="CO3" si="43">CO2+5</f>
        <v>45639</v>
      </c>
      <c r="CP3" s="14">
        <f t="shared" ref="CP3" si="44">CP2+5</f>
        <v>45653</v>
      </c>
    </row>
    <row r="4" spans="1:101" ht="16.5" x14ac:dyDescent="0.3">
      <c r="A4" s="3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1"/>
    </row>
    <row r="5" spans="1:101" ht="16.5" x14ac:dyDescent="0.3">
      <c r="A5" s="3" t="s">
        <v>5</v>
      </c>
      <c r="B5" s="5"/>
      <c r="C5" s="5"/>
      <c r="D5" s="5"/>
      <c r="E5" s="5"/>
      <c r="F5" s="5"/>
      <c r="G5" s="5"/>
      <c r="H5" s="5"/>
      <c r="I5" s="5"/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1200</v>
      </c>
      <c r="Q5" s="5">
        <v>3143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1"/>
    </row>
    <row r="6" spans="1:101" ht="16.5" x14ac:dyDescent="0.3">
      <c r="A6" s="3" t="s">
        <v>6</v>
      </c>
      <c r="B6" s="5">
        <v>4098.37</v>
      </c>
      <c r="C6" s="5"/>
      <c r="D6" s="5"/>
      <c r="E6" s="5"/>
      <c r="F6" s="5"/>
      <c r="G6" s="5"/>
      <c r="H6" s="5"/>
      <c r="I6" s="5"/>
      <c r="J6" s="5"/>
      <c r="K6" s="5">
        <v>224.74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101.3</v>
      </c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1"/>
    </row>
    <row r="7" spans="1:101" ht="16.5" x14ac:dyDescent="0.3">
      <c r="A7" s="3" t="s">
        <v>7</v>
      </c>
      <c r="B7" s="5">
        <v>0</v>
      </c>
      <c r="C7" s="5">
        <v>4.8600000000000003</v>
      </c>
      <c r="D7" s="5">
        <v>4.8600000000000003</v>
      </c>
      <c r="E7" s="5">
        <v>4.8600000000000003</v>
      </c>
      <c r="F7" s="5">
        <v>4.8600000000000003</v>
      </c>
      <c r="G7" s="5">
        <v>4.8600000000000003</v>
      </c>
      <c r="H7" s="5">
        <v>4.8600000000000003</v>
      </c>
      <c r="I7" s="5">
        <v>4.8600000000000003</v>
      </c>
      <c r="J7" s="5">
        <v>4.8600000000000003</v>
      </c>
      <c r="K7" s="5">
        <v>4.8600000000000003</v>
      </c>
      <c r="L7" s="5">
        <v>4.8600000000000003</v>
      </c>
      <c r="M7" s="5">
        <v>4.8600000000000003</v>
      </c>
      <c r="N7" s="5">
        <v>4.8600000000000003</v>
      </c>
      <c r="O7" s="5">
        <v>4.8600000000000003</v>
      </c>
      <c r="P7" s="5">
        <v>4.8600000000000003</v>
      </c>
      <c r="Q7" s="5">
        <v>4.8600000000000003</v>
      </c>
      <c r="R7" s="5">
        <v>4.9800000000000004</v>
      </c>
      <c r="S7" s="5">
        <v>4.9800000000000004</v>
      </c>
      <c r="T7" s="5">
        <v>4.9800000000000004</v>
      </c>
      <c r="U7" s="5">
        <v>5.14</v>
      </c>
      <c r="V7" s="5">
        <v>5.14</v>
      </c>
      <c r="W7" s="5">
        <v>5.14</v>
      </c>
      <c r="X7" s="5">
        <v>5.14</v>
      </c>
      <c r="Y7" s="5">
        <v>5.73</v>
      </c>
      <c r="Z7" s="5">
        <v>5.73</v>
      </c>
      <c r="AA7" s="5">
        <v>5.73</v>
      </c>
      <c r="AB7" s="5">
        <v>5.73</v>
      </c>
      <c r="AC7" s="5">
        <v>5.73</v>
      </c>
      <c r="AD7" s="5">
        <v>5.73</v>
      </c>
      <c r="AE7" s="5">
        <v>5.73</v>
      </c>
      <c r="AF7" s="5">
        <v>5.73</v>
      </c>
      <c r="AG7" s="5">
        <v>5.73</v>
      </c>
      <c r="AH7" s="5">
        <v>5.73</v>
      </c>
      <c r="AI7" s="5">
        <v>5.73</v>
      </c>
      <c r="AJ7" s="5">
        <v>5.73</v>
      </c>
      <c r="AK7" s="5">
        <v>5.73</v>
      </c>
      <c r="AL7" s="5">
        <v>5.73</v>
      </c>
      <c r="AM7" s="5">
        <v>5.73</v>
      </c>
      <c r="AN7" s="5">
        <v>5.73</v>
      </c>
      <c r="AO7" s="5">
        <v>5.73</v>
      </c>
      <c r="AP7" s="5">
        <v>5.73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1"/>
    </row>
    <row r="8" spans="1:101" ht="16.5" x14ac:dyDescent="0.3">
      <c r="A8" s="3" t="s">
        <v>8</v>
      </c>
      <c r="B8" s="5">
        <v>0</v>
      </c>
      <c r="C8" s="5">
        <v>20</v>
      </c>
      <c r="D8" s="5">
        <v>20</v>
      </c>
      <c r="E8" s="5">
        <v>20</v>
      </c>
      <c r="F8" s="5">
        <v>20</v>
      </c>
      <c r="G8" s="5">
        <v>20</v>
      </c>
      <c r="H8" s="5">
        <v>20</v>
      </c>
      <c r="I8" s="5">
        <v>20</v>
      </c>
      <c r="J8" s="5">
        <v>20</v>
      </c>
      <c r="K8" s="5">
        <v>20</v>
      </c>
      <c r="L8" s="5">
        <v>20</v>
      </c>
      <c r="M8" s="5">
        <v>20</v>
      </c>
      <c r="N8" s="5">
        <v>20</v>
      </c>
      <c r="O8" s="5">
        <v>20</v>
      </c>
      <c r="P8" s="5">
        <v>20</v>
      </c>
      <c r="Q8" s="5">
        <v>20</v>
      </c>
      <c r="R8" s="5">
        <v>20</v>
      </c>
      <c r="S8" s="5">
        <v>20</v>
      </c>
      <c r="T8" s="5">
        <v>20</v>
      </c>
      <c r="U8" s="5">
        <v>20</v>
      </c>
      <c r="V8" s="5">
        <v>20</v>
      </c>
      <c r="W8" s="5">
        <v>20</v>
      </c>
      <c r="X8" s="5">
        <v>20</v>
      </c>
      <c r="Y8" s="5">
        <v>20</v>
      </c>
      <c r="Z8" s="5">
        <v>20</v>
      </c>
      <c r="AA8" s="5">
        <v>20</v>
      </c>
      <c r="AB8" s="5">
        <v>20</v>
      </c>
      <c r="AC8" s="5">
        <v>20</v>
      </c>
      <c r="AD8" s="5">
        <v>20</v>
      </c>
      <c r="AE8" s="5">
        <v>20</v>
      </c>
      <c r="AF8" s="5">
        <v>20</v>
      </c>
      <c r="AG8" s="5">
        <v>20</v>
      </c>
      <c r="AH8" s="5">
        <v>20</v>
      </c>
      <c r="AI8" s="5">
        <v>20</v>
      </c>
      <c r="AJ8" s="5">
        <v>20</v>
      </c>
      <c r="AK8" s="5">
        <v>20</v>
      </c>
      <c r="AL8" s="5">
        <v>20</v>
      </c>
      <c r="AM8" s="5">
        <v>20</v>
      </c>
      <c r="AN8" s="5">
        <v>20</v>
      </c>
      <c r="AO8" s="5">
        <v>20</v>
      </c>
      <c r="AP8" s="5">
        <v>20</v>
      </c>
      <c r="AQ8" s="5">
        <v>20</v>
      </c>
      <c r="AR8" s="5">
        <v>20</v>
      </c>
      <c r="AS8" s="5">
        <v>20</v>
      </c>
      <c r="AT8" s="5">
        <v>20</v>
      </c>
      <c r="AU8" s="5">
        <v>20</v>
      </c>
      <c r="AV8" s="5">
        <v>20</v>
      </c>
      <c r="AW8" s="5">
        <v>20</v>
      </c>
      <c r="AX8" s="5">
        <v>20</v>
      </c>
      <c r="AY8" s="5">
        <v>20</v>
      </c>
      <c r="AZ8" s="5">
        <v>20</v>
      </c>
      <c r="BA8" s="5">
        <v>20</v>
      </c>
      <c r="BB8" s="5">
        <v>20</v>
      </c>
      <c r="BC8" s="5">
        <v>20</v>
      </c>
      <c r="BD8" s="5">
        <v>20</v>
      </c>
      <c r="BE8" s="5">
        <v>20</v>
      </c>
      <c r="BF8" s="5">
        <v>20</v>
      </c>
      <c r="BG8" s="5">
        <v>20</v>
      </c>
      <c r="BH8" s="5">
        <v>20</v>
      </c>
      <c r="BI8" s="5">
        <v>20</v>
      </c>
      <c r="BJ8" s="5">
        <v>20</v>
      </c>
      <c r="BK8" s="5">
        <v>20</v>
      </c>
      <c r="BL8" s="5">
        <v>20</v>
      </c>
      <c r="BM8" s="5">
        <v>20</v>
      </c>
      <c r="BN8" s="5">
        <v>20</v>
      </c>
      <c r="BO8" s="5">
        <v>20</v>
      </c>
      <c r="BP8" s="5">
        <v>20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1">
        <v>20</v>
      </c>
      <c r="CV8">
        <f>1040000</f>
        <v>1040000</v>
      </c>
      <c r="CW8">
        <v>129000</v>
      </c>
    </row>
    <row r="9" spans="1:101" ht="16.5" x14ac:dyDescent="0.3">
      <c r="A9" s="3" t="s">
        <v>9</v>
      </c>
      <c r="B9" s="5">
        <v>2700</v>
      </c>
      <c r="C9" s="5">
        <v>3000</v>
      </c>
      <c r="D9" s="5">
        <v>3000</v>
      </c>
      <c r="E9" s="5">
        <v>3000</v>
      </c>
      <c r="F9" s="5">
        <v>3000</v>
      </c>
      <c r="G9" s="5">
        <v>3000</v>
      </c>
      <c r="H9" s="5">
        <v>3000</v>
      </c>
      <c r="I9" s="5">
        <v>3000</v>
      </c>
      <c r="J9" s="5">
        <v>3000</v>
      </c>
      <c r="K9" s="5">
        <v>3000</v>
      </c>
      <c r="L9" s="5">
        <v>3000</v>
      </c>
      <c r="M9" s="5">
        <v>3000</v>
      </c>
      <c r="N9" s="5">
        <v>3000</v>
      </c>
      <c r="O9" s="5">
        <v>3000</v>
      </c>
      <c r="P9" s="5">
        <v>3076.93</v>
      </c>
      <c r="Q9" s="5">
        <v>3076.93</v>
      </c>
      <c r="R9" s="5">
        <v>3076.93</v>
      </c>
      <c r="S9" s="5">
        <v>3076.93</v>
      </c>
      <c r="T9" s="5">
        <v>3076.93</v>
      </c>
      <c r="U9" s="5">
        <v>3173.08</v>
      </c>
      <c r="V9" s="5">
        <v>3173.08</v>
      </c>
      <c r="W9" s="5">
        <v>3173.08</v>
      </c>
      <c r="X9" s="5">
        <v>3173.08</v>
      </c>
      <c r="Y9" s="5">
        <v>3538.47</v>
      </c>
      <c r="Z9" s="5">
        <v>3538.47</v>
      </c>
      <c r="AA9" s="5">
        <v>3538.47</v>
      </c>
      <c r="AB9" s="5">
        <v>3538.47</v>
      </c>
      <c r="AC9" s="5">
        <v>3538.47</v>
      </c>
      <c r="AD9" s="5">
        <v>3538.47</v>
      </c>
      <c r="AE9" s="5">
        <v>3538.47</v>
      </c>
      <c r="AF9" s="5">
        <v>3538.47</v>
      </c>
      <c r="AG9" s="5">
        <v>3538.47</v>
      </c>
      <c r="AH9" s="5">
        <v>3538.47</v>
      </c>
      <c r="AI9" s="5">
        <v>3538.47</v>
      </c>
      <c r="AJ9" s="5">
        <v>3538.47</v>
      </c>
      <c r="AK9" s="5">
        <v>3538.47</v>
      </c>
      <c r="AL9" s="5">
        <v>3538.47</v>
      </c>
      <c r="AM9" s="5">
        <v>3538.47</v>
      </c>
      <c r="AN9" s="5">
        <v>3538.47</v>
      </c>
      <c r="AO9" s="5">
        <v>3538.47</v>
      </c>
      <c r="AP9" s="5">
        <v>3538.47</v>
      </c>
      <c r="AQ9" s="5">
        <v>3538.47</v>
      </c>
      <c r="AR9" s="5">
        <v>3538.47</v>
      </c>
      <c r="AS9" s="5">
        <v>3538.47</v>
      </c>
      <c r="AT9" s="5">
        <v>3538.47</v>
      </c>
      <c r="AU9" s="5">
        <v>4000</v>
      </c>
      <c r="AV9" s="5">
        <v>4000</v>
      </c>
      <c r="AW9" s="5">
        <v>4000</v>
      </c>
      <c r="AX9" s="5">
        <v>4000</v>
      </c>
      <c r="AY9" s="5">
        <v>4000</v>
      </c>
      <c r="AZ9" s="5">
        <v>4000</v>
      </c>
      <c r="BA9" s="5">
        <v>4000</v>
      </c>
      <c r="BB9" s="5">
        <v>4000</v>
      </c>
      <c r="BC9" s="5">
        <v>4000</v>
      </c>
      <c r="BD9" s="5">
        <v>4000</v>
      </c>
      <c r="BE9" s="5">
        <v>4000</v>
      </c>
      <c r="BF9" s="5">
        <v>4000</v>
      </c>
      <c r="BG9" s="5">
        <v>4000</v>
      </c>
      <c r="BH9" s="5">
        <v>4000</v>
      </c>
      <c r="BI9" s="5">
        <f t="shared" ref="BI9:BT9" si="45">129000/26</f>
        <v>4961.5384615384619</v>
      </c>
      <c r="BJ9" s="5">
        <f t="shared" si="45"/>
        <v>4961.5384615384619</v>
      </c>
      <c r="BK9" s="5">
        <f t="shared" si="45"/>
        <v>4961.5384615384619</v>
      </c>
      <c r="BL9" s="5">
        <f t="shared" si="45"/>
        <v>4961.5384615384619</v>
      </c>
      <c r="BM9" s="5">
        <f t="shared" si="45"/>
        <v>4961.5384615384619</v>
      </c>
      <c r="BN9" s="5">
        <f t="shared" si="45"/>
        <v>4961.5384615384619</v>
      </c>
      <c r="BO9" s="5">
        <f t="shared" si="45"/>
        <v>4961.5384615384619</v>
      </c>
      <c r="BP9" s="5">
        <f t="shared" si="45"/>
        <v>4961.5384615384619</v>
      </c>
      <c r="BQ9" s="5">
        <f t="shared" si="45"/>
        <v>4961.5384615384619</v>
      </c>
      <c r="BR9" s="5">
        <f t="shared" si="45"/>
        <v>4961.5384615384619</v>
      </c>
      <c r="BS9" s="5">
        <f t="shared" si="45"/>
        <v>4961.5384615384619</v>
      </c>
      <c r="BT9" s="5">
        <f t="shared" si="45"/>
        <v>4961.5384615384619</v>
      </c>
      <c r="BU9" s="5">
        <f>BU53/26</f>
        <v>5259.2307692307695</v>
      </c>
      <c r="BV9" s="5">
        <f>BV53/26</f>
        <v>5259.2307692307695</v>
      </c>
      <c r="BW9" s="5">
        <v>5259.24</v>
      </c>
      <c r="BX9" s="5">
        <v>5259.24</v>
      </c>
      <c r="BY9" s="5">
        <v>5259.24</v>
      </c>
      <c r="BZ9" s="5">
        <v>5259.24</v>
      </c>
      <c r="CA9" s="5">
        <v>5259.24</v>
      </c>
      <c r="CB9" s="5">
        <v>5259.24</v>
      </c>
      <c r="CC9" s="5">
        <v>6191.24</v>
      </c>
      <c r="CD9" s="5">
        <v>5259.24</v>
      </c>
      <c r="CE9" s="5">
        <v>5259.24</v>
      </c>
      <c r="CF9" s="5">
        <v>5259.24</v>
      </c>
      <c r="CG9" s="5">
        <v>5259.24</v>
      </c>
      <c r="CH9" s="5">
        <v>5259.24</v>
      </c>
      <c r="CI9" s="5">
        <v>5259.24</v>
      </c>
      <c r="CJ9" s="5">
        <v>5259.24</v>
      </c>
      <c r="CK9" s="5">
        <v>5259.24</v>
      </c>
      <c r="CL9" s="5">
        <v>5259.24</v>
      </c>
      <c r="CM9" s="5">
        <v>5259.24</v>
      </c>
      <c r="CN9" s="5">
        <v>5259.24</v>
      </c>
      <c r="CO9" s="5">
        <v>5259.24</v>
      </c>
      <c r="CP9" s="5"/>
      <c r="CQ9" s="1">
        <f>CQ53/26</f>
        <v>4000</v>
      </c>
      <c r="CR9">
        <f>CQ9/AT9-1</f>
        <v>0.13043207940154922</v>
      </c>
      <c r="CS9">
        <f>CQ9-AT9</f>
        <v>461.5300000000002</v>
      </c>
      <c r="CV9">
        <f>CV8/26</f>
        <v>40000</v>
      </c>
      <c r="CW9">
        <f>CW8/26</f>
        <v>4961.5384615384619</v>
      </c>
    </row>
    <row r="10" spans="1:101" ht="16.5" x14ac:dyDescent="0.3">
      <c r="A10" s="3" t="s">
        <v>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1757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932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1"/>
    </row>
    <row r="11" spans="1:101" ht="16.5" x14ac:dyDescent="0.3">
      <c r="A11" s="3" t="s">
        <v>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3011.11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2381.7199999999998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1"/>
    </row>
    <row r="12" spans="1:101" ht="16.5" x14ac:dyDescent="0.3">
      <c r="A12" s="3" t="s">
        <v>41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>
        <v>2396.6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1"/>
    </row>
    <row r="13" spans="1:101" ht="16.5" x14ac:dyDescent="0.3">
      <c r="A13" s="12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1"/>
    </row>
    <row r="14" spans="1:101" ht="16.5" x14ac:dyDescent="0.3">
      <c r="A14" s="3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0.82</v>
      </c>
      <c r="S14" s="5">
        <v>0.82</v>
      </c>
      <c r="T14" s="5">
        <v>0.82</v>
      </c>
      <c r="U14" s="5">
        <v>0.84</v>
      </c>
      <c r="V14" s="5">
        <v>0.84</v>
      </c>
      <c r="W14" s="5">
        <v>0.84</v>
      </c>
      <c r="X14" s="5">
        <v>0.84</v>
      </c>
      <c r="Y14" s="5">
        <v>0.94</v>
      </c>
      <c r="Z14" s="5">
        <v>0.94</v>
      </c>
      <c r="AA14" s="5">
        <v>0.94</v>
      </c>
      <c r="AB14" s="5">
        <v>0.94</v>
      </c>
      <c r="AC14" s="5">
        <v>0.94</v>
      </c>
      <c r="AD14" s="5">
        <v>0.94</v>
      </c>
      <c r="AE14" s="5">
        <v>0.94</v>
      </c>
      <c r="AF14" s="5">
        <v>0.94</v>
      </c>
      <c r="AG14" s="5">
        <v>0.94</v>
      </c>
      <c r="AH14" s="5">
        <v>0.94</v>
      </c>
      <c r="AI14" s="5">
        <v>0.94</v>
      </c>
      <c r="AJ14" s="5">
        <v>0.94</v>
      </c>
      <c r="AK14" s="5">
        <v>0.94</v>
      </c>
      <c r="AL14" s="5">
        <v>0.94</v>
      </c>
      <c r="AM14" s="5">
        <v>0.94</v>
      </c>
      <c r="AN14" s="5">
        <v>0.94</v>
      </c>
      <c r="AO14" s="5">
        <v>0.94</v>
      </c>
      <c r="AP14" s="5">
        <v>0.94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1"/>
    </row>
    <row r="15" spans="1:101" ht="16.5" x14ac:dyDescent="0.3">
      <c r="A15" s="3" t="s">
        <v>14</v>
      </c>
      <c r="B15" s="5">
        <v>0</v>
      </c>
      <c r="C15" s="5">
        <v>54.77</v>
      </c>
      <c r="D15" s="5">
        <v>54.77</v>
      </c>
      <c r="E15" s="5">
        <v>54.77</v>
      </c>
      <c r="F15" s="5">
        <v>54.77</v>
      </c>
      <c r="G15" s="5">
        <v>54.77</v>
      </c>
      <c r="H15" s="5">
        <v>54.77</v>
      </c>
      <c r="I15" s="5">
        <v>54.77</v>
      </c>
      <c r="J15" s="5">
        <v>54.77</v>
      </c>
      <c r="K15" s="5">
        <v>54.77</v>
      </c>
      <c r="L15" s="5">
        <v>54.77</v>
      </c>
      <c r="M15" s="5">
        <v>54.77</v>
      </c>
      <c r="N15" s="5">
        <v>54.77</v>
      </c>
      <c r="O15" s="5">
        <v>54.77</v>
      </c>
      <c r="P15" s="5">
        <v>54.77</v>
      </c>
      <c r="Q15" s="5">
        <v>111.15</v>
      </c>
      <c r="R15" s="5">
        <v>111.15</v>
      </c>
      <c r="S15" s="5">
        <v>111.15</v>
      </c>
      <c r="T15" s="5">
        <v>111.15</v>
      </c>
      <c r="U15" s="5">
        <v>111.15</v>
      </c>
      <c r="V15" s="5">
        <v>111.15</v>
      </c>
      <c r="W15" s="5">
        <v>111.15</v>
      </c>
      <c r="X15" s="5">
        <v>111.15</v>
      </c>
      <c r="Y15" s="5">
        <v>111.15</v>
      </c>
      <c r="Z15" s="5">
        <v>111.15</v>
      </c>
      <c r="AA15" s="5">
        <v>111.15</v>
      </c>
      <c r="AB15" s="5">
        <v>111.15</v>
      </c>
      <c r="AC15" s="5">
        <v>111.15</v>
      </c>
      <c r="AD15" s="5">
        <v>111.15</v>
      </c>
      <c r="AE15" s="5">
        <v>111.15</v>
      </c>
      <c r="AF15" s="5">
        <v>111.15</v>
      </c>
      <c r="AG15" s="5">
        <v>111.15</v>
      </c>
      <c r="AH15" s="5">
        <v>111.15</v>
      </c>
      <c r="AI15" s="5">
        <v>111.15</v>
      </c>
      <c r="AJ15" s="5">
        <v>111.15</v>
      </c>
      <c r="AK15" s="5">
        <v>111.15</v>
      </c>
      <c r="AL15" s="5">
        <v>111.15</v>
      </c>
      <c r="AM15" s="5">
        <v>111.15</v>
      </c>
      <c r="AN15" s="5">
        <v>111.15</v>
      </c>
      <c r="AO15" s="5">
        <v>111.15</v>
      </c>
      <c r="AP15" s="5">
        <v>111.15</v>
      </c>
      <c r="AQ15" s="5">
        <v>118.85</v>
      </c>
      <c r="AR15" s="5">
        <v>118.85</v>
      </c>
      <c r="AS15" s="5">
        <v>118.85</v>
      </c>
      <c r="AT15" s="5">
        <v>118.85</v>
      </c>
      <c r="AU15" s="5">
        <v>118.85</v>
      </c>
      <c r="AV15" s="5">
        <v>118.85</v>
      </c>
      <c r="AW15" s="5">
        <v>118.85</v>
      </c>
      <c r="AX15" s="5">
        <v>118.85</v>
      </c>
      <c r="AY15" s="5">
        <v>118.85</v>
      </c>
      <c r="AZ15" s="5">
        <v>118.85</v>
      </c>
      <c r="BA15" s="5">
        <v>118.85</v>
      </c>
      <c r="BB15" s="5">
        <v>118.85</v>
      </c>
      <c r="BC15" s="5">
        <v>118.85</v>
      </c>
      <c r="BD15" s="5">
        <v>118.85</v>
      </c>
      <c r="BE15" s="5">
        <v>118.85</v>
      </c>
      <c r="BF15" s="5">
        <v>118.85</v>
      </c>
      <c r="BG15" s="5">
        <v>118.85</v>
      </c>
      <c r="BH15" s="5">
        <v>118.85</v>
      </c>
      <c r="BI15" s="5">
        <v>118.85</v>
      </c>
      <c r="BJ15" s="5">
        <v>118.85</v>
      </c>
      <c r="BK15" s="5">
        <v>118.85</v>
      </c>
      <c r="BL15" s="5">
        <v>118.85</v>
      </c>
      <c r="BM15" s="5">
        <v>118.85</v>
      </c>
      <c r="BN15" s="5">
        <v>118.85</v>
      </c>
      <c r="BO15" s="5">
        <v>118.85</v>
      </c>
      <c r="BP15" s="5">
        <v>118.75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1">
        <v>118.85</v>
      </c>
    </row>
    <row r="16" spans="1:101" ht="16.5" x14ac:dyDescent="0.3">
      <c r="A16" s="3" t="s">
        <v>15</v>
      </c>
      <c r="B16" s="5">
        <v>0</v>
      </c>
      <c r="C16" s="5">
        <v>87</v>
      </c>
      <c r="D16" s="5">
        <v>87</v>
      </c>
      <c r="E16" s="5">
        <v>87</v>
      </c>
      <c r="F16" s="5">
        <v>87</v>
      </c>
      <c r="G16" s="5">
        <v>87</v>
      </c>
      <c r="H16" s="5">
        <v>87</v>
      </c>
      <c r="I16" s="5">
        <v>87</v>
      </c>
      <c r="J16" s="5">
        <v>87</v>
      </c>
      <c r="K16" s="5">
        <v>87</v>
      </c>
      <c r="L16" s="5">
        <v>87</v>
      </c>
      <c r="M16" s="5">
        <v>87</v>
      </c>
      <c r="N16" s="5">
        <v>87</v>
      </c>
      <c r="O16" s="5">
        <v>87</v>
      </c>
      <c r="P16" s="5">
        <v>87</v>
      </c>
      <c r="Q16" s="5">
        <v>66</v>
      </c>
      <c r="R16" s="5">
        <v>66</v>
      </c>
      <c r="S16" s="5">
        <v>66</v>
      </c>
      <c r="T16" s="5">
        <v>66</v>
      </c>
      <c r="U16" s="5">
        <v>66</v>
      </c>
      <c r="V16" s="5">
        <v>66</v>
      </c>
      <c r="W16" s="5">
        <v>66</v>
      </c>
      <c r="X16" s="5">
        <v>66</v>
      </c>
      <c r="Y16" s="5">
        <v>66</v>
      </c>
      <c r="Z16" s="5">
        <v>66</v>
      </c>
      <c r="AA16" s="5">
        <v>66</v>
      </c>
      <c r="AB16" s="5">
        <v>66</v>
      </c>
      <c r="AC16" s="5">
        <v>66</v>
      </c>
      <c r="AD16" s="5">
        <v>66</v>
      </c>
      <c r="AE16" s="5">
        <v>66</v>
      </c>
      <c r="AF16" s="5">
        <v>66</v>
      </c>
      <c r="AG16" s="5">
        <v>66</v>
      </c>
      <c r="AH16" s="5">
        <v>66</v>
      </c>
      <c r="AI16" s="5">
        <v>66</v>
      </c>
      <c r="AJ16" s="5">
        <v>89</v>
      </c>
      <c r="AK16" s="5">
        <v>89</v>
      </c>
      <c r="AL16" s="5">
        <v>89</v>
      </c>
      <c r="AM16" s="5">
        <v>89</v>
      </c>
      <c r="AN16" s="5">
        <v>89</v>
      </c>
      <c r="AO16" s="5">
        <v>89</v>
      </c>
      <c r="AP16" s="5">
        <v>89</v>
      </c>
      <c r="AQ16" s="5">
        <v>89</v>
      </c>
      <c r="AR16" s="5">
        <v>89</v>
      </c>
      <c r="AS16" s="5">
        <v>89</v>
      </c>
      <c r="AT16" s="5">
        <v>89</v>
      </c>
      <c r="AU16" s="5">
        <v>89</v>
      </c>
      <c r="AV16" s="5">
        <v>89</v>
      </c>
      <c r="AW16" s="5">
        <v>89</v>
      </c>
      <c r="AX16" s="5">
        <v>89</v>
      </c>
      <c r="AY16" s="5">
        <v>89</v>
      </c>
      <c r="AZ16" s="5">
        <v>89</v>
      </c>
      <c r="BA16" s="5">
        <v>89</v>
      </c>
      <c r="BB16" s="5">
        <v>89</v>
      </c>
      <c r="BC16" s="5">
        <v>89</v>
      </c>
      <c r="BD16" s="5">
        <v>89</v>
      </c>
      <c r="BE16" s="5">
        <v>89</v>
      </c>
      <c r="BF16" s="5">
        <v>89</v>
      </c>
      <c r="BG16" s="5">
        <v>89</v>
      </c>
      <c r="BH16" s="5">
        <v>89</v>
      </c>
      <c r="BI16" s="5">
        <v>89</v>
      </c>
      <c r="BJ16" s="5">
        <v>89</v>
      </c>
      <c r="BK16" s="5">
        <v>89</v>
      </c>
      <c r="BL16" s="5">
        <v>89</v>
      </c>
      <c r="BM16" s="5">
        <v>89</v>
      </c>
      <c r="BN16" s="5">
        <v>89</v>
      </c>
      <c r="BO16" s="5">
        <v>89</v>
      </c>
      <c r="BP16" s="5">
        <v>89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1">
        <v>89</v>
      </c>
    </row>
    <row r="17" spans="1:99" ht="16.5" x14ac:dyDescent="0.3">
      <c r="A17" s="3" t="s">
        <v>16</v>
      </c>
      <c r="B17" s="5">
        <v>0</v>
      </c>
      <c r="C17" s="5">
        <v>1.6</v>
      </c>
      <c r="D17" s="5">
        <v>1.6</v>
      </c>
      <c r="E17" s="5">
        <v>1.6</v>
      </c>
      <c r="F17" s="5">
        <v>1.6</v>
      </c>
      <c r="G17" s="5">
        <v>1.6</v>
      </c>
      <c r="H17" s="5">
        <v>1.6</v>
      </c>
      <c r="I17" s="5">
        <v>1.6</v>
      </c>
      <c r="J17" s="5">
        <v>1.6</v>
      </c>
      <c r="K17" s="5">
        <v>1.6</v>
      </c>
      <c r="L17" s="5">
        <v>1.6</v>
      </c>
      <c r="M17" s="5">
        <v>1.6</v>
      </c>
      <c r="N17" s="5">
        <v>1.6</v>
      </c>
      <c r="O17" s="5">
        <v>1.6</v>
      </c>
      <c r="P17" s="5">
        <v>1.6</v>
      </c>
      <c r="Q17" s="5">
        <v>1.7</v>
      </c>
      <c r="R17" s="5">
        <v>1.7</v>
      </c>
      <c r="S17" s="5">
        <v>1.7</v>
      </c>
      <c r="T17" s="5">
        <v>1.7</v>
      </c>
      <c r="U17" s="5">
        <v>1.7</v>
      </c>
      <c r="V17" s="5">
        <v>1.7</v>
      </c>
      <c r="W17" s="5">
        <v>1.7</v>
      </c>
      <c r="X17" s="5">
        <v>1.7</v>
      </c>
      <c r="Y17" s="5">
        <v>1.7</v>
      </c>
      <c r="Z17" s="5">
        <v>1.7</v>
      </c>
      <c r="AA17" s="5">
        <v>1.7</v>
      </c>
      <c r="AB17" s="5">
        <v>1.7</v>
      </c>
      <c r="AC17" s="5">
        <v>1.7</v>
      </c>
      <c r="AD17" s="5">
        <v>1.7</v>
      </c>
      <c r="AE17" s="5">
        <v>1.7</v>
      </c>
      <c r="AF17" s="5">
        <v>1.7</v>
      </c>
      <c r="AG17" s="5">
        <v>1.7</v>
      </c>
      <c r="AH17" s="5">
        <v>1.7</v>
      </c>
      <c r="AI17" s="5">
        <v>1.7</v>
      </c>
      <c r="AJ17" s="5">
        <v>1.7</v>
      </c>
      <c r="AK17" s="5">
        <v>1.7</v>
      </c>
      <c r="AL17" s="5">
        <v>1.7</v>
      </c>
      <c r="AM17" s="5">
        <v>1.7</v>
      </c>
      <c r="AN17" s="5">
        <v>1.7</v>
      </c>
      <c r="AO17" s="5">
        <v>1.7</v>
      </c>
      <c r="AP17" s="5">
        <v>1.7</v>
      </c>
      <c r="AQ17" s="5">
        <v>1.7</v>
      </c>
      <c r="AR17" s="5">
        <v>1.7</v>
      </c>
      <c r="AS17" s="5">
        <v>1.7</v>
      </c>
      <c r="AT17" s="5">
        <v>1.7</v>
      </c>
      <c r="AU17" s="5">
        <v>1.7</v>
      </c>
      <c r="AV17" s="5">
        <v>1.7</v>
      </c>
      <c r="AW17" s="5">
        <v>1.7</v>
      </c>
      <c r="AX17" s="5">
        <v>1.7</v>
      </c>
      <c r="AY17" s="5">
        <v>1.7</v>
      </c>
      <c r="AZ17" s="5">
        <v>1.7</v>
      </c>
      <c r="BA17" s="5">
        <v>1.7</v>
      </c>
      <c r="BB17" s="5">
        <v>1.7</v>
      </c>
      <c r="BC17" s="5">
        <v>1.7</v>
      </c>
      <c r="BD17" s="5">
        <v>1.7</v>
      </c>
      <c r="BE17" s="5">
        <v>1.7</v>
      </c>
      <c r="BF17" s="5">
        <v>1.7</v>
      </c>
      <c r="BG17" s="5">
        <v>1.7</v>
      </c>
      <c r="BH17" s="5">
        <v>1.7</v>
      </c>
      <c r="BI17" s="5">
        <v>1.7</v>
      </c>
      <c r="BJ17" s="5">
        <v>1.7</v>
      </c>
      <c r="BK17" s="5">
        <v>1.7</v>
      </c>
      <c r="BL17" s="5">
        <v>1.7</v>
      </c>
      <c r="BM17" s="5">
        <v>1.7</v>
      </c>
      <c r="BN17" s="5">
        <v>1.7</v>
      </c>
      <c r="BO17" s="5">
        <v>1.7</v>
      </c>
      <c r="BP17" s="5">
        <v>1.7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1">
        <v>1.7</v>
      </c>
    </row>
    <row r="18" spans="1:99" ht="16.5" x14ac:dyDescent="0.3">
      <c r="A18" s="3" t="s">
        <v>17</v>
      </c>
      <c r="B18" s="5">
        <v>0</v>
      </c>
      <c r="C18" s="5">
        <v>3.79</v>
      </c>
      <c r="D18" s="5">
        <v>3.79</v>
      </c>
      <c r="E18" s="5">
        <v>3.79</v>
      </c>
      <c r="F18" s="5">
        <v>3.79</v>
      </c>
      <c r="G18" s="5">
        <v>3.79</v>
      </c>
      <c r="H18" s="5">
        <v>3.79</v>
      </c>
      <c r="I18" s="5">
        <v>3.79</v>
      </c>
      <c r="J18" s="5">
        <v>3.79</v>
      </c>
      <c r="K18" s="5">
        <v>3.79</v>
      </c>
      <c r="L18" s="5">
        <v>3.79</v>
      </c>
      <c r="M18" s="5">
        <v>3.79</v>
      </c>
      <c r="N18" s="5">
        <v>3.79</v>
      </c>
      <c r="O18" s="5">
        <v>3.79</v>
      </c>
      <c r="P18" s="5">
        <v>3.79</v>
      </c>
      <c r="Q18" s="5">
        <v>3.79</v>
      </c>
      <c r="R18" s="5">
        <v>3.79</v>
      </c>
      <c r="S18" s="5">
        <v>3.79</v>
      </c>
      <c r="T18" s="5">
        <v>3.79</v>
      </c>
      <c r="U18" s="5">
        <v>3.79</v>
      </c>
      <c r="V18" s="5">
        <v>3.79</v>
      </c>
      <c r="W18" s="5">
        <v>3.79</v>
      </c>
      <c r="X18" s="5">
        <v>3.79</v>
      </c>
      <c r="Y18" s="5">
        <v>3.79</v>
      </c>
      <c r="Z18" s="5">
        <v>3.79</v>
      </c>
      <c r="AA18" s="5">
        <v>3.79</v>
      </c>
      <c r="AB18" s="5">
        <v>3.79</v>
      </c>
      <c r="AC18" s="5">
        <v>3.79</v>
      </c>
      <c r="AD18" s="5">
        <v>3.79</v>
      </c>
      <c r="AE18" s="5">
        <v>3.79</v>
      </c>
      <c r="AF18" s="5">
        <v>3.79</v>
      </c>
      <c r="AG18" s="5">
        <v>3.79</v>
      </c>
      <c r="AH18" s="5">
        <v>3.79</v>
      </c>
      <c r="AI18" s="5">
        <v>3.79</v>
      </c>
      <c r="AJ18" s="5">
        <v>3.79</v>
      </c>
      <c r="AK18" s="5">
        <v>3.79</v>
      </c>
      <c r="AL18" s="5">
        <v>3.79</v>
      </c>
      <c r="AM18" s="5">
        <v>3.79</v>
      </c>
      <c r="AN18" s="5">
        <v>3.79</v>
      </c>
      <c r="AO18" s="5">
        <v>3.79</v>
      </c>
      <c r="AP18" s="5">
        <v>3.79</v>
      </c>
      <c r="AQ18" s="5">
        <v>4.5</v>
      </c>
      <c r="AR18" s="5">
        <v>4.5</v>
      </c>
      <c r="AS18" s="5">
        <v>4.5</v>
      </c>
      <c r="AT18" s="5">
        <v>4.5</v>
      </c>
      <c r="AU18" s="5">
        <v>4.5</v>
      </c>
      <c r="AV18" s="5">
        <v>4.5</v>
      </c>
      <c r="AW18" s="5">
        <v>4.5</v>
      </c>
      <c r="AX18" s="5">
        <v>4.5</v>
      </c>
      <c r="AY18" s="5">
        <v>4.5</v>
      </c>
      <c r="AZ18" s="5">
        <v>4.5</v>
      </c>
      <c r="BA18" s="5">
        <v>4.5</v>
      </c>
      <c r="BB18" s="5">
        <v>4.5</v>
      </c>
      <c r="BC18" s="5">
        <v>4.5</v>
      </c>
      <c r="BD18" s="5">
        <v>4.5</v>
      </c>
      <c r="BE18" s="5">
        <v>4.5</v>
      </c>
      <c r="BF18" s="5">
        <v>4.5</v>
      </c>
      <c r="BG18" s="5">
        <v>4.5</v>
      </c>
      <c r="BH18" s="5">
        <v>4.5</v>
      </c>
      <c r="BI18" s="5">
        <v>4.5</v>
      </c>
      <c r="BJ18" s="5">
        <v>4.5</v>
      </c>
      <c r="BK18" s="5">
        <v>4.5</v>
      </c>
      <c r="BL18" s="5">
        <v>4.5</v>
      </c>
      <c r="BM18" s="5">
        <v>4.5</v>
      </c>
      <c r="BN18" s="5">
        <v>4.5</v>
      </c>
      <c r="BO18" s="5">
        <v>4.5</v>
      </c>
      <c r="BP18" s="5">
        <v>4.5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1">
        <v>4.5</v>
      </c>
    </row>
    <row r="19" spans="1:99" ht="16.5" x14ac:dyDescent="0.3">
      <c r="A19" s="3" t="s">
        <v>18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240</v>
      </c>
      <c r="O19" s="5">
        <v>240</v>
      </c>
      <c r="P19" s="5">
        <v>342.15</v>
      </c>
      <c r="Q19" s="5">
        <f>Q9*Q47</f>
        <v>0</v>
      </c>
      <c r="R19" s="5">
        <v>615.39</v>
      </c>
      <c r="S19" s="5">
        <v>615.39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1"/>
    </row>
    <row r="20" spans="1:99" ht="16.5" x14ac:dyDescent="0.3">
      <c r="A20" s="3" t="s">
        <v>19</v>
      </c>
      <c r="B20" s="7">
        <f t="shared" ref="B20:M20" si="46">SUM(B6:B9)-SUM(B15:B18)</f>
        <v>6798.37</v>
      </c>
      <c r="C20" s="7">
        <f t="shared" si="46"/>
        <v>2877.7000000000003</v>
      </c>
      <c r="D20" s="7">
        <f t="shared" si="46"/>
        <v>2877.7000000000003</v>
      </c>
      <c r="E20" s="7">
        <f t="shared" si="46"/>
        <v>2877.7000000000003</v>
      </c>
      <c r="F20" s="7">
        <f t="shared" si="46"/>
        <v>2877.7000000000003</v>
      </c>
      <c r="G20" s="7">
        <f t="shared" si="46"/>
        <v>2877.7000000000003</v>
      </c>
      <c r="H20" s="7">
        <f t="shared" si="46"/>
        <v>2877.7000000000003</v>
      </c>
      <c r="I20" s="7">
        <f t="shared" si="46"/>
        <v>2877.7000000000003</v>
      </c>
      <c r="J20" s="7">
        <f t="shared" si="46"/>
        <v>2877.7000000000003</v>
      </c>
      <c r="K20" s="7">
        <f t="shared" si="46"/>
        <v>3102.44</v>
      </c>
      <c r="L20" s="7">
        <f t="shared" si="46"/>
        <v>2877.7000000000003</v>
      </c>
      <c r="M20" s="7">
        <f t="shared" si="46"/>
        <v>2877.7000000000003</v>
      </c>
      <c r="N20" s="7">
        <f>SUM(N5:N9)-SUM(N15:N19)</f>
        <v>2637.7000000000003</v>
      </c>
      <c r="O20" s="7">
        <f>SUM(O5:O9)-SUM(O15:O19)</f>
        <v>2637.7000000000003</v>
      </c>
      <c r="P20" s="7">
        <f>SUM(P5:P9)-SUM(P15:P19)</f>
        <v>3812.48</v>
      </c>
      <c r="Q20" s="7">
        <f>SUM(Q5:Q9)-SUM(Q15:Q19)</f>
        <v>6062.15</v>
      </c>
      <c r="R20" s="7">
        <f>SUM(R5:R9)-SUM(R14:R18)+1.42</f>
        <v>2919.87</v>
      </c>
      <c r="S20" s="7">
        <f>SUM(S5:S9)-SUM(S14:S18)+1.42</f>
        <v>2919.87</v>
      </c>
      <c r="T20" s="7">
        <f>SUM(T5:T9)-SUM(T14:T19)+1.42</f>
        <v>2919.87</v>
      </c>
      <c r="U20" s="7">
        <f>SUM(U5:U9)-SUM(U14:U19)+1.55</f>
        <v>3016.29</v>
      </c>
      <c r="V20" s="7">
        <f>SUM(V5:V9)-SUM(V14:V19)+1.55</f>
        <v>3016.29</v>
      </c>
      <c r="W20" s="7">
        <f>SUM(W5:W9)-SUM(W14:W19)+1.55</f>
        <v>3016.29</v>
      </c>
      <c r="X20" s="7">
        <f>SUM(X5:X9)-SUM(X14:X19)+1.55</f>
        <v>3016.29</v>
      </c>
      <c r="Y20" s="7">
        <f t="shared" ref="Y20:AO20" si="47">SUM(Y5:Y9)-SUM(Y14:Y19)+1.92</f>
        <v>3382.54</v>
      </c>
      <c r="Z20" s="7">
        <f t="shared" si="47"/>
        <v>3382.54</v>
      </c>
      <c r="AA20" s="7">
        <f t="shared" si="47"/>
        <v>3382.54</v>
      </c>
      <c r="AB20" s="7">
        <f t="shared" si="47"/>
        <v>3382.54</v>
      </c>
      <c r="AC20" s="7">
        <f t="shared" si="47"/>
        <v>3382.54</v>
      </c>
      <c r="AD20" s="7">
        <f t="shared" si="47"/>
        <v>3382.54</v>
      </c>
      <c r="AE20" s="7">
        <f t="shared" si="47"/>
        <v>3382.54</v>
      </c>
      <c r="AF20" s="7">
        <f t="shared" si="47"/>
        <v>3382.54</v>
      </c>
      <c r="AG20" s="7">
        <f t="shared" si="47"/>
        <v>3382.54</v>
      </c>
      <c r="AH20" s="7">
        <f t="shared" si="47"/>
        <v>3382.54</v>
      </c>
      <c r="AI20" s="7">
        <f t="shared" si="47"/>
        <v>3382.54</v>
      </c>
      <c r="AJ20" s="7">
        <f t="shared" si="47"/>
        <v>3359.54</v>
      </c>
      <c r="AK20" s="7">
        <f t="shared" si="47"/>
        <v>3359.54</v>
      </c>
      <c r="AL20" s="7">
        <f t="shared" si="47"/>
        <v>3359.54</v>
      </c>
      <c r="AM20" s="7">
        <f t="shared" si="47"/>
        <v>3359.54</v>
      </c>
      <c r="AN20" s="7">
        <f t="shared" si="47"/>
        <v>3359.54</v>
      </c>
      <c r="AO20" s="7">
        <f t="shared" si="47"/>
        <v>3359.54</v>
      </c>
      <c r="AP20" s="7">
        <f>SUM(AP5:AP9)-SUM(AP14:AP19)+1.92</f>
        <v>3359.54</v>
      </c>
      <c r="AQ20" s="7">
        <f>SUM(AQ5:AQ9)-SUM(AQ14:AQ19)+1.92</f>
        <v>3346.3399999999997</v>
      </c>
      <c r="AR20" s="7">
        <f>SUM(AR5:AR11)-SUM(AR14:AR19)+1.92</f>
        <v>6357.45</v>
      </c>
      <c r="AS20" s="7">
        <f>SUM(AS5:AS11)-SUM(AS14:AS19)+1.92</f>
        <v>3346.3399999999997</v>
      </c>
      <c r="AT20" s="7">
        <f>SUM(AT5:AT11)-SUM(AT14:AT19)+1.92</f>
        <v>3346.3399999999997</v>
      </c>
      <c r="AU20" s="7">
        <f t="shared" ref="AU20:BJ20" si="48">SUM(AU5:AU11)-SUM(AU14:AU19)+1.92</f>
        <v>3807.87</v>
      </c>
      <c r="AV20" s="7">
        <f t="shared" si="48"/>
        <v>3807.87</v>
      </c>
      <c r="AW20" s="7">
        <f t="shared" si="48"/>
        <v>3807.87</v>
      </c>
      <c r="AX20" s="7">
        <f t="shared" si="48"/>
        <v>3909.17</v>
      </c>
      <c r="AY20" s="7">
        <f t="shared" si="48"/>
        <v>3807.87</v>
      </c>
      <c r="AZ20" s="7">
        <f t="shared" si="48"/>
        <v>3807.87</v>
      </c>
      <c r="BA20" s="7">
        <f t="shared" si="48"/>
        <v>3807.87</v>
      </c>
      <c r="BB20" s="7">
        <f t="shared" si="48"/>
        <v>3807.87</v>
      </c>
      <c r="BC20" s="7">
        <f t="shared" si="48"/>
        <v>3807.87</v>
      </c>
      <c r="BD20" s="7">
        <f t="shared" si="48"/>
        <v>3807.87</v>
      </c>
      <c r="BE20" s="7">
        <f t="shared" si="48"/>
        <v>3807.87</v>
      </c>
      <c r="BF20" s="7">
        <f t="shared" si="48"/>
        <v>3807.87</v>
      </c>
      <c r="BG20" s="7">
        <f t="shared" si="48"/>
        <v>3807.87</v>
      </c>
      <c r="BH20" s="7">
        <f t="shared" si="48"/>
        <v>3807.87</v>
      </c>
      <c r="BI20" s="7">
        <f t="shared" si="48"/>
        <v>4769.4084615384618</v>
      </c>
      <c r="BJ20" s="7">
        <f t="shared" si="48"/>
        <v>4769.4084615384618</v>
      </c>
      <c r="BK20" s="7">
        <f t="shared" ref="BK20:BR20" si="49">SUM(BK5:BK11)-SUM(BK14:BK19)</f>
        <v>4767.4884615384617</v>
      </c>
      <c r="BL20" s="7">
        <f t="shared" si="49"/>
        <v>4767.4884615384617</v>
      </c>
      <c r="BM20" s="7">
        <f t="shared" si="49"/>
        <v>4767.4884615384617</v>
      </c>
      <c r="BN20" s="7">
        <f t="shared" si="49"/>
        <v>4767.4884615384617</v>
      </c>
      <c r="BO20" s="7">
        <f t="shared" si="49"/>
        <v>4767.4884615384617</v>
      </c>
      <c r="BP20" s="7">
        <f t="shared" si="49"/>
        <v>4767.5884615384621</v>
      </c>
      <c r="BQ20" s="7">
        <f t="shared" si="49"/>
        <v>4961.5384615384619</v>
      </c>
      <c r="BR20" s="7">
        <f t="shared" si="49"/>
        <v>4961.5384615384619</v>
      </c>
      <c r="BS20" s="7">
        <f>SUM(BS5:BS11)-SUM(BS14:BS19)-932</f>
        <v>7343.2584615384621</v>
      </c>
      <c r="BT20" s="7">
        <f>SUM(BT5:BT11)-SUM(BT14:BT19)</f>
        <v>4961.5384615384619</v>
      </c>
      <c r="BU20" s="7">
        <f>SUM(BU4:BU12)-SUM(BU14:BU19)</f>
        <v>7655.8307692307699</v>
      </c>
      <c r="BV20" s="7">
        <f>SUM(BV4:BV12)-SUM(BV14:BV19)</f>
        <v>5259.2307692307695</v>
      </c>
      <c r="BW20" s="7">
        <f>SUM(BW4:BW12)-SUM(BW14:BW19)</f>
        <v>5259.24</v>
      </c>
      <c r="BX20" s="7">
        <f>SUM(BX4:BX12)-SUM(BX14:BX19)</f>
        <v>5259.24</v>
      </c>
      <c r="BY20" s="7">
        <f t="shared" ref="BY20:CP20" si="50">SUM(BY4:BY12)-SUM(BY14:BY19)</f>
        <v>5259.24</v>
      </c>
      <c r="BZ20" s="7">
        <f t="shared" si="50"/>
        <v>5259.24</v>
      </c>
      <c r="CA20" s="7">
        <f t="shared" si="50"/>
        <v>5259.24</v>
      </c>
      <c r="CB20" s="7">
        <f t="shared" si="50"/>
        <v>5259.24</v>
      </c>
      <c r="CC20" s="7">
        <f t="shared" si="50"/>
        <v>6191.24</v>
      </c>
      <c r="CD20" s="7">
        <f t="shared" si="50"/>
        <v>5259.24</v>
      </c>
      <c r="CE20" s="7">
        <f t="shared" si="50"/>
        <v>5259.24</v>
      </c>
      <c r="CF20" s="7">
        <f t="shared" si="50"/>
        <v>5259.24</v>
      </c>
      <c r="CG20" s="7">
        <f t="shared" si="50"/>
        <v>5259.24</v>
      </c>
      <c r="CH20" s="7">
        <f t="shared" si="50"/>
        <v>5259.24</v>
      </c>
      <c r="CI20" s="7">
        <f t="shared" si="50"/>
        <v>5259.24</v>
      </c>
      <c r="CJ20" s="7">
        <f t="shared" si="50"/>
        <v>5259.24</v>
      </c>
      <c r="CK20" s="7">
        <f t="shared" si="50"/>
        <v>5259.24</v>
      </c>
      <c r="CL20" s="7">
        <f t="shared" si="50"/>
        <v>5259.24</v>
      </c>
      <c r="CM20" s="7">
        <f t="shared" si="50"/>
        <v>5259.24</v>
      </c>
      <c r="CN20" s="7">
        <f t="shared" si="50"/>
        <v>5259.24</v>
      </c>
      <c r="CO20" s="7">
        <f t="shared" si="50"/>
        <v>5259.24</v>
      </c>
      <c r="CP20" s="7">
        <f t="shared" si="50"/>
        <v>0</v>
      </c>
      <c r="CQ20" s="1">
        <f>SUM(CQ5:CQ9)-SUM(CQ14:CQ18)+1.92</f>
        <v>3807.87</v>
      </c>
      <c r="CT20">
        <f>SUM(AQ20:AT20)+(CQ20*CQ1)</f>
        <v>100169.61</v>
      </c>
      <c r="CU20">
        <f>CQ20*26</f>
        <v>99004.62</v>
      </c>
    </row>
    <row r="21" spans="1:99" ht="16.5" x14ac:dyDescent="0.3">
      <c r="A21" s="12" t="s">
        <v>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1"/>
    </row>
    <row r="22" spans="1:99" ht="16.5" x14ac:dyDescent="0.3">
      <c r="A22" s="3" t="s">
        <v>21</v>
      </c>
      <c r="B22" s="5">
        <v>421.5</v>
      </c>
      <c r="C22" s="5">
        <v>178.5</v>
      </c>
      <c r="D22" s="5">
        <v>178.5</v>
      </c>
      <c r="E22" s="5">
        <v>178.5</v>
      </c>
      <c r="F22" s="5">
        <v>178.5</v>
      </c>
      <c r="G22" s="5">
        <v>178.5</v>
      </c>
      <c r="H22" s="5">
        <v>178.5</v>
      </c>
      <c r="I22" s="5">
        <v>178.5</v>
      </c>
      <c r="J22" s="5">
        <v>178.5</v>
      </c>
      <c r="K22" s="5">
        <v>192.44</v>
      </c>
      <c r="L22" s="5">
        <v>178.5</v>
      </c>
      <c r="M22" s="5">
        <v>178.5</v>
      </c>
      <c r="N22" s="5">
        <v>178.5</v>
      </c>
      <c r="O22" s="5">
        <v>178.5</v>
      </c>
      <c r="P22" s="5">
        <v>257.67</v>
      </c>
      <c r="Q22" s="5">
        <v>375.97432033658833</v>
      </c>
      <c r="R22" s="5">
        <v>181.03</v>
      </c>
      <c r="S22" s="5">
        <v>181.03</v>
      </c>
      <c r="T22" s="5">
        <v>181.03</v>
      </c>
      <c r="U22" s="5">
        <v>187.01</v>
      </c>
      <c r="V22" s="5">
        <v>187.01</v>
      </c>
      <c r="W22" s="5">
        <v>187.01</v>
      </c>
      <c r="X22" s="5">
        <v>187.01</v>
      </c>
      <c r="Y22" s="5">
        <v>209.72</v>
      </c>
      <c r="Z22" s="5">
        <v>209.72</v>
      </c>
      <c r="AA22" s="5">
        <v>209.72</v>
      </c>
      <c r="AB22" s="5">
        <v>209.72</v>
      </c>
      <c r="AC22" s="5">
        <v>209.72</v>
      </c>
      <c r="AD22" s="5">
        <v>209.72</v>
      </c>
      <c r="AE22" s="5">
        <v>209.72</v>
      </c>
      <c r="AF22" s="5">
        <v>209.72</v>
      </c>
      <c r="AG22" s="5">
        <v>209.72</v>
      </c>
      <c r="AH22" s="5">
        <v>209.72</v>
      </c>
      <c r="AI22" s="5">
        <v>208.3</v>
      </c>
      <c r="AJ22" s="5">
        <v>208.29</v>
      </c>
      <c r="AK22" s="5">
        <v>208.29</v>
      </c>
      <c r="AL22" s="5">
        <v>208.29</v>
      </c>
      <c r="AM22" s="5">
        <v>208.29</v>
      </c>
      <c r="AN22" s="5">
        <v>208.29</v>
      </c>
      <c r="AO22" s="5">
        <v>208.29</v>
      </c>
      <c r="AP22" s="5">
        <v>208.29</v>
      </c>
      <c r="AQ22" s="5">
        <v>207.45</v>
      </c>
      <c r="AR22" s="5">
        <v>394.14</v>
      </c>
      <c r="AS22" s="5">
        <v>207.45</v>
      </c>
      <c r="AT22" s="5">
        <v>207.45</v>
      </c>
      <c r="AU22" s="5">
        <v>236.12</v>
      </c>
      <c r="AV22" s="5">
        <v>236.09</v>
      </c>
      <c r="AW22" s="5">
        <v>236.09</v>
      </c>
      <c r="AX22" s="5">
        <v>242.38</v>
      </c>
      <c r="AY22" s="5">
        <v>236.09</v>
      </c>
      <c r="AZ22" s="5">
        <v>236.09</v>
      </c>
      <c r="BA22" s="5">
        <v>236.09</v>
      </c>
      <c r="BB22" s="5">
        <v>236.1</v>
      </c>
      <c r="BC22" s="5">
        <v>236.09</v>
      </c>
      <c r="BD22" s="5">
        <v>236.09</v>
      </c>
      <c r="BE22" s="5">
        <v>236.09</v>
      </c>
      <c r="BF22" s="5">
        <v>236.09</v>
      </c>
      <c r="BG22" s="5">
        <v>236.1</v>
      </c>
      <c r="BH22" s="5">
        <v>236.09</v>
      </c>
      <c r="BI22" s="5">
        <f>$BI$9*(BH39)</f>
        <v>307.61806873255006</v>
      </c>
      <c r="BJ22" s="5">
        <f>$BI$9*(BH39)</f>
        <v>307.61806873255006</v>
      </c>
      <c r="BK22" s="5">
        <v>295.77</v>
      </c>
      <c r="BL22" s="5">
        <v>295.76</v>
      </c>
      <c r="BM22" s="5">
        <v>295.77</v>
      </c>
      <c r="BN22" s="5">
        <v>295.76</v>
      </c>
      <c r="BO22" s="5">
        <v>295.77</v>
      </c>
      <c r="BP22" s="5">
        <v>295.77</v>
      </c>
      <c r="BQ22" s="5">
        <v>307.86</v>
      </c>
      <c r="BR22" s="5">
        <v>307.86</v>
      </c>
      <c r="BS22" s="5">
        <v>455.53</v>
      </c>
      <c r="BT22" s="5">
        <v>307.86</v>
      </c>
      <c r="BU22" s="5">
        <f>$BU$20*BU39</f>
        <v>475.03895795348842</v>
      </c>
      <c r="BV22" s="5">
        <f>$BV$20*BV39</f>
        <v>326.33160000000004</v>
      </c>
      <c r="BW22" s="5">
        <v>326.33999999999997</v>
      </c>
      <c r="BX22" s="5">
        <v>326.33999999999997</v>
      </c>
      <c r="BY22" s="5">
        <v>326.33999999999997</v>
      </c>
      <c r="BZ22" s="5">
        <v>326.33999999999997</v>
      </c>
      <c r="CA22" s="5">
        <v>326.33999999999997</v>
      </c>
      <c r="CB22" s="5">
        <v>326.33999999999997</v>
      </c>
      <c r="CC22" s="5">
        <v>326.33999999999997</v>
      </c>
      <c r="CD22" s="5">
        <v>326.33999999999997</v>
      </c>
      <c r="CE22" s="5">
        <v>326.33999999999997</v>
      </c>
      <c r="CF22" s="5">
        <v>326.33999999999997</v>
      </c>
      <c r="CG22" s="5">
        <v>326.33999999999997</v>
      </c>
      <c r="CH22" s="5">
        <v>326.33999999999997</v>
      </c>
      <c r="CI22" s="5">
        <v>326.33999999999997</v>
      </c>
      <c r="CJ22" s="5">
        <v>326.33999999999997</v>
      </c>
      <c r="CK22" s="5">
        <v>326.33999999999997</v>
      </c>
      <c r="CL22" s="5">
        <v>326.33999999999997</v>
      </c>
      <c r="CM22" s="5">
        <v>326.33999999999997</v>
      </c>
      <c r="CN22" s="5">
        <v>326.33</v>
      </c>
      <c r="CO22" s="5">
        <v>326.33</v>
      </c>
      <c r="CP22" s="5"/>
      <c r="CQ22" s="1">
        <f>$CQ$20*CQ39</f>
        <v>236.06167678717642</v>
      </c>
    </row>
    <row r="23" spans="1:99" ht="16.5" x14ac:dyDescent="0.3">
      <c r="A23" s="3" t="s">
        <v>22</v>
      </c>
      <c r="B23" s="5">
        <v>98.58</v>
      </c>
      <c r="C23" s="5">
        <v>41.74</v>
      </c>
      <c r="D23" s="5">
        <v>41.75</v>
      </c>
      <c r="E23" s="5">
        <v>41.74</v>
      </c>
      <c r="F23" s="5">
        <v>41.75</v>
      </c>
      <c r="G23" s="5">
        <v>41.75</v>
      </c>
      <c r="H23" s="5">
        <v>41.74</v>
      </c>
      <c r="I23" s="5">
        <v>41.75</v>
      </c>
      <c r="J23" s="5">
        <v>41.75</v>
      </c>
      <c r="K23" s="5">
        <v>45</v>
      </c>
      <c r="L23" s="5">
        <v>41.75</v>
      </c>
      <c r="M23" s="5">
        <v>41.74</v>
      </c>
      <c r="N23" s="5">
        <v>41.75</v>
      </c>
      <c r="O23" s="5">
        <v>41.74</v>
      </c>
      <c r="P23" s="5">
        <v>60.27</v>
      </c>
      <c r="Q23" s="5">
        <v>87.941833689161243</v>
      </c>
      <c r="R23" s="5">
        <v>42.34</v>
      </c>
      <c r="S23" s="5">
        <v>42.34</v>
      </c>
      <c r="T23" s="5">
        <v>42.33</v>
      </c>
      <c r="U23" s="5">
        <v>43.74</v>
      </c>
      <c r="V23" s="5">
        <v>43.74</v>
      </c>
      <c r="W23" s="5">
        <v>43.73</v>
      </c>
      <c r="X23" s="5">
        <v>43.74</v>
      </c>
      <c r="Y23" s="5">
        <v>49.05</v>
      </c>
      <c r="Z23" s="5">
        <v>49.04</v>
      </c>
      <c r="AA23" s="5">
        <v>49.04</v>
      </c>
      <c r="AB23" s="5">
        <v>49.05</v>
      </c>
      <c r="AC23" s="5">
        <v>49.04</v>
      </c>
      <c r="AD23" s="5">
        <v>49.05</v>
      </c>
      <c r="AE23" s="5">
        <v>49.04</v>
      </c>
      <c r="AF23" s="5">
        <v>49.04</v>
      </c>
      <c r="AG23" s="5">
        <v>49.05</v>
      </c>
      <c r="AH23" s="5">
        <v>49.05</v>
      </c>
      <c r="AI23" s="5">
        <v>48.72</v>
      </c>
      <c r="AJ23" s="5">
        <v>48.71</v>
      </c>
      <c r="AK23" s="5">
        <v>48.71</v>
      </c>
      <c r="AL23" s="5">
        <v>48.71</v>
      </c>
      <c r="AM23" s="5">
        <v>48.72</v>
      </c>
      <c r="AN23" s="5">
        <v>48.71</v>
      </c>
      <c r="AO23" s="5">
        <v>48.71</v>
      </c>
      <c r="AP23" s="5">
        <v>48.71</v>
      </c>
      <c r="AQ23" s="5">
        <v>48.52</v>
      </c>
      <c r="AR23" s="5">
        <v>92.17</v>
      </c>
      <c r="AS23" s="5">
        <v>48.52</v>
      </c>
      <c r="AT23" s="5">
        <v>48.52</v>
      </c>
      <c r="AU23" s="5">
        <v>55.22</v>
      </c>
      <c r="AV23" s="5">
        <v>55.21</v>
      </c>
      <c r="AW23" s="5">
        <v>55.22</v>
      </c>
      <c r="AX23" s="5">
        <v>56.68</v>
      </c>
      <c r="AY23" s="5">
        <v>55.22</v>
      </c>
      <c r="AZ23" s="5">
        <v>55.21</v>
      </c>
      <c r="BA23" s="5">
        <v>55.22</v>
      </c>
      <c r="BB23" s="5">
        <v>55.21</v>
      </c>
      <c r="BC23" s="5">
        <v>55.22</v>
      </c>
      <c r="BD23" s="5">
        <v>55.22</v>
      </c>
      <c r="BE23" s="5">
        <v>55.22</v>
      </c>
      <c r="BF23" s="5">
        <v>55.21</v>
      </c>
      <c r="BG23" s="5">
        <v>55.22</v>
      </c>
      <c r="BH23" s="5">
        <v>55.21</v>
      </c>
      <c r="BI23" s="5">
        <f t="shared" ref="BI23:BI28" si="51">$BI$9*(BH40)</f>
        <v>71.936945972824304</v>
      </c>
      <c r="BJ23" s="5">
        <f t="shared" ref="BJ23:BJ28" si="52">$BI$9*(BH40)</f>
        <v>71.936945972824304</v>
      </c>
      <c r="BK23" s="5">
        <v>69.17</v>
      </c>
      <c r="BL23" s="5">
        <v>69.17</v>
      </c>
      <c r="BM23" s="5">
        <v>69.17</v>
      </c>
      <c r="BN23" s="5">
        <v>69.17</v>
      </c>
      <c r="BO23" s="5">
        <v>69.17</v>
      </c>
      <c r="BP23" s="5">
        <v>69.17</v>
      </c>
      <c r="BQ23" s="5">
        <v>72</v>
      </c>
      <c r="BR23" s="5">
        <v>72</v>
      </c>
      <c r="BS23" s="5">
        <v>106.53</v>
      </c>
      <c r="BT23" s="5">
        <v>72</v>
      </c>
      <c r="BU23" s="5">
        <f t="shared" ref="BU23:BU28" si="53">$BU$20*BU40</f>
        <v>111.09856744186047</v>
      </c>
      <c r="BV23" s="5">
        <f t="shared" ref="BV23:BV28" si="54">$BV$20*BV40</f>
        <v>76.319999999999993</v>
      </c>
      <c r="BW23" s="5">
        <v>76.33</v>
      </c>
      <c r="BX23" s="5">
        <v>76.319999999999993</v>
      </c>
      <c r="BY23" s="5">
        <v>76.319999999999993</v>
      </c>
      <c r="BZ23" s="5">
        <v>76.319999999999993</v>
      </c>
      <c r="CA23" s="5">
        <v>76.319999999999993</v>
      </c>
      <c r="CB23" s="5">
        <v>76.319999999999993</v>
      </c>
      <c r="CC23" s="5">
        <v>76.33</v>
      </c>
      <c r="CD23" s="5">
        <v>76.319999999999993</v>
      </c>
      <c r="CE23" s="5">
        <v>76.319999999999993</v>
      </c>
      <c r="CF23" s="5">
        <v>76.319999999999993</v>
      </c>
      <c r="CG23" s="5">
        <v>76.319999999999993</v>
      </c>
      <c r="CH23" s="5">
        <v>76.319999999999993</v>
      </c>
      <c r="CI23" s="5">
        <v>76.319999999999993</v>
      </c>
      <c r="CJ23" s="5">
        <v>76.319999999999993</v>
      </c>
      <c r="CK23" s="5">
        <v>76.33</v>
      </c>
      <c r="CL23" s="5">
        <v>76.319999999999993</v>
      </c>
      <c r="CM23" s="5">
        <v>76.319999999999993</v>
      </c>
      <c r="CN23" s="5">
        <v>76.319999999999993</v>
      </c>
      <c r="CO23" s="5">
        <v>76.319999999999993</v>
      </c>
      <c r="CP23" s="5"/>
      <c r="CQ23" s="1">
        <f t="shared" ref="CQ23:CQ28" si="55">$CQ$20*CQ40</f>
        <v>55.21191881279249</v>
      </c>
    </row>
    <row r="24" spans="1:99" ht="16.5" x14ac:dyDescent="0.3">
      <c r="A24" s="3" t="s">
        <v>23</v>
      </c>
      <c r="B24" s="5">
        <v>1225.93</v>
      </c>
      <c r="C24" s="5">
        <v>363.68</v>
      </c>
      <c r="D24" s="5">
        <v>363.68</v>
      </c>
      <c r="E24" s="5">
        <v>363.64</v>
      </c>
      <c r="F24" s="5">
        <v>363.64</v>
      </c>
      <c r="G24" s="5">
        <v>363.64</v>
      </c>
      <c r="H24" s="5">
        <v>363.64</v>
      </c>
      <c r="I24" s="5">
        <v>363.64</v>
      </c>
      <c r="J24" s="5">
        <v>363.64</v>
      </c>
      <c r="K24" s="5">
        <v>413.09</v>
      </c>
      <c r="L24" s="5">
        <v>363.64</v>
      </c>
      <c r="M24" s="5">
        <v>363.64</v>
      </c>
      <c r="N24" s="5">
        <v>310.83999999999997</v>
      </c>
      <c r="O24" s="5">
        <v>310.83999999999997</v>
      </c>
      <c r="P24" s="5">
        <v>569.29</v>
      </c>
      <c r="Q24" s="5">
        <v>1079.0506153846152</v>
      </c>
      <c r="R24" s="5">
        <v>228.8</v>
      </c>
      <c r="S24" s="5">
        <v>228.8</v>
      </c>
      <c r="T24" s="5">
        <v>364.18</v>
      </c>
      <c r="U24" s="5">
        <v>385.39</v>
      </c>
      <c r="V24" s="5">
        <v>385.39</v>
      </c>
      <c r="W24" s="5">
        <v>385.39</v>
      </c>
      <c r="X24" s="5">
        <v>385.39</v>
      </c>
      <c r="Y24" s="5">
        <v>465.96</v>
      </c>
      <c r="Z24" s="5">
        <v>465.96</v>
      </c>
      <c r="AA24" s="5">
        <v>465.96</v>
      </c>
      <c r="AB24" s="5">
        <v>465.96</v>
      </c>
      <c r="AC24" s="5">
        <v>465.96</v>
      </c>
      <c r="AD24" s="5">
        <v>465.96</v>
      </c>
      <c r="AE24" s="5">
        <v>465.96</v>
      </c>
      <c r="AF24" s="5">
        <v>465.96</v>
      </c>
      <c r="AG24" s="5">
        <v>465.96</v>
      </c>
      <c r="AH24" s="5">
        <v>465.96</v>
      </c>
      <c r="AI24" s="5">
        <v>460.91</v>
      </c>
      <c r="AJ24" s="5">
        <v>460.91</v>
      </c>
      <c r="AK24" s="5">
        <v>460.91</v>
      </c>
      <c r="AL24" s="5">
        <v>460.91</v>
      </c>
      <c r="AM24" s="5">
        <v>460.91</v>
      </c>
      <c r="AN24" s="5">
        <v>460.91</v>
      </c>
      <c r="AO24" s="5">
        <v>460.91</v>
      </c>
      <c r="AP24" s="5">
        <v>460.91</v>
      </c>
      <c r="AQ24" s="5">
        <v>438.41</v>
      </c>
      <c r="AR24" s="5">
        <v>1100.8399999999999</v>
      </c>
      <c r="AS24" s="5">
        <v>438.41</v>
      </c>
      <c r="AT24" s="5">
        <v>438.41</v>
      </c>
      <c r="AU24" s="5">
        <v>540.12</v>
      </c>
      <c r="AV24" s="5">
        <v>540.04</v>
      </c>
      <c r="AW24" s="5">
        <v>540.04</v>
      </c>
      <c r="AX24" s="5">
        <v>562.32000000000005</v>
      </c>
      <c r="AY24" s="5">
        <v>540.04</v>
      </c>
      <c r="AZ24" s="5">
        <v>540.04</v>
      </c>
      <c r="BA24" s="5">
        <v>540.04</v>
      </c>
      <c r="BB24" s="5">
        <v>540.04</v>
      </c>
      <c r="BC24" s="5">
        <v>540.04</v>
      </c>
      <c r="BD24" s="5">
        <v>540.04</v>
      </c>
      <c r="BE24" s="5">
        <v>540.04</v>
      </c>
      <c r="BF24" s="5">
        <v>540.04</v>
      </c>
      <c r="BG24" s="5">
        <v>540.04</v>
      </c>
      <c r="BH24" s="5">
        <v>540.04</v>
      </c>
      <c r="BI24" s="5">
        <f t="shared" si="51"/>
        <v>703.65564758493099</v>
      </c>
      <c r="BJ24" s="5">
        <f t="shared" si="52"/>
        <v>703.65564758493099</v>
      </c>
      <c r="BK24" s="5">
        <v>762.78</v>
      </c>
      <c r="BL24" s="5">
        <v>762.78</v>
      </c>
      <c r="BM24" s="5">
        <v>762.78</v>
      </c>
      <c r="BN24" s="5">
        <v>762.78</v>
      </c>
      <c r="BO24" s="5">
        <v>762.78</v>
      </c>
      <c r="BP24" s="5">
        <v>762.81</v>
      </c>
      <c r="BQ24" s="5">
        <v>789.31</v>
      </c>
      <c r="BR24" s="5">
        <v>789.31</v>
      </c>
      <c r="BS24" s="5">
        <v>1313.29</v>
      </c>
      <c r="BT24" s="5">
        <v>789.31</v>
      </c>
      <c r="BU24" s="5">
        <f t="shared" si="53"/>
        <v>1217.9334759379844</v>
      </c>
      <c r="BV24" s="5">
        <f t="shared" si="54"/>
        <v>836.66859999999997</v>
      </c>
      <c r="BW24" s="5">
        <v>860.85</v>
      </c>
      <c r="BX24" s="5">
        <v>860.85</v>
      </c>
      <c r="BY24" s="5">
        <v>860.85</v>
      </c>
      <c r="BZ24" s="5">
        <v>860.85</v>
      </c>
      <c r="CA24" s="5">
        <v>860.85</v>
      </c>
      <c r="CB24" s="5">
        <v>860.85</v>
      </c>
      <c r="CC24" s="5">
        <v>860.85</v>
      </c>
      <c r="CD24" s="5">
        <v>860.85</v>
      </c>
      <c r="CE24" s="5">
        <v>860.85</v>
      </c>
      <c r="CF24" s="5">
        <v>860.85</v>
      </c>
      <c r="CG24" s="5">
        <v>860.85</v>
      </c>
      <c r="CH24" s="5">
        <v>860.85</v>
      </c>
      <c r="CI24" s="5">
        <v>860.85</v>
      </c>
      <c r="CJ24" s="5">
        <v>860.85</v>
      </c>
      <c r="CK24" s="5">
        <v>860.85</v>
      </c>
      <c r="CL24" s="5">
        <v>860.85</v>
      </c>
      <c r="CM24" s="5">
        <v>860.85</v>
      </c>
      <c r="CN24" s="5">
        <v>860.85</v>
      </c>
      <c r="CO24" s="5">
        <v>860.85</v>
      </c>
      <c r="CP24" s="5"/>
      <c r="CQ24" s="1">
        <f t="shared" si="55"/>
        <v>498.87587235606674</v>
      </c>
    </row>
    <row r="25" spans="1:99" ht="16.5" x14ac:dyDescent="0.3">
      <c r="A25" s="3" t="s">
        <v>24</v>
      </c>
      <c r="B25" s="5">
        <v>371.05</v>
      </c>
      <c r="C25" s="5">
        <v>145.69</v>
      </c>
      <c r="D25" s="5">
        <v>145.69</v>
      </c>
      <c r="E25" s="5">
        <v>145.69</v>
      </c>
      <c r="F25" s="5">
        <v>145.69</v>
      </c>
      <c r="G25" s="5">
        <v>145.69</v>
      </c>
      <c r="H25" s="5">
        <v>145.69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f t="shared" si="51"/>
        <v>0</v>
      </c>
      <c r="BJ25" s="5">
        <f t="shared" si="52"/>
        <v>0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1">
        <f t="shared" si="55"/>
        <v>0</v>
      </c>
    </row>
    <row r="26" spans="1:99" ht="16.5" x14ac:dyDescent="0.3">
      <c r="A26" s="3" t="s">
        <v>25</v>
      </c>
      <c r="B26" s="5">
        <v>244.74</v>
      </c>
      <c r="C26" s="5">
        <v>103.65</v>
      </c>
      <c r="D26" s="5">
        <v>103.65</v>
      </c>
      <c r="E26" s="5">
        <v>103.65</v>
      </c>
      <c r="F26" s="5">
        <v>103.65</v>
      </c>
      <c r="G26" s="5">
        <v>103.65</v>
      </c>
      <c r="H26" s="5">
        <v>103.65</v>
      </c>
      <c r="I26" s="5">
        <v>103.65</v>
      </c>
      <c r="J26" s="5">
        <v>103.65</v>
      </c>
      <c r="K26" s="5">
        <v>111.74</v>
      </c>
      <c r="L26" s="5">
        <v>103.65</v>
      </c>
      <c r="M26" s="5">
        <v>103.65</v>
      </c>
      <c r="N26" s="5">
        <v>95.01</v>
      </c>
      <c r="O26" s="5">
        <v>95.01</v>
      </c>
      <c r="P26" s="5">
        <v>137.30000000000001</v>
      </c>
      <c r="Q26" s="5">
        <v>218.23739999999998</v>
      </c>
      <c r="R26" s="5">
        <v>82.96</v>
      </c>
      <c r="S26" s="5">
        <v>82.96</v>
      </c>
      <c r="T26" s="5">
        <v>105.12</v>
      </c>
      <c r="U26" s="5">
        <v>108.59</v>
      </c>
      <c r="V26" s="5">
        <v>108.59</v>
      </c>
      <c r="W26" s="5">
        <v>108.59</v>
      </c>
      <c r="X26" s="5">
        <v>108.59</v>
      </c>
      <c r="Y26" s="5">
        <v>121.77</v>
      </c>
      <c r="Z26" s="5">
        <v>121.77</v>
      </c>
      <c r="AA26" s="5">
        <v>121.77</v>
      </c>
      <c r="AB26" s="5">
        <v>121.77</v>
      </c>
      <c r="AC26" s="5">
        <v>121.77</v>
      </c>
      <c r="AD26" s="5">
        <v>121.77</v>
      </c>
      <c r="AE26" s="5">
        <v>121.77</v>
      </c>
      <c r="AF26" s="5">
        <v>121.77</v>
      </c>
      <c r="AG26" s="5">
        <v>121.77</v>
      </c>
      <c r="AH26" s="5">
        <v>121.77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f t="shared" si="51"/>
        <v>0</v>
      </c>
      <c r="BJ26" s="5">
        <f t="shared" si="52"/>
        <v>0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1">
        <f t="shared" si="55"/>
        <v>0</v>
      </c>
    </row>
    <row r="27" spans="1:99" ht="16.5" x14ac:dyDescent="0.3">
      <c r="A27" s="3" t="s">
        <v>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209.33</v>
      </c>
      <c r="AJ27" s="5">
        <v>209.33</v>
      </c>
      <c r="AK27" s="5">
        <v>209.33</v>
      </c>
      <c r="AL27" s="5">
        <v>209.33</v>
      </c>
      <c r="AM27" s="5">
        <v>209.33</v>
      </c>
      <c r="AN27" s="5">
        <v>209.33</v>
      </c>
      <c r="AO27" s="5">
        <v>209.33</v>
      </c>
      <c r="AP27" s="5">
        <v>209.33</v>
      </c>
      <c r="AQ27" s="5">
        <v>196.63</v>
      </c>
      <c r="AR27" s="5">
        <v>504.67</v>
      </c>
      <c r="AS27" s="5">
        <v>196.63</v>
      </c>
      <c r="AT27" s="5">
        <v>196.63</v>
      </c>
      <c r="AU27" s="5">
        <v>243.93</v>
      </c>
      <c r="AV27" s="5">
        <v>243.89</v>
      </c>
      <c r="AW27" s="5">
        <v>243.89</v>
      </c>
      <c r="AX27" s="5">
        <v>254.25</v>
      </c>
      <c r="AY27" s="5">
        <v>243.89</v>
      </c>
      <c r="AZ27" s="5">
        <v>243.89</v>
      </c>
      <c r="BA27" s="5">
        <v>243.89</v>
      </c>
      <c r="BB27" s="5">
        <v>243.89</v>
      </c>
      <c r="BC27" s="5">
        <v>243.89</v>
      </c>
      <c r="BD27" s="5">
        <v>243.89</v>
      </c>
      <c r="BE27" s="5">
        <v>243.89</v>
      </c>
      <c r="BF27" s="5">
        <v>243.89</v>
      </c>
      <c r="BG27" s="5">
        <v>243.89</v>
      </c>
      <c r="BH27" s="5">
        <v>243.89</v>
      </c>
      <c r="BI27" s="5">
        <f t="shared" si="51"/>
        <v>317.78123081528923</v>
      </c>
      <c r="BJ27" s="5">
        <f t="shared" si="52"/>
        <v>317.78123081528923</v>
      </c>
      <c r="BK27" s="5">
        <v>342.35</v>
      </c>
      <c r="BL27" s="5">
        <v>342.35</v>
      </c>
      <c r="BM27" s="5">
        <v>342.35</v>
      </c>
      <c r="BN27" s="5">
        <v>342.35</v>
      </c>
      <c r="BO27" s="5">
        <v>342.35</v>
      </c>
      <c r="BP27" s="5">
        <v>342.35</v>
      </c>
      <c r="BQ27" s="5">
        <v>345.26</v>
      </c>
      <c r="BR27" s="5">
        <v>345.26</v>
      </c>
      <c r="BS27" s="5">
        <v>588.91</v>
      </c>
      <c r="BT27" s="5">
        <v>345.26</v>
      </c>
      <c r="BU27" s="5">
        <f t="shared" si="53"/>
        <v>532.74849159689927</v>
      </c>
      <c r="BV27" s="5">
        <f t="shared" si="54"/>
        <v>365.97559999999999</v>
      </c>
      <c r="BW27" s="5">
        <v>375.75</v>
      </c>
      <c r="BX27" s="5">
        <v>375.75</v>
      </c>
      <c r="BY27" s="5">
        <v>375.75</v>
      </c>
      <c r="BZ27" s="5">
        <v>375.75</v>
      </c>
      <c r="CA27" s="5">
        <v>375.75</v>
      </c>
      <c r="CB27" s="5">
        <v>375.75</v>
      </c>
      <c r="CC27" s="5">
        <v>375.75</v>
      </c>
      <c r="CD27" s="5">
        <v>375.75</v>
      </c>
      <c r="CE27" s="5">
        <v>375.75</v>
      </c>
      <c r="CF27" s="5">
        <v>375.75</v>
      </c>
      <c r="CG27" s="5">
        <v>375.75</v>
      </c>
      <c r="CH27" s="5">
        <v>375.75</v>
      </c>
      <c r="CI27" s="5">
        <v>375.75</v>
      </c>
      <c r="CJ27" s="5">
        <v>375.75</v>
      </c>
      <c r="CK27" s="5">
        <v>375.75</v>
      </c>
      <c r="CL27" s="5">
        <v>375.75</v>
      </c>
      <c r="CM27" s="5">
        <v>375.75</v>
      </c>
      <c r="CN27" s="5">
        <v>375.75</v>
      </c>
      <c r="CO27" s="5">
        <v>375.75</v>
      </c>
      <c r="CP27" s="5"/>
      <c r="CQ27" s="1">
        <f t="shared" si="55"/>
        <v>223.74937337509041</v>
      </c>
    </row>
    <row r="28" spans="1:99" ht="16.5" x14ac:dyDescent="0.3">
      <c r="A28" s="3" t="s">
        <v>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38.18</v>
      </c>
      <c r="AJ28" s="5">
        <v>38.18</v>
      </c>
      <c r="AK28" s="5">
        <v>38.18</v>
      </c>
      <c r="AL28" s="5">
        <v>38.17</v>
      </c>
      <c r="AM28" s="5">
        <v>38.18</v>
      </c>
      <c r="AN28" s="5">
        <v>38.18</v>
      </c>
      <c r="AO28" s="5">
        <v>38.18</v>
      </c>
      <c r="AP28" s="5">
        <v>38.18</v>
      </c>
      <c r="AQ28" s="5">
        <v>33.43</v>
      </c>
      <c r="AR28" s="5">
        <v>59.36</v>
      </c>
      <c r="AS28" s="5">
        <v>32.25</v>
      </c>
      <c r="AT28" s="5">
        <v>31.29</v>
      </c>
      <c r="AU28" s="5">
        <v>35.35</v>
      </c>
      <c r="AV28" s="5">
        <v>35.340000000000003</v>
      </c>
      <c r="AW28" s="5">
        <v>35.340000000000003</v>
      </c>
      <c r="AX28" s="5">
        <v>36.25</v>
      </c>
      <c r="AY28" s="5">
        <v>35.340000000000003</v>
      </c>
      <c r="AZ28" s="5">
        <v>35.35</v>
      </c>
      <c r="BA28" s="5">
        <v>35.340000000000003</v>
      </c>
      <c r="BB28" s="5">
        <v>35.340000000000003</v>
      </c>
      <c r="BC28" s="5">
        <v>35.340000000000003</v>
      </c>
      <c r="BD28" s="5">
        <v>35.340000000000003</v>
      </c>
      <c r="BE28" s="5">
        <v>35.340000000000003</v>
      </c>
      <c r="BF28" s="5">
        <v>35.340000000000003</v>
      </c>
      <c r="BG28" s="5">
        <v>35.340000000000003</v>
      </c>
      <c r="BH28" s="5">
        <v>35.340000000000003</v>
      </c>
      <c r="BI28" s="5">
        <f t="shared" si="51"/>
        <v>46.04694205179517</v>
      </c>
      <c r="BJ28" s="5">
        <f t="shared" si="52"/>
        <v>46.04694205179517</v>
      </c>
      <c r="BK28" s="5">
        <v>44</v>
      </c>
      <c r="BL28" s="5">
        <v>44.01</v>
      </c>
      <c r="BM28" s="5">
        <v>44</v>
      </c>
      <c r="BN28" s="5">
        <v>44</v>
      </c>
      <c r="BO28" s="5">
        <v>44.01</v>
      </c>
      <c r="BP28" s="5">
        <v>44</v>
      </c>
      <c r="BQ28" s="5">
        <v>54.62</v>
      </c>
      <c r="BR28" s="5">
        <v>54.62</v>
      </c>
      <c r="BS28" s="5">
        <v>80.819999999999993</v>
      </c>
      <c r="BT28" s="5">
        <v>54.62</v>
      </c>
      <c r="BU28" s="5">
        <f t="shared" si="53"/>
        <v>84.280607689922476</v>
      </c>
      <c r="BV28" s="5">
        <f t="shared" si="54"/>
        <v>57.897199999999998</v>
      </c>
      <c r="BW28" s="5">
        <v>57.9</v>
      </c>
      <c r="BX28" s="5">
        <v>57.9</v>
      </c>
      <c r="BY28" s="5">
        <v>57.9</v>
      </c>
      <c r="BZ28" s="5">
        <v>57.9</v>
      </c>
      <c r="CA28" s="5">
        <v>57.9</v>
      </c>
      <c r="CB28" s="5">
        <v>57.89</v>
      </c>
      <c r="CC28" s="5">
        <v>57.9</v>
      </c>
      <c r="CD28" s="5">
        <v>57.9</v>
      </c>
      <c r="CE28" s="5">
        <v>57.9</v>
      </c>
      <c r="CF28" s="5">
        <v>57.9</v>
      </c>
      <c r="CG28" s="5">
        <v>57.9</v>
      </c>
      <c r="CH28" s="5">
        <v>57.9</v>
      </c>
      <c r="CI28" s="5">
        <v>57.9</v>
      </c>
      <c r="CJ28" s="5">
        <v>57.9</v>
      </c>
      <c r="CK28" s="5">
        <v>57.89</v>
      </c>
      <c r="CL28" s="5">
        <v>57.9</v>
      </c>
      <c r="CM28" s="5">
        <v>57.9</v>
      </c>
      <c r="CN28" s="5">
        <v>57.9</v>
      </c>
      <c r="CO28" s="5">
        <v>57.9</v>
      </c>
      <c r="CP28" s="5"/>
      <c r="CQ28" s="1">
        <f t="shared" si="55"/>
        <v>35.605542861753442</v>
      </c>
      <c r="CR28">
        <f>SUM(CQ22:CQ28)/SUM(AT22:AT28)-1</f>
        <v>0.13792083290998547</v>
      </c>
    </row>
    <row r="29" spans="1:99" ht="16.5" x14ac:dyDescent="0.3">
      <c r="A29" s="12" t="s">
        <v>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1"/>
    </row>
    <row r="30" spans="1:99" ht="16.5" x14ac:dyDescent="0.3">
      <c r="A30" s="3" t="s">
        <v>29</v>
      </c>
      <c r="B30" s="5">
        <v>0</v>
      </c>
      <c r="C30" s="5">
        <v>1.1299999999999999</v>
      </c>
      <c r="D30" s="5">
        <v>1.1299999999999999</v>
      </c>
      <c r="E30" s="5">
        <v>1.1299999999999999</v>
      </c>
      <c r="F30" s="5">
        <v>1.1299999999999999</v>
      </c>
      <c r="G30" s="5">
        <v>1.1299999999999999</v>
      </c>
      <c r="H30" s="5">
        <v>1.1299999999999999</v>
      </c>
      <c r="I30" s="5">
        <v>1.1299999999999999</v>
      </c>
      <c r="J30" s="5">
        <v>1.1299999999999999</v>
      </c>
      <c r="K30" s="5">
        <v>1.1299999999999999</v>
      </c>
      <c r="L30" s="5">
        <v>1.1299999999999999</v>
      </c>
      <c r="M30" s="5">
        <v>1.1299999999999999</v>
      </c>
      <c r="N30" s="5">
        <v>1.1299999999999999</v>
      </c>
      <c r="O30" s="5">
        <v>1.1299999999999999</v>
      </c>
      <c r="P30" s="5">
        <v>1.1299999999999999</v>
      </c>
      <c r="Q30" s="5">
        <v>1.1599999999999999</v>
      </c>
      <c r="R30" s="5">
        <v>1.1599999999999999</v>
      </c>
      <c r="S30" s="5">
        <v>1.1599999999999999</v>
      </c>
      <c r="T30" s="5">
        <v>1.1599999999999999</v>
      </c>
      <c r="U30" s="5">
        <v>1.22</v>
      </c>
      <c r="V30" s="5">
        <v>1.22</v>
      </c>
      <c r="W30" s="5">
        <v>1.22</v>
      </c>
      <c r="X30" s="5">
        <v>1.22</v>
      </c>
      <c r="Y30" s="5">
        <v>1.33</v>
      </c>
      <c r="Z30" s="5">
        <v>1.33</v>
      </c>
      <c r="AA30" s="5">
        <v>1.33</v>
      </c>
      <c r="AB30" s="5">
        <v>1.33</v>
      </c>
      <c r="AC30" s="5">
        <v>1.33</v>
      </c>
      <c r="AD30" s="5">
        <v>1.33</v>
      </c>
      <c r="AE30" s="5">
        <v>1.33</v>
      </c>
      <c r="AF30" s="5">
        <v>1.33</v>
      </c>
      <c r="AG30" s="5">
        <v>1.33</v>
      </c>
      <c r="AH30" s="5">
        <v>1.33</v>
      </c>
      <c r="AI30" s="5">
        <v>1.33</v>
      </c>
      <c r="AJ30" s="5">
        <v>1.33</v>
      </c>
      <c r="AK30" s="5">
        <v>1.33</v>
      </c>
      <c r="AL30" s="5">
        <v>1.33</v>
      </c>
      <c r="AM30" s="5">
        <v>1.33</v>
      </c>
      <c r="AN30" s="5">
        <v>1.33</v>
      </c>
      <c r="AO30" s="5">
        <v>1.33</v>
      </c>
      <c r="AP30" s="5">
        <v>1.33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3.74</v>
      </c>
      <c r="BR30" s="5">
        <v>3.74</v>
      </c>
      <c r="BS30" s="5">
        <v>3.74</v>
      </c>
      <c r="BT30" s="5">
        <v>3.74</v>
      </c>
      <c r="BU30" s="5">
        <v>3.74</v>
      </c>
      <c r="BV30" s="5">
        <v>3.74</v>
      </c>
      <c r="BW30" s="5">
        <v>3.97</v>
      </c>
      <c r="BX30" s="5">
        <v>3.97</v>
      </c>
      <c r="BY30" s="5">
        <v>3.97</v>
      </c>
      <c r="BZ30" s="5">
        <v>3.97</v>
      </c>
      <c r="CA30" s="5">
        <v>3.97</v>
      </c>
      <c r="CB30" s="5">
        <v>3.97</v>
      </c>
      <c r="CC30" s="5">
        <v>3.97</v>
      </c>
      <c r="CD30" s="5">
        <v>3.97</v>
      </c>
      <c r="CE30" s="5">
        <v>3.97</v>
      </c>
      <c r="CF30" s="5">
        <v>3.97</v>
      </c>
      <c r="CG30" s="5">
        <v>3.97</v>
      </c>
      <c r="CH30" s="5">
        <v>3.97</v>
      </c>
      <c r="CI30" s="5">
        <v>3.97</v>
      </c>
      <c r="CJ30" s="5">
        <v>3.97</v>
      </c>
      <c r="CK30" s="5">
        <v>3.97</v>
      </c>
      <c r="CL30" s="5">
        <v>3.97</v>
      </c>
      <c r="CM30" s="5">
        <v>3.97</v>
      </c>
      <c r="CN30" s="5">
        <v>3.97</v>
      </c>
      <c r="CO30" s="5">
        <v>3.97</v>
      </c>
      <c r="CP30" s="5">
        <v>3.97</v>
      </c>
      <c r="CQ30" s="1"/>
    </row>
    <row r="31" spans="1:99" ht="16.5" x14ac:dyDescent="0.3">
      <c r="A31" s="3" t="s">
        <v>30</v>
      </c>
      <c r="B31" s="5">
        <v>0</v>
      </c>
      <c r="C31" s="5">
        <v>9.69</v>
      </c>
      <c r="D31" s="5">
        <v>9.69</v>
      </c>
      <c r="E31" s="5">
        <v>9.69</v>
      </c>
      <c r="F31" s="5">
        <v>9.69</v>
      </c>
      <c r="G31" s="5">
        <v>9.69</v>
      </c>
      <c r="H31" s="5">
        <v>9.69</v>
      </c>
      <c r="I31" s="5">
        <v>9.69</v>
      </c>
      <c r="J31" s="5">
        <v>9.69</v>
      </c>
      <c r="K31" s="5">
        <v>9.69</v>
      </c>
      <c r="L31" s="5">
        <v>9.69</v>
      </c>
      <c r="M31" s="5">
        <v>9.69</v>
      </c>
      <c r="N31" s="5">
        <v>9.69</v>
      </c>
      <c r="O31" s="5">
        <v>9.69</v>
      </c>
      <c r="P31" s="5">
        <v>9.69</v>
      </c>
      <c r="Q31" s="5">
        <v>9.94</v>
      </c>
      <c r="R31" s="5">
        <v>9.94</v>
      </c>
      <c r="S31" s="5">
        <v>9.94</v>
      </c>
      <c r="T31" s="5">
        <v>9.94</v>
      </c>
      <c r="U31" s="5">
        <v>10.25</v>
      </c>
      <c r="V31" s="5">
        <v>10.25</v>
      </c>
      <c r="W31" s="5">
        <v>10.25</v>
      </c>
      <c r="X31" s="5">
        <v>10.25</v>
      </c>
      <c r="Y31" s="5">
        <v>11.43</v>
      </c>
      <c r="Z31" s="5">
        <v>11.43</v>
      </c>
      <c r="AA31" s="5">
        <v>11.43</v>
      </c>
      <c r="AB31" s="5">
        <v>11.43</v>
      </c>
      <c r="AC31" s="5">
        <v>11.43</v>
      </c>
      <c r="AD31" s="5">
        <v>11.43</v>
      </c>
      <c r="AE31" s="5">
        <v>11.43</v>
      </c>
      <c r="AF31" s="5">
        <v>11.43</v>
      </c>
      <c r="AG31" s="5">
        <v>11.43</v>
      </c>
      <c r="AH31" s="5">
        <v>11.43</v>
      </c>
      <c r="AI31" s="5">
        <v>11.43</v>
      </c>
      <c r="AJ31" s="5">
        <v>11.43</v>
      </c>
      <c r="AK31" s="5">
        <v>11.43</v>
      </c>
      <c r="AL31" s="5">
        <v>11.43</v>
      </c>
      <c r="AM31" s="5">
        <v>11.43</v>
      </c>
      <c r="AN31" s="5">
        <v>11.43</v>
      </c>
      <c r="AO31" s="5">
        <v>11.43</v>
      </c>
      <c r="AP31" s="5">
        <v>11.43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1"/>
    </row>
    <row r="32" spans="1:99" ht="16.5" x14ac:dyDescent="0.3">
      <c r="A32" s="3" t="s">
        <v>31</v>
      </c>
      <c r="B32" s="5"/>
      <c r="C32" s="5">
        <v>450</v>
      </c>
      <c r="D32" s="5">
        <v>450</v>
      </c>
      <c r="E32" s="5">
        <v>300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0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1"/>
    </row>
    <row r="33" spans="1:98" ht="16.5" x14ac:dyDescent="0.3">
      <c r="A33" s="3" t="s">
        <v>32</v>
      </c>
      <c r="B33" s="5"/>
      <c r="C33" s="5"/>
      <c r="D33" s="5"/>
      <c r="E33" s="5"/>
      <c r="F33" s="5"/>
      <c r="G33" s="5"/>
      <c r="H33" s="5"/>
      <c r="I33" s="5"/>
      <c r="J33" s="5"/>
      <c r="K33" s="5">
        <v>150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60</v>
      </c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1"/>
    </row>
    <row r="34" spans="1:98" ht="16.5" x14ac:dyDescent="0.3">
      <c r="A34" s="3" t="s">
        <v>33</v>
      </c>
      <c r="B34" s="5"/>
      <c r="C34" s="5"/>
      <c r="D34" s="5"/>
      <c r="E34" s="5"/>
      <c r="F34" s="5"/>
      <c r="G34" s="5"/>
      <c r="H34" s="5"/>
      <c r="I34" s="5"/>
      <c r="J34" s="5"/>
      <c r="K34" s="5">
        <v>38.47</v>
      </c>
      <c r="L34" s="5">
        <v>38.47</v>
      </c>
      <c r="M34" s="5">
        <v>38.47</v>
      </c>
      <c r="N34" s="5">
        <v>38.47</v>
      </c>
      <c r="O34" s="5">
        <v>38.47</v>
      </c>
      <c r="P34" s="5">
        <v>38.47</v>
      </c>
      <c r="Q34" s="5">
        <v>38.47</v>
      </c>
      <c r="R34" s="5">
        <v>38.47</v>
      </c>
      <c r="S34" s="5">
        <v>38.47</v>
      </c>
      <c r="T34" s="5">
        <v>38.47</v>
      </c>
      <c r="U34" s="5">
        <v>38.47</v>
      </c>
      <c r="V34" s="5">
        <v>38.47</v>
      </c>
      <c r="W34" s="5">
        <v>38.47</v>
      </c>
      <c r="X34" s="5">
        <v>38.47</v>
      </c>
      <c r="Y34" s="5">
        <v>38.47</v>
      </c>
      <c r="Z34" s="5">
        <v>38.47</v>
      </c>
      <c r="AA34" s="5">
        <v>38.47</v>
      </c>
      <c r="AB34" s="5">
        <v>38.47</v>
      </c>
      <c r="AC34" s="5">
        <v>38.47</v>
      </c>
      <c r="AD34" s="5">
        <v>38.47</v>
      </c>
      <c r="AE34" s="5">
        <v>38.47</v>
      </c>
      <c r="AF34" s="5">
        <v>38.47</v>
      </c>
      <c r="AG34" s="5">
        <v>38.47</v>
      </c>
      <c r="AH34" s="5">
        <v>38.47</v>
      </c>
      <c r="AI34" s="5">
        <v>38.47</v>
      </c>
      <c r="AJ34" s="5">
        <v>38.47</v>
      </c>
      <c r="AK34" s="5">
        <v>38.47</v>
      </c>
      <c r="AL34" s="5">
        <v>38.47</v>
      </c>
      <c r="AM34" s="5">
        <v>38.47</v>
      </c>
      <c r="AN34" s="5">
        <v>38.47</v>
      </c>
      <c r="AO34" s="5">
        <v>38.47</v>
      </c>
      <c r="AP34" s="5">
        <v>38.47</v>
      </c>
      <c r="AQ34" s="5">
        <v>38.47</v>
      </c>
      <c r="AR34" s="5">
        <v>38.47</v>
      </c>
      <c r="AS34" s="5">
        <v>38.47</v>
      </c>
      <c r="AT34" s="5">
        <v>38.47</v>
      </c>
      <c r="AU34" s="5">
        <v>38.47</v>
      </c>
      <c r="AV34" s="5">
        <v>38.47</v>
      </c>
      <c r="AW34" s="5">
        <v>38.47</v>
      </c>
      <c r="AX34" s="5">
        <v>38.47</v>
      </c>
      <c r="AY34" s="5">
        <v>38.47</v>
      </c>
      <c r="AZ34" s="5">
        <v>38.47</v>
      </c>
      <c r="BA34" s="5">
        <v>38.47</v>
      </c>
      <c r="BB34" s="5">
        <v>38.47</v>
      </c>
      <c r="BC34" s="5">
        <v>38.47</v>
      </c>
      <c r="BD34" s="5">
        <v>38.47</v>
      </c>
      <c r="BE34" s="5">
        <v>38.47</v>
      </c>
      <c r="BF34" s="5">
        <v>38.47</v>
      </c>
      <c r="BG34" s="5">
        <v>38.47</v>
      </c>
      <c r="BH34" s="5">
        <v>38.47</v>
      </c>
      <c r="BI34" s="5">
        <v>38.47</v>
      </c>
      <c r="BJ34" s="5">
        <v>38.47</v>
      </c>
      <c r="BK34" s="5">
        <v>38.47</v>
      </c>
      <c r="BL34" s="5">
        <v>38.47</v>
      </c>
      <c r="BM34" s="5">
        <v>38.47</v>
      </c>
      <c r="BN34" s="5">
        <v>38.47</v>
      </c>
      <c r="BO34" s="5">
        <v>38.47</v>
      </c>
      <c r="BP34" s="5">
        <v>38.47</v>
      </c>
      <c r="BQ34" s="5">
        <v>38.47</v>
      </c>
      <c r="BR34" s="5">
        <v>38.47</v>
      </c>
      <c r="BS34" s="5">
        <v>38.47</v>
      </c>
      <c r="BT34" s="5">
        <v>38.47</v>
      </c>
      <c r="BU34" s="5">
        <v>38.47</v>
      </c>
      <c r="BV34" s="5">
        <v>38.47</v>
      </c>
      <c r="BW34" s="5">
        <v>38.47</v>
      </c>
      <c r="BX34" s="5">
        <v>38.47</v>
      </c>
      <c r="BY34" s="5">
        <v>38.47</v>
      </c>
      <c r="BZ34" s="5">
        <v>38.47</v>
      </c>
      <c r="CA34" s="5">
        <v>38.47</v>
      </c>
      <c r="CB34" s="5">
        <v>38.47</v>
      </c>
      <c r="CC34" s="5">
        <v>38.47</v>
      </c>
      <c r="CD34" s="5">
        <v>38.47</v>
      </c>
      <c r="CE34" s="5">
        <v>38.47</v>
      </c>
      <c r="CF34" s="5">
        <v>38.47</v>
      </c>
      <c r="CG34" s="5">
        <v>38.47</v>
      </c>
      <c r="CH34" s="5">
        <v>38.47</v>
      </c>
      <c r="CI34" s="5">
        <v>38.47</v>
      </c>
      <c r="CJ34" s="5">
        <v>38.47</v>
      </c>
      <c r="CK34" s="5">
        <v>38.47</v>
      </c>
      <c r="CL34" s="5">
        <v>38.47</v>
      </c>
      <c r="CM34" s="5">
        <v>38.47</v>
      </c>
      <c r="CN34" s="5">
        <v>38.47</v>
      </c>
      <c r="CO34" s="5">
        <v>38.47</v>
      </c>
      <c r="CP34" s="5">
        <v>38.47</v>
      </c>
      <c r="CQ34" s="1">
        <v>38.47</v>
      </c>
    </row>
    <row r="35" spans="1:98" ht="16.5" x14ac:dyDescent="0.3">
      <c r="A35" s="3" t="s">
        <v>34</v>
      </c>
      <c r="B35" s="5"/>
      <c r="C35" s="5"/>
      <c r="D35" s="5"/>
      <c r="E35" s="5"/>
      <c r="F35" s="5"/>
      <c r="G35" s="5"/>
      <c r="H35" s="5"/>
      <c r="I35" s="5"/>
      <c r="J35" s="5">
        <v>150</v>
      </c>
      <c r="K35" s="5">
        <v>240</v>
      </c>
      <c r="L35" s="5">
        <v>240</v>
      </c>
      <c r="M35" s="5">
        <v>240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530.77</v>
      </c>
      <c r="AH35" s="5">
        <v>530.77</v>
      </c>
      <c r="AI35" s="5">
        <v>530.77</v>
      </c>
      <c r="AJ35" s="5">
        <v>530.77</v>
      </c>
      <c r="AK35" s="5">
        <v>530.77</v>
      </c>
      <c r="AL35" s="5">
        <v>530.77</v>
      </c>
      <c r="AM35" s="5">
        <v>530.77</v>
      </c>
      <c r="AN35" s="5">
        <v>530.77</v>
      </c>
      <c r="AO35" s="5">
        <v>530.77</v>
      </c>
      <c r="AP35" s="5">
        <v>530.77</v>
      </c>
      <c r="AQ35" s="5">
        <v>530.77</v>
      </c>
      <c r="AR35" s="5">
        <v>982.44</v>
      </c>
      <c r="AS35" s="5">
        <v>601.54</v>
      </c>
      <c r="AT35" s="5">
        <v>601.54</v>
      </c>
      <c r="AU35" s="5">
        <v>720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>
        <f>BU48</f>
        <v>0</v>
      </c>
      <c r="BV35" s="5">
        <f>BV48</f>
        <v>0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1">
        <f>CQ9*CS35</f>
        <v>720</v>
      </c>
      <c r="CR35">
        <f>SUM(AQ35:AT35)+CQ35*CQ1+CR55</f>
        <v>22762.919843406897</v>
      </c>
      <c r="CS35">
        <v>0.18</v>
      </c>
    </row>
    <row r="36" spans="1:98" ht="16.5" x14ac:dyDescent="0.3">
      <c r="A36" s="3" t="s">
        <v>16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>
        <v>2.6</v>
      </c>
      <c r="BR36" s="5">
        <v>2.6</v>
      </c>
      <c r="BS36" s="5">
        <v>2.6</v>
      </c>
      <c r="BT36" s="5">
        <v>2.6</v>
      </c>
      <c r="BU36" s="5">
        <v>2.6</v>
      </c>
      <c r="BV36" s="5">
        <v>2.6</v>
      </c>
      <c r="BW36" s="5">
        <v>2.6</v>
      </c>
      <c r="BX36" s="5">
        <v>2.6</v>
      </c>
      <c r="BY36" s="5">
        <v>2.6</v>
      </c>
      <c r="BZ36" s="5">
        <v>2.6</v>
      </c>
      <c r="CA36" s="5">
        <v>2.6</v>
      </c>
      <c r="CB36" s="5">
        <v>2.6</v>
      </c>
      <c r="CC36" s="5">
        <v>2.6</v>
      </c>
      <c r="CD36" s="5">
        <v>2.6</v>
      </c>
      <c r="CE36" s="5">
        <v>2.6</v>
      </c>
      <c r="CF36" s="5">
        <v>2.6</v>
      </c>
      <c r="CG36" s="5">
        <v>2.6</v>
      </c>
      <c r="CH36" s="5">
        <v>2.6</v>
      </c>
      <c r="CI36" s="5">
        <v>2.6</v>
      </c>
      <c r="CJ36" s="5">
        <v>2.6</v>
      </c>
      <c r="CK36" s="5">
        <v>2.6</v>
      </c>
      <c r="CL36" s="5">
        <v>2.6</v>
      </c>
      <c r="CM36" s="5">
        <v>2.6</v>
      </c>
      <c r="CN36" s="5">
        <v>2.6</v>
      </c>
      <c r="CO36" s="5">
        <v>2.6</v>
      </c>
      <c r="CP36" s="5">
        <v>2.6</v>
      </c>
      <c r="CQ36" s="1"/>
    </row>
    <row r="37" spans="1:98" ht="16.5" x14ac:dyDescent="0.3">
      <c r="A37" s="3" t="s">
        <v>35</v>
      </c>
      <c r="B37" s="7">
        <f>B20-SUM(B22:B26)-SUM(B30:B35)</f>
        <v>4436.57</v>
      </c>
      <c r="C37" s="7">
        <f t="shared" ref="C37:Q37" si="56">C20-SUM(C22:C26)-SUM(C30:C35)</f>
        <v>1583.6200000000001</v>
      </c>
      <c r="D37" s="7">
        <f t="shared" si="56"/>
        <v>1583.6100000000004</v>
      </c>
      <c r="E37" s="7">
        <f t="shared" si="56"/>
        <v>1733.6600000000005</v>
      </c>
      <c r="F37" s="7">
        <f t="shared" si="56"/>
        <v>2033.6500000000003</v>
      </c>
      <c r="G37" s="7">
        <f t="shared" si="56"/>
        <v>2033.6500000000003</v>
      </c>
      <c r="H37" s="7">
        <f t="shared" si="56"/>
        <v>2033.6600000000005</v>
      </c>
      <c r="I37" s="7">
        <f t="shared" si="56"/>
        <v>2179.34</v>
      </c>
      <c r="J37" s="7">
        <f t="shared" si="56"/>
        <v>2029.3400000000004</v>
      </c>
      <c r="K37" s="7">
        <f t="shared" si="56"/>
        <v>1900.88</v>
      </c>
      <c r="L37" s="7">
        <f t="shared" si="56"/>
        <v>1900.8700000000003</v>
      </c>
      <c r="M37" s="7">
        <f t="shared" si="56"/>
        <v>1900.88</v>
      </c>
      <c r="N37" s="7">
        <f t="shared" si="56"/>
        <v>1962.3100000000004</v>
      </c>
      <c r="O37" s="7">
        <f t="shared" si="56"/>
        <v>1962.3200000000004</v>
      </c>
      <c r="P37" s="7">
        <f t="shared" si="56"/>
        <v>2738.66</v>
      </c>
      <c r="Q37" s="7">
        <f t="shared" si="56"/>
        <v>4251.3758305896354</v>
      </c>
      <c r="R37" s="7">
        <f>R20-SUM(R22:R26)-SUM(R30:R35)-R19-1.55</f>
        <v>1718.2299999999998</v>
      </c>
      <c r="S37" s="7">
        <f>S20-SUM(S22:S26)-SUM(S30:S35)-S19-1.55</f>
        <v>1718.2299999999998</v>
      </c>
      <c r="T37" s="7">
        <f>T20-SUM(T22:T26)-SUM(T30:T35)-1.42</f>
        <v>2176.2199999999998</v>
      </c>
      <c r="U37" s="7">
        <f>U20-SUM(U22:U26)-SUM(U30:U35)-1.55</f>
        <v>2240.0699999999997</v>
      </c>
      <c r="V37" s="7">
        <f>V20-SUM(V22:V26)-SUM(V30:V35)-1.55</f>
        <v>2240.0699999999997</v>
      </c>
      <c r="W37" s="7">
        <f>W20-SUM(W22:W26)-SUM(W30:W35)-1.55</f>
        <v>2240.0799999999995</v>
      </c>
      <c r="X37" s="7">
        <f>X20-SUM(X22:X26)-SUM(X30:X35)-1.55</f>
        <v>2240.0699999999997</v>
      </c>
      <c r="Y37" s="7">
        <f t="shared" ref="Y37:AF37" si="57">Y20-SUM(Y22:Y26)-SUM(Y30:Y35)-1.92</f>
        <v>2482.89</v>
      </c>
      <c r="Z37" s="7">
        <f t="shared" si="57"/>
        <v>2482.9</v>
      </c>
      <c r="AA37" s="7">
        <f t="shared" si="57"/>
        <v>2482.9</v>
      </c>
      <c r="AB37" s="7">
        <f t="shared" si="57"/>
        <v>2482.89</v>
      </c>
      <c r="AC37" s="7">
        <f t="shared" si="57"/>
        <v>2482.9</v>
      </c>
      <c r="AD37" s="7">
        <f t="shared" si="57"/>
        <v>2482.89</v>
      </c>
      <c r="AE37" s="7">
        <f t="shared" si="57"/>
        <v>2482.9</v>
      </c>
      <c r="AF37" s="7">
        <f t="shared" si="57"/>
        <v>2482.9</v>
      </c>
      <c r="AG37" s="7">
        <f>AG20-SUM(AG22:AG26)-SUM(AG30:AG35)-1.92</f>
        <v>1952.12</v>
      </c>
      <c r="AH37" s="7">
        <f>AH20-SUM(AH22:AH26)-SUM(AH30:AH35)-1.92</f>
        <v>1952.12</v>
      </c>
      <c r="AI37" s="7">
        <f t="shared" ref="AI37:AP37" si="58">AI20-SUM(AI22:AI28)-SUM(AI30:AI35)-1.92</f>
        <v>1833.1799999999998</v>
      </c>
      <c r="AJ37" s="7">
        <f t="shared" si="58"/>
        <v>1810.1999999999998</v>
      </c>
      <c r="AK37" s="7">
        <f t="shared" si="58"/>
        <v>1810.1999999999998</v>
      </c>
      <c r="AL37" s="7">
        <f t="shared" si="58"/>
        <v>1810.21</v>
      </c>
      <c r="AM37" s="7">
        <f t="shared" si="58"/>
        <v>1810.1899999999996</v>
      </c>
      <c r="AN37" s="7">
        <f t="shared" si="58"/>
        <v>1810.1999999999998</v>
      </c>
      <c r="AO37" s="7">
        <f t="shared" si="58"/>
        <v>1810.1999999999998</v>
      </c>
      <c r="AP37" s="7">
        <f t="shared" si="58"/>
        <v>1810.1999999999998</v>
      </c>
      <c r="AQ37" s="7">
        <f>AQ20-SUM(AQ22:AQ28)-SUM(AQ30:AQ35)-1.92+AQ10</f>
        <v>3607.74</v>
      </c>
      <c r="AR37" s="7">
        <f>AR20-SUM(AR22:AR28)-SUM(AR30:AR35)-1.92+AR10</f>
        <v>3183.4400000000005</v>
      </c>
      <c r="AS37" s="7">
        <f>AS20-SUM(AS22:AS28)-SUM(AS30:AS35)-1.92+AS10</f>
        <v>1781.1499999999999</v>
      </c>
      <c r="AT37" s="7">
        <f>AT20-SUM(AT22:AT28)-SUM(AT30:AT35)-1.92+AT10</f>
        <v>1782.11</v>
      </c>
      <c r="AU37" s="7">
        <f>AU20-SUM(AU22:AU28)-SUM(AU30:AU35)-1.92+AU10</f>
        <v>1936.74</v>
      </c>
      <c r="AV37" s="7">
        <f t="shared" ref="AV37:BJ37" si="59">AV20-SUM(AV22:AV28)-SUM(AV30:AV35)-1.92+AV10</f>
        <v>2656.9100000000003</v>
      </c>
      <c r="AW37" s="7">
        <f t="shared" si="59"/>
        <v>2656.9</v>
      </c>
      <c r="AX37" s="7">
        <f>AX20-SUM(AX22:AX28)-SUM(AX30:AX35)-1.92+AX10</f>
        <v>2656.9</v>
      </c>
      <c r="AY37" s="7">
        <f t="shared" si="59"/>
        <v>2656.9</v>
      </c>
      <c r="AZ37" s="7">
        <f t="shared" si="59"/>
        <v>2656.9</v>
      </c>
      <c r="BA37" s="7">
        <f t="shared" si="59"/>
        <v>2656.9</v>
      </c>
      <c r="BB37" s="7">
        <f t="shared" si="59"/>
        <v>2656.9</v>
      </c>
      <c r="BC37" s="7">
        <f t="shared" si="59"/>
        <v>2656.9</v>
      </c>
      <c r="BD37" s="7">
        <f t="shared" si="59"/>
        <v>2656.9</v>
      </c>
      <c r="BE37" s="7">
        <f t="shared" si="59"/>
        <v>2656.9</v>
      </c>
      <c r="BF37" s="7">
        <f t="shared" si="59"/>
        <v>2656.9100000000003</v>
      </c>
      <c r="BG37" s="7">
        <f t="shared" si="59"/>
        <v>2656.89</v>
      </c>
      <c r="BH37" s="7">
        <f t="shared" si="59"/>
        <v>2656.9100000000003</v>
      </c>
      <c r="BI37" s="7">
        <f t="shared" si="59"/>
        <v>3281.9796263810722</v>
      </c>
      <c r="BJ37" s="7">
        <f t="shared" si="59"/>
        <v>3281.9796263810722</v>
      </c>
      <c r="BK37" s="7">
        <f t="shared" ref="BK37:BP37" si="60">BK20-SUM(BK22:BK28)-SUM(BK30:BK35)+BK10</f>
        <v>3214.9484615384617</v>
      </c>
      <c r="BL37" s="7">
        <f t="shared" si="60"/>
        <v>3214.9484615384622</v>
      </c>
      <c r="BM37" s="7">
        <f t="shared" si="60"/>
        <v>3214.9484615384617</v>
      </c>
      <c r="BN37" s="7">
        <f t="shared" si="60"/>
        <v>3214.958461538462</v>
      </c>
      <c r="BO37" s="7">
        <f t="shared" si="60"/>
        <v>3214.938461538462</v>
      </c>
      <c r="BP37" s="7">
        <f t="shared" si="60"/>
        <v>3215.0184615384624</v>
      </c>
      <c r="BQ37" s="7">
        <f t="shared" ref="BQ37:BW37" si="61">BQ20-SUM(BQ22:BQ28)-SUM(BQ30:BQ36)+BQ10</f>
        <v>3347.6784615384618</v>
      </c>
      <c r="BR37" s="7">
        <f t="shared" si="61"/>
        <v>3347.6784615384618</v>
      </c>
      <c r="BS37" s="7">
        <f t="shared" si="61"/>
        <v>5685.3684615384618</v>
      </c>
      <c r="BT37" s="7">
        <f t="shared" si="61"/>
        <v>3347.6784615384618</v>
      </c>
      <c r="BU37" s="7">
        <f t="shared" si="61"/>
        <v>5189.9206686106145</v>
      </c>
      <c r="BV37" s="7">
        <f t="shared" si="61"/>
        <v>3551.2277692307694</v>
      </c>
      <c r="BW37" s="7">
        <f t="shared" si="61"/>
        <v>3517.0299999999997</v>
      </c>
      <c r="BX37" s="7">
        <f t="shared" ref="BX37" si="62">BX20-SUM(BX22:BX28)-SUM(BX30:BX36)+BX10</f>
        <v>3517.04</v>
      </c>
      <c r="BY37" s="7">
        <f t="shared" ref="BY37" si="63">BY20-SUM(BY22:BY28)-SUM(BY30:BY36)+BY10</f>
        <v>3517.04</v>
      </c>
      <c r="BZ37" s="7">
        <f t="shared" ref="BZ37" si="64">BZ20-SUM(BZ22:BZ28)-SUM(BZ30:BZ36)+BZ10</f>
        <v>3517.04</v>
      </c>
      <c r="CA37" s="7">
        <f t="shared" ref="CA37" si="65">CA20-SUM(CA22:CA28)-SUM(CA30:CA36)+CA10</f>
        <v>3517.04</v>
      </c>
      <c r="CB37" s="7">
        <f t="shared" ref="CB37" si="66">CB20-SUM(CB22:CB28)-SUM(CB30:CB36)+CB10</f>
        <v>3517.0499999999997</v>
      </c>
      <c r="CC37" s="7">
        <f t="shared" ref="CC37" si="67">CC20-SUM(CC22:CC28)-SUM(CC30:CC36)+CC10</f>
        <v>4449.03</v>
      </c>
      <c r="CD37" s="7">
        <f t="shared" ref="CD37" si="68">CD20-SUM(CD22:CD28)-SUM(CD30:CD36)+CD10</f>
        <v>3517.04</v>
      </c>
      <c r="CE37" s="7">
        <f t="shared" ref="CE37" si="69">CE20-SUM(CE22:CE28)-SUM(CE30:CE36)+CE10</f>
        <v>3517.04</v>
      </c>
      <c r="CF37" s="7">
        <f t="shared" ref="CF37" si="70">CF20-SUM(CF22:CF28)-SUM(CF30:CF36)+CF10</f>
        <v>3517.04</v>
      </c>
      <c r="CG37" s="7">
        <f t="shared" ref="CG37" si="71">CG20-SUM(CG22:CG28)-SUM(CG30:CG36)+CG10</f>
        <v>3517.04</v>
      </c>
      <c r="CH37" s="7">
        <f t="shared" ref="CH37" si="72">CH20-SUM(CH22:CH28)-SUM(CH30:CH36)+CH10</f>
        <v>3517.04</v>
      </c>
      <c r="CI37" s="7">
        <f t="shared" ref="CI37" si="73">CI20-SUM(CI22:CI28)-SUM(CI30:CI36)+CI10</f>
        <v>3517.04</v>
      </c>
      <c r="CJ37" s="7">
        <f t="shared" ref="CJ37" si="74">CJ20-SUM(CJ22:CJ28)-SUM(CJ30:CJ36)+CJ10</f>
        <v>3517.04</v>
      </c>
      <c r="CK37" s="7">
        <f t="shared" ref="CK37" si="75">CK20-SUM(CK22:CK28)-SUM(CK30:CK36)+CK10</f>
        <v>3517.04</v>
      </c>
      <c r="CL37" s="7">
        <f t="shared" ref="CL37" si="76">CL20-SUM(CL22:CL28)-SUM(CL30:CL36)+CL10</f>
        <v>3517.04</v>
      </c>
      <c r="CM37" s="7">
        <f t="shared" ref="CM37" si="77">CM20-SUM(CM22:CM28)-SUM(CM30:CM36)+CM10</f>
        <v>3517.04</v>
      </c>
      <c r="CN37" s="7">
        <f t="shared" ref="CN37" si="78">CN20-SUM(CN22:CN28)-SUM(CN30:CN36)+CN10</f>
        <v>3517.0499999999997</v>
      </c>
      <c r="CO37" s="7">
        <f t="shared" ref="CO37" si="79">CO20-SUM(CO22:CO28)-SUM(CO30:CO36)+CO10</f>
        <v>3517.0499999999997</v>
      </c>
      <c r="CP37" s="7">
        <f t="shared" ref="CP37" si="80">CP20-SUM(CP22:CP28)-SUM(CP30:CP36)+CP10</f>
        <v>-45.04</v>
      </c>
      <c r="CQ37" s="1">
        <f>CQ20-SUM(CQ22:CQ26)-SUM(CQ30:CQ35)-1.92-CQ19</f>
        <v>2257.330532043964</v>
      </c>
      <c r="CR37">
        <f>CQ37/AT37-1</f>
        <v>0.26666172797636745</v>
      </c>
      <c r="CS37">
        <f>CQ37-AT37</f>
        <v>475.22053204396411</v>
      </c>
      <c r="CT37">
        <f>SUM(AQ37:AT37)+(CQ37*CQ1)</f>
        <v>60015.711704967209</v>
      </c>
    </row>
    <row r="38" spans="1:98" ht="16.5" x14ac:dyDescent="0.3">
      <c r="A38" s="12" t="s">
        <v>20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1"/>
    </row>
    <row r="39" spans="1:98" ht="16.5" x14ac:dyDescent="0.3">
      <c r="A39" s="3" t="s">
        <v>21</v>
      </c>
      <c r="B39" s="13">
        <f t="shared" ref="B39:AG39" si="81">B22/B$20</f>
        <v>6.2000155919727816E-2</v>
      </c>
      <c r="C39" s="13">
        <f t="shared" si="81"/>
        <v>6.2028703478472384E-2</v>
      </c>
      <c r="D39" s="13">
        <f t="shared" si="81"/>
        <v>6.2028703478472384E-2</v>
      </c>
      <c r="E39" s="13">
        <f t="shared" si="81"/>
        <v>6.2028703478472384E-2</v>
      </c>
      <c r="F39" s="13">
        <f t="shared" si="81"/>
        <v>6.2028703478472384E-2</v>
      </c>
      <c r="G39" s="13">
        <f t="shared" si="81"/>
        <v>6.2028703478472384E-2</v>
      </c>
      <c r="H39" s="13">
        <f t="shared" si="81"/>
        <v>6.2028703478472384E-2</v>
      </c>
      <c r="I39" s="13">
        <f t="shared" si="81"/>
        <v>6.2028703478472384E-2</v>
      </c>
      <c r="J39" s="13">
        <f t="shared" si="81"/>
        <v>6.2028703478472384E-2</v>
      </c>
      <c r="K39" s="13">
        <f t="shared" si="81"/>
        <v>6.2028596846353194E-2</v>
      </c>
      <c r="L39" s="13">
        <f t="shared" si="81"/>
        <v>6.2028703478472384E-2</v>
      </c>
      <c r="M39" s="13">
        <f t="shared" si="81"/>
        <v>6.2028703478472384E-2</v>
      </c>
      <c r="N39" s="13">
        <f t="shared" si="81"/>
        <v>6.7672593547408719E-2</v>
      </c>
      <c r="O39" s="13">
        <f t="shared" si="81"/>
        <v>6.7672593547408719E-2</v>
      </c>
      <c r="P39" s="13">
        <f t="shared" si="81"/>
        <v>6.758592831962397E-2</v>
      </c>
      <c r="Q39" s="13">
        <f t="shared" si="81"/>
        <v>6.2019963269894077E-2</v>
      </c>
      <c r="R39" s="13">
        <f t="shared" si="81"/>
        <v>6.1999335586858322E-2</v>
      </c>
      <c r="S39" s="13">
        <f t="shared" si="81"/>
        <v>6.1999335586858322E-2</v>
      </c>
      <c r="T39" s="13">
        <f t="shared" si="81"/>
        <v>6.1999335586858322E-2</v>
      </c>
      <c r="U39" s="13">
        <f t="shared" si="81"/>
        <v>6.2000006630662172E-2</v>
      </c>
      <c r="V39" s="13">
        <f t="shared" si="81"/>
        <v>6.2000006630662172E-2</v>
      </c>
      <c r="W39" s="13">
        <f t="shared" si="81"/>
        <v>6.2000006630662172E-2</v>
      </c>
      <c r="X39" s="13">
        <f t="shared" si="81"/>
        <v>6.2000006630662172E-2</v>
      </c>
      <c r="Y39" s="13">
        <f t="shared" si="81"/>
        <v>6.2000745002276397E-2</v>
      </c>
      <c r="Z39" s="13">
        <f t="shared" si="81"/>
        <v>6.2000745002276397E-2</v>
      </c>
      <c r="AA39" s="13">
        <f t="shared" si="81"/>
        <v>6.2000745002276397E-2</v>
      </c>
      <c r="AB39" s="13">
        <f t="shared" si="81"/>
        <v>6.2000745002276397E-2</v>
      </c>
      <c r="AC39" s="13">
        <f t="shared" si="81"/>
        <v>6.2000745002276397E-2</v>
      </c>
      <c r="AD39" s="13">
        <f t="shared" si="81"/>
        <v>6.2000745002276397E-2</v>
      </c>
      <c r="AE39" s="13">
        <f t="shared" si="81"/>
        <v>6.2000745002276397E-2</v>
      </c>
      <c r="AF39" s="13">
        <f t="shared" si="81"/>
        <v>6.2000745002276397E-2</v>
      </c>
      <c r="AG39" s="13">
        <f t="shared" si="81"/>
        <v>6.2000745002276397E-2</v>
      </c>
      <c r="AH39" s="13">
        <f t="shared" ref="AH39:BM39" si="82">AH22/AH$20</f>
        <v>6.2000745002276397E-2</v>
      </c>
      <c r="AI39" s="13">
        <f t="shared" si="82"/>
        <v>6.158094213224382E-2</v>
      </c>
      <c r="AJ39" s="13">
        <f t="shared" si="82"/>
        <v>6.1999559463497979E-2</v>
      </c>
      <c r="AK39" s="13">
        <f t="shared" si="82"/>
        <v>6.1999559463497979E-2</v>
      </c>
      <c r="AL39" s="13">
        <f t="shared" si="82"/>
        <v>6.1999559463497979E-2</v>
      </c>
      <c r="AM39" s="13">
        <f t="shared" si="82"/>
        <v>6.1999559463497979E-2</v>
      </c>
      <c r="AN39" s="13">
        <f t="shared" si="82"/>
        <v>6.1999559463497979E-2</v>
      </c>
      <c r="AO39" s="13">
        <f t="shared" si="82"/>
        <v>6.1999559463497979E-2</v>
      </c>
      <c r="AP39" s="13">
        <f t="shared" si="82"/>
        <v>6.1999559463497979E-2</v>
      </c>
      <c r="AQ39" s="13">
        <f t="shared" si="82"/>
        <v>6.1993102912435677E-2</v>
      </c>
      <c r="AR39" s="13">
        <f t="shared" si="82"/>
        <v>6.199655522261284E-2</v>
      </c>
      <c r="AS39" s="13">
        <f t="shared" si="82"/>
        <v>6.1993102912435677E-2</v>
      </c>
      <c r="AT39" s="13">
        <f t="shared" si="82"/>
        <v>6.1993102912435677E-2</v>
      </c>
      <c r="AU39" s="13">
        <f t="shared" si="82"/>
        <v>6.2008419405074233E-2</v>
      </c>
      <c r="AV39" s="13">
        <f t="shared" si="82"/>
        <v>6.2000540984855051E-2</v>
      </c>
      <c r="AW39" s="13">
        <f t="shared" si="82"/>
        <v>6.2000540984855051E-2</v>
      </c>
      <c r="AX39" s="13">
        <f t="shared" si="82"/>
        <v>6.2002931568593843E-2</v>
      </c>
      <c r="AY39" s="13">
        <f t="shared" si="82"/>
        <v>6.2000540984855051E-2</v>
      </c>
      <c r="AZ39" s="13">
        <f t="shared" si="82"/>
        <v>6.2000540984855051E-2</v>
      </c>
      <c r="BA39" s="13">
        <f t="shared" si="82"/>
        <v>6.2000540984855051E-2</v>
      </c>
      <c r="BB39" s="13">
        <f t="shared" si="82"/>
        <v>6.2003167124928107E-2</v>
      </c>
      <c r="BC39" s="13">
        <f t="shared" si="82"/>
        <v>6.2000540984855051E-2</v>
      </c>
      <c r="BD39" s="13">
        <f t="shared" si="82"/>
        <v>6.2000540984855051E-2</v>
      </c>
      <c r="BE39" s="13">
        <f t="shared" si="82"/>
        <v>6.2000540984855051E-2</v>
      </c>
      <c r="BF39" s="13">
        <f t="shared" si="82"/>
        <v>6.2000540984855051E-2</v>
      </c>
      <c r="BG39" s="13">
        <f t="shared" si="82"/>
        <v>6.2003167124928107E-2</v>
      </c>
      <c r="BH39" s="13">
        <f t="shared" si="82"/>
        <v>6.2000540984855051E-2</v>
      </c>
      <c r="BI39" s="13">
        <f t="shared" si="82"/>
        <v>6.4498159722164397E-2</v>
      </c>
      <c r="BJ39" s="13">
        <f t="shared" si="82"/>
        <v>6.4498159722164397E-2</v>
      </c>
      <c r="BK39" s="13">
        <f t="shared" si="82"/>
        <v>6.2038954553558671E-2</v>
      </c>
      <c r="BL39" s="13">
        <f t="shared" si="82"/>
        <v>6.2036857013086227E-2</v>
      </c>
      <c r="BM39" s="13">
        <f t="shared" si="82"/>
        <v>6.2038954553558671E-2</v>
      </c>
      <c r="BN39" s="13">
        <f t="shared" ref="BN39:BT39" si="83">BN22/BN$20</f>
        <v>6.2036857013086227E-2</v>
      </c>
      <c r="BO39" s="13">
        <f t="shared" si="83"/>
        <v>6.2038954553558671E-2</v>
      </c>
      <c r="BP39" s="13">
        <f t="shared" si="83"/>
        <v>6.2037653288672785E-2</v>
      </c>
      <c r="BQ39" s="13">
        <f t="shared" si="83"/>
        <v>6.2049302325581396E-2</v>
      </c>
      <c r="BR39" s="13">
        <f t="shared" si="83"/>
        <v>6.2049302325581396E-2</v>
      </c>
      <c r="BS39" s="13">
        <f t="shared" si="83"/>
        <v>6.2033769121148892E-2</v>
      </c>
      <c r="BT39" s="13">
        <f t="shared" si="83"/>
        <v>6.2049302325581396E-2</v>
      </c>
      <c r="BU39" s="13">
        <v>6.2049302325581396E-2</v>
      </c>
      <c r="BV39" s="13">
        <v>6.2049302325581396E-2</v>
      </c>
      <c r="BW39" s="13">
        <v>6.2049302325581396E-2</v>
      </c>
      <c r="BX39" s="13">
        <v>6.2049302325581396E-2</v>
      </c>
      <c r="BY39" s="13">
        <v>6.2049302325581396E-2</v>
      </c>
      <c r="BZ39" s="13">
        <v>6.2049302325581396E-2</v>
      </c>
      <c r="CA39" s="13">
        <v>6.2049302325581396E-2</v>
      </c>
      <c r="CB39" s="13">
        <v>6.2049302325581396E-2</v>
      </c>
      <c r="CC39" s="13">
        <v>6.2049302325581396E-2</v>
      </c>
      <c r="CD39" s="13">
        <v>6.2049302325581396E-2</v>
      </c>
      <c r="CE39" s="13">
        <v>6.2049302325581396E-2</v>
      </c>
      <c r="CF39" s="13">
        <v>6.2049302325581396E-2</v>
      </c>
      <c r="CG39" s="13">
        <v>6.2049302325581396E-2</v>
      </c>
      <c r="CH39" s="13">
        <v>6.2049302325581396E-2</v>
      </c>
      <c r="CI39" s="13">
        <v>6.2049302325581396E-2</v>
      </c>
      <c r="CJ39" s="13">
        <v>6.2049302325581396E-2</v>
      </c>
      <c r="CK39" s="13">
        <v>6.2049302325581396E-2</v>
      </c>
      <c r="CL39" s="13">
        <v>6.2049302325581396E-2</v>
      </c>
      <c r="CM39" s="13">
        <v>6.2049302325581396E-2</v>
      </c>
      <c r="CN39" s="13">
        <v>6.2049302325581396E-2</v>
      </c>
      <c r="CO39" s="13">
        <v>6.2049302325581396E-2</v>
      </c>
      <c r="CP39" s="13">
        <v>6.2049302325581396E-2</v>
      </c>
      <c r="CQ39" s="1">
        <f t="shared" ref="CQ39:CQ46" si="84">AT39</f>
        <v>6.1993102912435677E-2</v>
      </c>
    </row>
    <row r="40" spans="1:98" ht="16.5" x14ac:dyDescent="0.3">
      <c r="A40" s="3" t="s">
        <v>22</v>
      </c>
      <c r="B40" s="13">
        <f t="shared" ref="B40:AG40" si="85">B23/B$20</f>
        <v>1.4500534686991147E-2</v>
      </c>
      <c r="C40" s="13">
        <f t="shared" si="85"/>
        <v>1.4504639121520658E-2</v>
      </c>
      <c r="D40" s="13">
        <f t="shared" si="85"/>
        <v>1.4508114118914409E-2</v>
      </c>
      <c r="E40" s="13">
        <f t="shared" si="85"/>
        <v>1.4504639121520658E-2</v>
      </c>
      <c r="F40" s="13">
        <f t="shared" si="85"/>
        <v>1.4508114118914409E-2</v>
      </c>
      <c r="G40" s="13">
        <f t="shared" si="85"/>
        <v>1.4508114118914409E-2</v>
      </c>
      <c r="H40" s="13">
        <f t="shared" si="85"/>
        <v>1.4504639121520658E-2</v>
      </c>
      <c r="I40" s="13">
        <f t="shared" si="85"/>
        <v>1.4508114118914409E-2</v>
      </c>
      <c r="J40" s="13">
        <f t="shared" si="85"/>
        <v>1.4508114118914409E-2</v>
      </c>
      <c r="K40" s="13">
        <f t="shared" si="85"/>
        <v>1.4504712419901755E-2</v>
      </c>
      <c r="L40" s="13">
        <f t="shared" si="85"/>
        <v>1.4508114118914409E-2</v>
      </c>
      <c r="M40" s="13">
        <f t="shared" si="85"/>
        <v>1.4504639121520658E-2</v>
      </c>
      <c r="N40" s="13">
        <f t="shared" si="85"/>
        <v>1.5828183644842096E-2</v>
      </c>
      <c r="O40" s="13">
        <f t="shared" si="85"/>
        <v>1.5824392463130756E-2</v>
      </c>
      <c r="P40" s="13">
        <f t="shared" si="85"/>
        <v>1.5808607520564042E-2</v>
      </c>
      <c r="Q40" s="13">
        <f t="shared" si="85"/>
        <v>1.4506706975109697E-2</v>
      </c>
      <c r="R40" s="13">
        <f t="shared" si="85"/>
        <v>1.4500645576686635E-2</v>
      </c>
      <c r="S40" s="13">
        <f t="shared" si="85"/>
        <v>1.4500645576686635E-2</v>
      </c>
      <c r="T40" s="13">
        <f t="shared" si="85"/>
        <v>1.4497220766677969E-2</v>
      </c>
      <c r="U40" s="13">
        <f t="shared" si="85"/>
        <v>1.4501258168146963E-2</v>
      </c>
      <c r="V40" s="13">
        <f t="shared" si="85"/>
        <v>1.4501258168146963E-2</v>
      </c>
      <c r="W40" s="13">
        <f t="shared" si="85"/>
        <v>1.4497942837061422E-2</v>
      </c>
      <c r="X40" s="13">
        <f t="shared" si="85"/>
        <v>1.4501258168146963E-2</v>
      </c>
      <c r="Y40" s="13">
        <f t="shared" si="85"/>
        <v>1.4500937165561974E-2</v>
      </c>
      <c r="Z40" s="13">
        <f t="shared" si="85"/>
        <v>1.4497980807322309E-2</v>
      </c>
      <c r="AA40" s="13">
        <f t="shared" si="85"/>
        <v>1.4497980807322309E-2</v>
      </c>
      <c r="AB40" s="13">
        <f t="shared" si="85"/>
        <v>1.4500937165561974E-2</v>
      </c>
      <c r="AC40" s="13">
        <f t="shared" si="85"/>
        <v>1.4497980807322309E-2</v>
      </c>
      <c r="AD40" s="13">
        <f t="shared" si="85"/>
        <v>1.4500937165561974E-2</v>
      </c>
      <c r="AE40" s="13">
        <f t="shared" si="85"/>
        <v>1.4497980807322309E-2</v>
      </c>
      <c r="AF40" s="13">
        <f t="shared" si="85"/>
        <v>1.4497980807322309E-2</v>
      </c>
      <c r="AG40" s="13">
        <f t="shared" si="85"/>
        <v>1.4500937165561974E-2</v>
      </c>
      <c r="AH40" s="13">
        <f t="shared" ref="AH40:BM40" si="86">AH23/AH$20</f>
        <v>1.4500937165561974E-2</v>
      </c>
      <c r="AI40" s="13">
        <f t="shared" si="86"/>
        <v>1.4403377343652995E-2</v>
      </c>
      <c r="AJ40" s="13">
        <f t="shared" si="86"/>
        <v>1.4499008792870452E-2</v>
      </c>
      <c r="AK40" s="13">
        <f t="shared" si="86"/>
        <v>1.4499008792870452E-2</v>
      </c>
      <c r="AL40" s="13">
        <f t="shared" si="86"/>
        <v>1.4499008792870452E-2</v>
      </c>
      <c r="AM40" s="13">
        <f t="shared" si="86"/>
        <v>1.4501985390857081E-2</v>
      </c>
      <c r="AN40" s="13">
        <f t="shared" si="86"/>
        <v>1.4499008792870452E-2</v>
      </c>
      <c r="AO40" s="13">
        <f t="shared" si="86"/>
        <v>1.4499008792870452E-2</v>
      </c>
      <c r="AP40" s="13">
        <f t="shared" si="86"/>
        <v>1.4499008792870452E-2</v>
      </c>
      <c r="AQ40" s="13">
        <f t="shared" si="86"/>
        <v>1.4499423250476642E-2</v>
      </c>
      <c r="AR40" s="13">
        <f t="shared" si="86"/>
        <v>1.4497951222581382E-2</v>
      </c>
      <c r="AS40" s="13">
        <f t="shared" si="86"/>
        <v>1.4499423250476642E-2</v>
      </c>
      <c r="AT40" s="13">
        <f t="shared" si="86"/>
        <v>1.4499423250476642E-2</v>
      </c>
      <c r="AU40" s="13">
        <f t="shared" si="86"/>
        <v>1.4501545483432996E-2</v>
      </c>
      <c r="AV40" s="13">
        <f t="shared" si="86"/>
        <v>1.4498919343359937E-2</v>
      </c>
      <c r="AW40" s="13">
        <f t="shared" si="86"/>
        <v>1.4501545483432996E-2</v>
      </c>
      <c r="AX40" s="13">
        <f t="shared" si="86"/>
        <v>1.4499241526973756E-2</v>
      </c>
      <c r="AY40" s="13">
        <f t="shared" si="86"/>
        <v>1.4501545483432996E-2</v>
      </c>
      <c r="AZ40" s="13">
        <f t="shared" si="86"/>
        <v>1.4498919343359937E-2</v>
      </c>
      <c r="BA40" s="13">
        <f t="shared" si="86"/>
        <v>1.4501545483432996E-2</v>
      </c>
      <c r="BB40" s="13">
        <f t="shared" si="86"/>
        <v>1.4498919343359937E-2</v>
      </c>
      <c r="BC40" s="13">
        <f t="shared" si="86"/>
        <v>1.4501545483432996E-2</v>
      </c>
      <c r="BD40" s="13">
        <f t="shared" si="86"/>
        <v>1.4501545483432996E-2</v>
      </c>
      <c r="BE40" s="13">
        <f t="shared" si="86"/>
        <v>1.4501545483432996E-2</v>
      </c>
      <c r="BF40" s="13">
        <f t="shared" si="86"/>
        <v>1.4498919343359937E-2</v>
      </c>
      <c r="BG40" s="13">
        <f t="shared" si="86"/>
        <v>1.4501545483432996E-2</v>
      </c>
      <c r="BH40" s="13">
        <f t="shared" si="86"/>
        <v>1.4498919343359937E-2</v>
      </c>
      <c r="BI40" s="13">
        <f t="shared" si="86"/>
        <v>1.5082991224790107E-2</v>
      </c>
      <c r="BJ40" s="13">
        <f t="shared" si="86"/>
        <v>1.5082991224790107E-2</v>
      </c>
      <c r="BK40" s="13">
        <f t="shared" si="86"/>
        <v>1.4508687447914439E-2</v>
      </c>
      <c r="BL40" s="13">
        <f t="shared" si="86"/>
        <v>1.4508687447914439E-2</v>
      </c>
      <c r="BM40" s="13">
        <f t="shared" si="86"/>
        <v>1.4508687447914439E-2</v>
      </c>
      <c r="BN40" s="13">
        <f t="shared" ref="BN40:BT40" si="87">BN23/BN$20</f>
        <v>1.4508687447914439E-2</v>
      </c>
      <c r="BO40" s="13">
        <f t="shared" si="87"/>
        <v>1.4508687447914439E-2</v>
      </c>
      <c r="BP40" s="13">
        <f t="shared" si="87"/>
        <v>1.4508383128706417E-2</v>
      </c>
      <c r="BQ40" s="13">
        <f t="shared" si="87"/>
        <v>1.4511627906976743E-2</v>
      </c>
      <c r="BR40" s="13">
        <f t="shared" si="87"/>
        <v>1.4511627906976743E-2</v>
      </c>
      <c r="BS40" s="13">
        <f t="shared" si="87"/>
        <v>1.4507183773793146E-2</v>
      </c>
      <c r="BT40" s="13">
        <f t="shared" si="87"/>
        <v>1.4511627906976743E-2</v>
      </c>
      <c r="BU40" s="13">
        <v>1.4511627906976743E-2</v>
      </c>
      <c r="BV40" s="13">
        <v>1.4511627906976743E-2</v>
      </c>
      <c r="BW40" s="13">
        <v>1.4511627906976743E-2</v>
      </c>
      <c r="BX40" s="13">
        <v>1.4511627906976743E-2</v>
      </c>
      <c r="BY40" s="13">
        <v>1.4511627906976743E-2</v>
      </c>
      <c r="BZ40" s="13">
        <v>1.4511627906976743E-2</v>
      </c>
      <c r="CA40" s="13">
        <v>1.4511627906976743E-2</v>
      </c>
      <c r="CB40" s="13">
        <v>1.4511627906976743E-2</v>
      </c>
      <c r="CC40" s="13">
        <v>1.4511627906976743E-2</v>
      </c>
      <c r="CD40" s="13">
        <v>1.4511627906976743E-2</v>
      </c>
      <c r="CE40" s="13">
        <v>1.4511627906976743E-2</v>
      </c>
      <c r="CF40" s="13">
        <v>1.4511627906976743E-2</v>
      </c>
      <c r="CG40" s="13">
        <v>1.4511627906976743E-2</v>
      </c>
      <c r="CH40" s="13">
        <v>1.4511627906976743E-2</v>
      </c>
      <c r="CI40" s="13">
        <v>1.4511627906976743E-2</v>
      </c>
      <c r="CJ40" s="13">
        <v>1.4511627906976743E-2</v>
      </c>
      <c r="CK40" s="13">
        <v>1.4511627906976743E-2</v>
      </c>
      <c r="CL40" s="13">
        <v>1.4511627906976743E-2</v>
      </c>
      <c r="CM40" s="13">
        <v>1.4511627906976743E-2</v>
      </c>
      <c r="CN40" s="13">
        <v>1.4511627906976743E-2</v>
      </c>
      <c r="CO40" s="13">
        <v>1.4511627906976743E-2</v>
      </c>
      <c r="CP40" s="13">
        <v>1.4511627906976743E-2</v>
      </c>
      <c r="CQ40" s="1">
        <f t="shared" si="84"/>
        <v>1.4499423250476642E-2</v>
      </c>
    </row>
    <row r="41" spans="1:98" ht="16.5" x14ac:dyDescent="0.3">
      <c r="A41" s="3" t="s">
        <v>23</v>
      </c>
      <c r="B41" s="13">
        <f t="shared" ref="B41:AG41" si="88">B24/B$20</f>
        <v>0.18032704898380053</v>
      </c>
      <c r="C41" s="13">
        <f t="shared" si="88"/>
        <v>0.12637870521597108</v>
      </c>
      <c r="D41" s="13">
        <f t="shared" si="88"/>
        <v>0.12637870521597108</v>
      </c>
      <c r="E41" s="13">
        <f t="shared" si="88"/>
        <v>0.12636480522639607</v>
      </c>
      <c r="F41" s="13">
        <f t="shared" si="88"/>
        <v>0.12636480522639607</v>
      </c>
      <c r="G41" s="13">
        <f t="shared" si="88"/>
        <v>0.12636480522639607</v>
      </c>
      <c r="H41" s="13">
        <f t="shared" si="88"/>
        <v>0.12636480522639607</v>
      </c>
      <c r="I41" s="13">
        <f t="shared" si="88"/>
        <v>0.12636480522639607</v>
      </c>
      <c r="J41" s="13">
        <f t="shared" si="88"/>
        <v>0.12636480522639607</v>
      </c>
      <c r="K41" s="13">
        <f t="shared" si="88"/>
        <v>0.13315003674527146</v>
      </c>
      <c r="L41" s="13">
        <f t="shared" si="88"/>
        <v>0.12636480522639607</v>
      </c>
      <c r="M41" s="13">
        <f t="shared" si="88"/>
        <v>0.12636480522639607</v>
      </c>
      <c r="N41" s="13">
        <f t="shared" si="88"/>
        <v>0.11784509231527465</v>
      </c>
      <c r="O41" s="13">
        <f t="shared" si="88"/>
        <v>0.11784509231527465</v>
      </c>
      <c r="P41" s="13">
        <f t="shared" si="88"/>
        <v>0.14932275054557662</v>
      </c>
      <c r="Q41" s="13">
        <f t="shared" si="88"/>
        <v>0.17799800654629386</v>
      </c>
      <c r="R41" s="13">
        <f t="shared" si="88"/>
        <v>7.8359652998249929E-2</v>
      </c>
      <c r="S41" s="13">
        <f t="shared" si="88"/>
        <v>7.8359652998249929E-2</v>
      </c>
      <c r="T41" s="13">
        <f t="shared" si="88"/>
        <v>0.12472473089555358</v>
      </c>
      <c r="U41" s="13">
        <f t="shared" si="88"/>
        <v>0.12776954470558202</v>
      </c>
      <c r="V41" s="13">
        <f t="shared" si="88"/>
        <v>0.12776954470558202</v>
      </c>
      <c r="W41" s="13">
        <f t="shared" si="88"/>
        <v>0.12776954470558202</v>
      </c>
      <c r="X41" s="13">
        <f t="shared" si="88"/>
        <v>0.12776954470558202</v>
      </c>
      <c r="Y41" s="13">
        <f t="shared" si="88"/>
        <v>0.13775446853547926</v>
      </c>
      <c r="Z41" s="13">
        <f t="shared" si="88"/>
        <v>0.13775446853547926</v>
      </c>
      <c r="AA41" s="13">
        <f t="shared" si="88"/>
        <v>0.13775446853547926</v>
      </c>
      <c r="AB41" s="13">
        <f t="shared" si="88"/>
        <v>0.13775446853547926</v>
      </c>
      <c r="AC41" s="13">
        <f t="shared" si="88"/>
        <v>0.13775446853547926</v>
      </c>
      <c r="AD41" s="13">
        <f t="shared" si="88"/>
        <v>0.13775446853547926</v>
      </c>
      <c r="AE41" s="13">
        <f t="shared" si="88"/>
        <v>0.13775446853547926</v>
      </c>
      <c r="AF41" s="13">
        <f t="shared" si="88"/>
        <v>0.13775446853547926</v>
      </c>
      <c r="AG41" s="13">
        <f t="shared" si="88"/>
        <v>0.13775446853547926</v>
      </c>
      <c r="AH41" s="13">
        <f t="shared" ref="AH41:BM41" si="89">AH24/AH$20</f>
        <v>0.13775446853547926</v>
      </c>
      <c r="AI41" s="13">
        <f t="shared" si="89"/>
        <v>0.13626150762444791</v>
      </c>
      <c r="AJ41" s="13">
        <f t="shared" si="89"/>
        <v>0.13719437780172286</v>
      </c>
      <c r="AK41" s="13">
        <f t="shared" si="89"/>
        <v>0.13719437780172286</v>
      </c>
      <c r="AL41" s="13">
        <f t="shared" si="89"/>
        <v>0.13719437780172286</v>
      </c>
      <c r="AM41" s="13">
        <f t="shared" si="89"/>
        <v>0.13719437780172286</v>
      </c>
      <c r="AN41" s="13">
        <f t="shared" si="89"/>
        <v>0.13719437780172286</v>
      </c>
      <c r="AO41" s="13">
        <f t="shared" si="89"/>
        <v>0.13719437780172286</v>
      </c>
      <c r="AP41" s="13">
        <f t="shared" si="89"/>
        <v>0.13719437780172286</v>
      </c>
      <c r="AQ41" s="13">
        <f t="shared" si="89"/>
        <v>0.13101179198766416</v>
      </c>
      <c r="AR41" s="13">
        <f t="shared" si="89"/>
        <v>0.17315747666123996</v>
      </c>
      <c r="AS41" s="13">
        <f t="shared" si="89"/>
        <v>0.13101179198766416</v>
      </c>
      <c r="AT41" s="13">
        <f t="shared" si="89"/>
        <v>0.13101179198766416</v>
      </c>
      <c r="AU41" s="13">
        <f t="shared" si="89"/>
        <v>0.14184307762607443</v>
      </c>
      <c r="AV41" s="13">
        <f t="shared" si="89"/>
        <v>0.14182206850548995</v>
      </c>
      <c r="AW41" s="13">
        <f t="shared" si="89"/>
        <v>0.14182206850548995</v>
      </c>
      <c r="AX41" s="13">
        <f t="shared" si="89"/>
        <v>0.14384639194509322</v>
      </c>
      <c r="AY41" s="13">
        <f t="shared" si="89"/>
        <v>0.14182206850548995</v>
      </c>
      <c r="AZ41" s="13">
        <f t="shared" si="89"/>
        <v>0.14182206850548995</v>
      </c>
      <c r="BA41" s="13">
        <f t="shared" si="89"/>
        <v>0.14182206850548995</v>
      </c>
      <c r="BB41" s="13">
        <f t="shared" si="89"/>
        <v>0.14182206850548995</v>
      </c>
      <c r="BC41" s="13">
        <f t="shared" si="89"/>
        <v>0.14182206850548995</v>
      </c>
      <c r="BD41" s="13">
        <f t="shared" si="89"/>
        <v>0.14182206850548995</v>
      </c>
      <c r="BE41" s="13">
        <f t="shared" si="89"/>
        <v>0.14182206850548995</v>
      </c>
      <c r="BF41" s="13">
        <f t="shared" si="89"/>
        <v>0.14182206850548995</v>
      </c>
      <c r="BG41" s="13">
        <f t="shared" si="89"/>
        <v>0.14182206850548995</v>
      </c>
      <c r="BH41" s="13">
        <f t="shared" si="89"/>
        <v>0.14182206850548995</v>
      </c>
      <c r="BI41" s="13">
        <f t="shared" si="89"/>
        <v>0.14753520342393861</v>
      </c>
      <c r="BJ41" s="13">
        <f t="shared" si="89"/>
        <v>0.14753520342393861</v>
      </c>
      <c r="BK41" s="13">
        <f t="shared" si="89"/>
        <v>0.15999619215729616</v>
      </c>
      <c r="BL41" s="13">
        <f t="shared" si="89"/>
        <v>0.15999619215729616</v>
      </c>
      <c r="BM41" s="13">
        <f t="shared" si="89"/>
        <v>0.15999619215729616</v>
      </c>
      <c r="BN41" s="13">
        <f t="shared" ref="BN41:BT41" si="90">BN24/BN$20</f>
        <v>0.15999619215729616</v>
      </c>
      <c r="BO41" s="13">
        <f t="shared" si="90"/>
        <v>0.15999619215729616</v>
      </c>
      <c r="BP41" s="13">
        <f t="shared" si="90"/>
        <v>0.15999912873223276</v>
      </c>
      <c r="BQ41" s="13">
        <f t="shared" si="90"/>
        <v>0.1590857364341085</v>
      </c>
      <c r="BR41" s="13">
        <f t="shared" si="90"/>
        <v>0.1590857364341085</v>
      </c>
      <c r="BS41" s="13">
        <f t="shared" si="90"/>
        <v>0.17884294920008262</v>
      </c>
      <c r="BT41" s="13">
        <f t="shared" si="90"/>
        <v>0.1590857364341085</v>
      </c>
      <c r="BU41" s="13">
        <v>0.1590857364341085</v>
      </c>
      <c r="BV41" s="13">
        <v>0.1590857364341085</v>
      </c>
      <c r="BW41" s="13">
        <v>0.1590857364341085</v>
      </c>
      <c r="BX41" s="13">
        <v>0.1590857364341085</v>
      </c>
      <c r="BY41" s="13">
        <v>0.1590857364341085</v>
      </c>
      <c r="BZ41" s="13">
        <v>0.1590857364341085</v>
      </c>
      <c r="CA41" s="13">
        <v>0.1590857364341085</v>
      </c>
      <c r="CB41" s="13">
        <v>0.1590857364341085</v>
      </c>
      <c r="CC41" s="13">
        <v>0.1590857364341085</v>
      </c>
      <c r="CD41" s="13">
        <v>0.1590857364341085</v>
      </c>
      <c r="CE41" s="13">
        <v>0.1590857364341085</v>
      </c>
      <c r="CF41" s="13">
        <v>0.1590857364341085</v>
      </c>
      <c r="CG41" s="13">
        <v>0.1590857364341085</v>
      </c>
      <c r="CH41" s="13">
        <v>0.1590857364341085</v>
      </c>
      <c r="CI41" s="13">
        <v>0.1590857364341085</v>
      </c>
      <c r="CJ41" s="13">
        <v>0.1590857364341085</v>
      </c>
      <c r="CK41" s="13">
        <v>0.1590857364341085</v>
      </c>
      <c r="CL41" s="13">
        <v>0.1590857364341085</v>
      </c>
      <c r="CM41" s="13">
        <v>0.1590857364341085</v>
      </c>
      <c r="CN41" s="13">
        <v>0.1590857364341085</v>
      </c>
      <c r="CO41" s="13">
        <v>0.1590857364341085</v>
      </c>
      <c r="CP41" s="13">
        <v>0.1590857364341085</v>
      </c>
      <c r="CQ41" s="1">
        <f t="shared" si="84"/>
        <v>0.13101179198766416</v>
      </c>
    </row>
    <row r="42" spans="1:98" ht="16.5" x14ac:dyDescent="0.3">
      <c r="A42" s="3" t="s">
        <v>24</v>
      </c>
      <c r="B42" s="13">
        <f t="shared" ref="B42:AG42" si="91">B25/B$20</f>
        <v>5.4579259440130506E-2</v>
      </c>
      <c r="C42" s="13">
        <f t="shared" si="91"/>
        <v>5.0627237029572225E-2</v>
      </c>
      <c r="D42" s="13">
        <f t="shared" si="91"/>
        <v>5.0627237029572225E-2</v>
      </c>
      <c r="E42" s="13">
        <f t="shared" si="91"/>
        <v>5.0627237029572225E-2</v>
      </c>
      <c r="F42" s="13">
        <f t="shared" si="91"/>
        <v>5.0627237029572225E-2</v>
      </c>
      <c r="G42" s="13">
        <f t="shared" si="91"/>
        <v>5.0627237029572225E-2</v>
      </c>
      <c r="H42" s="13">
        <f t="shared" si="91"/>
        <v>5.0627237029572225E-2</v>
      </c>
      <c r="I42" s="13">
        <f t="shared" si="91"/>
        <v>0</v>
      </c>
      <c r="J42" s="13">
        <f t="shared" si="91"/>
        <v>0</v>
      </c>
      <c r="K42" s="13">
        <f t="shared" si="91"/>
        <v>0</v>
      </c>
      <c r="L42" s="13">
        <f t="shared" si="91"/>
        <v>0</v>
      </c>
      <c r="M42" s="13">
        <f t="shared" si="91"/>
        <v>0</v>
      </c>
      <c r="N42" s="13">
        <f t="shared" si="91"/>
        <v>0</v>
      </c>
      <c r="O42" s="13">
        <f t="shared" si="91"/>
        <v>0</v>
      </c>
      <c r="P42" s="13">
        <f t="shared" si="91"/>
        <v>0</v>
      </c>
      <c r="Q42" s="13">
        <f t="shared" si="91"/>
        <v>0</v>
      </c>
      <c r="R42" s="13">
        <f t="shared" si="91"/>
        <v>0</v>
      </c>
      <c r="S42" s="13">
        <f t="shared" si="91"/>
        <v>0</v>
      </c>
      <c r="T42" s="13">
        <f t="shared" si="91"/>
        <v>0</v>
      </c>
      <c r="U42" s="13">
        <f t="shared" si="91"/>
        <v>0</v>
      </c>
      <c r="V42" s="13">
        <f t="shared" si="91"/>
        <v>0</v>
      </c>
      <c r="W42" s="13">
        <f t="shared" si="91"/>
        <v>0</v>
      </c>
      <c r="X42" s="13">
        <f t="shared" si="91"/>
        <v>0</v>
      </c>
      <c r="Y42" s="13">
        <f t="shared" si="91"/>
        <v>0</v>
      </c>
      <c r="Z42" s="13">
        <f t="shared" si="91"/>
        <v>0</v>
      </c>
      <c r="AA42" s="13">
        <f t="shared" si="91"/>
        <v>0</v>
      </c>
      <c r="AB42" s="13">
        <f t="shared" si="91"/>
        <v>0</v>
      </c>
      <c r="AC42" s="13">
        <f t="shared" si="91"/>
        <v>0</v>
      </c>
      <c r="AD42" s="13">
        <f t="shared" si="91"/>
        <v>0</v>
      </c>
      <c r="AE42" s="13">
        <f t="shared" si="91"/>
        <v>0</v>
      </c>
      <c r="AF42" s="13">
        <f t="shared" si="91"/>
        <v>0</v>
      </c>
      <c r="AG42" s="13">
        <f t="shared" si="91"/>
        <v>0</v>
      </c>
      <c r="AH42" s="13">
        <f t="shared" ref="AH42:BM42" si="92">AH25/AH$20</f>
        <v>0</v>
      </c>
      <c r="AI42" s="13">
        <f t="shared" si="92"/>
        <v>0</v>
      </c>
      <c r="AJ42" s="13">
        <f t="shared" si="92"/>
        <v>0</v>
      </c>
      <c r="AK42" s="13">
        <f t="shared" si="92"/>
        <v>0</v>
      </c>
      <c r="AL42" s="13">
        <f t="shared" si="92"/>
        <v>0</v>
      </c>
      <c r="AM42" s="13">
        <f t="shared" si="92"/>
        <v>0</v>
      </c>
      <c r="AN42" s="13">
        <f t="shared" si="92"/>
        <v>0</v>
      </c>
      <c r="AO42" s="13">
        <f t="shared" si="92"/>
        <v>0</v>
      </c>
      <c r="AP42" s="13">
        <f t="shared" si="92"/>
        <v>0</v>
      </c>
      <c r="AQ42" s="13">
        <f t="shared" si="92"/>
        <v>0</v>
      </c>
      <c r="AR42" s="13">
        <f t="shared" si="92"/>
        <v>0</v>
      </c>
      <c r="AS42" s="13">
        <f t="shared" si="92"/>
        <v>0</v>
      </c>
      <c r="AT42" s="13">
        <f t="shared" si="92"/>
        <v>0</v>
      </c>
      <c r="AU42" s="13">
        <f t="shared" si="92"/>
        <v>0</v>
      </c>
      <c r="AV42" s="13">
        <f t="shared" si="92"/>
        <v>0</v>
      </c>
      <c r="AW42" s="13">
        <f t="shared" si="92"/>
        <v>0</v>
      </c>
      <c r="AX42" s="13">
        <f t="shared" si="92"/>
        <v>0</v>
      </c>
      <c r="AY42" s="13">
        <f t="shared" si="92"/>
        <v>0</v>
      </c>
      <c r="AZ42" s="13">
        <f t="shared" si="92"/>
        <v>0</v>
      </c>
      <c r="BA42" s="13">
        <f t="shared" si="92"/>
        <v>0</v>
      </c>
      <c r="BB42" s="13">
        <f t="shared" si="92"/>
        <v>0</v>
      </c>
      <c r="BC42" s="13">
        <f t="shared" si="92"/>
        <v>0</v>
      </c>
      <c r="BD42" s="13">
        <f t="shared" si="92"/>
        <v>0</v>
      </c>
      <c r="BE42" s="13">
        <f t="shared" si="92"/>
        <v>0</v>
      </c>
      <c r="BF42" s="13">
        <f t="shared" si="92"/>
        <v>0</v>
      </c>
      <c r="BG42" s="13">
        <f t="shared" si="92"/>
        <v>0</v>
      </c>
      <c r="BH42" s="13">
        <f t="shared" si="92"/>
        <v>0</v>
      </c>
      <c r="BI42" s="13">
        <f t="shared" si="92"/>
        <v>0</v>
      </c>
      <c r="BJ42" s="13">
        <f t="shared" si="92"/>
        <v>0</v>
      </c>
      <c r="BK42" s="13">
        <f t="shared" si="92"/>
        <v>0</v>
      </c>
      <c r="BL42" s="13">
        <f t="shared" si="92"/>
        <v>0</v>
      </c>
      <c r="BM42" s="13">
        <f t="shared" si="92"/>
        <v>0</v>
      </c>
      <c r="BN42" s="13">
        <f t="shared" ref="BN42:BT42" si="93">BN25/BN$20</f>
        <v>0</v>
      </c>
      <c r="BO42" s="13">
        <f t="shared" si="93"/>
        <v>0</v>
      </c>
      <c r="BP42" s="13">
        <f t="shared" si="93"/>
        <v>0</v>
      </c>
      <c r="BQ42" s="13">
        <f t="shared" si="93"/>
        <v>0</v>
      </c>
      <c r="BR42" s="13">
        <f t="shared" si="93"/>
        <v>0</v>
      </c>
      <c r="BS42" s="13">
        <f t="shared" si="93"/>
        <v>0</v>
      </c>
      <c r="BT42" s="13">
        <f t="shared" si="93"/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">
        <f t="shared" si="84"/>
        <v>0</v>
      </c>
    </row>
    <row r="43" spans="1:98" ht="16.5" x14ac:dyDescent="0.3">
      <c r="A43" s="3" t="s">
        <v>25</v>
      </c>
      <c r="B43" s="13">
        <f t="shared" ref="B43:AG43" si="94">B26/(B$20-B19)</f>
        <v>3.5999805835810646E-2</v>
      </c>
      <c r="C43" s="13">
        <f t="shared" si="94"/>
        <v>3.6018347986239006E-2</v>
      </c>
      <c r="D43" s="13">
        <f t="shared" si="94"/>
        <v>3.6018347986239006E-2</v>
      </c>
      <c r="E43" s="13">
        <f t="shared" si="94"/>
        <v>3.6018347986239006E-2</v>
      </c>
      <c r="F43" s="13">
        <f t="shared" si="94"/>
        <v>3.6018347986239006E-2</v>
      </c>
      <c r="G43" s="13">
        <f t="shared" si="94"/>
        <v>3.6018347986239006E-2</v>
      </c>
      <c r="H43" s="13">
        <f t="shared" si="94"/>
        <v>3.6018347986239006E-2</v>
      </c>
      <c r="I43" s="13">
        <f t="shared" si="94"/>
        <v>3.6018347986239006E-2</v>
      </c>
      <c r="J43" s="13">
        <f t="shared" si="94"/>
        <v>3.6018347986239006E-2</v>
      </c>
      <c r="K43" s="13">
        <f t="shared" si="94"/>
        <v>3.6016812573329379E-2</v>
      </c>
      <c r="L43" s="13">
        <f t="shared" si="94"/>
        <v>3.6018347986239006E-2</v>
      </c>
      <c r="M43" s="13">
        <f t="shared" si="94"/>
        <v>3.6018347986239006E-2</v>
      </c>
      <c r="N43" s="13">
        <f t="shared" si="94"/>
        <v>3.9625474412979103E-2</v>
      </c>
      <c r="O43" s="13">
        <f t="shared" si="94"/>
        <v>3.9625474412979103E-2</v>
      </c>
      <c r="P43" s="13">
        <f t="shared" si="94"/>
        <v>3.9563960776064527E-2</v>
      </c>
      <c r="Q43" s="13">
        <f t="shared" si="94"/>
        <v>3.5999999999999997E-2</v>
      </c>
      <c r="R43" s="13">
        <f t="shared" si="94"/>
        <v>3.5999444560161076E-2</v>
      </c>
      <c r="S43" s="13">
        <f t="shared" si="94"/>
        <v>3.5999444560161076E-2</v>
      </c>
      <c r="T43" s="13">
        <f t="shared" si="94"/>
        <v>3.6001602811084055E-2</v>
      </c>
      <c r="U43" s="13">
        <f t="shared" si="94"/>
        <v>3.6001180257866451E-2</v>
      </c>
      <c r="V43" s="13">
        <f t="shared" si="94"/>
        <v>3.6001180257866451E-2</v>
      </c>
      <c r="W43" s="13">
        <f t="shared" si="94"/>
        <v>3.6001180257866451E-2</v>
      </c>
      <c r="X43" s="13">
        <f t="shared" si="94"/>
        <v>3.6001180257866451E-2</v>
      </c>
      <c r="Y43" s="13">
        <f t="shared" si="94"/>
        <v>3.5999574284413485E-2</v>
      </c>
      <c r="Z43" s="13">
        <f t="shared" si="94"/>
        <v>3.5999574284413485E-2</v>
      </c>
      <c r="AA43" s="13">
        <f t="shared" si="94"/>
        <v>3.5999574284413485E-2</v>
      </c>
      <c r="AB43" s="13">
        <f t="shared" si="94"/>
        <v>3.5999574284413485E-2</v>
      </c>
      <c r="AC43" s="13">
        <f t="shared" si="94"/>
        <v>3.5999574284413485E-2</v>
      </c>
      <c r="AD43" s="13">
        <f t="shared" si="94"/>
        <v>3.5999574284413485E-2</v>
      </c>
      <c r="AE43" s="13">
        <f t="shared" si="94"/>
        <v>3.5999574284413485E-2</v>
      </c>
      <c r="AF43" s="13">
        <f t="shared" si="94"/>
        <v>3.5999574284413485E-2</v>
      </c>
      <c r="AG43" s="13">
        <f t="shared" si="94"/>
        <v>3.5999574284413485E-2</v>
      </c>
      <c r="AH43" s="13">
        <f t="shared" ref="AH43:BM43" si="95">AH26/(AH$20-AH19)</f>
        <v>3.5999574284413485E-2</v>
      </c>
      <c r="AI43" s="13">
        <f t="shared" si="95"/>
        <v>0</v>
      </c>
      <c r="AJ43" s="13">
        <f t="shared" si="95"/>
        <v>0</v>
      </c>
      <c r="AK43" s="13">
        <f t="shared" si="95"/>
        <v>0</v>
      </c>
      <c r="AL43" s="13">
        <f t="shared" si="95"/>
        <v>0</v>
      </c>
      <c r="AM43" s="13">
        <f t="shared" si="95"/>
        <v>0</v>
      </c>
      <c r="AN43" s="13">
        <f t="shared" si="95"/>
        <v>0</v>
      </c>
      <c r="AO43" s="13">
        <f t="shared" si="95"/>
        <v>0</v>
      </c>
      <c r="AP43" s="13">
        <f t="shared" si="95"/>
        <v>0</v>
      </c>
      <c r="AQ43" s="13">
        <f t="shared" si="95"/>
        <v>0</v>
      </c>
      <c r="AR43" s="13">
        <f t="shared" si="95"/>
        <v>0</v>
      </c>
      <c r="AS43" s="13">
        <f t="shared" si="95"/>
        <v>0</v>
      </c>
      <c r="AT43" s="13">
        <f t="shared" si="95"/>
        <v>0</v>
      </c>
      <c r="AU43" s="13">
        <f t="shared" si="95"/>
        <v>0</v>
      </c>
      <c r="AV43" s="13">
        <f t="shared" si="95"/>
        <v>0</v>
      </c>
      <c r="AW43" s="13">
        <f t="shared" si="95"/>
        <v>0</v>
      </c>
      <c r="AX43" s="13">
        <f t="shared" si="95"/>
        <v>0</v>
      </c>
      <c r="AY43" s="13">
        <f t="shared" si="95"/>
        <v>0</v>
      </c>
      <c r="AZ43" s="13">
        <f t="shared" si="95"/>
        <v>0</v>
      </c>
      <c r="BA43" s="13">
        <f t="shared" si="95"/>
        <v>0</v>
      </c>
      <c r="BB43" s="13">
        <f t="shared" si="95"/>
        <v>0</v>
      </c>
      <c r="BC43" s="13">
        <f t="shared" si="95"/>
        <v>0</v>
      </c>
      <c r="BD43" s="13">
        <f t="shared" si="95"/>
        <v>0</v>
      </c>
      <c r="BE43" s="13">
        <f t="shared" si="95"/>
        <v>0</v>
      </c>
      <c r="BF43" s="13">
        <f t="shared" si="95"/>
        <v>0</v>
      </c>
      <c r="BG43" s="13">
        <f t="shared" si="95"/>
        <v>0</v>
      </c>
      <c r="BH43" s="13">
        <f t="shared" si="95"/>
        <v>0</v>
      </c>
      <c r="BI43" s="13">
        <f t="shared" si="95"/>
        <v>0</v>
      </c>
      <c r="BJ43" s="13">
        <f t="shared" si="95"/>
        <v>0</v>
      </c>
      <c r="BK43" s="13">
        <f t="shared" si="95"/>
        <v>0</v>
      </c>
      <c r="BL43" s="13">
        <f t="shared" si="95"/>
        <v>0</v>
      </c>
      <c r="BM43" s="13">
        <f t="shared" si="95"/>
        <v>0</v>
      </c>
      <c r="BN43" s="13">
        <f t="shared" ref="BN43:BT43" si="96">BN26/(BN$20-BN19)</f>
        <v>0</v>
      </c>
      <c r="BO43" s="13">
        <f t="shared" si="96"/>
        <v>0</v>
      </c>
      <c r="BP43" s="13">
        <f t="shared" si="96"/>
        <v>0</v>
      </c>
      <c r="BQ43" s="13">
        <f t="shared" si="96"/>
        <v>0</v>
      </c>
      <c r="BR43" s="13">
        <f t="shared" si="96"/>
        <v>0</v>
      </c>
      <c r="BS43" s="13">
        <f t="shared" si="96"/>
        <v>0</v>
      </c>
      <c r="BT43" s="13">
        <f t="shared" si="96"/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">
        <f t="shared" si="84"/>
        <v>0</v>
      </c>
    </row>
    <row r="44" spans="1:98" ht="16.5" x14ac:dyDescent="0.3">
      <c r="A44" s="3" t="s">
        <v>26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>
        <f t="shared" ref="AI44:BT44" si="97">AI27/(AI$20-AI19)</f>
        <v>6.1885447030929422E-2</v>
      </c>
      <c r="AJ44" s="13">
        <f t="shared" si="97"/>
        <v>6.2309125654107414E-2</v>
      </c>
      <c r="AK44" s="13">
        <f t="shared" si="97"/>
        <v>6.2309125654107414E-2</v>
      </c>
      <c r="AL44" s="13">
        <f t="shared" si="97"/>
        <v>6.2309125654107414E-2</v>
      </c>
      <c r="AM44" s="13">
        <f t="shared" si="97"/>
        <v>6.2309125654107414E-2</v>
      </c>
      <c r="AN44" s="13">
        <f t="shared" si="97"/>
        <v>6.2309125654107414E-2</v>
      </c>
      <c r="AO44" s="13">
        <f t="shared" si="97"/>
        <v>6.2309125654107414E-2</v>
      </c>
      <c r="AP44" s="13">
        <f t="shared" si="97"/>
        <v>6.2309125654107414E-2</v>
      </c>
      <c r="AQ44" s="13">
        <f t="shared" si="97"/>
        <v>5.8759719574221395E-2</v>
      </c>
      <c r="AR44" s="13">
        <f t="shared" si="97"/>
        <v>7.9382456802648868E-2</v>
      </c>
      <c r="AS44" s="13">
        <f t="shared" si="97"/>
        <v>5.8759719574221395E-2</v>
      </c>
      <c r="AT44" s="13">
        <f t="shared" si="97"/>
        <v>5.8759719574221395E-2</v>
      </c>
      <c r="AU44" s="13">
        <f t="shared" si="97"/>
        <v>6.4059434802133483E-2</v>
      </c>
      <c r="AV44" s="13">
        <f t="shared" si="97"/>
        <v>6.4048930241841232E-2</v>
      </c>
      <c r="AW44" s="13">
        <f t="shared" si="97"/>
        <v>6.4048930241841232E-2</v>
      </c>
      <c r="AX44" s="13">
        <f t="shared" si="97"/>
        <v>6.5039381761345758E-2</v>
      </c>
      <c r="AY44" s="13">
        <f t="shared" si="97"/>
        <v>6.4048930241841232E-2</v>
      </c>
      <c r="AZ44" s="13">
        <f t="shared" si="97"/>
        <v>6.4048930241841232E-2</v>
      </c>
      <c r="BA44" s="13">
        <f t="shared" si="97"/>
        <v>6.4048930241841232E-2</v>
      </c>
      <c r="BB44" s="13">
        <f t="shared" si="97"/>
        <v>6.4048930241841232E-2</v>
      </c>
      <c r="BC44" s="13">
        <f t="shared" si="97"/>
        <v>6.4048930241841232E-2</v>
      </c>
      <c r="BD44" s="13">
        <f t="shared" si="97"/>
        <v>6.4048930241841232E-2</v>
      </c>
      <c r="BE44" s="13">
        <f t="shared" si="97"/>
        <v>6.4048930241841232E-2</v>
      </c>
      <c r="BF44" s="13">
        <f t="shared" si="97"/>
        <v>6.4048930241841232E-2</v>
      </c>
      <c r="BG44" s="13">
        <f t="shared" si="97"/>
        <v>6.4048930241841232E-2</v>
      </c>
      <c r="BH44" s="13">
        <f t="shared" si="97"/>
        <v>6.4048930241841232E-2</v>
      </c>
      <c r="BI44" s="13">
        <f t="shared" si="97"/>
        <v>6.6629065926717246E-2</v>
      </c>
      <c r="BJ44" s="13">
        <f t="shared" si="97"/>
        <v>6.6629065926717246E-2</v>
      </c>
      <c r="BK44" s="13">
        <f t="shared" si="97"/>
        <v>7.1809298074215822E-2</v>
      </c>
      <c r="BL44" s="13">
        <f t="shared" si="97"/>
        <v>7.1809298074215822E-2</v>
      </c>
      <c r="BM44" s="13">
        <f t="shared" si="97"/>
        <v>7.1809298074215822E-2</v>
      </c>
      <c r="BN44" s="13">
        <f t="shared" si="97"/>
        <v>7.1809298074215822E-2</v>
      </c>
      <c r="BO44" s="13">
        <f t="shared" si="97"/>
        <v>7.1809298074215822E-2</v>
      </c>
      <c r="BP44" s="13">
        <f t="shared" si="97"/>
        <v>7.1807791876718832E-2</v>
      </c>
      <c r="BQ44" s="13">
        <f t="shared" si="97"/>
        <v>6.9587286821705424E-2</v>
      </c>
      <c r="BR44" s="13">
        <f t="shared" si="97"/>
        <v>6.9587286821705424E-2</v>
      </c>
      <c r="BS44" s="13">
        <f t="shared" si="97"/>
        <v>8.0197367842152645E-2</v>
      </c>
      <c r="BT44" s="13">
        <f t="shared" si="97"/>
        <v>6.9587286821705424E-2</v>
      </c>
      <c r="BU44" s="13">
        <v>6.9587286821705424E-2</v>
      </c>
      <c r="BV44" s="13">
        <v>6.9587286821705424E-2</v>
      </c>
      <c r="BW44" s="13">
        <v>6.9587286821705424E-2</v>
      </c>
      <c r="BX44" s="13">
        <v>6.9587286821705424E-2</v>
      </c>
      <c r="BY44" s="13">
        <v>6.9587286821705424E-2</v>
      </c>
      <c r="BZ44" s="13">
        <v>6.9587286821705424E-2</v>
      </c>
      <c r="CA44" s="13">
        <v>6.9587286821705424E-2</v>
      </c>
      <c r="CB44" s="13">
        <v>6.9587286821705424E-2</v>
      </c>
      <c r="CC44" s="13">
        <v>6.9587286821705424E-2</v>
      </c>
      <c r="CD44" s="13">
        <v>6.9587286821705424E-2</v>
      </c>
      <c r="CE44" s="13">
        <v>6.9587286821705424E-2</v>
      </c>
      <c r="CF44" s="13">
        <v>6.9587286821705424E-2</v>
      </c>
      <c r="CG44" s="13">
        <v>6.9587286821705424E-2</v>
      </c>
      <c r="CH44" s="13">
        <v>6.9587286821705424E-2</v>
      </c>
      <c r="CI44" s="13">
        <v>6.9587286821705424E-2</v>
      </c>
      <c r="CJ44" s="13">
        <v>6.9587286821705424E-2</v>
      </c>
      <c r="CK44" s="13">
        <v>6.9587286821705424E-2</v>
      </c>
      <c r="CL44" s="13">
        <v>6.9587286821705424E-2</v>
      </c>
      <c r="CM44" s="13">
        <v>6.9587286821705424E-2</v>
      </c>
      <c r="CN44" s="13">
        <v>6.9587286821705424E-2</v>
      </c>
      <c r="CO44" s="13">
        <v>6.9587286821705424E-2</v>
      </c>
      <c r="CP44" s="13">
        <v>6.9587286821705424E-2</v>
      </c>
      <c r="CQ44" s="1">
        <f t="shared" si="84"/>
        <v>5.8759719574221395E-2</v>
      </c>
    </row>
    <row r="45" spans="1:98" ht="16.5" x14ac:dyDescent="0.3">
      <c r="A45" s="3" t="s">
        <v>27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>
        <f t="shared" ref="AI45:BT45" si="98">AI28/(AI$20-AI19)</f>
        <v>1.1287375759044978E-2</v>
      </c>
      <c r="AJ45" s="13">
        <f t="shared" si="98"/>
        <v>1.1364651112949988E-2</v>
      </c>
      <c r="AK45" s="13">
        <f t="shared" si="98"/>
        <v>1.1364651112949988E-2</v>
      </c>
      <c r="AL45" s="13">
        <f t="shared" si="98"/>
        <v>1.1361674514963359E-2</v>
      </c>
      <c r="AM45" s="13">
        <f t="shared" si="98"/>
        <v>1.1364651112949988E-2</v>
      </c>
      <c r="AN45" s="13">
        <f t="shared" si="98"/>
        <v>1.1364651112949988E-2</v>
      </c>
      <c r="AO45" s="13">
        <f t="shared" si="98"/>
        <v>1.1364651112949988E-2</v>
      </c>
      <c r="AP45" s="13">
        <f t="shared" si="98"/>
        <v>1.1364651112949988E-2</v>
      </c>
      <c r="AQ45" s="13">
        <f t="shared" si="98"/>
        <v>9.9900189460724268E-3</v>
      </c>
      <c r="AR45" s="13">
        <f t="shared" si="98"/>
        <v>9.3370769726855898E-3</v>
      </c>
      <c r="AS45" s="13">
        <f t="shared" si="98"/>
        <v>9.637394885158114E-3</v>
      </c>
      <c r="AT45" s="13">
        <f t="shared" si="98"/>
        <v>9.3505142932278264E-3</v>
      </c>
      <c r="AU45" s="13">
        <f t="shared" si="98"/>
        <v>9.283405158264332E-3</v>
      </c>
      <c r="AV45" s="13">
        <f t="shared" si="98"/>
        <v>9.2807790181912743E-3</v>
      </c>
      <c r="AW45" s="13">
        <f t="shared" si="98"/>
        <v>9.2807790181912743E-3</v>
      </c>
      <c r="AX45" s="13">
        <f t="shared" si="98"/>
        <v>9.2730681960620787E-3</v>
      </c>
      <c r="AY45" s="13">
        <f t="shared" si="98"/>
        <v>9.2807790181912743E-3</v>
      </c>
      <c r="AZ45" s="13">
        <f t="shared" si="98"/>
        <v>9.283405158264332E-3</v>
      </c>
      <c r="BA45" s="13">
        <f t="shared" si="98"/>
        <v>9.2807790181912743E-3</v>
      </c>
      <c r="BB45" s="13">
        <f t="shared" si="98"/>
        <v>9.2807790181912743E-3</v>
      </c>
      <c r="BC45" s="13">
        <f t="shared" si="98"/>
        <v>9.2807790181912743E-3</v>
      </c>
      <c r="BD45" s="13">
        <f t="shared" si="98"/>
        <v>9.2807790181912743E-3</v>
      </c>
      <c r="BE45" s="13">
        <f t="shared" si="98"/>
        <v>9.2807790181912743E-3</v>
      </c>
      <c r="BF45" s="13">
        <f t="shared" si="98"/>
        <v>9.2807790181912743E-3</v>
      </c>
      <c r="BG45" s="13">
        <f t="shared" si="98"/>
        <v>9.2807790181912743E-3</v>
      </c>
      <c r="BH45" s="13">
        <f t="shared" si="98"/>
        <v>9.2807790181912743E-3</v>
      </c>
      <c r="BI45" s="13">
        <f t="shared" si="98"/>
        <v>9.6546442652432982E-3</v>
      </c>
      <c r="BJ45" s="13">
        <f t="shared" si="98"/>
        <v>9.6546442652432982E-3</v>
      </c>
      <c r="BK45" s="13">
        <f t="shared" si="98"/>
        <v>9.2291780787658716E-3</v>
      </c>
      <c r="BL45" s="13">
        <f t="shared" si="98"/>
        <v>9.2312756192383175E-3</v>
      </c>
      <c r="BM45" s="13">
        <f t="shared" si="98"/>
        <v>9.2291780787658716E-3</v>
      </c>
      <c r="BN45" s="13">
        <f t="shared" si="98"/>
        <v>9.2291780787658716E-3</v>
      </c>
      <c r="BO45" s="13">
        <f t="shared" si="98"/>
        <v>9.2312756192383175E-3</v>
      </c>
      <c r="BP45" s="13">
        <f t="shared" si="98"/>
        <v>9.2289844970808478E-3</v>
      </c>
      <c r="BQ45" s="13">
        <f t="shared" si="98"/>
        <v>1.1008682170542634E-2</v>
      </c>
      <c r="BR45" s="13">
        <f t="shared" si="98"/>
        <v>1.1008682170542634E-2</v>
      </c>
      <c r="BS45" s="13">
        <f t="shared" si="98"/>
        <v>1.100601326009539E-2</v>
      </c>
      <c r="BT45" s="13">
        <f t="shared" si="98"/>
        <v>1.1008682170542634E-2</v>
      </c>
      <c r="BU45" s="13">
        <v>1.1008682170542634E-2</v>
      </c>
      <c r="BV45" s="13">
        <v>1.1008682170542634E-2</v>
      </c>
      <c r="BW45" s="13">
        <v>1.1008682170542634E-2</v>
      </c>
      <c r="BX45" s="13">
        <v>1.1008682170542634E-2</v>
      </c>
      <c r="BY45" s="13">
        <v>1.1008682170542634E-2</v>
      </c>
      <c r="BZ45" s="13">
        <v>1.1008682170542634E-2</v>
      </c>
      <c r="CA45" s="13">
        <v>1.1008682170542634E-2</v>
      </c>
      <c r="CB45" s="13">
        <v>1.1008682170542634E-2</v>
      </c>
      <c r="CC45" s="13">
        <v>1.1008682170542634E-2</v>
      </c>
      <c r="CD45" s="13">
        <v>1.1008682170542634E-2</v>
      </c>
      <c r="CE45" s="13">
        <v>1.1008682170542634E-2</v>
      </c>
      <c r="CF45" s="13">
        <v>1.1008682170542634E-2</v>
      </c>
      <c r="CG45" s="13">
        <v>1.1008682170542634E-2</v>
      </c>
      <c r="CH45" s="13">
        <v>1.1008682170542634E-2</v>
      </c>
      <c r="CI45" s="13">
        <v>1.1008682170542634E-2</v>
      </c>
      <c r="CJ45" s="13">
        <v>1.1008682170542634E-2</v>
      </c>
      <c r="CK45" s="13">
        <v>1.1008682170542634E-2</v>
      </c>
      <c r="CL45" s="13">
        <v>1.1008682170542634E-2</v>
      </c>
      <c r="CM45" s="13">
        <v>1.1008682170542634E-2</v>
      </c>
      <c r="CN45" s="13">
        <v>1.1008682170542634E-2</v>
      </c>
      <c r="CO45" s="13">
        <v>1.1008682170542634E-2</v>
      </c>
      <c r="CP45" s="13">
        <v>1.1008682170542634E-2</v>
      </c>
      <c r="CQ45" s="1">
        <f t="shared" si="84"/>
        <v>9.3505142932278264E-3</v>
      </c>
    </row>
    <row r="46" spans="1:98" ht="16.5" x14ac:dyDescent="0.3">
      <c r="A46" s="3" t="s">
        <v>18</v>
      </c>
      <c r="B46" s="13">
        <f t="shared" ref="B46:AO46" si="99">B19/B9</f>
        <v>0</v>
      </c>
      <c r="C46" s="13">
        <f t="shared" si="99"/>
        <v>0</v>
      </c>
      <c r="D46" s="13">
        <f t="shared" si="99"/>
        <v>0</v>
      </c>
      <c r="E46" s="13">
        <f t="shared" si="99"/>
        <v>0</v>
      </c>
      <c r="F46" s="13">
        <f t="shared" si="99"/>
        <v>0</v>
      </c>
      <c r="G46" s="13">
        <f t="shared" si="99"/>
        <v>0</v>
      </c>
      <c r="H46" s="13">
        <f t="shared" si="99"/>
        <v>0</v>
      </c>
      <c r="I46" s="13">
        <f t="shared" si="99"/>
        <v>0</v>
      </c>
      <c r="J46" s="13">
        <f t="shared" si="99"/>
        <v>0</v>
      </c>
      <c r="K46" s="13">
        <f t="shared" si="99"/>
        <v>0</v>
      </c>
      <c r="L46" s="13">
        <f t="shared" si="99"/>
        <v>0</v>
      </c>
      <c r="M46" s="13">
        <f t="shared" si="99"/>
        <v>0</v>
      </c>
      <c r="N46" s="13">
        <f t="shared" si="99"/>
        <v>0.08</v>
      </c>
      <c r="O46" s="13">
        <f t="shared" si="99"/>
        <v>0.08</v>
      </c>
      <c r="P46" s="13">
        <f t="shared" si="99"/>
        <v>0.11119849980337544</v>
      </c>
      <c r="Q46" s="13">
        <f t="shared" si="99"/>
        <v>0</v>
      </c>
      <c r="R46" s="13">
        <f t="shared" si="99"/>
        <v>0.200001299997075</v>
      </c>
      <c r="S46" s="13">
        <f t="shared" si="99"/>
        <v>0.200001299997075</v>
      </c>
      <c r="T46" s="13">
        <f t="shared" si="99"/>
        <v>0</v>
      </c>
      <c r="U46" s="13">
        <f t="shared" si="99"/>
        <v>0</v>
      </c>
      <c r="V46" s="13">
        <f t="shared" si="99"/>
        <v>0</v>
      </c>
      <c r="W46" s="13">
        <f t="shared" si="99"/>
        <v>0</v>
      </c>
      <c r="X46" s="13">
        <f t="shared" si="99"/>
        <v>0</v>
      </c>
      <c r="Y46" s="13">
        <f t="shared" si="99"/>
        <v>0</v>
      </c>
      <c r="Z46" s="13">
        <f t="shared" si="99"/>
        <v>0</v>
      </c>
      <c r="AA46" s="13">
        <f t="shared" si="99"/>
        <v>0</v>
      </c>
      <c r="AB46" s="13">
        <f t="shared" si="99"/>
        <v>0</v>
      </c>
      <c r="AC46" s="13">
        <f t="shared" si="99"/>
        <v>0</v>
      </c>
      <c r="AD46" s="13">
        <f t="shared" si="99"/>
        <v>0</v>
      </c>
      <c r="AE46" s="13">
        <f t="shared" si="99"/>
        <v>0</v>
      </c>
      <c r="AF46" s="13">
        <f t="shared" si="99"/>
        <v>0</v>
      </c>
      <c r="AG46" s="13">
        <f t="shared" si="99"/>
        <v>0</v>
      </c>
      <c r="AH46" s="13">
        <f t="shared" si="99"/>
        <v>0</v>
      </c>
      <c r="AI46" s="13">
        <f t="shared" si="99"/>
        <v>0</v>
      </c>
      <c r="AJ46" s="13">
        <f t="shared" si="99"/>
        <v>0</v>
      </c>
      <c r="AK46" s="13">
        <f t="shared" si="99"/>
        <v>0</v>
      </c>
      <c r="AL46" s="13">
        <f t="shared" si="99"/>
        <v>0</v>
      </c>
      <c r="AM46" s="13">
        <f t="shared" si="99"/>
        <v>0</v>
      </c>
      <c r="AN46" s="13">
        <f t="shared" si="99"/>
        <v>0</v>
      </c>
      <c r="AO46" s="13">
        <f t="shared" si="99"/>
        <v>0</v>
      </c>
      <c r="AP46" s="13">
        <f t="shared" ref="AP46:AU46" si="100">AP19/AP9</f>
        <v>0</v>
      </c>
      <c r="AQ46" s="13">
        <f t="shared" si="100"/>
        <v>0</v>
      </c>
      <c r="AR46" s="13">
        <f t="shared" si="100"/>
        <v>0</v>
      </c>
      <c r="AS46" s="13">
        <f t="shared" si="100"/>
        <v>0</v>
      </c>
      <c r="AT46" s="13">
        <f t="shared" si="100"/>
        <v>0</v>
      </c>
      <c r="AU46" s="13">
        <f t="shared" si="100"/>
        <v>0</v>
      </c>
      <c r="AV46" s="13">
        <f t="shared" ref="AV46:BT46" si="101">AV19/AV9</f>
        <v>0</v>
      </c>
      <c r="AW46" s="13">
        <f t="shared" si="101"/>
        <v>0</v>
      </c>
      <c r="AX46" s="13">
        <f t="shared" si="101"/>
        <v>0</v>
      </c>
      <c r="AY46" s="13">
        <f t="shared" si="101"/>
        <v>0</v>
      </c>
      <c r="AZ46" s="13">
        <f t="shared" si="101"/>
        <v>0</v>
      </c>
      <c r="BA46" s="13">
        <f t="shared" si="101"/>
        <v>0</v>
      </c>
      <c r="BB46" s="13">
        <f t="shared" si="101"/>
        <v>0</v>
      </c>
      <c r="BC46" s="13">
        <f t="shared" si="101"/>
        <v>0</v>
      </c>
      <c r="BD46" s="13">
        <f t="shared" si="101"/>
        <v>0</v>
      </c>
      <c r="BE46" s="13">
        <f t="shared" si="101"/>
        <v>0</v>
      </c>
      <c r="BF46" s="13">
        <f t="shared" si="101"/>
        <v>0</v>
      </c>
      <c r="BG46" s="13">
        <f t="shared" si="101"/>
        <v>0</v>
      </c>
      <c r="BH46" s="13">
        <f t="shared" si="101"/>
        <v>0</v>
      </c>
      <c r="BI46" s="13">
        <f t="shared" si="101"/>
        <v>0</v>
      </c>
      <c r="BJ46" s="13">
        <f t="shared" si="101"/>
        <v>0</v>
      </c>
      <c r="BK46" s="13">
        <f t="shared" si="101"/>
        <v>0</v>
      </c>
      <c r="BL46" s="13">
        <f t="shared" si="101"/>
        <v>0</v>
      </c>
      <c r="BM46" s="13">
        <f t="shared" si="101"/>
        <v>0</v>
      </c>
      <c r="BN46" s="13">
        <f t="shared" si="101"/>
        <v>0</v>
      </c>
      <c r="BO46" s="13">
        <f t="shared" si="101"/>
        <v>0</v>
      </c>
      <c r="BP46" s="13">
        <f t="shared" si="101"/>
        <v>0</v>
      </c>
      <c r="BQ46" s="13">
        <f t="shared" si="101"/>
        <v>0</v>
      </c>
      <c r="BR46" s="13">
        <f t="shared" si="101"/>
        <v>0</v>
      </c>
      <c r="BS46" s="13">
        <f t="shared" si="101"/>
        <v>0</v>
      </c>
      <c r="BT46" s="13">
        <f t="shared" si="101"/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">
        <f t="shared" si="84"/>
        <v>0</v>
      </c>
    </row>
    <row r="47" spans="1:98" ht="16.5" x14ac:dyDescent="0.3">
      <c r="A47" s="3" t="s">
        <v>36</v>
      </c>
      <c r="B47" s="13">
        <f t="shared" ref="B47:AQ47" si="102">B35/B9</f>
        <v>0</v>
      </c>
      <c r="C47" s="13">
        <f t="shared" si="102"/>
        <v>0</v>
      </c>
      <c r="D47" s="13">
        <f t="shared" si="102"/>
        <v>0</v>
      </c>
      <c r="E47" s="13">
        <f t="shared" si="102"/>
        <v>0</v>
      </c>
      <c r="F47" s="13">
        <f t="shared" si="102"/>
        <v>0</v>
      </c>
      <c r="G47" s="13">
        <f t="shared" si="102"/>
        <v>0</v>
      </c>
      <c r="H47" s="13">
        <f t="shared" si="102"/>
        <v>0</v>
      </c>
      <c r="I47" s="13">
        <f t="shared" si="102"/>
        <v>0</v>
      </c>
      <c r="J47" s="13">
        <f t="shared" si="102"/>
        <v>0.05</v>
      </c>
      <c r="K47" s="13">
        <f t="shared" si="102"/>
        <v>0.08</v>
      </c>
      <c r="L47" s="13">
        <f t="shared" si="102"/>
        <v>0.08</v>
      </c>
      <c r="M47" s="13">
        <f t="shared" si="102"/>
        <v>0.08</v>
      </c>
      <c r="N47" s="13">
        <f t="shared" si="102"/>
        <v>0</v>
      </c>
      <c r="O47" s="13">
        <f t="shared" si="102"/>
        <v>0</v>
      </c>
      <c r="P47" s="13">
        <f t="shared" si="102"/>
        <v>0</v>
      </c>
      <c r="Q47" s="13">
        <f t="shared" si="102"/>
        <v>0</v>
      </c>
      <c r="R47" s="13">
        <f t="shared" si="102"/>
        <v>0</v>
      </c>
      <c r="S47" s="13">
        <f t="shared" si="102"/>
        <v>0</v>
      </c>
      <c r="T47" s="13">
        <f t="shared" si="102"/>
        <v>0</v>
      </c>
      <c r="U47" s="13">
        <f t="shared" si="102"/>
        <v>0</v>
      </c>
      <c r="V47" s="13">
        <f t="shared" si="102"/>
        <v>0</v>
      </c>
      <c r="W47" s="13">
        <f t="shared" si="102"/>
        <v>0</v>
      </c>
      <c r="X47" s="13">
        <f t="shared" si="102"/>
        <v>0</v>
      </c>
      <c r="Y47" s="13">
        <f t="shared" si="102"/>
        <v>0</v>
      </c>
      <c r="Z47" s="13">
        <f t="shared" si="102"/>
        <v>0</v>
      </c>
      <c r="AA47" s="13">
        <f t="shared" si="102"/>
        <v>0</v>
      </c>
      <c r="AB47" s="13">
        <f t="shared" si="102"/>
        <v>0</v>
      </c>
      <c r="AC47" s="13">
        <f t="shared" si="102"/>
        <v>0</v>
      </c>
      <c r="AD47" s="13">
        <f t="shared" si="102"/>
        <v>0</v>
      </c>
      <c r="AE47" s="13">
        <f t="shared" si="102"/>
        <v>0</v>
      </c>
      <c r="AF47" s="13">
        <f t="shared" si="102"/>
        <v>0</v>
      </c>
      <c r="AG47" s="13">
        <f t="shared" si="102"/>
        <v>0.14999985869599008</v>
      </c>
      <c r="AH47" s="13">
        <f t="shared" si="102"/>
        <v>0.14999985869599008</v>
      </c>
      <c r="AI47" s="13">
        <f t="shared" si="102"/>
        <v>0.14999985869599008</v>
      </c>
      <c r="AJ47" s="13">
        <f t="shared" si="102"/>
        <v>0.14999985869599008</v>
      </c>
      <c r="AK47" s="13">
        <f t="shared" si="102"/>
        <v>0.14999985869599008</v>
      </c>
      <c r="AL47" s="13">
        <f t="shared" si="102"/>
        <v>0.14999985869599008</v>
      </c>
      <c r="AM47" s="13">
        <f t="shared" si="102"/>
        <v>0.14999985869599008</v>
      </c>
      <c r="AN47" s="13">
        <f t="shared" si="102"/>
        <v>0.14999985869599008</v>
      </c>
      <c r="AO47" s="13">
        <f t="shared" si="102"/>
        <v>0.14999985869599008</v>
      </c>
      <c r="AP47" s="13">
        <f t="shared" si="102"/>
        <v>0.14999985869599008</v>
      </c>
      <c r="AQ47" s="13">
        <f t="shared" si="102"/>
        <v>0.14999985869599008</v>
      </c>
      <c r="AR47" s="13">
        <f t="shared" ref="AR47:BT47" si="103">AR35/(AR9+AR11)</f>
        <v>0.15000045804463799</v>
      </c>
      <c r="AS47" s="13">
        <f t="shared" si="103"/>
        <v>0.17000002826080199</v>
      </c>
      <c r="AT47" s="13">
        <f t="shared" si="103"/>
        <v>0.17000002826080199</v>
      </c>
      <c r="AU47" s="13">
        <f t="shared" si="103"/>
        <v>0.18</v>
      </c>
      <c r="AV47" s="13">
        <f t="shared" si="103"/>
        <v>0</v>
      </c>
      <c r="AW47" s="13">
        <f t="shared" si="103"/>
        <v>0</v>
      </c>
      <c r="AX47" s="13">
        <f t="shared" si="103"/>
        <v>0</v>
      </c>
      <c r="AY47" s="13">
        <f t="shared" si="103"/>
        <v>0</v>
      </c>
      <c r="AZ47" s="13">
        <f t="shared" si="103"/>
        <v>0</v>
      </c>
      <c r="BA47" s="13">
        <f t="shared" si="103"/>
        <v>0</v>
      </c>
      <c r="BB47" s="13">
        <f t="shared" si="103"/>
        <v>0</v>
      </c>
      <c r="BC47" s="13">
        <f t="shared" si="103"/>
        <v>0</v>
      </c>
      <c r="BD47" s="13">
        <f t="shared" si="103"/>
        <v>0</v>
      </c>
      <c r="BE47" s="13">
        <f t="shared" si="103"/>
        <v>0</v>
      </c>
      <c r="BF47" s="13">
        <f t="shared" si="103"/>
        <v>0</v>
      </c>
      <c r="BG47" s="13">
        <f t="shared" si="103"/>
        <v>0</v>
      </c>
      <c r="BH47" s="13">
        <f t="shared" si="103"/>
        <v>0</v>
      </c>
      <c r="BI47" s="13">
        <f t="shared" si="103"/>
        <v>0</v>
      </c>
      <c r="BJ47" s="13">
        <f t="shared" si="103"/>
        <v>0</v>
      </c>
      <c r="BK47" s="13">
        <f t="shared" si="103"/>
        <v>0</v>
      </c>
      <c r="BL47" s="13">
        <f t="shared" si="103"/>
        <v>0</v>
      </c>
      <c r="BM47" s="13">
        <f t="shared" si="103"/>
        <v>0</v>
      </c>
      <c r="BN47" s="13">
        <f t="shared" si="103"/>
        <v>0</v>
      </c>
      <c r="BO47" s="13">
        <f t="shared" si="103"/>
        <v>0</v>
      </c>
      <c r="BP47" s="13">
        <f t="shared" si="103"/>
        <v>0</v>
      </c>
      <c r="BQ47" s="13">
        <f t="shared" si="103"/>
        <v>0</v>
      </c>
      <c r="BR47" s="13">
        <f t="shared" si="103"/>
        <v>0</v>
      </c>
      <c r="BS47" s="13">
        <f t="shared" si="103"/>
        <v>0</v>
      </c>
      <c r="BT47" s="13">
        <f t="shared" si="103"/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">
        <f>CQ35/(CQ9+CQ11)</f>
        <v>0.18</v>
      </c>
    </row>
    <row r="48" spans="1:98" ht="16.5" x14ac:dyDescent="0.3">
      <c r="A48" s="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f t="shared" ref="R48:X48" si="104">0.2*R9</f>
        <v>615.38599999999997</v>
      </c>
      <c r="S48" s="5">
        <f t="shared" si="104"/>
        <v>615.38599999999997</v>
      </c>
      <c r="T48" s="5">
        <f t="shared" si="104"/>
        <v>615.38599999999997</v>
      </c>
      <c r="U48" s="5">
        <f t="shared" si="104"/>
        <v>634.61599999999999</v>
      </c>
      <c r="V48" s="5">
        <f t="shared" si="104"/>
        <v>634.61599999999999</v>
      </c>
      <c r="W48" s="5">
        <f t="shared" si="104"/>
        <v>634.61599999999999</v>
      </c>
      <c r="X48" s="5">
        <f t="shared" si="104"/>
        <v>634.61599999999999</v>
      </c>
      <c r="Y48" s="5">
        <f t="shared" ref="Y48:AQ48" si="105">0.15*Y9</f>
        <v>530.77049999999997</v>
      </c>
      <c r="Z48" s="5">
        <f t="shared" si="105"/>
        <v>530.77049999999997</v>
      </c>
      <c r="AA48" s="5">
        <f t="shared" si="105"/>
        <v>530.77049999999997</v>
      </c>
      <c r="AB48" s="5">
        <f t="shared" si="105"/>
        <v>530.77049999999997</v>
      </c>
      <c r="AC48" s="5">
        <f t="shared" si="105"/>
        <v>530.77049999999997</v>
      </c>
      <c r="AD48" s="5">
        <f t="shared" si="105"/>
        <v>530.77049999999997</v>
      </c>
      <c r="AE48" s="5">
        <f t="shared" si="105"/>
        <v>530.77049999999997</v>
      </c>
      <c r="AF48" s="5">
        <f t="shared" si="105"/>
        <v>530.77049999999997</v>
      </c>
      <c r="AG48" s="5">
        <f t="shared" si="105"/>
        <v>530.77049999999997</v>
      </c>
      <c r="AH48" s="5">
        <f t="shared" si="105"/>
        <v>530.77049999999997</v>
      </c>
      <c r="AI48" s="5">
        <f t="shared" si="105"/>
        <v>530.77049999999997</v>
      </c>
      <c r="AJ48" s="5">
        <f t="shared" si="105"/>
        <v>530.77049999999997</v>
      </c>
      <c r="AK48" s="5">
        <f t="shared" si="105"/>
        <v>530.77049999999997</v>
      </c>
      <c r="AL48" s="5">
        <f t="shared" si="105"/>
        <v>530.77049999999997</v>
      </c>
      <c r="AM48" s="5">
        <f t="shared" si="105"/>
        <v>530.77049999999997</v>
      </c>
      <c r="AN48" s="5">
        <f t="shared" si="105"/>
        <v>530.77049999999997</v>
      </c>
      <c r="AO48" s="5">
        <f t="shared" si="105"/>
        <v>530.77049999999997</v>
      </c>
      <c r="AP48" s="5">
        <f t="shared" si="105"/>
        <v>530.77049999999997</v>
      </c>
      <c r="AQ48" s="5">
        <f t="shared" si="105"/>
        <v>530.77049999999997</v>
      </c>
      <c r="AR48" s="5">
        <f>0.15*(AR9+AR11)</f>
        <v>982.4369999999999</v>
      </c>
      <c r="AS48" s="5">
        <f>0.17*(AS9+AS11)</f>
        <v>601.53989999999999</v>
      </c>
      <c r="AT48" s="5">
        <f>0.17*(AT9+AT11)</f>
        <v>601.53989999999999</v>
      </c>
      <c r="AU48" s="5">
        <f>AU47*(AU9+AU11)</f>
        <v>720</v>
      </c>
      <c r="AV48" s="5">
        <f t="shared" ref="AV48:BT48" si="106">AV47*(AV9+AV11)</f>
        <v>0</v>
      </c>
      <c r="AW48" s="5">
        <f t="shared" si="106"/>
        <v>0</v>
      </c>
      <c r="AX48" s="5">
        <f t="shared" si="106"/>
        <v>0</v>
      </c>
      <c r="AY48" s="5">
        <f t="shared" si="106"/>
        <v>0</v>
      </c>
      <c r="AZ48" s="5">
        <f t="shared" si="106"/>
        <v>0</v>
      </c>
      <c r="BA48" s="5">
        <f t="shared" si="106"/>
        <v>0</v>
      </c>
      <c r="BB48" s="5">
        <f t="shared" si="106"/>
        <v>0</v>
      </c>
      <c r="BC48" s="5">
        <f t="shared" si="106"/>
        <v>0</v>
      </c>
      <c r="BD48" s="5">
        <f t="shared" si="106"/>
        <v>0</v>
      </c>
      <c r="BE48" s="5">
        <f t="shared" si="106"/>
        <v>0</v>
      </c>
      <c r="BF48" s="5">
        <f t="shared" si="106"/>
        <v>0</v>
      </c>
      <c r="BG48" s="5">
        <f t="shared" si="106"/>
        <v>0</v>
      </c>
      <c r="BH48" s="5">
        <f t="shared" si="106"/>
        <v>0</v>
      </c>
      <c r="BI48" s="5">
        <f t="shared" si="106"/>
        <v>0</v>
      </c>
      <c r="BJ48" s="5">
        <f t="shared" si="106"/>
        <v>0</v>
      </c>
      <c r="BK48" s="5">
        <f t="shared" si="106"/>
        <v>0</v>
      </c>
      <c r="BL48" s="5">
        <f t="shared" si="106"/>
        <v>0</v>
      </c>
      <c r="BM48" s="5">
        <f t="shared" si="106"/>
        <v>0</v>
      </c>
      <c r="BN48" s="5">
        <f t="shared" si="106"/>
        <v>0</v>
      </c>
      <c r="BO48" s="5">
        <f t="shared" si="106"/>
        <v>0</v>
      </c>
      <c r="BP48" s="5">
        <f t="shared" si="106"/>
        <v>0</v>
      </c>
      <c r="BQ48" s="5">
        <f t="shared" si="106"/>
        <v>0</v>
      </c>
      <c r="BR48" s="5">
        <f t="shared" si="106"/>
        <v>0</v>
      </c>
      <c r="BS48" s="5">
        <f t="shared" si="106"/>
        <v>0</v>
      </c>
      <c r="BT48" s="5">
        <f t="shared" si="106"/>
        <v>0</v>
      </c>
      <c r="BU48" s="5">
        <f>BU47*(BU9+BU11+BU12)</f>
        <v>0</v>
      </c>
      <c r="BV48" s="5">
        <f t="shared" ref="BV48:CP48" si="107">BV47*(BV9+BV11)</f>
        <v>0</v>
      </c>
      <c r="BW48" s="5">
        <f t="shared" si="107"/>
        <v>0</v>
      </c>
      <c r="BX48" s="5">
        <f t="shared" si="107"/>
        <v>0</v>
      </c>
      <c r="BY48" s="5">
        <f t="shared" si="107"/>
        <v>0</v>
      </c>
      <c r="BZ48" s="5">
        <f t="shared" si="107"/>
        <v>0</v>
      </c>
      <c r="CA48" s="5">
        <f t="shared" si="107"/>
        <v>0</v>
      </c>
      <c r="CB48" s="5">
        <f t="shared" si="107"/>
        <v>0</v>
      </c>
      <c r="CC48" s="5">
        <f t="shared" si="107"/>
        <v>0</v>
      </c>
      <c r="CD48" s="5">
        <f t="shared" si="107"/>
        <v>0</v>
      </c>
      <c r="CE48" s="5">
        <f t="shared" si="107"/>
        <v>0</v>
      </c>
      <c r="CF48" s="5">
        <f t="shared" si="107"/>
        <v>0</v>
      </c>
      <c r="CG48" s="5">
        <f t="shared" si="107"/>
        <v>0</v>
      </c>
      <c r="CH48" s="5">
        <f t="shared" si="107"/>
        <v>0</v>
      </c>
      <c r="CI48" s="5">
        <f t="shared" si="107"/>
        <v>0</v>
      </c>
      <c r="CJ48" s="5">
        <f t="shared" si="107"/>
        <v>0</v>
      </c>
      <c r="CK48" s="5">
        <f t="shared" si="107"/>
        <v>0</v>
      </c>
      <c r="CL48" s="5">
        <f t="shared" si="107"/>
        <v>0</v>
      </c>
      <c r="CM48" s="5">
        <f t="shared" si="107"/>
        <v>0</v>
      </c>
      <c r="CN48" s="5">
        <f t="shared" si="107"/>
        <v>0</v>
      </c>
      <c r="CO48" s="5">
        <f t="shared" si="107"/>
        <v>0</v>
      </c>
      <c r="CP48" s="5">
        <f t="shared" si="107"/>
        <v>0</v>
      </c>
      <c r="CQ48" s="1">
        <f>AT48</f>
        <v>601.53989999999999</v>
      </c>
    </row>
    <row r="49" spans="1:96" ht="16.5" x14ac:dyDescent="0.3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>
        <f>S37/S20</f>
        <v>0.58846113011880663</v>
      </c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0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</row>
    <row r="50" spans="1:96" ht="16.5" x14ac:dyDescent="0.3">
      <c r="A50" s="1" t="s">
        <v>37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10">
        <f t="shared" ref="AQ50:CQ50" si="108">AQ37*0.85</f>
        <v>3066.5789999999997</v>
      </c>
      <c r="AR50" s="10">
        <f t="shared" si="108"/>
        <v>2705.9240000000004</v>
      </c>
      <c r="AS50" s="10">
        <f t="shared" si="108"/>
        <v>1513.9774999999997</v>
      </c>
      <c r="AT50" s="10">
        <f t="shared" si="108"/>
        <v>1514.7934999999998</v>
      </c>
      <c r="AU50" s="10">
        <f t="shared" si="108"/>
        <v>1646.229</v>
      </c>
      <c r="AV50" s="10">
        <f t="shared" si="108"/>
        <v>2258.3735000000001</v>
      </c>
      <c r="AW50" s="10">
        <f t="shared" si="108"/>
        <v>2258.3650000000002</v>
      </c>
      <c r="AX50" s="10">
        <f t="shared" si="108"/>
        <v>2258.3650000000002</v>
      </c>
      <c r="AY50" s="10">
        <f t="shared" si="108"/>
        <v>2258.3650000000002</v>
      </c>
      <c r="AZ50" s="10">
        <f t="shared" si="108"/>
        <v>2258.3650000000002</v>
      </c>
      <c r="BA50" s="10">
        <f t="shared" si="108"/>
        <v>2258.3650000000002</v>
      </c>
      <c r="BB50" s="10">
        <f t="shared" si="108"/>
        <v>2258.3650000000002</v>
      </c>
      <c r="BC50" s="10">
        <f t="shared" si="108"/>
        <v>2258.3650000000002</v>
      </c>
      <c r="BD50" s="10">
        <f t="shared" si="108"/>
        <v>2258.3650000000002</v>
      </c>
      <c r="BE50" s="10">
        <f t="shared" si="108"/>
        <v>2258.3650000000002</v>
      </c>
      <c r="BF50" s="10">
        <f t="shared" si="108"/>
        <v>2258.3735000000001</v>
      </c>
      <c r="BG50" s="10">
        <f t="shared" si="108"/>
        <v>2258.3564999999999</v>
      </c>
      <c r="BH50" s="10">
        <f t="shared" si="108"/>
        <v>2258.3735000000001</v>
      </c>
      <c r="BI50" s="10">
        <f t="shared" si="108"/>
        <v>2789.6826824239115</v>
      </c>
      <c r="BJ50" s="10">
        <f t="shared" si="108"/>
        <v>2789.6826824239115</v>
      </c>
      <c r="BK50" s="10">
        <f t="shared" si="108"/>
        <v>2732.7061923076926</v>
      </c>
      <c r="BL50" s="10">
        <f t="shared" si="108"/>
        <v>2732.7061923076926</v>
      </c>
      <c r="BM50" s="10">
        <f t="shared" si="108"/>
        <v>2732.7061923076926</v>
      </c>
      <c r="BN50" s="10">
        <f t="shared" si="108"/>
        <v>2732.7146923076925</v>
      </c>
      <c r="BO50" s="10">
        <f t="shared" si="108"/>
        <v>2732.6976923076927</v>
      </c>
      <c r="BP50" s="10">
        <f t="shared" si="108"/>
        <v>2732.7656923076929</v>
      </c>
      <c r="BQ50" s="10">
        <f t="shared" si="108"/>
        <v>2845.5266923076924</v>
      </c>
      <c r="BR50" s="10">
        <f t="shared" si="108"/>
        <v>2845.5266923076924</v>
      </c>
      <c r="BS50" s="10">
        <f t="shared" si="108"/>
        <v>4832.5631923076926</v>
      </c>
      <c r="BT50" s="10">
        <f t="shared" si="108"/>
        <v>2845.5266923076924</v>
      </c>
      <c r="BU50" s="10">
        <f t="shared" si="108"/>
        <v>4411.4325683190218</v>
      </c>
      <c r="BV50" s="10">
        <f t="shared" si="108"/>
        <v>3018.5436038461539</v>
      </c>
      <c r="BW50" s="10">
        <f t="shared" ref="BW50:CP50" si="109">BW37*0.85</f>
        <v>2989.4754999999996</v>
      </c>
      <c r="BX50" s="10">
        <f t="shared" si="109"/>
        <v>2989.4839999999999</v>
      </c>
      <c r="BY50" s="10">
        <f t="shared" si="109"/>
        <v>2989.4839999999999</v>
      </c>
      <c r="BZ50" s="10">
        <f t="shared" si="109"/>
        <v>2989.4839999999999</v>
      </c>
      <c r="CA50" s="10">
        <f t="shared" si="109"/>
        <v>2989.4839999999999</v>
      </c>
      <c r="CB50" s="10">
        <f t="shared" si="109"/>
        <v>2989.4924999999998</v>
      </c>
      <c r="CC50" s="10">
        <f t="shared" si="109"/>
        <v>3781.6754999999998</v>
      </c>
      <c r="CD50" s="10">
        <f t="shared" si="109"/>
        <v>2989.4839999999999</v>
      </c>
      <c r="CE50" s="10">
        <f t="shared" si="109"/>
        <v>2989.4839999999999</v>
      </c>
      <c r="CF50" s="10">
        <f t="shared" si="109"/>
        <v>2989.4839999999999</v>
      </c>
      <c r="CG50" s="10">
        <f t="shared" si="109"/>
        <v>2989.4839999999999</v>
      </c>
      <c r="CH50" s="10">
        <f t="shared" si="109"/>
        <v>2989.4839999999999</v>
      </c>
      <c r="CI50" s="10">
        <f t="shared" si="109"/>
        <v>2989.4839999999999</v>
      </c>
      <c r="CJ50" s="10">
        <f t="shared" si="109"/>
        <v>2989.4839999999999</v>
      </c>
      <c r="CK50" s="10">
        <f t="shared" si="109"/>
        <v>2989.4839999999999</v>
      </c>
      <c r="CL50" s="10">
        <f t="shared" si="109"/>
        <v>2989.4839999999999</v>
      </c>
      <c r="CM50" s="10">
        <f t="shared" si="109"/>
        <v>2989.4839999999999</v>
      </c>
      <c r="CN50" s="10">
        <f t="shared" si="109"/>
        <v>2989.4924999999998</v>
      </c>
      <c r="CO50" s="10">
        <f t="shared" si="109"/>
        <v>2989.4924999999998</v>
      </c>
      <c r="CP50" s="10">
        <f t="shared" si="109"/>
        <v>-38.283999999999999</v>
      </c>
      <c r="CQ50">
        <f t="shared" si="108"/>
        <v>1918.7309522373694</v>
      </c>
    </row>
    <row r="51" spans="1:96" ht="16.5" x14ac:dyDescent="0.3">
      <c r="A51" s="1" t="s">
        <v>38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10">
        <f t="shared" ref="AQ51:CQ51" si="110">AQ37*0.15</f>
        <v>541.16099999999994</v>
      </c>
      <c r="AR51" s="10">
        <f t="shared" si="110"/>
        <v>477.51600000000008</v>
      </c>
      <c r="AS51" s="10">
        <f t="shared" si="110"/>
        <v>267.17249999999996</v>
      </c>
      <c r="AT51" s="10">
        <f t="shared" si="110"/>
        <v>267.31649999999996</v>
      </c>
      <c r="AU51" s="10">
        <f t="shared" si="110"/>
        <v>290.51099999999997</v>
      </c>
      <c r="AV51" s="10">
        <f t="shared" si="110"/>
        <v>398.53650000000005</v>
      </c>
      <c r="AW51" s="10">
        <f t="shared" si="110"/>
        <v>398.53500000000003</v>
      </c>
      <c r="AX51" s="10">
        <f t="shared" si="110"/>
        <v>398.53500000000003</v>
      </c>
      <c r="AY51" s="10">
        <f t="shared" si="110"/>
        <v>398.53500000000003</v>
      </c>
      <c r="AZ51" s="10">
        <f t="shared" si="110"/>
        <v>398.53500000000003</v>
      </c>
      <c r="BA51" s="10">
        <f t="shared" si="110"/>
        <v>398.53500000000003</v>
      </c>
      <c r="BB51" s="10">
        <f t="shared" si="110"/>
        <v>398.53500000000003</v>
      </c>
      <c r="BC51" s="10">
        <f t="shared" si="110"/>
        <v>398.53500000000003</v>
      </c>
      <c r="BD51" s="10">
        <f t="shared" si="110"/>
        <v>398.53500000000003</v>
      </c>
      <c r="BE51" s="10">
        <f t="shared" si="110"/>
        <v>398.53500000000003</v>
      </c>
      <c r="BF51" s="10">
        <f t="shared" si="110"/>
        <v>398.53650000000005</v>
      </c>
      <c r="BG51" s="10">
        <f t="shared" si="110"/>
        <v>398.53349999999995</v>
      </c>
      <c r="BH51" s="10">
        <f t="shared" si="110"/>
        <v>398.53650000000005</v>
      </c>
      <c r="BI51" s="10">
        <f t="shared" si="110"/>
        <v>492.29694395716081</v>
      </c>
      <c r="BJ51" s="10">
        <f t="shared" si="110"/>
        <v>492.29694395716081</v>
      </c>
      <c r="BK51" s="10">
        <f t="shared" si="110"/>
        <v>482.24226923076924</v>
      </c>
      <c r="BL51" s="10">
        <f t="shared" si="110"/>
        <v>482.2422692307693</v>
      </c>
      <c r="BM51" s="10">
        <f t="shared" si="110"/>
        <v>482.24226923076924</v>
      </c>
      <c r="BN51" s="10">
        <f t="shared" si="110"/>
        <v>482.24376923076926</v>
      </c>
      <c r="BO51" s="10">
        <f t="shared" si="110"/>
        <v>482.24076923076927</v>
      </c>
      <c r="BP51" s="10">
        <f t="shared" si="110"/>
        <v>482.25276923076933</v>
      </c>
      <c r="BQ51" s="10">
        <f t="shared" si="110"/>
        <v>502.15176923076922</v>
      </c>
      <c r="BR51" s="10">
        <f t="shared" si="110"/>
        <v>502.15176923076922</v>
      </c>
      <c r="BS51" s="10">
        <f t="shared" si="110"/>
        <v>852.80526923076923</v>
      </c>
      <c r="BT51" s="10">
        <f t="shared" si="110"/>
        <v>502.15176923076922</v>
      </c>
      <c r="BU51" s="10">
        <f t="shared" si="110"/>
        <v>778.4881002915921</v>
      </c>
      <c r="BV51" s="10">
        <f t="shared" si="110"/>
        <v>532.68416538461543</v>
      </c>
      <c r="BW51" s="10">
        <f t="shared" ref="BW51:CP51" si="111">BW37*0.15</f>
        <v>527.55449999999996</v>
      </c>
      <c r="BX51" s="10">
        <f t="shared" si="111"/>
        <v>527.55599999999993</v>
      </c>
      <c r="BY51" s="10">
        <f t="shared" si="111"/>
        <v>527.55599999999993</v>
      </c>
      <c r="BZ51" s="10">
        <f t="shared" si="111"/>
        <v>527.55599999999993</v>
      </c>
      <c r="CA51" s="10">
        <f t="shared" si="111"/>
        <v>527.55599999999993</v>
      </c>
      <c r="CB51" s="10">
        <f t="shared" si="111"/>
        <v>527.55749999999989</v>
      </c>
      <c r="CC51" s="10">
        <f t="shared" si="111"/>
        <v>667.35449999999992</v>
      </c>
      <c r="CD51" s="10">
        <f t="shared" si="111"/>
        <v>527.55599999999993</v>
      </c>
      <c r="CE51" s="10">
        <f t="shared" si="111"/>
        <v>527.55599999999993</v>
      </c>
      <c r="CF51" s="10">
        <f t="shared" si="111"/>
        <v>527.55599999999993</v>
      </c>
      <c r="CG51" s="10">
        <f t="shared" si="111"/>
        <v>527.55599999999993</v>
      </c>
      <c r="CH51" s="10">
        <f t="shared" si="111"/>
        <v>527.55599999999993</v>
      </c>
      <c r="CI51" s="10">
        <f t="shared" si="111"/>
        <v>527.55599999999993</v>
      </c>
      <c r="CJ51" s="10">
        <f t="shared" si="111"/>
        <v>527.55599999999993</v>
      </c>
      <c r="CK51" s="10">
        <f t="shared" si="111"/>
        <v>527.55599999999993</v>
      </c>
      <c r="CL51" s="10">
        <f t="shared" si="111"/>
        <v>527.55599999999993</v>
      </c>
      <c r="CM51" s="10">
        <f t="shared" si="111"/>
        <v>527.55599999999993</v>
      </c>
      <c r="CN51" s="10">
        <f t="shared" si="111"/>
        <v>527.55749999999989</v>
      </c>
      <c r="CO51" s="10">
        <f t="shared" si="111"/>
        <v>527.55749999999989</v>
      </c>
      <c r="CP51" s="10">
        <f t="shared" si="111"/>
        <v>-6.7559999999999993</v>
      </c>
      <c r="CQ51">
        <f t="shared" si="110"/>
        <v>338.59957980659459</v>
      </c>
    </row>
    <row r="52" spans="1:96" ht="16.5" x14ac:dyDescent="0.3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</row>
    <row r="53" spans="1:96" ht="16.5" x14ac:dyDescent="0.3">
      <c r="A53" s="1" t="s">
        <v>39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11">
        <f t="shared" ref="AQ53:BT53" si="112">AQ9*26</f>
        <v>92000.22</v>
      </c>
      <c r="AR53" s="11">
        <f t="shared" si="112"/>
        <v>92000.22</v>
      </c>
      <c r="AS53" s="11">
        <f t="shared" si="112"/>
        <v>92000.22</v>
      </c>
      <c r="AT53" s="11">
        <f t="shared" si="112"/>
        <v>92000.22</v>
      </c>
      <c r="AU53" s="11">
        <f t="shared" si="112"/>
        <v>104000</v>
      </c>
      <c r="AV53" s="11">
        <f t="shared" si="112"/>
        <v>104000</v>
      </c>
      <c r="AW53" s="11">
        <f t="shared" si="112"/>
        <v>104000</v>
      </c>
      <c r="AX53" s="11">
        <f t="shared" si="112"/>
        <v>104000</v>
      </c>
      <c r="AY53" s="11">
        <f t="shared" si="112"/>
        <v>104000</v>
      </c>
      <c r="AZ53" s="11">
        <f t="shared" si="112"/>
        <v>104000</v>
      </c>
      <c r="BA53" s="11">
        <f t="shared" si="112"/>
        <v>104000</v>
      </c>
      <c r="BB53" s="11">
        <f t="shared" si="112"/>
        <v>104000</v>
      </c>
      <c r="BC53" s="11">
        <f t="shared" si="112"/>
        <v>104000</v>
      </c>
      <c r="BD53" s="11">
        <f t="shared" si="112"/>
        <v>104000</v>
      </c>
      <c r="BE53" s="11">
        <f t="shared" si="112"/>
        <v>104000</v>
      </c>
      <c r="BF53" s="11">
        <f t="shared" si="112"/>
        <v>104000</v>
      </c>
      <c r="BG53" s="11">
        <f t="shared" si="112"/>
        <v>104000</v>
      </c>
      <c r="BH53" s="11">
        <f t="shared" si="112"/>
        <v>104000</v>
      </c>
      <c r="BI53" s="11">
        <f t="shared" si="112"/>
        <v>129000.00000000001</v>
      </c>
      <c r="BJ53" s="11">
        <f t="shared" si="112"/>
        <v>129000.00000000001</v>
      </c>
      <c r="BK53" s="11">
        <f t="shared" si="112"/>
        <v>129000.00000000001</v>
      </c>
      <c r="BL53" s="11">
        <f t="shared" si="112"/>
        <v>129000.00000000001</v>
      </c>
      <c r="BM53" s="11">
        <f t="shared" si="112"/>
        <v>129000.00000000001</v>
      </c>
      <c r="BN53" s="11">
        <f t="shared" si="112"/>
        <v>129000.00000000001</v>
      </c>
      <c r="BO53" s="11">
        <f t="shared" si="112"/>
        <v>129000.00000000001</v>
      </c>
      <c r="BP53" s="11">
        <f t="shared" si="112"/>
        <v>129000.00000000001</v>
      </c>
      <c r="BQ53" s="11">
        <f t="shared" si="112"/>
        <v>129000.00000000001</v>
      </c>
      <c r="BR53" s="11">
        <f t="shared" si="112"/>
        <v>129000.00000000001</v>
      </c>
      <c r="BS53" s="11">
        <f t="shared" si="112"/>
        <v>129000.00000000001</v>
      </c>
      <c r="BT53" s="11">
        <f t="shared" si="112"/>
        <v>129000.00000000001</v>
      </c>
      <c r="BU53" s="11">
        <v>136740</v>
      </c>
      <c r="BV53" s="11">
        <v>136740</v>
      </c>
      <c r="BW53" s="11">
        <v>136740</v>
      </c>
      <c r="BX53" s="11">
        <v>136740</v>
      </c>
      <c r="BY53" s="11">
        <v>136740</v>
      </c>
      <c r="BZ53" s="11">
        <v>136740</v>
      </c>
      <c r="CA53" s="11">
        <v>136740</v>
      </c>
      <c r="CB53" s="11">
        <v>136740</v>
      </c>
      <c r="CC53" s="11">
        <v>136740</v>
      </c>
      <c r="CD53" s="11">
        <v>136740</v>
      </c>
      <c r="CE53" s="11">
        <v>136740</v>
      </c>
      <c r="CF53" s="11">
        <v>136740</v>
      </c>
      <c r="CG53" s="11">
        <v>136740</v>
      </c>
      <c r="CH53" s="11">
        <v>136740</v>
      </c>
      <c r="CI53" s="11">
        <v>136740</v>
      </c>
      <c r="CJ53" s="11">
        <v>136740</v>
      </c>
      <c r="CK53" s="11">
        <v>136740</v>
      </c>
      <c r="CL53" s="11">
        <v>136740</v>
      </c>
      <c r="CM53" s="11">
        <v>136740</v>
      </c>
      <c r="CN53" s="11">
        <v>136740</v>
      </c>
      <c r="CO53" s="11">
        <v>136740</v>
      </c>
      <c r="CP53" s="11">
        <v>136740</v>
      </c>
      <c r="CQ53">
        <v>104000</v>
      </c>
    </row>
    <row r="54" spans="1:96" ht="16.5" x14ac:dyDescent="0.3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11"/>
      <c r="AR54" s="11"/>
      <c r="AS54" s="11"/>
      <c r="AT54" s="11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</row>
    <row r="55" spans="1:96" ht="16.5" x14ac:dyDescent="0.3">
      <c r="A55" s="1" t="s">
        <v>42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>
        <v>265.37</v>
      </c>
      <c r="AI55" s="8">
        <v>265.38</v>
      </c>
      <c r="AJ55" s="8">
        <v>265.43</v>
      </c>
      <c r="AK55" s="8">
        <v>265.38</v>
      </c>
      <c r="AL55" s="8">
        <v>265.36</v>
      </c>
      <c r="AM55" s="8">
        <v>265.38</v>
      </c>
      <c r="AN55" s="8">
        <v>265.37</v>
      </c>
      <c r="AO55" s="8">
        <v>265.44</v>
      </c>
      <c r="AP55" s="8">
        <v>265.33</v>
      </c>
      <c r="AQ55" s="10">
        <v>141.54</v>
      </c>
      <c r="AR55" s="10">
        <v>261.98</v>
      </c>
      <c r="AS55" s="10">
        <v>141.54</v>
      </c>
      <c r="AT55" s="10">
        <v>141.54</v>
      </c>
      <c r="AU55" s="10">
        <v>160</v>
      </c>
      <c r="AV55" s="11">
        <f>AV9*AV56</f>
        <v>160</v>
      </c>
      <c r="AW55" s="11">
        <f t="shared" ref="AW55:CP55" si="113">AW9*AW56</f>
        <v>160</v>
      </c>
      <c r="AX55" s="11">
        <f t="shared" si="113"/>
        <v>160</v>
      </c>
      <c r="AY55" s="11">
        <f t="shared" si="113"/>
        <v>160</v>
      </c>
      <c r="AZ55" s="11">
        <f t="shared" si="113"/>
        <v>160</v>
      </c>
      <c r="BA55" s="11">
        <f t="shared" si="113"/>
        <v>160</v>
      </c>
      <c r="BB55" s="11">
        <f t="shared" si="113"/>
        <v>160</v>
      </c>
      <c r="BC55" s="11">
        <f t="shared" si="113"/>
        <v>160</v>
      </c>
      <c r="BD55" s="11">
        <f t="shared" si="113"/>
        <v>160</v>
      </c>
      <c r="BE55" s="11">
        <f t="shared" si="113"/>
        <v>160</v>
      </c>
      <c r="BF55" s="11">
        <f t="shared" si="113"/>
        <v>160</v>
      </c>
      <c r="BG55" s="11">
        <f t="shared" si="113"/>
        <v>160</v>
      </c>
      <c r="BH55" s="11">
        <f t="shared" si="113"/>
        <v>160</v>
      </c>
      <c r="BI55" s="11">
        <f t="shared" si="113"/>
        <v>198.46153846153848</v>
      </c>
      <c r="BJ55" s="11">
        <f t="shared" si="113"/>
        <v>198.46153846153848</v>
      </c>
      <c r="BK55" s="11">
        <f t="shared" si="113"/>
        <v>198.46153846153848</v>
      </c>
      <c r="BL55" s="11">
        <f t="shared" si="113"/>
        <v>198.46153846153848</v>
      </c>
      <c r="BM55" s="11">
        <f t="shared" si="113"/>
        <v>198.46153846153848</v>
      </c>
      <c r="BN55" s="11">
        <f t="shared" si="113"/>
        <v>198.46153846153848</v>
      </c>
      <c r="BO55" s="11">
        <f t="shared" si="113"/>
        <v>198.46153846153848</v>
      </c>
      <c r="BP55" s="11">
        <f t="shared" si="113"/>
        <v>198.46153846153848</v>
      </c>
      <c r="BQ55" s="11">
        <f t="shared" si="113"/>
        <v>198.46153846153848</v>
      </c>
      <c r="BR55" s="11">
        <f t="shared" si="113"/>
        <v>198.46153846153848</v>
      </c>
      <c r="BS55" s="11">
        <f t="shared" si="113"/>
        <v>198.46153846153848</v>
      </c>
      <c r="BT55" s="11">
        <f t="shared" si="113"/>
        <v>198.46153846153848</v>
      </c>
      <c r="BU55" s="11">
        <f t="shared" si="113"/>
        <v>210.3692307692308</v>
      </c>
      <c r="BV55" s="11">
        <f t="shared" si="113"/>
        <v>210.3692307692308</v>
      </c>
      <c r="BW55" s="11">
        <f t="shared" si="113"/>
        <v>210.36959999999999</v>
      </c>
      <c r="BX55" s="11">
        <f t="shared" si="113"/>
        <v>210.36959999999999</v>
      </c>
      <c r="BY55" s="11">
        <f t="shared" si="113"/>
        <v>210.36959999999999</v>
      </c>
      <c r="BZ55" s="11">
        <f t="shared" si="113"/>
        <v>210.36959999999999</v>
      </c>
      <c r="CA55" s="11">
        <f t="shared" si="113"/>
        <v>210.36959999999999</v>
      </c>
      <c r="CB55" s="11">
        <f t="shared" si="113"/>
        <v>210.36959999999999</v>
      </c>
      <c r="CC55" s="11">
        <f t="shared" si="113"/>
        <v>247.64959999999999</v>
      </c>
      <c r="CD55" s="11">
        <f t="shared" si="113"/>
        <v>210.36959999999999</v>
      </c>
      <c r="CE55" s="11">
        <f t="shared" si="113"/>
        <v>210.36959999999999</v>
      </c>
      <c r="CF55" s="11">
        <f t="shared" si="113"/>
        <v>210.36959999999999</v>
      </c>
      <c r="CG55" s="11">
        <f t="shared" si="113"/>
        <v>210.36959999999999</v>
      </c>
      <c r="CH55" s="11">
        <f t="shared" si="113"/>
        <v>210.36959999999999</v>
      </c>
      <c r="CI55" s="11">
        <f t="shared" si="113"/>
        <v>210.36959999999999</v>
      </c>
      <c r="CJ55" s="11">
        <f t="shared" si="113"/>
        <v>210.36959999999999</v>
      </c>
      <c r="CK55" s="11">
        <f t="shared" si="113"/>
        <v>210.36959999999999</v>
      </c>
      <c r="CL55" s="11">
        <f t="shared" si="113"/>
        <v>210.36959999999999</v>
      </c>
      <c r="CM55" s="11">
        <f t="shared" si="113"/>
        <v>210.36959999999999</v>
      </c>
      <c r="CN55" s="11">
        <f t="shared" si="113"/>
        <v>210.36959999999999</v>
      </c>
      <c r="CO55" s="11">
        <f t="shared" si="113"/>
        <v>210.36959999999999</v>
      </c>
      <c r="CP55" s="11">
        <f t="shared" si="113"/>
        <v>0</v>
      </c>
      <c r="CQ55">
        <f>AT56*CQ9</f>
        <v>160.0013565184953</v>
      </c>
      <c r="CR55">
        <f>SUM(AQ55:AT55)+CQ55*CQ1</f>
        <v>4206.6298434068958</v>
      </c>
    </row>
    <row r="56" spans="1:96" ht="16.5" x14ac:dyDescent="0.3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18">
        <f>AH55/AH9</f>
        <v>7.4995690227697281E-2</v>
      </c>
      <c r="AI56" s="18">
        <f>AI55/AI9</f>
        <v>7.4998516307895793E-2</v>
      </c>
      <c r="AJ56" s="18">
        <f>AJ55/AJ9</f>
        <v>7.5012646708888311E-2</v>
      </c>
      <c r="AK56" s="18">
        <f>AK55/AK9</f>
        <v>7.4998516307895793E-2</v>
      </c>
      <c r="AL56" s="18">
        <f>AL55/AL9</f>
        <v>7.4992864147498783E-2</v>
      </c>
      <c r="AM56" s="18">
        <f>AM55/AM9</f>
        <v>7.4998516307895793E-2</v>
      </c>
      <c r="AN56" s="18">
        <f>AN55/AN9</f>
        <v>7.4995690227697281E-2</v>
      </c>
      <c r="AO56" s="18">
        <f>AO55/AO9</f>
        <v>7.5015472789086809E-2</v>
      </c>
      <c r="AP56" s="18">
        <f>AP55/AP9</f>
        <v>7.4984385906903261E-2</v>
      </c>
      <c r="AQ56" s="18">
        <f>AQ55/AQ9</f>
        <v>4.0000339129623821E-2</v>
      </c>
      <c r="AR56" s="18">
        <f>AR55/(AR9+AR11)</f>
        <v>3.9999511419052829E-2</v>
      </c>
      <c r="AS56" s="18">
        <f t="shared" ref="AS56:BT56" si="114">AS55/AS9</f>
        <v>4.0000339129623821E-2</v>
      </c>
      <c r="AT56" s="18">
        <f>AT55/AT9</f>
        <v>4.0000339129623821E-2</v>
      </c>
      <c r="AU56" s="18">
        <f t="shared" si="114"/>
        <v>0.04</v>
      </c>
      <c r="AV56" s="18">
        <v>0.04</v>
      </c>
      <c r="AW56" s="18">
        <v>0.04</v>
      </c>
      <c r="AX56" s="18">
        <v>0.04</v>
      </c>
      <c r="AY56" s="18">
        <v>0.04</v>
      </c>
      <c r="AZ56" s="18">
        <v>0.04</v>
      </c>
      <c r="BA56" s="18">
        <v>0.04</v>
      </c>
      <c r="BB56" s="18">
        <v>0.04</v>
      </c>
      <c r="BC56" s="18">
        <v>0.04</v>
      </c>
      <c r="BD56" s="18">
        <v>0.04</v>
      </c>
      <c r="BE56" s="18">
        <v>0.04</v>
      </c>
      <c r="BF56" s="18">
        <v>0.04</v>
      </c>
      <c r="BG56" s="18">
        <v>0.04</v>
      </c>
      <c r="BH56" s="18">
        <v>0.04</v>
      </c>
      <c r="BI56" s="18">
        <v>0.04</v>
      </c>
      <c r="BJ56" s="18">
        <v>0.04</v>
      </c>
      <c r="BK56" s="18">
        <v>0.04</v>
      </c>
      <c r="BL56" s="18">
        <v>0.04</v>
      </c>
      <c r="BM56" s="18">
        <v>0.04</v>
      </c>
      <c r="BN56" s="18">
        <v>0.04</v>
      </c>
      <c r="BO56" s="18">
        <v>0.04</v>
      </c>
      <c r="BP56" s="18">
        <v>0.04</v>
      </c>
      <c r="BQ56" s="18">
        <v>0.04</v>
      </c>
      <c r="BR56" s="18">
        <v>0.04</v>
      </c>
      <c r="BS56" s="18">
        <v>0.04</v>
      </c>
      <c r="BT56" s="18">
        <v>0.04</v>
      </c>
      <c r="BU56" s="18">
        <v>0.04</v>
      </c>
      <c r="BV56" s="18">
        <v>0.04</v>
      </c>
      <c r="BW56" s="18">
        <v>0.04</v>
      </c>
      <c r="BX56" s="18">
        <v>0.04</v>
      </c>
      <c r="BY56" s="18">
        <v>0.04</v>
      </c>
      <c r="BZ56" s="18">
        <v>0.04</v>
      </c>
      <c r="CA56" s="18">
        <v>0.04</v>
      </c>
      <c r="CB56" s="18">
        <v>0.04</v>
      </c>
      <c r="CC56" s="18">
        <v>0.04</v>
      </c>
      <c r="CD56" s="18">
        <v>0.04</v>
      </c>
      <c r="CE56" s="18">
        <v>0.04</v>
      </c>
      <c r="CF56" s="18">
        <v>0.04</v>
      </c>
      <c r="CG56" s="18">
        <v>0.04</v>
      </c>
      <c r="CH56" s="18">
        <v>0.04</v>
      </c>
      <c r="CI56" s="18">
        <v>0.04</v>
      </c>
      <c r="CJ56" s="18">
        <v>0.04</v>
      </c>
      <c r="CK56" s="18">
        <v>0.04</v>
      </c>
      <c r="CL56" s="18">
        <v>0.04</v>
      </c>
      <c r="CM56" s="18">
        <v>0.04</v>
      </c>
      <c r="CN56" s="18">
        <v>0.04</v>
      </c>
      <c r="CO56" s="18">
        <v>0.04</v>
      </c>
      <c r="CP56" s="18">
        <v>0.04</v>
      </c>
      <c r="CQ56">
        <f>CQ55/CQ9</f>
        <v>4.0000339129623821E-2</v>
      </c>
    </row>
    <row r="58" spans="1:96" x14ac:dyDescent="0.25">
      <c r="AU58" s="17">
        <f>AU49/AU9</f>
        <v>0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Lewis</dc:creator>
  <cp:lastModifiedBy>Sean Lewis</cp:lastModifiedBy>
  <dcterms:created xsi:type="dcterms:W3CDTF">2023-09-07T00:17:35Z</dcterms:created>
  <dcterms:modified xsi:type="dcterms:W3CDTF">2024-12-18T23:46:11Z</dcterms:modified>
</cp:coreProperties>
</file>