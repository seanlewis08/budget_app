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n\Documents\Personal\Budget\"/>
    </mc:Choice>
  </mc:AlternateContent>
  <xr:revisionPtr revIDLastSave="0" documentId="13_ncr:1_{0522761D-283E-4E6F-8C67-65FC096939C2}" xr6:coauthVersionLast="47" xr6:coauthVersionMax="47" xr10:uidLastSave="{00000000-0000-0000-0000-000000000000}"/>
  <bookViews>
    <workbookView xWindow="19095" yWindow="0" windowWidth="19410" windowHeight="15585" xr2:uid="{20BA4A64-432C-4A37-9BD0-626A915602A2}"/>
  </bookViews>
  <sheets>
    <sheet name="June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6" i="1" l="1"/>
  <c r="U36" i="1"/>
  <c r="S36" i="1"/>
  <c r="Q36" i="1"/>
  <c r="O36" i="1"/>
  <c r="M36" i="1"/>
  <c r="K36" i="1"/>
  <c r="H36" i="1"/>
  <c r="F36" i="1"/>
  <c r="D36" i="1"/>
  <c r="B36" i="1"/>
  <c r="G19" i="1"/>
  <c r="Y31" i="1"/>
  <c r="P22" i="1"/>
  <c r="Q22" i="1" s="1"/>
  <c r="R22" i="1" s="1"/>
  <c r="S22" i="1" s="1"/>
  <c r="T22" i="1" s="1"/>
  <c r="U22" i="1" s="1"/>
  <c r="V22" i="1" s="1"/>
  <c r="W22" i="1" s="1"/>
  <c r="X22" i="1" s="1"/>
  <c r="P23" i="1"/>
  <c r="Q23" i="1" s="1"/>
  <c r="P25" i="1"/>
  <c r="P31" i="1"/>
  <c r="P40" i="1" s="1"/>
  <c r="Q40" i="1" s="1"/>
  <c r="R40" i="1" s="1"/>
  <c r="S40" i="1" s="1"/>
  <c r="T40" i="1" s="1"/>
  <c r="U40" i="1" s="1"/>
  <c r="V40" i="1" s="1"/>
  <c r="W40" i="1" s="1"/>
  <c r="X40" i="1" s="1"/>
  <c r="Q31" i="1"/>
  <c r="R31" i="1"/>
  <c r="S31" i="1"/>
  <c r="E19" i="1"/>
  <c r="C20" i="1"/>
  <c r="Q25" i="1" l="1"/>
  <c r="R23" i="1"/>
  <c r="C31" i="1"/>
  <c r="C17" i="1"/>
  <c r="C18" i="1" s="1"/>
  <c r="B18" i="1"/>
  <c r="B27" i="1" s="1"/>
  <c r="B25" i="1"/>
  <c r="C23" i="1"/>
  <c r="D23" i="1" s="1"/>
  <c r="C22" i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R25" i="1" l="1"/>
  <c r="S23" i="1"/>
  <c r="B31" i="1"/>
  <c r="K31" i="1"/>
  <c r="O31" i="1"/>
  <c r="J31" i="1"/>
  <c r="N31" i="1"/>
  <c r="M31" i="1"/>
  <c r="L31" i="1"/>
  <c r="I31" i="1"/>
  <c r="H31" i="1"/>
  <c r="G31" i="1"/>
  <c r="F31" i="1"/>
  <c r="E31" i="1"/>
  <c r="D31" i="1"/>
  <c r="C19" i="1"/>
  <c r="C25" i="1"/>
  <c r="E23" i="1"/>
  <c r="D25" i="1"/>
  <c r="S25" i="1" l="1"/>
  <c r="T23" i="1"/>
  <c r="B39" i="1"/>
  <c r="C27" i="1" s="1"/>
  <c r="C39" i="1" s="1"/>
  <c r="D27" i="1" s="1"/>
  <c r="D39" i="1" s="1"/>
  <c r="E27" i="1" s="1"/>
  <c r="B40" i="1"/>
  <c r="C40" i="1" s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Z31" i="1"/>
  <c r="F23" i="1"/>
  <c r="E25" i="1"/>
  <c r="U23" i="1" l="1"/>
  <c r="T25" i="1"/>
  <c r="E39" i="1"/>
  <c r="F27" i="1" s="1"/>
  <c r="G23" i="1"/>
  <c r="F25" i="1"/>
  <c r="U25" i="1" l="1"/>
  <c r="V23" i="1"/>
  <c r="F39" i="1"/>
  <c r="G27" i="1" s="1"/>
  <c r="H23" i="1"/>
  <c r="G25" i="1"/>
  <c r="W23" i="1" l="1"/>
  <c r="V25" i="1"/>
  <c r="G39" i="1"/>
  <c r="H27" i="1" s="1"/>
  <c r="I23" i="1"/>
  <c r="H25" i="1"/>
  <c r="X23" i="1" l="1"/>
  <c r="X25" i="1" s="1"/>
  <c r="W25" i="1"/>
  <c r="H39" i="1"/>
  <c r="I27" i="1" s="1"/>
  <c r="J23" i="1"/>
  <c r="I25" i="1"/>
  <c r="I39" i="1" l="1"/>
  <c r="J27" i="1" s="1"/>
  <c r="K23" i="1"/>
  <c r="J25" i="1"/>
  <c r="J39" i="1" l="1"/>
  <c r="K27" i="1" s="1"/>
  <c r="L23" i="1"/>
  <c r="K25" i="1"/>
  <c r="K39" i="1" l="1"/>
  <c r="L27" i="1" s="1"/>
  <c r="L39" i="1" s="1"/>
  <c r="M23" i="1"/>
  <c r="L25" i="1"/>
  <c r="M27" i="1" l="1"/>
  <c r="N23" i="1"/>
  <c r="M25" i="1"/>
  <c r="M39" i="1" l="1"/>
  <c r="N27" i="1" s="1"/>
  <c r="O23" i="1"/>
  <c r="O25" i="1" s="1"/>
  <c r="N25" i="1"/>
  <c r="N39" i="1" l="1"/>
  <c r="O27" i="1" s="1"/>
  <c r="O39" i="1" s="1"/>
  <c r="P27" i="1" s="1"/>
  <c r="P39" i="1" s="1"/>
  <c r="Q27" i="1" s="1"/>
  <c r="Q39" i="1" s="1"/>
  <c r="R27" i="1" s="1"/>
  <c r="R39" i="1" s="1"/>
  <c r="S27" i="1" s="1"/>
  <c r="S39" i="1" s="1"/>
  <c r="T27" i="1" s="1"/>
  <c r="T39" i="1" s="1"/>
  <c r="U27" i="1" s="1"/>
  <c r="U39" i="1" s="1"/>
  <c r="V27" i="1" s="1"/>
  <c r="V39" i="1" s="1"/>
  <c r="W27" i="1" s="1"/>
  <c r="W39" i="1" s="1"/>
  <c r="X27" i="1" s="1"/>
  <c r="X39" i="1" s="1"/>
</calcChain>
</file>

<file path=xl/sharedStrings.xml><?xml version="1.0" encoding="utf-8"?>
<sst xmlns="http://schemas.openxmlformats.org/spreadsheetml/2006/main" count="33" uniqueCount="30">
  <si>
    <t>Discover</t>
  </si>
  <si>
    <t>Wells Fargo</t>
  </si>
  <si>
    <t>Best Buy</t>
  </si>
  <si>
    <t>Care Credit</t>
  </si>
  <si>
    <t>Health Equity</t>
  </si>
  <si>
    <t>Due</t>
  </si>
  <si>
    <t>Debit</t>
  </si>
  <si>
    <t>Credit</t>
  </si>
  <si>
    <t>Sofi</t>
  </si>
  <si>
    <t>Sofi Savings</t>
  </si>
  <si>
    <t>Pay Date</t>
  </si>
  <si>
    <t>One Pass</t>
  </si>
  <si>
    <t>Vicnent 10/2018</t>
  </si>
  <si>
    <t>Vincent 8/2019</t>
  </si>
  <si>
    <t>Europe Pre</t>
  </si>
  <si>
    <t>Europe Post</t>
  </si>
  <si>
    <t>Vincent Weddings</t>
  </si>
  <si>
    <t>Vincent Gtech</t>
  </si>
  <si>
    <t>Cash Flow</t>
  </si>
  <si>
    <t>One Pass Payments</t>
  </si>
  <si>
    <t>Prev balance</t>
  </si>
  <si>
    <t>Spending Estimate</t>
  </si>
  <si>
    <t>Shevon/Rent</t>
  </si>
  <si>
    <t>Bills (Fixed Expense)</t>
  </si>
  <si>
    <t>Vincent Principal</t>
  </si>
  <si>
    <t>Payment 6/2020</t>
  </si>
  <si>
    <t>Payment 7/2020</t>
  </si>
  <si>
    <t>Vincent Debt Princpal</t>
  </si>
  <si>
    <t>LASIK Debt Principal</t>
  </si>
  <si>
    <t>Vincent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</si>
</sst>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 tint="-0.499984740745262"/>
      <name val="Calibri"/>
      <family val="2"/>
      <scheme val="minor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16" fontId="0" fillId="0" borderId="0" xfId="0" applyNumberFormat="1"/>
    <xf numFmtId="43" fontId="0" fillId="0" borderId="0" xfId="0" applyNumberFormat="1"/>
    <xf numFmtId="0" fontId="2" fillId="0" borderId="0" xfId="0" applyFont="1" applyAlignment="1">
      <alignment wrapText="1"/>
    </xf>
    <xf numFmtId="8" fontId="0" fillId="0" borderId="0" xfId="0" applyNumberFormat="1"/>
    <xf numFmtId="8" fontId="0" fillId="0" borderId="0" xfId="1" applyNumberFormat="1" applyFont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44" fontId="0" fillId="0" borderId="0" xfId="2" applyFont="1"/>
    <xf numFmtId="44" fontId="0" fillId="2" borderId="0" xfId="2" applyFont="1" applyFill="1"/>
    <xf numFmtId="44" fontId="3" fillId="0" borderId="0" xfId="2" applyFont="1"/>
    <xf numFmtId="44" fontId="3" fillId="2" borderId="0" xfId="2" applyFont="1" applyFill="1"/>
    <xf numFmtId="8" fontId="0" fillId="4" borderId="0" xfId="2" applyNumberFormat="1" applyFont="1" applyFill="1"/>
    <xf numFmtId="9" fontId="0" fillId="0" borderId="0" xfId="3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19051</xdr:colOff>
          <xdr:row>27</xdr:row>
          <xdr:rowOff>171450</xdr:rowOff>
        </xdr:from>
        <xdr:to>
          <xdr:col>1</xdr:col>
          <xdr:colOff>257175</xdr:colOff>
          <xdr:row>29</xdr:row>
          <xdr:rowOff>1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19051</xdr:colOff>
          <xdr:row>28</xdr:row>
          <xdr:rowOff>1</xdr:rowOff>
        </xdr:from>
        <xdr:ext cx="762000" cy="190500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3BFD50C-1B6B-40A6-A720-2EE87C8B12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19051</xdr:colOff>
          <xdr:row>28</xdr:row>
          <xdr:rowOff>1</xdr:rowOff>
        </xdr:from>
        <xdr:ext cx="762000" cy="190500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670DC52-7F1F-4163-A761-0899CF026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19051</xdr:colOff>
          <xdr:row>28</xdr:row>
          <xdr:rowOff>1</xdr:rowOff>
        </xdr:from>
        <xdr:ext cx="762000" cy="190500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43B024F-9ED6-4A08-A2ED-C6868864E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19051</xdr:colOff>
          <xdr:row>28</xdr:row>
          <xdr:rowOff>1</xdr:rowOff>
        </xdr:from>
        <xdr:ext cx="762000" cy="19050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7250EC6-12C6-4A47-8264-34CE43516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19051</xdr:colOff>
          <xdr:row>28</xdr:row>
          <xdr:rowOff>1</xdr:rowOff>
        </xdr:from>
        <xdr:ext cx="762000" cy="19050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D7E683F-6C60-441D-B4D4-8B178F2A0F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19051</xdr:colOff>
          <xdr:row>28</xdr:row>
          <xdr:rowOff>1</xdr:rowOff>
        </xdr:from>
        <xdr:ext cx="762000" cy="19050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A8F9AE1-04FC-4333-8B86-FCBD289ED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19051</xdr:colOff>
          <xdr:row>28</xdr:row>
          <xdr:rowOff>1</xdr:rowOff>
        </xdr:from>
        <xdr:ext cx="762000" cy="19050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4F157175-2E0B-4C13-9DD1-7A1488F45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19051</xdr:colOff>
          <xdr:row>28</xdr:row>
          <xdr:rowOff>1</xdr:rowOff>
        </xdr:from>
        <xdr:ext cx="762000" cy="19050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C780D1AC-7A6E-4A3B-BF37-1E5D301BC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19051</xdr:colOff>
          <xdr:row>28</xdr:row>
          <xdr:rowOff>1</xdr:rowOff>
        </xdr:from>
        <xdr:ext cx="762000" cy="19050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E81D9DF-B1FE-4779-A00B-693FD9987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19051</xdr:colOff>
          <xdr:row>28</xdr:row>
          <xdr:rowOff>1</xdr:rowOff>
        </xdr:from>
        <xdr:ext cx="762000" cy="19050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0FF87B8-4925-4E99-86D3-9C67BDC54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19051</xdr:colOff>
          <xdr:row>28</xdr:row>
          <xdr:rowOff>1</xdr:rowOff>
        </xdr:from>
        <xdr:ext cx="762000" cy="19050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B00671E7-8927-4BDD-89C7-11808A77B0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19051</xdr:colOff>
          <xdr:row>28</xdr:row>
          <xdr:rowOff>1</xdr:rowOff>
        </xdr:from>
        <xdr:ext cx="762000" cy="19050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C569ABB1-E5E2-4FD8-80EA-A80548ACD3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19051</xdr:colOff>
          <xdr:row>28</xdr:row>
          <xdr:rowOff>1</xdr:rowOff>
        </xdr:from>
        <xdr:ext cx="762000" cy="19050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AD5E2355-AC12-4521-B0DB-09F418E29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19051</xdr:colOff>
          <xdr:row>28</xdr:row>
          <xdr:rowOff>1</xdr:rowOff>
        </xdr:from>
        <xdr:ext cx="762000" cy="19050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5317C33A-2A8B-4ADA-A622-516DE058C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19051</xdr:colOff>
          <xdr:row>28</xdr:row>
          <xdr:rowOff>1</xdr:rowOff>
        </xdr:from>
        <xdr:ext cx="762000" cy="19050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E979A791-EDD4-40A5-AE03-C6CDF524E7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19051</xdr:colOff>
          <xdr:row>28</xdr:row>
          <xdr:rowOff>1</xdr:rowOff>
        </xdr:from>
        <xdr:ext cx="762000" cy="19050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BBA6B7C9-F376-4E56-9181-68B20A8D80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19051</xdr:colOff>
          <xdr:row>28</xdr:row>
          <xdr:rowOff>1</xdr:rowOff>
        </xdr:from>
        <xdr:ext cx="762000" cy="19050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1DDBD7D-355B-4D35-9614-DDA275904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19051</xdr:colOff>
          <xdr:row>28</xdr:row>
          <xdr:rowOff>1</xdr:rowOff>
        </xdr:from>
        <xdr:ext cx="762000" cy="19050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B659C61C-A254-4E3B-B68E-9B404566D7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19051</xdr:colOff>
          <xdr:row>28</xdr:row>
          <xdr:rowOff>1</xdr:rowOff>
        </xdr:from>
        <xdr:ext cx="762000" cy="19050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C44C8F5-C735-479C-9799-861807A50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19051</xdr:colOff>
          <xdr:row>28</xdr:row>
          <xdr:rowOff>1</xdr:rowOff>
        </xdr:from>
        <xdr:ext cx="762000" cy="19050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B2F22D45-8658-44BF-A3F6-4A8735803F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19051</xdr:colOff>
          <xdr:row>28</xdr:row>
          <xdr:rowOff>1</xdr:rowOff>
        </xdr:from>
        <xdr:ext cx="762000" cy="19050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FE431467-9D1D-4CBA-835C-98DF28377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19051</xdr:colOff>
          <xdr:row>28</xdr:row>
          <xdr:rowOff>1</xdr:rowOff>
        </xdr:from>
        <xdr:ext cx="762000" cy="19050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76C25834-01FF-4B4A-8D46-923967627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19051</xdr:colOff>
          <xdr:row>27</xdr:row>
          <xdr:rowOff>171450</xdr:rowOff>
        </xdr:from>
        <xdr:ext cx="238124" cy="209551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91BEB2D2-8C07-4C47-9DF9-BE02613112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19051</xdr:colOff>
          <xdr:row>27</xdr:row>
          <xdr:rowOff>171450</xdr:rowOff>
        </xdr:from>
        <xdr:ext cx="238124" cy="209551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11B0EF2-D28B-4239-8E10-714EDBF18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C92B19AA-3A9E-4364-A295-3DF663F6A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CF4E9F5E-EA58-4234-B256-1F7DE9F5BA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D143E83C-A8DE-4D6A-97C6-E8DC2E969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3BFD0BEA-D056-48C1-B2AE-D1E15E0EC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C6015E8B-1C3E-457E-84DC-CF2291FB3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99EC3B2C-22AA-4BFD-A7FA-62ACBB19B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76B55380-ADFA-4587-AABA-9011C2312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52498D70-FBA4-4BB8-A5CA-E97FA6201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94E1B992-881D-4312-8EB9-74522D97EA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19051</xdr:colOff>
          <xdr:row>27</xdr:row>
          <xdr:rowOff>171450</xdr:rowOff>
        </xdr:from>
        <xdr:ext cx="238124" cy="209551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CC3108DD-BA12-454D-973C-545FEF0BF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179E890D-C4A8-485A-8B94-F5290D96E0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A6552F69-E660-436B-894F-83B41A1BEB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3DC6BCDA-1686-4F81-84BD-F75EB310D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5009BD56-C015-4380-B6EC-E85E85B1F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EFE4663E-E465-44EF-81A2-4259274C73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DEC5C1AF-240D-4CF5-A429-1E54413BDB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BE1E9EAE-435C-4CE3-A810-E8D8CE694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52259306-2CEA-4C08-85B9-DFBA759F3A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6A372B3D-51B8-43F8-8F80-1410994037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19051</xdr:colOff>
          <xdr:row>27</xdr:row>
          <xdr:rowOff>171450</xdr:rowOff>
        </xdr:from>
        <xdr:ext cx="238124" cy="209551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354F4516-A5F5-4CA2-9BD9-F551E6FF8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A89B-014C-48BE-9F1B-40FAE66A58D8}">
  <dimension ref="A1:Z50"/>
  <sheetViews>
    <sheetView tabSelected="1" topLeftCell="A10" workbookViewId="0">
      <selection activeCell="C39" sqref="C39"/>
    </sheetView>
  </sheetViews>
  <sheetFormatPr defaultRowHeight="15" x14ac:dyDescent="0.25"/>
  <cols>
    <col min="1" max="1" width="18.85546875" bestFit="1" customWidth="1"/>
    <col min="2" max="2" width="12.85546875" customWidth="1"/>
    <col min="3" max="3" width="10.7109375" bestFit="1" customWidth="1"/>
    <col min="4" max="4" width="10.5703125" bestFit="1" customWidth="1"/>
    <col min="5" max="5" width="11.28515625" bestFit="1" customWidth="1"/>
    <col min="6" max="6" width="11" bestFit="1" customWidth="1"/>
    <col min="7" max="7" width="11.28515625" bestFit="1" customWidth="1"/>
    <col min="8" max="8" width="11" bestFit="1" customWidth="1"/>
    <col min="9" max="16" width="11.5703125" bestFit="1" customWidth="1"/>
    <col min="17" max="24" width="10.5703125" bestFit="1" customWidth="1"/>
    <col min="25" max="25" width="10.85546875" bestFit="1" customWidth="1"/>
  </cols>
  <sheetData>
    <row r="1" spans="1:4" x14ac:dyDescent="0.25">
      <c r="B1" t="s">
        <v>6</v>
      </c>
      <c r="C1" t="s">
        <v>7</v>
      </c>
      <c r="D1" t="s">
        <v>5</v>
      </c>
    </row>
    <row r="2" spans="1:4" x14ac:dyDescent="0.25">
      <c r="A2" t="s">
        <v>1</v>
      </c>
      <c r="B2" s="1">
        <v>81.400000000000006</v>
      </c>
    </row>
    <row r="3" spans="1:4" x14ac:dyDescent="0.25">
      <c r="A3" t="s">
        <v>4</v>
      </c>
      <c r="B3" s="1">
        <v>486.34</v>
      </c>
    </row>
    <row r="4" spans="1:4" x14ac:dyDescent="0.25">
      <c r="A4" t="s">
        <v>8</v>
      </c>
      <c r="B4">
        <v>5.12</v>
      </c>
    </row>
    <row r="5" spans="1:4" x14ac:dyDescent="0.25">
      <c r="A5" t="s">
        <v>9</v>
      </c>
      <c r="B5">
        <v>346.83</v>
      </c>
    </row>
    <row r="6" spans="1:4" x14ac:dyDescent="0.25">
      <c r="A6" t="s">
        <v>0</v>
      </c>
      <c r="C6" s="1">
        <v>697.29</v>
      </c>
      <c r="D6" s="2">
        <v>45121</v>
      </c>
    </row>
    <row r="7" spans="1:4" x14ac:dyDescent="0.25">
      <c r="A7" t="s">
        <v>2</v>
      </c>
      <c r="C7" s="1">
        <v>0</v>
      </c>
    </row>
    <row r="8" spans="1:4" x14ac:dyDescent="0.25">
      <c r="A8" t="s">
        <v>3</v>
      </c>
      <c r="C8" s="1">
        <v>6002.89</v>
      </c>
      <c r="D8" s="2">
        <v>45109</v>
      </c>
    </row>
    <row r="9" spans="1:4" x14ac:dyDescent="0.25">
      <c r="A9" t="s">
        <v>12</v>
      </c>
      <c r="C9" s="6">
        <v>5000</v>
      </c>
      <c r="D9" s="2"/>
    </row>
    <row r="10" spans="1:4" x14ac:dyDescent="0.25">
      <c r="A10" t="s">
        <v>13</v>
      </c>
      <c r="C10" s="6">
        <v>5032</v>
      </c>
      <c r="D10" s="2"/>
    </row>
    <row r="11" spans="1:4" x14ac:dyDescent="0.25">
      <c r="A11" t="s">
        <v>16</v>
      </c>
      <c r="C11" s="6">
        <v>2629.34</v>
      </c>
      <c r="D11" s="2"/>
    </row>
    <row r="12" spans="1:4" x14ac:dyDescent="0.25">
      <c r="A12" t="s">
        <v>17</v>
      </c>
      <c r="C12" s="6">
        <v>1757</v>
      </c>
      <c r="D12" s="2"/>
    </row>
    <row r="13" spans="1:4" x14ac:dyDescent="0.25">
      <c r="A13" t="s">
        <v>14</v>
      </c>
      <c r="C13" s="6">
        <v>1998.74</v>
      </c>
      <c r="D13" s="2"/>
    </row>
    <row r="14" spans="1:4" x14ac:dyDescent="0.25">
      <c r="A14" t="s">
        <v>15</v>
      </c>
      <c r="C14" s="6">
        <v>1987.73</v>
      </c>
      <c r="D14" s="2"/>
    </row>
    <row r="15" spans="1:4" x14ac:dyDescent="0.25">
      <c r="A15" t="s">
        <v>25</v>
      </c>
      <c r="C15" s="6">
        <v>-420</v>
      </c>
      <c r="D15" s="2"/>
    </row>
    <row r="16" spans="1:4" x14ac:dyDescent="0.25">
      <c r="A16" t="s">
        <v>26</v>
      </c>
      <c r="C16" s="6">
        <v>-150</v>
      </c>
      <c r="D16" s="2"/>
    </row>
    <row r="17" spans="1:26" x14ac:dyDescent="0.25">
      <c r="A17" t="s">
        <v>19</v>
      </c>
      <c r="C17" s="6">
        <f>-125.1*3</f>
        <v>-375.29999999999995</v>
      </c>
    </row>
    <row r="18" spans="1:26" x14ac:dyDescent="0.25">
      <c r="B18" s="3">
        <f>SUM(B2:B8)</f>
        <v>919.69</v>
      </c>
      <c r="C18" s="3">
        <f>SUM(C2:C17)</f>
        <v>24159.690000000002</v>
      </c>
    </row>
    <row r="19" spans="1:26" x14ac:dyDescent="0.25">
      <c r="A19" t="s">
        <v>24</v>
      </c>
      <c r="C19" s="5">
        <f>SUM(C9:C17)</f>
        <v>17459.510000000002</v>
      </c>
      <c r="D19">
        <v>18</v>
      </c>
      <c r="E19" s="5">
        <f>C20/D19</f>
        <v>907.42277777777792</v>
      </c>
      <c r="G19">
        <f>750</f>
        <v>750</v>
      </c>
    </row>
    <row r="20" spans="1:26" x14ac:dyDescent="0.25">
      <c r="C20" s="5">
        <f>C19-(125.1*9)</f>
        <v>16333.610000000002</v>
      </c>
    </row>
    <row r="22" spans="1:26" x14ac:dyDescent="0.25">
      <c r="A22" t="s">
        <v>10</v>
      </c>
      <c r="B22" s="8">
        <v>45104</v>
      </c>
      <c r="C22" s="8">
        <f t="shared" ref="C22:O22" si="0">B22+14</f>
        <v>45118</v>
      </c>
      <c r="D22" s="8">
        <f t="shared" si="0"/>
        <v>45132</v>
      </c>
      <c r="E22" s="8">
        <f t="shared" si="0"/>
        <v>45146</v>
      </c>
      <c r="F22" s="8">
        <f t="shared" si="0"/>
        <v>45160</v>
      </c>
      <c r="G22" s="8">
        <f t="shared" si="0"/>
        <v>45174</v>
      </c>
      <c r="H22" s="8">
        <f t="shared" si="0"/>
        <v>45188</v>
      </c>
      <c r="I22" s="8">
        <f t="shared" si="0"/>
        <v>45202</v>
      </c>
      <c r="J22" s="8">
        <f t="shared" si="0"/>
        <v>45216</v>
      </c>
      <c r="K22" s="8">
        <f t="shared" si="0"/>
        <v>45230</v>
      </c>
      <c r="L22" s="8">
        <f t="shared" si="0"/>
        <v>45244</v>
      </c>
      <c r="M22" s="8">
        <f t="shared" si="0"/>
        <v>45258</v>
      </c>
      <c r="N22" s="8">
        <f t="shared" si="0"/>
        <v>45272</v>
      </c>
      <c r="O22" s="8">
        <f t="shared" si="0"/>
        <v>45286</v>
      </c>
      <c r="P22" s="8">
        <f t="shared" ref="P22:X22" si="1">O22+14</f>
        <v>45300</v>
      </c>
      <c r="Q22" s="8">
        <f t="shared" si="1"/>
        <v>45314</v>
      </c>
      <c r="R22" s="8">
        <f t="shared" si="1"/>
        <v>45328</v>
      </c>
      <c r="S22" s="8">
        <f t="shared" si="1"/>
        <v>45342</v>
      </c>
      <c r="T22" s="8">
        <f t="shared" si="1"/>
        <v>45356</v>
      </c>
      <c r="U22" s="8">
        <f t="shared" si="1"/>
        <v>45370</v>
      </c>
      <c r="V22" s="8">
        <f t="shared" si="1"/>
        <v>45384</v>
      </c>
      <c r="W22" s="8">
        <f t="shared" si="1"/>
        <v>45398</v>
      </c>
      <c r="X22" s="8">
        <f t="shared" si="1"/>
        <v>45412</v>
      </c>
    </row>
    <row r="23" spans="1:26" x14ac:dyDescent="0.25">
      <c r="A23" t="s">
        <v>8</v>
      </c>
      <c r="B23" s="10">
        <v>2258.37</v>
      </c>
      <c r="C23" s="10">
        <f>B23</f>
        <v>2258.37</v>
      </c>
      <c r="D23" s="10">
        <f t="shared" ref="D23:O23" si="2">C23</f>
        <v>2258.37</v>
      </c>
      <c r="E23" s="10">
        <f t="shared" si="2"/>
        <v>2258.37</v>
      </c>
      <c r="F23" s="10">
        <f t="shared" si="2"/>
        <v>2258.37</v>
      </c>
      <c r="G23" s="10">
        <f t="shared" si="2"/>
        <v>2258.37</v>
      </c>
      <c r="H23" s="10">
        <f t="shared" si="2"/>
        <v>2258.37</v>
      </c>
      <c r="I23" s="10">
        <f t="shared" si="2"/>
        <v>2258.37</v>
      </c>
      <c r="J23" s="10">
        <f t="shared" si="2"/>
        <v>2258.37</v>
      </c>
      <c r="K23" s="10">
        <f t="shared" si="2"/>
        <v>2258.37</v>
      </c>
      <c r="L23" s="10">
        <f t="shared" si="2"/>
        <v>2258.37</v>
      </c>
      <c r="M23" s="10">
        <f t="shared" si="2"/>
        <v>2258.37</v>
      </c>
      <c r="N23" s="10">
        <f t="shared" si="2"/>
        <v>2258.37</v>
      </c>
      <c r="O23" s="10">
        <f t="shared" si="2"/>
        <v>2258.37</v>
      </c>
      <c r="P23" s="10">
        <f t="shared" ref="P23" si="3">O23</f>
        <v>2258.37</v>
      </c>
      <c r="Q23" s="10">
        <f t="shared" ref="Q23" si="4">P23</f>
        <v>2258.37</v>
      </c>
      <c r="R23" s="10">
        <f t="shared" ref="R23" si="5">Q23</f>
        <v>2258.37</v>
      </c>
      <c r="S23" s="10">
        <f t="shared" ref="S23" si="6">R23</f>
        <v>2258.37</v>
      </c>
      <c r="T23" s="10">
        <f t="shared" ref="T23" si="7">S23</f>
        <v>2258.37</v>
      </c>
      <c r="U23" s="10">
        <f t="shared" ref="U23" si="8">T23</f>
        <v>2258.37</v>
      </c>
      <c r="V23" s="10">
        <f t="shared" ref="V23" si="9">U23</f>
        <v>2258.37</v>
      </c>
      <c r="W23" s="10">
        <f t="shared" ref="W23" si="10">V23</f>
        <v>2258.37</v>
      </c>
      <c r="X23" s="10">
        <f t="shared" ref="X23" si="11">W23</f>
        <v>2258.37</v>
      </c>
    </row>
    <row r="24" spans="1:26" x14ac:dyDescent="0.25">
      <c r="A24" t="s">
        <v>1</v>
      </c>
      <c r="B24" s="10">
        <v>398.53</v>
      </c>
      <c r="C24" s="10">
        <v>398.53</v>
      </c>
      <c r="D24" s="10">
        <v>398.53</v>
      </c>
      <c r="E24" s="10">
        <v>398.53</v>
      </c>
      <c r="F24" s="10">
        <v>398.53</v>
      </c>
      <c r="G24" s="10">
        <v>398.53</v>
      </c>
      <c r="H24" s="10">
        <v>398.53</v>
      </c>
      <c r="I24" s="10">
        <v>398.53</v>
      </c>
      <c r="J24" s="10">
        <v>398.53</v>
      </c>
      <c r="K24" s="10">
        <v>398.53</v>
      </c>
      <c r="L24" s="10">
        <v>398.53</v>
      </c>
      <c r="M24" s="10">
        <v>398.53</v>
      </c>
      <c r="N24" s="10">
        <v>398.53</v>
      </c>
      <c r="O24" s="10">
        <v>398.53</v>
      </c>
      <c r="P24" s="10">
        <v>399.53</v>
      </c>
      <c r="Q24" s="10">
        <v>400.53</v>
      </c>
      <c r="R24" s="10">
        <v>401.53</v>
      </c>
      <c r="S24" s="10">
        <v>402.53</v>
      </c>
      <c r="T24" s="10">
        <v>403.53</v>
      </c>
      <c r="U24" s="10">
        <v>404.53</v>
      </c>
      <c r="V24" s="10">
        <v>405.53</v>
      </c>
      <c r="W24" s="10">
        <v>406.53</v>
      </c>
      <c r="X24" s="10">
        <v>407.53</v>
      </c>
    </row>
    <row r="25" spans="1:26" x14ac:dyDescent="0.25">
      <c r="B25" s="10">
        <f>SUM(B23:B24)</f>
        <v>2656.8999999999996</v>
      </c>
      <c r="C25" s="10">
        <f t="shared" ref="C25:O25" si="12">SUM(C23:C24)</f>
        <v>2656.8999999999996</v>
      </c>
      <c r="D25" s="10">
        <f t="shared" si="12"/>
        <v>2656.8999999999996</v>
      </c>
      <c r="E25" s="10">
        <f t="shared" si="12"/>
        <v>2656.8999999999996</v>
      </c>
      <c r="F25" s="10">
        <f t="shared" si="12"/>
        <v>2656.8999999999996</v>
      </c>
      <c r="G25" s="10">
        <f t="shared" si="12"/>
        <v>2656.8999999999996</v>
      </c>
      <c r="H25" s="10">
        <f t="shared" si="12"/>
        <v>2656.8999999999996</v>
      </c>
      <c r="I25" s="10">
        <f t="shared" si="12"/>
        <v>2656.8999999999996</v>
      </c>
      <c r="J25" s="10">
        <f t="shared" si="12"/>
        <v>2656.8999999999996</v>
      </c>
      <c r="K25" s="10">
        <f t="shared" si="12"/>
        <v>2656.8999999999996</v>
      </c>
      <c r="L25" s="10">
        <f t="shared" si="12"/>
        <v>2656.8999999999996</v>
      </c>
      <c r="M25" s="10">
        <f t="shared" si="12"/>
        <v>2656.8999999999996</v>
      </c>
      <c r="N25" s="10">
        <f t="shared" si="12"/>
        <v>2656.8999999999996</v>
      </c>
      <c r="O25" s="10">
        <f t="shared" si="12"/>
        <v>2656.8999999999996</v>
      </c>
      <c r="P25" s="10">
        <f t="shared" ref="P25:X25" si="13">SUM(P23:P24)</f>
        <v>2657.8999999999996</v>
      </c>
      <c r="Q25" s="10">
        <f t="shared" si="13"/>
        <v>2658.8999999999996</v>
      </c>
      <c r="R25" s="10">
        <f t="shared" si="13"/>
        <v>2659.8999999999996</v>
      </c>
      <c r="S25" s="10">
        <f t="shared" si="13"/>
        <v>2660.8999999999996</v>
      </c>
      <c r="T25" s="10">
        <f t="shared" si="13"/>
        <v>2661.8999999999996</v>
      </c>
      <c r="U25" s="10">
        <f t="shared" si="13"/>
        <v>2662.8999999999996</v>
      </c>
      <c r="V25" s="10">
        <f t="shared" si="13"/>
        <v>2663.8999999999996</v>
      </c>
      <c r="W25" s="10">
        <f t="shared" si="13"/>
        <v>2664.8999999999996</v>
      </c>
      <c r="X25" s="10">
        <f t="shared" si="13"/>
        <v>2665.8999999999996</v>
      </c>
    </row>
    <row r="26" spans="1:26" x14ac:dyDescent="0.25">
      <c r="B26" s="10"/>
      <c r="C26" s="10"/>
      <c r="D26" s="10"/>
      <c r="E26" s="10"/>
      <c r="F26" s="10"/>
      <c r="G26" s="10"/>
      <c r="H26" s="10"/>
      <c r="I26" s="10"/>
      <c r="J26" s="1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6" x14ac:dyDescent="0.25">
      <c r="A27" t="s">
        <v>20</v>
      </c>
      <c r="B27" s="10">
        <f>B18</f>
        <v>919.69</v>
      </c>
      <c r="C27" s="10">
        <f>B39</f>
        <v>218.94722222222163</v>
      </c>
      <c r="D27" s="10">
        <f t="shared" ref="D27:O27" si="14">C39</f>
        <v>1968.4244444444435</v>
      </c>
      <c r="E27" s="10">
        <f t="shared" si="14"/>
        <v>1267.6816666666646</v>
      </c>
      <c r="F27" s="10">
        <f t="shared" si="14"/>
        <v>3017.1588888888864</v>
      </c>
      <c r="G27" s="10">
        <f t="shared" si="14"/>
        <v>2128.916111111108</v>
      </c>
      <c r="H27" s="10">
        <f t="shared" si="14"/>
        <v>3878.3933333333298</v>
      </c>
      <c r="I27" s="10">
        <f t="shared" si="14"/>
        <v>2990.1505555555514</v>
      </c>
      <c r="J27" s="10">
        <f t="shared" si="14"/>
        <v>4739.6277777777732</v>
      </c>
      <c r="K27" s="10">
        <f t="shared" si="14"/>
        <v>6489.104999999995</v>
      </c>
      <c r="L27" s="10">
        <f t="shared" si="14"/>
        <v>5600.8622222222157</v>
      </c>
      <c r="M27" s="10">
        <f t="shared" si="14"/>
        <v>7350.3394444444384</v>
      </c>
      <c r="N27" s="10">
        <f t="shared" si="14"/>
        <v>6462.09666666666</v>
      </c>
      <c r="O27" s="10">
        <f t="shared" si="14"/>
        <v>8211.5738888888809</v>
      </c>
      <c r="P27" s="10">
        <f t="shared" ref="P27" si="15">O39</f>
        <v>7323.3311111111025</v>
      </c>
      <c r="Q27" s="10">
        <f t="shared" ref="Q27" si="16">P39</f>
        <v>9073.8083333333234</v>
      </c>
      <c r="R27" s="10">
        <f t="shared" ref="R27" si="17">Q39</f>
        <v>8187.565555555545</v>
      </c>
      <c r="S27" s="10">
        <f t="shared" ref="S27" si="18">R39</f>
        <v>9940.0427777777659</v>
      </c>
      <c r="T27" s="10">
        <f>S39</f>
        <v>9055.7999999999884</v>
      </c>
      <c r="U27" s="10">
        <f t="shared" ref="U27" si="19">T39</f>
        <v>11717.699999999988</v>
      </c>
      <c r="V27" s="10">
        <f t="shared" ref="V27" si="20">U39</f>
        <v>11742.879999999986</v>
      </c>
      <c r="W27" s="10">
        <f t="shared" ref="W27" si="21">V39</f>
        <v>14406.779999999986</v>
      </c>
      <c r="X27" s="10">
        <f t="shared" ref="X27" si="22">W39</f>
        <v>14433.959999999985</v>
      </c>
    </row>
    <row r="30" spans="1:26" x14ac:dyDescent="0.25">
      <c r="B30" s="8">
        <v>45108</v>
      </c>
      <c r="C30" s="9"/>
      <c r="D30" s="8">
        <v>45139</v>
      </c>
      <c r="E30" s="9"/>
      <c r="F30" s="8">
        <v>45170</v>
      </c>
      <c r="G30" s="9"/>
      <c r="H30" s="8">
        <v>45200</v>
      </c>
      <c r="I30" s="9"/>
      <c r="J30" s="9"/>
      <c r="K30" s="8">
        <v>45231</v>
      </c>
      <c r="L30" s="9"/>
      <c r="M30" s="8">
        <v>45261</v>
      </c>
      <c r="N30" s="9"/>
      <c r="O30" s="8">
        <v>44927</v>
      </c>
      <c r="P30" s="9"/>
      <c r="Q30" s="8">
        <v>45108</v>
      </c>
      <c r="R30" s="9"/>
      <c r="S30" s="8">
        <v>45139</v>
      </c>
      <c r="T30" s="9"/>
      <c r="U30" s="8">
        <v>45170</v>
      </c>
      <c r="V30" s="9"/>
      <c r="W30" s="8">
        <v>45200</v>
      </c>
      <c r="X30" s="9"/>
    </row>
    <row r="31" spans="1:26" x14ac:dyDescent="0.25">
      <c r="A31" t="s">
        <v>29</v>
      </c>
      <c r="B31" s="14">
        <f>$E$19</f>
        <v>907.42277777777792</v>
      </c>
      <c r="C31" s="14">
        <f t="shared" ref="C31:X31" si="23">$E$19</f>
        <v>907.42277777777792</v>
      </c>
      <c r="D31" s="14">
        <f t="shared" si="23"/>
        <v>907.42277777777792</v>
      </c>
      <c r="E31" s="14">
        <f t="shared" si="23"/>
        <v>907.42277777777792</v>
      </c>
      <c r="F31" s="14">
        <f t="shared" si="23"/>
        <v>907.42277777777792</v>
      </c>
      <c r="G31" s="14">
        <f t="shared" si="23"/>
        <v>907.42277777777792</v>
      </c>
      <c r="H31" s="14">
        <f t="shared" si="23"/>
        <v>907.42277777777792</v>
      </c>
      <c r="I31" s="14">
        <f t="shared" si="23"/>
        <v>907.42277777777792</v>
      </c>
      <c r="J31" s="14">
        <f t="shared" si="23"/>
        <v>907.42277777777792</v>
      </c>
      <c r="K31" s="14">
        <f t="shared" si="23"/>
        <v>907.42277777777792</v>
      </c>
      <c r="L31" s="14">
        <f t="shared" si="23"/>
        <v>907.42277777777792</v>
      </c>
      <c r="M31" s="14">
        <f t="shared" si="23"/>
        <v>907.42277777777792</v>
      </c>
      <c r="N31" s="14">
        <f t="shared" si="23"/>
        <v>907.42277777777792</v>
      </c>
      <c r="O31" s="14">
        <f t="shared" si="23"/>
        <v>907.42277777777792</v>
      </c>
      <c r="P31" s="14">
        <f t="shared" si="23"/>
        <v>907.42277777777792</v>
      </c>
      <c r="Q31" s="14">
        <f t="shared" si="23"/>
        <v>907.42277777777792</v>
      </c>
      <c r="R31" s="14">
        <f t="shared" si="23"/>
        <v>907.42277777777792</v>
      </c>
      <c r="S31" s="14">
        <f t="shared" si="23"/>
        <v>907.42277777777792</v>
      </c>
      <c r="T31" s="14"/>
      <c r="U31" s="14"/>
      <c r="V31" s="14"/>
      <c r="W31" s="14"/>
      <c r="X31" s="14"/>
      <c r="Y31" s="5">
        <f>SUM(B31:S31)</f>
        <v>16333.610000000002</v>
      </c>
      <c r="Z31" s="15">
        <f>Y31/C19</f>
        <v>0.93551365416326115</v>
      </c>
    </row>
    <row r="32" spans="1:26" x14ac:dyDescent="0.25">
      <c r="A32" t="s">
        <v>11</v>
      </c>
      <c r="B32" s="10">
        <v>125.1</v>
      </c>
      <c r="C32" s="10"/>
      <c r="D32" s="10">
        <v>125.1</v>
      </c>
      <c r="E32" s="10"/>
      <c r="F32" s="10">
        <v>125.1</v>
      </c>
      <c r="G32" s="10"/>
      <c r="H32" s="10">
        <v>125.1</v>
      </c>
      <c r="I32" s="10"/>
      <c r="J32" s="11"/>
      <c r="K32" s="10">
        <v>125.1</v>
      </c>
      <c r="L32" s="10"/>
      <c r="M32" s="10">
        <v>125.1</v>
      </c>
      <c r="N32" s="10"/>
      <c r="O32" s="10">
        <v>125.1</v>
      </c>
      <c r="P32" s="10"/>
      <c r="Q32" s="10">
        <v>125.1</v>
      </c>
      <c r="R32" s="10"/>
      <c r="S32" s="10">
        <v>125.1</v>
      </c>
      <c r="T32" s="10"/>
      <c r="U32" s="10">
        <v>125.1</v>
      </c>
      <c r="V32" s="10"/>
      <c r="W32" s="10">
        <v>125.1</v>
      </c>
      <c r="X32" s="10"/>
    </row>
    <row r="33" spans="1:24" x14ac:dyDescent="0.25">
      <c r="A33" t="s">
        <v>22</v>
      </c>
      <c r="B33" s="10">
        <v>625</v>
      </c>
      <c r="C33" s="10"/>
      <c r="D33" s="10">
        <v>625</v>
      </c>
      <c r="E33" s="10"/>
      <c r="F33" s="10">
        <v>812.5</v>
      </c>
      <c r="G33" s="10"/>
      <c r="H33" s="10">
        <v>812.5</v>
      </c>
      <c r="I33" s="10"/>
      <c r="J33" s="11"/>
      <c r="K33" s="10">
        <v>812.5</v>
      </c>
      <c r="L33" s="10"/>
      <c r="M33" s="10">
        <v>812.5</v>
      </c>
      <c r="N33" s="10"/>
      <c r="O33" s="10">
        <v>812.5</v>
      </c>
      <c r="P33" s="10"/>
      <c r="Q33" s="10">
        <v>812.5</v>
      </c>
      <c r="R33" s="10"/>
      <c r="S33" s="10">
        <v>812.5</v>
      </c>
      <c r="T33" s="10"/>
      <c r="U33" s="10">
        <v>812.5</v>
      </c>
      <c r="V33" s="10"/>
      <c r="W33" s="10">
        <v>812.5</v>
      </c>
      <c r="X33" s="10"/>
    </row>
    <row r="34" spans="1:24" x14ac:dyDescent="0.25">
      <c r="A34" t="s">
        <v>3</v>
      </c>
      <c r="B34" s="10">
        <v>250.12</v>
      </c>
      <c r="C34" s="10"/>
      <c r="D34" s="10">
        <v>250.12</v>
      </c>
      <c r="E34" s="10"/>
      <c r="F34" s="10">
        <v>250.12</v>
      </c>
      <c r="G34" s="10"/>
      <c r="H34" s="10">
        <v>250.12</v>
      </c>
      <c r="I34" s="10"/>
      <c r="J34" s="11"/>
      <c r="K34" s="10">
        <v>250.12</v>
      </c>
      <c r="L34" s="10"/>
      <c r="M34" s="10">
        <v>250.12</v>
      </c>
      <c r="N34" s="10"/>
      <c r="O34" s="10">
        <v>250.12</v>
      </c>
      <c r="P34" s="10"/>
      <c r="Q34" s="10">
        <v>250.12</v>
      </c>
      <c r="R34" s="10"/>
      <c r="S34" s="10">
        <v>250.12</v>
      </c>
      <c r="T34" s="10"/>
      <c r="U34" s="10">
        <v>250.12</v>
      </c>
      <c r="V34" s="10"/>
      <c r="W34" s="10">
        <v>250.12</v>
      </c>
      <c r="X34" s="10"/>
    </row>
    <row r="35" spans="1:24" x14ac:dyDescent="0.25">
      <c r="A35" t="s">
        <v>23</v>
      </c>
      <c r="B35" s="12">
        <v>700</v>
      </c>
      <c r="C35" s="12"/>
      <c r="D35" s="12">
        <v>700</v>
      </c>
      <c r="E35" s="12"/>
      <c r="F35" s="12">
        <v>700</v>
      </c>
      <c r="G35" s="12"/>
      <c r="H35" s="12">
        <v>700</v>
      </c>
      <c r="I35" s="12"/>
      <c r="J35" s="13"/>
      <c r="K35" s="12">
        <v>700</v>
      </c>
      <c r="L35" s="12"/>
      <c r="M35" s="12">
        <v>700</v>
      </c>
      <c r="N35" s="12"/>
      <c r="O35" s="12">
        <v>700</v>
      </c>
      <c r="P35" s="12"/>
      <c r="Q35" s="12">
        <v>700</v>
      </c>
      <c r="R35" s="12"/>
      <c r="S35" s="12">
        <v>700</v>
      </c>
      <c r="T35" s="12"/>
      <c r="U35" s="12">
        <v>700</v>
      </c>
      <c r="V35" s="12"/>
      <c r="W35" s="12">
        <v>700</v>
      </c>
      <c r="X35" s="12"/>
    </row>
    <row r="36" spans="1:24" x14ac:dyDescent="0.25">
      <c r="A36" t="s">
        <v>21</v>
      </c>
      <c r="B36" s="12">
        <f>$G$19</f>
        <v>750</v>
      </c>
      <c r="C36" s="12"/>
      <c r="D36" s="12">
        <f>$G$19</f>
        <v>750</v>
      </c>
      <c r="E36" s="12"/>
      <c r="F36" s="12">
        <f>$G$19</f>
        <v>750</v>
      </c>
      <c r="G36" s="12"/>
      <c r="H36" s="12">
        <f>$G$19</f>
        <v>750</v>
      </c>
      <c r="I36" s="12"/>
      <c r="J36" s="13"/>
      <c r="K36" s="12">
        <f>$G$19</f>
        <v>750</v>
      </c>
      <c r="L36" s="12"/>
      <c r="M36" s="12">
        <f>$G$19</f>
        <v>750</v>
      </c>
      <c r="N36" s="12"/>
      <c r="O36" s="12">
        <f>$G$19</f>
        <v>750</v>
      </c>
      <c r="P36" s="12"/>
      <c r="Q36" s="12">
        <f>$G$19</f>
        <v>750</v>
      </c>
      <c r="R36" s="12"/>
      <c r="S36" s="12">
        <f>$G$19</f>
        <v>750</v>
      </c>
      <c r="T36" s="12"/>
      <c r="U36" s="12">
        <f>$G$19</f>
        <v>750</v>
      </c>
      <c r="V36" s="12"/>
      <c r="W36" s="12">
        <f>$G$19</f>
        <v>750</v>
      </c>
      <c r="X36" s="12"/>
    </row>
    <row r="37" spans="1:24" x14ac:dyDescent="0.25">
      <c r="A37" s="4"/>
      <c r="J37" s="7"/>
    </row>
    <row r="38" spans="1:24" x14ac:dyDescent="0.25">
      <c r="A38" s="4"/>
    </row>
    <row r="39" spans="1:24" x14ac:dyDescent="0.25">
      <c r="A39" s="4" t="s">
        <v>18</v>
      </c>
      <c r="B39" s="3">
        <f>B25+B27-SUM(B31:B36)</f>
        <v>218.94722222222163</v>
      </c>
      <c r="C39" s="3">
        <f t="shared" ref="C39:O39" si="24">C25+C27-SUM(C31:C36)</f>
        <v>1968.4244444444435</v>
      </c>
      <c r="D39" s="3">
        <f t="shared" si="24"/>
        <v>1267.6816666666646</v>
      </c>
      <c r="E39" s="3">
        <f t="shared" si="24"/>
        <v>3017.1588888888864</v>
      </c>
      <c r="F39" s="3">
        <f t="shared" si="24"/>
        <v>2128.916111111108</v>
      </c>
      <c r="G39" s="3">
        <f t="shared" si="24"/>
        <v>3878.3933333333298</v>
      </c>
      <c r="H39" s="3">
        <f t="shared" si="24"/>
        <v>2990.1505555555514</v>
      </c>
      <c r="I39" s="3">
        <f t="shared" si="24"/>
        <v>4739.6277777777732</v>
      </c>
      <c r="J39" s="3">
        <f t="shared" si="24"/>
        <v>6489.104999999995</v>
      </c>
      <c r="K39" s="3">
        <f t="shared" si="24"/>
        <v>5600.8622222222157</v>
      </c>
      <c r="L39" s="3">
        <f t="shared" si="24"/>
        <v>7350.3394444444384</v>
      </c>
      <c r="M39" s="3">
        <f t="shared" si="24"/>
        <v>6462.09666666666</v>
      </c>
      <c r="N39" s="3">
        <f t="shared" si="24"/>
        <v>8211.5738888888809</v>
      </c>
      <c r="O39" s="3">
        <f t="shared" si="24"/>
        <v>7323.3311111111025</v>
      </c>
      <c r="P39" s="3">
        <f t="shared" ref="P39:X39" si="25">P25+P27-SUM(P31:P36)</f>
        <v>9073.8083333333234</v>
      </c>
      <c r="Q39" s="3">
        <f t="shared" si="25"/>
        <v>8187.565555555545</v>
      </c>
      <c r="R39" s="3">
        <f t="shared" si="25"/>
        <v>9940.0427777777659</v>
      </c>
      <c r="S39" s="3">
        <f>S25+S27-SUM(S31:S36)</f>
        <v>9055.7999999999884</v>
      </c>
      <c r="T39" s="3">
        <f>T25+T27-SUM(T31:T36)</f>
        <v>11717.699999999988</v>
      </c>
      <c r="U39" s="3">
        <f t="shared" si="25"/>
        <v>11742.879999999986</v>
      </c>
      <c r="V39" s="3">
        <f t="shared" si="25"/>
        <v>14406.779999999986</v>
      </c>
      <c r="W39" s="3">
        <f t="shared" si="25"/>
        <v>14433.959999999985</v>
      </c>
      <c r="X39" s="3">
        <f t="shared" si="25"/>
        <v>17099.859999999986</v>
      </c>
    </row>
    <row r="40" spans="1:24" ht="26.25" x14ac:dyDescent="0.25">
      <c r="A40" s="4" t="s">
        <v>27</v>
      </c>
      <c r="B40" s="5">
        <f>C19-B31</f>
        <v>16552.087222222224</v>
      </c>
      <c r="C40" s="3">
        <f>B40-C31</f>
        <v>15644.664444444446</v>
      </c>
      <c r="D40" s="3">
        <f t="shared" ref="D40:O40" si="26">C40-D31</f>
        <v>14737.241666666669</v>
      </c>
      <c r="E40" s="3">
        <f t="shared" si="26"/>
        <v>13829.818888888891</v>
      </c>
      <c r="F40" s="3">
        <f t="shared" si="26"/>
        <v>12922.396111111113</v>
      </c>
      <c r="G40" s="3">
        <f t="shared" si="26"/>
        <v>12014.973333333335</v>
      </c>
      <c r="H40" s="3">
        <f t="shared" si="26"/>
        <v>11107.550555555557</v>
      </c>
      <c r="I40" s="3">
        <f t="shared" si="26"/>
        <v>10200.12777777778</v>
      </c>
      <c r="J40" s="3">
        <f t="shared" si="26"/>
        <v>9292.7050000000017</v>
      </c>
      <c r="K40" s="3">
        <f t="shared" si="26"/>
        <v>8385.2822222222239</v>
      </c>
      <c r="L40" s="3">
        <f t="shared" si="26"/>
        <v>7477.8594444444461</v>
      </c>
      <c r="M40" s="3">
        <f t="shared" si="26"/>
        <v>6570.4366666666683</v>
      </c>
      <c r="N40" s="3">
        <f t="shared" si="26"/>
        <v>5663.0138888888905</v>
      </c>
      <c r="O40" s="3">
        <f t="shared" si="26"/>
        <v>4755.5911111111127</v>
      </c>
      <c r="P40" s="3">
        <f t="shared" ref="P40" si="27">O40-P31</f>
        <v>3848.1683333333349</v>
      </c>
      <c r="Q40" s="3">
        <f t="shared" ref="Q40" si="28">P40-Q31</f>
        <v>2940.7455555555571</v>
      </c>
      <c r="R40" s="3">
        <f t="shared" ref="R40" si="29">Q40-R31</f>
        <v>2033.3227777777793</v>
      </c>
      <c r="S40" s="3">
        <f t="shared" ref="S40" si="30">R40-S31</f>
        <v>1125.9000000000015</v>
      </c>
      <c r="T40" s="3">
        <f t="shared" ref="T40" si="31">S40-T31</f>
        <v>1125.9000000000015</v>
      </c>
      <c r="U40" s="3">
        <f t="shared" ref="U40" si="32">T40-U31</f>
        <v>1125.9000000000015</v>
      </c>
      <c r="V40" s="3">
        <f t="shared" ref="V40" si="33">U40-V31</f>
        <v>1125.9000000000015</v>
      </c>
      <c r="W40" s="3">
        <f t="shared" ref="W40" si="34">V40-W31</f>
        <v>1125.9000000000015</v>
      </c>
      <c r="X40" s="3">
        <f t="shared" ref="X40" si="35">W40-X31</f>
        <v>1125.9000000000015</v>
      </c>
    </row>
    <row r="41" spans="1:24" x14ac:dyDescent="0.25">
      <c r="A41" s="4" t="s">
        <v>28</v>
      </c>
    </row>
    <row r="42" spans="1:24" x14ac:dyDescent="0.25">
      <c r="A42" s="4"/>
    </row>
    <row r="43" spans="1:24" x14ac:dyDescent="0.25">
      <c r="A43" s="4"/>
    </row>
    <row r="44" spans="1:24" x14ac:dyDescent="0.25">
      <c r="A44" s="4"/>
    </row>
    <row r="45" spans="1:24" x14ac:dyDescent="0.25">
      <c r="A45" s="4"/>
    </row>
    <row r="46" spans="1:24" x14ac:dyDescent="0.25">
      <c r="A46" s="4"/>
    </row>
    <row r="47" spans="1:24" x14ac:dyDescent="0.25">
      <c r="A47" s="4"/>
    </row>
    <row r="48" spans="1:24" x14ac:dyDescent="0.25">
      <c r="A48" s="4"/>
    </row>
    <row r="49" spans="1:8" x14ac:dyDescent="0.25">
      <c r="A49" s="4"/>
    </row>
    <row r="50" spans="1:8" x14ac:dyDescent="0.25">
      <c r="H50" s="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27</xdr:row>
                    <xdr:rowOff>171450</xdr:rowOff>
                  </from>
                  <to>
                    <xdr:col>1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28</xdr:row>
                    <xdr:rowOff>0</xdr:rowOff>
                  </from>
                  <to>
                    <xdr:col>3</xdr:col>
                    <xdr:colOff>66675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19050</xdr:colOff>
                    <xdr:row>28</xdr:row>
                    <xdr:rowOff>0</xdr:rowOff>
                  </from>
                  <to>
                    <xdr:col>4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19050</xdr:colOff>
                    <xdr:row>28</xdr:row>
                    <xdr:rowOff>0</xdr:rowOff>
                  </from>
                  <to>
                    <xdr:col>5</xdr:col>
                    <xdr:colOff>28575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28</xdr:row>
                    <xdr:rowOff>0</xdr:rowOff>
                  </from>
                  <to>
                    <xdr:col>6</xdr:col>
                    <xdr:colOff>47625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6</xdr:col>
                    <xdr:colOff>19050</xdr:colOff>
                    <xdr:row>28</xdr:row>
                    <xdr:rowOff>0</xdr:rowOff>
                  </from>
                  <to>
                    <xdr:col>7</xdr:col>
                    <xdr:colOff>28575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7</xdr:col>
                    <xdr:colOff>19050</xdr:colOff>
                    <xdr:row>28</xdr:row>
                    <xdr:rowOff>0</xdr:rowOff>
                  </from>
                  <to>
                    <xdr:col>8</xdr:col>
                    <xdr:colOff>47625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8</xdr:col>
                    <xdr:colOff>19050</xdr:colOff>
                    <xdr:row>28</xdr:row>
                    <xdr:rowOff>0</xdr:rowOff>
                  </from>
                  <to>
                    <xdr:col>9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9</xdr:col>
                    <xdr:colOff>19050</xdr:colOff>
                    <xdr:row>28</xdr:row>
                    <xdr:rowOff>0</xdr:rowOff>
                  </from>
                  <to>
                    <xdr:col>10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10</xdr:col>
                    <xdr:colOff>19050</xdr:colOff>
                    <xdr:row>28</xdr:row>
                    <xdr:rowOff>0</xdr:rowOff>
                  </from>
                  <to>
                    <xdr:col>11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11</xdr:col>
                    <xdr:colOff>19050</xdr:colOff>
                    <xdr:row>28</xdr:row>
                    <xdr:rowOff>0</xdr:rowOff>
                  </from>
                  <to>
                    <xdr:col>12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12</xdr:col>
                    <xdr:colOff>19050</xdr:colOff>
                    <xdr:row>28</xdr:row>
                    <xdr:rowOff>0</xdr:rowOff>
                  </from>
                  <to>
                    <xdr:col>13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13</xdr:col>
                    <xdr:colOff>19050</xdr:colOff>
                    <xdr:row>28</xdr:row>
                    <xdr:rowOff>0</xdr:rowOff>
                  </from>
                  <to>
                    <xdr:col>14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14</xdr:col>
                    <xdr:colOff>19050</xdr:colOff>
                    <xdr:row>28</xdr:row>
                    <xdr:rowOff>0</xdr:rowOff>
                  </from>
                  <to>
                    <xdr:col>15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15</xdr:col>
                    <xdr:colOff>19050</xdr:colOff>
                    <xdr:row>28</xdr:row>
                    <xdr:rowOff>0</xdr:rowOff>
                  </from>
                  <to>
                    <xdr:col>16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16</xdr:col>
                    <xdr:colOff>19050</xdr:colOff>
                    <xdr:row>28</xdr:row>
                    <xdr:rowOff>0</xdr:rowOff>
                  </from>
                  <to>
                    <xdr:col>17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17</xdr:col>
                    <xdr:colOff>19050</xdr:colOff>
                    <xdr:row>28</xdr:row>
                    <xdr:rowOff>0</xdr:rowOff>
                  </from>
                  <to>
                    <xdr:col>18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18</xdr:col>
                    <xdr:colOff>19050</xdr:colOff>
                    <xdr:row>28</xdr:row>
                    <xdr:rowOff>0</xdr:rowOff>
                  </from>
                  <to>
                    <xdr:col>19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19</xdr:col>
                    <xdr:colOff>19050</xdr:colOff>
                    <xdr:row>28</xdr:row>
                    <xdr:rowOff>0</xdr:rowOff>
                  </from>
                  <to>
                    <xdr:col>20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20</xdr:col>
                    <xdr:colOff>19050</xdr:colOff>
                    <xdr:row>28</xdr:row>
                    <xdr:rowOff>0</xdr:rowOff>
                  </from>
                  <to>
                    <xdr:col>21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21</xdr:col>
                    <xdr:colOff>19050</xdr:colOff>
                    <xdr:row>28</xdr:row>
                    <xdr:rowOff>0</xdr:rowOff>
                  </from>
                  <to>
                    <xdr:col>22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22</xdr:col>
                    <xdr:colOff>19050</xdr:colOff>
                    <xdr:row>28</xdr:row>
                    <xdr:rowOff>0</xdr:rowOff>
                  </from>
                  <to>
                    <xdr:col>23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23</xdr:col>
                    <xdr:colOff>19050</xdr:colOff>
                    <xdr:row>28</xdr:row>
                    <xdr:rowOff>0</xdr:rowOff>
                  </from>
                  <to>
                    <xdr:col>24</xdr:col>
                    <xdr:colOff>76200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2</xdr:col>
                    <xdr:colOff>19050</xdr:colOff>
                    <xdr:row>27</xdr:row>
                    <xdr:rowOff>171450</xdr:rowOff>
                  </from>
                  <to>
                    <xdr:col>2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3</xdr:col>
                    <xdr:colOff>19050</xdr:colOff>
                    <xdr:row>27</xdr:row>
                    <xdr:rowOff>171450</xdr:rowOff>
                  </from>
                  <to>
                    <xdr:col>3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27</xdr:row>
                    <xdr:rowOff>171450</xdr:rowOff>
                  </from>
                  <to>
                    <xdr:col>4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5</xdr:col>
                    <xdr:colOff>19050</xdr:colOff>
                    <xdr:row>27</xdr:row>
                    <xdr:rowOff>171450</xdr:rowOff>
                  </from>
                  <to>
                    <xdr:col>5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6</xdr:col>
                    <xdr:colOff>19050</xdr:colOff>
                    <xdr:row>27</xdr:row>
                    <xdr:rowOff>171450</xdr:rowOff>
                  </from>
                  <to>
                    <xdr:col>6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7</xdr:col>
                    <xdr:colOff>19050</xdr:colOff>
                    <xdr:row>27</xdr:row>
                    <xdr:rowOff>171450</xdr:rowOff>
                  </from>
                  <to>
                    <xdr:col>7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8</xdr:col>
                    <xdr:colOff>19050</xdr:colOff>
                    <xdr:row>27</xdr:row>
                    <xdr:rowOff>171450</xdr:rowOff>
                  </from>
                  <to>
                    <xdr:col>8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9</xdr:col>
                    <xdr:colOff>19050</xdr:colOff>
                    <xdr:row>27</xdr:row>
                    <xdr:rowOff>171450</xdr:rowOff>
                  </from>
                  <to>
                    <xdr:col>9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10</xdr:col>
                    <xdr:colOff>19050</xdr:colOff>
                    <xdr:row>27</xdr:row>
                    <xdr:rowOff>171450</xdr:rowOff>
                  </from>
                  <to>
                    <xdr:col>10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11</xdr:col>
                    <xdr:colOff>19050</xdr:colOff>
                    <xdr:row>27</xdr:row>
                    <xdr:rowOff>171450</xdr:rowOff>
                  </from>
                  <to>
                    <xdr:col>11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12</xdr:col>
                    <xdr:colOff>19050</xdr:colOff>
                    <xdr:row>27</xdr:row>
                    <xdr:rowOff>171450</xdr:rowOff>
                  </from>
                  <to>
                    <xdr:col>12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13</xdr:col>
                    <xdr:colOff>19050</xdr:colOff>
                    <xdr:row>27</xdr:row>
                    <xdr:rowOff>171450</xdr:rowOff>
                  </from>
                  <to>
                    <xdr:col>13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14</xdr:col>
                    <xdr:colOff>19050</xdr:colOff>
                    <xdr:row>27</xdr:row>
                    <xdr:rowOff>171450</xdr:rowOff>
                  </from>
                  <to>
                    <xdr:col>14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15</xdr:col>
                    <xdr:colOff>19050</xdr:colOff>
                    <xdr:row>27</xdr:row>
                    <xdr:rowOff>171450</xdr:rowOff>
                  </from>
                  <to>
                    <xdr:col>15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16</xdr:col>
                    <xdr:colOff>19050</xdr:colOff>
                    <xdr:row>27</xdr:row>
                    <xdr:rowOff>171450</xdr:rowOff>
                  </from>
                  <to>
                    <xdr:col>16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17</xdr:col>
                    <xdr:colOff>19050</xdr:colOff>
                    <xdr:row>27</xdr:row>
                    <xdr:rowOff>171450</xdr:rowOff>
                  </from>
                  <to>
                    <xdr:col>17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18</xdr:col>
                    <xdr:colOff>19050</xdr:colOff>
                    <xdr:row>27</xdr:row>
                    <xdr:rowOff>171450</xdr:rowOff>
                  </from>
                  <to>
                    <xdr:col>18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19</xdr:col>
                    <xdr:colOff>19050</xdr:colOff>
                    <xdr:row>27</xdr:row>
                    <xdr:rowOff>171450</xdr:rowOff>
                  </from>
                  <to>
                    <xdr:col>19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20</xdr:col>
                    <xdr:colOff>19050</xdr:colOff>
                    <xdr:row>27</xdr:row>
                    <xdr:rowOff>171450</xdr:rowOff>
                  </from>
                  <to>
                    <xdr:col>20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21</xdr:col>
                    <xdr:colOff>19050</xdr:colOff>
                    <xdr:row>27</xdr:row>
                    <xdr:rowOff>171450</xdr:rowOff>
                  </from>
                  <to>
                    <xdr:col>21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22</xdr:col>
                    <xdr:colOff>19050</xdr:colOff>
                    <xdr:row>27</xdr:row>
                    <xdr:rowOff>171450</xdr:rowOff>
                  </from>
                  <to>
                    <xdr:col>22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23</xdr:col>
                    <xdr:colOff>19050</xdr:colOff>
                    <xdr:row>27</xdr:row>
                    <xdr:rowOff>171450</xdr:rowOff>
                  </from>
                  <to>
                    <xdr:col>23</xdr:col>
                    <xdr:colOff>257175</xdr:colOff>
                    <xdr:row>29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Lewis</dc:creator>
  <cp:lastModifiedBy>Sean Lewis</cp:lastModifiedBy>
  <dcterms:created xsi:type="dcterms:W3CDTF">2023-06-17T20:07:40Z</dcterms:created>
  <dcterms:modified xsi:type="dcterms:W3CDTF">2023-06-28T21:33:28Z</dcterms:modified>
</cp:coreProperties>
</file>