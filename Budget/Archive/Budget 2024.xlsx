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an\Documents\Personal\Budget\Archive\"/>
    </mc:Choice>
  </mc:AlternateContent>
  <xr:revisionPtr revIDLastSave="0" documentId="13_ncr:1_{6D51BA9C-D9ED-46A2-A984-560CD1EC91CF}" xr6:coauthVersionLast="47" xr6:coauthVersionMax="47" xr10:uidLastSave="{00000000-0000-0000-0000-000000000000}"/>
  <bookViews>
    <workbookView xWindow="-120" yWindow="-120" windowWidth="51840" windowHeight="21120" activeTab="4" xr2:uid="{BC148D3B-3B88-4CFA-B698-AC35052FD259}"/>
  </bookViews>
  <sheets>
    <sheet name="Data" sheetId="1" r:id="rId1"/>
    <sheet name="Reoccurring" sheetId="7" r:id="rId2"/>
    <sheet name="Summary" sheetId="6" r:id="rId3"/>
    <sheet name="Categories" sheetId="10" r:id="rId4"/>
    <sheet name="Check" sheetId="11" r:id="rId5"/>
    <sheet name="Loan Schedule" sheetId="8" r:id="rId6"/>
    <sheet name="Lasik" sheetId="9" r:id="rId7"/>
  </sheets>
  <definedNames>
    <definedName name="_xlnm._FilterDatabase" localSheetId="3" hidden="1">Check!$A$1:$D$134</definedName>
    <definedName name="_xlnm._FilterDatabase" localSheetId="4" hidden="1">Check!$A$1:$D$156</definedName>
  </definedNames>
  <calcPr calcId="191029"/>
  <pivotCaches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6" l="1"/>
  <c r="E51" i="6"/>
  <c r="F51" i="6"/>
  <c r="G51" i="6"/>
  <c r="H51" i="6"/>
  <c r="I51" i="6"/>
  <c r="J51" i="6"/>
  <c r="K51" i="6"/>
  <c r="L51" i="6"/>
  <c r="M51" i="6"/>
  <c r="N51" i="6"/>
  <c r="C51" i="6"/>
  <c r="N31" i="6"/>
  <c r="M31" i="6"/>
  <c r="L31" i="6"/>
  <c r="K31" i="6"/>
  <c r="J31" i="6"/>
  <c r="I31" i="6"/>
  <c r="H31" i="6"/>
  <c r="G31" i="6"/>
  <c r="F31" i="6"/>
  <c r="E31" i="6"/>
  <c r="D31" i="6"/>
  <c r="N38" i="6" a="1"/>
  <c r="N38" i="6" s="1"/>
  <c r="M38" i="6" a="1"/>
  <c r="M38" i="6" s="1"/>
  <c r="L38" i="6" a="1"/>
  <c r="L38" i="6" s="1"/>
  <c r="K38" i="6" a="1"/>
  <c r="K38" i="6" s="1"/>
  <c r="J38" i="6" a="1"/>
  <c r="J38" i="6" s="1"/>
  <c r="I38" i="6" a="1"/>
  <c r="I38" i="6" s="1"/>
  <c r="H38" i="6" a="1"/>
  <c r="H38" i="6" s="1"/>
  <c r="G38" i="6" a="1"/>
  <c r="G38" i="6" s="1"/>
  <c r="F38" i="6" a="1"/>
  <c r="F38" i="6" s="1"/>
  <c r="E38" i="6" a="1"/>
  <c r="E38" i="6" s="1"/>
  <c r="D38" i="6" a="1"/>
  <c r="D38" i="6" s="1"/>
  <c r="N30" i="6" a="1"/>
  <c r="N30" i="6" s="1"/>
  <c r="M30" i="6" a="1"/>
  <c r="M30" i="6" s="1"/>
  <c r="L30" i="6" a="1"/>
  <c r="L30" i="6" s="1"/>
  <c r="K30" i="6" a="1"/>
  <c r="K30" i="6" s="1"/>
  <c r="J30" i="6" a="1"/>
  <c r="J30" i="6" s="1"/>
  <c r="I30" i="6" a="1"/>
  <c r="I30" i="6" s="1"/>
  <c r="H30" i="6" a="1"/>
  <c r="H30" i="6" s="1"/>
  <c r="G30" i="6" a="1"/>
  <c r="G30" i="6" s="1"/>
  <c r="F30" i="6" a="1"/>
  <c r="F30" i="6" s="1"/>
  <c r="E30" i="6" a="1"/>
  <c r="E30" i="6" s="1"/>
  <c r="D30" i="6" a="1"/>
  <c r="D30" i="6" s="1"/>
  <c r="C30" i="6" a="1"/>
  <c r="C30" i="6" s="1"/>
  <c r="C38" i="6" a="1"/>
  <c r="C38" i="6" s="1"/>
  <c r="C39" i="6" s="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F24" i="6" a="1"/>
  <c r="F24" i="6" s="1"/>
  <c r="N24" i="6" a="1"/>
  <c r="N24" i="6" s="1"/>
  <c r="M24" i="6" a="1"/>
  <c r="M24" i="6" s="1"/>
  <c r="L24" i="6" a="1"/>
  <c r="L24" i="6" s="1"/>
  <c r="K24" i="6" a="1"/>
  <c r="K24" i="6" s="1"/>
  <c r="J24" i="6" a="1"/>
  <c r="J24" i="6" s="1"/>
  <c r="I24" i="6" a="1"/>
  <c r="I24" i="6" s="1"/>
  <c r="H24" i="6" a="1"/>
  <c r="H24" i="6" s="1"/>
  <c r="G24" i="6" a="1"/>
  <c r="G24" i="6" s="1"/>
  <c r="E24" i="6" a="1"/>
  <c r="E24" i="6" s="1"/>
  <c r="D24" i="6" a="1"/>
  <c r="D24" i="6" s="1"/>
  <c r="C24" i="6" a="1"/>
  <c r="C24" i="6" s="1"/>
  <c r="C25" i="6" s="1"/>
  <c r="D134" i="11"/>
  <c r="D133" i="11"/>
  <c r="D132" i="11"/>
  <c r="D131" i="11"/>
  <c r="D130" i="11"/>
  <c r="D129" i="11"/>
  <c r="D128" i="11"/>
  <c r="D127" i="11"/>
  <c r="D126" i="11"/>
  <c r="D125" i="11"/>
  <c r="D124" i="11"/>
  <c r="D123" i="11"/>
  <c r="D122" i="11"/>
  <c r="D121" i="11"/>
  <c r="D120" i="11"/>
  <c r="D119" i="11"/>
  <c r="D118" i="11"/>
  <c r="D117" i="11"/>
  <c r="D116" i="11"/>
  <c r="D115" i="11"/>
  <c r="D114" i="11"/>
  <c r="D113" i="11"/>
  <c r="D112" i="11"/>
  <c r="D111" i="11"/>
  <c r="D110" i="11"/>
  <c r="D109" i="11"/>
  <c r="D108" i="11"/>
  <c r="D107" i="11"/>
  <c r="D106" i="11"/>
  <c r="D105" i="11"/>
  <c r="D104" i="11"/>
  <c r="D103" i="11"/>
  <c r="D102" i="11"/>
  <c r="D101" i="11"/>
  <c r="D100" i="11"/>
  <c r="D99" i="11"/>
  <c r="D98" i="11"/>
  <c r="D97" i="11"/>
  <c r="D96" i="11"/>
  <c r="D95" i="11"/>
  <c r="D94" i="11"/>
  <c r="D93" i="11"/>
  <c r="D92" i="11"/>
  <c r="D91" i="11"/>
  <c r="D90" i="11"/>
  <c r="D89" i="11"/>
  <c r="D88" i="11"/>
  <c r="D87" i="11"/>
  <c r="D86" i="11"/>
  <c r="D85" i="11"/>
  <c r="D84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D69" i="11"/>
  <c r="D68" i="11"/>
  <c r="D67" i="11"/>
  <c r="D66" i="11"/>
  <c r="D65" i="11"/>
  <c r="D64" i="11"/>
  <c r="D63" i="11"/>
  <c r="D62" i="11"/>
  <c r="D61" i="11"/>
  <c r="D60" i="11"/>
  <c r="D59" i="11"/>
  <c r="D58" i="11"/>
  <c r="D57" i="11"/>
  <c r="D56" i="11"/>
  <c r="D55" i="11"/>
  <c r="D54" i="11"/>
  <c r="D53" i="11"/>
  <c r="D52" i="11"/>
  <c r="D51" i="11"/>
  <c r="D50" i="11"/>
  <c r="D49" i="11"/>
  <c r="D48" i="11"/>
  <c r="D47" i="11"/>
  <c r="D46" i="11"/>
  <c r="D45" i="11"/>
  <c r="D44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C23" i="6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D49" i="6"/>
  <c r="E49" i="6" s="1"/>
  <c r="F49" i="6" s="1"/>
  <c r="G49" i="6" s="1"/>
  <c r="H49" i="6" s="1"/>
  <c r="I49" i="6" s="1"/>
  <c r="J49" i="6" s="1"/>
  <c r="K49" i="6" s="1"/>
  <c r="L49" i="6" s="1"/>
  <c r="M49" i="6" s="1"/>
  <c r="N49" i="6" s="1"/>
  <c r="D42" i="6"/>
  <c r="E42" i="6" s="1"/>
  <c r="F42" i="6" s="1"/>
  <c r="G42" i="6" s="1"/>
  <c r="H42" i="6" s="1"/>
  <c r="I42" i="6" s="1"/>
  <c r="J42" i="6" s="1"/>
  <c r="K42" i="6" s="1"/>
  <c r="L42" i="6" s="1"/>
  <c r="M42" i="6" s="1"/>
  <c r="N42" i="6" s="1"/>
  <c r="C34" i="6"/>
  <c r="C35" i="6"/>
  <c r="C36" i="6"/>
  <c r="C37" i="6"/>
  <c r="C29" i="6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D33" i="6"/>
  <c r="E33" i="6" s="1"/>
  <c r="F33" i="6" s="1"/>
  <c r="G33" i="6" s="1"/>
  <c r="H33" i="6" s="1"/>
  <c r="I33" i="6" s="1"/>
  <c r="J33" i="6" s="1"/>
  <c r="K33" i="6" s="1"/>
  <c r="L33" i="6" s="1"/>
  <c r="M33" i="6" s="1"/>
  <c r="N33" i="6" s="1"/>
  <c r="D27" i="6"/>
  <c r="E27" i="6" s="1"/>
  <c r="F27" i="6" s="1"/>
  <c r="G27" i="6" s="1"/>
  <c r="H27" i="6" s="1"/>
  <c r="I27" i="6" s="1"/>
  <c r="J27" i="6" s="1"/>
  <c r="K27" i="6" s="1"/>
  <c r="L27" i="6" s="1"/>
  <c r="M27" i="6" s="1"/>
  <c r="N27" i="6" s="1"/>
  <c r="D10" i="6"/>
  <c r="E10" i="6" s="1"/>
  <c r="F10" i="6" s="1"/>
  <c r="G10" i="6" s="1"/>
  <c r="H10" i="6" s="1"/>
  <c r="I10" i="6" s="1"/>
  <c r="J10" i="6" s="1"/>
  <c r="K10" i="6" s="1"/>
  <c r="L10" i="6" s="1"/>
  <c r="M10" i="6" s="1"/>
  <c r="N10" i="6" s="1"/>
  <c r="P1125" i="1"/>
  <c r="P1123" i="1"/>
  <c r="P1124" i="1"/>
  <c r="P1120" i="1"/>
  <c r="P1121" i="1"/>
  <c r="P1122" i="1"/>
  <c r="P1118" i="1"/>
  <c r="P1119" i="1"/>
  <c r="P1116" i="1"/>
  <c r="P1117" i="1"/>
  <c r="P1115" i="1"/>
  <c r="P1113" i="1"/>
  <c r="P1114" i="1"/>
  <c r="P1111" i="1"/>
  <c r="P1112" i="1"/>
  <c r="P1108" i="1"/>
  <c r="P1109" i="1"/>
  <c r="P1110" i="1"/>
  <c r="P1107" i="1"/>
  <c r="P1106" i="1"/>
  <c r="P1105" i="1"/>
  <c r="P1100" i="1"/>
  <c r="P1101" i="1"/>
  <c r="P1102" i="1"/>
  <c r="P1103" i="1"/>
  <c r="P1104" i="1"/>
  <c r="P1099" i="1"/>
  <c r="P1095" i="1"/>
  <c r="P1096" i="1"/>
  <c r="P1097" i="1"/>
  <c r="P1098" i="1"/>
  <c r="P1094" i="1"/>
  <c r="P1093" i="1"/>
  <c r="P1092" i="1"/>
  <c r="P1091" i="1"/>
  <c r="P1090" i="1"/>
  <c r="P1088" i="1"/>
  <c r="P1089" i="1"/>
  <c r="P1087" i="1"/>
  <c r="P1084" i="1"/>
  <c r="P1085" i="1"/>
  <c r="P1086" i="1"/>
  <c r="P1082" i="1"/>
  <c r="P1083" i="1"/>
  <c r="P1081" i="1"/>
  <c r="P1080" i="1"/>
  <c r="P1079" i="1"/>
  <c r="P1078" i="1"/>
  <c r="P1077" i="1"/>
  <c r="P1075" i="1"/>
  <c r="P1076" i="1"/>
  <c r="P1073" i="1"/>
  <c r="P1074" i="1"/>
  <c r="P1070" i="1"/>
  <c r="P1071" i="1"/>
  <c r="P1072" i="1"/>
  <c r="P1067" i="1"/>
  <c r="P1068" i="1"/>
  <c r="P1069" i="1"/>
  <c r="P1066" i="1"/>
  <c r="P1063" i="1"/>
  <c r="P1064" i="1"/>
  <c r="P1065" i="1"/>
  <c r="P1061" i="1"/>
  <c r="P1062" i="1"/>
  <c r="P1059" i="1"/>
  <c r="P1060" i="1"/>
  <c r="P1055" i="1"/>
  <c r="P1056" i="1"/>
  <c r="P1057" i="1"/>
  <c r="P1058" i="1"/>
  <c r="P1053" i="1"/>
  <c r="P1054" i="1"/>
  <c r="P1052" i="1"/>
  <c r="P1050" i="1"/>
  <c r="P1051" i="1"/>
  <c r="P1049" i="1"/>
  <c r="P1047" i="1"/>
  <c r="P1048" i="1"/>
  <c r="P1040" i="1"/>
  <c r="P1041" i="1"/>
  <c r="P1042" i="1"/>
  <c r="P1043" i="1"/>
  <c r="P1044" i="1"/>
  <c r="P1045" i="1"/>
  <c r="P1046" i="1"/>
  <c r="P1032" i="1"/>
  <c r="P1033" i="1"/>
  <c r="P1034" i="1"/>
  <c r="P1035" i="1"/>
  <c r="P1036" i="1"/>
  <c r="P1037" i="1"/>
  <c r="P1038" i="1"/>
  <c r="P1039" i="1"/>
  <c r="P1026" i="1"/>
  <c r="P1027" i="1"/>
  <c r="P1028" i="1"/>
  <c r="P1029" i="1"/>
  <c r="P1030" i="1"/>
  <c r="P1031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994" i="1"/>
  <c r="P995" i="1"/>
  <c r="P996" i="1"/>
  <c r="P997" i="1"/>
  <c r="P998" i="1"/>
  <c r="P999" i="1"/>
  <c r="P1000" i="1"/>
  <c r="P1001" i="1"/>
  <c r="P1002" i="1"/>
  <c r="P992" i="1"/>
  <c r="P993" i="1"/>
  <c r="P988" i="1"/>
  <c r="P989" i="1"/>
  <c r="P990" i="1"/>
  <c r="P991" i="1"/>
  <c r="P984" i="1"/>
  <c r="P985" i="1"/>
  <c r="P986" i="1"/>
  <c r="P987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53" i="1"/>
  <c r="P954" i="1"/>
  <c r="P955" i="1"/>
  <c r="P956" i="1"/>
  <c r="P957" i="1"/>
  <c r="P958" i="1"/>
  <c r="P959" i="1"/>
  <c r="P960" i="1"/>
  <c r="P961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33" i="1"/>
  <c r="P934" i="1"/>
  <c r="P935" i="1"/>
  <c r="P936" i="1"/>
  <c r="P937" i="1"/>
  <c r="P938" i="1"/>
  <c r="P939" i="1"/>
  <c r="P940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06" i="1"/>
  <c r="P907" i="1"/>
  <c r="P908" i="1"/>
  <c r="P909" i="1"/>
  <c r="P910" i="1"/>
  <c r="P911" i="1"/>
  <c r="P899" i="1"/>
  <c r="P900" i="1"/>
  <c r="P901" i="1"/>
  <c r="P902" i="1"/>
  <c r="P903" i="1"/>
  <c r="P904" i="1"/>
  <c r="P905" i="1"/>
  <c r="P896" i="1"/>
  <c r="P897" i="1"/>
  <c r="P898" i="1"/>
  <c r="P892" i="1"/>
  <c r="P893" i="1"/>
  <c r="P894" i="1"/>
  <c r="P895" i="1"/>
  <c r="P887" i="1"/>
  <c r="P888" i="1"/>
  <c r="P889" i="1"/>
  <c r="P890" i="1"/>
  <c r="P891" i="1"/>
  <c r="P886" i="1"/>
  <c r="P885" i="1"/>
  <c r="P880" i="1"/>
  <c r="P881" i="1"/>
  <c r="P882" i="1"/>
  <c r="P883" i="1"/>
  <c r="P884" i="1"/>
  <c r="P878" i="1"/>
  <c r="P879" i="1"/>
  <c r="P876" i="1"/>
  <c r="P877" i="1"/>
  <c r="P871" i="1"/>
  <c r="P872" i="1"/>
  <c r="P873" i="1"/>
  <c r="P874" i="1"/>
  <c r="P875" i="1"/>
  <c r="P867" i="1"/>
  <c r="P868" i="1"/>
  <c r="P869" i="1"/>
  <c r="P870" i="1"/>
  <c r="P866" i="1"/>
  <c r="P861" i="1"/>
  <c r="P862" i="1"/>
  <c r="P863" i="1"/>
  <c r="P864" i="1"/>
  <c r="P865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24" i="1"/>
  <c r="P825" i="1"/>
  <c r="P826" i="1"/>
  <c r="P827" i="1"/>
  <c r="P828" i="1"/>
  <c r="P829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11" i="1"/>
  <c r="P810" i="1"/>
  <c r="P807" i="1"/>
  <c r="P808" i="1"/>
  <c r="P809" i="1"/>
  <c r="P804" i="1"/>
  <c r="P805" i="1"/>
  <c r="P806" i="1"/>
  <c r="P803" i="1"/>
  <c r="P802" i="1"/>
  <c r="P801" i="1"/>
  <c r="P800" i="1"/>
  <c r="P797" i="1"/>
  <c r="P798" i="1"/>
  <c r="P799" i="1"/>
  <c r="P796" i="1"/>
  <c r="P795" i="1"/>
  <c r="P794" i="1"/>
  <c r="P793" i="1"/>
  <c r="P792" i="1"/>
  <c r="P791" i="1"/>
  <c r="P790" i="1"/>
  <c r="P789" i="1"/>
  <c r="P786" i="1"/>
  <c r="P787" i="1"/>
  <c r="P788" i="1"/>
  <c r="P785" i="1"/>
  <c r="P783" i="1"/>
  <c r="P784" i="1"/>
  <c r="P781" i="1"/>
  <c r="P782" i="1"/>
  <c r="P779" i="1"/>
  <c r="P780" i="1"/>
  <c r="P777" i="1"/>
  <c r="P778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T6" i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R9" i="1"/>
  <c r="R8" i="1" s="1"/>
  <c r="R7" i="1" s="1"/>
  <c r="R6" i="1" s="1"/>
  <c r="R5" i="1" s="1"/>
  <c r="C11" i="6"/>
  <c r="C22" i="6"/>
  <c r="C21" i="6"/>
  <c r="C20" i="6"/>
  <c r="C19" i="6"/>
  <c r="C18" i="6"/>
  <c r="C17" i="6"/>
  <c r="C16" i="6"/>
  <c r="C15" i="6"/>
  <c r="C14" i="6"/>
  <c r="C13" i="6"/>
  <c r="C12" i="6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C4" i="9" s="1"/>
  <c r="C5" i="9" s="1"/>
  <c r="C6" i="9" s="1"/>
  <c r="C7" i="9" s="1"/>
  <c r="C8" i="9" s="1"/>
  <c r="C9" i="9" s="1"/>
  <c r="C10" i="9" s="1"/>
  <c r="C11" i="9" s="1"/>
  <c r="C12" i="9" s="1"/>
  <c r="C13" i="9" s="1"/>
  <c r="C14" i="9" s="1"/>
  <c r="C15" i="9" s="1"/>
  <c r="C16" i="9" s="1"/>
  <c r="C17" i="9" s="1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XFD1048575" i="8" l="1" a="1"/>
  <c r="XFD1048575" i="8" s="1"/>
  <c r="XFD1048574" i="8" a="1"/>
  <c r="XFD1048574" i="8" s="1"/>
  <c r="XFD1048573" i="8" a="1"/>
  <c r="XFD1048573" i="8" s="1"/>
  <c r="XFD1048572" i="8" a="1"/>
  <c r="XFD1048572" i="8" s="1"/>
  <c r="XFD1048571" i="8" a="1"/>
  <c r="XFD1048571" i="8" s="1"/>
  <c r="XFD1048570" i="8" a="1"/>
  <c r="XFD1048570" i="8" s="1"/>
  <c r="XFD1048569" i="8" a="1"/>
  <c r="XFD1048569" i="8" s="1"/>
  <c r="XFD1048568" i="8" a="1"/>
  <c r="XFD1048568" i="8" s="1"/>
  <c r="XFD1048567" i="8" a="1"/>
  <c r="XFD1048567" i="8" s="1"/>
  <c r="XFD1048566" i="8" a="1"/>
  <c r="XFD1048566" i="8" s="1"/>
  <c r="XFD1048565" i="8" a="1"/>
  <c r="XFD1048565" i="8" s="1"/>
  <c r="XFD1048564" i="8" a="1"/>
  <c r="XFD1048564" i="8" s="1"/>
  <c r="XFD1048563" i="8" a="1"/>
  <c r="XFD1048563" i="8" s="1"/>
  <c r="XFD1048562" i="8"/>
  <c r="XFD1048562" i="8" a="1"/>
  <c r="XFD1048561" i="8" a="1"/>
  <c r="XFD1048561" i="8" s="1"/>
  <c r="XFD1048560" i="8" a="1"/>
  <c r="XFD1048560" i="8" s="1"/>
  <c r="XFD1048559" i="8" a="1"/>
  <c r="XFD1048559" i="8" s="1"/>
  <c r="XFD1048558" i="8" a="1"/>
  <c r="XFD1048558" i="8" s="1"/>
  <c r="XFD1048557" i="8" a="1"/>
  <c r="XFD1048557" i="8" s="1"/>
  <c r="XFD1048556" i="8" a="1"/>
  <c r="XFD1048556" i="8" s="1"/>
  <c r="XFD1048555" i="8" a="1"/>
  <c r="XFD1048555" i="8" s="1"/>
  <c r="XFD1048554" i="8" a="1"/>
  <c r="XFD1048554" i="8" s="1"/>
  <c r="XFD1048553" i="8" a="1"/>
  <c r="XFD1048553" i="8" s="1"/>
  <c r="XFD1048552" i="8" a="1"/>
  <c r="XFD1048552" i="8" s="1"/>
  <c r="XFD1048551" i="8" a="1"/>
  <c r="XFD1048551" i="8" s="1"/>
  <c r="XFD1048550" i="8" a="1"/>
  <c r="XFD1048550" i="8" s="1"/>
  <c r="A10" i="8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E9" i="8"/>
  <c r="U8" i="8"/>
  <c r="U9" i="8" s="1"/>
  <c r="U10" i="8" s="1"/>
  <c r="U11" i="8" s="1"/>
  <c r="U12" i="8" s="1"/>
  <c r="U13" i="8" s="1"/>
  <c r="U14" i="8" s="1"/>
  <c r="U15" i="8" s="1"/>
  <c r="U16" i="8" s="1"/>
  <c r="U17" i="8" s="1"/>
  <c r="S8" i="8"/>
  <c r="R8" i="8"/>
  <c r="Q8" i="8"/>
  <c r="O8" i="8"/>
  <c r="O9" i="8" s="1"/>
  <c r="J8" i="8"/>
  <c r="J9" i="8" s="1"/>
  <c r="I8" i="8"/>
  <c r="E8" i="8"/>
  <c r="G2" i="8" s="1"/>
  <c r="G5" i="8" s="1"/>
  <c r="D8" i="8"/>
  <c r="D5" i="8"/>
  <c r="E3" i="8" s="1"/>
  <c r="B5" i="8"/>
  <c r="I4" i="8"/>
  <c r="G4" i="8"/>
  <c r="E4" i="8"/>
  <c r="H3" i="8"/>
  <c r="H2" i="8" s="1"/>
  <c r="I2" i="8" s="1"/>
  <c r="D9" i="8" s="1"/>
  <c r="G3" i="8"/>
  <c r="M1" i="8"/>
  <c r="M2" i="8" s="1"/>
  <c r="I1" i="8"/>
  <c r="B9" i="8" l="1"/>
  <c r="C9" i="8" s="1"/>
  <c r="E10" i="8" s="1"/>
  <c r="G9" i="8"/>
  <c r="N9" i="8"/>
  <c r="Q9" i="8"/>
  <c r="L9" i="8"/>
  <c r="M3" i="8"/>
  <c r="I3" i="8"/>
  <c r="I9" i="8" s="1"/>
  <c r="H9" i="8" s="1"/>
  <c r="J10" i="8" s="1"/>
  <c r="E2" i="8"/>
  <c r="R9" i="8" l="1"/>
  <c r="I10" i="8"/>
  <c r="G10" i="8"/>
  <c r="D10" i="8"/>
  <c r="M9" i="8"/>
  <c r="O10" i="8" s="1"/>
  <c r="S9" i="8"/>
  <c r="B10" i="8" l="1"/>
  <c r="C10" i="8" s="1"/>
  <c r="E11" i="8" s="1"/>
  <c r="N10" i="8"/>
  <c r="L10" i="8"/>
  <c r="R10" i="8" s="1"/>
  <c r="Q10" i="8"/>
  <c r="H10" i="8"/>
  <c r="J11" i="8" s="1"/>
  <c r="D11" i="8" l="1"/>
  <c r="I11" i="8"/>
  <c r="G11" i="8"/>
  <c r="M10" i="8"/>
  <c r="O11" i="8" s="1"/>
  <c r="S10" i="8"/>
  <c r="H11" i="8" l="1"/>
  <c r="J12" i="8" s="1"/>
  <c r="I12" i="8" s="1"/>
  <c r="G12" i="8"/>
  <c r="L11" i="8"/>
  <c r="N11" i="8"/>
  <c r="Q11" i="8"/>
  <c r="B11" i="8"/>
  <c r="C11" i="8" s="1"/>
  <c r="E12" i="8" s="1"/>
  <c r="D12" i="8" l="1"/>
  <c r="M11" i="8"/>
  <c r="O12" i="8" s="1"/>
  <c r="S11" i="8"/>
  <c r="R11" i="8"/>
  <c r="H12" i="8"/>
  <c r="J13" i="8" s="1"/>
  <c r="I13" i="8" l="1"/>
  <c r="G13" i="8"/>
  <c r="L12" i="8"/>
  <c r="N12" i="8"/>
  <c r="Q12" i="8"/>
  <c r="B12" i="8"/>
  <c r="C12" i="8" s="1"/>
  <c r="E13" i="8" s="1"/>
  <c r="H13" i="8" l="1"/>
  <c r="J14" i="8" s="1"/>
  <c r="I14" i="8" s="1"/>
  <c r="D13" i="8"/>
  <c r="R12" i="8"/>
  <c r="M12" i="8"/>
  <c r="O13" i="8" s="1"/>
  <c r="S12" i="8"/>
  <c r="H14" i="8" l="1"/>
  <c r="J15" i="8" s="1"/>
  <c r="G14" i="8"/>
  <c r="Q13" i="8"/>
  <c r="L13" i="8"/>
  <c r="N13" i="8"/>
  <c r="B13" i="8"/>
  <c r="C13" i="8" s="1"/>
  <c r="E14" i="8" s="1"/>
  <c r="G15" i="8" l="1"/>
  <c r="I15" i="8"/>
  <c r="H15" i="8" s="1"/>
  <c r="J16" i="8" s="1"/>
  <c r="D14" i="8"/>
  <c r="G16" i="8"/>
  <c r="I16" i="8"/>
  <c r="H16" i="8" s="1"/>
  <c r="J17" i="8" s="1"/>
  <c r="S13" i="8"/>
  <c r="M13" i="8"/>
  <c r="O14" i="8" s="1"/>
  <c r="R13" i="8"/>
  <c r="G17" i="8" l="1"/>
  <c r="I17" i="8"/>
  <c r="H17" i="8" s="1"/>
  <c r="J18" i="8" s="1"/>
  <c r="B14" i="8"/>
  <c r="C14" i="8" s="1"/>
  <c r="E15" i="8" s="1"/>
  <c r="L14" i="8"/>
  <c r="R14" i="8" s="1"/>
  <c r="Q14" i="8"/>
  <c r="N14" i="8"/>
  <c r="D15" i="8" l="1"/>
  <c r="G18" i="8"/>
  <c r="I18" i="8"/>
  <c r="H18" i="8" s="1"/>
  <c r="J19" i="8" s="1"/>
  <c r="S14" i="8"/>
  <c r="M14" i="8"/>
  <c r="O15" i="8" s="1"/>
  <c r="G19" i="8" l="1"/>
  <c r="I19" i="8"/>
  <c r="H19" i="8" s="1"/>
  <c r="J20" i="8" s="1"/>
  <c r="Q15" i="8"/>
  <c r="N15" i="8"/>
  <c r="L15" i="8"/>
  <c r="R15" i="8" s="1"/>
  <c r="B15" i="8"/>
  <c r="C15" i="8" s="1"/>
  <c r="E16" i="8" s="1"/>
  <c r="D16" i="8" l="1"/>
  <c r="G20" i="8"/>
  <c r="I20" i="8"/>
  <c r="H20" i="8" s="1"/>
  <c r="J21" i="8" s="1"/>
  <c r="S15" i="8"/>
  <c r="M15" i="8"/>
  <c r="O16" i="8" s="1"/>
  <c r="G21" i="8" l="1"/>
  <c r="I21" i="8"/>
  <c r="H21" i="8" s="1"/>
  <c r="Q16" i="8"/>
  <c r="N16" i="8"/>
  <c r="L16" i="8"/>
  <c r="B16" i="8"/>
  <c r="C16" i="8" s="1"/>
  <c r="E17" i="8" s="1"/>
  <c r="D17" i="8" l="1"/>
  <c r="R16" i="8"/>
  <c r="S16" i="8"/>
  <c r="M16" i="8"/>
  <c r="O17" i="8" s="1"/>
  <c r="N17" i="8" l="1"/>
  <c r="Q17" i="8"/>
  <c r="L17" i="8"/>
  <c r="B17" i="8"/>
  <c r="C17" i="8" s="1"/>
  <c r="E18" i="8" s="1"/>
  <c r="D18" i="8" l="1"/>
  <c r="R17" i="8"/>
  <c r="S17" i="8"/>
  <c r="M17" i="8"/>
  <c r="O18" i="8" s="1"/>
  <c r="Q18" i="8" l="1"/>
  <c r="N18" i="8"/>
  <c r="L18" i="8"/>
  <c r="B18" i="8"/>
  <c r="C18" i="8" s="1"/>
  <c r="E19" i="8" s="1"/>
  <c r="D19" i="8" l="1"/>
  <c r="R18" i="8"/>
  <c r="S18" i="8"/>
  <c r="M18" i="8"/>
  <c r="O19" i="8" s="1"/>
  <c r="Q19" i="8" l="1"/>
  <c r="N19" i="8"/>
  <c r="L19" i="8"/>
  <c r="B19" i="8"/>
  <c r="C19" i="8" s="1"/>
  <c r="E20" i="8" s="1"/>
  <c r="D20" i="8" l="1"/>
  <c r="R19" i="8"/>
  <c r="M19" i="8"/>
  <c r="O20" i="8" s="1"/>
  <c r="S19" i="8"/>
  <c r="Q20" i="8" l="1"/>
  <c r="N20" i="8"/>
  <c r="L20" i="8"/>
  <c r="R20" i="8" s="1"/>
  <c r="B20" i="8"/>
  <c r="C20" i="8" s="1"/>
  <c r="E21" i="8" s="1"/>
  <c r="D21" i="8" s="1"/>
  <c r="B21" i="8" l="1"/>
  <c r="C21" i="8" s="1"/>
  <c r="S20" i="8"/>
  <c r="M20" i="8"/>
  <c r="O21" i="8" s="1"/>
  <c r="Q21" i="8" l="1"/>
  <c r="N21" i="8"/>
  <c r="L21" i="8"/>
  <c r="R21" i="8" s="1"/>
  <c r="K1" i="8" s="1"/>
  <c r="V6" i="8" s="1"/>
  <c r="S21" i="8" l="1"/>
  <c r="M21" i="8"/>
  <c r="C47" i="6" l="1"/>
  <c r="C28" i="6"/>
  <c r="C31" i="6" s="1"/>
  <c r="C44" i="6"/>
  <c r="C4" i="6"/>
  <c r="C3" i="6"/>
  <c r="C8" i="6" s="1"/>
  <c r="D2" i="6"/>
  <c r="D23" i="6" s="1"/>
  <c r="A1" i="1" a="1"/>
  <c r="D35" i="6" l="1"/>
  <c r="D34" i="6"/>
  <c r="D36" i="6"/>
  <c r="D37" i="6"/>
  <c r="D29" i="6"/>
  <c r="D3" i="6"/>
  <c r="D18" i="6"/>
  <c r="D17" i="6"/>
  <c r="D16" i="6"/>
  <c r="D15" i="6"/>
  <c r="D14" i="6"/>
  <c r="D13" i="6"/>
  <c r="D12" i="6"/>
  <c r="D20" i="6"/>
  <c r="D11" i="6"/>
  <c r="D22" i="6"/>
  <c r="D21" i="6"/>
  <c r="D19" i="6"/>
  <c r="D47" i="6"/>
  <c r="D28" i="6"/>
  <c r="C45" i="6"/>
  <c r="C43" i="6"/>
  <c r="D43" i="6"/>
  <c r="D45" i="6"/>
  <c r="D44" i="6"/>
  <c r="C5" i="6"/>
  <c r="E2" i="6"/>
  <c r="E23" i="6" s="1"/>
  <c r="D4" i="6"/>
  <c r="A1" i="1"/>
  <c r="D25" i="6" l="1"/>
  <c r="E11" i="6"/>
  <c r="E34" i="6"/>
  <c r="E35" i="6"/>
  <c r="E36" i="6"/>
  <c r="E37" i="6"/>
  <c r="E29" i="6"/>
  <c r="D5" i="6"/>
  <c r="C50" i="6"/>
  <c r="D39" i="6"/>
  <c r="D50" i="6"/>
  <c r="D8" i="6"/>
  <c r="E47" i="6"/>
  <c r="E22" i="6"/>
  <c r="E21" i="6"/>
  <c r="E13" i="6"/>
  <c r="E20" i="6"/>
  <c r="E19" i="6"/>
  <c r="E18" i="6"/>
  <c r="E17" i="6"/>
  <c r="E16" i="6"/>
  <c r="E15" i="6"/>
  <c r="E14" i="6"/>
  <c r="E28" i="6"/>
  <c r="E12" i="6"/>
  <c r="E44" i="6"/>
  <c r="E45" i="6"/>
  <c r="E43" i="6"/>
  <c r="F2" i="6"/>
  <c r="E4" i="6"/>
  <c r="E3" i="6"/>
  <c r="E25" i="6" l="1"/>
  <c r="F44" i="6"/>
  <c r="F23" i="6"/>
  <c r="F34" i="6"/>
  <c r="F35" i="6"/>
  <c r="F36" i="6"/>
  <c r="F29" i="6"/>
  <c r="F37" i="6"/>
  <c r="F4" i="6"/>
  <c r="F22" i="6"/>
  <c r="F15" i="6"/>
  <c r="F11" i="6"/>
  <c r="F3" i="6"/>
  <c r="F21" i="6"/>
  <c r="F16" i="6"/>
  <c r="F18" i="6"/>
  <c r="F12" i="6"/>
  <c r="F19" i="6"/>
  <c r="F14" i="6"/>
  <c r="F20" i="6"/>
  <c r="F13" i="6"/>
  <c r="F17" i="6"/>
  <c r="E50" i="6"/>
  <c r="E39" i="6"/>
  <c r="E8" i="6"/>
  <c r="F47" i="6"/>
  <c r="F28" i="6"/>
  <c r="F45" i="6"/>
  <c r="F43" i="6"/>
  <c r="E5" i="6"/>
  <c r="G2" i="6"/>
  <c r="G23" i="6" s="1"/>
  <c r="F25" i="6" l="1"/>
  <c r="G45" i="6"/>
  <c r="G43" i="6"/>
  <c r="G44" i="6"/>
  <c r="F39" i="6"/>
  <c r="G34" i="6"/>
  <c r="G35" i="6"/>
  <c r="G36" i="6"/>
  <c r="G37" i="6"/>
  <c r="G29" i="6"/>
  <c r="F5" i="6"/>
  <c r="G11" i="6"/>
  <c r="G4" i="6"/>
  <c r="G22" i="6"/>
  <c r="G17" i="6"/>
  <c r="G3" i="6"/>
  <c r="G16" i="6"/>
  <c r="G18" i="6"/>
  <c r="G12" i="6"/>
  <c r="G19" i="6"/>
  <c r="G14" i="6"/>
  <c r="G21" i="6"/>
  <c r="G15" i="6"/>
  <c r="G20" i="6"/>
  <c r="G13" i="6"/>
  <c r="F50" i="6"/>
  <c r="F8" i="6"/>
  <c r="G47" i="6"/>
  <c r="G28" i="6"/>
  <c r="H2" i="6"/>
  <c r="H23" i="6" s="1"/>
  <c r="G25" i="6" l="1"/>
  <c r="G50" i="6"/>
  <c r="H45" i="6"/>
  <c r="H43" i="6"/>
  <c r="H44" i="6"/>
  <c r="G39" i="6"/>
  <c r="H34" i="6"/>
  <c r="H35" i="6"/>
  <c r="H36" i="6"/>
  <c r="H37" i="6"/>
  <c r="H29" i="6"/>
  <c r="G8" i="6"/>
  <c r="G5" i="6"/>
  <c r="H4" i="6"/>
  <c r="H16" i="6"/>
  <c r="H12" i="6"/>
  <c r="H22" i="6"/>
  <c r="H17" i="6"/>
  <c r="H13" i="6"/>
  <c r="H11" i="6"/>
  <c r="H20" i="6"/>
  <c r="H14" i="6"/>
  <c r="H18" i="6"/>
  <c r="H3" i="6"/>
  <c r="H21" i="6"/>
  <c r="H15" i="6"/>
  <c r="H19" i="6"/>
  <c r="H47" i="6"/>
  <c r="H28" i="6"/>
  <c r="I2" i="6"/>
  <c r="I23" i="6" s="1"/>
  <c r="H25" i="6" l="1"/>
  <c r="I44" i="6"/>
  <c r="I45" i="6"/>
  <c r="I43" i="6"/>
  <c r="H39" i="6"/>
  <c r="I34" i="6"/>
  <c r="I35" i="6"/>
  <c r="I36" i="6"/>
  <c r="I37" i="6"/>
  <c r="I29" i="6"/>
  <c r="H8" i="6"/>
  <c r="H5" i="6"/>
  <c r="I3" i="6"/>
  <c r="I20" i="6"/>
  <c r="I14" i="6"/>
  <c r="I4" i="6"/>
  <c r="I19" i="6"/>
  <c r="I13" i="6"/>
  <c r="I11" i="6"/>
  <c r="I22" i="6"/>
  <c r="I16" i="6"/>
  <c r="I21" i="6"/>
  <c r="I15" i="6"/>
  <c r="I18" i="6"/>
  <c r="I12" i="6"/>
  <c r="I17" i="6"/>
  <c r="H50" i="6"/>
  <c r="I47" i="6"/>
  <c r="I28" i="6"/>
  <c r="J2" i="6"/>
  <c r="J23" i="6" s="1"/>
  <c r="I25" i="6" l="1"/>
  <c r="J45" i="6"/>
  <c r="J43" i="6"/>
  <c r="J44" i="6"/>
  <c r="I39" i="6"/>
  <c r="J34" i="6"/>
  <c r="J35" i="6"/>
  <c r="J29" i="6"/>
  <c r="J36" i="6"/>
  <c r="J37" i="6"/>
  <c r="I8" i="6"/>
  <c r="I5" i="6"/>
  <c r="J4" i="6"/>
  <c r="J20" i="6"/>
  <c r="J15" i="6"/>
  <c r="J11" i="6"/>
  <c r="J19" i="6"/>
  <c r="J14" i="6"/>
  <c r="J22" i="6"/>
  <c r="J17" i="6"/>
  <c r="J21" i="6"/>
  <c r="J16" i="6"/>
  <c r="J3" i="6"/>
  <c r="J18" i="6"/>
  <c r="J12" i="6"/>
  <c r="J13" i="6"/>
  <c r="J47" i="6"/>
  <c r="J28" i="6"/>
  <c r="K2" i="6"/>
  <c r="K23" i="6" s="1"/>
  <c r="J25" i="6" l="1"/>
  <c r="K44" i="6"/>
  <c r="K45" i="6"/>
  <c r="K43" i="6"/>
  <c r="J39" i="6"/>
  <c r="K34" i="6"/>
  <c r="K36" i="6"/>
  <c r="K35" i="6"/>
  <c r="K37" i="6"/>
  <c r="K29" i="6"/>
  <c r="J8" i="6"/>
  <c r="J5" i="6"/>
  <c r="K4" i="6"/>
  <c r="K22" i="6"/>
  <c r="K3" i="6"/>
  <c r="K21" i="6"/>
  <c r="K20" i="6"/>
  <c r="K15" i="6"/>
  <c r="O18" i="6"/>
  <c r="P18" i="6" s="1"/>
  <c r="K13" i="6"/>
  <c r="K12" i="6"/>
  <c r="I50" i="6"/>
  <c r="K47" i="6"/>
  <c r="K28" i="6"/>
  <c r="L2" i="6"/>
  <c r="L23" i="6" s="1"/>
  <c r="K25" i="6" l="1"/>
  <c r="L22" i="6"/>
  <c r="L21" i="6"/>
  <c r="L20" i="6"/>
  <c r="L15" i="6"/>
  <c r="L13" i="6"/>
  <c r="L12" i="6"/>
  <c r="L4" i="6"/>
  <c r="L3" i="6"/>
  <c r="K50" i="6"/>
  <c r="L44" i="6"/>
  <c r="L45" i="6"/>
  <c r="L43" i="6"/>
  <c r="K39" i="6"/>
  <c r="L34" i="6"/>
  <c r="L35" i="6"/>
  <c r="L37" i="6"/>
  <c r="L36" i="6"/>
  <c r="L29" i="6"/>
  <c r="K5" i="6"/>
  <c r="K8" i="6"/>
  <c r="L47" i="6"/>
  <c r="L28" i="6"/>
  <c r="M2" i="6"/>
  <c r="M23" i="6" s="1"/>
  <c r="L25" i="6" l="1"/>
  <c r="L8" i="6"/>
  <c r="L5" i="6"/>
  <c r="M22" i="6"/>
  <c r="M21" i="6"/>
  <c r="M20" i="6"/>
  <c r="M15" i="6"/>
  <c r="M13" i="6"/>
  <c r="M12" i="6"/>
  <c r="M4" i="6"/>
  <c r="M3" i="6"/>
  <c r="M44" i="6"/>
  <c r="M43" i="6"/>
  <c r="M45" i="6"/>
  <c r="L39" i="6"/>
  <c r="M34" i="6"/>
  <c r="M36" i="6"/>
  <c r="M35" i="6"/>
  <c r="M37" i="6"/>
  <c r="M29" i="6"/>
  <c r="M47" i="6"/>
  <c r="M28" i="6"/>
  <c r="N2" i="6"/>
  <c r="N23" i="6" s="1"/>
  <c r="M25" i="6" l="1"/>
  <c r="M8" i="6"/>
  <c r="M5" i="6"/>
  <c r="N22" i="6"/>
  <c r="N21" i="6"/>
  <c r="N20" i="6"/>
  <c r="N15" i="6"/>
  <c r="N13" i="6"/>
  <c r="N12" i="6"/>
  <c r="N4" i="6"/>
  <c r="N3" i="6"/>
  <c r="N44" i="6"/>
  <c r="N43" i="6"/>
  <c r="N45" i="6"/>
  <c r="J50" i="6"/>
  <c r="M39" i="6"/>
  <c r="N34" i="6"/>
  <c r="O34" i="6" s="1"/>
  <c r="N35" i="6"/>
  <c r="O35" i="6" s="1"/>
  <c r="N36" i="6"/>
  <c r="O36" i="6" s="1"/>
  <c r="N37" i="6"/>
  <c r="O37" i="6" s="1"/>
  <c r="N29" i="6"/>
  <c r="O29" i="6" s="1"/>
  <c r="N47" i="6"/>
  <c r="N28" i="6"/>
  <c r="O28" i="6" s="1"/>
  <c r="N25" i="6" l="1"/>
  <c r="N8" i="6"/>
  <c r="N5" i="6"/>
  <c r="N39" i="6"/>
  <c r="O39" i="6" s="1"/>
  <c r="O40" i="6" s="1"/>
  <c r="L50" i="6" l="1"/>
  <c r="M50" i="6" l="1"/>
  <c r="N50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Sean Lewis</author>
  </authors>
  <commentList>
    <comment ref="I24" authorId="0" shapeId="0" xr:uid="{9BEC8D37-8AF2-4CA3-B053-665A758BB92E}">
      <text>
        <r>
          <rPr>
            <b/>
            <sz val="9"/>
            <color indexed="81"/>
            <rFont val="Tahoma"/>
            <charset val="1"/>
          </rPr>
          <t>Sean Lewis:</t>
        </r>
        <r>
          <rPr>
            <sz val="9"/>
            <color indexed="81"/>
            <rFont val="Tahoma"/>
            <charset val="1"/>
          </rPr>
          <t xml:space="preserve">
refund from la-fitness
</t>
        </r>
      </text>
    </comment>
    <comment ref="F51" authorId="0" shapeId="0" xr:uid="{8FD90AB9-B97A-4839-A28A-3917D7BD274B}">
      <text>
        <r>
          <rPr>
            <b/>
            <sz val="9"/>
            <color indexed="81"/>
            <rFont val="Tahoma"/>
            <family val="2"/>
          </rPr>
          <t>Sean Lewis:</t>
        </r>
        <r>
          <rPr>
            <sz val="9"/>
            <color indexed="81"/>
            <rFont val="Tahoma"/>
            <family val="2"/>
          </rPr>
          <t xml:space="preserve">
Total money avilable to me as of 4/6/2024 is $3,580.79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2EEDA1-BA80-4E05-A2C4-7EC21A1A3D0F}" keepAlive="1" name="Query - Combined_Accounts" description="Connection to the 'Combined_Accounts' query in the workbook." type="5" refreshedVersion="8" background="1" saveData="1">
    <dbPr connection="Provider=Microsoft.Mashup.OleDb.1;Data Source=$Workbook$;Location=Combined_Accounts;Extended Properties=&quot;&quot;" command="SELECT * FROM [Combined_Account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10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df = xl(%P2%, headers=True)
</code>
    </pythonScript>
  </pythonScripts>
</python>
</file>

<file path=xl/sharedStrings.xml><?xml version="1.0" encoding="utf-8"?>
<sst xmlns="http://schemas.openxmlformats.org/spreadsheetml/2006/main" count="9090" uniqueCount="1081">
  <si>
    <t>Description</t>
  </si>
  <si>
    <t>Amount</t>
  </si>
  <si>
    <t>Category</t>
  </si>
  <si>
    <t>Short_Desc</t>
  </si>
  <si>
    <t>Reoccurring_Flag</t>
  </si>
  <si>
    <t>Category_2</t>
  </si>
  <si>
    <t>Date</t>
  </si>
  <si>
    <t>Year</t>
  </si>
  <si>
    <t>Sort_Date</t>
  </si>
  <si>
    <t>CumAmount</t>
  </si>
  <si>
    <t>Counter</t>
  </si>
  <si>
    <t>Account</t>
  </si>
  <si>
    <t>PURCHASE AUTHORIZED ON 12/30 REDWOOD CITY PARKI REDWOOD CITY CA S303364838418587 CARD 1081</t>
  </si>
  <si>
    <t>parking</t>
  </si>
  <si>
    <t>No</t>
  </si>
  <si>
    <t>Transportation</t>
  </si>
  <si>
    <t>wells_fargo_checking</t>
  </si>
  <si>
    <t>PURCHASE AUTHORIZED ON 01/01 A&amp;A GAS BURLINGAME CA P584001656812755 CARD 1081</t>
  </si>
  <si>
    <t>gas</t>
  </si>
  <si>
    <t>Utilities</t>
  </si>
  <si>
    <t>PURCHASE AUTHORIZED ON 01/11 ARCO#00524MEHRZ MILL VALLEY CA P000000181526744 CARD 1081</t>
  </si>
  <si>
    <t>PURCHASE AUTHORIZED ON 01/11 ARCO#00524MEHRZ MILL VALLEY CA P000000381980594 CARD 1081</t>
  </si>
  <si>
    <t>Nationwide PAYROLL 01 HRP0009988056 Sean Lewis</t>
  </si>
  <si>
    <t>ZELLE FROM LEWIS JUSTINA ON 01/13 REF # PP0RVXHPT7 CARE CREDIT PAYMENT</t>
  </si>
  <si>
    <t>family</t>
  </si>
  <si>
    <t>People</t>
  </si>
  <si>
    <t>DEPT EDUCATION STUDENT LN 240112 6PN51D9CCK1 SEAN LEWIS</t>
  </si>
  <si>
    <t>student_loan</t>
  </si>
  <si>
    <t>Yes</t>
  </si>
  <si>
    <t>Government</t>
  </si>
  <si>
    <t>STUBHUB CONS PAYMENTS 240117 000000017167884 9016004299-SEAN LEWIS</t>
  </si>
  <si>
    <t>refunds</t>
  </si>
  <si>
    <t>ZELLE TO LEWIS DORRY ON 01/17 REF #PP0RW6NBQX GIFT NO RETURN</t>
  </si>
  <si>
    <t>T-MOBILE PCS SVC 240117 1121101 DON LEWIS</t>
  </si>
  <si>
    <t>cell_phone</t>
  </si>
  <si>
    <t>VENMO CASHOUT 240123 1032084728310 SEAN LEWIS</t>
  </si>
  <si>
    <t>venmo</t>
  </si>
  <si>
    <t>ZELLE TO LEWIS JAYELIN ON 01/23 REF #PP0RWMP6F2 FOR LUNCH</t>
  </si>
  <si>
    <t>Synchrony Bank CC PYMT JAN 23 524306003390321 SEAN LEWIS</t>
  </si>
  <si>
    <t>care_credit</t>
  </si>
  <si>
    <t>Medical</t>
  </si>
  <si>
    <t>ZELLE FROM LEWIS JAYELIN ON 01/24 REF # PP0RWQ7TRW PAYING BACK SUIT 200 OUT OF 700</t>
  </si>
  <si>
    <t>Nationwide PAYROLL 01 HRP0010014543 Sean Lewis</t>
  </si>
  <si>
    <t>PURCHASE AUTHORIZED ON 01/24 West Town Bank T 8332572512 IL S384025071228723 CARD 1081</t>
  </si>
  <si>
    <t>Misc</t>
  </si>
  <si>
    <t>SoFi Bank TRANSFER SD1300 SLewis Sean Lewis:66864:1064</t>
  </si>
  <si>
    <t>transfer</t>
  </si>
  <si>
    <t>ZELLE TO LEWIS JAYELIN ON 02/06 REF #PP0RXSCV6L LUNCH</t>
  </si>
  <si>
    <t>Nationwide PAYROLL 01 HRP0010046543 Sean Lewis</t>
  </si>
  <si>
    <t>SoFi Bank TRANSFER SD1300 SLewis Sean Lewis:66879:3732</t>
  </si>
  <si>
    <t>ZELLE FROM SHARON LEWIS ON 02/17 REF # 3BW01W0CD256 HAPPY BIRTHDAY</t>
  </si>
  <si>
    <t>PURCHASE AUTHORIZED ON 02/17 THERAPY STORES #4 BURLINGAME CA S304048762525059 CARD 1081</t>
  </si>
  <si>
    <t>ZELLE TO IP NIKA ON 02/18 REF #RP0RYRB5QD DIM SUM</t>
  </si>
  <si>
    <t>other_people</t>
  </si>
  <si>
    <t>T-MOBILE PCS SVC 240217 0486189 DON LEWIS</t>
  </si>
  <si>
    <t>Synchrony Bank CC PYMT FEB 19 524306003390321 SEAN LEWIS</t>
  </si>
  <si>
    <t>PURCHASE AUTHORIZED ON 02/20 OANH LE DDS SAN MATEO CA S584052042706068 CARD 1081</t>
  </si>
  <si>
    <t>dentist</t>
  </si>
  <si>
    <t>Nationwide PAYROLL 01 HRP0010118129 Sean Lewis</t>
  </si>
  <si>
    <t>PURCHASE AUTHORIZED ON 02/20 TMOBILE*EIP PMT WE 800-937-8997 WA S584052049670733 CARD 1081</t>
  </si>
  <si>
    <t>VENMO PAYMENT 240222 1032683724272 SEAN LEWIS</t>
  </si>
  <si>
    <t>VENMO PAYMENT 240222 1032683733105 SEAN LEWIS</t>
  </si>
  <si>
    <t>PURCHASE AUTHORIZED ON 02/27 SHELL SERVICE STATION SAN MATEO CA P304058843711708 CARD 1081</t>
  </si>
  <si>
    <t>Nationwide PAYROLL 01 HRP0010144424 Sean Lewis</t>
  </si>
  <si>
    <t>DISCOVER BANK PREARRANGE 7416 001*1006840583</t>
  </si>
  <si>
    <t>Cash eWithdrawal in Branch 03/11/2024 09:22 AM 1045 RALSTON AVE BELMONT CA 1081</t>
  </si>
  <si>
    <t>laundry</t>
  </si>
  <si>
    <t>L A FITNESS 9492558100 031524 49343747 I778707250</t>
  </si>
  <si>
    <t>la_fitness</t>
  </si>
  <si>
    <t>Personal_Spending</t>
  </si>
  <si>
    <t>T-MOBILE PCS SVC 240317 9542988 DON LEWIS</t>
  </si>
  <si>
    <t>Synchrony Bank CC PYMT Mar 18 524306003390321 SEAN LEWIS</t>
  </si>
  <si>
    <t>Nationwide PAYROLL 01 HRP0010191240 Sean Lewis</t>
  </si>
  <si>
    <t>NON-WF ATM WITHDRAWAL AUTHORIZED ON 03/24 620 JONES ST SAN FRANCISCO CA 584084738877471 ATM ID CS89591 CARD 1081</t>
  </si>
  <si>
    <t>ATM</t>
  </si>
  <si>
    <t>NON-WELLS FARGO ATM TRANSACTION FEE</t>
  </si>
  <si>
    <t>PURCHASE AUTHORIZED ON 03/21 LAZ PKG L18103 - C BERKELEY CA S384082165650885 CARD 1081</t>
  </si>
  <si>
    <t>PURCHASE INTL AUTHORIZED ON 03/25 AUSTRALIANETA NORTH SYDNEY AUS S584085822648156 CARD 1081</t>
  </si>
  <si>
    <t>INTERNATIONAL PURCHASE TRANSACTION FEE</t>
  </si>
  <si>
    <t>fees</t>
  </si>
  <si>
    <t>Payment_and_Interest</t>
  </si>
  <si>
    <t>VENMO ADDFUNDS 240331 1033478515311 SEAN LEWIS</t>
  </si>
  <si>
    <t>ZELLE TO LEWIS SHARON ON 04/02 REF #PP0S4H82GN FOR RING</t>
  </si>
  <si>
    <t>PURCHASE AUTHORIZED ON 04/02 A&amp;A GAS BURLINGAME CA P304094040074944 CARD 1081</t>
  </si>
  <si>
    <t>Nationwide PAYROLL 01 HRP0010210414 Sean Lewis</t>
  </si>
  <si>
    <t>ZELLE TO LEWIS DORRY ON 04/05 REF #PP0S4Q22SG HOPE THIS HELPS</t>
  </si>
  <si>
    <t>Balance</t>
  </si>
  <si>
    <t>CHATGPT SUBSCRIPTION 4158799686 CA</t>
  </si>
  <si>
    <t>Merchandise</t>
  </si>
  <si>
    <t>chatgpt</t>
  </si>
  <si>
    <t>discover</t>
  </si>
  <si>
    <t>JFF PUBLICATIONS WILTON MANORSFL</t>
  </si>
  <si>
    <t>movies</t>
  </si>
  <si>
    <t>Recreation_Entertainment</t>
  </si>
  <si>
    <t>PLANNED PARENTHOOD ACTIO NEW YORK NY</t>
  </si>
  <si>
    <t>Services</t>
  </si>
  <si>
    <t>political_cause</t>
  </si>
  <si>
    <t>SPOTIFY P286B95411 8777781161 NY</t>
  </si>
  <si>
    <t>spotify</t>
  </si>
  <si>
    <t>ONEPASS 877-515-9364 MN253067</t>
  </si>
  <si>
    <t>onepass</t>
  </si>
  <si>
    <t>KRYSTAL AND SAAGAR 2025317527 DCITEM TRANSFERRED FROM PREV ACCOUNT</t>
  </si>
  <si>
    <t>breaking_points</t>
  </si>
  <si>
    <t>PADDLE.NET* REALPYTHON 7745236658 NY</t>
  </si>
  <si>
    <t>real_python</t>
  </si>
  <si>
    <t>TARGET 00011221091 SAN MATEO CA</t>
  </si>
  <si>
    <t>Supermarkets</t>
  </si>
  <si>
    <t>everything_store</t>
  </si>
  <si>
    <t>VALVE BELLEVUE WA</t>
  </si>
  <si>
    <t>video_games</t>
  </si>
  <si>
    <t>AUTOMATIC STATEMENT CREDIT</t>
  </si>
  <si>
    <t>Awards and Rebate Credits</t>
  </si>
  <si>
    <t>credits</t>
  </si>
  <si>
    <t>CCBILL.COM 888-5969279 AZ</t>
  </si>
  <si>
    <t>onlyfans</t>
  </si>
  <si>
    <t>THE BOARDROOM SAN FRANCISCOCA</t>
  </si>
  <si>
    <t>Restaurants</t>
  </si>
  <si>
    <t>restaurant</t>
  </si>
  <si>
    <t>Food</t>
  </si>
  <si>
    <t>ONEPASS 877-515-9364 MN283627</t>
  </si>
  <si>
    <t>ONEPASS 877-515-9364 MN271924</t>
  </si>
  <si>
    <t>APPLE.COM/BILL 866-712-7753 CAAPPLE PAY ENDING IN 1455MMWDW3MLY5A0</t>
  </si>
  <si>
    <t>hbo</t>
  </si>
  <si>
    <t>DOTHEBAY MORE 5129009058 TXAPPLE PAY ENDING IN 1455</t>
  </si>
  <si>
    <t>do_the_bay</t>
  </si>
  <si>
    <t>EB RADIOHEAD-KID A LI 801-413-7200 CA</t>
  </si>
  <si>
    <t>live_event</t>
  </si>
  <si>
    <t>SQ *BLACK BIRD BOOKSTO SAN FRANCISCOCA0001152921513563494106</t>
  </si>
  <si>
    <t>learning</t>
  </si>
  <si>
    <t>SQ *TAQUERIA LA CUMBRE SAN FRANCISCOCA0001152921513562719150</t>
  </si>
  <si>
    <t>APPLE.COM/BILL 866-712-7753 CAAPPLE PAY ENDING IN 1455MMWDWL4YN9A0</t>
  </si>
  <si>
    <t>apple_care</t>
  </si>
  <si>
    <t>A&amp;A GAS BURLINGAME CA</t>
  </si>
  <si>
    <t>Gasoline</t>
  </si>
  <si>
    <t>gas_station</t>
  </si>
  <si>
    <t>POWELL AND MARKET SAN FRANCISCOCA</t>
  </si>
  <si>
    <t>Travel/ Entertainment</t>
  </si>
  <si>
    <t>groceries</t>
  </si>
  <si>
    <t>REGENCY BALLROOM TKTS SAN FRANCISCOCA</t>
  </si>
  <si>
    <t>concerts</t>
  </si>
  <si>
    <t>SNACK* SOMI SOMI SAN M 8668682146 CA</t>
  </si>
  <si>
    <t>fast_food</t>
  </si>
  <si>
    <t>SQ *CABLE CAR COFFEE SAN FRAN CA0001152921513566491105</t>
  </si>
  <si>
    <t>coffee</t>
  </si>
  <si>
    <t>WARFIELD THEATER TKTS SAN FRANCISCOCA</t>
  </si>
  <si>
    <t>SAFEWAY #1709 MENLO PARK CA</t>
  </si>
  <si>
    <t>NOLIMITSCRYO.COM 4156399034 CA</t>
  </si>
  <si>
    <t>self_care</t>
  </si>
  <si>
    <t>TM *TICKETMASTER 415-421-8497 CANCA/40-12280</t>
  </si>
  <si>
    <t>live_nba</t>
  </si>
  <si>
    <t>MUIR SPACE 4288 MILL VALLEY CA</t>
  </si>
  <si>
    <t>parks_rec</t>
  </si>
  <si>
    <t>AMZN MKTP US*TK4CF4252 AMZN.COM/BILLWA33GVMNZWPVC</t>
  </si>
  <si>
    <t>amazon</t>
  </si>
  <si>
    <t>ATG USA LLC 727-2824429 FL</t>
  </si>
  <si>
    <t>gym</t>
  </si>
  <si>
    <t>FIVE GUYS CA 1370 QSR BURLINGAME CA</t>
  </si>
  <si>
    <t>AMAZON.COM*TK9MU48R1 AMZN.COM/BILLWA560I5J5H4R6</t>
  </si>
  <si>
    <t>LICKD* TRIAL OVER 07777777777 GBR</t>
  </si>
  <si>
    <t>lickd</t>
  </si>
  <si>
    <t>TST* 3RD AVENUE SPORTS B SAN MATEO CAAPPLE PAY ENDING IN 1455</t>
  </si>
  <si>
    <t>60776 - SFO PARKINGCENTR SAN FRANCISCOCA</t>
  </si>
  <si>
    <t>INTERNET PAYMENT - THANK YOU</t>
  </si>
  <si>
    <t>Payments and Credits</t>
  </si>
  <si>
    <t>payment</t>
  </si>
  <si>
    <t>PANDA EXPRESS #907 P 800-877-8988 CA</t>
  </si>
  <si>
    <t>SQ *ZAREEN'S PALO ALTO PALO ALTO CA0001152921513574979682</t>
  </si>
  <si>
    <t>SQ *PARK LIFE SAN FRANCISCOCA0001152921513577499645</t>
  </si>
  <si>
    <t>clothing</t>
  </si>
  <si>
    <t>TST* B STAR SAN FRANCISCOCA00003059015517791735AA</t>
  </si>
  <si>
    <t>MUIR WOODS MILL VALLEY CA</t>
  </si>
  <si>
    <t>FASTRAK CSC 415-486-8655 CA</t>
  </si>
  <si>
    <t>tolls</t>
  </si>
  <si>
    <t>GHIRARDELLI #138 GCE SAN FRANCISCOCA</t>
  </si>
  <si>
    <t>TST* ARACELY CAFE SAN FRANCISCOCA00042380015533706218AA</t>
  </si>
  <si>
    <t>APPLE FRIT* APPLE FRIT 8887072469 CAAPPLE PAY ENDING IN 1455</t>
  </si>
  <si>
    <t>audiobooks</t>
  </si>
  <si>
    <t>IN-N-OUT MILLBRAE MILLBRAE CA01467P</t>
  </si>
  <si>
    <t>SAN FRANCISCO BOTANICAL SAN FRANCISCOCA</t>
  </si>
  <si>
    <t>museum</t>
  </si>
  <si>
    <t>CAFE AT MOUNTAIN VIEW: G MOUNTAIN VIEWCA</t>
  </si>
  <si>
    <t>LA FITNESS 949-255-8100 CA</t>
  </si>
  <si>
    <t>SQ *PALMETTO SUPERFOOD BURLINGAME CA0001152921513588761229</t>
  </si>
  <si>
    <t>SQ *BLACK BIRD BOOKSTO SAN FRANCISCOCA0001152921513591984154</t>
  </si>
  <si>
    <t>EXXONMOBIL SAN FRANCISCOCA</t>
  </si>
  <si>
    <t>STATE FARM INSURANCE 800-956-6310 ILITEM TRANSFERRED FROM PREV ACCOUNT</t>
  </si>
  <si>
    <t>state_farm</t>
  </si>
  <si>
    <t>Insurance</t>
  </si>
  <si>
    <t>DD *TEAPLUSNOODLES 6506819470 CA</t>
  </si>
  <si>
    <t>SAFEWAY #1547 BURLINGAME CA</t>
  </si>
  <si>
    <t>665 - DISTRICT MARKET SAN FRANCISCOCA01955P</t>
  </si>
  <si>
    <t>CARBON HEALTH 4152002133 CA</t>
  </si>
  <si>
    <t>Medical Services</t>
  </si>
  <si>
    <t>medical</t>
  </si>
  <si>
    <t>HUDSONNEWS ST1104 DENVER CO</t>
  </si>
  <si>
    <t>airport</t>
  </si>
  <si>
    <t>SARA LEE DENVER CO</t>
  </si>
  <si>
    <t>TST* AMOURA CAFE SFO SOUTH SAN FRACA00107565015631300789AA</t>
  </si>
  <si>
    <t>UNITED AIRLINES 18004214655 TX</t>
  </si>
  <si>
    <t>air_travel</t>
  </si>
  <si>
    <t>DUNKIN #362811 TULSA OK</t>
  </si>
  <si>
    <t>TARGET 00000190091 TULSA OK</t>
  </si>
  <si>
    <t>UNITED AIRLINES 18004214655 TXAPPLE PAY ENDING IN 1455</t>
  </si>
  <si>
    <t>TULSA AIRPORT TULSA OK</t>
  </si>
  <si>
    <t>OAKLEY B107 CHICAGO IL</t>
  </si>
  <si>
    <t>vision</t>
  </si>
  <si>
    <t>HUDSONNEWS ST862 DES PLAINES IL</t>
  </si>
  <si>
    <t>GIORDANO'S PRUDENTIAL CHICAGO IL02110P</t>
  </si>
  <si>
    <t>AMAZON.COM*R05GT90R0 AMZN.COM/BILLWAKUEGRMXXPE5</t>
  </si>
  <si>
    <t>SQ *PARK LIFE SAN FRANCISCOCA0001152921513614475959</t>
  </si>
  <si>
    <t>TARGET 00011221091 SAN MATEO CAAPPLE PAY ENDING IN 1455</t>
  </si>
  <si>
    <t>TST* LETS ROLL ICE CRE 415-999-9882 CA00097960015707478344AA</t>
  </si>
  <si>
    <t>jewelry</t>
  </si>
  <si>
    <t>ADOBE INC. 408-536-6000 CA</t>
  </si>
  <si>
    <t>adobe</t>
  </si>
  <si>
    <t>ITOYA TOPDRAWER-PALO ALT PALO ALTO CA</t>
  </si>
  <si>
    <t>desk_supplies</t>
  </si>
  <si>
    <t>JOE THE JUICE NY BURLINGAME CA</t>
  </si>
  <si>
    <t>TST* SUNRIGHT TEA STUDIO SAN JOSE CA</t>
  </si>
  <si>
    <t>SQ *BLUE OAK BREWING C SAN CARLOS CA0001152921513628299936</t>
  </si>
  <si>
    <t>SQ *BLUE OAK BREWING C SAN CARLOS CA0001152921513628390332</t>
  </si>
  <si>
    <t>SQ *OFF THE GRID SAN FRANCISCOCAAPPLE PAY ENDING IN 14550001152921513628124415</t>
  </si>
  <si>
    <t>SQ *GAI CHICKEN AND RI SAN FRANCISCOCA0001152921513633686044</t>
  </si>
  <si>
    <t>EXPLOSIONS IN THE SKY 6502396947 TX</t>
  </si>
  <si>
    <t>concert_merch</t>
  </si>
  <si>
    <t>SQ *GAI CHICKEN AND RI GOSQ.COM CAAPPLE PAY ENDING IN 14550001152921513633626927</t>
  </si>
  <si>
    <t>APPLE.COM/BILL 866-712-7753 CAAPPLE PAY ENDING IN 1455</t>
  </si>
  <si>
    <t>COCUSOCIAL COOKING CLA 9299303900 NY</t>
  </si>
  <si>
    <t>date_w_vincent</t>
  </si>
  <si>
    <t>BARNES &amp; NOBLE #3450 BURLINGAME CA</t>
  </si>
  <si>
    <t>SPOTIFY P298D360D2 8777781161 NY</t>
  </si>
  <si>
    <t>ONEPASS 877-515-9364 MN299153</t>
  </si>
  <si>
    <t>CAFE MAJESTIC SAN FRANCISCOCA</t>
  </si>
  <si>
    <t>ASIAN BOX- ASIAN ART MUS SAN FRANCISCOCA</t>
  </si>
  <si>
    <t>AMAZON.COM*R21YF99W2 AMZN.COM/BILLWAM5391JUR8QP</t>
  </si>
  <si>
    <t>AMAZON.COM*RB94D4TU0 AMZN.COM/BILLWA4A5039PKX10</t>
  </si>
  <si>
    <t>APPLE.COM/BILL 866-712-7753 CAAPPLE PAY ENDING IN 1455MMWDYYBWWGA0</t>
  </si>
  <si>
    <t>99 RANCH #1782 FOSTER CITY CA</t>
  </si>
  <si>
    <t>CLASSPASS* MONTHLY 8884935953 MT</t>
  </si>
  <si>
    <t>fitness</t>
  </si>
  <si>
    <t>VOGUISHLI HONGKONG HKG</t>
  </si>
  <si>
    <t>SEE TICKETS 3239080607 CA</t>
  </si>
  <si>
    <t>EB WATERSTRIDER 801-413-7200 CAAPPLE PAY ENDING IN 1455</t>
  </si>
  <si>
    <t>WALGREENS #0625 MILLBRAE CAAPPLE PAY ENDING IN 1455</t>
  </si>
  <si>
    <t>conv_store</t>
  </si>
  <si>
    <t>TRADER JOE S #067 SAN MATEO CA</t>
  </si>
  <si>
    <t>SILVERSUN PICKUPS 6502396947 CA</t>
  </si>
  <si>
    <t>mailing</t>
  </si>
  <si>
    <t>AXS.COMNORTHERN CAL 888-929-7849 CA</t>
  </si>
  <si>
    <t>AMZN MKTP US*RI1E796R2 AMZN.COM/BILLWA5XPAQQUV6J3</t>
  </si>
  <si>
    <t>EMA HOUSE SANTA CLARA CA</t>
  </si>
  <si>
    <t>THE UPS STORE 2354 BURLINGAME CA</t>
  </si>
  <si>
    <t>AMAZON.COM*RW2P61GR0 AMZN.COM/BILLWA59SOK5UFCC7</t>
  </si>
  <si>
    <t>APPLE.COM/BILL 111-111-1111 CAAPPLE PAY ENDING IN 1455</t>
  </si>
  <si>
    <t>grocery_ai</t>
  </si>
  <si>
    <t>FANDANGO 866-857-5191 CAAPPLE PAY ENDING IN 1455</t>
  </si>
  <si>
    <t>EB CARRIERCON 2024 801-413-7200 CAAPPLE PAY ENDING IN 1455</t>
  </si>
  <si>
    <t>convention</t>
  </si>
  <si>
    <t>SQ *ZEITGEIST SAN FRANCISCOCA0001152921513721864600</t>
  </si>
  <si>
    <t>AMAZON.COM*RW5N37QQ1 AMZN.COM/BILLWA3VMKL3N2FUH</t>
  </si>
  <si>
    <t>FLASHROUTERS 866-509-5817 NJ</t>
  </si>
  <si>
    <t>vpn_router</t>
  </si>
  <si>
    <t>SQ *OLFACTORY, INC. SAN FRANCISCOCA0001152921513728781825</t>
  </si>
  <si>
    <t>SQ *1015 FOLSOM SAN FRANCISCOCA0001152921513728894286</t>
  </si>
  <si>
    <t>AMAZON.COM*RW4S69Y71 AMZN.COM/BILLWA3VEYPED2U2S</t>
  </si>
  <si>
    <t>SPOTIFY P2A436E315 8777781161 NY</t>
  </si>
  <si>
    <t>ONEPASS 877-515-9364 MN332266</t>
  </si>
  <si>
    <t>UNIQLO USA LLC UNIQLO  SAN MATEO CA</t>
  </si>
  <si>
    <t>MESKIE'S ETHIOPIA RESTAU BERKELEY CA</t>
  </si>
  <si>
    <t>BREAKING POINTS 2025317527 DCITEM TRANSFERRED FROM PREV ACCOUNT</t>
  </si>
  <si>
    <t>FIVE BELOW 1436 FOSTER CITY CA</t>
  </si>
  <si>
    <t>MONTCLAIR GARAGE PRK MBL OAKLAND CAAPPLE PAY ENDING IN 1455</t>
  </si>
  <si>
    <t>AMAZON PRIME*RZ4ZI9WG1 888-802-3080 WA1XVIY71QS16</t>
  </si>
  <si>
    <t>APPLE.COM/BILL 866-712-7753 CAAPPLE PAY ENDING IN 1455MMWF1F5XWFA0</t>
  </si>
  <si>
    <t>MEN HAVING BABIES 4072523825 NY</t>
  </si>
  <si>
    <t>conferences</t>
  </si>
  <si>
    <t>APPLE.COM/BILL 866-712-7753 CAAPPLE PAY ENDING IN 1455MMXJ1VQHWJA0</t>
  </si>
  <si>
    <t>EPOCH.COM GUERNSEY GGY</t>
  </si>
  <si>
    <t>misc</t>
  </si>
  <si>
    <t>GRUBHUBURBANMOMO 877-585-1085 NYAPPLE PAY ENDING IN 1455</t>
  </si>
  <si>
    <t>food_delivery</t>
  </si>
  <si>
    <t>SQ *BURLINGAME BURLINGAME CA0001152921513760147969</t>
  </si>
  <si>
    <t>FUEL 24 7 AT MILLER MILL VALLEY CA</t>
  </si>
  <si>
    <t>MAIDO STATIONERY - JT2 SAN FRANCISCOCA</t>
  </si>
  <si>
    <t>home_supplies</t>
  </si>
  <si>
    <t>Housing</t>
  </si>
  <si>
    <t>TST* PINKPINK - JAPANT SAN FRANCISCOCA00091934016492835654AA</t>
  </si>
  <si>
    <t>TST* CAFE 382 SOUTH SAN FRACA00070908016503966764AA</t>
  </si>
  <si>
    <t>BONOBOS BONOBOS.COM OH</t>
  </si>
  <si>
    <t>EB WILLIS 801-413-7200 CAAPPLE PAY ENDING IN 1455</t>
  </si>
  <si>
    <t>SP RING USA 8006561918 CA</t>
  </si>
  <si>
    <t>mom</t>
  </si>
  <si>
    <t>APPLE.COM/BILL 866-712-7753 CAAPPLE PAY ENDING IN 1455MMWF228FJ1A0</t>
  </si>
  <si>
    <t>SQ *B STREET &amp; VINE SAN MATEO CA0001152921513792978552</t>
  </si>
  <si>
    <t>THE UC THEATRE 919-653-0443 NC</t>
  </si>
  <si>
    <t>TST* NEW ENGLAND LOBST 650-443-1559 CAAPPLE PAY ENDING IN 145500019570016593761538AA</t>
  </si>
  <si>
    <t>TST* NEW ENGLAND LOBST 650-443-1559 CAAPPLE PAY ENDING IN 145500019570016593356136AA</t>
  </si>
  <si>
    <t>APPLE STORE #R029 BURLINGAME CAR029105612201</t>
  </si>
  <si>
    <t>ETSY, INC. ETSY.COM/ NYAPPLE PAY ENDING IN 1455</t>
  </si>
  <si>
    <t>TST* HAMANO SUSHI SAN FRANCISCOCA</t>
  </si>
  <si>
    <t>AMAZON.COM*RH6FB8GE2 AMZN.COM/BILLWA55PN2MD3ECU</t>
  </si>
  <si>
    <t>TST* JUPITER PIZZA &amp; B BERKELEY CA00011295016687580189AA</t>
  </si>
  <si>
    <t>WALGREENS #12257 BURLINGAME CA</t>
  </si>
  <si>
    <t>SQ *INTERVALS PORTLAND OR0001152921513803820464</t>
  </si>
  <si>
    <t>WALGREENS #7043 SAN FRANCISCOCAAPPLE PAY ENDING IN 1455</t>
  </si>
  <si>
    <t>SQ *NICK CIPPONERI FAR SAN FRANCISCOCA0001152921513812955955</t>
  </si>
  <si>
    <t>GOOGLE *COLAB CC@GOOGLE.COMCAP10LBCZT</t>
  </si>
  <si>
    <t>google_colab</t>
  </si>
  <si>
    <t>JEFFREYS HAMBURGER SM SAN MATEO CA</t>
  </si>
  <si>
    <t>OTF SAN MATEO 650-4870404 CA</t>
  </si>
  <si>
    <t>MARVIN'S FARMERS MARKET MENLO PARK CA</t>
  </si>
  <si>
    <t>LYFT 1 RIDE 03-25 855-865-9553 CA</t>
  </si>
  <si>
    <t>ride_share</t>
  </si>
  <si>
    <t>ALIPAY BEIJING CHN1442.00 @ 00000000.1385714 CNY</t>
  </si>
  <si>
    <t>Department Stores</t>
  </si>
  <si>
    <t>GT_China</t>
  </si>
  <si>
    <t>ADOBE *ADOBE 408-536-6000 CA</t>
  </si>
  <si>
    <t>WILLIS 6502396947 TN</t>
  </si>
  <si>
    <t>COW PALACE (FOOD) 6502396947 CA</t>
  </si>
  <si>
    <t>SQ *ZAREEN'S RESTAURAN REDWOOD CITY CA0001152921513836598792</t>
  </si>
  <si>
    <t>TARGET 00010546091 SAN BRUNO CA</t>
  </si>
  <si>
    <t>COW PALACE (BAR) 6502396947 CA</t>
  </si>
  <si>
    <t>SPOTIFY P2B1395D1E 8777781161 NY</t>
  </si>
  <si>
    <t>AMAZON.COM*783OU3U03 AMZN.COM/BILLWANQUB51SMK9Q</t>
  </si>
  <si>
    <t>SP KORI WORLD 4012179994 CA</t>
  </si>
  <si>
    <t>DD DOORDASH SUSHIRRIT 855-973-1040 CAAPPLE PAY ENDING IN 1455</t>
  </si>
  <si>
    <t>THE DISTRICT BARBERS D 9292652995 NYAPPLE PAY ENDING IN 1455</t>
  </si>
  <si>
    <t>ONEPASS 877-515-9364 MN370447</t>
  </si>
  <si>
    <t>AMAZON.COM*MT4R11EO3 AMZN.COM/BILLWA45HTYXU7UOR</t>
  </si>
  <si>
    <t>CITY OF BURLINGAME-PARKI BURLINGAME CA</t>
  </si>
  <si>
    <t>KOKKO SAN MATEO CA</t>
  </si>
  <si>
    <t>UNCLE TETSU #31003 SAN MATEO CA</t>
  </si>
  <si>
    <t>TST* THE REFUGE - HILL 650-458-3044 CA00018617016934523764AA</t>
  </si>
  <si>
    <t>ORIG_INDEX</t>
  </si>
  <si>
    <t>DISCOVER</t>
  </si>
  <si>
    <t>sofi_savings</t>
  </si>
  <si>
    <t>Nationwide</t>
  </si>
  <si>
    <t>income</t>
  </si>
  <si>
    <t>Savings</t>
  </si>
  <si>
    <t>BOARD OF REGENTS</t>
  </si>
  <si>
    <t>school</t>
  </si>
  <si>
    <t>To Checking - 8930</t>
  </si>
  <si>
    <t>WELLS FARGO BANK NA</t>
  </si>
  <si>
    <t>Interest earned</t>
  </si>
  <si>
    <t>interest</t>
  </si>
  <si>
    <t>IRS  TREAS 310</t>
  </si>
  <si>
    <t>WELLS FARGO BANK</t>
  </si>
  <si>
    <t>FRANCHISE TAX BD</t>
  </si>
  <si>
    <t>From Savings - 3552</t>
  </si>
  <si>
    <t>BEST BUY</t>
  </si>
  <si>
    <t>laptop</t>
  </si>
  <si>
    <t>VENMO</t>
  </si>
  <si>
    <t>vincent_debt</t>
  </si>
  <si>
    <t>huong_nguyen</t>
  </si>
  <si>
    <t>DEPT EDUCATION</t>
  </si>
  <si>
    <t>rent</t>
  </si>
  <si>
    <t>SP RAISED BY SOCIETY</t>
  </si>
  <si>
    <t>joshua_mitchell</t>
  </si>
  <si>
    <t>sofi_checking</t>
  </si>
  <si>
    <t>Fixed Expenses</t>
  </si>
  <si>
    <t>savings</t>
  </si>
  <si>
    <t>Last_balance</t>
  </si>
  <si>
    <t>Balances</t>
  </si>
  <si>
    <t>Variable Expenses</t>
  </si>
  <si>
    <t>Sum of Amount</t>
  </si>
  <si>
    <t>Column Labels</t>
  </si>
  <si>
    <t>Grand Total</t>
  </si>
  <si>
    <t>Row Labels</t>
  </si>
  <si>
    <t>checking</t>
  </si>
  <si>
    <t>Group</t>
  </si>
  <si>
    <t>Principal</t>
  </si>
  <si>
    <t>Interest Rate</t>
  </si>
  <si>
    <t>Monthly Payment</t>
  </si>
  <si>
    <t xml:space="preserve">Total Interest </t>
  </si>
  <si>
    <t>AA</t>
  </si>
  <si>
    <t>AC</t>
  </si>
  <si>
    <t>AE</t>
  </si>
  <si>
    <t>Total</t>
  </si>
  <si>
    <t>Month</t>
  </si>
  <si>
    <t>Interest Payment</t>
  </si>
  <si>
    <t>Principal Payment</t>
  </si>
  <si>
    <t>Total Payment</t>
  </si>
  <si>
    <t>Remaining Balance</t>
  </si>
  <si>
    <t>Interest</t>
  </si>
  <si>
    <t>Payments</t>
  </si>
  <si>
    <t>Hawaii</t>
  </si>
  <si>
    <t>Income</t>
  </si>
  <si>
    <t>don</t>
  </si>
  <si>
    <t>insurance reimbursement</t>
  </si>
  <si>
    <t>Total Balance Calculated</t>
  </si>
  <si>
    <t>Total Balance Actual</t>
  </si>
  <si>
    <t>Travel Expenses</t>
  </si>
  <si>
    <t>Don</t>
  </si>
  <si>
    <t>restaurants</t>
  </si>
  <si>
    <t>Australia</t>
  </si>
  <si>
    <t>Travel</t>
  </si>
  <si>
    <t>ATM WITHDRAWAL AUTHORIZED ON 04/09 100 E 4th Ave San Mateo CA 0007489 ATM ID 0520C CARD 1081</t>
  </si>
  <si>
    <t>ZELLE FROM LEWIS DORRY ON 04/08 REF # PP0S4ZN6KM</t>
  </si>
  <si>
    <t>ATM CASH DEPOSIT ON 04/10 100 E 4th Ave San Mateo CA 0007790 ATM ID 0520C CARD 1081</t>
  </si>
  <si>
    <t>ATM CASH DEPOSIT ON 04/10 100 E 4th Ave San Mateo CA 0007789 ATM ID 0520C CARD 1081</t>
  </si>
  <si>
    <t>VENMO PAYMENT 240415 1033792256663 SEAN LEWIS</t>
  </si>
  <si>
    <t>L A FITNESS 9492558100 041524 49343747 I783466887</t>
  </si>
  <si>
    <t>PURCHASE AUTHORIZED ON 04/12 OANH LE DDS SAN MATEO CA S464103813791194 CARD 1081</t>
  </si>
  <si>
    <t>T-MOBILE PCS SVC 240417 9053559 DON LEWIS</t>
  </si>
  <si>
    <t>Nationwide PAYROLL 01 HRP0010244110 Sean Lewis</t>
  </si>
  <si>
    <t>ZELLE FROM KAI FENG PAN ON 04/17 REF # BACAIP4JOFOT FOR INVISALIGN</t>
  </si>
  <si>
    <t>Vincent</t>
  </si>
  <si>
    <t>Synchrony Bank CC PYMT Apr 19 524306003390321 SEAN LEWIS</t>
  </si>
  <si>
    <t>NON-WF ATM WITHDRAWAL AUTHORIZED ON 04/21 SANBORNS TACUB/ DISTRITO FED MEX 584112805177505 ATM ID QMXS98 CARD 1081</t>
  </si>
  <si>
    <t>Mexico</t>
  </si>
  <si>
    <t>SoFi Bank TRANSFER SD1300 SLewis Sean Lewis:66952:27030</t>
  </si>
  <si>
    <t>PURCHASE INTL AUTHORIZED ON 04/22 HELADOS SANTA CLAR CIUDAD DE MEX MEX S464113709969315 CARD 1081</t>
  </si>
  <si>
    <t>PURCHASE INTL AUTHORIZED ON 04/23 MUSEO FRIDA KAHLO CIUDAD DE MEX MEX S384114845130505 CARD 1081</t>
  </si>
  <si>
    <t>PURCHASE INTL AUTHORIZED ON 04/26 NEVE REFORMA CIUDAD DE MEX MEX S464118003537811 CARD 1081</t>
  </si>
  <si>
    <t>PURCHASE INTL AUTHORIZED ON 04/25 GetYourGuide Deuts Berlin DEU S584117187324477 CARD 1081</t>
  </si>
  <si>
    <t>PURCHASE INTL AUTHORIZED ON 04/30 MONUMENTO REV MEXI CIUDAD DE MEX MEX S584121689502566 CARD 1081</t>
  </si>
  <si>
    <t>Nationwide PAYROLL 01 HRP0010290586 Sean Lewis</t>
  </si>
  <si>
    <t>NON-WF ATM WITHDRAWAL AUTHORIZED ON 05/04 2546 LEMOND ROAD HONOLULU HI 584125636679465 ATM ID IP2155 CARD 1081</t>
  </si>
  <si>
    <t>VENMO CASHOUT 240507 1034241513466 SEAN LEWIS</t>
  </si>
  <si>
    <t>PURCHASE AUTHORIZED ON 05/14 COLES 0710 SYDNEY AUS S584135861508914 CARD 1081</t>
  </si>
  <si>
    <t>PURCHASE AUTHORIZED ON 05/14 GEORGE GROCER STORE Haymarket AUS S384135606505583 CARD 1081</t>
  </si>
  <si>
    <t>L A FITNESS 9492558100 051524 49343747 I788590052</t>
  </si>
  <si>
    <t>PURCHASE INTL AUTHORIZED ON 05/14 SOUL ORIGIN WORLD SYDNEY AUS S384136000202242 CARD 1081</t>
  </si>
  <si>
    <t>RECURRING PAYMENT INTL AUTHORIZED ON 05/14 CLASSPASS* MONTHLY NORTH SYDNEY AUS S584135765286720 CARD 1081</t>
  </si>
  <si>
    <t>PURCHASE INTL AUTHORIZED ON 05/13 2305_Darlinghurst_ Sydney AUS S384135224227854 CARD 1081</t>
  </si>
  <si>
    <t>PURCHASE AUTHORIZED ON 05/16 Darlinghurst Medical Darlinghurst AUS S384138013314493 CARD 1081</t>
  </si>
  <si>
    <t>PURCHASE INTL AUTHORIZED ON 05/15 THROWBACKSTORE ALEXANDRIA AUS S584137113449740 CARD 1081</t>
  </si>
  <si>
    <t>PURCHASE INTL AUTHORIZED ON 05/14 ROMEOS IGA OXFORD DARLINGHURST AUS S464136104657781 CARD 1081</t>
  </si>
  <si>
    <t>PURCHASE INTL AUTHORIZED ON 05/14 M &amp; K TELECOM PTY SYDNEY AUS S384135848242389 CARD 1081</t>
  </si>
  <si>
    <t>Nationwide PAYROLL 01 HRP0010322315 Sean Lewis</t>
  </si>
  <si>
    <t>PURCHASE AUTHORIZED ON 05/17 Chemistworks Broadway Broadway AUS S464138303961453 CARD 1081</t>
  </si>
  <si>
    <t>PURCHASE AUTHORIZED ON 05/16 EzyMart Cumberland St The Rocks AUS S584138177082466 CARD 1081</t>
  </si>
  <si>
    <t>RECURRING PAYMENT INTL AUTHORIZED ON 05/16 CLASSPASS* MONTHLY NORTH SYDNEY AUS S304137396053346 CARD 1081</t>
  </si>
  <si>
    <t>PURCHASE INTL AUTHORIZED ON 05/14 ALDI STORES - DARL DARLINGHURST AUS S304135830193953 CARD 1081</t>
  </si>
  <si>
    <t>T-MOBILE PCS SVC 240517 8577644 DON LEWIS</t>
  </si>
  <si>
    <t>Synchrony Bank CC PYMT May 20 524306003390321 SEAN LEWIS</t>
  </si>
  <si>
    <t>PURCHASE AUTHORIZED ON 05/19 Cali Press Aus Square Sydney AUS S584140859752436 CARD 1081</t>
  </si>
  <si>
    <t>PURCHASE INTL AUTHORIZED ON 05/18 TARONGA ZOO MOSMAN AUS S384140225583350 CARD 1081</t>
  </si>
  <si>
    <t>PURCHASE INTL AUTHORIZED ON 05/18 ALLIANCE OPCO PTY MOSMAN AUS S464140150298457 CARD 1081</t>
  </si>
  <si>
    <t>PURCHASE INTL AUTHORIZED ON 05/18 SQ *SINGLE O SURRY Surry Hills AUS S584140063799043 CARD 1081</t>
  </si>
  <si>
    <t>PURCHASE INTL AUTHORIZED ON 05/17 Rivareno Gelato Da Darlinghurst AUS S384139237961495 CARD 1081</t>
  </si>
  <si>
    <t>PURCHASE INTL AUTHORIZED ON 05/17 EZYMART 113 OXFORD DARLINGHURST AUS S584139233652374 CARD 1081</t>
  </si>
  <si>
    <t>PURCHASE INTL AUTHORIZED ON 05/17 BarrysAU_POS Sydney AUS S464139070987989 CARD 1081</t>
  </si>
  <si>
    <t>PURCHASE INTL AUTHORIZED ON 05/16 THYNAMIS PTY LTD SYDNEY AUS S304138079113104 CARD 1081</t>
  </si>
  <si>
    <t>PURCHASE INTL AUTHORIZED ON 05/16 Jamies Kitchen Aus Darlinghurst AUS S584138006000792 CARD 1081</t>
  </si>
  <si>
    <t>PURCHASE INTL AUTHORIZED ON 05/15 MCDONALDS SYDNEY G SYDNEY AUS S584137197679121 CARD 1081</t>
  </si>
  <si>
    <t>PURCHASE INTL AUTHORIZED ON 05/15 TRANSPORTFORNSW TA SYDNEY AUS S384136289819594 CARD 1081</t>
  </si>
  <si>
    <t>PURCHASE INTL AUTHORIZED ON 05/21 SQ *THE HORDERN CO Moore Park AUS S464142372994816 CARD 1081</t>
  </si>
  <si>
    <t>RECURRING PAYMENT INTL AUTHORIZED ON 05/21 IPY*Jetstar IFE 78 Broadbeach AUS S304142271531511 CARD 1081</t>
  </si>
  <si>
    <t>PURCHASE AUTHORIZED ON 05/20 Bauerfeind Australia Sydney AUS S464142194660237 CARD 1081</t>
  </si>
  <si>
    <t>PURCHASE INTL AUTHORIZED ON 05/20 TIXEL* TICKETS JUN PRAHRAN, MELB AUS S464142125759412 CARD 1081</t>
  </si>
  <si>
    <t>PURCHASE INTL AUTHORIZED ON 05/19 RYANS BAR SYDNEY AUS S464141048775245 CARD 1081</t>
  </si>
  <si>
    <t>PURCHASE INTL AUTHORIZED ON 05/20 KFC DARLINGHURST DARLINGHURST AUS S584142203433894 CARD 1081</t>
  </si>
  <si>
    <t>PURCHASE INTL AUTHORIZED ON 05/23 SQ *EVENTS CATERIN Kensington AUS S464144354261101 CARD 1081</t>
  </si>
  <si>
    <t>PURCHASE INTL AUTHORIZED ON 05/21 Scramble and Bean Sydney AUS S584142330226062 CARD 1081</t>
  </si>
  <si>
    <t>PURCHASE AUTHORIZED ON 05/24 SOH THEATRE BARS Sydney AUS S384145382306491 CARD 1081</t>
  </si>
  <si>
    <t>PURCHASE AUTHORIZED ON 05/24 SOH THEATRE BARS Sydney AUS S304145344462270 CARD 1081</t>
  </si>
  <si>
    <t>PURCHASE AUTHORIZED ON 05/23 EzyMart Cumberland St The Rocks AUS S464145191991124 CARD 1081</t>
  </si>
  <si>
    <t>PURCHASE AUTHORIZED ON 05/23 FOOD ADDICT CAFE Darlinghurst AUS S384145039444722 CARD 1081</t>
  </si>
  <si>
    <t>PURCHASE AUTHORIZED ON 05/26 Burgers Anonymous Darlinghurst AUS S304147311996727 CARD 1081</t>
  </si>
  <si>
    <t>PURCHASE INTL AUTHORIZED ON 05/25 PICASSO TAKE AWAY OLD TOONGABBI AUS S304147087294791 CARD 1081</t>
  </si>
  <si>
    <t>PURCHASE INTL AUTHORIZED ON 05/25 SQ *OLIVER BROWN S Strathfield AUS S304147047957897 CARD 1081</t>
  </si>
  <si>
    <t>PURCHASE INTL AUTHORIZED ON 05/25 TRANSPORTFORNSW TA SYDNEY AUS S384147021926066 CARD 1081</t>
  </si>
  <si>
    <t>PURCHASE INTL AUTHORIZED ON 05/25 TRANSPORTFORNSW TA SYDNEY AUS S304146293119783 CARD 1081</t>
  </si>
  <si>
    <t>PURCHASE INTL AUTHORIZED ON 05/25 LIQUOR ON OXFORD DARLINGHURST AUS S384146283268216 CARD 1081</t>
  </si>
  <si>
    <t>PURCHASE INTL AUTHORIZED ON 05/24 SQ *SOUL DELI Surry Hills AUS S464146044033724 CARD 1081</t>
  </si>
  <si>
    <t>MONEY TRANSFER AUTHORIZED ON 05/24 CASH APP*CYANFACE 800-9691940 CA S384145822206271 CARD 1081</t>
  </si>
  <si>
    <t>PURCHASE INTL AUTHORIZED ON 05/24 ZLR*Gelatissimo Ci Sydney AUS S464145475591179 CARD 1081</t>
  </si>
  <si>
    <t>PURCHASE INTL AUTHORIZED ON 05/23 TRANSPORTFORNSW TA SYDNEY AUS S584145180375796 CARD 1081</t>
  </si>
  <si>
    <t>PURCHASE INTL AUTHORIZED ON 05/23 KANGAROOS CONVENIE SYDNEY AUS S464144286795956 CARD 1081</t>
  </si>
  <si>
    <t>PURCHASE INTL AUTHORIZED ON 05/23 TRANSPORTFORNSW TA SYDNEY AUS S464144263301764 CARD 1081</t>
  </si>
  <si>
    <t>PURCHASE INTL AUTHORIZED ON 05/28 ES THE GALERIES SYDNEY AUS S384150161683933 CARD 1081</t>
  </si>
  <si>
    <t>PURCHASE INTL AUTHORIZED ON 05/28 SQ *FOOD ADDICT Surry Hills AUS S384150004284123 CARD 1081</t>
  </si>
  <si>
    <t>PURCHASE INTL AUTHORIZED ON 05/28 SQ *FOOD ADDICT Surry Hills AUS S304150003615354 CARD 1081</t>
  </si>
  <si>
    <t>PURCHASE INTL AUTHORIZED ON 05/27 BLACKSMITHS SURRY SURRY HILLS AUS S304149152457012 CARD 1081</t>
  </si>
  <si>
    <t>ZELLE FROM LEWIS JAYELIN ON 05/29 REF # PP0S9CHDPL PAYBACK FOR SUIT</t>
  </si>
  <si>
    <t>PURCHASE AUTHORIZED ON 05/29 ASN Darlinghurst Darlinghurst AUS S464151159652342 CARD 1081</t>
  </si>
  <si>
    <t>PURCHASE INTL AUTHORIZED ON 05/29 Stateside Sports P 02 8666 0900 AUS S584151078364195 CARD 1081</t>
  </si>
  <si>
    <t>PURCHASE INTL AUTHORIZED ON 05/29 ELIZABETH BAY DELI ELIZABETH BAY AUS S304150331707650 CARD 1081</t>
  </si>
  <si>
    <t>PURCHASE INTL AUTHORIZED ON 05/28 ALDI STORES - DARL DARLINGHURST AUS S384149295445428 CARD 1081</t>
  </si>
  <si>
    <t>PURCHASE INTL AUTHORIZED ON 05/28 ALDI STORES - DARL DARLINGHURST AUS S464149284104361 CARD 1081</t>
  </si>
  <si>
    <t>PURCHASE INTL AUTHORIZED ON 05/26 TRANSPORTFORNSW TA SYDNEY AUS S304148003754096 CARD 1081</t>
  </si>
  <si>
    <t>Nationwide PAYROLL 01 HRP0010356518 Sean Lewis</t>
  </si>
  <si>
    <t>PURCHASE INTL AUTHORIZED ON 05/30 GENERAL PANTS SYDNEY AUS S304151304934229 CARD 1081</t>
  </si>
  <si>
    <t>PURCHASE INTL AUTHORIZED ON 05/29 DAVID JONES LIMITE SYDNEY AUS S384151189872520 CARD 1081</t>
  </si>
  <si>
    <t>PURCHASE INTL AUTHORIZED ON 05/29 Scramble and Bean Sydney AUS S584150326854647 CARD 1081</t>
  </si>
  <si>
    <t>PURCHASE INTL AUTHORIZED ON 05/28 TSG BATHURST SYDNEY AUS S304150170044234 CARD 1081</t>
  </si>
  <si>
    <t>PURCHASE AUTHORIZED ON 06/03 De Vu Cafe Burwood AUS S584156034947003 CARD 1081</t>
  </si>
  <si>
    <t>PURCHASE AUTHORIZED ON 06/02 LOCAL SUPPLY BONDI BEACH AUS S464155010362660 CARD 1081</t>
  </si>
  <si>
    <t>PURCHASE AUTHORIZED ON 06/02 MESSINA CIRC QUAY Sydney AUS S584154406522037 CARD 1081</t>
  </si>
  <si>
    <t>PURCHASE INTL AUTHORIZED ON 06/02 SQ *BAR COCO PTY L Chatswood AUS S464154364299627 CARD 1081</t>
  </si>
  <si>
    <t>PURCHASE AUTHORIZED ON 06/02 Gumshara Ramen Haymarket AUS S464154298971805 CARD 1081</t>
  </si>
  <si>
    <t>PURCHASE AUTHORIZED ON 05/31 Sandoitchi Cafe Darlinghurst AUS S384153156480757 CARD 1081</t>
  </si>
  <si>
    <t>PURCHASE INTL AUTHORIZED ON 05/31 SQ *GIFTS AT THE Q Sydney AUS S304153143679656 CARD 1081</t>
  </si>
  <si>
    <t>PURCHASE INTL AUTHORIZED ON 05/31 TFNSW FERRY OPAL SYDNEY AUS S464153023416497 CARD 1081</t>
  </si>
  <si>
    <t>PURCHASE INTL AUTHORIZED ON 05/31 TRANSPORTFORNSW TA SYDNEY AUS S584153013948310 CARD 1081</t>
  </si>
  <si>
    <t>PURCHASE INTL AUTHORIZED ON 05/30 TRANSPORTFORNSW TA SYDNEY AUS S384152205914692 CARD 1081</t>
  </si>
  <si>
    <t>PURCHASE INTL AUTHORIZED ON 05/30 PARK CITY LEASES P SYDNEY AUS S464151299857845 CARD 1081</t>
  </si>
  <si>
    <t>PURCHASE INTL AUTHORIZED ON 05/29 CHIFLEY TOP JUICE SYDNEY AUS S304151224330703 CARD 1081</t>
  </si>
  <si>
    <t>PURCHASE INTL AUTHORIZED ON 05/29 TRANSPORTFORNSW TA SYDNEY AUS S584150280772216 CARD 1081</t>
  </si>
  <si>
    <t>ZELLE TO DON ON 06/04 REF #PP0S9XJV82 TAXES</t>
  </si>
  <si>
    <t>PURCHASE INTL AUTHORIZED ON 06/03 FARMERS FRESH BURW BURWOOD AUS S464156208503583 CARD 1081</t>
  </si>
  <si>
    <t>PURCHASE AUTHORIZED ON 06/03 PINTO THAI STREET FOO Burwood AUS S464156190263122 CARD 1081</t>
  </si>
  <si>
    <t>PURCHASE INTL AUTHORIZED ON 06/01 IMAX SYDNEY SYDNEY AUS S584154184923940 CARD 1081</t>
  </si>
  <si>
    <t>PURCHASE INTL AUTHORIZED ON 06/04 ONA COFFEE SYDNEY MARRICKVILLE AUS S464157145944787 CARD 1081</t>
  </si>
  <si>
    <t>PURCHASE INTL AUTHORIZED ON 06/04 SQ *LEIBLE COFFEE Sydney AUS S464157088384406 CARD 1081</t>
  </si>
  <si>
    <t>PURCHASE INTL AUTHORIZED ON 06/03 STRATHFIELD SPORTS STRATHFIELD AUS S584156181045454 CARD 1081</t>
  </si>
  <si>
    <t>SoFi Bank TRANSFER SD1300 SLewis Sean Lewis:66996:8117</t>
  </si>
  <si>
    <t>PURCHASE AUTHORIZED ON 06/05 Sandoitchi Cafe Darlinghurst AUS S584158139327119 CARD 1081</t>
  </si>
  <si>
    <t>PURCHASE INTL AUTHORIZED ON 06/04 MCDONALDS BURWOOD BURWOOD AUS S384156275703331 CARD 1081</t>
  </si>
  <si>
    <t>PURCHASE AUTHORIZED ON 06/07 Ibis StylesSydCent SPI Sydney AUS S464159433682024 CARD 1081</t>
  </si>
  <si>
    <t>PURCHASE AUTHORIZED ON 06/07 Ibis StylesSydCent SPI Sydney AUS S384159353689120 CARD 1081</t>
  </si>
  <si>
    <t>PURCHASE INTL AUTHORIZED ON 06/05 ROMEOS IGA OXFORD DARLINGHURST AUS S384158214111361 CARD 1081</t>
  </si>
  <si>
    <t>ZELLE TO LEWIS JR DON ON 06/10 REF #PP0SBFBGJP INSURANCE</t>
  </si>
  <si>
    <t>PURCHASE INTL AUTHORIZED ON 06/05 TRANSPORTFORNSW TA SYDNEY AUS S304158217081168 CARD 1081</t>
  </si>
  <si>
    <t>PURCHASE INTL AUTHORIZED ON 06/05 TRANSPORTFORNSW TA SYDNEY AUS S464157350354039 CARD 1081</t>
  </si>
  <si>
    <t>PURCHASE AUTHORIZED ON 06/10 LAZ PARKING M18445 SAN FRANCISCO CA S304163142204506 CARD 1081</t>
  </si>
  <si>
    <t>Nationwide PAYROLL 01 HRP0010386310 Sean Lewis</t>
  </si>
  <si>
    <t>VENMO PAYMENT 240616 1035063100468 SEAN LEWIS</t>
  </si>
  <si>
    <t>L A FITNESS 9492558100 061524 49343747 I793419971</t>
  </si>
  <si>
    <t>RECURRING PAYMENT INTL AUTHORIZED ON 06/16 CLASSPASS* MONTHLY NORTH SYDNEY AUS S384169013615289 CARD 1081</t>
  </si>
  <si>
    <t>ZELLE TO LEWIS JR DON ON 06/15 REF #PP0SBV29NL INTERNATIONAL CALLS</t>
  </si>
  <si>
    <t>T-MOBILE PCS SVC 240617 8222881 DON LEWIS</t>
  </si>
  <si>
    <t>SoFi Bank TRANSFER SD1700 SLewis Sean Lewis:67009:23324</t>
  </si>
  <si>
    <t>NON-WF ATM WITHDRAWAL AUTHORIZED ON 06/24 HSBC/HAY WAH BLDG L EBC HONG KONG HKG 464176856104701 ATM ID 5149 CARD 1081</t>
  </si>
  <si>
    <t>NON-WF ATM WITHDRAWAL AUTHORIZED ON 06/25 HASE/MTR TSIMSHATSUI A HONG KONG HKG 384178022261053 ATM ID 4283 CARD 1081</t>
  </si>
  <si>
    <t>NON-WF ATM WITHDRAWAL AUTHORIZED ON 06/25 HSBC/HAY WAH BLDG L EBC HONG KONG HKG 384177829510029 ATM ID 5149 CARD 1081</t>
  </si>
  <si>
    <t>SoFi Bank TRANSFER SD1300 SLewis Sean Lewis:67016:12104</t>
  </si>
  <si>
    <t>PURCHASE INTL AUTHORIZED ON 06/25 7-Eleven, HK (1020 WANCHAI HKG S384177448935970 CARD 1081</t>
  </si>
  <si>
    <t>PURCHASE INTL AUTHORIZED ON 06/25 UNIQLO HONG KONG L CAUSEWAY BAY HKG S584177311466292 CARD 1081</t>
  </si>
  <si>
    <t>Nationwide PAYROLL 01 HRP0010449522 Sean Lewis</t>
  </si>
  <si>
    <t>VENMO PAYMENT 240628 1035308065353 SEAN LEWIS</t>
  </si>
  <si>
    <t>PURCHASE INTL AUTHORIZED ON 06/27 ALIPAY BEIJING CHN S584179271499228 CARD 1081</t>
  </si>
  <si>
    <t>PURCHASE INTL AUTHORIZED ON 06/25 ALP*shenzhenlanbah Shanghai CHN S584178200012005 CARD 1081</t>
  </si>
  <si>
    <t>PURCHASE INTL AUTHORIZED ON 06/30 ALIPAY BEIJING CHN S384182415543286 CARD 1081</t>
  </si>
  <si>
    <t>PURCHASE INTL AUTHORIZED ON 06/30 ALIPAY BEIJING CHN S584182384358983 CARD 1081</t>
  </si>
  <si>
    <t>PURCHASE INTL AUTHORIZED ON 06/30 ALIPAY BEIJING CHN S384182343915870 CARD 1081</t>
  </si>
  <si>
    <t>PURCHASE INTL AUTHORIZED ON 06/29 ALIPAY BEIJING CHN S384182066767592 CARD 1081</t>
  </si>
  <si>
    <t>PURCHASE INTL AUTHORIZED ON 06/28 ALP*Starbucks Shanghai CHN S304181206386696 CARD 1081</t>
  </si>
  <si>
    <t>PURCHASE INTL AUTHORIZED ON 06/28 ALP*tanguihua Shanghai CHN S584181193022022 CARD 1081</t>
  </si>
  <si>
    <t>PURCHASE INTL AUTHORIZED ON 06/28 ALIPAY BEIJING CHN S584181167199192 CARD 1081</t>
  </si>
  <si>
    <t>PURCHASE INTL AUTHORIZED ON 06/28 ALIPAY BEIJING CHN S584181165304452 CARD 1081</t>
  </si>
  <si>
    <t>PURCHASE INTL AUTHORIZED ON 06/28 ALIPAY BEIJING CHN S384181069828518 CARD 1081</t>
  </si>
  <si>
    <t>PURCHASE INTL AUTHORIZED ON 06/28 ALIPAY BEIJING CHN S384180425587749 CARD 1081</t>
  </si>
  <si>
    <t>PURCHASE INTL AUTHORIZED ON 06/28 ALIPAY BEIJING CHN S384180393709036 CARD 1081</t>
  </si>
  <si>
    <t>PURCHASE INTL AUTHORIZED ON 06/28 ALP*shenzhenshifut Shanghai CHN S384180344975138 CARD 1081</t>
  </si>
  <si>
    <t>PURCHASE INTL AUTHORIZED ON 06/27 ALIPAY BEIJING CHN S584180055440414 CARD 1081</t>
  </si>
  <si>
    <t>PURCHASE INTL AUTHORIZED ON 06/27 ALP* Shanghai CHN S464179442716687 CARD 1081</t>
  </si>
  <si>
    <t>PURCHASE INTL AUTHORIZED ON 06/26 ALP*Meituan Shanghai CHN S304179240864762 CARD 1081</t>
  </si>
  <si>
    <t>ZELLE FROM CANDICE MCLEMORE ON 06/30 REF # BACYX66JM6AF</t>
  </si>
  <si>
    <t>PURCHASE INTL AUTHORIZED ON 06/30 WEIXIN Image Binh ShenZhen CHN S304183242789466 CARD 1081</t>
  </si>
  <si>
    <t>PURCHASE INTL AUTHORIZED ON 06/30 ALIPAY BEIJING CHN S384183186720655 CARD 1081</t>
  </si>
  <si>
    <t>PURCHASE INTL AUTHORIZED ON 06/30 ALIPAY BEIJING CHN S464183048859636 CARD 1081</t>
  </si>
  <si>
    <t>PURCHASE INTL AUTHORIZED ON 07/02 RAYBAN HONG KONG HKG S464184376410888 CARD 1081</t>
  </si>
  <si>
    <t>PURCHASE INTL AUTHORIZED ON 07/02 Select Service Par Kowloon HKG S464184352058329 CARD 1081</t>
  </si>
  <si>
    <t>PURCHASE INTL AUTHORIZED ON 07/02 HK ZH MAC BRI SHU MACAU MAC S464184262825469 CARD 1081</t>
  </si>
  <si>
    <t>PURCHASE INTL AUTHORIZED ON 07/01 LANCHONETE DE MACA MACAU MAC S464184203645546 CARD 1081</t>
  </si>
  <si>
    <t>PURCHASE INTL AUTHORIZED ON 07/01 ALIPAY BEIJING CHN S464184012411896 CARD 1081</t>
  </si>
  <si>
    <t>PURCHASE INTL AUTHORIZED ON 06/30 ALP* Shanghai CHN S584183032565043 CARD 1081</t>
  </si>
  <si>
    <t>Nationwide PAYROLL 01 HRP0010489886 Sean Lewis</t>
  </si>
  <si>
    <t>DEPT EDUCATION STUDENT LN 240715 6Q6Q01GVMD1 SEAN LEWIS</t>
  </si>
  <si>
    <t>RECURRING PAYMENT INTL AUTHORIZED ON 07/16 CLASSPASS* MONTHLY NORTH SYDNEY AUS S384199003309624 CARD 1081</t>
  </si>
  <si>
    <t>VENMO CASHOUT 240717 1035714438362 SEAN LEWIS</t>
  </si>
  <si>
    <t>T-MOBILE PCS SVC 240717 8079959 DON LEWIS</t>
  </si>
  <si>
    <t>L A FITNESS 9492558100 071824 49343747 I798717346</t>
  </si>
  <si>
    <t>L A FITNESS 9492558100 071824 49343747 I798717345</t>
  </si>
  <si>
    <t>Cash eWithdrawal in Branch 07/19/2024 09:08 AM 100 E 4TH AVE SAN MATEO CA 1081</t>
  </si>
  <si>
    <t>VENMO PAYMENT 240721 1035796993364 SEAN LEWIS</t>
  </si>
  <si>
    <t>PURCHASE AUTHORIZED ON 07/18 BRITISH SWIM SCHOO 650-7775544 CA S384201049047946 CARD 1081</t>
  </si>
  <si>
    <t>VENMO CASHOUT 240723 1035841237266 SEAN LEWIS</t>
  </si>
  <si>
    <t>ONLINE TRANSFER TO SOFI BANK, NATIONAL ASSOCIATION SAV XXXXXX3552 S. LEWIS REF #F20NYQCZ47 ON 07/25/24</t>
  </si>
  <si>
    <t>ZELLE TO LEWIS SEAN ON 07/25 REF #RP0XXKDW4H</t>
  </si>
  <si>
    <t>Nationwide PAYROLL 01 HRP0010497041 Sean Lewis</t>
  </si>
  <si>
    <t>PURCHASE AUTHORIZED ON 07/25 OANH LE DDS SAN MATEO CA S584207589009230 CARD 1081</t>
  </si>
  <si>
    <t>PURCHASE AUTHORIZED ON 07/27 ARCO#04495SINO SAN MATEO CA P000000981901334 CARD 1081</t>
  </si>
  <si>
    <t>RECURRING PAYMENT AUTHORIZED ON 07/26 BRITISH SWIM SCHOO 650-7775544 CA S304208704070330 CARD 1081</t>
  </si>
  <si>
    <t>MONEY TRANSFER AUTHORIZED ON 07/31 CASH APP*CAIRO DAN 800-9691940 CA S464213784604894 CARD 1081</t>
  </si>
  <si>
    <t>VENMO PAYMENT 240803 1036053786406 SEAN LEWIS</t>
  </si>
  <si>
    <t>Nationwide PAYROLL 01 HRP0010563899 Sean Lewis</t>
  </si>
  <si>
    <t>PURCHASE AUTHORIZED ON 08/09 ARCO#04495SINO SAN MATEO CA P000000786096895 CARD 1081</t>
  </si>
  <si>
    <t>ZELLE TO LEWIS JAYELIN ON 08/13 REF #PP0XYM4YSG UNDIES</t>
  </si>
  <si>
    <t>T-MOBILE PCS SVC 240817 8323916 DON LEWIS</t>
  </si>
  <si>
    <t>RECURRING PAYMENT INTL AUTHORIZED ON 08/16 CLASSPASS* MONTHLY NORTH SYDNEY AUS S384230001054735 CARD 1081</t>
  </si>
  <si>
    <t>DEPT EDUCATION STUDENT LN 240819 6Q9IL5CN6Q1 SEAN LEWIS</t>
  </si>
  <si>
    <t>PURCHASE AUTHORIZED ON 08/21 ARCO#04495SINO SAN MATEO CA P000000189173960 CARD 1081</t>
  </si>
  <si>
    <t>Nationwide PAYROLL 01 HRP0010598989 Sean Lewis</t>
  </si>
  <si>
    <t>NON-WF ATM WITHDRAWAL AUTHORIZED ON 08/24 235 Clement St San Francisco CA 304237668349891 ATM ID TX036941 CARD 1081</t>
  </si>
  <si>
    <t>PURCHASE AUTHORIZED ON 08/31 THE NEW STOCKTON 9 STOCKTON CA S464245072145434 CARD 1081</t>
  </si>
  <si>
    <t>general_festival</t>
  </si>
  <si>
    <t>PURCHASE AUTHORIZED ON 08/31 ARCO#04495SINO SAN MATEO CA P000000374552610 CARD 1081</t>
  </si>
  <si>
    <t>PURCHASE AUTHORIZED ON 09/05 SHELL SERVICE STATION SAN MATEO CA P584249614007197 CARD 1081</t>
  </si>
  <si>
    <t>Nationwide PAYROLL 01 HRP0010634688 Sean Lewis</t>
  </si>
  <si>
    <t>EL PALENQUE TAQUERIA SAN MATEO CA</t>
  </si>
  <si>
    <t>A MEDIUM CORPORATION 415-508-5008 CA</t>
  </si>
  <si>
    <t>MICROSOFT*STORE MSBILL.INFO WA</t>
  </si>
  <si>
    <t>microsoft365</t>
  </si>
  <si>
    <t>APPLE.COM/BILL 866-712-7753 CAAPPLE PAY ENDING IN 1455MMWF41WDVWA0</t>
  </si>
  <si>
    <t>POSHMARK 650-488-7740 CAAPPLE PAY ENDING IN 1455</t>
  </si>
  <si>
    <t>SQ *DONUT DELITE SAN MATEO CA0001152921513866580236</t>
  </si>
  <si>
    <t>DD *TAQUERIALASPENCAS 6506819470 CA</t>
  </si>
  <si>
    <t>MCDONALDS 1386 SAN MATEO CA</t>
  </si>
  <si>
    <t>CONSULATE GENERAL OF CHI SAN FRANCISCOCA</t>
  </si>
  <si>
    <t>SAPORE EXPRESS SAN MATEO CA</t>
  </si>
  <si>
    <t>CHENG &amp; TSUI COMPANY 8005541963 MA</t>
  </si>
  <si>
    <t>SQ *TENNIS STATION BUR BURLINGAME CA0001152921513877302832</t>
  </si>
  <si>
    <t>K ON THE GO MILPITAS CA</t>
  </si>
  <si>
    <t>OAKLEY B004 MILPITAS CA</t>
  </si>
  <si>
    <t>TST* LAO TABLE - SAN F SAN FRANCISCOCA00011872017164395393AA</t>
  </si>
  <si>
    <t>AMAZON.COM*YT3SL0013 AMZN.COM/BILLWA3PETS5NAOKX</t>
  </si>
  <si>
    <t>SQ *PAGAN IDOL SAN FRANCISCOCA0001152921513897119289</t>
  </si>
  <si>
    <t>TST* THE NAPPER TANDY SAN FRANCISCOCA</t>
  </si>
  <si>
    <t>MAISON ALYZEE MV MOUNTAIN VIEWCA</t>
  </si>
  <si>
    <t>WWW.CVS.COM 800-746-7287 RI</t>
  </si>
  <si>
    <t>CREPEVINE MT VIEW MOUNTAIN VIEWCA</t>
  </si>
  <si>
    <t>CVS/PHARMACY #05131 SAN FRANCISCOCA</t>
  </si>
  <si>
    <t>SP TAGWEARSTORE 8189172397 CA</t>
  </si>
  <si>
    <t>APPLE.COM/BILL 866-712-7753 CAAPPLE PAY ENDING IN 1455MMWF5BZ7Q0A0</t>
  </si>
  <si>
    <t>OTF SOUTH SAN FRAN 1266 650-8262009 CA</t>
  </si>
  <si>
    <t>AMAZON.COM*AW2N44LF3 AMZN.COM/BILLWA2T4YYCE31SJ</t>
  </si>
  <si>
    <t>ONLYFANS.COM*A 8886880458 FL</t>
  </si>
  <si>
    <t>ONLYFANS 8886880458 FL</t>
  </si>
  <si>
    <t>NORDSTROM DIRECT #0808 CEDAR RAPIDS IA</t>
  </si>
  <si>
    <t>SPOTIFY P2BDDD9F25 8777781161 NY</t>
  </si>
  <si>
    <t>USPS PO 0510350110 BURLINGAME CA</t>
  </si>
  <si>
    <t>Government Services</t>
  </si>
  <si>
    <t>ONEPASS 877-515-9364 MN413832</t>
  </si>
  <si>
    <t>AUTOZONE #2854 SAN MATEO CA</t>
  </si>
  <si>
    <t>Automotive</t>
  </si>
  <si>
    <t>car</t>
  </si>
  <si>
    <t>USCUSTOMS TRUSTEDTRAVELE INDIANAPOLIS IN</t>
  </si>
  <si>
    <t>SQ *DRIP STUDIO HNL HONOLULU HI0001152921513989381865</t>
  </si>
  <si>
    <t>SQ *PREMIUM MATCHA CAF HONOLULU HI0001152921513992385612</t>
  </si>
  <si>
    <t>TST* ISLAND VINTAGE CO HALEIWA HI00032123017525861948AA</t>
  </si>
  <si>
    <t>PUPUKEA FOODLAND #27 HALEIWA HI</t>
  </si>
  <si>
    <t>GOSCOOTSCOOTER RENTAL 857-277-9757 CA</t>
  </si>
  <si>
    <t>HONOLULU HOLO CARD 808-768-4656 HI</t>
  </si>
  <si>
    <t>DAIRY QUEEN #42592 HONOLULU HI</t>
  </si>
  <si>
    <t>NORDSTROM #0047 HONOLULU HI</t>
  </si>
  <si>
    <t>TST* BAREFOOT BEACH CA HONOLULU HI00111865017557712160AA</t>
  </si>
  <si>
    <t>TST* BAREFOOT BEACH CA HONOLULU HI00111865017557656812AA</t>
  </si>
  <si>
    <t>ABC #35 HAWAII HONOLULU HI</t>
  </si>
  <si>
    <t>PY *TONKATSU TAMAFUJI - HONOLULU HI</t>
  </si>
  <si>
    <t>WALMART STORE 03478 HONOLULU HI</t>
  </si>
  <si>
    <t>UBER TRIP 866-576-1039 CA</t>
  </si>
  <si>
    <t>TARGET 00028704091 HONOLULU HI</t>
  </si>
  <si>
    <t>MONI - MOANA HONOLULU HI</t>
  </si>
  <si>
    <t>MALIE - ALA MOANA HONOLULU HI</t>
  </si>
  <si>
    <t>KUALOA RANCH - FF KANEOHE HI</t>
  </si>
  <si>
    <t>KAI COFFEE ALOHILANI - K HONOLULU HI</t>
  </si>
  <si>
    <t>AMY'S HALLMARK #430 HONOLULU HI</t>
  </si>
  <si>
    <t>WAIKIKI FOOD HALL HONOLULU HI</t>
  </si>
  <si>
    <t>USPS PO 1424140013 HONOLULU HI</t>
  </si>
  <si>
    <t>UBER TRIP* TRIP 8665761039 CA</t>
  </si>
  <si>
    <t>TST* BLUE NOTE - HAWAI HONOLULU HI00092271017621144834AA</t>
  </si>
  <si>
    <t>SQ *HONOLULU COOKIE CO HONOLULU HI0001152921514041860833</t>
  </si>
  <si>
    <t>SQ *ALA MOANA POI BOWL HONOLULU HI0001152921514041999778</t>
  </si>
  <si>
    <t>LUPICIA HAWAII HONOLULU HI</t>
  </si>
  <si>
    <t>CONS- WARD 16 HONOLULU HI</t>
  </si>
  <si>
    <t>CONS WARD 16 F&amp;B HONOLULU HI</t>
  </si>
  <si>
    <t>ABC #45 HAWAII HONOLULU HI</t>
  </si>
  <si>
    <t>WAFFLE AND BERRY HONOLULU HI</t>
  </si>
  <si>
    <t>SQ *CAFE GLACE HAWAII HONOLULU HI0001152921514047084513</t>
  </si>
  <si>
    <t>ABC #33 HAWAII HONOLULU HI</t>
  </si>
  <si>
    <t>AMAZON.COM*2050J6XD3 AMZN.COM/BILLWA56Q77I740PH</t>
  </si>
  <si>
    <t>UBER TRIP HELP.UBER.COM SYDNEY AUS5.00 @ 00000000.6560000 AUD</t>
  </si>
  <si>
    <t>UBER TRIP HELP.UBER.COM SYDNEY AUS14.35 @ 00000000.6564460 AUD</t>
  </si>
  <si>
    <t>UBER TRIP HELP.UBER.COM SYDNEY AUS15.98 @ 00000000.6564456 AUD</t>
  </si>
  <si>
    <t>UBER TRIP HELP.UBER.COM SYDNEY AUS3.00 @ 00000000.6533333 AUD</t>
  </si>
  <si>
    <t>AMAZON.COM*WD5RZ6IG3 AMZN.COM/BILLWA6RWXJN4S4GY</t>
  </si>
  <si>
    <t>GOOGLE *NBALEAGUEPASS 855-836-3987 CAP127SNAI</t>
  </si>
  <si>
    <t>nba_league_pass</t>
  </si>
  <si>
    <t>GOOGLE *WELLTECH APPS 855-836-3987 CAP12AXUDN</t>
  </si>
  <si>
    <t>UBER TRIP HELP.UBER.COM SYDNEY AUS14.39 @ 00000000.6553162 AUD</t>
  </si>
  <si>
    <t>SPOTIFY P2CAA18780 8777781161 NY</t>
  </si>
  <si>
    <t>OPENAI *CHATGPT SUBSCR 4158799686 CA</t>
  </si>
  <si>
    <t>ONEPASS 877-515-9364 MN460802</t>
  </si>
  <si>
    <t>BREAKING POINTS-LOCALS 2025317527 DCITEM TRANSFERRED FROM PREV ACCOUNT</t>
  </si>
  <si>
    <t>ALIPAY BEIJING CHN2163.00 @ 00000000.1383033 CNY</t>
  </si>
  <si>
    <t>UBER TRIP HELP.UBER.COM SYDNEY AUS36.91 @ 00000000.6561907 AUD</t>
  </si>
  <si>
    <t>PAMF PA ONLINE BILL PAY 877-252-1777 CA</t>
  </si>
  <si>
    <t>UBER TRIP HELP.UBER.COM SYDNEY AUS38.46 @ 00000000.6573063 AUD</t>
  </si>
  <si>
    <t>UBER TRIP HELP.UBER.COM SYDNEY AUS42.25 @ 00000000.6501775 AUD</t>
  </si>
  <si>
    <t>UBER TRIP HELP.UBER.COM SYDNEY AUS82.55 @ 00000000.6500303 AUD</t>
  </si>
  <si>
    <t>AMAZON.COM*PA4O72AM3 AMZN.COM/BILLWA1W5JBHMI3DZ</t>
  </si>
  <si>
    <t>DD *TAQUERIANAYARITA 6506819470 CA</t>
  </si>
  <si>
    <t>WL *STEAM PURCHASE 425-889-9642 WA00016J165PIQC001001</t>
  </si>
  <si>
    <t>MOSCONE CENTER F&amp;B SAN FRANCISCOCA</t>
  </si>
  <si>
    <t>CENTRAL COMPUTERS, INC SAN FRANCISCOCA</t>
  </si>
  <si>
    <t>electronics</t>
  </si>
  <si>
    <t>TST* VIETNOMS - FIRST SAN JOSE CA00138139018317011312AA</t>
  </si>
  <si>
    <t>SQ *HIGH SOCIETY'S FIN SAN JOSE CA0001152921514224456688</t>
  </si>
  <si>
    <t>SQ *ZAREEN'S RESTAURAN REDWOOD CITY CA0001152921514227505835</t>
  </si>
  <si>
    <t>AMAZON.COM*QL1603I83 AMZN.COM/BILLWA5FX6EEZJW4R</t>
  </si>
  <si>
    <t>CAFFE STELLATO BURLINGAME CA</t>
  </si>
  <si>
    <t>UNIQLO USA LLC NEW YORK NY</t>
  </si>
  <si>
    <t>THE DISTRICT BARBERS D 9292652995 NY</t>
  </si>
  <si>
    <t>AMAZON.COM*XL3UW2VC3 AMZN.COM/BILLWAFW2BG12I3LI</t>
  </si>
  <si>
    <t>AMK OAKLAND COLISEUM CLU OAKLAND CA</t>
  </si>
  <si>
    <t>live_baseball</t>
  </si>
  <si>
    <t>EBONY BEAUTY SUPPLY SAN FRANCISCOCA</t>
  </si>
  <si>
    <t>hair_supplies</t>
  </si>
  <si>
    <t>MACYS HILLSDALE SAN MATEO CA</t>
  </si>
  <si>
    <t>SQ *OF MONTREAL TOURIN HILLSBOROUGH NC0002305843019998629304</t>
  </si>
  <si>
    <t>TST* THE UC THEATRE BERKELEY CA</t>
  </si>
  <si>
    <t>UBERBV UBER TRIP HELP.UB HELP.UBER.COMNL140.14 @ 00000000.1300842 HKD</t>
  </si>
  <si>
    <t>UBERBV UBER TRIP HELP.UB HELP.UBER.COMNL15.00 @ 00000000.1300000 HKD</t>
  </si>
  <si>
    <t>COCOBERRY ICE-CREAM LI TSIM SHA TSUIHKG35.00 @ 00000000.1280805 HKD</t>
  </si>
  <si>
    <t>HAAM DIM HONG KONG HKG70.00 @ 00000000.1300000 HKD</t>
  </si>
  <si>
    <t>UBERBV UBER TRIP HELP.UB HELP.UBER.COMNL70.57 @ 00000000.1300836 HKD</t>
  </si>
  <si>
    <t>GOOGLE *NBALEAGUEPASS 855-836-3987 CAP12TW7W3</t>
  </si>
  <si>
    <t>FEVOGM - NEW YORK NEW YORK NY</t>
  </si>
  <si>
    <t>SPOTIFY P2D682D6A5 8777781161 NY</t>
  </si>
  <si>
    <t>PAYPAL *C P 888-221-1161 CA</t>
  </si>
  <si>
    <t>TM *TICKETMASTER 415-421-8497 CANCA/70-14354</t>
  </si>
  <si>
    <t>ONEPASS 877-515-9364 MN511733</t>
  </si>
  <si>
    <t>GOFUNDME 1ST BORN GONE GOFUNDME.COM CA</t>
  </si>
  <si>
    <t>UBERBV UBER TRIP HELP.UB HELP.UBER.COMNL5.00 @ 00000000.1300000 HKD</t>
  </si>
  <si>
    <t>WALGREENS #0625 MILLBRAE CA</t>
  </si>
  <si>
    <t>GOOGLE *FI X78MLH G.CO/HELPPAY#CAP1370FBR</t>
  </si>
  <si>
    <t>APF*PEAK LIVING PROPERTY 206-737-8170 WAAPF*PEAK LIVING PROPERTY</t>
  </si>
  <si>
    <t>Tahjei</t>
  </si>
  <si>
    <t>COURSERA.ORG 6509639884 CA</t>
  </si>
  <si>
    <t>Education</t>
  </si>
  <si>
    <t>AMAZON.COM*R751Z8Y11 AMZN.COM/BILLWA20IETPHFUOU</t>
  </si>
  <si>
    <t>ARCO#04495SINO AMERICAN SAN MATEO CA</t>
  </si>
  <si>
    <t>SAFEWAY #0970 SAN MATEO CA</t>
  </si>
  <si>
    <t>SUTTR HLTH PCR MHO HOSP 855-398-1633 CA</t>
  </si>
  <si>
    <t>CAFE ISTANBUL MILLBRAE CA</t>
  </si>
  <si>
    <t>LINKEDIN PRE*P71063356 LNKD.IN/BILL CAP71063356</t>
  </si>
  <si>
    <t>professional</t>
  </si>
  <si>
    <t>QUICKQUACK* O 379B08DE 8887722792 CA</t>
  </si>
  <si>
    <t>EZPASSVA SERVICE 877-7627824 VAITEM TRANSFERRED FROM PREV ACCOUNT</t>
  </si>
  <si>
    <t>GOOGLE *NBALEAGUEPASS 855-836-3987 CAP13HFPHN</t>
  </si>
  <si>
    <t>SQ *PAPITO HAYES SAN FRANCISCOCA0001152921514355460917</t>
  </si>
  <si>
    <t>GUMROAD.CO* STATQUEST 4156951023 CA</t>
  </si>
  <si>
    <t>AMAZON MKTPL*RV25R5XY0 AMZN.COM/BILLWA7CLQ0UOVI1O</t>
  </si>
  <si>
    <t>AMAZON.COM*RV07O4PX0 AMZN.COM/BILLWA2NNC2TPON05</t>
  </si>
  <si>
    <t>AMAZON MKTPL*RV4BN7622 AMZN.COM/BILLWA16X74C49MC5</t>
  </si>
  <si>
    <t>SQ *ZAREEN'S RESTAURAN REDWOOD CITY CA0001152921514369475160</t>
  </si>
  <si>
    <t>GOOGLE *6 PACK PROMISE 855-836-3987 CAP13TCL2I</t>
  </si>
  <si>
    <t>TM *TICKETMASTER 415-421-8497 CANCA/31-12958</t>
  </si>
  <si>
    <t>SPOTIFY P2E3145028 8777781161 NY</t>
  </si>
  <si>
    <t>ONEPASS 877-515-9364 MN566915</t>
  </si>
  <si>
    <t>SQ *ROY'S STATION COFF SAN JOSE CA0001152921514383841384</t>
  </si>
  <si>
    <t>1XDATASPELL SAN MATEO CA</t>
  </si>
  <si>
    <t>CAFFE CENTRAL BURLINGAME CA</t>
  </si>
  <si>
    <t>CENTURY THEATRES 494 SAN BRUNO CA049400906393</t>
  </si>
  <si>
    <t>GOOGLE *GOOGLE ONE 855-836-3987 CAP14ASHUK</t>
  </si>
  <si>
    <t>google_one</t>
  </si>
  <si>
    <t>AMC 0447 MERCADO 20 SANTA CLARA CA</t>
  </si>
  <si>
    <t>24 HOUR FITNESS - 813 - SAN MATEO CA</t>
  </si>
  <si>
    <t>SQ *PATRICKS FAMOUS PI VALLEJO CA0001152921514433987513</t>
  </si>
  <si>
    <t>SQ *PRIMO'S GOURMET FO BURLINGAME CA0001152921514433965534</t>
  </si>
  <si>
    <t>TST*KABAB &amp; CURRYS - I SANTA CLARA CA00109049019565503587AA</t>
  </si>
  <si>
    <t>TST*B STAR SAN FRANCISCOCA00003059019585011213AA</t>
  </si>
  <si>
    <t>SQ *VOLCANO KIMCHI SAN FRANCISCOCA0001152921514438250156</t>
  </si>
  <si>
    <t>PHANTOGRAM SHOP 8449137510 CA</t>
  </si>
  <si>
    <t>CAPN MIKES HOLY SMOKE ROHNERT PARK CA</t>
  </si>
  <si>
    <t>SPIRIT HALLOWEEN 60973 609-798-0949 CA01843P</t>
  </si>
  <si>
    <t>KOHLER CO 800-4564537 WI</t>
  </si>
  <si>
    <t>Home Improvement</t>
  </si>
  <si>
    <t>LOWE'S OF SAN BRUNO, CA SAN BRUNO CA</t>
  </si>
  <si>
    <t>home</t>
  </si>
  <si>
    <t>ATI*10113-08220000 310-627-2866 CA</t>
  </si>
  <si>
    <t>CENTURY THEATRES 485 REDWOOD CITY CA048500A538C1</t>
  </si>
  <si>
    <t>ETSY, INC. ETSY.COM/ NY</t>
  </si>
  <si>
    <t>TST*B STAR SAN FRANCISCOCA00003059019695861802AA</t>
  </si>
  <si>
    <t>WWW.NATESILVER.NET 7734257562 NY</t>
  </si>
  <si>
    <t>STRATA SCRATCH, LLC 4159353120 TX</t>
  </si>
  <si>
    <t>ARMK ORACLE PARK - CON SAN FRANCISCOCA</t>
  </si>
  <si>
    <t>UNLIMITED POTENTIAL BAS 650-2041701 CA</t>
  </si>
  <si>
    <t>UBER *TRIP 866-576-1039 CA</t>
  </si>
  <si>
    <t>THE NEW STOCKTON 99 SPEE STOCKTON CA</t>
  </si>
  <si>
    <t>SQ *VB CALI VALLEY VEN SACRAMENTO CA0001152921514485368816</t>
  </si>
  <si>
    <t>SQ *LEMON SQUEEZY LOS BANOS CA0001152921514484724135</t>
  </si>
  <si>
    <t>SQ *CAN-U MARKETING (F LOS BANOS CA0001152921514485009532</t>
  </si>
  <si>
    <t>CALIFORNIA GARLIC FESTIV STOCKTON CA</t>
  </si>
  <si>
    <t>ARCO#83466TODD ENERGY CO LOS BANOS CA</t>
  </si>
  <si>
    <t>SQ *THAT GARLIC STUFF LOS BANOS CA0001152921514484739458</t>
  </si>
  <si>
    <t>TANG BAR SAN MATEO CA</t>
  </si>
  <si>
    <t>SPOTIFY P2F1456874 8777781161 NY</t>
  </si>
  <si>
    <t>DEANS PRODUCE - SAN MATE SAN MATEO CA</t>
  </si>
  <si>
    <t>CKE*MEDITERRANEAN KEBAB BURLINGAME CA</t>
  </si>
  <si>
    <t>ONEPASS 877-515-9364 MN627912</t>
  </si>
  <si>
    <t>SQ *BAGEL STREET CAFE MILLBRAE CA0001152921514493744399</t>
  </si>
  <si>
    <t>SLICE*MATEOPIZZA 8889749928 NY</t>
  </si>
  <si>
    <t>WHOLEFDS SMT 10150 SAN MATEO CA</t>
  </si>
  <si>
    <t>RDMCLOTHINGART 7737576085 NH</t>
  </si>
  <si>
    <t>WL *STEAM PURCHASE 425-889-9642 WA00016J17WCJGC001001</t>
  </si>
  <si>
    <t>WELLS FARGO IFI</t>
  </si>
  <si>
    <t>Fortiva PMT</t>
  </si>
  <si>
    <t>Synchrony Bank</t>
  </si>
  <si>
    <t>AppFolio, Inc. F</t>
  </si>
  <si>
    <t>Peak Living Prop</t>
  </si>
  <si>
    <t>Credit One Bank</t>
  </si>
  <si>
    <t>Zelle® Payment from Sean Lewis</t>
  </si>
  <si>
    <t>Zelle® Payment from Jayelin Lewis</t>
  </si>
  <si>
    <t>Jayelin</t>
  </si>
  <si>
    <t>Column1</t>
  </si>
  <si>
    <t>Trans_Date</t>
  </si>
  <si>
    <t>Monthly Cash Flow</t>
  </si>
  <si>
    <t>Synchrony Bank CC PYMT Sep 09 524306003390321 SEAN LEWIS</t>
  </si>
  <si>
    <t>DEPT EDUCATION STUDENT LN 240909 6QB99OQPIC1 SEAN LEWIS</t>
  </si>
  <si>
    <t>PURCHASE INTL AUTHORIZED ON 09/09 CLASSPASS* TOP_UP NORTH SYDNEY AUS S464253748704482 CARD 1081</t>
  </si>
  <si>
    <t>PURCHASE AUTHORIZED ON 09/15 SHELL SERVICE STATION WASHINGTON DC P304259726922680 CARD 1081</t>
  </si>
  <si>
    <t>PURCHASE AUTHORIZED ON 09/14 PIZZA HUT 036875 HAGERSTOWN MD S584258608623644 CARD 1081</t>
  </si>
  <si>
    <t>ZELLE FROM JAYELIN LEWIS ON 09/14 REF # NAV0IPU5634Q SANDBOX</t>
  </si>
  <si>
    <t>T-MOBILE PCS SVC 240917 8558877 DON LEWIS</t>
  </si>
  <si>
    <t>Nationwide PAYROLL 01 HRP0010647381 Sean Lewis</t>
  </si>
  <si>
    <t>PURCHASE AUTHORIZED ON 09/22 COLONIAL PARKING # WASHINGTON DC S584267105584112 CARD 1081</t>
  </si>
  <si>
    <t>PURCHASE AUTHORIZED ON 09/21 WEIS MARKETS 100 G FREDERICK MD S464265682535699 CARD 1081</t>
  </si>
  <si>
    <t>PURCHASE AUTHORIZED ON 09/25 BJS WHOLESALE #0 1781 RIT CAPITOL HT MD P584269837305738 CARD 1081</t>
  </si>
  <si>
    <t>ZELLE TO LEWIS SHARON ON 09/25 REF #PP0Y3J5CX8 POWER STRIP</t>
  </si>
  <si>
    <t>PURCHASE AUTHORIZED ON 09/25 AMC 0339 RIVERTOWN OXON HILL MD S464269721777089 CARD 1081</t>
  </si>
  <si>
    <t>PURCHASE AUTHORIZED ON 09/25 AMC 0339 RIVERTOWN OXON HILL MD S584269720171165 CARD 1081</t>
  </si>
  <si>
    <t>PURCHASE AUTHORIZED ON 10/02 ARCO#01326SMOG PALO ALTO CA P000000773195906 CARD 1081</t>
  </si>
  <si>
    <t>Nationwide PAYROLL 01 HRP0010688536 Sean Lewis</t>
  </si>
  <si>
    <t>PURCHASE AUTHORIZED ON 10/11 ARCO#04495SINO SAN MATEO CA P000000883878442 CARD 1081</t>
  </si>
  <si>
    <t>PURCHASE AUTHORIZED ON 10/14 WWW.NOISEP* NOISEP WWW.NOISEPOP. CA S464288520036387 CARD 1081</t>
  </si>
  <si>
    <t>purchases</t>
  </si>
  <si>
    <t>PURCHASE AUTHORIZED ON 10/12 AMAZON RETA* ZU6AY WWW.AMAZON.CO WA S384286775772357 CARD 1081</t>
  </si>
  <si>
    <t>PURCHASE AUTHORIZED ON 10/14 AMAZON MKTPL*4O13G Amzn.com/bill WA S584288493495781 CARD 1081</t>
  </si>
  <si>
    <t>Nationwide PAYROLL 01 HRP0010741781 Sean Lewis</t>
  </si>
  <si>
    <t>T-MOBILE PCS SVC 241017 8831745 DON LEWIS</t>
  </si>
  <si>
    <t>PURCHASE AUTHORIZED ON 10/26 ARCO#04495SINO SAN MATEO CA P000000172446007 CARD 1081</t>
  </si>
  <si>
    <t>PURCHASE AUTHORIZED ON 10/25 STADIUM GARAGE BERKELEY CA S584300071995368 CARD 1081</t>
  </si>
  <si>
    <t>starting_balance</t>
  </si>
  <si>
    <t>Nationwide PAYROLL 01 HRP0010768329 Sean Lewis</t>
  </si>
  <si>
    <t>PURCHASE AUTHORIZED ON 11/01 76 ORINDA ORINDA CA P000000177866673 CARD 1081</t>
  </si>
  <si>
    <t>MONEY TRANSFER AUTHORIZED ON 11/01 CASH APP*CAIRO DAN Oakland CA S304306763501389 CARD 1081</t>
  </si>
  <si>
    <t>ZELLE FROM JONATHAN W ABADA ON 11/03 REF # JPM99AQLEFH6 FANTASY</t>
  </si>
  <si>
    <t>PURCHASE AUTHORIZED ON 11/08 A&amp;A GAS BURLINGAME CA P584313515259674 CARD 1081</t>
  </si>
  <si>
    <t>PURCHASE AUTHORIZED ON 11/12 SPWY66304901 OAKLAND CA P000000987765332 CARD 1081</t>
  </si>
  <si>
    <t>Nationwide PAYROLL 01 HRP0010800464 Sean Lewis</t>
  </si>
  <si>
    <t>T-MOBILE PCS SVC 241117 9074296 DON LEWIS</t>
  </si>
  <si>
    <t>ZELLE TO LEWIS DORRY ON 11/16 REF #PP0Y85LKV3 FOR SKYLAR BDAY WIG AND CAMERA</t>
  </si>
  <si>
    <t>Nationwide PAYROLL 01 HRP0010854952 Sean Lewis</t>
  </si>
  <si>
    <t>DEPT EDUCATION STUDENT LN 241127 6QHE6VPEDF1 SEAN LEWIS</t>
  </si>
  <si>
    <t>Nationwide PAYROLL 01 HRP0010886755 Sean Lewis</t>
  </si>
  <si>
    <t>DEPT EDUCATION STUDENT LN 241216 6QIV2O0DSI1 SEAN LEWIS</t>
  </si>
  <si>
    <t>T-MOBILE PCS SVC 241217 0361737 DON LEWIS</t>
  </si>
  <si>
    <t>PURCHASE AUTHORIZED ON 12/21 PALO ALTO GAS &amp; PALO ALTO CA P000000885077547 CARD 1081</t>
  </si>
  <si>
    <t>MOBILE DEPOSIT : REF NUMBER :314230152812</t>
  </si>
  <si>
    <t>Nationwide PAYROLL 01 HRP0010930330 Sean Lewis</t>
  </si>
  <si>
    <t>THE MIDWAY SAN FRANCISCOCA</t>
  </si>
  <si>
    <t>AMAZON MKTPL*ZT03T5Y42 AMZN.COM/BILLWA6KIKIM7BU08</t>
  </si>
  <si>
    <t>DRAEGER'S SAN MATEO MENLO PARK CA</t>
  </si>
  <si>
    <t>MCDONALD'S F13001 MILLBRAE CA</t>
  </si>
  <si>
    <t>YMCA OF SAN FRANCISCO SAN FRANCISCOCA</t>
  </si>
  <si>
    <t>swimming</t>
  </si>
  <si>
    <t>SANDBOXX 617-435-7479 VA</t>
  </si>
  <si>
    <t>KUME FLOAT 5106078930 CA</t>
  </si>
  <si>
    <t>ENSSARO OAKLAND CA</t>
  </si>
  <si>
    <t>BARNES &amp; NOBLE #1971 REDWOOD CITY CA</t>
  </si>
  <si>
    <t>BARNES&amp;NOBLE PAPERSOURCE WESTBURY NY</t>
  </si>
  <si>
    <t>BURGER KING #2443 REDWOOD CITY CA</t>
  </si>
  <si>
    <t>GOOGLE *GOOGLE ONE 855-836-3987 CAP14XSKYK</t>
  </si>
  <si>
    <t>TM *SHENG WANG 800-653-8000 CANCA/49-51635</t>
  </si>
  <si>
    <t>comedy</t>
  </si>
  <si>
    <t>MARTINS 6444 HAGERSTOWN MD01390P</t>
  </si>
  <si>
    <t>GROCERY OUTLET OF HAGE HAGERSTOWN MD</t>
  </si>
  <si>
    <t>HOBBY-LOBBY #519 HAGERSTOWN MD</t>
  </si>
  <si>
    <t>SAVE-A-LOT #24392 HAGERSTOWN MD</t>
  </si>
  <si>
    <t>WALMART SC 01674 HAGERSTOWN MD</t>
  </si>
  <si>
    <t>SPENCER GIFTS 656 HAGERSTOWN MD01439P</t>
  </si>
  <si>
    <t>dad</t>
  </si>
  <si>
    <t>COCA COLA HAGERSTOWN HAGERSTOWN MD</t>
  </si>
  <si>
    <t>SQ *SAFRON BAKERY HAGERSTOWN MD0002305843020599016829</t>
  </si>
  <si>
    <t>CHECKERS #1157 GAITHERSBURG MD01501P</t>
  </si>
  <si>
    <t>WEIS MARKETS 167 HAGERSTOWN MD</t>
  </si>
  <si>
    <t>WALMART SC 02790 HAGERSTOWN MD</t>
  </si>
  <si>
    <t>MUSIC &amp; ARTS 74 HAGERSTOWN MD</t>
  </si>
  <si>
    <t>music</t>
  </si>
  <si>
    <t>GNC HAGERSTOWN MD003192</t>
  </si>
  <si>
    <t>FIVE BELOW 222 HAGERSTOWN MD</t>
  </si>
  <si>
    <t>JOANN STORES #480 HAGERSTOWN MD</t>
  </si>
  <si>
    <t>AMAZON MKTPL*S13EN4GK3 AMZN.COM/BILLWA2ST9VSUQEDS</t>
  </si>
  <si>
    <t>WALMART STORE 03489 BALTIMORE MD</t>
  </si>
  <si>
    <t>WALMART.COM 8009256278 BENTONVILLE AR</t>
  </si>
  <si>
    <t>WEIS MARKETS 100 FREDERICK MD</t>
  </si>
  <si>
    <t>SHEETZ 081800008185498 HAGERSTOWN MD</t>
  </si>
  <si>
    <t>MICHAELS STORES 2024 HAGERSTOWN MD2024005356762409211742</t>
  </si>
  <si>
    <t>moving</t>
  </si>
  <si>
    <t>TARGET 00012575091 HAGERSTOWN MD</t>
  </si>
  <si>
    <t>10017 CAVA COLUMBIA COLUMBIA MD2166</t>
  </si>
  <si>
    <t>THE ANTHEM WASHINGTON DC02266P</t>
  </si>
  <si>
    <t>ATI*7845-092285297 310-627-2866 CA</t>
  </si>
  <si>
    <t>BB* ATLAS BREW WORKS ( 4158552268 CA</t>
  </si>
  <si>
    <t>NANDO'S PERI PERI #044 ALEXANDRIA VA</t>
  </si>
  <si>
    <t>SQ *TURKISH COFFEE LAD ALEXANDRIA VA0002305843020655669794</t>
  </si>
  <si>
    <t>AMC 0337 HOFFMAN CTR 2 ALEXANDRIA VA</t>
  </si>
  <si>
    <t>WMT PLUS SEP 2024 800-925-6278 AR</t>
  </si>
  <si>
    <t>WEIS GASNGO 167 HAGERSTOWN MD</t>
  </si>
  <si>
    <t>STAPLES 00102715105 HAGERSTOWN MD</t>
  </si>
  <si>
    <t>OSORIO BAKERY AND PASTRY HAGERSTOWN MD</t>
  </si>
  <si>
    <t>METRO 018-SHADY GROVE ROCKVILLE MD</t>
  </si>
  <si>
    <t>MCDONALD'S F911 FORESTVILLE MD</t>
  </si>
  <si>
    <t>WALMART.COM 800-925-6278 ARWV7KVAWR4GBF</t>
  </si>
  <si>
    <t>SQ *CARIBBEAN SUPERIOR DISTRICT HEIGMD0002305843020670355471</t>
  </si>
  <si>
    <t>DD *DOORDASH LAUDNAIJA 6506819470 CA</t>
  </si>
  <si>
    <t>9358 PF PENN STATION LLC DISTRICT HTS MD</t>
  </si>
  <si>
    <t>JASPERS RESTAURANT LARGO MD</t>
  </si>
  <si>
    <t>668 - @EASE - BWI BALTIMORE MD02861P</t>
  </si>
  <si>
    <t>SPOTIFY P305B8CC16 8777781161 NY</t>
  </si>
  <si>
    <t>SAN MATEO COUNTY BAR ASS 650-2984030 CA</t>
  </si>
  <si>
    <t>WALMART STORE 02280 MOUNTAIN VIEWCA</t>
  </si>
  <si>
    <t>CAS PROF ONLINE SALES 703-276-3100 VACAS PROF ONLINE SALES</t>
  </si>
  <si>
    <t>GNC 00986 SAN MATEO CA028263</t>
  </si>
  <si>
    <t>ONEPASS 877-515-9364 MN693717</t>
  </si>
  <si>
    <t>SP BASKETBALL FORM 7657489904 NC</t>
  </si>
  <si>
    <t>sport_stuff</t>
  </si>
  <si>
    <t>FAIRMONT SAN FRANCISCO F SAN FRANCISCOCA</t>
  </si>
  <si>
    <t>THE SANDWICH SPOT REDWOOD CITY CA</t>
  </si>
  <si>
    <t>GITHUB, INC. 8774484820 CA</t>
  </si>
  <si>
    <t>CASH APP LUCIAN FRAZIE CASH.APP CA</t>
  </si>
  <si>
    <t>AMAZON MKTPL*OS2CF6443 AMZN.COM/BILLWA6LKNGHNXE14</t>
  </si>
  <si>
    <t>SANMATEOCOURT FINE PAY 650-261-5036 CAPMT469351</t>
  </si>
  <si>
    <t>fine</t>
  </si>
  <si>
    <t>THE SANDWICH SPOT 650-299-1300 CAITEM TRANSFERRED FROM PREV ACCOUNT</t>
  </si>
  <si>
    <t>DD *MEDITERRANEANKEBAB 6506819470 CAITEM TRANSFERRED FROM PREV ACCOUNT</t>
  </si>
  <si>
    <t>TRADER JOE S #067 SAN MATEO CAITEM TRANSFERRED FROM PREV ACCOUNT</t>
  </si>
  <si>
    <t>BEST BUY 00001404295 SAN CARLOS CAITEM TRANSFERRED FROM PREV ACCOUNT</t>
  </si>
  <si>
    <t>GOOGLE *GOOGLE ONE G.CO/HELPPAY#CAITEM TRANSFERRED FROM PREV ACCOUNT</t>
  </si>
  <si>
    <t>TM *TICKETMASTER 415-421-8497 CAITEM TRANSFERRED FROM PREV ACCOUNT</t>
  </si>
  <si>
    <t>TACO BELL 30746 SAN MATEO CAITEM TRANSFERRED FROM PREV ACCOUNT</t>
  </si>
  <si>
    <t>CASH APP LUCIAN FRAZIE CASH.APP CASECURITY DISPUTE ADJUSTMENT</t>
  </si>
  <si>
    <t>GAMERSNEXUS.NET 9294696983 NCITEM TRANSFERRED FROM PREV ACCOUNT</t>
  </si>
  <si>
    <t>AMAZON.COM*K82808U43 AMZN.COM/BILLWAITEM TRANSFERRED FROM PREV ACCOUNT</t>
  </si>
  <si>
    <t>CENTRAL COMPUTERS OF S SANTA CLARA CAITEM TRANSFERRED FROM PREV ACCOUNT</t>
  </si>
  <si>
    <t>ONLYFANS.COM*A 8886880458 FLITEM TRANSFERRED FROM PREV ACCOUNT</t>
  </si>
  <si>
    <t>RPS UNIVERSAL INC SAN MATEO CAITEM TRANSFERRED FROM PREV ACCOUNT</t>
  </si>
  <si>
    <t>THE HOME DEPOT #0632 SAN MATEO CAITEM TRANSFERRED FROM PREV ACCOUNT</t>
  </si>
  <si>
    <t>DD *COBANIGYROSKEBA 6506819470 CAITEM TRANSFERRED FROM PREV ACCOUNT</t>
  </si>
  <si>
    <t>TM *FOSTER THE PEOPLE- 800-653-8000 CANCA/16-46524</t>
  </si>
  <si>
    <t>TST*WALIA ETHIOPIAN CU SAN JOSE CAITEM TRANSFERRED FROM PREV ACCOUNT</t>
  </si>
  <si>
    <t>SPEEDWAY 04976 501 SERRA DALY CITY CAITEM TRANSFERRED FROM PREV ACCOUNT</t>
  </si>
  <si>
    <t>MCDONALD'S F3709 DALY CITY CAITEM TRANSFERRED FROM PREV ACCOUNT</t>
  </si>
  <si>
    <t>LIFETIME TENNIS INC - SA SAN FRANCISCOCA</t>
  </si>
  <si>
    <t>SOURDOUGH &amp; CO DALY CITY DALY CITY CAITEM TRANSFERRED FROM PREV ACCOUNT</t>
  </si>
  <si>
    <t>ORTHOPEDIC SPORTS MEDICI SAN MATEO CA</t>
  </si>
  <si>
    <t>physical_therapy</t>
  </si>
  <si>
    <t>AMAZON MKTPL*890TE3PQ3 AMZN.COM/BILLWA7C55N2ACFH9</t>
  </si>
  <si>
    <t>MED*MERITUS MEDICAL CT 301-790-8872 MD307819476</t>
  </si>
  <si>
    <t>MED*MERITUS MEDICAL CT 301-790-8872 MD307888143</t>
  </si>
  <si>
    <t>AMAZON MKTPL*RV9A21RR3 AMZN.COM/BILLWA338T6AAUREI</t>
  </si>
  <si>
    <t>WMT PLUS OCT 2024 800-925-6278 ARITEM TRANSFERRED FROM PREV ACCOUNT</t>
  </si>
  <si>
    <t>SQ *THE GREEK AMPHITHE BERKELEY CA0001152921514704491430</t>
  </si>
  <si>
    <t>SQ *THE GREEK AMPHITHE BERKELEY CA0001152921514704920591</t>
  </si>
  <si>
    <t>AMAZON MKTPL*QW89F6XY3 AMZN.COM/BILLWA673E88IR1AE</t>
  </si>
  <si>
    <t>HOT TOPIC 0552 SAN MATEO CA</t>
  </si>
  <si>
    <t>BM * NAR DONER GRILL 6307763590 GA</t>
  </si>
  <si>
    <t>FASTRAK CSC 415-486-8655 CAITEM TRANSFERRED FROM PREV ACCOUNT</t>
  </si>
  <si>
    <t>GNC SAN FRANCISCOCA017243</t>
  </si>
  <si>
    <t>NBA*SACRAMENTO KINGS 916-928-3683 CAMIC3CA7800-F7IVS</t>
  </si>
  <si>
    <t>SQ *ARTLY COFFEE @ STO SAN FRANCISCOCA0001152921514707342320</t>
  </si>
  <si>
    <t>ADOBE *ADOBE 408-536-6000 CAITEM TRANSFERRED FROM PREV ACCOUNT</t>
  </si>
  <si>
    <t>MAISON ALYZEE BURLINGAME BURLINGAME CA</t>
  </si>
  <si>
    <t>SQ *CROWN CREATED BURLINGAME CA0001152921514712253515</t>
  </si>
  <si>
    <t>WWW.FOOTDOCTORZACH.COM 8668238995 OHITEM TRANSFERRED FROM PREV ACCOUNT</t>
  </si>
  <si>
    <t>PCI L761 BROADWAY PLACE WALNUT CREEK CA</t>
  </si>
  <si>
    <t>LIFE CAFE #283 WALNUT CREEK CA03001P</t>
  </si>
  <si>
    <t>GOOGLE *BUMBLE FOR FRI 855-836-3987 CAITEM TRANSFERRED FROM PREV ACCOUNT</t>
  </si>
  <si>
    <t>bumble</t>
  </si>
  <si>
    <t>ONLYFANS 8886880458 FLITEM TRANSFERRED FROM PREV ACCOUNT</t>
  </si>
  <si>
    <t>AMAZON MKTPL*EU0IC6IO3 AMZN.COM/BILLWA5X1KHDWIQ0G</t>
  </si>
  <si>
    <t>LIFE CAFE #283 WALNUT CREEK CA00138P</t>
  </si>
  <si>
    <t>OPENAI *CHATGPT SUBSCR 4158799686 CAITEM TRANSFERRED FROM PREV ACCOUNT</t>
  </si>
  <si>
    <t>PLANNED PARENTHOOD ACTIO NEW YORK NYITEM TRANSFERRED FROM PREV ACCOUNT</t>
  </si>
  <si>
    <t>SPOTIFY P31269D73F 8777781161 NY</t>
  </si>
  <si>
    <t>SP WAYOFWADE 2532359799 ORITEM TRANSFERRED FROM PREV ACCOUNT</t>
  </si>
  <si>
    <t>AMZN MKTP US*XE3D45OY3 AMZN.COM/BILLWA73H3WJC28RI</t>
  </si>
  <si>
    <t>ONEPASS 877-515-9364 MNITEM TRANSFERRED FROM PREV ACCOUNT</t>
  </si>
  <si>
    <t>DD *GRILLKEBABSANDGY 855-973-1040 CA</t>
  </si>
  <si>
    <t>CA DMV FEE 678-7315516 TN</t>
  </si>
  <si>
    <t>LIFE CAFE #283 WALNUT CREEK CA00413P</t>
  </si>
  <si>
    <t>STATE OF CALIF DMV INT S 800-7770133 CA</t>
  </si>
  <si>
    <t>BREAKING POINTS-LOCALS 2025317527 DC</t>
  </si>
  <si>
    <t>DD *COBANIGYROSKEBA 855-973-1040 CA</t>
  </si>
  <si>
    <t>LIFE CAFE #283 WALNUT CREEK CA00653P</t>
  </si>
  <si>
    <t>TST*ONE FOODSERVICE GR WALNUT CREEK CA00079837021202983248AA</t>
  </si>
  <si>
    <t>SQ *KWMR OLEMA CA0001152921514751860352</t>
  </si>
  <si>
    <t>DICKS SPORTING GOODS DALY CITY TN</t>
  </si>
  <si>
    <t>LIFE CAFE #283 WALNUT CREEK CA00856P</t>
  </si>
  <si>
    <t>ATG USA LLC 727-2824429 FLITEM TRANSFERRED FROM PREV ACCOUNT</t>
  </si>
  <si>
    <t>MEDITERRAN* MEDITERRAN 8887072469 CA</t>
  </si>
  <si>
    <t>24 HOUR FITNESS - 488 - HAYWARD CA</t>
  </si>
  <si>
    <t>SQ *NICK THE GREEK UNI UNION CITY CA0001152921514757875122</t>
  </si>
  <si>
    <t>TARGET 00014720091 HAYWARD CA</t>
  </si>
  <si>
    <t>TICKETTOASTER.COM 8006802634 CA</t>
  </si>
  <si>
    <t>GOOGLE *GOOGLE ONE 855-836-3987 CAITEM TRANSFERRED FROM PREV ACCOUNT</t>
  </si>
  <si>
    <t>CARLS JR 1100720 OAKLAND CA</t>
  </si>
  <si>
    <t>SQ *FOX THEATER OAKLAND CA0001152921514764923527</t>
  </si>
  <si>
    <t>MONTCLAIR GARAGE PRK MBL OAKLAND CAITEM TRANSFERRED FROM PREV ACCOUNT</t>
  </si>
  <si>
    <t>GOLDEN 1 CTR CONC SACRAMENTO CA</t>
  </si>
  <si>
    <t>LIFE CAFE #283 WALNUT CREEK CA01509P</t>
  </si>
  <si>
    <t>LIFE CAFE #283 WALNUT CREEK CA01546P</t>
  </si>
  <si>
    <t>NBA*SACRAMENTO KINGS 916-928-3683 CAMIC94A4D00-F7IVS</t>
  </si>
  <si>
    <t>TACO BELL 041352 DAVIS CA</t>
  </si>
  <si>
    <t>AMAZON MKTPL*UY9KO5ID3 AMZN.COM/BILLWAMPPZ7OMPUJ0</t>
  </si>
  <si>
    <t>LIFE CAFE #283 WALNUT CREEK CA01842P</t>
  </si>
  <si>
    <t>LIFE CAFE #283 WALNUT CREEK CA01887P</t>
  </si>
  <si>
    <t>LIFE CAFE #283 WALNUT CREEK CA01802P</t>
  </si>
  <si>
    <t>LIFE CAFE #283 WALNUT CREEK CA01832P</t>
  </si>
  <si>
    <t>LIFE CAFE #283 WALNUT CREEK CA01826P</t>
  </si>
  <si>
    <t>DICKS SPORTING GOODS PLEASANTHILL TN</t>
  </si>
  <si>
    <t>GNC 00986 SAN MATEO CA030183</t>
  </si>
  <si>
    <t>APPLE STORE R029 BURLINGAME CA</t>
  </si>
  <si>
    <t>WENDY'S BELMONT CA</t>
  </si>
  <si>
    <t>AMAZON MKTPL*8R75N6UJ3 AMZN.COM/BILLWA4CWWHY354TN</t>
  </si>
  <si>
    <t>BANDCAMP DARWIN DEEZ 888-221-1161 CA</t>
  </si>
  <si>
    <t>NBA*SACRAMENTO KINGS 916-928-3683 CAMIC8065300-F7IVS</t>
  </si>
  <si>
    <t>WMT PLUS NOV 2024 800-925-6278 ARITEM TRANSFERRED FROM PREV ACCOUNT</t>
  </si>
  <si>
    <t>JIFFY LUBE #608 SAN MATEO CA11252024</t>
  </si>
  <si>
    <t>LIFE CAFE #283 WALNUT CREEK CA02502P</t>
  </si>
  <si>
    <t>MARVIN GARDENS BELMONT CA</t>
  </si>
  <si>
    <t>OFFICE DEPOT #558 SAN CARLOS CA</t>
  </si>
  <si>
    <t>TST* TOM'S WATCH BAR - S SACRAMENTO CA</t>
  </si>
  <si>
    <t>SAFEWAY #0999 FOSTER CITY CA</t>
  </si>
  <si>
    <t>BOX LUNCH #4659 MILPITAS CA</t>
  </si>
  <si>
    <t>CHARLEYS PHILLY STEAKS 6 MILPITAS CA</t>
  </si>
  <si>
    <t>SQ *PINK PINK TEA SHOP SAN MATEO CA0001152921514832389923</t>
  </si>
  <si>
    <t>UA FH MILPITAS MILPITAS CA</t>
  </si>
  <si>
    <t>GOOGLE *BUMBLE 855-836-3987 CAITEM TRANSFERRED FROM PREV ACCOUNT</t>
  </si>
  <si>
    <t>AMAZON.COM*Z35SD76Z1 AMZN.COM/BILLWA35YTJ73XCLR</t>
  </si>
  <si>
    <t>SPOTIFY P31F919A0B 8777781161 NY</t>
  </si>
  <si>
    <t>SEATGEEK TICKETS 8884974335 NY</t>
  </si>
  <si>
    <t>MED*KASRA RASTANI MD P 415-781-7220 CA323982585</t>
  </si>
  <si>
    <t>LIFE CAFE #283 WALNUT CREEK CA00290P</t>
  </si>
  <si>
    <t>NBA*SACRAMENTO KINGS 916-928-3683 CAMIC7A4FD00-F7IVS</t>
  </si>
  <si>
    <t>R BAR ARENA COLUMBUS OH</t>
  </si>
  <si>
    <t>SQ *AMERICAN NUT COMPA COLUMBUS OH0002305843021098229541</t>
  </si>
  <si>
    <t>METROPOLIS PARKING 8564856865 TN</t>
  </si>
  <si>
    <t>HILTON GARDEN INN COLUMB COLUMBUS OH</t>
  </si>
  <si>
    <t>CMH CHM SUPPLY CO COLUMBUS OH00522P</t>
  </si>
  <si>
    <t>CMH COLUMBUS MKPLACE B COLUMBUS OH00503P</t>
  </si>
  <si>
    <t>CIAO T1 C11 ORD CHICAGO IL1585521580125346</t>
  </si>
  <si>
    <t>TARGET.COM * 800-591-3869 MN</t>
  </si>
  <si>
    <t>THE DETOUR SAN FRANCISCOCA</t>
  </si>
  <si>
    <t>DINE--ONLINE*ARARATKEB 877-585-1085 NY</t>
  </si>
  <si>
    <t>TJMAXX #0402 SAN MATEO CA</t>
  </si>
  <si>
    <t>SQ *VOYAGER-SAN PEDRO SAN JOSE CA0001152921514890311452</t>
  </si>
  <si>
    <t>SQ *EIZEL'S BAKERY SAN JOSE CA0001152921514893076900</t>
  </si>
  <si>
    <t>TST* MEDITERRANEAN KITCH BURLINGAME CA</t>
  </si>
  <si>
    <t>AMC 2325 METREON 16 SAN FRANCISCOCA</t>
  </si>
  <si>
    <t>SP MONSTERS WE MAKE 8054569622 CAITEM TRANSFERRED FROM PREV ACCOUNT</t>
  </si>
  <si>
    <t>manga</t>
  </si>
  <si>
    <t>DD *MEDITERRANEANPIZZA 6506819470 CA</t>
  </si>
  <si>
    <t>SP RDMCLOTHINGART 7737576085 NHITEM TRANSFERRED FROM PREV ACCOUNT</t>
  </si>
  <si>
    <t>ROCKNWRAPS AND KABOBS 4043829768 GA</t>
  </si>
  <si>
    <t>99 RANCH #1772 MOUNTAIN VIEWCA</t>
  </si>
  <si>
    <t>PAYMENT - THANK YOU</t>
  </si>
  <si>
    <t>GOOGLE STORE MTV MOUNTAIN VIEWCA</t>
  </si>
  <si>
    <t>DD *ROCKNWRAPS 6506819470 CAITEM TRANSFERRED FROM PREV ACCOUNT</t>
  </si>
  <si>
    <t>WMT PLUS DEC 2024 800-925-6278 ARITEM TRANSFERRED FROM PREV ACCOUNT</t>
  </si>
  <si>
    <t>AMAZON MKTPL*ZE00N6VB2 AMZN.COM/BILLWAMNDE21DARLB</t>
  </si>
  <si>
    <t>AMAZON MKTPL*ZE1LQ7BF2 AMZN.COM/BILLWAUMXQV1S1M8Z</t>
  </si>
  <si>
    <t>AMAZON MKTPL*Z95GL89I1 AMZN.COM/BILLWA57GYD0LR14A</t>
  </si>
  <si>
    <t>AMAZON MKTPL*ZE1SI31V0 AMZN.COM/BILLWAYVEL6UTGKZM</t>
  </si>
  <si>
    <t>AMAZON MKTPL*ZE38Y2U12 AMZN.COM/BILLWA1SXANIBGVFZ</t>
  </si>
  <si>
    <t>AMAZON MKTPL*ZE65A2IM2 AMZN.COM/BILLWA1IA0A60T29H</t>
  </si>
  <si>
    <t>AMAZON MKTPL*ZE7598I02 AMZN.COM/BILLWA2JL8K0W13WY</t>
  </si>
  <si>
    <t>AMAZON.COM*ZE16I8V30 AMZN.COM/BILLWA47WWZB54K4R</t>
  </si>
  <si>
    <t>SYNCHRONY BANK</t>
  </si>
  <si>
    <t>CITY OF SM PARKPAYBYPH</t>
  </si>
  <si>
    <t>Roundup *CITY OF SM PARKPAYBYPH</t>
  </si>
  <si>
    <t>DBA Subway 52556 5255</t>
  </si>
  <si>
    <t>Roundup *DBA Subway 52556 5255</t>
  </si>
  <si>
    <t>STATE FARM RO 08</t>
  </si>
  <si>
    <t>TARGET T-1122</t>
  </si>
  <si>
    <t>Roundup *TARGET T-1122</t>
  </si>
  <si>
    <t>SAFEWAY #1547</t>
  </si>
  <si>
    <t>Roundup *SAFEWAY #1547</t>
  </si>
  <si>
    <t>LIFE CAFE #283</t>
  </si>
  <si>
    <t>Roundup *LIFE CAFE #283</t>
  </si>
  <si>
    <t>STATE FARM RO 27</t>
  </si>
  <si>
    <t>DISCOVER CARD</t>
  </si>
  <si>
    <t>Zelle® Payment from Kenny Thai</t>
  </si>
  <si>
    <t>Kenny</t>
  </si>
  <si>
    <t>Ignore</t>
  </si>
  <si>
    <t>blocklist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</si>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</sst>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%"/>
    <numFmt numFmtId="165" formatCode="_(&quot;$&quot;* #,##0_);_(&quot;$&quot;* \(#,##0\);_(&quot;$&quot;* &quot;-&quot;??_);_(@_)"/>
    <numFmt numFmtId="166" formatCode="yyyy\-mm\-dd"/>
    <numFmt numFmtId="167" formatCode="#,##0.00;[Red]#,##0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606265"/>
      <name val="Verdan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14" fontId="0" fillId="0" borderId="0" xfId="0" applyNumberFormat="1"/>
    <xf numFmtId="44" fontId="0" fillId="0" borderId="0" xfId="1" applyFont="1"/>
    <xf numFmtId="44" fontId="0" fillId="0" borderId="0" xfId="0" applyNumberFormat="1"/>
    <xf numFmtId="0" fontId="0" fillId="0" borderId="0" xfId="0" applyAlignment="1">
      <alignment horizontal="left" indent="1"/>
    </xf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 applyAlignment="1">
      <alignment horizontal="left" indent="1"/>
    </xf>
    <xf numFmtId="0" fontId="3" fillId="0" borderId="1" xfId="0" applyFont="1" applyBorder="1" applyAlignment="1">
      <alignment horizontal="center" vertical="top"/>
    </xf>
    <xf numFmtId="164" fontId="0" fillId="0" borderId="0" xfId="2" applyNumberFormat="1" applyFont="1"/>
    <xf numFmtId="9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9" fontId="0" fillId="0" borderId="0" xfId="2" applyFont="1"/>
    <xf numFmtId="14" fontId="0" fillId="2" borderId="0" xfId="0" applyNumberFormat="1" applyFill="1"/>
    <xf numFmtId="44" fontId="0" fillId="2" borderId="0" xfId="1" applyFont="1" applyFill="1"/>
    <xf numFmtId="44" fontId="0" fillId="2" borderId="0" xfId="0" applyNumberFormat="1" applyFill="1"/>
    <xf numFmtId="44" fontId="6" fillId="0" borderId="0" xfId="0" applyNumberFormat="1" applyFont="1"/>
    <xf numFmtId="165" fontId="0" fillId="0" borderId="0" xfId="1" applyNumberFormat="1" applyFont="1"/>
    <xf numFmtId="44" fontId="0" fillId="3" borderId="0" xfId="1" applyFont="1" applyFill="1"/>
    <xf numFmtId="8" fontId="0" fillId="0" borderId="0" xfId="0" applyNumberFormat="1"/>
    <xf numFmtId="8" fontId="9" fillId="0" borderId="0" xfId="0" applyNumberFormat="1" applyFont="1"/>
    <xf numFmtId="0" fontId="2" fillId="4" borderId="0" xfId="0" applyFont="1" applyFill="1" applyAlignment="1">
      <alignment horizontal="left"/>
    </xf>
    <xf numFmtId="0" fontId="4" fillId="5" borderId="0" xfId="0" applyFont="1" applyFill="1"/>
    <xf numFmtId="44" fontId="3" fillId="0" borderId="0" xfId="1" applyFont="1"/>
    <xf numFmtId="44" fontId="3" fillId="0" borderId="0" xfId="0" applyNumberFormat="1" applyFont="1"/>
    <xf numFmtId="0" fontId="3" fillId="0" borderId="0" xfId="0" applyFont="1"/>
    <xf numFmtId="166" fontId="0" fillId="0" borderId="0" xfId="0" applyNumberFormat="1"/>
    <xf numFmtId="167" fontId="0" fillId="0" borderId="0" xfId="0" applyNumberFormat="1"/>
    <xf numFmtId="14" fontId="0" fillId="6" borderId="0" xfId="0" applyNumberFormat="1" applyFill="1"/>
    <xf numFmtId="0" fontId="0" fillId="0" borderId="0" xfId="0" applyAlignment="1">
      <alignment horizontal="center"/>
    </xf>
    <xf numFmtId="0" fontId="0" fillId="0" borderId="2" xfId="0" applyFont="1" applyBorder="1"/>
  </cellXfs>
  <cellStyles count="3">
    <cellStyle name="Currency" xfId="1" builtinId="4"/>
    <cellStyle name="Normal" xfId="0" builtinId="0"/>
    <cellStyle name="Percent" xfId="2" builtinId="5"/>
  </cellStyles>
  <dxfs count="14">
    <dxf>
      <numFmt numFmtId="167" formatCode="#,##0.00;[Red]#,##0.00"/>
    </dxf>
    <dxf>
      <numFmt numFmtId="168" formatCode="&quot;$&quot;#,##0.00;[Red]&quot;$&quot;#,##0.00"/>
    </dxf>
    <dxf>
      <numFmt numFmtId="0" formatCode="General"/>
    </dxf>
    <dxf>
      <numFmt numFmtId="0" formatCode="General"/>
    </dxf>
    <dxf>
      <numFmt numFmtId="166" formatCode="yyyy\-mm\-dd"/>
    </dxf>
    <dxf>
      <numFmt numFmtId="166" formatCode="yyyy\-mm\-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8" formatCode="&quot;$&quot;#,##0.00;[Red]&quot;$&quot;#,##0.00"/>
    </dxf>
    <dxf>
      <numFmt numFmtId="0" formatCode="General"/>
    </dxf>
    <dxf>
      <numFmt numFmtId="166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18" Type="http://schemas.microsoft.com/office/2017/06/relationships/rdSupportingPropertyBagStructure" Target="richData/rdsupportingpropertybagstructure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ichStyles" Target="richData/richStyles.xml"/><Relationship Id="rId2" Type="http://schemas.openxmlformats.org/officeDocument/2006/relationships/worksheet" Target="worksheets/sheet2.xml"/><Relationship Id="rId16" Type="http://schemas.microsoft.com/office/2017/06/relationships/rdArray" Target="richData/rdarray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microsoft.com/office/2023/09/relationships/Python" Target="python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23" Type="http://schemas.openxmlformats.org/officeDocument/2006/relationships/customXml" Target="../customXml/item2.xml"/><Relationship Id="rId10" Type="http://schemas.openxmlformats.org/officeDocument/2006/relationships/connections" Target="connections.xml"/><Relationship Id="rId19" Type="http://schemas.microsoft.com/office/2017/06/relationships/rdSupportingPropertyBag" Target="richData/rdsupportingpropertybag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Relationship Id="rId22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an Lewis" refreshedDate="45956.639672569443" createdVersion="8" refreshedVersion="8" minRefreshableVersion="3" recordCount="1570" xr:uid="{87EA83CA-DE40-4932-9A52-792ED4A2D241}">
  <cacheSource type="worksheet">
    <worksheetSource name="Combined_Accounts"/>
  </cacheSource>
  <cacheFields count="16">
    <cacheField name="Column1" numFmtId="0">
      <sharedItems containsSemiMixedTypes="0" containsString="0" containsNumber="1" containsInteger="1" minValue="0" maxValue="1569"/>
    </cacheField>
    <cacheField name="ORIG_INDEX" numFmtId="0">
      <sharedItems containsSemiMixedTypes="0" containsString="0" containsNumber="1" containsInteger="1" minValue="0" maxValue="927"/>
    </cacheField>
    <cacheField name="Trans_Date" numFmtId="166">
      <sharedItems containsSemiMixedTypes="0" containsNonDate="0" containsDate="1" containsString="0" minDate="2023-01-01T00:00:00" maxDate="2025-01-01T00:00:00"/>
    </cacheField>
    <cacheField name="Description" numFmtId="0">
      <sharedItems/>
    </cacheField>
    <cacheField name="Amount" numFmtId="0">
      <sharedItems containsSemiMixedTypes="0" containsString="0" containsNumber="1" minValue="-4363.2" maxValue="4832.5600000000004"/>
    </cacheField>
    <cacheField name="Category" numFmtId="0">
      <sharedItems containsBlank="1"/>
    </cacheField>
    <cacheField name="Short_Desc" numFmtId="0">
      <sharedItems count="113">
        <s v="Balance"/>
        <s v="gas"/>
        <s v="parking"/>
        <s v="income"/>
        <s v="student_loan"/>
        <s v="family"/>
        <s v="refunds"/>
        <s v="Don"/>
        <s v="venmo"/>
        <s v="care_credit"/>
        <s v="misc"/>
        <s v="restaurants"/>
        <s v="other_people"/>
        <s v="dentist"/>
        <s v="cell_phone"/>
        <s v="laundry"/>
        <s v="la_fitness"/>
        <s v="ATM"/>
        <s v="fees"/>
        <s v="Australia"/>
        <s v="Vincent"/>
        <s v="Mexico"/>
        <s v="transfer"/>
        <s v="GT_China"/>
        <s v="learning"/>
        <s v="general_festival"/>
        <s v="groceries"/>
        <s v="movies"/>
        <s v="purchases"/>
        <s v="starting_balance"/>
        <s v="chatgpt"/>
        <s v="political_cause"/>
        <s v="spotify"/>
        <s v="onepass"/>
        <s v="breaking_points"/>
        <s v="real_python"/>
        <s v="everything_store"/>
        <s v="video_games"/>
        <s v="onlyfans"/>
        <s v="credits"/>
        <s v="restaurant"/>
        <s v="hbo"/>
        <s v="do_the_bay"/>
        <s v="live_event"/>
        <s v="coffee"/>
        <s v="concerts"/>
        <s v="apple_care"/>
        <s v="gas_station"/>
        <s v="amazon"/>
        <s v="gym"/>
        <s v="fast_food"/>
        <s v="parks_rec"/>
        <s v="self_care"/>
        <s v="live_nba"/>
        <s v="lickd"/>
        <s v="payment"/>
        <s v="clothing"/>
        <s v="tolls"/>
        <s v="Hawaii"/>
        <s v="audiobooks"/>
        <s v="museum"/>
        <s v="state_farm"/>
        <s v="air_travel"/>
        <s v="medical"/>
        <s v="airport"/>
        <s v="jewelry"/>
        <s v="adobe"/>
        <s v="desk_supplies"/>
        <s v="concert_merch"/>
        <s v="date_w_vincent"/>
        <s v="fitness"/>
        <s v="conv_store"/>
        <s v="mailing"/>
        <s v="grocery_ai"/>
        <s v="convention"/>
        <s v="vpn_router"/>
        <s v="food_delivery"/>
        <s v="conferences"/>
        <s v="home_supplies"/>
        <s v="mom"/>
        <s v="google_colab"/>
        <s v="ride_share"/>
        <s v="microsoft365"/>
        <s v="vision"/>
        <s v="car"/>
        <s v="nba_league_pass"/>
        <s v="electronics"/>
        <s v="live_baseball"/>
        <s v="hair_supplies"/>
        <s v="Tahjei"/>
        <s v="professional"/>
        <s v="google_one"/>
        <s v="home"/>
        <s v="swimming"/>
        <s v="Jayelin"/>
        <s v="comedy"/>
        <s v="dad"/>
        <s v="music"/>
        <s v="moving"/>
        <s v="sport_stuff"/>
        <s v="fine"/>
        <s v="physical_therapy"/>
        <s v="bumble"/>
        <s v="manga"/>
        <s v="school"/>
        <s v="interest"/>
        <s v="laptop"/>
        <s v="vincent_debt"/>
        <s v="huong_nguyen"/>
        <s v="rent"/>
        <s v="joshua_mitchell"/>
        <s v="Kenny"/>
        <s v="unsure" u="1"/>
      </sharedItems>
    </cacheField>
    <cacheField name="Reoccurring_Flag" numFmtId="0">
      <sharedItems count="2">
        <s v="No"/>
        <s v="Yes"/>
      </sharedItems>
    </cacheField>
    <cacheField name="Category_2" numFmtId="0">
      <sharedItems containsBlank="1"/>
    </cacheField>
    <cacheField name="Date" numFmtId="166">
      <sharedItems containsSemiMixedTypes="0" containsNonDate="0" containsDate="1" containsString="0" minDate="2023-01-01T00:00:00" maxDate="2024-12-02T00:00:00" count="13">
        <d v="2023-01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</sharedItems>
    </cacheField>
    <cacheField name="Year" numFmtId="0">
      <sharedItems containsSemiMixedTypes="0" containsString="0" containsNumber="1" containsInteger="1" minValue="2023" maxValue="2024"/>
    </cacheField>
    <cacheField name="Sort_Date" numFmtId="166">
      <sharedItems containsSemiMixedTypes="0" containsNonDate="0" containsDate="1" containsString="0" minDate="2023-01-01T00:00:00" maxDate="2025-01-01T00:00:00"/>
    </cacheField>
    <cacheField name="CumAmount" numFmtId="0">
      <sharedItems containsSemiMixedTypes="0" containsString="0" containsNumber="1" minValue="-399.17000000000007" maxValue="9341.4"/>
    </cacheField>
    <cacheField name="Counter" numFmtId="0">
      <sharedItems containsSemiMixedTypes="0" containsString="0" containsNumber="1" containsInteger="1" minValue="1" maxValue="103"/>
    </cacheField>
    <cacheField name="Account" numFmtId="0">
      <sharedItems/>
    </cacheField>
    <cacheField name="Last_balance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0">
  <r>
    <n v="0"/>
    <n v="0"/>
    <d v="2023-01-01T00:00:00"/>
    <s v="Balance"/>
    <n v="616.53"/>
    <m/>
    <x v="0"/>
    <x v="0"/>
    <s v="Balance"/>
    <x v="0"/>
    <n v="2023"/>
    <d v="2023-01-01T00:00:00"/>
    <n v="616.53"/>
    <n v="1"/>
    <s v="wells_fargo_checking"/>
    <n v="1"/>
  </r>
  <r>
    <n v="1"/>
    <n v="1"/>
    <d v="2024-01-02T00:00:00"/>
    <s v="PURCHASE AUTHORIZED ON 01/01 A&amp;A GAS BURLINGAME CA P584001656812755 CARD 1081"/>
    <n v="-47.14"/>
    <m/>
    <x v="1"/>
    <x v="0"/>
    <s v="Utilities"/>
    <x v="1"/>
    <n v="2024"/>
    <d v="2024-01-02T00:00:00"/>
    <n v="569.39"/>
    <n v="1"/>
    <s v="wells_fargo_checking"/>
    <n v="0"/>
  </r>
  <r>
    <n v="2"/>
    <n v="2"/>
    <d v="2024-01-02T00:00:00"/>
    <s v="PURCHASE AUTHORIZED ON 12/30 REDWOOD CITY PARKI REDWOOD CITY CA S303364838418587 CARD 1081"/>
    <n v="-0.5"/>
    <m/>
    <x v="2"/>
    <x v="0"/>
    <s v="Transportation"/>
    <x v="1"/>
    <n v="2024"/>
    <d v="2024-01-02T00:00:00"/>
    <n v="568.89"/>
    <n v="1"/>
    <s v="wells_fargo_checking"/>
    <n v="0"/>
  </r>
  <r>
    <n v="3"/>
    <n v="3"/>
    <d v="2024-01-11T00:00:00"/>
    <s v="PURCHASE AUTHORIZED ON 01/11 ARCO#00524MEHRZ MILL VALLEY CA P000000381980594 CARD 1081"/>
    <n v="-33.17"/>
    <m/>
    <x v="1"/>
    <x v="0"/>
    <s v="Utilities"/>
    <x v="1"/>
    <n v="2024"/>
    <d v="2024-01-11T00:00:00"/>
    <n v="535.72"/>
    <n v="2"/>
    <s v="wells_fargo_checking"/>
    <n v="0"/>
  </r>
  <r>
    <n v="4"/>
    <n v="4"/>
    <d v="2024-01-11T00:00:00"/>
    <s v="PURCHASE AUTHORIZED ON 01/11 ARCO#00524MEHRZ MILL VALLEY CA P000000181526744 CARD 1081"/>
    <n v="-12.06"/>
    <m/>
    <x v="1"/>
    <x v="0"/>
    <s v="Utilities"/>
    <x v="1"/>
    <n v="2024"/>
    <d v="2024-01-11T00:00:00"/>
    <n v="523.66000000000008"/>
    <n v="3"/>
    <s v="wells_fargo_checking"/>
    <n v="0"/>
  </r>
  <r>
    <n v="5"/>
    <n v="5"/>
    <d v="2024-01-11T00:00:00"/>
    <s v="Nationwide PAYROLL 01 HRP0009988056 Sean Lewis"/>
    <n v="502.15"/>
    <m/>
    <x v="3"/>
    <x v="0"/>
    <s v="Income"/>
    <x v="1"/>
    <n v="2024"/>
    <d v="2024-01-11T00:00:00"/>
    <n v="1025.81"/>
    <n v="1"/>
    <s v="wells_fargo_checking"/>
    <n v="0"/>
  </r>
  <r>
    <n v="6"/>
    <n v="6"/>
    <d v="2024-01-16T00:00:00"/>
    <s v="DEPT EDUCATION STUDENT LN 240112 6PN51D9CCK1 SEAN LEWIS"/>
    <n v="-426.16"/>
    <m/>
    <x v="4"/>
    <x v="1"/>
    <s v="Government"/>
    <x v="1"/>
    <n v="2024"/>
    <d v="2024-01-16T00:00:00"/>
    <n v="599.64999999999986"/>
    <n v="1"/>
    <s v="wells_fargo_checking"/>
    <n v="0"/>
  </r>
  <r>
    <n v="7"/>
    <n v="7"/>
    <d v="2024-01-16T00:00:00"/>
    <s v="ZELLE FROM LEWIS JUSTINA ON 01/13 REF # PP0RVXHPT7 CARE CREDIT PAYMENT"/>
    <n v="180"/>
    <m/>
    <x v="5"/>
    <x v="0"/>
    <s v="People"/>
    <x v="1"/>
    <n v="2024"/>
    <d v="2024-01-16T00:00:00"/>
    <n v="779.64999999999986"/>
    <n v="1"/>
    <s v="wells_fargo_checking"/>
    <n v="0"/>
  </r>
  <r>
    <n v="8"/>
    <n v="8"/>
    <d v="2024-01-17T00:00:00"/>
    <s v="ZELLE TO LEWIS DORRY ON 01/17 REF #PP0RW6NBQX GIFT NO RETURN"/>
    <n v="-100"/>
    <m/>
    <x v="5"/>
    <x v="0"/>
    <s v="People"/>
    <x v="1"/>
    <n v="2024"/>
    <d v="2024-01-17T00:00:00"/>
    <n v="679.64999999999986"/>
    <n v="2"/>
    <s v="wells_fargo_checking"/>
    <n v="0"/>
  </r>
  <r>
    <n v="9"/>
    <n v="9"/>
    <d v="2024-01-17T00:00:00"/>
    <s v="STUBHUB CONS PAYMENTS 240117 000000017167884 9016004299-SEAN LEWIS"/>
    <n v="123.48"/>
    <m/>
    <x v="6"/>
    <x v="0"/>
    <s v="Income"/>
    <x v="1"/>
    <n v="2024"/>
    <d v="2024-01-17T00:00:00"/>
    <n v="803.12999999999988"/>
    <n v="1"/>
    <s v="wells_fargo_checking"/>
    <n v="0"/>
  </r>
  <r>
    <n v="10"/>
    <n v="10"/>
    <d v="2024-01-18T00:00:00"/>
    <s v="T-MOBILE PCS SVC 240117 1121101 DON LEWIS"/>
    <n v="-111.63"/>
    <m/>
    <x v="7"/>
    <x v="0"/>
    <s v="People"/>
    <x v="1"/>
    <n v="2024"/>
    <d v="2024-01-18T00:00:00"/>
    <n v="691.49999999999989"/>
    <n v="1"/>
    <s v="wells_fargo_checking"/>
    <n v="0"/>
  </r>
  <r>
    <n v="11"/>
    <n v="11"/>
    <d v="2024-01-23T00:00:00"/>
    <s v="ZELLE TO LEWIS JAYELIN ON 01/23 REF #PP0RWMP6F2 FOR LUNCH"/>
    <n v="-30"/>
    <m/>
    <x v="5"/>
    <x v="0"/>
    <s v="People"/>
    <x v="1"/>
    <n v="2024"/>
    <d v="2024-01-23T00:00:00"/>
    <n v="661.49999999999989"/>
    <n v="3"/>
    <s v="wells_fargo_checking"/>
    <n v="0"/>
  </r>
  <r>
    <n v="12"/>
    <n v="12"/>
    <d v="2024-01-23T00:00:00"/>
    <s v="VENMO CASHOUT 240123 1032084728310 SEAN LEWIS"/>
    <n v="318.83"/>
    <m/>
    <x v="8"/>
    <x v="0"/>
    <s v="People"/>
    <x v="1"/>
    <n v="2024"/>
    <d v="2024-01-23T00:00:00"/>
    <n v="980.32999999999993"/>
    <n v="1"/>
    <s v="wells_fargo_checking"/>
    <n v="0"/>
  </r>
  <r>
    <n v="13"/>
    <n v="13"/>
    <d v="2024-01-24T00:00:00"/>
    <s v="Synchrony Bank CC PYMT JAN 23 524306003390321 SEAN LEWIS"/>
    <n v="-417.29"/>
    <m/>
    <x v="9"/>
    <x v="1"/>
    <s v="Medical"/>
    <x v="1"/>
    <n v="2024"/>
    <d v="2024-01-24T00:00:00"/>
    <n v="563.04"/>
    <n v="1"/>
    <s v="wells_fargo_checking"/>
    <n v="0"/>
  </r>
  <r>
    <n v="14"/>
    <n v="14"/>
    <d v="2024-01-24T00:00:00"/>
    <s v="ZELLE FROM LEWIS JAYELIN ON 01/24 REF # PP0RWQ7TRW PAYING BACK SUIT 200 OUT OF 700"/>
    <n v="200"/>
    <m/>
    <x v="5"/>
    <x v="0"/>
    <s v="People"/>
    <x v="1"/>
    <n v="2024"/>
    <d v="2024-01-24T00:00:00"/>
    <n v="763.04"/>
    <n v="4"/>
    <s v="wells_fargo_checking"/>
    <n v="0"/>
  </r>
  <r>
    <n v="15"/>
    <n v="15"/>
    <d v="2024-01-25T00:00:00"/>
    <s v="SoFi Bank TRANSFER SD1300 SLewis Sean Lewis:66864:1064"/>
    <n v="-500"/>
    <m/>
    <x v="10"/>
    <x v="0"/>
    <s v="Misc"/>
    <x v="1"/>
    <n v="2024"/>
    <d v="2024-01-25T00:00:00"/>
    <n v="263.04000000000002"/>
    <n v="1"/>
    <s v="wells_fargo_checking"/>
    <n v="0"/>
  </r>
  <r>
    <n v="16"/>
    <n v="16"/>
    <d v="2024-01-25T00:00:00"/>
    <s v="PURCHASE AUTHORIZED ON 01/24 West Town Bank T 8332572512 IL S384025071228723 CARD 1081"/>
    <n v="-30.86"/>
    <m/>
    <x v="11"/>
    <x v="0"/>
    <s v="Personal_Spending"/>
    <x v="1"/>
    <n v="2024"/>
    <d v="2024-01-25T00:00:00"/>
    <n v="232.17999999999989"/>
    <n v="1"/>
    <s v="wells_fargo_checking"/>
    <n v="0"/>
  </r>
  <r>
    <n v="17"/>
    <n v="17"/>
    <d v="2024-01-25T00:00:00"/>
    <s v="Nationwide PAYROLL 01 HRP0010014543 Sean Lewis"/>
    <n v="502.15"/>
    <m/>
    <x v="3"/>
    <x v="0"/>
    <s v="Income"/>
    <x v="1"/>
    <n v="2024"/>
    <d v="2024-01-25T00:00:00"/>
    <n v="734.32999999999993"/>
    <n v="2"/>
    <s v="wells_fargo_checking"/>
    <n v="1"/>
  </r>
  <r>
    <n v="18"/>
    <n v="18"/>
    <d v="2024-02-06T00:00:00"/>
    <s v="ZELLE TO LEWIS JAYELIN ON 02/06 REF #PP0RXSCV6L LUNCH"/>
    <n v="-50"/>
    <m/>
    <x v="5"/>
    <x v="0"/>
    <s v="People"/>
    <x v="2"/>
    <n v="2024"/>
    <d v="2024-02-06T00:00:00"/>
    <n v="684.32999999999993"/>
    <n v="5"/>
    <s v="wells_fargo_checking"/>
    <n v="0"/>
  </r>
  <r>
    <n v="19"/>
    <n v="19"/>
    <d v="2024-02-08T00:00:00"/>
    <s v="Nationwide PAYROLL 01 HRP0010046543 Sean Lewis"/>
    <n v="852.81"/>
    <m/>
    <x v="3"/>
    <x v="0"/>
    <s v="Income"/>
    <x v="2"/>
    <n v="2024"/>
    <d v="2024-02-08T00:00:00"/>
    <n v="1537.14"/>
    <n v="3"/>
    <s v="wells_fargo_checking"/>
    <n v="0"/>
  </r>
  <r>
    <n v="20"/>
    <n v="20"/>
    <d v="2024-02-09T00:00:00"/>
    <s v="SoFi Bank TRANSFER SD1300 SLewis Sean Lewis:66879:3732"/>
    <n v="-820"/>
    <m/>
    <x v="10"/>
    <x v="0"/>
    <s v="Misc"/>
    <x v="2"/>
    <n v="2024"/>
    <d v="2024-02-09T00:00:00"/>
    <n v="717.13999999999987"/>
    <n v="2"/>
    <s v="wells_fargo_checking"/>
    <n v="0"/>
  </r>
  <r>
    <n v="21"/>
    <n v="21"/>
    <d v="2024-02-20T00:00:00"/>
    <s v="Synchrony Bank CC PYMT FEB 19 524306003390321 SEAN LEWIS"/>
    <n v="-237.29"/>
    <m/>
    <x v="9"/>
    <x v="1"/>
    <s v="Medical"/>
    <x v="2"/>
    <n v="2024"/>
    <d v="2024-02-20T00:00:00"/>
    <n v="479.84999999999991"/>
    <n v="2"/>
    <s v="wells_fargo_checking"/>
    <n v="0"/>
  </r>
  <r>
    <n v="22"/>
    <n v="22"/>
    <d v="2024-02-20T00:00:00"/>
    <s v="T-MOBILE PCS SVC 240217 0486189 DON LEWIS"/>
    <n v="-111.63"/>
    <m/>
    <x v="7"/>
    <x v="0"/>
    <s v="People"/>
    <x v="2"/>
    <n v="2024"/>
    <d v="2024-02-20T00:00:00"/>
    <n v="368.21999999999991"/>
    <n v="2"/>
    <s v="wells_fargo_checking"/>
    <n v="0"/>
  </r>
  <r>
    <n v="23"/>
    <n v="23"/>
    <d v="2024-02-20T00:00:00"/>
    <s v="ZELLE TO IP NIKA ON 02/18 REF #RP0RYRB5QD DIM SUM"/>
    <n v="-69.849999999999994"/>
    <m/>
    <x v="12"/>
    <x v="0"/>
    <s v="People"/>
    <x v="2"/>
    <n v="2024"/>
    <d v="2024-02-20T00:00:00"/>
    <n v="298.36999999999989"/>
    <n v="1"/>
    <s v="wells_fargo_checking"/>
    <n v="0"/>
  </r>
  <r>
    <n v="24"/>
    <n v="24"/>
    <d v="2024-02-20T00:00:00"/>
    <s v="PURCHASE AUTHORIZED ON 02/17 THERAPY STORES #4 BURLINGAME CA S304048762525059 CARD 1081"/>
    <n v="-78.92"/>
    <m/>
    <x v="1"/>
    <x v="0"/>
    <s v="Utilities"/>
    <x v="2"/>
    <n v="2024"/>
    <d v="2024-02-20T00:00:00"/>
    <n v="219.4499999999999"/>
    <n v="4"/>
    <s v="wells_fargo_checking"/>
    <n v="0"/>
  </r>
  <r>
    <n v="25"/>
    <n v="25"/>
    <d v="2024-02-20T00:00:00"/>
    <s v="ZELLE FROM SHARON LEWIS ON 02/17 REF # 3BW01W0CD256 HAPPY BIRTHDAY"/>
    <n v="100"/>
    <m/>
    <x v="5"/>
    <x v="0"/>
    <s v="People"/>
    <x v="2"/>
    <n v="2024"/>
    <d v="2024-02-20T00:00:00"/>
    <n v="319.44999999999987"/>
    <n v="6"/>
    <s v="wells_fargo_checking"/>
    <n v="0"/>
  </r>
  <r>
    <n v="26"/>
    <n v="26"/>
    <d v="2024-02-21T00:00:00"/>
    <s v="PURCHASE AUTHORIZED ON 02/20 OANH LE DDS SAN MATEO CA S584052042706068 CARD 1081"/>
    <n v="-52"/>
    <m/>
    <x v="13"/>
    <x v="0"/>
    <s v="Medical"/>
    <x v="2"/>
    <n v="2024"/>
    <d v="2024-02-21T00:00:00"/>
    <n v="267.44999999999987"/>
    <n v="1"/>
    <s v="wells_fargo_checking"/>
    <n v="0"/>
  </r>
  <r>
    <n v="27"/>
    <n v="27"/>
    <d v="2024-02-22T00:00:00"/>
    <s v="VENMO PAYMENT 240222 1032683733105 SEAN LEWIS"/>
    <n v="-171.66"/>
    <m/>
    <x v="8"/>
    <x v="0"/>
    <s v="People"/>
    <x v="2"/>
    <n v="2024"/>
    <d v="2024-02-22T00:00:00"/>
    <n v="95.789999999999878"/>
    <n v="2"/>
    <s v="wells_fargo_checking"/>
    <n v="0"/>
  </r>
  <r>
    <n v="28"/>
    <n v="28"/>
    <d v="2024-02-22T00:00:00"/>
    <s v="VENMO PAYMENT 240222 1032683724272 SEAN LEWIS"/>
    <n v="-128.75"/>
    <m/>
    <x v="8"/>
    <x v="0"/>
    <s v="People"/>
    <x v="2"/>
    <n v="2024"/>
    <d v="2024-02-22T00:00:00"/>
    <n v="-32.960000000000122"/>
    <n v="3"/>
    <s v="wells_fargo_checking"/>
    <n v="0"/>
  </r>
  <r>
    <n v="29"/>
    <n v="29"/>
    <d v="2024-02-22T00:00:00"/>
    <s v="PURCHASE AUTHORIZED ON 02/20 TMOBILE*EIP PMT WE 800-937-8997 WA S584052049670733 CARD 1081"/>
    <n v="-366.21"/>
    <m/>
    <x v="14"/>
    <x v="1"/>
    <s v="Utilities"/>
    <x v="2"/>
    <n v="2024"/>
    <d v="2024-02-22T00:00:00"/>
    <n v="-399.17000000000007"/>
    <n v="1"/>
    <s v="wells_fargo_checking"/>
    <n v="0"/>
  </r>
  <r>
    <n v="30"/>
    <n v="30"/>
    <d v="2024-02-22T00:00:00"/>
    <s v="Nationwide PAYROLL 01 HRP0010118129 Sean Lewis"/>
    <n v="502.15"/>
    <m/>
    <x v="3"/>
    <x v="0"/>
    <s v="Income"/>
    <x v="2"/>
    <n v="2024"/>
    <d v="2024-02-22T00:00:00"/>
    <n v="102.9799999999999"/>
    <n v="4"/>
    <s v="wells_fargo_checking"/>
    <n v="0"/>
  </r>
  <r>
    <n v="31"/>
    <n v="31"/>
    <d v="2024-02-27T00:00:00"/>
    <s v="PURCHASE AUTHORIZED ON 02/27 SHELL SERVICE STATION SAN MATEO CA P304058843711708 CARD 1081"/>
    <n v="-50.03"/>
    <m/>
    <x v="1"/>
    <x v="0"/>
    <s v="Utilities"/>
    <x v="2"/>
    <n v="2024"/>
    <d v="2024-02-27T00:00:00"/>
    <n v="52.949999999999903"/>
    <n v="5"/>
    <s v="wells_fargo_checking"/>
    <n v="1"/>
  </r>
  <r>
    <n v="32"/>
    <n v="32"/>
    <d v="2024-03-07T00:00:00"/>
    <s v="Nationwide PAYROLL 01 HRP0010144424 Sean Lewis"/>
    <n v="732.23"/>
    <m/>
    <x v="3"/>
    <x v="0"/>
    <s v="Income"/>
    <x v="3"/>
    <n v="2024"/>
    <d v="2024-03-07T00:00:00"/>
    <n v="785.18"/>
    <n v="5"/>
    <s v="wells_fargo_checking"/>
    <n v="0"/>
  </r>
  <r>
    <n v="33"/>
    <n v="33"/>
    <d v="2024-03-08T00:00:00"/>
    <s v="DISCOVER BANK PREARRANGE 7416 001*1006840583"/>
    <n v="238.73"/>
    <m/>
    <x v="6"/>
    <x v="0"/>
    <s v="Income"/>
    <x v="3"/>
    <n v="2024"/>
    <d v="2024-03-08T00:00:00"/>
    <n v="1023.91"/>
    <n v="2"/>
    <s v="wells_fargo_checking"/>
    <n v="0"/>
  </r>
  <r>
    <n v="34"/>
    <n v="34"/>
    <d v="2024-03-11T00:00:00"/>
    <s v="Cash eWithdrawal in Branch 03/11/2024 09:22 AM 1045 RALSTON AVE BELMONT CA 1081"/>
    <n v="-50"/>
    <m/>
    <x v="15"/>
    <x v="0"/>
    <s v="Utilities"/>
    <x v="3"/>
    <n v="2024"/>
    <d v="2024-03-11T00:00:00"/>
    <n v="973.91"/>
    <n v="1"/>
    <s v="wells_fargo_checking"/>
    <n v="0"/>
  </r>
  <r>
    <n v="35"/>
    <n v="35"/>
    <d v="2024-03-15T00:00:00"/>
    <s v="L A FITNESS 9492558100 031524 49343747 I778707250"/>
    <n v="-220"/>
    <m/>
    <x v="16"/>
    <x v="1"/>
    <s v="Personal_Spending"/>
    <x v="3"/>
    <n v="2024"/>
    <d v="2024-03-15T00:00:00"/>
    <n v="753.91"/>
    <n v="1"/>
    <s v="wells_fargo_checking"/>
    <n v="0"/>
  </r>
  <r>
    <n v="36"/>
    <n v="36"/>
    <d v="2024-03-18T00:00:00"/>
    <s v="Synchrony Bank CC PYMT Mar 18 524306003390321 SEAN LEWIS"/>
    <n v="-458.96"/>
    <m/>
    <x v="9"/>
    <x v="1"/>
    <s v="Medical"/>
    <x v="3"/>
    <n v="2024"/>
    <d v="2024-03-18T00:00:00"/>
    <n v="294.95"/>
    <n v="3"/>
    <s v="wells_fargo_checking"/>
    <n v="0"/>
  </r>
  <r>
    <n v="37"/>
    <n v="37"/>
    <d v="2024-03-18T00:00:00"/>
    <s v="T-MOBILE PCS SVC 240317 9542988 DON LEWIS"/>
    <n v="-65.83"/>
    <m/>
    <x v="7"/>
    <x v="0"/>
    <s v="People"/>
    <x v="3"/>
    <n v="2024"/>
    <d v="2024-03-18T00:00:00"/>
    <n v="229.12"/>
    <n v="3"/>
    <s v="wells_fargo_checking"/>
    <n v="0"/>
  </r>
  <r>
    <n v="38"/>
    <n v="38"/>
    <d v="2024-03-21T00:00:00"/>
    <s v="Nationwide PAYROLL 01 HRP0010191240 Sean Lewis"/>
    <n v="527.54999999999995"/>
    <m/>
    <x v="3"/>
    <x v="0"/>
    <s v="Income"/>
    <x v="3"/>
    <n v="2024"/>
    <d v="2024-03-21T00:00:00"/>
    <n v="756.67"/>
    <n v="6"/>
    <s v="wells_fargo_checking"/>
    <n v="0"/>
  </r>
  <r>
    <n v="39"/>
    <n v="39"/>
    <d v="2024-03-25T00:00:00"/>
    <s v="NON-WELLS FARGO ATM TRANSACTION FEE"/>
    <n v="-2.5"/>
    <m/>
    <x v="17"/>
    <x v="0"/>
    <s v="Personal_Spending"/>
    <x v="3"/>
    <n v="2024"/>
    <d v="2024-03-25T00:00:00"/>
    <n v="754.17"/>
    <n v="1"/>
    <s v="wells_fargo_checking"/>
    <n v="0"/>
  </r>
  <r>
    <n v="40"/>
    <n v="40"/>
    <d v="2024-03-25T00:00:00"/>
    <s v="NON-WF ATM WITHDRAWAL AUTHORIZED ON 03/24 620 JONES ST SAN FRANCISCO CA 584084738877471 ATM ID CS89591 CARD 1081"/>
    <n v="-63"/>
    <m/>
    <x v="17"/>
    <x v="0"/>
    <s v="Personal_Spending"/>
    <x v="3"/>
    <n v="2024"/>
    <d v="2024-03-25T00:00:00"/>
    <n v="691.17"/>
    <n v="2"/>
    <s v="wells_fargo_checking"/>
    <n v="0"/>
  </r>
  <r>
    <n v="41"/>
    <n v="41"/>
    <d v="2024-03-25T00:00:00"/>
    <s v="PURCHASE AUTHORIZED ON 03/21 LAZ PKG L18103 - C BERKELEY CA S384082165650885 CARD 1081"/>
    <n v="-9"/>
    <m/>
    <x v="2"/>
    <x v="0"/>
    <s v="Transportation"/>
    <x v="3"/>
    <n v="2024"/>
    <d v="2024-03-25T00:00:00"/>
    <n v="682.17"/>
    <n v="2"/>
    <s v="wells_fargo_checking"/>
    <n v="0"/>
  </r>
  <r>
    <n v="42"/>
    <n v="42"/>
    <d v="2024-03-26T00:00:00"/>
    <s v="INTERNATIONAL PURCHASE TRANSACTION FEE"/>
    <n v="-0.39"/>
    <m/>
    <x v="18"/>
    <x v="0"/>
    <s v="Payment_and_Interest"/>
    <x v="3"/>
    <n v="2024"/>
    <d v="2024-03-26T00:00:00"/>
    <n v="681.78"/>
    <n v="1"/>
    <s v="wells_fargo_checking"/>
    <n v="0"/>
  </r>
  <r>
    <n v="43"/>
    <n v="43"/>
    <d v="2024-03-26T00:00:00"/>
    <s v="PURCHASE INTL AUTHORIZED ON 03/25 AUSTRALIANETA NORTH SYDNEY AUS S584085822648156 CARD 1081"/>
    <n v="-13.1"/>
    <m/>
    <x v="19"/>
    <x v="0"/>
    <s v="Travel"/>
    <x v="3"/>
    <n v="2024"/>
    <d v="2024-03-26T00:00:00"/>
    <n v="668.68"/>
    <n v="1"/>
    <s v="wells_fargo_checking"/>
    <n v="1"/>
  </r>
  <r>
    <n v="44"/>
    <n v="44"/>
    <d v="2024-04-01T00:00:00"/>
    <s v="VENMO ADDFUNDS 240331 1033478515311 SEAN LEWIS"/>
    <n v="-260"/>
    <m/>
    <x v="8"/>
    <x v="0"/>
    <s v="People"/>
    <x v="4"/>
    <n v="2024"/>
    <d v="2024-04-01T00:00:00"/>
    <n v="408.67999999999989"/>
    <n v="4"/>
    <s v="wells_fargo_checking"/>
    <n v="0"/>
  </r>
  <r>
    <n v="45"/>
    <n v="45"/>
    <d v="2024-04-02T00:00:00"/>
    <s v="ZELLE TO LEWIS SHARON ON 04/02 REF #PP0S4H82GN FOR RING"/>
    <n v="-500"/>
    <m/>
    <x v="5"/>
    <x v="0"/>
    <s v="People"/>
    <x v="4"/>
    <n v="2024"/>
    <d v="2024-04-02T00:00:00"/>
    <n v="-91.32000000000005"/>
    <n v="7"/>
    <s v="wells_fargo_checking"/>
    <n v="0"/>
  </r>
  <r>
    <n v="46"/>
    <n v="46"/>
    <d v="2024-04-03T00:00:00"/>
    <s v="PURCHASE AUTHORIZED ON 04/02 A&amp;A GAS BURLINGAME CA P304094040074944 CARD 1081"/>
    <n v="-52.64"/>
    <m/>
    <x v="1"/>
    <x v="0"/>
    <s v="Utilities"/>
    <x v="4"/>
    <n v="2024"/>
    <d v="2024-04-03T00:00:00"/>
    <n v="-143.96"/>
    <n v="6"/>
    <s v="wells_fargo_checking"/>
    <n v="0"/>
  </r>
  <r>
    <n v="47"/>
    <n v="47"/>
    <d v="2024-04-04T00:00:00"/>
    <s v="Nationwide PAYROLL 01 HRP0010210414 Sean Lewis"/>
    <n v="527.55999999999995"/>
    <m/>
    <x v="3"/>
    <x v="0"/>
    <s v="Income"/>
    <x v="4"/>
    <n v="2024"/>
    <d v="2024-04-04T00:00:00"/>
    <n v="383.59999999999991"/>
    <n v="7"/>
    <s v="wells_fargo_checking"/>
    <n v="0"/>
  </r>
  <r>
    <n v="48"/>
    <n v="48"/>
    <d v="2024-04-05T00:00:00"/>
    <s v="ZELLE TO LEWIS DORRY ON 04/05 REF #PP0S4Q22SG HOPE THIS HELPS"/>
    <n v="-200"/>
    <m/>
    <x v="5"/>
    <x v="0"/>
    <s v="People"/>
    <x v="4"/>
    <n v="2024"/>
    <d v="2024-04-05T00:00:00"/>
    <n v="183.59999999999991"/>
    <n v="8"/>
    <s v="wells_fargo_checking"/>
    <n v="0"/>
  </r>
  <r>
    <n v="49"/>
    <n v="49"/>
    <d v="2024-04-09T00:00:00"/>
    <s v="ATM WITHDRAWAL AUTHORIZED ON 04/09 100 E 4th Ave San Mateo CA 0007489 ATM ID 0520C CARD 1081"/>
    <n v="-200"/>
    <m/>
    <x v="17"/>
    <x v="0"/>
    <s v="Personal_Spending"/>
    <x v="4"/>
    <n v="2024"/>
    <d v="2024-04-09T00:00:00"/>
    <n v="-16.400000000000091"/>
    <n v="3"/>
    <s v="wells_fargo_checking"/>
    <n v="0"/>
  </r>
  <r>
    <n v="50"/>
    <n v="50"/>
    <d v="2024-04-09T00:00:00"/>
    <s v="ZELLE FROM LEWIS DORRY ON 04/08 REF # PP0S4ZN6KM"/>
    <n v="200"/>
    <m/>
    <x v="5"/>
    <x v="0"/>
    <s v="People"/>
    <x v="4"/>
    <n v="2024"/>
    <d v="2024-04-09T00:00:00"/>
    <n v="183.59999999999991"/>
    <n v="9"/>
    <s v="wells_fargo_checking"/>
    <n v="0"/>
  </r>
  <r>
    <n v="51"/>
    <n v="51"/>
    <d v="2024-04-10T00:00:00"/>
    <s v="ATM CASH DEPOSIT ON 04/10 100 E 4th Ave San Mateo CA 0007790 ATM ID 0520C CARD 1081"/>
    <n v="32"/>
    <m/>
    <x v="17"/>
    <x v="0"/>
    <s v="Personal_Spending"/>
    <x v="4"/>
    <n v="2024"/>
    <d v="2024-04-10T00:00:00"/>
    <n v="215.59999999999991"/>
    <n v="4"/>
    <s v="wells_fargo_checking"/>
    <n v="0"/>
  </r>
  <r>
    <n v="52"/>
    <n v="52"/>
    <d v="2024-04-10T00:00:00"/>
    <s v="ATM CASH DEPOSIT ON 04/10 100 E 4th Ave San Mateo CA 0007789 ATM ID 0520C CARD 1081"/>
    <n v="269"/>
    <m/>
    <x v="17"/>
    <x v="0"/>
    <s v="Personal_Spending"/>
    <x v="4"/>
    <n v="2024"/>
    <d v="2024-04-10T00:00:00"/>
    <n v="484.59999999999991"/>
    <n v="5"/>
    <s v="wells_fargo_checking"/>
    <n v="0"/>
  </r>
  <r>
    <n v="53"/>
    <n v="53"/>
    <d v="2024-04-15T00:00:00"/>
    <s v="VENMO PAYMENT 240415 1033792256663 SEAN LEWIS"/>
    <n v="-20"/>
    <m/>
    <x v="8"/>
    <x v="0"/>
    <s v="People"/>
    <x v="4"/>
    <n v="2024"/>
    <d v="2024-04-15T00:00:00"/>
    <n v="464.59999999999991"/>
    <n v="5"/>
    <s v="wells_fargo_checking"/>
    <n v="0"/>
  </r>
  <r>
    <n v="54"/>
    <n v="54"/>
    <d v="2024-04-15T00:00:00"/>
    <s v="L A FITNESS 9492558100 041524 49343747 I783466887"/>
    <n v="-220"/>
    <m/>
    <x v="16"/>
    <x v="1"/>
    <s v="Personal_Spending"/>
    <x v="4"/>
    <n v="2024"/>
    <d v="2024-04-15T00:00:00"/>
    <n v="244.59999999999991"/>
    <n v="2"/>
    <s v="wells_fargo_checking"/>
    <n v="0"/>
  </r>
  <r>
    <n v="55"/>
    <n v="55"/>
    <d v="2024-04-15T00:00:00"/>
    <s v="PURCHASE AUTHORIZED ON 04/12 OANH LE DDS SAN MATEO CA S464103813791194 CARD 1081"/>
    <n v="-44"/>
    <m/>
    <x v="13"/>
    <x v="0"/>
    <s v="Medical"/>
    <x v="4"/>
    <n v="2024"/>
    <d v="2024-04-15T00:00:00"/>
    <n v="200.59999999999991"/>
    <n v="2"/>
    <s v="wells_fargo_checking"/>
    <n v="0"/>
  </r>
  <r>
    <n v="56"/>
    <n v="56"/>
    <d v="2024-04-18T00:00:00"/>
    <s v="T-MOBILE PCS SVC 240417 9053559 DON LEWIS"/>
    <n v="-65.83"/>
    <m/>
    <x v="7"/>
    <x v="0"/>
    <s v="People"/>
    <x v="4"/>
    <n v="2024"/>
    <d v="2024-04-18T00:00:00"/>
    <n v="134.7699999999999"/>
    <n v="4"/>
    <s v="wells_fargo_checking"/>
    <n v="0"/>
  </r>
  <r>
    <n v="57"/>
    <n v="57"/>
    <d v="2024-04-18T00:00:00"/>
    <s v="Nationwide PAYROLL 01 HRP0010244110 Sean Lewis"/>
    <n v="527.55999999999995"/>
    <m/>
    <x v="3"/>
    <x v="0"/>
    <s v="Income"/>
    <x v="4"/>
    <n v="2024"/>
    <d v="2024-04-18T00:00:00"/>
    <n v="662.32999999999993"/>
    <n v="8"/>
    <s v="wells_fargo_checking"/>
    <n v="0"/>
  </r>
  <r>
    <n v="58"/>
    <n v="58"/>
    <d v="2024-04-18T00:00:00"/>
    <s v="ZELLE FROM KAI FENG PAN ON 04/17 REF # BACAIP4JOFOT FOR INVISALIGN"/>
    <n v="3000"/>
    <m/>
    <x v="20"/>
    <x v="0"/>
    <s v="People"/>
    <x v="4"/>
    <n v="2024"/>
    <d v="2024-04-18T00:00:00"/>
    <n v="3662.33"/>
    <n v="1"/>
    <s v="wells_fargo_checking"/>
    <n v="0"/>
  </r>
  <r>
    <n v="59"/>
    <n v="59"/>
    <d v="2024-04-19T00:00:00"/>
    <s v="Synchrony Bank CC PYMT Apr 19 524306003390321 SEAN LEWIS"/>
    <n v="-3000"/>
    <m/>
    <x v="9"/>
    <x v="1"/>
    <s v="Medical"/>
    <x v="4"/>
    <n v="2024"/>
    <d v="2024-04-19T00:00:00"/>
    <n v="662.32999999999993"/>
    <n v="4"/>
    <s v="wells_fargo_checking"/>
    <n v="0"/>
  </r>
  <r>
    <n v="60"/>
    <n v="60"/>
    <d v="2024-04-22T00:00:00"/>
    <s v="NON-WELLS FARGO ATM TRANSACTION FEE"/>
    <n v="-5"/>
    <m/>
    <x v="17"/>
    <x v="0"/>
    <s v="Personal_Spending"/>
    <x v="4"/>
    <n v="2024"/>
    <d v="2024-04-22T00:00:00"/>
    <n v="657.32999999999993"/>
    <n v="6"/>
    <s v="wells_fargo_checking"/>
    <n v="0"/>
  </r>
  <r>
    <n v="61"/>
    <n v="61"/>
    <d v="2024-04-22T00:00:00"/>
    <s v="NON-WF ATM WITHDRAWAL AUTHORIZED ON 04/21 SANBORNS TACUB/ DISTRITO FED MEX 584112805177505 ATM ID QMXS98 CARD 1081"/>
    <n v="-118.79"/>
    <m/>
    <x v="21"/>
    <x v="0"/>
    <s v="Travel"/>
    <x v="4"/>
    <n v="2024"/>
    <d v="2024-04-22T00:00:00"/>
    <n v="538.54"/>
    <n v="1"/>
    <s v="wells_fargo_checking"/>
    <n v="0"/>
  </r>
  <r>
    <n v="62"/>
    <n v="62"/>
    <d v="2024-04-22T00:00:00"/>
    <s v="SoFi Bank TRANSFER SD1300 SLewis Sean Lewis:66952:27030"/>
    <n v="1020"/>
    <m/>
    <x v="10"/>
    <x v="0"/>
    <s v="Misc"/>
    <x v="4"/>
    <n v="2024"/>
    <d v="2024-04-22T00:00:00"/>
    <n v="1558.54"/>
    <n v="3"/>
    <s v="wells_fargo_checking"/>
    <n v="0"/>
  </r>
  <r>
    <n v="63"/>
    <n v="63"/>
    <d v="2024-04-23T00:00:00"/>
    <s v="INTERNATIONAL PURCHASE TRANSACTION FEE"/>
    <n v="-0.16"/>
    <m/>
    <x v="18"/>
    <x v="0"/>
    <s v="Payment_and_Interest"/>
    <x v="4"/>
    <n v="2024"/>
    <d v="2024-04-23T00:00:00"/>
    <n v="1558.38"/>
    <n v="2"/>
    <s v="wells_fargo_checking"/>
    <n v="0"/>
  </r>
  <r>
    <n v="64"/>
    <n v="64"/>
    <d v="2024-04-23T00:00:00"/>
    <s v="PURCHASE INTL AUTHORIZED ON 04/22 HELADOS SANTA CLAR CIUDAD DE MEX MEX S464113709969315 CARD 1081"/>
    <n v="-5.4"/>
    <m/>
    <x v="21"/>
    <x v="0"/>
    <s v="Travel"/>
    <x v="4"/>
    <n v="2024"/>
    <d v="2024-04-23T00:00:00"/>
    <n v="1552.98"/>
    <n v="2"/>
    <s v="wells_fargo_checking"/>
    <n v="0"/>
  </r>
  <r>
    <n v="65"/>
    <n v="65"/>
    <d v="2024-04-25T00:00:00"/>
    <s v="INTERNATIONAL PURCHASE TRANSACTION FEE"/>
    <n v="-0.59"/>
    <m/>
    <x v="18"/>
    <x v="0"/>
    <s v="Payment_and_Interest"/>
    <x v="4"/>
    <n v="2024"/>
    <d v="2024-04-25T00:00:00"/>
    <n v="1552.39"/>
    <n v="3"/>
    <s v="wells_fargo_checking"/>
    <n v="0"/>
  </r>
  <r>
    <n v="66"/>
    <n v="66"/>
    <d v="2024-04-25T00:00:00"/>
    <s v="PURCHASE INTL AUTHORIZED ON 04/23 MUSEO FRIDA KAHLO CIUDAD DE MEX MEX S384114845130505 CARD 1081"/>
    <n v="-19.84"/>
    <m/>
    <x v="21"/>
    <x v="0"/>
    <s v="Travel"/>
    <x v="4"/>
    <n v="2024"/>
    <d v="2024-04-25T00:00:00"/>
    <n v="1532.55"/>
    <n v="3"/>
    <s v="wells_fargo_checking"/>
    <n v="0"/>
  </r>
  <r>
    <n v="67"/>
    <n v="67"/>
    <d v="2024-04-29T00:00:00"/>
    <s v="INTERNATIONAL PURCHASE TRANSACTION FEE"/>
    <n v="-0.19"/>
    <m/>
    <x v="18"/>
    <x v="0"/>
    <s v="Payment_and_Interest"/>
    <x v="4"/>
    <n v="2024"/>
    <d v="2024-04-29T00:00:00"/>
    <n v="1532.36"/>
    <n v="4"/>
    <s v="wells_fargo_checking"/>
    <n v="0"/>
  </r>
  <r>
    <n v="68"/>
    <n v="68"/>
    <d v="2024-04-29T00:00:00"/>
    <s v="PURCHASE INTL AUTHORIZED ON 04/26 NEVE REFORMA CIUDAD DE MEX MEX S464118003537811 CARD 1081"/>
    <n v="-6.43"/>
    <m/>
    <x v="21"/>
    <x v="0"/>
    <s v="Travel"/>
    <x v="4"/>
    <n v="2024"/>
    <d v="2024-04-29T00:00:00"/>
    <n v="1525.93"/>
    <n v="4"/>
    <s v="wells_fargo_checking"/>
    <n v="0"/>
  </r>
  <r>
    <n v="69"/>
    <n v="69"/>
    <d v="2024-04-29T00:00:00"/>
    <s v="INTERNATIONAL PURCHASE TRANSACTION FEE"/>
    <n v="-6.17"/>
    <m/>
    <x v="18"/>
    <x v="0"/>
    <s v="Payment_and_Interest"/>
    <x v="4"/>
    <n v="2024"/>
    <d v="2024-04-29T00:00:00"/>
    <n v="1519.76"/>
    <n v="5"/>
    <s v="wells_fargo_checking"/>
    <n v="0"/>
  </r>
  <r>
    <n v="70"/>
    <n v="70"/>
    <d v="2024-04-29T00:00:00"/>
    <s v="PURCHASE INTL AUTHORIZED ON 04/25 GetYourGuide Deuts Berlin DEU S584117187324477 CARD 1081"/>
    <n v="-205.7"/>
    <m/>
    <x v="21"/>
    <x v="0"/>
    <s v="Travel"/>
    <x v="4"/>
    <n v="2024"/>
    <d v="2024-04-29T00:00:00"/>
    <n v="1314.06"/>
    <n v="5"/>
    <s v="wells_fargo_checking"/>
    <n v="1"/>
  </r>
  <r>
    <n v="71"/>
    <n v="71"/>
    <d v="2024-05-01T00:00:00"/>
    <s v="INTERNATIONAL PURCHASE TRANSACTION FEE"/>
    <n v="-0.21"/>
    <m/>
    <x v="18"/>
    <x v="0"/>
    <s v="Payment_and_Interest"/>
    <x v="5"/>
    <n v="2024"/>
    <d v="2024-05-01T00:00:00"/>
    <n v="1313.85"/>
    <n v="6"/>
    <s v="wells_fargo_checking"/>
    <n v="0"/>
  </r>
  <r>
    <n v="72"/>
    <n v="72"/>
    <d v="2024-05-01T00:00:00"/>
    <s v="PURCHASE INTL AUTHORIZED ON 04/30 MONUMENTO REV MEXI CIUDAD DE MEX MEX S584121689502566 CARD 1081"/>
    <n v="-7.24"/>
    <m/>
    <x v="21"/>
    <x v="0"/>
    <s v="Travel"/>
    <x v="5"/>
    <n v="2024"/>
    <d v="2024-05-01T00:00:00"/>
    <n v="1306.6099999999999"/>
    <n v="6"/>
    <s v="wells_fargo_checking"/>
    <n v="0"/>
  </r>
  <r>
    <n v="73"/>
    <n v="73"/>
    <d v="2024-05-02T00:00:00"/>
    <s v="Nationwide PAYROLL 01 HRP0010290586 Sean Lewis"/>
    <n v="527.55999999999995"/>
    <m/>
    <x v="3"/>
    <x v="0"/>
    <s v="Income"/>
    <x v="5"/>
    <n v="2024"/>
    <d v="2024-05-02T00:00:00"/>
    <n v="1834.17"/>
    <n v="9"/>
    <s v="wells_fargo_checking"/>
    <n v="0"/>
  </r>
  <r>
    <n v="74"/>
    <n v="74"/>
    <d v="2024-05-06T00:00:00"/>
    <s v="NON-WELLS FARGO ATM TRANSACTION FEE"/>
    <n v="-2.5"/>
    <m/>
    <x v="17"/>
    <x v="0"/>
    <s v="Personal_Spending"/>
    <x v="5"/>
    <n v="2024"/>
    <d v="2024-05-06T00:00:00"/>
    <n v="1831.67"/>
    <n v="7"/>
    <s v="wells_fargo_checking"/>
    <n v="0"/>
  </r>
  <r>
    <n v="75"/>
    <n v="75"/>
    <d v="2024-05-06T00:00:00"/>
    <s v="NON-WF ATM WITHDRAWAL AUTHORIZED ON 05/04 2546 LEMOND ROAD HONOLULU HI 584125636679465 ATM ID IP2155 CARD 1081"/>
    <n v="-103.25"/>
    <m/>
    <x v="17"/>
    <x v="0"/>
    <s v="Personal_Spending"/>
    <x v="5"/>
    <n v="2024"/>
    <d v="2024-05-06T00:00:00"/>
    <n v="1728.42"/>
    <n v="8"/>
    <s v="wells_fargo_checking"/>
    <n v="0"/>
  </r>
  <r>
    <n v="76"/>
    <n v="76"/>
    <d v="2024-05-07T00:00:00"/>
    <s v="VENMO CASHOUT 240507 1034241513466 SEAN LEWIS"/>
    <n v="321.5"/>
    <m/>
    <x v="8"/>
    <x v="0"/>
    <s v="People"/>
    <x v="5"/>
    <n v="2024"/>
    <d v="2024-05-07T00:00:00"/>
    <n v="2049.92"/>
    <n v="6"/>
    <s v="wells_fargo_checking"/>
    <n v="0"/>
  </r>
  <r>
    <n v="77"/>
    <n v="77"/>
    <d v="2024-05-14T00:00:00"/>
    <s v="PURCHASE AUTHORIZED ON 05/14 COLES 0710 SYDNEY AUS S584135861508914 CARD 1081"/>
    <n v="-31.9"/>
    <m/>
    <x v="19"/>
    <x v="0"/>
    <s v="Travel"/>
    <x v="5"/>
    <n v="2024"/>
    <d v="2024-05-14T00:00:00"/>
    <n v="2018.02"/>
    <n v="2"/>
    <s v="wells_fargo_checking"/>
    <n v="0"/>
  </r>
  <r>
    <n v="78"/>
    <n v="78"/>
    <d v="2024-05-14T00:00:00"/>
    <s v="PURCHASE AUTHORIZED ON 05/14 GEORGE GROCER STORE Haymarket AUS S384135606505583 CARD 1081"/>
    <n v="-10.14"/>
    <m/>
    <x v="19"/>
    <x v="0"/>
    <s v="Travel"/>
    <x v="5"/>
    <n v="2024"/>
    <d v="2024-05-14T00:00:00"/>
    <n v="2007.879999999999"/>
    <n v="3"/>
    <s v="wells_fargo_checking"/>
    <n v="0"/>
  </r>
  <r>
    <n v="79"/>
    <n v="79"/>
    <d v="2024-05-15T00:00:00"/>
    <s v="L A FITNESS 9492558100 051524 49343747 I788590052"/>
    <n v="-220"/>
    <m/>
    <x v="16"/>
    <x v="1"/>
    <s v="Personal_Spending"/>
    <x v="5"/>
    <n v="2024"/>
    <d v="2024-05-15T00:00:00"/>
    <n v="1787.879999999999"/>
    <n v="3"/>
    <s v="wells_fargo_checking"/>
    <n v="0"/>
  </r>
  <r>
    <n v="80"/>
    <n v="80"/>
    <d v="2024-05-15T00:00:00"/>
    <s v="INTERNATIONAL PURCHASE TRANSACTION FEE"/>
    <n v="-0.09"/>
    <m/>
    <x v="18"/>
    <x v="0"/>
    <s v="Payment_and_Interest"/>
    <x v="5"/>
    <n v="2024"/>
    <d v="2024-05-15T00:00:00"/>
    <n v="1787.79"/>
    <n v="7"/>
    <s v="wells_fargo_checking"/>
    <n v="0"/>
  </r>
  <r>
    <n v="81"/>
    <n v="81"/>
    <d v="2024-05-15T00:00:00"/>
    <s v="PURCHASE INTL AUTHORIZED ON 05/14 SOUL ORIGIN WORLD SYDNEY AUS S384136000202242 CARD 1081"/>
    <n v="-3.25"/>
    <m/>
    <x v="19"/>
    <x v="0"/>
    <s v="Travel"/>
    <x v="5"/>
    <n v="2024"/>
    <d v="2024-05-15T00:00:00"/>
    <n v="1784.54"/>
    <n v="4"/>
    <s v="wells_fargo_checking"/>
    <n v="0"/>
  </r>
  <r>
    <n v="82"/>
    <n v="82"/>
    <d v="2024-05-15T00:00:00"/>
    <s v="INTERNATIONAL PURCHASE TRANSACTION FEE"/>
    <n v="-0.09"/>
    <m/>
    <x v="18"/>
    <x v="0"/>
    <s v="Payment_and_Interest"/>
    <x v="5"/>
    <n v="2024"/>
    <d v="2024-05-15T00:00:00"/>
    <n v="1784.45"/>
    <n v="8"/>
    <s v="wells_fargo_checking"/>
    <n v="0"/>
  </r>
  <r>
    <n v="83"/>
    <n v="83"/>
    <d v="2024-05-15T00:00:00"/>
    <s v="RECURRING PAYMENT INTL AUTHORIZED ON 05/14 CLASSPASS* MONTHLY NORTH SYDNEY AUS S584135765286720 CARD 1081"/>
    <n v="-3.32"/>
    <m/>
    <x v="19"/>
    <x v="0"/>
    <s v="Travel"/>
    <x v="5"/>
    <n v="2024"/>
    <d v="2024-05-15T00:00:00"/>
    <n v="1781.13"/>
    <n v="5"/>
    <s v="wells_fargo_checking"/>
    <n v="0"/>
  </r>
  <r>
    <n v="84"/>
    <n v="84"/>
    <d v="2024-05-15T00:00:00"/>
    <s v="INTERNATIONAL PURCHASE TRANSACTION FEE"/>
    <n v="-0.41"/>
    <m/>
    <x v="18"/>
    <x v="0"/>
    <s v="Payment_and_Interest"/>
    <x v="5"/>
    <n v="2024"/>
    <d v="2024-05-15T00:00:00"/>
    <n v="1780.72"/>
    <n v="9"/>
    <s v="wells_fargo_checking"/>
    <n v="0"/>
  </r>
  <r>
    <n v="85"/>
    <n v="85"/>
    <d v="2024-05-15T00:00:00"/>
    <s v="PURCHASE INTL AUTHORIZED ON 05/13 2305_Darlinghurst_ Sydney AUS S384135224227854 CARD 1081"/>
    <n v="-13.79"/>
    <m/>
    <x v="19"/>
    <x v="0"/>
    <s v="Travel"/>
    <x v="5"/>
    <n v="2024"/>
    <d v="2024-05-15T00:00:00"/>
    <n v="1766.93"/>
    <n v="6"/>
    <s v="wells_fargo_checking"/>
    <n v="0"/>
  </r>
  <r>
    <n v="86"/>
    <n v="86"/>
    <d v="2024-05-16T00:00:00"/>
    <s v="PURCHASE AUTHORIZED ON 05/16 Darlinghurst Medical Darlinghurst AUS S384138013314493 CARD 1081"/>
    <n v="-60.9"/>
    <m/>
    <x v="19"/>
    <x v="0"/>
    <s v="Travel"/>
    <x v="5"/>
    <n v="2024"/>
    <d v="2024-05-16T00:00:00"/>
    <n v="1706.03"/>
    <n v="7"/>
    <s v="wells_fargo_checking"/>
    <n v="0"/>
  </r>
  <r>
    <n v="87"/>
    <n v="87"/>
    <d v="2024-05-16T00:00:00"/>
    <s v="INTERNATIONAL PURCHASE TRANSACTION FEE"/>
    <n v="-1.19"/>
    <m/>
    <x v="18"/>
    <x v="0"/>
    <s v="Payment_and_Interest"/>
    <x v="5"/>
    <n v="2024"/>
    <d v="2024-05-16T00:00:00"/>
    <n v="1704.839999999999"/>
    <n v="10"/>
    <s v="wells_fargo_checking"/>
    <n v="0"/>
  </r>
  <r>
    <n v="88"/>
    <n v="88"/>
    <d v="2024-05-16T00:00:00"/>
    <s v="PURCHASE INTL AUTHORIZED ON 05/15 THROWBACKSTORE ALEXANDRIA AUS S584137113449740 CARD 1081"/>
    <n v="-39.69"/>
    <m/>
    <x v="19"/>
    <x v="0"/>
    <s v="Travel"/>
    <x v="5"/>
    <n v="2024"/>
    <d v="2024-05-16T00:00:00"/>
    <n v="1665.149999999999"/>
    <n v="8"/>
    <s v="wells_fargo_checking"/>
    <n v="0"/>
  </r>
  <r>
    <n v="89"/>
    <n v="89"/>
    <d v="2024-05-16T00:00:00"/>
    <s v="INTERNATIONAL PURCHASE TRANSACTION FEE"/>
    <n v="-0.08"/>
    <m/>
    <x v="18"/>
    <x v="0"/>
    <s v="Payment_and_Interest"/>
    <x v="5"/>
    <n v="2024"/>
    <d v="2024-05-16T00:00:00"/>
    <n v="1665.069999999999"/>
    <n v="11"/>
    <s v="wells_fargo_checking"/>
    <n v="0"/>
  </r>
  <r>
    <n v="90"/>
    <n v="90"/>
    <d v="2024-05-16T00:00:00"/>
    <s v="PURCHASE INTL AUTHORIZED ON 05/14 ROMEOS IGA OXFORD DARLINGHURST AUS S464136104657781 CARD 1081"/>
    <n v="-2.99"/>
    <m/>
    <x v="19"/>
    <x v="0"/>
    <s v="Travel"/>
    <x v="5"/>
    <n v="2024"/>
    <d v="2024-05-16T00:00:00"/>
    <n v="1662.079999999999"/>
    <n v="9"/>
    <s v="wells_fargo_checking"/>
    <n v="0"/>
  </r>
  <r>
    <n v="91"/>
    <n v="91"/>
    <d v="2024-05-16T00:00:00"/>
    <s v="INTERNATIONAL PURCHASE TRANSACTION FEE"/>
    <n v="-0.49"/>
    <m/>
    <x v="18"/>
    <x v="0"/>
    <s v="Payment_and_Interest"/>
    <x v="5"/>
    <n v="2024"/>
    <d v="2024-05-16T00:00:00"/>
    <n v="1661.589999999999"/>
    <n v="12"/>
    <s v="wells_fargo_checking"/>
    <n v="0"/>
  </r>
  <r>
    <n v="92"/>
    <n v="92"/>
    <d v="2024-05-16T00:00:00"/>
    <s v="PURCHASE INTL AUTHORIZED ON 05/14 M &amp; K TELECOM PTY SYDNEY AUS S384135848242389 CARD 1081"/>
    <n v="-16.579999999999998"/>
    <m/>
    <x v="19"/>
    <x v="0"/>
    <s v="Travel"/>
    <x v="5"/>
    <n v="2024"/>
    <d v="2024-05-16T00:00:00"/>
    <n v="1645.01"/>
    <n v="10"/>
    <s v="wells_fargo_checking"/>
    <n v="0"/>
  </r>
  <r>
    <n v="93"/>
    <n v="93"/>
    <d v="2024-05-16T00:00:00"/>
    <s v="Nationwide PAYROLL 01 HRP0010322315 Sean Lewis"/>
    <n v="527.55999999999995"/>
    <m/>
    <x v="3"/>
    <x v="0"/>
    <s v="Income"/>
    <x v="5"/>
    <n v="2024"/>
    <d v="2024-05-16T00:00:00"/>
    <n v="2172.5700000000002"/>
    <n v="10"/>
    <s v="wells_fargo_checking"/>
    <n v="0"/>
  </r>
  <r>
    <n v="94"/>
    <n v="94"/>
    <d v="2024-05-17T00:00:00"/>
    <s v="PURCHASE AUTHORIZED ON 05/17 Chemistworks Broadway Broadway AUS S464138303961453 CARD 1081"/>
    <n v="-25.02"/>
    <m/>
    <x v="19"/>
    <x v="0"/>
    <s v="Travel"/>
    <x v="5"/>
    <n v="2024"/>
    <d v="2024-05-17T00:00:00"/>
    <n v="2147.5500000000002"/>
    <n v="11"/>
    <s v="wells_fargo_checking"/>
    <n v="0"/>
  </r>
  <r>
    <n v="95"/>
    <n v="95"/>
    <d v="2024-05-17T00:00:00"/>
    <s v="PURCHASE AUTHORIZED ON 05/16 EzyMart Cumberland St The Rocks AUS S584138177082466 CARD 1081"/>
    <n v="-2.4"/>
    <m/>
    <x v="19"/>
    <x v="0"/>
    <s v="Travel"/>
    <x v="5"/>
    <n v="2024"/>
    <d v="2024-05-17T00:00:00"/>
    <n v="2145.15"/>
    <n v="12"/>
    <s v="wells_fargo_checking"/>
    <n v="0"/>
  </r>
  <r>
    <n v="96"/>
    <n v="96"/>
    <d v="2024-05-17T00:00:00"/>
    <s v="INTERNATIONAL PURCHASE TRANSACTION FEE"/>
    <n v="-1.48"/>
    <m/>
    <x v="18"/>
    <x v="0"/>
    <s v="Payment_and_Interest"/>
    <x v="5"/>
    <n v="2024"/>
    <d v="2024-05-17T00:00:00"/>
    <n v="2143.67"/>
    <n v="13"/>
    <s v="wells_fargo_checking"/>
    <n v="0"/>
  </r>
  <r>
    <n v="97"/>
    <n v="97"/>
    <d v="2024-05-17T00:00:00"/>
    <s v="RECURRING PAYMENT INTL AUTHORIZED ON 05/16 CLASSPASS* MONTHLY NORTH SYDNEY AUS S304137396053346 CARD 1081"/>
    <n v="-49.57"/>
    <m/>
    <x v="19"/>
    <x v="0"/>
    <s v="Travel"/>
    <x v="5"/>
    <n v="2024"/>
    <d v="2024-05-17T00:00:00"/>
    <n v="2094.099999999999"/>
    <n v="13"/>
    <s v="wells_fargo_checking"/>
    <n v="0"/>
  </r>
  <r>
    <n v="98"/>
    <n v="98"/>
    <d v="2024-05-17T00:00:00"/>
    <s v="INTERNATIONAL PURCHASE TRANSACTION FEE"/>
    <n v="-2.64"/>
    <m/>
    <x v="18"/>
    <x v="0"/>
    <s v="Payment_and_Interest"/>
    <x v="5"/>
    <n v="2024"/>
    <d v="2024-05-17T00:00:00"/>
    <n v="2091.46"/>
    <n v="14"/>
    <s v="wells_fargo_checking"/>
    <n v="0"/>
  </r>
  <r>
    <n v="99"/>
    <n v="99"/>
    <d v="2024-05-17T00:00:00"/>
    <s v="PURCHASE INTL AUTHORIZED ON 05/14 ALDI STORES - DARL DARLINGHURST AUS S304135830193953 CARD 1081"/>
    <n v="-88.16"/>
    <m/>
    <x v="19"/>
    <x v="0"/>
    <s v="Travel"/>
    <x v="5"/>
    <n v="2024"/>
    <d v="2024-05-17T00:00:00"/>
    <n v="2003.299999999999"/>
    <n v="14"/>
    <s v="wells_fargo_checking"/>
    <n v="0"/>
  </r>
  <r>
    <n v="100"/>
    <n v="100"/>
    <d v="2024-05-20T00:00:00"/>
    <s v="T-MOBILE PCS SVC 240517 8577644 DON LEWIS"/>
    <n v="-65.83"/>
    <m/>
    <x v="7"/>
    <x v="0"/>
    <s v="People"/>
    <x v="5"/>
    <n v="2024"/>
    <d v="2024-05-20T00:00:00"/>
    <n v="1937.47"/>
    <n v="5"/>
    <s v="wells_fargo_checking"/>
    <n v="0"/>
  </r>
  <r>
    <n v="101"/>
    <n v="101"/>
    <d v="2024-05-20T00:00:00"/>
    <s v="Synchrony Bank CC PYMT May 20 524306003390321 SEAN LEWIS"/>
    <n v="-458.96"/>
    <m/>
    <x v="9"/>
    <x v="1"/>
    <s v="Medical"/>
    <x v="5"/>
    <n v="2024"/>
    <d v="2024-05-20T00:00:00"/>
    <n v="1478.51"/>
    <n v="5"/>
    <s v="wells_fargo_checking"/>
    <n v="0"/>
  </r>
  <r>
    <n v="102"/>
    <n v="102"/>
    <d v="2024-05-20T00:00:00"/>
    <s v="PURCHASE AUTHORIZED ON 05/19 Cali Press Aus Square Sydney AUS S584140859752436 CARD 1081"/>
    <n v="-5.35"/>
    <m/>
    <x v="19"/>
    <x v="0"/>
    <s v="Travel"/>
    <x v="5"/>
    <n v="2024"/>
    <d v="2024-05-20T00:00:00"/>
    <n v="1473.16"/>
    <n v="15"/>
    <s v="wells_fargo_checking"/>
    <n v="0"/>
  </r>
  <r>
    <n v="103"/>
    <n v="103"/>
    <d v="2024-05-20T00:00:00"/>
    <s v="INTERNATIONAL PURCHASE TRANSACTION FEE"/>
    <n v="-1.56"/>
    <m/>
    <x v="18"/>
    <x v="0"/>
    <s v="Payment_and_Interest"/>
    <x v="5"/>
    <n v="2024"/>
    <d v="2024-05-20T00:00:00"/>
    <n v="1471.6"/>
    <n v="15"/>
    <s v="wells_fargo_checking"/>
    <n v="0"/>
  </r>
  <r>
    <n v="104"/>
    <n v="104"/>
    <d v="2024-05-20T00:00:00"/>
    <s v="PURCHASE INTL AUTHORIZED ON 05/18 TARONGA ZOO MOSMAN AUS S384140225583350 CARD 1081"/>
    <n v="-52.22"/>
    <m/>
    <x v="19"/>
    <x v="0"/>
    <s v="Travel"/>
    <x v="5"/>
    <n v="2024"/>
    <d v="2024-05-20T00:00:00"/>
    <n v="1419.38"/>
    <n v="16"/>
    <s v="wells_fargo_checking"/>
    <n v="0"/>
  </r>
  <r>
    <n v="105"/>
    <n v="105"/>
    <d v="2024-05-20T00:00:00"/>
    <s v="INTERNATIONAL PURCHASE TRANSACTION FEE"/>
    <n v="-0.18"/>
    <m/>
    <x v="18"/>
    <x v="0"/>
    <s v="Payment_and_Interest"/>
    <x v="5"/>
    <n v="2024"/>
    <d v="2024-05-20T00:00:00"/>
    <n v="1419.2"/>
    <n v="16"/>
    <s v="wells_fargo_checking"/>
    <n v="0"/>
  </r>
  <r>
    <n v="106"/>
    <n v="106"/>
    <d v="2024-05-20T00:00:00"/>
    <s v="PURCHASE INTL AUTHORIZED ON 05/18 ALLIANCE OPCO PTY MOSMAN AUS S464140150298457 CARD 1081"/>
    <n v="-6.03"/>
    <m/>
    <x v="19"/>
    <x v="0"/>
    <s v="Travel"/>
    <x v="5"/>
    <n v="2024"/>
    <d v="2024-05-20T00:00:00"/>
    <n v="1413.17"/>
    <n v="17"/>
    <s v="wells_fargo_checking"/>
    <n v="0"/>
  </r>
  <r>
    <n v="107"/>
    <n v="107"/>
    <d v="2024-05-20T00:00:00"/>
    <s v="INTERNATIONAL PURCHASE TRANSACTION FEE"/>
    <n v="-0.91"/>
    <m/>
    <x v="18"/>
    <x v="0"/>
    <s v="Payment_and_Interest"/>
    <x v="5"/>
    <n v="2024"/>
    <d v="2024-05-20T00:00:00"/>
    <n v="1412.26"/>
    <n v="17"/>
    <s v="wells_fargo_checking"/>
    <n v="0"/>
  </r>
  <r>
    <n v="108"/>
    <n v="108"/>
    <d v="2024-05-20T00:00:00"/>
    <s v="PURCHASE INTL AUTHORIZED ON 05/18 SQ *SINGLE O SURRY Surry Hills AUS S584140063799043 CARD 1081"/>
    <n v="-30.61"/>
    <m/>
    <x v="19"/>
    <x v="0"/>
    <s v="Travel"/>
    <x v="5"/>
    <n v="2024"/>
    <d v="2024-05-20T00:00:00"/>
    <n v="1381.65"/>
    <n v="18"/>
    <s v="wells_fargo_checking"/>
    <n v="0"/>
  </r>
  <r>
    <n v="109"/>
    <n v="109"/>
    <d v="2024-05-20T00:00:00"/>
    <s v="INTERNATIONAL PURCHASE TRANSACTION FEE"/>
    <n v="-0.13"/>
    <m/>
    <x v="18"/>
    <x v="0"/>
    <s v="Payment_and_Interest"/>
    <x v="5"/>
    <n v="2024"/>
    <d v="2024-05-20T00:00:00"/>
    <n v="1381.52"/>
    <n v="18"/>
    <s v="wells_fargo_checking"/>
    <n v="0"/>
  </r>
  <r>
    <n v="110"/>
    <n v="110"/>
    <d v="2024-05-20T00:00:00"/>
    <s v="PURCHASE INTL AUTHORIZED ON 05/17 Rivareno Gelato Da Darlinghurst AUS S384139237961495 CARD 1081"/>
    <n v="-4.5999999999999996"/>
    <m/>
    <x v="19"/>
    <x v="0"/>
    <s v="Travel"/>
    <x v="5"/>
    <n v="2024"/>
    <d v="2024-05-20T00:00:00"/>
    <n v="1376.92"/>
    <n v="19"/>
    <s v="wells_fargo_checking"/>
    <n v="0"/>
  </r>
  <r>
    <n v="111"/>
    <n v="111"/>
    <d v="2024-05-20T00:00:00"/>
    <s v="INTERNATIONAL PURCHASE TRANSACTION FEE"/>
    <n v="-0.1"/>
    <m/>
    <x v="18"/>
    <x v="0"/>
    <s v="Payment_and_Interest"/>
    <x v="5"/>
    <n v="2024"/>
    <d v="2024-05-20T00:00:00"/>
    <n v="1376.82"/>
    <n v="19"/>
    <s v="wells_fargo_checking"/>
    <n v="0"/>
  </r>
  <r>
    <n v="112"/>
    <n v="112"/>
    <d v="2024-05-20T00:00:00"/>
    <s v="PURCHASE INTL AUTHORIZED ON 05/17 EZYMART 113 OXFORD DARLINGHURST AUS S584139233652374 CARD 1081"/>
    <n v="-3.34"/>
    <m/>
    <x v="19"/>
    <x v="0"/>
    <s v="Travel"/>
    <x v="5"/>
    <n v="2024"/>
    <d v="2024-05-20T00:00:00"/>
    <n v="1373.48"/>
    <n v="20"/>
    <s v="wells_fargo_checking"/>
    <n v="0"/>
  </r>
  <r>
    <n v="113"/>
    <n v="113"/>
    <d v="2024-05-20T00:00:00"/>
    <s v="INTERNATIONAL PURCHASE TRANSACTION FEE"/>
    <n v="-7.0000000000000007E-2"/>
    <m/>
    <x v="18"/>
    <x v="0"/>
    <s v="Payment_and_Interest"/>
    <x v="5"/>
    <n v="2024"/>
    <d v="2024-05-20T00:00:00"/>
    <n v="1373.41"/>
    <n v="20"/>
    <s v="wells_fargo_checking"/>
    <n v="0"/>
  </r>
  <r>
    <n v="114"/>
    <n v="114"/>
    <d v="2024-05-20T00:00:00"/>
    <s v="PURCHASE INTL AUTHORIZED ON 05/17 BarrysAU_POS Sydney AUS S464139070987989 CARD 1081"/>
    <n v="-2.35"/>
    <m/>
    <x v="19"/>
    <x v="0"/>
    <s v="Travel"/>
    <x v="5"/>
    <n v="2024"/>
    <d v="2024-05-20T00:00:00"/>
    <n v="1371.06"/>
    <n v="21"/>
    <s v="wells_fargo_checking"/>
    <n v="0"/>
  </r>
  <r>
    <n v="115"/>
    <n v="115"/>
    <d v="2024-05-20T00:00:00"/>
    <s v="INTERNATIONAL PURCHASE TRANSACTION FEE"/>
    <n v="-0.32"/>
    <m/>
    <x v="18"/>
    <x v="0"/>
    <s v="Payment_and_Interest"/>
    <x v="5"/>
    <n v="2024"/>
    <d v="2024-05-20T00:00:00"/>
    <n v="1370.74"/>
    <n v="21"/>
    <s v="wells_fargo_checking"/>
    <n v="0"/>
  </r>
  <r>
    <n v="116"/>
    <n v="116"/>
    <d v="2024-05-20T00:00:00"/>
    <s v="PURCHASE INTL AUTHORIZED ON 05/16 THYNAMIS PTY LTD SYDNEY AUS S304138079113104 CARD 1081"/>
    <n v="-10.91"/>
    <m/>
    <x v="19"/>
    <x v="0"/>
    <s v="Travel"/>
    <x v="5"/>
    <n v="2024"/>
    <d v="2024-05-20T00:00:00"/>
    <n v="1359.83"/>
    <n v="22"/>
    <s v="wells_fargo_checking"/>
    <n v="0"/>
  </r>
  <r>
    <n v="117"/>
    <n v="117"/>
    <d v="2024-05-20T00:00:00"/>
    <s v="INTERNATIONAL PURCHASE TRANSACTION FEE"/>
    <n v="-0.08"/>
    <m/>
    <x v="18"/>
    <x v="0"/>
    <s v="Payment_and_Interest"/>
    <x v="5"/>
    <n v="2024"/>
    <d v="2024-05-20T00:00:00"/>
    <n v="1359.75"/>
    <n v="22"/>
    <s v="wells_fargo_checking"/>
    <n v="0"/>
  </r>
  <r>
    <n v="118"/>
    <n v="118"/>
    <d v="2024-05-20T00:00:00"/>
    <s v="PURCHASE INTL AUTHORIZED ON 05/16 Jamies Kitchen Aus Darlinghurst AUS S584138006000792 CARD 1081"/>
    <n v="-2.73"/>
    <m/>
    <x v="19"/>
    <x v="0"/>
    <s v="Travel"/>
    <x v="5"/>
    <n v="2024"/>
    <d v="2024-05-20T00:00:00"/>
    <n v="1357.02"/>
    <n v="23"/>
    <s v="wells_fargo_checking"/>
    <n v="0"/>
  </r>
  <r>
    <n v="119"/>
    <n v="119"/>
    <d v="2024-05-20T00:00:00"/>
    <s v="INTERNATIONAL PURCHASE TRANSACTION FEE"/>
    <n v="-0.32"/>
    <m/>
    <x v="18"/>
    <x v="0"/>
    <s v="Payment_and_Interest"/>
    <x v="5"/>
    <n v="2024"/>
    <d v="2024-05-20T00:00:00"/>
    <n v="1356.7"/>
    <n v="23"/>
    <s v="wells_fargo_checking"/>
    <n v="0"/>
  </r>
  <r>
    <n v="120"/>
    <n v="120"/>
    <d v="2024-05-20T00:00:00"/>
    <s v="PURCHASE INTL AUTHORIZED ON 05/15 MCDONALDS SYDNEY G SYDNEY AUS S584137197679121 CARD 1081"/>
    <n v="-10.78"/>
    <m/>
    <x v="7"/>
    <x v="0"/>
    <s v="People"/>
    <x v="5"/>
    <n v="2024"/>
    <d v="2024-05-20T00:00:00"/>
    <n v="1345.92"/>
    <n v="6"/>
    <s v="wells_fargo_checking"/>
    <n v="0"/>
  </r>
  <r>
    <n v="121"/>
    <n v="121"/>
    <d v="2024-05-20T00:00:00"/>
    <s v="INTERNATIONAL PURCHASE TRANSACTION FEE"/>
    <n v="-0.1"/>
    <m/>
    <x v="18"/>
    <x v="0"/>
    <s v="Payment_and_Interest"/>
    <x v="5"/>
    <n v="2024"/>
    <d v="2024-05-20T00:00:00"/>
    <n v="1345.82"/>
    <n v="24"/>
    <s v="wells_fargo_checking"/>
    <n v="0"/>
  </r>
  <r>
    <n v="122"/>
    <n v="122"/>
    <d v="2024-05-20T00:00:00"/>
    <s v="PURCHASE INTL AUTHORIZED ON 05/15 TRANSPORTFORNSW TA SYDNEY AUS S384136289819594 CARD 1081"/>
    <n v="-3.65"/>
    <m/>
    <x v="19"/>
    <x v="0"/>
    <s v="Travel"/>
    <x v="5"/>
    <n v="2024"/>
    <d v="2024-05-20T00:00:00"/>
    <n v="1342.17"/>
    <n v="24"/>
    <s v="wells_fargo_checking"/>
    <n v="0"/>
  </r>
  <r>
    <n v="123"/>
    <n v="123"/>
    <d v="2024-05-21T00:00:00"/>
    <s v="INTERNATIONAL PURCHASE TRANSACTION FEE"/>
    <n v="-0.23"/>
    <m/>
    <x v="18"/>
    <x v="0"/>
    <s v="Payment_and_Interest"/>
    <x v="5"/>
    <n v="2024"/>
    <d v="2024-05-21T00:00:00"/>
    <n v="1341.94"/>
    <n v="25"/>
    <s v="wells_fargo_checking"/>
    <n v="0"/>
  </r>
  <r>
    <n v="124"/>
    <n v="124"/>
    <d v="2024-05-21T00:00:00"/>
    <s v="PURCHASE INTL AUTHORIZED ON 05/21 SQ *THE HORDERN CO Moore Park AUS S464142372994816 CARD 1081"/>
    <n v="-7.92"/>
    <m/>
    <x v="19"/>
    <x v="0"/>
    <s v="Travel"/>
    <x v="5"/>
    <n v="2024"/>
    <d v="2024-05-21T00:00:00"/>
    <n v="1334.02"/>
    <n v="25"/>
    <s v="wells_fargo_checking"/>
    <n v="0"/>
  </r>
  <r>
    <n v="125"/>
    <n v="125"/>
    <d v="2024-05-21T00:00:00"/>
    <s v="INTERNATIONAL PURCHASE TRANSACTION FEE"/>
    <n v="-0.3"/>
    <m/>
    <x v="18"/>
    <x v="0"/>
    <s v="Payment_and_Interest"/>
    <x v="5"/>
    <n v="2024"/>
    <d v="2024-05-21T00:00:00"/>
    <n v="1333.72"/>
    <n v="26"/>
    <s v="wells_fargo_checking"/>
    <n v="0"/>
  </r>
  <r>
    <n v="126"/>
    <n v="126"/>
    <d v="2024-05-21T00:00:00"/>
    <s v="RECURRING PAYMENT INTL AUTHORIZED ON 05/21 IPY*Jetstar IFE 78 Broadbeach AUS S304142271531511 CARD 1081"/>
    <n v="-10.07"/>
    <m/>
    <x v="19"/>
    <x v="0"/>
    <s v="Travel"/>
    <x v="5"/>
    <n v="2024"/>
    <d v="2024-05-21T00:00:00"/>
    <n v="1323.65"/>
    <n v="26"/>
    <s v="wells_fargo_checking"/>
    <n v="0"/>
  </r>
  <r>
    <n v="127"/>
    <n v="127"/>
    <d v="2024-05-21T00:00:00"/>
    <s v="PURCHASE AUTHORIZED ON 05/20 Bauerfeind Australia Sydney AUS S464142194660237 CARD 1081"/>
    <n v="-181.16"/>
    <m/>
    <x v="19"/>
    <x v="0"/>
    <s v="Travel"/>
    <x v="5"/>
    <n v="2024"/>
    <d v="2024-05-21T00:00:00"/>
    <n v="1142.49"/>
    <n v="27"/>
    <s v="wells_fargo_checking"/>
    <n v="0"/>
  </r>
  <r>
    <n v="128"/>
    <n v="128"/>
    <d v="2024-05-21T00:00:00"/>
    <s v="INTERNATIONAL PURCHASE TRANSACTION FEE"/>
    <n v="-2.2200000000000002"/>
    <m/>
    <x v="18"/>
    <x v="0"/>
    <s v="Payment_and_Interest"/>
    <x v="5"/>
    <n v="2024"/>
    <d v="2024-05-21T00:00:00"/>
    <n v="1140.27"/>
    <n v="27"/>
    <s v="wells_fargo_checking"/>
    <n v="0"/>
  </r>
  <r>
    <n v="129"/>
    <n v="129"/>
    <d v="2024-05-21T00:00:00"/>
    <s v="PURCHASE INTL AUTHORIZED ON 05/20 TIXEL* TICKETS JUN PRAHRAN, MELB AUS S464142125759412 CARD 1081"/>
    <n v="-74.03"/>
    <m/>
    <x v="19"/>
    <x v="0"/>
    <s v="Travel"/>
    <x v="5"/>
    <n v="2024"/>
    <d v="2024-05-21T00:00:00"/>
    <n v="1066.24"/>
    <n v="28"/>
    <s v="wells_fargo_checking"/>
    <n v="0"/>
  </r>
  <r>
    <n v="130"/>
    <n v="130"/>
    <d v="2024-05-21T00:00:00"/>
    <s v="INTERNATIONAL PURCHASE TRANSACTION FEE"/>
    <n v="-0.3"/>
    <m/>
    <x v="18"/>
    <x v="0"/>
    <s v="Payment_and_Interest"/>
    <x v="5"/>
    <n v="2024"/>
    <d v="2024-05-21T00:00:00"/>
    <n v="1065.94"/>
    <n v="28"/>
    <s v="wells_fargo_checking"/>
    <n v="0"/>
  </r>
  <r>
    <n v="131"/>
    <n v="131"/>
    <d v="2024-05-21T00:00:00"/>
    <s v="PURCHASE INTL AUTHORIZED ON 05/19 RYANS BAR SYDNEY AUS S464141048775245 CARD 1081"/>
    <n v="-10.199999999999999"/>
    <m/>
    <x v="19"/>
    <x v="0"/>
    <s v="Travel"/>
    <x v="5"/>
    <n v="2024"/>
    <d v="2024-05-21T00:00:00"/>
    <n v="1055.74"/>
    <n v="29"/>
    <s v="wells_fargo_checking"/>
    <n v="0"/>
  </r>
  <r>
    <n v="132"/>
    <n v="132"/>
    <d v="2024-05-22T00:00:00"/>
    <s v="INTERNATIONAL PURCHASE TRANSACTION FEE"/>
    <n v="-0.3"/>
    <m/>
    <x v="18"/>
    <x v="0"/>
    <s v="Payment_and_Interest"/>
    <x v="5"/>
    <n v="2024"/>
    <d v="2024-05-22T00:00:00"/>
    <n v="1055.44"/>
    <n v="29"/>
    <s v="wells_fargo_checking"/>
    <n v="0"/>
  </r>
  <r>
    <n v="133"/>
    <n v="133"/>
    <d v="2024-05-22T00:00:00"/>
    <s v="PURCHASE INTL AUTHORIZED ON 05/20 KFC DARLINGHURST DARLINGHURST AUS S584142203433894 CARD 1081"/>
    <n v="-10.029999999999999"/>
    <m/>
    <x v="19"/>
    <x v="0"/>
    <s v="Travel"/>
    <x v="5"/>
    <n v="2024"/>
    <d v="2024-05-22T00:00:00"/>
    <n v="1045.4100000000001"/>
    <n v="30"/>
    <s v="wells_fargo_checking"/>
    <n v="0"/>
  </r>
  <r>
    <n v="134"/>
    <n v="134"/>
    <d v="2024-05-23T00:00:00"/>
    <s v="INTERNATIONAL PURCHASE TRANSACTION FEE"/>
    <n v="-0.1"/>
    <m/>
    <x v="18"/>
    <x v="0"/>
    <s v="Payment_and_Interest"/>
    <x v="5"/>
    <n v="2024"/>
    <d v="2024-05-23T00:00:00"/>
    <n v="1045.31"/>
    <n v="30"/>
    <s v="wells_fargo_checking"/>
    <n v="0"/>
  </r>
  <r>
    <n v="135"/>
    <n v="135"/>
    <d v="2024-05-23T00:00:00"/>
    <s v="PURCHASE INTL AUTHORIZED ON 05/23 SQ *EVENTS CATERIN Kensington AUS S464144354261101 CARD 1081"/>
    <n v="-3.34"/>
    <m/>
    <x v="19"/>
    <x v="0"/>
    <s v="Travel"/>
    <x v="5"/>
    <n v="2024"/>
    <d v="2024-05-23T00:00:00"/>
    <n v="1041.97"/>
    <n v="31"/>
    <s v="wells_fargo_checking"/>
    <n v="0"/>
  </r>
  <r>
    <n v="136"/>
    <n v="136"/>
    <d v="2024-05-23T00:00:00"/>
    <s v="INTERNATIONAL PURCHASE TRANSACTION FEE"/>
    <n v="-0.8"/>
    <m/>
    <x v="18"/>
    <x v="0"/>
    <s v="Payment_and_Interest"/>
    <x v="5"/>
    <n v="2024"/>
    <d v="2024-05-23T00:00:00"/>
    <n v="1041.17"/>
    <n v="31"/>
    <s v="wells_fargo_checking"/>
    <n v="0"/>
  </r>
  <r>
    <n v="137"/>
    <n v="137"/>
    <d v="2024-05-23T00:00:00"/>
    <s v="PURCHASE INTL AUTHORIZED ON 05/21 Scramble and Bean Sydney AUS S584142330226062 CARD 1081"/>
    <n v="-26.89"/>
    <m/>
    <x v="19"/>
    <x v="0"/>
    <s v="Travel"/>
    <x v="5"/>
    <n v="2024"/>
    <d v="2024-05-23T00:00:00"/>
    <n v="1014.28"/>
    <n v="32"/>
    <s v="wells_fargo_checking"/>
    <n v="0"/>
  </r>
  <r>
    <n v="138"/>
    <n v="138"/>
    <d v="2024-05-24T00:00:00"/>
    <s v="PURCHASE AUTHORIZED ON 05/24 SOH THEATRE BARS Sydney AUS S384145382306491 CARD 1081"/>
    <n v="-15.31"/>
    <m/>
    <x v="19"/>
    <x v="0"/>
    <s v="Travel"/>
    <x v="5"/>
    <n v="2024"/>
    <d v="2024-05-24T00:00:00"/>
    <n v="998.97000000000037"/>
    <n v="33"/>
    <s v="wells_fargo_checking"/>
    <n v="0"/>
  </r>
  <r>
    <n v="139"/>
    <n v="139"/>
    <d v="2024-05-24T00:00:00"/>
    <s v="PURCHASE AUTHORIZED ON 05/24 SOH THEATRE BARS Sydney AUS S304145344462270 CARD 1081"/>
    <n v="-17.309999999999999"/>
    <m/>
    <x v="19"/>
    <x v="0"/>
    <s v="Travel"/>
    <x v="5"/>
    <n v="2024"/>
    <d v="2024-05-24T00:00:00"/>
    <n v="981.66000000000042"/>
    <n v="34"/>
    <s v="wells_fargo_checking"/>
    <n v="0"/>
  </r>
  <r>
    <n v="140"/>
    <n v="140"/>
    <d v="2024-05-24T00:00:00"/>
    <s v="PURCHASE AUTHORIZED ON 05/23 EzyMart Cumberland St The Rocks AUS S464145191991124 CARD 1081"/>
    <n v="-2.38"/>
    <m/>
    <x v="19"/>
    <x v="0"/>
    <s v="Travel"/>
    <x v="5"/>
    <n v="2024"/>
    <d v="2024-05-24T00:00:00"/>
    <n v="979.28000000000043"/>
    <n v="35"/>
    <s v="wells_fargo_checking"/>
    <n v="0"/>
  </r>
  <r>
    <n v="141"/>
    <n v="141"/>
    <d v="2024-05-24T00:00:00"/>
    <s v="PURCHASE AUTHORIZED ON 05/23 FOOD ADDICT CAFE Darlinghurst AUS S384145039444722 CARD 1081"/>
    <n v="-22.22"/>
    <m/>
    <x v="19"/>
    <x v="0"/>
    <s v="Travel"/>
    <x v="5"/>
    <n v="2024"/>
    <d v="2024-05-24T00:00:00"/>
    <n v="957.0600000000004"/>
    <n v="36"/>
    <s v="wells_fargo_checking"/>
    <n v="0"/>
  </r>
  <r>
    <n v="142"/>
    <n v="142"/>
    <d v="2024-05-28T00:00:00"/>
    <s v="PURCHASE AUTHORIZED ON 05/26 Burgers Anonymous Darlinghurst AUS S304147311996727 CARD 1081"/>
    <n v="-13.82"/>
    <m/>
    <x v="19"/>
    <x v="0"/>
    <s v="Travel"/>
    <x v="5"/>
    <n v="2024"/>
    <d v="2024-05-28T00:00:00"/>
    <n v="943.24000000000035"/>
    <n v="37"/>
    <s v="wells_fargo_checking"/>
    <n v="0"/>
  </r>
  <r>
    <n v="143"/>
    <n v="143"/>
    <d v="2024-05-28T00:00:00"/>
    <s v="INTERNATIONAL PURCHASE TRANSACTION FEE"/>
    <n v="-0.08"/>
    <m/>
    <x v="18"/>
    <x v="0"/>
    <s v="Payment_and_Interest"/>
    <x v="5"/>
    <n v="2024"/>
    <d v="2024-05-28T00:00:00"/>
    <n v="943.16000000000031"/>
    <n v="32"/>
    <s v="wells_fargo_checking"/>
    <n v="0"/>
  </r>
  <r>
    <n v="144"/>
    <n v="144"/>
    <d v="2024-05-28T00:00:00"/>
    <s v="PURCHASE INTL AUTHORIZED ON 05/25 PICASSO TAKE AWAY OLD TOONGABBI AUS S304147087294791 CARD 1081"/>
    <n v="-2.71"/>
    <m/>
    <x v="19"/>
    <x v="0"/>
    <s v="Travel"/>
    <x v="5"/>
    <n v="2024"/>
    <d v="2024-05-28T00:00:00"/>
    <n v="940.45000000000027"/>
    <n v="38"/>
    <s v="wells_fargo_checking"/>
    <n v="0"/>
  </r>
  <r>
    <n v="145"/>
    <n v="145"/>
    <d v="2024-05-28T00:00:00"/>
    <s v="INTERNATIONAL PURCHASE TRANSACTION FEE"/>
    <n v="-0.13"/>
    <m/>
    <x v="18"/>
    <x v="0"/>
    <s v="Payment_and_Interest"/>
    <x v="5"/>
    <n v="2024"/>
    <d v="2024-05-28T00:00:00"/>
    <n v="940.32000000000028"/>
    <n v="33"/>
    <s v="wells_fargo_checking"/>
    <n v="0"/>
  </r>
  <r>
    <n v="146"/>
    <n v="146"/>
    <d v="2024-05-28T00:00:00"/>
    <s v="PURCHASE INTL AUTHORIZED ON 05/25 SQ *OLIVER BROWN S Strathfield AUS S304147047957897 CARD 1081"/>
    <n v="-4.3600000000000003"/>
    <m/>
    <x v="19"/>
    <x v="0"/>
    <s v="Travel"/>
    <x v="5"/>
    <n v="2024"/>
    <d v="2024-05-28T00:00:00"/>
    <n v="935.96000000000026"/>
    <n v="39"/>
    <s v="wells_fargo_checking"/>
    <n v="0"/>
  </r>
  <r>
    <n v="147"/>
    <n v="147"/>
    <d v="2024-05-28T00:00:00"/>
    <s v="INTERNATIONAL PURCHASE TRANSACTION FEE"/>
    <n v="-0.14000000000000001"/>
    <m/>
    <x v="18"/>
    <x v="0"/>
    <s v="Payment_and_Interest"/>
    <x v="5"/>
    <n v="2024"/>
    <d v="2024-05-28T00:00:00"/>
    <n v="935.82000000000028"/>
    <n v="34"/>
    <s v="wells_fargo_checking"/>
    <n v="0"/>
  </r>
  <r>
    <n v="148"/>
    <n v="148"/>
    <d v="2024-05-28T00:00:00"/>
    <s v="PURCHASE INTL AUTHORIZED ON 05/25 TRANSPORTFORNSW TA SYDNEY AUS S384147021926066 CARD 1081"/>
    <n v="-4.93"/>
    <m/>
    <x v="19"/>
    <x v="0"/>
    <s v="Travel"/>
    <x v="5"/>
    <n v="2024"/>
    <d v="2024-05-28T00:00:00"/>
    <n v="930.89000000000033"/>
    <n v="40"/>
    <s v="wells_fargo_checking"/>
    <n v="0"/>
  </r>
  <r>
    <n v="149"/>
    <n v="149"/>
    <d v="2024-05-28T00:00:00"/>
    <s v="INTERNATIONAL PURCHASE TRANSACTION FEE"/>
    <n v="-7.0000000000000007E-2"/>
    <m/>
    <x v="18"/>
    <x v="0"/>
    <s v="Payment_and_Interest"/>
    <x v="5"/>
    <n v="2024"/>
    <d v="2024-05-28T00:00:00"/>
    <n v="930.82000000000028"/>
    <n v="35"/>
    <s v="wells_fargo_checking"/>
    <n v="0"/>
  </r>
  <r>
    <n v="150"/>
    <n v="150"/>
    <d v="2024-05-28T00:00:00"/>
    <s v="PURCHASE INTL AUTHORIZED ON 05/25 TRANSPORTFORNSW TA SYDNEY AUS S304146293119783 CARD 1081"/>
    <n v="-2.48"/>
    <m/>
    <x v="19"/>
    <x v="0"/>
    <s v="Travel"/>
    <x v="5"/>
    <n v="2024"/>
    <d v="2024-05-28T00:00:00"/>
    <n v="928.34000000000026"/>
    <n v="41"/>
    <s v="wells_fargo_checking"/>
    <n v="0"/>
  </r>
  <r>
    <n v="151"/>
    <n v="151"/>
    <d v="2024-05-28T00:00:00"/>
    <s v="INTERNATIONAL PURCHASE TRANSACTION FEE"/>
    <n v="-0.35"/>
    <m/>
    <x v="18"/>
    <x v="0"/>
    <s v="Payment_and_Interest"/>
    <x v="5"/>
    <n v="2024"/>
    <d v="2024-05-28T00:00:00"/>
    <n v="927.99000000000024"/>
    <n v="36"/>
    <s v="wells_fargo_checking"/>
    <n v="0"/>
  </r>
  <r>
    <n v="152"/>
    <n v="152"/>
    <d v="2024-05-28T00:00:00"/>
    <s v="PURCHASE INTL AUTHORIZED ON 05/25 LIQUOR ON OXFORD DARLINGHURST AUS S384146283268216 CARD 1081"/>
    <n v="-11.95"/>
    <m/>
    <x v="19"/>
    <x v="0"/>
    <s v="Travel"/>
    <x v="5"/>
    <n v="2024"/>
    <d v="2024-05-28T00:00:00"/>
    <n v="916.04000000000019"/>
    <n v="42"/>
    <s v="wells_fargo_checking"/>
    <n v="0"/>
  </r>
  <r>
    <n v="153"/>
    <n v="153"/>
    <d v="2024-05-28T00:00:00"/>
    <s v="INTERNATIONAL PURCHASE TRANSACTION FEE"/>
    <n v="-0.95"/>
    <m/>
    <x v="18"/>
    <x v="0"/>
    <s v="Payment_and_Interest"/>
    <x v="5"/>
    <n v="2024"/>
    <d v="2024-05-28T00:00:00"/>
    <n v="915.09000000000015"/>
    <n v="37"/>
    <s v="wells_fargo_checking"/>
    <n v="0"/>
  </r>
  <r>
    <n v="154"/>
    <n v="154"/>
    <d v="2024-05-28T00:00:00"/>
    <s v="PURCHASE INTL AUTHORIZED ON 05/24 SQ *SOUL DELI Surry Hills AUS S464146044033724 CARD 1081"/>
    <n v="-31.77"/>
    <m/>
    <x v="19"/>
    <x v="0"/>
    <s v="Travel"/>
    <x v="5"/>
    <n v="2024"/>
    <d v="2024-05-28T00:00:00"/>
    <n v="883.32000000000016"/>
    <n v="43"/>
    <s v="wells_fargo_checking"/>
    <n v="0"/>
  </r>
  <r>
    <n v="155"/>
    <n v="155"/>
    <d v="2024-05-28T00:00:00"/>
    <s v="MONEY TRANSFER AUTHORIZED ON 05/24 CASH APP*CYANFACE 800-9691940 CA S384145822206271 CARD 1081"/>
    <n v="-30"/>
    <m/>
    <x v="22"/>
    <x v="0"/>
    <s v="People"/>
    <x v="5"/>
    <n v="2024"/>
    <d v="2024-05-28T00:00:00"/>
    <n v="853.32000000000016"/>
    <n v="1"/>
    <s v="wells_fargo_checking"/>
    <n v="0"/>
  </r>
  <r>
    <n v="156"/>
    <n v="156"/>
    <d v="2024-05-28T00:00:00"/>
    <s v="INTERNATIONAL PURCHASE TRANSACTION FEE"/>
    <n v="-0.14000000000000001"/>
    <m/>
    <x v="18"/>
    <x v="0"/>
    <s v="Payment_and_Interest"/>
    <x v="5"/>
    <n v="2024"/>
    <d v="2024-05-28T00:00:00"/>
    <n v="853.18000000000018"/>
    <n v="38"/>
    <s v="wells_fargo_checking"/>
    <n v="0"/>
  </r>
  <r>
    <n v="157"/>
    <n v="157"/>
    <d v="2024-05-28T00:00:00"/>
    <s v="PURCHASE INTL AUTHORIZED ON 05/24 ZLR*Gelatissimo Ci Sydney AUS S464145475591179 CARD 1081"/>
    <n v="-4.79"/>
    <m/>
    <x v="19"/>
    <x v="0"/>
    <s v="Travel"/>
    <x v="5"/>
    <n v="2024"/>
    <d v="2024-05-28T00:00:00"/>
    <n v="848.39000000000021"/>
    <n v="44"/>
    <s v="wells_fargo_checking"/>
    <n v="0"/>
  </r>
  <r>
    <n v="158"/>
    <n v="158"/>
    <d v="2024-05-28T00:00:00"/>
    <s v="INTERNATIONAL PURCHASE TRANSACTION FEE"/>
    <n v="-0.17"/>
    <m/>
    <x v="18"/>
    <x v="0"/>
    <s v="Payment_and_Interest"/>
    <x v="5"/>
    <n v="2024"/>
    <d v="2024-05-28T00:00:00"/>
    <n v="848.22000000000025"/>
    <n v="39"/>
    <s v="wells_fargo_checking"/>
    <n v="0"/>
  </r>
  <r>
    <n v="159"/>
    <n v="159"/>
    <d v="2024-05-28T00:00:00"/>
    <s v="PURCHASE INTL AUTHORIZED ON 05/23 TRANSPORTFORNSW TA SYDNEY AUS S584145180375796 CARD 1081"/>
    <n v="-5.91"/>
    <m/>
    <x v="19"/>
    <x v="0"/>
    <s v="Travel"/>
    <x v="5"/>
    <n v="2024"/>
    <d v="2024-05-28T00:00:00"/>
    <n v="842.31000000000029"/>
    <n v="45"/>
    <s v="wells_fargo_checking"/>
    <n v="0"/>
  </r>
  <r>
    <n v="160"/>
    <n v="160"/>
    <d v="2024-05-28T00:00:00"/>
    <s v="INTERNATIONAL PURCHASE TRANSACTION FEE"/>
    <n v="-0.14000000000000001"/>
    <m/>
    <x v="18"/>
    <x v="0"/>
    <s v="Payment_and_Interest"/>
    <x v="5"/>
    <n v="2024"/>
    <d v="2024-05-28T00:00:00"/>
    <n v="842.1700000000003"/>
    <n v="40"/>
    <s v="wells_fargo_checking"/>
    <n v="0"/>
  </r>
  <r>
    <n v="161"/>
    <n v="161"/>
    <d v="2024-05-28T00:00:00"/>
    <s v="PURCHASE INTL AUTHORIZED ON 05/23 KANGAROOS CONVENIE SYDNEY AUS S464144286795956 CARD 1081"/>
    <n v="-4.9800000000000004"/>
    <m/>
    <x v="19"/>
    <x v="0"/>
    <s v="Travel"/>
    <x v="5"/>
    <n v="2024"/>
    <d v="2024-05-28T00:00:00"/>
    <n v="837.19000000000028"/>
    <n v="46"/>
    <s v="wells_fargo_checking"/>
    <n v="0"/>
  </r>
  <r>
    <n v="162"/>
    <n v="162"/>
    <d v="2024-05-28T00:00:00"/>
    <s v="INTERNATIONAL PURCHASE TRANSACTION FEE"/>
    <n v="-0.14000000000000001"/>
    <m/>
    <x v="18"/>
    <x v="0"/>
    <s v="Payment_and_Interest"/>
    <x v="5"/>
    <n v="2024"/>
    <d v="2024-05-28T00:00:00"/>
    <n v="837.0500000000003"/>
    <n v="41"/>
    <s v="wells_fargo_checking"/>
    <n v="0"/>
  </r>
  <r>
    <n v="163"/>
    <n v="163"/>
    <d v="2024-05-28T00:00:00"/>
    <s v="PURCHASE INTL AUTHORIZED ON 05/23 TRANSPORTFORNSW TA SYDNEY AUS S464144263301764 CARD 1081"/>
    <n v="-4.88"/>
    <m/>
    <x v="19"/>
    <x v="0"/>
    <s v="Travel"/>
    <x v="5"/>
    <n v="2024"/>
    <d v="2024-05-28T00:00:00"/>
    <n v="832.1700000000003"/>
    <n v="47"/>
    <s v="wells_fargo_checking"/>
    <n v="0"/>
  </r>
  <r>
    <n v="164"/>
    <n v="164"/>
    <d v="2024-05-29T00:00:00"/>
    <s v="INTERNATIONAL PURCHASE TRANSACTION FEE"/>
    <n v="-1.1100000000000001"/>
    <m/>
    <x v="18"/>
    <x v="0"/>
    <s v="Payment_and_Interest"/>
    <x v="5"/>
    <n v="2024"/>
    <d v="2024-05-29T00:00:00"/>
    <n v="831.06000000000029"/>
    <n v="42"/>
    <s v="wells_fargo_checking"/>
    <n v="0"/>
  </r>
  <r>
    <n v="165"/>
    <n v="165"/>
    <d v="2024-05-29T00:00:00"/>
    <s v="PURCHASE INTL AUTHORIZED ON 05/28 ES THE GALERIES SYDNEY AUS S384150161683933 CARD 1081"/>
    <n v="-37.26"/>
    <m/>
    <x v="19"/>
    <x v="0"/>
    <s v="Travel"/>
    <x v="5"/>
    <n v="2024"/>
    <d v="2024-05-29T00:00:00"/>
    <n v="793.8000000000003"/>
    <n v="48"/>
    <s v="wells_fargo_checking"/>
    <n v="0"/>
  </r>
  <r>
    <n v="166"/>
    <n v="166"/>
    <d v="2024-05-29T00:00:00"/>
    <s v="INTERNATIONAL PURCHASE TRANSACTION FEE"/>
    <n v="-0.13"/>
    <m/>
    <x v="18"/>
    <x v="0"/>
    <s v="Payment_and_Interest"/>
    <x v="5"/>
    <n v="2024"/>
    <d v="2024-05-29T00:00:00"/>
    <n v="793.6700000000003"/>
    <n v="43"/>
    <s v="wells_fargo_checking"/>
    <n v="0"/>
  </r>
  <r>
    <n v="167"/>
    <n v="167"/>
    <d v="2024-05-29T00:00:00"/>
    <s v="PURCHASE INTL AUTHORIZED ON 05/28 SQ *FOOD ADDICT Surry Hills AUS S384150004284123 CARD 1081"/>
    <n v="-4.3899999999999997"/>
    <m/>
    <x v="19"/>
    <x v="0"/>
    <s v="Travel"/>
    <x v="5"/>
    <n v="2024"/>
    <d v="2024-05-29T00:00:00"/>
    <n v="789.28000000000031"/>
    <n v="49"/>
    <s v="wells_fargo_checking"/>
    <n v="0"/>
  </r>
  <r>
    <n v="168"/>
    <n v="168"/>
    <d v="2024-05-29T00:00:00"/>
    <s v="INTERNATIONAL PURCHASE TRANSACTION FEE"/>
    <n v="-0.94"/>
    <m/>
    <x v="18"/>
    <x v="0"/>
    <s v="Payment_and_Interest"/>
    <x v="5"/>
    <n v="2024"/>
    <d v="2024-05-29T00:00:00"/>
    <n v="788.34000000000026"/>
    <n v="44"/>
    <s v="wells_fargo_checking"/>
    <n v="0"/>
  </r>
  <r>
    <n v="169"/>
    <n v="169"/>
    <d v="2024-05-29T00:00:00"/>
    <s v="PURCHASE INTL AUTHORIZED ON 05/28 SQ *FOOD ADDICT Surry Hills AUS S304150003615354 CARD 1081"/>
    <n v="-31.43"/>
    <m/>
    <x v="19"/>
    <x v="0"/>
    <s v="Travel"/>
    <x v="5"/>
    <n v="2024"/>
    <d v="2024-05-29T00:00:00"/>
    <n v="756.91000000000031"/>
    <n v="50"/>
    <s v="wells_fargo_checking"/>
    <n v="0"/>
  </r>
  <r>
    <n v="170"/>
    <n v="170"/>
    <d v="2024-05-29T00:00:00"/>
    <s v="INTERNATIONAL PURCHASE TRANSACTION FEE"/>
    <n v="-0.19"/>
    <m/>
    <x v="18"/>
    <x v="0"/>
    <s v="Payment_and_Interest"/>
    <x v="5"/>
    <n v="2024"/>
    <d v="2024-05-29T00:00:00"/>
    <n v="756.72000000000025"/>
    <n v="45"/>
    <s v="wells_fargo_checking"/>
    <n v="0"/>
  </r>
  <r>
    <n v="171"/>
    <n v="171"/>
    <d v="2024-05-29T00:00:00"/>
    <s v="PURCHASE INTL AUTHORIZED ON 05/27 BLACKSMITHS SURRY SURRY HILLS AUS S304149152457012 CARD 1081"/>
    <n v="-6.64"/>
    <m/>
    <x v="19"/>
    <x v="0"/>
    <s v="Travel"/>
    <x v="5"/>
    <n v="2024"/>
    <d v="2024-05-29T00:00:00"/>
    <n v="750.08000000000027"/>
    <n v="51"/>
    <s v="wells_fargo_checking"/>
    <n v="0"/>
  </r>
  <r>
    <n v="172"/>
    <n v="172"/>
    <d v="2024-05-29T00:00:00"/>
    <s v="ZELLE FROM LEWIS JAYELIN ON 05/29 REF # PP0S9CHDPL PAYBACK FOR SUIT"/>
    <n v="200"/>
    <m/>
    <x v="5"/>
    <x v="0"/>
    <s v="People"/>
    <x v="5"/>
    <n v="2024"/>
    <d v="2024-05-29T00:00:00"/>
    <n v="950.08000000000027"/>
    <n v="10"/>
    <s v="wells_fargo_checking"/>
    <n v="0"/>
  </r>
  <r>
    <n v="173"/>
    <n v="173"/>
    <d v="2024-05-30T00:00:00"/>
    <s v="PURCHASE AUTHORIZED ON 05/29 ASN Darlinghurst Darlinghurst AUS S464151159652342 CARD 1081"/>
    <n v="-53.98"/>
    <m/>
    <x v="19"/>
    <x v="0"/>
    <s v="Travel"/>
    <x v="5"/>
    <n v="2024"/>
    <d v="2024-05-30T00:00:00"/>
    <n v="896.10000000000025"/>
    <n v="52"/>
    <s v="wells_fargo_checking"/>
    <n v="0"/>
  </r>
  <r>
    <n v="174"/>
    <n v="174"/>
    <d v="2024-05-30T00:00:00"/>
    <s v="INTERNATIONAL PURCHASE TRANSACTION FEE"/>
    <n v="-2.96"/>
    <m/>
    <x v="18"/>
    <x v="0"/>
    <s v="Payment_and_Interest"/>
    <x v="5"/>
    <n v="2024"/>
    <d v="2024-05-30T00:00:00"/>
    <n v="893.14000000000021"/>
    <n v="46"/>
    <s v="wells_fargo_checking"/>
    <n v="0"/>
  </r>
  <r>
    <n v="175"/>
    <n v="175"/>
    <d v="2024-05-30T00:00:00"/>
    <s v="PURCHASE INTL AUTHORIZED ON 05/29 Stateside Sports P 02 8666 0900 AUS S584151078364195 CARD 1081"/>
    <n v="-98.69"/>
    <m/>
    <x v="19"/>
    <x v="0"/>
    <s v="Travel"/>
    <x v="5"/>
    <n v="2024"/>
    <d v="2024-05-30T00:00:00"/>
    <n v="794.45000000000027"/>
    <n v="53"/>
    <s v="wells_fargo_checking"/>
    <n v="0"/>
  </r>
  <r>
    <n v="176"/>
    <n v="176"/>
    <d v="2024-05-30T00:00:00"/>
    <s v="INTERNATIONAL PURCHASE TRANSACTION FEE"/>
    <n v="-0.1"/>
    <m/>
    <x v="18"/>
    <x v="0"/>
    <s v="Payment_and_Interest"/>
    <x v="5"/>
    <n v="2024"/>
    <d v="2024-05-30T00:00:00"/>
    <n v="794.35000000000025"/>
    <n v="47"/>
    <s v="wells_fargo_checking"/>
    <n v="0"/>
  </r>
  <r>
    <n v="177"/>
    <n v="177"/>
    <d v="2024-05-30T00:00:00"/>
    <s v="PURCHASE INTL AUTHORIZED ON 05/29 ELIZABETH BAY DELI ELIZABETH BAY AUS S304150331707650 CARD 1081"/>
    <n v="-3.34"/>
    <m/>
    <x v="19"/>
    <x v="0"/>
    <s v="Travel"/>
    <x v="5"/>
    <n v="2024"/>
    <d v="2024-05-30T00:00:00"/>
    <n v="791.01000000000022"/>
    <n v="54"/>
    <s v="wells_fargo_checking"/>
    <n v="0"/>
  </r>
  <r>
    <n v="178"/>
    <n v="178"/>
    <d v="2024-05-30T00:00:00"/>
    <s v="INTERNATIONAL PURCHASE TRANSACTION FEE"/>
    <n v="-0.19"/>
    <m/>
    <x v="18"/>
    <x v="0"/>
    <s v="Payment_and_Interest"/>
    <x v="5"/>
    <n v="2024"/>
    <d v="2024-05-30T00:00:00"/>
    <n v="790.82000000000016"/>
    <n v="48"/>
    <s v="wells_fargo_checking"/>
    <n v="0"/>
  </r>
  <r>
    <n v="179"/>
    <n v="179"/>
    <d v="2024-05-30T00:00:00"/>
    <s v="PURCHASE INTL AUTHORIZED ON 05/28 ALDI STORES - DARL DARLINGHURST AUS S384149295445428 CARD 1081"/>
    <n v="-6.38"/>
    <m/>
    <x v="19"/>
    <x v="0"/>
    <s v="Travel"/>
    <x v="5"/>
    <n v="2024"/>
    <d v="2024-05-30T00:00:00"/>
    <n v="784.44000000000017"/>
    <n v="55"/>
    <s v="wells_fargo_checking"/>
    <n v="0"/>
  </r>
  <r>
    <n v="180"/>
    <n v="180"/>
    <d v="2024-05-30T00:00:00"/>
    <s v="INTERNATIONAL PURCHASE TRANSACTION FEE"/>
    <n v="-0.49"/>
    <m/>
    <x v="18"/>
    <x v="0"/>
    <s v="Payment_and_Interest"/>
    <x v="5"/>
    <n v="2024"/>
    <d v="2024-05-30T00:00:00"/>
    <n v="783.95000000000016"/>
    <n v="49"/>
    <s v="wells_fargo_checking"/>
    <n v="0"/>
  </r>
  <r>
    <n v="181"/>
    <n v="181"/>
    <d v="2024-05-30T00:00:00"/>
    <s v="PURCHASE INTL AUTHORIZED ON 05/28 ALDI STORES - DARL DARLINGHURST AUS S464149284104361 CARD 1081"/>
    <n v="-16.45"/>
    <m/>
    <x v="19"/>
    <x v="0"/>
    <s v="Travel"/>
    <x v="5"/>
    <n v="2024"/>
    <d v="2024-05-30T00:00:00"/>
    <n v="767.50000000000011"/>
    <n v="56"/>
    <s v="wells_fargo_checking"/>
    <n v="0"/>
  </r>
  <r>
    <n v="182"/>
    <n v="182"/>
    <d v="2024-05-30T00:00:00"/>
    <s v="INTERNATIONAL PURCHASE TRANSACTION FEE"/>
    <n v="-0.18"/>
    <m/>
    <x v="18"/>
    <x v="0"/>
    <s v="Payment_and_Interest"/>
    <x v="5"/>
    <n v="2024"/>
    <d v="2024-05-30T00:00:00"/>
    <n v="767.32000000000016"/>
    <n v="50"/>
    <s v="wells_fargo_checking"/>
    <n v="0"/>
  </r>
  <r>
    <n v="183"/>
    <n v="183"/>
    <d v="2024-05-30T00:00:00"/>
    <s v="PURCHASE INTL AUTHORIZED ON 05/26 TRANSPORTFORNSW TA SYDNEY AUS S304148003754096 CARD 1081"/>
    <n v="-6.19"/>
    <m/>
    <x v="19"/>
    <x v="0"/>
    <s v="Travel"/>
    <x v="5"/>
    <n v="2024"/>
    <d v="2024-05-30T00:00:00"/>
    <n v="761.13000000000011"/>
    <n v="57"/>
    <s v="wells_fargo_checking"/>
    <n v="0"/>
  </r>
  <r>
    <n v="184"/>
    <n v="184"/>
    <d v="2024-05-30T00:00:00"/>
    <s v="Nationwide PAYROLL 01 HRP0010356518 Sean Lewis"/>
    <n v="527.55999999999995"/>
    <m/>
    <x v="3"/>
    <x v="0"/>
    <s v="Income"/>
    <x v="5"/>
    <n v="2024"/>
    <d v="2024-05-30T00:00:00"/>
    <n v="1288.69"/>
    <n v="11"/>
    <s v="wells_fargo_checking"/>
    <n v="0"/>
  </r>
  <r>
    <n v="185"/>
    <n v="185"/>
    <d v="2024-05-31T00:00:00"/>
    <s v="INTERNATIONAL PURCHASE TRANSACTION FEE"/>
    <n v="-1.58"/>
    <m/>
    <x v="18"/>
    <x v="0"/>
    <s v="Payment_and_Interest"/>
    <x v="5"/>
    <n v="2024"/>
    <d v="2024-05-31T00:00:00"/>
    <n v="1287.1099999999999"/>
    <n v="51"/>
    <s v="wells_fargo_checking"/>
    <n v="0"/>
  </r>
  <r>
    <n v="186"/>
    <n v="186"/>
    <d v="2024-05-31T00:00:00"/>
    <s v="PURCHASE INTL AUTHORIZED ON 05/30 GENERAL PANTS SYDNEY AUS S304151304934229 CARD 1081"/>
    <n v="-52.68"/>
    <m/>
    <x v="19"/>
    <x v="0"/>
    <s v="Travel"/>
    <x v="5"/>
    <n v="2024"/>
    <d v="2024-05-31T00:00:00"/>
    <n v="1234.43"/>
    <n v="58"/>
    <s v="wells_fargo_checking"/>
    <n v="0"/>
  </r>
  <r>
    <n v="187"/>
    <n v="187"/>
    <d v="2024-05-31T00:00:00"/>
    <s v="INTERNATIONAL PURCHASE TRANSACTION FEE"/>
    <n v="-0.69"/>
    <m/>
    <x v="18"/>
    <x v="0"/>
    <s v="Payment_and_Interest"/>
    <x v="5"/>
    <n v="2024"/>
    <d v="2024-05-31T00:00:00"/>
    <n v="1233.74"/>
    <n v="52"/>
    <s v="wells_fargo_checking"/>
    <n v="0"/>
  </r>
  <r>
    <n v="188"/>
    <n v="188"/>
    <d v="2024-05-31T00:00:00"/>
    <s v="PURCHASE INTL AUTHORIZED ON 05/29 DAVID JONES LIMITE SYDNEY AUS S384151189872520 CARD 1081"/>
    <n v="-23.31"/>
    <m/>
    <x v="19"/>
    <x v="0"/>
    <s v="Travel"/>
    <x v="5"/>
    <n v="2024"/>
    <d v="2024-05-31T00:00:00"/>
    <n v="1210.43"/>
    <n v="59"/>
    <s v="wells_fargo_checking"/>
    <n v="0"/>
  </r>
  <r>
    <n v="189"/>
    <n v="189"/>
    <d v="2024-05-31T00:00:00"/>
    <s v="INTERNATIONAL PURCHASE TRANSACTION FEE"/>
    <n v="-0.66"/>
    <m/>
    <x v="18"/>
    <x v="0"/>
    <s v="Payment_and_Interest"/>
    <x v="5"/>
    <n v="2024"/>
    <d v="2024-05-31T00:00:00"/>
    <n v="1209.77"/>
    <n v="53"/>
    <s v="wells_fargo_checking"/>
    <n v="0"/>
  </r>
  <r>
    <n v="190"/>
    <n v="190"/>
    <d v="2024-05-31T00:00:00"/>
    <s v="PURCHASE INTL AUTHORIZED ON 05/29 Scramble and Bean Sydney AUS S584150326854647 CARD 1081"/>
    <n v="-22.05"/>
    <m/>
    <x v="19"/>
    <x v="0"/>
    <s v="Travel"/>
    <x v="5"/>
    <n v="2024"/>
    <d v="2024-05-31T00:00:00"/>
    <n v="1187.72"/>
    <n v="60"/>
    <s v="wells_fargo_checking"/>
    <n v="0"/>
  </r>
  <r>
    <n v="191"/>
    <n v="191"/>
    <d v="2024-05-31T00:00:00"/>
    <s v="INTERNATIONAL PURCHASE TRANSACTION FEE"/>
    <n v="-0.06"/>
    <m/>
    <x v="18"/>
    <x v="0"/>
    <s v="Payment_and_Interest"/>
    <x v="5"/>
    <n v="2024"/>
    <d v="2024-05-31T00:00:00"/>
    <n v="1187.6600000000001"/>
    <n v="54"/>
    <s v="wells_fargo_checking"/>
    <n v="0"/>
  </r>
  <r>
    <n v="192"/>
    <n v="192"/>
    <d v="2024-05-31T00:00:00"/>
    <s v="PURCHASE INTL AUTHORIZED ON 05/28 TSG BATHURST SYDNEY AUS S304150170044234 CARD 1081"/>
    <n v="-2"/>
    <m/>
    <x v="19"/>
    <x v="0"/>
    <s v="Travel"/>
    <x v="5"/>
    <n v="2024"/>
    <d v="2024-05-31T00:00:00"/>
    <n v="1185.6600000000001"/>
    <n v="61"/>
    <s v="wells_fargo_checking"/>
    <n v="1"/>
  </r>
  <r>
    <n v="193"/>
    <n v="193"/>
    <d v="2024-06-03T00:00:00"/>
    <s v="PURCHASE AUTHORIZED ON 06/03 De Vu Cafe Burwood AUS S584156034947003 CARD 1081"/>
    <n v="-6.73"/>
    <m/>
    <x v="19"/>
    <x v="0"/>
    <s v="Travel"/>
    <x v="6"/>
    <n v="2024"/>
    <d v="2024-06-03T00:00:00"/>
    <n v="1178.93"/>
    <n v="62"/>
    <s v="wells_fargo_checking"/>
    <n v="0"/>
  </r>
  <r>
    <n v="194"/>
    <n v="194"/>
    <d v="2024-06-03T00:00:00"/>
    <s v="PURCHASE AUTHORIZED ON 06/02 LOCAL SUPPLY BONDI BEACH AUS S464155010362660 CARD 1081"/>
    <n v="-114"/>
    <m/>
    <x v="19"/>
    <x v="0"/>
    <s v="Travel"/>
    <x v="6"/>
    <n v="2024"/>
    <d v="2024-06-03T00:00:00"/>
    <n v="1064.93"/>
    <n v="63"/>
    <s v="wells_fargo_checking"/>
    <n v="0"/>
  </r>
  <r>
    <n v="195"/>
    <n v="195"/>
    <d v="2024-06-03T00:00:00"/>
    <s v="PURCHASE AUTHORIZED ON 06/02 MESSINA CIRC QUAY Sydney AUS S584154406522037 CARD 1081"/>
    <n v="-5.45"/>
    <m/>
    <x v="19"/>
    <x v="0"/>
    <s v="Travel"/>
    <x v="6"/>
    <n v="2024"/>
    <d v="2024-06-03T00:00:00"/>
    <n v="1059.48"/>
    <n v="64"/>
    <s v="wells_fargo_checking"/>
    <n v="0"/>
  </r>
  <r>
    <n v="196"/>
    <n v="196"/>
    <d v="2024-06-03T00:00:00"/>
    <s v="INTERNATIONAL PURCHASE TRANSACTION FEE"/>
    <n v="-0.24"/>
    <m/>
    <x v="18"/>
    <x v="0"/>
    <s v="Payment_and_Interest"/>
    <x v="6"/>
    <n v="2024"/>
    <d v="2024-06-03T00:00:00"/>
    <n v="1059.24"/>
    <n v="55"/>
    <s v="wells_fargo_checking"/>
    <n v="0"/>
  </r>
  <r>
    <n v="197"/>
    <n v="197"/>
    <d v="2024-06-03T00:00:00"/>
    <s v="PURCHASE INTL AUTHORIZED ON 06/02 SQ *BAR COCO PTY L Chatswood AUS S464154364299627 CARD 1081"/>
    <n v="-8.11"/>
    <m/>
    <x v="19"/>
    <x v="0"/>
    <s v="Travel"/>
    <x v="6"/>
    <n v="2024"/>
    <d v="2024-06-03T00:00:00"/>
    <n v="1051.1300000000001"/>
    <n v="65"/>
    <s v="wells_fargo_checking"/>
    <n v="0"/>
  </r>
  <r>
    <n v="198"/>
    <n v="198"/>
    <d v="2024-06-03T00:00:00"/>
    <s v="PURCHASE AUTHORIZED ON 06/02 Gumshara Ramen Haymarket AUS S464154298971805 CARD 1081"/>
    <n v="-46.9"/>
    <m/>
    <x v="19"/>
    <x v="0"/>
    <s v="Travel"/>
    <x v="6"/>
    <n v="2024"/>
    <d v="2024-06-03T00:00:00"/>
    <n v="1004.23"/>
    <n v="66"/>
    <s v="wells_fargo_checking"/>
    <n v="0"/>
  </r>
  <r>
    <n v="199"/>
    <n v="199"/>
    <d v="2024-06-03T00:00:00"/>
    <s v="PURCHASE AUTHORIZED ON 05/31 Sandoitchi Cafe Darlinghurst AUS S384153156480757 CARD 1081"/>
    <n v="-32.409999999999997"/>
    <m/>
    <x v="19"/>
    <x v="0"/>
    <s v="Travel"/>
    <x v="6"/>
    <n v="2024"/>
    <d v="2024-06-03T00:00:00"/>
    <n v="971.82000000000016"/>
    <n v="67"/>
    <s v="wells_fargo_checking"/>
    <n v="0"/>
  </r>
  <r>
    <n v="200"/>
    <n v="200"/>
    <d v="2024-06-03T00:00:00"/>
    <s v="INTERNATIONAL PURCHASE TRANSACTION FEE"/>
    <n v="-1.9"/>
    <m/>
    <x v="18"/>
    <x v="0"/>
    <s v="Payment_and_Interest"/>
    <x v="6"/>
    <n v="2024"/>
    <d v="2024-06-03T00:00:00"/>
    <n v="969.92000000000019"/>
    <n v="56"/>
    <s v="wells_fargo_checking"/>
    <n v="0"/>
  </r>
  <r>
    <n v="201"/>
    <n v="201"/>
    <d v="2024-06-03T00:00:00"/>
    <s v="PURCHASE INTL AUTHORIZED ON 05/31 SQ *GIFTS AT THE Q Sydney AUS S304153143679656 CARD 1081"/>
    <n v="-63.4"/>
    <m/>
    <x v="19"/>
    <x v="0"/>
    <s v="Travel"/>
    <x v="6"/>
    <n v="2024"/>
    <d v="2024-06-03T00:00:00"/>
    <n v="906.52000000000021"/>
    <n v="68"/>
    <s v="wells_fargo_checking"/>
    <n v="0"/>
  </r>
  <r>
    <n v="202"/>
    <n v="202"/>
    <d v="2024-06-03T00:00:00"/>
    <s v="INTERNATIONAL PURCHASE TRANSACTION FEE"/>
    <n v="-0.8"/>
    <m/>
    <x v="18"/>
    <x v="0"/>
    <s v="Payment_and_Interest"/>
    <x v="6"/>
    <n v="2024"/>
    <d v="2024-06-03T00:00:00"/>
    <n v="905.72000000000025"/>
    <n v="57"/>
    <s v="wells_fargo_checking"/>
    <n v="0"/>
  </r>
  <r>
    <n v="203"/>
    <n v="203"/>
    <d v="2024-06-03T00:00:00"/>
    <s v="PURCHASE INTL AUTHORIZED ON 05/31 TFNSW FERRY OPAL SYDNEY AUS S464153023416497 CARD 1081"/>
    <n v="-26.7"/>
    <m/>
    <x v="19"/>
    <x v="0"/>
    <s v="Travel"/>
    <x v="6"/>
    <n v="2024"/>
    <d v="2024-06-03T00:00:00"/>
    <n v="879.02000000000021"/>
    <n v="69"/>
    <s v="wells_fargo_checking"/>
    <n v="0"/>
  </r>
  <r>
    <n v="204"/>
    <n v="204"/>
    <d v="2024-06-03T00:00:00"/>
    <s v="INTERNATIONAL PURCHASE TRANSACTION FEE"/>
    <n v="-0.04"/>
    <m/>
    <x v="18"/>
    <x v="0"/>
    <s v="Payment_and_Interest"/>
    <x v="6"/>
    <n v="2024"/>
    <d v="2024-06-03T00:00:00"/>
    <n v="878.98000000000025"/>
    <n v="58"/>
    <s v="wells_fargo_checking"/>
    <n v="0"/>
  </r>
  <r>
    <n v="205"/>
    <n v="205"/>
    <d v="2024-06-03T00:00:00"/>
    <s v="PURCHASE INTL AUTHORIZED ON 05/31 TRANSPORTFORNSW TA SYDNEY AUS S584153013948310 CARD 1081"/>
    <n v="-1.5"/>
    <m/>
    <x v="19"/>
    <x v="0"/>
    <s v="Travel"/>
    <x v="6"/>
    <n v="2024"/>
    <d v="2024-06-03T00:00:00"/>
    <n v="877.48000000000025"/>
    <n v="70"/>
    <s v="wells_fargo_checking"/>
    <n v="0"/>
  </r>
  <r>
    <n v="206"/>
    <n v="206"/>
    <d v="2024-06-03T00:00:00"/>
    <s v="INTERNATIONAL PURCHASE TRANSACTION FEE"/>
    <n v="-0.04"/>
    <m/>
    <x v="18"/>
    <x v="0"/>
    <s v="Payment_and_Interest"/>
    <x v="6"/>
    <n v="2024"/>
    <d v="2024-06-03T00:00:00"/>
    <n v="877.44000000000028"/>
    <n v="59"/>
    <s v="wells_fargo_checking"/>
    <n v="0"/>
  </r>
  <r>
    <n v="207"/>
    <n v="207"/>
    <d v="2024-06-03T00:00:00"/>
    <s v="PURCHASE INTL AUTHORIZED ON 05/30 TRANSPORTFORNSW TA SYDNEY AUS S384152205914692 CARD 1081"/>
    <n v="-1.5"/>
    <m/>
    <x v="19"/>
    <x v="0"/>
    <s v="Travel"/>
    <x v="6"/>
    <n v="2024"/>
    <d v="2024-06-03T00:00:00"/>
    <n v="875.94000000000028"/>
    <n v="71"/>
    <s v="wells_fargo_checking"/>
    <n v="0"/>
  </r>
  <r>
    <n v="208"/>
    <n v="208"/>
    <d v="2024-06-03T00:00:00"/>
    <s v="INTERNATIONAL PURCHASE TRANSACTION FEE"/>
    <n v="-0.14000000000000001"/>
    <m/>
    <x v="18"/>
    <x v="0"/>
    <s v="Payment_and_Interest"/>
    <x v="6"/>
    <n v="2024"/>
    <d v="2024-06-03T00:00:00"/>
    <n v="875.8000000000003"/>
    <n v="60"/>
    <s v="wells_fargo_checking"/>
    <n v="0"/>
  </r>
  <r>
    <n v="209"/>
    <n v="209"/>
    <d v="2024-06-03T00:00:00"/>
    <s v="PURCHASE INTL AUTHORIZED ON 05/30 PARK CITY LEASES P SYDNEY AUS S464151299857845 CARD 1081"/>
    <n v="-4.6900000000000004"/>
    <m/>
    <x v="19"/>
    <x v="0"/>
    <s v="Travel"/>
    <x v="6"/>
    <n v="2024"/>
    <d v="2024-06-03T00:00:00"/>
    <n v="871.11000000000024"/>
    <n v="72"/>
    <s v="wells_fargo_checking"/>
    <n v="0"/>
  </r>
  <r>
    <n v="210"/>
    <n v="210"/>
    <d v="2024-06-03T00:00:00"/>
    <s v="INTERNATIONAL PURCHASE TRANSACTION FEE"/>
    <n v="-0.19"/>
    <m/>
    <x v="18"/>
    <x v="0"/>
    <s v="Payment_and_Interest"/>
    <x v="6"/>
    <n v="2024"/>
    <d v="2024-06-03T00:00:00"/>
    <n v="870.92000000000019"/>
    <n v="61"/>
    <s v="wells_fargo_checking"/>
    <n v="0"/>
  </r>
  <r>
    <n v="211"/>
    <n v="211"/>
    <d v="2024-06-03T00:00:00"/>
    <s v="PURCHASE INTL AUTHORIZED ON 05/29 CHIFLEY TOP JUICE SYDNEY AUS S304151224330703 CARD 1081"/>
    <n v="-6.6"/>
    <m/>
    <x v="19"/>
    <x v="0"/>
    <s v="Travel"/>
    <x v="6"/>
    <n v="2024"/>
    <d v="2024-06-03T00:00:00"/>
    <n v="864.32000000000016"/>
    <n v="73"/>
    <s v="wells_fargo_checking"/>
    <n v="0"/>
  </r>
  <r>
    <n v="212"/>
    <n v="212"/>
    <d v="2024-06-03T00:00:00"/>
    <s v="INTERNATIONAL PURCHASE TRANSACTION FEE"/>
    <n v="-0.1"/>
    <m/>
    <x v="18"/>
    <x v="0"/>
    <s v="Payment_and_Interest"/>
    <x v="6"/>
    <n v="2024"/>
    <d v="2024-06-03T00:00:00"/>
    <n v="864.22000000000014"/>
    <n v="62"/>
    <s v="wells_fargo_checking"/>
    <n v="0"/>
  </r>
  <r>
    <n v="213"/>
    <n v="213"/>
    <d v="2024-06-03T00:00:00"/>
    <s v="PURCHASE INTL AUTHORIZED ON 05/29 TRANSPORTFORNSW TA SYDNEY AUS S584150280772216 CARD 1081"/>
    <n v="-3.63"/>
    <m/>
    <x v="19"/>
    <x v="0"/>
    <s v="Travel"/>
    <x v="6"/>
    <n v="2024"/>
    <d v="2024-06-03T00:00:00"/>
    <n v="860.59000000000015"/>
    <n v="74"/>
    <s v="wells_fargo_checking"/>
    <n v="0"/>
  </r>
  <r>
    <n v="214"/>
    <n v="214"/>
    <d v="2024-06-04T00:00:00"/>
    <s v="ZELLE TO DON ON 06/04 REF #PP0S9XJV82 TAXES"/>
    <n v="-600"/>
    <m/>
    <x v="7"/>
    <x v="0"/>
    <s v="People"/>
    <x v="6"/>
    <n v="2024"/>
    <d v="2024-06-04T00:00:00"/>
    <n v="260.59000000000009"/>
    <n v="7"/>
    <s v="wells_fargo_checking"/>
    <n v="0"/>
  </r>
  <r>
    <n v="215"/>
    <n v="215"/>
    <d v="2024-06-04T00:00:00"/>
    <s v="INTERNATIONAL PURCHASE TRANSACTION FEE"/>
    <n v="-0.26"/>
    <m/>
    <x v="18"/>
    <x v="0"/>
    <s v="Payment_and_Interest"/>
    <x v="6"/>
    <n v="2024"/>
    <d v="2024-06-04T00:00:00"/>
    <n v="260.33000000000021"/>
    <n v="63"/>
    <s v="wells_fargo_checking"/>
    <n v="0"/>
  </r>
  <r>
    <n v="216"/>
    <n v="216"/>
    <d v="2024-06-04T00:00:00"/>
    <s v="PURCHASE INTL AUTHORIZED ON 06/03 FARMERS FRESH BURW BURWOOD AUS S464156208503583 CARD 1081"/>
    <n v="-8.7200000000000006"/>
    <m/>
    <x v="19"/>
    <x v="0"/>
    <s v="Travel"/>
    <x v="6"/>
    <n v="2024"/>
    <d v="2024-06-04T00:00:00"/>
    <n v="251.61000000000021"/>
    <n v="75"/>
    <s v="wells_fargo_checking"/>
    <n v="0"/>
  </r>
  <r>
    <n v="217"/>
    <n v="217"/>
    <d v="2024-06-04T00:00:00"/>
    <s v="PURCHASE AUTHORIZED ON 06/03 PINTO THAI STREET FOO Burwood AUS S464156190263122 CARD 1081"/>
    <n v="-4.8899999999999997"/>
    <m/>
    <x v="19"/>
    <x v="0"/>
    <s v="Travel"/>
    <x v="6"/>
    <n v="2024"/>
    <d v="2024-06-04T00:00:00"/>
    <n v="246.7200000000002"/>
    <n v="76"/>
    <s v="wells_fargo_checking"/>
    <n v="0"/>
  </r>
  <r>
    <n v="218"/>
    <n v="218"/>
    <d v="2024-06-04T00:00:00"/>
    <s v="INTERNATIONAL PURCHASE TRANSACTION FEE"/>
    <n v="-0.1"/>
    <m/>
    <x v="18"/>
    <x v="0"/>
    <s v="Payment_and_Interest"/>
    <x v="6"/>
    <n v="2024"/>
    <d v="2024-06-04T00:00:00"/>
    <n v="246.6200000000002"/>
    <n v="64"/>
    <s v="wells_fargo_checking"/>
    <n v="0"/>
  </r>
  <r>
    <n v="219"/>
    <n v="219"/>
    <d v="2024-06-04T00:00:00"/>
    <s v="PURCHASE INTL AUTHORIZED ON 06/01 IMAX SYDNEY SYDNEY AUS S584154184923940 CARD 1081"/>
    <n v="-3.34"/>
    <m/>
    <x v="19"/>
    <x v="0"/>
    <s v="Travel"/>
    <x v="6"/>
    <n v="2024"/>
    <d v="2024-06-04T00:00:00"/>
    <n v="243.2800000000002"/>
    <n v="77"/>
    <s v="wells_fargo_checking"/>
    <n v="0"/>
  </r>
  <r>
    <n v="220"/>
    <n v="220"/>
    <d v="2024-06-05T00:00:00"/>
    <s v="INTERNATIONAL PURCHASE TRANSACTION FEE"/>
    <n v="-1.28"/>
    <m/>
    <x v="18"/>
    <x v="0"/>
    <s v="Payment_and_Interest"/>
    <x v="6"/>
    <n v="2024"/>
    <d v="2024-06-05T00:00:00"/>
    <n v="242.0000000000002"/>
    <n v="65"/>
    <s v="wells_fargo_checking"/>
    <n v="0"/>
  </r>
  <r>
    <n v="221"/>
    <n v="221"/>
    <d v="2024-06-05T00:00:00"/>
    <s v="PURCHASE INTL AUTHORIZED ON 06/04 ONA COFFEE SYDNEY MARRICKVILLE AUS S464157145944787 CARD 1081"/>
    <n v="-42.89"/>
    <m/>
    <x v="19"/>
    <x v="0"/>
    <s v="Travel"/>
    <x v="6"/>
    <n v="2024"/>
    <d v="2024-06-05T00:00:00"/>
    <n v="199.11000000000021"/>
    <n v="78"/>
    <s v="wells_fargo_checking"/>
    <n v="0"/>
  </r>
  <r>
    <n v="222"/>
    <n v="222"/>
    <d v="2024-06-05T00:00:00"/>
    <s v="INTERNATIONAL PURCHASE TRANSACTION FEE"/>
    <n v="-0.72"/>
    <m/>
    <x v="18"/>
    <x v="0"/>
    <s v="Payment_and_Interest"/>
    <x v="6"/>
    <n v="2024"/>
    <d v="2024-06-05T00:00:00"/>
    <n v="198.39000000000021"/>
    <n v="66"/>
    <s v="wells_fargo_checking"/>
    <n v="0"/>
  </r>
  <r>
    <n v="223"/>
    <n v="223"/>
    <d v="2024-06-05T00:00:00"/>
    <s v="PURCHASE INTL AUTHORIZED ON 06/04 SQ *LEIBLE COFFEE Sydney AUS S464157088384406 CARD 1081"/>
    <n v="-24.13"/>
    <m/>
    <x v="19"/>
    <x v="0"/>
    <s v="Travel"/>
    <x v="6"/>
    <n v="2024"/>
    <d v="2024-06-05T00:00:00"/>
    <n v="174.26000000000019"/>
    <n v="79"/>
    <s v="wells_fargo_checking"/>
    <n v="0"/>
  </r>
  <r>
    <n v="224"/>
    <n v="224"/>
    <d v="2024-06-05T00:00:00"/>
    <s v="INTERNATIONAL PURCHASE TRANSACTION FEE"/>
    <n v="-0.96"/>
    <m/>
    <x v="18"/>
    <x v="0"/>
    <s v="Payment_and_Interest"/>
    <x v="6"/>
    <n v="2024"/>
    <d v="2024-06-05T00:00:00"/>
    <n v="173.30000000000021"/>
    <n v="67"/>
    <s v="wells_fargo_checking"/>
    <n v="0"/>
  </r>
  <r>
    <n v="225"/>
    <n v="225"/>
    <d v="2024-06-05T00:00:00"/>
    <s v="PURCHASE INTL AUTHORIZED ON 06/03 STRATHFIELD SPORTS STRATHFIELD AUS S584156181045454 CARD 1081"/>
    <n v="-32.15"/>
    <m/>
    <x v="19"/>
    <x v="0"/>
    <s v="Travel"/>
    <x v="6"/>
    <n v="2024"/>
    <d v="2024-06-05T00:00:00"/>
    <n v="141.1500000000002"/>
    <n v="80"/>
    <s v="wells_fargo_checking"/>
    <n v="0"/>
  </r>
  <r>
    <n v="226"/>
    <n v="226"/>
    <d v="2024-06-05T00:00:00"/>
    <s v="SoFi Bank TRANSFER SD1300 SLewis Sean Lewis:66996:8117"/>
    <n v="600"/>
    <m/>
    <x v="10"/>
    <x v="0"/>
    <s v="Misc"/>
    <x v="6"/>
    <n v="2024"/>
    <d v="2024-06-05T00:00:00"/>
    <n v="741.1500000000002"/>
    <n v="4"/>
    <s v="wells_fargo_checking"/>
    <n v="0"/>
  </r>
  <r>
    <n v="227"/>
    <n v="227"/>
    <d v="2024-06-06T00:00:00"/>
    <s v="PURCHASE AUTHORIZED ON 06/05 Sandoitchi Cafe Darlinghurst AUS S584158139327119 CARD 1081"/>
    <n v="-28.63"/>
    <m/>
    <x v="19"/>
    <x v="0"/>
    <s v="Travel"/>
    <x v="6"/>
    <n v="2024"/>
    <d v="2024-06-06T00:00:00"/>
    <n v="712.52000000000021"/>
    <n v="81"/>
    <s v="wells_fargo_checking"/>
    <n v="0"/>
  </r>
  <r>
    <n v="228"/>
    <n v="228"/>
    <d v="2024-06-06T00:00:00"/>
    <s v="INTERNATIONAL PURCHASE TRANSACTION FEE"/>
    <n v="-0.1"/>
    <m/>
    <x v="18"/>
    <x v="0"/>
    <s v="Payment_and_Interest"/>
    <x v="6"/>
    <n v="2024"/>
    <d v="2024-06-06T00:00:00"/>
    <n v="712.42000000000019"/>
    <n v="68"/>
    <s v="wells_fargo_checking"/>
    <n v="0"/>
  </r>
  <r>
    <n v="229"/>
    <n v="229"/>
    <d v="2024-06-06T00:00:00"/>
    <s v="PURCHASE INTL AUTHORIZED ON 06/04 MCDONALDS BURWOOD BURWOOD AUS S384156275703331 CARD 1081"/>
    <n v="-3.48"/>
    <m/>
    <x v="7"/>
    <x v="0"/>
    <s v="People"/>
    <x v="6"/>
    <n v="2024"/>
    <d v="2024-06-06T00:00:00"/>
    <n v="708.94000000000017"/>
    <n v="8"/>
    <s v="wells_fargo_checking"/>
    <n v="0"/>
  </r>
  <r>
    <n v="230"/>
    <n v="230"/>
    <d v="2024-06-07T00:00:00"/>
    <s v="PURCHASE AUTHORIZED ON 06/07 Ibis StylesSydCent SPI Sydney AUS S464159433682024 CARD 1081"/>
    <n v="-32.54"/>
    <m/>
    <x v="19"/>
    <x v="0"/>
    <s v="Travel"/>
    <x v="6"/>
    <n v="2024"/>
    <d v="2024-06-07T00:00:00"/>
    <n v="676.4000000000002"/>
    <n v="82"/>
    <s v="wells_fargo_checking"/>
    <n v="0"/>
  </r>
  <r>
    <n v="231"/>
    <n v="231"/>
    <d v="2024-06-07T00:00:00"/>
    <s v="PURCHASE AUTHORIZED ON 06/07 Ibis StylesSydCent SPI Sydney AUS S384159353689120 CARD 1081"/>
    <n v="-8.14"/>
    <m/>
    <x v="19"/>
    <x v="0"/>
    <s v="Travel"/>
    <x v="6"/>
    <n v="2024"/>
    <d v="2024-06-07T00:00:00"/>
    <n v="668.26000000000022"/>
    <n v="83"/>
    <s v="wells_fargo_checking"/>
    <n v="0"/>
  </r>
  <r>
    <n v="232"/>
    <n v="232"/>
    <d v="2024-06-07T00:00:00"/>
    <s v="INTERNATIONAL PURCHASE TRANSACTION FEE"/>
    <n v="-0.16"/>
    <m/>
    <x v="18"/>
    <x v="0"/>
    <s v="Payment_and_Interest"/>
    <x v="6"/>
    <n v="2024"/>
    <d v="2024-06-07T00:00:00"/>
    <n v="668.10000000000025"/>
    <n v="69"/>
    <s v="wells_fargo_checking"/>
    <n v="0"/>
  </r>
  <r>
    <n v="233"/>
    <n v="233"/>
    <d v="2024-06-07T00:00:00"/>
    <s v="PURCHASE INTL AUTHORIZED ON 06/05 ROMEOS IGA OXFORD DARLINGHURST AUS S384158214111361 CARD 1081"/>
    <n v="-5.37"/>
    <m/>
    <x v="19"/>
    <x v="0"/>
    <s v="Travel"/>
    <x v="6"/>
    <n v="2024"/>
    <d v="2024-06-07T00:00:00"/>
    <n v="662.73000000000025"/>
    <n v="84"/>
    <s v="wells_fargo_checking"/>
    <n v="0"/>
  </r>
  <r>
    <n v="234"/>
    <n v="234"/>
    <d v="2024-06-10T00:00:00"/>
    <s v="ZELLE TO LEWIS JR DON ON 06/10 REF #PP0SBFBGJP INSURANCE"/>
    <n v="-300"/>
    <m/>
    <x v="7"/>
    <x v="0"/>
    <s v="People"/>
    <x v="6"/>
    <n v="2024"/>
    <d v="2024-06-10T00:00:00"/>
    <n v="362.73000000000019"/>
    <n v="9"/>
    <s v="wells_fargo_checking"/>
    <n v="0"/>
  </r>
  <r>
    <n v="235"/>
    <n v="235"/>
    <d v="2024-06-10T00:00:00"/>
    <s v="INTERNATIONAL PURCHASE TRANSACTION FEE"/>
    <n v="-0.09"/>
    <m/>
    <x v="18"/>
    <x v="0"/>
    <s v="Payment_and_Interest"/>
    <x v="6"/>
    <n v="2024"/>
    <d v="2024-06-10T00:00:00"/>
    <n v="362.64000000000033"/>
    <n v="70"/>
    <s v="wells_fargo_checking"/>
    <n v="0"/>
  </r>
  <r>
    <n v="236"/>
    <n v="236"/>
    <d v="2024-06-10T00:00:00"/>
    <s v="PURCHASE INTL AUTHORIZED ON 06/05 TRANSPORTFORNSW TA SYDNEY AUS S304158217081168 CARD 1081"/>
    <n v="-3.32"/>
    <m/>
    <x v="19"/>
    <x v="0"/>
    <s v="Travel"/>
    <x v="6"/>
    <n v="2024"/>
    <d v="2024-06-10T00:00:00"/>
    <n v="359.32000000000028"/>
    <n v="85"/>
    <s v="wells_fargo_checking"/>
    <n v="0"/>
  </r>
  <r>
    <n v="237"/>
    <n v="237"/>
    <d v="2024-06-10T00:00:00"/>
    <s v="INTERNATIONAL PURCHASE TRANSACTION FEE"/>
    <n v="-0.1"/>
    <m/>
    <x v="18"/>
    <x v="0"/>
    <s v="Payment_and_Interest"/>
    <x v="6"/>
    <n v="2024"/>
    <d v="2024-06-10T00:00:00"/>
    <n v="359.22000000000031"/>
    <n v="71"/>
    <s v="wells_fargo_checking"/>
    <n v="0"/>
  </r>
  <r>
    <n v="238"/>
    <n v="238"/>
    <d v="2024-06-10T00:00:00"/>
    <s v="PURCHASE INTL AUTHORIZED ON 06/05 TRANSPORTFORNSW TA SYDNEY AUS S464157350354039 CARD 1081"/>
    <n v="-3.37"/>
    <m/>
    <x v="19"/>
    <x v="0"/>
    <s v="Travel"/>
    <x v="6"/>
    <n v="2024"/>
    <d v="2024-06-10T00:00:00"/>
    <n v="355.85000000000031"/>
    <n v="86"/>
    <s v="wells_fargo_checking"/>
    <n v="0"/>
  </r>
  <r>
    <n v="239"/>
    <n v="239"/>
    <d v="2024-06-11T00:00:00"/>
    <s v="PURCHASE AUTHORIZED ON 06/10 LAZ PARKING M18445 SAN FRANCISCO CA S304163142204506 CARD 1081"/>
    <n v="-8"/>
    <m/>
    <x v="2"/>
    <x v="0"/>
    <s v="Transportation"/>
    <x v="6"/>
    <n v="2024"/>
    <d v="2024-06-11T00:00:00"/>
    <n v="347.85000000000031"/>
    <n v="3"/>
    <s v="wells_fargo_checking"/>
    <n v="0"/>
  </r>
  <r>
    <n v="240"/>
    <n v="240"/>
    <d v="2024-06-13T00:00:00"/>
    <s v="Nationwide PAYROLL 01 HRP0010386310 Sean Lewis"/>
    <n v="527.55999999999995"/>
    <m/>
    <x v="3"/>
    <x v="0"/>
    <s v="Income"/>
    <x v="6"/>
    <n v="2024"/>
    <d v="2024-06-13T00:00:00"/>
    <n v="875.4100000000002"/>
    <n v="12"/>
    <s v="wells_fargo_checking"/>
    <n v="0"/>
  </r>
  <r>
    <n v="241"/>
    <n v="241"/>
    <d v="2024-06-17T00:00:00"/>
    <s v="VENMO PAYMENT 240616 1035063100468 SEAN LEWIS"/>
    <n v="-20"/>
    <m/>
    <x v="8"/>
    <x v="0"/>
    <s v="People"/>
    <x v="6"/>
    <n v="2024"/>
    <d v="2024-06-17T00:00:00"/>
    <n v="855.4100000000002"/>
    <n v="7"/>
    <s v="wells_fargo_checking"/>
    <n v="0"/>
  </r>
  <r>
    <n v="242"/>
    <n v="242"/>
    <d v="2024-06-17T00:00:00"/>
    <s v="L A FITNESS 9492558100 061524 49343747 I793419971"/>
    <n v="-220"/>
    <m/>
    <x v="16"/>
    <x v="1"/>
    <s v="Personal_Spending"/>
    <x v="6"/>
    <n v="2024"/>
    <d v="2024-06-17T00:00:00"/>
    <n v="635.4100000000002"/>
    <n v="4"/>
    <s v="wells_fargo_checking"/>
    <n v="0"/>
  </r>
  <r>
    <n v="243"/>
    <n v="243"/>
    <d v="2024-06-17T00:00:00"/>
    <s v="INTERNATIONAL PURCHASE TRANSACTION FEE"/>
    <n v="-1.47"/>
    <m/>
    <x v="18"/>
    <x v="0"/>
    <s v="Payment_and_Interest"/>
    <x v="6"/>
    <n v="2024"/>
    <d v="2024-06-17T00:00:00"/>
    <n v="633.94000000000017"/>
    <n v="72"/>
    <s v="wells_fargo_checking"/>
    <n v="0"/>
  </r>
  <r>
    <n v="244"/>
    <n v="244"/>
    <d v="2024-06-17T00:00:00"/>
    <s v="RECURRING PAYMENT INTL AUTHORIZED ON 06/16 CLASSPASS* MONTHLY NORTH SYDNEY AUS S384169013615289 CARD 1081"/>
    <n v="-49.17"/>
    <m/>
    <x v="19"/>
    <x v="0"/>
    <s v="Travel"/>
    <x v="6"/>
    <n v="2024"/>
    <d v="2024-06-17T00:00:00"/>
    <n v="584.77000000000021"/>
    <n v="87"/>
    <s v="wells_fargo_checking"/>
    <n v="0"/>
  </r>
  <r>
    <n v="245"/>
    <n v="245"/>
    <d v="2024-06-17T00:00:00"/>
    <s v="ZELLE TO LEWIS JR DON ON 06/15 REF #PP0SBV29NL INTERNATIONAL CALLS"/>
    <n v="-600"/>
    <m/>
    <x v="7"/>
    <x v="0"/>
    <s v="People"/>
    <x v="6"/>
    <n v="2024"/>
    <d v="2024-06-17T00:00:00"/>
    <n v="-15.229999999999791"/>
    <n v="10"/>
    <s v="wells_fargo_checking"/>
    <n v="0"/>
  </r>
  <r>
    <n v="246"/>
    <n v="246"/>
    <d v="2024-06-18T00:00:00"/>
    <s v="T-MOBILE PCS SVC 240617 8222881 DON LEWIS"/>
    <n v="-77.849999999999994"/>
    <m/>
    <x v="7"/>
    <x v="0"/>
    <s v="People"/>
    <x v="6"/>
    <n v="2024"/>
    <d v="2024-06-18T00:00:00"/>
    <n v="-93.079999999999785"/>
    <n v="11"/>
    <s v="wells_fargo_checking"/>
    <n v="0"/>
  </r>
  <r>
    <n v="247"/>
    <n v="247"/>
    <d v="2024-06-18T00:00:00"/>
    <s v="SoFi Bank TRANSFER SD1700 SLewis Sean Lewis:67009:23324"/>
    <n v="200"/>
    <m/>
    <x v="10"/>
    <x v="0"/>
    <s v="Misc"/>
    <x v="6"/>
    <n v="2024"/>
    <d v="2024-06-18T00:00:00"/>
    <n v="106.9200000000002"/>
    <n v="5"/>
    <s v="wells_fargo_checking"/>
    <n v="0"/>
  </r>
  <r>
    <n v="248"/>
    <n v="248"/>
    <d v="2024-06-24T00:00:00"/>
    <s v="NON-WELLS FARGO ATM TRANSACTION FEE"/>
    <n v="-5"/>
    <m/>
    <x v="17"/>
    <x v="0"/>
    <s v="Personal_Spending"/>
    <x v="6"/>
    <n v="2024"/>
    <d v="2024-06-24T00:00:00"/>
    <n v="101.9200000000002"/>
    <n v="9"/>
    <s v="wells_fargo_checking"/>
    <n v="0"/>
  </r>
  <r>
    <n v="249"/>
    <n v="249"/>
    <d v="2024-06-24T00:00:00"/>
    <s v="NON-WF ATM WITHDRAWAL AUTHORIZED ON 06/24 HSBC/HAY WAH BLDG L EBC HONG KONG HKG 464176856104701 ATM ID 5149 CARD 1081"/>
    <n v="-52.77"/>
    <m/>
    <x v="23"/>
    <x v="0"/>
    <s v="Travel"/>
    <x v="6"/>
    <n v="2024"/>
    <d v="2024-06-24T00:00:00"/>
    <n v="49.150000000000212"/>
    <n v="1"/>
    <s v="wells_fargo_checking"/>
    <n v="0"/>
  </r>
  <r>
    <n v="250"/>
    <n v="250"/>
    <d v="2024-06-25T00:00:00"/>
    <s v="NON-WELLS FARGO ATM TRANSACTION FEE"/>
    <n v="-5"/>
    <m/>
    <x v="17"/>
    <x v="0"/>
    <s v="Personal_Spending"/>
    <x v="6"/>
    <n v="2024"/>
    <d v="2024-06-25T00:00:00"/>
    <n v="44.150000000000212"/>
    <n v="10"/>
    <s v="wells_fargo_checking"/>
    <n v="0"/>
  </r>
  <r>
    <n v="251"/>
    <n v="251"/>
    <d v="2024-06-25T00:00:00"/>
    <s v="NON-WF ATM WITHDRAWAL AUTHORIZED ON 06/25 HASE/MTR TSIMSHATSUI A HONG KONG HKG 384178022261053 ATM ID 4283 CARD 1081"/>
    <n v="-25.62"/>
    <m/>
    <x v="23"/>
    <x v="0"/>
    <s v="Travel"/>
    <x v="6"/>
    <n v="2024"/>
    <d v="2024-06-25T00:00:00"/>
    <n v="18.530000000000211"/>
    <n v="2"/>
    <s v="wells_fargo_checking"/>
    <n v="0"/>
  </r>
  <r>
    <n v="252"/>
    <n v="252"/>
    <d v="2024-06-25T00:00:00"/>
    <s v="NON-WELLS FARGO ATM TRANSACTION FEE"/>
    <n v="-5"/>
    <m/>
    <x v="17"/>
    <x v="0"/>
    <s v="Personal_Spending"/>
    <x v="6"/>
    <n v="2024"/>
    <d v="2024-06-25T00:00:00"/>
    <n v="13.530000000000211"/>
    <n v="11"/>
    <s v="wells_fargo_checking"/>
    <n v="0"/>
  </r>
  <r>
    <n v="253"/>
    <n v="253"/>
    <d v="2024-06-25T00:00:00"/>
    <s v="NON-WF ATM WITHDRAWAL AUTHORIZED ON 06/25 HSBC/HAY WAH BLDG L EBC HONG KONG HKG 384177829510029 ATM ID 5149 CARD 1081"/>
    <n v="-52.76"/>
    <m/>
    <x v="23"/>
    <x v="0"/>
    <s v="Travel"/>
    <x v="6"/>
    <n v="2024"/>
    <d v="2024-06-25T00:00:00"/>
    <n v="-39.229999999999791"/>
    <n v="3"/>
    <s v="wells_fargo_checking"/>
    <n v="0"/>
  </r>
  <r>
    <n v="254"/>
    <n v="254"/>
    <d v="2024-06-25T00:00:00"/>
    <s v="SoFi Bank TRANSFER SD1300 SLewis Sean Lewis:67016:12104"/>
    <n v="500"/>
    <m/>
    <x v="10"/>
    <x v="0"/>
    <s v="Misc"/>
    <x v="6"/>
    <n v="2024"/>
    <d v="2024-06-25T00:00:00"/>
    <n v="460.77000000000021"/>
    <n v="6"/>
    <s v="wells_fargo_checking"/>
    <n v="0"/>
  </r>
  <r>
    <n v="255"/>
    <n v="255"/>
    <d v="2024-06-26T00:00:00"/>
    <s v="INTERNATIONAL PURCHASE TRANSACTION FEE"/>
    <n v="-0.34"/>
    <m/>
    <x v="18"/>
    <x v="0"/>
    <s v="Payment_and_Interest"/>
    <x v="6"/>
    <n v="2024"/>
    <d v="2024-06-26T00:00:00"/>
    <n v="460.43000000000018"/>
    <n v="73"/>
    <s v="wells_fargo_checking"/>
    <n v="0"/>
  </r>
  <r>
    <n v="256"/>
    <n v="256"/>
    <d v="2024-06-26T00:00:00"/>
    <s v="PURCHASE INTL AUTHORIZED ON 06/25 7-Eleven, HK (1020 WANCHAI HKG S384177448935970 CARD 1081"/>
    <n v="-11.41"/>
    <m/>
    <x v="23"/>
    <x v="0"/>
    <s v="Travel"/>
    <x v="6"/>
    <n v="2024"/>
    <d v="2024-06-26T00:00:00"/>
    <n v="449.02000000000021"/>
    <n v="4"/>
    <s v="wells_fargo_checking"/>
    <n v="0"/>
  </r>
  <r>
    <n v="257"/>
    <n v="257"/>
    <d v="2024-06-26T00:00:00"/>
    <s v="INTERNATIONAL PURCHASE TRANSACTION FEE"/>
    <n v="-0.38"/>
    <m/>
    <x v="18"/>
    <x v="0"/>
    <s v="Payment_and_Interest"/>
    <x v="6"/>
    <n v="2024"/>
    <d v="2024-06-26T00:00:00"/>
    <n v="448.64000000000021"/>
    <n v="74"/>
    <s v="wells_fargo_checking"/>
    <n v="0"/>
  </r>
  <r>
    <n v="258"/>
    <n v="258"/>
    <d v="2024-06-26T00:00:00"/>
    <s v="PURCHASE INTL AUTHORIZED ON 06/25 UNIQLO HONG KONG L CAUSEWAY BAY HKG S584177311466292 CARD 1081"/>
    <n v="-12.69"/>
    <m/>
    <x v="19"/>
    <x v="0"/>
    <s v="Travel"/>
    <x v="6"/>
    <n v="2024"/>
    <d v="2024-06-26T00:00:00"/>
    <n v="435.95000000000022"/>
    <n v="88"/>
    <s v="wells_fargo_checking"/>
    <n v="0"/>
  </r>
  <r>
    <n v="259"/>
    <n v="259"/>
    <d v="2024-06-27T00:00:00"/>
    <s v="Nationwide PAYROLL 01 HRP0010449522 Sean Lewis"/>
    <n v="667.35"/>
    <m/>
    <x v="3"/>
    <x v="0"/>
    <s v="Income"/>
    <x v="6"/>
    <n v="2024"/>
    <d v="2024-06-27T00:00:00"/>
    <n v="1103.3"/>
    <n v="13"/>
    <s v="wells_fargo_checking"/>
    <n v="0"/>
  </r>
  <r>
    <n v="260"/>
    <n v="260"/>
    <d v="2024-06-28T00:00:00"/>
    <s v="VENMO PAYMENT 240628 1035308065353 SEAN LEWIS"/>
    <n v="-14"/>
    <m/>
    <x v="8"/>
    <x v="0"/>
    <s v="People"/>
    <x v="6"/>
    <n v="2024"/>
    <d v="2024-06-28T00:00:00"/>
    <n v="1089.3"/>
    <n v="8"/>
    <s v="wells_fargo_checking"/>
    <n v="0"/>
  </r>
  <r>
    <n v="261"/>
    <n v="261"/>
    <d v="2024-06-28T00:00:00"/>
    <s v="INTERNATIONAL PURCHASE TRANSACTION FEE"/>
    <n v="-0.01"/>
    <m/>
    <x v="18"/>
    <x v="0"/>
    <s v="Payment_and_Interest"/>
    <x v="6"/>
    <n v="2024"/>
    <d v="2024-06-28T00:00:00"/>
    <n v="1089.29"/>
    <n v="75"/>
    <s v="wells_fargo_checking"/>
    <n v="0"/>
  </r>
  <r>
    <n v="262"/>
    <n v="262"/>
    <d v="2024-06-28T00:00:00"/>
    <s v="PURCHASE INTL AUTHORIZED ON 06/27 ALIPAY BEIJING CHN S584179271499228 CARD 1081"/>
    <n v="-0.55000000000000004"/>
    <m/>
    <x v="23"/>
    <x v="0"/>
    <s v="Travel"/>
    <x v="6"/>
    <n v="2024"/>
    <d v="2024-06-28T00:00:00"/>
    <n v="1088.74"/>
    <n v="5"/>
    <s v="wells_fargo_checking"/>
    <n v="0"/>
  </r>
  <r>
    <n v="263"/>
    <n v="263"/>
    <d v="2024-06-28T00:00:00"/>
    <s v="INTERNATIONAL PURCHASE TRANSACTION FEE"/>
    <n v="-1.08"/>
    <m/>
    <x v="18"/>
    <x v="0"/>
    <s v="Payment_and_Interest"/>
    <x v="6"/>
    <n v="2024"/>
    <d v="2024-06-28T00:00:00"/>
    <n v="1087.6600000000001"/>
    <n v="76"/>
    <s v="wells_fargo_checking"/>
    <n v="0"/>
  </r>
  <r>
    <n v="264"/>
    <n v="264"/>
    <d v="2024-06-28T00:00:00"/>
    <s v="PURCHASE INTL AUTHORIZED ON 06/25 ALP*shenzhenlanbah Shanghai CHN S584178200012005 CARD 1081"/>
    <n v="-36.04"/>
    <m/>
    <x v="23"/>
    <x v="0"/>
    <s v="Travel"/>
    <x v="6"/>
    <n v="2024"/>
    <d v="2024-06-28T00:00:00"/>
    <n v="1051.6199999999999"/>
    <n v="6"/>
    <s v="wells_fargo_checking"/>
    <n v="1"/>
  </r>
  <r>
    <n v="265"/>
    <n v="265"/>
    <d v="2024-07-01T00:00:00"/>
    <s v="INTERNATIONAL PURCHASE TRANSACTION FEE"/>
    <n v="-0.52"/>
    <m/>
    <x v="18"/>
    <x v="0"/>
    <s v="Payment_and_Interest"/>
    <x v="7"/>
    <n v="2024"/>
    <d v="2024-07-01T00:00:00"/>
    <n v="1051.0999999999999"/>
    <n v="77"/>
    <s v="wells_fargo_checking"/>
    <n v="0"/>
  </r>
  <r>
    <n v="266"/>
    <n v="266"/>
    <d v="2024-07-01T00:00:00"/>
    <s v="PURCHASE INTL AUTHORIZED ON 06/30 ALIPAY BEIJING CHN S384182415543286 CARD 1081"/>
    <n v="-17.350000000000001"/>
    <m/>
    <x v="23"/>
    <x v="0"/>
    <s v="Travel"/>
    <x v="7"/>
    <n v="2024"/>
    <d v="2024-07-01T00:00:00"/>
    <n v="1033.75"/>
    <n v="7"/>
    <s v="wells_fargo_checking"/>
    <n v="0"/>
  </r>
  <r>
    <n v="267"/>
    <n v="267"/>
    <d v="2024-07-01T00:00:00"/>
    <s v="INTERNATIONAL PURCHASE TRANSACTION FEE"/>
    <n v="-7.0000000000000007E-2"/>
    <m/>
    <x v="18"/>
    <x v="0"/>
    <s v="Payment_and_Interest"/>
    <x v="7"/>
    <n v="2024"/>
    <d v="2024-07-01T00:00:00"/>
    <n v="1033.680000000001"/>
    <n v="78"/>
    <s v="wells_fargo_checking"/>
    <n v="0"/>
  </r>
  <r>
    <n v="268"/>
    <n v="268"/>
    <d v="2024-07-01T00:00:00"/>
    <s v="PURCHASE INTL AUTHORIZED ON 06/30 ALIPAY BEIJING CHN S584182384358983 CARD 1081"/>
    <n v="-2.48"/>
    <m/>
    <x v="23"/>
    <x v="0"/>
    <s v="Travel"/>
    <x v="7"/>
    <n v="2024"/>
    <d v="2024-07-01T00:00:00"/>
    <n v="1031.200000000001"/>
    <n v="8"/>
    <s v="wells_fargo_checking"/>
    <n v="0"/>
  </r>
  <r>
    <n v="269"/>
    <n v="269"/>
    <d v="2024-07-01T00:00:00"/>
    <s v="INTERNATIONAL PURCHASE TRANSACTION FEE"/>
    <n v="-0.56000000000000005"/>
    <m/>
    <x v="18"/>
    <x v="0"/>
    <s v="Payment_and_Interest"/>
    <x v="7"/>
    <n v="2024"/>
    <d v="2024-07-01T00:00:00"/>
    <n v="1030.640000000001"/>
    <n v="79"/>
    <s v="wells_fargo_checking"/>
    <n v="0"/>
  </r>
  <r>
    <n v="270"/>
    <n v="270"/>
    <d v="2024-07-01T00:00:00"/>
    <s v="PURCHASE INTL AUTHORIZED ON 06/30 ALIPAY BEIJING CHN S384182343915870 CARD 1081"/>
    <n v="-18.72"/>
    <m/>
    <x v="23"/>
    <x v="0"/>
    <s v="Travel"/>
    <x v="7"/>
    <n v="2024"/>
    <d v="2024-07-01T00:00:00"/>
    <n v="1011.920000000001"/>
    <n v="9"/>
    <s v="wells_fargo_checking"/>
    <n v="0"/>
  </r>
  <r>
    <n v="271"/>
    <n v="271"/>
    <d v="2024-07-01T00:00:00"/>
    <s v="INTERNATIONAL PURCHASE TRANSACTION FEE"/>
    <n v="-0.56999999999999995"/>
    <m/>
    <x v="18"/>
    <x v="0"/>
    <s v="Payment_and_Interest"/>
    <x v="7"/>
    <n v="2024"/>
    <d v="2024-07-01T00:00:00"/>
    <n v="1011.35"/>
    <n v="80"/>
    <s v="wells_fargo_checking"/>
    <n v="0"/>
  </r>
  <r>
    <n v="272"/>
    <n v="272"/>
    <d v="2024-07-01T00:00:00"/>
    <s v="PURCHASE INTL AUTHORIZED ON 06/29 ALIPAY BEIJING CHN S384182066767592 CARD 1081"/>
    <n v="-19"/>
    <m/>
    <x v="23"/>
    <x v="0"/>
    <s v="Travel"/>
    <x v="7"/>
    <n v="2024"/>
    <d v="2024-07-01T00:00:00"/>
    <n v="992.35000000000048"/>
    <n v="10"/>
    <s v="wells_fargo_checking"/>
    <n v="0"/>
  </r>
  <r>
    <n v="273"/>
    <n v="273"/>
    <d v="2024-07-01T00:00:00"/>
    <s v="INTERNATIONAL PURCHASE TRANSACTION FEE"/>
    <n v="-0.28999999999999998"/>
    <m/>
    <x v="18"/>
    <x v="0"/>
    <s v="Payment_and_Interest"/>
    <x v="7"/>
    <n v="2024"/>
    <d v="2024-07-01T00:00:00"/>
    <n v="992.06000000000051"/>
    <n v="81"/>
    <s v="wells_fargo_checking"/>
    <n v="0"/>
  </r>
  <r>
    <n v="274"/>
    <n v="274"/>
    <d v="2024-07-01T00:00:00"/>
    <s v="PURCHASE INTL AUTHORIZED ON 06/28 ALP*Starbucks Shanghai CHN S304181206386696 CARD 1081"/>
    <n v="-9.91"/>
    <m/>
    <x v="23"/>
    <x v="0"/>
    <s v="Travel"/>
    <x v="7"/>
    <n v="2024"/>
    <d v="2024-07-01T00:00:00"/>
    <n v="982.15000000000055"/>
    <n v="11"/>
    <s v="wells_fargo_checking"/>
    <n v="0"/>
  </r>
  <r>
    <n v="275"/>
    <n v="275"/>
    <d v="2024-07-01T00:00:00"/>
    <s v="INTERNATIONAL PURCHASE TRANSACTION FEE"/>
    <n v="-1.53"/>
    <m/>
    <x v="18"/>
    <x v="0"/>
    <s v="Payment_and_Interest"/>
    <x v="7"/>
    <n v="2024"/>
    <d v="2024-07-01T00:00:00"/>
    <n v="980.62000000000057"/>
    <n v="82"/>
    <s v="wells_fargo_checking"/>
    <n v="0"/>
  </r>
  <r>
    <n v="276"/>
    <n v="276"/>
    <d v="2024-07-01T00:00:00"/>
    <s v="PURCHASE INTL AUTHORIZED ON 06/28 ALP*tanguihua Shanghai CHN S584181193022022 CARD 1081"/>
    <n v="-51.05"/>
    <m/>
    <x v="23"/>
    <x v="0"/>
    <s v="Travel"/>
    <x v="7"/>
    <n v="2024"/>
    <d v="2024-07-01T00:00:00"/>
    <n v="929.57000000000062"/>
    <n v="12"/>
    <s v="wells_fargo_checking"/>
    <n v="0"/>
  </r>
  <r>
    <n v="277"/>
    <n v="277"/>
    <d v="2024-07-01T00:00:00"/>
    <s v="INTERNATIONAL PURCHASE TRANSACTION FEE"/>
    <n v="-0.28000000000000003"/>
    <m/>
    <x v="18"/>
    <x v="0"/>
    <s v="Payment_and_Interest"/>
    <x v="7"/>
    <n v="2024"/>
    <d v="2024-07-01T00:00:00"/>
    <n v="929.29000000000065"/>
    <n v="83"/>
    <s v="wells_fargo_checking"/>
    <n v="0"/>
  </r>
  <r>
    <n v="278"/>
    <n v="278"/>
    <d v="2024-07-01T00:00:00"/>
    <s v="PURCHASE INTL AUTHORIZED ON 06/28 ALIPAY BEIJING CHN S584181167199192 CARD 1081"/>
    <n v="-9.64"/>
    <m/>
    <x v="23"/>
    <x v="0"/>
    <s v="Travel"/>
    <x v="7"/>
    <n v="2024"/>
    <d v="2024-07-01T00:00:00"/>
    <n v="919.65000000000066"/>
    <n v="13"/>
    <s v="wells_fargo_checking"/>
    <n v="0"/>
  </r>
  <r>
    <n v="279"/>
    <n v="279"/>
    <d v="2024-07-01T00:00:00"/>
    <s v="INTERNATIONAL PURCHASE TRANSACTION FEE"/>
    <n v="-0.61"/>
    <m/>
    <x v="18"/>
    <x v="0"/>
    <s v="Payment_and_Interest"/>
    <x v="7"/>
    <n v="2024"/>
    <d v="2024-07-01T00:00:00"/>
    <n v="919.04000000000065"/>
    <n v="84"/>
    <s v="wells_fargo_checking"/>
    <n v="0"/>
  </r>
  <r>
    <n v="280"/>
    <n v="280"/>
    <d v="2024-07-01T00:00:00"/>
    <s v="PURCHASE INTL AUTHORIZED ON 06/28 ALIPAY BEIJING CHN S584181165304452 CARD 1081"/>
    <n v="-20.65"/>
    <m/>
    <x v="23"/>
    <x v="0"/>
    <s v="Travel"/>
    <x v="7"/>
    <n v="2024"/>
    <d v="2024-07-01T00:00:00"/>
    <n v="898.39000000000067"/>
    <n v="14"/>
    <s v="wells_fargo_checking"/>
    <n v="0"/>
  </r>
  <r>
    <n v="281"/>
    <n v="281"/>
    <d v="2024-07-01T00:00:00"/>
    <s v="INTERNATIONAL PURCHASE TRANSACTION FEE"/>
    <n v="-0.05"/>
    <m/>
    <x v="18"/>
    <x v="0"/>
    <s v="Payment_and_Interest"/>
    <x v="7"/>
    <n v="2024"/>
    <d v="2024-07-01T00:00:00"/>
    <n v="898.34000000000071"/>
    <n v="85"/>
    <s v="wells_fargo_checking"/>
    <n v="0"/>
  </r>
  <r>
    <n v="282"/>
    <n v="282"/>
    <d v="2024-07-01T00:00:00"/>
    <s v="PURCHASE INTL AUTHORIZED ON 06/28 ALIPAY BEIJING CHN S384181069828518 CARD 1081"/>
    <n v="-1.72"/>
    <m/>
    <x v="23"/>
    <x v="0"/>
    <s v="Travel"/>
    <x v="7"/>
    <n v="2024"/>
    <d v="2024-07-01T00:00:00"/>
    <n v="896.62000000000069"/>
    <n v="15"/>
    <s v="wells_fargo_checking"/>
    <n v="0"/>
  </r>
  <r>
    <n v="283"/>
    <n v="283"/>
    <d v="2024-07-01T00:00:00"/>
    <s v="INTERNATIONAL PURCHASE TRANSACTION FEE"/>
    <n v="-0.04"/>
    <m/>
    <x v="18"/>
    <x v="0"/>
    <s v="Payment_and_Interest"/>
    <x v="7"/>
    <n v="2024"/>
    <d v="2024-07-01T00:00:00"/>
    <n v="896.58000000000072"/>
    <n v="86"/>
    <s v="wells_fargo_checking"/>
    <n v="0"/>
  </r>
  <r>
    <n v="284"/>
    <n v="284"/>
    <d v="2024-07-01T00:00:00"/>
    <s v="PURCHASE INTL AUTHORIZED ON 06/28 ALIPAY BEIJING CHN S384180425587749 CARD 1081"/>
    <n v="-1.38"/>
    <m/>
    <x v="23"/>
    <x v="0"/>
    <s v="Travel"/>
    <x v="7"/>
    <n v="2024"/>
    <d v="2024-07-01T00:00:00"/>
    <n v="895.20000000000073"/>
    <n v="16"/>
    <s v="wells_fargo_checking"/>
    <n v="0"/>
  </r>
  <r>
    <n v="285"/>
    <n v="285"/>
    <d v="2024-07-01T00:00:00"/>
    <s v="INTERNATIONAL PURCHASE TRANSACTION FEE"/>
    <n v="-0.18"/>
    <m/>
    <x v="18"/>
    <x v="0"/>
    <s v="Payment_and_Interest"/>
    <x v="7"/>
    <n v="2024"/>
    <d v="2024-07-01T00:00:00"/>
    <n v="895.02000000000078"/>
    <n v="87"/>
    <s v="wells_fargo_checking"/>
    <n v="0"/>
  </r>
  <r>
    <n v="286"/>
    <n v="286"/>
    <d v="2024-07-01T00:00:00"/>
    <s v="PURCHASE INTL AUTHORIZED ON 06/28 ALIPAY BEIJING CHN S384180393709036 CARD 1081"/>
    <n v="-6.12"/>
    <m/>
    <x v="23"/>
    <x v="0"/>
    <s v="Travel"/>
    <x v="7"/>
    <n v="2024"/>
    <d v="2024-07-01T00:00:00"/>
    <n v="888.90000000000077"/>
    <n v="17"/>
    <s v="wells_fargo_checking"/>
    <n v="0"/>
  </r>
  <r>
    <n v="287"/>
    <n v="287"/>
    <d v="2024-07-01T00:00:00"/>
    <s v="INTERNATIONAL PURCHASE TRANSACTION FEE"/>
    <n v="-0.06"/>
    <m/>
    <x v="18"/>
    <x v="0"/>
    <s v="Payment_and_Interest"/>
    <x v="7"/>
    <n v="2024"/>
    <d v="2024-07-01T00:00:00"/>
    <n v="888.84000000000083"/>
    <n v="88"/>
    <s v="wells_fargo_checking"/>
    <n v="0"/>
  </r>
  <r>
    <n v="288"/>
    <n v="288"/>
    <d v="2024-07-01T00:00:00"/>
    <s v="PURCHASE INTL AUTHORIZED ON 06/28 ALP*shenzhenshifut Shanghai CHN S384180344975138 CARD 1081"/>
    <n v="-2.2000000000000002"/>
    <m/>
    <x v="23"/>
    <x v="0"/>
    <s v="Travel"/>
    <x v="7"/>
    <n v="2024"/>
    <d v="2024-07-01T00:00:00"/>
    <n v="886.64000000000078"/>
    <n v="18"/>
    <s v="wells_fargo_checking"/>
    <n v="0"/>
  </r>
  <r>
    <n v="289"/>
    <n v="289"/>
    <d v="2024-07-01T00:00:00"/>
    <s v="INTERNATIONAL PURCHASE TRANSACTION FEE"/>
    <n v="-1.06"/>
    <m/>
    <x v="18"/>
    <x v="0"/>
    <s v="Payment_and_Interest"/>
    <x v="7"/>
    <n v="2024"/>
    <d v="2024-07-01T00:00:00"/>
    <n v="885.58000000000084"/>
    <n v="89"/>
    <s v="wells_fargo_checking"/>
    <n v="0"/>
  </r>
  <r>
    <n v="290"/>
    <n v="290"/>
    <d v="2024-07-01T00:00:00"/>
    <s v="PURCHASE INTL AUTHORIZED ON 06/27 ALIPAY BEIJING CHN S584180055440414 CARD 1081"/>
    <n v="-35.44"/>
    <m/>
    <x v="23"/>
    <x v="0"/>
    <s v="Travel"/>
    <x v="7"/>
    <n v="2024"/>
    <d v="2024-07-01T00:00:00"/>
    <n v="850.14000000000078"/>
    <n v="19"/>
    <s v="wells_fargo_checking"/>
    <n v="0"/>
  </r>
  <r>
    <n v="291"/>
    <n v="291"/>
    <d v="2024-07-01T00:00:00"/>
    <s v="INTERNATIONAL PURCHASE TRANSACTION FEE"/>
    <n v="-7.0000000000000007E-2"/>
    <m/>
    <x v="18"/>
    <x v="0"/>
    <s v="Payment_and_Interest"/>
    <x v="7"/>
    <n v="2024"/>
    <d v="2024-07-01T00:00:00"/>
    <n v="850.07000000000073"/>
    <n v="90"/>
    <s v="wells_fargo_checking"/>
    <n v="0"/>
  </r>
  <r>
    <n v="292"/>
    <n v="292"/>
    <d v="2024-07-01T00:00:00"/>
    <s v="PURCHASE INTL AUTHORIZED ON 06/27 ALP* Shanghai CHN S464179442716687 CARD 1081"/>
    <n v="-2.48"/>
    <m/>
    <x v="23"/>
    <x v="0"/>
    <s v="Travel"/>
    <x v="7"/>
    <n v="2024"/>
    <d v="2024-07-01T00:00:00"/>
    <n v="847.59000000000071"/>
    <n v="20"/>
    <s v="wells_fargo_checking"/>
    <n v="0"/>
  </r>
  <r>
    <n v="293"/>
    <n v="293"/>
    <d v="2024-07-01T00:00:00"/>
    <s v="INTERNATIONAL PURCHASE TRANSACTION FEE"/>
    <n v="-0.4"/>
    <m/>
    <x v="18"/>
    <x v="0"/>
    <s v="Payment_and_Interest"/>
    <x v="7"/>
    <n v="2024"/>
    <d v="2024-07-01T00:00:00"/>
    <n v="847.19000000000074"/>
    <n v="91"/>
    <s v="wells_fargo_checking"/>
    <n v="0"/>
  </r>
  <r>
    <n v="294"/>
    <n v="294"/>
    <d v="2024-07-01T00:00:00"/>
    <s v="PURCHASE INTL AUTHORIZED ON 06/26 ALP*Meituan Shanghai CHN S304179240864762 CARD 1081"/>
    <n v="-13.63"/>
    <m/>
    <x v="23"/>
    <x v="0"/>
    <s v="Travel"/>
    <x v="7"/>
    <n v="2024"/>
    <d v="2024-07-01T00:00:00"/>
    <n v="833.56000000000074"/>
    <n v="21"/>
    <s v="wells_fargo_checking"/>
    <n v="0"/>
  </r>
  <r>
    <n v="295"/>
    <n v="295"/>
    <d v="2024-07-01T00:00:00"/>
    <s v="ZELLE FROM CANDICE MCLEMORE ON 06/30 REF # BACYX66JM6AF"/>
    <n v="9.36"/>
    <m/>
    <x v="23"/>
    <x v="0"/>
    <s v="Travel"/>
    <x v="7"/>
    <n v="2024"/>
    <d v="2024-07-01T00:00:00"/>
    <n v="842.92000000000075"/>
    <n v="22"/>
    <s v="wells_fargo_checking"/>
    <n v="0"/>
  </r>
  <r>
    <n v="296"/>
    <n v="296"/>
    <d v="2024-07-02T00:00:00"/>
    <s v="INTERNATIONAL PURCHASE TRANSACTION FEE"/>
    <n v="-0.13"/>
    <m/>
    <x v="18"/>
    <x v="0"/>
    <s v="Payment_and_Interest"/>
    <x v="7"/>
    <n v="2024"/>
    <d v="2024-07-02T00:00:00"/>
    <n v="842.79000000000076"/>
    <n v="92"/>
    <s v="wells_fargo_checking"/>
    <n v="0"/>
  </r>
  <r>
    <n v="297"/>
    <n v="297"/>
    <d v="2024-07-02T00:00:00"/>
    <s v="PURCHASE INTL AUTHORIZED ON 06/30 WEIXIN Image Binh ShenZhen CHN S304183242789466 CARD 1081"/>
    <n v="-4.54"/>
    <m/>
    <x v="23"/>
    <x v="0"/>
    <s v="Travel"/>
    <x v="7"/>
    <n v="2024"/>
    <d v="2024-07-02T00:00:00"/>
    <n v="838.2500000000008"/>
    <n v="23"/>
    <s v="wells_fargo_checking"/>
    <n v="0"/>
  </r>
  <r>
    <n v="298"/>
    <n v="298"/>
    <d v="2024-07-02T00:00:00"/>
    <s v="INTERNATIONAL PURCHASE TRANSACTION FEE"/>
    <n v="-7.0000000000000007E-2"/>
    <m/>
    <x v="18"/>
    <x v="0"/>
    <s v="Payment_and_Interest"/>
    <x v="7"/>
    <n v="2024"/>
    <d v="2024-07-02T00:00:00"/>
    <n v="838.18000000000075"/>
    <n v="93"/>
    <s v="wells_fargo_checking"/>
    <n v="0"/>
  </r>
  <r>
    <n v="299"/>
    <n v="299"/>
    <d v="2024-07-02T00:00:00"/>
    <s v="PURCHASE INTL AUTHORIZED ON 06/30 ALIPAY BEIJING CHN S384183186720655 CARD 1081"/>
    <n v="-2.48"/>
    <m/>
    <x v="23"/>
    <x v="0"/>
    <s v="Travel"/>
    <x v="7"/>
    <n v="2024"/>
    <d v="2024-07-02T00:00:00"/>
    <n v="835.70000000000073"/>
    <n v="24"/>
    <s v="wells_fargo_checking"/>
    <n v="0"/>
  </r>
  <r>
    <n v="300"/>
    <n v="300"/>
    <d v="2024-07-02T00:00:00"/>
    <s v="INTERNATIONAL PURCHASE TRANSACTION FEE"/>
    <n v="-7.0000000000000007E-2"/>
    <m/>
    <x v="18"/>
    <x v="0"/>
    <s v="Payment_and_Interest"/>
    <x v="7"/>
    <n v="2024"/>
    <d v="2024-07-02T00:00:00"/>
    <n v="835.63000000000068"/>
    <n v="94"/>
    <s v="wells_fargo_checking"/>
    <n v="0"/>
  </r>
  <r>
    <n v="301"/>
    <n v="301"/>
    <d v="2024-07-02T00:00:00"/>
    <s v="PURCHASE INTL AUTHORIZED ON 06/30 ALIPAY BEIJING CHN S464183048859636 CARD 1081"/>
    <n v="-2.52"/>
    <m/>
    <x v="23"/>
    <x v="0"/>
    <s v="Travel"/>
    <x v="7"/>
    <n v="2024"/>
    <d v="2024-07-02T00:00:00"/>
    <n v="833.1100000000007"/>
    <n v="25"/>
    <s v="wells_fargo_checking"/>
    <n v="0"/>
  </r>
  <r>
    <n v="302"/>
    <n v="302"/>
    <d v="2024-07-03T00:00:00"/>
    <s v="INTERNATIONAL PURCHASE TRANSACTION FEE"/>
    <n v="-0.56999999999999995"/>
    <m/>
    <x v="18"/>
    <x v="0"/>
    <s v="Payment_and_Interest"/>
    <x v="7"/>
    <n v="2024"/>
    <d v="2024-07-03T00:00:00"/>
    <n v="832.54000000000065"/>
    <n v="95"/>
    <s v="wells_fargo_checking"/>
    <n v="0"/>
  </r>
  <r>
    <n v="303"/>
    <n v="303"/>
    <d v="2024-07-03T00:00:00"/>
    <s v="PURCHASE INTL AUTHORIZED ON 07/02 RAYBAN HONG KONG HKG S464184376410888 CARD 1081"/>
    <n v="-19.21"/>
    <m/>
    <x v="23"/>
    <x v="0"/>
    <s v="Travel"/>
    <x v="7"/>
    <n v="2024"/>
    <d v="2024-07-03T00:00:00"/>
    <n v="813.33000000000061"/>
    <n v="26"/>
    <s v="wells_fargo_checking"/>
    <n v="0"/>
  </r>
  <r>
    <n v="304"/>
    <n v="304"/>
    <d v="2024-07-03T00:00:00"/>
    <s v="INTERNATIONAL PURCHASE TRANSACTION FEE"/>
    <n v="-0.47"/>
    <m/>
    <x v="18"/>
    <x v="0"/>
    <s v="Payment_and_Interest"/>
    <x v="7"/>
    <n v="2024"/>
    <d v="2024-07-03T00:00:00"/>
    <n v="812.86000000000058"/>
    <n v="96"/>
    <s v="wells_fargo_checking"/>
    <n v="0"/>
  </r>
  <r>
    <n v="305"/>
    <n v="305"/>
    <d v="2024-07-03T00:00:00"/>
    <s v="PURCHASE INTL AUTHORIZED ON 07/02 Select Service Par Kowloon HKG S464184352058329 CARD 1081"/>
    <n v="-15.75"/>
    <m/>
    <x v="23"/>
    <x v="0"/>
    <s v="Travel"/>
    <x v="7"/>
    <n v="2024"/>
    <d v="2024-07-03T00:00:00"/>
    <n v="797.11000000000058"/>
    <n v="27"/>
    <s v="wells_fargo_checking"/>
    <n v="0"/>
  </r>
  <r>
    <n v="306"/>
    <n v="306"/>
    <d v="2024-07-03T00:00:00"/>
    <s v="INTERNATIONAL PURCHASE TRANSACTION FEE"/>
    <n v="-0.48"/>
    <m/>
    <x v="18"/>
    <x v="0"/>
    <s v="Payment_and_Interest"/>
    <x v="7"/>
    <n v="2024"/>
    <d v="2024-07-03T00:00:00"/>
    <n v="796.63000000000056"/>
    <n v="97"/>
    <s v="wells_fargo_checking"/>
    <n v="0"/>
  </r>
  <r>
    <n v="307"/>
    <n v="307"/>
    <d v="2024-07-03T00:00:00"/>
    <s v="PURCHASE INTL AUTHORIZED ON 07/02 HK ZH MAC BRI SHU MACAU MAC S464184262825469 CARD 1081"/>
    <n v="-16.170000000000002"/>
    <m/>
    <x v="23"/>
    <x v="0"/>
    <s v="Travel"/>
    <x v="7"/>
    <n v="2024"/>
    <d v="2024-07-03T00:00:00"/>
    <n v="780.4600000000006"/>
    <n v="28"/>
    <s v="wells_fargo_checking"/>
    <n v="0"/>
  </r>
  <r>
    <n v="308"/>
    <n v="308"/>
    <d v="2024-07-03T00:00:00"/>
    <s v="INTERNATIONAL PURCHASE TRANSACTION FEE"/>
    <n v="-0.23"/>
    <m/>
    <x v="18"/>
    <x v="0"/>
    <s v="Payment_and_Interest"/>
    <x v="7"/>
    <n v="2024"/>
    <d v="2024-07-03T00:00:00"/>
    <n v="780.23000000000059"/>
    <n v="98"/>
    <s v="wells_fargo_checking"/>
    <n v="0"/>
  </r>
  <r>
    <n v="309"/>
    <n v="309"/>
    <d v="2024-07-03T00:00:00"/>
    <s v="PURCHASE INTL AUTHORIZED ON 07/01 LANCHONETE DE MACA MACAU MAC S464184203645546 CARD 1081"/>
    <n v="-7.71"/>
    <m/>
    <x v="23"/>
    <x v="0"/>
    <s v="Travel"/>
    <x v="7"/>
    <n v="2024"/>
    <d v="2024-07-03T00:00:00"/>
    <n v="772.52000000000055"/>
    <n v="29"/>
    <s v="wells_fargo_checking"/>
    <n v="0"/>
  </r>
  <r>
    <n v="310"/>
    <n v="310"/>
    <d v="2024-07-03T00:00:00"/>
    <s v="INTERNATIONAL PURCHASE TRANSACTION FEE"/>
    <n v="-1.95"/>
    <m/>
    <x v="18"/>
    <x v="0"/>
    <s v="Payment_and_Interest"/>
    <x v="7"/>
    <n v="2024"/>
    <d v="2024-07-03T00:00:00"/>
    <n v="770.5700000000005"/>
    <n v="99"/>
    <s v="wells_fargo_checking"/>
    <n v="0"/>
  </r>
  <r>
    <n v="311"/>
    <n v="311"/>
    <d v="2024-07-03T00:00:00"/>
    <s v="PURCHASE INTL AUTHORIZED ON 07/01 ALIPAY BEIJING CHN S464184012411896 CARD 1081"/>
    <n v="-65.2"/>
    <m/>
    <x v="23"/>
    <x v="0"/>
    <s v="Travel"/>
    <x v="7"/>
    <n v="2024"/>
    <d v="2024-07-03T00:00:00"/>
    <n v="705.37000000000046"/>
    <n v="30"/>
    <s v="wells_fargo_checking"/>
    <n v="0"/>
  </r>
  <r>
    <n v="312"/>
    <n v="312"/>
    <d v="2024-07-03T00:00:00"/>
    <s v="INTERNATIONAL PURCHASE TRANSACTION FEE"/>
    <n v="-0.14000000000000001"/>
    <m/>
    <x v="18"/>
    <x v="0"/>
    <s v="Payment_and_Interest"/>
    <x v="7"/>
    <n v="2024"/>
    <d v="2024-07-03T00:00:00"/>
    <n v="705.23000000000047"/>
    <n v="100"/>
    <s v="wells_fargo_checking"/>
    <n v="0"/>
  </r>
  <r>
    <n v="313"/>
    <n v="313"/>
    <d v="2024-07-03T00:00:00"/>
    <s v="PURCHASE INTL AUTHORIZED ON 06/30 ALP* Shanghai CHN S584183032565043 CARD 1081"/>
    <n v="-4.82"/>
    <m/>
    <x v="23"/>
    <x v="0"/>
    <s v="Travel"/>
    <x v="7"/>
    <n v="2024"/>
    <d v="2024-07-03T00:00:00"/>
    <n v="700.41000000000042"/>
    <n v="31"/>
    <s v="wells_fargo_checking"/>
    <n v="0"/>
  </r>
  <r>
    <n v="314"/>
    <n v="314"/>
    <d v="2024-07-11T00:00:00"/>
    <s v="Nationwide PAYROLL 01 HRP0010489886 Sean Lewis"/>
    <n v="527.55999999999995"/>
    <m/>
    <x v="3"/>
    <x v="0"/>
    <s v="Income"/>
    <x v="7"/>
    <n v="2024"/>
    <d v="2024-07-11T00:00:00"/>
    <n v="1227.97"/>
    <n v="14"/>
    <s v="wells_fargo_checking"/>
    <n v="0"/>
  </r>
  <r>
    <n v="315"/>
    <n v="315"/>
    <d v="2024-07-16T00:00:00"/>
    <s v="DEPT EDUCATION STUDENT LN 240715 6Q6Q01GVMD1 SEAN LEWIS"/>
    <n v="-442.73"/>
    <m/>
    <x v="4"/>
    <x v="1"/>
    <s v="Government"/>
    <x v="7"/>
    <n v="2024"/>
    <d v="2024-07-16T00:00:00"/>
    <n v="785.24000000000024"/>
    <n v="2"/>
    <s v="wells_fargo_checking"/>
    <n v="0"/>
  </r>
  <r>
    <n v="316"/>
    <n v="316"/>
    <d v="2024-07-17T00:00:00"/>
    <s v="INTERNATIONAL PURCHASE TRANSACTION FEE"/>
    <n v="-1.5"/>
    <m/>
    <x v="18"/>
    <x v="0"/>
    <s v="Payment_and_Interest"/>
    <x v="7"/>
    <n v="2024"/>
    <d v="2024-07-17T00:00:00"/>
    <n v="783.74000000000024"/>
    <n v="101"/>
    <s v="wells_fargo_checking"/>
    <n v="0"/>
  </r>
  <r>
    <n v="317"/>
    <n v="317"/>
    <d v="2024-07-17T00:00:00"/>
    <s v="RECURRING PAYMENT INTL AUTHORIZED ON 07/16 CLASSPASS* MONTHLY NORTH SYDNEY AUS S384199003309624 CARD 1081"/>
    <n v="-50.08"/>
    <m/>
    <x v="19"/>
    <x v="0"/>
    <s v="Travel"/>
    <x v="7"/>
    <n v="2024"/>
    <d v="2024-07-17T00:00:00"/>
    <n v="733.6600000000002"/>
    <n v="89"/>
    <s v="wells_fargo_checking"/>
    <n v="0"/>
  </r>
  <r>
    <n v="318"/>
    <n v="318"/>
    <d v="2024-07-17T00:00:00"/>
    <s v="VENMO CASHOUT 240717 1035714438362 SEAN LEWIS"/>
    <n v="891"/>
    <m/>
    <x v="8"/>
    <x v="0"/>
    <s v="People"/>
    <x v="7"/>
    <n v="2024"/>
    <d v="2024-07-17T00:00:00"/>
    <n v="1624.66"/>
    <n v="9"/>
    <s v="wells_fargo_checking"/>
    <n v="0"/>
  </r>
  <r>
    <n v="319"/>
    <n v="319"/>
    <d v="2024-07-18T00:00:00"/>
    <s v="T-MOBILE PCS SVC 240717 8079959 DON LEWIS"/>
    <n v="-65.83"/>
    <m/>
    <x v="7"/>
    <x v="0"/>
    <s v="People"/>
    <x v="7"/>
    <n v="2024"/>
    <d v="2024-07-18T00:00:00"/>
    <n v="1558.83"/>
    <n v="12"/>
    <s v="wells_fargo_checking"/>
    <n v="0"/>
  </r>
  <r>
    <n v="320"/>
    <n v="320"/>
    <d v="2024-07-18T00:00:00"/>
    <s v="L A FITNESS 9492558100 071824 49343747 I798717346"/>
    <n v="220"/>
    <m/>
    <x v="16"/>
    <x v="1"/>
    <s v="Personal_Spending"/>
    <x v="7"/>
    <n v="2024"/>
    <d v="2024-07-18T00:00:00"/>
    <n v="1778.83"/>
    <n v="5"/>
    <s v="wells_fargo_checking"/>
    <n v="0"/>
  </r>
  <r>
    <n v="321"/>
    <n v="321"/>
    <d v="2024-07-18T00:00:00"/>
    <s v="L A FITNESS 9492558100 071824 49343747 I798717345"/>
    <n v="220"/>
    <m/>
    <x v="16"/>
    <x v="1"/>
    <s v="Personal_Spending"/>
    <x v="7"/>
    <n v="2024"/>
    <d v="2024-07-18T00:00:00"/>
    <n v="1998.83"/>
    <n v="6"/>
    <s v="wells_fargo_checking"/>
    <n v="0"/>
  </r>
  <r>
    <n v="322"/>
    <n v="322"/>
    <d v="2024-07-19T00:00:00"/>
    <s v="Cash eWithdrawal in Branch 07/19/2024 09:08 AM 100 E 4TH AVE SAN MATEO CA 1081"/>
    <n v="-50"/>
    <m/>
    <x v="15"/>
    <x v="0"/>
    <s v="Utilities"/>
    <x v="7"/>
    <n v="2024"/>
    <d v="2024-07-19T00:00:00"/>
    <n v="1948.83"/>
    <n v="2"/>
    <s v="wells_fargo_checking"/>
    <n v="0"/>
  </r>
  <r>
    <n v="323"/>
    <n v="323"/>
    <d v="2024-07-22T00:00:00"/>
    <s v="VENMO PAYMENT 240721 1035796993364 SEAN LEWIS"/>
    <n v="-1000"/>
    <m/>
    <x v="8"/>
    <x v="0"/>
    <s v="People"/>
    <x v="7"/>
    <n v="2024"/>
    <d v="2024-07-22T00:00:00"/>
    <n v="948.83000000000038"/>
    <n v="10"/>
    <s v="wells_fargo_checking"/>
    <n v="0"/>
  </r>
  <r>
    <n v="324"/>
    <n v="324"/>
    <d v="2024-07-23T00:00:00"/>
    <s v="PURCHASE AUTHORIZED ON 07/18 BRITISH SWIM SCHOO 650-7775544 CA S384201049047946 CARD 1081"/>
    <n v="-195"/>
    <m/>
    <x v="24"/>
    <x v="0"/>
    <s v="Personal_Spending"/>
    <x v="7"/>
    <n v="2024"/>
    <d v="2024-07-23T00:00:00"/>
    <n v="753.83000000000038"/>
    <n v="1"/>
    <s v="wells_fargo_checking"/>
    <n v="0"/>
  </r>
  <r>
    <n v="325"/>
    <n v="325"/>
    <d v="2024-07-24T00:00:00"/>
    <s v="VENMO CASHOUT 240723 1035841237266 SEAN LEWIS"/>
    <n v="3000"/>
    <m/>
    <x v="8"/>
    <x v="0"/>
    <s v="People"/>
    <x v="7"/>
    <n v="2024"/>
    <d v="2024-07-24T00:00:00"/>
    <n v="3753.83"/>
    <n v="11"/>
    <s v="wells_fargo_checking"/>
    <n v="0"/>
  </r>
  <r>
    <n v="326"/>
    <n v="326"/>
    <d v="2024-07-25T00:00:00"/>
    <s v="ONLINE TRANSFER TO SOFI BANK, NATIONAL ASSOCIATION SAV XXXXXX3552 S. LEWIS REF #F20NYQCZ47 ON 07/25/24"/>
    <n v="-3500"/>
    <m/>
    <x v="22"/>
    <x v="0"/>
    <s v="People"/>
    <x v="7"/>
    <n v="2024"/>
    <d v="2024-07-25T00:00:00"/>
    <n v="253.83000000000041"/>
    <n v="2"/>
    <s v="wells_fargo_checking"/>
    <n v="0"/>
  </r>
  <r>
    <n v="327"/>
    <n v="327"/>
    <d v="2024-07-25T00:00:00"/>
    <s v="ZELLE TO LEWIS SEAN ON 07/25 REF #RP0XXKDW4H"/>
    <n v="-5"/>
    <m/>
    <x v="10"/>
    <x v="0"/>
    <s v="Misc"/>
    <x v="7"/>
    <n v="2024"/>
    <d v="2024-07-25T00:00:00"/>
    <n v="248.83000000000041"/>
    <n v="7"/>
    <s v="wells_fargo_checking"/>
    <n v="0"/>
  </r>
  <r>
    <n v="328"/>
    <n v="328"/>
    <d v="2024-07-25T00:00:00"/>
    <s v="Nationwide PAYROLL 01 HRP0010497041 Sean Lewis"/>
    <n v="527.55999999999995"/>
    <m/>
    <x v="3"/>
    <x v="0"/>
    <s v="Income"/>
    <x v="7"/>
    <n v="2024"/>
    <d v="2024-07-25T00:00:00"/>
    <n v="776.39000000000033"/>
    <n v="15"/>
    <s v="wells_fargo_checking"/>
    <n v="0"/>
  </r>
  <r>
    <n v="329"/>
    <n v="329"/>
    <d v="2024-07-26T00:00:00"/>
    <s v="PURCHASE AUTHORIZED ON 07/25 OANH LE DDS SAN MATEO CA S584207589009230 CARD 1081"/>
    <n v="-22"/>
    <m/>
    <x v="13"/>
    <x v="0"/>
    <s v="Medical"/>
    <x v="7"/>
    <n v="2024"/>
    <d v="2024-07-26T00:00:00"/>
    <n v="754.39000000000033"/>
    <n v="3"/>
    <s v="wells_fargo_checking"/>
    <n v="0"/>
  </r>
  <r>
    <n v="330"/>
    <n v="330"/>
    <d v="2024-07-29T00:00:00"/>
    <s v="PURCHASE AUTHORIZED ON 07/27 ARCO#04495SINO SAN MATEO CA P000000981901334 CARD 1081"/>
    <n v="-44.36"/>
    <m/>
    <x v="1"/>
    <x v="0"/>
    <s v="Utilities"/>
    <x v="7"/>
    <n v="2024"/>
    <d v="2024-07-29T00:00:00"/>
    <n v="710.03000000000031"/>
    <n v="7"/>
    <s v="wells_fargo_checking"/>
    <n v="0"/>
  </r>
  <r>
    <n v="331"/>
    <n v="331"/>
    <d v="2024-07-30T00:00:00"/>
    <s v="RECURRING PAYMENT AUTHORIZED ON 07/26 BRITISH SWIM SCHOO 650-7775544 CA S304208704070330 CARD 1081"/>
    <n v="-260"/>
    <m/>
    <x v="24"/>
    <x v="0"/>
    <s v="Personal_Spending"/>
    <x v="7"/>
    <n v="2024"/>
    <d v="2024-07-30T00:00:00"/>
    <n v="450.03000000000031"/>
    <n v="2"/>
    <s v="wells_fargo_checking"/>
    <n v="1"/>
  </r>
  <r>
    <n v="332"/>
    <n v="332"/>
    <d v="2024-08-01T00:00:00"/>
    <s v="MONEY TRANSFER AUTHORIZED ON 07/31 CASH APP*CAIRO DAN 800-9691940 CA S464213784604894 CARD 1081"/>
    <n v="-55"/>
    <m/>
    <x v="22"/>
    <x v="0"/>
    <s v="People"/>
    <x v="8"/>
    <n v="2024"/>
    <d v="2024-08-01T00:00:00"/>
    <n v="395.03000000000031"/>
    <n v="3"/>
    <s v="wells_fargo_checking"/>
    <n v="0"/>
  </r>
  <r>
    <n v="333"/>
    <n v="333"/>
    <d v="2024-08-05T00:00:00"/>
    <s v="VENMO PAYMENT 240803 1036053786406 SEAN LEWIS"/>
    <n v="-44.76"/>
    <m/>
    <x v="8"/>
    <x v="0"/>
    <s v="People"/>
    <x v="8"/>
    <n v="2024"/>
    <d v="2024-08-05T00:00:00"/>
    <n v="350.27000000000032"/>
    <n v="12"/>
    <s v="wells_fargo_checking"/>
    <n v="0"/>
  </r>
  <r>
    <n v="334"/>
    <n v="334"/>
    <d v="2024-08-08T00:00:00"/>
    <s v="Nationwide PAYROLL 01 HRP0010563899 Sean Lewis"/>
    <n v="527.55999999999995"/>
    <m/>
    <x v="3"/>
    <x v="0"/>
    <s v="Income"/>
    <x v="8"/>
    <n v="2024"/>
    <d v="2024-08-08T00:00:00"/>
    <n v="877.83000000000027"/>
    <n v="16"/>
    <s v="wells_fargo_checking"/>
    <n v="0"/>
  </r>
  <r>
    <n v="335"/>
    <n v="335"/>
    <d v="2024-08-09T00:00:00"/>
    <s v="PURCHASE AUTHORIZED ON 08/09 ARCO#04495SINO SAN MATEO CA P000000786096895 CARD 1081"/>
    <n v="-45.69"/>
    <m/>
    <x v="1"/>
    <x v="0"/>
    <s v="Utilities"/>
    <x v="8"/>
    <n v="2024"/>
    <d v="2024-08-09T00:00:00"/>
    <n v="832.14000000000033"/>
    <n v="8"/>
    <s v="wells_fargo_checking"/>
    <n v="0"/>
  </r>
  <r>
    <n v="336"/>
    <n v="336"/>
    <d v="2024-08-13T00:00:00"/>
    <s v="ZELLE TO LEWIS JAYELIN ON 08/13 REF #PP0XYM4YSG UNDIES"/>
    <n v="-50"/>
    <m/>
    <x v="5"/>
    <x v="0"/>
    <s v="People"/>
    <x v="8"/>
    <n v="2024"/>
    <d v="2024-08-13T00:00:00"/>
    <n v="782.14000000000033"/>
    <n v="11"/>
    <s v="wells_fargo_checking"/>
    <n v="0"/>
  </r>
  <r>
    <n v="337"/>
    <n v="337"/>
    <d v="2024-08-19T00:00:00"/>
    <s v="T-MOBILE PCS SVC 240817 8323916 DON LEWIS"/>
    <n v="-65.83"/>
    <m/>
    <x v="7"/>
    <x v="0"/>
    <s v="People"/>
    <x v="8"/>
    <n v="2024"/>
    <d v="2024-08-19T00:00:00"/>
    <n v="716.31000000000029"/>
    <n v="13"/>
    <s v="wells_fargo_checking"/>
    <n v="0"/>
  </r>
  <r>
    <n v="338"/>
    <n v="338"/>
    <d v="2024-08-19T00:00:00"/>
    <s v="INTERNATIONAL PURCHASE TRANSACTION FEE"/>
    <n v="-1.48"/>
    <m/>
    <x v="18"/>
    <x v="0"/>
    <s v="Payment_and_Interest"/>
    <x v="8"/>
    <n v="2024"/>
    <d v="2024-08-19T00:00:00"/>
    <n v="714.83000000000027"/>
    <n v="102"/>
    <s v="wells_fargo_checking"/>
    <n v="0"/>
  </r>
  <r>
    <n v="339"/>
    <n v="339"/>
    <d v="2024-08-19T00:00:00"/>
    <s v="RECURRING PAYMENT INTL AUTHORIZED ON 08/16 CLASSPASS* MONTHLY NORTH SYDNEY AUS S384230001054735 CARD 1081"/>
    <n v="-49.39"/>
    <m/>
    <x v="19"/>
    <x v="0"/>
    <s v="Travel"/>
    <x v="8"/>
    <n v="2024"/>
    <d v="2024-08-19T00:00:00"/>
    <n v="665.44000000000028"/>
    <n v="90"/>
    <s v="wells_fargo_checking"/>
    <n v="0"/>
  </r>
  <r>
    <n v="340"/>
    <n v="340"/>
    <d v="2024-08-20T00:00:00"/>
    <s v="DEPT EDUCATION STUDENT LN 240819 6Q9IL5CN6Q1 SEAN LEWIS"/>
    <n v="-442.73"/>
    <m/>
    <x v="4"/>
    <x v="1"/>
    <s v="Government"/>
    <x v="8"/>
    <n v="2024"/>
    <d v="2024-08-20T00:00:00"/>
    <n v="222.71000000000029"/>
    <n v="3"/>
    <s v="wells_fargo_checking"/>
    <n v="0"/>
  </r>
  <r>
    <n v="341"/>
    <n v="341"/>
    <d v="2024-08-22T00:00:00"/>
    <s v="PURCHASE AUTHORIZED ON 08/21 ARCO#04495SINO SAN MATEO CA P000000189173960 CARD 1081"/>
    <n v="-38.47"/>
    <m/>
    <x v="1"/>
    <x v="0"/>
    <s v="Utilities"/>
    <x v="8"/>
    <n v="2024"/>
    <d v="2024-08-22T00:00:00"/>
    <n v="184.24000000000029"/>
    <n v="9"/>
    <s v="wells_fargo_checking"/>
    <n v="0"/>
  </r>
  <r>
    <n v="342"/>
    <n v="342"/>
    <d v="2024-08-22T00:00:00"/>
    <s v="Nationwide PAYROLL 01 HRP0010598989 Sean Lewis"/>
    <n v="527.55999999999995"/>
    <m/>
    <x v="3"/>
    <x v="0"/>
    <s v="Income"/>
    <x v="8"/>
    <n v="2024"/>
    <d v="2024-08-22T00:00:00"/>
    <n v="711.80000000000018"/>
    <n v="17"/>
    <s v="wells_fargo_checking"/>
    <n v="0"/>
  </r>
  <r>
    <n v="343"/>
    <n v="343"/>
    <d v="2024-08-26T00:00:00"/>
    <s v="NON-WELLS FARGO ATM TRANSACTION FEE"/>
    <n v="-2.5"/>
    <m/>
    <x v="17"/>
    <x v="0"/>
    <s v="Personal_Spending"/>
    <x v="8"/>
    <n v="2024"/>
    <d v="2024-08-26T00:00:00"/>
    <n v="709.30000000000018"/>
    <n v="12"/>
    <s v="wells_fargo_checking"/>
    <n v="0"/>
  </r>
  <r>
    <n v="344"/>
    <n v="344"/>
    <d v="2024-08-26T00:00:00"/>
    <s v="NON-WF ATM WITHDRAWAL AUTHORIZED ON 08/24 235 Clement St San Francisco CA 304237668349891 ATM ID TX036941 CARD 1081"/>
    <n v="-73.5"/>
    <m/>
    <x v="17"/>
    <x v="0"/>
    <s v="Personal_Spending"/>
    <x v="8"/>
    <n v="2024"/>
    <d v="2024-08-26T00:00:00"/>
    <n v="635.80000000000018"/>
    <n v="13"/>
    <s v="wells_fargo_checking"/>
    <n v="1"/>
  </r>
  <r>
    <n v="345"/>
    <n v="345"/>
    <d v="2024-09-03T00:00:00"/>
    <s v="PURCHASE AUTHORIZED ON 08/31 THE NEW STOCKTON 9 STOCKTON CA S464245072145434 CARD 1081"/>
    <n v="-4"/>
    <m/>
    <x v="25"/>
    <x v="0"/>
    <s v="Recreation_Entertainment"/>
    <x v="9"/>
    <n v="2024"/>
    <d v="2024-09-03T00:00:00"/>
    <n v="631.80000000000018"/>
    <n v="1"/>
    <s v="wells_fargo_checking"/>
    <n v="0"/>
  </r>
  <r>
    <n v="346"/>
    <n v="346"/>
    <d v="2024-09-03T00:00:00"/>
    <s v="PURCHASE AUTHORIZED ON 08/31 ARCO#04495SINO SAN MATEO CA P000000374552610 CARD 1081"/>
    <n v="-43.15"/>
    <m/>
    <x v="1"/>
    <x v="0"/>
    <s v="Utilities"/>
    <x v="9"/>
    <n v="2024"/>
    <d v="2024-09-03T00:00:00"/>
    <n v="588.6500000000002"/>
    <n v="10"/>
    <s v="wells_fargo_checking"/>
    <n v="0"/>
  </r>
  <r>
    <n v="347"/>
    <n v="347"/>
    <d v="2024-09-05T00:00:00"/>
    <s v="PURCHASE AUTHORIZED ON 09/05 SHELL SERVICE STATION SAN MATEO CA P584249614007197 CARD 1081"/>
    <n v="-52.4"/>
    <m/>
    <x v="1"/>
    <x v="0"/>
    <s v="Utilities"/>
    <x v="9"/>
    <n v="2024"/>
    <d v="2024-09-05T00:00:00"/>
    <n v="536.25000000000023"/>
    <n v="11"/>
    <s v="wells_fargo_checking"/>
    <n v="0"/>
  </r>
  <r>
    <n v="348"/>
    <n v="348"/>
    <d v="2024-09-05T00:00:00"/>
    <s v="Nationwide PAYROLL 01 HRP0010634688 Sean Lewis"/>
    <n v="527.55999999999995"/>
    <m/>
    <x v="3"/>
    <x v="0"/>
    <s v="Income"/>
    <x v="9"/>
    <n v="2024"/>
    <d v="2024-09-05T00:00:00"/>
    <n v="1063.81"/>
    <n v="18"/>
    <s v="wells_fargo_checking"/>
    <n v="0"/>
  </r>
  <r>
    <n v="349"/>
    <n v="349"/>
    <d v="2024-09-09T00:00:00"/>
    <s v="Synchrony Bank CC PYMT Sep 09 524306003390321 SEAN LEWIS"/>
    <n v="-460"/>
    <m/>
    <x v="9"/>
    <x v="1"/>
    <s v="Medical"/>
    <x v="9"/>
    <n v="2024"/>
    <d v="2024-09-09T00:00:00"/>
    <n v="603.81000000000017"/>
    <n v="6"/>
    <s v="wells_fargo_checking"/>
    <n v="0"/>
  </r>
  <r>
    <n v="350"/>
    <n v="350"/>
    <d v="2024-09-10T00:00:00"/>
    <s v="DEPT EDUCATION STUDENT LN 240909 6QB99OQPIC1 SEAN LEWIS"/>
    <n v="-442.73"/>
    <m/>
    <x v="4"/>
    <x v="1"/>
    <s v="Government"/>
    <x v="9"/>
    <n v="2024"/>
    <d v="2024-09-10T00:00:00"/>
    <n v="161.08000000000021"/>
    <n v="4"/>
    <s v="wells_fargo_checking"/>
    <n v="0"/>
  </r>
  <r>
    <n v="351"/>
    <n v="351"/>
    <d v="2024-09-10T00:00:00"/>
    <s v="INTERNATIONAL PURCHASE TRANSACTION FEE"/>
    <n v="-0.2"/>
    <m/>
    <x v="18"/>
    <x v="0"/>
    <s v="Payment_and_Interest"/>
    <x v="9"/>
    <n v="2024"/>
    <d v="2024-09-10T00:00:00"/>
    <n v="160.88000000000019"/>
    <n v="103"/>
    <s v="wells_fargo_checking"/>
    <n v="0"/>
  </r>
  <r>
    <n v="352"/>
    <n v="352"/>
    <d v="2024-09-10T00:00:00"/>
    <s v="PURCHASE INTL AUTHORIZED ON 09/09 CLASSPASS* TOP_UP NORTH SYDNEY AUS S464253748704482 CARD 1081"/>
    <n v="-6.77"/>
    <m/>
    <x v="19"/>
    <x v="0"/>
    <s v="Travel"/>
    <x v="9"/>
    <n v="2024"/>
    <d v="2024-09-10T00:00:00"/>
    <n v="154.11000000000021"/>
    <n v="91"/>
    <s v="wells_fargo_checking"/>
    <n v="0"/>
  </r>
  <r>
    <n v="353"/>
    <n v="353"/>
    <d v="2024-09-16T00:00:00"/>
    <s v="PURCHASE AUTHORIZED ON 09/15 SHELL SERVICE STATION WASHINGTON DC P304259726922680 CARD 1081"/>
    <n v="-24.55"/>
    <m/>
    <x v="1"/>
    <x v="0"/>
    <s v="Utilities"/>
    <x v="9"/>
    <n v="2024"/>
    <d v="2024-09-16T00:00:00"/>
    <n v="129.56000000000009"/>
    <n v="12"/>
    <s v="wells_fargo_checking"/>
    <n v="0"/>
  </r>
  <r>
    <n v="354"/>
    <n v="354"/>
    <d v="2024-09-16T00:00:00"/>
    <s v="PURCHASE AUTHORIZED ON 09/14 PIZZA HUT 036875 HAGERSTOWN MD S584258608623644 CARD 1081"/>
    <n v="-132.32"/>
    <m/>
    <x v="11"/>
    <x v="0"/>
    <s v="Personal_Spending"/>
    <x v="9"/>
    <n v="2024"/>
    <d v="2024-09-16T00:00:00"/>
    <n v="-2.7599999999998488"/>
    <n v="2"/>
    <s v="wells_fargo_checking"/>
    <n v="0"/>
  </r>
  <r>
    <n v="355"/>
    <n v="355"/>
    <d v="2024-09-16T00:00:00"/>
    <s v="ZELLE FROM JAYELIN LEWIS ON 09/14 REF # NAV0IPU5634Q SANDBOX"/>
    <n v="50"/>
    <m/>
    <x v="5"/>
    <x v="0"/>
    <s v="People"/>
    <x v="9"/>
    <n v="2024"/>
    <d v="2024-09-16T00:00:00"/>
    <n v="47.240000000000151"/>
    <n v="12"/>
    <s v="wells_fargo_checking"/>
    <n v="0"/>
  </r>
  <r>
    <n v="356"/>
    <n v="356"/>
    <d v="2024-09-18T00:00:00"/>
    <s v="T-MOBILE PCS SVC 240917 8558877 DON LEWIS"/>
    <n v="-65.83"/>
    <m/>
    <x v="7"/>
    <x v="0"/>
    <s v="People"/>
    <x v="9"/>
    <n v="2024"/>
    <d v="2024-09-18T00:00:00"/>
    <n v="-18.589999999999851"/>
    <n v="14"/>
    <s v="wells_fargo_checking"/>
    <n v="0"/>
  </r>
  <r>
    <n v="357"/>
    <n v="357"/>
    <d v="2024-09-19T00:00:00"/>
    <s v="Nationwide PAYROLL 01 HRP0010647381 Sean Lewis"/>
    <n v="527.55999999999995"/>
    <m/>
    <x v="3"/>
    <x v="0"/>
    <s v="Income"/>
    <x v="9"/>
    <n v="2024"/>
    <d v="2024-09-19T00:00:00"/>
    <n v="508.97000000000008"/>
    <n v="19"/>
    <s v="wells_fargo_checking"/>
    <n v="0"/>
  </r>
  <r>
    <n v="358"/>
    <n v="358"/>
    <d v="2024-09-23T00:00:00"/>
    <s v="PURCHASE AUTHORIZED ON 09/22 COLONIAL PARKING # WASHINGTON DC S584267105584112 CARD 1081"/>
    <n v="-37"/>
    <m/>
    <x v="2"/>
    <x v="0"/>
    <s v="Transportation"/>
    <x v="9"/>
    <n v="2024"/>
    <d v="2024-09-23T00:00:00"/>
    <n v="471.97000000000008"/>
    <n v="4"/>
    <s v="wells_fargo_checking"/>
    <n v="0"/>
  </r>
  <r>
    <n v="359"/>
    <n v="359"/>
    <d v="2024-09-23T00:00:00"/>
    <s v="PURCHASE AUTHORIZED ON 09/21 WEIS MARKETS 100 G FREDERICK MD S464265682535699 CARD 1081"/>
    <n v="-24.86"/>
    <m/>
    <x v="26"/>
    <x v="0"/>
    <s v="Food"/>
    <x v="9"/>
    <n v="2024"/>
    <d v="2024-09-23T00:00:00"/>
    <n v="447.11000000000013"/>
    <n v="1"/>
    <s v="wells_fargo_checking"/>
    <n v="0"/>
  </r>
  <r>
    <n v="360"/>
    <n v="360"/>
    <d v="2024-09-25T00:00:00"/>
    <s v="PURCHASE AUTHORIZED ON 09/25 BJS WHOLESALE #0 1781 RIT CAPITOL HT MD P584269837305738 CARD 1081"/>
    <n v="-77.59"/>
    <m/>
    <x v="26"/>
    <x v="0"/>
    <s v="Food"/>
    <x v="9"/>
    <n v="2024"/>
    <d v="2024-09-25T00:00:00"/>
    <n v="369.5200000000001"/>
    <n v="2"/>
    <s v="wells_fargo_checking"/>
    <n v="0"/>
  </r>
  <r>
    <n v="361"/>
    <n v="361"/>
    <d v="2024-09-25T00:00:00"/>
    <s v="ZELLE TO LEWIS SHARON ON 09/25 REF #PP0Y3J5CX8 POWER STRIP"/>
    <n v="-40"/>
    <m/>
    <x v="5"/>
    <x v="0"/>
    <s v="People"/>
    <x v="9"/>
    <n v="2024"/>
    <d v="2024-09-25T00:00:00"/>
    <n v="329.5200000000001"/>
    <n v="13"/>
    <s v="wells_fargo_checking"/>
    <n v="0"/>
  </r>
  <r>
    <n v="362"/>
    <n v="362"/>
    <d v="2024-09-26T00:00:00"/>
    <s v="PURCHASE AUTHORIZED ON 09/25 AMC 0339 RIVERTOWN OXON HILL MD S464269721777089 CARD 1081"/>
    <n v="-22.23"/>
    <m/>
    <x v="27"/>
    <x v="0"/>
    <s v="Recreation_Entertainment"/>
    <x v="9"/>
    <n v="2024"/>
    <d v="2024-09-26T00:00:00"/>
    <n v="307.29000000000008"/>
    <n v="1"/>
    <s v="wells_fargo_checking"/>
    <n v="0"/>
  </r>
  <r>
    <n v="363"/>
    <n v="363"/>
    <d v="2024-09-26T00:00:00"/>
    <s v="PURCHASE AUTHORIZED ON 09/25 AMC 0339 RIVERTOWN OXON HILL MD S584269720171165 CARD 1081"/>
    <n v="-28.03"/>
    <m/>
    <x v="27"/>
    <x v="0"/>
    <s v="Recreation_Entertainment"/>
    <x v="9"/>
    <n v="2024"/>
    <d v="2024-09-26T00:00:00"/>
    <n v="279.2600000000001"/>
    <n v="2"/>
    <s v="wells_fargo_checking"/>
    <n v="1"/>
  </r>
  <r>
    <n v="364"/>
    <n v="364"/>
    <d v="2024-10-02T00:00:00"/>
    <s v="PURCHASE AUTHORIZED ON 10/02 ARCO#01326SMOG PALO ALTO CA P000000773195906 CARD 1081"/>
    <n v="-48.61"/>
    <m/>
    <x v="1"/>
    <x v="0"/>
    <s v="Utilities"/>
    <x v="10"/>
    <n v="2024"/>
    <d v="2024-10-02T00:00:00"/>
    <n v="230.65000000000009"/>
    <n v="13"/>
    <s v="wells_fargo_checking"/>
    <n v="0"/>
  </r>
  <r>
    <n v="365"/>
    <n v="365"/>
    <d v="2024-10-03T00:00:00"/>
    <s v="Nationwide PAYROLL 01 HRP0010688536 Sean Lewis"/>
    <n v="527.55999999999995"/>
    <m/>
    <x v="3"/>
    <x v="0"/>
    <s v="Income"/>
    <x v="10"/>
    <n v="2024"/>
    <d v="2024-10-03T00:00:00"/>
    <n v="758.21"/>
    <n v="20"/>
    <s v="wells_fargo_checking"/>
    <n v="0"/>
  </r>
  <r>
    <n v="366"/>
    <n v="366"/>
    <d v="2024-10-11T00:00:00"/>
    <s v="PURCHASE AUTHORIZED ON 10/11 ARCO#04495SINO SAN MATEO CA P000000883878442 CARD 1081"/>
    <n v="-43.78"/>
    <m/>
    <x v="1"/>
    <x v="0"/>
    <s v="Utilities"/>
    <x v="10"/>
    <n v="2024"/>
    <d v="2024-10-11T00:00:00"/>
    <n v="714.43000000000006"/>
    <n v="14"/>
    <s v="wells_fargo_checking"/>
    <n v="0"/>
  </r>
  <r>
    <n v="367"/>
    <n v="367"/>
    <d v="2024-10-15T00:00:00"/>
    <s v="PURCHASE AUTHORIZED ON 10/14 WWW.NOISEP* NOISEP WWW.NOISEPOP. CA S464288520036387 CARD 1081"/>
    <n v="-108.16"/>
    <m/>
    <x v="28"/>
    <x v="0"/>
    <s v="Personal_Spending"/>
    <x v="10"/>
    <n v="2024"/>
    <d v="2024-10-15T00:00:00"/>
    <n v="606.2700000000001"/>
    <n v="1"/>
    <s v="wells_fargo_checking"/>
    <n v="0"/>
  </r>
  <r>
    <n v="368"/>
    <n v="368"/>
    <d v="2024-10-15T00:00:00"/>
    <s v="PURCHASE AUTHORIZED ON 10/12 AMAZON RETA* ZU6AY WWW.AMAZON.CO WA S384286775772357 CARD 1081"/>
    <n v="-223.9"/>
    <m/>
    <x v="28"/>
    <x v="0"/>
    <s v="Personal_Spending"/>
    <x v="10"/>
    <n v="2024"/>
    <d v="2024-10-15T00:00:00"/>
    <n v="382.37000000000012"/>
    <n v="2"/>
    <s v="wells_fargo_checking"/>
    <n v="0"/>
  </r>
  <r>
    <n v="369"/>
    <n v="369"/>
    <d v="2024-10-16T00:00:00"/>
    <s v="PURCHASE AUTHORIZED ON 10/14 AMAZON MKTPL*4O13G Amzn.com/bill WA S584288493495781 CARD 1081"/>
    <n v="-326.68"/>
    <m/>
    <x v="28"/>
    <x v="0"/>
    <s v="Personal_Spending"/>
    <x v="10"/>
    <n v="2024"/>
    <d v="2024-10-16T00:00:00"/>
    <n v="55.690000000000111"/>
    <n v="3"/>
    <s v="wells_fargo_checking"/>
    <n v="0"/>
  </r>
  <r>
    <n v="370"/>
    <n v="370"/>
    <d v="2024-10-17T00:00:00"/>
    <s v="Nationwide PAYROLL 01 HRP0010741781 Sean Lewis"/>
    <n v="527.55999999999995"/>
    <m/>
    <x v="3"/>
    <x v="0"/>
    <s v="Income"/>
    <x v="10"/>
    <n v="2024"/>
    <d v="2024-10-17T00:00:00"/>
    <n v="583.25"/>
    <n v="21"/>
    <s v="wells_fargo_checking"/>
    <n v="0"/>
  </r>
  <r>
    <n v="371"/>
    <n v="371"/>
    <d v="2024-10-18T00:00:00"/>
    <s v="T-MOBILE PCS SVC 241017 8831745 DON LEWIS"/>
    <n v="-65.91"/>
    <m/>
    <x v="7"/>
    <x v="0"/>
    <s v="People"/>
    <x v="10"/>
    <n v="2024"/>
    <d v="2024-10-18T00:00:00"/>
    <n v="517.34"/>
    <n v="15"/>
    <s v="wells_fargo_checking"/>
    <n v="0"/>
  </r>
  <r>
    <n v="372"/>
    <n v="372"/>
    <d v="2024-10-28T00:00:00"/>
    <s v="PURCHASE AUTHORIZED ON 10/26 ARCO#04495SINO SAN MATEO CA P000000172446007 CARD 1081"/>
    <n v="-43.98"/>
    <m/>
    <x v="1"/>
    <x v="0"/>
    <s v="Utilities"/>
    <x v="10"/>
    <n v="2024"/>
    <d v="2024-10-28T00:00:00"/>
    <n v="473.36"/>
    <n v="15"/>
    <s v="wells_fargo_checking"/>
    <n v="0"/>
  </r>
  <r>
    <n v="373"/>
    <n v="373"/>
    <d v="2024-10-28T00:00:00"/>
    <s v="PURCHASE AUTHORIZED ON 10/25 STADIUM GARAGE BERKELEY CA S584300071995368 CARD 1081"/>
    <n v="-30"/>
    <m/>
    <x v="29"/>
    <x v="0"/>
    <m/>
    <x v="10"/>
    <n v="2024"/>
    <d v="2024-10-28T00:00:00"/>
    <n v="443.36"/>
    <n v="1"/>
    <s v="wells_fargo_checking"/>
    <n v="0"/>
  </r>
  <r>
    <n v="374"/>
    <n v="374"/>
    <d v="2024-10-31T00:00:00"/>
    <s v="Nationwide PAYROLL 01 HRP0010768329 Sean Lewis"/>
    <n v="527.55999999999995"/>
    <m/>
    <x v="1"/>
    <x v="0"/>
    <s v="Utilities"/>
    <x v="10"/>
    <n v="2024"/>
    <d v="2024-10-31T00:00:00"/>
    <n v="970.92"/>
    <n v="16"/>
    <s v="wells_fargo_checking"/>
    <n v="1"/>
  </r>
  <r>
    <n v="375"/>
    <n v="375"/>
    <d v="2024-11-01T00:00:00"/>
    <s v="PURCHASE AUTHORIZED ON 11/01 76 ORINDA ORINDA CA P000000177866673 CARD 1081"/>
    <n v="-47.24"/>
    <m/>
    <x v="1"/>
    <x v="0"/>
    <s v="Utilities"/>
    <x v="11"/>
    <n v="2024"/>
    <d v="2024-11-01T00:00:00"/>
    <n v="923.68"/>
    <n v="17"/>
    <s v="wells_fargo_checking"/>
    <n v="0"/>
  </r>
  <r>
    <n v="376"/>
    <n v="376"/>
    <d v="2024-11-04T00:00:00"/>
    <s v="MONEY TRANSFER AUTHORIZED ON 11/01 CASH APP*CAIRO DAN Oakland CA S304306763501389 CARD 1081"/>
    <n v="-150"/>
    <m/>
    <x v="1"/>
    <x v="0"/>
    <s v="Utilities"/>
    <x v="11"/>
    <n v="2024"/>
    <d v="2024-11-04T00:00:00"/>
    <n v="773.68"/>
    <n v="18"/>
    <s v="wells_fargo_checking"/>
    <n v="0"/>
  </r>
  <r>
    <n v="377"/>
    <n v="377"/>
    <d v="2024-11-04T00:00:00"/>
    <s v="ZELLE FROM JONATHAN W ABADA ON 11/03 REF # JPM99AQLEFH6 FANTASY"/>
    <n v="69"/>
    <m/>
    <x v="8"/>
    <x v="0"/>
    <s v="People"/>
    <x v="11"/>
    <n v="2024"/>
    <d v="2024-11-04T00:00:00"/>
    <n v="842.68"/>
    <n v="13"/>
    <s v="wells_fargo_checking"/>
    <n v="0"/>
  </r>
  <r>
    <n v="378"/>
    <n v="378"/>
    <d v="2024-11-08T00:00:00"/>
    <s v="PURCHASE AUTHORIZED ON 11/08 A&amp;A GAS BURLINGAME CA P584313515259674 CARD 1081"/>
    <n v="-37.450000000000003"/>
    <m/>
    <x v="1"/>
    <x v="0"/>
    <s v="Utilities"/>
    <x v="11"/>
    <n v="2024"/>
    <d v="2024-11-08T00:00:00"/>
    <n v="805.2299999999999"/>
    <n v="19"/>
    <s v="wells_fargo_checking"/>
    <n v="0"/>
  </r>
  <r>
    <n v="379"/>
    <n v="379"/>
    <d v="2024-11-12T00:00:00"/>
    <s v="PURCHASE AUTHORIZED ON 11/12 SPWY66304901 OAKLAND CA P000000987765332 CARD 1081"/>
    <n v="-47.03"/>
    <m/>
    <x v="1"/>
    <x v="0"/>
    <s v="Utilities"/>
    <x v="11"/>
    <n v="2024"/>
    <d v="2024-11-12T00:00:00"/>
    <n v="758.19999999999993"/>
    <n v="20"/>
    <s v="wells_fargo_checking"/>
    <n v="0"/>
  </r>
  <r>
    <n v="380"/>
    <n v="380"/>
    <d v="2024-11-14T00:00:00"/>
    <s v="Nationwide PAYROLL 01 HRP0010800464 Sean Lewis"/>
    <n v="527.55999999999995"/>
    <m/>
    <x v="3"/>
    <x v="0"/>
    <s v="Income"/>
    <x v="11"/>
    <n v="2024"/>
    <d v="2024-11-14T00:00:00"/>
    <n v="1285.76"/>
    <n v="22"/>
    <s v="wells_fargo_checking"/>
    <n v="0"/>
  </r>
  <r>
    <n v="381"/>
    <n v="381"/>
    <d v="2024-11-18T00:00:00"/>
    <s v="T-MOBILE PCS SVC 241117 9074296 DON LEWIS"/>
    <n v="-70"/>
    <m/>
    <x v="7"/>
    <x v="0"/>
    <s v="People"/>
    <x v="11"/>
    <n v="2024"/>
    <d v="2024-11-18T00:00:00"/>
    <n v="1215.76"/>
    <n v="16"/>
    <s v="wells_fargo_checking"/>
    <n v="0"/>
  </r>
  <r>
    <n v="382"/>
    <n v="382"/>
    <d v="2024-11-18T00:00:00"/>
    <s v="ZELLE TO LEWIS DORRY ON 11/16 REF #PP0Y85LKV3 FOR SKYLAR BDAY WIG AND CAMERA"/>
    <n v="-500"/>
    <m/>
    <x v="5"/>
    <x v="0"/>
    <s v="People"/>
    <x v="11"/>
    <n v="2024"/>
    <d v="2024-11-18T00:00:00"/>
    <n v="715.75999999999976"/>
    <n v="14"/>
    <s v="wells_fargo_checking"/>
    <n v="0"/>
  </r>
  <r>
    <n v="383"/>
    <n v="383"/>
    <d v="2024-11-27T00:00:00"/>
    <s v="Nationwide PAYROLL 01 HRP0010854952 Sean Lewis"/>
    <n v="512.55999999999995"/>
    <m/>
    <x v="3"/>
    <x v="0"/>
    <s v="Income"/>
    <x v="11"/>
    <n v="2024"/>
    <d v="2024-11-27T00:00:00"/>
    <n v="1228.32"/>
    <n v="23"/>
    <s v="wells_fargo_checking"/>
    <n v="0"/>
  </r>
  <r>
    <n v="384"/>
    <n v="384"/>
    <d v="2024-11-29T00:00:00"/>
    <s v="DEPT EDUCATION STUDENT LN 241127 6QHE6VPEDF1 SEAN LEWIS"/>
    <n v="-442.73"/>
    <m/>
    <x v="4"/>
    <x v="1"/>
    <s v="Government"/>
    <x v="11"/>
    <n v="2024"/>
    <d v="2024-11-29T00:00:00"/>
    <n v="785.58999999999969"/>
    <n v="5"/>
    <s v="wells_fargo_checking"/>
    <n v="1"/>
  </r>
  <r>
    <n v="385"/>
    <n v="385"/>
    <d v="2024-12-12T00:00:00"/>
    <s v="Nationwide PAYROLL 01 HRP0010886755 Sean Lewis"/>
    <n v="527.55999999999995"/>
    <m/>
    <x v="3"/>
    <x v="0"/>
    <s v="Income"/>
    <x v="12"/>
    <n v="2024"/>
    <d v="2024-12-12T00:00:00"/>
    <n v="1313.15"/>
    <n v="24"/>
    <s v="wells_fargo_checking"/>
    <n v="0"/>
  </r>
  <r>
    <n v="386"/>
    <n v="386"/>
    <d v="2024-12-17T00:00:00"/>
    <s v="DEPT EDUCATION STUDENT LN 241216 6QIV2O0DSI1 SEAN LEWIS"/>
    <n v="-442.73"/>
    <m/>
    <x v="4"/>
    <x v="1"/>
    <s v="Government"/>
    <x v="12"/>
    <n v="2024"/>
    <d v="2024-12-17T00:00:00"/>
    <n v="870.41999999999962"/>
    <n v="6"/>
    <s v="wells_fargo_checking"/>
    <n v="0"/>
  </r>
  <r>
    <n v="387"/>
    <n v="387"/>
    <d v="2024-12-18T00:00:00"/>
    <s v="T-MOBILE PCS SVC 241217 0361737 DON LEWIS"/>
    <n v="-70"/>
    <m/>
    <x v="7"/>
    <x v="0"/>
    <s v="People"/>
    <x v="12"/>
    <n v="2024"/>
    <d v="2024-12-18T00:00:00"/>
    <n v="800.41999999999962"/>
    <n v="17"/>
    <s v="wells_fargo_checking"/>
    <n v="0"/>
  </r>
  <r>
    <n v="388"/>
    <n v="388"/>
    <d v="2024-12-23T00:00:00"/>
    <s v="PURCHASE AUTHORIZED ON 12/21 PALO ALTO GAS &amp; PALO ALTO CA P000000885077547 CARD 1081"/>
    <n v="-40.799999999999997"/>
    <m/>
    <x v="1"/>
    <x v="0"/>
    <s v="Utilities"/>
    <x v="12"/>
    <n v="2024"/>
    <d v="2024-12-23T00:00:00"/>
    <n v="759.61999999999966"/>
    <n v="21"/>
    <s v="wells_fargo_checking"/>
    <n v="0"/>
  </r>
  <r>
    <n v="389"/>
    <n v="389"/>
    <d v="2024-12-23T00:00:00"/>
    <s v="MOBILE DEPOSIT : REF NUMBER :314230152812"/>
    <n v="162.80000000000001"/>
    <m/>
    <x v="22"/>
    <x v="0"/>
    <s v="People"/>
    <x v="12"/>
    <n v="2024"/>
    <d v="2024-12-23T00:00:00"/>
    <n v="922.41999999999962"/>
    <n v="4"/>
    <s v="wells_fargo_checking"/>
    <n v="0"/>
  </r>
  <r>
    <n v="390"/>
    <n v="390"/>
    <d v="2024-12-26T00:00:00"/>
    <s v="Nationwide PAYROLL 01 HRP0010930330 Sean Lewis"/>
    <n v="527.55999999999995"/>
    <m/>
    <x v="3"/>
    <x v="0"/>
    <s v="Income"/>
    <x v="12"/>
    <n v="2024"/>
    <d v="2024-12-26T00:00:00"/>
    <n v="1449.98"/>
    <n v="25"/>
    <s v="wells_fargo_checking"/>
    <n v="1"/>
  </r>
  <r>
    <n v="391"/>
    <n v="0"/>
    <d v="2023-01-01T00:00:00"/>
    <s v="Balance"/>
    <n v="227.7"/>
    <s v="Balance"/>
    <x v="0"/>
    <x v="0"/>
    <s v="Balance"/>
    <x v="0"/>
    <n v="2023"/>
    <d v="2023-01-01T00:00:00"/>
    <n v="227.7"/>
    <n v="1"/>
    <s v="discover"/>
    <n v="1"/>
  </r>
  <r>
    <n v="392"/>
    <n v="1"/>
    <d v="2024-01-01T00:00:00"/>
    <s v="CHATGPT SUBSCRIPTION 4158799686 CA"/>
    <n v="20"/>
    <s v="Merchandise"/>
    <x v="30"/>
    <x v="1"/>
    <s v="Personal_Spending"/>
    <x v="1"/>
    <n v="2024"/>
    <d v="2024-01-01T00:00:00"/>
    <n v="247.7"/>
    <n v="1"/>
    <s v="discover"/>
    <n v="0"/>
  </r>
  <r>
    <n v="393"/>
    <n v="2"/>
    <d v="2024-01-01T00:00:00"/>
    <s v="JFF PUBLICATIONS WILTON MANORSFL"/>
    <n v="24.99"/>
    <s v="Merchandise"/>
    <x v="27"/>
    <x v="0"/>
    <s v="Recreation_Entertainment"/>
    <x v="1"/>
    <n v="2024"/>
    <d v="2024-01-01T00:00:00"/>
    <n v="272.69"/>
    <n v="1"/>
    <s v="discover"/>
    <n v="0"/>
  </r>
  <r>
    <n v="394"/>
    <n v="3"/>
    <d v="2024-01-01T00:00:00"/>
    <s v="PLANNED PARENTHOOD ACTIO NEW YORK NY"/>
    <n v="5"/>
    <s v="Services"/>
    <x v="31"/>
    <x v="1"/>
    <s v="Personal_Spending"/>
    <x v="1"/>
    <n v="2024"/>
    <d v="2024-01-01T00:00:00"/>
    <n v="277.69"/>
    <n v="1"/>
    <s v="discover"/>
    <n v="0"/>
  </r>
  <r>
    <n v="395"/>
    <n v="4"/>
    <d v="2024-01-01T00:00:00"/>
    <s v="SPOTIFY P286B95411 8777781161 NY"/>
    <n v="5.99"/>
    <s v="Merchandise"/>
    <x v="32"/>
    <x v="1"/>
    <s v="Recreation_Entertainment"/>
    <x v="1"/>
    <n v="2024"/>
    <d v="2024-01-01T00:00:00"/>
    <n v="283.68"/>
    <n v="1"/>
    <s v="discover"/>
    <n v="0"/>
  </r>
  <r>
    <n v="396"/>
    <n v="5"/>
    <d v="2024-01-02T00:00:00"/>
    <s v="ONEPASS 877-515-9364 MN253067"/>
    <n v="264.10000000000002"/>
    <s v="Services"/>
    <x v="33"/>
    <x v="1"/>
    <s v="Personal_Spending"/>
    <x v="1"/>
    <n v="2024"/>
    <d v="2024-01-02T00:00:00"/>
    <n v="547.78"/>
    <n v="1"/>
    <s v="discover"/>
    <n v="0"/>
  </r>
  <r>
    <n v="397"/>
    <n v="6"/>
    <d v="2024-01-02T00:00:00"/>
    <s v="KRYSTAL AND SAAGAR 2025317527 DCITEM TRANSFERRED FROM PREV ACCOUNT"/>
    <n v="10"/>
    <s v="Merchandise"/>
    <x v="34"/>
    <x v="1"/>
    <s v="Recreation_Entertainment"/>
    <x v="1"/>
    <n v="2024"/>
    <d v="2024-01-02T00:00:00"/>
    <n v="557.78"/>
    <n v="1"/>
    <s v="discover"/>
    <n v="0"/>
  </r>
  <r>
    <n v="398"/>
    <n v="7"/>
    <d v="2024-01-02T00:00:00"/>
    <s v="PADDLE.NET* REALPYTHON 7745236658 NY"/>
    <n v="29.99"/>
    <s v="Merchandise"/>
    <x v="35"/>
    <x v="1"/>
    <s v="Personal_Spending"/>
    <x v="1"/>
    <n v="2024"/>
    <d v="2024-01-02T00:00:00"/>
    <n v="587.77"/>
    <n v="1"/>
    <s v="discover"/>
    <n v="0"/>
  </r>
  <r>
    <n v="399"/>
    <n v="8"/>
    <d v="2024-01-02T00:00:00"/>
    <s v="TARGET 00011221091 SAN MATEO CA"/>
    <n v="66.319999999999993"/>
    <s v="Supermarkets"/>
    <x v="36"/>
    <x v="0"/>
    <s v="Personal_Spending"/>
    <x v="1"/>
    <n v="2024"/>
    <d v="2024-01-02T00:00:00"/>
    <n v="654.08999999999992"/>
    <n v="1"/>
    <s v="discover"/>
    <n v="0"/>
  </r>
  <r>
    <n v="400"/>
    <n v="9"/>
    <d v="2024-01-02T00:00:00"/>
    <s v="VALVE BELLEVUE WA"/>
    <n v="6.99"/>
    <s v="Merchandise"/>
    <x v="37"/>
    <x v="0"/>
    <s v="Recreation_Entertainment"/>
    <x v="1"/>
    <n v="2024"/>
    <d v="2024-01-02T00:00:00"/>
    <n v="661.07999999999993"/>
    <n v="1"/>
    <s v="discover"/>
    <n v="0"/>
  </r>
  <r>
    <n v="401"/>
    <n v="10"/>
    <d v="2024-01-03T00:00:00"/>
    <s v="CCBILL.COM 888-5969279 AZ"/>
    <n v="13.39"/>
    <s v="Merchandise"/>
    <x v="38"/>
    <x v="0"/>
    <s v="Recreation_Entertainment"/>
    <x v="1"/>
    <n v="2024"/>
    <d v="2024-01-03T00:00:00"/>
    <n v="674.46999999999991"/>
    <n v="1"/>
    <s v="discover"/>
    <n v="0"/>
  </r>
  <r>
    <n v="402"/>
    <n v="11"/>
    <d v="2024-01-03T00:00:00"/>
    <s v="TARGET 00011221091 SAN MATEO CA"/>
    <n v="97.96"/>
    <s v="Supermarkets"/>
    <x v="36"/>
    <x v="0"/>
    <s v="Personal_Spending"/>
    <x v="1"/>
    <n v="2024"/>
    <d v="2024-01-03T00:00:00"/>
    <n v="772.43"/>
    <n v="2"/>
    <s v="discover"/>
    <n v="0"/>
  </r>
  <r>
    <n v="403"/>
    <n v="12"/>
    <d v="2024-01-03T00:00:00"/>
    <s v="AUTOMATIC STATEMENT CREDIT"/>
    <n v="-39.159999999999997"/>
    <s v="Awards and Rebate Credits"/>
    <x v="39"/>
    <x v="0"/>
    <s v="Payment_and_Interest"/>
    <x v="1"/>
    <n v="2024"/>
    <d v="2024-01-03T00:00:00"/>
    <n v="733.27"/>
    <n v="1"/>
    <s v="discover"/>
    <n v="0"/>
  </r>
  <r>
    <n v="404"/>
    <n v="13"/>
    <d v="2024-01-03T00:00:00"/>
    <s v="CCBILL.COM 888-5969279 AZ"/>
    <n v="3.19"/>
    <s v="Merchandise"/>
    <x v="38"/>
    <x v="0"/>
    <s v="Recreation_Entertainment"/>
    <x v="1"/>
    <n v="2024"/>
    <d v="2024-01-03T00:00:00"/>
    <n v="736.46"/>
    <n v="2"/>
    <s v="discover"/>
    <n v="0"/>
  </r>
  <r>
    <n v="405"/>
    <n v="14"/>
    <d v="2024-01-04T00:00:00"/>
    <s v="THE BOARDROOM SAN FRANCISCOCA"/>
    <n v="45"/>
    <s v="Restaurants"/>
    <x v="40"/>
    <x v="0"/>
    <s v="Food"/>
    <x v="1"/>
    <n v="2024"/>
    <d v="2024-01-04T00:00:00"/>
    <n v="781.46"/>
    <n v="1"/>
    <s v="discover"/>
    <n v="0"/>
  </r>
  <r>
    <n v="406"/>
    <n v="15"/>
    <d v="2024-01-05T00:00:00"/>
    <s v="APPLE.COM/BILL 866-712-7753 CAAPPLE PAY ENDING IN 1455MMWDW3MLY5A0"/>
    <n v="15.89"/>
    <s v="Merchandise"/>
    <x v="41"/>
    <x v="1"/>
    <s v="Recreation_Entertainment"/>
    <x v="1"/>
    <n v="2024"/>
    <d v="2024-01-05T00:00:00"/>
    <n v="797.35"/>
    <n v="1"/>
    <s v="discover"/>
    <n v="0"/>
  </r>
  <r>
    <n v="407"/>
    <n v="16"/>
    <d v="2024-01-05T00:00:00"/>
    <s v="DOTHEBAY MORE 5129009058 TXAPPLE PAY ENDING IN 1455"/>
    <n v="5"/>
    <s v="Merchandise"/>
    <x v="42"/>
    <x v="1"/>
    <s v="Personal_Spending"/>
    <x v="1"/>
    <n v="2024"/>
    <d v="2024-01-05T00:00:00"/>
    <n v="802.35"/>
    <n v="1"/>
    <s v="discover"/>
    <n v="0"/>
  </r>
  <r>
    <n v="408"/>
    <n v="17"/>
    <d v="2024-01-05T00:00:00"/>
    <s v="ONEPASS 877-515-9364 MN271924"/>
    <n v="4.5"/>
    <s v="Services"/>
    <x v="33"/>
    <x v="1"/>
    <s v="Personal_Spending"/>
    <x v="1"/>
    <n v="2024"/>
    <d v="2024-01-05T00:00:00"/>
    <n v="806.85"/>
    <n v="2"/>
    <s v="discover"/>
    <n v="0"/>
  </r>
  <r>
    <n v="409"/>
    <n v="18"/>
    <d v="2024-01-05T00:00:00"/>
    <s v="ONEPASS 877-515-9364 MN283627"/>
    <n v="5"/>
    <s v="Services"/>
    <x v="33"/>
    <x v="1"/>
    <s v="Personal_Spending"/>
    <x v="1"/>
    <n v="2024"/>
    <d v="2024-01-05T00:00:00"/>
    <n v="811.85"/>
    <n v="3"/>
    <s v="discover"/>
    <n v="0"/>
  </r>
  <r>
    <n v="410"/>
    <n v="19"/>
    <d v="2024-01-06T00:00:00"/>
    <s v="CCBILL.COM 888-5969279 AZ"/>
    <n v="14.87"/>
    <s v="Merchandise"/>
    <x v="38"/>
    <x v="0"/>
    <s v="Recreation_Entertainment"/>
    <x v="1"/>
    <n v="2024"/>
    <d v="2024-01-06T00:00:00"/>
    <n v="826.72"/>
    <n v="3"/>
    <s v="discover"/>
    <n v="0"/>
  </r>
  <r>
    <n v="411"/>
    <n v="20"/>
    <d v="2024-01-06T00:00:00"/>
    <s v="EB RADIOHEAD-KID A LI 801-413-7200 CA"/>
    <n v="27.13"/>
    <s v="Services"/>
    <x v="43"/>
    <x v="0"/>
    <s v="Recreation_Entertainment"/>
    <x v="1"/>
    <n v="2024"/>
    <d v="2024-01-06T00:00:00"/>
    <n v="853.85"/>
    <n v="1"/>
    <s v="discover"/>
    <n v="0"/>
  </r>
  <r>
    <n v="412"/>
    <n v="21"/>
    <d v="2024-01-06T00:00:00"/>
    <s v="SQ *BLACK BIRD BOOKSTO SAN FRANCISCOCA0001152921513563494106"/>
    <n v="30.3"/>
    <s v="Merchandise"/>
    <x v="24"/>
    <x v="0"/>
    <s v="Personal_Spending"/>
    <x v="1"/>
    <n v="2024"/>
    <d v="2024-01-06T00:00:00"/>
    <n v="884.15"/>
    <n v="1"/>
    <s v="discover"/>
    <n v="0"/>
  </r>
  <r>
    <n v="413"/>
    <n v="22"/>
    <d v="2024-01-06T00:00:00"/>
    <s v="SQ *TAQUERIA LA CUMBRE SAN FRANCISCOCA0001152921513562719150"/>
    <n v="15.75"/>
    <s v="Restaurants"/>
    <x v="40"/>
    <x v="0"/>
    <s v="Food"/>
    <x v="1"/>
    <n v="2024"/>
    <d v="2024-01-06T00:00:00"/>
    <n v="899.9"/>
    <n v="2"/>
    <s v="discover"/>
    <n v="0"/>
  </r>
  <r>
    <n v="414"/>
    <n v="23"/>
    <d v="2024-01-07T00:00:00"/>
    <s v="SQ *CABLE CAR COFFEE SAN FRAN CA0001152921513566491105"/>
    <n v="17.63"/>
    <s v="Restaurants"/>
    <x v="44"/>
    <x v="0"/>
    <s v="Food"/>
    <x v="1"/>
    <n v="2024"/>
    <d v="2024-01-07T00:00:00"/>
    <n v="917.53"/>
    <n v="1"/>
    <s v="discover"/>
    <n v="0"/>
  </r>
  <r>
    <n v="415"/>
    <n v="24"/>
    <d v="2024-01-07T00:00:00"/>
    <s v="WARFIELD THEATER TKTS SAN FRANCISCOCA"/>
    <n v="41.95"/>
    <s v="Travel/ Entertainment"/>
    <x v="45"/>
    <x v="0"/>
    <s v="Recreation_Entertainment"/>
    <x v="1"/>
    <n v="2024"/>
    <d v="2024-01-07T00:00:00"/>
    <n v="959.48"/>
    <n v="1"/>
    <s v="discover"/>
    <n v="0"/>
  </r>
  <r>
    <n v="416"/>
    <n v="25"/>
    <d v="2024-01-07T00:00:00"/>
    <s v="REGENCY BALLROOM TKTS SAN FRANCISCOCA"/>
    <n v="41.5"/>
    <s v="Travel/ Entertainment"/>
    <x v="45"/>
    <x v="0"/>
    <s v="Recreation_Entertainment"/>
    <x v="1"/>
    <n v="2024"/>
    <d v="2024-01-07T00:00:00"/>
    <n v="1000.98"/>
    <n v="2"/>
    <s v="discover"/>
    <n v="0"/>
  </r>
  <r>
    <n v="417"/>
    <n v="26"/>
    <d v="2024-01-07T00:00:00"/>
    <s v="SNACK* SOMI SOMI SAN M 8668682146 CA"/>
    <n v="4.95"/>
    <s v="Restaurants"/>
    <x v="40"/>
    <x v="0"/>
    <s v="Food"/>
    <x v="1"/>
    <n v="2024"/>
    <d v="2024-01-07T00:00:00"/>
    <n v="1005.93"/>
    <n v="3"/>
    <s v="discover"/>
    <n v="0"/>
  </r>
  <r>
    <n v="418"/>
    <n v="27"/>
    <d v="2024-01-07T00:00:00"/>
    <s v="APPLE.COM/BILL 866-712-7753 CAAPPLE PAY ENDING IN 1455MMWDWL4YN9A0"/>
    <n v="9.99"/>
    <s v="Merchandise"/>
    <x v="46"/>
    <x v="1"/>
    <s v="Personal_Spending"/>
    <x v="1"/>
    <n v="2024"/>
    <d v="2024-01-07T00:00:00"/>
    <n v="1015.92"/>
    <n v="1"/>
    <s v="discover"/>
    <n v="0"/>
  </r>
  <r>
    <n v="419"/>
    <n v="28"/>
    <d v="2024-01-07T00:00:00"/>
    <s v="A&amp;A GAS BURLINGAME CA"/>
    <n v="44.62"/>
    <s v="Gasoline"/>
    <x v="47"/>
    <x v="0"/>
    <s v="Transportation"/>
    <x v="1"/>
    <n v="2024"/>
    <d v="2024-01-07T00:00:00"/>
    <n v="1060.54"/>
    <n v="1"/>
    <s v="discover"/>
    <n v="0"/>
  </r>
  <r>
    <n v="420"/>
    <n v="29"/>
    <d v="2024-01-07T00:00:00"/>
    <s v="A&amp;A GAS BURLINGAME CA"/>
    <n v="12.81"/>
    <s v="Gasoline"/>
    <x v="47"/>
    <x v="0"/>
    <s v="Transportation"/>
    <x v="1"/>
    <n v="2024"/>
    <d v="2024-01-07T00:00:00"/>
    <n v="1073.3499999999999"/>
    <n v="2"/>
    <s v="discover"/>
    <n v="0"/>
  </r>
  <r>
    <n v="421"/>
    <n v="30"/>
    <d v="2024-01-07T00:00:00"/>
    <s v="POWELL AND MARKET SAN FRANCISCOCA"/>
    <n v="82"/>
    <s v="Travel/ Entertainment"/>
    <x v="26"/>
    <x v="0"/>
    <s v="Food"/>
    <x v="1"/>
    <n v="2024"/>
    <d v="2024-01-07T00:00:00"/>
    <n v="1155.3499999999999"/>
    <n v="1"/>
    <s v="discover"/>
    <n v="0"/>
  </r>
  <r>
    <n v="422"/>
    <n v="31"/>
    <d v="2024-01-08T00:00:00"/>
    <s v="AMAZON.COM*TK9MU48R1 AMZN.COM/BILLWA560I5J5H4R6"/>
    <n v="22.08"/>
    <s v="Merchandise"/>
    <x v="36"/>
    <x v="0"/>
    <s v="Personal_Spending"/>
    <x v="1"/>
    <n v="2024"/>
    <d v="2024-01-08T00:00:00"/>
    <n v="1177.43"/>
    <n v="3"/>
    <s v="discover"/>
    <n v="0"/>
  </r>
  <r>
    <n v="423"/>
    <n v="32"/>
    <d v="2024-01-08T00:00:00"/>
    <s v="AMZN MKTP US*TK4CF4252 AMZN.COM/BILLWA33GVMNZWPVC"/>
    <n v="34.99"/>
    <s v="Merchandise"/>
    <x v="48"/>
    <x v="0"/>
    <s v="Personal_Spending"/>
    <x v="1"/>
    <n v="2024"/>
    <d v="2024-01-08T00:00:00"/>
    <n v="1212.42"/>
    <n v="1"/>
    <s v="discover"/>
    <n v="0"/>
  </r>
  <r>
    <n v="424"/>
    <n v="33"/>
    <d v="2024-01-08T00:00:00"/>
    <s v="ATG USA LLC 727-2824429 FL"/>
    <n v="49.5"/>
    <s v="Merchandise"/>
    <x v="49"/>
    <x v="1"/>
    <s v="Personal_Spending"/>
    <x v="1"/>
    <n v="2024"/>
    <d v="2024-01-08T00:00:00"/>
    <n v="1261.92"/>
    <n v="1"/>
    <s v="discover"/>
    <n v="0"/>
  </r>
  <r>
    <n v="425"/>
    <n v="34"/>
    <d v="2024-01-08T00:00:00"/>
    <s v="CCBILL.COM 888-5969279 AZ"/>
    <n v="12.75"/>
    <s v="Merchandise"/>
    <x v="38"/>
    <x v="0"/>
    <s v="Recreation_Entertainment"/>
    <x v="1"/>
    <n v="2024"/>
    <d v="2024-01-08T00:00:00"/>
    <n v="1274.67"/>
    <n v="4"/>
    <s v="discover"/>
    <n v="0"/>
  </r>
  <r>
    <n v="426"/>
    <n v="35"/>
    <d v="2024-01-08T00:00:00"/>
    <s v="FIVE GUYS CA 1370 QSR BURLINGAME CA"/>
    <n v="15.9"/>
    <s v="Restaurants"/>
    <x v="50"/>
    <x v="0"/>
    <s v="Food"/>
    <x v="1"/>
    <n v="2024"/>
    <d v="2024-01-08T00:00:00"/>
    <n v="1290.57"/>
    <n v="1"/>
    <s v="discover"/>
    <n v="0"/>
  </r>
  <r>
    <n v="427"/>
    <n v="36"/>
    <d v="2024-01-08T00:00:00"/>
    <s v="MUIR SPACE 4288 MILL VALLEY CA"/>
    <n v="9.5"/>
    <s v="Services"/>
    <x v="51"/>
    <x v="0"/>
    <s v="Recreation_Entertainment"/>
    <x v="1"/>
    <n v="2024"/>
    <d v="2024-01-08T00:00:00"/>
    <n v="1300.07"/>
    <n v="1"/>
    <s v="discover"/>
    <n v="0"/>
  </r>
  <r>
    <n v="428"/>
    <n v="37"/>
    <d v="2024-01-08T00:00:00"/>
    <s v="NOLIMITSCRYO.COM 4156399034 CA"/>
    <n v="25"/>
    <s v="Services"/>
    <x v="52"/>
    <x v="0"/>
    <s v="Personal_Spending"/>
    <x v="1"/>
    <n v="2024"/>
    <d v="2024-01-08T00:00:00"/>
    <n v="1325.07"/>
    <n v="1"/>
    <s v="discover"/>
    <n v="0"/>
  </r>
  <r>
    <n v="429"/>
    <n v="38"/>
    <d v="2024-01-08T00:00:00"/>
    <s v="SAFEWAY #1709 MENLO PARK CA"/>
    <n v="63.44"/>
    <s v="Supermarkets"/>
    <x v="26"/>
    <x v="0"/>
    <s v="Food"/>
    <x v="1"/>
    <n v="2024"/>
    <d v="2024-01-08T00:00:00"/>
    <n v="1388.51"/>
    <n v="2"/>
    <s v="discover"/>
    <n v="0"/>
  </r>
  <r>
    <n v="430"/>
    <n v="39"/>
    <d v="2024-01-08T00:00:00"/>
    <s v="TM *TICKETMASTER 415-421-8497 CANCA/40-12280"/>
    <n v="58.85"/>
    <s v="Travel/ Entertainment"/>
    <x v="53"/>
    <x v="0"/>
    <s v="Recreation_Entertainment"/>
    <x v="1"/>
    <n v="2024"/>
    <d v="2024-01-08T00:00:00"/>
    <n v="1447.36"/>
    <n v="1"/>
    <s v="discover"/>
    <n v="0"/>
  </r>
  <r>
    <n v="431"/>
    <n v="40"/>
    <d v="2024-01-09T00:00:00"/>
    <s v="TST* 3RD AVENUE SPORTS B SAN MATEO CAAPPLE PAY ENDING IN 1455"/>
    <n v="16.309999999999999"/>
    <s v="Restaurants"/>
    <x v="40"/>
    <x v="0"/>
    <s v="Food"/>
    <x v="1"/>
    <n v="2024"/>
    <d v="2024-01-09T00:00:00"/>
    <n v="1463.67"/>
    <n v="4"/>
    <s v="discover"/>
    <n v="0"/>
  </r>
  <r>
    <n v="432"/>
    <n v="41"/>
    <d v="2024-01-09T00:00:00"/>
    <s v="LICKD* TRIAL OVER 07777777777 GBR"/>
    <n v="15"/>
    <s v="Merchandise"/>
    <x v="54"/>
    <x v="1"/>
    <s v="Personal_Spending"/>
    <x v="1"/>
    <n v="2024"/>
    <d v="2024-01-09T00:00:00"/>
    <n v="1478.67"/>
    <n v="1"/>
    <s v="discover"/>
    <n v="0"/>
  </r>
  <r>
    <n v="433"/>
    <n v="42"/>
    <d v="2024-01-09T00:00:00"/>
    <s v="CCBILL.COM 888-5969279 AZ"/>
    <n v="10.62"/>
    <s v="Merchandise"/>
    <x v="38"/>
    <x v="0"/>
    <s v="Recreation_Entertainment"/>
    <x v="1"/>
    <n v="2024"/>
    <d v="2024-01-09T00:00:00"/>
    <n v="1489.29"/>
    <n v="5"/>
    <s v="discover"/>
    <n v="0"/>
  </r>
  <r>
    <n v="434"/>
    <n v="43"/>
    <d v="2024-01-10T00:00:00"/>
    <s v="60776 - SFO PARKINGCENTR SAN FRANCISCOCA"/>
    <n v="6"/>
    <s v="Services"/>
    <x v="2"/>
    <x v="0"/>
    <s v="Transportation"/>
    <x v="1"/>
    <n v="2024"/>
    <d v="2024-01-10T00:00:00"/>
    <n v="1495.29"/>
    <n v="1"/>
    <s v="discover"/>
    <n v="0"/>
  </r>
  <r>
    <n v="435"/>
    <n v="44"/>
    <d v="2024-01-10T00:00:00"/>
    <s v="INTERNET PAYMENT - THANK YOU"/>
    <n v="-1382.28"/>
    <s v="Payments and Credits"/>
    <x v="55"/>
    <x v="0"/>
    <s v="Payment_and_Interest"/>
    <x v="1"/>
    <n v="2024"/>
    <d v="2024-01-10T00:00:00"/>
    <n v="113.00999999999981"/>
    <n v="1"/>
    <s v="discover"/>
    <n v="0"/>
  </r>
  <r>
    <n v="436"/>
    <n v="45"/>
    <d v="2024-01-10T00:00:00"/>
    <s v="PANDA EXPRESS #907 P 800-877-8988 CA"/>
    <n v="11.29"/>
    <s v="Restaurants"/>
    <x v="50"/>
    <x v="0"/>
    <s v="Food"/>
    <x v="1"/>
    <n v="2024"/>
    <d v="2024-01-10T00:00:00"/>
    <n v="124.2999999999998"/>
    <n v="2"/>
    <s v="discover"/>
    <n v="0"/>
  </r>
  <r>
    <n v="437"/>
    <n v="46"/>
    <d v="2024-01-10T00:00:00"/>
    <s v="SQ *ZAREEN'S PALO ALTO PALO ALTO CA0001152921513574979682"/>
    <n v="54.89"/>
    <s v="Restaurants"/>
    <x v="40"/>
    <x v="0"/>
    <s v="Food"/>
    <x v="1"/>
    <n v="2024"/>
    <d v="2024-01-10T00:00:00"/>
    <n v="179.1899999999998"/>
    <n v="5"/>
    <s v="discover"/>
    <n v="0"/>
  </r>
  <r>
    <n v="438"/>
    <n v="47"/>
    <d v="2024-01-11T00:00:00"/>
    <s v="MUIR SPACE 4288 MILL VALLEY CA"/>
    <n v="24.5"/>
    <s v="Services"/>
    <x v="51"/>
    <x v="0"/>
    <s v="Recreation_Entertainment"/>
    <x v="1"/>
    <n v="2024"/>
    <d v="2024-01-11T00:00:00"/>
    <n v="203.6899999999998"/>
    <n v="2"/>
    <s v="discover"/>
    <n v="0"/>
  </r>
  <r>
    <n v="439"/>
    <n v="48"/>
    <d v="2024-01-11T00:00:00"/>
    <s v="MUIR WOODS MILL VALLEY CA"/>
    <n v="68.17"/>
    <s v="Merchandise"/>
    <x v="51"/>
    <x v="0"/>
    <s v="Recreation_Entertainment"/>
    <x v="1"/>
    <n v="2024"/>
    <d v="2024-01-11T00:00:00"/>
    <n v="271.85999999999979"/>
    <n v="3"/>
    <s v="discover"/>
    <n v="0"/>
  </r>
  <r>
    <n v="440"/>
    <n v="49"/>
    <d v="2024-01-11T00:00:00"/>
    <s v="SQ *PARK LIFE SAN FRANCISCOCA0001152921513577499645"/>
    <n v="86.9"/>
    <s v="Merchandise"/>
    <x v="56"/>
    <x v="0"/>
    <s v="Personal_Spending"/>
    <x v="1"/>
    <n v="2024"/>
    <d v="2024-01-11T00:00:00"/>
    <n v="358.75999999999982"/>
    <n v="1"/>
    <s v="discover"/>
    <n v="0"/>
  </r>
  <r>
    <n v="441"/>
    <n v="50"/>
    <d v="2024-01-11T00:00:00"/>
    <s v="TST* B STAR SAN FRANCISCOCA00003059015517791735AA"/>
    <n v="99.31"/>
    <s v="Restaurants"/>
    <x v="40"/>
    <x v="0"/>
    <s v="Food"/>
    <x v="1"/>
    <n v="2024"/>
    <d v="2024-01-11T00:00:00"/>
    <n v="458.06999999999982"/>
    <n v="6"/>
    <s v="discover"/>
    <n v="0"/>
  </r>
  <r>
    <n v="442"/>
    <n v="51"/>
    <d v="2024-01-12T00:00:00"/>
    <s v="FASTRAK CSC 415-486-8655 CA"/>
    <n v="25"/>
    <s v="Travel/ Entertainment"/>
    <x v="57"/>
    <x v="0"/>
    <s v="Transportation"/>
    <x v="1"/>
    <n v="2024"/>
    <d v="2024-01-12T00:00:00"/>
    <n v="483.06999999999982"/>
    <n v="1"/>
    <s v="discover"/>
    <n v="0"/>
  </r>
  <r>
    <n v="443"/>
    <n v="52"/>
    <d v="2024-01-12T00:00:00"/>
    <s v="GHIRARDELLI #138 GCE SAN FRANCISCOCA"/>
    <n v="47.1"/>
    <s v="Merchandise"/>
    <x v="58"/>
    <x v="0"/>
    <s v="Travel"/>
    <x v="1"/>
    <n v="2024"/>
    <d v="2024-01-12T00:00:00"/>
    <n v="530.16999999999973"/>
    <n v="1"/>
    <s v="discover"/>
    <n v="0"/>
  </r>
  <r>
    <n v="444"/>
    <n v="53"/>
    <d v="2024-01-12T00:00:00"/>
    <s v="TARGET 00011221091 SAN MATEO CA"/>
    <n v="46.39"/>
    <s v="Supermarkets"/>
    <x v="36"/>
    <x v="0"/>
    <s v="Personal_Spending"/>
    <x v="1"/>
    <n v="2024"/>
    <d v="2024-01-12T00:00:00"/>
    <n v="576.55999999999972"/>
    <n v="4"/>
    <s v="discover"/>
    <n v="0"/>
  </r>
  <r>
    <n v="445"/>
    <n v="54"/>
    <d v="2024-01-12T00:00:00"/>
    <s v="TST* ARACELY CAFE SAN FRANCISCOCA00042380015533706218AA"/>
    <n v="71.05"/>
    <s v="Restaurants"/>
    <x v="50"/>
    <x v="0"/>
    <s v="Food"/>
    <x v="1"/>
    <n v="2024"/>
    <d v="2024-01-12T00:00:00"/>
    <n v="647.60999999999967"/>
    <n v="3"/>
    <s v="discover"/>
    <n v="0"/>
  </r>
  <r>
    <n v="446"/>
    <n v="55"/>
    <d v="2024-01-13T00:00:00"/>
    <s v="APPLE FRIT* APPLE FRIT 8887072469 CAAPPLE PAY ENDING IN 1455"/>
    <n v="42.92"/>
    <s v="Restaurants"/>
    <x v="59"/>
    <x v="0"/>
    <s v="Recreation_Entertainment"/>
    <x v="1"/>
    <n v="2024"/>
    <d v="2024-01-13T00:00:00"/>
    <n v="690.52999999999963"/>
    <n v="1"/>
    <s v="discover"/>
    <n v="0"/>
  </r>
  <r>
    <n v="447"/>
    <n v="56"/>
    <d v="2024-01-13T00:00:00"/>
    <s v="TARGET 00011221091 SAN MATEO CA"/>
    <n v="42.64"/>
    <s v="Supermarkets"/>
    <x v="36"/>
    <x v="0"/>
    <s v="Personal_Spending"/>
    <x v="1"/>
    <n v="2024"/>
    <d v="2024-01-13T00:00:00"/>
    <n v="733.16999999999962"/>
    <n v="5"/>
    <s v="discover"/>
    <n v="0"/>
  </r>
  <r>
    <n v="448"/>
    <n v="57"/>
    <d v="2024-01-14T00:00:00"/>
    <s v="SAN FRANCISCO BOTANICAL SAN FRANCISCOCA"/>
    <n v="45"/>
    <s v="Services"/>
    <x v="60"/>
    <x v="0"/>
    <s v="Recreation_Entertainment"/>
    <x v="1"/>
    <n v="2024"/>
    <d v="2024-01-14T00:00:00"/>
    <n v="778.16999999999962"/>
    <n v="1"/>
    <s v="discover"/>
    <n v="0"/>
  </r>
  <r>
    <n v="449"/>
    <n v="58"/>
    <d v="2024-01-14T00:00:00"/>
    <s v="IN-N-OUT MILLBRAE MILLBRAE CA01467P"/>
    <n v="33.409999999999997"/>
    <s v="Restaurants"/>
    <x v="50"/>
    <x v="0"/>
    <s v="Food"/>
    <x v="1"/>
    <n v="2024"/>
    <d v="2024-01-14T00:00:00"/>
    <n v="811.57999999999959"/>
    <n v="4"/>
    <s v="discover"/>
    <n v="0"/>
  </r>
  <r>
    <n v="450"/>
    <n v="59"/>
    <d v="2024-01-15T00:00:00"/>
    <s v="CAFE AT MOUNTAIN VIEW: G MOUNTAIN VIEWCA"/>
    <n v="9.2799999999999994"/>
    <s v="Restaurants"/>
    <x v="50"/>
    <x v="0"/>
    <s v="Food"/>
    <x v="1"/>
    <n v="2024"/>
    <d v="2024-01-15T00:00:00"/>
    <n v="820.85999999999956"/>
    <n v="5"/>
    <s v="discover"/>
    <n v="0"/>
  </r>
  <r>
    <n v="451"/>
    <n v="60"/>
    <d v="2024-01-15T00:00:00"/>
    <s v="LA FITNESS 949-255-8100 CA"/>
    <n v="220"/>
    <s v="Travel/ Entertainment"/>
    <x v="49"/>
    <x v="1"/>
    <s v="Personal_Spending"/>
    <x v="1"/>
    <n v="2024"/>
    <d v="2024-01-15T00:00:00"/>
    <n v="1040.8599999999999"/>
    <n v="2"/>
    <s v="discover"/>
    <n v="0"/>
  </r>
  <r>
    <n v="452"/>
    <n v="61"/>
    <d v="2024-01-15T00:00:00"/>
    <s v="SQ *PALMETTO SUPERFOOD BURLINGAME CA0001152921513588761229"/>
    <n v="25.88"/>
    <s v="Restaurants"/>
    <x v="40"/>
    <x v="0"/>
    <s v="Food"/>
    <x v="1"/>
    <n v="2024"/>
    <d v="2024-01-15T00:00:00"/>
    <n v="1066.74"/>
    <n v="7"/>
    <s v="discover"/>
    <n v="0"/>
  </r>
  <r>
    <n v="453"/>
    <n v="62"/>
    <d v="2024-01-15T00:00:00"/>
    <s v="TARGET 00011221091 SAN MATEO CA"/>
    <n v="81.8"/>
    <s v="Supermarkets"/>
    <x v="36"/>
    <x v="0"/>
    <s v="Personal_Spending"/>
    <x v="1"/>
    <n v="2024"/>
    <d v="2024-01-15T00:00:00"/>
    <n v="1148.54"/>
    <n v="6"/>
    <s v="discover"/>
    <n v="0"/>
  </r>
  <r>
    <n v="454"/>
    <n v="63"/>
    <d v="2024-01-16T00:00:00"/>
    <s v="DD *TEAPLUSNOODLES 6506819470 CA"/>
    <n v="71.34"/>
    <s v="Restaurants"/>
    <x v="40"/>
    <x v="0"/>
    <s v="Food"/>
    <x v="1"/>
    <n v="2024"/>
    <d v="2024-01-16T00:00:00"/>
    <n v="1219.8800000000001"/>
    <n v="8"/>
    <s v="discover"/>
    <n v="0"/>
  </r>
  <r>
    <n v="455"/>
    <n v="64"/>
    <d v="2024-01-16T00:00:00"/>
    <s v="EXXONMOBIL SAN FRANCISCOCA"/>
    <n v="13.73"/>
    <s v="Gasoline"/>
    <x v="47"/>
    <x v="0"/>
    <s v="Transportation"/>
    <x v="1"/>
    <n v="2024"/>
    <d v="2024-01-16T00:00:00"/>
    <n v="1233.6099999999999"/>
    <n v="3"/>
    <s v="discover"/>
    <n v="0"/>
  </r>
  <r>
    <n v="456"/>
    <n v="65"/>
    <d v="2024-01-16T00:00:00"/>
    <s v="EXXONMOBIL SAN FRANCISCOCA"/>
    <n v="47.01"/>
    <s v="Gasoline"/>
    <x v="47"/>
    <x v="0"/>
    <s v="Transportation"/>
    <x v="1"/>
    <n v="2024"/>
    <d v="2024-01-16T00:00:00"/>
    <n v="1280.6199999999999"/>
    <n v="4"/>
    <s v="discover"/>
    <n v="0"/>
  </r>
  <r>
    <n v="457"/>
    <n v="66"/>
    <d v="2024-01-16T00:00:00"/>
    <s v="SQ *BLACK BIRD BOOKSTO SAN FRANCISCOCA0001152921513591984154"/>
    <n v="69.510000000000005"/>
    <s v="Merchandise"/>
    <x v="24"/>
    <x v="0"/>
    <s v="Personal_Spending"/>
    <x v="1"/>
    <n v="2024"/>
    <d v="2024-01-16T00:00:00"/>
    <n v="1350.13"/>
    <n v="2"/>
    <s v="discover"/>
    <n v="0"/>
  </r>
  <r>
    <n v="458"/>
    <n v="67"/>
    <d v="2024-01-16T00:00:00"/>
    <s v="STATE FARM INSURANCE 800-956-6310 ILITEM TRANSFERRED FROM PREV ACCOUNT"/>
    <n v="90.83"/>
    <s v="Merchandise"/>
    <x v="61"/>
    <x v="1"/>
    <s v="Insurance"/>
    <x v="1"/>
    <n v="2024"/>
    <d v="2024-01-16T00:00:00"/>
    <n v="1440.96"/>
    <n v="1"/>
    <s v="discover"/>
    <n v="0"/>
  </r>
  <r>
    <n v="459"/>
    <n v="68"/>
    <d v="2024-01-17T00:00:00"/>
    <s v="JFF PUBLICATIONS WILTON MANORSFL"/>
    <n v="10.99"/>
    <s v="Merchandise"/>
    <x v="27"/>
    <x v="0"/>
    <s v="Recreation_Entertainment"/>
    <x v="1"/>
    <n v="2024"/>
    <d v="2024-01-17T00:00:00"/>
    <n v="1451.95"/>
    <n v="2"/>
    <s v="discover"/>
    <n v="0"/>
  </r>
  <r>
    <n v="460"/>
    <n v="69"/>
    <d v="2024-01-17T00:00:00"/>
    <s v="SAFEWAY #1547 BURLINGAME CA"/>
    <n v="41.28"/>
    <s v="Supermarkets"/>
    <x v="26"/>
    <x v="0"/>
    <s v="Food"/>
    <x v="1"/>
    <n v="2024"/>
    <d v="2024-01-17T00:00:00"/>
    <n v="1493.23"/>
    <n v="3"/>
    <s v="discover"/>
    <n v="0"/>
  </r>
  <r>
    <n v="461"/>
    <n v="70"/>
    <d v="2024-01-18T00:00:00"/>
    <s v="TARGET 00011221091 SAN MATEO CA"/>
    <n v="48.48"/>
    <s v="Supermarkets"/>
    <x v="36"/>
    <x v="0"/>
    <s v="Personal_Spending"/>
    <x v="1"/>
    <n v="2024"/>
    <d v="2024-01-18T00:00:00"/>
    <n v="1541.71"/>
    <n v="7"/>
    <s v="discover"/>
    <n v="0"/>
  </r>
  <r>
    <n v="462"/>
    <n v="71"/>
    <d v="2024-01-19T00:00:00"/>
    <s v="UNITED AIRLINES 18004214655 TX"/>
    <n v="35"/>
    <s v="Travel/ Entertainment"/>
    <x v="62"/>
    <x v="0"/>
    <s v="Travel"/>
    <x v="1"/>
    <n v="2024"/>
    <d v="2024-01-19T00:00:00"/>
    <n v="1576.71"/>
    <n v="1"/>
    <s v="discover"/>
    <n v="0"/>
  </r>
  <r>
    <n v="463"/>
    <n v="72"/>
    <d v="2024-01-19T00:00:00"/>
    <s v="TST* AMOURA CAFE SFO SOUTH SAN FRACA00107565015631300789AA"/>
    <n v="20.07"/>
    <s v="Restaurants"/>
    <x v="50"/>
    <x v="0"/>
    <s v="Food"/>
    <x v="1"/>
    <n v="2024"/>
    <d v="2024-01-19T00:00:00"/>
    <n v="1596.78"/>
    <n v="6"/>
    <s v="discover"/>
    <n v="0"/>
  </r>
  <r>
    <n v="464"/>
    <n v="73"/>
    <d v="2024-01-19T00:00:00"/>
    <s v="SARA LEE DENVER CO"/>
    <n v="15.93"/>
    <s v="Restaurants"/>
    <x v="40"/>
    <x v="0"/>
    <s v="Food"/>
    <x v="1"/>
    <n v="2024"/>
    <d v="2024-01-19T00:00:00"/>
    <n v="1612.71"/>
    <n v="9"/>
    <s v="discover"/>
    <n v="0"/>
  </r>
  <r>
    <n v="465"/>
    <n v="74"/>
    <d v="2024-01-19T00:00:00"/>
    <s v="665 - DISTRICT MARKET SAN FRANCISCOCA01955P"/>
    <n v="11.45"/>
    <s v="Merchandise"/>
    <x v="26"/>
    <x v="0"/>
    <s v="Food"/>
    <x v="1"/>
    <n v="2024"/>
    <d v="2024-01-19T00:00:00"/>
    <n v="1624.16"/>
    <n v="4"/>
    <s v="discover"/>
    <n v="0"/>
  </r>
  <r>
    <n v="466"/>
    <n v="75"/>
    <d v="2024-01-19T00:00:00"/>
    <s v="CARBON HEALTH 4152002133 CA"/>
    <n v="20.16"/>
    <s v="Medical Services"/>
    <x v="63"/>
    <x v="0"/>
    <s v="Medical"/>
    <x v="1"/>
    <n v="2024"/>
    <d v="2024-01-19T00:00:00"/>
    <n v="1644.32"/>
    <n v="1"/>
    <s v="discover"/>
    <n v="0"/>
  </r>
  <r>
    <n v="467"/>
    <n v="76"/>
    <d v="2024-01-19T00:00:00"/>
    <s v="HUDSONNEWS ST1104 DENVER CO"/>
    <n v="9.57"/>
    <s v="Merchandise"/>
    <x v="64"/>
    <x v="0"/>
    <s v="Travel"/>
    <x v="1"/>
    <n v="2024"/>
    <d v="2024-01-19T00:00:00"/>
    <n v="1653.89"/>
    <n v="1"/>
    <s v="discover"/>
    <n v="0"/>
  </r>
  <r>
    <n v="468"/>
    <n v="77"/>
    <d v="2024-01-20T00:00:00"/>
    <s v="DUNKIN #362811 TULSA OK"/>
    <n v="11.9"/>
    <s v="Restaurants"/>
    <x v="44"/>
    <x v="0"/>
    <s v="Food"/>
    <x v="1"/>
    <n v="2024"/>
    <d v="2024-01-20T00:00:00"/>
    <n v="1665.79"/>
    <n v="2"/>
    <s v="discover"/>
    <n v="0"/>
  </r>
  <r>
    <n v="469"/>
    <n v="78"/>
    <d v="2024-01-20T00:00:00"/>
    <s v="TARGET 00000190091 TULSA OK"/>
    <n v="156.57"/>
    <s v="Supermarkets"/>
    <x v="36"/>
    <x v="0"/>
    <s v="Personal_Spending"/>
    <x v="1"/>
    <n v="2024"/>
    <d v="2024-01-20T00:00:00"/>
    <n v="1822.36"/>
    <n v="8"/>
    <s v="discover"/>
    <n v="0"/>
  </r>
  <r>
    <n v="470"/>
    <n v="79"/>
    <d v="2024-01-20T00:00:00"/>
    <s v="UNITED AIRLINES 18004214655 TXAPPLE PAY ENDING IN 1455"/>
    <n v="35"/>
    <s v="Travel/ Entertainment"/>
    <x v="62"/>
    <x v="0"/>
    <s v="Travel"/>
    <x v="1"/>
    <n v="2024"/>
    <d v="2024-01-20T00:00:00"/>
    <n v="1857.36"/>
    <n v="2"/>
    <s v="discover"/>
    <n v="0"/>
  </r>
  <r>
    <n v="471"/>
    <n v="80"/>
    <d v="2024-01-21T00:00:00"/>
    <s v="GIORDANO'S PRUDENTIAL CHICAGO IL02110P"/>
    <n v="45.04"/>
    <s v="Restaurants"/>
    <x v="58"/>
    <x v="0"/>
    <s v="Travel"/>
    <x v="1"/>
    <n v="2024"/>
    <d v="2024-01-21T00:00:00"/>
    <n v="1902.4"/>
    <n v="2"/>
    <s v="discover"/>
    <n v="0"/>
  </r>
  <r>
    <n v="472"/>
    <n v="81"/>
    <d v="2024-01-21T00:00:00"/>
    <s v="HUDSONNEWS ST862 DES PLAINES IL"/>
    <n v="16.27"/>
    <s v="Merchandise"/>
    <x v="64"/>
    <x v="0"/>
    <s v="Travel"/>
    <x v="1"/>
    <n v="2024"/>
    <d v="2024-01-21T00:00:00"/>
    <n v="1918.67"/>
    <n v="2"/>
    <s v="discover"/>
    <n v="0"/>
  </r>
  <r>
    <n v="473"/>
    <n v="82"/>
    <d v="2024-01-21T00:00:00"/>
    <s v="OAKLEY B107 CHICAGO IL"/>
    <n v="86.01"/>
    <s v="Medical Services"/>
    <x v="58"/>
    <x v="0"/>
    <s v="Travel"/>
    <x v="1"/>
    <n v="2024"/>
    <d v="2024-01-21T00:00:00"/>
    <n v="2004.68"/>
    <n v="3"/>
    <s v="discover"/>
    <n v="0"/>
  </r>
  <r>
    <n v="474"/>
    <n v="83"/>
    <d v="2024-01-21T00:00:00"/>
    <s v="TULSA AIRPORT TULSA OK"/>
    <n v="14.6"/>
    <s v="Restaurants"/>
    <x v="64"/>
    <x v="0"/>
    <s v="Travel"/>
    <x v="1"/>
    <n v="2024"/>
    <d v="2024-01-21T00:00:00"/>
    <n v="2019.28"/>
    <n v="3"/>
    <s v="discover"/>
    <n v="0"/>
  </r>
  <r>
    <n v="475"/>
    <n v="84"/>
    <d v="2024-01-22T00:00:00"/>
    <s v="AMAZON.COM*R05GT90R0 AMZN.COM/BILLWAKUEGRMXXPE5"/>
    <n v="22.08"/>
    <s v="Merchandise"/>
    <x v="36"/>
    <x v="0"/>
    <s v="Personal_Spending"/>
    <x v="1"/>
    <n v="2024"/>
    <d v="2024-01-22T00:00:00"/>
    <n v="2041.359999999999"/>
    <n v="9"/>
    <s v="discover"/>
    <n v="0"/>
  </r>
  <r>
    <n v="476"/>
    <n v="85"/>
    <d v="2024-01-24T00:00:00"/>
    <s v="TARGET 00011221091 SAN MATEO CAAPPLE PAY ENDING IN 1455"/>
    <n v="42.17"/>
    <s v="Supermarkets"/>
    <x v="36"/>
    <x v="0"/>
    <s v="Personal_Spending"/>
    <x v="1"/>
    <n v="2024"/>
    <d v="2024-01-24T00:00:00"/>
    <n v="2083.5299999999988"/>
    <n v="10"/>
    <s v="discover"/>
    <n v="0"/>
  </r>
  <r>
    <n v="477"/>
    <n v="86"/>
    <d v="2024-01-24T00:00:00"/>
    <s v="SQ *PARK LIFE SAN FRANCISCOCA0001152921513614475959"/>
    <n v="65.180000000000007"/>
    <s v="Merchandise"/>
    <x v="56"/>
    <x v="0"/>
    <s v="Personal_Spending"/>
    <x v="1"/>
    <n v="2024"/>
    <d v="2024-01-24T00:00:00"/>
    <n v="2148.7099999999991"/>
    <n v="2"/>
    <s v="discover"/>
    <n v="0"/>
  </r>
  <r>
    <n v="478"/>
    <n v="87"/>
    <d v="2024-01-25T00:00:00"/>
    <s v="INTERNET PAYMENT - THANK YOU"/>
    <n v="-2068.37"/>
    <s v="Payments and Credits"/>
    <x v="55"/>
    <x v="0"/>
    <s v="Payment_and_Interest"/>
    <x v="1"/>
    <n v="2024"/>
    <d v="2024-01-25T00:00:00"/>
    <n v="80.339999999999236"/>
    <n v="2"/>
    <s v="discover"/>
    <n v="0"/>
  </r>
  <r>
    <n v="479"/>
    <n v="88"/>
    <d v="2024-01-25T00:00:00"/>
    <s v="TST* LETS ROLL ICE CRE 415-999-9882 CA00097960015707478344AA"/>
    <n v="10"/>
    <s v="Restaurants"/>
    <x v="65"/>
    <x v="0"/>
    <s v="Personal_Spending"/>
    <x v="1"/>
    <n v="2024"/>
    <d v="2024-01-25T00:00:00"/>
    <n v="90.339999999999236"/>
    <n v="1"/>
    <s v="discover"/>
    <n v="0"/>
  </r>
  <r>
    <n v="480"/>
    <n v="89"/>
    <d v="2024-01-26T00:00:00"/>
    <s v="CCBILL.COM 888-5969279 AZ"/>
    <n v="8.49"/>
    <s v="Merchandise"/>
    <x v="38"/>
    <x v="0"/>
    <s v="Recreation_Entertainment"/>
    <x v="1"/>
    <n v="2024"/>
    <d v="2024-01-26T00:00:00"/>
    <n v="98.829999999999231"/>
    <n v="6"/>
    <s v="discover"/>
    <n v="0"/>
  </r>
  <r>
    <n v="481"/>
    <n v="90"/>
    <d v="2024-01-27T00:00:00"/>
    <s v="ADOBE INC. 408-536-6000 CA"/>
    <n v="29.99"/>
    <s v="Merchandise"/>
    <x v="66"/>
    <x v="1"/>
    <s v="Personal_Spending"/>
    <x v="1"/>
    <n v="2024"/>
    <d v="2024-01-27T00:00:00"/>
    <n v="128.8199999999992"/>
    <n v="1"/>
    <s v="discover"/>
    <n v="0"/>
  </r>
  <r>
    <n v="482"/>
    <n v="91"/>
    <d v="2024-01-27T00:00:00"/>
    <s v="ITOYA TOPDRAWER-PALO ALT PALO ALTO CA"/>
    <n v="69.760000000000005"/>
    <s v="Merchandise"/>
    <x v="67"/>
    <x v="0"/>
    <s v="Personal_Spending"/>
    <x v="1"/>
    <n v="2024"/>
    <d v="2024-01-27T00:00:00"/>
    <n v="198.57999999999919"/>
    <n v="1"/>
    <s v="discover"/>
    <n v="0"/>
  </r>
  <r>
    <n v="483"/>
    <n v="92"/>
    <d v="2024-01-27T00:00:00"/>
    <s v="JOE THE JUICE NY BURLINGAME CA"/>
    <n v="17.989999999999998"/>
    <s v="Restaurants"/>
    <x v="40"/>
    <x v="0"/>
    <s v="Food"/>
    <x v="1"/>
    <n v="2024"/>
    <d v="2024-01-27T00:00:00"/>
    <n v="216.56999999999931"/>
    <n v="10"/>
    <s v="discover"/>
    <n v="0"/>
  </r>
  <r>
    <n v="484"/>
    <n v="93"/>
    <d v="2024-01-27T00:00:00"/>
    <s v="TST* SUNRIGHT TEA STUDIO SAN JOSE CA"/>
    <n v="14.49"/>
    <s v="Restaurants"/>
    <x v="40"/>
    <x v="0"/>
    <s v="Food"/>
    <x v="1"/>
    <n v="2024"/>
    <d v="2024-01-27T00:00:00"/>
    <n v="231.05999999999929"/>
    <n v="11"/>
    <s v="discover"/>
    <n v="0"/>
  </r>
  <r>
    <n v="485"/>
    <n v="94"/>
    <d v="2024-01-28T00:00:00"/>
    <s v="SQ *BLUE OAK BREWING C SAN CARLOS CA0001152921513628299936"/>
    <n v="12.6"/>
    <s v="Restaurants"/>
    <x v="40"/>
    <x v="0"/>
    <s v="Food"/>
    <x v="1"/>
    <n v="2024"/>
    <d v="2024-01-28T00:00:00"/>
    <n v="243.65999999999929"/>
    <n v="12"/>
    <s v="discover"/>
    <n v="0"/>
  </r>
  <r>
    <n v="486"/>
    <n v="95"/>
    <d v="2024-01-28T00:00:00"/>
    <s v="SQ *BLUE OAK BREWING C SAN CARLOS CA0001152921513628390332"/>
    <n v="12.6"/>
    <s v="Restaurants"/>
    <x v="40"/>
    <x v="0"/>
    <s v="Food"/>
    <x v="1"/>
    <n v="2024"/>
    <d v="2024-01-28T00:00:00"/>
    <n v="256.25999999999931"/>
    <n v="13"/>
    <s v="discover"/>
    <n v="0"/>
  </r>
  <r>
    <n v="487"/>
    <n v="96"/>
    <d v="2024-01-28T00:00:00"/>
    <s v="SQ *OFF THE GRID SAN FRANCISCOCAAPPLE PAY ENDING IN 14550001152921513628124415"/>
    <n v="35.35"/>
    <s v="Restaurants"/>
    <x v="40"/>
    <x v="0"/>
    <s v="Food"/>
    <x v="1"/>
    <n v="2024"/>
    <d v="2024-01-28T00:00:00"/>
    <n v="291.60999999999927"/>
    <n v="14"/>
    <s v="discover"/>
    <n v="0"/>
  </r>
  <r>
    <n v="488"/>
    <n v="97"/>
    <d v="2024-01-28T00:00:00"/>
    <s v="TARGET 00011221091 SAN MATEO CA"/>
    <n v="99.78"/>
    <s v="Supermarkets"/>
    <x v="36"/>
    <x v="0"/>
    <s v="Personal_Spending"/>
    <x v="1"/>
    <n v="2024"/>
    <d v="2024-01-28T00:00:00"/>
    <n v="391.3899999999993"/>
    <n v="11"/>
    <s v="discover"/>
    <n v="0"/>
  </r>
  <r>
    <n v="489"/>
    <n v="98"/>
    <d v="2024-01-30T00:00:00"/>
    <s v="SQ *GAI CHICKEN AND RI SAN FRANCISCOCA0001152921513633686044"/>
    <n v="5.97"/>
    <s v="Restaurants"/>
    <x v="58"/>
    <x v="0"/>
    <s v="Travel"/>
    <x v="1"/>
    <n v="2024"/>
    <d v="2024-01-30T00:00:00"/>
    <n v="397.35999999999927"/>
    <n v="4"/>
    <s v="discover"/>
    <n v="0"/>
  </r>
  <r>
    <n v="490"/>
    <n v="99"/>
    <d v="2024-01-30T00:00:00"/>
    <s v="EXPLOSIONS IN THE SKY 6502396947 TX"/>
    <n v="35"/>
    <s v="Merchandise"/>
    <x v="68"/>
    <x v="0"/>
    <s v="Personal_Spending"/>
    <x v="1"/>
    <n v="2024"/>
    <d v="2024-01-30T00:00:00"/>
    <n v="432.35999999999927"/>
    <n v="1"/>
    <s v="discover"/>
    <n v="0"/>
  </r>
  <r>
    <n v="491"/>
    <n v="100"/>
    <d v="2024-01-31T00:00:00"/>
    <s v="JFF PUBLICATIONS WILTON MANORSFL"/>
    <n v="25.99"/>
    <s v="Merchandise"/>
    <x v="27"/>
    <x v="0"/>
    <s v="Recreation_Entertainment"/>
    <x v="1"/>
    <n v="2024"/>
    <d v="2024-01-31T00:00:00"/>
    <n v="458.34999999999928"/>
    <n v="3"/>
    <s v="discover"/>
    <n v="0"/>
  </r>
  <r>
    <n v="492"/>
    <n v="101"/>
    <d v="2024-01-31T00:00:00"/>
    <s v="SQ *GAI CHICKEN AND RI GOSQ.COM CAAPPLE PAY ENDING IN 14550001152921513633626927"/>
    <n v="15.64"/>
    <s v="Restaurants"/>
    <x v="58"/>
    <x v="0"/>
    <s v="Travel"/>
    <x v="1"/>
    <n v="2024"/>
    <d v="2024-01-31T00:00:00"/>
    <n v="473.98999999999933"/>
    <n v="5"/>
    <s v="discover"/>
    <n v="1"/>
  </r>
  <r>
    <n v="493"/>
    <n v="102"/>
    <d v="2024-02-01T00:00:00"/>
    <s v="APPLE.COM/BILL 866-712-7753 CAAPPLE PAY ENDING IN 1455"/>
    <n v="31.75"/>
    <s v="Merchandise"/>
    <x v="59"/>
    <x v="0"/>
    <s v="Recreation_Entertainment"/>
    <x v="2"/>
    <n v="2024"/>
    <d v="2024-02-01T00:00:00"/>
    <n v="505.73999999999933"/>
    <n v="2"/>
    <s v="discover"/>
    <n v="0"/>
  </r>
  <r>
    <n v="494"/>
    <n v="103"/>
    <d v="2024-02-01T00:00:00"/>
    <s v="CHATGPT SUBSCRIPTION 4158799686 CA"/>
    <n v="20"/>
    <s v="Merchandise"/>
    <x v="30"/>
    <x v="1"/>
    <s v="Personal_Spending"/>
    <x v="2"/>
    <n v="2024"/>
    <d v="2024-02-01T00:00:00"/>
    <n v="525.73999999999933"/>
    <n v="2"/>
    <s v="discover"/>
    <n v="0"/>
  </r>
  <r>
    <n v="495"/>
    <n v="104"/>
    <d v="2024-02-01T00:00:00"/>
    <s v="COCUSOCIAL COOKING CLA 9299303900 NY"/>
    <n v="126"/>
    <s v="Supermarkets"/>
    <x v="69"/>
    <x v="0"/>
    <s v="People"/>
    <x v="2"/>
    <n v="2024"/>
    <d v="2024-02-01T00:00:00"/>
    <n v="651.73999999999933"/>
    <n v="1"/>
    <s v="discover"/>
    <n v="0"/>
  </r>
  <r>
    <n v="496"/>
    <n v="105"/>
    <d v="2024-02-01T00:00:00"/>
    <s v="PADDLE.NET* REALPYTHON 7745236658 NY"/>
    <n v="29.99"/>
    <s v="Merchandise"/>
    <x v="35"/>
    <x v="1"/>
    <s v="Personal_Spending"/>
    <x v="2"/>
    <n v="2024"/>
    <d v="2024-02-01T00:00:00"/>
    <n v="681.72999999999934"/>
    <n v="2"/>
    <s v="discover"/>
    <n v="0"/>
  </r>
  <r>
    <n v="497"/>
    <n v="106"/>
    <d v="2024-02-01T00:00:00"/>
    <s v="BARNES &amp; NOBLE #3450 BURLINGAME CA"/>
    <n v="59.13"/>
    <s v="Merchandise"/>
    <x v="40"/>
    <x v="0"/>
    <s v="Food"/>
    <x v="2"/>
    <n v="2024"/>
    <d v="2024-02-01T00:00:00"/>
    <n v="740.85999999999933"/>
    <n v="15"/>
    <s v="discover"/>
    <n v="0"/>
  </r>
  <r>
    <n v="498"/>
    <n v="107"/>
    <d v="2024-02-01T00:00:00"/>
    <s v="PLANNED PARENTHOOD ACTIO NEW YORK NY"/>
    <n v="5"/>
    <s v="Services"/>
    <x v="31"/>
    <x v="1"/>
    <s v="Personal_Spending"/>
    <x v="2"/>
    <n v="2024"/>
    <d v="2024-02-01T00:00:00"/>
    <n v="745.85999999999933"/>
    <n v="2"/>
    <s v="discover"/>
    <n v="0"/>
  </r>
  <r>
    <n v="499"/>
    <n v="108"/>
    <d v="2024-02-01T00:00:00"/>
    <s v="SPOTIFY P298D360D2 8777781161 NY"/>
    <n v="5.99"/>
    <s v="Merchandise"/>
    <x v="32"/>
    <x v="1"/>
    <s v="Recreation_Entertainment"/>
    <x v="2"/>
    <n v="2024"/>
    <d v="2024-02-01T00:00:00"/>
    <n v="751.84999999999934"/>
    <n v="2"/>
    <s v="discover"/>
    <n v="0"/>
  </r>
  <r>
    <n v="500"/>
    <n v="109"/>
    <d v="2024-02-02T00:00:00"/>
    <s v="KRYSTAL AND SAAGAR 2025317527 DCITEM TRANSFERRED FROM PREV ACCOUNT"/>
    <n v="10"/>
    <s v="Merchandise"/>
    <x v="34"/>
    <x v="1"/>
    <s v="Recreation_Entertainment"/>
    <x v="2"/>
    <n v="2024"/>
    <d v="2024-02-02T00:00:00"/>
    <n v="761.84999999999934"/>
    <n v="2"/>
    <s v="discover"/>
    <n v="0"/>
  </r>
  <r>
    <n v="501"/>
    <n v="110"/>
    <d v="2024-02-02T00:00:00"/>
    <s v="ONEPASS 877-515-9364 MN299153"/>
    <n v="273.60000000000002"/>
    <s v="Services"/>
    <x v="33"/>
    <x v="1"/>
    <s v="Personal_Spending"/>
    <x v="2"/>
    <n v="2024"/>
    <d v="2024-02-02T00:00:00"/>
    <n v="1035.4499999999989"/>
    <n v="4"/>
    <s v="discover"/>
    <n v="0"/>
  </r>
  <r>
    <n v="502"/>
    <n v="111"/>
    <d v="2024-02-02T00:00:00"/>
    <s v="CAFE MAJESTIC SAN FRANCISCOCA"/>
    <n v="24.12"/>
    <s v="Restaurants"/>
    <x v="50"/>
    <x v="0"/>
    <s v="Food"/>
    <x v="2"/>
    <n v="2024"/>
    <d v="2024-02-02T00:00:00"/>
    <n v="1059.569999999999"/>
    <n v="7"/>
    <s v="discover"/>
    <n v="0"/>
  </r>
  <r>
    <n v="503"/>
    <n v="112"/>
    <d v="2024-02-02T00:00:00"/>
    <s v="SAFEWAY #1547 BURLINGAME CA"/>
    <n v="40.71"/>
    <s v="Supermarkets"/>
    <x v="26"/>
    <x v="0"/>
    <s v="Food"/>
    <x v="2"/>
    <n v="2024"/>
    <d v="2024-02-02T00:00:00"/>
    <n v="1100.2799999999991"/>
    <n v="5"/>
    <s v="discover"/>
    <n v="0"/>
  </r>
  <r>
    <n v="504"/>
    <n v="113"/>
    <d v="2024-02-03T00:00:00"/>
    <s v="JFF PUBLICATIONS WILTON MANORSFL"/>
    <n v="20.99"/>
    <s v="Merchandise"/>
    <x v="27"/>
    <x v="0"/>
    <s v="Recreation_Entertainment"/>
    <x v="2"/>
    <n v="2024"/>
    <d v="2024-02-03T00:00:00"/>
    <n v="1121.2699999999991"/>
    <n v="4"/>
    <s v="discover"/>
    <n v="0"/>
  </r>
  <r>
    <n v="505"/>
    <n v="114"/>
    <d v="2024-02-03T00:00:00"/>
    <s v="AUTOMATIC STATEMENT CREDIT"/>
    <n v="-49.26"/>
    <s v="Awards and Rebate Credits"/>
    <x v="39"/>
    <x v="0"/>
    <s v="Payment_and_Interest"/>
    <x v="2"/>
    <n v="2024"/>
    <d v="2024-02-03T00:00:00"/>
    <n v="1072.0099999999991"/>
    <n v="2"/>
    <s v="discover"/>
    <n v="0"/>
  </r>
  <r>
    <n v="506"/>
    <n v="115"/>
    <d v="2024-02-04T00:00:00"/>
    <s v="ASIAN BOX- ASIAN ART MUS SAN FRANCISCOCA"/>
    <n v="27.35"/>
    <s v="Restaurants"/>
    <x v="40"/>
    <x v="0"/>
    <s v="Food"/>
    <x v="2"/>
    <n v="2024"/>
    <d v="2024-02-04T00:00:00"/>
    <n v="1099.359999999999"/>
    <n v="16"/>
    <s v="discover"/>
    <n v="0"/>
  </r>
  <r>
    <n v="507"/>
    <n v="116"/>
    <d v="2024-02-04T00:00:00"/>
    <s v="AMAZON.COM*R21YF99W2 AMZN.COM/BILLWAM5391JUR8QP"/>
    <n v="22.08"/>
    <s v="Merchandise"/>
    <x v="36"/>
    <x v="0"/>
    <s v="Personal_Spending"/>
    <x v="2"/>
    <n v="2024"/>
    <d v="2024-02-04T00:00:00"/>
    <n v="1121.4399999999989"/>
    <n v="12"/>
    <s v="discover"/>
    <n v="0"/>
  </r>
  <r>
    <n v="508"/>
    <n v="117"/>
    <d v="2024-02-05T00:00:00"/>
    <s v="AMAZON.COM*RB94D4TU0 AMZN.COM/BILLWA4A5039PKX10"/>
    <n v="18.09"/>
    <s v="Merchandise"/>
    <x v="36"/>
    <x v="0"/>
    <s v="Personal_Spending"/>
    <x v="2"/>
    <n v="2024"/>
    <d v="2024-02-05T00:00:00"/>
    <n v="1139.5299999999991"/>
    <n v="13"/>
    <s v="discover"/>
    <n v="0"/>
  </r>
  <r>
    <n v="509"/>
    <n v="118"/>
    <d v="2024-02-06T00:00:00"/>
    <s v="DOTHEBAY MORE 5129009058 TXAPPLE PAY ENDING IN 1455"/>
    <n v="5"/>
    <s v="Merchandise"/>
    <x v="42"/>
    <x v="1"/>
    <s v="Personal_Spending"/>
    <x v="2"/>
    <n v="2024"/>
    <d v="2024-02-06T00:00:00"/>
    <n v="1144.5299999999991"/>
    <n v="2"/>
    <s v="discover"/>
    <n v="0"/>
  </r>
  <r>
    <n v="510"/>
    <n v="119"/>
    <d v="2024-02-07T00:00:00"/>
    <s v="APPLE.COM/BILL 866-712-7753 CAAPPLE PAY ENDING IN 1455MMWDYYBWWGA0"/>
    <n v="9.99"/>
    <s v="Merchandise"/>
    <x v="46"/>
    <x v="1"/>
    <s v="Personal_Spending"/>
    <x v="2"/>
    <n v="2024"/>
    <d v="2024-02-07T00:00:00"/>
    <n v="1154.5199999999991"/>
    <n v="2"/>
    <s v="discover"/>
    <n v="0"/>
  </r>
  <r>
    <n v="511"/>
    <n v="120"/>
    <d v="2024-02-07T00:00:00"/>
    <s v="INTERNET PAYMENT - THANK YOU"/>
    <n v="-1166.54"/>
    <s v="Payments and Credits"/>
    <x v="55"/>
    <x v="0"/>
    <s v="Payment_and_Interest"/>
    <x v="2"/>
    <n v="2024"/>
    <d v="2024-02-07T00:00:00"/>
    <n v="-12.02000000000089"/>
    <n v="3"/>
    <s v="discover"/>
    <n v="0"/>
  </r>
  <r>
    <n v="512"/>
    <n v="121"/>
    <d v="2024-02-07T00:00:00"/>
    <s v="DOTHEBAY MORE 5129009058 TXAPPLE PAY ENDING IN 1455"/>
    <n v="-5"/>
    <s v="Payments and Credits"/>
    <x v="42"/>
    <x v="1"/>
    <s v="Personal_Spending"/>
    <x v="2"/>
    <n v="2024"/>
    <d v="2024-02-07T00:00:00"/>
    <n v="-17.020000000000891"/>
    <n v="3"/>
    <s v="discover"/>
    <n v="0"/>
  </r>
  <r>
    <n v="513"/>
    <n v="122"/>
    <d v="2024-02-08T00:00:00"/>
    <s v="99 RANCH #1782 FOSTER CITY CA"/>
    <n v="87.72"/>
    <s v="Supermarkets"/>
    <x v="26"/>
    <x v="0"/>
    <s v="Food"/>
    <x v="2"/>
    <n v="2024"/>
    <d v="2024-02-08T00:00:00"/>
    <n v="70.699999999999108"/>
    <n v="6"/>
    <s v="discover"/>
    <n v="0"/>
  </r>
  <r>
    <n v="514"/>
    <n v="123"/>
    <d v="2024-02-08T00:00:00"/>
    <s v="CLASSPASS* MONTHLY 8884935953 MT"/>
    <n v="89"/>
    <s v="Travel/ Entertainment"/>
    <x v="70"/>
    <x v="0"/>
    <s v="Personal_Spending"/>
    <x v="2"/>
    <n v="2024"/>
    <d v="2024-02-08T00:00:00"/>
    <n v="159.69999999999911"/>
    <n v="1"/>
    <s v="discover"/>
    <n v="0"/>
  </r>
  <r>
    <n v="515"/>
    <n v="124"/>
    <d v="2024-02-08T00:00:00"/>
    <s v="VOGUISHLI HONGKONG HKG"/>
    <n v="59.98"/>
    <s v="Merchandise"/>
    <x v="56"/>
    <x v="0"/>
    <s v="Personal_Spending"/>
    <x v="2"/>
    <n v="2024"/>
    <d v="2024-02-08T00:00:00"/>
    <n v="219.6799999999991"/>
    <n v="3"/>
    <s v="discover"/>
    <n v="0"/>
  </r>
  <r>
    <n v="516"/>
    <n v="125"/>
    <d v="2024-02-09T00:00:00"/>
    <s v="FASTRAK CSC 415-486-8655 CA"/>
    <n v="25"/>
    <s v="Travel/ Entertainment"/>
    <x v="57"/>
    <x v="0"/>
    <s v="Transportation"/>
    <x v="2"/>
    <n v="2024"/>
    <d v="2024-02-09T00:00:00"/>
    <n v="244.6799999999991"/>
    <n v="2"/>
    <s v="discover"/>
    <n v="0"/>
  </r>
  <r>
    <n v="517"/>
    <n v="126"/>
    <d v="2024-02-10T00:00:00"/>
    <s v="EB WATERSTRIDER 801-413-7200 CAAPPLE PAY ENDING IN 1455"/>
    <n v="28.29"/>
    <s v="Services"/>
    <x v="45"/>
    <x v="0"/>
    <s v="Recreation_Entertainment"/>
    <x v="2"/>
    <n v="2024"/>
    <d v="2024-02-10T00:00:00"/>
    <n v="272.96999999999912"/>
    <n v="3"/>
    <s v="discover"/>
    <n v="0"/>
  </r>
  <r>
    <n v="518"/>
    <n v="127"/>
    <d v="2024-02-10T00:00:00"/>
    <s v="SAFEWAY #1547 BURLINGAME CA"/>
    <n v="85.46"/>
    <s v="Supermarkets"/>
    <x v="26"/>
    <x v="0"/>
    <s v="Food"/>
    <x v="2"/>
    <n v="2024"/>
    <d v="2024-02-10T00:00:00"/>
    <n v="358.4299999999991"/>
    <n v="7"/>
    <s v="discover"/>
    <n v="0"/>
  </r>
  <r>
    <n v="519"/>
    <n v="128"/>
    <d v="2024-02-10T00:00:00"/>
    <s v="SEE TICKETS 3239080607 CA"/>
    <n v="53.1"/>
    <s v="Travel/ Entertainment"/>
    <x v="65"/>
    <x v="0"/>
    <s v="Personal_Spending"/>
    <x v="2"/>
    <n v="2024"/>
    <d v="2024-02-10T00:00:00"/>
    <n v="411.52999999999912"/>
    <n v="2"/>
    <s v="discover"/>
    <n v="0"/>
  </r>
  <r>
    <n v="520"/>
    <n v="129"/>
    <d v="2024-02-11T00:00:00"/>
    <s v="WALGREENS #0625 MILLBRAE CAAPPLE PAY ENDING IN 1455"/>
    <n v="26.11"/>
    <s v="Merchandise"/>
    <x v="71"/>
    <x v="0"/>
    <s v="Personal_Spending"/>
    <x v="2"/>
    <n v="2024"/>
    <d v="2024-02-11T00:00:00"/>
    <n v="437.63999999999908"/>
    <n v="1"/>
    <s v="discover"/>
    <n v="0"/>
  </r>
  <r>
    <n v="521"/>
    <n v="130"/>
    <d v="2024-02-11T00:00:00"/>
    <s v="VALVE BELLEVUE WA"/>
    <n v="49.46"/>
    <s v="Merchandise"/>
    <x v="37"/>
    <x v="0"/>
    <s v="Recreation_Entertainment"/>
    <x v="2"/>
    <n v="2024"/>
    <d v="2024-02-11T00:00:00"/>
    <n v="487.09999999999911"/>
    <n v="2"/>
    <s v="discover"/>
    <n v="0"/>
  </r>
  <r>
    <n v="522"/>
    <n v="131"/>
    <d v="2024-02-11T00:00:00"/>
    <s v="VALVE BELLEVUE WA"/>
    <n v="39.99"/>
    <s v="Merchandise"/>
    <x v="37"/>
    <x v="0"/>
    <s v="Recreation_Entertainment"/>
    <x v="2"/>
    <n v="2024"/>
    <d v="2024-02-11T00:00:00"/>
    <n v="527.08999999999912"/>
    <n v="3"/>
    <s v="discover"/>
    <n v="0"/>
  </r>
  <r>
    <n v="523"/>
    <n v="132"/>
    <d v="2024-02-11T00:00:00"/>
    <s v="TRADER JOE S #067 SAN MATEO CA"/>
    <n v="37.68"/>
    <s v="Supermarkets"/>
    <x v="26"/>
    <x v="0"/>
    <s v="Food"/>
    <x v="2"/>
    <n v="2024"/>
    <d v="2024-02-11T00:00:00"/>
    <n v="564.76999999999907"/>
    <n v="8"/>
    <s v="discover"/>
    <n v="0"/>
  </r>
  <r>
    <n v="524"/>
    <n v="133"/>
    <d v="2024-02-12T00:00:00"/>
    <s v="AXS.COMNORTHERN CAL 888-929-7849 CA"/>
    <n v="61.05"/>
    <s v="Travel/ Entertainment"/>
    <x v="45"/>
    <x v="0"/>
    <s v="Recreation_Entertainment"/>
    <x v="2"/>
    <n v="2024"/>
    <d v="2024-02-12T00:00:00"/>
    <n v="625.81999999999903"/>
    <n v="4"/>
    <s v="discover"/>
    <n v="0"/>
  </r>
  <r>
    <n v="525"/>
    <n v="134"/>
    <d v="2024-02-12T00:00:00"/>
    <s v="REGENCY BALLROOM TKTS SAN FRANCISCOCA"/>
    <n v="47"/>
    <s v="Travel/ Entertainment"/>
    <x v="45"/>
    <x v="0"/>
    <s v="Recreation_Entertainment"/>
    <x v="2"/>
    <n v="2024"/>
    <d v="2024-02-12T00:00:00"/>
    <n v="672.81999999999903"/>
    <n v="5"/>
    <s v="discover"/>
    <n v="0"/>
  </r>
  <r>
    <n v="526"/>
    <n v="135"/>
    <d v="2024-02-12T00:00:00"/>
    <s v="SILVERSUN PICKUPS 6502396947 CA"/>
    <n v="105"/>
    <s v="Merchandise"/>
    <x v="72"/>
    <x v="0"/>
    <s v="Misc"/>
    <x v="2"/>
    <n v="2024"/>
    <d v="2024-02-12T00:00:00"/>
    <n v="777.81999999999903"/>
    <n v="1"/>
    <s v="discover"/>
    <n v="0"/>
  </r>
  <r>
    <n v="527"/>
    <n v="136"/>
    <d v="2024-02-13T00:00:00"/>
    <s v="APPLE.COM/BILL 866-712-7753 CAAPPLE PAY ENDING IN 1455"/>
    <n v="24.79"/>
    <s v="Merchandise"/>
    <x v="59"/>
    <x v="0"/>
    <s v="Recreation_Entertainment"/>
    <x v="2"/>
    <n v="2024"/>
    <d v="2024-02-13T00:00:00"/>
    <n v="802.60999999999899"/>
    <n v="3"/>
    <s v="discover"/>
    <n v="0"/>
  </r>
  <r>
    <n v="528"/>
    <n v="137"/>
    <d v="2024-02-14T00:00:00"/>
    <s v="STATE FARM INSURANCE 800-956-6310 ILITEM TRANSFERRED FROM PREV ACCOUNT"/>
    <n v="90.54"/>
    <s v="Merchandise"/>
    <x v="61"/>
    <x v="1"/>
    <s v="Insurance"/>
    <x v="2"/>
    <n v="2024"/>
    <d v="2024-02-14T00:00:00"/>
    <n v="893.14999999999895"/>
    <n v="2"/>
    <s v="discover"/>
    <n v="0"/>
  </r>
  <r>
    <n v="529"/>
    <n v="138"/>
    <d v="2024-02-15T00:00:00"/>
    <s v="LA FITNESS 949-255-8100 CA"/>
    <n v="220"/>
    <s v="Travel/ Entertainment"/>
    <x v="49"/>
    <x v="1"/>
    <s v="Personal_Spending"/>
    <x v="2"/>
    <n v="2024"/>
    <d v="2024-02-15T00:00:00"/>
    <n v="1113.149999999999"/>
    <n v="3"/>
    <s v="discover"/>
    <n v="0"/>
  </r>
  <r>
    <n v="530"/>
    <n v="139"/>
    <d v="2024-02-17T00:00:00"/>
    <s v="AMZN MKTP US*RI1E796R2 AMZN.COM/BILLWA5XPAQQUV6J3"/>
    <n v="23"/>
    <s v="Merchandise"/>
    <x v="48"/>
    <x v="0"/>
    <s v="Personal_Spending"/>
    <x v="2"/>
    <n v="2024"/>
    <d v="2024-02-17T00:00:00"/>
    <n v="1136.149999999999"/>
    <n v="2"/>
    <s v="discover"/>
    <n v="0"/>
  </r>
  <r>
    <n v="531"/>
    <n v="140"/>
    <d v="2024-02-18T00:00:00"/>
    <s v="EMA HOUSE SANTA CLARA CA"/>
    <n v="20.46"/>
    <s v="Restaurants"/>
    <x v="40"/>
    <x v="0"/>
    <s v="Food"/>
    <x v="2"/>
    <n v="2024"/>
    <d v="2024-02-18T00:00:00"/>
    <n v="1156.609999999999"/>
    <n v="17"/>
    <s v="discover"/>
    <n v="0"/>
  </r>
  <r>
    <n v="532"/>
    <n v="141"/>
    <d v="2024-02-18T00:00:00"/>
    <s v="SAFEWAY #1547 BURLINGAME CA"/>
    <n v="36.83"/>
    <s v="Supermarkets"/>
    <x v="26"/>
    <x v="0"/>
    <s v="Food"/>
    <x v="2"/>
    <n v="2024"/>
    <d v="2024-02-18T00:00:00"/>
    <n v="1193.4399999999989"/>
    <n v="9"/>
    <s v="discover"/>
    <n v="0"/>
  </r>
  <r>
    <n v="533"/>
    <n v="142"/>
    <d v="2024-02-18T00:00:00"/>
    <s v="THE UPS STORE 2354 BURLINGAME CA"/>
    <n v="20.61"/>
    <s v="Services"/>
    <x v="72"/>
    <x v="0"/>
    <s v="Misc"/>
    <x v="2"/>
    <n v="2024"/>
    <d v="2024-02-18T00:00:00"/>
    <n v="1214.049999999999"/>
    <n v="2"/>
    <s v="discover"/>
    <n v="0"/>
  </r>
  <r>
    <n v="534"/>
    <n v="143"/>
    <d v="2024-02-19T00:00:00"/>
    <s v="AMAZON.COM*RW2P61GR0 AMZN.COM/BILLWA59SOK5UFCC7"/>
    <n v="22.08"/>
    <s v="Merchandise"/>
    <x v="36"/>
    <x v="0"/>
    <s v="Personal_Spending"/>
    <x v="2"/>
    <n v="2024"/>
    <d v="2024-02-19T00:00:00"/>
    <n v="1236.129999999999"/>
    <n v="14"/>
    <s v="discover"/>
    <n v="0"/>
  </r>
  <r>
    <n v="535"/>
    <n v="144"/>
    <d v="2024-02-20T00:00:00"/>
    <s v="VALVE BELLEVUE WA"/>
    <n v="20.99"/>
    <s v="Merchandise"/>
    <x v="37"/>
    <x v="0"/>
    <s v="Recreation_Entertainment"/>
    <x v="2"/>
    <n v="2024"/>
    <d v="2024-02-20T00:00:00"/>
    <n v="1257.119999999999"/>
    <n v="4"/>
    <s v="discover"/>
    <n v="0"/>
  </r>
  <r>
    <n v="536"/>
    <n v="145"/>
    <d v="2024-02-21T00:00:00"/>
    <s v="CCBILL.COM 888-5969279 AZ"/>
    <n v="12.75"/>
    <s v="Merchandise"/>
    <x v="38"/>
    <x v="0"/>
    <s v="Recreation_Entertainment"/>
    <x v="2"/>
    <n v="2024"/>
    <d v="2024-02-21T00:00:00"/>
    <n v="1269.869999999999"/>
    <n v="7"/>
    <s v="discover"/>
    <n v="0"/>
  </r>
  <r>
    <n v="537"/>
    <n v="146"/>
    <d v="2024-02-21T00:00:00"/>
    <s v="INTERNET PAYMENT - THANK YOU"/>
    <n v="-1263.1400000000001"/>
    <s v="Payments and Credits"/>
    <x v="55"/>
    <x v="0"/>
    <s v="Payment_and_Interest"/>
    <x v="2"/>
    <n v="2024"/>
    <d v="2024-02-21T00:00:00"/>
    <n v="6.7299999999986539"/>
    <n v="4"/>
    <s v="discover"/>
    <n v="0"/>
  </r>
  <r>
    <n v="538"/>
    <n v="147"/>
    <d v="2024-02-22T00:00:00"/>
    <s v="APPLE.COM/BILL 111-111-1111 CAAPPLE PAY ENDING IN 1455"/>
    <n v="63.59"/>
    <s v="Merchandise"/>
    <x v="73"/>
    <x v="0"/>
    <s v="Personal_Spending"/>
    <x v="2"/>
    <n v="2024"/>
    <d v="2024-02-22T00:00:00"/>
    <n v="70.319999999998657"/>
    <n v="1"/>
    <s v="discover"/>
    <n v="0"/>
  </r>
  <r>
    <n v="539"/>
    <n v="148"/>
    <d v="2024-02-22T00:00:00"/>
    <s v="FANDANGO 866-857-5191 CAAPPLE PAY ENDING IN 1455"/>
    <n v="54.36"/>
    <s v="Travel/ Entertainment"/>
    <x v="27"/>
    <x v="0"/>
    <s v="Recreation_Entertainment"/>
    <x v="2"/>
    <n v="2024"/>
    <d v="2024-02-22T00:00:00"/>
    <n v="124.6799999999987"/>
    <n v="5"/>
    <s v="discover"/>
    <n v="0"/>
  </r>
  <r>
    <n v="540"/>
    <n v="149"/>
    <d v="2024-02-26T00:00:00"/>
    <s v="CCBILL.COM 888-5969279 AZ"/>
    <n v="9.0399999999999991"/>
    <s v="Merchandise"/>
    <x v="38"/>
    <x v="0"/>
    <s v="Recreation_Entertainment"/>
    <x v="2"/>
    <n v="2024"/>
    <d v="2024-02-26T00:00:00"/>
    <n v="133.71999999999869"/>
    <n v="8"/>
    <s v="discover"/>
    <n v="0"/>
  </r>
  <r>
    <n v="541"/>
    <n v="150"/>
    <d v="2024-02-26T00:00:00"/>
    <s v="EB CARRIERCON 2024 801-413-7200 CAAPPLE PAY ENDING IN 1455"/>
    <n v="33.520000000000003"/>
    <s v="Services"/>
    <x v="74"/>
    <x v="0"/>
    <s v="Recreation_Entertainment"/>
    <x v="2"/>
    <n v="2024"/>
    <d v="2024-02-26T00:00:00"/>
    <n v="167.2399999999987"/>
    <n v="1"/>
    <s v="discover"/>
    <n v="0"/>
  </r>
  <r>
    <n v="542"/>
    <n v="151"/>
    <d v="2024-02-27T00:00:00"/>
    <s v="ADOBE INC. 408-536-6000 CA"/>
    <n v="29.99"/>
    <s v="Merchandise"/>
    <x v="66"/>
    <x v="1"/>
    <s v="Personal_Spending"/>
    <x v="2"/>
    <n v="2024"/>
    <d v="2024-02-27T00:00:00"/>
    <n v="197.22999999999871"/>
    <n v="2"/>
    <s v="discover"/>
    <n v="0"/>
  </r>
  <r>
    <n v="543"/>
    <n v="152"/>
    <d v="2024-02-27T00:00:00"/>
    <s v="SQ *ZEITGEIST SAN FRANCISCOCA0001152921513721864600"/>
    <n v="10.37"/>
    <s v="Restaurants"/>
    <x v="40"/>
    <x v="0"/>
    <s v="Food"/>
    <x v="2"/>
    <n v="2024"/>
    <d v="2024-02-27T00:00:00"/>
    <n v="207.59999999999869"/>
    <n v="18"/>
    <s v="discover"/>
    <n v="0"/>
  </r>
  <r>
    <n v="544"/>
    <n v="153"/>
    <d v="2024-02-28T00:00:00"/>
    <s v="AMAZON.COM*RW5N37QQ1 AMZN.COM/BILLWA3VMKL3N2FUH"/>
    <n v="27.36"/>
    <s v="Merchandise"/>
    <x v="36"/>
    <x v="0"/>
    <s v="Personal_Spending"/>
    <x v="2"/>
    <n v="2024"/>
    <d v="2024-02-28T00:00:00"/>
    <n v="234.9599999999987"/>
    <n v="15"/>
    <s v="discover"/>
    <n v="0"/>
  </r>
  <r>
    <n v="545"/>
    <n v="154"/>
    <d v="2024-02-28T00:00:00"/>
    <s v="FLASHROUTERS 866-509-5817 NJ"/>
    <n v="184.99"/>
    <s v="Merchandise"/>
    <x v="75"/>
    <x v="0"/>
    <s v="Personal_Spending"/>
    <x v="2"/>
    <n v="2024"/>
    <d v="2024-02-28T00:00:00"/>
    <n v="419.94999999999868"/>
    <n v="1"/>
    <s v="discover"/>
    <n v="0"/>
  </r>
  <r>
    <n v="546"/>
    <n v="155"/>
    <d v="2024-02-28T00:00:00"/>
    <s v="CCBILL.COM 888-5969279 AZ"/>
    <n v="8.19"/>
    <s v="Merchandise"/>
    <x v="38"/>
    <x v="0"/>
    <s v="Recreation_Entertainment"/>
    <x v="2"/>
    <n v="2024"/>
    <d v="2024-02-28T00:00:00"/>
    <n v="428.13999999999868"/>
    <n v="9"/>
    <s v="discover"/>
    <n v="0"/>
  </r>
  <r>
    <n v="547"/>
    <n v="156"/>
    <d v="2024-02-29T00:00:00"/>
    <s v="SEE TICKETS 3239080607 CA"/>
    <n v="25.77"/>
    <s v="Travel/ Entertainment"/>
    <x v="65"/>
    <x v="0"/>
    <s v="Personal_Spending"/>
    <x v="2"/>
    <n v="2024"/>
    <d v="2024-02-29T00:00:00"/>
    <n v="453.90999999999872"/>
    <n v="3"/>
    <s v="discover"/>
    <n v="0"/>
  </r>
  <r>
    <n v="548"/>
    <n v="157"/>
    <d v="2024-02-29T00:00:00"/>
    <s v="SQ *OLFACTORY, INC. SAN FRANCISCOCA0001152921513728781825"/>
    <n v="44.81"/>
    <s v="Supermarkets"/>
    <x v="40"/>
    <x v="0"/>
    <s v="Food"/>
    <x v="2"/>
    <n v="2024"/>
    <d v="2024-02-29T00:00:00"/>
    <n v="498.71999999999872"/>
    <n v="19"/>
    <s v="discover"/>
    <n v="1"/>
  </r>
  <r>
    <n v="549"/>
    <n v="158"/>
    <d v="2024-03-01T00:00:00"/>
    <s v="SPOTIFY P2A436E315 8777781161 NY"/>
    <n v="5.99"/>
    <s v="Merchandise"/>
    <x v="32"/>
    <x v="1"/>
    <s v="Recreation_Entertainment"/>
    <x v="3"/>
    <n v="2024"/>
    <d v="2024-03-01T00:00:00"/>
    <n v="504.70999999999867"/>
    <n v="3"/>
    <s v="discover"/>
    <n v="0"/>
  </r>
  <r>
    <n v="550"/>
    <n v="159"/>
    <d v="2024-03-01T00:00:00"/>
    <s v="PLANNED PARENTHOOD ACTIO NEW YORK NY"/>
    <n v="5"/>
    <s v="Services"/>
    <x v="31"/>
    <x v="1"/>
    <s v="Personal_Spending"/>
    <x v="3"/>
    <n v="2024"/>
    <d v="2024-03-01T00:00:00"/>
    <n v="509.70999999999867"/>
    <n v="3"/>
    <s v="discover"/>
    <n v="0"/>
  </r>
  <r>
    <n v="551"/>
    <n v="160"/>
    <d v="2024-03-01T00:00:00"/>
    <s v="SQ *1015 FOLSOM SAN FRANCISCOCA0001152921513728894286"/>
    <n v="23.46"/>
    <s v="Restaurants"/>
    <x v="40"/>
    <x v="0"/>
    <s v="Food"/>
    <x v="3"/>
    <n v="2024"/>
    <d v="2024-03-01T00:00:00"/>
    <n v="533.16999999999871"/>
    <n v="20"/>
    <s v="discover"/>
    <n v="0"/>
  </r>
  <r>
    <n v="552"/>
    <n v="161"/>
    <d v="2024-03-01T00:00:00"/>
    <s v="AMAZON.COM*RW4S69Y71 AMZN.COM/BILLWA3VEYPED2U2S"/>
    <n v="23.69"/>
    <s v="Merchandise"/>
    <x v="36"/>
    <x v="0"/>
    <s v="Personal_Spending"/>
    <x v="3"/>
    <n v="2024"/>
    <d v="2024-03-01T00:00:00"/>
    <n v="556.85999999999876"/>
    <n v="16"/>
    <s v="discover"/>
    <n v="0"/>
  </r>
  <r>
    <n v="553"/>
    <n v="162"/>
    <d v="2024-03-01T00:00:00"/>
    <s v="CHATGPT SUBSCRIPTION 4158799686 CA"/>
    <n v="20"/>
    <s v="Merchandise"/>
    <x v="30"/>
    <x v="1"/>
    <s v="Personal_Spending"/>
    <x v="3"/>
    <n v="2024"/>
    <d v="2024-03-01T00:00:00"/>
    <n v="576.85999999999876"/>
    <n v="3"/>
    <s v="discover"/>
    <n v="0"/>
  </r>
  <r>
    <n v="554"/>
    <n v="163"/>
    <d v="2024-03-02T00:00:00"/>
    <s v="BREAKING POINTS 2025317527 DCITEM TRANSFERRED FROM PREV ACCOUNT"/>
    <n v="10"/>
    <s v="Merchandise"/>
    <x v="34"/>
    <x v="1"/>
    <s v="Recreation_Entertainment"/>
    <x v="3"/>
    <n v="2024"/>
    <d v="2024-03-02T00:00:00"/>
    <n v="586.85999999999876"/>
    <n v="3"/>
    <s v="discover"/>
    <n v="0"/>
  </r>
  <r>
    <n v="555"/>
    <n v="164"/>
    <d v="2024-03-02T00:00:00"/>
    <s v="CCBILL.COM 888-5969279 AZ"/>
    <n v="6.37"/>
    <s v="Merchandise"/>
    <x v="38"/>
    <x v="0"/>
    <s v="Recreation_Entertainment"/>
    <x v="3"/>
    <n v="2024"/>
    <d v="2024-03-02T00:00:00"/>
    <n v="593.22999999999877"/>
    <n v="10"/>
    <s v="discover"/>
    <n v="0"/>
  </r>
  <r>
    <n v="556"/>
    <n v="165"/>
    <d v="2024-03-02T00:00:00"/>
    <s v="FIVE BELOW 1436 FOSTER CITY CA"/>
    <n v="13.25"/>
    <s v="Merchandise"/>
    <x v="36"/>
    <x v="0"/>
    <s v="Personal_Spending"/>
    <x v="3"/>
    <n v="2024"/>
    <d v="2024-03-02T00:00:00"/>
    <n v="606.47999999999877"/>
    <n v="17"/>
    <s v="discover"/>
    <n v="0"/>
  </r>
  <r>
    <n v="557"/>
    <n v="166"/>
    <d v="2024-03-02T00:00:00"/>
    <s v="MESKIE'S ETHIOPIA RESTAU BERKELEY CA"/>
    <n v="99.52"/>
    <s v="Restaurants"/>
    <x v="58"/>
    <x v="0"/>
    <s v="Travel"/>
    <x v="3"/>
    <n v="2024"/>
    <d v="2024-03-02T00:00:00"/>
    <n v="705.99999999999875"/>
    <n v="6"/>
    <s v="discover"/>
    <n v="0"/>
  </r>
  <r>
    <n v="558"/>
    <n v="167"/>
    <d v="2024-03-02T00:00:00"/>
    <s v="ONEPASS 877-515-9364 MN332266"/>
    <n v="273.60000000000002"/>
    <s v="Services"/>
    <x v="33"/>
    <x v="1"/>
    <s v="Personal_Spending"/>
    <x v="3"/>
    <n v="2024"/>
    <d v="2024-03-02T00:00:00"/>
    <n v="979.59999999999877"/>
    <n v="5"/>
    <s v="discover"/>
    <n v="0"/>
  </r>
  <r>
    <n v="559"/>
    <n v="168"/>
    <d v="2024-03-02T00:00:00"/>
    <s v="TARGET 00011221091 SAN MATEO CA"/>
    <n v="37.61"/>
    <s v="Supermarkets"/>
    <x v="36"/>
    <x v="0"/>
    <s v="Personal_Spending"/>
    <x v="3"/>
    <n v="2024"/>
    <d v="2024-03-02T00:00:00"/>
    <n v="1017.209999999999"/>
    <n v="18"/>
    <s v="discover"/>
    <n v="0"/>
  </r>
  <r>
    <n v="560"/>
    <n v="169"/>
    <d v="2024-03-02T00:00:00"/>
    <s v="UNIQLO USA LLC UNIQLO  SAN MATEO CA"/>
    <n v="54.7"/>
    <s v="Merchandise"/>
    <x v="56"/>
    <x v="0"/>
    <s v="Personal_Spending"/>
    <x v="3"/>
    <n v="2024"/>
    <d v="2024-03-02T00:00:00"/>
    <n v="1071.9099999999989"/>
    <n v="4"/>
    <s v="discover"/>
    <n v="0"/>
  </r>
  <r>
    <n v="561"/>
    <n v="170"/>
    <d v="2024-03-03T00:00:00"/>
    <s v="SNACK* SOMI SOMI SAN M 8668682146 CA"/>
    <n v="17.62"/>
    <s v="Restaurants"/>
    <x v="40"/>
    <x v="0"/>
    <s v="Food"/>
    <x v="3"/>
    <n v="2024"/>
    <d v="2024-03-03T00:00:00"/>
    <n v="1089.5299999999991"/>
    <n v="21"/>
    <s v="discover"/>
    <n v="0"/>
  </r>
  <r>
    <n v="562"/>
    <n v="171"/>
    <d v="2024-03-03T00:00:00"/>
    <s v="MONTCLAIR GARAGE PRK MBL OAKLAND CAAPPLE PAY ENDING IN 1455"/>
    <n v="16.3"/>
    <s v="Services"/>
    <x v="2"/>
    <x v="0"/>
    <s v="Transportation"/>
    <x v="3"/>
    <n v="2024"/>
    <d v="2024-03-03T00:00:00"/>
    <n v="1105.829999999999"/>
    <n v="2"/>
    <s v="discover"/>
    <n v="0"/>
  </r>
  <r>
    <n v="563"/>
    <n v="172"/>
    <d v="2024-03-04T00:00:00"/>
    <s v="AUTOMATIC STATEMENT CREDIT"/>
    <n v="-22.56"/>
    <s v="Awards and Rebate Credits"/>
    <x v="39"/>
    <x v="0"/>
    <s v="Payment_and_Interest"/>
    <x v="3"/>
    <n v="2024"/>
    <d v="2024-03-04T00:00:00"/>
    <n v="1083.2699999999991"/>
    <n v="3"/>
    <s v="discover"/>
    <n v="0"/>
  </r>
  <r>
    <n v="564"/>
    <n v="173"/>
    <d v="2024-03-05T00:00:00"/>
    <s v="SAFEWAY #1547 BURLINGAME CA"/>
    <n v="124.59"/>
    <s v="Supermarkets"/>
    <x v="26"/>
    <x v="0"/>
    <s v="Food"/>
    <x v="3"/>
    <n v="2024"/>
    <d v="2024-03-05T00:00:00"/>
    <n v="1207.859999999999"/>
    <n v="10"/>
    <s v="discover"/>
    <n v="0"/>
  </r>
  <r>
    <n v="565"/>
    <n v="174"/>
    <d v="2024-03-07T00:00:00"/>
    <s v="AMAZON PRIME*RZ4ZI9WG1 888-802-3080 WA1XVIY71QS16"/>
    <n v="65.739999999999995"/>
    <s v="Merchandise"/>
    <x v="36"/>
    <x v="0"/>
    <s v="Personal_Spending"/>
    <x v="3"/>
    <n v="2024"/>
    <d v="2024-03-07T00:00:00"/>
    <n v="1273.599999999999"/>
    <n v="19"/>
    <s v="discover"/>
    <n v="0"/>
  </r>
  <r>
    <n v="566"/>
    <n v="175"/>
    <d v="2024-03-07T00:00:00"/>
    <s v="APPLE.COM/BILL 866-712-7753 CAAPPLE PAY ENDING IN 1455MMWF1F5XWFA0"/>
    <n v="9.99"/>
    <s v="Merchandise"/>
    <x v="46"/>
    <x v="1"/>
    <s v="Personal_Spending"/>
    <x v="3"/>
    <n v="2024"/>
    <d v="2024-03-07T00:00:00"/>
    <n v="1283.589999999999"/>
    <n v="3"/>
    <s v="discover"/>
    <n v="0"/>
  </r>
  <r>
    <n v="567"/>
    <n v="176"/>
    <d v="2024-03-07T00:00:00"/>
    <s v="INTERNET PAYMENT - THANK YOU"/>
    <n v="-541"/>
    <s v="Payments and Credits"/>
    <x v="55"/>
    <x v="0"/>
    <s v="Payment_and_Interest"/>
    <x v="3"/>
    <n v="2024"/>
    <d v="2024-03-07T00:00:00"/>
    <n v="742.58999999999855"/>
    <n v="5"/>
    <s v="discover"/>
    <n v="0"/>
  </r>
  <r>
    <n v="568"/>
    <n v="177"/>
    <d v="2024-03-08T00:00:00"/>
    <s v="APPLE.COM/BILL 866-712-7753 CAAPPLE PAY ENDING IN 1455MMXJ1VQHWJA0"/>
    <n v="42.92"/>
    <s v="Merchandise"/>
    <x v="59"/>
    <x v="0"/>
    <s v="Recreation_Entertainment"/>
    <x v="3"/>
    <n v="2024"/>
    <d v="2024-03-08T00:00:00"/>
    <n v="785.50999999999851"/>
    <n v="4"/>
    <s v="discover"/>
    <n v="0"/>
  </r>
  <r>
    <n v="569"/>
    <n v="178"/>
    <d v="2024-03-08T00:00:00"/>
    <s v="EPOCH.COM GUERNSEY GGY"/>
    <n v="8.0399999999999991"/>
    <s v="Merchandise"/>
    <x v="10"/>
    <x v="0"/>
    <s v="Misc"/>
    <x v="3"/>
    <n v="2024"/>
    <d v="2024-03-08T00:00:00"/>
    <n v="793.54999999999848"/>
    <n v="1"/>
    <s v="discover"/>
    <n v="0"/>
  </r>
  <r>
    <n v="570"/>
    <n v="179"/>
    <d v="2024-03-08T00:00:00"/>
    <s v="GRUBHUBURBANMOMO 877-585-1085 NYAPPLE PAY ENDING IN 1455"/>
    <n v="44.5"/>
    <s v="Restaurants"/>
    <x v="76"/>
    <x v="0"/>
    <s v="Food"/>
    <x v="3"/>
    <n v="2024"/>
    <d v="2024-03-08T00:00:00"/>
    <n v="838.04999999999848"/>
    <n v="1"/>
    <s v="discover"/>
    <n v="0"/>
  </r>
  <r>
    <n v="571"/>
    <n v="180"/>
    <d v="2024-03-08T00:00:00"/>
    <s v="MEN HAVING BABIES 4072523825 NY"/>
    <n v="80"/>
    <s v="Services"/>
    <x v="77"/>
    <x v="0"/>
    <s v="Personal_Spending"/>
    <x v="3"/>
    <n v="2024"/>
    <d v="2024-03-08T00:00:00"/>
    <n v="918.04999999999848"/>
    <n v="1"/>
    <s v="discover"/>
    <n v="0"/>
  </r>
  <r>
    <n v="572"/>
    <n v="181"/>
    <d v="2024-03-09T00:00:00"/>
    <s v="AXS.COMNORTHERN CAL 888-929-7849 CA"/>
    <n v="85.55"/>
    <s v="Travel/ Entertainment"/>
    <x v="45"/>
    <x v="0"/>
    <s v="Recreation_Entertainment"/>
    <x v="3"/>
    <n v="2024"/>
    <d v="2024-03-09T00:00:00"/>
    <n v="1003.599999999998"/>
    <n v="6"/>
    <s v="discover"/>
    <n v="0"/>
  </r>
  <r>
    <n v="573"/>
    <n v="182"/>
    <d v="2024-03-09T00:00:00"/>
    <s v="SQ *BURLINGAME BURLINGAME CA0001152921513760147969"/>
    <n v="23.34"/>
    <s v="Restaurants"/>
    <x v="40"/>
    <x v="0"/>
    <s v="Food"/>
    <x v="3"/>
    <n v="2024"/>
    <d v="2024-03-09T00:00:00"/>
    <n v="1026.939999999998"/>
    <n v="22"/>
    <s v="discover"/>
    <n v="0"/>
  </r>
  <r>
    <n v="574"/>
    <n v="183"/>
    <d v="2024-03-09T00:00:00"/>
    <s v="TARGET 00011221091 SAN MATEO CA"/>
    <n v="41.36"/>
    <s v="Supermarkets"/>
    <x v="36"/>
    <x v="0"/>
    <s v="Personal_Spending"/>
    <x v="3"/>
    <n v="2024"/>
    <d v="2024-03-09T00:00:00"/>
    <n v="1068.2999999999979"/>
    <n v="20"/>
    <s v="discover"/>
    <n v="0"/>
  </r>
  <r>
    <n v="575"/>
    <n v="184"/>
    <d v="2024-03-10T00:00:00"/>
    <s v="MUIR WOODS MILL VALLEY CA"/>
    <n v="13.91"/>
    <s v="Merchandise"/>
    <x v="51"/>
    <x v="0"/>
    <s v="Recreation_Entertainment"/>
    <x v="3"/>
    <n v="2024"/>
    <d v="2024-03-10T00:00:00"/>
    <n v="1082.209999999998"/>
    <n v="4"/>
    <s v="discover"/>
    <n v="0"/>
  </r>
  <r>
    <n v="576"/>
    <n v="185"/>
    <d v="2024-03-10T00:00:00"/>
    <s v="MUIR SPACE 4288 MILL VALLEY CA"/>
    <n v="9.5"/>
    <s v="Services"/>
    <x v="51"/>
    <x v="0"/>
    <s v="Recreation_Entertainment"/>
    <x v="3"/>
    <n v="2024"/>
    <d v="2024-03-10T00:00:00"/>
    <n v="1091.709999999998"/>
    <n v="5"/>
    <s v="discover"/>
    <n v="0"/>
  </r>
  <r>
    <n v="577"/>
    <n v="186"/>
    <d v="2024-03-10T00:00:00"/>
    <s v="TST* PINKPINK - JAPANT SAN FRANCISCOCA00091934016492835654AA"/>
    <n v="10.29"/>
    <s v="Restaurants"/>
    <x v="40"/>
    <x v="0"/>
    <s v="Food"/>
    <x v="3"/>
    <n v="2024"/>
    <d v="2024-03-10T00:00:00"/>
    <n v="1101.999999999998"/>
    <n v="23"/>
    <s v="discover"/>
    <n v="0"/>
  </r>
  <r>
    <n v="578"/>
    <n v="187"/>
    <d v="2024-03-10T00:00:00"/>
    <s v="FUEL 24 7 AT MILLER MILL VALLEY CA"/>
    <n v="47.01"/>
    <s v="Gasoline"/>
    <x v="47"/>
    <x v="0"/>
    <s v="Transportation"/>
    <x v="3"/>
    <n v="2024"/>
    <d v="2024-03-10T00:00:00"/>
    <n v="1149.0099999999979"/>
    <n v="5"/>
    <s v="discover"/>
    <n v="0"/>
  </r>
  <r>
    <n v="579"/>
    <n v="188"/>
    <d v="2024-03-10T00:00:00"/>
    <s v="MAIDO STATIONERY - JT2 SAN FRANCISCOCA"/>
    <n v="5.38"/>
    <s v="Merchandise"/>
    <x v="78"/>
    <x v="0"/>
    <s v="Housing"/>
    <x v="3"/>
    <n v="2024"/>
    <d v="2024-03-10T00:00:00"/>
    <n v="1154.389999999999"/>
    <n v="1"/>
    <s v="discover"/>
    <n v="0"/>
  </r>
  <r>
    <n v="580"/>
    <n v="189"/>
    <d v="2024-03-11T00:00:00"/>
    <s v="BONOBOS BONOBOS.COM OH"/>
    <n v="130.46"/>
    <s v="Merchandise"/>
    <x v="56"/>
    <x v="0"/>
    <s v="Personal_Spending"/>
    <x v="3"/>
    <n v="2024"/>
    <d v="2024-03-11T00:00:00"/>
    <n v="1284.849999999999"/>
    <n v="5"/>
    <s v="discover"/>
    <n v="0"/>
  </r>
  <r>
    <n v="581"/>
    <n v="190"/>
    <d v="2024-03-11T00:00:00"/>
    <s v="JFF PUBLICATIONS WILTON MANORSFL"/>
    <n v="21.98"/>
    <s v="Merchandise"/>
    <x v="27"/>
    <x v="0"/>
    <s v="Recreation_Entertainment"/>
    <x v="3"/>
    <n v="2024"/>
    <d v="2024-03-11T00:00:00"/>
    <n v="1306.829999999999"/>
    <n v="6"/>
    <s v="discover"/>
    <n v="0"/>
  </r>
  <r>
    <n v="582"/>
    <n v="191"/>
    <d v="2024-03-11T00:00:00"/>
    <s v="TST* CAFE 382 SOUTH SAN FRACA00070908016503966764AA"/>
    <n v="27.86"/>
    <s v="Restaurants"/>
    <x v="50"/>
    <x v="0"/>
    <s v="Food"/>
    <x v="3"/>
    <n v="2024"/>
    <d v="2024-03-11T00:00:00"/>
    <n v="1334.689999999998"/>
    <n v="8"/>
    <s v="discover"/>
    <n v="0"/>
  </r>
  <r>
    <n v="583"/>
    <n v="192"/>
    <d v="2024-03-13T00:00:00"/>
    <s v="99 RANCH #1782 FOSTER CITY CA"/>
    <n v="78.3"/>
    <s v="Supermarkets"/>
    <x v="26"/>
    <x v="0"/>
    <s v="Food"/>
    <x v="3"/>
    <n v="2024"/>
    <d v="2024-03-13T00:00:00"/>
    <n v="1412.989999999998"/>
    <n v="11"/>
    <s v="discover"/>
    <n v="0"/>
  </r>
  <r>
    <n v="584"/>
    <n v="193"/>
    <d v="2024-03-14T00:00:00"/>
    <s v="STATE FARM INSURANCE 800-956-6310 ILITEM TRANSFERRED FROM PREV ACCOUNT"/>
    <n v="90.54"/>
    <s v="Merchandise"/>
    <x v="61"/>
    <x v="1"/>
    <s v="Insurance"/>
    <x v="3"/>
    <n v="2024"/>
    <d v="2024-03-14T00:00:00"/>
    <n v="1503.5299999999979"/>
    <n v="3"/>
    <s v="discover"/>
    <n v="0"/>
  </r>
  <r>
    <n v="585"/>
    <n v="194"/>
    <d v="2024-03-14T00:00:00"/>
    <s v="TARGET 00011221091 SAN MATEO CA"/>
    <n v="94.75"/>
    <s v="Supermarkets"/>
    <x v="36"/>
    <x v="0"/>
    <s v="Personal_Spending"/>
    <x v="3"/>
    <n v="2024"/>
    <d v="2024-03-14T00:00:00"/>
    <n v="1598.2799999999979"/>
    <n v="21"/>
    <s v="discover"/>
    <n v="0"/>
  </r>
  <r>
    <n v="586"/>
    <n v="195"/>
    <d v="2024-03-16T00:00:00"/>
    <s v="SP RING USA 8006561918 CA"/>
    <n v="370.99"/>
    <s v="Merchandise"/>
    <x v="79"/>
    <x v="0"/>
    <s v="People"/>
    <x v="3"/>
    <n v="2024"/>
    <d v="2024-03-16T00:00:00"/>
    <n v="1969.2699999999979"/>
    <n v="1"/>
    <s v="discover"/>
    <n v="0"/>
  </r>
  <r>
    <n v="587"/>
    <n v="196"/>
    <d v="2024-03-16T00:00:00"/>
    <s v="EB WILLIS 801-413-7200 CAAPPLE PAY ENDING IN 1455"/>
    <n v="44.74"/>
    <s v="Services"/>
    <x v="68"/>
    <x v="0"/>
    <s v="Personal_Spending"/>
    <x v="3"/>
    <n v="2024"/>
    <d v="2024-03-16T00:00:00"/>
    <n v="2014.0099999999979"/>
    <n v="2"/>
    <s v="discover"/>
    <n v="0"/>
  </r>
  <r>
    <n v="588"/>
    <n v="197"/>
    <d v="2024-03-16T00:00:00"/>
    <s v="CCBILL.COM 888-5969279 AZ"/>
    <n v="17"/>
    <s v="Merchandise"/>
    <x v="38"/>
    <x v="0"/>
    <s v="Recreation_Entertainment"/>
    <x v="3"/>
    <n v="2024"/>
    <d v="2024-03-16T00:00:00"/>
    <n v="2031.0099999999979"/>
    <n v="11"/>
    <s v="discover"/>
    <n v="0"/>
  </r>
  <r>
    <n v="589"/>
    <n v="198"/>
    <d v="2024-03-16T00:00:00"/>
    <s v="APPLE.COM/BILL 866-712-7753 CAAPPLE PAY ENDING IN 1455MMWF228FJ1A0"/>
    <n v="35.770000000000003"/>
    <s v="Merchandise"/>
    <x v="59"/>
    <x v="0"/>
    <s v="Recreation_Entertainment"/>
    <x v="3"/>
    <n v="2024"/>
    <d v="2024-03-16T00:00:00"/>
    <n v="2066.7799999999979"/>
    <n v="5"/>
    <s v="discover"/>
    <n v="0"/>
  </r>
  <r>
    <n v="590"/>
    <n v="199"/>
    <d v="2024-03-16T00:00:00"/>
    <s v="CCBILL.COM 888-5969279 AZ"/>
    <n v="9.57"/>
    <s v="Merchandise"/>
    <x v="38"/>
    <x v="0"/>
    <s v="Recreation_Entertainment"/>
    <x v="3"/>
    <n v="2024"/>
    <d v="2024-03-16T00:00:00"/>
    <n v="2076.349999999999"/>
    <n v="12"/>
    <s v="discover"/>
    <n v="0"/>
  </r>
  <r>
    <n v="591"/>
    <n v="200"/>
    <d v="2024-03-16T00:00:00"/>
    <s v="CCBILL.COM 888-5969279 AZ"/>
    <n v="3.19"/>
    <s v="Merchandise"/>
    <x v="38"/>
    <x v="0"/>
    <s v="Recreation_Entertainment"/>
    <x v="3"/>
    <n v="2024"/>
    <d v="2024-03-16T00:00:00"/>
    <n v="2079.5399999999991"/>
    <n v="13"/>
    <s v="discover"/>
    <n v="0"/>
  </r>
  <r>
    <n v="592"/>
    <n v="201"/>
    <d v="2024-03-16T00:00:00"/>
    <s v="CCBILL.COM 888-5969279 AZ"/>
    <n v="12.76"/>
    <s v="Merchandise"/>
    <x v="38"/>
    <x v="0"/>
    <s v="Recreation_Entertainment"/>
    <x v="3"/>
    <n v="2024"/>
    <d v="2024-03-16T00:00:00"/>
    <n v="2092.2999999999988"/>
    <n v="14"/>
    <s v="discover"/>
    <n v="0"/>
  </r>
  <r>
    <n v="593"/>
    <n v="202"/>
    <d v="2024-03-17T00:00:00"/>
    <s v="TST* NEW ENGLAND LOBST 650-443-1559 CAAPPLE PAY ENDING IN 145500019570016593356136AA"/>
    <n v="106.93"/>
    <s v="Restaurants"/>
    <x v="40"/>
    <x v="0"/>
    <s v="Food"/>
    <x v="3"/>
    <n v="2024"/>
    <d v="2024-03-17T00:00:00"/>
    <n v="2199.2299999999991"/>
    <n v="24"/>
    <s v="discover"/>
    <n v="0"/>
  </r>
  <r>
    <n v="594"/>
    <n v="203"/>
    <d v="2024-03-17T00:00:00"/>
    <s v="TST* NEW ENGLAND LOBST 650-443-1559 CAAPPLE PAY ENDING IN 145500019570016593761538AA"/>
    <n v="14.2"/>
    <s v="Restaurants"/>
    <x v="40"/>
    <x v="0"/>
    <s v="Food"/>
    <x v="3"/>
    <n v="2024"/>
    <d v="2024-03-17T00:00:00"/>
    <n v="2213.429999999998"/>
    <n v="25"/>
    <s v="discover"/>
    <n v="0"/>
  </r>
  <r>
    <n v="595"/>
    <n v="204"/>
    <d v="2024-03-17T00:00:00"/>
    <s v="SQ *B STREET &amp; VINE SAN MATEO CA0001152921513792978552"/>
    <n v="100.91"/>
    <s v="Restaurants"/>
    <x v="40"/>
    <x v="0"/>
    <s v="Food"/>
    <x v="3"/>
    <n v="2024"/>
    <d v="2024-03-17T00:00:00"/>
    <n v="2314.3399999999979"/>
    <n v="26"/>
    <s v="discover"/>
    <n v="0"/>
  </r>
  <r>
    <n v="596"/>
    <n v="205"/>
    <d v="2024-03-17T00:00:00"/>
    <s v="THE UC THEATRE 919-653-0443 NC"/>
    <n v="32.450000000000003"/>
    <s v="Travel/ Entertainment"/>
    <x v="27"/>
    <x v="0"/>
    <s v="Recreation_Entertainment"/>
    <x v="3"/>
    <n v="2024"/>
    <d v="2024-03-17T00:00:00"/>
    <n v="2346.7899999999981"/>
    <n v="7"/>
    <s v="discover"/>
    <n v="0"/>
  </r>
  <r>
    <n v="597"/>
    <n v="206"/>
    <d v="2024-03-18T00:00:00"/>
    <s v="APPLE STORE #R029 BURLINGAME CAR029105612201"/>
    <n v="91.98"/>
    <s v="Merchandise"/>
    <x v="14"/>
    <x v="1"/>
    <s v="Utilities"/>
    <x v="3"/>
    <n v="2024"/>
    <d v="2024-03-18T00:00:00"/>
    <n v="2438.7699999999982"/>
    <n v="1"/>
    <s v="discover"/>
    <n v="0"/>
  </r>
  <r>
    <n v="598"/>
    <n v="207"/>
    <d v="2024-03-18T00:00:00"/>
    <s v="CCBILL.COM 888-5969279 AZ"/>
    <n v="5.85"/>
    <s v="Merchandise"/>
    <x v="38"/>
    <x v="0"/>
    <s v="Recreation_Entertainment"/>
    <x v="3"/>
    <n v="2024"/>
    <d v="2024-03-18T00:00:00"/>
    <n v="2444.6199999999981"/>
    <n v="15"/>
    <s v="discover"/>
    <n v="0"/>
  </r>
  <r>
    <n v="599"/>
    <n v="208"/>
    <d v="2024-03-18T00:00:00"/>
    <s v="CCBILL.COM 888-5969279 AZ"/>
    <n v="9.3000000000000007"/>
    <s v="Merchandise"/>
    <x v="38"/>
    <x v="0"/>
    <s v="Recreation_Entertainment"/>
    <x v="3"/>
    <n v="2024"/>
    <d v="2024-03-18T00:00:00"/>
    <n v="2453.9199999999978"/>
    <n v="16"/>
    <s v="discover"/>
    <n v="0"/>
  </r>
  <r>
    <n v="600"/>
    <n v="209"/>
    <d v="2024-03-18T00:00:00"/>
    <s v="ETSY, INC. ETSY.COM/ NYAPPLE PAY ENDING IN 1455"/>
    <n v="39.96"/>
    <s v="Merchandise"/>
    <x v="65"/>
    <x v="0"/>
    <s v="Personal_Spending"/>
    <x v="3"/>
    <n v="2024"/>
    <d v="2024-03-18T00:00:00"/>
    <n v="2493.8799999999978"/>
    <n v="4"/>
    <s v="discover"/>
    <n v="0"/>
  </r>
  <r>
    <n v="601"/>
    <n v="210"/>
    <d v="2024-03-18T00:00:00"/>
    <s v="ETSY, INC. ETSY.COM/ NYAPPLE PAY ENDING IN 1455"/>
    <n v="50.43"/>
    <s v="Merchandise"/>
    <x v="65"/>
    <x v="0"/>
    <s v="Personal_Spending"/>
    <x v="3"/>
    <n v="2024"/>
    <d v="2024-03-18T00:00:00"/>
    <n v="2544.3099999999981"/>
    <n v="5"/>
    <s v="discover"/>
    <n v="0"/>
  </r>
  <r>
    <n v="602"/>
    <n v="211"/>
    <d v="2024-03-19T00:00:00"/>
    <s v="INTERNET PAYMENT - THANK YOU"/>
    <n v="-2373.8000000000002"/>
    <s v="Payments and Credits"/>
    <x v="55"/>
    <x v="0"/>
    <s v="Payment_and_Interest"/>
    <x v="3"/>
    <n v="2024"/>
    <d v="2024-03-19T00:00:00"/>
    <n v="170.50999999999789"/>
    <n v="6"/>
    <s v="discover"/>
    <n v="0"/>
  </r>
  <r>
    <n v="603"/>
    <n v="212"/>
    <d v="2024-03-19T00:00:00"/>
    <s v="TST* HAMANO SUSHI SAN FRANCISCOCA"/>
    <n v="91.71"/>
    <s v="Restaurants"/>
    <x v="58"/>
    <x v="0"/>
    <s v="Travel"/>
    <x v="3"/>
    <n v="2024"/>
    <d v="2024-03-19T00:00:00"/>
    <n v="262.21999999999792"/>
    <n v="7"/>
    <s v="discover"/>
    <n v="0"/>
  </r>
  <r>
    <n v="604"/>
    <n v="213"/>
    <d v="2024-03-20T00:00:00"/>
    <s v="AMAZON.COM*RH6FB8GE2 AMZN.COM/BILLWA55PN2MD3ECU"/>
    <n v="23.69"/>
    <s v="Merchandise"/>
    <x v="36"/>
    <x v="0"/>
    <s v="Personal_Spending"/>
    <x v="3"/>
    <n v="2024"/>
    <d v="2024-03-20T00:00:00"/>
    <n v="285.90999999999792"/>
    <n v="22"/>
    <s v="discover"/>
    <n v="0"/>
  </r>
  <r>
    <n v="605"/>
    <n v="214"/>
    <d v="2024-03-20T00:00:00"/>
    <s v="VALVE BELLEVUE WA"/>
    <n v="52.39"/>
    <s v="Merchandise"/>
    <x v="37"/>
    <x v="0"/>
    <s v="Recreation_Entertainment"/>
    <x v="3"/>
    <n v="2024"/>
    <d v="2024-03-20T00:00:00"/>
    <n v="338.29999999999791"/>
    <n v="5"/>
    <s v="discover"/>
    <n v="0"/>
  </r>
  <r>
    <n v="606"/>
    <n v="215"/>
    <d v="2024-03-21T00:00:00"/>
    <s v="WALGREENS #12257 BURLINGAME CA"/>
    <n v="11.1"/>
    <s v="Merchandise"/>
    <x v="71"/>
    <x v="0"/>
    <s v="Personal_Spending"/>
    <x v="3"/>
    <n v="2024"/>
    <d v="2024-03-21T00:00:00"/>
    <n v="349.39999999999787"/>
    <n v="2"/>
    <s v="discover"/>
    <n v="0"/>
  </r>
  <r>
    <n v="607"/>
    <n v="216"/>
    <d v="2024-03-21T00:00:00"/>
    <s v="TST* JUPITER PIZZA &amp; B BERKELEY CA00011295016687580189AA"/>
    <n v="20"/>
    <s v="Restaurants"/>
    <x v="50"/>
    <x v="0"/>
    <s v="Food"/>
    <x v="3"/>
    <n v="2024"/>
    <d v="2024-03-21T00:00:00"/>
    <n v="369.39999999999787"/>
    <n v="9"/>
    <s v="discover"/>
    <n v="0"/>
  </r>
  <r>
    <n v="608"/>
    <n v="217"/>
    <d v="2024-03-22T00:00:00"/>
    <s v="VALVE BELLEVUE WA"/>
    <n v="29.99"/>
    <s v="Merchandise"/>
    <x v="37"/>
    <x v="0"/>
    <s v="Recreation_Entertainment"/>
    <x v="3"/>
    <n v="2024"/>
    <d v="2024-03-22T00:00:00"/>
    <n v="399.38999999999788"/>
    <n v="6"/>
    <s v="discover"/>
    <n v="0"/>
  </r>
  <r>
    <n v="609"/>
    <n v="218"/>
    <d v="2024-03-22T00:00:00"/>
    <s v="SQ *INTERVALS PORTLAND OR0001152921513803820464"/>
    <n v="40.25"/>
    <s v="Merchandise"/>
    <x v="68"/>
    <x v="0"/>
    <s v="Personal_Spending"/>
    <x v="3"/>
    <n v="2024"/>
    <d v="2024-03-22T00:00:00"/>
    <n v="439.63999999999788"/>
    <n v="3"/>
    <s v="discover"/>
    <n v="0"/>
  </r>
  <r>
    <n v="610"/>
    <n v="219"/>
    <d v="2024-03-22T00:00:00"/>
    <s v="TARGET 00011221091 SAN MATEO CA"/>
    <n v="19.329999999999998"/>
    <s v="Supermarkets"/>
    <x v="36"/>
    <x v="0"/>
    <s v="Personal_Spending"/>
    <x v="3"/>
    <n v="2024"/>
    <d v="2024-03-22T00:00:00"/>
    <n v="458.96999999999792"/>
    <n v="23"/>
    <s v="discover"/>
    <n v="0"/>
  </r>
  <r>
    <n v="611"/>
    <n v="220"/>
    <d v="2024-03-23T00:00:00"/>
    <s v="WALGREENS #7043 SAN FRANCISCOCAAPPLE PAY ENDING IN 1455"/>
    <n v="13.07"/>
    <s v="Merchandise"/>
    <x v="71"/>
    <x v="0"/>
    <s v="Personal_Spending"/>
    <x v="3"/>
    <n v="2024"/>
    <d v="2024-03-23T00:00:00"/>
    <n v="472.03999999999792"/>
    <n v="3"/>
    <s v="discover"/>
    <n v="0"/>
  </r>
  <r>
    <n v="612"/>
    <n v="221"/>
    <d v="2024-03-24T00:00:00"/>
    <s v="SQ *NICK CIPPONERI FAR SAN FRANCISCOCA0001152921513812955955"/>
    <n v="8"/>
    <s v="Supermarkets"/>
    <x v="26"/>
    <x v="0"/>
    <s v="Food"/>
    <x v="3"/>
    <n v="2024"/>
    <d v="2024-03-24T00:00:00"/>
    <n v="480.03999999999792"/>
    <n v="12"/>
    <s v="discover"/>
    <n v="0"/>
  </r>
  <r>
    <n v="613"/>
    <n v="222"/>
    <d v="2024-03-25T00:00:00"/>
    <s v="OTF SAN MATEO 650-4870404 CA"/>
    <n v="4.3899999999999997"/>
    <s v="Travel/ Entertainment"/>
    <x v="70"/>
    <x v="0"/>
    <s v="Personal_Spending"/>
    <x v="3"/>
    <n v="2024"/>
    <d v="2024-03-25T00:00:00"/>
    <n v="484.4299999999979"/>
    <n v="2"/>
    <s v="discover"/>
    <n v="0"/>
  </r>
  <r>
    <n v="614"/>
    <n v="223"/>
    <d v="2024-03-25T00:00:00"/>
    <s v="CCBILL.COM 888-5969279 AZ"/>
    <n v="7.43"/>
    <s v="Merchandise"/>
    <x v="38"/>
    <x v="0"/>
    <s v="Recreation_Entertainment"/>
    <x v="3"/>
    <n v="2024"/>
    <d v="2024-03-25T00:00:00"/>
    <n v="491.85999999999791"/>
    <n v="17"/>
    <s v="discover"/>
    <n v="0"/>
  </r>
  <r>
    <n v="615"/>
    <n v="224"/>
    <d v="2024-03-25T00:00:00"/>
    <s v="CCBILL.COM 888-5969279 AZ"/>
    <n v="12.75"/>
    <s v="Merchandise"/>
    <x v="38"/>
    <x v="0"/>
    <s v="Recreation_Entertainment"/>
    <x v="3"/>
    <n v="2024"/>
    <d v="2024-03-25T00:00:00"/>
    <n v="504.60999999999791"/>
    <n v="18"/>
    <s v="discover"/>
    <n v="0"/>
  </r>
  <r>
    <n v="616"/>
    <n v="225"/>
    <d v="2024-03-25T00:00:00"/>
    <s v="GOOGLE *COLAB CC@GOOGLE.COMCAP10LBCZT"/>
    <n v="10.59"/>
    <s v="Merchandise"/>
    <x v="80"/>
    <x v="1"/>
    <s v="Personal_Spending"/>
    <x v="3"/>
    <n v="2024"/>
    <d v="2024-03-25T00:00:00"/>
    <n v="515.19999999999789"/>
    <n v="1"/>
    <s v="discover"/>
    <n v="0"/>
  </r>
  <r>
    <n v="617"/>
    <n v="226"/>
    <d v="2024-03-25T00:00:00"/>
    <s v="JEFFREYS HAMBURGER SM SAN MATEO CA"/>
    <n v="31.22"/>
    <s v="Restaurants"/>
    <x v="40"/>
    <x v="0"/>
    <s v="Food"/>
    <x v="3"/>
    <n v="2024"/>
    <d v="2024-03-25T00:00:00"/>
    <n v="546.41999999999791"/>
    <n v="27"/>
    <s v="discover"/>
    <n v="0"/>
  </r>
  <r>
    <n v="618"/>
    <n v="227"/>
    <d v="2024-03-25T00:00:00"/>
    <s v="SP RING USA 8006561918 CA"/>
    <n v="-370.99"/>
    <s v="Payments and Credits"/>
    <x v="79"/>
    <x v="0"/>
    <s v="People"/>
    <x v="3"/>
    <n v="2024"/>
    <d v="2024-03-25T00:00:00"/>
    <n v="175.4299999999979"/>
    <n v="2"/>
    <s v="discover"/>
    <n v="0"/>
  </r>
  <r>
    <n v="619"/>
    <n v="228"/>
    <d v="2024-03-27T00:00:00"/>
    <s v="MARVIN'S FARMERS MARKET MENLO PARK CA"/>
    <n v="29.59"/>
    <s v="Supermarkets"/>
    <x v="26"/>
    <x v="0"/>
    <s v="Food"/>
    <x v="3"/>
    <n v="2024"/>
    <d v="2024-03-27T00:00:00"/>
    <n v="205.01999999999791"/>
    <n v="13"/>
    <s v="discover"/>
    <n v="0"/>
  </r>
  <r>
    <n v="620"/>
    <n v="229"/>
    <d v="2024-03-27T00:00:00"/>
    <s v="THE UC THEATRE 919-653-0443 NC"/>
    <n v="70.040000000000006"/>
    <s v="Travel/ Entertainment"/>
    <x v="27"/>
    <x v="0"/>
    <s v="Recreation_Entertainment"/>
    <x v="3"/>
    <n v="2024"/>
    <d v="2024-03-27T00:00:00"/>
    <n v="275.0599999999979"/>
    <n v="8"/>
    <s v="discover"/>
    <n v="0"/>
  </r>
  <r>
    <n v="621"/>
    <n v="230"/>
    <d v="2024-03-27T00:00:00"/>
    <s v="LYFT 1 RIDE 03-25 855-865-9553 CA"/>
    <n v="8.99"/>
    <s v="Travel/ Entertainment"/>
    <x v="81"/>
    <x v="0"/>
    <s v="Transportation"/>
    <x v="3"/>
    <n v="2024"/>
    <d v="2024-03-27T00:00:00"/>
    <n v="284.04999999999791"/>
    <n v="1"/>
    <s v="discover"/>
    <n v="0"/>
  </r>
  <r>
    <n v="622"/>
    <n v="231"/>
    <d v="2024-03-27T00:00:00"/>
    <s v="FIVE BELOW 1436 FOSTER CITY CA"/>
    <n v="8.75"/>
    <s v="Merchandise"/>
    <x v="36"/>
    <x v="0"/>
    <s v="Personal_Spending"/>
    <x v="3"/>
    <n v="2024"/>
    <d v="2024-03-27T00:00:00"/>
    <n v="292.79999999999791"/>
    <n v="24"/>
    <s v="discover"/>
    <n v="0"/>
  </r>
  <r>
    <n v="623"/>
    <n v="232"/>
    <d v="2024-03-27T00:00:00"/>
    <s v="FASTRAK CSC 415-486-8655 CA"/>
    <n v="25"/>
    <s v="Travel/ Entertainment"/>
    <x v="57"/>
    <x v="0"/>
    <s v="Transportation"/>
    <x v="3"/>
    <n v="2024"/>
    <d v="2024-03-27T00:00:00"/>
    <n v="317.79999999999791"/>
    <n v="3"/>
    <s v="discover"/>
    <n v="0"/>
  </r>
  <r>
    <n v="624"/>
    <n v="233"/>
    <d v="2024-03-27T00:00:00"/>
    <s v="ALIPAY BEIJING CHN1442.00 @ 00000000.1385714 CNY"/>
    <n v="199.82"/>
    <s v="Department Stores"/>
    <x v="23"/>
    <x v="0"/>
    <s v="Travel"/>
    <x v="3"/>
    <n v="2024"/>
    <d v="2024-03-27T00:00:00"/>
    <n v="517.61999999999784"/>
    <n v="1"/>
    <s v="discover"/>
    <n v="0"/>
  </r>
  <r>
    <n v="625"/>
    <n v="234"/>
    <d v="2024-03-27T00:00:00"/>
    <s v="ADOBE *ADOBE 408-536-6000 CA"/>
    <n v="29.99"/>
    <s v="Merchandise"/>
    <x v="66"/>
    <x v="1"/>
    <s v="Personal_Spending"/>
    <x v="3"/>
    <n v="2024"/>
    <d v="2024-03-27T00:00:00"/>
    <n v="547.60999999999785"/>
    <n v="3"/>
    <s v="discover"/>
    <n v="0"/>
  </r>
  <r>
    <n v="626"/>
    <n v="235"/>
    <d v="2024-03-28T00:00:00"/>
    <s v="CCBILL.COM 888-5969279 AZ"/>
    <n v="7.43"/>
    <s v="Merchandise"/>
    <x v="38"/>
    <x v="0"/>
    <s v="Recreation_Entertainment"/>
    <x v="3"/>
    <n v="2024"/>
    <d v="2024-03-28T00:00:00"/>
    <n v="555.0399999999978"/>
    <n v="19"/>
    <s v="discover"/>
    <n v="0"/>
  </r>
  <r>
    <n v="627"/>
    <n v="236"/>
    <d v="2024-03-28T00:00:00"/>
    <s v="CCBILL.COM 888-5969279 AZ"/>
    <n v="10.35"/>
    <s v="Merchandise"/>
    <x v="38"/>
    <x v="0"/>
    <s v="Recreation_Entertainment"/>
    <x v="3"/>
    <n v="2024"/>
    <d v="2024-03-28T00:00:00"/>
    <n v="565.38999999999783"/>
    <n v="20"/>
    <s v="discover"/>
    <n v="0"/>
  </r>
  <r>
    <n v="628"/>
    <n v="237"/>
    <d v="2024-03-28T00:00:00"/>
    <s v="WILLIS 6502396947 TN"/>
    <n v="103.5"/>
    <s v="Merchandise"/>
    <x v="68"/>
    <x v="0"/>
    <s v="Personal_Spending"/>
    <x v="3"/>
    <n v="2024"/>
    <d v="2024-03-28T00:00:00"/>
    <n v="668.88999999999783"/>
    <n v="4"/>
    <s v="discover"/>
    <n v="0"/>
  </r>
  <r>
    <n v="629"/>
    <n v="238"/>
    <d v="2024-03-29T00:00:00"/>
    <s v="CCBILL.COM 888-5969279 AZ"/>
    <n v="10.62"/>
    <s v="Merchandise"/>
    <x v="38"/>
    <x v="0"/>
    <s v="Recreation_Entertainment"/>
    <x v="3"/>
    <n v="2024"/>
    <d v="2024-03-29T00:00:00"/>
    <n v="679.50999999999783"/>
    <n v="21"/>
    <s v="discover"/>
    <n v="0"/>
  </r>
  <r>
    <n v="630"/>
    <n v="239"/>
    <d v="2024-03-29T00:00:00"/>
    <s v="CCBILL.COM 888-5969279 AZ"/>
    <n v="10.62"/>
    <s v="Merchandise"/>
    <x v="38"/>
    <x v="0"/>
    <s v="Recreation_Entertainment"/>
    <x v="3"/>
    <n v="2024"/>
    <d v="2024-03-29T00:00:00"/>
    <n v="690.12999999999784"/>
    <n v="22"/>
    <s v="discover"/>
    <n v="0"/>
  </r>
  <r>
    <n v="631"/>
    <n v="240"/>
    <d v="2024-03-29T00:00:00"/>
    <s v="COW PALACE (FOOD) 6502396947 CA"/>
    <n v="34.799999999999997"/>
    <s v="Merchandise"/>
    <x v="50"/>
    <x v="0"/>
    <s v="Food"/>
    <x v="3"/>
    <n v="2024"/>
    <d v="2024-03-29T00:00:00"/>
    <n v="724.92999999999779"/>
    <n v="10"/>
    <s v="discover"/>
    <n v="0"/>
  </r>
  <r>
    <n v="632"/>
    <n v="241"/>
    <d v="2024-03-29T00:00:00"/>
    <s v="JFF PUBLICATIONS WILTON MANORSFL"/>
    <n v="6.98"/>
    <s v="Merchandise"/>
    <x v="27"/>
    <x v="0"/>
    <s v="Recreation_Entertainment"/>
    <x v="3"/>
    <n v="2024"/>
    <d v="2024-03-29T00:00:00"/>
    <n v="731.90999999999781"/>
    <n v="9"/>
    <s v="discover"/>
    <n v="0"/>
  </r>
  <r>
    <n v="633"/>
    <n v="242"/>
    <d v="2024-03-30T00:00:00"/>
    <s v="CCBILL.COM 888-5969279 AZ"/>
    <n v="19.13"/>
    <s v="Merchandise"/>
    <x v="38"/>
    <x v="0"/>
    <s v="Recreation_Entertainment"/>
    <x v="3"/>
    <n v="2024"/>
    <d v="2024-03-30T00:00:00"/>
    <n v="751.0399999999978"/>
    <n v="23"/>
    <s v="discover"/>
    <n v="0"/>
  </r>
  <r>
    <n v="634"/>
    <n v="243"/>
    <d v="2024-03-30T00:00:00"/>
    <s v="COW PALACE (BAR) 6502396947 CA"/>
    <n v="50.09"/>
    <s v="Merchandise"/>
    <x v="40"/>
    <x v="0"/>
    <s v="Food"/>
    <x v="3"/>
    <n v="2024"/>
    <d v="2024-03-30T00:00:00"/>
    <n v="801.12999999999784"/>
    <n v="28"/>
    <s v="discover"/>
    <n v="0"/>
  </r>
  <r>
    <n v="635"/>
    <n v="244"/>
    <d v="2024-03-30T00:00:00"/>
    <s v="SQ *ZAREEN'S RESTAURAN REDWOOD CITY CA0001152921513836598792"/>
    <n v="41.8"/>
    <s v="Restaurants"/>
    <x v="40"/>
    <x v="0"/>
    <s v="Food"/>
    <x v="3"/>
    <n v="2024"/>
    <d v="2024-03-30T00:00:00"/>
    <n v="842.92999999999779"/>
    <n v="29"/>
    <s v="discover"/>
    <n v="0"/>
  </r>
  <r>
    <n v="636"/>
    <n v="245"/>
    <d v="2024-03-30T00:00:00"/>
    <s v="TARGET 00010546091 SAN BRUNO CA"/>
    <n v="34.369999999999997"/>
    <s v="Supermarkets"/>
    <x v="36"/>
    <x v="0"/>
    <s v="Personal_Spending"/>
    <x v="3"/>
    <n v="2024"/>
    <d v="2024-03-30T00:00:00"/>
    <n v="877.29999999999779"/>
    <n v="25"/>
    <s v="discover"/>
    <n v="0"/>
  </r>
  <r>
    <n v="637"/>
    <n v="246"/>
    <d v="2024-03-31T00:00:00"/>
    <s v="SNACK* SOMI SOMI SAN M 8668682146 CA"/>
    <n v="5.4"/>
    <s v="Restaurants"/>
    <x v="40"/>
    <x v="0"/>
    <s v="Food"/>
    <x v="3"/>
    <n v="2024"/>
    <d v="2024-03-31T00:00:00"/>
    <n v="882.69999999999777"/>
    <n v="30"/>
    <s v="discover"/>
    <n v="1"/>
  </r>
  <r>
    <n v="638"/>
    <n v="247"/>
    <d v="2024-04-01T00:00:00"/>
    <s v="AMAZON.COM*783OU3U03 AMZN.COM/BILLWANQUB51SMK9Q"/>
    <n v="69.64"/>
    <s v="Merchandise"/>
    <x v="36"/>
    <x v="0"/>
    <s v="Personal_Spending"/>
    <x v="4"/>
    <n v="2024"/>
    <d v="2024-04-01T00:00:00"/>
    <n v="952.33999999999776"/>
    <n v="26"/>
    <s v="discover"/>
    <n v="0"/>
  </r>
  <r>
    <n v="639"/>
    <n v="248"/>
    <d v="2024-04-01T00:00:00"/>
    <s v="CHATGPT SUBSCRIPTION 4158799686 CA"/>
    <n v="20"/>
    <s v="Merchandise"/>
    <x v="30"/>
    <x v="1"/>
    <s v="Personal_Spending"/>
    <x v="4"/>
    <n v="2024"/>
    <d v="2024-04-01T00:00:00"/>
    <n v="972.33999999999776"/>
    <n v="4"/>
    <s v="discover"/>
    <n v="0"/>
  </r>
  <r>
    <n v="640"/>
    <n v="249"/>
    <d v="2024-04-01T00:00:00"/>
    <s v="DD DOORDASH SUSHIRRIT 855-973-1040 CAAPPLE PAY ENDING IN 1455"/>
    <n v="28.57"/>
    <s v="Restaurants"/>
    <x v="58"/>
    <x v="0"/>
    <s v="Travel"/>
    <x v="4"/>
    <n v="2024"/>
    <d v="2024-04-01T00:00:00"/>
    <n v="1000.909999999998"/>
    <n v="8"/>
    <s v="discover"/>
    <n v="0"/>
  </r>
  <r>
    <n v="641"/>
    <n v="250"/>
    <d v="2024-04-01T00:00:00"/>
    <s v="SP KORI WORLD 4012179994 CA"/>
    <n v="57.98"/>
    <s v="Merchandise"/>
    <x v="56"/>
    <x v="0"/>
    <s v="Personal_Spending"/>
    <x v="4"/>
    <n v="2024"/>
    <d v="2024-04-01T00:00:00"/>
    <n v="1058.8899999999981"/>
    <n v="6"/>
    <s v="discover"/>
    <n v="0"/>
  </r>
  <r>
    <n v="642"/>
    <n v="251"/>
    <d v="2024-04-01T00:00:00"/>
    <s v="THE DISTRICT BARBERS D 9292652995 NYAPPLE PAY ENDING IN 1455"/>
    <n v="61"/>
    <s v="Services"/>
    <x v="40"/>
    <x v="0"/>
    <s v="Food"/>
    <x v="4"/>
    <n v="2024"/>
    <d v="2024-04-01T00:00:00"/>
    <n v="1119.8899999999981"/>
    <n v="31"/>
    <s v="discover"/>
    <n v="0"/>
  </r>
  <r>
    <n v="643"/>
    <n v="252"/>
    <d v="2024-04-01T00:00:00"/>
    <s v="CCBILL.COM 888-5969279 AZ"/>
    <n v="3.19"/>
    <s v="Merchandise"/>
    <x v="38"/>
    <x v="0"/>
    <s v="Recreation_Entertainment"/>
    <x v="4"/>
    <n v="2024"/>
    <d v="2024-04-01T00:00:00"/>
    <n v="1123.0799999999981"/>
    <n v="24"/>
    <s v="discover"/>
    <n v="0"/>
  </r>
  <r>
    <n v="644"/>
    <n v="253"/>
    <d v="2024-04-01T00:00:00"/>
    <s v="PLANNED PARENTHOOD ACTIO NEW YORK NY"/>
    <n v="5"/>
    <s v="Services"/>
    <x v="31"/>
    <x v="1"/>
    <s v="Personal_Spending"/>
    <x v="4"/>
    <n v="2024"/>
    <d v="2024-04-01T00:00:00"/>
    <n v="1128.0799999999981"/>
    <n v="4"/>
    <s v="discover"/>
    <n v="0"/>
  </r>
  <r>
    <n v="645"/>
    <n v="254"/>
    <d v="2024-04-01T00:00:00"/>
    <s v="SAFEWAY #1547 BURLINGAME CA"/>
    <n v="62.46"/>
    <s v="Supermarkets"/>
    <x v="26"/>
    <x v="0"/>
    <s v="Food"/>
    <x v="4"/>
    <n v="2024"/>
    <d v="2024-04-01T00:00:00"/>
    <n v="1190.5399999999979"/>
    <n v="14"/>
    <s v="discover"/>
    <n v="0"/>
  </r>
  <r>
    <n v="646"/>
    <n v="255"/>
    <d v="2024-04-01T00:00:00"/>
    <s v="SPOTIFY P2B1395D1E 8777781161 NY"/>
    <n v="5.99"/>
    <s v="Merchandise"/>
    <x v="32"/>
    <x v="1"/>
    <s v="Recreation_Entertainment"/>
    <x v="4"/>
    <n v="2024"/>
    <d v="2024-04-01T00:00:00"/>
    <n v="1196.5299999999979"/>
    <n v="4"/>
    <s v="discover"/>
    <n v="0"/>
  </r>
  <r>
    <n v="647"/>
    <n v="256"/>
    <d v="2024-04-02T00:00:00"/>
    <s v="ONEPASS 877-515-9364 MN370447"/>
    <n v="273.60000000000002"/>
    <s v="Services"/>
    <x v="33"/>
    <x v="1"/>
    <s v="Personal_Spending"/>
    <x v="4"/>
    <n v="2024"/>
    <d v="2024-04-02T00:00:00"/>
    <n v="1470.1299999999981"/>
    <n v="6"/>
    <s v="discover"/>
    <n v="0"/>
  </r>
  <r>
    <n v="648"/>
    <n v="257"/>
    <d v="2024-04-02T00:00:00"/>
    <s v="AMAZON.COM*MT4R11EO3 AMZN.COM/BILLWA45HTYXU7UOR"/>
    <n v="23.69"/>
    <s v="Merchandise"/>
    <x v="36"/>
    <x v="0"/>
    <s v="Personal_Spending"/>
    <x v="4"/>
    <n v="2024"/>
    <d v="2024-04-02T00:00:00"/>
    <n v="1493.8199999999979"/>
    <n v="27"/>
    <s v="discover"/>
    <n v="0"/>
  </r>
  <r>
    <n v="649"/>
    <n v="258"/>
    <d v="2024-04-02T00:00:00"/>
    <s v="BREAKING POINTS 2025317527 DCITEM TRANSFERRED FROM PREV ACCOUNT"/>
    <n v="10"/>
    <s v="Merchandise"/>
    <x v="34"/>
    <x v="1"/>
    <s v="Recreation_Entertainment"/>
    <x v="4"/>
    <n v="2024"/>
    <d v="2024-04-02T00:00:00"/>
    <n v="1503.8199999999979"/>
    <n v="4"/>
    <s v="discover"/>
    <n v="0"/>
  </r>
  <r>
    <n v="650"/>
    <n v="259"/>
    <d v="2024-04-02T00:00:00"/>
    <s v="CITY OF BURLINGAME-PARKI BURLINGAME CA"/>
    <n v="3"/>
    <s v="Services"/>
    <x v="2"/>
    <x v="0"/>
    <s v="Transportation"/>
    <x v="4"/>
    <n v="2024"/>
    <d v="2024-04-02T00:00:00"/>
    <n v="1506.8199999999979"/>
    <n v="3"/>
    <s v="discover"/>
    <n v="0"/>
  </r>
  <r>
    <n v="651"/>
    <n v="260"/>
    <d v="2024-04-03T00:00:00"/>
    <s v="KOKKO SAN MATEO CA"/>
    <n v="57.46"/>
    <s v="Restaurants"/>
    <x v="40"/>
    <x v="0"/>
    <s v="Food"/>
    <x v="4"/>
    <n v="2024"/>
    <d v="2024-04-03T00:00:00"/>
    <n v="1564.2799999999979"/>
    <n v="32"/>
    <s v="discover"/>
    <n v="0"/>
  </r>
  <r>
    <n v="652"/>
    <n v="261"/>
    <d v="2024-04-03T00:00:00"/>
    <s v="DD *TEAPLUSNOODLES 6506819470 CA"/>
    <n v="43.19"/>
    <s v="Restaurants"/>
    <x v="40"/>
    <x v="0"/>
    <s v="Food"/>
    <x v="4"/>
    <n v="2024"/>
    <d v="2024-04-03T00:00:00"/>
    <n v="1607.469999999998"/>
    <n v="33"/>
    <s v="discover"/>
    <n v="0"/>
  </r>
  <r>
    <n v="653"/>
    <n v="262"/>
    <d v="2024-04-03T00:00:00"/>
    <s v="AUTOMATIC STATEMENT CREDIT"/>
    <n v="-39.46"/>
    <s v="Awards and Rebate Credits"/>
    <x v="39"/>
    <x v="0"/>
    <s v="Payment_and_Interest"/>
    <x v="4"/>
    <n v="2024"/>
    <d v="2024-04-03T00:00:00"/>
    <n v="1568.0099999999979"/>
    <n v="4"/>
    <s v="discover"/>
    <n v="0"/>
  </r>
  <r>
    <n v="654"/>
    <n v="263"/>
    <d v="2024-04-03T00:00:00"/>
    <s v="CCBILL.COM 888-5969279 AZ"/>
    <n v="10.62"/>
    <s v="Merchandise"/>
    <x v="38"/>
    <x v="0"/>
    <s v="Recreation_Entertainment"/>
    <x v="4"/>
    <n v="2024"/>
    <d v="2024-04-03T00:00:00"/>
    <n v="1578.6299999999981"/>
    <n v="25"/>
    <s v="discover"/>
    <n v="0"/>
  </r>
  <r>
    <n v="655"/>
    <n v="264"/>
    <d v="2024-04-04T00:00:00"/>
    <s v="CCBILL.COM 888-5969279 AZ"/>
    <n v="8.49"/>
    <s v="Merchandise"/>
    <x v="38"/>
    <x v="0"/>
    <s v="Recreation_Entertainment"/>
    <x v="4"/>
    <n v="2024"/>
    <d v="2024-04-04T00:00:00"/>
    <n v="1587.1199999999981"/>
    <n v="26"/>
    <s v="discover"/>
    <n v="0"/>
  </r>
  <r>
    <n v="656"/>
    <n v="265"/>
    <d v="2024-04-04T00:00:00"/>
    <s v="INTERNET PAYMENT - THANK YOU"/>
    <n v="-1420.5"/>
    <s v="Payments and Credits"/>
    <x v="55"/>
    <x v="0"/>
    <s v="Payment_and_Interest"/>
    <x v="4"/>
    <n v="2024"/>
    <d v="2024-04-04T00:00:00"/>
    <n v="166.61999999999779"/>
    <n v="7"/>
    <s v="discover"/>
    <n v="0"/>
  </r>
  <r>
    <n v="657"/>
    <n v="266"/>
    <d v="2024-04-04T00:00:00"/>
    <s v="UNCLE TETSU #31003 SAN MATEO CA"/>
    <n v="20.48"/>
    <s v="Restaurants"/>
    <x v="65"/>
    <x v="0"/>
    <s v="Personal_Spending"/>
    <x v="4"/>
    <n v="2024"/>
    <d v="2024-04-04T00:00:00"/>
    <n v="187.09999999999781"/>
    <n v="6"/>
    <s v="discover"/>
    <n v="0"/>
  </r>
  <r>
    <n v="658"/>
    <n v="267"/>
    <d v="2024-04-05T00:00:00"/>
    <s v="EL PALENQUE TAQUERIA SAN MATEO CA"/>
    <n v="46.73"/>
    <s v="Restaurants"/>
    <x v="40"/>
    <x v="0"/>
    <s v="Food"/>
    <x v="4"/>
    <n v="2024"/>
    <d v="2024-04-05T00:00:00"/>
    <n v="233.8299999999978"/>
    <n v="34"/>
    <s v="discover"/>
    <n v="0"/>
  </r>
  <r>
    <n v="659"/>
    <n v="268"/>
    <d v="2024-04-05T00:00:00"/>
    <s v="TST* THE REFUGE - HILL 650-458-3044 CA00018617016934523764AA"/>
    <n v="19.68"/>
    <s v="Restaurants"/>
    <x v="58"/>
    <x v="0"/>
    <s v="Travel"/>
    <x v="4"/>
    <n v="2024"/>
    <d v="2024-04-05T00:00:00"/>
    <n v="253.5099999999978"/>
    <n v="9"/>
    <s v="discover"/>
    <n v="0"/>
  </r>
  <r>
    <n v="660"/>
    <n v="269"/>
    <d v="2024-04-06T00:00:00"/>
    <s v="A MEDIUM CORPORATION 415-508-5008 CA"/>
    <n v="50"/>
    <s v="Services"/>
    <x v="27"/>
    <x v="0"/>
    <s v="Recreation_Entertainment"/>
    <x v="4"/>
    <n v="2024"/>
    <d v="2024-04-06T00:00:00"/>
    <n v="303.50999999999777"/>
    <n v="10"/>
    <s v="discover"/>
    <n v="0"/>
  </r>
  <r>
    <n v="661"/>
    <n v="270"/>
    <d v="2024-04-06T00:00:00"/>
    <s v="MICROSOFT*STORE MSBILL.INFO WA"/>
    <n v="69.989999999999995"/>
    <s v="Merchandise"/>
    <x v="82"/>
    <x v="1"/>
    <s v="Personal_Spending"/>
    <x v="4"/>
    <n v="2024"/>
    <d v="2024-04-06T00:00:00"/>
    <n v="373.49999999999778"/>
    <n v="1"/>
    <s v="discover"/>
    <n v="0"/>
  </r>
  <r>
    <n v="662"/>
    <n v="271"/>
    <d v="2024-04-07T00:00:00"/>
    <s v="APPLE.COM/BILL 866-712-7753 CAAPPLE PAY ENDING IN 1455MMWF41WDVWA0"/>
    <n v="9.99"/>
    <s v="Merchandise"/>
    <x v="46"/>
    <x v="1"/>
    <s v="Personal_Spending"/>
    <x v="4"/>
    <n v="2024"/>
    <d v="2024-04-07T00:00:00"/>
    <n v="383.48999999999779"/>
    <n v="4"/>
    <s v="discover"/>
    <n v="0"/>
  </r>
  <r>
    <n v="663"/>
    <n v="272"/>
    <d v="2024-04-08T00:00:00"/>
    <s v="SQ *DONUT DELITE SAN MATEO CA0001152921513866580236"/>
    <n v="4.43"/>
    <s v="Merchandise"/>
    <x v="40"/>
    <x v="0"/>
    <s v="Food"/>
    <x v="4"/>
    <n v="2024"/>
    <d v="2024-04-08T00:00:00"/>
    <n v="387.91999999999791"/>
    <n v="35"/>
    <s v="discover"/>
    <n v="0"/>
  </r>
  <r>
    <n v="664"/>
    <n v="273"/>
    <d v="2024-04-08T00:00:00"/>
    <s v="POSHMARK 650-488-7740 CAAPPLE PAY ENDING IN 1455"/>
    <n v="62.79"/>
    <s v="Merchandise"/>
    <x v="56"/>
    <x v="0"/>
    <s v="Personal_Spending"/>
    <x v="4"/>
    <n v="2024"/>
    <d v="2024-04-08T00:00:00"/>
    <n v="450.70999999999788"/>
    <n v="7"/>
    <s v="discover"/>
    <n v="0"/>
  </r>
  <r>
    <n v="665"/>
    <n v="274"/>
    <d v="2024-04-08T00:00:00"/>
    <s v="POSHMARK 650-488-7740 CAAPPLE PAY ENDING IN 1455"/>
    <n v="34.28"/>
    <s v="Merchandise"/>
    <x v="56"/>
    <x v="0"/>
    <s v="Personal_Spending"/>
    <x v="4"/>
    <n v="2024"/>
    <d v="2024-04-08T00:00:00"/>
    <n v="484.98999999999779"/>
    <n v="8"/>
    <s v="discover"/>
    <n v="0"/>
  </r>
  <r>
    <n v="666"/>
    <n v="275"/>
    <d v="2024-04-08T00:00:00"/>
    <s v="CCBILL.COM 888-5969279 AZ"/>
    <n v="18.059999999999999"/>
    <s v="Merchandise"/>
    <x v="38"/>
    <x v="0"/>
    <s v="Recreation_Entertainment"/>
    <x v="4"/>
    <n v="2024"/>
    <d v="2024-04-08T00:00:00"/>
    <n v="503.04999999999791"/>
    <n v="27"/>
    <s v="discover"/>
    <n v="0"/>
  </r>
  <r>
    <n v="667"/>
    <n v="276"/>
    <d v="2024-04-08T00:00:00"/>
    <s v="CCBILL.COM 888-5969279 AZ"/>
    <n v="10.62"/>
    <s v="Merchandise"/>
    <x v="38"/>
    <x v="0"/>
    <s v="Recreation_Entertainment"/>
    <x v="4"/>
    <n v="2024"/>
    <d v="2024-04-08T00:00:00"/>
    <n v="513.6699999999978"/>
    <n v="28"/>
    <s v="discover"/>
    <n v="0"/>
  </r>
  <r>
    <n v="668"/>
    <n v="277"/>
    <d v="2024-04-09T00:00:00"/>
    <s v="CONSULATE GENERAL OF CHI SAN FRANCISCOCA"/>
    <n v="140"/>
    <s v="Services"/>
    <x v="58"/>
    <x v="0"/>
    <s v="Travel"/>
    <x v="4"/>
    <n v="2024"/>
    <d v="2024-04-09T00:00:00"/>
    <n v="653.6699999999978"/>
    <n v="10"/>
    <s v="discover"/>
    <n v="0"/>
  </r>
  <r>
    <n v="669"/>
    <n v="278"/>
    <d v="2024-04-09T00:00:00"/>
    <s v="DD *TAQUERIALASPENCAS 6506819470 CA"/>
    <n v="12.33"/>
    <s v="Restaurants"/>
    <x v="40"/>
    <x v="0"/>
    <s v="Food"/>
    <x v="4"/>
    <n v="2024"/>
    <d v="2024-04-09T00:00:00"/>
    <n v="665.99999999999784"/>
    <n v="36"/>
    <s v="discover"/>
    <n v="0"/>
  </r>
  <r>
    <n v="670"/>
    <n v="279"/>
    <d v="2024-04-09T00:00:00"/>
    <s v="MCDONALDS 1386 SAN MATEO CA"/>
    <n v="2.83"/>
    <s v="Restaurants"/>
    <x v="50"/>
    <x v="0"/>
    <s v="Food"/>
    <x v="4"/>
    <n v="2024"/>
    <d v="2024-04-09T00:00:00"/>
    <n v="668.82999999999788"/>
    <n v="11"/>
    <s v="discover"/>
    <n v="0"/>
  </r>
  <r>
    <n v="671"/>
    <n v="280"/>
    <d v="2024-04-10T00:00:00"/>
    <s v="A&amp;A GAS BURLINGAME CA"/>
    <n v="3.34"/>
    <s v="Gasoline"/>
    <x v="47"/>
    <x v="0"/>
    <s v="Transportation"/>
    <x v="4"/>
    <n v="2024"/>
    <d v="2024-04-10T00:00:00"/>
    <n v="672.16999999999791"/>
    <n v="6"/>
    <s v="discover"/>
    <n v="0"/>
  </r>
  <r>
    <n v="672"/>
    <n v="281"/>
    <d v="2024-04-10T00:00:00"/>
    <s v="A&amp;A GAS BURLINGAME CA"/>
    <n v="54.02"/>
    <s v="Gasoline"/>
    <x v="47"/>
    <x v="0"/>
    <s v="Transportation"/>
    <x v="4"/>
    <n v="2024"/>
    <d v="2024-04-10T00:00:00"/>
    <n v="726.18999999999789"/>
    <n v="7"/>
    <s v="discover"/>
    <n v="0"/>
  </r>
  <r>
    <n v="673"/>
    <n v="282"/>
    <d v="2024-04-10T00:00:00"/>
    <s v="CHENG &amp; TSUI COMPANY 8005541963 MA"/>
    <n v="142.62"/>
    <s v="Merchandise"/>
    <x v="24"/>
    <x v="0"/>
    <s v="Personal_Spending"/>
    <x v="4"/>
    <n v="2024"/>
    <d v="2024-04-10T00:00:00"/>
    <n v="868.8099999999979"/>
    <n v="3"/>
    <s v="discover"/>
    <n v="0"/>
  </r>
  <r>
    <n v="674"/>
    <n v="283"/>
    <d v="2024-04-10T00:00:00"/>
    <s v="CHENG &amp; TSUI COMPANY 8005541963 MA"/>
    <n v="175.39"/>
    <s v="Merchandise"/>
    <x v="24"/>
    <x v="0"/>
    <s v="Personal_Spending"/>
    <x v="4"/>
    <n v="2024"/>
    <d v="2024-04-10T00:00:00"/>
    <n v="1044.199999999998"/>
    <n v="4"/>
    <s v="discover"/>
    <n v="0"/>
  </r>
  <r>
    <n v="675"/>
    <n v="284"/>
    <d v="2024-04-10T00:00:00"/>
    <s v="FASTRAK CSC 415-486-8655 CA"/>
    <n v="25"/>
    <s v="Travel/ Entertainment"/>
    <x v="57"/>
    <x v="0"/>
    <s v="Transportation"/>
    <x v="4"/>
    <n v="2024"/>
    <d v="2024-04-10T00:00:00"/>
    <n v="1069.199999999998"/>
    <n v="4"/>
    <s v="discover"/>
    <n v="0"/>
  </r>
  <r>
    <n v="676"/>
    <n v="285"/>
    <d v="2024-04-10T00:00:00"/>
    <s v="SAPORE EXPRESS SAN MATEO CA"/>
    <n v="48.5"/>
    <s v="Restaurants"/>
    <x v="50"/>
    <x v="0"/>
    <s v="Food"/>
    <x v="4"/>
    <n v="2024"/>
    <d v="2024-04-10T00:00:00"/>
    <n v="1117.699999999998"/>
    <n v="12"/>
    <s v="discover"/>
    <n v="0"/>
  </r>
  <r>
    <n v="677"/>
    <n v="286"/>
    <d v="2024-04-11T00:00:00"/>
    <s v="SAFEWAY #1547 BURLINGAME CA"/>
    <n v="14.82"/>
    <s v="Supermarkets"/>
    <x v="26"/>
    <x v="0"/>
    <s v="Food"/>
    <x v="4"/>
    <n v="2024"/>
    <d v="2024-04-11T00:00:00"/>
    <n v="1132.5199999999979"/>
    <n v="15"/>
    <s v="discover"/>
    <n v="0"/>
  </r>
  <r>
    <n v="678"/>
    <n v="287"/>
    <d v="2024-04-11T00:00:00"/>
    <s v="SQ *TENNIS STATION BUR BURLINGAME CA0001152921513877302832"/>
    <n v="233.29"/>
    <s v="Merchandise"/>
    <x v="27"/>
    <x v="0"/>
    <s v="Recreation_Entertainment"/>
    <x v="4"/>
    <n v="2024"/>
    <d v="2024-04-11T00:00:00"/>
    <n v="1365.8099999999979"/>
    <n v="11"/>
    <s v="discover"/>
    <n v="0"/>
  </r>
  <r>
    <n v="679"/>
    <n v="288"/>
    <d v="2024-04-11T00:00:00"/>
    <s v="FIVE GUYS CA 1370 QSR BURLINGAME CA"/>
    <n v="15.76"/>
    <s v="Restaurants"/>
    <x v="50"/>
    <x v="0"/>
    <s v="Food"/>
    <x v="4"/>
    <n v="2024"/>
    <d v="2024-04-11T00:00:00"/>
    <n v="1381.5699999999979"/>
    <n v="13"/>
    <s v="discover"/>
    <n v="0"/>
  </r>
  <r>
    <n v="680"/>
    <n v="289"/>
    <d v="2024-04-12T00:00:00"/>
    <s v="WALGREENS #12257 BURLINGAME CA"/>
    <n v="15.34"/>
    <s v="Merchandise"/>
    <x v="71"/>
    <x v="0"/>
    <s v="Personal_Spending"/>
    <x v="4"/>
    <n v="2024"/>
    <d v="2024-04-12T00:00:00"/>
    <n v="1396.909999999998"/>
    <n v="4"/>
    <s v="discover"/>
    <n v="0"/>
  </r>
  <r>
    <n v="681"/>
    <n v="290"/>
    <d v="2024-04-12T00:00:00"/>
    <s v="CITY OF BURLINGAME-PARKI BURLINGAME CA"/>
    <n v="1"/>
    <s v="Services"/>
    <x v="2"/>
    <x v="0"/>
    <s v="Transportation"/>
    <x v="4"/>
    <n v="2024"/>
    <d v="2024-04-12T00:00:00"/>
    <n v="1397.909999999998"/>
    <n v="4"/>
    <s v="discover"/>
    <n v="0"/>
  </r>
  <r>
    <n v="682"/>
    <n v="291"/>
    <d v="2024-04-13T00:00:00"/>
    <s v="CCBILL.COM 888-5969279 AZ"/>
    <n v="10.62"/>
    <s v="Merchandise"/>
    <x v="38"/>
    <x v="0"/>
    <s v="Recreation_Entertainment"/>
    <x v="4"/>
    <n v="2024"/>
    <d v="2024-04-13T00:00:00"/>
    <n v="1408.5299999999979"/>
    <n v="29"/>
    <s v="discover"/>
    <n v="0"/>
  </r>
  <r>
    <n v="683"/>
    <n v="292"/>
    <d v="2024-04-13T00:00:00"/>
    <s v="CCBILL.COM 888-5969279 AZ"/>
    <n v="15.95"/>
    <s v="Merchandise"/>
    <x v="38"/>
    <x v="0"/>
    <s v="Recreation_Entertainment"/>
    <x v="4"/>
    <n v="2024"/>
    <d v="2024-04-13T00:00:00"/>
    <n v="1424.479999999998"/>
    <n v="30"/>
    <s v="discover"/>
    <n v="0"/>
  </r>
  <r>
    <n v="684"/>
    <n v="293"/>
    <d v="2024-04-14T00:00:00"/>
    <s v="K ON THE GO MILPITAS CA"/>
    <n v="14.84"/>
    <s v="Restaurants"/>
    <x v="47"/>
    <x v="0"/>
    <s v="Transportation"/>
    <x v="4"/>
    <n v="2024"/>
    <d v="2024-04-14T00:00:00"/>
    <n v="1439.3199999999979"/>
    <n v="8"/>
    <s v="discover"/>
    <n v="0"/>
  </r>
  <r>
    <n v="685"/>
    <n v="294"/>
    <d v="2024-04-14T00:00:00"/>
    <s v="OAKLEY B004 MILPITAS CA"/>
    <n v="280.57"/>
    <s v="Medical Services"/>
    <x v="83"/>
    <x v="0"/>
    <s v="Medical"/>
    <x v="4"/>
    <n v="2024"/>
    <d v="2024-04-14T00:00:00"/>
    <n v="1719.8899999999981"/>
    <n v="1"/>
    <s v="discover"/>
    <n v="0"/>
  </r>
  <r>
    <n v="686"/>
    <n v="295"/>
    <d v="2024-04-14T00:00:00"/>
    <s v="TARGET 00011221091 SAN MATEO CA"/>
    <n v="77.680000000000007"/>
    <s v="Supermarkets"/>
    <x v="36"/>
    <x v="0"/>
    <s v="Personal_Spending"/>
    <x v="4"/>
    <n v="2024"/>
    <d v="2024-04-14T00:00:00"/>
    <n v="1797.5699999999979"/>
    <n v="28"/>
    <s v="discover"/>
    <n v="0"/>
  </r>
  <r>
    <n v="687"/>
    <n v="296"/>
    <d v="2024-04-15T00:00:00"/>
    <s v="THE UPS STORE 2354 BURLINGAME CA"/>
    <n v="92.72"/>
    <s v="Services"/>
    <x v="72"/>
    <x v="0"/>
    <s v="Misc"/>
    <x v="4"/>
    <n v="2024"/>
    <d v="2024-04-15T00:00:00"/>
    <n v="1890.2899999999979"/>
    <n v="3"/>
    <s v="discover"/>
    <n v="0"/>
  </r>
  <r>
    <n v="688"/>
    <n v="297"/>
    <d v="2024-04-16T00:00:00"/>
    <s v="AMAZON.COM*YT3SL0013 AMZN.COM/BILLWA3PETS5NAOKX"/>
    <n v="23.69"/>
    <s v="Merchandise"/>
    <x v="65"/>
    <x v="0"/>
    <s v="Personal_Spending"/>
    <x v="4"/>
    <n v="2024"/>
    <d v="2024-04-16T00:00:00"/>
    <n v="1913.979999999998"/>
    <n v="7"/>
    <s v="discover"/>
    <n v="0"/>
  </r>
  <r>
    <n v="689"/>
    <n v="298"/>
    <d v="2024-04-16T00:00:00"/>
    <s v="BONOBOS BONOBOS.COM OH"/>
    <n v="85.52"/>
    <s v="Merchandise"/>
    <x v="56"/>
    <x v="0"/>
    <s v="Personal_Spending"/>
    <x v="4"/>
    <n v="2024"/>
    <d v="2024-04-16T00:00:00"/>
    <n v="1999.499999999998"/>
    <n v="9"/>
    <s v="discover"/>
    <n v="0"/>
  </r>
  <r>
    <n v="690"/>
    <n v="299"/>
    <d v="2024-04-16T00:00:00"/>
    <s v="STATE FARM INSURANCE 800-956-6310 ILITEM TRANSFERRED FROM PREV ACCOUNT"/>
    <n v="90.54"/>
    <s v="Merchandise"/>
    <x v="61"/>
    <x v="1"/>
    <s v="Insurance"/>
    <x v="4"/>
    <n v="2024"/>
    <d v="2024-04-16T00:00:00"/>
    <n v="2090.0399999999981"/>
    <n v="4"/>
    <s v="discover"/>
    <n v="0"/>
  </r>
  <r>
    <n v="691"/>
    <n v="300"/>
    <d v="2024-04-16T00:00:00"/>
    <s v="TST* LAO TABLE - SAN F SAN FRANCISCOCA00011872017164395393AA"/>
    <n v="101"/>
    <s v="Restaurants"/>
    <x v="40"/>
    <x v="0"/>
    <s v="Food"/>
    <x v="4"/>
    <n v="2024"/>
    <d v="2024-04-16T00:00:00"/>
    <n v="2191.0399999999981"/>
    <n v="37"/>
    <s v="discover"/>
    <n v="0"/>
  </r>
  <r>
    <n v="692"/>
    <n v="301"/>
    <d v="2024-04-17T00:00:00"/>
    <s v="A&amp;A GAS BURLINGAME CA"/>
    <n v="53.36"/>
    <s v="Gasoline"/>
    <x v="47"/>
    <x v="0"/>
    <s v="Transportation"/>
    <x v="4"/>
    <n v="2024"/>
    <d v="2024-04-17T00:00:00"/>
    <n v="2244.3999999999978"/>
    <n v="9"/>
    <s v="discover"/>
    <n v="0"/>
  </r>
  <r>
    <n v="693"/>
    <n v="302"/>
    <d v="2024-04-17T00:00:00"/>
    <s v="SQ *PAGAN IDOL SAN FRANCISCOCA0001152921513897119289"/>
    <n v="62.93"/>
    <s v="Restaurants"/>
    <x v="40"/>
    <x v="0"/>
    <s v="Food"/>
    <x v="4"/>
    <n v="2024"/>
    <d v="2024-04-17T00:00:00"/>
    <n v="2307.3299999999981"/>
    <n v="38"/>
    <s v="discover"/>
    <n v="0"/>
  </r>
  <r>
    <n v="694"/>
    <n v="303"/>
    <d v="2024-04-18T00:00:00"/>
    <s v="TST* THE NAPPER TANDY SAN FRANCISCOCA"/>
    <n v="46.6"/>
    <s v="Restaurants"/>
    <x v="76"/>
    <x v="0"/>
    <s v="Food"/>
    <x v="4"/>
    <n v="2024"/>
    <d v="2024-04-18T00:00:00"/>
    <n v="2353.929999999998"/>
    <n v="2"/>
    <s v="discover"/>
    <n v="0"/>
  </r>
  <r>
    <n v="695"/>
    <n v="304"/>
    <d v="2024-04-18T00:00:00"/>
    <s v="INTERNET PAYMENT - THANK YOU"/>
    <n v="-2026.51"/>
    <s v="Payments and Credits"/>
    <x v="55"/>
    <x v="0"/>
    <s v="Payment_and_Interest"/>
    <x v="4"/>
    <n v="2024"/>
    <d v="2024-04-18T00:00:00"/>
    <n v="327.41999999999757"/>
    <n v="8"/>
    <s v="discover"/>
    <n v="0"/>
  </r>
  <r>
    <n v="696"/>
    <n v="305"/>
    <d v="2024-04-18T00:00:00"/>
    <s v="CCBILL.COM 888-5969279 AZ"/>
    <n v="18.07"/>
    <s v="Merchandise"/>
    <x v="38"/>
    <x v="0"/>
    <s v="Recreation_Entertainment"/>
    <x v="4"/>
    <n v="2024"/>
    <d v="2024-04-18T00:00:00"/>
    <n v="345.48999999999762"/>
    <n v="31"/>
    <s v="discover"/>
    <n v="0"/>
  </r>
  <r>
    <n v="697"/>
    <n v="306"/>
    <d v="2024-04-19T00:00:00"/>
    <s v="CREPEVINE MT VIEW MOUNTAIN VIEWCA"/>
    <n v="38.369999999999997"/>
    <s v="Restaurants"/>
    <x v="40"/>
    <x v="0"/>
    <s v="Food"/>
    <x v="4"/>
    <n v="2024"/>
    <d v="2024-04-19T00:00:00"/>
    <n v="383.85999999999763"/>
    <n v="39"/>
    <s v="discover"/>
    <n v="0"/>
  </r>
  <r>
    <n v="698"/>
    <n v="307"/>
    <d v="2024-04-19T00:00:00"/>
    <s v="CVS/PHARMACY #05131 SAN FRANCISCOCA"/>
    <n v="6.18"/>
    <s v="Merchandise"/>
    <x v="71"/>
    <x v="0"/>
    <s v="Personal_Spending"/>
    <x v="4"/>
    <n v="2024"/>
    <d v="2024-04-19T00:00:00"/>
    <n v="390.03999999999758"/>
    <n v="5"/>
    <s v="discover"/>
    <n v="0"/>
  </r>
  <r>
    <n v="699"/>
    <n v="308"/>
    <d v="2024-04-19T00:00:00"/>
    <s v="MAISON ALYZEE MV MOUNTAIN VIEWCA"/>
    <n v="19"/>
    <s v="Restaurants"/>
    <x v="40"/>
    <x v="0"/>
    <s v="Food"/>
    <x v="4"/>
    <n v="2024"/>
    <d v="2024-04-19T00:00:00"/>
    <n v="409.03999999999758"/>
    <n v="40"/>
    <s v="discover"/>
    <n v="0"/>
  </r>
  <r>
    <n v="700"/>
    <n v="309"/>
    <d v="2024-04-19T00:00:00"/>
    <s v="WWW.CVS.COM 800-746-7287 RI"/>
    <n v="23.67"/>
    <s v="Merchandise"/>
    <x v="71"/>
    <x v="0"/>
    <s v="Personal_Spending"/>
    <x v="4"/>
    <n v="2024"/>
    <d v="2024-04-19T00:00:00"/>
    <n v="432.70999999999759"/>
    <n v="6"/>
    <s v="discover"/>
    <n v="0"/>
  </r>
  <r>
    <n v="701"/>
    <n v="310"/>
    <d v="2024-04-20T00:00:00"/>
    <s v="SP TAGWEARSTORE 8189172397 CA"/>
    <n v="30.43"/>
    <s v="Merchandise"/>
    <x v="56"/>
    <x v="0"/>
    <s v="Personal_Spending"/>
    <x v="4"/>
    <n v="2024"/>
    <d v="2024-04-20T00:00:00"/>
    <n v="463.1399999999976"/>
    <n v="10"/>
    <s v="discover"/>
    <n v="0"/>
  </r>
  <r>
    <n v="702"/>
    <n v="311"/>
    <d v="2024-04-21T00:00:00"/>
    <s v="APPLE.COM/BILL 866-712-7753 CAAPPLE PAY ENDING IN 1455MMWF5BZ7Q0A0"/>
    <n v="105.99"/>
    <s v="Merchandise"/>
    <x v="59"/>
    <x v="0"/>
    <s v="Recreation_Entertainment"/>
    <x v="4"/>
    <n v="2024"/>
    <d v="2024-04-21T00:00:00"/>
    <n v="569.12999999999761"/>
    <n v="6"/>
    <s v="discover"/>
    <n v="0"/>
  </r>
  <r>
    <n v="703"/>
    <n v="312"/>
    <d v="2024-04-21T00:00:00"/>
    <s v="CCBILL.COM 888-5969279 AZ"/>
    <n v="13.81"/>
    <s v="Merchandise"/>
    <x v="38"/>
    <x v="0"/>
    <s v="Recreation_Entertainment"/>
    <x v="4"/>
    <n v="2024"/>
    <d v="2024-04-21T00:00:00"/>
    <n v="582.93999999999755"/>
    <n v="32"/>
    <s v="discover"/>
    <n v="0"/>
  </r>
  <r>
    <n v="704"/>
    <n v="313"/>
    <d v="2024-04-22T00:00:00"/>
    <s v="CCBILL.COM 888-5969279 AZ"/>
    <n v="10.62"/>
    <s v="Merchandise"/>
    <x v="38"/>
    <x v="0"/>
    <s v="Recreation_Entertainment"/>
    <x v="4"/>
    <n v="2024"/>
    <d v="2024-04-22T00:00:00"/>
    <n v="593.55999999999756"/>
    <n v="33"/>
    <s v="discover"/>
    <n v="0"/>
  </r>
  <r>
    <n v="705"/>
    <n v="314"/>
    <d v="2024-04-23T00:00:00"/>
    <s v="JFF PUBLICATIONS WILTON MANORSFL"/>
    <n v="12.99"/>
    <s v="Merchandise"/>
    <x v="27"/>
    <x v="0"/>
    <s v="Recreation_Entertainment"/>
    <x v="4"/>
    <n v="2024"/>
    <d v="2024-04-23T00:00:00"/>
    <n v="606.54999999999757"/>
    <n v="12"/>
    <s v="discover"/>
    <n v="0"/>
  </r>
  <r>
    <n v="706"/>
    <n v="315"/>
    <d v="2024-04-23T00:00:00"/>
    <s v="OTF SOUTH SAN FRAN 1266 650-8262009 CA"/>
    <n v="22"/>
    <s v="Travel/ Entertainment"/>
    <x v="70"/>
    <x v="0"/>
    <s v="Personal_Spending"/>
    <x v="4"/>
    <n v="2024"/>
    <d v="2024-04-23T00:00:00"/>
    <n v="628.54999999999757"/>
    <n v="3"/>
    <s v="discover"/>
    <n v="0"/>
  </r>
  <r>
    <n v="707"/>
    <n v="316"/>
    <d v="2024-04-23T00:00:00"/>
    <s v="OTF SOUTH SAN FRAN 1266 650-8262009 CA"/>
    <n v="22"/>
    <s v="Travel/ Entertainment"/>
    <x v="70"/>
    <x v="0"/>
    <s v="Personal_Spending"/>
    <x v="4"/>
    <n v="2024"/>
    <d v="2024-04-23T00:00:00"/>
    <n v="650.54999999999757"/>
    <n v="4"/>
    <s v="discover"/>
    <n v="0"/>
  </r>
  <r>
    <n v="708"/>
    <n v="317"/>
    <d v="2024-04-25T00:00:00"/>
    <s v="AMAZON.COM*AW2N44LF3 AMZN.COM/BILLWA2T4YYCE31SJ"/>
    <n v="23.69"/>
    <s v="Merchandise"/>
    <x v="36"/>
    <x v="0"/>
    <s v="Personal_Spending"/>
    <x v="4"/>
    <n v="2024"/>
    <d v="2024-04-25T00:00:00"/>
    <n v="674.23999999999762"/>
    <n v="29"/>
    <s v="discover"/>
    <n v="0"/>
  </r>
  <r>
    <n v="709"/>
    <n v="318"/>
    <d v="2024-04-26T00:00:00"/>
    <s v="ONLYFANS.COM*A 8886880458 FL"/>
    <n v="10"/>
    <s v="Merchandise"/>
    <x v="38"/>
    <x v="0"/>
    <s v="Recreation_Entertainment"/>
    <x v="4"/>
    <n v="2024"/>
    <d v="2024-04-26T00:00:00"/>
    <n v="684.23999999999762"/>
    <n v="34"/>
    <s v="discover"/>
    <n v="0"/>
  </r>
  <r>
    <n v="710"/>
    <n v="319"/>
    <d v="2024-04-26T00:00:00"/>
    <s v="ONLYFANS.COM*A 8886880458 FL"/>
    <n v="4.99"/>
    <s v="Merchandise"/>
    <x v="38"/>
    <x v="0"/>
    <s v="Recreation_Entertainment"/>
    <x v="4"/>
    <n v="2024"/>
    <d v="2024-04-26T00:00:00"/>
    <n v="689.22999999999763"/>
    <n v="35"/>
    <s v="discover"/>
    <n v="0"/>
  </r>
  <r>
    <n v="711"/>
    <n v="320"/>
    <d v="2024-04-26T00:00:00"/>
    <s v="ONLYFANS.COM*A 8886880458 FL"/>
    <n v="4.99"/>
    <s v="Merchandise"/>
    <x v="38"/>
    <x v="0"/>
    <s v="Recreation_Entertainment"/>
    <x v="4"/>
    <n v="2024"/>
    <d v="2024-04-26T00:00:00"/>
    <n v="694.21999999999764"/>
    <n v="36"/>
    <s v="discover"/>
    <n v="0"/>
  </r>
  <r>
    <n v="712"/>
    <n v="321"/>
    <d v="2024-04-27T00:00:00"/>
    <s v="ADOBE *ADOBE 408-536-6000 CA"/>
    <n v="29.99"/>
    <s v="Merchandise"/>
    <x v="66"/>
    <x v="1"/>
    <s v="Personal_Spending"/>
    <x v="4"/>
    <n v="2024"/>
    <d v="2024-04-27T00:00:00"/>
    <n v="724.20999999999765"/>
    <n v="4"/>
    <s v="discover"/>
    <n v="0"/>
  </r>
  <r>
    <n v="713"/>
    <n v="322"/>
    <d v="2024-04-27T00:00:00"/>
    <s v="FASTRAK CSC 415-486-8655 CA"/>
    <n v="25"/>
    <s v="Travel/ Entertainment"/>
    <x v="57"/>
    <x v="0"/>
    <s v="Transportation"/>
    <x v="4"/>
    <n v="2024"/>
    <d v="2024-04-27T00:00:00"/>
    <n v="749.20999999999765"/>
    <n v="5"/>
    <s v="discover"/>
    <n v="0"/>
  </r>
  <r>
    <n v="714"/>
    <n v="323"/>
    <d v="2024-04-27T00:00:00"/>
    <s v="ONLYFANS 8886880458 FL"/>
    <n v="12.99"/>
    <s v="Merchandise"/>
    <x v="38"/>
    <x v="0"/>
    <s v="Recreation_Entertainment"/>
    <x v="4"/>
    <n v="2024"/>
    <d v="2024-04-27T00:00:00"/>
    <n v="762.19999999999766"/>
    <n v="37"/>
    <s v="discover"/>
    <n v="0"/>
  </r>
  <r>
    <n v="715"/>
    <n v="324"/>
    <d v="2024-04-29T00:00:00"/>
    <s v="ONLYFANS.COM*A 8886880458 FL"/>
    <n v="5"/>
    <s v="Merchandise"/>
    <x v="38"/>
    <x v="0"/>
    <s v="Recreation_Entertainment"/>
    <x v="4"/>
    <n v="2024"/>
    <d v="2024-04-29T00:00:00"/>
    <n v="767.19999999999766"/>
    <n v="38"/>
    <s v="discover"/>
    <n v="0"/>
  </r>
  <r>
    <n v="716"/>
    <n v="325"/>
    <d v="2024-04-30T00:00:00"/>
    <s v="NORDSTROM DIRECT #0808 CEDAR RAPIDS IA"/>
    <n v="141.41999999999999"/>
    <s v="Department Stores"/>
    <x v="56"/>
    <x v="0"/>
    <s v="Personal_Spending"/>
    <x v="4"/>
    <n v="2024"/>
    <d v="2024-04-30T00:00:00"/>
    <n v="908.61999999999762"/>
    <n v="11"/>
    <s v="discover"/>
    <n v="1"/>
  </r>
  <r>
    <n v="717"/>
    <n v="326"/>
    <d v="2024-05-01T00:00:00"/>
    <s v="CHATGPT SUBSCRIPTION 4158799686 CA"/>
    <n v="20"/>
    <s v="Merchandise"/>
    <x v="30"/>
    <x v="1"/>
    <s v="Personal_Spending"/>
    <x v="5"/>
    <n v="2024"/>
    <d v="2024-05-01T00:00:00"/>
    <n v="928.61999999999762"/>
    <n v="5"/>
    <s v="discover"/>
    <n v="0"/>
  </r>
  <r>
    <n v="718"/>
    <n v="327"/>
    <d v="2024-05-01T00:00:00"/>
    <s v="PLANNED PARENTHOOD ACTIO NEW YORK NY"/>
    <n v="5"/>
    <s v="Services"/>
    <x v="31"/>
    <x v="1"/>
    <s v="Personal_Spending"/>
    <x v="5"/>
    <n v="2024"/>
    <d v="2024-05-01T00:00:00"/>
    <n v="933.61999999999762"/>
    <n v="5"/>
    <s v="discover"/>
    <n v="0"/>
  </r>
  <r>
    <n v="719"/>
    <n v="328"/>
    <d v="2024-05-01T00:00:00"/>
    <s v="SPOTIFY P2BDDD9F25 8777781161 NY"/>
    <n v="5.99"/>
    <s v="Merchandise"/>
    <x v="32"/>
    <x v="1"/>
    <s v="Recreation_Entertainment"/>
    <x v="5"/>
    <n v="2024"/>
    <d v="2024-05-01T00:00:00"/>
    <n v="939.60999999999763"/>
    <n v="5"/>
    <s v="discover"/>
    <n v="0"/>
  </r>
  <r>
    <n v="720"/>
    <n v="329"/>
    <d v="2024-05-02T00:00:00"/>
    <s v="BREAKING POINTS 2025317527 DCITEM TRANSFERRED FROM PREV ACCOUNT"/>
    <n v="10"/>
    <s v="Merchandise"/>
    <x v="34"/>
    <x v="1"/>
    <s v="Recreation_Entertainment"/>
    <x v="5"/>
    <n v="2024"/>
    <d v="2024-05-02T00:00:00"/>
    <n v="949.60999999999763"/>
    <n v="5"/>
    <s v="discover"/>
    <n v="0"/>
  </r>
  <r>
    <n v="721"/>
    <n v="330"/>
    <d v="2024-05-02T00:00:00"/>
    <s v="ONEPASS 877-515-9364 MN413832"/>
    <n v="273.60000000000002"/>
    <s v="Services"/>
    <x v="33"/>
    <x v="1"/>
    <s v="Personal_Spending"/>
    <x v="5"/>
    <n v="2024"/>
    <d v="2024-05-02T00:00:00"/>
    <n v="1223.209999999998"/>
    <n v="7"/>
    <s v="discover"/>
    <n v="0"/>
  </r>
  <r>
    <n v="722"/>
    <n v="331"/>
    <d v="2024-05-02T00:00:00"/>
    <s v="AUTOZONE #2854 SAN MATEO CA"/>
    <n v="14.48"/>
    <s v="Automotive"/>
    <x v="84"/>
    <x v="0"/>
    <s v="Utilities"/>
    <x v="5"/>
    <n v="2024"/>
    <d v="2024-05-02T00:00:00"/>
    <n v="1237.689999999998"/>
    <n v="1"/>
    <s v="discover"/>
    <n v="0"/>
  </r>
  <r>
    <n v="723"/>
    <n v="332"/>
    <d v="2024-05-02T00:00:00"/>
    <s v="USPS PO 0510350110 BURLINGAME CA"/>
    <n v="38.29"/>
    <s v="Government Services"/>
    <x v="72"/>
    <x v="0"/>
    <s v="Misc"/>
    <x v="5"/>
    <n v="2024"/>
    <d v="2024-05-02T00:00:00"/>
    <n v="1275.979999999998"/>
    <n v="4"/>
    <s v="discover"/>
    <n v="0"/>
  </r>
  <r>
    <n v="724"/>
    <n v="333"/>
    <d v="2024-05-03T00:00:00"/>
    <s v="USCUSTOMS TRUSTEDTRAVELE INDIANAPOLIS IN"/>
    <n v="100"/>
    <s v="Government Services"/>
    <x v="62"/>
    <x v="0"/>
    <s v="Travel"/>
    <x v="5"/>
    <n v="2024"/>
    <d v="2024-05-03T00:00:00"/>
    <n v="1375.979999999998"/>
    <n v="3"/>
    <s v="discover"/>
    <n v="0"/>
  </r>
  <r>
    <n v="725"/>
    <n v="334"/>
    <d v="2024-05-03T00:00:00"/>
    <s v="AUTOMATIC STATEMENT CREDIT"/>
    <n v="-40.6"/>
    <s v="Awards and Rebate Credits"/>
    <x v="39"/>
    <x v="0"/>
    <s v="Payment_and_Interest"/>
    <x v="5"/>
    <n v="2024"/>
    <d v="2024-05-03T00:00:00"/>
    <n v="1335.3799999999981"/>
    <n v="5"/>
    <s v="discover"/>
    <n v="0"/>
  </r>
  <r>
    <n v="726"/>
    <n v="335"/>
    <d v="2024-05-04T00:00:00"/>
    <s v="SQ *DRIP STUDIO HNL HONOLULU HI0001152921513989381865"/>
    <n v="9.27"/>
    <s v="Restaurants"/>
    <x v="58"/>
    <x v="0"/>
    <s v="Travel"/>
    <x v="5"/>
    <n v="2024"/>
    <d v="2024-05-04T00:00:00"/>
    <n v="1344.649999999998"/>
    <n v="11"/>
    <s v="discover"/>
    <n v="0"/>
  </r>
  <r>
    <n v="727"/>
    <n v="336"/>
    <d v="2024-05-05T00:00:00"/>
    <s v="GOSCOOTSCOOTER RENTAL 857-277-9757 CA"/>
    <n v="5.4"/>
    <s v="Travel/ Entertainment"/>
    <x v="81"/>
    <x v="0"/>
    <s v="Transportation"/>
    <x v="5"/>
    <n v="2024"/>
    <d v="2024-05-05T00:00:00"/>
    <n v="1350.0499999999979"/>
    <n v="2"/>
    <s v="discover"/>
    <n v="0"/>
  </r>
  <r>
    <n v="728"/>
    <n v="337"/>
    <d v="2024-05-05T00:00:00"/>
    <s v="HONOLULU HOLO CARD 808-768-4656 HI"/>
    <n v="30"/>
    <s v="Travel/ Entertainment"/>
    <x v="58"/>
    <x v="0"/>
    <s v="Travel"/>
    <x v="5"/>
    <n v="2024"/>
    <d v="2024-05-05T00:00:00"/>
    <n v="1380.0499999999979"/>
    <n v="12"/>
    <s v="discover"/>
    <n v="0"/>
  </r>
  <r>
    <n v="729"/>
    <n v="338"/>
    <d v="2024-05-05T00:00:00"/>
    <s v="INTERNET PAYMENT - THANK YOU"/>
    <n v="-1229.23"/>
    <s v="Payments and Credits"/>
    <x v="55"/>
    <x v="0"/>
    <s v="Payment_and_Interest"/>
    <x v="5"/>
    <n v="2024"/>
    <d v="2024-05-05T00:00:00"/>
    <n v="150.81999999999789"/>
    <n v="9"/>
    <s v="discover"/>
    <n v="0"/>
  </r>
  <r>
    <n v="730"/>
    <n v="339"/>
    <d v="2024-05-05T00:00:00"/>
    <s v="PUPUKEA FOODLAND #27 HALEIWA HI"/>
    <n v="7.84"/>
    <s v="Supermarkets"/>
    <x v="58"/>
    <x v="0"/>
    <s v="Travel"/>
    <x v="5"/>
    <n v="2024"/>
    <d v="2024-05-05T00:00:00"/>
    <n v="158.65999999999789"/>
    <n v="13"/>
    <s v="discover"/>
    <n v="0"/>
  </r>
  <r>
    <n v="731"/>
    <n v="340"/>
    <d v="2024-05-05T00:00:00"/>
    <s v="SQ *PREMIUM MATCHA CAF HONOLULU HI0001152921513992385612"/>
    <n v="7.23"/>
    <s v="Restaurants"/>
    <x v="58"/>
    <x v="0"/>
    <s v="Travel"/>
    <x v="5"/>
    <n v="2024"/>
    <d v="2024-05-05T00:00:00"/>
    <n v="165.88999999999791"/>
    <n v="14"/>
    <s v="discover"/>
    <n v="0"/>
  </r>
  <r>
    <n v="732"/>
    <n v="341"/>
    <d v="2024-05-05T00:00:00"/>
    <s v="TST* ISLAND VINTAGE CO HALEIWA HI00032123017525861948AA"/>
    <n v="10.85"/>
    <s v="Restaurants"/>
    <x v="58"/>
    <x v="0"/>
    <s v="Travel"/>
    <x v="5"/>
    <n v="2024"/>
    <d v="2024-05-05T00:00:00"/>
    <n v="176.73999999999791"/>
    <n v="15"/>
    <s v="discover"/>
    <n v="0"/>
  </r>
  <r>
    <n v="733"/>
    <n v="342"/>
    <d v="2024-05-06T00:00:00"/>
    <s v="DAIRY QUEEN #42592 HONOLULU HI"/>
    <n v="11.4"/>
    <s v="Restaurants"/>
    <x v="58"/>
    <x v="0"/>
    <s v="Travel"/>
    <x v="5"/>
    <n v="2024"/>
    <d v="2024-05-06T00:00:00"/>
    <n v="188.13999999999791"/>
    <n v="16"/>
    <s v="discover"/>
    <n v="0"/>
  </r>
  <r>
    <n v="734"/>
    <n v="343"/>
    <d v="2024-05-06T00:00:00"/>
    <s v="NORDSTROM #0047 HONOLULU HI"/>
    <n v="109.88"/>
    <s v="Department Stores"/>
    <x v="58"/>
    <x v="0"/>
    <s v="Travel"/>
    <x v="5"/>
    <n v="2024"/>
    <d v="2024-05-06T00:00:00"/>
    <n v="298.01999999999788"/>
    <n v="17"/>
    <s v="discover"/>
    <n v="0"/>
  </r>
  <r>
    <n v="735"/>
    <n v="344"/>
    <d v="2024-05-07T00:00:00"/>
    <s v="TST* BAREFOOT BEACH CA HONOLULU HI00111865017557656812AA"/>
    <n v="39.51"/>
    <s v="Restaurants"/>
    <x v="58"/>
    <x v="0"/>
    <s v="Travel"/>
    <x v="5"/>
    <n v="2024"/>
    <d v="2024-05-07T00:00:00"/>
    <n v="337.52999999999793"/>
    <n v="18"/>
    <s v="discover"/>
    <n v="0"/>
  </r>
  <r>
    <n v="736"/>
    <n v="345"/>
    <d v="2024-05-07T00:00:00"/>
    <s v="TST* BAREFOOT BEACH CA HONOLULU HI00111865017557712160AA"/>
    <n v="14.66"/>
    <s v="Restaurants"/>
    <x v="58"/>
    <x v="0"/>
    <s v="Travel"/>
    <x v="5"/>
    <n v="2024"/>
    <d v="2024-05-07T00:00:00"/>
    <n v="352.18999999999789"/>
    <n v="19"/>
    <s v="discover"/>
    <n v="0"/>
  </r>
  <r>
    <n v="737"/>
    <n v="346"/>
    <d v="2024-05-08T00:00:00"/>
    <s v="ABC #35 HAWAII HONOLULU HI"/>
    <n v="53.63"/>
    <s v="Supermarkets"/>
    <x v="58"/>
    <x v="0"/>
    <s v="Travel"/>
    <x v="5"/>
    <n v="2024"/>
    <d v="2024-05-08T00:00:00"/>
    <n v="405.81999999999789"/>
    <n v="20"/>
    <s v="discover"/>
    <n v="0"/>
  </r>
  <r>
    <n v="738"/>
    <n v="347"/>
    <d v="2024-05-09T00:00:00"/>
    <s v="PY *TONKATSU TAMAFUJI - HONOLULU HI"/>
    <n v="60.98"/>
    <s v="Restaurants"/>
    <x v="58"/>
    <x v="0"/>
    <s v="Travel"/>
    <x v="5"/>
    <n v="2024"/>
    <d v="2024-05-09T00:00:00"/>
    <n v="466.79999999999791"/>
    <n v="21"/>
    <s v="discover"/>
    <n v="0"/>
  </r>
  <r>
    <n v="739"/>
    <n v="348"/>
    <d v="2024-05-10T00:00:00"/>
    <s v="AMY'S HALLMARK #430 HONOLULU HI"/>
    <n v="4.3099999999999996"/>
    <s v="Merchandise"/>
    <x v="58"/>
    <x v="0"/>
    <s v="Travel"/>
    <x v="5"/>
    <n v="2024"/>
    <d v="2024-05-10T00:00:00"/>
    <n v="471.10999999999791"/>
    <n v="22"/>
    <s v="discover"/>
    <n v="0"/>
  </r>
  <r>
    <n v="740"/>
    <n v="349"/>
    <d v="2024-05-10T00:00:00"/>
    <s v="KAI COFFEE ALOHILANI - K HONOLULU HI"/>
    <n v="10.24"/>
    <s v="Restaurants"/>
    <x v="58"/>
    <x v="0"/>
    <s v="Travel"/>
    <x v="5"/>
    <n v="2024"/>
    <d v="2024-05-10T00:00:00"/>
    <n v="481.34999999999792"/>
    <n v="23"/>
    <s v="discover"/>
    <n v="0"/>
  </r>
  <r>
    <n v="741"/>
    <n v="350"/>
    <d v="2024-05-10T00:00:00"/>
    <s v="KUALOA RANCH - FF KANEOHE HI"/>
    <n v="29.32"/>
    <s v="Travel/ Entertainment"/>
    <x v="58"/>
    <x v="0"/>
    <s v="Travel"/>
    <x v="5"/>
    <n v="2024"/>
    <d v="2024-05-10T00:00:00"/>
    <n v="510.66999999999791"/>
    <n v="24"/>
    <s v="discover"/>
    <n v="0"/>
  </r>
  <r>
    <n v="742"/>
    <n v="351"/>
    <d v="2024-05-10T00:00:00"/>
    <s v="MALIE - ALA MOANA HONOLULU HI"/>
    <n v="42.04"/>
    <s v="Merchandise"/>
    <x v="58"/>
    <x v="0"/>
    <s v="Travel"/>
    <x v="5"/>
    <n v="2024"/>
    <d v="2024-05-10T00:00:00"/>
    <n v="552.70999999999788"/>
    <n v="25"/>
    <s v="discover"/>
    <n v="0"/>
  </r>
  <r>
    <n v="743"/>
    <n v="352"/>
    <d v="2024-05-10T00:00:00"/>
    <s v="MONI - MOANA HONOLULU HI"/>
    <n v="37.75"/>
    <s v="Merchandise"/>
    <x v="58"/>
    <x v="0"/>
    <s v="Travel"/>
    <x v="5"/>
    <n v="2024"/>
    <d v="2024-05-10T00:00:00"/>
    <n v="590.45999999999788"/>
    <n v="26"/>
    <s v="discover"/>
    <n v="0"/>
  </r>
  <r>
    <n v="744"/>
    <n v="353"/>
    <d v="2024-05-10T00:00:00"/>
    <s v="TARGET 00028704091 HONOLULU HI"/>
    <n v="25.12"/>
    <s v="Supermarkets"/>
    <x v="58"/>
    <x v="0"/>
    <s v="Travel"/>
    <x v="5"/>
    <n v="2024"/>
    <d v="2024-05-10T00:00:00"/>
    <n v="615.57999999999788"/>
    <n v="27"/>
    <s v="discover"/>
    <n v="0"/>
  </r>
  <r>
    <n v="745"/>
    <n v="354"/>
    <d v="2024-05-10T00:00:00"/>
    <s v="UBER TRIP 866-576-1039 CA"/>
    <n v="13.92"/>
    <s v="Travel/ Entertainment"/>
    <x v="81"/>
    <x v="0"/>
    <s v="Transportation"/>
    <x v="5"/>
    <n v="2024"/>
    <d v="2024-05-10T00:00:00"/>
    <n v="629.49999999999784"/>
    <n v="3"/>
    <s v="discover"/>
    <n v="0"/>
  </r>
  <r>
    <n v="746"/>
    <n v="355"/>
    <d v="2024-05-10T00:00:00"/>
    <s v="WALMART STORE 03478 HONOLULU HI"/>
    <n v="5.7"/>
    <s v="Merchandise"/>
    <x v="58"/>
    <x v="0"/>
    <s v="Travel"/>
    <x v="5"/>
    <n v="2024"/>
    <d v="2024-05-10T00:00:00"/>
    <n v="635.19999999999789"/>
    <n v="28"/>
    <s v="discover"/>
    <n v="0"/>
  </r>
  <r>
    <n v="747"/>
    <n v="356"/>
    <d v="2024-05-11T00:00:00"/>
    <s v="WALMART STORE 03478 HONOLULU HI"/>
    <n v="23.96"/>
    <s v="Merchandise"/>
    <x v="58"/>
    <x v="0"/>
    <s v="Travel"/>
    <x v="5"/>
    <n v="2024"/>
    <d v="2024-05-11T00:00:00"/>
    <n v="659.15999999999792"/>
    <n v="29"/>
    <s v="discover"/>
    <n v="0"/>
  </r>
  <r>
    <n v="748"/>
    <n v="357"/>
    <d v="2024-05-11T00:00:00"/>
    <s v="WALMART STORE 03478 HONOLULU HI"/>
    <n v="10.1"/>
    <s v="Merchandise"/>
    <x v="58"/>
    <x v="0"/>
    <s v="Travel"/>
    <x v="5"/>
    <n v="2024"/>
    <d v="2024-05-11T00:00:00"/>
    <n v="669.25999999999794"/>
    <n v="30"/>
    <s v="discover"/>
    <n v="0"/>
  </r>
  <r>
    <n v="749"/>
    <n v="358"/>
    <d v="2024-05-11T00:00:00"/>
    <s v="WAIKIKI FOOD HALL HONOLULU HI"/>
    <n v="25.05"/>
    <s v="Restaurants"/>
    <x v="58"/>
    <x v="0"/>
    <s v="Travel"/>
    <x v="5"/>
    <n v="2024"/>
    <d v="2024-05-11T00:00:00"/>
    <n v="694.3099999999979"/>
    <n v="31"/>
    <s v="discover"/>
    <n v="0"/>
  </r>
  <r>
    <n v="750"/>
    <n v="359"/>
    <d v="2024-05-11T00:00:00"/>
    <s v="USPS PO 1424140013 HONOLULU HI"/>
    <n v="81"/>
    <s v="Government Services"/>
    <x v="58"/>
    <x v="0"/>
    <s v="Travel"/>
    <x v="5"/>
    <n v="2024"/>
    <d v="2024-05-11T00:00:00"/>
    <n v="775.3099999999979"/>
    <n v="32"/>
    <s v="discover"/>
    <n v="0"/>
  </r>
  <r>
    <n v="751"/>
    <n v="360"/>
    <d v="2024-05-11T00:00:00"/>
    <s v="USPS PO 1424140013 HONOLULU HI"/>
    <n v="29"/>
    <s v="Government Services"/>
    <x v="58"/>
    <x v="0"/>
    <s v="Travel"/>
    <x v="5"/>
    <n v="2024"/>
    <d v="2024-05-11T00:00:00"/>
    <n v="804.3099999999979"/>
    <n v="33"/>
    <s v="discover"/>
    <n v="0"/>
  </r>
  <r>
    <n v="752"/>
    <n v="361"/>
    <d v="2024-05-11T00:00:00"/>
    <s v="UBER TRIP* TRIP 8665761039 CA"/>
    <n v="4"/>
    <s v="Travel/ Entertainment"/>
    <x v="81"/>
    <x v="0"/>
    <s v="Transportation"/>
    <x v="5"/>
    <n v="2024"/>
    <d v="2024-05-11T00:00:00"/>
    <n v="808.3099999999979"/>
    <n v="4"/>
    <s v="discover"/>
    <n v="0"/>
  </r>
  <r>
    <n v="753"/>
    <n v="362"/>
    <d v="2024-05-11T00:00:00"/>
    <s v="UBER TRIP 866-576-1039 CA"/>
    <n v="15.6"/>
    <s v="Travel/ Entertainment"/>
    <x v="81"/>
    <x v="0"/>
    <s v="Transportation"/>
    <x v="5"/>
    <n v="2024"/>
    <d v="2024-05-11T00:00:00"/>
    <n v="823.90999999999792"/>
    <n v="5"/>
    <s v="discover"/>
    <n v="0"/>
  </r>
  <r>
    <n v="754"/>
    <n v="363"/>
    <d v="2024-05-11T00:00:00"/>
    <s v="TST* BLUE NOTE - HAWAI HONOLULU HI00092271017621144834AA"/>
    <n v="55.6"/>
    <s v="Restaurants"/>
    <x v="58"/>
    <x v="0"/>
    <s v="Travel"/>
    <x v="5"/>
    <n v="2024"/>
    <d v="2024-05-11T00:00:00"/>
    <n v="879.50999999999794"/>
    <n v="34"/>
    <s v="discover"/>
    <n v="0"/>
  </r>
  <r>
    <n v="755"/>
    <n v="364"/>
    <d v="2024-05-11T00:00:00"/>
    <s v="SQ *HONOLULU COOKIE CO HONOLULU HI0001152921514041860833"/>
    <n v="34.4"/>
    <s v="Merchandise"/>
    <x v="58"/>
    <x v="0"/>
    <s v="Travel"/>
    <x v="5"/>
    <n v="2024"/>
    <d v="2024-05-11T00:00:00"/>
    <n v="913.90999999999792"/>
    <n v="35"/>
    <s v="discover"/>
    <n v="0"/>
  </r>
  <r>
    <n v="756"/>
    <n v="365"/>
    <d v="2024-05-11T00:00:00"/>
    <s v="SQ *ALA MOANA POI BOWL HONOLULU HI0001152921514041999778"/>
    <n v="20.89"/>
    <s v="Restaurants"/>
    <x v="58"/>
    <x v="0"/>
    <s v="Travel"/>
    <x v="5"/>
    <n v="2024"/>
    <d v="2024-05-11T00:00:00"/>
    <n v="934.79999999999791"/>
    <n v="36"/>
    <s v="discover"/>
    <n v="0"/>
  </r>
  <r>
    <n v="757"/>
    <n v="366"/>
    <d v="2024-05-11T00:00:00"/>
    <s v="LUPICIA HAWAII HONOLULU HI"/>
    <n v="26.7"/>
    <s v="Merchandise"/>
    <x v="58"/>
    <x v="0"/>
    <s v="Travel"/>
    <x v="5"/>
    <n v="2024"/>
    <d v="2024-05-11T00:00:00"/>
    <n v="961.49999999999795"/>
    <n v="37"/>
    <s v="discover"/>
    <n v="0"/>
  </r>
  <r>
    <n v="758"/>
    <n v="367"/>
    <d v="2024-05-11T00:00:00"/>
    <s v="CONS- WARD 16 HONOLULU HI"/>
    <n v="24"/>
    <s v="Travel/ Entertainment"/>
    <x v="58"/>
    <x v="0"/>
    <s v="Travel"/>
    <x v="5"/>
    <n v="2024"/>
    <d v="2024-05-11T00:00:00"/>
    <n v="985.49999999999795"/>
    <n v="38"/>
    <s v="discover"/>
    <n v="0"/>
  </r>
  <r>
    <n v="759"/>
    <n v="368"/>
    <d v="2024-05-11T00:00:00"/>
    <s v="CONS WARD 16 F&amp;B HONOLULU HI"/>
    <n v="10.5"/>
    <s v="Restaurants"/>
    <x v="58"/>
    <x v="0"/>
    <s v="Travel"/>
    <x v="5"/>
    <n v="2024"/>
    <d v="2024-05-11T00:00:00"/>
    <n v="995.99999999999795"/>
    <n v="39"/>
    <s v="discover"/>
    <n v="0"/>
  </r>
  <r>
    <n v="760"/>
    <n v="369"/>
    <d v="2024-05-11T00:00:00"/>
    <s v="ABC #45 HAWAII HONOLULU HI"/>
    <n v="14.64"/>
    <s v="Merchandise"/>
    <x v="58"/>
    <x v="0"/>
    <s v="Travel"/>
    <x v="5"/>
    <n v="2024"/>
    <d v="2024-05-11T00:00:00"/>
    <n v="1010.6399999999981"/>
    <n v="40"/>
    <s v="discover"/>
    <n v="0"/>
  </r>
  <r>
    <n v="761"/>
    <n v="370"/>
    <d v="2024-05-11T00:00:00"/>
    <s v="ABC #35 HAWAII HONOLULU HI"/>
    <n v="20.75"/>
    <s v="Supermarkets"/>
    <x v="58"/>
    <x v="0"/>
    <s v="Travel"/>
    <x v="5"/>
    <n v="2024"/>
    <d v="2024-05-11T00:00:00"/>
    <n v="1031.3899999999981"/>
    <n v="41"/>
    <s v="discover"/>
    <n v="0"/>
  </r>
  <r>
    <n v="762"/>
    <n v="371"/>
    <d v="2024-05-11T00:00:00"/>
    <s v="TARGET 00028704091 HONOLULU HI"/>
    <n v="12.57"/>
    <s v="Supermarkets"/>
    <x v="58"/>
    <x v="0"/>
    <s v="Travel"/>
    <x v="5"/>
    <n v="2024"/>
    <d v="2024-05-11T00:00:00"/>
    <n v="1043.959999999998"/>
    <n v="42"/>
    <s v="discover"/>
    <n v="0"/>
  </r>
  <r>
    <n v="763"/>
    <n v="372"/>
    <d v="2024-05-12T00:00:00"/>
    <s v="ABC #33 HAWAII HONOLULU HI"/>
    <n v="22.39"/>
    <s v="Merchandise"/>
    <x v="58"/>
    <x v="0"/>
    <s v="Travel"/>
    <x v="5"/>
    <n v="2024"/>
    <d v="2024-05-12T00:00:00"/>
    <n v="1066.3499999999981"/>
    <n v="43"/>
    <s v="discover"/>
    <n v="0"/>
  </r>
  <r>
    <n v="764"/>
    <n v="373"/>
    <d v="2024-05-12T00:00:00"/>
    <s v="SQ *CAFE GLACE HAWAII HONOLULU HI0001152921514047084513"/>
    <n v="21.37"/>
    <s v="Restaurants"/>
    <x v="58"/>
    <x v="0"/>
    <s v="Travel"/>
    <x v="5"/>
    <n v="2024"/>
    <d v="2024-05-12T00:00:00"/>
    <n v="1087.719999999998"/>
    <n v="44"/>
    <s v="discover"/>
    <n v="0"/>
  </r>
  <r>
    <n v="765"/>
    <n v="374"/>
    <d v="2024-05-12T00:00:00"/>
    <s v="UBER TRIP 866-576-1039 CA"/>
    <n v="2"/>
    <s v="Travel/ Entertainment"/>
    <x v="81"/>
    <x v="0"/>
    <s v="Transportation"/>
    <x v="5"/>
    <n v="2024"/>
    <d v="2024-05-12T00:00:00"/>
    <n v="1089.719999999998"/>
    <n v="6"/>
    <s v="discover"/>
    <n v="0"/>
  </r>
  <r>
    <n v="766"/>
    <n v="375"/>
    <d v="2024-05-12T00:00:00"/>
    <s v="WAFFLE AND BERRY HONOLULU HI"/>
    <n v="33.92"/>
    <s v="Restaurants"/>
    <x v="58"/>
    <x v="0"/>
    <s v="Travel"/>
    <x v="5"/>
    <n v="2024"/>
    <d v="2024-05-12T00:00:00"/>
    <n v="1123.6399999999981"/>
    <n v="45"/>
    <s v="discover"/>
    <n v="0"/>
  </r>
  <r>
    <n v="767"/>
    <n v="376"/>
    <d v="2024-05-13T00:00:00"/>
    <s v="UBER TRIP 866-576-1039 CA"/>
    <n v="54.76"/>
    <s v="Travel/ Entertainment"/>
    <x v="81"/>
    <x v="0"/>
    <s v="Transportation"/>
    <x v="5"/>
    <n v="2024"/>
    <d v="2024-05-13T00:00:00"/>
    <n v="1178.399999999998"/>
    <n v="7"/>
    <s v="discover"/>
    <n v="0"/>
  </r>
  <r>
    <n v="768"/>
    <n v="377"/>
    <d v="2024-05-13T00:00:00"/>
    <s v="ONLYFANS.COM*A 8886880458 FL"/>
    <n v="7.8"/>
    <s v="Merchandise"/>
    <x v="38"/>
    <x v="0"/>
    <s v="Recreation_Entertainment"/>
    <x v="5"/>
    <n v="2024"/>
    <d v="2024-05-13T00:00:00"/>
    <n v="1186.199999999998"/>
    <n v="39"/>
    <s v="discover"/>
    <n v="0"/>
  </r>
  <r>
    <n v="769"/>
    <n v="378"/>
    <d v="2024-05-13T00:00:00"/>
    <s v="AMAZON.COM*2050J6XD3 AMZN.COM/BILLWA56Q77I740PH"/>
    <n v="23.69"/>
    <s v="Merchandise"/>
    <x v="36"/>
    <x v="0"/>
    <s v="Personal_Spending"/>
    <x v="5"/>
    <n v="2024"/>
    <d v="2024-05-13T00:00:00"/>
    <n v="1209.8899999999981"/>
    <n v="30"/>
    <s v="discover"/>
    <n v="0"/>
  </r>
  <r>
    <n v="770"/>
    <n v="379"/>
    <d v="2024-05-13T00:00:00"/>
    <s v="ONLYFANS 8886880458 FL"/>
    <n v="7"/>
    <s v="Merchandise"/>
    <x v="38"/>
    <x v="0"/>
    <s v="Recreation_Entertainment"/>
    <x v="5"/>
    <n v="2024"/>
    <d v="2024-05-13T00:00:00"/>
    <n v="1216.8899999999981"/>
    <n v="40"/>
    <s v="discover"/>
    <n v="0"/>
  </r>
  <r>
    <n v="771"/>
    <n v="380"/>
    <d v="2024-05-14T00:00:00"/>
    <s v="ONLYFANS.COM*A 8886880458 FL"/>
    <n v="20"/>
    <s v="Merchandise"/>
    <x v="38"/>
    <x v="0"/>
    <s v="Recreation_Entertainment"/>
    <x v="5"/>
    <n v="2024"/>
    <d v="2024-05-14T00:00:00"/>
    <n v="1236.8899999999981"/>
    <n v="41"/>
    <s v="discover"/>
    <n v="0"/>
  </r>
  <r>
    <n v="772"/>
    <n v="381"/>
    <d v="2024-05-14T00:00:00"/>
    <s v="STATE FARM INSURANCE 800-956-6310 ILITEM TRANSFERRED FROM PREV ACCOUNT"/>
    <n v="90.54"/>
    <s v="Merchandise"/>
    <x v="61"/>
    <x v="1"/>
    <s v="Insurance"/>
    <x v="5"/>
    <n v="2024"/>
    <d v="2024-05-14T00:00:00"/>
    <n v="1327.429999999998"/>
    <n v="5"/>
    <s v="discover"/>
    <n v="0"/>
  </r>
  <r>
    <n v="773"/>
    <n v="382"/>
    <d v="2024-05-17T00:00:00"/>
    <s v="UBER TRIP 866-576-1039 CA"/>
    <n v="10.95"/>
    <s v="Travel/ Entertainment"/>
    <x v="81"/>
    <x v="0"/>
    <s v="Transportation"/>
    <x v="5"/>
    <n v="2024"/>
    <d v="2024-05-17T00:00:00"/>
    <n v="1338.3799999999981"/>
    <n v="8"/>
    <s v="discover"/>
    <n v="0"/>
  </r>
  <r>
    <n v="774"/>
    <n v="383"/>
    <d v="2024-05-18T00:00:00"/>
    <s v="INTERNET PAYMENT - THANK YOU"/>
    <n v="-1365.39"/>
    <s v="Payments and Credits"/>
    <x v="55"/>
    <x v="0"/>
    <s v="Payment_and_Interest"/>
    <x v="5"/>
    <n v="2024"/>
    <d v="2024-05-18T00:00:00"/>
    <n v="-27.010000000002041"/>
    <n v="10"/>
    <s v="discover"/>
    <n v="0"/>
  </r>
  <r>
    <n v="775"/>
    <n v="384"/>
    <d v="2024-05-18T00:00:00"/>
    <s v="ONLYFANS 8886880458 FL"/>
    <n v="7.99"/>
    <s v="Merchandise"/>
    <x v="38"/>
    <x v="0"/>
    <s v="Recreation_Entertainment"/>
    <x v="5"/>
    <n v="2024"/>
    <d v="2024-05-18T00:00:00"/>
    <n v="-19.020000000002039"/>
    <n v="42"/>
    <s v="discover"/>
    <n v="0"/>
  </r>
  <r>
    <n v="776"/>
    <n v="385"/>
    <d v="2024-05-18T00:00:00"/>
    <s v="ONLYFANS.COM*A 8886880458 FL"/>
    <n v="9.99"/>
    <s v="Merchandise"/>
    <x v="38"/>
    <x v="0"/>
    <s v="Recreation_Entertainment"/>
    <x v="5"/>
    <n v="2024"/>
    <d v="2024-05-18T00:00:00"/>
    <n v="-9.0300000000020351"/>
    <n v="43"/>
    <s v="discover"/>
    <n v="0"/>
  </r>
  <r>
    <n v="777"/>
    <n v="386"/>
    <d v="2024-05-21T00:00:00"/>
    <s v="ONLYFANS 8886880458 FL"/>
    <n v="15.99"/>
    <s v="Merchandise"/>
    <x v="38"/>
    <x v="0"/>
    <s v="Recreation_Entertainment"/>
    <x v="5"/>
    <n v="2024"/>
    <d v="2024-05-21T00:00:00"/>
    <n v="6.9599999999979651"/>
    <n v="44"/>
    <s v="discover"/>
    <n v="0"/>
  </r>
  <r>
    <n v="778"/>
    <n v="387"/>
    <d v="2024-05-21T00:00:00"/>
    <s v="UBER TRIP HELP.UBER.COM SYDNEY AUS5.00 @ 00000000.6560000 AUD"/>
    <n v="3.28"/>
    <s v="Travel/ Entertainment"/>
    <x v="81"/>
    <x v="0"/>
    <s v="Transportation"/>
    <x v="5"/>
    <n v="2024"/>
    <d v="2024-05-21T00:00:00"/>
    <n v="10.239999999997959"/>
    <n v="9"/>
    <s v="discover"/>
    <n v="0"/>
  </r>
  <r>
    <n v="779"/>
    <n v="388"/>
    <d v="2024-05-21T00:00:00"/>
    <s v="UBER TRIP HELP.UBER.COM SYDNEY AUS14.35 @ 00000000.6564460 AUD"/>
    <n v="9.42"/>
    <s v="Travel/ Entertainment"/>
    <x v="81"/>
    <x v="0"/>
    <s v="Transportation"/>
    <x v="5"/>
    <n v="2024"/>
    <d v="2024-05-21T00:00:00"/>
    <n v="19.659999999997961"/>
    <n v="10"/>
    <s v="discover"/>
    <n v="0"/>
  </r>
  <r>
    <n v="780"/>
    <n v="389"/>
    <d v="2024-05-21T00:00:00"/>
    <s v="UBER TRIP HELP.UBER.COM SYDNEY AUS15.98 @ 00000000.6564456 AUD"/>
    <n v="10.49"/>
    <s v="Travel/ Entertainment"/>
    <x v="81"/>
    <x v="0"/>
    <s v="Transportation"/>
    <x v="5"/>
    <n v="2024"/>
    <d v="2024-05-21T00:00:00"/>
    <n v="30.14999999999797"/>
    <n v="11"/>
    <s v="discover"/>
    <n v="0"/>
  </r>
  <r>
    <n v="781"/>
    <n v="390"/>
    <d v="2024-05-22T00:00:00"/>
    <s v="UBER TRIP HELP.UBER.COM SYDNEY AUS3.00 @ 00000000.6533333 AUD"/>
    <n v="1.96"/>
    <s v="Travel/ Entertainment"/>
    <x v="81"/>
    <x v="0"/>
    <s v="Transportation"/>
    <x v="5"/>
    <n v="2024"/>
    <d v="2024-05-22T00:00:00"/>
    <n v="32.109999999997967"/>
    <n v="12"/>
    <s v="discover"/>
    <n v="0"/>
  </r>
  <r>
    <n v="782"/>
    <n v="391"/>
    <d v="2024-05-24T00:00:00"/>
    <s v="ONLYFANS.COM*A 8886880458 FL"/>
    <n v="6.75"/>
    <s v="Merchandise"/>
    <x v="38"/>
    <x v="0"/>
    <s v="Recreation_Entertainment"/>
    <x v="5"/>
    <n v="2024"/>
    <d v="2024-05-24T00:00:00"/>
    <n v="38.859999999997967"/>
    <n v="45"/>
    <s v="discover"/>
    <n v="0"/>
  </r>
  <r>
    <n v="783"/>
    <n v="392"/>
    <d v="2024-05-25T00:00:00"/>
    <s v="ONLYFANS.COM*A 8886880458 FL"/>
    <n v="11.99"/>
    <s v="Merchandise"/>
    <x v="38"/>
    <x v="0"/>
    <s v="Recreation_Entertainment"/>
    <x v="5"/>
    <n v="2024"/>
    <d v="2024-05-25T00:00:00"/>
    <n v="50.849999999997969"/>
    <n v="46"/>
    <s v="discover"/>
    <n v="0"/>
  </r>
  <r>
    <n v="784"/>
    <n v="393"/>
    <d v="2024-05-25T00:00:00"/>
    <s v="AMAZON.COM*WD5RZ6IG3 AMZN.COM/BILLWA6RWXJN4S4GY"/>
    <n v="23.69"/>
    <s v="Merchandise"/>
    <x v="36"/>
    <x v="0"/>
    <s v="Personal_Spending"/>
    <x v="5"/>
    <n v="2024"/>
    <d v="2024-05-25T00:00:00"/>
    <n v="74.539999999997974"/>
    <n v="31"/>
    <s v="discover"/>
    <n v="0"/>
  </r>
  <r>
    <n v="785"/>
    <n v="394"/>
    <d v="2024-05-25T00:00:00"/>
    <s v="ONLYFANS 8886880458 FL"/>
    <n v="15"/>
    <s v="Merchandise"/>
    <x v="38"/>
    <x v="0"/>
    <s v="Recreation_Entertainment"/>
    <x v="5"/>
    <n v="2024"/>
    <d v="2024-05-25T00:00:00"/>
    <n v="89.539999999997974"/>
    <n v="47"/>
    <s v="discover"/>
    <n v="0"/>
  </r>
  <r>
    <n v="786"/>
    <n v="395"/>
    <d v="2024-05-26T00:00:00"/>
    <s v="FLASHROUTERS 866-509-5817 NJ"/>
    <n v="30"/>
    <s v="Merchandise"/>
    <x v="75"/>
    <x v="0"/>
    <s v="Personal_Spending"/>
    <x v="5"/>
    <n v="2024"/>
    <d v="2024-05-26T00:00:00"/>
    <n v="119.539999999998"/>
    <n v="2"/>
    <s v="discover"/>
    <n v="0"/>
  </r>
  <r>
    <n v="787"/>
    <n v="396"/>
    <d v="2024-05-27T00:00:00"/>
    <s v="ADOBE *ADOBE 408-536-6000 CA"/>
    <n v="29.99"/>
    <s v="Merchandise"/>
    <x v="66"/>
    <x v="1"/>
    <s v="Personal_Spending"/>
    <x v="5"/>
    <n v="2024"/>
    <d v="2024-05-27T00:00:00"/>
    <n v="149.52999999999801"/>
    <n v="5"/>
    <s v="discover"/>
    <n v="0"/>
  </r>
  <r>
    <n v="788"/>
    <n v="397"/>
    <d v="2024-05-27T00:00:00"/>
    <s v="GOOGLE *NBALEAGUEPASS 855-836-3987 CAP127SNAI"/>
    <n v="24.37"/>
    <s v="Services"/>
    <x v="85"/>
    <x v="1"/>
    <s v="Recreation_Entertainment"/>
    <x v="5"/>
    <n v="2024"/>
    <d v="2024-05-27T00:00:00"/>
    <n v="173.89999999999799"/>
    <n v="1"/>
    <s v="discover"/>
    <n v="0"/>
  </r>
  <r>
    <n v="789"/>
    <n v="398"/>
    <d v="2024-05-29T00:00:00"/>
    <s v="GOOGLE *WELLTECH APPS 855-836-3987 CAP12AXUDN"/>
    <n v="38.56"/>
    <s v="Services"/>
    <x v="70"/>
    <x v="0"/>
    <s v="Personal_Spending"/>
    <x v="5"/>
    <n v="2024"/>
    <d v="2024-05-29T00:00:00"/>
    <n v="212.45999999999799"/>
    <n v="5"/>
    <s v="discover"/>
    <n v="0"/>
  </r>
  <r>
    <n v="790"/>
    <n v="399"/>
    <d v="2024-05-31T00:00:00"/>
    <s v="UBER TRIP HELP.UBER.COM SYDNEY AUS14.39 @ 00000000.6553162 AUD"/>
    <n v="9.43"/>
    <s v="Travel/ Entertainment"/>
    <x v="81"/>
    <x v="0"/>
    <s v="Transportation"/>
    <x v="5"/>
    <n v="2024"/>
    <d v="2024-05-31T00:00:00"/>
    <n v="221.889999999998"/>
    <n v="13"/>
    <s v="discover"/>
    <n v="1"/>
  </r>
  <r>
    <n v="791"/>
    <n v="400"/>
    <d v="2024-06-01T00:00:00"/>
    <s v="PLANNED PARENTHOOD ACTIO NEW YORK NY"/>
    <n v="5"/>
    <s v="Services"/>
    <x v="31"/>
    <x v="1"/>
    <s v="Personal_Spending"/>
    <x v="6"/>
    <n v="2024"/>
    <d v="2024-06-01T00:00:00"/>
    <n v="226.889999999998"/>
    <n v="6"/>
    <s v="discover"/>
    <n v="0"/>
  </r>
  <r>
    <n v="792"/>
    <n v="401"/>
    <d v="2024-06-01T00:00:00"/>
    <s v="OPENAI *CHATGPT SUBSCR 4158799686 CA"/>
    <n v="20"/>
    <s v="Merchandise"/>
    <x v="30"/>
    <x v="1"/>
    <s v="Personal_Spending"/>
    <x v="6"/>
    <n v="2024"/>
    <d v="2024-06-01T00:00:00"/>
    <n v="246.889999999998"/>
    <n v="6"/>
    <s v="discover"/>
    <n v="0"/>
  </r>
  <r>
    <n v="793"/>
    <n v="402"/>
    <d v="2024-06-01T00:00:00"/>
    <s v="SPOTIFY P2CAA18780 8777781161 NY"/>
    <n v="5.99"/>
    <s v="Merchandise"/>
    <x v="32"/>
    <x v="1"/>
    <s v="Recreation_Entertainment"/>
    <x v="6"/>
    <n v="2024"/>
    <d v="2024-06-01T00:00:00"/>
    <n v="252.87999999999801"/>
    <n v="6"/>
    <s v="discover"/>
    <n v="0"/>
  </r>
  <r>
    <n v="794"/>
    <n v="403"/>
    <d v="2024-06-02T00:00:00"/>
    <s v="BREAKING POINTS-LOCALS 2025317527 DCITEM TRANSFERRED FROM PREV ACCOUNT"/>
    <n v="10"/>
    <s v="Merchandise"/>
    <x v="34"/>
    <x v="1"/>
    <s v="Recreation_Entertainment"/>
    <x v="6"/>
    <n v="2024"/>
    <d v="2024-06-02T00:00:00"/>
    <n v="262.87999999999801"/>
    <n v="6"/>
    <s v="discover"/>
    <n v="0"/>
  </r>
  <r>
    <n v="795"/>
    <n v="404"/>
    <d v="2024-06-02T00:00:00"/>
    <s v="ONEPASS 877-515-9364 MN460802"/>
    <n v="273.60000000000002"/>
    <s v="Services"/>
    <x v="33"/>
    <x v="1"/>
    <s v="Personal_Spending"/>
    <x v="6"/>
    <n v="2024"/>
    <d v="2024-06-02T00:00:00"/>
    <n v="536.47999999999797"/>
    <n v="8"/>
    <s v="discover"/>
    <n v="0"/>
  </r>
  <r>
    <n v="796"/>
    <n v="405"/>
    <d v="2024-06-03T00:00:00"/>
    <s v="AUTOMATIC STATEMENT CREDIT"/>
    <n v="-23.51"/>
    <s v="Awards and Rebate Credits"/>
    <x v="39"/>
    <x v="0"/>
    <s v="Payment_and_Interest"/>
    <x v="6"/>
    <n v="2024"/>
    <d v="2024-06-03T00:00:00"/>
    <n v="512.96999999999798"/>
    <n v="6"/>
    <s v="discover"/>
    <n v="0"/>
  </r>
  <r>
    <n v="797"/>
    <n v="406"/>
    <d v="2024-06-03T00:00:00"/>
    <s v="ALIPAY BEIJING CHN2163.00 @ 00000000.1383033 CNY"/>
    <n v="299.14999999999998"/>
    <s v="Department Stores"/>
    <x v="23"/>
    <x v="0"/>
    <s v="Travel"/>
    <x v="6"/>
    <n v="2024"/>
    <d v="2024-06-03T00:00:00"/>
    <n v="812.11999999999796"/>
    <n v="2"/>
    <s v="discover"/>
    <n v="0"/>
  </r>
  <r>
    <n v="798"/>
    <n v="407"/>
    <d v="2024-06-04T00:00:00"/>
    <s v="UBER TRIP HELP.UBER.COM SYDNEY AUS5.00 @ 00000000.6560000 AUD"/>
    <n v="3.28"/>
    <s v="Travel/ Entertainment"/>
    <x v="81"/>
    <x v="0"/>
    <s v="Transportation"/>
    <x v="6"/>
    <n v="2024"/>
    <d v="2024-06-04T00:00:00"/>
    <n v="815.39999999999793"/>
    <n v="14"/>
    <s v="discover"/>
    <n v="0"/>
  </r>
  <r>
    <n v="799"/>
    <n v="408"/>
    <d v="2024-06-04T00:00:00"/>
    <s v="UBER TRIP HELP.UBER.COM SYDNEY AUS5.00 @ 00000000.6560000 AUD"/>
    <n v="3.28"/>
    <s v="Travel/ Entertainment"/>
    <x v="81"/>
    <x v="0"/>
    <s v="Transportation"/>
    <x v="6"/>
    <n v="2024"/>
    <d v="2024-06-04T00:00:00"/>
    <n v="818.6799999999979"/>
    <n v="15"/>
    <s v="discover"/>
    <n v="0"/>
  </r>
  <r>
    <n v="800"/>
    <n v="409"/>
    <d v="2024-06-04T00:00:00"/>
    <s v="UBER TRIP HELP.UBER.COM SYDNEY AUS36.91 @ 00000000.6561907 AUD"/>
    <n v="24.22"/>
    <s v="Travel/ Entertainment"/>
    <x v="81"/>
    <x v="0"/>
    <s v="Transportation"/>
    <x v="6"/>
    <n v="2024"/>
    <d v="2024-06-04T00:00:00"/>
    <n v="842.89999999999793"/>
    <n v="16"/>
    <s v="discover"/>
    <n v="0"/>
  </r>
  <r>
    <n v="801"/>
    <n v="410"/>
    <d v="2024-06-05T00:00:00"/>
    <s v="PAMF PA ONLINE BILL PAY 877-252-1777 CA"/>
    <n v="15"/>
    <s v="Medical Services"/>
    <x v="83"/>
    <x v="0"/>
    <s v="Medical"/>
    <x v="6"/>
    <n v="2024"/>
    <d v="2024-06-05T00:00:00"/>
    <n v="857.89999999999793"/>
    <n v="2"/>
    <s v="discover"/>
    <n v="0"/>
  </r>
  <r>
    <n v="802"/>
    <n v="411"/>
    <d v="2024-06-06T00:00:00"/>
    <s v="ONLYFANS.COM*A 8886880458 FL"/>
    <n v="9.99"/>
    <s v="Merchandise"/>
    <x v="38"/>
    <x v="0"/>
    <s v="Recreation_Entertainment"/>
    <x v="6"/>
    <n v="2024"/>
    <d v="2024-06-06T00:00:00"/>
    <n v="867.88999999999794"/>
    <n v="48"/>
    <s v="discover"/>
    <n v="0"/>
  </r>
  <r>
    <n v="803"/>
    <n v="412"/>
    <d v="2024-06-06T00:00:00"/>
    <s v="UBER TRIP HELP.UBER.COM SYDNEY AUS38.46 @ 00000000.6573063 AUD"/>
    <n v="25.28"/>
    <s v="Travel/ Entertainment"/>
    <x v="81"/>
    <x v="0"/>
    <s v="Transportation"/>
    <x v="6"/>
    <n v="2024"/>
    <d v="2024-06-06T00:00:00"/>
    <n v="893.16999999999791"/>
    <n v="17"/>
    <s v="discover"/>
    <n v="0"/>
  </r>
  <r>
    <n v="804"/>
    <n v="413"/>
    <d v="2024-06-09T00:00:00"/>
    <s v="UBER TRIP HELP.UBER.COM SYDNEY AUS42.25 @ 00000000.6501775 AUD"/>
    <n v="27.47"/>
    <s v="Travel/ Entertainment"/>
    <x v="81"/>
    <x v="0"/>
    <s v="Transportation"/>
    <x v="6"/>
    <n v="2024"/>
    <d v="2024-06-09T00:00:00"/>
    <n v="920.63999999999794"/>
    <n v="18"/>
    <s v="discover"/>
    <n v="0"/>
  </r>
  <r>
    <n v="805"/>
    <n v="414"/>
    <d v="2024-06-09T00:00:00"/>
    <s v="UBER TRIP HELP.UBER.COM SYDNEY AUS82.55 @ 00000000.6500303 AUD"/>
    <n v="53.66"/>
    <s v="Travel/ Entertainment"/>
    <x v="81"/>
    <x v="0"/>
    <s v="Transportation"/>
    <x v="6"/>
    <n v="2024"/>
    <d v="2024-06-09T00:00:00"/>
    <n v="974.29999999999791"/>
    <n v="19"/>
    <s v="discover"/>
    <n v="0"/>
  </r>
  <r>
    <n v="806"/>
    <n v="415"/>
    <d v="2024-06-10T00:00:00"/>
    <s v="UBER TRIP 866-576-1039 CA"/>
    <n v="37.93"/>
    <s v="Travel/ Entertainment"/>
    <x v="81"/>
    <x v="0"/>
    <s v="Transportation"/>
    <x v="6"/>
    <n v="2024"/>
    <d v="2024-06-10T00:00:00"/>
    <n v="1012.229999999998"/>
    <n v="20"/>
    <s v="discover"/>
    <n v="0"/>
  </r>
  <r>
    <n v="807"/>
    <n v="416"/>
    <d v="2024-06-11T00:00:00"/>
    <s v="INTERNET PAYMENT - THANK YOU"/>
    <n v="-920.18"/>
    <s v="Payments and Credits"/>
    <x v="55"/>
    <x v="0"/>
    <s v="Payment_and_Interest"/>
    <x v="6"/>
    <n v="2024"/>
    <d v="2024-06-11T00:00:00"/>
    <n v="92.049999999997908"/>
    <n v="11"/>
    <s v="discover"/>
    <n v="0"/>
  </r>
  <r>
    <n v="808"/>
    <n v="417"/>
    <d v="2024-06-11T00:00:00"/>
    <s v="DD *TAQUERIANAYARITA 6506819470 CA"/>
    <n v="24.8"/>
    <s v="Restaurants"/>
    <x v="40"/>
    <x v="0"/>
    <s v="Food"/>
    <x v="6"/>
    <n v="2024"/>
    <d v="2024-06-11T00:00:00"/>
    <n v="116.84999999999791"/>
    <n v="41"/>
    <s v="discover"/>
    <n v="0"/>
  </r>
  <r>
    <n v="809"/>
    <n v="418"/>
    <d v="2024-06-11T00:00:00"/>
    <s v="WL *STEAM PURCHASE 425-889-9642 WA00016J165PIQC001001"/>
    <n v="59.99"/>
    <s v="Merchandise"/>
    <x v="37"/>
    <x v="0"/>
    <s v="Recreation_Entertainment"/>
    <x v="6"/>
    <n v="2024"/>
    <d v="2024-06-11T00:00:00"/>
    <n v="176.8399999999979"/>
    <n v="7"/>
    <s v="discover"/>
    <n v="0"/>
  </r>
  <r>
    <n v="810"/>
    <n v="419"/>
    <d v="2024-06-11T00:00:00"/>
    <s v="AMAZON.COM*PA4O72AM3 AMZN.COM/BILLWA1W5JBHMI3DZ"/>
    <n v="23.69"/>
    <s v="Merchandise"/>
    <x v="36"/>
    <x v="0"/>
    <s v="Personal_Spending"/>
    <x v="6"/>
    <n v="2024"/>
    <d v="2024-06-11T00:00:00"/>
    <n v="200.5299999999979"/>
    <n v="32"/>
    <s v="discover"/>
    <n v="0"/>
  </r>
  <r>
    <n v="811"/>
    <n v="420"/>
    <d v="2024-06-11T00:00:00"/>
    <s v="CARBON HEALTH 4152002133 CA"/>
    <n v="15"/>
    <s v="Medical Services"/>
    <x v="63"/>
    <x v="0"/>
    <s v="Medical"/>
    <x v="6"/>
    <n v="2024"/>
    <d v="2024-06-11T00:00:00"/>
    <n v="215.5299999999979"/>
    <n v="2"/>
    <s v="discover"/>
    <n v="0"/>
  </r>
  <r>
    <n v="812"/>
    <n v="421"/>
    <d v="2024-06-12T00:00:00"/>
    <s v="MOSCONE CENTER F&amp;B SAN FRANCISCOCA"/>
    <n v="5.16"/>
    <s v="Restaurants"/>
    <x v="74"/>
    <x v="0"/>
    <s v="Recreation_Entertainment"/>
    <x v="6"/>
    <n v="2024"/>
    <d v="2024-06-12T00:00:00"/>
    <n v="220.68999999999789"/>
    <n v="2"/>
    <s v="discover"/>
    <n v="0"/>
  </r>
  <r>
    <n v="813"/>
    <n v="422"/>
    <d v="2024-06-12T00:00:00"/>
    <s v="ONLYFANS 8886880458 FL"/>
    <n v="15"/>
    <s v="Merchandise"/>
    <x v="38"/>
    <x v="0"/>
    <s v="Recreation_Entertainment"/>
    <x v="6"/>
    <n v="2024"/>
    <d v="2024-06-12T00:00:00"/>
    <n v="235.68999999999789"/>
    <n v="49"/>
    <s v="discover"/>
    <n v="0"/>
  </r>
  <r>
    <n v="814"/>
    <n v="423"/>
    <d v="2024-06-12T00:00:00"/>
    <s v="ONLYFANS.COM*A 8886880458 FL"/>
    <n v="5.39"/>
    <s v="Merchandise"/>
    <x v="38"/>
    <x v="0"/>
    <s v="Recreation_Entertainment"/>
    <x v="6"/>
    <n v="2024"/>
    <d v="2024-06-12T00:00:00"/>
    <n v="241.07999999999791"/>
    <n v="50"/>
    <s v="discover"/>
    <n v="0"/>
  </r>
  <r>
    <n v="815"/>
    <n v="424"/>
    <d v="2024-06-12T00:00:00"/>
    <s v="UBER TRIP 866-576-1039 CA"/>
    <n v="7.58"/>
    <s v="Travel/ Entertainment"/>
    <x v="81"/>
    <x v="0"/>
    <s v="Transportation"/>
    <x v="6"/>
    <n v="2024"/>
    <d v="2024-06-12T00:00:00"/>
    <n v="248.65999999999789"/>
    <n v="21"/>
    <s v="discover"/>
    <n v="0"/>
  </r>
  <r>
    <n v="816"/>
    <n v="425"/>
    <d v="2024-06-12T00:00:00"/>
    <s v="UBER TRIP 866-576-1039 CA"/>
    <n v="12.89"/>
    <s v="Travel/ Entertainment"/>
    <x v="81"/>
    <x v="0"/>
    <s v="Transportation"/>
    <x v="6"/>
    <n v="2024"/>
    <d v="2024-06-12T00:00:00"/>
    <n v="261.54999999999791"/>
    <n v="22"/>
    <s v="discover"/>
    <n v="0"/>
  </r>
  <r>
    <n v="817"/>
    <n v="426"/>
    <d v="2024-06-13T00:00:00"/>
    <s v="CENTRAL COMPUTERS, INC SAN FRANCISCOCA"/>
    <n v="32.53"/>
    <s v="Services"/>
    <x v="86"/>
    <x v="0"/>
    <s v="Recreation_Entertainment"/>
    <x v="6"/>
    <n v="2024"/>
    <d v="2024-06-13T00:00:00"/>
    <n v="294.07999999999788"/>
    <n v="1"/>
    <s v="discover"/>
    <n v="0"/>
  </r>
  <r>
    <n v="818"/>
    <n v="427"/>
    <d v="2024-06-13T00:00:00"/>
    <s v="CENTRAL COMPUTERS, INC SAN FRANCISCOCA"/>
    <n v="37.909999999999997"/>
    <s v="Services"/>
    <x v="86"/>
    <x v="0"/>
    <s v="Recreation_Entertainment"/>
    <x v="6"/>
    <n v="2024"/>
    <d v="2024-06-13T00:00:00"/>
    <n v="331.98999999999779"/>
    <n v="2"/>
    <s v="discover"/>
    <n v="0"/>
  </r>
  <r>
    <n v="819"/>
    <n v="428"/>
    <d v="2024-06-14T00:00:00"/>
    <s v="STATE FARM INSURANCE 800-956-6310 ILITEM TRANSFERRED FROM PREV ACCOUNT"/>
    <n v="90.54"/>
    <s v="Merchandise"/>
    <x v="61"/>
    <x v="1"/>
    <s v="Insurance"/>
    <x v="6"/>
    <n v="2024"/>
    <d v="2024-06-14T00:00:00"/>
    <n v="422.52999999999793"/>
    <n v="6"/>
    <s v="discover"/>
    <n v="0"/>
  </r>
  <r>
    <n v="820"/>
    <n v="429"/>
    <d v="2024-06-15T00:00:00"/>
    <s v="SQ *HIGH SOCIETY'S FIN SAN JOSE CA0001152921514224456688"/>
    <n v="34.18"/>
    <s v="Services"/>
    <x v="58"/>
    <x v="0"/>
    <s v="Travel"/>
    <x v="6"/>
    <n v="2024"/>
    <d v="2024-06-15T00:00:00"/>
    <n v="456.70999999999788"/>
    <n v="46"/>
    <s v="discover"/>
    <n v="0"/>
  </r>
  <r>
    <n v="821"/>
    <n v="430"/>
    <d v="2024-06-15T00:00:00"/>
    <s v="TST* VIETNOMS - FIRST SAN JOSE CA00138139018317011312AA"/>
    <n v="29.85"/>
    <s v="Restaurants"/>
    <x v="40"/>
    <x v="0"/>
    <s v="Food"/>
    <x v="6"/>
    <n v="2024"/>
    <d v="2024-06-15T00:00:00"/>
    <n v="486.5599999999979"/>
    <n v="42"/>
    <s v="discover"/>
    <n v="0"/>
  </r>
  <r>
    <n v="822"/>
    <n v="431"/>
    <d v="2024-06-16T00:00:00"/>
    <s v="SQ *ZAREEN'S RESTAURAN REDWOOD CITY CA0001152921514227505835"/>
    <n v="72.55"/>
    <s v="Restaurants"/>
    <x v="40"/>
    <x v="0"/>
    <s v="Food"/>
    <x v="6"/>
    <n v="2024"/>
    <d v="2024-06-16T00:00:00"/>
    <n v="559.10999999999785"/>
    <n v="43"/>
    <s v="discover"/>
    <n v="0"/>
  </r>
  <r>
    <n v="823"/>
    <n v="432"/>
    <d v="2024-06-17T00:00:00"/>
    <s v="BONOBOS BONOBOS.COM OH"/>
    <n v="285.92"/>
    <s v="Merchandise"/>
    <x v="56"/>
    <x v="0"/>
    <s v="Personal_Spending"/>
    <x v="6"/>
    <n v="2024"/>
    <d v="2024-06-17T00:00:00"/>
    <n v="845.02999999999793"/>
    <n v="12"/>
    <s v="discover"/>
    <n v="0"/>
  </r>
  <r>
    <n v="824"/>
    <n v="433"/>
    <d v="2024-06-17T00:00:00"/>
    <s v="AMAZON.COM*QL1603I83 AMZN.COM/BILLWA5FX6EEZJW4R"/>
    <n v="8.76"/>
    <s v="Merchandise"/>
    <x v="36"/>
    <x v="0"/>
    <s v="Personal_Spending"/>
    <x v="6"/>
    <n v="2024"/>
    <d v="2024-06-17T00:00:00"/>
    <n v="853.78999999999792"/>
    <n v="33"/>
    <s v="discover"/>
    <n v="0"/>
  </r>
  <r>
    <n v="825"/>
    <n v="434"/>
    <d v="2024-06-19T00:00:00"/>
    <s v="UNIQLO USA LLC NEW YORK NY"/>
    <n v="207.67"/>
    <s v="Merchandise"/>
    <x v="56"/>
    <x v="0"/>
    <s v="Personal_Spending"/>
    <x v="6"/>
    <n v="2024"/>
    <d v="2024-06-19T00:00:00"/>
    <n v="1061.459999999998"/>
    <n v="13"/>
    <s v="discover"/>
    <n v="0"/>
  </r>
  <r>
    <n v="826"/>
    <n v="435"/>
    <d v="2024-06-19T00:00:00"/>
    <s v="CAFFE STELLATO BURLINGAME CA"/>
    <n v="8.2799999999999994"/>
    <s v="Restaurants"/>
    <x v="44"/>
    <x v="0"/>
    <s v="Food"/>
    <x v="6"/>
    <n v="2024"/>
    <d v="2024-06-19T00:00:00"/>
    <n v="1069.739999999998"/>
    <n v="3"/>
    <s v="discover"/>
    <n v="0"/>
  </r>
  <r>
    <n v="827"/>
    <n v="436"/>
    <d v="2024-06-19T00:00:00"/>
    <s v="UNIQLO USA LLC NEW YORK NY"/>
    <n v="65.319999999999993"/>
    <s v="Merchandise"/>
    <x v="56"/>
    <x v="0"/>
    <s v="Personal_Spending"/>
    <x v="6"/>
    <n v="2024"/>
    <d v="2024-06-19T00:00:00"/>
    <n v="1135.0599999999979"/>
    <n v="14"/>
    <s v="discover"/>
    <n v="0"/>
  </r>
  <r>
    <n v="828"/>
    <n v="437"/>
    <d v="2024-06-20T00:00:00"/>
    <s v="AMAZON.COM*XL3UW2VC3 AMZN.COM/BILLWAFW2BG12I3LI"/>
    <n v="21.34"/>
    <s v="Merchandise"/>
    <x v="36"/>
    <x v="0"/>
    <s v="Personal_Spending"/>
    <x v="6"/>
    <n v="2024"/>
    <d v="2024-06-20T00:00:00"/>
    <n v="1156.399999999998"/>
    <n v="34"/>
    <s v="discover"/>
    <n v="0"/>
  </r>
  <r>
    <n v="829"/>
    <n v="438"/>
    <d v="2024-06-20T00:00:00"/>
    <s v="THE DISTRICT BARBERS D 9292652995 NY"/>
    <n v="61"/>
    <s v="Services"/>
    <x v="40"/>
    <x v="0"/>
    <s v="Food"/>
    <x v="6"/>
    <n v="2024"/>
    <d v="2024-06-20T00:00:00"/>
    <n v="1217.399999999998"/>
    <n v="44"/>
    <s v="discover"/>
    <n v="0"/>
  </r>
  <r>
    <n v="830"/>
    <n v="439"/>
    <d v="2024-06-21T00:00:00"/>
    <s v="AMK OAKLAND COLISEUM CLU OAKLAND CA"/>
    <n v="24.08"/>
    <s v="Restaurants"/>
    <x v="87"/>
    <x v="0"/>
    <s v="Recreation_Entertainment"/>
    <x v="6"/>
    <n v="2024"/>
    <d v="2024-06-21T00:00:00"/>
    <n v="1241.479999999998"/>
    <n v="1"/>
    <s v="discover"/>
    <n v="0"/>
  </r>
  <r>
    <n v="831"/>
    <n v="440"/>
    <d v="2024-06-21T00:00:00"/>
    <s v="EBONY BEAUTY SUPPLY SAN FRANCISCOCA"/>
    <n v="10"/>
    <s v="Merchandise"/>
    <x v="88"/>
    <x v="0"/>
    <s v="Personal_Spending"/>
    <x v="6"/>
    <n v="2024"/>
    <d v="2024-06-21T00:00:00"/>
    <n v="1251.479999999998"/>
    <n v="1"/>
    <s v="discover"/>
    <n v="0"/>
  </r>
  <r>
    <n v="832"/>
    <n v="441"/>
    <d v="2024-06-21T00:00:00"/>
    <s v="FASTRAK CSC 415-486-8655 CA"/>
    <n v="25"/>
    <s v="Travel/ Entertainment"/>
    <x v="57"/>
    <x v="0"/>
    <s v="Transportation"/>
    <x v="6"/>
    <n v="2024"/>
    <d v="2024-06-21T00:00:00"/>
    <n v="1276.479999999998"/>
    <n v="6"/>
    <s v="discover"/>
    <n v="0"/>
  </r>
  <r>
    <n v="833"/>
    <n v="442"/>
    <d v="2024-06-21T00:00:00"/>
    <s v="MACYS HILLSDALE SAN MATEO CA"/>
    <n v="165"/>
    <s v="Department Stores"/>
    <x v="58"/>
    <x v="0"/>
    <s v="Travel"/>
    <x v="6"/>
    <n v="2024"/>
    <d v="2024-06-21T00:00:00"/>
    <n v="1441.479999999998"/>
    <n v="47"/>
    <s v="discover"/>
    <n v="0"/>
  </r>
  <r>
    <n v="834"/>
    <n v="443"/>
    <d v="2024-06-21T00:00:00"/>
    <s v="SQ *OF MONTREAL TOURIN HILLSBOROUGH NC0002305843019998629304"/>
    <n v="72"/>
    <s v="Travel/ Entertainment"/>
    <x v="58"/>
    <x v="0"/>
    <s v="Travel"/>
    <x v="6"/>
    <n v="2024"/>
    <d v="2024-06-21T00:00:00"/>
    <n v="1513.479999999998"/>
    <n v="48"/>
    <s v="discover"/>
    <n v="0"/>
  </r>
  <r>
    <n v="835"/>
    <n v="444"/>
    <d v="2024-06-21T00:00:00"/>
    <s v="TST* THE UC THEATRE BERKELEY CA"/>
    <n v="5.75"/>
    <s v="Restaurants"/>
    <x v="27"/>
    <x v="0"/>
    <s v="Recreation_Entertainment"/>
    <x v="6"/>
    <n v="2024"/>
    <d v="2024-06-21T00:00:00"/>
    <n v="1519.229999999998"/>
    <n v="13"/>
    <s v="discover"/>
    <n v="0"/>
  </r>
  <r>
    <n v="836"/>
    <n v="445"/>
    <d v="2024-06-21T00:00:00"/>
    <s v="UNIQLO USA LLC UNIQLO  SAN MATEO CA"/>
    <n v="224.55"/>
    <s v="Merchandise"/>
    <x v="56"/>
    <x v="0"/>
    <s v="Personal_Spending"/>
    <x v="6"/>
    <n v="2024"/>
    <d v="2024-06-21T00:00:00"/>
    <n v="1743.7799999999979"/>
    <n v="15"/>
    <s v="discover"/>
    <n v="0"/>
  </r>
  <r>
    <n v="837"/>
    <n v="446"/>
    <d v="2024-06-24T00:00:00"/>
    <s v="UBERBV UBER TRIP HELP.UB HELP.UBER.COMNL140.14 @ 00000000.1300842 HKD"/>
    <n v="18.23"/>
    <s v="Travel/ Entertainment"/>
    <x v="81"/>
    <x v="0"/>
    <s v="Transportation"/>
    <x v="6"/>
    <n v="2024"/>
    <d v="2024-06-24T00:00:00"/>
    <n v="1762.0099999999979"/>
    <n v="23"/>
    <s v="discover"/>
    <n v="0"/>
  </r>
  <r>
    <n v="838"/>
    <n v="447"/>
    <d v="2024-06-24T00:00:00"/>
    <s v="UBERBV UBER TRIP HELP.UB HELP.UBER.COMNL15.00 @ 00000000.1300000 HKD"/>
    <n v="1.95"/>
    <s v="Travel/ Entertainment"/>
    <x v="81"/>
    <x v="0"/>
    <s v="Transportation"/>
    <x v="6"/>
    <n v="2024"/>
    <d v="2024-06-24T00:00:00"/>
    <n v="1763.959999999998"/>
    <n v="24"/>
    <s v="discover"/>
    <n v="0"/>
  </r>
  <r>
    <n v="839"/>
    <n v="448"/>
    <d v="2024-06-24T00:00:00"/>
    <s v="COCOBERRY ICE-CREAM LI TSIM SHA TSUIHKG35.00 @ 00000000.1280805 HKD"/>
    <n v="4.4800000000000004"/>
    <s v="Restaurants"/>
    <x v="50"/>
    <x v="0"/>
    <s v="Food"/>
    <x v="6"/>
    <n v="2024"/>
    <d v="2024-06-24T00:00:00"/>
    <n v="1768.439999999998"/>
    <n v="14"/>
    <s v="discover"/>
    <n v="0"/>
  </r>
  <r>
    <n v="840"/>
    <n v="449"/>
    <d v="2024-06-24T00:00:00"/>
    <s v="UBER TRIP 866-576-1039 CA"/>
    <n v="3"/>
    <s v="Travel/ Entertainment"/>
    <x v="81"/>
    <x v="0"/>
    <s v="Transportation"/>
    <x v="6"/>
    <n v="2024"/>
    <d v="2024-06-24T00:00:00"/>
    <n v="1771.439999999998"/>
    <n v="25"/>
    <s v="discover"/>
    <n v="0"/>
  </r>
  <r>
    <n v="841"/>
    <n v="450"/>
    <d v="2024-06-25T00:00:00"/>
    <s v="HAAM DIM HONG KONG HKG70.00 @ 00000000.1300000 HKD"/>
    <n v="9.1"/>
    <s v="Merchandise"/>
    <x v="23"/>
    <x v="0"/>
    <s v="Travel"/>
    <x v="6"/>
    <n v="2024"/>
    <d v="2024-06-25T00:00:00"/>
    <n v="1780.5399999999979"/>
    <n v="3"/>
    <s v="discover"/>
    <n v="0"/>
  </r>
  <r>
    <n v="842"/>
    <n v="451"/>
    <d v="2024-06-25T00:00:00"/>
    <s v="UBERBV UBER TRIP HELP.UB HELP.UBER.COMNL70.57 @ 00000000.1300836 HKD"/>
    <n v="9.18"/>
    <s v="Travel/ Entertainment"/>
    <x v="81"/>
    <x v="0"/>
    <s v="Transportation"/>
    <x v="6"/>
    <n v="2024"/>
    <d v="2024-06-25T00:00:00"/>
    <n v="1789.719999999998"/>
    <n v="26"/>
    <s v="discover"/>
    <n v="0"/>
  </r>
  <r>
    <n v="843"/>
    <n v="452"/>
    <d v="2024-06-27T00:00:00"/>
    <s v="ADOBE *ADOBE 408-536-6000 CA"/>
    <n v="29.99"/>
    <s v="Merchandise"/>
    <x v="66"/>
    <x v="1"/>
    <s v="Personal_Spending"/>
    <x v="6"/>
    <n v="2024"/>
    <d v="2024-06-27T00:00:00"/>
    <n v="1819.709999999998"/>
    <n v="6"/>
    <s v="discover"/>
    <n v="0"/>
  </r>
  <r>
    <n v="844"/>
    <n v="453"/>
    <d v="2024-06-27T00:00:00"/>
    <s v="GOOGLE *NBALEAGUEPASS 855-836-3987 CAP12TW7W3"/>
    <n v="24.37"/>
    <s v="Merchandise"/>
    <x v="85"/>
    <x v="1"/>
    <s v="Recreation_Entertainment"/>
    <x v="6"/>
    <n v="2024"/>
    <d v="2024-06-27T00:00:00"/>
    <n v="1844.0799999999981"/>
    <n v="2"/>
    <s v="discover"/>
    <n v="0"/>
  </r>
  <r>
    <n v="845"/>
    <n v="454"/>
    <d v="2024-06-27T00:00:00"/>
    <s v="ONLYFANS.COM*A 8886880458 FL"/>
    <n v="15.99"/>
    <s v="Merchandise"/>
    <x v="38"/>
    <x v="0"/>
    <s v="Recreation_Entertainment"/>
    <x v="6"/>
    <n v="2024"/>
    <d v="2024-06-27T00:00:00"/>
    <n v="1860.0699999999979"/>
    <n v="51"/>
    <s v="discover"/>
    <n v="0"/>
  </r>
  <r>
    <n v="846"/>
    <n v="455"/>
    <d v="2024-06-30T00:00:00"/>
    <s v="FEVOGM - NEW YORK NEW YORK NY"/>
    <n v="139.52000000000001"/>
    <s v="Merchandise"/>
    <x v="56"/>
    <x v="0"/>
    <s v="Personal_Spending"/>
    <x v="6"/>
    <n v="2024"/>
    <d v="2024-06-30T00:00:00"/>
    <n v="1999.5899999999981"/>
    <n v="16"/>
    <s v="discover"/>
    <n v="1"/>
  </r>
  <r>
    <n v="847"/>
    <n v="456"/>
    <d v="2024-07-01T00:00:00"/>
    <s v="PLANNED PARENTHOOD ACTIO NEW YORK NY"/>
    <n v="5"/>
    <s v="Services"/>
    <x v="31"/>
    <x v="1"/>
    <s v="Personal_Spending"/>
    <x v="7"/>
    <n v="2024"/>
    <d v="2024-07-01T00:00:00"/>
    <n v="2004.5899999999981"/>
    <n v="7"/>
    <s v="discover"/>
    <n v="0"/>
  </r>
  <r>
    <n v="848"/>
    <n v="457"/>
    <d v="2024-07-01T00:00:00"/>
    <s v="OPENAI *CHATGPT SUBSCR 4158799686 CA"/>
    <n v="20"/>
    <s v="Merchandise"/>
    <x v="30"/>
    <x v="1"/>
    <s v="Personal_Spending"/>
    <x v="7"/>
    <n v="2024"/>
    <d v="2024-07-01T00:00:00"/>
    <n v="2024.5899999999981"/>
    <n v="7"/>
    <s v="discover"/>
    <n v="0"/>
  </r>
  <r>
    <n v="849"/>
    <n v="458"/>
    <d v="2024-07-01T00:00:00"/>
    <s v="TM *TICKETMASTER 415-421-8497 CANCA/70-14354"/>
    <n v="57.93"/>
    <s v="Travel/ Entertainment"/>
    <x v="53"/>
    <x v="0"/>
    <s v="Recreation_Entertainment"/>
    <x v="7"/>
    <n v="2024"/>
    <d v="2024-07-01T00:00:00"/>
    <n v="2082.5199999999982"/>
    <n v="2"/>
    <s v="discover"/>
    <n v="0"/>
  </r>
  <r>
    <n v="850"/>
    <n v="459"/>
    <d v="2024-07-01T00:00:00"/>
    <s v="PAYPAL *C P 888-221-1161 CA"/>
    <n v="43.26"/>
    <s v="Services"/>
    <x v="23"/>
    <x v="0"/>
    <s v="Travel"/>
    <x v="7"/>
    <n v="2024"/>
    <d v="2024-07-01T00:00:00"/>
    <n v="2125.7799999999979"/>
    <n v="4"/>
    <s v="discover"/>
    <n v="0"/>
  </r>
  <r>
    <n v="851"/>
    <n v="460"/>
    <d v="2024-07-01T00:00:00"/>
    <s v="SPOTIFY P2D682D6A5 8777781161 NY"/>
    <n v="5.99"/>
    <s v="Merchandise"/>
    <x v="32"/>
    <x v="1"/>
    <s v="Recreation_Entertainment"/>
    <x v="7"/>
    <n v="2024"/>
    <d v="2024-07-01T00:00:00"/>
    <n v="2131.7699999999982"/>
    <n v="7"/>
    <s v="discover"/>
    <n v="0"/>
  </r>
  <r>
    <n v="852"/>
    <n v="461"/>
    <d v="2024-07-02T00:00:00"/>
    <s v="WALGREENS #0625 MILLBRAE CA"/>
    <n v="8.74"/>
    <s v="Merchandise"/>
    <x v="71"/>
    <x v="0"/>
    <s v="Personal_Spending"/>
    <x v="7"/>
    <n v="2024"/>
    <d v="2024-07-02T00:00:00"/>
    <n v="2140.509999999997"/>
    <n v="7"/>
    <s v="discover"/>
    <n v="0"/>
  </r>
  <r>
    <n v="853"/>
    <n v="462"/>
    <d v="2024-07-02T00:00:00"/>
    <s v="GOFUNDME 1ST BORN GONE GOFUNDME.COM CA"/>
    <n v="101"/>
    <s v="Services"/>
    <x v="10"/>
    <x v="0"/>
    <s v="Misc"/>
    <x v="7"/>
    <n v="2024"/>
    <d v="2024-07-02T00:00:00"/>
    <n v="2241.509999999997"/>
    <n v="2"/>
    <s v="discover"/>
    <n v="0"/>
  </r>
  <r>
    <n v="854"/>
    <n v="463"/>
    <d v="2024-07-02T00:00:00"/>
    <s v="UBERBV UBER TRIP HELP.UB HELP.UBER.COMNL5.00 @ 00000000.1300000 HKD"/>
    <n v="0.65"/>
    <s v="Travel/ Entertainment"/>
    <x v="81"/>
    <x v="0"/>
    <s v="Transportation"/>
    <x v="7"/>
    <n v="2024"/>
    <d v="2024-07-02T00:00:00"/>
    <n v="2242.159999999998"/>
    <n v="27"/>
    <s v="discover"/>
    <n v="0"/>
  </r>
  <r>
    <n v="855"/>
    <n v="464"/>
    <d v="2024-07-02T00:00:00"/>
    <s v="BREAKING POINTS-LOCALS 2025317527 DCITEM TRANSFERRED FROM PREV ACCOUNT"/>
    <n v="10"/>
    <s v="Merchandise"/>
    <x v="34"/>
    <x v="1"/>
    <s v="Recreation_Entertainment"/>
    <x v="7"/>
    <n v="2024"/>
    <d v="2024-07-02T00:00:00"/>
    <n v="2252.159999999998"/>
    <n v="7"/>
    <s v="discover"/>
    <n v="0"/>
  </r>
  <r>
    <n v="856"/>
    <n v="465"/>
    <d v="2024-07-02T00:00:00"/>
    <s v="ONEPASS 877-515-9364 MN511733"/>
    <n v="273.60000000000002"/>
    <s v="Services"/>
    <x v="33"/>
    <x v="1"/>
    <s v="Personal_Spending"/>
    <x v="7"/>
    <n v="2024"/>
    <d v="2024-07-02T00:00:00"/>
    <n v="2525.759999999997"/>
    <n v="9"/>
    <s v="discover"/>
    <n v="0"/>
  </r>
  <r>
    <n v="857"/>
    <n v="466"/>
    <d v="2024-07-03T00:00:00"/>
    <s v="APF*PEAK LIVING PROPERTY 206-737-8170 WAAPF*PEAK LIVING PROPERTY"/>
    <n v="50"/>
    <s v="Services"/>
    <x v="89"/>
    <x v="0"/>
    <s v="People"/>
    <x v="7"/>
    <n v="2024"/>
    <d v="2024-07-03T00:00:00"/>
    <n v="2575.759999999997"/>
    <n v="1"/>
    <s v="discover"/>
    <n v="0"/>
  </r>
  <r>
    <n v="858"/>
    <n v="467"/>
    <d v="2024-07-03T00:00:00"/>
    <s v="AUTOMATIC STATEMENT CREDIT"/>
    <n v="-28.9"/>
    <s v="Awards and Rebate Credits"/>
    <x v="39"/>
    <x v="0"/>
    <s v="Payment_and_Interest"/>
    <x v="7"/>
    <n v="2024"/>
    <d v="2024-07-03T00:00:00"/>
    <n v="2546.8599999999969"/>
    <n v="7"/>
    <s v="discover"/>
    <n v="0"/>
  </r>
  <r>
    <n v="859"/>
    <n v="468"/>
    <d v="2024-07-03T00:00:00"/>
    <s v="GOOGLE *FI X78MLH G.CO/HELPPAY#CAP1370FBR"/>
    <n v="70.430000000000007"/>
    <s v="Services"/>
    <x v="23"/>
    <x v="0"/>
    <s v="Travel"/>
    <x v="7"/>
    <n v="2024"/>
    <d v="2024-07-03T00:00:00"/>
    <n v="2617.2899999999968"/>
    <n v="5"/>
    <s v="discover"/>
    <n v="0"/>
  </r>
  <r>
    <n v="860"/>
    <n v="469"/>
    <d v="2024-07-03T00:00:00"/>
    <s v="INTERNET PAYMENT - THANK YOU"/>
    <n v="-2378.13"/>
    <s v="Payments and Credits"/>
    <x v="55"/>
    <x v="0"/>
    <s v="Payment_and_Interest"/>
    <x v="7"/>
    <n v="2024"/>
    <d v="2024-07-03T00:00:00"/>
    <n v="239.1599999999971"/>
    <n v="12"/>
    <s v="discover"/>
    <n v="0"/>
  </r>
  <r>
    <n v="861"/>
    <n v="470"/>
    <d v="2024-07-04T00:00:00"/>
    <s v="COURSERA.ORG 6509639884 CA"/>
    <n v="49"/>
    <s v="Education"/>
    <x v="24"/>
    <x v="0"/>
    <s v="Personal_Spending"/>
    <x v="7"/>
    <n v="2024"/>
    <d v="2024-07-04T00:00:00"/>
    <n v="288.15999999999713"/>
    <n v="5"/>
    <s v="discover"/>
    <n v="0"/>
  </r>
  <r>
    <n v="862"/>
    <n v="471"/>
    <d v="2024-07-05T00:00:00"/>
    <s v="VALVE BELLEVUE WA"/>
    <n v="80.989999999999995"/>
    <s v="Merchandise"/>
    <x v="37"/>
    <x v="0"/>
    <s v="Recreation_Entertainment"/>
    <x v="7"/>
    <n v="2024"/>
    <d v="2024-07-05T00:00:00"/>
    <n v="369.14999999999708"/>
    <n v="8"/>
    <s v="discover"/>
    <n v="0"/>
  </r>
  <r>
    <n v="863"/>
    <n v="472"/>
    <d v="2024-07-07T00:00:00"/>
    <s v="JFF PUBLICATIONS WILTON MANORSFL"/>
    <n v="25.99"/>
    <s v="Merchandise"/>
    <x v="27"/>
    <x v="0"/>
    <s v="Recreation_Entertainment"/>
    <x v="7"/>
    <n v="2024"/>
    <d v="2024-07-07T00:00:00"/>
    <n v="395.13999999999709"/>
    <n v="14"/>
    <s v="discover"/>
    <n v="0"/>
  </r>
  <r>
    <n v="864"/>
    <n v="473"/>
    <d v="2024-07-07T00:00:00"/>
    <s v="JFF PUBLICATIONS WILTON MANORSFL"/>
    <n v="35.99"/>
    <s v="Merchandise"/>
    <x v="27"/>
    <x v="0"/>
    <s v="Recreation_Entertainment"/>
    <x v="7"/>
    <n v="2024"/>
    <d v="2024-07-07T00:00:00"/>
    <n v="431.12999999999721"/>
    <n v="15"/>
    <s v="discover"/>
    <n v="0"/>
  </r>
  <r>
    <n v="865"/>
    <n v="474"/>
    <d v="2024-07-08T00:00:00"/>
    <s v="SAFEWAY #1547 BURLINGAME CA"/>
    <n v="57.67"/>
    <s v="Supermarkets"/>
    <x v="26"/>
    <x v="0"/>
    <s v="Food"/>
    <x v="7"/>
    <n v="2024"/>
    <d v="2024-07-08T00:00:00"/>
    <n v="488.79999999999723"/>
    <n v="16"/>
    <s v="discover"/>
    <n v="0"/>
  </r>
  <r>
    <n v="866"/>
    <n v="475"/>
    <d v="2024-07-08T00:00:00"/>
    <s v="WALGREENS #0625 MILLBRAE CA"/>
    <n v="20.95"/>
    <s v="Merchandise"/>
    <x v="71"/>
    <x v="0"/>
    <s v="Personal_Spending"/>
    <x v="7"/>
    <n v="2024"/>
    <d v="2024-07-08T00:00:00"/>
    <n v="509.74999999999721"/>
    <n v="8"/>
    <s v="discover"/>
    <n v="0"/>
  </r>
  <r>
    <n v="867"/>
    <n v="476"/>
    <d v="2024-07-09T00:00:00"/>
    <s v="COURSERA.ORG 6509639884 CA"/>
    <n v="9.99"/>
    <s v="Education"/>
    <x v="24"/>
    <x v="0"/>
    <s v="Personal_Spending"/>
    <x v="7"/>
    <n v="2024"/>
    <d v="2024-07-09T00:00:00"/>
    <n v="519.73999999999717"/>
    <n v="6"/>
    <s v="discover"/>
    <n v="0"/>
  </r>
  <r>
    <n v="868"/>
    <n v="477"/>
    <d v="2024-07-09T00:00:00"/>
    <s v="AMAZON.COM*R751Z8Y11 AMZN.COM/BILLWA20IETPHFUOU"/>
    <n v="21.34"/>
    <s v="Merchandise"/>
    <x v="36"/>
    <x v="0"/>
    <s v="Personal_Spending"/>
    <x v="7"/>
    <n v="2024"/>
    <d v="2024-07-09T00:00:00"/>
    <n v="541.0799999999972"/>
    <n v="35"/>
    <s v="discover"/>
    <n v="0"/>
  </r>
  <r>
    <n v="869"/>
    <n v="478"/>
    <d v="2024-07-09T00:00:00"/>
    <s v="COURSERA.ORG 6509639884 CA"/>
    <n v="9.99"/>
    <s v="Education"/>
    <x v="24"/>
    <x v="0"/>
    <s v="Personal_Spending"/>
    <x v="7"/>
    <n v="2024"/>
    <d v="2024-07-09T00:00:00"/>
    <n v="551.06999999999721"/>
    <n v="7"/>
    <s v="discover"/>
    <n v="0"/>
  </r>
  <r>
    <n v="870"/>
    <n v="479"/>
    <d v="2024-07-10T00:00:00"/>
    <s v="ARCO#04495SINO AMERICAN SAN MATEO CA"/>
    <n v="55.26"/>
    <s v="Gasoline"/>
    <x v="62"/>
    <x v="0"/>
    <s v="Travel"/>
    <x v="7"/>
    <n v="2024"/>
    <d v="2024-07-10T00:00:00"/>
    <n v="606.3299999999972"/>
    <n v="4"/>
    <s v="discover"/>
    <n v="0"/>
  </r>
  <r>
    <n v="871"/>
    <n v="480"/>
    <d v="2024-07-11T00:00:00"/>
    <s v="ONLYFANS.COM*A 8886880458 FL"/>
    <n v="7.99"/>
    <s v="Merchandise"/>
    <x v="38"/>
    <x v="0"/>
    <s v="Recreation_Entertainment"/>
    <x v="7"/>
    <n v="2024"/>
    <d v="2024-07-11T00:00:00"/>
    <n v="614.31999999999721"/>
    <n v="52"/>
    <s v="discover"/>
    <n v="0"/>
  </r>
  <r>
    <n v="872"/>
    <n v="481"/>
    <d v="2024-07-12T00:00:00"/>
    <s v="COURSERA.ORG 6509639884 CA"/>
    <n v="49"/>
    <s v="Education"/>
    <x v="24"/>
    <x v="0"/>
    <s v="Personal_Spending"/>
    <x v="7"/>
    <n v="2024"/>
    <d v="2024-07-12T00:00:00"/>
    <n v="663.31999999999721"/>
    <n v="8"/>
    <s v="discover"/>
    <n v="0"/>
  </r>
  <r>
    <n v="873"/>
    <n v="482"/>
    <d v="2024-07-12T00:00:00"/>
    <s v="SAFEWAY #0970 SAN MATEO CA"/>
    <n v="48.86"/>
    <s v="Supermarkets"/>
    <x v="26"/>
    <x v="0"/>
    <s v="Food"/>
    <x v="7"/>
    <n v="2024"/>
    <d v="2024-07-12T00:00:00"/>
    <n v="712.17999999999722"/>
    <n v="17"/>
    <s v="discover"/>
    <n v="0"/>
  </r>
  <r>
    <n v="874"/>
    <n v="483"/>
    <d v="2024-07-12T00:00:00"/>
    <s v="SUTTR HLTH PCR MHO HOSP 855-398-1633 CA"/>
    <n v="200"/>
    <s v="Medical Services"/>
    <x v="63"/>
    <x v="0"/>
    <s v="Medical"/>
    <x v="7"/>
    <n v="2024"/>
    <d v="2024-07-12T00:00:00"/>
    <n v="912.17999999999722"/>
    <n v="3"/>
    <s v="discover"/>
    <n v="0"/>
  </r>
  <r>
    <n v="875"/>
    <n v="484"/>
    <d v="2024-07-13T00:00:00"/>
    <s v="ONLYFANS 8886880458 FL"/>
    <n v="15"/>
    <s v="Merchandise"/>
    <x v="38"/>
    <x v="0"/>
    <s v="Recreation_Entertainment"/>
    <x v="7"/>
    <n v="2024"/>
    <d v="2024-07-13T00:00:00"/>
    <n v="927.17999999999722"/>
    <n v="53"/>
    <s v="discover"/>
    <n v="0"/>
  </r>
  <r>
    <n v="876"/>
    <n v="485"/>
    <d v="2024-07-13T00:00:00"/>
    <s v="ONLYFANS.COM*A 8886880458 FL"/>
    <n v="15"/>
    <s v="Merchandise"/>
    <x v="38"/>
    <x v="0"/>
    <s v="Recreation_Entertainment"/>
    <x v="7"/>
    <n v="2024"/>
    <d v="2024-07-13T00:00:00"/>
    <n v="942.17999999999722"/>
    <n v="54"/>
    <s v="discover"/>
    <n v="0"/>
  </r>
  <r>
    <n v="877"/>
    <n v="486"/>
    <d v="2024-07-16T00:00:00"/>
    <s v="STATE FARM INSURANCE 800-956-6310 ILITEM TRANSFERRED FROM PREV ACCOUNT"/>
    <n v="90.54"/>
    <s v="Merchandise"/>
    <x v="61"/>
    <x v="1"/>
    <s v="Insurance"/>
    <x v="7"/>
    <n v="2024"/>
    <d v="2024-07-16T00:00:00"/>
    <n v="1032.7199999999971"/>
    <n v="7"/>
    <s v="discover"/>
    <n v="0"/>
  </r>
  <r>
    <n v="878"/>
    <n v="487"/>
    <d v="2024-07-18T00:00:00"/>
    <s v="SAFEWAY #1547 BURLINGAME CA"/>
    <n v="55.81"/>
    <s v="Supermarkets"/>
    <x v="26"/>
    <x v="0"/>
    <s v="Food"/>
    <x v="7"/>
    <n v="2024"/>
    <d v="2024-07-18T00:00:00"/>
    <n v="1088.529999999997"/>
    <n v="18"/>
    <s v="discover"/>
    <n v="0"/>
  </r>
  <r>
    <n v="879"/>
    <n v="488"/>
    <d v="2024-07-19T00:00:00"/>
    <s v="QUICKQUACK* O 379B08DE 8887722792 CA"/>
    <n v="24.99"/>
    <s v="Automotive"/>
    <x v="84"/>
    <x v="0"/>
    <s v="Utilities"/>
    <x v="7"/>
    <n v="2024"/>
    <d v="2024-07-19T00:00:00"/>
    <n v="1113.519999999997"/>
    <n v="2"/>
    <s v="discover"/>
    <n v="0"/>
  </r>
  <r>
    <n v="880"/>
    <n v="489"/>
    <d v="2024-07-19T00:00:00"/>
    <s v="LINKEDIN PRE*P71063356 LNKD.IN/BILL CAP71063356"/>
    <n v="43.43"/>
    <s v="Merchandise"/>
    <x v="90"/>
    <x v="0"/>
    <s v="Personal_Spending"/>
    <x v="7"/>
    <n v="2024"/>
    <d v="2024-07-19T00:00:00"/>
    <n v="1156.9499999999971"/>
    <n v="1"/>
    <s v="discover"/>
    <n v="0"/>
  </r>
  <r>
    <n v="881"/>
    <n v="490"/>
    <d v="2024-07-19T00:00:00"/>
    <s v="CAFE ISTANBUL MILLBRAE CA"/>
    <n v="33.69"/>
    <s v="Restaurants"/>
    <x v="50"/>
    <x v="0"/>
    <s v="Food"/>
    <x v="7"/>
    <n v="2024"/>
    <d v="2024-07-19T00:00:00"/>
    <n v="1190.6399999999969"/>
    <n v="15"/>
    <s v="discover"/>
    <n v="0"/>
  </r>
  <r>
    <n v="882"/>
    <n v="491"/>
    <d v="2024-07-20T00:00:00"/>
    <s v="SAFEWAY #1547 BURLINGAME CA"/>
    <n v="66.19"/>
    <s v="Supermarkets"/>
    <x v="26"/>
    <x v="0"/>
    <s v="Food"/>
    <x v="7"/>
    <n v="2024"/>
    <d v="2024-07-20T00:00:00"/>
    <n v="1256.829999999997"/>
    <n v="19"/>
    <s v="discover"/>
    <n v="0"/>
  </r>
  <r>
    <n v="883"/>
    <n v="492"/>
    <d v="2024-07-20T00:00:00"/>
    <s v="SEE TICKETS 3239080607 CA"/>
    <n v="40.200000000000003"/>
    <s v="Travel/ Entertainment"/>
    <x v="65"/>
    <x v="0"/>
    <s v="Personal_Spending"/>
    <x v="7"/>
    <n v="2024"/>
    <d v="2024-07-20T00:00:00"/>
    <n v="1297.029999999997"/>
    <n v="8"/>
    <s v="discover"/>
    <n v="0"/>
  </r>
  <r>
    <n v="884"/>
    <n v="493"/>
    <d v="2024-07-21T00:00:00"/>
    <s v="JFF PUBLICATIONS WILTON MANORSFL"/>
    <n v="20.99"/>
    <s v="Merchandise"/>
    <x v="27"/>
    <x v="0"/>
    <s v="Recreation_Entertainment"/>
    <x v="7"/>
    <n v="2024"/>
    <d v="2024-07-21T00:00:00"/>
    <n v="1318.019999999997"/>
    <n v="16"/>
    <s v="discover"/>
    <n v="0"/>
  </r>
  <r>
    <n v="885"/>
    <n v="494"/>
    <d v="2024-07-22T00:00:00"/>
    <s v="SAFEWAY #1547 BURLINGAME CA"/>
    <n v="49.41"/>
    <s v="Supermarkets"/>
    <x v="26"/>
    <x v="0"/>
    <s v="Food"/>
    <x v="7"/>
    <n v="2024"/>
    <d v="2024-07-22T00:00:00"/>
    <n v="1367.429999999998"/>
    <n v="20"/>
    <s v="discover"/>
    <n v="0"/>
  </r>
  <r>
    <n v="886"/>
    <n v="495"/>
    <d v="2024-07-23T00:00:00"/>
    <s v="EZPASSVA SERVICE 877-7627824 VAITEM TRANSFERRED FROM PREV ACCOUNT"/>
    <n v="-13.47"/>
    <s v="Payments and Credits"/>
    <x v="84"/>
    <x v="0"/>
    <s v="Utilities"/>
    <x v="7"/>
    <n v="2024"/>
    <d v="2024-07-23T00:00:00"/>
    <n v="1353.959999999998"/>
    <n v="3"/>
    <s v="discover"/>
    <n v="0"/>
  </r>
  <r>
    <n v="887"/>
    <n v="496"/>
    <d v="2024-07-26T00:00:00"/>
    <s v="GOOGLE *NBALEAGUEPASS 855-836-3987 CAP13HFPHN"/>
    <n v="24.37"/>
    <s v="Merchandise"/>
    <x v="85"/>
    <x v="1"/>
    <s v="Recreation_Entertainment"/>
    <x v="7"/>
    <n v="2024"/>
    <d v="2024-07-26T00:00:00"/>
    <n v="1378.329999999997"/>
    <n v="3"/>
    <s v="discover"/>
    <n v="0"/>
  </r>
  <r>
    <n v="888"/>
    <n v="497"/>
    <d v="2024-07-27T00:00:00"/>
    <s v="ADOBE *ADOBE 408-536-6000 CA"/>
    <n v="29.99"/>
    <s v="Merchandise"/>
    <x v="66"/>
    <x v="1"/>
    <s v="Personal_Spending"/>
    <x v="7"/>
    <n v="2024"/>
    <d v="2024-07-27T00:00:00"/>
    <n v="1408.319999999997"/>
    <n v="7"/>
    <s v="discover"/>
    <n v="0"/>
  </r>
  <r>
    <n v="889"/>
    <n v="498"/>
    <d v="2024-07-27T00:00:00"/>
    <s v="ONLYFANS.COM*A 8886880458 FL"/>
    <n v="10"/>
    <s v="Merchandise"/>
    <x v="38"/>
    <x v="0"/>
    <s v="Recreation_Entertainment"/>
    <x v="7"/>
    <n v="2024"/>
    <d v="2024-07-27T00:00:00"/>
    <n v="1418.319999999997"/>
    <n v="55"/>
    <s v="discover"/>
    <n v="0"/>
  </r>
  <r>
    <n v="890"/>
    <n v="499"/>
    <d v="2024-07-27T00:00:00"/>
    <s v="SQ *PAPITO HAYES SAN FRANCISCOCA0001152921514355460917"/>
    <n v="30.33"/>
    <s v="Restaurants"/>
    <x v="40"/>
    <x v="0"/>
    <s v="Food"/>
    <x v="7"/>
    <n v="2024"/>
    <d v="2024-07-27T00:00:00"/>
    <n v="1448.6499999999969"/>
    <n v="45"/>
    <s v="discover"/>
    <n v="0"/>
  </r>
  <r>
    <n v="891"/>
    <n v="500"/>
    <d v="2024-07-27T00:00:00"/>
    <s v="TARGET 00011221091 SAN MATEO CA"/>
    <n v="92.59"/>
    <s v="Supermarkets"/>
    <x v="36"/>
    <x v="0"/>
    <s v="Personal_Spending"/>
    <x v="7"/>
    <n v="2024"/>
    <d v="2024-07-27T00:00:00"/>
    <n v="1541.2399999999971"/>
    <n v="36"/>
    <s v="discover"/>
    <n v="0"/>
  </r>
  <r>
    <n v="892"/>
    <n v="501"/>
    <d v="2024-07-28T00:00:00"/>
    <s v="GUMROAD.CO* STATQUEST 4156951023 CA"/>
    <n v="44.8"/>
    <s v="Merchandise"/>
    <x v="24"/>
    <x v="0"/>
    <s v="Personal_Spending"/>
    <x v="7"/>
    <n v="2024"/>
    <d v="2024-07-28T00:00:00"/>
    <n v="1586.039999999997"/>
    <n v="9"/>
    <s v="discover"/>
    <n v="0"/>
  </r>
  <r>
    <n v="893"/>
    <n v="502"/>
    <d v="2024-07-28T00:00:00"/>
    <s v="GUMROAD.CO* STATQUEST 4156951023 CA"/>
    <n v="20"/>
    <s v="Merchandise"/>
    <x v="24"/>
    <x v="0"/>
    <s v="Personal_Spending"/>
    <x v="7"/>
    <n v="2024"/>
    <d v="2024-07-28T00:00:00"/>
    <n v="1606.039999999997"/>
    <n v="10"/>
    <s v="discover"/>
    <n v="0"/>
  </r>
  <r>
    <n v="894"/>
    <n v="503"/>
    <d v="2024-07-28T00:00:00"/>
    <s v="AMAZON.COM*RV07O4PX0 AMZN.COM/BILLWA2NNC2TPON05"/>
    <n v="45.57"/>
    <s v="Merchandise"/>
    <x v="36"/>
    <x v="0"/>
    <s v="Personal_Spending"/>
    <x v="7"/>
    <n v="2024"/>
    <d v="2024-07-28T00:00:00"/>
    <n v="1651.6099999999969"/>
    <n v="37"/>
    <s v="discover"/>
    <n v="0"/>
  </r>
  <r>
    <n v="895"/>
    <n v="504"/>
    <d v="2024-07-28T00:00:00"/>
    <s v="AMAZON MKTPL*RV25R5XY0 AMZN.COM/BILLWA7CLQ0UOVI1O"/>
    <n v="65.760000000000005"/>
    <s v="Merchandise"/>
    <x v="36"/>
    <x v="0"/>
    <s v="Personal_Spending"/>
    <x v="7"/>
    <n v="2024"/>
    <d v="2024-07-28T00:00:00"/>
    <n v="1717.3699999999969"/>
    <n v="38"/>
    <s v="discover"/>
    <n v="0"/>
  </r>
  <r>
    <n v="896"/>
    <n v="505"/>
    <d v="2024-07-29T00:00:00"/>
    <s v="AMAZON MKTPL*RV4BN7622 AMZN.COM/BILLWA16X74C49MC5"/>
    <n v="76.72"/>
    <s v="Merchandise"/>
    <x v="36"/>
    <x v="0"/>
    <s v="Personal_Spending"/>
    <x v="7"/>
    <n v="2024"/>
    <d v="2024-07-29T00:00:00"/>
    <n v="1794.089999999997"/>
    <n v="39"/>
    <s v="discover"/>
    <n v="0"/>
  </r>
  <r>
    <n v="897"/>
    <n v="506"/>
    <d v="2024-07-30T00:00:00"/>
    <s v="SQ *ZAREEN'S RESTAURAN REDWOOD CITY CA0001152921514369475160"/>
    <n v="37.090000000000003"/>
    <s v="Restaurants"/>
    <x v="40"/>
    <x v="0"/>
    <s v="Food"/>
    <x v="7"/>
    <n v="2024"/>
    <d v="2024-07-30T00:00:00"/>
    <n v="1831.1799999999971"/>
    <n v="46"/>
    <s v="discover"/>
    <n v="0"/>
  </r>
  <r>
    <n v="898"/>
    <n v="507"/>
    <d v="2024-07-31T00:00:00"/>
    <s v="TARGET 00011221091 SAN MATEO CA"/>
    <n v="17.75"/>
    <s v="Supermarkets"/>
    <x v="36"/>
    <x v="0"/>
    <s v="Personal_Spending"/>
    <x v="7"/>
    <n v="2024"/>
    <d v="2024-07-31T00:00:00"/>
    <n v="1848.9299999999971"/>
    <n v="40"/>
    <s v="discover"/>
    <n v="1"/>
  </r>
  <r>
    <n v="899"/>
    <n v="508"/>
    <d v="2024-08-01T00:00:00"/>
    <s v="GOOGLE *6 PACK PROMISE 855-836-3987 CAP13TCL2I"/>
    <n v="3.17"/>
    <s v="Merchandise"/>
    <x v="70"/>
    <x v="0"/>
    <s v="Personal_Spending"/>
    <x v="8"/>
    <n v="2024"/>
    <d v="2024-08-01T00:00:00"/>
    <n v="1852.099999999997"/>
    <n v="6"/>
    <s v="discover"/>
    <n v="0"/>
  </r>
  <r>
    <n v="900"/>
    <n v="509"/>
    <d v="2024-08-01T00:00:00"/>
    <s v="JFF PUBLICATIONS WILTON MANORSFL"/>
    <n v="25.99"/>
    <s v="Merchandise"/>
    <x v="27"/>
    <x v="0"/>
    <s v="Recreation_Entertainment"/>
    <x v="8"/>
    <n v="2024"/>
    <d v="2024-08-01T00:00:00"/>
    <n v="1878.089999999997"/>
    <n v="17"/>
    <s v="discover"/>
    <n v="0"/>
  </r>
  <r>
    <n v="901"/>
    <n v="510"/>
    <d v="2024-08-01T00:00:00"/>
    <s v="OPENAI *CHATGPT SUBSCR 4158799686 CA"/>
    <n v="20"/>
    <s v="Merchandise"/>
    <x v="30"/>
    <x v="1"/>
    <s v="Personal_Spending"/>
    <x v="8"/>
    <n v="2024"/>
    <d v="2024-08-01T00:00:00"/>
    <n v="1898.089999999997"/>
    <n v="8"/>
    <s v="discover"/>
    <n v="0"/>
  </r>
  <r>
    <n v="902"/>
    <n v="511"/>
    <d v="2024-08-01T00:00:00"/>
    <s v="TM *TICKETMASTER 415-421-8497 CANCA/31-12958"/>
    <n v="312.60000000000002"/>
    <s v="Travel/ Entertainment"/>
    <x v="53"/>
    <x v="0"/>
    <s v="Recreation_Entertainment"/>
    <x v="8"/>
    <n v="2024"/>
    <d v="2024-08-01T00:00:00"/>
    <n v="2210.6899999999969"/>
    <n v="3"/>
    <s v="discover"/>
    <n v="0"/>
  </r>
  <r>
    <n v="903"/>
    <n v="512"/>
    <d v="2024-08-01T00:00:00"/>
    <s v="PLANNED PARENTHOOD ACTIO NEW YORK NY"/>
    <n v="5"/>
    <s v="Services"/>
    <x v="31"/>
    <x v="1"/>
    <s v="Personal_Spending"/>
    <x v="8"/>
    <n v="2024"/>
    <d v="2024-08-01T00:00:00"/>
    <n v="2215.6899999999969"/>
    <n v="8"/>
    <s v="discover"/>
    <n v="0"/>
  </r>
  <r>
    <n v="904"/>
    <n v="513"/>
    <d v="2024-08-01T00:00:00"/>
    <s v="SPOTIFY P2E3145028 8777781161 NY"/>
    <n v="5.99"/>
    <s v="Merchandise"/>
    <x v="32"/>
    <x v="1"/>
    <s v="Recreation_Entertainment"/>
    <x v="8"/>
    <n v="2024"/>
    <d v="2024-08-01T00:00:00"/>
    <n v="2221.6799999999971"/>
    <n v="8"/>
    <s v="discover"/>
    <n v="0"/>
  </r>
  <r>
    <n v="905"/>
    <n v="514"/>
    <d v="2024-08-02T00:00:00"/>
    <s v="BREAKING POINTS-LOCALS 2025317527 DCITEM TRANSFERRED FROM PREV ACCOUNT"/>
    <n v="10"/>
    <s v="Merchandise"/>
    <x v="34"/>
    <x v="1"/>
    <s v="Recreation_Entertainment"/>
    <x v="8"/>
    <n v="2024"/>
    <d v="2024-08-02T00:00:00"/>
    <n v="2231.6799999999971"/>
    <n v="8"/>
    <s v="discover"/>
    <n v="0"/>
  </r>
  <r>
    <n v="906"/>
    <n v="515"/>
    <d v="2024-08-02T00:00:00"/>
    <s v="SAFEWAY #1547 BURLINGAME CA"/>
    <n v="41.15"/>
    <s v="Supermarkets"/>
    <x v="26"/>
    <x v="0"/>
    <s v="Food"/>
    <x v="8"/>
    <n v="2024"/>
    <d v="2024-08-02T00:00:00"/>
    <n v="2272.8299999999972"/>
    <n v="21"/>
    <s v="discover"/>
    <n v="0"/>
  </r>
  <r>
    <n v="907"/>
    <n v="516"/>
    <d v="2024-08-02T00:00:00"/>
    <s v="ONEPASS 877-515-9364 MN566915"/>
    <n v="273.60000000000002"/>
    <s v="Services"/>
    <x v="33"/>
    <x v="1"/>
    <s v="Personal_Spending"/>
    <x v="8"/>
    <n v="2024"/>
    <d v="2024-08-02T00:00:00"/>
    <n v="2546.4299999999971"/>
    <n v="10"/>
    <s v="discover"/>
    <n v="0"/>
  </r>
  <r>
    <n v="908"/>
    <n v="517"/>
    <d v="2024-08-03T00:00:00"/>
    <s v="SQ *ROY'S STATION COFF SAN JOSE CA0001152921514383841384"/>
    <n v="13.44"/>
    <s v="Restaurants"/>
    <x v="27"/>
    <x v="0"/>
    <s v="Recreation_Entertainment"/>
    <x v="8"/>
    <n v="2024"/>
    <d v="2024-08-03T00:00:00"/>
    <n v="2559.8699999999972"/>
    <n v="18"/>
    <s v="discover"/>
    <n v="0"/>
  </r>
  <r>
    <n v="909"/>
    <n v="518"/>
    <d v="2024-08-03T00:00:00"/>
    <s v="INTERNET PAYMENT - THANK YOU"/>
    <n v="-2511.3000000000002"/>
    <s v="Payments and Credits"/>
    <x v="55"/>
    <x v="0"/>
    <s v="Payment_and_Interest"/>
    <x v="8"/>
    <n v="2024"/>
    <d v="2024-08-03T00:00:00"/>
    <n v="48.56999999999698"/>
    <n v="13"/>
    <s v="discover"/>
    <n v="0"/>
  </r>
  <r>
    <n v="910"/>
    <n v="519"/>
    <d v="2024-08-03T00:00:00"/>
    <s v="AUTOMATIC STATEMENT CREDIT"/>
    <n v="-28"/>
    <s v="Awards and Rebate Credits"/>
    <x v="39"/>
    <x v="0"/>
    <s v="Payment_and_Interest"/>
    <x v="8"/>
    <n v="2024"/>
    <d v="2024-08-03T00:00:00"/>
    <n v="20.56999999999698"/>
    <n v="8"/>
    <s v="discover"/>
    <n v="0"/>
  </r>
  <r>
    <n v="911"/>
    <n v="520"/>
    <d v="2024-08-03T00:00:00"/>
    <s v="1XDATASPELL SAN MATEO CA"/>
    <n v="59"/>
    <s v="Merchandise"/>
    <x v="90"/>
    <x v="0"/>
    <s v="Personal_Spending"/>
    <x v="8"/>
    <n v="2024"/>
    <d v="2024-08-03T00:00:00"/>
    <n v="79.56999999999698"/>
    <n v="2"/>
    <s v="discover"/>
    <n v="0"/>
  </r>
  <r>
    <n v="912"/>
    <n v="521"/>
    <d v="2024-08-04T00:00:00"/>
    <s v="GOOGLE *6 PACK PROMISE 855-836-3987 CAP13TCL2I"/>
    <n v="-3.17"/>
    <s v="Payments and Credits"/>
    <x v="70"/>
    <x v="0"/>
    <s v="Personal_Spending"/>
    <x v="8"/>
    <n v="2024"/>
    <d v="2024-08-04T00:00:00"/>
    <n v="76.399999999996979"/>
    <n v="7"/>
    <s v="discover"/>
    <n v="0"/>
  </r>
  <r>
    <n v="913"/>
    <n v="522"/>
    <d v="2024-08-05T00:00:00"/>
    <s v="FIVE GUYS CA 1370 QSR BURLINGAME CA"/>
    <n v="34.82"/>
    <s v="Restaurants"/>
    <x v="50"/>
    <x v="0"/>
    <s v="Food"/>
    <x v="8"/>
    <n v="2024"/>
    <d v="2024-08-05T00:00:00"/>
    <n v="111.219999999997"/>
    <n v="16"/>
    <s v="discover"/>
    <n v="0"/>
  </r>
  <r>
    <n v="914"/>
    <n v="523"/>
    <d v="2024-08-07T00:00:00"/>
    <s v="CAFFE CENTRAL BURLINGAME CA"/>
    <n v="32.75"/>
    <s v="Restaurants"/>
    <x v="44"/>
    <x v="0"/>
    <s v="Food"/>
    <x v="8"/>
    <n v="2024"/>
    <d v="2024-08-07T00:00:00"/>
    <n v="143.96999999999699"/>
    <n v="4"/>
    <s v="discover"/>
    <n v="0"/>
  </r>
  <r>
    <n v="915"/>
    <n v="524"/>
    <d v="2024-08-08T00:00:00"/>
    <s v="JFF PUBLICATIONS WILTON MANORSFL"/>
    <n v="21.98"/>
    <s v="Merchandise"/>
    <x v="27"/>
    <x v="0"/>
    <s v="Recreation_Entertainment"/>
    <x v="8"/>
    <n v="2024"/>
    <d v="2024-08-08T00:00:00"/>
    <n v="165.949999999997"/>
    <n v="19"/>
    <s v="discover"/>
    <n v="0"/>
  </r>
  <r>
    <n v="916"/>
    <n v="525"/>
    <d v="2024-08-11T00:00:00"/>
    <s v="CENTURY THEATRES 494 SAN BRUNO CA049400906393"/>
    <n v="11.1"/>
    <s v="Travel/ Entertainment"/>
    <x v="27"/>
    <x v="0"/>
    <s v="Recreation_Entertainment"/>
    <x v="8"/>
    <n v="2024"/>
    <d v="2024-08-11T00:00:00"/>
    <n v="177.049999999997"/>
    <n v="20"/>
    <s v="discover"/>
    <n v="0"/>
  </r>
  <r>
    <n v="917"/>
    <n v="526"/>
    <d v="2024-08-11T00:00:00"/>
    <s v="SAFEWAY #1547 BURLINGAME CA"/>
    <n v="72.86"/>
    <s v="Supermarkets"/>
    <x v="26"/>
    <x v="0"/>
    <s v="Food"/>
    <x v="8"/>
    <n v="2024"/>
    <d v="2024-08-11T00:00:00"/>
    <n v="249.90999999999701"/>
    <n v="22"/>
    <s v="discover"/>
    <n v="0"/>
  </r>
  <r>
    <n v="918"/>
    <n v="527"/>
    <d v="2024-08-11T00:00:00"/>
    <s v="UNIQLO USA LLC NEW YORK NY"/>
    <n v="131.25"/>
    <s v="Merchandise"/>
    <x v="56"/>
    <x v="0"/>
    <s v="Personal_Spending"/>
    <x v="8"/>
    <n v="2024"/>
    <d v="2024-08-11T00:00:00"/>
    <n v="381.15999999999701"/>
    <n v="17"/>
    <s v="discover"/>
    <n v="0"/>
  </r>
  <r>
    <n v="919"/>
    <n v="528"/>
    <d v="2024-08-12T00:00:00"/>
    <s v="GOOGLE *GOOGLE ONE 855-836-3987 CAP14ASHUK"/>
    <n v="2.11"/>
    <s v="Merchandise"/>
    <x v="91"/>
    <x v="1"/>
    <s v="Personal_Spending"/>
    <x v="8"/>
    <n v="2024"/>
    <d v="2024-08-12T00:00:00"/>
    <n v="383.26999999999703"/>
    <n v="1"/>
    <s v="discover"/>
    <n v="0"/>
  </r>
  <r>
    <n v="920"/>
    <n v="529"/>
    <d v="2024-08-14T00:00:00"/>
    <s v="STATE FARM INSURANCE 800-956-6310 ILITEM TRANSFERRED FROM PREV ACCOUNT"/>
    <n v="108.56"/>
    <s v="Merchandise"/>
    <x v="61"/>
    <x v="1"/>
    <s v="Insurance"/>
    <x v="8"/>
    <n v="2024"/>
    <d v="2024-08-14T00:00:00"/>
    <n v="491.82999999999703"/>
    <n v="8"/>
    <s v="discover"/>
    <n v="0"/>
  </r>
  <r>
    <n v="921"/>
    <n v="530"/>
    <d v="2024-08-15T00:00:00"/>
    <s v="AMC 0447 MERCADO 20 SANTA CLARA CA"/>
    <n v="36.119999999999997"/>
    <s v="Travel/ Entertainment"/>
    <x v="27"/>
    <x v="0"/>
    <s v="Recreation_Entertainment"/>
    <x v="8"/>
    <n v="2024"/>
    <d v="2024-08-15T00:00:00"/>
    <n v="527.94999999999698"/>
    <n v="21"/>
    <s v="discover"/>
    <n v="0"/>
  </r>
  <r>
    <n v="922"/>
    <n v="531"/>
    <d v="2024-08-15T00:00:00"/>
    <s v="ONLYFANS.COM*A 8886880458 FL"/>
    <n v="11.99"/>
    <s v="Merchandise"/>
    <x v="38"/>
    <x v="0"/>
    <s v="Recreation_Entertainment"/>
    <x v="8"/>
    <n v="2024"/>
    <d v="2024-08-15T00:00:00"/>
    <n v="539.93999999999699"/>
    <n v="56"/>
    <s v="discover"/>
    <n v="0"/>
  </r>
  <r>
    <n v="923"/>
    <n v="532"/>
    <d v="2024-08-15T00:00:00"/>
    <s v="24 HOUR FITNESS - 813 - SAN MATEO CA"/>
    <n v="71.23"/>
    <s v="Travel/ Entertainment"/>
    <x v="70"/>
    <x v="0"/>
    <s v="Personal_Spending"/>
    <x v="8"/>
    <n v="2024"/>
    <d v="2024-08-15T00:00:00"/>
    <n v="611.169999999997"/>
    <n v="8"/>
    <s v="discover"/>
    <n v="0"/>
  </r>
  <r>
    <n v="924"/>
    <n v="533"/>
    <d v="2024-08-16T00:00:00"/>
    <s v="ONLYFANS.COM*A 8886880458 FL"/>
    <n v="10"/>
    <s v="Merchandise"/>
    <x v="38"/>
    <x v="0"/>
    <s v="Recreation_Entertainment"/>
    <x v="8"/>
    <n v="2024"/>
    <d v="2024-08-16T00:00:00"/>
    <n v="621.169999999997"/>
    <n v="57"/>
    <s v="discover"/>
    <n v="0"/>
  </r>
  <r>
    <n v="925"/>
    <n v="534"/>
    <d v="2024-08-16T00:00:00"/>
    <s v="SAFEWAY #1547 BURLINGAME CA"/>
    <n v="27.52"/>
    <s v="Supermarkets"/>
    <x v="26"/>
    <x v="0"/>
    <s v="Food"/>
    <x v="8"/>
    <n v="2024"/>
    <d v="2024-08-16T00:00:00"/>
    <n v="648.68999999999699"/>
    <n v="23"/>
    <s v="discover"/>
    <n v="0"/>
  </r>
  <r>
    <n v="926"/>
    <n v="535"/>
    <d v="2024-08-16T00:00:00"/>
    <s v="TARGET 00011221091 SAN MATEO CA"/>
    <n v="68.63"/>
    <s v="Supermarkets"/>
    <x v="36"/>
    <x v="0"/>
    <s v="Personal_Spending"/>
    <x v="8"/>
    <n v="2024"/>
    <d v="2024-08-16T00:00:00"/>
    <n v="717.31999999999698"/>
    <n v="41"/>
    <s v="discover"/>
    <n v="0"/>
  </r>
  <r>
    <n v="927"/>
    <n v="536"/>
    <d v="2024-08-17T00:00:00"/>
    <s v="CAFFE CENTRAL BURLINGAME CA"/>
    <n v="25.56"/>
    <s v="Restaurants"/>
    <x v="44"/>
    <x v="0"/>
    <s v="Food"/>
    <x v="8"/>
    <n v="2024"/>
    <d v="2024-08-17T00:00:00"/>
    <n v="742.87999999999693"/>
    <n v="5"/>
    <s v="discover"/>
    <n v="0"/>
  </r>
  <r>
    <n v="928"/>
    <n v="537"/>
    <d v="2024-08-17T00:00:00"/>
    <s v="SQ *PATRICKS FAMOUS PI VALLEJO CA0001152921514433987513"/>
    <n v="49.2"/>
    <s v="Restaurants"/>
    <x v="50"/>
    <x v="0"/>
    <s v="Food"/>
    <x v="8"/>
    <n v="2024"/>
    <d v="2024-08-17T00:00:00"/>
    <n v="792.07999999999697"/>
    <n v="17"/>
    <s v="discover"/>
    <n v="0"/>
  </r>
  <r>
    <n v="929"/>
    <n v="538"/>
    <d v="2024-08-17T00:00:00"/>
    <s v="SQ *PRIMO'S GOURMET FO BURLINGAME CA0001152921514433965534"/>
    <n v="10"/>
    <s v="Supermarkets"/>
    <x v="40"/>
    <x v="0"/>
    <s v="Food"/>
    <x v="8"/>
    <n v="2024"/>
    <d v="2024-08-17T00:00:00"/>
    <n v="802.07999999999697"/>
    <n v="47"/>
    <s v="discover"/>
    <n v="0"/>
  </r>
  <r>
    <n v="930"/>
    <n v="539"/>
    <d v="2024-08-17T00:00:00"/>
    <s v="TST*KABAB &amp; CURRYS - I SANTA CLARA CA00109049019565503587AA"/>
    <n v="218.8"/>
    <s v="Restaurants"/>
    <x v="40"/>
    <x v="0"/>
    <s v="Food"/>
    <x v="8"/>
    <n v="2024"/>
    <d v="2024-08-17T00:00:00"/>
    <n v="1020.879999999997"/>
    <n v="48"/>
    <s v="discover"/>
    <n v="0"/>
  </r>
  <r>
    <n v="931"/>
    <n v="540"/>
    <d v="2024-08-18T00:00:00"/>
    <s v="TST*B STAR SAN FRANCISCOCA00003059019585011213AA"/>
    <n v="421.39"/>
    <s v="Restaurants"/>
    <x v="40"/>
    <x v="0"/>
    <s v="Food"/>
    <x v="8"/>
    <n v="2024"/>
    <d v="2024-08-18T00:00:00"/>
    <n v="1442.269999999997"/>
    <n v="49"/>
    <s v="discover"/>
    <n v="0"/>
  </r>
  <r>
    <n v="932"/>
    <n v="541"/>
    <d v="2024-08-18T00:00:00"/>
    <s v="SQ *VOLCANO KIMCHI SAN FRANCISCOCA0001152921514438250156"/>
    <n v="15"/>
    <s v="Supermarkets"/>
    <x v="58"/>
    <x v="0"/>
    <s v="Travel"/>
    <x v="8"/>
    <n v="2024"/>
    <d v="2024-08-18T00:00:00"/>
    <n v="1457.269999999997"/>
    <n v="49"/>
    <s v="discover"/>
    <n v="0"/>
  </r>
  <r>
    <n v="933"/>
    <n v="542"/>
    <d v="2024-08-18T00:00:00"/>
    <s v="SPIRIT HALLOWEEN 60973 609-798-0949 CA01843P"/>
    <n v="145"/>
    <s v="Merchandise"/>
    <x v="56"/>
    <x v="0"/>
    <s v="Personal_Spending"/>
    <x v="8"/>
    <n v="2024"/>
    <d v="2024-08-18T00:00:00"/>
    <n v="1602.269999999997"/>
    <n v="18"/>
    <s v="discover"/>
    <n v="0"/>
  </r>
  <r>
    <n v="934"/>
    <n v="543"/>
    <d v="2024-08-18T00:00:00"/>
    <s v="CAPN MIKES HOLY SMOKE ROHNERT PARK CA"/>
    <n v="104.3"/>
    <s v="Merchandise"/>
    <x v="50"/>
    <x v="0"/>
    <s v="Food"/>
    <x v="8"/>
    <n v="2024"/>
    <d v="2024-08-18T00:00:00"/>
    <n v="1706.569999999997"/>
    <n v="18"/>
    <s v="discover"/>
    <n v="0"/>
  </r>
  <r>
    <n v="935"/>
    <n v="544"/>
    <d v="2024-08-18T00:00:00"/>
    <s v="PHANTOGRAM SHOP 8449137510 CA"/>
    <n v="102.99"/>
    <s v="Merchandise"/>
    <x v="56"/>
    <x v="0"/>
    <s v="Personal_Spending"/>
    <x v="8"/>
    <n v="2024"/>
    <d v="2024-08-18T00:00:00"/>
    <n v="1809.559999999997"/>
    <n v="19"/>
    <s v="discover"/>
    <n v="0"/>
  </r>
  <r>
    <n v="936"/>
    <n v="545"/>
    <d v="2024-08-19T00:00:00"/>
    <s v="KOHLER CO 800-4564537 WI"/>
    <n v="438.03"/>
    <s v="Home Improvement"/>
    <x v="78"/>
    <x v="0"/>
    <s v="Housing"/>
    <x v="8"/>
    <n v="2024"/>
    <d v="2024-08-19T00:00:00"/>
    <n v="2247.589999999997"/>
    <n v="2"/>
    <s v="discover"/>
    <n v="0"/>
  </r>
  <r>
    <n v="937"/>
    <n v="546"/>
    <d v="2024-08-19T00:00:00"/>
    <s v="ONLYFANS 8886880458 FL"/>
    <n v="11.99"/>
    <s v="Merchandise"/>
    <x v="38"/>
    <x v="0"/>
    <s v="Recreation_Entertainment"/>
    <x v="8"/>
    <n v="2024"/>
    <d v="2024-08-19T00:00:00"/>
    <n v="2259.5799999999958"/>
    <n v="58"/>
    <s v="discover"/>
    <n v="0"/>
  </r>
  <r>
    <n v="938"/>
    <n v="547"/>
    <d v="2024-08-19T00:00:00"/>
    <s v="ONLYFANS 8886880458 FL"/>
    <n v="16"/>
    <s v="Merchandise"/>
    <x v="38"/>
    <x v="0"/>
    <s v="Recreation_Entertainment"/>
    <x v="8"/>
    <n v="2024"/>
    <d v="2024-08-19T00:00:00"/>
    <n v="2275.5799999999958"/>
    <n v="59"/>
    <s v="discover"/>
    <n v="0"/>
  </r>
  <r>
    <n v="939"/>
    <n v="548"/>
    <d v="2024-08-19T00:00:00"/>
    <s v="ONLYFANS.COM*A 8886880458 FL"/>
    <n v="12.99"/>
    <s v="Merchandise"/>
    <x v="38"/>
    <x v="0"/>
    <s v="Recreation_Entertainment"/>
    <x v="8"/>
    <n v="2024"/>
    <d v="2024-08-19T00:00:00"/>
    <n v="2288.5699999999961"/>
    <n v="60"/>
    <s v="discover"/>
    <n v="0"/>
  </r>
  <r>
    <n v="940"/>
    <n v="549"/>
    <d v="2024-08-21T00:00:00"/>
    <s v="JFF PUBLICATIONS WILTON MANORSFL"/>
    <n v="5.99"/>
    <s v="Merchandise"/>
    <x v="27"/>
    <x v="0"/>
    <s v="Recreation_Entertainment"/>
    <x v="8"/>
    <n v="2024"/>
    <d v="2024-08-21T00:00:00"/>
    <n v="2294.5599999999959"/>
    <n v="22"/>
    <s v="discover"/>
    <n v="0"/>
  </r>
  <r>
    <n v="941"/>
    <n v="550"/>
    <d v="2024-08-21T00:00:00"/>
    <s v="LOWE'S OF SAN BRUNO, CA SAN BRUNO CA"/>
    <n v="51"/>
    <s v="Home Improvement"/>
    <x v="92"/>
    <x v="0"/>
    <s v="Housing"/>
    <x v="8"/>
    <n v="2024"/>
    <d v="2024-08-21T00:00:00"/>
    <n v="2345.5599999999959"/>
    <n v="1"/>
    <s v="discover"/>
    <n v="0"/>
  </r>
  <r>
    <n v="942"/>
    <n v="551"/>
    <d v="2024-08-21T00:00:00"/>
    <s v="SAFEWAY #1547 BURLINGAME CA"/>
    <n v="51.86"/>
    <s v="Supermarkets"/>
    <x v="26"/>
    <x v="0"/>
    <s v="Food"/>
    <x v="8"/>
    <n v="2024"/>
    <d v="2024-08-21T00:00:00"/>
    <n v="2397.419999999996"/>
    <n v="24"/>
    <s v="discover"/>
    <n v="0"/>
  </r>
  <r>
    <n v="943"/>
    <n v="552"/>
    <d v="2024-08-22T00:00:00"/>
    <s v="ATI*10113-08220000 310-627-2866 CA"/>
    <n v="20.69"/>
    <s v="Travel/ Entertainment"/>
    <x v="27"/>
    <x v="0"/>
    <s v="Recreation_Entertainment"/>
    <x v="8"/>
    <n v="2024"/>
    <d v="2024-08-22T00:00:00"/>
    <n v="2418.109999999996"/>
    <n v="23"/>
    <s v="discover"/>
    <n v="0"/>
  </r>
  <r>
    <n v="944"/>
    <n v="553"/>
    <d v="2024-08-22T00:00:00"/>
    <s v="CENTURY THEATRES 485 REDWOOD CITY CA048500A538C1"/>
    <n v="12.3"/>
    <s v="Travel/ Entertainment"/>
    <x v="27"/>
    <x v="0"/>
    <s v="Recreation_Entertainment"/>
    <x v="8"/>
    <n v="2024"/>
    <d v="2024-08-22T00:00:00"/>
    <n v="2430.4099999999962"/>
    <n v="24"/>
    <s v="discover"/>
    <n v="0"/>
  </r>
  <r>
    <n v="945"/>
    <n v="554"/>
    <d v="2024-08-23T00:00:00"/>
    <s v="FASTRAK CSC 415-486-8655 CA"/>
    <n v="25"/>
    <s v="Travel/ Entertainment"/>
    <x v="57"/>
    <x v="0"/>
    <s v="Transportation"/>
    <x v="8"/>
    <n v="2024"/>
    <d v="2024-08-23T00:00:00"/>
    <n v="2455.4099999999962"/>
    <n v="7"/>
    <s v="discover"/>
    <n v="0"/>
  </r>
  <r>
    <n v="946"/>
    <n v="555"/>
    <d v="2024-08-24T00:00:00"/>
    <s v="TST*B STAR SAN FRANCISCOCA00003059019695861802AA"/>
    <n v="42.44"/>
    <s v="Restaurants"/>
    <x v="40"/>
    <x v="0"/>
    <s v="Food"/>
    <x v="8"/>
    <n v="2024"/>
    <d v="2024-08-24T00:00:00"/>
    <n v="2497.8499999999958"/>
    <n v="50"/>
    <s v="discover"/>
    <n v="0"/>
  </r>
  <r>
    <n v="947"/>
    <n v="556"/>
    <d v="2024-08-24T00:00:00"/>
    <s v="SAFEWAY #1547 BURLINGAME CA"/>
    <n v="59.43"/>
    <s v="Supermarkets"/>
    <x v="26"/>
    <x v="0"/>
    <s v="Food"/>
    <x v="8"/>
    <n v="2024"/>
    <d v="2024-08-24T00:00:00"/>
    <n v="2557.2799999999961"/>
    <n v="25"/>
    <s v="discover"/>
    <n v="0"/>
  </r>
  <r>
    <n v="948"/>
    <n v="557"/>
    <d v="2024-08-24T00:00:00"/>
    <s v="ETSY, INC. ETSY.COM/ NY"/>
    <n v="91.24"/>
    <s v="Merchandise"/>
    <x v="65"/>
    <x v="0"/>
    <s v="Personal_Spending"/>
    <x v="8"/>
    <n v="2024"/>
    <d v="2024-08-24T00:00:00"/>
    <n v="2648.5199999999959"/>
    <n v="9"/>
    <s v="discover"/>
    <n v="0"/>
  </r>
  <r>
    <n v="949"/>
    <n v="558"/>
    <d v="2024-08-25T00:00:00"/>
    <s v="ONLYFANS 8886880458 FL"/>
    <n v="5.99"/>
    <s v="Merchandise"/>
    <x v="38"/>
    <x v="0"/>
    <s v="Recreation_Entertainment"/>
    <x v="8"/>
    <n v="2024"/>
    <d v="2024-08-25T00:00:00"/>
    <n v="2654.5099999999961"/>
    <n v="61"/>
    <s v="discover"/>
    <n v="0"/>
  </r>
  <r>
    <n v="950"/>
    <n v="559"/>
    <d v="2024-08-25T00:00:00"/>
    <s v="ONLYFANS 8886880458 FL"/>
    <n v="12.99"/>
    <s v="Merchandise"/>
    <x v="38"/>
    <x v="0"/>
    <s v="Recreation_Entertainment"/>
    <x v="8"/>
    <n v="2024"/>
    <d v="2024-08-25T00:00:00"/>
    <n v="2667.499999999995"/>
    <n v="62"/>
    <s v="discover"/>
    <n v="0"/>
  </r>
  <r>
    <n v="951"/>
    <n v="560"/>
    <d v="2024-08-25T00:00:00"/>
    <s v="ONLYFANS.COM*A 8886880458 FL"/>
    <n v="4.99"/>
    <s v="Merchandise"/>
    <x v="38"/>
    <x v="0"/>
    <s v="Recreation_Entertainment"/>
    <x v="8"/>
    <n v="2024"/>
    <d v="2024-08-25T00:00:00"/>
    <n v="2672.4899999999948"/>
    <n v="63"/>
    <s v="discover"/>
    <n v="0"/>
  </r>
  <r>
    <n v="952"/>
    <n v="561"/>
    <d v="2024-08-25T00:00:00"/>
    <s v="ONLYFANS.COM*A 8886880458 FL"/>
    <n v="6.5"/>
    <s v="Merchandise"/>
    <x v="38"/>
    <x v="0"/>
    <s v="Recreation_Entertainment"/>
    <x v="8"/>
    <n v="2024"/>
    <d v="2024-08-25T00:00:00"/>
    <n v="2678.9899999999948"/>
    <n v="64"/>
    <s v="discover"/>
    <n v="0"/>
  </r>
  <r>
    <n v="953"/>
    <n v="562"/>
    <d v="2024-08-26T00:00:00"/>
    <s v="WWW.NATESILVER.NET 7734257562 NY"/>
    <n v="95"/>
    <s v="Merchandise"/>
    <x v="24"/>
    <x v="0"/>
    <s v="Personal_Spending"/>
    <x v="8"/>
    <n v="2024"/>
    <d v="2024-08-26T00:00:00"/>
    <n v="2773.9899999999948"/>
    <n v="11"/>
    <s v="discover"/>
    <n v="0"/>
  </r>
  <r>
    <n v="954"/>
    <n v="563"/>
    <d v="2024-08-27T00:00:00"/>
    <s v="ADOBE *ADOBE 408-536-6000 CA"/>
    <n v="29.99"/>
    <s v="Merchandise"/>
    <x v="66"/>
    <x v="1"/>
    <s v="Personal_Spending"/>
    <x v="8"/>
    <n v="2024"/>
    <d v="2024-08-27T00:00:00"/>
    <n v="2803.979999999995"/>
    <n v="8"/>
    <s v="discover"/>
    <n v="0"/>
  </r>
  <r>
    <n v="955"/>
    <n v="564"/>
    <d v="2024-08-27T00:00:00"/>
    <s v="ONLYFANS.COM*A 8886880458 FL"/>
    <n v="5.55"/>
    <s v="Merchandise"/>
    <x v="38"/>
    <x v="0"/>
    <s v="Recreation_Entertainment"/>
    <x v="8"/>
    <n v="2024"/>
    <d v="2024-08-27T00:00:00"/>
    <n v="2809.5299999999952"/>
    <n v="65"/>
    <s v="discover"/>
    <n v="0"/>
  </r>
  <r>
    <n v="956"/>
    <n v="565"/>
    <d v="2024-08-27T00:00:00"/>
    <s v="STRATA SCRATCH, LLC 4159353120 TX"/>
    <n v="289"/>
    <s v="Merchandise"/>
    <x v="24"/>
    <x v="0"/>
    <s v="Personal_Spending"/>
    <x v="8"/>
    <n v="2024"/>
    <d v="2024-08-27T00:00:00"/>
    <n v="3098.5299999999952"/>
    <n v="12"/>
    <s v="discover"/>
    <n v="0"/>
  </r>
  <r>
    <n v="957"/>
    <n v="566"/>
    <d v="2024-08-28T00:00:00"/>
    <s v="PANDA EXPRESS #907 P 800-877-8988 CA"/>
    <n v="11.29"/>
    <s v="Restaurants"/>
    <x v="50"/>
    <x v="0"/>
    <s v="Food"/>
    <x v="8"/>
    <n v="2024"/>
    <d v="2024-08-28T00:00:00"/>
    <n v="3109.8199999999952"/>
    <n v="19"/>
    <s v="discover"/>
    <n v="0"/>
  </r>
  <r>
    <n v="958"/>
    <n v="567"/>
    <d v="2024-08-30T00:00:00"/>
    <s v="ARMK ORACLE PARK - CON SAN FRANCISCOCA"/>
    <n v="13.52"/>
    <s v="Restaurants"/>
    <x v="87"/>
    <x v="0"/>
    <s v="Recreation_Entertainment"/>
    <x v="8"/>
    <n v="2024"/>
    <d v="2024-08-30T00:00:00"/>
    <n v="3123.3399999999951"/>
    <n v="2"/>
    <s v="discover"/>
    <n v="0"/>
  </r>
  <r>
    <n v="959"/>
    <n v="568"/>
    <d v="2024-08-30T00:00:00"/>
    <s v="INTERNET PAYMENT - THANK YOU"/>
    <n v="-3136.83"/>
    <s v="Payments and Credits"/>
    <x v="55"/>
    <x v="0"/>
    <s v="Payment_and_Interest"/>
    <x v="8"/>
    <n v="2024"/>
    <d v="2024-08-30T00:00:00"/>
    <n v="-13.49000000000478"/>
    <n v="14"/>
    <s v="discover"/>
    <n v="0"/>
  </r>
  <r>
    <n v="960"/>
    <n v="569"/>
    <d v="2024-08-31T00:00:00"/>
    <s v="UBER *TRIP 866-576-1039 CA"/>
    <n v="15.36"/>
    <s v="Travel/ Entertainment"/>
    <x v="81"/>
    <x v="0"/>
    <s v="Transportation"/>
    <x v="8"/>
    <n v="2024"/>
    <d v="2024-08-31T00:00:00"/>
    <n v="1.869999999995215"/>
    <n v="28"/>
    <s v="discover"/>
    <n v="0"/>
  </r>
  <r>
    <n v="961"/>
    <n v="570"/>
    <d v="2024-08-31T00:00:00"/>
    <s v="GOOGLE *FI X78MLH G.CO/HELPPAY#CAP1370FBR"/>
    <n v="-43.88"/>
    <s v="Payments and Credits"/>
    <x v="23"/>
    <x v="0"/>
    <s v="Travel"/>
    <x v="8"/>
    <n v="2024"/>
    <d v="2024-08-31T00:00:00"/>
    <n v="-42.010000000004787"/>
    <n v="6"/>
    <s v="discover"/>
    <n v="0"/>
  </r>
  <r>
    <n v="962"/>
    <n v="571"/>
    <d v="2024-08-31T00:00:00"/>
    <s v="THE NEW STOCKTON 99 SPEE STOCKTON CA"/>
    <n v="31"/>
    <s v="Travel/ Entertainment"/>
    <x v="25"/>
    <x v="0"/>
    <s v="Recreation_Entertainment"/>
    <x v="8"/>
    <n v="2024"/>
    <d v="2024-08-31T00:00:00"/>
    <n v="-11.010000000004791"/>
    <n v="1"/>
    <s v="discover"/>
    <n v="0"/>
  </r>
  <r>
    <n v="963"/>
    <n v="572"/>
    <d v="2024-08-31T00:00:00"/>
    <s v="SQ *VB CALI VALLEY VEN SACRAMENTO CA0001152921514485368816"/>
    <n v="9.5"/>
    <s v="Restaurants"/>
    <x v="40"/>
    <x v="0"/>
    <s v="Food"/>
    <x v="8"/>
    <n v="2024"/>
    <d v="2024-08-31T00:00:00"/>
    <n v="-1.5100000000047871"/>
    <n v="51"/>
    <s v="discover"/>
    <n v="0"/>
  </r>
  <r>
    <n v="964"/>
    <n v="573"/>
    <d v="2024-08-31T00:00:00"/>
    <s v="UNLIMITED POTENTIAL BAS 650-2041701 CA"/>
    <n v="80"/>
    <s v="Travel/ Entertainment"/>
    <x v="56"/>
    <x v="0"/>
    <s v="Personal_Spending"/>
    <x v="8"/>
    <n v="2024"/>
    <d v="2024-08-31T00:00:00"/>
    <n v="78.489999999995206"/>
    <n v="20"/>
    <s v="discover"/>
    <n v="0"/>
  </r>
  <r>
    <n v="965"/>
    <n v="574"/>
    <d v="2024-08-31T00:00:00"/>
    <s v="SQ *LEMON SQUEEZY LOS BANOS CA0001152921514484724135"/>
    <n v="10"/>
    <s v="Merchandise"/>
    <x v="50"/>
    <x v="0"/>
    <s v="Food"/>
    <x v="8"/>
    <n v="2024"/>
    <d v="2024-08-31T00:00:00"/>
    <n v="88.489999999995206"/>
    <n v="20"/>
    <s v="discover"/>
    <n v="0"/>
  </r>
  <r>
    <n v="966"/>
    <n v="575"/>
    <d v="2024-08-31T00:00:00"/>
    <s v="ARCO#83466TODD ENERGY CO LOS BANOS CA"/>
    <n v="6.88"/>
    <s v="Gasoline"/>
    <x v="47"/>
    <x v="0"/>
    <s v="Transportation"/>
    <x v="8"/>
    <n v="2024"/>
    <d v="2024-08-31T00:00:00"/>
    <n v="95.369999999995201"/>
    <n v="10"/>
    <s v="discover"/>
    <n v="0"/>
  </r>
  <r>
    <n v="967"/>
    <n v="576"/>
    <d v="2024-08-31T00:00:00"/>
    <s v="SQ *THAT GARLIC STUFF LOS BANOS CA0001152921514484739458"/>
    <n v="12.5"/>
    <s v="Supermarkets"/>
    <x v="25"/>
    <x v="0"/>
    <s v="Recreation_Entertainment"/>
    <x v="8"/>
    <n v="2024"/>
    <d v="2024-08-31T00:00:00"/>
    <n v="107.8699999999952"/>
    <n v="2"/>
    <s v="discover"/>
    <n v="0"/>
  </r>
  <r>
    <n v="968"/>
    <n v="577"/>
    <d v="2024-08-31T00:00:00"/>
    <s v="CALIFORNIA GARLIC FESTIV STOCKTON CA"/>
    <n v="15"/>
    <s v="Travel/ Entertainment"/>
    <x v="25"/>
    <x v="0"/>
    <s v="Recreation_Entertainment"/>
    <x v="8"/>
    <n v="2024"/>
    <d v="2024-08-31T00:00:00"/>
    <n v="122.8699999999952"/>
    <n v="3"/>
    <s v="discover"/>
    <n v="0"/>
  </r>
  <r>
    <n v="969"/>
    <n v="578"/>
    <d v="2024-08-31T00:00:00"/>
    <s v="SQ *CAN-U MARKETING (F LOS BANOS CA0001152921514485009532"/>
    <n v="27.19"/>
    <s v="Supermarkets"/>
    <x v="26"/>
    <x v="0"/>
    <s v="Food"/>
    <x v="8"/>
    <n v="2024"/>
    <d v="2024-08-31T00:00:00"/>
    <n v="150.0599999999952"/>
    <n v="26"/>
    <s v="discover"/>
    <n v="1"/>
  </r>
  <r>
    <n v="970"/>
    <n v="579"/>
    <d v="2024-09-01T00:00:00"/>
    <s v="CKE*MEDITERRANEAN KEBAB BURLINGAME CA"/>
    <n v="30.7"/>
    <s v="Restaurants"/>
    <x v="40"/>
    <x v="0"/>
    <s v="Food"/>
    <x v="9"/>
    <n v="2024"/>
    <d v="2024-09-01T00:00:00"/>
    <n v="180.75999999999519"/>
    <n v="52"/>
    <s v="discover"/>
    <n v="0"/>
  </r>
  <r>
    <n v="971"/>
    <n v="580"/>
    <d v="2024-09-01T00:00:00"/>
    <s v="DEANS PRODUCE - SAN MATE SAN MATEO CA"/>
    <n v="21.06"/>
    <s v="Supermarkets"/>
    <x v="77"/>
    <x v="0"/>
    <s v="Personal_Spending"/>
    <x v="9"/>
    <n v="2024"/>
    <d v="2024-09-01T00:00:00"/>
    <n v="201.81999999999519"/>
    <n v="2"/>
    <s v="discover"/>
    <n v="0"/>
  </r>
  <r>
    <n v="972"/>
    <n v="581"/>
    <d v="2024-09-01T00:00:00"/>
    <s v="OPENAI *CHATGPT SUBSCR 4158799686 CA"/>
    <n v="20"/>
    <s v="Merchandise"/>
    <x v="30"/>
    <x v="1"/>
    <s v="Personal_Spending"/>
    <x v="9"/>
    <n v="2024"/>
    <d v="2024-09-01T00:00:00"/>
    <n v="221.81999999999519"/>
    <n v="9"/>
    <s v="discover"/>
    <n v="0"/>
  </r>
  <r>
    <n v="973"/>
    <n v="582"/>
    <d v="2024-09-01T00:00:00"/>
    <s v="TANG BAR SAN MATEO CA"/>
    <n v="48.11"/>
    <s v="Restaurants"/>
    <x v="40"/>
    <x v="0"/>
    <s v="Food"/>
    <x v="9"/>
    <n v="2024"/>
    <d v="2024-09-01T00:00:00"/>
    <n v="269.92999999999518"/>
    <n v="53"/>
    <s v="discover"/>
    <n v="0"/>
  </r>
  <r>
    <n v="974"/>
    <n v="583"/>
    <d v="2024-09-01T00:00:00"/>
    <s v="PLANNED PARENTHOOD ACTIO NEW YORK NY"/>
    <n v="5"/>
    <s v="Services"/>
    <x v="31"/>
    <x v="1"/>
    <s v="Personal_Spending"/>
    <x v="9"/>
    <n v="2024"/>
    <d v="2024-09-01T00:00:00"/>
    <n v="274.92999999999518"/>
    <n v="9"/>
    <s v="discover"/>
    <n v="0"/>
  </r>
  <r>
    <n v="975"/>
    <n v="584"/>
    <d v="2024-09-01T00:00:00"/>
    <s v="SPOTIFY P2F1456874 8777781161 NY"/>
    <n v="5.99"/>
    <s v="Merchandise"/>
    <x v="32"/>
    <x v="1"/>
    <s v="Recreation_Entertainment"/>
    <x v="9"/>
    <n v="2024"/>
    <d v="2024-09-01T00:00:00"/>
    <n v="280.91999999999518"/>
    <n v="9"/>
    <s v="discover"/>
    <n v="0"/>
  </r>
  <r>
    <n v="976"/>
    <n v="585"/>
    <d v="2024-09-02T00:00:00"/>
    <s v="ONEPASS 877-515-9364 MN627912"/>
    <n v="273.60000000000002"/>
    <s v="Services"/>
    <x v="33"/>
    <x v="1"/>
    <s v="Personal_Spending"/>
    <x v="9"/>
    <n v="2024"/>
    <d v="2024-09-02T00:00:00"/>
    <n v="554.51999999999521"/>
    <n v="11"/>
    <s v="discover"/>
    <n v="0"/>
  </r>
  <r>
    <n v="977"/>
    <n v="586"/>
    <d v="2024-09-02T00:00:00"/>
    <s v="BREAKING POINTS-LOCALS 2025317527 DCITEM TRANSFERRED FROM PREV ACCOUNT"/>
    <n v="10"/>
    <s v="Merchandise"/>
    <x v="34"/>
    <x v="1"/>
    <s v="Recreation_Entertainment"/>
    <x v="9"/>
    <n v="2024"/>
    <d v="2024-09-02T00:00:00"/>
    <n v="564.51999999999521"/>
    <n v="9"/>
    <s v="discover"/>
    <n v="0"/>
  </r>
  <r>
    <n v="978"/>
    <n v="587"/>
    <d v="2024-09-02T00:00:00"/>
    <s v="ONLYFANS.COM*A 8886880458 FL"/>
    <n v="6.62"/>
    <s v="Merchandise"/>
    <x v="38"/>
    <x v="0"/>
    <s v="Recreation_Entertainment"/>
    <x v="9"/>
    <n v="2024"/>
    <d v="2024-09-02T00:00:00"/>
    <n v="571.13999999999521"/>
    <n v="66"/>
    <s v="discover"/>
    <n v="0"/>
  </r>
  <r>
    <n v="979"/>
    <n v="588"/>
    <d v="2024-09-03T00:00:00"/>
    <s v="WALGREENS #0625 MILLBRAE CA"/>
    <n v="10"/>
    <s v="Merchandise"/>
    <x v="71"/>
    <x v="0"/>
    <s v="Personal_Spending"/>
    <x v="9"/>
    <n v="2024"/>
    <d v="2024-09-03T00:00:00"/>
    <n v="581.13999999999521"/>
    <n v="9"/>
    <s v="discover"/>
    <n v="0"/>
  </r>
  <r>
    <n v="980"/>
    <n v="589"/>
    <d v="2024-09-03T00:00:00"/>
    <s v="WALGREENS #0625 MILLBRAE CA"/>
    <n v="10"/>
    <s v="Merchandise"/>
    <x v="71"/>
    <x v="0"/>
    <s v="Personal_Spending"/>
    <x v="9"/>
    <n v="2024"/>
    <d v="2024-09-03T00:00:00"/>
    <n v="591.13999999999521"/>
    <n v="10"/>
    <s v="discover"/>
    <n v="0"/>
  </r>
  <r>
    <n v="981"/>
    <n v="590"/>
    <d v="2024-09-03T00:00:00"/>
    <s v="AUTOMATIC STATEMENT CREDIT"/>
    <n v="-47.01"/>
    <s v="Awards and Rebate Credits"/>
    <x v="39"/>
    <x v="0"/>
    <s v="Payment_and_Interest"/>
    <x v="9"/>
    <n v="2024"/>
    <d v="2024-09-03T00:00:00"/>
    <n v="544.12999999999522"/>
    <n v="9"/>
    <s v="discover"/>
    <n v="0"/>
  </r>
  <r>
    <n v="982"/>
    <n v="591"/>
    <d v="2024-09-03T00:00:00"/>
    <s v="SQ *BAGEL STREET CAFE MILLBRAE CA0001152921514493744399"/>
    <n v="12.84"/>
    <s v="Merchandise"/>
    <x v="50"/>
    <x v="0"/>
    <s v="Food"/>
    <x v="9"/>
    <n v="2024"/>
    <d v="2024-09-03T00:00:00"/>
    <n v="556.96999999999525"/>
    <n v="21"/>
    <s v="discover"/>
    <n v="0"/>
  </r>
  <r>
    <n v="983"/>
    <n v="592"/>
    <d v="2024-09-04T00:00:00"/>
    <s v="SLICE*MATEOPIZZA 8889749928 NY"/>
    <n v="34.78"/>
    <s v="Restaurants"/>
    <x v="40"/>
    <x v="0"/>
    <s v="Food"/>
    <x v="9"/>
    <n v="2024"/>
    <d v="2024-09-04T00:00:00"/>
    <n v="591.74999999999523"/>
    <n v="54"/>
    <s v="discover"/>
    <n v="0"/>
  </r>
  <r>
    <n v="984"/>
    <n v="593"/>
    <d v="2024-09-04T00:00:00"/>
    <s v="WHOLEFDS SMT 10150 SAN MATEO CA"/>
    <n v="38.659999999999997"/>
    <s v="Supermarkets"/>
    <x v="26"/>
    <x v="0"/>
    <s v="Food"/>
    <x v="9"/>
    <n v="2024"/>
    <d v="2024-09-04T00:00:00"/>
    <n v="630.40999999999519"/>
    <n v="27"/>
    <s v="discover"/>
    <n v="0"/>
  </r>
  <r>
    <n v="985"/>
    <n v="594"/>
    <d v="2024-09-05T00:00:00"/>
    <s v="RDMCLOTHINGART 7737576085 NH"/>
    <n v="89"/>
    <s v="Merchandise"/>
    <x v="58"/>
    <x v="0"/>
    <s v="Travel"/>
    <x v="9"/>
    <n v="2024"/>
    <d v="2024-09-05T00:00:00"/>
    <n v="719.40999999999519"/>
    <n v="50"/>
    <s v="discover"/>
    <n v="0"/>
  </r>
  <r>
    <n v="986"/>
    <n v="595"/>
    <d v="2024-09-05T00:00:00"/>
    <s v="WL *STEAM PURCHASE 425-889-9642 WA00016J17WCJGC001001"/>
    <n v="69.989999999999995"/>
    <s v="Merchandise"/>
    <x v="37"/>
    <x v="0"/>
    <s v="Recreation_Entertainment"/>
    <x v="9"/>
    <n v="2024"/>
    <d v="2024-09-05T00:00:00"/>
    <n v="789.3999999999952"/>
    <n v="9"/>
    <s v="discover"/>
    <n v="0"/>
  </r>
  <r>
    <n v="987"/>
    <n v="596"/>
    <d v="2024-09-06T00:00:00"/>
    <s v="THE MIDWAY SAN FRANCISCOCA"/>
    <n v="43.94"/>
    <s v="Restaurants"/>
    <x v="45"/>
    <x v="0"/>
    <s v="Recreation_Entertainment"/>
    <x v="9"/>
    <n v="2024"/>
    <d v="2024-09-06T00:00:00"/>
    <n v="833.33999999999514"/>
    <n v="7"/>
    <s v="discover"/>
    <n v="0"/>
  </r>
  <r>
    <n v="988"/>
    <n v="597"/>
    <d v="2024-09-07T00:00:00"/>
    <s v="AMAZON MKTPL*ZT03T5Y42 AMZN.COM/BILLWA6KIKIM7BU08"/>
    <n v="23.01"/>
    <s v="Merchandise"/>
    <x v="36"/>
    <x v="0"/>
    <s v="Personal_Spending"/>
    <x v="9"/>
    <n v="2024"/>
    <d v="2024-09-07T00:00:00"/>
    <n v="856.34999999999513"/>
    <n v="42"/>
    <s v="discover"/>
    <n v="0"/>
  </r>
  <r>
    <n v="989"/>
    <n v="598"/>
    <d v="2024-09-07T00:00:00"/>
    <s v="DEANS PRODUCE - SAN MATE SAN MATEO CA"/>
    <n v="26.97"/>
    <s v="Supermarkets"/>
    <x v="77"/>
    <x v="0"/>
    <s v="Personal_Spending"/>
    <x v="9"/>
    <n v="2024"/>
    <d v="2024-09-07T00:00:00"/>
    <n v="883.31999999999516"/>
    <n v="3"/>
    <s v="discover"/>
    <n v="0"/>
  </r>
  <r>
    <n v="990"/>
    <n v="599"/>
    <d v="2024-09-07T00:00:00"/>
    <s v="DRAEGER'S SAN MATEO MENLO PARK CA"/>
    <n v="60.03"/>
    <s v="Supermarkets"/>
    <x v="26"/>
    <x v="0"/>
    <s v="Food"/>
    <x v="9"/>
    <n v="2024"/>
    <d v="2024-09-07T00:00:00"/>
    <n v="943.34999999999513"/>
    <n v="28"/>
    <s v="discover"/>
    <n v="0"/>
  </r>
  <r>
    <n v="991"/>
    <n v="600"/>
    <d v="2024-09-07T00:00:00"/>
    <s v="MCDONALD'S F13001 MILLBRAE CA"/>
    <n v="21"/>
    <s v="Restaurants"/>
    <x v="50"/>
    <x v="0"/>
    <s v="Food"/>
    <x v="9"/>
    <n v="2024"/>
    <d v="2024-09-07T00:00:00"/>
    <n v="964.34999999999513"/>
    <n v="22"/>
    <s v="discover"/>
    <n v="0"/>
  </r>
  <r>
    <n v="992"/>
    <n v="601"/>
    <d v="2024-09-08T00:00:00"/>
    <s v="SAFEWAY #1547 BURLINGAME CA"/>
    <n v="57.19"/>
    <s v="Supermarkets"/>
    <x v="26"/>
    <x v="0"/>
    <s v="Food"/>
    <x v="9"/>
    <n v="2024"/>
    <d v="2024-09-08T00:00:00"/>
    <n v="1021.539999999995"/>
    <n v="29"/>
    <s v="discover"/>
    <n v="0"/>
  </r>
  <r>
    <n v="993"/>
    <n v="602"/>
    <d v="2024-09-08T00:00:00"/>
    <s v="UBER TRIP* TRIP 8665761039 CA"/>
    <n v="1"/>
    <s v="Travel/ Entertainment"/>
    <x v="81"/>
    <x v="0"/>
    <s v="Transportation"/>
    <x v="9"/>
    <n v="2024"/>
    <d v="2024-09-08T00:00:00"/>
    <n v="1022.539999999995"/>
    <n v="29"/>
    <s v="discover"/>
    <n v="0"/>
  </r>
  <r>
    <n v="994"/>
    <n v="603"/>
    <d v="2024-09-09T00:00:00"/>
    <s v="YMCA OF SAN FRANCISCO SAN FRANCISCOCA"/>
    <n v="199"/>
    <s v="Travel/ Entertainment"/>
    <x v="93"/>
    <x v="0"/>
    <s v="Recreation_Entertainment"/>
    <x v="9"/>
    <n v="2024"/>
    <d v="2024-09-09T00:00:00"/>
    <n v="1221.539999999995"/>
    <n v="1"/>
    <s v="discover"/>
    <n v="0"/>
  </r>
  <r>
    <n v="995"/>
    <n v="604"/>
    <d v="2024-09-09T00:00:00"/>
    <s v="SANDBOXX 617-435-7479 VA"/>
    <n v="19.43"/>
    <s v="Services"/>
    <x v="94"/>
    <x v="0"/>
    <s v="People"/>
    <x v="9"/>
    <n v="2024"/>
    <d v="2024-09-09T00:00:00"/>
    <n v="1240.969999999995"/>
    <n v="1"/>
    <s v="discover"/>
    <n v="0"/>
  </r>
  <r>
    <n v="996"/>
    <n v="605"/>
    <d v="2024-09-09T00:00:00"/>
    <s v="KUME FLOAT 5106078930 CA"/>
    <n v="6.25"/>
    <s v="Services"/>
    <x v="52"/>
    <x v="0"/>
    <s v="Personal_Spending"/>
    <x v="9"/>
    <n v="2024"/>
    <d v="2024-09-09T00:00:00"/>
    <n v="1247.219999999995"/>
    <n v="2"/>
    <s v="discover"/>
    <n v="0"/>
  </r>
  <r>
    <n v="997"/>
    <n v="606"/>
    <d v="2024-09-10T00:00:00"/>
    <s v="ENSSARO OAKLAND CA"/>
    <n v="49.12"/>
    <s v="Restaurants"/>
    <x v="40"/>
    <x v="0"/>
    <s v="Food"/>
    <x v="9"/>
    <n v="2024"/>
    <d v="2024-09-10T00:00:00"/>
    <n v="1296.3399999999949"/>
    <n v="55"/>
    <s v="discover"/>
    <n v="0"/>
  </r>
  <r>
    <n v="998"/>
    <n v="607"/>
    <d v="2024-09-11T00:00:00"/>
    <s v="FASTRAK CSC 415-486-8655 CA"/>
    <n v="25"/>
    <s v="Travel/ Entertainment"/>
    <x v="57"/>
    <x v="0"/>
    <s v="Transportation"/>
    <x v="9"/>
    <n v="2024"/>
    <d v="2024-09-11T00:00:00"/>
    <n v="1321.3399999999949"/>
    <n v="8"/>
    <s v="discover"/>
    <n v="0"/>
  </r>
  <r>
    <n v="999"/>
    <n v="608"/>
    <d v="2024-09-12T00:00:00"/>
    <s v="BARNES &amp; NOBLE #1971 REDWOOD CITY CA"/>
    <n v="53.77"/>
    <s v="Merchandise"/>
    <x v="40"/>
    <x v="0"/>
    <s v="Food"/>
    <x v="9"/>
    <n v="2024"/>
    <d v="2024-09-12T00:00:00"/>
    <n v="1375.1099999999949"/>
    <n v="56"/>
    <s v="discover"/>
    <n v="0"/>
  </r>
  <r>
    <n v="1000"/>
    <n v="609"/>
    <d v="2024-09-12T00:00:00"/>
    <s v="BARNES&amp;NOBLE PAPERSOURCE WESTBURY NY"/>
    <n v="10.98"/>
    <s v="Merchandise"/>
    <x v="40"/>
    <x v="0"/>
    <s v="Food"/>
    <x v="9"/>
    <n v="2024"/>
    <d v="2024-09-12T00:00:00"/>
    <n v="1386.0899999999949"/>
    <n v="57"/>
    <s v="discover"/>
    <n v="0"/>
  </r>
  <r>
    <n v="1001"/>
    <n v="610"/>
    <d v="2024-09-12T00:00:00"/>
    <s v="BURGER KING #2443 REDWOOD CITY CA"/>
    <n v="19.32"/>
    <s v="Restaurants"/>
    <x v="50"/>
    <x v="0"/>
    <s v="Food"/>
    <x v="9"/>
    <n v="2024"/>
    <d v="2024-09-12T00:00:00"/>
    <n v="1405.4099999999951"/>
    <n v="23"/>
    <s v="discover"/>
    <n v="0"/>
  </r>
  <r>
    <n v="1002"/>
    <n v="611"/>
    <d v="2024-09-12T00:00:00"/>
    <s v="GOOGLE *GOOGLE ONE 855-836-3987 CAP14XSKYK"/>
    <n v="2.11"/>
    <s v="Merchandise"/>
    <x v="91"/>
    <x v="1"/>
    <s v="Personal_Spending"/>
    <x v="9"/>
    <n v="2024"/>
    <d v="2024-09-12T00:00:00"/>
    <n v="1407.519999999995"/>
    <n v="2"/>
    <s v="discover"/>
    <n v="0"/>
  </r>
  <r>
    <n v="1003"/>
    <n v="612"/>
    <d v="2024-09-12T00:00:00"/>
    <s v="TM *SHENG WANG 800-653-8000 CANCA/49-51635"/>
    <n v="153"/>
    <s v="Travel/ Entertainment"/>
    <x v="95"/>
    <x v="0"/>
    <s v="Recreation_Entertainment"/>
    <x v="9"/>
    <n v="2024"/>
    <d v="2024-09-12T00:00:00"/>
    <n v="1560.519999999995"/>
    <n v="1"/>
    <s v="discover"/>
    <n v="0"/>
  </r>
  <r>
    <n v="1004"/>
    <n v="613"/>
    <d v="2024-09-13T00:00:00"/>
    <s v="MARTINS 6444 HAGERSTOWN MD01390P"/>
    <n v="54.91"/>
    <s v="Supermarkets"/>
    <x v="26"/>
    <x v="0"/>
    <s v="Food"/>
    <x v="9"/>
    <n v="2024"/>
    <d v="2024-09-13T00:00:00"/>
    <n v="1615.4299999999951"/>
    <n v="30"/>
    <s v="discover"/>
    <n v="0"/>
  </r>
  <r>
    <n v="1005"/>
    <n v="614"/>
    <d v="2024-09-13T00:00:00"/>
    <s v="GROCERY OUTLET OF HAGE HAGERSTOWN MD"/>
    <n v="42.87"/>
    <s v="Supermarkets"/>
    <x v="26"/>
    <x v="0"/>
    <s v="Food"/>
    <x v="9"/>
    <n v="2024"/>
    <d v="2024-09-13T00:00:00"/>
    <n v="1658.299999999995"/>
    <n v="31"/>
    <s v="discover"/>
    <n v="0"/>
  </r>
  <r>
    <n v="1006"/>
    <n v="615"/>
    <d v="2024-09-13T00:00:00"/>
    <s v="HOBBY-LOBBY #519 HAGERSTOWN MD"/>
    <n v="57.18"/>
    <s v="Merchandise"/>
    <x v="67"/>
    <x v="0"/>
    <s v="Personal_Spending"/>
    <x v="9"/>
    <n v="2024"/>
    <d v="2024-09-13T00:00:00"/>
    <n v="1715.479999999995"/>
    <n v="2"/>
    <s v="discover"/>
    <n v="0"/>
  </r>
  <r>
    <n v="1007"/>
    <n v="616"/>
    <d v="2024-09-13T00:00:00"/>
    <s v="SAVE-A-LOT #24392 HAGERSTOWN MD"/>
    <n v="15.48"/>
    <s v="Supermarkets"/>
    <x v="26"/>
    <x v="0"/>
    <s v="Food"/>
    <x v="9"/>
    <n v="2024"/>
    <d v="2024-09-13T00:00:00"/>
    <n v="1730.959999999995"/>
    <n v="32"/>
    <s v="discover"/>
    <n v="0"/>
  </r>
  <r>
    <n v="1008"/>
    <n v="617"/>
    <d v="2024-09-14T00:00:00"/>
    <s v="WALMART SC 01674 HAGERSTOWN MD"/>
    <n v="238.18"/>
    <s v="Merchandise"/>
    <x v="36"/>
    <x v="0"/>
    <s v="Personal_Spending"/>
    <x v="9"/>
    <n v="2024"/>
    <d v="2024-09-14T00:00:00"/>
    <n v="1969.1399999999951"/>
    <n v="43"/>
    <s v="discover"/>
    <n v="0"/>
  </r>
  <r>
    <n v="1009"/>
    <n v="618"/>
    <d v="2024-09-14T00:00:00"/>
    <s v="WALMART SC 01674 HAGERSTOWN MD"/>
    <n v="197.58"/>
    <s v="Merchandise"/>
    <x v="36"/>
    <x v="0"/>
    <s v="Personal_Spending"/>
    <x v="9"/>
    <n v="2024"/>
    <d v="2024-09-14T00:00:00"/>
    <n v="2166.7199999999948"/>
    <n v="44"/>
    <s v="discover"/>
    <n v="0"/>
  </r>
  <r>
    <n v="1010"/>
    <n v="619"/>
    <d v="2024-09-14T00:00:00"/>
    <s v="STATE FARM INSURANCE 800-956-6310 ILITEM TRANSFERRED FROM PREV ACCOUNT"/>
    <n v="108.56"/>
    <s v="Merchandise"/>
    <x v="61"/>
    <x v="1"/>
    <s v="Insurance"/>
    <x v="9"/>
    <n v="2024"/>
    <d v="2024-09-14T00:00:00"/>
    <n v="2275.2799999999952"/>
    <n v="9"/>
    <s v="discover"/>
    <n v="0"/>
  </r>
  <r>
    <n v="1011"/>
    <n v="620"/>
    <d v="2024-09-14T00:00:00"/>
    <s v="SPENCER GIFTS 656 HAGERSTOWN MD01439P"/>
    <n v="84.76"/>
    <s v="Merchandise"/>
    <x v="96"/>
    <x v="0"/>
    <s v="People"/>
    <x v="9"/>
    <n v="2024"/>
    <d v="2024-09-14T00:00:00"/>
    <n v="2360.039999999995"/>
    <n v="1"/>
    <s v="discover"/>
    <n v="0"/>
  </r>
  <r>
    <n v="1012"/>
    <n v="621"/>
    <d v="2024-09-14T00:00:00"/>
    <s v="COCA COLA HAGERSTOWN HAGERSTOWN MD"/>
    <n v="5"/>
    <s v="Restaurants"/>
    <x v="44"/>
    <x v="0"/>
    <s v="Food"/>
    <x v="9"/>
    <n v="2024"/>
    <d v="2024-09-14T00:00:00"/>
    <n v="2365.039999999995"/>
    <n v="6"/>
    <s v="discover"/>
    <n v="0"/>
  </r>
  <r>
    <n v="1013"/>
    <n v="622"/>
    <d v="2024-09-14T00:00:00"/>
    <s v="SQ *SAFRON BAKERY HAGERSTOWN MD0002305843020599016829"/>
    <n v="52.11"/>
    <s v="Restaurants"/>
    <x v="40"/>
    <x v="0"/>
    <s v="Food"/>
    <x v="9"/>
    <n v="2024"/>
    <d v="2024-09-14T00:00:00"/>
    <n v="2417.149999999996"/>
    <n v="58"/>
    <s v="discover"/>
    <n v="0"/>
  </r>
  <r>
    <n v="1014"/>
    <n v="623"/>
    <d v="2024-09-15T00:00:00"/>
    <s v="CHECKERS #1157 GAITHERSBURG MD01501P"/>
    <n v="26.35"/>
    <s v="Restaurants"/>
    <x v="50"/>
    <x v="0"/>
    <s v="Food"/>
    <x v="9"/>
    <n v="2024"/>
    <d v="2024-09-15T00:00:00"/>
    <n v="2443.499999999995"/>
    <n v="24"/>
    <s v="discover"/>
    <n v="0"/>
  </r>
  <r>
    <n v="1015"/>
    <n v="624"/>
    <d v="2024-09-15T00:00:00"/>
    <s v="WEIS MARKETS 167 HAGERSTOWN MD"/>
    <n v="62.33"/>
    <s v="Supermarkets"/>
    <x v="65"/>
    <x v="0"/>
    <s v="Personal_Spending"/>
    <x v="9"/>
    <n v="2024"/>
    <d v="2024-09-15T00:00:00"/>
    <n v="2505.8299999999949"/>
    <n v="10"/>
    <s v="discover"/>
    <n v="0"/>
  </r>
  <r>
    <n v="1016"/>
    <n v="625"/>
    <d v="2024-09-16T00:00:00"/>
    <s v="WALMART SC 02790 HAGERSTOWN MD"/>
    <n v="36.299999999999997"/>
    <s v="Merchandise"/>
    <x v="36"/>
    <x v="0"/>
    <s v="Personal_Spending"/>
    <x v="9"/>
    <n v="2024"/>
    <d v="2024-09-16T00:00:00"/>
    <n v="2542.129999999996"/>
    <n v="45"/>
    <s v="discover"/>
    <n v="0"/>
  </r>
  <r>
    <n v="1017"/>
    <n v="626"/>
    <d v="2024-09-16T00:00:00"/>
    <s v="MUSIC &amp; ARTS 74 HAGERSTOWN MD"/>
    <n v="21.19"/>
    <s v="Merchandise"/>
    <x v="97"/>
    <x v="0"/>
    <s v="Recreation_Entertainment"/>
    <x v="9"/>
    <n v="2024"/>
    <d v="2024-09-16T00:00:00"/>
    <n v="2563.3199999999961"/>
    <n v="1"/>
    <s v="discover"/>
    <n v="0"/>
  </r>
  <r>
    <n v="1018"/>
    <n v="627"/>
    <d v="2024-09-16T00:00:00"/>
    <s v="PHANTOGRAM SHOP 8449137510 CA"/>
    <n v="-102.99"/>
    <s v="Payments and Credits"/>
    <x v="56"/>
    <x v="0"/>
    <s v="Personal_Spending"/>
    <x v="9"/>
    <n v="2024"/>
    <d v="2024-09-16T00:00:00"/>
    <n v="2460.3299999999958"/>
    <n v="21"/>
    <s v="discover"/>
    <n v="0"/>
  </r>
  <r>
    <n v="1019"/>
    <n v="628"/>
    <d v="2024-09-16T00:00:00"/>
    <s v="GNC HAGERSTOWN MD003192"/>
    <n v="127.96"/>
    <s v="Supermarkets"/>
    <x v="70"/>
    <x v="0"/>
    <s v="Personal_Spending"/>
    <x v="9"/>
    <n v="2024"/>
    <d v="2024-09-16T00:00:00"/>
    <n v="2588.2899999999959"/>
    <n v="9"/>
    <s v="discover"/>
    <n v="0"/>
  </r>
  <r>
    <n v="1020"/>
    <n v="629"/>
    <d v="2024-09-16T00:00:00"/>
    <s v="FIVE BELOW 222 HAGERSTOWN MD"/>
    <n v="21.2"/>
    <s v="Merchandise"/>
    <x v="36"/>
    <x v="0"/>
    <s v="Personal_Spending"/>
    <x v="9"/>
    <n v="2024"/>
    <d v="2024-09-16T00:00:00"/>
    <n v="2609.4899999999961"/>
    <n v="46"/>
    <s v="discover"/>
    <n v="0"/>
  </r>
  <r>
    <n v="1021"/>
    <n v="630"/>
    <d v="2024-09-16T00:00:00"/>
    <s v="JOANN STORES #480 HAGERSTOWN MD"/>
    <n v="25.37"/>
    <s v="Merchandise"/>
    <x v="56"/>
    <x v="0"/>
    <s v="Personal_Spending"/>
    <x v="9"/>
    <n v="2024"/>
    <d v="2024-09-16T00:00:00"/>
    <n v="2634.859999999996"/>
    <n v="22"/>
    <s v="discover"/>
    <n v="0"/>
  </r>
  <r>
    <n v="1022"/>
    <n v="631"/>
    <d v="2024-09-17T00:00:00"/>
    <s v="UBER TRIP* TRIP 8665761039 CA"/>
    <n v="8.8000000000000007"/>
    <s v="Travel/ Entertainment"/>
    <x v="81"/>
    <x v="0"/>
    <s v="Transportation"/>
    <x v="9"/>
    <n v="2024"/>
    <d v="2024-09-17T00:00:00"/>
    <n v="2643.6599999999962"/>
    <n v="30"/>
    <s v="discover"/>
    <n v="0"/>
  </r>
  <r>
    <n v="1023"/>
    <n v="632"/>
    <d v="2024-09-17T00:00:00"/>
    <s v="UBER *TRIP 866-576-1039 CA"/>
    <n v="96.98"/>
    <s v="Travel/ Entertainment"/>
    <x v="81"/>
    <x v="0"/>
    <s v="Transportation"/>
    <x v="9"/>
    <n v="2024"/>
    <d v="2024-09-17T00:00:00"/>
    <n v="2740.6399999999958"/>
    <n v="31"/>
    <s v="discover"/>
    <n v="0"/>
  </r>
  <r>
    <n v="1024"/>
    <n v="633"/>
    <d v="2024-09-17T00:00:00"/>
    <s v="AMAZON MKTPL*S13EN4GK3 AMZN.COM/BILLWA2ST9VSUQEDS"/>
    <n v="74.099999999999994"/>
    <s v="Merchandise"/>
    <x v="36"/>
    <x v="0"/>
    <s v="Personal_Spending"/>
    <x v="9"/>
    <n v="2024"/>
    <d v="2024-09-17T00:00:00"/>
    <n v="2814.7399999999961"/>
    <n v="47"/>
    <s v="discover"/>
    <n v="0"/>
  </r>
  <r>
    <n v="1025"/>
    <n v="634"/>
    <d v="2024-09-18T00:00:00"/>
    <s v="WALMART STORE 03489 BALTIMORE MD"/>
    <n v="151.78"/>
    <s v="Merchandise"/>
    <x v="36"/>
    <x v="0"/>
    <s v="Personal_Spending"/>
    <x v="9"/>
    <n v="2024"/>
    <d v="2024-09-18T00:00:00"/>
    <n v="2966.5199999999959"/>
    <n v="48"/>
    <s v="discover"/>
    <n v="0"/>
  </r>
  <r>
    <n v="1026"/>
    <n v="635"/>
    <d v="2024-09-20T00:00:00"/>
    <s v="WALMART.COM 8009256278 BENTONVILLE AR"/>
    <n v="13.55"/>
    <s v="Merchandise"/>
    <x v="36"/>
    <x v="0"/>
    <s v="Personal_Spending"/>
    <x v="9"/>
    <n v="2024"/>
    <d v="2024-09-20T00:00:00"/>
    <n v="2980.0699999999961"/>
    <n v="49"/>
    <s v="discover"/>
    <n v="0"/>
  </r>
  <r>
    <n v="1027"/>
    <n v="636"/>
    <d v="2024-09-21T00:00:00"/>
    <s v="WEIS MARKETS 100 FREDERICK MD"/>
    <n v="46.42"/>
    <s v="Supermarkets"/>
    <x v="65"/>
    <x v="0"/>
    <s v="Personal_Spending"/>
    <x v="9"/>
    <n v="2024"/>
    <d v="2024-09-21T00:00:00"/>
    <n v="3026.4899999999961"/>
    <n v="11"/>
    <s v="discover"/>
    <n v="0"/>
  </r>
  <r>
    <n v="1028"/>
    <n v="637"/>
    <d v="2024-09-21T00:00:00"/>
    <s v="SHEETZ 081800008185498 HAGERSTOWN MD"/>
    <n v="107.54"/>
    <s v="Gasoline"/>
    <x v="47"/>
    <x v="0"/>
    <s v="Transportation"/>
    <x v="9"/>
    <n v="2024"/>
    <d v="2024-09-21T00:00:00"/>
    <n v="3134.0299999999961"/>
    <n v="11"/>
    <s v="discover"/>
    <n v="0"/>
  </r>
  <r>
    <n v="1029"/>
    <n v="638"/>
    <d v="2024-09-21T00:00:00"/>
    <s v="MICHAELS STORES 2024 HAGERSTOWN MD2024005356762409211742"/>
    <n v="29.64"/>
    <s v="Merchandise"/>
    <x v="98"/>
    <x v="0"/>
    <s v="Misc"/>
    <x v="9"/>
    <n v="2024"/>
    <d v="2024-09-21T00:00:00"/>
    <n v="3163.669999999996"/>
    <n v="1"/>
    <s v="discover"/>
    <n v="0"/>
  </r>
  <r>
    <n v="1030"/>
    <n v="639"/>
    <d v="2024-09-21T00:00:00"/>
    <s v="TARGET 00012575091 HAGERSTOWN MD"/>
    <n v="144.66"/>
    <s v="Supermarkets"/>
    <x v="36"/>
    <x v="0"/>
    <s v="Personal_Spending"/>
    <x v="9"/>
    <n v="2024"/>
    <d v="2024-09-21T00:00:00"/>
    <n v="3308.3299999999958"/>
    <n v="50"/>
    <s v="discover"/>
    <n v="0"/>
  </r>
  <r>
    <n v="1031"/>
    <n v="640"/>
    <d v="2024-09-21T00:00:00"/>
    <s v="HOBBY-LOBBY #519 HAGERSTOWN MD"/>
    <n v="20.65"/>
    <s v="Merchandise"/>
    <x v="67"/>
    <x v="0"/>
    <s v="Personal_Spending"/>
    <x v="9"/>
    <n v="2024"/>
    <d v="2024-09-21T00:00:00"/>
    <n v="3328.9799999999959"/>
    <n v="3"/>
    <s v="discover"/>
    <n v="0"/>
  </r>
  <r>
    <n v="1032"/>
    <n v="641"/>
    <d v="2024-09-21T00:00:00"/>
    <s v="10017 CAVA COLUMBIA COLUMBIA MD2166"/>
    <n v="20.62"/>
    <s v="Restaurants"/>
    <x v="50"/>
    <x v="0"/>
    <s v="Food"/>
    <x v="9"/>
    <n v="2024"/>
    <d v="2024-09-21T00:00:00"/>
    <n v="3349.5999999999958"/>
    <n v="25"/>
    <s v="discover"/>
    <n v="0"/>
  </r>
  <r>
    <n v="1033"/>
    <n v="642"/>
    <d v="2024-09-21T00:00:00"/>
    <s v="JOANN STORES #480 HAGERSTOWN MD"/>
    <n v="18"/>
    <s v="Merchandise"/>
    <x v="56"/>
    <x v="0"/>
    <s v="Personal_Spending"/>
    <x v="9"/>
    <n v="2024"/>
    <d v="2024-09-21T00:00:00"/>
    <n v="3367.5999999999958"/>
    <n v="23"/>
    <s v="discover"/>
    <n v="0"/>
  </r>
  <r>
    <n v="1034"/>
    <n v="643"/>
    <d v="2024-09-22T00:00:00"/>
    <s v="THE ANTHEM WASHINGTON DC02266P"/>
    <n v="32.5"/>
    <s v="Travel/ Entertainment"/>
    <x v="58"/>
    <x v="0"/>
    <s v="Travel"/>
    <x v="9"/>
    <n v="2024"/>
    <d v="2024-09-22T00:00:00"/>
    <n v="3400.0999999999958"/>
    <n v="51"/>
    <s v="discover"/>
    <n v="0"/>
  </r>
  <r>
    <n v="1035"/>
    <n v="644"/>
    <d v="2024-09-22T00:00:00"/>
    <s v="ATI*7845-092285297 310-627-2866 CA"/>
    <n v="64"/>
    <s v="Travel/ Entertainment"/>
    <x v="27"/>
    <x v="0"/>
    <s v="Recreation_Entertainment"/>
    <x v="9"/>
    <n v="2024"/>
    <d v="2024-09-22T00:00:00"/>
    <n v="3464.0999999999958"/>
    <n v="25"/>
    <s v="discover"/>
    <n v="0"/>
  </r>
  <r>
    <n v="1036"/>
    <n v="645"/>
    <d v="2024-09-22T00:00:00"/>
    <s v="BB* ATLAS BREW WORKS ( 4158552268 CA"/>
    <n v="20.94"/>
    <s v="Restaurants"/>
    <x v="50"/>
    <x v="0"/>
    <s v="Food"/>
    <x v="9"/>
    <n v="2024"/>
    <d v="2024-09-22T00:00:00"/>
    <n v="3485.0399999999959"/>
    <n v="26"/>
    <s v="discover"/>
    <n v="0"/>
  </r>
  <r>
    <n v="1037"/>
    <n v="646"/>
    <d v="2024-09-22T00:00:00"/>
    <s v="NANDO'S PERI PERI #044 ALEXANDRIA VA"/>
    <n v="8.2899999999999991"/>
    <s v="Restaurants"/>
    <x v="40"/>
    <x v="0"/>
    <s v="Food"/>
    <x v="9"/>
    <n v="2024"/>
    <d v="2024-09-22T00:00:00"/>
    <n v="3493.3299999999958"/>
    <n v="59"/>
    <s v="discover"/>
    <n v="0"/>
  </r>
  <r>
    <n v="1038"/>
    <n v="647"/>
    <d v="2024-09-22T00:00:00"/>
    <s v="NANDO'S PERI PERI #044 ALEXANDRIA VA"/>
    <n v="91.7"/>
    <s v="Restaurants"/>
    <x v="40"/>
    <x v="0"/>
    <s v="Food"/>
    <x v="9"/>
    <n v="2024"/>
    <d v="2024-09-22T00:00:00"/>
    <n v="3585.0299999999961"/>
    <n v="60"/>
    <s v="discover"/>
    <n v="0"/>
  </r>
  <r>
    <n v="1039"/>
    <n v="648"/>
    <d v="2024-09-22T00:00:00"/>
    <s v="SQ *TURKISH COFFEE LAD ALEXANDRIA VA0002305843020655669794"/>
    <n v="36.06"/>
    <s v="Supermarkets"/>
    <x v="44"/>
    <x v="0"/>
    <s v="Food"/>
    <x v="9"/>
    <n v="2024"/>
    <d v="2024-09-22T00:00:00"/>
    <n v="3621.0899999999961"/>
    <n v="7"/>
    <s v="discover"/>
    <n v="0"/>
  </r>
  <r>
    <n v="1040"/>
    <n v="649"/>
    <d v="2024-09-22T00:00:00"/>
    <s v="AMC 0337 HOFFMAN CTR 2 ALEXANDRIA VA"/>
    <n v="43.49"/>
    <s v="Travel/ Entertainment"/>
    <x v="27"/>
    <x v="0"/>
    <s v="Recreation_Entertainment"/>
    <x v="9"/>
    <n v="2024"/>
    <d v="2024-09-22T00:00:00"/>
    <n v="3664.5799999999949"/>
    <n v="26"/>
    <s v="discover"/>
    <n v="0"/>
  </r>
  <r>
    <n v="1041"/>
    <n v="650"/>
    <d v="2024-09-23T00:00:00"/>
    <s v="WALMART SC 01674 HAGERSTOWN MD"/>
    <n v="53.21"/>
    <s v="Merchandise"/>
    <x v="36"/>
    <x v="0"/>
    <s v="Personal_Spending"/>
    <x v="9"/>
    <n v="2024"/>
    <d v="2024-09-23T00:00:00"/>
    <n v="3717.789999999995"/>
    <n v="51"/>
    <s v="discover"/>
    <n v="0"/>
  </r>
  <r>
    <n v="1042"/>
    <n v="651"/>
    <d v="2024-09-23T00:00:00"/>
    <s v="WMT PLUS SEP 2024 800-925-6278 AR"/>
    <n v="6.53"/>
    <s v="Merchandise"/>
    <x v="71"/>
    <x v="0"/>
    <s v="Personal_Spending"/>
    <x v="9"/>
    <n v="2024"/>
    <d v="2024-09-23T00:00:00"/>
    <n v="3724.3199999999961"/>
    <n v="11"/>
    <s v="discover"/>
    <n v="0"/>
  </r>
  <r>
    <n v="1043"/>
    <n v="652"/>
    <d v="2024-09-23T00:00:00"/>
    <s v="WALMART SC 01674 HAGERSTOWN MD"/>
    <n v="12.4"/>
    <s v="Merchandise"/>
    <x v="36"/>
    <x v="0"/>
    <s v="Personal_Spending"/>
    <x v="9"/>
    <n v="2024"/>
    <d v="2024-09-23T00:00:00"/>
    <n v="3736.7199999999962"/>
    <n v="52"/>
    <s v="discover"/>
    <n v="0"/>
  </r>
  <r>
    <n v="1044"/>
    <n v="653"/>
    <d v="2024-09-23T00:00:00"/>
    <s v="WEIS MARKETS 167 HAGERSTOWN MD"/>
    <n v="52.41"/>
    <s v="Supermarkets"/>
    <x v="65"/>
    <x v="0"/>
    <s v="Personal_Spending"/>
    <x v="9"/>
    <n v="2024"/>
    <d v="2024-09-23T00:00:00"/>
    <n v="3789.129999999996"/>
    <n v="12"/>
    <s v="discover"/>
    <n v="0"/>
  </r>
  <r>
    <n v="1045"/>
    <n v="654"/>
    <d v="2024-09-23T00:00:00"/>
    <s v="UBER *TRIP 866-576-1039 CA"/>
    <n v="14.95"/>
    <s v="Travel/ Entertainment"/>
    <x v="81"/>
    <x v="0"/>
    <s v="Transportation"/>
    <x v="9"/>
    <n v="2024"/>
    <d v="2024-09-23T00:00:00"/>
    <n v="3804.0799999999949"/>
    <n v="32"/>
    <s v="discover"/>
    <n v="0"/>
  </r>
  <r>
    <n v="1046"/>
    <n v="655"/>
    <d v="2024-09-23T00:00:00"/>
    <s v="WEIS GASNGO 167 HAGERSTOWN MD"/>
    <n v="25"/>
    <s v="Gasoline"/>
    <x v="47"/>
    <x v="0"/>
    <s v="Transportation"/>
    <x v="9"/>
    <n v="2024"/>
    <d v="2024-09-23T00:00:00"/>
    <n v="3829.0799999999949"/>
    <n v="12"/>
    <s v="discover"/>
    <n v="0"/>
  </r>
  <r>
    <n v="1047"/>
    <n v="656"/>
    <d v="2024-09-23T00:00:00"/>
    <s v="STAPLES 00102715105 HAGERSTOWN MD"/>
    <n v="241.58"/>
    <s v="Merchandise"/>
    <x v="36"/>
    <x v="0"/>
    <s v="Personal_Spending"/>
    <x v="9"/>
    <n v="2024"/>
    <d v="2024-09-23T00:00:00"/>
    <n v="4070.6599999999949"/>
    <n v="53"/>
    <s v="discover"/>
    <n v="0"/>
  </r>
  <r>
    <n v="1048"/>
    <n v="657"/>
    <d v="2024-09-23T00:00:00"/>
    <s v="OSORIO BAKERY AND PASTRY HAGERSTOWN MD"/>
    <n v="3.09"/>
    <s v="Merchandise"/>
    <x v="40"/>
    <x v="0"/>
    <s v="Food"/>
    <x v="9"/>
    <n v="2024"/>
    <d v="2024-09-23T00:00:00"/>
    <n v="4073.749999999995"/>
    <n v="61"/>
    <s v="discover"/>
    <n v="0"/>
  </r>
  <r>
    <n v="1049"/>
    <n v="658"/>
    <d v="2024-09-23T00:00:00"/>
    <s v="METRO 018-SHADY GROVE ROCKVILLE MD"/>
    <n v="15.5"/>
    <s v="Travel/ Entertainment"/>
    <x v="81"/>
    <x v="0"/>
    <s v="Transportation"/>
    <x v="9"/>
    <n v="2024"/>
    <d v="2024-09-23T00:00:00"/>
    <n v="4089.249999999995"/>
    <n v="33"/>
    <s v="discover"/>
    <n v="0"/>
  </r>
  <r>
    <n v="1050"/>
    <n v="659"/>
    <d v="2024-09-23T00:00:00"/>
    <s v="UBER *TRIP 866-576-1039 CA"/>
    <n v="3"/>
    <s v="Travel/ Entertainment"/>
    <x v="81"/>
    <x v="0"/>
    <s v="Transportation"/>
    <x v="9"/>
    <n v="2024"/>
    <d v="2024-09-23T00:00:00"/>
    <n v="4092.249999999995"/>
    <n v="34"/>
    <s v="discover"/>
    <n v="0"/>
  </r>
  <r>
    <n v="1051"/>
    <n v="660"/>
    <d v="2024-09-23T00:00:00"/>
    <s v="MCDONALD'S F911 FORESTVILLE MD"/>
    <n v="15.15"/>
    <s v="Restaurants"/>
    <x v="50"/>
    <x v="0"/>
    <s v="Food"/>
    <x v="9"/>
    <n v="2024"/>
    <d v="2024-09-23T00:00:00"/>
    <n v="4107.3999999999951"/>
    <n v="27"/>
    <s v="discover"/>
    <n v="0"/>
  </r>
  <r>
    <n v="1052"/>
    <n v="661"/>
    <d v="2024-09-23T00:00:00"/>
    <s v="MCDONALD'S F911 FORESTVILLE MD"/>
    <n v="11.44"/>
    <s v="Restaurants"/>
    <x v="50"/>
    <x v="0"/>
    <s v="Food"/>
    <x v="9"/>
    <n v="2024"/>
    <d v="2024-09-23T00:00:00"/>
    <n v="4118.8399999999947"/>
    <n v="28"/>
    <s v="discover"/>
    <n v="0"/>
  </r>
  <r>
    <n v="1053"/>
    <n v="662"/>
    <d v="2024-09-24T00:00:00"/>
    <s v="WALMART.COM 800-925-6278 ARWV7KVAWR4GBF"/>
    <n v="17.41"/>
    <s v="Merchandise"/>
    <x v="36"/>
    <x v="0"/>
    <s v="Personal_Spending"/>
    <x v="9"/>
    <n v="2024"/>
    <d v="2024-09-24T00:00:00"/>
    <n v="4136.2499999999955"/>
    <n v="54"/>
    <s v="discover"/>
    <n v="0"/>
  </r>
  <r>
    <n v="1054"/>
    <n v="663"/>
    <d v="2024-09-24T00:00:00"/>
    <s v="UBER *TRIP 866-576-1039 CA"/>
    <n v="69.900000000000006"/>
    <s v="Travel/ Entertainment"/>
    <x v="81"/>
    <x v="0"/>
    <s v="Transportation"/>
    <x v="9"/>
    <n v="2024"/>
    <d v="2024-09-24T00:00:00"/>
    <n v="4206.1499999999942"/>
    <n v="35"/>
    <s v="discover"/>
    <n v="0"/>
  </r>
  <r>
    <n v="1055"/>
    <n v="664"/>
    <d v="2024-09-24T00:00:00"/>
    <s v="SQ *CARIBBEAN SUPERIOR DISTRICT HEIGMD0002305843020670355471"/>
    <n v="41.33"/>
    <s v="Restaurants"/>
    <x v="50"/>
    <x v="0"/>
    <s v="Food"/>
    <x v="9"/>
    <n v="2024"/>
    <d v="2024-09-24T00:00:00"/>
    <n v="4247.4799999999941"/>
    <n v="29"/>
    <s v="discover"/>
    <n v="0"/>
  </r>
  <r>
    <n v="1056"/>
    <n v="665"/>
    <d v="2024-09-24T00:00:00"/>
    <s v="DD *DOORDASH LAUDNAIJA 6506819470 CA"/>
    <n v="28.28"/>
    <s v="Restaurants"/>
    <x v="76"/>
    <x v="0"/>
    <s v="Food"/>
    <x v="9"/>
    <n v="2024"/>
    <d v="2024-09-24T00:00:00"/>
    <n v="4275.7599999999939"/>
    <n v="3"/>
    <s v="discover"/>
    <n v="0"/>
  </r>
  <r>
    <n v="1057"/>
    <n v="666"/>
    <d v="2024-09-24T00:00:00"/>
    <s v="9358 PF PENN STATION LLC DISTRICT HTS MD"/>
    <n v="3.98"/>
    <s v="Travel/ Entertainment"/>
    <x v="27"/>
    <x v="0"/>
    <s v="Recreation_Entertainment"/>
    <x v="9"/>
    <n v="2024"/>
    <d v="2024-09-24T00:00:00"/>
    <n v="4279.7399999999934"/>
    <n v="27"/>
    <s v="discover"/>
    <n v="0"/>
  </r>
  <r>
    <n v="1058"/>
    <n v="667"/>
    <d v="2024-09-26T00:00:00"/>
    <s v="JASPERS RESTAURANT LARGO MD"/>
    <n v="45.11"/>
    <s v="Restaurants"/>
    <x v="40"/>
    <x v="0"/>
    <s v="Food"/>
    <x v="9"/>
    <n v="2024"/>
    <d v="2024-09-26T00:00:00"/>
    <n v="4324.8499999999931"/>
    <n v="62"/>
    <s v="discover"/>
    <n v="0"/>
  </r>
  <r>
    <n v="1059"/>
    <n v="668"/>
    <d v="2024-09-26T00:00:00"/>
    <s v="UBER *TRIP 866-576-1039 CA"/>
    <n v="10.48"/>
    <s v="Travel/ Entertainment"/>
    <x v="81"/>
    <x v="0"/>
    <s v="Transportation"/>
    <x v="9"/>
    <n v="2024"/>
    <d v="2024-09-26T00:00:00"/>
    <n v="4335.3299999999927"/>
    <n v="36"/>
    <s v="discover"/>
    <n v="0"/>
  </r>
  <r>
    <n v="1060"/>
    <n v="669"/>
    <d v="2024-09-26T00:00:00"/>
    <s v="UBER TRIP* TRIP 8665761039 CA"/>
    <n v="5"/>
    <s v="Travel/ Entertainment"/>
    <x v="81"/>
    <x v="0"/>
    <s v="Transportation"/>
    <x v="9"/>
    <n v="2024"/>
    <d v="2024-09-26T00:00:00"/>
    <n v="4340.3299999999927"/>
    <n v="37"/>
    <s v="discover"/>
    <n v="0"/>
  </r>
  <r>
    <n v="1061"/>
    <n v="670"/>
    <d v="2024-09-27T00:00:00"/>
    <s v="UBER *TRIP 866-576-1039 CA"/>
    <n v="25"/>
    <s v="Travel/ Entertainment"/>
    <x v="81"/>
    <x v="0"/>
    <s v="Transportation"/>
    <x v="9"/>
    <n v="2024"/>
    <d v="2024-09-27T00:00:00"/>
    <n v="4365.3299999999927"/>
    <n v="38"/>
    <s v="discover"/>
    <n v="0"/>
  </r>
  <r>
    <n v="1062"/>
    <n v="671"/>
    <d v="2024-09-27T00:00:00"/>
    <s v="UBER *TRIP 866-576-1039 CA"/>
    <n v="15.97"/>
    <s v="Travel/ Entertainment"/>
    <x v="81"/>
    <x v="0"/>
    <s v="Transportation"/>
    <x v="9"/>
    <n v="2024"/>
    <d v="2024-09-27T00:00:00"/>
    <n v="4381.2999999999929"/>
    <n v="39"/>
    <s v="discover"/>
    <n v="0"/>
  </r>
  <r>
    <n v="1063"/>
    <n v="672"/>
    <d v="2024-09-27T00:00:00"/>
    <s v="ONLYFANS.COM*A 8886880458 FL"/>
    <n v="11.99"/>
    <s v="Merchandise"/>
    <x v="38"/>
    <x v="0"/>
    <s v="Recreation_Entertainment"/>
    <x v="9"/>
    <n v="2024"/>
    <d v="2024-09-27T00:00:00"/>
    <n v="4393.2899999999927"/>
    <n v="67"/>
    <s v="discover"/>
    <n v="0"/>
  </r>
  <r>
    <n v="1064"/>
    <n v="673"/>
    <d v="2024-09-27T00:00:00"/>
    <s v="ONLYFANS.COM*A 8886880458 FL"/>
    <n v="10"/>
    <s v="Merchandise"/>
    <x v="38"/>
    <x v="0"/>
    <s v="Recreation_Entertainment"/>
    <x v="9"/>
    <n v="2024"/>
    <d v="2024-09-27T00:00:00"/>
    <n v="4403.2899999999927"/>
    <n v="68"/>
    <s v="discover"/>
    <n v="0"/>
  </r>
  <r>
    <n v="1065"/>
    <n v="674"/>
    <d v="2024-09-27T00:00:00"/>
    <s v="ADOBE *ADOBE 408-536-6000 CA"/>
    <n v="29.99"/>
    <s v="Merchandise"/>
    <x v="66"/>
    <x v="1"/>
    <s v="Personal_Spending"/>
    <x v="9"/>
    <n v="2024"/>
    <d v="2024-09-27T00:00:00"/>
    <n v="4433.2799999999916"/>
    <n v="9"/>
    <s v="discover"/>
    <n v="0"/>
  </r>
  <r>
    <n v="1066"/>
    <n v="675"/>
    <d v="2024-09-27T00:00:00"/>
    <s v="ONLYFANS.COM*A 8886880458 FL"/>
    <n v="10"/>
    <s v="Merchandise"/>
    <x v="38"/>
    <x v="0"/>
    <s v="Recreation_Entertainment"/>
    <x v="9"/>
    <n v="2024"/>
    <d v="2024-09-27T00:00:00"/>
    <n v="4443.2799999999916"/>
    <n v="69"/>
    <s v="discover"/>
    <n v="0"/>
  </r>
  <r>
    <n v="1067"/>
    <n v="676"/>
    <d v="2024-09-27T00:00:00"/>
    <s v="ONLYFANS.COM*A 8886880458 FL"/>
    <n v="3.75"/>
    <s v="Merchandise"/>
    <x v="38"/>
    <x v="0"/>
    <s v="Recreation_Entertainment"/>
    <x v="9"/>
    <n v="2024"/>
    <d v="2024-09-27T00:00:00"/>
    <n v="4447.0299999999916"/>
    <n v="70"/>
    <s v="discover"/>
    <n v="0"/>
  </r>
  <r>
    <n v="1068"/>
    <n v="677"/>
    <d v="2024-09-27T00:00:00"/>
    <s v="ONLYFANS.COM*A 8886880458 FL"/>
    <n v="10"/>
    <s v="Merchandise"/>
    <x v="38"/>
    <x v="0"/>
    <s v="Recreation_Entertainment"/>
    <x v="9"/>
    <n v="2024"/>
    <d v="2024-09-27T00:00:00"/>
    <n v="4457.0299999999916"/>
    <n v="71"/>
    <s v="discover"/>
    <n v="0"/>
  </r>
  <r>
    <n v="1069"/>
    <n v="678"/>
    <d v="2024-09-28T00:00:00"/>
    <s v="668 - @EASE - BWI BALTIMORE MD02861P"/>
    <n v="75.239999999999995"/>
    <s v="Merchandise"/>
    <x v="64"/>
    <x v="0"/>
    <s v="Travel"/>
    <x v="9"/>
    <n v="2024"/>
    <d v="2024-09-28T00:00:00"/>
    <n v="4532.2699999999923"/>
    <n v="4"/>
    <s v="discover"/>
    <n v="0"/>
  </r>
  <r>
    <n v="1070"/>
    <n v="679"/>
    <d v="2024-09-29T00:00:00"/>
    <s v="INTERNET PAYMENT - THANK YOU"/>
    <n v="-4363.2"/>
    <s v="Payments and Credits"/>
    <x v="55"/>
    <x v="0"/>
    <s v="Payment_and_Interest"/>
    <x v="9"/>
    <n v="2024"/>
    <d v="2024-09-29T00:00:00"/>
    <n v="169.0699999999924"/>
    <n v="15"/>
    <s v="discover"/>
    <n v="0"/>
  </r>
  <r>
    <n v="1071"/>
    <n v="680"/>
    <d v="2024-09-29T00:00:00"/>
    <s v="SANDBOXX 617-435-7479 VA"/>
    <n v="2.15"/>
    <s v="Services"/>
    <x v="94"/>
    <x v="0"/>
    <s v="People"/>
    <x v="9"/>
    <n v="2024"/>
    <d v="2024-09-29T00:00:00"/>
    <n v="171.21999999999241"/>
    <n v="2"/>
    <s v="discover"/>
    <n v="0"/>
  </r>
  <r>
    <n v="1072"/>
    <n v="681"/>
    <d v="2024-09-29T00:00:00"/>
    <s v="VALVE BELLEVUE WA"/>
    <n v="69.989999999999995"/>
    <s v="Merchandise"/>
    <x v="37"/>
    <x v="0"/>
    <s v="Recreation_Entertainment"/>
    <x v="9"/>
    <n v="2024"/>
    <d v="2024-09-29T00:00:00"/>
    <n v="241.20999999999239"/>
    <n v="10"/>
    <s v="discover"/>
    <n v="0"/>
  </r>
  <r>
    <n v="1073"/>
    <n v="682"/>
    <d v="2024-09-30T00:00:00"/>
    <s v="ONLYFANS.COM*A 8886880458 FL"/>
    <n v="15.99"/>
    <s v="Merchandise"/>
    <x v="38"/>
    <x v="0"/>
    <s v="Recreation_Entertainment"/>
    <x v="9"/>
    <n v="2024"/>
    <d v="2024-09-30T00:00:00"/>
    <n v="257.19999999999237"/>
    <n v="72"/>
    <s v="discover"/>
    <n v="0"/>
  </r>
  <r>
    <n v="1074"/>
    <n v="683"/>
    <d v="2024-09-30T00:00:00"/>
    <s v="SAFEWAY #1547 BURLINGAME CA"/>
    <n v="50.32"/>
    <s v="Supermarkets"/>
    <x v="26"/>
    <x v="0"/>
    <s v="Food"/>
    <x v="9"/>
    <n v="2024"/>
    <d v="2024-09-30T00:00:00"/>
    <n v="307.51999999999242"/>
    <n v="33"/>
    <s v="discover"/>
    <n v="1"/>
  </r>
  <r>
    <n v="1075"/>
    <n v="684"/>
    <d v="2024-10-01T00:00:00"/>
    <s v="PLANNED PARENTHOOD ACTIO NEW YORK NY"/>
    <n v="5"/>
    <s v="Services"/>
    <x v="31"/>
    <x v="1"/>
    <s v="Personal_Spending"/>
    <x v="10"/>
    <n v="2024"/>
    <d v="2024-10-01T00:00:00"/>
    <n v="312.51999999999242"/>
    <n v="10"/>
    <s v="discover"/>
    <n v="0"/>
  </r>
  <r>
    <n v="1076"/>
    <n v="685"/>
    <d v="2024-10-01T00:00:00"/>
    <s v="WALMART.COM 8009256278 BENTONVILLE AR"/>
    <n v="-13.55"/>
    <s v="Payments and Credits"/>
    <x v="36"/>
    <x v="0"/>
    <s v="Personal_Spending"/>
    <x v="10"/>
    <n v="2024"/>
    <d v="2024-10-01T00:00:00"/>
    <n v="298.96999999999241"/>
    <n v="55"/>
    <s v="discover"/>
    <n v="0"/>
  </r>
  <r>
    <n v="1077"/>
    <n v="686"/>
    <d v="2024-10-01T00:00:00"/>
    <s v="SPOTIFY P305B8CC16 8777781161 NY"/>
    <n v="5.99"/>
    <s v="Merchandise"/>
    <x v="32"/>
    <x v="1"/>
    <s v="Recreation_Entertainment"/>
    <x v="10"/>
    <n v="2024"/>
    <d v="2024-10-01T00:00:00"/>
    <n v="304.95999999999242"/>
    <n v="10"/>
    <s v="discover"/>
    <n v="0"/>
  </r>
  <r>
    <n v="1078"/>
    <n v="687"/>
    <d v="2024-10-01T00:00:00"/>
    <s v="SAN MATEO COUNTY BAR ASS 650-2984030 CA"/>
    <n v="35"/>
    <s v="Services"/>
    <x v="40"/>
    <x v="0"/>
    <s v="Food"/>
    <x v="10"/>
    <n v="2024"/>
    <d v="2024-10-01T00:00:00"/>
    <n v="339.95999999999242"/>
    <n v="63"/>
    <s v="discover"/>
    <n v="0"/>
  </r>
  <r>
    <n v="1079"/>
    <n v="688"/>
    <d v="2024-10-01T00:00:00"/>
    <s v="OPENAI *CHATGPT SUBSCR 4158799686 CA"/>
    <n v="20"/>
    <s v="Merchandise"/>
    <x v="30"/>
    <x v="1"/>
    <s v="Personal_Spending"/>
    <x v="10"/>
    <n v="2024"/>
    <d v="2024-10-01T00:00:00"/>
    <n v="359.95999999999242"/>
    <n v="10"/>
    <s v="discover"/>
    <n v="0"/>
  </r>
  <r>
    <n v="1080"/>
    <n v="689"/>
    <d v="2024-10-01T00:00:00"/>
    <s v="UBER *TRIP 866-576-1039 CA"/>
    <n v="13.96"/>
    <s v="Travel/ Entertainment"/>
    <x v="81"/>
    <x v="0"/>
    <s v="Transportation"/>
    <x v="10"/>
    <n v="2024"/>
    <d v="2024-10-01T00:00:00"/>
    <n v="373.9199999999924"/>
    <n v="40"/>
    <s v="discover"/>
    <n v="0"/>
  </r>
  <r>
    <n v="1081"/>
    <n v="690"/>
    <d v="2024-10-01T00:00:00"/>
    <s v="TARGET 00011221091 SAN MATEO CA"/>
    <n v="80.03"/>
    <s v="Supermarkets"/>
    <x v="36"/>
    <x v="0"/>
    <s v="Personal_Spending"/>
    <x v="10"/>
    <n v="2024"/>
    <d v="2024-10-01T00:00:00"/>
    <n v="453.94999999999237"/>
    <n v="56"/>
    <s v="discover"/>
    <n v="0"/>
  </r>
  <r>
    <n v="1082"/>
    <n v="691"/>
    <d v="2024-10-02T00:00:00"/>
    <s v="WALMART STORE 02280 MOUNTAIN VIEWCA"/>
    <n v="29.54"/>
    <s v="Merchandise"/>
    <x v="36"/>
    <x v="0"/>
    <s v="Personal_Spending"/>
    <x v="10"/>
    <n v="2024"/>
    <d v="2024-10-02T00:00:00"/>
    <n v="483.48999999999239"/>
    <n v="57"/>
    <s v="discover"/>
    <n v="0"/>
  </r>
  <r>
    <n v="1083"/>
    <n v="692"/>
    <d v="2024-10-02T00:00:00"/>
    <s v="CAS PROF ONLINE SALES 703-276-3100 VACAS PROF ONLINE SALES"/>
    <n v="50"/>
    <s v="Services"/>
    <x v="90"/>
    <x v="0"/>
    <s v="Personal_Spending"/>
    <x v="10"/>
    <n v="2024"/>
    <d v="2024-10-02T00:00:00"/>
    <n v="533.48999999999251"/>
    <n v="3"/>
    <s v="discover"/>
    <n v="0"/>
  </r>
  <r>
    <n v="1084"/>
    <n v="693"/>
    <d v="2024-10-02T00:00:00"/>
    <s v="GNC 00986 SAN MATEO CA028263"/>
    <n v="36.42"/>
    <s v="Supermarkets"/>
    <x v="70"/>
    <x v="0"/>
    <s v="Personal_Spending"/>
    <x v="10"/>
    <n v="2024"/>
    <d v="2024-10-02T00:00:00"/>
    <n v="569.90999999999246"/>
    <n v="10"/>
    <s v="discover"/>
    <n v="0"/>
  </r>
  <r>
    <n v="1085"/>
    <n v="694"/>
    <d v="2024-10-02T00:00:00"/>
    <s v="BREAKING POINTS-LOCALS 2025317527 DCITEM TRANSFERRED FROM PREV ACCOUNT"/>
    <n v="10"/>
    <s v="Merchandise"/>
    <x v="34"/>
    <x v="1"/>
    <s v="Recreation_Entertainment"/>
    <x v="10"/>
    <n v="2024"/>
    <d v="2024-10-02T00:00:00"/>
    <n v="579.90999999999246"/>
    <n v="10"/>
    <s v="discover"/>
    <n v="0"/>
  </r>
  <r>
    <n v="1086"/>
    <n v="695"/>
    <d v="2024-10-02T00:00:00"/>
    <s v="ONEPASS 877-515-9364 MN693717"/>
    <n v="273.60000000000002"/>
    <s v="Services"/>
    <x v="33"/>
    <x v="1"/>
    <s v="Personal_Spending"/>
    <x v="10"/>
    <n v="2024"/>
    <d v="2024-10-02T00:00:00"/>
    <n v="853.50999999999249"/>
    <n v="12"/>
    <s v="discover"/>
    <n v="0"/>
  </r>
  <r>
    <n v="1087"/>
    <n v="696"/>
    <d v="2024-10-03T00:00:00"/>
    <s v="AUTOMATIC STATEMENT CREDIT"/>
    <n v="-46.21"/>
    <s v="Awards and Rebate Credits"/>
    <x v="39"/>
    <x v="0"/>
    <s v="Payment_and_Interest"/>
    <x v="10"/>
    <n v="2024"/>
    <d v="2024-10-03T00:00:00"/>
    <n v="807.29999999999245"/>
    <n v="10"/>
    <s v="discover"/>
    <n v="0"/>
  </r>
  <r>
    <n v="1088"/>
    <n v="697"/>
    <d v="2024-10-03T00:00:00"/>
    <s v="SP BASKETBALL FORM 7657489904 NC"/>
    <n v="76.98"/>
    <s v="Merchandise"/>
    <x v="99"/>
    <x v="0"/>
    <s v="Recreation_Entertainment"/>
    <x v="10"/>
    <n v="2024"/>
    <d v="2024-10-03T00:00:00"/>
    <n v="884.27999999999247"/>
    <n v="1"/>
    <s v="discover"/>
    <n v="0"/>
  </r>
  <r>
    <n v="1089"/>
    <n v="698"/>
    <d v="2024-10-04T00:00:00"/>
    <s v="SAFEWAY #1547 BURLINGAME CA"/>
    <n v="41.92"/>
    <s v="Supermarkets"/>
    <x v="26"/>
    <x v="0"/>
    <s v="Food"/>
    <x v="10"/>
    <n v="2024"/>
    <d v="2024-10-04T00:00:00"/>
    <n v="926.19999999999243"/>
    <n v="34"/>
    <s v="discover"/>
    <n v="0"/>
  </r>
  <r>
    <n v="1090"/>
    <n v="699"/>
    <d v="2024-10-05T00:00:00"/>
    <s v="FAIRMONT SAN FRANCISCO F SAN FRANCISCOCA"/>
    <n v="29.55"/>
    <s v="Restaurants"/>
    <x v="50"/>
    <x v="0"/>
    <s v="Food"/>
    <x v="10"/>
    <n v="2024"/>
    <d v="2024-10-05T00:00:00"/>
    <n v="955.74999999999238"/>
    <n v="30"/>
    <s v="discover"/>
    <n v="0"/>
  </r>
  <r>
    <n v="1091"/>
    <n v="700"/>
    <d v="2024-10-06T00:00:00"/>
    <s v="ONLYFANS.COM*A 8886880458 FL"/>
    <n v="9.99"/>
    <s v="Merchandise"/>
    <x v="38"/>
    <x v="0"/>
    <s v="Recreation_Entertainment"/>
    <x v="10"/>
    <n v="2024"/>
    <d v="2024-10-06T00:00:00"/>
    <n v="965.73999999999239"/>
    <n v="73"/>
    <s v="discover"/>
    <n v="0"/>
  </r>
  <r>
    <n v="1092"/>
    <n v="701"/>
    <d v="2024-10-07T00:00:00"/>
    <s v="THE SANDWICH SPOT REDWOOD CITY CA"/>
    <n v="40.700000000000003"/>
    <s v="Restaurants"/>
    <x v="50"/>
    <x v="0"/>
    <s v="Food"/>
    <x v="10"/>
    <n v="2024"/>
    <d v="2024-10-07T00:00:00"/>
    <n v="1006.439999999992"/>
    <n v="31"/>
    <s v="discover"/>
    <n v="0"/>
  </r>
  <r>
    <n v="1093"/>
    <n v="702"/>
    <d v="2024-10-08T00:00:00"/>
    <s v="TARGET 00011221091 SAN MATEO CA"/>
    <n v="128.41999999999999"/>
    <s v="Supermarkets"/>
    <x v="36"/>
    <x v="0"/>
    <s v="Personal_Spending"/>
    <x v="10"/>
    <n v="2024"/>
    <d v="2024-10-08T00:00:00"/>
    <n v="1134.8599999999919"/>
    <n v="58"/>
    <s v="discover"/>
    <n v="0"/>
  </r>
  <r>
    <n v="1094"/>
    <n v="703"/>
    <d v="2024-10-08T00:00:00"/>
    <s v="SANDBOXX 617-435-7479 VA"/>
    <n v="19.43"/>
    <s v="Services"/>
    <x v="94"/>
    <x v="0"/>
    <s v="People"/>
    <x v="10"/>
    <n v="2024"/>
    <d v="2024-10-08T00:00:00"/>
    <n v="1154.289999999992"/>
    <n v="3"/>
    <s v="discover"/>
    <n v="0"/>
  </r>
  <r>
    <n v="1095"/>
    <n v="704"/>
    <d v="2024-10-08T00:00:00"/>
    <s v="ONLYFANS.COM*A 8886880458 FL"/>
    <n v="12"/>
    <s v="Merchandise"/>
    <x v="38"/>
    <x v="0"/>
    <s v="Recreation_Entertainment"/>
    <x v="10"/>
    <n v="2024"/>
    <d v="2024-10-08T00:00:00"/>
    <n v="1166.289999999992"/>
    <n v="74"/>
    <s v="discover"/>
    <n v="0"/>
  </r>
  <r>
    <n v="1096"/>
    <n v="705"/>
    <d v="2024-10-08T00:00:00"/>
    <s v="ONLYFANS.COM*A 8886880458 FL"/>
    <n v="9.99"/>
    <s v="Merchandise"/>
    <x v="38"/>
    <x v="0"/>
    <s v="Recreation_Entertainment"/>
    <x v="10"/>
    <n v="2024"/>
    <d v="2024-10-08T00:00:00"/>
    <n v="1176.279999999992"/>
    <n v="75"/>
    <s v="discover"/>
    <n v="0"/>
  </r>
  <r>
    <n v="1097"/>
    <n v="706"/>
    <d v="2024-10-08T00:00:00"/>
    <s v="ONLYFANS.COM*A 8886880458 FL"/>
    <n v="11.99"/>
    <s v="Merchandise"/>
    <x v="38"/>
    <x v="0"/>
    <s v="Recreation_Entertainment"/>
    <x v="10"/>
    <n v="2024"/>
    <d v="2024-10-08T00:00:00"/>
    <n v="1188.269999999992"/>
    <n v="76"/>
    <s v="discover"/>
    <n v="0"/>
  </r>
  <r>
    <n v="1098"/>
    <n v="707"/>
    <d v="2024-10-08T00:00:00"/>
    <s v="ONLYFANS 8886880458 FL"/>
    <n v="15"/>
    <s v="Merchandise"/>
    <x v="38"/>
    <x v="0"/>
    <s v="Recreation_Entertainment"/>
    <x v="10"/>
    <n v="2024"/>
    <d v="2024-10-08T00:00:00"/>
    <n v="1203.269999999992"/>
    <n v="77"/>
    <s v="discover"/>
    <n v="0"/>
  </r>
  <r>
    <n v="1099"/>
    <n v="708"/>
    <d v="2024-10-08T00:00:00"/>
    <s v="GITHUB, INC. 8774484820 CA"/>
    <n v="100"/>
    <s v="Services"/>
    <x v="90"/>
    <x v="0"/>
    <s v="Personal_Spending"/>
    <x v="10"/>
    <n v="2024"/>
    <d v="2024-10-08T00:00:00"/>
    <n v="1303.269999999992"/>
    <n v="4"/>
    <s v="discover"/>
    <n v="0"/>
  </r>
  <r>
    <n v="1100"/>
    <n v="709"/>
    <d v="2024-10-08T00:00:00"/>
    <s v="CASH APP LUCIAN FRAZIE CASH.APP CA"/>
    <n v="5.15"/>
    <s v="Services"/>
    <x v="10"/>
    <x v="0"/>
    <s v="Misc"/>
    <x v="10"/>
    <n v="2024"/>
    <d v="2024-10-08T00:00:00"/>
    <n v="1308.419999999993"/>
    <n v="3"/>
    <s v="discover"/>
    <n v="0"/>
  </r>
  <r>
    <n v="1101"/>
    <n v="710"/>
    <d v="2024-10-08T00:00:00"/>
    <s v="CASH APP LUCIAN FRAZIE CASH.APP CA"/>
    <n v="5.15"/>
    <s v="Services"/>
    <x v="10"/>
    <x v="0"/>
    <s v="Misc"/>
    <x v="10"/>
    <n v="2024"/>
    <d v="2024-10-08T00:00:00"/>
    <n v="1313.5699999999929"/>
    <n v="4"/>
    <s v="discover"/>
    <n v="0"/>
  </r>
  <r>
    <n v="1102"/>
    <n v="711"/>
    <d v="2024-10-08T00:00:00"/>
    <s v="ONLYFANS.COM*A 8886880458 FL"/>
    <n v="6.99"/>
    <s v="Merchandise"/>
    <x v="38"/>
    <x v="0"/>
    <s v="Recreation_Entertainment"/>
    <x v="10"/>
    <n v="2024"/>
    <d v="2024-10-08T00:00:00"/>
    <n v="1320.5599999999929"/>
    <n v="78"/>
    <s v="discover"/>
    <n v="0"/>
  </r>
  <r>
    <n v="1103"/>
    <n v="712"/>
    <d v="2024-10-09T00:00:00"/>
    <s v="AMAZON MKTPL*OS2CF6443 AMZN.COM/BILLWA6LKNGHNXE14"/>
    <n v="197.27"/>
    <s v="Merchandise"/>
    <x v="36"/>
    <x v="0"/>
    <s v="Personal_Spending"/>
    <x v="10"/>
    <n v="2024"/>
    <d v="2024-10-09T00:00:00"/>
    <n v="1517.8299999999931"/>
    <n v="59"/>
    <s v="discover"/>
    <n v="0"/>
  </r>
  <r>
    <n v="1104"/>
    <n v="713"/>
    <d v="2024-10-09T00:00:00"/>
    <s v="ATG USA LLC 727-2824429 FL"/>
    <n v="49.5"/>
    <s v="Merchandise"/>
    <x v="49"/>
    <x v="1"/>
    <s v="Personal_Spending"/>
    <x v="10"/>
    <n v="2024"/>
    <d v="2024-10-09T00:00:00"/>
    <n v="1567.3299999999931"/>
    <n v="4"/>
    <s v="discover"/>
    <n v="0"/>
  </r>
  <r>
    <n v="1105"/>
    <n v="714"/>
    <d v="2024-10-09T00:00:00"/>
    <s v="SANMATEOCOURT FINE PAY 650-261-5036 CAPMT469351"/>
    <n v="367"/>
    <s v="Government Services"/>
    <x v="100"/>
    <x v="0"/>
    <s v="Government"/>
    <x v="10"/>
    <n v="2024"/>
    <d v="2024-10-09T00:00:00"/>
    <n v="1934.3299999999931"/>
    <n v="1"/>
    <s v="discover"/>
    <n v="0"/>
  </r>
  <r>
    <n v="1106"/>
    <n v="715"/>
    <d v="2024-10-09T00:00:00"/>
    <s v="THE SANDWICH SPOT 650-299-1300 CAITEM TRANSFERRED FROM PREV ACCOUNT"/>
    <n v="25.07"/>
    <s v="Merchandise"/>
    <x v="50"/>
    <x v="0"/>
    <s v="Food"/>
    <x v="10"/>
    <n v="2024"/>
    <d v="2024-10-09T00:00:00"/>
    <n v="1959.399999999993"/>
    <n v="32"/>
    <s v="discover"/>
    <n v="0"/>
  </r>
  <r>
    <n v="1107"/>
    <n v="716"/>
    <d v="2024-10-11T00:00:00"/>
    <s v="DD *MEDITERRANEANKEBAB 6506819470 CAITEM TRANSFERRED FROM PREV ACCOUNT"/>
    <n v="42.67"/>
    <s v="Merchandise"/>
    <x v="50"/>
    <x v="0"/>
    <s v="Food"/>
    <x v="10"/>
    <n v="2024"/>
    <d v="2024-10-11T00:00:00"/>
    <n v="2002.0699999999929"/>
    <n v="33"/>
    <s v="discover"/>
    <n v="0"/>
  </r>
  <r>
    <n v="1108"/>
    <n v="717"/>
    <d v="2024-10-11T00:00:00"/>
    <s v="TRADER JOE S #067 SAN MATEO CAITEM TRANSFERRED FROM PREV ACCOUNT"/>
    <n v="55.19"/>
    <s v="Merchandise"/>
    <x v="26"/>
    <x v="0"/>
    <s v="Food"/>
    <x v="10"/>
    <n v="2024"/>
    <d v="2024-10-11T00:00:00"/>
    <n v="2057.259999999992"/>
    <n v="35"/>
    <s v="discover"/>
    <n v="0"/>
  </r>
  <r>
    <n v="1109"/>
    <n v="718"/>
    <d v="2024-10-12T00:00:00"/>
    <s v="BEST BUY 00001404295 SAN CARLOS CAITEM TRANSFERRED FROM PREV ACCOUNT"/>
    <n v="15.83"/>
    <s v="Merchandise"/>
    <x v="86"/>
    <x v="0"/>
    <s v="Recreation_Entertainment"/>
    <x v="10"/>
    <n v="2024"/>
    <d v="2024-10-12T00:00:00"/>
    <n v="2073.089999999992"/>
    <n v="3"/>
    <s v="discover"/>
    <n v="0"/>
  </r>
  <r>
    <n v="1110"/>
    <n v="719"/>
    <d v="2024-10-12T00:00:00"/>
    <s v="GOOGLE *GOOGLE ONE G.CO/HELPPAY#CAITEM TRANSFERRED FROM PREV ACCOUNT"/>
    <n v="2.11"/>
    <s v="Merchandise"/>
    <x v="91"/>
    <x v="1"/>
    <s v="Personal_Spending"/>
    <x v="10"/>
    <n v="2024"/>
    <d v="2024-10-12T00:00:00"/>
    <n v="2075.199999999993"/>
    <n v="3"/>
    <s v="discover"/>
    <n v="0"/>
  </r>
  <r>
    <n v="1111"/>
    <n v="720"/>
    <d v="2024-10-12T00:00:00"/>
    <s v="INTERNET PAYMENT - THANK YOU"/>
    <n v="-1961.34"/>
    <s v="Payments and Credits"/>
    <x v="55"/>
    <x v="0"/>
    <s v="Payment_and_Interest"/>
    <x v="10"/>
    <n v="2024"/>
    <d v="2024-10-12T00:00:00"/>
    <n v="113.8599999999926"/>
    <n v="16"/>
    <s v="discover"/>
    <n v="0"/>
  </r>
  <r>
    <n v="1112"/>
    <n v="721"/>
    <d v="2024-10-13T00:00:00"/>
    <s v="TM *TICKETMASTER 415-421-8497 CAITEM TRANSFERRED FROM PREV ACCOUNT"/>
    <n v="112.5"/>
    <s v="Merchandise"/>
    <x v="53"/>
    <x v="0"/>
    <s v="Recreation_Entertainment"/>
    <x v="10"/>
    <n v="2024"/>
    <d v="2024-10-13T00:00:00"/>
    <n v="226.3599999999926"/>
    <n v="4"/>
    <s v="discover"/>
    <n v="0"/>
  </r>
  <r>
    <n v="1113"/>
    <n v="722"/>
    <d v="2024-10-13T00:00:00"/>
    <s v="TACO BELL 30746 SAN MATEO CAITEM TRANSFERRED FROM PREV ACCOUNT"/>
    <n v="18.16"/>
    <s v="Merchandise"/>
    <x v="50"/>
    <x v="0"/>
    <s v="Food"/>
    <x v="10"/>
    <n v="2024"/>
    <d v="2024-10-13T00:00:00"/>
    <n v="244.51999999999259"/>
    <n v="34"/>
    <s v="discover"/>
    <n v="0"/>
  </r>
  <r>
    <n v="1114"/>
    <n v="723"/>
    <d v="2024-10-13T00:00:00"/>
    <s v="CASH APP LUCIAN FRAZIE CASH.APP CASECURITY DISPUTE ADJUSTMENT"/>
    <n v="-5.15"/>
    <s v="Payments and Credits"/>
    <x v="10"/>
    <x v="0"/>
    <s v="Misc"/>
    <x v="10"/>
    <n v="2024"/>
    <d v="2024-10-13T00:00:00"/>
    <n v="239.36999999999259"/>
    <n v="5"/>
    <s v="discover"/>
    <n v="0"/>
  </r>
  <r>
    <n v="1115"/>
    <n v="724"/>
    <d v="2024-10-13T00:00:00"/>
    <s v="CASH APP LUCIAN FRAZIE CASH.APP CASECURITY DISPUTE ADJUSTMENT"/>
    <n v="-5.15"/>
    <s v="Payments and Credits"/>
    <x v="10"/>
    <x v="0"/>
    <s v="Misc"/>
    <x v="10"/>
    <n v="2024"/>
    <d v="2024-10-13T00:00:00"/>
    <n v="234.21999999999261"/>
    <n v="6"/>
    <s v="discover"/>
    <n v="0"/>
  </r>
  <r>
    <n v="1116"/>
    <n v="725"/>
    <d v="2024-10-13T00:00:00"/>
    <s v="GAMERSNEXUS.NET 9294696983 NCITEM TRANSFERRED FROM PREV ACCOUNT"/>
    <n v="124.99"/>
    <s v="Merchandise"/>
    <x v="86"/>
    <x v="0"/>
    <s v="Recreation_Entertainment"/>
    <x v="10"/>
    <n v="2024"/>
    <d v="2024-10-13T00:00:00"/>
    <n v="359.20999999999259"/>
    <n v="4"/>
    <s v="discover"/>
    <n v="0"/>
  </r>
  <r>
    <n v="1117"/>
    <n v="726"/>
    <d v="2024-10-14T00:00:00"/>
    <s v="AMAZON.COM*K82808U43 AMZN.COM/BILLWAITEM TRANSFERRED FROM PREV ACCOUNT"/>
    <n v="137.02000000000001"/>
    <s v="Merchandise"/>
    <x v="36"/>
    <x v="0"/>
    <s v="Personal_Spending"/>
    <x v="10"/>
    <n v="2024"/>
    <d v="2024-10-14T00:00:00"/>
    <n v="496.22999999999257"/>
    <n v="60"/>
    <s v="discover"/>
    <n v="0"/>
  </r>
  <r>
    <n v="1118"/>
    <n v="727"/>
    <d v="2024-10-14T00:00:00"/>
    <s v="CENTRAL COMPUTERS OF S SANTA CLARA CAITEM TRANSFERRED FROM PREV ACCOUNT"/>
    <n v="9.8800000000000008"/>
    <s v="Merchandise"/>
    <x v="86"/>
    <x v="0"/>
    <s v="Recreation_Entertainment"/>
    <x v="10"/>
    <n v="2024"/>
    <d v="2024-10-14T00:00:00"/>
    <n v="506.10999999999262"/>
    <n v="5"/>
    <s v="discover"/>
    <n v="0"/>
  </r>
  <r>
    <n v="1119"/>
    <n v="728"/>
    <d v="2024-10-14T00:00:00"/>
    <s v="ONLYFANS.COM*A 8886880458 FLITEM TRANSFERRED FROM PREV ACCOUNT"/>
    <n v="5"/>
    <s v="Merchandise"/>
    <x v="38"/>
    <x v="0"/>
    <s v="Recreation_Entertainment"/>
    <x v="10"/>
    <n v="2024"/>
    <d v="2024-10-14T00:00:00"/>
    <n v="511.10999999999262"/>
    <n v="79"/>
    <s v="discover"/>
    <n v="0"/>
  </r>
  <r>
    <n v="1120"/>
    <n v="729"/>
    <d v="2024-10-14T00:00:00"/>
    <s v="RPS UNIVERSAL INC SAN MATEO CAITEM TRANSFERRED FROM PREV ACCOUNT"/>
    <n v="21.21"/>
    <s v="Merchandise"/>
    <x v="10"/>
    <x v="0"/>
    <s v="Misc"/>
    <x v="10"/>
    <n v="2024"/>
    <d v="2024-10-14T00:00:00"/>
    <n v="532.31999999999266"/>
    <n v="7"/>
    <s v="discover"/>
    <n v="1"/>
  </r>
  <r>
    <n v="1121"/>
    <n v="730"/>
    <d v="2024-10-14T00:00:00"/>
    <s v="THE HOME DEPOT #0632 SAN MATEO CAITEM TRANSFERRED FROM PREV ACCOUNT"/>
    <n v="4.3600000000000003"/>
    <s v="Merchandise"/>
    <x v="78"/>
    <x v="0"/>
    <s v="Housing"/>
    <x v="10"/>
    <n v="2024"/>
    <d v="2024-10-14T00:00:00"/>
    <n v="536.67999999999267"/>
    <n v="3"/>
    <s v="discover"/>
    <n v="0"/>
  </r>
  <r>
    <n v="1122"/>
    <n v="731"/>
    <d v="2024-10-17T00:00:00"/>
    <s v="DD *COBANIGYROSKEBA 6506819470 CAITEM TRANSFERRED FROM PREV ACCOUNT"/>
    <n v="52.15"/>
    <s v="Merchandise"/>
    <x v="40"/>
    <x v="0"/>
    <s v="Food"/>
    <x v="10"/>
    <n v="2024"/>
    <d v="2024-10-17T00:00:00"/>
    <n v="588.82999999999265"/>
    <n v="64"/>
    <s v="discover"/>
    <n v="0"/>
  </r>
  <r>
    <n v="1123"/>
    <n v="732"/>
    <d v="2024-10-18T00:00:00"/>
    <s v="TM *FOSTER THE PEOPLE- 800-653-8000 CANCA/16-46524"/>
    <n v="124.2"/>
    <s v="Travel/ Entertainment"/>
    <x v="45"/>
    <x v="0"/>
    <s v="Recreation_Entertainment"/>
    <x v="10"/>
    <n v="2024"/>
    <d v="2024-10-18T00:00:00"/>
    <n v="713.0299999999927"/>
    <n v="8"/>
    <s v="discover"/>
    <n v="0"/>
  </r>
  <r>
    <n v="1124"/>
    <n v="733"/>
    <d v="2024-10-18T00:00:00"/>
    <s v="TST*WALIA ETHIOPIAN CU SAN JOSE CAITEM TRANSFERRED FROM PREV ACCOUNT"/>
    <n v="109.78"/>
    <s v="Merchandise"/>
    <x v="58"/>
    <x v="0"/>
    <s v="Travel"/>
    <x v="10"/>
    <n v="2024"/>
    <d v="2024-10-18T00:00:00"/>
    <n v="822.80999999999267"/>
    <n v="52"/>
    <s v="discover"/>
    <n v="0"/>
  </r>
  <r>
    <n v="1125"/>
    <n v="734"/>
    <d v="2024-10-19T00:00:00"/>
    <s v="ONLYFANS.COM*A 8886880458 FLITEM TRANSFERRED FROM PREV ACCOUNT"/>
    <n v="20"/>
    <s v="Merchandise"/>
    <x v="38"/>
    <x v="0"/>
    <s v="Recreation_Entertainment"/>
    <x v="10"/>
    <n v="2024"/>
    <d v="2024-10-19T00:00:00"/>
    <n v="842.80999999999267"/>
    <n v="80"/>
    <s v="discover"/>
    <n v="0"/>
  </r>
  <r>
    <n v="1126"/>
    <n v="735"/>
    <d v="2024-10-19T00:00:00"/>
    <s v="SPEEDWAY 04976 501 SERRA DALY CITY CAITEM TRANSFERRED FROM PREV ACCOUNT"/>
    <n v="49.06"/>
    <s v="Merchandise"/>
    <x v="47"/>
    <x v="0"/>
    <s v="Transportation"/>
    <x v="10"/>
    <n v="2024"/>
    <d v="2024-10-19T00:00:00"/>
    <n v="891.86999999999261"/>
    <n v="13"/>
    <s v="discover"/>
    <n v="0"/>
  </r>
  <r>
    <n v="1127"/>
    <n v="736"/>
    <d v="2024-10-19T00:00:00"/>
    <s v="MCDONALD'S F3709 DALY CITY CAITEM TRANSFERRED FROM PREV ACCOUNT"/>
    <n v="22.59"/>
    <s v="Merchandise"/>
    <x v="50"/>
    <x v="0"/>
    <s v="Food"/>
    <x v="10"/>
    <n v="2024"/>
    <d v="2024-10-19T00:00:00"/>
    <n v="914.45999999999265"/>
    <n v="35"/>
    <s v="discover"/>
    <n v="0"/>
  </r>
  <r>
    <n v="1128"/>
    <n v="737"/>
    <d v="2024-10-20T00:00:00"/>
    <s v="LIFETIME TENNIS INC - SA SAN FRANCISCOCA"/>
    <n v="19"/>
    <s v="Travel/ Entertainment"/>
    <x v="10"/>
    <x v="0"/>
    <s v="Misc"/>
    <x v="10"/>
    <n v="2024"/>
    <d v="2024-10-20T00:00:00"/>
    <n v="933.45999999999265"/>
    <n v="8"/>
    <s v="discover"/>
    <n v="0"/>
  </r>
  <r>
    <n v="1129"/>
    <n v="738"/>
    <d v="2024-10-20T00:00:00"/>
    <s v="SOURDOUGH &amp; CO DALY CITY DALY CITY CAITEM TRANSFERRED FROM PREV ACCOUNT"/>
    <n v="17.399999999999999"/>
    <s v="Merchandise"/>
    <x v="50"/>
    <x v="0"/>
    <s v="Food"/>
    <x v="10"/>
    <n v="2024"/>
    <d v="2024-10-20T00:00:00"/>
    <n v="950.85999999999262"/>
    <n v="36"/>
    <s v="discover"/>
    <n v="0"/>
  </r>
  <r>
    <n v="1130"/>
    <n v="739"/>
    <d v="2024-10-21T00:00:00"/>
    <s v="ORTHOPEDIC SPORTS MEDICI SAN MATEO CA"/>
    <n v="30"/>
    <s v="Medical Services"/>
    <x v="101"/>
    <x v="1"/>
    <s v="Medical"/>
    <x v="10"/>
    <n v="2024"/>
    <d v="2024-10-21T00:00:00"/>
    <n v="980.85999999999262"/>
    <n v="1"/>
    <s v="discover"/>
    <n v="0"/>
  </r>
  <r>
    <n v="1131"/>
    <n v="740"/>
    <d v="2024-10-21T00:00:00"/>
    <s v="UNIQLO USA LLC UNIQLO  SAN MATEO CA"/>
    <n v="54.7"/>
    <s v="Merchandise"/>
    <x v="56"/>
    <x v="0"/>
    <s v="Personal_Spending"/>
    <x v="10"/>
    <n v="2024"/>
    <d v="2024-10-21T00:00:00"/>
    <n v="1035.5599999999929"/>
    <n v="24"/>
    <s v="discover"/>
    <n v="0"/>
  </r>
  <r>
    <n v="1132"/>
    <n v="741"/>
    <d v="2024-10-22T00:00:00"/>
    <s v="AMAZON MKTPL*890TE3PQ3 AMZN.COM/BILLWA7C55N2ACFH9"/>
    <n v="18.89"/>
    <s v="Merchandise"/>
    <x v="36"/>
    <x v="0"/>
    <s v="Personal_Spending"/>
    <x v="10"/>
    <n v="2024"/>
    <d v="2024-10-22T00:00:00"/>
    <n v="1054.449999999993"/>
    <n v="61"/>
    <s v="discover"/>
    <n v="0"/>
  </r>
  <r>
    <n v="1133"/>
    <n v="742"/>
    <d v="2024-10-22T00:00:00"/>
    <s v="MED*MERITUS MEDICAL CT 301-790-8872 MD307819476"/>
    <n v="7.62"/>
    <s v="Medical Services"/>
    <x v="63"/>
    <x v="0"/>
    <s v="Medical"/>
    <x v="10"/>
    <n v="2024"/>
    <d v="2024-10-22T00:00:00"/>
    <n v="1062.0699999999929"/>
    <n v="4"/>
    <s v="discover"/>
    <n v="0"/>
  </r>
  <r>
    <n v="1134"/>
    <n v="743"/>
    <d v="2024-10-22T00:00:00"/>
    <s v="MED*MERITUS MEDICAL CT 301-790-8872 MD307888143"/>
    <n v="98.97"/>
    <s v="Medical Services"/>
    <x v="63"/>
    <x v="0"/>
    <s v="Medical"/>
    <x v="10"/>
    <n v="2024"/>
    <d v="2024-10-22T00:00:00"/>
    <n v="1161.0399999999929"/>
    <n v="5"/>
    <s v="discover"/>
    <n v="0"/>
  </r>
  <r>
    <n v="1135"/>
    <n v="744"/>
    <d v="2024-10-22T00:00:00"/>
    <s v="SAFEWAY #1547 BURLINGAME CA"/>
    <n v="76.680000000000007"/>
    <s v="Supermarkets"/>
    <x v="26"/>
    <x v="0"/>
    <s v="Food"/>
    <x v="10"/>
    <n v="2024"/>
    <d v="2024-10-22T00:00:00"/>
    <n v="1237.719999999993"/>
    <n v="36"/>
    <s v="discover"/>
    <n v="0"/>
  </r>
  <r>
    <n v="1136"/>
    <n v="745"/>
    <d v="2024-10-23T00:00:00"/>
    <s v="AMAZON MKTPL*RV9A21RR3 AMZN.COM/BILLWA338T6AAUREI"/>
    <n v="36.15"/>
    <s v="Merchandise"/>
    <x v="56"/>
    <x v="0"/>
    <s v="Personal_Spending"/>
    <x v="10"/>
    <n v="2024"/>
    <d v="2024-10-23T00:00:00"/>
    <n v="1273.8699999999931"/>
    <n v="25"/>
    <s v="discover"/>
    <n v="0"/>
  </r>
  <r>
    <n v="1137"/>
    <n v="746"/>
    <d v="2024-10-23T00:00:00"/>
    <s v="WMT PLUS OCT 2024 800-925-6278 ARITEM TRANSFERRED FROM PREV ACCOUNT"/>
    <n v="14.2"/>
    <s v="Merchandise"/>
    <x v="71"/>
    <x v="0"/>
    <s v="Personal_Spending"/>
    <x v="10"/>
    <n v="2024"/>
    <d v="2024-10-23T00:00:00"/>
    <n v="1288.0699999999929"/>
    <n v="12"/>
    <s v="discover"/>
    <n v="0"/>
  </r>
  <r>
    <n v="1138"/>
    <n v="747"/>
    <d v="2024-10-25T00:00:00"/>
    <s v="SQ *THE GREEK AMPHITHE BERKELEY CA0001152921514704491430"/>
    <n v="6.62"/>
    <s v="Supermarkets"/>
    <x v="58"/>
    <x v="0"/>
    <s v="Travel"/>
    <x v="10"/>
    <n v="2024"/>
    <d v="2024-10-25T00:00:00"/>
    <n v="1294.689999999993"/>
    <n v="53"/>
    <s v="discover"/>
    <n v="0"/>
  </r>
  <r>
    <n v="1139"/>
    <n v="748"/>
    <d v="2024-10-25T00:00:00"/>
    <s v="SAFEWAY #0970 SAN MATEO CA"/>
    <n v="22.43"/>
    <s v="Supermarkets"/>
    <x v="26"/>
    <x v="0"/>
    <s v="Food"/>
    <x v="10"/>
    <n v="2024"/>
    <d v="2024-10-25T00:00:00"/>
    <n v="1317.1199999999931"/>
    <n v="37"/>
    <s v="discover"/>
    <n v="0"/>
  </r>
  <r>
    <n v="1140"/>
    <n v="749"/>
    <d v="2024-10-25T00:00:00"/>
    <s v="SQ *THE GREEK AMPHITHE BERKELEY CA0001152921514704920591"/>
    <n v="13.22"/>
    <s v="Supermarkets"/>
    <x v="58"/>
    <x v="0"/>
    <s v="Travel"/>
    <x v="10"/>
    <n v="2024"/>
    <d v="2024-10-25T00:00:00"/>
    <n v="1330.3399999999931"/>
    <n v="54"/>
    <s v="discover"/>
    <n v="0"/>
  </r>
  <r>
    <n v="1141"/>
    <n v="750"/>
    <d v="2024-10-25T00:00:00"/>
    <s v="AMAZON MKTPL*QW89F6XY3 AMZN.COM/BILLWA673E88IR1AE"/>
    <n v="21.91"/>
    <s v="Merchandise"/>
    <x v="36"/>
    <x v="0"/>
    <s v="Personal_Spending"/>
    <x v="10"/>
    <n v="2024"/>
    <d v="2024-10-25T00:00:00"/>
    <n v="1352.249999999993"/>
    <n v="62"/>
    <s v="discover"/>
    <n v="0"/>
  </r>
  <r>
    <n v="1142"/>
    <n v="751"/>
    <d v="2024-10-25T00:00:00"/>
    <s v="HOT TOPIC 0552 SAN MATEO CA"/>
    <n v="22.23"/>
    <s v="Merchandise"/>
    <x v="56"/>
    <x v="0"/>
    <s v="Personal_Spending"/>
    <x v="10"/>
    <n v="2024"/>
    <d v="2024-10-25T00:00:00"/>
    <n v="1374.479999999993"/>
    <n v="26"/>
    <s v="discover"/>
    <n v="0"/>
  </r>
  <r>
    <n v="1143"/>
    <n v="752"/>
    <d v="2024-10-26T00:00:00"/>
    <s v="BM * NAR DONER GRILL 6307763590 GA"/>
    <n v="30.53"/>
    <s v="Restaurants"/>
    <x v="40"/>
    <x v="0"/>
    <s v="Food"/>
    <x v="10"/>
    <n v="2024"/>
    <d v="2024-10-26T00:00:00"/>
    <n v="1405.0099999999929"/>
    <n v="65"/>
    <s v="discover"/>
    <n v="0"/>
  </r>
  <r>
    <n v="1144"/>
    <n v="753"/>
    <d v="2024-10-26T00:00:00"/>
    <s v="FASTRAK CSC 415-486-8655 CAITEM TRANSFERRED FROM PREV ACCOUNT"/>
    <n v="25"/>
    <s v="Merchandise"/>
    <x v="57"/>
    <x v="0"/>
    <s v="Transportation"/>
    <x v="10"/>
    <n v="2024"/>
    <d v="2024-10-26T00:00:00"/>
    <n v="1430.0099999999929"/>
    <n v="9"/>
    <s v="discover"/>
    <n v="0"/>
  </r>
  <r>
    <n v="1145"/>
    <n v="754"/>
    <d v="2024-10-26T00:00:00"/>
    <s v="GNC SAN FRANCISCOCA017243"/>
    <n v="23.34"/>
    <s v="Supermarkets"/>
    <x v="70"/>
    <x v="0"/>
    <s v="Personal_Spending"/>
    <x v="10"/>
    <n v="2024"/>
    <d v="2024-10-26T00:00:00"/>
    <n v="1453.3499999999931"/>
    <n v="11"/>
    <s v="discover"/>
    <n v="0"/>
  </r>
  <r>
    <n v="1146"/>
    <n v="755"/>
    <d v="2024-10-26T00:00:00"/>
    <s v="NBA*SACRAMENTO KINGS 916-928-3683 CAMIC3CA7800-F7IVS"/>
    <n v="20"/>
    <s v="Travel/ Entertainment"/>
    <x v="85"/>
    <x v="1"/>
    <s v="Recreation_Entertainment"/>
    <x v="10"/>
    <n v="2024"/>
    <d v="2024-10-26T00:00:00"/>
    <n v="1473.3499999999931"/>
    <n v="4"/>
    <s v="discover"/>
    <n v="0"/>
  </r>
  <r>
    <n v="1147"/>
    <n v="756"/>
    <d v="2024-10-26T00:00:00"/>
    <s v="SQ *ARTLY COFFEE @ STO SAN FRANCISCOCA0001152921514707342320"/>
    <n v="8.57"/>
    <s v="Restaurants"/>
    <x v="44"/>
    <x v="0"/>
    <s v="Food"/>
    <x v="10"/>
    <n v="2024"/>
    <d v="2024-10-26T00:00:00"/>
    <n v="1481.919999999993"/>
    <n v="8"/>
    <s v="discover"/>
    <n v="0"/>
  </r>
  <r>
    <n v="1148"/>
    <n v="757"/>
    <d v="2024-10-27T00:00:00"/>
    <s v="ADOBE *ADOBE 408-536-6000 CAITEM TRANSFERRED FROM PREV ACCOUNT"/>
    <n v="29.99"/>
    <s v="Merchandise"/>
    <x v="66"/>
    <x v="1"/>
    <s v="Personal_Spending"/>
    <x v="10"/>
    <n v="2024"/>
    <d v="2024-10-27T00:00:00"/>
    <n v="1511.909999999993"/>
    <n v="10"/>
    <s v="discover"/>
    <n v="0"/>
  </r>
  <r>
    <n v="1149"/>
    <n v="758"/>
    <d v="2024-10-27T00:00:00"/>
    <s v="MAISON ALYZEE BURLINGAME BURLINGAME CA"/>
    <n v="17.649999999999999"/>
    <s v="Restaurants"/>
    <x v="40"/>
    <x v="0"/>
    <s v="Food"/>
    <x v="10"/>
    <n v="2024"/>
    <d v="2024-10-27T00:00:00"/>
    <n v="1529.5599999999929"/>
    <n v="66"/>
    <s v="discover"/>
    <n v="0"/>
  </r>
  <r>
    <n v="1150"/>
    <n v="759"/>
    <d v="2024-10-27T00:00:00"/>
    <s v="ONLYFANS.COM*A 8886880458 FLITEM TRANSFERRED FROM PREV ACCOUNT"/>
    <n v="9.99"/>
    <s v="Merchandise"/>
    <x v="38"/>
    <x v="0"/>
    <s v="Recreation_Entertainment"/>
    <x v="10"/>
    <n v="2024"/>
    <d v="2024-10-27T00:00:00"/>
    <n v="1539.5499999999929"/>
    <n v="81"/>
    <s v="discover"/>
    <n v="0"/>
  </r>
  <r>
    <n v="1151"/>
    <n v="760"/>
    <d v="2024-10-27T00:00:00"/>
    <s v="SQ *CROWN CREATED BURLINGAME CA0001152921514712253515"/>
    <n v="43.7"/>
    <s v="Services"/>
    <x v="10"/>
    <x v="0"/>
    <s v="Misc"/>
    <x v="10"/>
    <n v="2024"/>
    <d v="2024-10-27T00:00:00"/>
    <n v="1583.249999999993"/>
    <n v="9"/>
    <s v="discover"/>
    <n v="0"/>
  </r>
  <r>
    <n v="1152"/>
    <n v="761"/>
    <d v="2024-10-27T00:00:00"/>
    <s v="WWW.FOOTDOCTORZACH.COM 8668238995 OHITEM TRANSFERRED FROM PREV ACCOUNT"/>
    <n v="4.99"/>
    <s v="Merchandise"/>
    <x v="58"/>
    <x v="0"/>
    <s v="Travel"/>
    <x v="10"/>
    <n v="2024"/>
    <d v="2024-10-27T00:00:00"/>
    <n v="1588.239999999993"/>
    <n v="55"/>
    <s v="discover"/>
    <n v="0"/>
  </r>
  <r>
    <n v="1153"/>
    <n v="762"/>
    <d v="2024-10-29T00:00:00"/>
    <s v="SAFEWAY #1547 BURLINGAME CA"/>
    <n v="9.86"/>
    <s v="Supermarkets"/>
    <x v="26"/>
    <x v="0"/>
    <s v="Food"/>
    <x v="10"/>
    <n v="2024"/>
    <d v="2024-10-29T00:00:00"/>
    <n v="1598.0999999999931"/>
    <n v="38"/>
    <s v="discover"/>
    <n v="0"/>
  </r>
  <r>
    <n v="1154"/>
    <n v="763"/>
    <d v="2024-10-30T00:00:00"/>
    <s v="PCI L761 BROADWAY PLACE WALNUT CREEK CA"/>
    <n v="25"/>
    <s v="Services"/>
    <x v="2"/>
    <x v="0"/>
    <s v="Transportation"/>
    <x v="10"/>
    <n v="2024"/>
    <d v="2024-10-30T00:00:00"/>
    <n v="1623.0999999999931"/>
    <n v="5"/>
    <s v="discover"/>
    <n v="0"/>
  </r>
  <r>
    <n v="1155"/>
    <n v="764"/>
    <d v="2024-10-30T00:00:00"/>
    <s v="ONLYFANS.COM*A 8886880458 FLITEM TRANSFERRED FROM PREV ACCOUNT"/>
    <n v="8.31"/>
    <s v="Merchandise"/>
    <x v="38"/>
    <x v="0"/>
    <s v="Recreation_Entertainment"/>
    <x v="10"/>
    <n v="2024"/>
    <d v="2024-10-30T00:00:00"/>
    <n v="1631.409999999993"/>
    <n v="82"/>
    <s v="discover"/>
    <n v="0"/>
  </r>
  <r>
    <n v="1156"/>
    <n v="765"/>
    <d v="2024-10-30T00:00:00"/>
    <s v="DD *MEDITERRANEANKEBAB 6506819470 CAITEM TRANSFERRED FROM PREV ACCOUNT"/>
    <n v="42.42"/>
    <s v="Merchandise"/>
    <x v="50"/>
    <x v="0"/>
    <s v="Food"/>
    <x v="10"/>
    <n v="2024"/>
    <d v="2024-10-30T00:00:00"/>
    <n v="1673.8299999999931"/>
    <n v="37"/>
    <s v="discover"/>
    <n v="0"/>
  </r>
  <r>
    <n v="1157"/>
    <n v="766"/>
    <d v="2024-10-30T00:00:00"/>
    <s v="LIFE CAFE #283 WALNUT CREEK CA03001P"/>
    <n v="21.25"/>
    <s v="Restaurants"/>
    <x v="50"/>
    <x v="0"/>
    <s v="Food"/>
    <x v="10"/>
    <n v="2024"/>
    <d v="2024-10-30T00:00:00"/>
    <n v="1695.0799999999931"/>
    <n v="38"/>
    <s v="discover"/>
    <n v="0"/>
  </r>
  <r>
    <n v="1158"/>
    <n v="767"/>
    <d v="2024-10-31T00:00:00"/>
    <s v="GOOGLE *BUMBLE FOR FRI 855-836-3987 CAITEM TRANSFERRED FROM PREV ACCOUNT"/>
    <n v="15.89"/>
    <s v="Merchandise"/>
    <x v="102"/>
    <x v="0"/>
    <s v="Recreation_Entertainment"/>
    <x v="10"/>
    <n v="2024"/>
    <d v="2024-10-31T00:00:00"/>
    <n v="1710.969999999993"/>
    <n v="1"/>
    <s v="discover"/>
    <n v="0"/>
  </r>
  <r>
    <n v="1159"/>
    <n v="768"/>
    <d v="2024-10-31T00:00:00"/>
    <s v="ONLYFANS 8886880458 FLITEM TRANSFERRED FROM PREV ACCOUNT"/>
    <n v="12.99"/>
    <s v="Merchandise"/>
    <x v="38"/>
    <x v="0"/>
    <s v="Recreation_Entertainment"/>
    <x v="10"/>
    <n v="2024"/>
    <d v="2024-10-31T00:00:00"/>
    <n v="1723.959999999993"/>
    <n v="83"/>
    <s v="discover"/>
    <n v="0"/>
  </r>
  <r>
    <n v="1160"/>
    <n v="769"/>
    <d v="2024-10-31T00:00:00"/>
    <s v="SAFEWAY #1547 BURLINGAME CA"/>
    <n v="36.590000000000003"/>
    <s v="Supermarkets"/>
    <x v="26"/>
    <x v="0"/>
    <s v="Food"/>
    <x v="10"/>
    <n v="2024"/>
    <d v="2024-10-31T00:00:00"/>
    <n v="1760.5499999999929"/>
    <n v="39"/>
    <s v="discover"/>
    <n v="1"/>
  </r>
  <r>
    <n v="1161"/>
    <n v="770"/>
    <d v="2024-11-01T00:00:00"/>
    <s v="INTERNET PAYMENT - THANK YOU"/>
    <n v="-1646.36"/>
    <s v="Payments and Credits"/>
    <x v="55"/>
    <x v="0"/>
    <s v="Payment_and_Interest"/>
    <x v="11"/>
    <n v="2024"/>
    <d v="2024-11-01T00:00:00"/>
    <n v="114.18999999999301"/>
    <n v="17"/>
    <s v="discover"/>
    <n v="0"/>
  </r>
  <r>
    <n v="1162"/>
    <n v="771"/>
    <d v="2024-11-01T00:00:00"/>
    <s v="AMAZON MKTPL*EU0IC6IO3 AMZN.COM/BILLWA5X1KHDWIQ0G"/>
    <n v="25.94"/>
    <s v="Merchandise"/>
    <x v="36"/>
    <x v="0"/>
    <s v="Personal_Spending"/>
    <x v="11"/>
    <n v="2024"/>
    <d v="2024-11-01T00:00:00"/>
    <n v="140.129999999993"/>
    <n v="63"/>
    <s v="discover"/>
    <n v="0"/>
  </r>
  <r>
    <n v="1163"/>
    <n v="772"/>
    <d v="2024-11-01T00:00:00"/>
    <s v="DD *MEDITERRANEANKEBAB 6506819470 CAITEM TRANSFERRED FROM PREV ACCOUNT"/>
    <n v="36.4"/>
    <s v="Merchandise"/>
    <x v="50"/>
    <x v="0"/>
    <s v="Food"/>
    <x v="11"/>
    <n v="2024"/>
    <d v="2024-11-01T00:00:00"/>
    <n v="176.52999999999301"/>
    <n v="39"/>
    <s v="discover"/>
    <n v="0"/>
  </r>
  <r>
    <n v="1164"/>
    <n v="773"/>
    <d v="2024-11-01T00:00:00"/>
    <s v="LIFE CAFE #283 WALNUT CREEK CA00138P"/>
    <n v="13.41"/>
    <s v="Restaurants"/>
    <x v="50"/>
    <x v="0"/>
    <s v="Food"/>
    <x v="11"/>
    <n v="2024"/>
    <d v="2024-11-01T00:00:00"/>
    <n v="189.93999999999301"/>
    <n v="40"/>
    <s v="discover"/>
    <n v="0"/>
  </r>
  <r>
    <n v="1165"/>
    <n v="774"/>
    <d v="2024-11-01T00:00:00"/>
    <s v="OPENAI *CHATGPT SUBSCR 4158799686 CAITEM TRANSFERRED FROM PREV ACCOUNT"/>
    <n v="20"/>
    <s v="Merchandise"/>
    <x v="30"/>
    <x v="1"/>
    <s v="Personal_Spending"/>
    <x v="11"/>
    <n v="2024"/>
    <d v="2024-11-01T00:00:00"/>
    <n v="209.93999999999301"/>
    <n v="11"/>
    <s v="discover"/>
    <n v="0"/>
  </r>
  <r>
    <n v="1166"/>
    <n v="775"/>
    <d v="2024-11-01T00:00:00"/>
    <s v="PCI L761 BROADWAY PLACE WALNUT CREEK CA"/>
    <n v="25"/>
    <s v="Services"/>
    <x v="2"/>
    <x v="0"/>
    <s v="Transportation"/>
    <x v="11"/>
    <n v="2024"/>
    <d v="2024-11-01T00:00:00"/>
    <n v="234.93999999999301"/>
    <n v="6"/>
    <s v="discover"/>
    <n v="0"/>
  </r>
  <r>
    <n v="1167"/>
    <n v="776"/>
    <d v="2024-11-01T00:00:00"/>
    <s v="PLANNED PARENTHOOD ACTIO NEW YORK NYITEM TRANSFERRED FROM PREV ACCOUNT"/>
    <n v="5"/>
    <s v="Merchandise"/>
    <x v="31"/>
    <x v="1"/>
    <s v="Personal_Spending"/>
    <x v="11"/>
    <n v="2024"/>
    <d v="2024-11-01T00:00:00"/>
    <n v="239.93999999999301"/>
    <n v="11"/>
    <s v="discover"/>
    <n v="0"/>
  </r>
  <r>
    <n v="1168"/>
    <n v="777"/>
    <d v="2024-11-01T00:00:00"/>
    <s v="SPOTIFY P31269D73F 8777781161 NY"/>
    <n v="5.99"/>
    <s v="Merchandise"/>
    <x v="32"/>
    <x v="1"/>
    <s v="Recreation_Entertainment"/>
    <x v="11"/>
    <n v="2024"/>
    <d v="2024-11-01T00:00:00"/>
    <n v="245.92999999999299"/>
    <n v="11"/>
    <s v="discover"/>
    <n v="0"/>
  </r>
  <r>
    <n v="1169"/>
    <n v="778"/>
    <d v="2024-11-02T00:00:00"/>
    <s v="SP WAYOFWADE 2532359799 ORITEM TRANSFERRED FROM PREV ACCOUNT"/>
    <n v="145.44999999999999"/>
    <s v="Merchandise"/>
    <x v="56"/>
    <x v="0"/>
    <s v="Personal_Spending"/>
    <x v="11"/>
    <n v="2024"/>
    <d v="2024-11-02T00:00:00"/>
    <n v="391.379999999993"/>
    <n v="27"/>
    <s v="discover"/>
    <n v="0"/>
  </r>
  <r>
    <n v="1170"/>
    <n v="779"/>
    <d v="2024-11-02T00:00:00"/>
    <s v="ONLYFANS.COM*A 8886880458 FLITEM TRANSFERRED FROM PREV ACCOUNT"/>
    <n v="9.99"/>
    <s v="Merchandise"/>
    <x v="38"/>
    <x v="0"/>
    <s v="Recreation_Entertainment"/>
    <x v="11"/>
    <n v="2024"/>
    <d v="2024-11-02T00:00:00"/>
    <n v="401.36999999999301"/>
    <n v="84"/>
    <s v="discover"/>
    <n v="0"/>
  </r>
  <r>
    <n v="1171"/>
    <n v="780"/>
    <d v="2024-11-02T00:00:00"/>
    <s v="FASTRAK CSC 415-486-8655 CAITEM TRANSFERRED FROM PREV ACCOUNT"/>
    <n v="25"/>
    <s v="Merchandise"/>
    <x v="57"/>
    <x v="0"/>
    <s v="Transportation"/>
    <x v="11"/>
    <n v="2024"/>
    <d v="2024-11-02T00:00:00"/>
    <n v="426.36999999999301"/>
    <n v="10"/>
    <s v="discover"/>
    <n v="0"/>
  </r>
  <r>
    <n v="1172"/>
    <n v="781"/>
    <d v="2024-11-02T00:00:00"/>
    <s v="AMZN MKTP US*XE3D45OY3 AMZN.COM/BILLWA73H3WJC28RI"/>
    <n v="219.25"/>
    <s v="Merchandise"/>
    <x v="48"/>
    <x v="0"/>
    <s v="Personal_Spending"/>
    <x v="11"/>
    <n v="2024"/>
    <d v="2024-11-02T00:00:00"/>
    <n v="645.61999999999307"/>
    <n v="3"/>
    <s v="discover"/>
    <n v="0"/>
  </r>
  <r>
    <n v="1173"/>
    <n v="782"/>
    <d v="2024-11-02T00:00:00"/>
    <s v="ONEPASS 877-515-9364 MNITEM TRANSFERRED FROM PREV ACCOUNT"/>
    <n v="273.60000000000002"/>
    <s v="Merchandise"/>
    <x v="33"/>
    <x v="1"/>
    <s v="Personal_Spending"/>
    <x v="11"/>
    <n v="2024"/>
    <d v="2024-11-02T00:00:00"/>
    <n v="919.21999999999309"/>
    <n v="13"/>
    <s v="discover"/>
    <n v="0"/>
  </r>
  <r>
    <n v="1174"/>
    <n v="783"/>
    <d v="2024-11-03T00:00:00"/>
    <s v="DD *GRILLKEBABSANDGY 855-973-1040 CA"/>
    <n v="64.42"/>
    <s v="Restaurants"/>
    <x v="40"/>
    <x v="0"/>
    <s v="Food"/>
    <x v="11"/>
    <n v="2024"/>
    <d v="2024-11-03T00:00:00"/>
    <n v="983.63999999999305"/>
    <n v="67"/>
    <s v="discover"/>
    <n v="0"/>
  </r>
  <r>
    <n v="1175"/>
    <n v="784"/>
    <d v="2024-11-04T00:00:00"/>
    <s v="AUTOMATIC STATEMENT CREDIT"/>
    <n v="-51.88"/>
    <s v="Awards and Rebate Credits"/>
    <x v="39"/>
    <x v="0"/>
    <s v="Payment_and_Interest"/>
    <x v="11"/>
    <n v="2024"/>
    <d v="2024-11-04T00:00:00"/>
    <n v="931.75999999999306"/>
    <n v="11"/>
    <s v="discover"/>
    <n v="0"/>
  </r>
  <r>
    <n v="1176"/>
    <n v="785"/>
    <d v="2024-11-04T00:00:00"/>
    <s v="CA DMV FEE 678-7315516 TN"/>
    <n v="4.68"/>
    <s v="Government Services"/>
    <x v="84"/>
    <x v="0"/>
    <s v="Utilities"/>
    <x v="11"/>
    <n v="2024"/>
    <d v="2024-11-04T00:00:00"/>
    <n v="936.43999999999301"/>
    <n v="4"/>
    <s v="discover"/>
    <n v="0"/>
  </r>
  <r>
    <n v="1177"/>
    <n v="786"/>
    <d v="2024-11-04T00:00:00"/>
    <s v="LIFE CAFE #283 WALNUT CREEK CA00413P"/>
    <n v="15.09"/>
    <s v="Restaurants"/>
    <x v="50"/>
    <x v="0"/>
    <s v="Food"/>
    <x v="11"/>
    <n v="2024"/>
    <d v="2024-11-04T00:00:00"/>
    <n v="951.52999999999304"/>
    <n v="41"/>
    <s v="discover"/>
    <n v="0"/>
  </r>
  <r>
    <n v="1178"/>
    <n v="787"/>
    <d v="2024-11-04T00:00:00"/>
    <s v="PCI L761 BROADWAY PLACE WALNUT CREEK CA"/>
    <n v="25"/>
    <s v="Services"/>
    <x v="2"/>
    <x v="0"/>
    <s v="Transportation"/>
    <x v="11"/>
    <n v="2024"/>
    <d v="2024-11-04T00:00:00"/>
    <n v="976.52999999999304"/>
    <n v="7"/>
    <s v="discover"/>
    <n v="0"/>
  </r>
  <r>
    <n v="1179"/>
    <n v="788"/>
    <d v="2024-11-04T00:00:00"/>
    <s v="STATE OF CALIF DMV INT S 800-7770133 CA"/>
    <n v="240"/>
    <s v="Government Services"/>
    <x v="84"/>
    <x v="0"/>
    <s v="Utilities"/>
    <x v="11"/>
    <n v="2024"/>
    <d v="2024-11-04T00:00:00"/>
    <n v="1216.5299999999929"/>
    <n v="5"/>
    <s v="discover"/>
    <n v="0"/>
  </r>
  <r>
    <n v="1180"/>
    <n v="789"/>
    <d v="2024-11-05T00:00:00"/>
    <s v="BREAKING POINTS-LOCALS 2025317527 DC"/>
    <n v="10"/>
    <s v="Merchandise"/>
    <x v="34"/>
    <x v="1"/>
    <s v="Recreation_Entertainment"/>
    <x v="11"/>
    <n v="2024"/>
    <d v="2024-11-05T00:00:00"/>
    <n v="1226.5299999999929"/>
    <n v="11"/>
    <s v="discover"/>
    <n v="0"/>
  </r>
  <r>
    <n v="1181"/>
    <n v="790"/>
    <d v="2024-11-05T00:00:00"/>
    <s v="DD *COBANIGYROSKEBA 855-973-1040 CA"/>
    <n v="76.73"/>
    <s v="Restaurants"/>
    <x v="40"/>
    <x v="0"/>
    <s v="Food"/>
    <x v="11"/>
    <n v="2024"/>
    <d v="2024-11-05T00:00:00"/>
    <n v="1303.2599999999929"/>
    <n v="68"/>
    <s v="discover"/>
    <n v="0"/>
  </r>
  <r>
    <n v="1182"/>
    <n v="791"/>
    <d v="2024-11-06T00:00:00"/>
    <s v="LIFE CAFE #283 WALNUT CREEK CA00653P"/>
    <n v="19.010000000000002"/>
    <s v="Restaurants"/>
    <x v="50"/>
    <x v="0"/>
    <s v="Food"/>
    <x v="11"/>
    <n v="2024"/>
    <d v="2024-11-06T00:00:00"/>
    <n v="1322.2699999999929"/>
    <n v="42"/>
    <s v="discover"/>
    <n v="0"/>
  </r>
  <r>
    <n v="1183"/>
    <n v="792"/>
    <d v="2024-11-08T00:00:00"/>
    <s v="TST*ONE FOODSERVICE GR WALNUT CREEK CA00079837021202983248AA"/>
    <n v="42.66"/>
    <s v="Restaurants"/>
    <x v="50"/>
    <x v="0"/>
    <s v="Food"/>
    <x v="11"/>
    <n v="2024"/>
    <d v="2024-11-08T00:00:00"/>
    <n v="1364.929999999993"/>
    <n v="43"/>
    <s v="discover"/>
    <n v="0"/>
  </r>
  <r>
    <n v="1184"/>
    <n v="793"/>
    <d v="2024-11-08T00:00:00"/>
    <s v="SQ *KWMR OLEMA CA0001152921514751860352"/>
    <n v="3"/>
    <s v="Services"/>
    <x v="10"/>
    <x v="0"/>
    <s v="Misc"/>
    <x v="11"/>
    <n v="2024"/>
    <d v="2024-11-08T00:00:00"/>
    <n v="1367.929999999993"/>
    <n v="10"/>
    <s v="discover"/>
    <n v="0"/>
  </r>
  <r>
    <n v="1185"/>
    <n v="794"/>
    <d v="2024-11-08T00:00:00"/>
    <s v="DICKS SPORTING GOODS DALY CITY TN"/>
    <n v="117"/>
    <s v="Merchandise"/>
    <x v="99"/>
    <x v="0"/>
    <s v="Recreation_Entertainment"/>
    <x v="11"/>
    <n v="2024"/>
    <d v="2024-11-08T00:00:00"/>
    <n v="1484.929999999993"/>
    <n v="2"/>
    <s v="discover"/>
    <n v="0"/>
  </r>
  <r>
    <n v="1186"/>
    <n v="795"/>
    <d v="2024-11-08T00:00:00"/>
    <s v="LIFE CAFE #283 WALNUT CREEK CA00856P"/>
    <n v="26.28"/>
    <s v="Restaurants"/>
    <x v="50"/>
    <x v="0"/>
    <s v="Food"/>
    <x v="11"/>
    <n v="2024"/>
    <d v="2024-11-08T00:00:00"/>
    <n v="1511.209999999993"/>
    <n v="44"/>
    <s v="discover"/>
    <n v="0"/>
  </r>
  <r>
    <n v="1187"/>
    <n v="796"/>
    <d v="2024-11-09T00:00:00"/>
    <s v="99 RANCH #1782 FOSTER CITY CA"/>
    <n v="2.4900000000000002"/>
    <s v="Supermarkets"/>
    <x v="26"/>
    <x v="0"/>
    <s v="Food"/>
    <x v="11"/>
    <n v="2024"/>
    <d v="2024-11-09T00:00:00"/>
    <n v="1513.699999999993"/>
    <n v="40"/>
    <s v="discover"/>
    <n v="0"/>
  </r>
  <r>
    <n v="1188"/>
    <n v="797"/>
    <d v="2024-11-09T00:00:00"/>
    <s v="ATG USA LLC 727-2824429 FLITEM TRANSFERRED FROM PREV ACCOUNT"/>
    <n v="49.5"/>
    <s v="Merchandise"/>
    <x v="49"/>
    <x v="1"/>
    <s v="Personal_Spending"/>
    <x v="11"/>
    <n v="2024"/>
    <d v="2024-11-09T00:00:00"/>
    <n v="1563.199999999993"/>
    <n v="5"/>
    <s v="discover"/>
    <n v="0"/>
  </r>
  <r>
    <n v="1189"/>
    <n v="798"/>
    <d v="2024-11-09T00:00:00"/>
    <s v="MEDITERRAN* MEDITERRAN 8887072469 CA"/>
    <n v="36.01"/>
    <s v="Restaurants"/>
    <x v="50"/>
    <x v="0"/>
    <s v="Food"/>
    <x v="11"/>
    <n v="2024"/>
    <d v="2024-11-09T00:00:00"/>
    <n v="1599.209999999993"/>
    <n v="45"/>
    <s v="discover"/>
    <n v="0"/>
  </r>
  <r>
    <n v="1190"/>
    <n v="799"/>
    <d v="2024-11-10T00:00:00"/>
    <s v="24 HOUR FITNESS - 488 - HAYWARD CA"/>
    <n v="6.63"/>
    <s v="Travel/ Entertainment"/>
    <x v="70"/>
    <x v="0"/>
    <s v="Personal_Spending"/>
    <x v="11"/>
    <n v="2024"/>
    <d v="2024-11-10T00:00:00"/>
    <n v="1605.8399999999931"/>
    <n v="12"/>
    <s v="discover"/>
    <n v="0"/>
  </r>
  <r>
    <n v="1191"/>
    <n v="800"/>
    <d v="2024-11-10T00:00:00"/>
    <s v="FASTRAK CSC 415-486-8655 CAITEM TRANSFERRED FROM PREV ACCOUNT"/>
    <n v="25"/>
    <s v="Merchandise"/>
    <x v="57"/>
    <x v="0"/>
    <s v="Transportation"/>
    <x v="11"/>
    <n v="2024"/>
    <d v="2024-11-10T00:00:00"/>
    <n v="1630.8399999999931"/>
    <n v="11"/>
    <s v="discover"/>
    <n v="0"/>
  </r>
  <r>
    <n v="1192"/>
    <n v="801"/>
    <d v="2024-11-10T00:00:00"/>
    <s v="ONLYFANS.COM*A 8886880458 FLITEM TRANSFERRED FROM PREV ACCOUNT"/>
    <n v="15"/>
    <s v="Merchandise"/>
    <x v="38"/>
    <x v="0"/>
    <s v="Recreation_Entertainment"/>
    <x v="11"/>
    <n v="2024"/>
    <d v="2024-11-10T00:00:00"/>
    <n v="1645.8399999999931"/>
    <n v="85"/>
    <s v="discover"/>
    <n v="0"/>
  </r>
  <r>
    <n v="1193"/>
    <n v="802"/>
    <d v="2024-11-10T00:00:00"/>
    <s v="SQ *NICK THE GREEK UNI UNION CITY CA0001152921514757875122"/>
    <n v="27.04"/>
    <s v="Restaurants"/>
    <x v="50"/>
    <x v="0"/>
    <s v="Food"/>
    <x v="11"/>
    <n v="2024"/>
    <d v="2024-11-10T00:00:00"/>
    <n v="1672.8799999999931"/>
    <n v="46"/>
    <s v="discover"/>
    <n v="0"/>
  </r>
  <r>
    <n v="1194"/>
    <n v="803"/>
    <d v="2024-11-10T00:00:00"/>
    <s v="TARGET 00014720091 HAYWARD CA"/>
    <n v="55.22"/>
    <s v="Supermarkets"/>
    <x v="36"/>
    <x v="0"/>
    <s v="Personal_Spending"/>
    <x v="11"/>
    <n v="2024"/>
    <d v="2024-11-10T00:00:00"/>
    <n v="1728.0999999999931"/>
    <n v="64"/>
    <s v="discover"/>
    <n v="0"/>
  </r>
  <r>
    <n v="1195"/>
    <n v="804"/>
    <d v="2024-11-10T00:00:00"/>
    <s v="TICKETTOASTER.COM 8006802634 CA"/>
    <n v="14.95"/>
    <s v="Education"/>
    <x v="100"/>
    <x v="0"/>
    <s v="Government"/>
    <x v="11"/>
    <n v="2024"/>
    <d v="2024-11-10T00:00:00"/>
    <n v="1743.0499999999929"/>
    <n v="2"/>
    <s v="discover"/>
    <n v="0"/>
  </r>
  <r>
    <n v="1196"/>
    <n v="805"/>
    <d v="2024-11-11T00:00:00"/>
    <s v="MEDITERRAN* MEDITERRAN 8887072469 CA"/>
    <n v="30.96"/>
    <s v="Restaurants"/>
    <x v="50"/>
    <x v="0"/>
    <s v="Food"/>
    <x v="11"/>
    <n v="2024"/>
    <d v="2024-11-11T00:00:00"/>
    <n v="1774.0099999999929"/>
    <n v="47"/>
    <s v="discover"/>
    <n v="0"/>
  </r>
  <r>
    <n v="1197"/>
    <n v="806"/>
    <d v="2024-11-12T00:00:00"/>
    <s v="GOOGLE *GOOGLE ONE 855-836-3987 CAITEM TRANSFERRED FROM PREV ACCOUNT"/>
    <n v="2.11"/>
    <s v="Merchandise"/>
    <x v="91"/>
    <x v="1"/>
    <s v="Personal_Spending"/>
    <x v="11"/>
    <n v="2024"/>
    <d v="2024-11-12T00:00:00"/>
    <n v="1776.1199999999931"/>
    <n v="4"/>
    <s v="discover"/>
    <n v="0"/>
  </r>
  <r>
    <n v="1198"/>
    <n v="807"/>
    <d v="2024-11-12T00:00:00"/>
    <s v="CARLS JR 1100720 OAKLAND CA"/>
    <n v="14.59"/>
    <s v="Restaurants"/>
    <x v="50"/>
    <x v="0"/>
    <s v="Food"/>
    <x v="11"/>
    <n v="2024"/>
    <d v="2024-11-12T00:00:00"/>
    <n v="1790.709999999993"/>
    <n v="48"/>
    <s v="discover"/>
    <n v="0"/>
  </r>
  <r>
    <n v="1199"/>
    <n v="808"/>
    <d v="2024-11-13T00:00:00"/>
    <s v="SQ *FOX THEATER OAKLAND CA0001152921514764923527"/>
    <n v="6.34"/>
    <s v="Restaurants"/>
    <x v="45"/>
    <x v="0"/>
    <s v="Recreation_Entertainment"/>
    <x v="11"/>
    <n v="2024"/>
    <d v="2024-11-13T00:00:00"/>
    <n v="1797.0499999999929"/>
    <n v="9"/>
    <s v="discover"/>
    <n v="0"/>
  </r>
  <r>
    <n v="1200"/>
    <n v="809"/>
    <d v="2024-11-13T00:00:00"/>
    <s v="MONTCLAIR GARAGE PRK MBL OAKLAND CAITEM TRANSFERRED FROM PREV ACCOUNT"/>
    <n v="20.3"/>
    <s v="Merchandise"/>
    <x v="2"/>
    <x v="0"/>
    <s v="Transportation"/>
    <x v="11"/>
    <n v="2024"/>
    <d v="2024-11-13T00:00:00"/>
    <n v="1817.3499999999931"/>
    <n v="8"/>
    <s v="discover"/>
    <n v="0"/>
  </r>
  <r>
    <n v="1201"/>
    <n v="810"/>
    <d v="2024-11-15T00:00:00"/>
    <s v="GOLDEN 1 CTR CONC SACRAMENTO CA"/>
    <n v="24.14"/>
    <s v="Restaurants"/>
    <x v="40"/>
    <x v="0"/>
    <s v="Food"/>
    <x v="11"/>
    <n v="2024"/>
    <d v="2024-11-15T00:00:00"/>
    <n v="1841.489999999993"/>
    <n v="69"/>
    <s v="discover"/>
    <n v="0"/>
  </r>
  <r>
    <n v="1202"/>
    <n v="811"/>
    <d v="2024-11-15T00:00:00"/>
    <s v="LIFE CAFE #283 WALNUT CREEK CA01509P"/>
    <n v="20.13"/>
    <s v="Restaurants"/>
    <x v="50"/>
    <x v="0"/>
    <s v="Food"/>
    <x v="11"/>
    <n v="2024"/>
    <d v="2024-11-15T00:00:00"/>
    <n v="1861.6199999999931"/>
    <n v="49"/>
    <s v="discover"/>
    <n v="0"/>
  </r>
  <r>
    <n v="1203"/>
    <n v="812"/>
    <d v="2024-11-15T00:00:00"/>
    <s v="LIFE CAFE #283 WALNUT CREEK CA01546P"/>
    <n v="22.37"/>
    <s v="Restaurants"/>
    <x v="50"/>
    <x v="0"/>
    <s v="Food"/>
    <x v="11"/>
    <n v="2024"/>
    <d v="2024-11-15T00:00:00"/>
    <n v="1883.989999999993"/>
    <n v="50"/>
    <s v="discover"/>
    <n v="0"/>
  </r>
  <r>
    <n v="1204"/>
    <n v="813"/>
    <d v="2024-11-15T00:00:00"/>
    <s v="NBA*SACRAMENTO KINGS 916-928-3683 CAMIC94A4D00-F7IVS"/>
    <n v="25"/>
    <s v="Travel/ Entertainment"/>
    <x v="85"/>
    <x v="1"/>
    <s v="Recreation_Entertainment"/>
    <x v="11"/>
    <n v="2024"/>
    <d v="2024-11-15T00:00:00"/>
    <n v="1908.989999999993"/>
    <n v="5"/>
    <s v="discover"/>
    <n v="0"/>
  </r>
  <r>
    <n v="1205"/>
    <n v="814"/>
    <d v="2024-11-15T00:00:00"/>
    <s v="TACO BELL 041352 DAVIS CA"/>
    <n v="17.170000000000002"/>
    <s v="Restaurants"/>
    <x v="50"/>
    <x v="0"/>
    <s v="Food"/>
    <x v="11"/>
    <n v="2024"/>
    <d v="2024-11-15T00:00:00"/>
    <n v="1926.159999999993"/>
    <n v="51"/>
    <s v="discover"/>
    <n v="0"/>
  </r>
  <r>
    <n v="1206"/>
    <n v="815"/>
    <d v="2024-11-16T00:00:00"/>
    <s v="AMAZON MKTPL*UY9KO5ID3 AMZN.COM/BILLWAMPPZ7OMPUJ0"/>
    <n v="27.17"/>
    <s v="Merchandise"/>
    <x v="36"/>
    <x v="0"/>
    <s v="Personal_Spending"/>
    <x v="11"/>
    <n v="2024"/>
    <d v="2024-11-16T00:00:00"/>
    <n v="1953.3299999999931"/>
    <n v="65"/>
    <s v="discover"/>
    <n v="0"/>
  </r>
  <r>
    <n v="1207"/>
    <n v="816"/>
    <d v="2024-11-16T00:00:00"/>
    <s v="FASTRAK CSC 415-486-8655 CAITEM TRANSFERRED FROM PREV ACCOUNT"/>
    <n v="25"/>
    <s v="Merchandise"/>
    <x v="57"/>
    <x v="0"/>
    <s v="Transportation"/>
    <x v="11"/>
    <n v="2024"/>
    <d v="2024-11-16T00:00:00"/>
    <n v="1978.3299999999931"/>
    <n v="12"/>
    <s v="discover"/>
    <n v="0"/>
  </r>
  <r>
    <n v="1208"/>
    <n v="817"/>
    <d v="2024-11-18T00:00:00"/>
    <s v="ONLYFANS 8886880458 FLITEM TRANSFERRED FROM PREV ACCOUNT"/>
    <n v="4.99"/>
    <s v="Merchandise"/>
    <x v="38"/>
    <x v="0"/>
    <s v="Recreation_Entertainment"/>
    <x v="11"/>
    <n v="2024"/>
    <d v="2024-11-18T00:00:00"/>
    <n v="1983.3199999999929"/>
    <n v="86"/>
    <s v="discover"/>
    <n v="0"/>
  </r>
  <r>
    <n v="1209"/>
    <n v="818"/>
    <d v="2024-11-18T00:00:00"/>
    <s v="LIFE CAFE #283 WALNUT CREEK CA01842P"/>
    <n v="17.899999999999999"/>
    <s v="Restaurants"/>
    <x v="50"/>
    <x v="0"/>
    <s v="Food"/>
    <x v="11"/>
    <n v="2024"/>
    <d v="2024-11-18T00:00:00"/>
    <n v="2001.219999999993"/>
    <n v="52"/>
    <s v="discover"/>
    <n v="0"/>
  </r>
  <r>
    <n v="1210"/>
    <n v="819"/>
    <d v="2024-11-18T00:00:00"/>
    <s v="LIFE CAFE #283 WALNUT CREEK CA01887P"/>
    <n v="13.41"/>
    <s v="Restaurants"/>
    <x v="50"/>
    <x v="0"/>
    <s v="Food"/>
    <x v="11"/>
    <n v="2024"/>
    <d v="2024-11-18T00:00:00"/>
    <n v="2014.6299999999931"/>
    <n v="53"/>
    <s v="discover"/>
    <n v="0"/>
  </r>
  <r>
    <n v="1211"/>
    <n v="820"/>
    <d v="2024-11-18T00:00:00"/>
    <s v="PCI L761 BROADWAY PLACE WALNUT CREEK CA"/>
    <n v="25"/>
    <s v="Services"/>
    <x v="2"/>
    <x v="0"/>
    <s v="Transportation"/>
    <x v="11"/>
    <n v="2024"/>
    <d v="2024-11-18T00:00:00"/>
    <n v="2039.6299999999931"/>
    <n v="9"/>
    <s v="discover"/>
    <n v="0"/>
  </r>
  <r>
    <n v="1212"/>
    <n v="821"/>
    <d v="2024-11-18T00:00:00"/>
    <s v="LIFE CAFE #283 WALNUT CREEK CA01802P"/>
    <n v="4.46"/>
    <s v="Restaurants"/>
    <x v="50"/>
    <x v="0"/>
    <s v="Food"/>
    <x v="11"/>
    <n v="2024"/>
    <d v="2024-11-18T00:00:00"/>
    <n v="2044.0899999999931"/>
    <n v="54"/>
    <s v="discover"/>
    <n v="0"/>
  </r>
  <r>
    <n v="1213"/>
    <n v="822"/>
    <d v="2024-11-18T00:00:00"/>
    <s v="LIFE CAFE #283 WALNUT CREEK CA01832P"/>
    <n v="3.35"/>
    <s v="Restaurants"/>
    <x v="50"/>
    <x v="0"/>
    <s v="Food"/>
    <x v="11"/>
    <n v="2024"/>
    <d v="2024-11-18T00:00:00"/>
    <n v="2047.439999999993"/>
    <n v="55"/>
    <s v="discover"/>
    <n v="0"/>
  </r>
  <r>
    <n v="1214"/>
    <n v="823"/>
    <d v="2024-11-18T00:00:00"/>
    <s v="LIFE CAFE #283 WALNUT CREEK CA01826P"/>
    <n v="4.46"/>
    <s v="Restaurants"/>
    <x v="50"/>
    <x v="0"/>
    <s v="Food"/>
    <x v="11"/>
    <n v="2024"/>
    <d v="2024-11-18T00:00:00"/>
    <n v="2051.8999999999928"/>
    <n v="56"/>
    <s v="discover"/>
    <n v="0"/>
  </r>
  <r>
    <n v="1215"/>
    <n v="824"/>
    <d v="2024-11-19T00:00:00"/>
    <s v="CKE*MEDITERRANEAN KEBAB BURLINGAME CA"/>
    <n v="43.36"/>
    <s v="Restaurants"/>
    <x v="40"/>
    <x v="0"/>
    <s v="Food"/>
    <x v="11"/>
    <n v="2024"/>
    <d v="2024-11-19T00:00:00"/>
    <n v="2095.2599999999929"/>
    <n v="70"/>
    <s v="discover"/>
    <n v="0"/>
  </r>
  <r>
    <n v="1216"/>
    <n v="825"/>
    <d v="2024-11-19T00:00:00"/>
    <s v="DICKS SPORTING GOODS PLEASANTHILL TN"/>
    <n v="29.39"/>
    <s v="Merchandise"/>
    <x v="58"/>
    <x v="0"/>
    <s v="Travel"/>
    <x v="11"/>
    <n v="2024"/>
    <d v="2024-11-19T00:00:00"/>
    <n v="2124.6499999999928"/>
    <n v="56"/>
    <s v="discover"/>
    <n v="0"/>
  </r>
  <r>
    <n v="1217"/>
    <n v="826"/>
    <d v="2024-11-19T00:00:00"/>
    <s v="GNC 00986 SAN MATEO CA030183"/>
    <n v="132.07"/>
    <s v="Supermarkets"/>
    <x v="70"/>
    <x v="0"/>
    <s v="Personal_Spending"/>
    <x v="11"/>
    <n v="2024"/>
    <d v="2024-11-19T00:00:00"/>
    <n v="2256.719999999993"/>
    <n v="13"/>
    <s v="discover"/>
    <n v="0"/>
  </r>
  <r>
    <n v="1218"/>
    <n v="827"/>
    <d v="2024-11-20T00:00:00"/>
    <s v="SAFEWAY #1547 BURLINGAME CA"/>
    <n v="95.3"/>
    <s v="Supermarkets"/>
    <x v="26"/>
    <x v="0"/>
    <s v="Food"/>
    <x v="11"/>
    <n v="2024"/>
    <d v="2024-11-20T00:00:00"/>
    <n v="2352.0199999999941"/>
    <n v="41"/>
    <s v="discover"/>
    <n v="0"/>
  </r>
  <r>
    <n v="1219"/>
    <n v="828"/>
    <d v="2024-11-20T00:00:00"/>
    <s v="TARGET 00011221091 SAN MATEO CA"/>
    <n v="74.510000000000005"/>
    <s v="Supermarkets"/>
    <x v="36"/>
    <x v="0"/>
    <s v="Personal_Spending"/>
    <x v="11"/>
    <n v="2024"/>
    <d v="2024-11-20T00:00:00"/>
    <n v="2426.5299999999938"/>
    <n v="66"/>
    <s v="discover"/>
    <n v="0"/>
  </r>
  <r>
    <n v="1220"/>
    <n v="829"/>
    <d v="2024-11-22T00:00:00"/>
    <s v="TARGET 00011221091 SAN MATEO CA"/>
    <n v="55.91"/>
    <s v="Supermarkets"/>
    <x v="36"/>
    <x v="0"/>
    <s v="Personal_Spending"/>
    <x v="11"/>
    <n v="2024"/>
    <d v="2024-11-22T00:00:00"/>
    <n v="2482.4399999999941"/>
    <n v="67"/>
    <s v="discover"/>
    <n v="0"/>
  </r>
  <r>
    <n v="1221"/>
    <n v="830"/>
    <d v="2024-11-22T00:00:00"/>
    <s v="APPLE STORE R029 BURLINGAME CA"/>
    <n v="820.34"/>
    <s v="Merchandise"/>
    <x v="14"/>
    <x v="1"/>
    <s v="Utilities"/>
    <x v="11"/>
    <n v="2024"/>
    <d v="2024-11-22T00:00:00"/>
    <n v="3302.7799999999938"/>
    <n v="2"/>
    <s v="discover"/>
    <n v="0"/>
  </r>
  <r>
    <n v="1222"/>
    <n v="831"/>
    <d v="2024-11-22T00:00:00"/>
    <s v="CAFFE CENTRAL BURLINGAME CA"/>
    <n v="32.75"/>
    <s v="Restaurants"/>
    <x v="44"/>
    <x v="0"/>
    <s v="Food"/>
    <x v="11"/>
    <n v="2024"/>
    <d v="2024-11-22T00:00:00"/>
    <n v="3335.5299999999938"/>
    <n v="9"/>
    <s v="discover"/>
    <n v="0"/>
  </r>
  <r>
    <n v="1223"/>
    <n v="832"/>
    <d v="2024-11-23T00:00:00"/>
    <s v="WENDY'S BELMONT CA"/>
    <n v="14.05"/>
    <s v="Restaurants"/>
    <x v="50"/>
    <x v="0"/>
    <s v="Food"/>
    <x v="11"/>
    <n v="2024"/>
    <d v="2024-11-23T00:00:00"/>
    <n v="3349.579999999994"/>
    <n v="57"/>
    <s v="discover"/>
    <n v="0"/>
  </r>
  <r>
    <n v="1224"/>
    <n v="833"/>
    <d v="2024-11-23T00:00:00"/>
    <s v="AMAZON MKTPL*8R75N6UJ3 AMZN.COM/BILLWA4CWWHY354TN"/>
    <n v="67.08"/>
    <s v="Merchandise"/>
    <x v="36"/>
    <x v="0"/>
    <s v="Personal_Spending"/>
    <x v="11"/>
    <n v="2024"/>
    <d v="2024-11-23T00:00:00"/>
    <n v="3416.6599999999939"/>
    <n v="68"/>
    <s v="discover"/>
    <n v="0"/>
  </r>
  <r>
    <n v="1225"/>
    <n v="834"/>
    <d v="2024-11-23T00:00:00"/>
    <s v="BANDCAMP DARWIN DEEZ 888-221-1161 CA"/>
    <n v="20"/>
    <s v="Merchandise"/>
    <x v="64"/>
    <x v="0"/>
    <s v="Travel"/>
    <x v="11"/>
    <n v="2024"/>
    <d v="2024-11-23T00:00:00"/>
    <n v="3436.6599999999939"/>
    <n v="5"/>
    <s v="discover"/>
    <n v="0"/>
  </r>
  <r>
    <n v="1226"/>
    <n v="835"/>
    <d v="2024-11-23T00:00:00"/>
    <s v="NBA*SACRAMENTO KINGS 916-928-3683 CAMIC8065300-F7IVS"/>
    <n v="25"/>
    <s v="Travel/ Entertainment"/>
    <x v="85"/>
    <x v="1"/>
    <s v="Recreation_Entertainment"/>
    <x v="11"/>
    <n v="2024"/>
    <d v="2024-11-23T00:00:00"/>
    <n v="3461.6599999999939"/>
    <n v="6"/>
    <s v="discover"/>
    <n v="0"/>
  </r>
  <r>
    <n v="1227"/>
    <n v="836"/>
    <d v="2024-11-23T00:00:00"/>
    <s v="ONLYFANS.COM*A 8886880458 FLITEM TRANSFERRED FROM PREV ACCOUNT"/>
    <n v="7.19"/>
    <s v="Merchandise"/>
    <x v="38"/>
    <x v="0"/>
    <s v="Recreation_Entertainment"/>
    <x v="11"/>
    <n v="2024"/>
    <d v="2024-11-23T00:00:00"/>
    <n v="3468.849999999994"/>
    <n v="87"/>
    <s v="discover"/>
    <n v="0"/>
  </r>
  <r>
    <n v="1228"/>
    <n v="837"/>
    <d v="2024-11-23T00:00:00"/>
    <s v="WMT PLUS NOV 2024 800-925-6278 ARITEM TRANSFERRED FROM PREV ACCOUNT"/>
    <n v="14.2"/>
    <s v="Merchandise"/>
    <x v="71"/>
    <x v="0"/>
    <s v="Personal_Spending"/>
    <x v="11"/>
    <n v="2024"/>
    <d v="2024-11-23T00:00:00"/>
    <n v="3483.0499999999938"/>
    <n v="13"/>
    <s v="discover"/>
    <n v="0"/>
  </r>
  <r>
    <n v="1229"/>
    <n v="838"/>
    <d v="2024-11-24T00:00:00"/>
    <s v="UNIQLO USA LLC UNIQLO  SAN MATEO CA"/>
    <n v="21.82"/>
    <s v="Merchandise"/>
    <x v="56"/>
    <x v="0"/>
    <s v="Personal_Spending"/>
    <x v="11"/>
    <n v="2024"/>
    <d v="2024-11-24T00:00:00"/>
    <n v="3504.869999999994"/>
    <n v="28"/>
    <s v="discover"/>
    <n v="0"/>
  </r>
  <r>
    <n v="1230"/>
    <n v="839"/>
    <d v="2024-11-24T00:00:00"/>
    <s v="SAFEWAY #1547 BURLINGAME CA"/>
    <n v="158.26"/>
    <s v="Supermarkets"/>
    <x v="26"/>
    <x v="0"/>
    <s v="Food"/>
    <x v="11"/>
    <n v="2024"/>
    <d v="2024-11-24T00:00:00"/>
    <n v="3663.1299999999942"/>
    <n v="42"/>
    <s v="discover"/>
    <n v="0"/>
  </r>
  <r>
    <n v="1231"/>
    <n v="840"/>
    <d v="2024-11-25T00:00:00"/>
    <s v="INTERNET PAYMENT - THANK YOU"/>
    <n v="-3468.67"/>
    <s v="Payments and Credits"/>
    <x v="55"/>
    <x v="0"/>
    <s v="Payment_and_Interest"/>
    <x v="11"/>
    <n v="2024"/>
    <d v="2024-11-25T00:00:00"/>
    <n v="194.4599999999937"/>
    <n v="18"/>
    <s v="discover"/>
    <n v="0"/>
  </r>
  <r>
    <n v="1232"/>
    <n v="841"/>
    <d v="2024-11-25T00:00:00"/>
    <s v="JIFFY LUBE #608 SAN MATEO CA11252024"/>
    <n v="124.58"/>
    <s v="Automotive"/>
    <x v="84"/>
    <x v="0"/>
    <s v="Utilities"/>
    <x v="11"/>
    <n v="2024"/>
    <d v="2024-11-25T00:00:00"/>
    <n v="319.03999999999371"/>
    <n v="6"/>
    <s v="discover"/>
    <n v="0"/>
  </r>
  <r>
    <n v="1233"/>
    <n v="842"/>
    <d v="2024-11-25T00:00:00"/>
    <s v="LIFE CAFE #283 WALNUT CREEK CA02502P"/>
    <n v="16.77"/>
    <s v="Restaurants"/>
    <x v="50"/>
    <x v="0"/>
    <s v="Food"/>
    <x v="11"/>
    <n v="2024"/>
    <d v="2024-11-25T00:00:00"/>
    <n v="335.80999999999358"/>
    <n v="58"/>
    <s v="discover"/>
    <n v="0"/>
  </r>
  <r>
    <n v="1234"/>
    <n v="843"/>
    <d v="2024-11-25T00:00:00"/>
    <s v="ONLYFANS.COM*A 8886880458 FLITEM TRANSFERRED FROM PREV ACCOUNT"/>
    <n v="10"/>
    <s v="Merchandise"/>
    <x v="38"/>
    <x v="0"/>
    <s v="Recreation_Entertainment"/>
    <x v="11"/>
    <n v="2024"/>
    <d v="2024-11-25T00:00:00"/>
    <n v="345.80999999999358"/>
    <n v="88"/>
    <s v="discover"/>
    <n v="0"/>
  </r>
  <r>
    <n v="1235"/>
    <n v="844"/>
    <d v="2024-11-25T00:00:00"/>
    <s v="WALGREENS #0625 MILLBRAE CA"/>
    <n v="22.02"/>
    <s v="Merchandise"/>
    <x v="71"/>
    <x v="0"/>
    <s v="Personal_Spending"/>
    <x v="11"/>
    <n v="2024"/>
    <d v="2024-11-25T00:00:00"/>
    <n v="367.82999999999362"/>
    <n v="14"/>
    <s v="discover"/>
    <n v="0"/>
  </r>
  <r>
    <n v="1236"/>
    <n v="845"/>
    <d v="2024-11-26T00:00:00"/>
    <s v="FASTRAK CSC 415-486-8655 CAITEM TRANSFERRED FROM PREV ACCOUNT"/>
    <n v="25"/>
    <s v="Merchandise"/>
    <x v="57"/>
    <x v="0"/>
    <s v="Transportation"/>
    <x v="11"/>
    <n v="2024"/>
    <d v="2024-11-26T00:00:00"/>
    <n v="392.82999999999362"/>
    <n v="13"/>
    <s v="discover"/>
    <n v="0"/>
  </r>
  <r>
    <n v="1237"/>
    <n v="846"/>
    <d v="2024-11-26T00:00:00"/>
    <s v="MARVIN GARDENS BELMONT CA"/>
    <n v="32.72"/>
    <s v="Restaurants"/>
    <x v="40"/>
    <x v="0"/>
    <s v="Food"/>
    <x v="11"/>
    <n v="2024"/>
    <d v="2024-11-26T00:00:00"/>
    <n v="425.54999999999359"/>
    <n v="71"/>
    <s v="discover"/>
    <n v="0"/>
  </r>
  <r>
    <n v="1238"/>
    <n v="847"/>
    <d v="2024-11-26T00:00:00"/>
    <s v="OFFICE DEPOT #558 SAN CARLOS CA"/>
    <n v="89.88"/>
    <s v="Merchandise"/>
    <x v="78"/>
    <x v="0"/>
    <s v="Housing"/>
    <x v="11"/>
    <n v="2024"/>
    <d v="2024-11-26T00:00:00"/>
    <n v="515.42999999999358"/>
    <n v="4"/>
    <s v="discover"/>
    <n v="0"/>
  </r>
  <r>
    <n v="1239"/>
    <n v="848"/>
    <d v="2024-11-26T00:00:00"/>
    <s v="SNACK* SOMI SOMI SAN M 8668682146 CA"/>
    <n v="5.4"/>
    <s v="Restaurants"/>
    <x v="40"/>
    <x v="0"/>
    <s v="Food"/>
    <x v="11"/>
    <n v="2024"/>
    <d v="2024-11-26T00:00:00"/>
    <n v="520.82999999999356"/>
    <n v="72"/>
    <s v="discover"/>
    <n v="0"/>
  </r>
  <r>
    <n v="1240"/>
    <n v="849"/>
    <d v="2024-11-26T00:00:00"/>
    <s v="TST* TOM'S WATCH BAR - S SACRAMENTO CA"/>
    <n v="48.55"/>
    <s v="Restaurants"/>
    <x v="40"/>
    <x v="0"/>
    <s v="Food"/>
    <x v="11"/>
    <n v="2024"/>
    <d v="2024-11-26T00:00:00"/>
    <n v="569.37999999999352"/>
    <n v="73"/>
    <s v="discover"/>
    <n v="0"/>
  </r>
  <r>
    <n v="1241"/>
    <n v="850"/>
    <d v="2024-11-27T00:00:00"/>
    <s v="SAFEWAY #0999 FOSTER CITY CA"/>
    <n v="30.96"/>
    <s v="Supermarkets"/>
    <x v="26"/>
    <x v="0"/>
    <s v="Food"/>
    <x v="11"/>
    <n v="2024"/>
    <d v="2024-11-27T00:00:00"/>
    <n v="600.33999999999355"/>
    <n v="43"/>
    <s v="discover"/>
    <n v="0"/>
  </r>
  <r>
    <n v="1242"/>
    <n v="851"/>
    <d v="2024-11-27T00:00:00"/>
    <s v="TARGET 00011221091 SAN MATEO CA"/>
    <n v="33.85"/>
    <s v="Supermarkets"/>
    <x v="36"/>
    <x v="0"/>
    <s v="Personal_Spending"/>
    <x v="11"/>
    <n v="2024"/>
    <d v="2024-11-27T00:00:00"/>
    <n v="634.18999999999357"/>
    <n v="69"/>
    <s v="discover"/>
    <n v="0"/>
  </r>
  <r>
    <n v="1243"/>
    <n v="852"/>
    <d v="2024-11-27T00:00:00"/>
    <s v="ONLYFANS.COM*A 8886880458 FLITEM TRANSFERRED FROM PREV ACCOUNT"/>
    <n v="13"/>
    <s v="Merchandise"/>
    <x v="38"/>
    <x v="0"/>
    <s v="Recreation_Entertainment"/>
    <x v="11"/>
    <n v="2024"/>
    <d v="2024-11-27T00:00:00"/>
    <n v="647.18999999999357"/>
    <n v="89"/>
    <s v="discover"/>
    <n v="0"/>
  </r>
  <r>
    <n v="1244"/>
    <n v="853"/>
    <d v="2024-11-27T00:00:00"/>
    <s v="ARCO#04495SINO AMERICAN SAN MATEO CA"/>
    <n v="32.46"/>
    <s v="Gasoline"/>
    <x v="62"/>
    <x v="0"/>
    <s v="Travel"/>
    <x v="11"/>
    <n v="2024"/>
    <d v="2024-11-27T00:00:00"/>
    <n v="679.64999999999361"/>
    <n v="5"/>
    <s v="discover"/>
    <n v="0"/>
  </r>
  <r>
    <n v="1245"/>
    <n v="854"/>
    <d v="2024-11-27T00:00:00"/>
    <s v="ADOBE *ADOBE 408-536-6000 CAITEM TRANSFERRED FROM PREV ACCOUNT"/>
    <n v="29.99"/>
    <s v="Merchandise"/>
    <x v="66"/>
    <x v="1"/>
    <s v="Personal_Spending"/>
    <x v="11"/>
    <n v="2024"/>
    <d v="2024-11-27T00:00:00"/>
    <n v="709.63999999999362"/>
    <n v="11"/>
    <s v="discover"/>
    <n v="0"/>
  </r>
  <r>
    <n v="1246"/>
    <n v="855"/>
    <d v="2024-11-29T00:00:00"/>
    <s v="BOX LUNCH #4659 MILPITAS CA"/>
    <n v="25.64"/>
    <s v="Merchandise"/>
    <x v="50"/>
    <x v="0"/>
    <s v="Food"/>
    <x v="11"/>
    <n v="2024"/>
    <d v="2024-11-29T00:00:00"/>
    <n v="735.27999999999361"/>
    <n v="59"/>
    <s v="discover"/>
    <n v="0"/>
  </r>
  <r>
    <n v="1247"/>
    <n v="856"/>
    <d v="2024-11-29T00:00:00"/>
    <s v="CHARLEYS PHILLY STEAKS 6 MILPITAS CA"/>
    <n v="26"/>
    <s v="Restaurants"/>
    <x v="58"/>
    <x v="0"/>
    <s v="Travel"/>
    <x v="11"/>
    <n v="2024"/>
    <d v="2024-11-29T00:00:00"/>
    <n v="761.27999999999361"/>
    <n v="57"/>
    <s v="discover"/>
    <n v="0"/>
  </r>
  <r>
    <n v="1248"/>
    <n v="857"/>
    <d v="2024-11-29T00:00:00"/>
    <s v="OAKLEY B004 MILPITAS CA"/>
    <n v="192.93"/>
    <s v="Medical Services"/>
    <x v="83"/>
    <x v="0"/>
    <s v="Medical"/>
    <x v="11"/>
    <n v="2024"/>
    <d v="2024-11-29T00:00:00"/>
    <n v="954.20999999999367"/>
    <n v="3"/>
    <s v="discover"/>
    <n v="0"/>
  </r>
  <r>
    <n v="1249"/>
    <n v="858"/>
    <d v="2024-11-29T00:00:00"/>
    <s v="SQ *PINK PINK TEA SHOP SAN MATEO CA0001152921514832389923"/>
    <n v="16.43"/>
    <s v="Restaurants"/>
    <x v="50"/>
    <x v="0"/>
    <s v="Food"/>
    <x v="11"/>
    <n v="2024"/>
    <d v="2024-11-29T00:00:00"/>
    <n v="970.63999999999362"/>
    <n v="60"/>
    <s v="discover"/>
    <n v="0"/>
  </r>
  <r>
    <n v="1250"/>
    <n v="859"/>
    <d v="2024-11-29T00:00:00"/>
    <s v="UA FH MILPITAS MILPITAS CA"/>
    <n v="21.88"/>
    <s v="Merchandise"/>
    <x v="10"/>
    <x v="0"/>
    <s v="Misc"/>
    <x v="11"/>
    <n v="2024"/>
    <d v="2024-11-29T00:00:00"/>
    <n v="992.51999999999362"/>
    <n v="11"/>
    <s v="discover"/>
    <n v="0"/>
  </r>
  <r>
    <n v="1251"/>
    <n v="860"/>
    <d v="2024-11-30T00:00:00"/>
    <s v="GOOGLE *BUMBLE 855-836-3987 CAITEM TRANSFERRED FROM PREV ACCOUNT"/>
    <n v="15.89"/>
    <s v="Merchandise"/>
    <x v="102"/>
    <x v="0"/>
    <s v="Recreation_Entertainment"/>
    <x v="11"/>
    <n v="2024"/>
    <d v="2024-11-30T00:00:00"/>
    <n v="1008.4099999999941"/>
    <n v="2"/>
    <s v="discover"/>
    <n v="0"/>
  </r>
  <r>
    <n v="1252"/>
    <n v="861"/>
    <d v="2024-11-30T00:00:00"/>
    <s v="TARGET 00011221091 SAN MATEO CA"/>
    <n v="30.4"/>
    <s v="Supermarkets"/>
    <x v="36"/>
    <x v="0"/>
    <s v="Personal_Spending"/>
    <x v="11"/>
    <n v="2024"/>
    <d v="2024-11-30T00:00:00"/>
    <n v="1038.809999999994"/>
    <n v="70"/>
    <s v="discover"/>
    <n v="1"/>
  </r>
  <r>
    <n v="1253"/>
    <n v="862"/>
    <d v="2024-12-01T00:00:00"/>
    <s v="AMAZON.COM*Z35SD76Z1 AMZN.COM/BILLWA35YTJ73XCLR"/>
    <n v="16.43"/>
    <s v="Merchandise"/>
    <x v="36"/>
    <x v="0"/>
    <s v="Personal_Spending"/>
    <x v="12"/>
    <n v="2024"/>
    <d v="2024-12-01T00:00:00"/>
    <n v="1055.2399999999941"/>
    <n v="71"/>
    <s v="discover"/>
    <n v="0"/>
  </r>
  <r>
    <n v="1254"/>
    <n v="863"/>
    <d v="2024-12-01T00:00:00"/>
    <s v="OPENAI *CHATGPT SUBSCR 4158799686 CAITEM TRANSFERRED FROM PREV ACCOUNT"/>
    <n v="20"/>
    <s v="Merchandise"/>
    <x v="30"/>
    <x v="1"/>
    <s v="Personal_Spending"/>
    <x v="12"/>
    <n v="2024"/>
    <d v="2024-12-01T00:00:00"/>
    <n v="1075.2399999999941"/>
    <n v="12"/>
    <s v="discover"/>
    <n v="0"/>
  </r>
  <r>
    <n v="1255"/>
    <n v="864"/>
    <d v="2024-12-01T00:00:00"/>
    <s v="PLANNED PARENTHOOD ACTIO NEW YORK NYITEM TRANSFERRED FROM PREV ACCOUNT"/>
    <n v="5"/>
    <s v="Merchandise"/>
    <x v="31"/>
    <x v="1"/>
    <s v="Personal_Spending"/>
    <x v="12"/>
    <n v="2024"/>
    <d v="2024-12-01T00:00:00"/>
    <n v="1080.2399999999941"/>
    <n v="12"/>
    <s v="discover"/>
    <n v="0"/>
  </r>
  <r>
    <n v="1256"/>
    <n v="865"/>
    <d v="2024-12-01T00:00:00"/>
    <s v="SPOTIFY P31F919A0B 8777781161 NY"/>
    <n v="11.99"/>
    <s v="Merchandise"/>
    <x v="32"/>
    <x v="1"/>
    <s v="Recreation_Entertainment"/>
    <x v="12"/>
    <n v="2024"/>
    <d v="2024-12-01T00:00:00"/>
    <n v="1092.2299999999941"/>
    <n v="12"/>
    <s v="discover"/>
    <n v="0"/>
  </r>
  <r>
    <n v="1257"/>
    <n v="866"/>
    <d v="2024-12-02T00:00:00"/>
    <s v="SEATGEEK TICKETS 8884974335 NY"/>
    <n v="48"/>
    <s v="Travel/ Entertainment"/>
    <x v="65"/>
    <x v="0"/>
    <s v="Personal_Spending"/>
    <x v="12"/>
    <n v="2024"/>
    <d v="2024-12-02T00:00:00"/>
    <n v="1140.2299999999941"/>
    <n v="13"/>
    <s v="discover"/>
    <n v="0"/>
  </r>
  <r>
    <n v="1258"/>
    <n v="867"/>
    <d v="2024-12-02T00:00:00"/>
    <s v="TARGET 00011221091 SAN MATEO CA"/>
    <n v="154.96"/>
    <s v="Supermarkets"/>
    <x v="36"/>
    <x v="0"/>
    <s v="Personal_Spending"/>
    <x v="12"/>
    <n v="2024"/>
    <d v="2024-12-02T00:00:00"/>
    <n v="1295.1899999999939"/>
    <n v="72"/>
    <s v="discover"/>
    <n v="0"/>
  </r>
  <r>
    <n v="1259"/>
    <n v="868"/>
    <d v="2024-12-02T00:00:00"/>
    <s v="ONEPASS 877-515-9364 MNITEM TRANSFERRED FROM PREV ACCOUNT"/>
    <n v="273.60000000000002"/>
    <s v="Merchandise"/>
    <x v="33"/>
    <x v="1"/>
    <s v="Personal_Spending"/>
    <x v="12"/>
    <n v="2024"/>
    <d v="2024-12-02T00:00:00"/>
    <n v="1568.7899999999941"/>
    <n v="14"/>
    <s v="discover"/>
    <n v="0"/>
  </r>
  <r>
    <n v="1260"/>
    <n v="869"/>
    <d v="2024-12-02T00:00:00"/>
    <s v="MED*KASRA RASTANI MD P 415-781-7220 CA323982585"/>
    <n v="30"/>
    <s v="Medical Services"/>
    <x v="63"/>
    <x v="0"/>
    <s v="Medical"/>
    <x v="12"/>
    <n v="2024"/>
    <d v="2024-12-02T00:00:00"/>
    <n v="1598.7899999999941"/>
    <n v="6"/>
    <s v="discover"/>
    <n v="0"/>
  </r>
  <r>
    <n v="1261"/>
    <n v="870"/>
    <d v="2024-12-02T00:00:00"/>
    <s v="LIFE CAFE #283 WALNUT CREEK CA00290P"/>
    <n v="30.21"/>
    <s v="Restaurants"/>
    <x v="50"/>
    <x v="0"/>
    <s v="Food"/>
    <x v="12"/>
    <n v="2024"/>
    <d v="2024-12-02T00:00:00"/>
    <n v="1628.9999999999941"/>
    <n v="61"/>
    <s v="discover"/>
    <n v="0"/>
  </r>
  <r>
    <n v="1262"/>
    <n v="871"/>
    <d v="2024-12-02T00:00:00"/>
    <s v="BREAKING POINTS-LOCALS 2025317527 DC"/>
    <n v="10"/>
    <s v="Merchandise"/>
    <x v="34"/>
    <x v="1"/>
    <s v="Recreation_Entertainment"/>
    <x v="12"/>
    <n v="2024"/>
    <d v="2024-12-02T00:00:00"/>
    <n v="1638.9999999999941"/>
    <n v="12"/>
    <s v="discover"/>
    <n v="0"/>
  </r>
  <r>
    <n v="1263"/>
    <n v="872"/>
    <d v="2024-12-02T00:00:00"/>
    <s v="NBA*SACRAMENTO KINGS 916-928-3683 CAMIC7A4FD00-F7IVS"/>
    <n v="25"/>
    <s v="Travel/ Entertainment"/>
    <x v="85"/>
    <x v="1"/>
    <s v="Recreation_Entertainment"/>
    <x v="12"/>
    <n v="2024"/>
    <d v="2024-12-02T00:00:00"/>
    <n v="1663.9999999999941"/>
    <n v="7"/>
    <s v="discover"/>
    <n v="0"/>
  </r>
  <r>
    <n v="1264"/>
    <n v="873"/>
    <d v="2024-12-03T00:00:00"/>
    <s v="AUTOMATIC STATEMENT CREDIT"/>
    <n v="-55.25"/>
    <s v="Awards and Rebate Credits"/>
    <x v="39"/>
    <x v="0"/>
    <s v="Payment_and_Interest"/>
    <x v="12"/>
    <n v="2024"/>
    <d v="2024-12-03T00:00:00"/>
    <n v="1608.7499999999941"/>
    <n v="12"/>
    <s v="discover"/>
    <n v="0"/>
  </r>
  <r>
    <n v="1265"/>
    <n v="874"/>
    <d v="2024-12-03T00:00:00"/>
    <s v="FASTRAK CSC 415-486-8655 CAITEM TRANSFERRED FROM PREV ACCOUNT"/>
    <n v="50"/>
    <s v="Merchandise"/>
    <x v="57"/>
    <x v="0"/>
    <s v="Transportation"/>
    <x v="12"/>
    <n v="2024"/>
    <d v="2024-12-03T00:00:00"/>
    <n v="1658.7499999999941"/>
    <n v="14"/>
    <s v="discover"/>
    <n v="0"/>
  </r>
  <r>
    <n v="1266"/>
    <n v="875"/>
    <d v="2024-12-03T00:00:00"/>
    <s v="UNITED AIRLINES 18004214655 TX"/>
    <n v="59"/>
    <s v="Travel/ Entertainment"/>
    <x v="62"/>
    <x v="0"/>
    <s v="Travel"/>
    <x v="12"/>
    <n v="2024"/>
    <d v="2024-12-03T00:00:00"/>
    <n v="1717.7499999999941"/>
    <n v="6"/>
    <s v="discover"/>
    <n v="0"/>
  </r>
  <r>
    <n v="1267"/>
    <n v="876"/>
    <d v="2024-12-04T00:00:00"/>
    <s v="R BAR ARENA COLUMBUS OH"/>
    <n v="15.5"/>
    <s v="Restaurants"/>
    <x v="40"/>
    <x v="0"/>
    <s v="Food"/>
    <x v="12"/>
    <n v="2024"/>
    <d v="2024-12-04T00:00:00"/>
    <n v="1733.2499999999941"/>
    <n v="74"/>
    <s v="discover"/>
    <n v="0"/>
  </r>
  <r>
    <n v="1268"/>
    <n v="877"/>
    <d v="2024-12-04T00:00:00"/>
    <s v="SQ *AMERICAN NUT COMPA COLUMBUS OH0002305843021098229541"/>
    <n v="8.75"/>
    <s v="Restaurants"/>
    <x v="62"/>
    <x v="0"/>
    <s v="Travel"/>
    <x v="12"/>
    <n v="2024"/>
    <d v="2024-12-04T00:00:00"/>
    <n v="1741.9999999999941"/>
    <n v="7"/>
    <s v="discover"/>
    <n v="0"/>
  </r>
  <r>
    <n v="1269"/>
    <n v="878"/>
    <d v="2024-12-05T00:00:00"/>
    <s v="METROPOLIS PARKING 8564856865 TN"/>
    <n v="83.5"/>
    <s v="Services"/>
    <x v="2"/>
    <x v="0"/>
    <s v="Transportation"/>
    <x v="12"/>
    <n v="2024"/>
    <d v="2024-12-05T00:00:00"/>
    <n v="1825.4999999999941"/>
    <n v="10"/>
    <s v="discover"/>
    <n v="0"/>
  </r>
  <r>
    <n v="1270"/>
    <n v="879"/>
    <d v="2024-12-05T00:00:00"/>
    <s v="HILTON GARDEN INN COLUMB COLUMBUS OH"/>
    <n v="27.95"/>
    <s v="Restaurants"/>
    <x v="58"/>
    <x v="0"/>
    <s v="Travel"/>
    <x v="12"/>
    <n v="2024"/>
    <d v="2024-12-05T00:00:00"/>
    <n v="1853.4499999999939"/>
    <n v="58"/>
    <s v="discover"/>
    <n v="0"/>
  </r>
  <r>
    <n v="1271"/>
    <n v="880"/>
    <d v="2024-12-05T00:00:00"/>
    <s v="ONLYFANS.COM*A 8886880458 FLITEM TRANSFERRED FROM PREV ACCOUNT"/>
    <n v="6.79"/>
    <s v="Merchandise"/>
    <x v="38"/>
    <x v="0"/>
    <s v="Recreation_Entertainment"/>
    <x v="12"/>
    <n v="2024"/>
    <d v="2024-12-05T00:00:00"/>
    <n v="1860.2399999999941"/>
    <n v="90"/>
    <s v="discover"/>
    <n v="0"/>
  </r>
  <r>
    <n v="1272"/>
    <n v="881"/>
    <d v="2024-12-05T00:00:00"/>
    <s v="CMH CHM SUPPLY CO COLUMBUS OH00522P"/>
    <n v="3.75"/>
    <s v="Merchandise"/>
    <x v="10"/>
    <x v="0"/>
    <s v="Misc"/>
    <x v="12"/>
    <n v="2024"/>
    <d v="2024-12-05T00:00:00"/>
    <n v="1863.9899999999941"/>
    <n v="12"/>
    <s v="discover"/>
    <n v="0"/>
  </r>
  <r>
    <n v="1273"/>
    <n v="882"/>
    <d v="2024-12-05T00:00:00"/>
    <s v="CMH COLUMBUS MKPLACE B COLUMBUS OH00503P"/>
    <n v="10.18"/>
    <s v="Merchandise"/>
    <x v="40"/>
    <x v="0"/>
    <s v="Food"/>
    <x v="12"/>
    <n v="2024"/>
    <d v="2024-12-05T00:00:00"/>
    <n v="1874.1699999999939"/>
    <n v="75"/>
    <s v="discover"/>
    <n v="0"/>
  </r>
  <r>
    <n v="1274"/>
    <n v="883"/>
    <d v="2024-12-06T00:00:00"/>
    <s v="CIAO T1 C11 ORD CHICAGO IL1585521580125346"/>
    <n v="12.1"/>
    <s v="Restaurants"/>
    <x v="58"/>
    <x v="0"/>
    <s v="Travel"/>
    <x v="12"/>
    <n v="2024"/>
    <d v="2024-12-06T00:00:00"/>
    <n v="1886.2699999999941"/>
    <n v="59"/>
    <s v="discover"/>
    <n v="0"/>
  </r>
  <r>
    <n v="1275"/>
    <n v="884"/>
    <d v="2024-12-07T00:00:00"/>
    <s v="ONLYFANS 8886880458 FLITEM TRANSFERRED FROM PREV ACCOUNT"/>
    <n v="15"/>
    <s v="Merchandise"/>
    <x v="38"/>
    <x v="0"/>
    <s v="Recreation_Entertainment"/>
    <x v="12"/>
    <n v="2024"/>
    <d v="2024-12-07T00:00:00"/>
    <n v="1901.2699999999941"/>
    <n v="91"/>
    <s v="discover"/>
    <n v="0"/>
  </r>
  <r>
    <n v="1276"/>
    <n v="885"/>
    <d v="2024-12-07T00:00:00"/>
    <s v="TARGET.COM * 800-591-3869 MN"/>
    <n v="450"/>
    <s v="Merchandise"/>
    <x v="36"/>
    <x v="0"/>
    <s v="Personal_Spending"/>
    <x v="12"/>
    <n v="2024"/>
    <d v="2024-12-07T00:00:00"/>
    <n v="2351.2699999999941"/>
    <n v="73"/>
    <s v="discover"/>
    <n v="0"/>
  </r>
  <r>
    <n v="1277"/>
    <n v="886"/>
    <d v="2024-12-10T00:00:00"/>
    <s v="ONLYFANS 8886880458 FLITEM TRANSFERRED FROM PREV ACCOUNT"/>
    <n v="7.99"/>
    <s v="Merchandise"/>
    <x v="38"/>
    <x v="0"/>
    <s v="Recreation_Entertainment"/>
    <x v="12"/>
    <n v="2024"/>
    <d v="2024-12-10T00:00:00"/>
    <n v="2359.2599999999929"/>
    <n v="92"/>
    <s v="discover"/>
    <n v="0"/>
  </r>
  <r>
    <n v="1278"/>
    <n v="887"/>
    <d v="2024-12-11T00:00:00"/>
    <s v="SAFEWAY #1547 BURLINGAME CA"/>
    <n v="34.6"/>
    <s v="Supermarkets"/>
    <x v="26"/>
    <x v="0"/>
    <s v="Food"/>
    <x v="12"/>
    <n v="2024"/>
    <d v="2024-12-11T00:00:00"/>
    <n v="2393.8599999999929"/>
    <n v="44"/>
    <s v="discover"/>
    <n v="0"/>
  </r>
  <r>
    <n v="1279"/>
    <n v="888"/>
    <d v="2024-12-11T00:00:00"/>
    <s v="THE DETOUR SAN FRANCISCOCA"/>
    <n v="18.36"/>
    <s v="Restaurants"/>
    <x v="50"/>
    <x v="0"/>
    <s v="Food"/>
    <x v="12"/>
    <n v="2024"/>
    <d v="2024-12-11T00:00:00"/>
    <n v="2412.219999999993"/>
    <n v="62"/>
    <s v="discover"/>
    <n v="0"/>
  </r>
  <r>
    <n v="1280"/>
    <n v="889"/>
    <d v="2024-12-12T00:00:00"/>
    <s v="GOOGLE *GOOGLE ONE 855-836-3987 CAITEM TRANSFERRED FROM PREV ACCOUNT"/>
    <n v="2.11"/>
    <s v="Merchandise"/>
    <x v="91"/>
    <x v="1"/>
    <s v="Personal_Spending"/>
    <x v="12"/>
    <n v="2024"/>
    <d v="2024-12-12T00:00:00"/>
    <n v="2414.329999999994"/>
    <n v="5"/>
    <s v="discover"/>
    <n v="0"/>
  </r>
  <r>
    <n v="1281"/>
    <n v="890"/>
    <d v="2024-12-13T00:00:00"/>
    <s v="DINE--ONLINE*ARARATKEB 877-585-1085 NY"/>
    <n v="29.76"/>
    <s v="Restaurants"/>
    <x v="50"/>
    <x v="0"/>
    <s v="Food"/>
    <x v="12"/>
    <n v="2024"/>
    <d v="2024-12-13T00:00:00"/>
    <n v="2444.0899999999938"/>
    <n v="63"/>
    <s v="discover"/>
    <n v="0"/>
  </r>
  <r>
    <n v="1282"/>
    <n v="891"/>
    <d v="2024-12-13T00:00:00"/>
    <s v="INTERNET PAYMENT - THANK YOU"/>
    <n v="-2386.27"/>
    <s v="Payments and Credits"/>
    <x v="55"/>
    <x v="0"/>
    <s v="Payment_and_Interest"/>
    <x v="12"/>
    <n v="2024"/>
    <d v="2024-12-13T00:00:00"/>
    <n v="57.819999999993797"/>
    <n v="19"/>
    <s v="discover"/>
    <n v="0"/>
  </r>
  <r>
    <n v="1283"/>
    <n v="892"/>
    <d v="2024-12-13T00:00:00"/>
    <s v="TJMAXX #0402 SAN MATEO CA"/>
    <n v="75.59"/>
    <s v="Merchandise"/>
    <x v="10"/>
    <x v="0"/>
    <s v="Misc"/>
    <x v="12"/>
    <n v="2024"/>
    <d v="2024-12-13T00:00:00"/>
    <n v="133.4099999999938"/>
    <n v="13"/>
    <s v="discover"/>
    <n v="0"/>
  </r>
  <r>
    <n v="1284"/>
    <n v="893"/>
    <d v="2024-12-14T00:00:00"/>
    <s v="SQ *VOYAGER-SAN PEDRO SAN JOSE CA0001152921514890311452"/>
    <n v="16.66"/>
    <s v="Restaurants"/>
    <x v="50"/>
    <x v="0"/>
    <s v="Food"/>
    <x v="12"/>
    <n v="2024"/>
    <d v="2024-12-14T00:00:00"/>
    <n v="150.0699999999938"/>
    <n v="64"/>
    <s v="discover"/>
    <n v="0"/>
  </r>
  <r>
    <n v="1285"/>
    <n v="894"/>
    <d v="2024-12-14T00:00:00"/>
    <s v="SQ *EIZEL'S BAKERY SAN JOSE CA0001152921514893076900"/>
    <n v="11"/>
    <s v="Merchandise"/>
    <x v="40"/>
    <x v="0"/>
    <s v="Food"/>
    <x v="12"/>
    <n v="2024"/>
    <d v="2024-12-14T00:00:00"/>
    <n v="161.0699999999938"/>
    <n v="76"/>
    <s v="discover"/>
    <n v="0"/>
  </r>
  <r>
    <n v="1286"/>
    <n v="895"/>
    <d v="2024-12-14T00:00:00"/>
    <s v="TST* MEDITERRANEAN KITCH BURLINGAME CA"/>
    <n v="49"/>
    <s v="Restaurants"/>
    <x v="50"/>
    <x v="0"/>
    <s v="Food"/>
    <x v="12"/>
    <n v="2024"/>
    <d v="2024-12-14T00:00:00"/>
    <n v="210.0699999999938"/>
    <n v="65"/>
    <s v="discover"/>
    <n v="0"/>
  </r>
  <r>
    <n v="1287"/>
    <n v="896"/>
    <d v="2024-12-15T00:00:00"/>
    <s v="AMC 2325 METREON 16 SAN FRANCISCOCA"/>
    <n v="13.98"/>
    <s v="Travel/ Entertainment"/>
    <x v="27"/>
    <x v="0"/>
    <s v="Recreation_Entertainment"/>
    <x v="12"/>
    <n v="2024"/>
    <d v="2024-12-15T00:00:00"/>
    <n v="224.04999999999379"/>
    <n v="28"/>
    <s v="discover"/>
    <n v="0"/>
  </r>
  <r>
    <n v="1288"/>
    <n v="897"/>
    <d v="2024-12-16T00:00:00"/>
    <s v="ONLYFANS.COM*A 8886880458 FLITEM TRANSFERRED FROM PREV ACCOUNT"/>
    <n v="3.5"/>
    <s v="Merchandise"/>
    <x v="38"/>
    <x v="0"/>
    <s v="Recreation_Entertainment"/>
    <x v="12"/>
    <n v="2024"/>
    <d v="2024-12-16T00:00:00"/>
    <n v="227.54999999999379"/>
    <n v="93"/>
    <s v="discover"/>
    <n v="0"/>
  </r>
  <r>
    <n v="1289"/>
    <n v="898"/>
    <d v="2024-12-16T00:00:00"/>
    <s v="ONLYFANS.COM*A 8886880458 FLITEM TRANSFERRED FROM PREV ACCOUNT"/>
    <n v="7.99"/>
    <s v="Merchandise"/>
    <x v="38"/>
    <x v="0"/>
    <s v="Recreation_Entertainment"/>
    <x v="12"/>
    <n v="2024"/>
    <d v="2024-12-16T00:00:00"/>
    <n v="235.5399999999938"/>
    <n v="94"/>
    <s v="discover"/>
    <n v="0"/>
  </r>
  <r>
    <n v="1290"/>
    <n v="899"/>
    <d v="2024-12-16T00:00:00"/>
    <s v="ONLYFANS.COM*A 8886880458 FLITEM TRANSFERRED FROM PREV ACCOUNT"/>
    <n v="9.99"/>
    <s v="Merchandise"/>
    <x v="38"/>
    <x v="0"/>
    <s v="Recreation_Entertainment"/>
    <x v="12"/>
    <n v="2024"/>
    <d v="2024-12-16T00:00:00"/>
    <n v="245.52999999999381"/>
    <n v="95"/>
    <s v="discover"/>
    <n v="0"/>
  </r>
  <r>
    <n v="1291"/>
    <n v="900"/>
    <d v="2024-12-16T00:00:00"/>
    <s v="SAFEWAY #1547 BURLINGAME CA"/>
    <n v="52.67"/>
    <s v="Supermarkets"/>
    <x v="26"/>
    <x v="0"/>
    <s v="Food"/>
    <x v="12"/>
    <n v="2024"/>
    <d v="2024-12-16T00:00:00"/>
    <n v="298.19999999999379"/>
    <n v="45"/>
    <s v="discover"/>
    <n v="0"/>
  </r>
  <r>
    <n v="1292"/>
    <n v="901"/>
    <d v="2024-12-16T00:00:00"/>
    <s v="SP MONSTERS WE MAKE 8054569622 CAITEM TRANSFERRED FROM PREV ACCOUNT"/>
    <n v="19.43"/>
    <s v="Merchandise"/>
    <x v="103"/>
    <x v="0"/>
    <s v="Recreation_Entertainment"/>
    <x v="12"/>
    <n v="2024"/>
    <d v="2024-12-16T00:00:00"/>
    <n v="317.6299999999938"/>
    <n v="1"/>
    <s v="discover"/>
    <n v="0"/>
  </r>
  <r>
    <n v="1293"/>
    <n v="902"/>
    <d v="2024-12-17T00:00:00"/>
    <s v="DD *MEDITERRANEANPIZZA 6506819470 CA"/>
    <n v="57.22"/>
    <s v="Restaurants"/>
    <x v="50"/>
    <x v="0"/>
    <s v="Food"/>
    <x v="12"/>
    <n v="2024"/>
    <d v="2024-12-17T00:00:00"/>
    <n v="374.84999999999383"/>
    <n v="66"/>
    <s v="discover"/>
    <n v="0"/>
  </r>
  <r>
    <n v="1294"/>
    <n v="903"/>
    <d v="2024-12-18T00:00:00"/>
    <s v="SP RDMCLOTHINGART 7737576085 NHITEM TRANSFERRED FROM PREV ACCOUNT"/>
    <n v="180"/>
    <s v="Merchandise"/>
    <x v="58"/>
    <x v="0"/>
    <s v="Travel"/>
    <x v="12"/>
    <n v="2024"/>
    <d v="2024-12-18T00:00:00"/>
    <n v="554.84999999999377"/>
    <n v="60"/>
    <s v="discover"/>
    <n v="0"/>
  </r>
  <r>
    <n v="1295"/>
    <n v="904"/>
    <d v="2024-12-19T00:00:00"/>
    <s v="ROCKNWRAPS AND KABOBS 4043829768 GA"/>
    <n v="48.18"/>
    <s v="Restaurants"/>
    <x v="50"/>
    <x v="0"/>
    <s v="Food"/>
    <x v="12"/>
    <n v="2024"/>
    <d v="2024-12-19T00:00:00"/>
    <n v="603.02999999999372"/>
    <n v="67"/>
    <s v="discover"/>
    <n v="0"/>
  </r>
  <r>
    <n v="1296"/>
    <n v="905"/>
    <d v="2024-12-20T00:00:00"/>
    <s v="99 RANCH #1772 MOUNTAIN VIEWCA"/>
    <n v="15.4"/>
    <s v="Supermarkets"/>
    <x v="26"/>
    <x v="0"/>
    <s v="Food"/>
    <x v="12"/>
    <n v="2024"/>
    <d v="2024-12-20T00:00:00"/>
    <n v="618.4299999999937"/>
    <n v="46"/>
    <s v="discover"/>
    <n v="0"/>
  </r>
  <r>
    <n v="1297"/>
    <n v="906"/>
    <d v="2024-12-20T00:00:00"/>
    <s v="PAYMENT - THANK YOU"/>
    <n v="-500"/>
    <s v="Payments and Credits"/>
    <x v="55"/>
    <x v="0"/>
    <s v="Payment_and_Interest"/>
    <x v="12"/>
    <n v="2024"/>
    <d v="2024-12-20T00:00:00"/>
    <n v="118.4299999999937"/>
    <n v="20"/>
    <s v="discover"/>
    <n v="0"/>
  </r>
  <r>
    <n v="1298"/>
    <n v="907"/>
    <d v="2024-12-21T00:00:00"/>
    <s v="GOOGLE STORE MTV MOUNTAIN VIEWCA"/>
    <n v="32.729999999999997"/>
    <s v="Merchandise"/>
    <x v="14"/>
    <x v="1"/>
    <s v="Utilities"/>
    <x v="12"/>
    <n v="2024"/>
    <d v="2024-12-21T00:00:00"/>
    <n v="151.15999999999369"/>
    <n v="3"/>
    <s v="discover"/>
    <n v="0"/>
  </r>
  <r>
    <n v="1299"/>
    <n v="908"/>
    <d v="2024-12-21T00:00:00"/>
    <s v="GOOGLE STORE MTV MOUNTAIN VIEWCA"/>
    <n v="206.25"/>
    <s v="Merchandise"/>
    <x v="14"/>
    <x v="1"/>
    <s v="Utilities"/>
    <x v="12"/>
    <n v="2024"/>
    <d v="2024-12-21T00:00:00"/>
    <n v="357.40999999999372"/>
    <n v="4"/>
    <s v="discover"/>
    <n v="0"/>
  </r>
  <r>
    <n v="1300"/>
    <n v="909"/>
    <d v="2024-12-22T00:00:00"/>
    <s v="DD *ROCKNWRAPS 6506819470 CAITEM TRANSFERRED FROM PREV ACCOUNT"/>
    <n v="34.57"/>
    <s v="Merchandise"/>
    <x v="50"/>
    <x v="0"/>
    <s v="Food"/>
    <x v="12"/>
    <n v="2024"/>
    <d v="2024-12-22T00:00:00"/>
    <n v="391.97999999999371"/>
    <n v="68"/>
    <s v="discover"/>
    <n v="0"/>
  </r>
  <r>
    <n v="1301"/>
    <n v="910"/>
    <d v="2024-12-23T00:00:00"/>
    <s v="WMT PLUS DEC 2024 800-925-6278 ARITEM TRANSFERRED FROM PREV ACCOUNT"/>
    <n v="14.2"/>
    <s v="Merchandise"/>
    <x v="71"/>
    <x v="0"/>
    <s v="Personal_Spending"/>
    <x v="12"/>
    <n v="2024"/>
    <d v="2024-12-23T00:00:00"/>
    <n v="406.1799999999937"/>
    <n v="15"/>
    <s v="discover"/>
    <n v="0"/>
  </r>
  <r>
    <n v="1302"/>
    <n v="911"/>
    <d v="2024-12-23T00:00:00"/>
    <s v="AMAZON MKTPL*ZE00N6VB2 AMZN.COM/BILLWAMNDE21DARLB"/>
    <n v="19.059999999999999"/>
    <s v="Merchandise"/>
    <x v="36"/>
    <x v="0"/>
    <s v="Personal_Spending"/>
    <x v="12"/>
    <n v="2024"/>
    <d v="2024-12-23T00:00:00"/>
    <n v="425.2399999999937"/>
    <n v="74"/>
    <s v="discover"/>
    <n v="0"/>
  </r>
  <r>
    <n v="1303"/>
    <n v="912"/>
    <d v="2024-12-23T00:00:00"/>
    <s v="ONLYFANS 8886880458 FLITEM TRANSFERRED FROM PREV ACCOUNT"/>
    <n v="6.99"/>
    <s v="Merchandise"/>
    <x v="38"/>
    <x v="0"/>
    <s v="Recreation_Entertainment"/>
    <x v="12"/>
    <n v="2024"/>
    <d v="2024-12-23T00:00:00"/>
    <n v="432.22999999999371"/>
    <n v="96"/>
    <s v="discover"/>
    <n v="0"/>
  </r>
  <r>
    <n v="1304"/>
    <n v="913"/>
    <d v="2024-12-24T00:00:00"/>
    <s v="AMAZON MKTPL*ZE1LQ7BF2 AMZN.COM/BILLWAUMXQV1S1M8Z"/>
    <n v="21.91"/>
    <s v="Merchandise"/>
    <x v="36"/>
    <x v="0"/>
    <s v="Personal_Spending"/>
    <x v="12"/>
    <n v="2024"/>
    <d v="2024-12-24T00:00:00"/>
    <n v="454.13999999999368"/>
    <n v="75"/>
    <s v="discover"/>
    <n v="0"/>
  </r>
  <r>
    <n v="1305"/>
    <n v="914"/>
    <d v="2024-12-26T00:00:00"/>
    <s v="AMAZON MKTPL*Z95GL89I1 AMZN.COM/BILLWA57GYD0LR14A"/>
    <n v="15.34"/>
    <s v="Merchandise"/>
    <x v="36"/>
    <x v="0"/>
    <s v="Personal_Spending"/>
    <x v="12"/>
    <n v="2024"/>
    <d v="2024-12-26T00:00:00"/>
    <n v="469.47999999999371"/>
    <n v="76"/>
    <s v="discover"/>
    <n v="0"/>
  </r>
  <r>
    <n v="1306"/>
    <n v="915"/>
    <d v="2024-12-26T00:00:00"/>
    <s v="AMAZON MKTPL*ZE1SI31V0 AMZN.COM/BILLWAYVEL6UTGKZM"/>
    <n v="38.36"/>
    <s v="Merchandise"/>
    <x v="36"/>
    <x v="0"/>
    <s v="Personal_Spending"/>
    <x v="12"/>
    <n v="2024"/>
    <d v="2024-12-26T00:00:00"/>
    <n v="507.83999999999372"/>
    <n v="77"/>
    <s v="discover"/>
    <n v="0"/>
  </r>
  <r>
    <n v="1307"/>
    <n v="916"/>
    <d v="2024-12-26T00:00:00"/>
    <s v="AMAZON MKTPL*ZE38Y2U12 AMZN.COM/BILLWA1SXANIBGVFZ"/>
    <n v="43.84"/>
    <s v="Merchandise"/>
    <x v="36"/>
    <x v="0"/>
    <s v="Personal_Spending"/>
    <x v="12"/>
    <n v="2024"/>
    <d v="2024-12-26T00:00:00"/>
    <n v="551.6799999999937"/>
    <n v="78"/>
    <s v="discover"/>
    <n v="0"/>
  </r>
  <r>
    <n v="1308"/>
    <n v="917"/>
    <d v="2024-12-26T00:00:00"/>
    <s v="AMAZON MKTPL*ZE65A2IM2 AMZN.COM/BILLWA1IA0A60T29H"/>
    <n v="13.53"/>
    <s v="Merchandise"/>
    <x v="36"/>
    <x v="0"/>
    <s v="Personal_Spending"/>
    <x v="12"/>
    <n v="2024"/>
    <d v="2024-12-26T00:00:00"/>
    <n v="565.20999999999367"/>
    <n v="79"/>
    <s v="discover"/>
    <n v="0"/>
  </r>
  <r>
    <n v="1309"/>
    <n v="918"/>
    <d v="2024-12-26T00:00:00"/>
    <s v="AMAZON MKTPL*ZE7598I02 AMZN.COM/BILLWA2JL8K0W13WY"/>
    <n v="14.24"/>
    <s v="Merchandise"/>
    <x v="36"/>
    <x v="0"/>
    <s v="Personal_Spending"/>
    <x v="12"/>
    <n v="2024"/>
    <d v="2024-12-26T00:00:00"/>
    <n v="579.44999999999368"/>
    <n v="80"/>
    <s v="discover"/>
    <n v="0"/>
  </r>
  <r>
    <n v="1310"/>
    <n v="919"/>
    <d v="2024-12-27T00:00:00"/>
    <s v="ONLYFANS.COM*A 8886880458 FLITEM TRANSFERRED FROM PREV ACCOUNT"/>
    <n v="8.5"/>
    <s v="Merchandise"/>
    <x v="38"/>
    <x v="0"/>
    <s v="Recreation_Entertainment"/>
    <x v="12"/>
    <n v="2024"/>
    <d v="2024-12-27T00:00:00"/>
    <n v="587.94999999999368"/>
    <n v="97"/>
    <s v="discover"/>
    <n v="0"/>
  </r>
  <r>
    <n v="1311"/>
    <n v="920"/>
    <d v="2024-12-27T00:00:00"/>
    <s v="ADOBE *ADOBE 408-536-6000 CAITEM TRANSFERRED FROM PREV ACCOUNT"/>
    <n v="59.99"/>
    <s v="Merchandise"/>
    <x v="66"/>
    <x v="1"/>
    <s v="Personal_Spending"/>
    <x v="12"/>
    <n v="2024"/>
    <d v="2024-12-27T00:00:00"/>
    <n v="647.93999999999369"/>
    <n v="12"/>
    <s v="discover"/>
    <n v="0"/>
  </r>
  <r>
    <n v="1312"/>
    <n v="921"/>
    <d v="2024-12-27T00:00:00"/>
    <s v="AMAZON.COM*ZE16I8V30 AMZN.COM/BILLWA47WWZB54K4R"/>
    <n v="43.84"/>
    <s v="Merchandise"/>
    <x v="36"/>
    <x v="0"/>
    <s v="Personal_Spending"/>
    <x v="12"/>
    <n v="2024"/>
    <d v="2024-12-27T00:00:00"/>
    <n v="691.77999999999372"/>
    <n v="81"/>
    <s v="discover"/>
    <n v="0"/>
  </r>
  <r>
    <n v="1313"/>
    <n v="922"/>
    <d v="2024-12-27T00:00:00"/>
    <s v="ONLYFANS 8886880458 FLITEM TRANSFERRED FROM PREV ACCOUNT"/>
    <n v="11.9"/>
    <s v="Merchandise"/>
    <x v="38"/>
    <x v="0"/>
    <s v="Recreation_Entertainment"/>
    <x v="12"/>
    <n v="2024"/>
    <d v="2024-12-27T00:00:00"/>
    <n v="703.6799999999937"/>
    <n v="98"/>
    <s v="discover"/>
    <n v="0"/>
  </r>
  <r>
    <n v="1314"/>
    <n v="923"/>
    <d v="2024-12-27T00:00:00"/>
    <s v="USPS PO 0510350110 BURLINGAME CA"/>
    <n v="44.65"/>
    <s v="Government Services"/>
    <x v="72"/>
    <x v="0"/>
    <s v="Misc"/>
    <x v="12"/>
    <n v="2024"/>
    <d v="2024-12-27T00:00:00"/>
    <n v="748.32999999999367"/>
    <n v="5"/>
    <s v="discover"/>
    <n v="0"/>
  </r>
  <r>
    <n v="1315"/>
    <n v="924"/>
    <d v="2024-12-28T00:00:00"/>
    <s v="FASTRAK CSC 415-486-8655 CAITEM TRANSFERRED FROM PREV ACCOUNT"/>
    <n v="50"/>
    <s v="Merchandise"/>
    <x v="57"/>
    <x v="0"/>
    <s v="Transportation"/>
    <x v="12"/>
    <n v="2024"/>
    <d v="2024-12-28T00:00:00"/>
    <n v="798.32999999999367"/>
    <n v="15"/>
    <s v="discover"/>
    <n v="0"/>
  </r>
  <r>
    <n v="1316"/>
    <n v="925"/>
    <d v="2024-12-28T00:00:00"/>
    <s v="ONLYFANS.COM*A 8886880458 FLITEM TRANSFERRED FROM PREV ACCOUNT"/>
    <n v="5"/>
    <s v="Merchandise"/>
    <x v="38"/>
    <x v="0"/>
    <s v="Recreation_Entertainment"/>
    <x v="12"/>
    <n v="2024"/>
    <d v="2024-12-28T00:00:00"/>
    <n v="803.32999999999367"/>
    <n v="99"/>
    <s v="discover"/>
    <n v="0"/>
  </r>
  <r>
    <n v="1317"/>
    <n v="926"/>
    <d v="2024-12-29T00:00:00"/>
    <s v="SAFEWAY #1547 BURLINGAME CA"/>
    <n v="63.28"/>
    <s v="Supermarkets"/>
    <x v="26"/>
    <x v="0"/>
    <s v="Food"/>
    <x v="12"/>
    <n v="2024"/>
    <d v="2024-12-29T00:00:00"/>
    <n v="866.60999999999365"/>
    <n v="47"/>
    <s v="discover"/>
    <n v="0"/>
  </r>
  <r>
    <n v="1318"/>
    <n v="927"/>
    <d v="2024-12-30T00:00:00"/>
    <s v="GOOGLE *BUMBLE 855-836-3987 CAITEM TRANSFERRED FROM PREV ACCOUNT"/>
    <n v="15.89"/>
    <s v="Merchandise"/>
    <x v="102"/>
    <x v="0"/>
    <s v="Recreation_Entertainment"/>
    <x v="12"/>
    <n v="2024"/>
    <d v="2024-12-30T00:00:00"/>
    <n v="882.49999999999363"/>
    <n v="3"/>
    <s v="discover"/>
    <n v="1"/>
  </r>
  <r>
    <n v="1319"/>
    <n v="0"/>
    <d v="2024-01-02T00:00:00"/>
    <s v="DISCOVER"/>
    <n v="-1568.14"/>
    <m/>
    <x v="22"/>
    <x v="0"/>
    <m/>
    <x v="1"/>
    <n v="2024"/>
    <d v="2024-01-02T00:00:00"/>
    <n v="1883.61"/>
    <n v="1"/>
    <s v="sofi_savings"/>
    <n v="0"/>
  </r>
  <r>
    <n v="1320"/>
    <n v="1"/>
    <d v="2024-01-09T00:00:00"/>
    <s v="Nationwide"/>
    <n v="2845.53"/>
    <m/>
    <x v="3"/>
    <x v="0"/>
    <s v="Savings"/>
    <x v="1"/>
    <n v="2024"/>
    <d v="2024-01-09T00:00:00"/>
    <n v="4729.1400000000003"/>
    <n v="1"/>
    <s v="sofi_savings"/>
    <n v="0"/>
  </r>
  <r>
    <n v="1321"/>
    <n v="2"/>
    <d v="2024-01-11T00:00:00"/>
    <s v="DISCOVER"/>
    <n v="-1382.28"/>
    <m/>
    <x v="22"/>
    <x v="0"/>
    <m/>
    <x v="1"/>
    <n v="2024"/>
    <d v="2024-01-11T00:00:00"/>
    <n v="3346.86"/>
    <n v="2"/>
    <s v="sofi_savings"/>
    <n v="0"/>
  </r>
  <r>
    <n v="1322"/>
    <n v="3"/>
    <d v="2024-01-16T00:00:00"/>
    <s v="BOARD OF REGENTS"/>
    <n v="-932"/>
    <m/>
    <x v="104"/>
    <x v="0"/>
    <s v="Personal_Spending"/>
    <x v="1"/>
    <n v="2024"/>
    <d v="2024-01-16T00:00:00"/>
    <n v="2414.86"/>
    <n v="1"/>
    <s v="sofi_savings"/>
    <n v="0"/>
  </r>
  <r>
    <n v="1323"/>
    <n v="4"/>
    <d v="2024-01-23T00:00:00"/>
    <s v="Nationwide"/>
    <n v="2845.53"/>
    <m/>
    <x v="3"/>
    <x v="0"/>
    <s v="Savings"/>
    <x v="1"/>
    <n v="2024"/>
    <d v="2024-01-23T00:00:00"/>
    <n v="5105.3900000000003"/>
    <n v="2"/>
    <s v="sofi_savings"/>
    <n v="0"/>
  </r>
  <r>
    <n v="1324"/>
    <n v="5"/>
    <d v="2024-01-23T00:00:00"/>
    <s v="To Checking - 8930"/>
    <n v="-155"/>
    <m/>
    <x v="22"/>
    <x v="0"/>
    <m/>
    <x v="1"/>
    <n v="2024"/>
    <d v="2024-01-23T00:00:00"/>
    <n v="2259.86"/>
    <n v="3"/>
    <s v="sofi_savings"/>
    <n v="0"/>
  </r>
  <r>
    <n v="1325"/>
    <n v="6"/>
    <d v="2024-01-24T00:00:00"/>
    <s v="To Checking - 8930"/>
    <n v="-1804"/>
    <m/>
    <x v="22"/>
    <x v="0"/>
    <m/>
    <x v="1"/>
    <n v="2024"/>
    <d v="2024-01-24T00:00:00"/>
    <n v="3301.39"/>
    <n v="4"/>
    <s v="sofi_savings"/>
    <n v="0"/>
  </r>
  <r>
    <n v="1326"/>
    <n v="7"/>
    <d v="2024-01-25T00:00:00"/>
    <s v="WELLS FARGO BANK NA"/>
    <n v="500"/>
    <m/>
    <x v="22"/>
    <x v="0"/>
    <m/>
    <x v="1"/>
    <n v="2024"/>
    <d v="2024-01-25T00:00:00"/>
    <n v="3801.39"/>
    <n v="5"/>
    <s v="sofi_savings"/>
    <n v="0"/>
  </r>
  <r>
    <n v="1327"/>
    <n v="8"/>
    <d v="2024-01-26T00:00:00"/>
    <s v="DISCOVER"/>
    <n v="-2068.37"/>
    <m/>
    <x v="22"/>
    <x v="0"/>
    <m/>
    <x v="1"/>
    <n v="2024"/>
    <d v="2024-01-26T00:00:00"/>
    <n v="1733.02"/>
    <n v="6"/>
    <s v="sofi_savings"/>
    <n v="0"/>
  </r>
  <r>
    <n v="1328"/>
    <n v="9"/>
    <d v="2024-01-31T00:00:00"/>
    <s v="Interest earned"/>
    <n v="10.14"/>
    <m/>
    <x v="105"/>
    <x v="0"/>
    <s v="Payment_and_Interest"/>
    <x v="1"/>
    <n v="2024"/>
    <d v="2024-01-31T00:00:00"/>
    <n v="1743.16"/>
    <n v="1"/>
    <s v="sofi_savings"/>
    <n v="1"/>
  </r>
  <r>
    <n v="1329"/>
    <n v="10"/>
    <d v="2024-02-01T00:00:00"/>
    <s v="To Checking - 8930"/>
    <n v="-450"/>
    <m/>
    <x v="22"/>
    <x v="0"/>
    <m/>
    <x v="2"/>
    <n v="2024"/>
    <d v="2024-02-01T00:00:00"/>
    <n v="1293.1600000000001"/>
    <n v="7"/>
    <s v="sofi_savings"/>
    <n v="0"/>
  </r>
  <r>
    <n v="1330"/>
    <n v="11"/>
    <d v="2024-02-06T00:00:00"/>
    <s v="Nationwide"/>
    <n v="4832.5600000000004"/>
    <m/>
    <x v="3"/>
    <x v="0"/>
    <s v="Savings"/>
    <x v="2"/>
    <n v="2024"/>
    <d v="2024-02-06T00:00:00"/>
    <n v="6125.72"/>
    <n v="3"/>
    <s v="sofi_savings"/>
    <n v="0"/>
  </r>
  <r>
    <n v="1331"/>
    <n v="12"/>
    <d v="2024-02-07T00:00:00"/>
    <s v="To Checking - 8930"/>
    <n v="-3610"/>
    <m/>
    <x v="22"/>
    <x v="0"/>
    <m/>
    <x v="2"/>
    <n v="2024"/>
    <d v="2024-02-07T00:00:00"/>
    <n v="2515.7199999999998"/>
    <n v="8"/>
    <s v="sofi_savings"/>
    <n v="0"/>
  </r>
  <r>
    <n v="1332"/>
    <n v="13"/>
    <d v="2024-02-08T00:00:00"/>
    <s v="DISCOVER"/>
    <n v="-1166.54"/>
    <m/>
    <x v="22"/>
    <x v="0"/>
    <m/>
    <x v="2"/>
    <n v="2024"/>
    <d v="2024-02-08T00:00:00"/>
    <n v="1349.18"/>
    <n v="9"/>
    <s v="sofi_savings"/>
    <n v="0"/>
  </r>
  <r>
    <n v="1333"/>
    <n v="14"/>
    <d v="2024-02-08T00:00:00"/>
    <s v="To Checking - 8930"/>
    <n v="-820"/>
    <m/>
    <x v="22"/>
    <x v="0"/>
    <m/>
    <x v="2"/>
    <n v="2024"/>
    <d v="2024-02-08T00:00:00"/>
    <n v="529.17999999999995"/>
    <n v="10"/>
    <s v="sofi_savings"/>
    <n v="0"/>
  </r>
  <r>
    <n v="1334"/>
    <n v="15"/>
    <d v="2024-02-13T00:00:00"/>
    <s v="To Checking - 8930"/>
    <n v="-155"/>
    <m/>
    <x v="22"/>
    <x v="0"/>
    <m/>
    <x v="2"/>
    <n v="2024"/>
    <d v="2024-02-13T00:00:00"/>
    <n v="374.18"/>
    <n v="11"/>
    <s v="sofi_savings"/>
    <n v="0"/>
  </r>
  <r>
    <n v="1335"/>
    <n v="16"/>
    <d v="2024-02-13T00:00:00"/>
    <s v="IRS  TREAS 310"/>
    <n v="75"/>
    <m/>
    <x v="3"/>
    <x v="0"/>
    <s v="Savings"/>
    <x v="2"/>
    <n v="2024"/>
    <d v="2024-02-13T00:00:00"/>
    <n v="449.18"/>
    <n v="4"/>
    <s v="sofi_savings"/>
    <n v="0"/>
  </r>
  <r>
    <n v="1336"/>
    <n v="17"/>
    <d v="2024-02-17T00:00:00"/>
    <s v="To Checking - 8930"/>
    <n v="-50"/>
    <m/>
    <x v="22"/>
    <x v="0"/>
    <m/>
    <x v="2"/>
    <n v="2024"/>
    <d v="2024-02-17T00:00:00"/>
    <n v="399.18"/>
    <n v="12"/>
    <s v="sofi_savings"/>
    <n v="0"/>
  </r>
  <r>
    <n v="1337"/>
    <n v="18"/>
    <d v="2024-02-18T00:00:00"/>
    <s v="To Checking - 8930"/>
    <n v="-50"/>
    <m/>
    <x v="22"/>
    <x v="0"/>
    <m/>
    <x v="2"/>
    <n v="2024"/>
    <d v="2024-02-18T00:00:00"/>
    <n v="349.18"/>
    <n v="13"/>
    <s v="sofi_savings"/>
    <n v="0"/>
  </r>
  <r>
    <n v="1338"/>
    <n v="19"/>
    <d v="2024-02-20T00:00:00"/>
    <s v="Nationwide"/>
    <n v="2845.53"/>
    <m/>
    <x v="3"/>
    <x v="0"/>
    <s v="Savings"/>
    <x v="2"/>
    <n v="2024"/>
    <d v="2024-02-20T00:00:00"/>
    <n v="3194.71"/>
    <n v="5"/>
    <s v="sofi_savings"/>
    <n v="0"/>
  </r>
  <r>
    <n v="1339"/>
    <n v="20"/>
    <d v="2024-02-22T00:00:00"/>
    <s v="DISCOVER"/>
    <n v="-1263.1400000000001"/>
    <m/>
    <x v="22"/>
    <x v="0"/>
    <m/>
    <x v="2"/>
    <n v="2024"/>
    <d v="2024-02-22T00:00:00"/>
    <n v="1931.57"/>
    <n v="14"/>
    <s v="sofi_savings"/>
    <n v="0"/>
  </r>
  <r>
    <n v="1340"/>
    <n v="21"/>
    <d v="2024-02-22T00:00:00"/>
    <s v="To Checking - 8930"/>
    <n v="-900"/>
    <m/>
    <x v="22"/>
    <x v="0"/>
    <m/>
    <x v="2"/>
    <n v="2024"/>
    <d v="2024-02-22T00:00:00"/>
    <n v="1031.57"/>
    <n v="15"/>
    <s v="sofi_savings"/>
    <n v="0"/>
  </r>
  <r>
    <n v="1341"/>
    <n v="22"/>
    <d v="2024-02-29T00:00:00"/>
    <s v="Interest earned"/>
    <n v="4.34"/>
    <m/>
    <x v="105"/>
    <x v="0"/>
    <s v="Payment_and_Interest"/>
    <x v="2"/>
    <n v="2024"/>
    <d v="2024-02-29T00:00:00"/>
    <n v="1035.9100000000001"/>
    <n v="2"/>
    <s v="sofi_savings"/>
    <n v="1"/>
  </r>
  <r>
    <n v="1342"/>
    <n v="23"/>
    <d v="2024-03-01T00:00:00"/>
    <s v="To Checking - 8930"/>
    <n v="-450"/>
    <m/>
    <x v="22"/>
    <x v="0"/>
    <m/>
    <x v="3"/>
    <n v="2024"/>
    <d v="2024-03-01T00:00:00"/>
    <n v="585.91"/>
    <n v="16"/>
    <s v="sofi_savings"/>
    <n v="0"/>
  </r>
  <r>
    <n v="1343"/>
    <n v="24"/>
    <d v="2024-03-05T00:00:00"/>
    <s v="Nationwide"/>
    <n v="4149.3"/>
    <m/>
    <x v="3"/>
    <x v="0"/>
    <s v="Savings"/>
    <x v="3"/>
    <n v="2024"/>
    <d v="2024-03-05T00:00:00"/>
    <n v="4735.21"/>
    <n v="6"/>
    <s v="sofi_savings"/>
    <n v="0"/>
  </r>
  <r>
    <n v="1344"/>
    <n v="25"/>
    <d v="2024-03-05T00:00:00"/>
    <s v="To Checking - 8930"/>
    <n v="-1803.4"/>
    <m/>
    <x v="22"/>
    <x v="0"/>
    <m/>
    <x v="3"/>
    <n v="2024"/>
    <d v="2024-03-05T00:00:00"/>
    <n v="2931.81"/>
    <n v="17"/>
    <s v="sofi_savings"/>
    <n v="0"/>
  </r>
  <r>
    <n v="1345"/>
    <n v="26"/>
    <d v="2024-03-05T00:00:00"/>
    <s v="To Checking - 8930"/>
    <n v="-1473.72"/>
    <m/>
    <x v="22"/>
    <x v="0"/>
    <m/>
    <x v="3"/>
    <n v="2024"/>
    <d v="2024-03-05T00:00:00"/>
    <n v="1458.09"/>
    <n v="18"/>
    <s v="sofi_savings"/>
    <n v="0"/>
  </r>
  <r>
    <n v="1346"/>
    <n v="27"/>
    <d v="2024-03-11T00:00:00"/>
    <s v="DISCOVER"/>
    <n v="-541"/>
    <m/>
    <x v="22"/>
    <x v="0"/>
    <m/>
    <x v="3"/>
    <n v="2024"/>
    <d v="2024-03-11T00:00:00"/>
    <n v="917.09"/>
    <n v="19"/>
    <s v="sofi_savings"/>
    <n v="0"/>
  </r>
  <r>
    <n v="1347"/>
    <n v="28"/>
    <d v="2024-03-11T00:00:00"/>
    <s v="To Checking - 8930"/>
    <n v="-50"/>
    <m/>
    <x v="22"/>
    <x v="0"/>
    <m/>
    <x v="3"/>
    <n v="2024"/>
    <d v="2024-03-11T00:00:00"/>
    <n v="867.09"/>
    <n v="20"/>
    <s v="sofi_savings"/>
    <n v="0"/>
  </r>
  <r>
    <n v="1348"/>
    <n v="29"/>
    <d v="2024-03-13T00:00:00"/>
    <s v="To Checking - 8930"/>
    <n v="-155"/>
    <m/>
    <x v="22"/>
    <x v="0"/>
    <m/>
    <x v="3"/>
    <n v="2024"/>
    <d v="2024-03-13T00:00:00"/>
    <n v="712.09"/>
    <n v="21"/>
    <s v="sofi_savings"/>
    <n v="0"/>
  </r>
  <r>
    <n v="1349"/>
    <n v="30"/>
    <d v="2024-03-19T00:00:00"/>
    <s v="Nationwide"/>
    <n v="2989.48"/>
    <m/>
    <x v="3"/>
    <x v="0"/>
    <s v="Savings"/>
    <x v="3"/>
    <n v="2024"/>
    <d v="2024-03-19T00:00:00"/>
    <n v="3701.57"/>
    <n v="7"/>
    <s v="sofi_savings"/>
    <n v="0"/>
  </r>
  <r>
    <n v="1350"/>
    <n v="31"/>
    <d v="2024-03-21T00:00:00"/>
    <s v="DISCOVER"/>
    <n v="-2373.8000000000002"/>
    <m/>
    <x v="22"/>
    <x v="0"/>
    <m/>
    <x v="3"/>
    <n v="2024"/>
    <d v="2024-03-21T00:00:00"/>
    <n v="1327.77"/>
    <n v="22"/>
    <s v="sofi_savings"/>
    <n v="0"/>
  </r>
  <r>
    <n v="1351"/>
    <n v="32"/>
    <d v="2024-03-31T00:00:00"/>
    <s v="Interest earned"/>
    <n v="4.8099999999999996"/>
    <m/>
    <x v="105"/>
    <x v="0"/>
    <s v="Payment_and_Interest"/>
    <x v="3"/>
    <n v="2024"/>
    <d v="2024-03-31T00:00:00"/>
    <n v="1332.58"/>
    <n v="3"/>
    <s v="sofi_savings"/>
    <n v="1"/>
  </r>
  <r>
    <n v="1352"/>
    <n v="33"/>
    <d v="2024-04-01T00:00:00"/>
    <s v="To Checking - 8930"/>
    <n v="-450"/>
    <m/>
    <x v="22"/>
    <x v="0"/>
    <m/>
    <x v="4"/>
    <n v="2024"/>
    <d v="2024-04-01T00:00:00"/>
    <n v="882.58"/>
    <n v="23"/>
    <s v="sofi_savings"/>
    <n v="0"/>
  </r>
  <r>
    <n v="1353"/>
    <n v="34"/>
    <d v="2024-04-02T00:00:00"/>
    <s v="Nationwide"/>
    <n v="2989.48"/>
    <m/>
    <x v="3"/>
    <x v="0"/>
    <s v="Savings"/>
    <x v="4"/>
    <n v="2024"/>
    <d v="2024-04-02T00:00:00"/>
    <n v="3872.06"/>
    <n v="8"/>
    <s v="sofi_savings"/>
    <n v="0"/>
  </r>
  <r>
    <n v="1354"/>
    <n v="35"/>
    <d v="2024-04-03T00:00:00"/>
    <s v="WELLS FARGO BANK"/>
    <n v="-2100"/>
    <m/>
    <x v="5"/>
    <x v="0"/>
    <s v="People"/>
    <x v="4"/>
    <n v="2024"/>
    <d v="2024-04-03T00:00:00"/>
    <n v="1772.06"/>
    <n v="1"/>
    <s v="sofi_savings"/>
    <n v="0"/>
  </r>
  <r>
    <n v="1355"/>
    <n v="36"/>
    <d v="2024-04-04T00:00:00"/>
    <s v="FRANCHISE TAX BD"/>
    <n v="1281"/>
    <m/>
    <x v="3"/>
    <x v="0"/>
    <s v="Savings"/>
    <x v="4"/>
    <n v="2024"/>
    <d v="2024-04-04T00:00:00"/>
    <n v="3053.06"/>
    <n v="9"/>
    <s v="sofi_savings"/>
    <n v="0"/>
  </r>
  <r>
    <n v="1356"/>
    <n v="37"/>
    <d v="2024-04-05T00:00:00"/>
    <s v="DISCOVER"/>
    <n v="-1420.5"/>
    <m/>
    <x v="22"/>
    <x v="0"/>
    <m/>
    <x v="4"/>
    <n v="2024"/>
    <d v="2024-04-05T00:00:00"/>
    <n v="1632.56"/>
    <n v="24"/>
    <s v="sofi_savings"/>
    <n v="0"/>
  </r>
  <r>
    <n v="1357"/>
    <n v="38"/>
    <d v="2024-04-05T00:00:00"/>
    <s v="WELLS FARGO BANK"/>
    <n v="-200"/>
    <m/>
    <x v="22"/>
    <x v="0"/>
    <m/>
    <x v="4"/>
    <n v="2024"/>
    <d v="2024-04-05T00:00:00"/>
    <n v="1432.56"/>
    <n v="25"/>
    <s v="sofi_savings"/>
    <n v="0"/>
  </r>
  <r>
    <n v="1358"/>
    <n v="39"/>
    <d v="2024-04-12T00:00:00"/>
    <s v="WELLS FARGO BANK"/>
    <n v="-200"/>
    <m/>
    <x v="22"/>
    <x v="0"/>
    <m/>
    <x v="4"/>
    <n v="2024"/>
    <d v="2024-04-12T00:00:00"/>
    <n v="1232.56"/>
    <n v="26"/>
    <s v="sofi_savings"/>
    <n v="0"/>
  </r>
  <r>
    <n v="1359"/>
    <n v="40"/>
    <d v="2024-04-13T00:00:00"/>
    <s v="To Checking - 8930"/>
    <n v="-155"/>
    <m/>
    <x v="22"/>
    <x v="0"/>
    <m/>
    <x v="4"/>
    <n v="2024"/>
    <d v="2024-04-13T00:00:00"/>
    <n v="1077.56"/>
    <n v="27"/>
    <s v="sofi_savings"/>
    <n v="0"/>
  </r>
  <r>
    <n v="1360"/>
    <n v="41"/>
    <d v="2024-04-16T00:00:00"/>
    <s v="Nationwide"/>
    <n v="2989.48"/>
    <m/>
    <x v="3"/>
    <x v="0"/>
    <s v="Savings"/>
    <x v="4"/>
    <n v="2024"/>
    <d v="2024-04-16T00:00:00"/>
    <n v="4067.04"/>
    <n v="10"/>
    <s v="sofi_savings"/>
    <n v="0"/>
  </r>
  <r>
    <n v="1361"/>
    <n v="42"/>
    <d v="2024-04-19T00:00:00"/>
    <s v="DISCOVER"/>
    <n v="-2026.51"/>
    <m/>
    <x v="22"/>
    <x v="0"/>
    <m/>
    <x v="4"/>
    <n v="2024"/>
    <d v="2024-04-19T00:00:00"/>
    <n v="2040.53"/>
    <n v="28"/>
    <s v="sofi_savings"/>
    <n v="0"/>
  </r>
  <r>
    <n v="1362"/>
    <n v="43"/>
    <d v="2024-04-22T00:00:00"/>
    <s v="WELLS FARGO BANK NA"/>
    <n v="-1020"/>
    <m/>
    <x v="22"/>
    <x v="0"/>
    <m/>
    <x v="4"/>
    <n v="2024"/>
    <d v="2024-04-22T00:00:00"/>
    <n v="1020.53"/>
    <n v="29"/>
    <s v="sofi_savings"/>
    <n v="0"/>
  </r>
  <r>
    <n v="1363"/>
    <n v="44"/>
    <d v="2024-04-30T00:00:00"/>
    <s v="Nationwide"/>
    <n v="2989.48"/>
    <m/>
    <x v="3"/>
    <x v="0"/>
    <s v="Savings"/>
    <x v="4"/>
    <n v="2024"/>
    <d v="2024-04-30T00:00:00"/>
    <n v="4010.01"/>
    <n v="11"/>
    <s v="sofi_savings"/>
    <n v="0"/>
  </r>
  <r>
    <n v="1364"/>
    <n v="45"/>
    <d v="2024-04-30T00:00:00"/>
    <s v="Interest earned"/>
    <n v="6.72"/>
    <m/>
    <x v="105"/>
    <x v="0"/>
    <s v="Payment_and_Interest"/>
    <x v="4"/>
    <n v="2024"/>
    <d v="2024-04-30T00:00:00"/>
    <n v="4016.73"/>
    <n v="4"/>
    <s v="sofi_savings"/>
    <n v="1"/>
  </r>
  <r>
    <n v="1365"/>
    <n v="46"/>
    <d v="2024-05-01T00:00:00"/>
    <s v="To Checking - 8930"/>
    <n v="-450"/>
    <m/>
    <x v="22"/>
    <x v="0"/>
    <m/>
    <x v="5"/>
    <n v="2024"/>
    <d v="2024-05-01T00:00:00"/>
    <n v="3566.73"/>
    <n v="30"/>
    <s v="sofi_savings"/>
    <n v="0"/>
  </r>
  <r>
    <n v="1366"/>
    <n v="47"/>
    <d v="2024-05-06T00:00:00"/>
    <s v="DISCOVER"/>
    <n v="-1229.23"/>
    <m/>
    <x v="22"/>
    <x v="0"/>
    <m/>
    <x v="5"/>
    <n v="2024"/>
    <d v="2024-05-06T00:00:00"/>
    <n v="2337.5"/>
    <n v="31"/>
    <s v="sofi_savings"/>
    <n v="0"/>
  </r>
  <r>
    <n v="1367"/>
    <n v="48"/>
    <d v="2024-05-13T00:00:00"/>
    <s v="To Checking - 8930"/>
    <n v="-155"/>
    <m/>
    <x v="22"/>
    <x v="0"/>
    <m/>
    <x v="5"/>
    <n v="2024"/>
    <d v="2024-05-13T00:00:00"/>
    <n v="2182.5"/>
    <n v="32"/>
    <s v="sofi_savings"/>
    <n v="0"/>
  </r>
  <r>
    <n v="1368"/>
    <n v="49"/>
    <d v="2024-05-14T00:00:00"/>
    <s v="Nationwide"/>
    <n v="2989.48"/>
    <m/>
    <x v="3"/>
    <x v="0"/>
    <s v="Savings"/>
    <x v="5"/>
    <n v="2024"/>
    <d v="2024-05-14T00:00:00"/>
    <n v="5171.9799999999996"/>
    <n v="12"/>
    <s v="sofi_savings"/>
    <n v="0"/>
  </r>
  <r>
    <n v="1369"/>
    <n v="50"/>
    <d v="2024-05-18T00:00:00"/>
    <s v="To Checking - 8930"/>
    <n v="-1640"/>
    <m/>
    <x v="22"/>
    <x v="0"/>
    <m/>
    <x v="5"/>
    <n v="2024"/>
    <d v="2024-05-18T00:00:00"/>
    <n v="3531.98"/>
    <n v="33"/>
    <s v="sofi_savings"/>
    <n v="0"/>
  </r>
  <r>
    <n v="1370"/>
    <n v="51"/>
    <d v="2024-05-20T00:00:00"/>
    <s v="DISCOVER"/>
    <n v="-1365.39"/>
    <m/>
    <x v="22"/>
    <x v="0"/>
    <m/>
    <x v="5"/>
    <n v="2024"/>
    <d v="2024-05-20T00:00:00"/>
    <n v="2166.59"/>
    <n v="34"/>
    <s v="sofi_savings"/>
    <n v="0"/>
  </r>
  <r>
    <n v="1371"/>
    <n v="52"/>
    <d v="2024-05-28T00:00:00"/>
    <s v="Nationwide"/>
    <n v="2989.48"/>
    <m/>
    <x v="3"/>
    <x v="0"/>
    <s v="Savings"/>
    <x v="5"/>
    <n v="2024"/>
    <d v="2024-05-28T00:00:00"/>
    <n v="5156.07"/>
    <n v="13"/>
    <s v="sofi_savings"/>
    <n v="0"/>
  </r>
  <r>
    <n v="1372"/>
    <n v="53"/>
    <d v="2024-05-31T00:00:00"/>
    <s v="Interest earned"/>
    <n v="12.57"/>
    <m/>
    <x v="105"/>
    <x v="0"/>
    <s v="Payment_and_Interest"/>
    <x v="5"/>
    <n v="2024"/>
    <d v="2024-05-31T00:00:00"/>
    <n v="5168.6400000000003"/>
    <n v="5"/>
    <s v="sofi_savings"/>
    <n v="1"/>
  </r>
  <r>
    <n v="1373"/>
    <n v="54"/>
    <d v="2024-06-01T00:00:00"/>
    <s v="To Checking - 8930"/>
    <n v="-450"/>
    <m/>
    <x v="22"/>
    <x v="0"/>
    <m/>
    <x v="6"/>
    <n v="2024"/>
    <d v="2024-06-01T00:00:00"/>
    <n v="4718.6400000000003"/>
    <n v="35"/>
    <s v="sofi_savings"/>
    <n v="0"/>
  </r>
  <r>
    <n v="1374"/>
    <n v="55"/>
    <d v="2024-06-05T00:00:00"/>
    <s v="WELLS FARGO BANK NA"/>
    <n v="-600"/>
    <m/>
    <x v="22"/>
    <x v="0"/>
    <m/>
    <x v="6"/>
    <n v="2024"/>
    <d v="2024-06-05T00:00:00"/>
    <n v="4118.6400000000003"/>
    <n v="36"/>
    <s v="sofi_savings"/>
    <n v="0"/>
  </r>
  <r>
    <n v="1375"/>
    <n v="56"/>
    <d v="2024-06-11T00:00:00"/>
    <s v="Nationwide"/>
    <n v="2989.49"/>
    <m/>
    <x v="3"/>
    <x v="0"/>
    <s v="Savings"/>
    <x v="6"/>
    <n v="2024"/>
    <d v="2024-06-11T00:00:00"/>
    <n v="7108.13"/>
    <n v="14"/>
    <s v="sofi_savings"/>
    <n v="0"/>
  </r>
  <r>
    <n v="1376"/>
    <n v="57"/>
    <d v="2024-06-13T00:00:00"/>
    <s v="DISCOVER"/>
    <n v="-920.18"/>
    <m/>
    <x v="22"/>
    <x v="0"/>
    <m/>
    <x v="6"/>
    <n v="2024"/>
    <d v="2024-06-13T00:00:00"/>
    <n v="6187.95"/>
    <n v="37"/>
    <s v="sofi_savings"/>
    <n v="0"/>
  </r>
  <r>
    <n v="1377"/>
    <n v="58"/>
    <d v="2024-06-13T00:00:00"/>
    <s v="To Checking - 8930"/>
    <n v="-155"/>
    <m/>
    <x v="22"/>
    <x v="0"/>
    <m/>
    <x v="6"/>
    <n v="2024"/>
    <d v="2024-06-13T00:00:00"/>
    <n v="6032.95"/>
    <n v="38"/>
    <s v="sofi_savings"/>
    <n v="0"/>
  </r>
  <r>
    <n v="1378"/>
    <n v="59"/>
    <d v="2024-06-16T00:00:00"/>
    <s v="To Checking - 8930"/>
    <n v="-460"/>
    <m/>
    <x v="22"/>
    <x v="0"/>
    <m/>
    <x v="6"/>
    <n v="2024"/>
    <d v="2024-06-16T00:00:00"/>
    <n v="5572.95"/>
    <n v="39"/>
    <s v="sofi_savings"/>
    <n v="0"/>
  </r>
  <r>
    <n v="1379"/>
    <n v="60"/>
    <d v="2024-06-16T00:00:00"/>
    <s v="To Checking - 8930"/>
    <n v="-500"/>
    <m/>
    <x v="22"/>
    <x v="0"/>
    <m/>
    <x v="6"/>
    <n v="2024"/>
    <d v="2024-06-16T00:00:00"/>
    <n v="5072.95"/>
    <n v="40"/>
    <s v="sofi_savings"/>
    <n v="0"/>
  </r>
  <r>
    <n v="1380"/>
    <n v="61"/>
    <d v="2024-06-16T00:00:00"/>
    <s v="To Checking - 8930"/>
    <n v="-200"/>
    <m/>
    <x v="22"/>
    <x v="0"/>
    <m/>
    <x v="6"/>
    <n v="2024"/>
    <d v="2024-06-16T00:00:00"/>
    <n v="4872.95"/>
    <n v="41"/>
    <s v="sofi_savings"/>
    <n v="0"/>
  </r>
  <r>
    <n v="1381"/>
    <n v="62"/>
    <d v="2024-06-18T00:00:00"/>
    <s v="WELLS FARGO BANK NA"/>
    <n v="-200"/>
    <m/>
    <x v="22"/>
    <x v="0"/>
    <m/>
    <x v="6"/>
    <n v="2024"/>
    <d v="2024-06-18T00:00:00"/>
    <n v="4672.95"/>
    <n v="42"/>
    <s v="sofi_savings"/>
    <n v="0"/>
  </r>
  <r>
    <n v="1382"/>
    <n v="63"/>
    <d v="2024-06-24T00:00:00"/>
    <s v="WELLS FARGO BANK"/>
    <n v="-1000"/>
    <m/>
    <x v="22"/>
    <x v="0"/>
    <m/>
    <x v="6"/>
    <n v="2024"/>
    <d v="2024-06-24T00:00:00"/>
    <n v="3672.95"/>
    <n v="43"/>
    <s v="sofi_savings"/>
    <n v="0"/>
  </r>
  <r>
    <n v="1383"/>
    <n v="64"/>
    <d v="2024-06-25T00:00:00"/>
    <s v="WELLS FARGO BANK NA"/>
    <n v="-500"/>
    <m/>
    <x v="22"/>
    <x v="0"/>
    <m/>
    <x v="6"/>
    <n v="2024"/>
    <d v="2024-06-25T00:00:00"/>
    <n v="3172.95"/>
    <n v="44"/>
    <s v="sofi_savings"/>
    <n v="0"/>
  </r>
  <r>
    <n v="1384"/>
    <n v="65"/>
    <d v="2024-06-25T00:00:00"/>
    <s v="Nationwide"/>
    <n v="3781.68"/>
    <m/>
    <x v="3"/>
    <x v="0"/>
    <s v="Savings"/>
    <x v="6"/>
    <n v="2024"/>
    <d v="2024-06-25T00:00:00"/>
    <n v="6954.63"/>
    <n v="15"/>
    <s v="sofi_savings"/>
    <n v="0"/>
  </r>
  <r>
    <n v="1385"/>
    <n v="66"/>
    <d v="2024-06-30T00:00:00"/>
    <s v="Interest earned"/>
    <n v="19.579999999999998"/>
    <m/>
    <x v="105"/>
    <x v="0"/>
    <s v="Payment_and_Interest"/>
    <x v="6"/>
    <n v="2024"/>
    <d v="2024-06-30T00:00:00"/>
    <n v="6974.21"/>
    <n v="6"/>
    <s v="sofi_savings"/>
    <n v="1"/>
  </r>
  <r>
    <n v="1386"/>
    <n v="67"/>
    <d v="2024-07-01T00:00:00"/>
    <s v="WELLS FARGO BANK"/>
    <n v="-250"/>
    <m/>
    <x v="22"/>
    <x v="0"/>
    <m/>
    <x v="7"/>
    <n v="2024"/>
    <d v="2024-07-01T00:00:00"/>
    <n v="6274.21"/>
    <n v="45"/>
    <s v="sofi_savings"/>
    <n v="0"/>
  </r>
  <r>
    <n v="1387"/>
    <n v="68"/>
    <d v="2024-07-01T00:00:00"/>
    <s v="To Checking - 8930"/>
    <n v="-450"/>
    <m/>
    <x v="22"/>
    <x v="0"/>
    <m/>
    <x v="7"/>
    <n v="2024"/>
    <d v="2024-07-01T00:00:00"/>
    <n v="6524.21"/>
    <n v="46"/>
    <s v="sofi_savings"/>
    <n v="0"/>
  </r>
  <r>
    <n v="1388"/>
    <n v="69"/>
    <d v="2024-07-08T00:00:00"/>
    <s v="DISCOVER"/>
    <n v="-2378.13"/>
    <m/>
    <x v="22"/>
    <x v="0"/>
    <m/>
    <x v="7"/>
    <n v="2024"/>
    <d v="2024-07-08T00:00:00"/>
    <n v="3896.08"/>
    <n v="47"/>
    <s v="sofi_savings"/>
    <n v="0"/>
  </r>
  <r>
    <n v="1389"/>
    <n v="70"/>
    <d v="2024-07-08T00:00:00"/>
    <s v="To Checking - 8930"/>
    <n v="-1633.74"/>
    <m/>
    <x v="22"/>
    <x v="0"/>
    <m/>
    <x v="7"/>
    <n v="2024"/>
    <d v="2024-07-08T00:00:00"/>
    <n v="2262.34"/>
    <n v="48"/>
    <s v="sofi_savings"/>
    <n v="0"/>
  </r>
  <r>
    <n v="1390"/>
    <n v="71"/>
    <d v="2024-07-08T00:00:00"/>
    <s v="WELLS FARGO BANK"/>
    <n v="-150"/>
    <m/>
    <x v="22"/>
    <x v="0"/>
    <m/>
    <x v="7"/>
    <n v="2024"/>
    <d v="2024-07-08T00:00:00"/>
    <n v="2112.34"/>
    <n v="49"/>
    <s v="sofi_savings"/>
    <n v="0"/>
  </r>
  <r>
    <n v="1391"/>
    <n v="72"/>
    <d v="2024-07-09T00:00:00"/>
    <s v="Nationwide"/>
    <n v="2989.48"/>
    <m/>
    <x v="3"/>
    <x v="0"/>
    <s v="Savings"/>
    <x v="7"/>
    <n v="2024"/>
    <d v="2024-07-09T00:00:00"/>
    <n v="5101.82"/>
    <n v="16"/>
    <s v="sofi_savings"/>
    <n v="0"/>
  </r>
  <r>
    <n v="1392"/>
    <n v="73"/>
    <d v="2024-07-13T00:00:00"/>
    <s v="To Checking - 8930"/>
    <n v="-155"/>
    <m/>
    <x v="22"/>
    <x v="0"/>
    <m/>
    <x v="7"/>
    <n v="2024"/>
    <d v="2024-07-13T00:00:00"/>
    <n v="4946.82"/>
    <n v="50"/>
    <s v="sofi_savings"/>
    <n v="0"/>
  </r>
  <r>
    <n v="1393"/>
    <n v="74"/>
    <d v="2024-07-14T00:00:00"/>
    <s v="To Checking - 8930"/>
    <n v="-500"/>
    <m/>
    <x v="22"/>
    <x v="0"/>
    <m/>
    <x v="7"/>
    <n v="2024"/>
    <d v="2024-07-14T00:00:00"/>
    <n v="4446.82"/>
    <n v="51"/>
    <s v="sofi_savings"/>
    <n v="0"/>
  </r>
  <r>
    <n v="1394"/>
    <n v="75"/>
    <d v="2024-07-21T00:00:00"/>
    <s v="To Checking - 8930"/>
    <n v="-2000"/>
    <m/>
    <x v="22"/>
    <x v="0"/>
    <m/>
    <x v="7"/>
    <n v="2024"/>
    <d v="2024-07-21T00:00:00"/>
    <n v="2446.8200000000002"/>
    <n v="52"/>
    <s v="sofi_savings"/>
    <n v="0"/>
  </r>
  <r>
    <n v="1395"/>
    <n v="76"/>
    <d v="2024-07-21T00:00:00"/>
    <s v="WELLS FARGO IFI"/>
    <n v="0.09"/>
    <m/>
    <x v="22"/>
    <x v="0"/>
    <m/>
    <x v="7"/>
    <n v="2024"/>
    <d v="2024-07-21T00:00:00"/>
    <n v="2446.91"/>
    <n v="53"/>
    <s v="sofi_savings"/>
    <n v="0"/>
  </r>
  <r>
    <n v="1396"/>
    <n v="77"/>
    <d v="2024-07-21T00:00:00"/>
    <s v="WELLS FARGO IFI"/>
    <n v="0.22"/>
    <m/>
    <x v="22"/>
    <x v="0"/>
    <m/>
    <x v="7"/>
    <n v="2024"/>
    <d v="2024-07-21T00:00:00"/>
    <n v="2447.13"/>
    <n v="54"/>
    <s v="sofi_savings"/>
    <n v="0"/>
  </r>
  <r>
    <n v="1397"/>
    <n v="78"/>
    <d v="2024-07-22T00:00:00"/>
    <s v="WELLS FARGO IFI"/>
    <n v="-0.31"/>
    <m/>
    <x v="22"/>
    <x v="0"/>
    <m/>
    <x v="7"/>
    <n v="2024"/>
    <d v="2024-07-22T00:00:00"/>
    <n v="2446.8200000000002"/>
    <n v="55"/>
    <s v="sofi_savings"/>
    <n v="0"/>
  </r>
  <r>
    <n v="1398"/>
    <n v="79"/>
    <d v="2024-07-23T00:00:00"/>
    <s v="Nationwide"/>
    <n v="2989.48"/>
    <m/>
    <x v="3"/>
    <x v="0"/>
    <s v="Savings"/>
    <x v="7"/>
    <n v="2024"/>
    <d v="2024-07-23T00:00:00"/>
    <n v="5436.3"/>
    <n v="17"/>
    <s v="sofi_savings"/>
    <n v="0"/>
  </r>
  <r>
    <n v="1399"/>
    <n v="80"/>
    <d v="2024-07-23T00:00:00"/>
    <s v="To Checking - 8930"/>
    <n v="-1600"/>
    <m/>
    <x v="22"/>
    <x v="0"/>
    <m/>
    <x v="7"/>
    <n v="2024"/>
    <d v="2024-07-23T00:00:00"/>
    <n v="3836.3"/>
    <n v="56"/>
    <s v="sofi_savings"/>
    <n v="0"/>
  </r>
  <r>
    <n v="1400"/>
    <n v="81"/>
    <d v="2024-07-25T00:00:00"/>
    <s v="To Checking - 8930"/>
    <n v="-900"/>
    <m/>
    <x v="22"/>
    <x v="0"/>
    <m/>
    <x v="7"/>
    <n v="2024"/>
    <d v="2024-07-25T00:00:00"/>
    <n v="2636.3"/>
    <n v="57"/>
    <s v="sofi_savings"/>
    <n v="0"/>
  </r>
  <r>
    <n v="1401"/>
    <n v="82"/>
    <d v="2024-07-25T00:00:00"/>
    <s v="WELLS FARGO BANK"/>
    <n v="-300"/>
    <m/>
    <x v="22"/>
    <x v="0"/>
    <m/>
    <x v="7"/>
    <n v="2024"/>
    <d v="2024-07-25T00:00:00"/>
    <n v="3536.3"/>
    <n v="58"/>
    <s v="sofi_savings"/>
    <n v="0"/>
  </r>
  <r>
    <n v="1402"/>
    <n v="83"/>
    <d v="2024-07-26T00:00:00"/>
    <s v="WELLS FARGO BANK"/>
    <n v="-433.6"/>
    <m/>
    <x v="22"/>
    <x v="0"/>
    <m/>
    <x v="7"/>
    <n v="2024"/>
    <d v="2024-07-26T00:00:00"/>
    <n v="2202.6999999999998"/>
    <n v="59"/>
    <s v="sofi_savings"/>
    <n v="0"/>
  </r>
  <r>
    <n v="1403"/>
    <n v="84"/>
    <d v="2024-07-26T00:00:00"/>
    <s v="Fortiva PMT"/>
    <n v="-248.63"/>
    <m/>
    <x v="7"/>
    <x v="0"/>
    <m/>
    <x v="7"/>
    <n v="2024"/>
    <d v="2024-07-26T00:00:00"/>
    <n v="1954.07"/>
    <n v="1"/>
    <s v="sofi_savings"/>
    <n v="0"/>
  </r>
  <r>
    <n v="1404"/>
    <n v="85"/>
    <d v="2024-07-28T00:00:00"/>
    <s v="WELLS FARGO IFI"/>
    <n v="3500"/>
    <m/>
    <x v="22"/>
    <x v="0"/>
    <m/>
    <x v="7"/>
    <n v="2024"/>
    <d v="2024-07-28T00:00:00"/>
    <n v="5454.07"/>
    <n v="60"/>
    <s v="sofi_savings"/>
    <n v="0"/>
  </r>
  <r>
    <n v="1405"/>
    <n v="86"/>
    <d v="2024-07-31T00:00:00"/>
    <s v="Interest earned"/>
    <n v="17.66"/>
    <m/>
    <x v="105"/>
    <x v="0"/>
    <s v="Payment_and_Interest"/>
    <x v="7"/>
    <n v="2024"/>
    <d v="2024-07-31T00:00:00"/>
    <n v="5471.73"/>
    <n v="7"/>
    <s v="sofi_savings"/>
    <n v="1"/>
  </r>
  <r>
    <n v="1406"/>
    <n v="87"/>
    <d v="2024-08-01T00:00:00"/>
    <s v="To Checking - 8930"/>
    <n v="-450"/>
    <m/>
    <x v="22"/>
    <x v="0"/>
    <m/>
    <x v="8"/>
    <n v="2024"/>
    <d v="2024-08-01T00:00:00"/>
    <n v="5021.7299999999996"/>
    <n v="61"/>
    <s v="sofi_savings"/>
    <n v="0"/>
  </r>
  <r>
    <n v="1407"/>
    <n v="88"/>
    <d v="2024-08-05T00:00:00"/>
    <s v="DISCOVER"/>
    <n v="-2511.3000000000002"/>
    <m/>
    <x v="22"/>
    <x v="0"/>
    <m/>
    <x v="8"/>
    <n v="2024"/>
    <d v="2024-08-05T00:00:00"/>
    <n v="2510.4299999999998"/>
    <n v="62"/>
    <s v="sofi_savings"/>
    <n v="0"/>
  </r>
  <r>
    <n v="1408"/>
    <n v="89"/>
    <d v="2024-08-06T00:00:00"/>
    <s v="Nationwide"/>
    <n v="2989.48"/>
    <m/>
    <x v="3"/>
    <x v="0"/>
    <s v="Savings"/>
    <x v="8"/>
    <n v="2024"/>
    <d v="2024-08-06T00:00:00"/>
    <n v="5499.91"/>
    <n v="18"/>
    <s v="sofi_savings"/>
    <n v="0"/>
  </r>
  <r>
    <n v="1409"/>
    <n v="90"/>
    <d v="2024-08-07T00:00:00"/>
    <s v="WELLS FARGO BANK"/>
    <n v="-200"/>
    <m/>
    <x v="22"/>
    <x v="0"/>
    <m/>
    <x v="8"/>
    <n v="2024"/>
    <d v="2024-08-07T00:00:00"/>
    <n v="5299.91"/>
    <n v="63"/>
    <s v="sofi_savings"/>
    <n v="0"/>
  </r>
  <r>
    <n v="1410"/>
    <n v="91"/>
    <d v="2024-08-13T00:00:00"/>
    <s v="To Checking - 8930"/>
    <n v="-155"/>
    <m/>
    <x v="22"/>
    <x v="0"/>
    <m/>
    <x v="8"/>
    <n v="2024"/>
    <d v="2024-08-13T00:00:00"/>
    <n v="5144.91"/>
    <n v="64"/>
    <s v="sofi_savings"/>
    <n v="0"/>
  </r>
  <r>
    <n v="1411"/>
    <n v="92"/>
    <d v="2024-08-20T00:00:00"/>
    <s v="Nationwide"/>
    <n v="2989.48"/>
    <m/>
    <x v="3"/>
    <x v="0"/>
    <s v="Savings"/>
    <x v="8"/>
    <n v="2024"/>
    <d v="2024-08-20T00:00:00"/>
    <n v="8134.39"/>
    <n v="19"/>
    <s v="sofi_savings"/>
    <n v="0"/>
  </r>
  <r>
    <n v="1412"/>
    <n v="93"/>
    <d v="2024-08-26T00:00:00"/>
    <s v="BOARD OF REGENTS"/>
    <n v="-1889"/>
    <m/>
    <x v="104"/>
    <x v="0"/>
    <s v="Personal_Spending"/>
    <x v="8"/>
    <n v="2024"/>
    <d v="2024-08-26T00:00:00"/>
    <n v="6245.39"/>
    <n v="2"/>
    <s v="sofi_savings"/>
    <n v="0"/>
  </r>
  <r>
    <n v="1413"/>
    <n v="94"/>
    <d v="2024-08-31T00:00:00"/>
    <s v="Interest earned"/>
    <n v="22.35"/>
    <m/>
    <x v="105"/>
    <x v="0"/>
    <s v="Payment_and_Interest"/>
    <x v="8"/>
    <n v="2024"/>
    <d v="2024-08-31T00:00:00"/>
    <n v="6267.74"/>
    <n v="8"/>
    <s v="sofi_savings"/>
    <n v="1"/>
  </r>
  <r>
    <n v="1414"/>
    <n v="95"/>
    <d v="2024-09-01T00:00:00"/>
    <s v="To Checking - 8930"/>
    <n v="-450"/>
    <m/>
    <x v="22"/>
    <x v="0"/>
    <m/>
    <x v="9"/>
    <n v="2024"/>
    <d v="2024-09-01T00:00:00"/>
    <n v="5817.74"/>
    <n v="65"/>
    <s v="sofi_savings"/>
    <n v="0"/>
  </r>
  <r>
    <n v="1415"/>
    <n v="96"/>
    <d v="2024-09-03T00:00:00"/>
    <s v="Nationwide"/>
    <n v="2989.48"/>
    <m/>
    <x v="3"/>
    <x v="0"/>
    <s v="Savings"/>
    <x v="9"/>
    <n v="2024"/>
    <d v="2024-09-03T00:00:00"/>
    <n v="5670.39"/>
    <n v="20"/>
    <s v="sofi_savings"/>
    <n v="0"/>
  </r>
  <r>
    <n v="1416"/>
    <n v="97"/>
    <d v="2024-09-03T00:00:00"/>
    <s v="DISCOVER"/>
    <n v="-3136.83"/>
    <m/>
    <x v="22"/>
    <x v="0"/>
    <m/>
    <x v="9"/>
    <n v="2024"/>
    <d v="2024-09-03T00:00:00"/>
    <n v="2680.91"/>
    <n v="66"/>
    <s v="sofi_savings"/>
    <n v="0"/>
  </r>
  <r>
    <n v="1417"/>
    <n v="98"/>
    <d v="2024-09-07T00:00:00"/>
    <s v="To Checking - 8930"/>
    <n v="-1633.74"/>
    <m/>
    <x v="22"/>
    <x v="0"/>
    <m/>
    <x v="9"/>
    <n v="2024"/>
    <d v="2024-09-07T00:00:00"/>
    <n v="4036.65"/>
    <n v="67"/>
    <s v="sofi_savings"/>
    <n v="0"/>
  </r>
  <r>
    <n v="1418"/>
    <n v="99"/>
    <d v="2024-09-13T00:00:00"/>
    <s v="To Checking - 8930"/>
    <n v="-155"/>
    <m/>
    <x v="22"/>
    <x v="0"/>
    <m/>
    <x v="9"/>
    <n v="2024"/>
    <d v="2024-09-13T00:00:00"/>
    <n v="3881.65"/>
    <n v="68"/>
    <s v="sofi_savings"/>
    <n v="0"/>
  </r>
  <r>
    <n v="1419"/>
    <n v="100"/>
    <d v="2024-09-16T00:00:00"/>
    <s v="WELLS FARGO BANK"/>
    <n v="-500"/>
    <m/>
    <x v="22"/>
    <x v="0"/>
    <m/>
    <x v="9"/>
    <n v="2024"/>
    <d v="2024-09-16T00:00:00"/>
    <n v="3381.65"/>
    <n v="69"/>
    <s v="sofi_savings"/>
    <n v="0"/>
  </r>
  <r>
    <n v="1420"/>
    <n v="101"/>
    <d v="2024-09-17T00:00:00"/>
    <s v="Nationwide"/>
    <n v="2989.48"/>
    <m/>
    <x v="3"/>
    <x v="0"/>
    <s v="Savings"/>
    <x v="9"/>
    <n v="2024"/>
    <d v="2024-09-17T00:00:00"/>
    <n v="6371.13"/>
    <n v="21"/>
    <s v="sofi_savings"/>
    <n v="0"/>
  </r>
  <r>
    <n v="1421"/>
    <n v="102"/>
    <d v="2024-09-30T00:00:00"/>
    <s v="DISCOVER"/>
    <n v="-4363.2"/>
    <m/>
    <x v="22"/>
    <x v="0"/>
    <m/>
    <x v="9"/>
    <n v="2024"/>
    <d v="2024-09-30T00:00:00"/>
    <n v="2007.93"/>
    <n v="70"/>
    <s v="sofi_savings"/>
    <n v="0"/>
  </r>
  <r>
    <n v="1422"/>
    <n v="103"/>
    <d v="2024-09-30T00:00:00"/>
    <s v="Interest earned"/>
    <n v="19.079999999999998"/>
    <m/>
    <x v="105"/>
    <x v="0"/>
    <s v="Payment_and_Interest"/>
    <x v="9"/>
    <n v="2024"/>
    <d v="2024-09-30T00:00:00"/>
    <n v="2027.01"/>
    <n v="9"/>
    <s v="sofi_savings"/>
    <n v="1"/>
  </r>
  <r>
    <n v="1423"/>
    <n v="104"/>
    <d v="2024-10-01T00:00:00"/>
    <s v="To Checking - 8930"/>
    <n v="-450"/>
    <m/>
    <x v="22"/>
    <x v="0"/>
    <m/>
    <x v="10"/>
    <n v="2024"/>
    <d v="2024-10-01T00:00:00"/>
    <n v="1577.01"/>
    <n v="71"/>
    <s v="sofi_savings"/>
    <n v="0"/>
  </r>
  <r>
    <n v="1424"/>
    <n v="105"/>
    <d v="2024-10-01T00:00:00"/>
    <s v="Nationwide"/>
    <n v="2989.48"/>
    <m/>
    <x v="3"/>
    <x v="0"/>
    <s v="Savings"/>
    <x v="10"/>
    <n v="2024"/>
    <d v="2024-10-01T00:00:00"/>
    <n v="4566.49"/>
    <n v="22"/>
    <s v="sofi_savings"/>
    <n v="0"/>
  </r>
  <r>
    <n v="1425"/>
    <n v="106"/>
    <d v="2024-10-13T00:00:00"/>
    <s v="To Checking - 8930"/>
    <n v="-155"/>
    <m/>
    <x v="22"/>
    <x v="0"/>
    <m/>
    <x v="10"/>
    <n v="2024"/>
    <d v="2024-10-13T00:00:00"/>
    <n v="4411.49"/>
    <n v="72"/>
    <s v="sofi_savings"/>
    <n v="0"/>
  </r>
  <r>
    <n v="1426"/>
    <n v="107"/>
    <d v="2024-10-15T00:00:00"/>
    <s v="DISCOVER"/>
    <n v="-1961.34"/>
    <m/>
    <x v="22"/>
    <x v="0"/>
    <m/>
    <x v="10"/>
    <n v="2024"/>
    <d v="2024-10-15T00:00:00"/>
    <n v="2450.15"/>
    <n v="73"/>
    <s v="sofi_savings"/>
    <n v="0"/>
  </r>
  <r>
    <n v="1427"/>
    <n v="108"/>
    <d v="2024-10-15T00:00:00"/>
    <s v="Nationwide"/>
    <n v="2989.48"/>
    <m/>
    <x v="3"/>
    <x v="0"/>
    <s v="Savings"/>
    <x v="10"/>
    <n v="2024"/>
    <d v="2024-10-15T00:00:00"/>
    <n v="5439.63"/>
    <n v="23"/>
    <s v="sofi_savings"/>
    <n v="0"/>
  </r>
  <r>
    <n v="1428"/>
    <n v="109"/>
    <d v="2024-10-29T00:00:00"/>
    <s v="Nationwide"/>
    <n v="2989.48"/>
    <m/>
    <x v="3"/>
    <x v="0"/>
    <s v="Savings"/>
    <x v="10"/>
    <n v="2024"/>
    <d v="2024-10-29T00:00:00"/>
    <n v="8429.11"/>
    <n v="24"/>
    <s v="sofi_savings"/>
    <n v="0"/>
  </r>
  <r>
    <n v="1429"/>
    <n v="110"/>
    <d v="2024-10-31T00:00:00"/>
    <s v="Interest earned"/>
    <n v="19.170000000000002"/>
    <m/>
    <x v="105"/>
    <x v="0"/>
    <s v="Payment_and_Interest"/>
    <x v="10"/>
    <n v="2024"/>
    <d v="2024-10-31T00:00:00"/>
    <n v="8448.2800000000007"/>
    <n v="10"/>
    <s v="sofi_savings"/>
    <n v="1"/>
  </r>
  <r>
    <n v="1430"/>
    <n v="111"/>
    <d v="2024-11-01T00:00:00"/>
    <s v="To Checking - 8930"/>
    <n v="-450"/>
    <m/>
    <x v="22"/>
    <x v="0"/>
    <m/>
    <x v="11"/>
    <n v="2024"/>
    <d v="2024-11-01T00:00:00"/>
    <n v="7998.28"/>
    <n v="74"/>
    <s v="sofi_savings"/>
    <n v="0"/>
  </r>
  <r>
    <n v="1431"/>
    <n v="112"/>
    <d v="2024-11-04T00:00:00"/>
    <s v="DISCOVER"/>
    <n v="-1646.36"/>
    <m/>
    <x v="22"/>
    <x v="0"/>
    <m/>
    <x v="11"/>
    <n v="2024"/>
    <d v="2024-11-04T00:00:00"/>
    <n v="6351.92"/>
    <n v="75"/>
    <s v="sofi_savings"/>
    <n v="0"/>
  </r>
  <r>
    <n v="1432"/>
    <n v="113"/>
    <d v="2024-11-12T00:00:00"/>
    <s v="Nationwide"/>
    <n v="2989.48"/>
    <m/>
    <x v="3"/>
    <x v="0"/>
    <s v="Savings"/>
    <x v="11"/>
    <n v="2024"/>
    <d v="2024-11-12T00:00:00"/>
    <n v="9341.4"/>
    <n v="25"/>
    <s v="sofi_savings"/>
    <n v="0"/>
  </r>
  <r>
    <n v="1433"/>
    <n v="114"/>
    <d v="2024-11-13T00:00:00"/>
    <s v="To Checking - 8930"/>
    <n v="-155"/>
    <m/>
    <x v="22"/>
    <x v="0"/>
    <m/>
    <x v="11"/>
    <n v="2024"/>
    <d v="2024-11-13T00:00:00"/>
    <n v="9186.4"/>
    <n v="76"/>
    <s v="sofi_savings"/>
    <n v="0"/>
  </r>
  <r>
    <n v="1434"/>
    <n v="115"/>
    <d v="2024-11-16T00:00:00"/>
    <s v="To Checking - 8930"/>
    <n v="-1634"/>
    <m/>
    <x v="22"/>
    <x v="0"/>
    <m/>
    <x v="11"/>
    <n v="2024"/>
    <d v="2024-11-16T00:00:00"/>
    <n v="7552.4"/>
    <n v="77"/>
    <s v="sofi_savings"/>
    <n v="0"/>
  </r>
  <r>
    <n v="1435"/>
    <n v="116"/>
    <d v="2024-11-16T00:00:00"/>
    <s v="To Checking - 8930"/>
    <n v="-3000"/>
    <m/>
    <x v="22"/>
    <x v="0"/>
    <m/>
    <x v="11"/>
    <n v="2024"/>
    <d v="2024-11-16T00:00:00"/>
    <n v="4552.3999999999996"/>
    <n v="78"/>
    <s v="sofi_savings"/>
    <n v="0"/>
  </r>
  <r>
    <n v="1436"/>
    <n v="117"/>
    <d v="2024-11-19T00:00:00"/>
    <s v="To Checking - 8930"/>
    <n v="-800"/>
    <m/>
    <x v="22"/>
    <x v="0"/>
    <m/>
    <x v="11"/>
    <n v="2024"/>
    <d v="2024-11-19T00:00:00"/>
    <n v="3752.4"/>
    <n v="79"/>
    <s v="sofi_savings"/>
    <n v="0"/>
  </r>
  <r>
    <n v="1437"/>
    <n v="118"/>
    <d v="2024-11-25T00:00:00"/>
    <s v="Nationwide"/>
    <n v="2904.49"/>
    <m/>
    <x v="3"/>
    <x v="0"/>
    <s v="Savings"/>
    <x v="11"/>
    <n v="2024"/>
    <d v="2024-11-25T00:00:00"/>
    <n v="6656.89"/>
    <n v="26"/>
    <s v="sofi_savings"/>
    <n v="0"/>
  </r>
  <r>
    <n v="1438"/>
    <n v="119"/>
    <d v="2024-11-26T00:00:00"/>
    <s v="DISCOVER"/>
    <n v="-3468.67"/>
    <m/>
    <x v="22"/>
    <x v="0"/>
    <m/>
    <x v="11"/>
    <n v="2024"/>
    <d v="2024-11-26T00:00:00"/>
    <n v="3188.22"/>
    <n v="80"/>
    <s v="sofi_savings"/>
    <n v="0"/>
  </r>
  <r>
    <n v="1439"/>
    <n v="120"/>
    <d v="2024-11-30T00:00:00"/>
    <s v="Interest earned"/>
    <n v="19.2"/>
    <m/>
    <x v="105"/>
    <x v="0"/>
    <s v="Payment_and_Interest"/>
    <x v="11"/>
    <n v="2024"/>
    <d v="2024-11-30T00:00:00"/>
    <n v="3207.42"/>
    <n v="11"/>
    <s v="sofi_savings"/>
    <n v="1"/>
  </r>
  <r>
    <n v="1440"/>
    <n v="121"/>
    <d v="2024-12-01T00:00:00"/>
    <s v="To Checking - 8930"/>
    <n v="-450"/>
    <m/>
    <x v="22"/>
    <x v="0"/>
    <m/>
    <x v="12"/>
    <n v="2024"/>
    <d v="2024-12-01T00:00:00"/>
    <n v="2757.42"/>
    <n v="81"/>
    <s v="sofi_savings"/>
    <n v="0"/>
  </r>
  <r>
    <n v="1441"/>
    <n v="122"/>
    <d v="2024-12-10T00:00:00"/>
    <s v="Nationwide"/>
    <n v="2989.48"/>
    <m/>
    <x v="3"/>
    <x v="0"/>
    <s v="Savings"/>
    <x v="12"/>
    <n v="2024"/>
    <d v="2024-12-10T00:00:00"/>
    <n v="5746.9"/>
    <n v="27"/>
    <s v="sofi_savings"/>
    <n v="0"/>
  </r>
  <r>
    <n v="1442"/>
    <n v="123"/>
    <d v="2024-12-13T00:00:00"/>
    <s v="To Checking - 8930"/>
    <n v="-155"/>
    <m/>
    <x v="22"/>
    <x v="0"/>
    <m/>
    <x v="12"/>
    <n v="2024"/>
    <d v="2024-12-13T00:00:00"/>
    <n v="5591.9"/>
    <n v="82"/>
    <s v="sofi_savings"/>
    <n v="0"/>
  </r>
  <r>
    <n v="1443"/>
    <n v="124"/>
    <d v="2024-12-13T00:00:00"/>
    <s v="To Checking - 8930"/>
    <n v="-1132"/>
    <m/>
    <x v="22"/>
    <x v="0"/>
    <m/>
    <x v="12"/>
    <n v="2024"/>
    <d v="2024-12-13T00:00:00"/>
    <n v="4459.8999999999996"/>
    <n v="83"/>
    <s v="sofi_savings"/>
    <n v="0"/>
  </r>
  <r>
    <n v="1444"/>
    <n v="125"/>
    <d v="2024-12-16T00:00:00"/>
    <s v="DISCOVER"/>
    <n v="-2386.27"/>
    <m/>
    <x v="22"/>
    <x v="0"/>
    <m/>
    <x v="12"/>
    <n v="2024"/>
    <d v="2024-12-16T00:00:00"/>
    <n v="2073.63"/>
    <n v="84"/>
    <s v="sofi_savings"/>
    <n v="0"/>
  </r>
  <r>
    <n v="1445"/>
    <n v="126"/>
    <d v="2024-12-23T00:00:00"/>
    <s v="Nationwide"/>
    <n v="2989.48"/>
    <m/>
    <x v="3"/>
    <x v="0"/>
    <s v="Savings"/>
    <x v="12"/>
    <n v="2024"/>
    <d v="2024-12-23T00:00:00"/>
    <n v="5063.1099999999997"/>
    <n v="28"/>
    <s v="sofi_savings"/>
    <n v="0"/>
  </r>
  <r>
    <n v="1446"/>
    <n v="127"/>
    <d v="2024-12-31T00:00:00"/>
    <s v="Interest earned"/>
    <n v="12.43"/>
    <m/>
    <x v="105"/>
    <x v="0"/>
    <s v="Payment_and_Interest"/>
    <x v="12"/>
    <n v="2024"/>
    <d v="2024-12-31T00:00:00"/>
    <n v="5075.54"/>
    <n v="12"/>
    <s v="sofi_savings"/>
    <n v="1"/>
  </r>
  <r>
    <n v="1447"/>
    <n v="0"/>
    <d v="2024-01-23T00:00:00"/>
    <s v="From Savings - 3552"/>
    <n v="155"/>
    <m/>
    <x v="22"/>
    <x v="0"/>
    <m/>
    <x v="1"/>
    <n v="2024"/>
    <d v="2024-01-23T00:00:00"/>
    <n v="187.58"/>
    <n v="1"/>
    <s v="sofi_checking"/>
    <n v="0"/>
  </r>
  <r>
    <n v="1448"/>
    <n v="1"/>
    <d v="2024-01-24T00:00:00"/>
    <s v="BEST BUY"/>
    <n v="-155"/>
    <m/>
    <x v="106"/>
    <x v="1"/>
    <s v="Personal_Spending"/>
    <x v="1"/>
    <n v="2024"/>
    <d v="2024-01-24T00:00:00"/>
    <n v="32.58"/>
    <n v="1"/>
    <s v="sofi_checking"/>
    <n v="0"/>
  </r>
  <r>
    <n v="1449"/>
    <n v="2"/>
    <d v="2024-01-24T00:00:00"/>
    <s v="From Savings - 3552"/>
    <n v="1804"/>
    <m/>
    <x v="22"/>
    <x v="0"/>
    <m/>
    <x v="1"/>
    <n v="2024"/>
    <d v="2024-01-24T00:00:00"/>
    <n v="1836.58"/>
    <n v="2"/>
    <s v="sofi_checking"/>
    <n v="0"/>
  </r>
  <r>
    <n v="1450"/>
    <n v="3"/>
    <d v="2024-01-25T00:00:00"/>
    <s v="VENMO"/>
    <n v="-1803.4"/>
    <m/>
    <x v="107"/>
    <x v="1"/>
    <s v="People"/>
    <x v="1"/>
    <n v="2024"/>
    <d v="2024-01-25T00:00:00"/>
    <n v="33.18"/>
    <n v="1"/>
    <s v="sofi_checking"/>
    <n v="0"/>
  </r>
  <r>
    <n v="1451"/>
    <n v="4"/>
    <d v="2024-01-31T00:00:00"/>
    <s v="Interest earned"/>
    <n v="0.04"/>
    <m/>
    <x v="105"/>
    <x v="1"/>
    <s v="Payment_and_Interest"/>
    <x v="1"/>
    <n v="2024"/>
    <d v="2024-01-31T00:00:00"/>
    <n v="33.22"/>
    <n v="1"/>
    <s v="sofi_checking"/>
    <n v="1"/>
  </r>
  <r>
    <n v="1452"/>
    <n v="5"/>
    <d v="2024-02-01T00:00:00"/>
    <s v="From Savings - 3552"/>
    <n v="450"/>
    <m/>
    <x v="22"/>
    <x v="0"/>
    <m/>
    <x v="2"/>
    <n v="2024"/>
    <d v="2024-02-01T00:00:00"/>
    <n v="483.22"/>
    <n v="3"/>
    <s v="sofi_checking"/>
    <n v="0"/>
  </r>
  <r>
    <n v="1453"/>
    <n v="6"/>
    <d v="2024-02-05T00:00:00"/>
    <s v="VENMO"/>
    <n v="-30"/>
    <m/>
    <x v="108"/>
    <x v="0"/>
    <s v="People"/>
    <x v="2"/>
    <n v="2024"/>
    <d v="2024-02-05T00:00:00"/>
    <n v="453.22"/>
    <n v="1"/>
    <s v="sofi_checking"/>
    <n v="0"/>
  </r>
  <r>
    <n v="1454"/>
    <n v="7"/>
    <d v="2024-02-07T00:00:00"/>
    <s v="From Savings - 3552"/>
    <n v="3610"/>
    <m/>
    <x v="22"/>
    <x v="0"/>
    <m/>
    <x v="2"/>
    <n v="2024"/>
    <d v="2024-02-07T00:00:00"/>
    <n v="4063.22"/>
    <n v="4"/>
    <s v="sofi_checking"/>
    <n v="0"/>
  </r>
  <r>
    <n v="1455"/>
    <n v="8"/>
    <d v="2024-02-08T00:00:00"/>
    <s v="VENMO"/>
    <n v="-3606.8"/>
    <m/>
    <x v="107"/>
    <x v="1"/>
    <s v="People"/>
    <x v="2"/>
    <n v="2024"/>
    <d v="2024-02-08T00:00:00"/>
    <n v="456.42"/>
    <n v="2"/>
    <s v="sofi_checking"/>
    <n v="0"/>
  </r>
  <r>
    <n v="1456"/>
    <n v="9"/>
    <d v="2024-02-08T00:00:00"/>
    <s v="From Savings - 3552"/>
    <n v="820"/>
    <m/>
    <x v="22"/>
    <x v="0"/>
    <m/>
    <x v="2"/>
    <n v="2024"/>
    <d v="2024-02-08T00:00:00"/>
    <n v="1276.42"/>
    <n v="5"/>
    <s v="sofi_checking"/>
    <n v="0"/>
  </r>
  <r>
    <n v="1457"/>
    <n v="10"/>
    <d v="2024-02-09T00:00:00"/>
    <s v="DEPT EDUCATION"/>
    <n v="-442.73"/>
    <m/>
    <x v="4"/>
    <x v="1"/>
    <s v="Government"/>
    <x v="2"/>
    <n v="2024"/>
    <d v="2024-02-09T00:00:00"/>
    <n v="833.69"/>
    <n v="1"/>
    <s v="sofi_checking"/>
    <n v="0"/>
  </r>
  <r>
    <n v="1458"/>
    <n v="11"/>
    <d v="2024-02-09T00:00:00"/>
    <s v="WELLS FARGO BANK NA"/>
    <n v="820"/>
    <m/>
    <x v="22"/>
    <x v="0"/>
    <m/>
    <x v="2"/>
    <n v="2024"/>
    <d v="2024-02-09T00:00:00"/>
    <n v="1653.69"/>
    <n v="6"/>
    <s v="sofi_checking"/>
    <n v="0"/>
  </r>
  <r>
    <n v="1459"/>
    <n v="12"/>
    <d v="2024-02-12T00:00:00"/>
    <s v="VENMO"/>
    <n v="-816.87"/>
    <m/>
    <x v="109"/>
    <x v="1"/>
    <s v="Housing"/>
    <x v="2"/>
    <n v="2024"/>
    <d v="2024-02-12T00:00:00"/>
    <n v="836.82"/>
    <n v="1"/>
    <s v="sofi_checking"/>
    <n v="0"/>
  </r>
  <r>
    <n v="1460"/>
    <n v="13"/>
    <d v="2024-02-12T00:00:00"/>
    <s v="VENMO"/>
    <n v="-816.87"/>
    <m/>
    <x v="109"/>
    <x v="1"/>
    <s v="Housing"/>
    <x v="2"/>
    <n v="2024"/>
    <d v="2024-02-12T00:00:00"/>
    <n v="19.95"/>
    <n v="2"/>
    <s v="sofi_checking"/>
    <n v="0"/>
  </r>
  <r>
    <n v="1461"/>
    <n v="14"/>
    <d v="2024-02-13T00:00:00"/>
    <s v="From Savings - 3552"/>
    <n v="155"/>
    <m/>
    <x v="22"/>
    <x v="0"/>
    <m/>
    <x v="2"/>
    <n v="2024"/>
    <d v="2024-02-13T00:00:00"/>
    <n v="174.95"/>
    <n v="7"/>
    <s v="sofi_checking"/>
    <n v="0"/>
  </r>
  <r>
    <n v="1462"/>
    <n v="15"/>
    <d v="2024-02-15T00:00:00"/>
    <s v="BEST BUY"/>
    <n v="-155"/>
    <m/>
    <x v="106"/>
    <x v="1"/>
    <s v="Personal_Spending"/>
    <x v="2"/>
    <n v="2024"/>
    <d v="2024-02-15T00:00:00"/>
    <n v="19.95"/>
    <n v="2"/>
    <s v="sofi_checking"/>
    <n v="0"/>
  </r>
  <r>
    <n v="1463"/>
    <n v="16"/>
    <d v="2024-02-17T00:00:00"/>
    <s v="From Savings - 3552"/>
    <n v="50"/>
    <m/>
    <x v="22"/>
    <x v="0"/>
    <m/>
    <x v="2"/>
    <n v="2024"/>
    <d v="2024-02-17T00:00:00"/>
    <n v="69.95"/>
    <n v="8"/>
    <s v="sofi_checking"/>
    <n v="0"/>
  </r>
  <r>
    <n v="1464"/>
    <n v="17"/>
    <d v="2024-02-18T00:00:00"/>
    <s v="From Savings - 3552"/>
    <n v="50"/>
    <m/>
    <x v="22"/>
    <x v="0"/>
    <m/>
    <x v="2"/>
    <n v="2024"/>
    <d v="2024-02-18T00:00:00"/>
    <n v="119.95"/>
    <n v="9"/>
    <s v="sofi_checking"/>
    <n v="0"/>
  </r>
  <r>
    <n v="1465"/>
    <n v="18"/>
    <d v="2024-02-19T00:00:00"/>
    <s v="SP RAISED BY SOCIETY"/>
    <n v="-43"/>
    <m/>
    <x v="56"/>
    <x v="0"/>
    <s v="Personal_Spending"/>
    <x v="2"/>
    <n v="2024"/>
    <d v="2024-02-19T00:00:00"/>
    <n v="76.95"/>
    <n v="1"/>
    <s v="sofi_checking"/>
    <n v="0"/>
  </r>
  <r>
    <n v="1466"/>
    <n v="19"/>
    <d v="2024-02-20T00:00:00"/>
    <s v="VENMO"/>
    <n v="-50"/>
    <m/>
    <x v="110"/>
    <x v="0"/>
    <s v="People"/>
    <x v="2"/>
    <n v="2024"/>
    <d v="2024-02-20T00:00:00"/>
    <n v="26.95"/>
    <n v="1"/>
    <s v="sofi_checking"/>
    <n v="0"/>
  </r>
  <r>
    <n v="1467"/>
    <n v="20"/>
    <d v="2024-02-22T00:00:00"/>
    <s v="From Savings - 3552"/>
    <n v="900"/>
    <m/>
    <x v="22"/>
    <x v="0"/>
    <m/>
    <x v="2"/>
    <n v="2024"/>
    <d v="2024-02-22T00:00:00"/>
    <n v="926.95"/>
    <n v="10"/>
    <s v="sofi_checking"/>
    <n v="0"/>
  </r>
  <r>
    <n v="1468"/>
    <n v="21"/>
    <d v="2024-02-23T00:00:00"/>
    <s v="VENMO"/>
    <n v="-816.87"/>
    <m/>
    <x v="109"/>
    <x v="1"/>
    <s v="Housing"/>
    <x v="2"/>
    <n v="2024"/>
    <d v="2024-02-23T00:00:00"/>
    <n v="110.08"/>
    <n v="3"/>
    <s v="sofi_checking"/>
    <n v="0"/>
  </r>
  <r>
    <n v="1469"/>
    <n v="22"/>
    <d v="2024-02-29T00:00:00"/>
    <s v="Interest earned"/>
    <n v="0.21"/>
    <m/>
    <x v="105"/>
    <x v="1"/>
    <s v="Payment_and_Interest"/>
    <x v="2"/>
    <n v="2024"/>
    <d v="2024-02-29T00:00:00"/>
    <n v="110.29"/>
    <n v="2"/>
    <s v="sofi_checking"/>
    <n v="1"/>
  </r>
  <r>
    <n v="1470"/>
    <n v="23"/>
    <d v="2024-03-01T00:00:00"/>
    <s v="From Savings - 3552"/>
    <n v="450"/>
    <m/>
    <x v="22"/>
    <x v="0"/>
    <m/>
    <x v="3"/>
    <n v="2024"/>
    <d v="2024-03-01T00:00:00"/>
    <n v="560.29"/>
    <n v="11"/>
    <s v="sofi_checking"/>
    <n v="0"/>
  </r>
  <r>
    <n v="1471"/>
    <n v="24"/>
    <d v="2024-03-05T00:00:00"/>
    <s v="From Savings - 3552"/>
    <n v="1803.4"/>
    <m/>
    <x v="22"/>
    <x v="0"/>
    <m/>
    <x v="3"/>
    <n v="2024"/>
    <d v="2024-03-05T00:00:00"/>
    <n v="2363.69"/>
    <n v="12"/>
    <s v="sofi_checking"/>
    <n v="0"/>
  </r>
  <r>
    <n v="1472"/>
    <n v="25"/>
    <d v="2024-03-05T00:00:00"/>
    <s v="From Savings - 3552"/>
    <n v="1473.72"/>
    <m/>
    <x v="22"/>
    <x v="0"/>
    <m/>
    <x v="3"/>
    <n v="2024"/>
    <d v="2024-03-05T00:00:00"/>
    <n v="3837.41"/>
    <n v="13"/>
    <s v="sofi_checking"/>
    <n v="0"/>
  </r>
  <r>
    <n v="1473"/>
    <n v="26"/>
    <d v="2024-03-06T00:00:00"/>
    <s v="VENMO"/>
    <n v="-1803.4"/>
    <m/>
    <x v="107"/>
    <x v="1"/>
    <s v="People"/>
    <x v="3"/>
    <n v="2024"/>
    <d v="2024-03-06T00:00:00"/>
    <n v="2034.01"/>
    <n v="3"/>
    <s v="sofi_checking"/>
    <n v="0"/>
  </r>
  <r>
    <n v="1474"/>
    <n v="27"/>
    <d v="2024-03-06T00:00:00"/>
    <s v="VENMO"/>
    <n v="-1473.72"/>
    <m/>
    <x v="107"/>
    <x v="1"/>
    <s v="People"/>
    <x v="3"/>
    <n v="2024"/>
    <d v="2024-03-06T00:00:00"/>
    <n v="560.29"/>
    <n v="4"/>
    <s v="sofi_checking"/>
    <n v="0"/>
  </r>
  <r>
    <n v="1475"/>
    <n v="28"/>
    <d v="2024-03-11T00:00:00"/>
    <s v="DEPT EDUCATION"/>
    <n v="-442.73"/>
    <m/>
    <x v="4"/>
    <x v="1"/>
    <s v="Government"/>
    <x v="3"/>
    <n v="2024"/>
    <d v="2024-03-11T00:00:00"/>
    <n v="117.56"/>
    <n v="2"/>
    <s v="sofi_checking"/>
    <n v="0"/>
  </r>
  <r>
    <n v="1476"/>
    <n v="29"/>
    <d v="2024-03-11T00:00:00"/>
    <s v="From Savings - 3552"/>
    <n v="50"/>
    <m/>
    <x v="22"/>
    <x v="0"/>
    <m/>
    <x v="3"/>
    <n v="2024"/>
    <d v="2024-03-11T00:00:00"/>
    <n v="167.56"/>
    <n v="14"/>
    <s v="sofi_checking"/>
    <n v="0"/>
  </r>
  <r>
    <n v="1477"/>
    <n v="30"/>
    <d v="2024-03-13T00:00:00"/>
    <s v="From Savings - 3552"/>
    <n v="155"/>
    <m/>
    <x v="22"/>
    <x v="0"/>
    <m/>
    <x v="3"/>
    <n v="2024"/>
    <d v="2024-03-13T00:00:00"/>
    <n v="322.56"/>
    <n v="15"/>
    <s v="sofi_checking"/>
    <n v="0"/>
  </r>
  <r>
    <n v="1478"/>
    <n v="31"/>
    <d v="2024-03-15T00:00:00"/>
    <s v="BEST BUY"/>
    <n v="-155"/>
    <m/>
    <x v="106"/>
    <x v="1"/>
    <s v="Personal_Spending"/>
    <x v="3"/>
    <n v="2024"/>
    <d v="2024-03-15T00:00:00"/>
    <n v="167.56"/>
    <n v="3"/>
    <s v="sofi_checking"/>
    <n v="0"/>
  </r>
  <r>
    <n v="1479"/>
    <n v="32"/>
    <d v="2024-03-31T00:00:00"/>
    <s v="Interest earned"/>
    <n v="0.17"/>
    <m/>
    <x v="105"/>
    <x v="1"/>
    <s v="Payment_and_Interest"/>
    <x v="3"/>
    <n v="2024"/>
    <d v="2024-03-31T00:00:00"/>
    <n v="167.73"/>
    <n v="3"/>
    <s v="sofi_checking"/>
    <n v="1"/>
  </r>
  <r>
    <n v="1480"/>
    <n v="33"/>
    <d v="2024-04-01T00:00:00"/>
    <s v="From Savings - 3552"/>
    <n v="450"/>
    <m/>
    <x v="22"/>
    <x v="0"/>
    <m/>
    <x v="4"/>
    <n v="2024"/>
    <d v="2024-04-01T00:00:00"/>
    <n v="617.73"/>
    <n v="16"/>
    <s v="sofi_checking"/>
    <n v="0"/>
  </r>
  <r>
    <n v="1481"/>
    <n v="34"/>
    <d v="2024-04-09T00:00:00"/>
    <s v="DEPT EDUCATION"/>
    <n v="-442.73"/>
    <m/>
    <x v="4"/>
    <x v="1"/>
    <s v="Government"/>
    <x v="4"/>
    <n v="2024"/>
    <d v="2024-04-09T00:00:00"/>
    <n v="175"/>
    <n v="3"/>
    <s v="sofi_checking"/>
    <n v="0"/>
  </r>
  <r>
    <n v="1482"/>
    <n v="35"/>
    <d v="2024-04-13T00:00:00"/>
    <s v="From Savings - 3552"/>
    <n v="155"/>
    <m/>
    <x v="22"/>
    <x v="0"/>
    <m/>
    <x v="4"/>
    <n v="2024"/>
    <d v="2024-04-13T00:00:00"/>
    <n v="330"/>
    <n v="17"/>
    <s v="sofi_checking"/>
    <n v="0"/>
  </r>
  <r>
    <n v="1483"/>
    <n v="36"/>
    <d v="2024-04-15T00:00:00"/>
    <s v="BEST BUY"/>
    <n v="-155"/>
    <m/>
    <x v="106"/>
    <x v="1"/>
    <s v="Personal_Spending"/>
    <x v="4"/>
    <n v="2024"/>
    <d v="2024-04-15T00:00:00"/>
    <n v="175"/>
    <n v="4"/>
    <s v="sofi_checking"/>
    <n v="0"/>
  </r>
  <r>
    <n v="1484"/>
    <n v="37"/>
    <d v="2024-04-30T00:00:00"/>
    <s v="Interest earned"/>
    <n v="0.12"/>
    <m/>
    <x v="105"/>
    <x v="1"/>
    <s v="Payment_and_Interest"/>
    <x v="4"/>
    <n v="2024"/>
    <d v="2024-04-30T00:00:00"/>
    <n v="175.12"/>
    <n v="4"/>
    <s v="sofi_checking"/>
    <n v="1"/>
  </r>
  <r>
    <n v="1485"/>
    <n v="38"/>
    <d v="2024-05-01T00:00:00"/>
    <s v="From Savings - 3552"/>
    <n v="450"/>
    <m/>
    <x v="22"/>
    <x v="0"/>
    <m/>
    <x v="5"/>
    <n v="2024"/>
    <d v="2024-05-01T00:00:00"/>
    <n v="625.12"/>
    <n v="18"/>
    <s v="sofi_checking"/>
    <n v="0"/>
  </r>
  <r>
    <n v="1486"/>
    <n v="39"/>
    <d v="2024-05-09T00:00:00"/>
    <s v="DEPT EDUCATION"/>
    <n v="-442.73"/>
    <m/>
    <x v="4"/>
    <x v="1"/>
    <s v="Government"/>
    <x v="5"/>
    <n v="2024"/>
    <d v="2024-05-09T00:00:00"/>
    <n v="182.39"/>
    <n v="4"/>
    <s v="sofi_checking"/>
    <n v="0"/>
  </r>
  <r>
    <n v="1487"/>
    <n v="40"/>
    <d v="2024-05-13T00:00:00"/>
    <s v="From Savings - 3552"/>
    <n v="155"/>
    <m/>
    <x v="22"/>
    <x v="0"/>
    <m/>
    <x v="5"/>
    <n v="2024"/>
    <d v="2024-05-13T00:00:00"/>
    <n v="337.39"/>
    <n v="19"/>
    <s v="sofi_checking"/>
    <n v="0"/>
  </r>
  <r>
    <n v="1488"/>
    <n v="41"/>
    <d v="2024-05-15T00:00:00"/>
    <s v="BEST BUY"/>
    <n v="-155"/>
    <m/>
    <x v="106"/>
    <x v="1"/>
    <s v="Personal_Spending"/>
    <x v="5"/>
    <n v="2024"/>
    <d v="2024-05-15T00:00:00"/>
    <n v="182.39"/>
    <n v="5"/>
    <s v="sofi_checking"/>
    <n v="0"/>
  </r>
  <r>
    <n v="1489"/>
    <n v="42"/>
    <d v="2024-05-18T00:00:00"/>
    <s v="From Savings - 3552"/>
    <n v="1640"/>
    <m/>
    <x v="22"/>
    <x v="0"/>
    <m/>
    <x v="5"/>
    <n v="2024"/>
    <d v="2024-05-18T00:00:00"/>
    <n v="1822.39"/>
    <n v="20"/>
    <s v="sofi_checking"/>
    <n v="0"/>
  </r>
  <r>
    <n v="1490"/>
    <n v="43"/>
    <d v="2024-05-20T00:00:00"/>
    <s v="VENMO"/>
    <n v="-1633.74"/>
    <m/>
    <x v="22"/>
    <x v="0"/>
    <m/>
    <x v="5"/>
    <n v="2024"/>
    <d v="2024-05-20T00:00:00"/>
    <n v="188.65"/>
    <n v="21"/>
    <s v="sofi_checking"/>
    <n v="0"/>
  </r>
  <r>
    <n v="1491"/>
    <n v="44"/>
    <d v="2024-05-31T00:00:00"/>
    <s v="Interest earned"/>
    <n v="0.18"/>
    <m/>
    <x v="105"/>
    <x v="1"/>
    <s v="Payment_and_Interest"/>
    <x v="5"/>
    <n v="2024"/>
    <d v="2024-05-31T00:00:00"/>
    <n v="188.83"/>
    <n v="5"/>
    <s v="sofi_checking"/>
    <n v="1"/>
  </r>
  <r>
    <n v="1492"/>
    <n v="45"/>
    <d v="2024-06-01T00:00:00"/>
    <s v="From Savings - 3552"/>
    <n v="450"/>
    <m/>
    <x v="22"/>
    <x v="0"/>
    <m/>
    <x v="6"/>
    <n v="2024"/>
    <d v="2024-06-01T00:00:00"/>
    <n v="638.83000000000004"/>
    <n v="22"/>
    <s v="sofi_checking"/>
    <n v="0"/>
  </r>
  <r>
    <n v="1493"/>
    <n v="46"/>
    <d v="2024-06-11T00:00:00"/>
    <s v="DEPT EDUCATION"/>
    <n v="-442.73"/>
    <m/>
    <x v="4"/>
    <x v="1"/>
    <s v="Government"/>
    <x v="6"/>
    <n v="2024"/>
    <d v="2024-06-11T00:00:00"/>
    <n v="196.1"/>
    <n v="5"/>
    <s v="sofi_checking"/>
    <n v="0"/>
  </r>
  <r>
    <n v="1494"/>
    <n v="47"/>
    <d v="2024-06-13T00:00:00"/>
    <s v="From Savings - 3552"/>
    <n v="155"/>
    <m/>
    <x v="22"/>
    <x v="0"/>
    <m/>
    <x v="6"/>
    <n v="2024"/>
    <d v="2024-06-13T00:00:00"/>
    <n v="351.1"/>
    <n v="23"/>
    <s v="sofi_checking"/>
    <n v="0"/>
  </r>
  <r>
    <n v="1495"/>
    <n v="48"/>
    <d v="2024-06-16T00:00:00"/>
    <s v="From Savings - 3552"/>
    <n v="500"/>
    <m/>
    <x v="22"/>
    <x v="0"/>
    <m/>
    <x v="6"/>
    <n v="2024"/>
    <d v="2024-06-16T00:00:00"/>
    <n v="1311.1"/>
    <n v="24"/>
    <s v="sofi_checking"/>
    <n v="0"/>
  </r>
  <r>
    <n v="1496"/>
    <n v="49"/>
    <d v="2024-06-16T00:00:00"/>
    <s v="From Savings - 3552"/>
    <n v="200"/>
    <m/>
    <x v="22"/>
    <x v="0"/>
    <m/>
    <x v="6"/>
    <n v="2024"/>
    <d v="2024-06-16T00:00:00"/>
    <n v="1511.1"/>
    <n v="25"/>
    <s v="sofi_checking"/>
    <n v="0"/>
  </r>
  <r>
    <n v="1497"/>
    <n v="50"/>
    <d v="2024-06-16T00:00:00"/>
    <s v="From Savings - 3552"/>
    <n v="460"/>
    <m/>
    <x v="22"/>
    <x v="0"/>
    <m/>
    <x v="6"/>
    <n v="2024"/>
    <d v="2024-06-16T00:00:00"/>
    <n v="811.1"/>
    <n v="26"/>
    <s v="sofi_checking"/>
    <n v="0"/>
  </r>
  <r>
    <n v="1498"/>
    <n v="51"/>
    <d v="2024-06-17T00:00:00"/>
    <s v="BEST BUY"/>
    <n v="-155"/>
    <m/>
    <x v="106"/>
    <x v="1"/>
    <s v="Personal_Spending"/>
    <x v="6"/>
    <n v="2024"/>
    <d v="2024-06-17T00:00:00"/>
    <n v="1356.1"/>
    <n v="6"/>
    <s v="sofi_checking"/>
    <n v="0"/>
  </r>
  <r>
    <n v="1499"/>
    <n v="52"/>
    <d v="2024-06-17T00:00:00"/>
    <s v="BEST BUY"/>
    <n v="-479.69"/>
    <m/>
    <x v="106"/>
    <x v="1"/>
    <s v="Personal_Spending"/>
    <x v="6"/>
    <n v="2024"/>
    <d v="2024-06-17T00:00:00"/>
    <n v="876.41"/>
    <n v="7"/>
    <s v="sofi_checking"/>
    <n v="0"/>
  </r>
  <r>
    <n v="1500"/>
    <n v="53"/>
    <d v="2024-06-18T00:00:00"/>
    <s v="Synchrony Bank"/>
    <n v="-460"/>
    <m/>
    <x v="9"/>
    <x v="0"/>
    <m/>
    <x v="6"/>
    <n v="2024"/>
    <d v="2024-06-18T00:00:00"/>
    <n v="416.41"/>
    <n v="1"/>
    <s v="sofi_checking"/>
    <n v="0"/>
  </r>
  <r>
    <n v="1501"/>
    <n v="54"/>
    <d v="2024-06-30T00:00:00"/>
    <s v="Interest earned"/>
    <n v="0.21"/>
    <m/>
    <x v="105"/>
    <x v="1"/>
    <s v="Payment_and_Interest"/>
    <x v="6"/>
    <n v="2024"/>
    <d v="2024-06-30T00:00:00"/>
    <n v="416.62"/>
    <n v="6"/>
    <s v="sofi_checking"/>
    <n v="1"/>
  </r>
  <r>
    <n v="1502"/>
    <n v="55"/>
    <d v="2024-07-01T00:00:00"/>
    <s v="From Savings - 3552"/>
    <n v="450"/>
    <m/>
    <x v="22"/>
    <x v="0"/>
    <m/>
    <x v="7"/>
    <n v="2024"/>
    <d v="2024-07-01T00:00:00"/>
    <n v="866.62"/>
    <n v="27"/>
    <s v="sofi_checking"/>
    <n v="0"/>
  </r>
  <r>
    <n v="1503"/>
    <n v="56"/>
    <d v="2024-07-08T00:00:00"/>
    <s v="From Savings - 3552"/>
    <n v="1633.74"/>
    <m/>
    <x v="22"/>
    <x v="0"/>
    <m/>
    <x v="7"/>
    <n v="2024"/>
    <d v="2024-07-08T00:00:00"/>
    <n v="2500.36"/>
    <n v="28"/>
    <s v="sofi_checking"/>
    <n v="0"/>
  </r>
  <r>
    <n v="1504"/>
    <n v="57"/>
    <d v="2024-07-09T00:00:00"/>
    <s v="VENMO"/>
    <n v="-1633.74"/>
    <m/>
    <x v="22"/>
    <x v="0"/>
    <m/>
    <x v="7"/>
    <n v="2024"/>
    <d v="2024-07-09T00:00:00"/>
    <n v="866.62"/>
    <n v="29"/>
    <s v="sofi_checking"/>
    <n v="0"/>
  </r>
  <r>
    <n v="1505"/>
    <n v="58"/>
    <d v="2024-07-13T00:00:00"/>
    <s v="From Savings - 3552"/>
    <n v="155"/>
    <m/>
    <x v="22"/>
    <x v="0"/>
    <m/>
    <x v="7"/>
    <n v="2024"/>
    <d v="2024-07-13T00:00:00"/>
    <n v="1021.62"/>
    <n v="30"/>
    <s v="sofi_checking"/>
    <n v="0"/>
  </r>
  <r>
    <n v="1506"/>
    <n v="59"/>
    <d v="2024-07-14T00:00:00"/>
    <s v="From Savings - 3552"/>
    <n v="500"/>
    <m/>
    <x v="22"/>
    <x v="0"/>
    <m/>
    <x v="7"/>
    <n v="2024"/>
    <d v="2024-07-14T00:00:00"/>
    <n v="1521.62"/>
    <n v="31"/>
    <s v="sofi_checking"/>
    <n v="0"/>
  </r>
  <r>
    <n v="1507"/>
    <n v="60"/>
    <d v="2024-07-15T00:00:00"/>
    <s v="Synchrony Bank"/>
    <n v="-460"/>
    <m/>
    <x v="9"/>
    <x v="0"/>
    <m/>
    <x v="7"/>
    <n v="2024"/>
    <d v="2024-07-15T00:00:00"/>
    <n v="1061.6199999999999"/>
    <n v="2"/>
    <s v="sofi_checking"/>
    <n v="0"/>
  </r>
  <r>
    <n v="1508"/>
    <n v="61"/>
    <d v="2024-07-17T00:00:00"/>
    <s v="AppFolio, Inc. F"/>
    <n v="-2.4900000000000002"/>
    <m/>
    <x v="10"/>
    <x v="0"/>
    <m/>
    <x v="7"/>
    <n v="2024"/>
    <d v="2024-07-17T00:00:00"/>
    <n v="1059.1300000000001"/>
    <n v="1"/>
    <s v="sofi_checking"/>
    <n v="0"/>
  </r>
  <r>
    <n v="1509"/>
    <n v="62"/>
    <d v="2024-07-17T00:00:00"/>
    <s v="Peak Living Prop"/>
    <n v="-833.75"/>
    <m/>
    <x v="89"/>
    <x v="0"/>
    <m/>
    <x v="7"/>
    <n v="2024"/>
    <d v="2024-07-17T00:00:00"/>
    <n v="225.38"/>
    <n v="1"/>
    <s v="sofi_checking"/>
    <n v="0"/>
  </r>
  <r>
    <n v="1510"/>
    <n v="63"/>
    <d v="2024-07-21T00:00:00"/>
    <s v="From Savings - 3552"/>
    <n v="2000"/>
    <m/>
    <x v="22"/>
    <x v="0"/>
    <m/>
    <x v="7"/>
    <n v="2024"/>
    <d v="2024-07-21T00:00:00"/>
    <n v="2225.38"/>
    <n v="32"/>
    <s v="sofi_checking"/>
    <n v="0"/>
  </r>
  <r>
    <n v="1511"/>
    <n v="64"/>
    <d v="2024-07-22T00:00:00"/>
    <s v="VENMO"/>
    <n v="-2000"/>
    <m/>
    <x v="22"/>
    <x v="0"/>
    <m/>
    <x v="7"/>
    <n v="2024"/>
    <d v="2024-07-22T00:00:00"/>
    <n v="225.38"/>
    <n v="33"/>
    <s v="sofi_checking"/>
    <n v="0"/>
  </r>
  <r>
    <n v="1512"/>
    <n v="65"/>
    <d v="2024-07-23T00:00:00"/>
    <s v="From Savings - 3552"/>
    <n v="1600"/>
    <m/>
    <x v="22"/>
    <x v="0"/>
    <m/>
    <x v="7"/>
    <n v="2024"/>
    <d v="2024-07-23T00:00:00"/>
    <n v="1825.38"/>
    <n v="34"/>
    <s v="sofi_checking"/>
    <n v="0"/>
  </r>
  <r>
    <n v="1513"/>
    <n v="66"/>
    <d v="2024-07-24T00:00:00"/>
    <s v="WELLS FARGO BANK"/>
    <n v="-1600"/>
    <m/>
    <x v="22"/>
    <x v="0"/>
    <m/>
    <x v="7"/>
    <n v="2024"/>
    <d v="2024-07-24T00:00:00"/>
    <n v="225.38"/>
    <n v="35"/>
    <s v="sofi_checking"/>
    <n v="0"/>
  </r>
  <r>
    <n v="1514"/>
    <n v="67"/>
    <d v="2024-07-25T00:00:00"/>
    <s v="Zelle® Payment from Sean Lewis"/>
    <n v="5"/>
    <m/>
    <x v="22"/>
    <x v="0"/>
    <m/>
    <x v="7"/>
    <n v="2024"/>
    <d v="2024-07-25T00:00:00"/>
    <n v="230.38"/>
    <n v="36"/>
    <s v="sofi_checking"/>
    <n v="0"/>
  </r>
  <r>
    <n v="1515"/>
    <n v="68"/>
    <d v="2024-07-25T00:00:00"/>
    <s v="From Savings - 3552"/>
    <n v="900"/>
    <m/>
    <x v="22"/>
    <x v="0"/>
    <m/>
    <x v="7"/>
    <n v="2024"/>
    <d v="2024-07-25T00:00:00"/>
    <n v="1130.3800000000001"/>
    <n v="37"/>
    <s v="sofi_checking"/>
    <n v="0"/>
  </r>
  <r>
    <n v="1516"/>
    <n v="69"/>
    <d v="2024-07-25T00:00:00"/>
    <s v="Credit One Bank"/>
    <n v="-827.86"/>
    <m/>
    <x v="7"/>
    <x v="0"/>
    <m/>
    <x v="7"/>
    <n v="2024"/>
    <d v="2024-07-25T00:00:00"/>
    <n v="302.52"/>
    <n v="1"/>
    <s v="sofi_checking"/>
    <n v="0"/>
  </r>
  <r>
    <n v="1517"/>
    <n v="70"/>
    <d v="2024-07-31T00:00:00"/>
    <s v="Interest earned"/>
    <n v="0.33"/>
    <m/>
    <x v="105"/>
    <x v="1"/>
    <s v="Payment_and_Interest"/>
    <x v="7"/>
    <n v="2024"/>
    <d v="2024-07-31T00:00:00"/>
    <n v="302.85000000000002"/>
    <n v="7"/>
    <s v="sofi_checking"/>
    <n v="1"/>
  </r>
  <r>
    <n v="1518"/>
    <n v="71"/>
    <d v="2024-08-01T00:00:00"/>
    <s v="From Savings - 3552"/>
    <n v="450"/>
    <m/>
    <x v="22"/>
    <x v="0"/>
    <m/>
    <x v="8"/>
    <n v="2024"/>
    <d v="2024-08-01T00:00:00"/>
    <n v="752.85"/>
    <n v="38"/>
    <s v="sofi_checking"/>
    <n v="0"/>
  </r>
  <r>
    <n v="1519"/>
    <n v="72"/>
    <d v="2024-08-13T00:00:00"/>
    <s v="From Savings - 3552"/>
    <n v="155"/>
    <m/>
    <x v="22"/>
    <x v="0"/>
    <m/>
    <x v="8"/>
    <n v="2024"/>
    <d v="2024-08-13T00:00:00"/>
    <n v="907.85"/>
    <n v="39"/>
    <s v="sofi_checking"/>
    <n v="0"/>
  </r>
  <r>
    <n v="1520"/>
    <n v="73"/>
    <d v="2024-08-13T00:00:00"/>
    <s v="Zelle® Payment from Jayelin Lewis"/>
    <n v="50"/>
    <m/>
    <x v="94"/>
    <x v="0"/>
    <m/>
    <x v="8"/>
    <n v="2024"/>
    <d v="2024-08-13T00:00:00"/>
    <n v="957.85"/>
    <n v="1"/>
    <s v="sofi_checking"/>
    <n v="0"/>
  </r>
  <r>
    <n v="1521"/>
    <n v="74"/>
    <d v="2024-08-19T00:00:00"/>
    <s v="Synchrony Bank"/>
    <n v="-460"/>
    <m/>
    <x v="9"/>
    <x v="0"/>
    <m/>
    <x v="8"/>
    <n v="2024"/>
    <d v="2024-08-19T00:00:00"/>
    <n v="497.85"/>
    <n v="3"/>
    <s v="sofi_checking"/>
    <n v="0"/>
  </r>
  <r>
    <n v="1522"/>
    <n v="75"/>
    <d v="2024-08-19T00:00:00"/>
    <s v="VENMO"/>
    <n v="440.82"/>
    <m/>
    <x v="22"/>
    <x v="0"/>
    <m/>
    <x v="8"/>
    <n v="2024"/>
    <d v="2024-08-19T00:00:00"/>
    <n v="938.67"/>
    <n v="40"/>
    <s v="sofi_checking"/>
    <n v="0"/>
  </r>
  <r>
    <n v="1523"/>
    <n v="76"/>
    <d v="2024-08-31T00:00:00"/>
    <s v="Interest earned"/>
    <n v="0.37"/>
    <m/>
    <x v="105"/>
    <x v="1"/>
    <s v="Payment_and_Interest"/>
    <x v="8"/>
    <n v="2024"/>
    <d v="2024-08-31T00:00:00"/>
    <n v="939.04"/>
    <n v="8"/>
    <s v="sofi_checking"/>
    <n v="1"/>
  </r>
  <r>
    <n v="1524"/>
    <n v="77"/>
    <d v="2024-09-01T00:00:00"/>
    <s v="From Savings - 3552"/>
    <n v="450"/>
    <m/>
    <x v="22"/>
    <x v="0"/>
    <m/>
    <x v="9"/>
    <n v="2024"/>
    <d v="2024-09-01T00:00:00"/>
    <n v="1389.04"/>
    <n v="41"/>
    <s v="sofi_checking"/>
    <n v="0"/>
  </r>
  <r>
    <n v="1525"/>
    <n v="78"/>
    <d v="2024-09-07T00:00:00"/>
    <s v="From Savings - 3552"/>
    <n v="1633.74"/>
    <m/>
    <x v="22"/>
    <x v="0"/>
    <m/>
    <x v="9"/>
    <n v="2024"/>
    <d v="2024-09-07T00:00:00"/>
    <n v="3022.78"/>
    <n v="42"/>
    <s v="sofi_checking"/>
    <n v="0"/>
  </r>
  <r>
    <n v="1526"/>
    <n v="79"/>
    <d v="2024-09-09T00:00:00"/>
    <s v="VENMO"/>
    <n v="-1633.74"/>
    <m/>
    <x v="22"/>
    <x v="0"/>
    <m/>
    <x v="9"/>
    <n v="2024"/>
    <d v="2024-09-09T00:00:00"/>
    <n v="1389.04"/>
    <n v="43"/>
    <s v="sofi_checking"/>
    <n v="0"/>
  </r>
  <r>
    <n v="1527"/>
    <n v="80"/>
    <d v="2024-09-13T00:00:00"/>
    <s v="From Savings - 3552"/>
    <n v="155"/>
    <m/>
    <x v="22"/>
    <x v="0"/>
    <m/>
    <x v="9"/>
    <n v="2024"/>
    <d v="2024-09-13T00:00:00"/>
    <n v="1544.04"/>
    <n v="44"/>
    <s v="sofi_checking"/>
    <n v="0"/>
  </r>
  <r>
    <n v="1528"/>
    <n v="81"/>
    <d v="2024-09-23T00:00:00"/>
    <s v="VENMO"/>
    <n v="-20"/>
    <m/>
    <x v="22"/>
    <x v="0"/>
    <m/>
    <x v="9"/>
    <n v="2024"/>
    <d v="2024-09-23T00:00:00"/>
    <n v="1524.04"/>
    <n v="45"/>
    <s v="sofi_checking"/>
    <n v="0"/>
  </r>
  <r>
    <n v="1529"/>
    <n v="82"/>
    <d v="2024-09-30T00:00:00"/>
    <s v="Interest earned"/>
    <n v="0.65"/>
    <m/>
    <x v="105"/>
    <x v="1"/>
    <s v="Payment_and_Interest"/>
    <x v="9"/>
    <n v="2024"/>
    <d v="2024-09-30T00:00:00"/>
    <n v="1524.69"/>
    <n v="9"/>
    <s v="sofi_checking"/>
    <n v="1"/>
  </r>
  <r>
    <n v="1530"/>
    <n v="83"/>
    <d v="2024-10-01T00:00:00"/>
    <s v="VENMO"/>
    <n v="-100"/>
    <m/>
    <x v="22"/>
    <x v="0"/>
    <m/>
    <x v="10"/>
    <n v="2024"/>
    <d v="2024-10-01T00:00:00"/>
    <n v="1424.69"/>
    <n v="46"/>
    <s v="sofi_checking"/>
    <n v="0"/>
  </r>
  <r>
    <n v="1531"/>
    <n v="84"/>
    <d v="2024-10-01T00:00:00"/>
    <s v="From Savings - 3552"/>
    <n v="450"/>
    <m/>
    <x v="22"/>
    <x v="0"/>
    <m/>
    <x v="10"/>
    <n v="2024"/>
    <d v="2024-10-01T00:00:00"/>
    <n v="1874.69"/>
    <n v="47"/>
    <s v="sofi_checking"/>
    <n v="0"/>
  </r>
  <r>
    <n v="1532"/>
    <n v="85"/>
    <d v="2024-10-03T00:00:00"/>
    <s v="SYNCHRONY BANK"/>
    <n v="-460"/>
    <m/>
    <x v="9"/>
    <x v="0"/>
    <m/>
    <x v="10"/>
    <n v="2024"/>
    <d v="2024-10-03T00:00:00"/>
    <n v="1414.69"/>
    <n v="4"/>
    <s v="sofi_checking"/>
    <n v="0"/>
  </r>
  <r>
    <n v="1533"/>
    <n v="86"/>
    <d v="2024-10-03T00:00:00"/>
    <s v="CITY OF SM PARKPAYBYPH"/>
    <n v="-1.18"/>
    <m/>
    <x v="2"/>
    <x v="0"/>
    <m/>
    <x v="10"/>
    <n v="2024"/>
    <d v="2024-10-03T00:00:00"/>
    <n v="1413.51"/>
    <n v="1"/>
    <s v="sofi_checking"/>
    <n v="0"/>
  </r>
  <r>
    <n v="1534"/>
    <n v="87"/>
    <d v="2024-10-03T00:00:00"/>
    <s v="Roundup *CITY OF SM PARKPAYBYPH"/>
    <n v="-0.82"/>
    <m/>
    <x v="2"/>
    <x v="0"/>
    <m/>
    <x v="10"/>
    <n v="2024"/>
    <d v="2024-10-03T00:00:00"/>
    <n v="1412.69"/>
    <n v="2"/>
    <s v="sofi_checking"/>
    <n v="0"/>
  </r>
  <r>
    <n v="1535"/>
    <n v="88"/>
    <d v="2024-10-13T00:00:00"/>
    <s v="From Savings - 3552"/>
    <n v="155"/>
    <m/>
    <x v="22"/>
    <x v="0"/>
    <m/>
    <x v="10"/>
    <n v="2024"/>
    <d v="2024-10-13T00:00:00"/>
    <n v="1567.69"/>
    <n v="48"/>
    <s v="sofi_checking"/>
    <n v="0"/>
  </r>
  <r>
    <n v="1536"/>
    <n v="89"/>
    <d v="2024-10-16T00:00:00"/>
    <s v="DEPT EDUCATION"/>
    <n v="-442.73"/>
    <m/>
    <x v="4"/>
    <x v="1"/>
    <s v="Government"/>
    <x v="10"/>
    <n v="2024"/>
    <d v="2024-10-16T00:00:00"/>
    <n v="1124.96"/>
    <n v="6"/>
    <s v="sofi_checking"/>
    <n v="0"/>
  </r>
  <r>
    <n v="1537"/>
    <n v="90"/>
    <d v="2024-10-23T00:00:00"/>
    <s v="DBA Subway 52556 5255"/>
    <n v="-11.5"/>
    <m/>
    <x v="50"/>
    <x v="0"/>
    <m/>
    <x v="10"/>
    <n v="2024"/>
    <d v="2024-10-23T00:00:00"/>
    <n v="1113.46"/>
    <n v="1"/>
    <s v="sofi_checking"/>
    <n v="0"/>
  </r>
  <r>
    <n v="1538"/>
    <n v="91"/>
    <d v="2024-10-23T00:00:00"/>
    <s v="Roundup *DBA Subway 52556 5255"/>
    <n v="-0.5"/>
    <m/>
    <x v="50"/>
    <x v="0"/>
    <m/>
    <x v="10"/>
    <n v="2024"/>
    <d v="2024-10-23T00:00:00"/>
    <n v="1112.96"/>
    <n v="2"/>
    <s v="sofi_checking"/>
    <n v="0"/>
  </r>
  <r>
    <n v="1539"/>
    <n v="92"/>
    <d v="2024-10-24T00:00:00"/>
    <s v="STATE FARM RO 08"/>
    <n v="-108.56"/>
    <m/>
    <x v="61"/>
    <x v="0"/>
    <m/>
    <x v="10"/>
    <n v="2024"/>
    <d v="2024-10-24T00:00:00"/>
    <n v="1004.4"/>
    <n v="1"/>
    <s v="sofi_checking"/>
    <n v="0"/>
  </r>
  <r>
    <n v="1540"/>
    <n v="93"/>
    <d v="2024-10-25T00:00:00"/>
    <s v="TARGET T-1122"/>
    <n v="-84.38"/>
    <m/>
    <x v="36"/>
    <x v="0"/>
    <m/>
    <x v="10"/>
    <n v="2024"/>
    <d v="2024-10-25T00:00:00"/>
    <n v="920.02"/>
    <n v="1"/>
    <s v="sofi_checking"/>
    <n v="0"/>
  </r>
  <r>
    <n v="1541"/>
    <n v="94"/>
    <d v="2024-10-25T00:00:00"/>
    <s v="Roundup *TARGET T-1122"/>
    <n v="-0.62"/>
    <m/>
    <x v="36"/>
    <x v="0"/>
    <m/>
    <x v="10"/>
    <n v="2024"/>
    <d v="2024-10-25T00:00:00"/>
    <n v="919.4"/>
    <n v="2"/>
    <s v="sofi_checking"/>
    <n v="0"/>
  </r>
  <r>
    <n v="1542"/>
    <n v="95"/>
    <d v="2024-10-31T00:00:00"/>
    <s v="SAFEWAY #1547"/>
    <n v="-66.73"/>
    <m/>
    <x v="26"/>
    <x v="0"/>
    <m/>
    <x v="10"/>
    <n v="2024"/>
    <d v="2024-10-31T00:00:00"/>
    <n v="852.67"/>
    <n v="1"/>
    <s v="sofi_checking"/>
    <n v="0"/>
  </r>
  <r>
    <n v="1543"/>
    <n v="96"/>
    <d v="2024-10-31T00:00:00"/>
    <s v="Roundup *SAFEWAY #1547"/>
    <n v="-0.27"/>
    <m/>
    <x v="26"/>
    <x v="0"/>
    <m/>
    <x v="10"/>
    <n v="2024"/>
    <d v="2024-10-31T00:00:00"/>
    <n v="852.4"/>
    <n v="2"/>
    <s v="sofi_checking"/>
    <n v="0"/>
  </r>
  <r>
    <n v="1544"/>
    <n v="97"/>
    <d v="2024-10-31T00:00:00"/>
    <s v="Interest earned"/>
    <n v="0.53"/>
    <m/>
    <x v="105"/>
    <x v="1"/>
    <s v="Payment_and_Interest"/>
    <x v="10"/>
    <n v="2024"/>
    <d v="2024-10-31T00:00:00"/>
    <n v="852.93"/>
    <n v="10"/>
    <s v="sofi_checking"/>
    <n v="1"/>
  </r>
  <r>
    <n v="1545"/>
    <n v="98"/>
    <d v="2024-11-01T00:00:00"/>
    <s v="From Savings - 3552"/>
    <n v="450"/>
    <m/>
    <x v="22"/>
    <x v="0"/>
    <m/>
    <x v="11"/>
    <n v="2024"/>
    <d v="2024-11-01T00:00:00"/>
    <n v="1302.93"/>
    <n v="49"/>
    <s v="sofi_checking"/>
    <n v="0"/>
  </r>
  <r>
    <n v="1546"/>
    <n v="99"/>
    <d v="2024-11-04T00:00:00"/>
    <s v="SYNCHRONY BANK"/>
    <n v="-460"/>
    <m/>
    <x v="9"/>
    <x v="0"/>
    <m/>
    <x v="11"/>
    <n v="2024"/>
    <d v="2024-11-04T00:00:00"/>
    <n v="842.93"/>
    <n v="5"/>
    <s v="sofi_checking"/>
    <n v="0"/>
  </r>
  <r>
    <n v="1547"/>
    <n v="100"/>
    <d v="2024-11-06T00:00:00"/>
    <s v="LIFE CAFE #283"/>
    <n v="-29.48"/>
    <m/>
    <x v="50"/>
    <x v="0"/>
    <m/>
    <x v="11"/>
    <n v="2024"/>
    <d v="2024-11-06T00:00:00"/>
    <n v="813.45"/>
    <n v="3"/>
    <s v="sofi_checking"/>
    <n v="0"/>
  </r>
  <r>
    <n v="1548"/>
    <n v="101"/>
    <d v="2024-11-06T00:00:00"/>
    <s v="Roundup *LIFE CAFE #283"/>
    <n v="-0.52"/>
    <m/>
    <x v="50"/>
    <x v="0"/>
    <m/>
    <x v="11"/>
    <n v="2024"/>
    <d v="2024-11-06T00:00:00"/>
    <n v="812.93"/>
    <n v="4"/>
    <s v="sofi_checking"/>
    <n v="0"/>
  </r>
  <r>
    <n v="1549"/>
    <n v="102"/>
    <d v="2024-11-13T00:00:00"/>
    <s v="From Savings - 3552"/>
    <n v="155"/>
    <m/>
    <x v="22"/>
    <x v="0"/>
    <m/>
    <x v="11"/>
    <n v="2024"/>
    <d v="2024-11-13T00:00:00"/>
    <n v="967.93"/>
    <n v="50"/>
    <s v="sofi_checking"/>
    <n v="0"/>
  </r>
  <r>
    <n v="1550"/>
    <n v="103"/>
    <d v="2024-11-14T00:00:00"/>
    <s v="LIFE CAFE #283"/>
    <n v="-14.73"/>
    <m/>
    <x v="50"/>
    <x v="0"/>
    <m/>
    <x v="11"/>
    <n v="2024"/>
    <d v="2024-11-14T00:00:00"/>
    <n v="953.2"/>
    <n v="5"/>
    <s v="sofi_checking"/>
    <n v="0"/>
  </r>
  <r>
    <n v="1551"/>
    <n v="104"/>
    <d v="2024-11-14T00:00:00"/>
    <s v="Roundup *LIFE CAFE #283"/>
    <n v="-0.27"/>
    <m/>
    <x v="50"/>
    <x v="0"/>
    <m/>
    <x v="11"/>
    <n v="2024"/>
    <d v="2024-11-14T00:00:00"/>
    <n v="952.93"/>
    <n v="6"/>
    <s v="sofi_checking"/>
    <n v="0"/>
  </r>
  <r>
    <n v="1552"/>
    <n v="105"/>
    <d v="2024-11-15T00:00:00"/>
    <s v="STATE FARM RO 27"/>
    <n v="-108.56"/>
    <m/>
    <x v="61"/>
    <x v="0"/>
    <m/>
    <x v="11"/>
    <n v="2024"/>
    <d v="2024-11-15T00:00:00"/>
    <n v="844.37"/>
    <n v="2"/>
    <s v="sofi_checking"/>
    <n v="0"/>
  </r>
  <r>
    <n v="1553"/>
    <n v="106"/>
    <d v="2024-11-16T00:00:00"/>
    <s v="From Savings - 3552"/>
    <n v="1634"/>
    <m/>
    <x v="22"/>
    <x v="0"/>
    <m/>
    <x v="11"/>
    <n v="2024"/>
    <d v="2024-11-16T00:00:00"/>
    <n v="2478.37"/>
    <n v="51"/>
    <s v="sofi_checking"/>
    <n v="0"/>
  </r>
  <r>
    <n v="1554"/>
    <n v="107"/>
    <d v="2024-11-16T00:00:00"/>
    <s v="From Savings - 3552"/>
    <n v="3000"/>
    <m/>
    <x v="22"/>
    <x v="0"/>
    <m/>
    <x v="11"/>
    <n v="2024"/>
    <d v="2024-11-16T00:00:00"/>
    <n v="5478.37"/>
    <n v="52"/>
    <s v="sofi_checking"/>
    <n v="0"/>
  </r>
  <r>
    <n v="1555"/>
    <n v="108"/>
    <d v="2024-11-17T00:00:00"/>
    <s v="Roundup *LIFE CAFE #283"/>
    <n v="-0.75"/>
    <m/>
    <x v="50"/>
    <x v="0"/>
    <m/>
    <x v="11"/>
    <n v="2024"/>
    <d v="2024-11-17T00:00:00"/>
    <n v="5468.37"/>
    <n v="7"/>
    <s v="sofi_checking"/>
    <n v="0"/>
  </r>
  <r>
    <n v="1556"/>
    <n v="109"/>
    <d v="2024-11-17T00:00:00"/>
    <s v="LIFE CAFE #283"/>
    <n v="-9.25"/>
    <m/>
    <x v="50"/>
    <x v="0"/>
    <m/>
    <x v="11"/>
    <n v="2024"/>
    <d v="2024-11-17T00:00:00"/>
    <n v="5469.12"/>
    <n v="8"/>
    <s v="sofi_checking"/>
    <n v="0"/>
  </r>
  <r>
    <n v="1557"/>
    <n v="110"/>
    <d v="2024-11-18T00:00:00"/>
    <s v="VENMO"/>
    <n v="-1633.74"/>
    <m/>
    <x v="22"/>
    <x v="0"/>
    <m/>
    <x v="11"/>
    <n v="2024"/>
    <d v="2024-11-18T00:00:00"/>
    <n v="3834.63"/>
    <n v="53"/>
    <s v="sofi_checking"/>
    <n v="0"/>
  </r>
  <r>
    <n v="1558"/>
    <n v="111"/>
    <d v="2024-11-18T00:00:00"/>
    <s v="VENMO"/>
    <n v="-3000"/>
    <m/>
    <x v="22"/>
    <x v="0"/>
    <m/>
    <x v="11"/>
    <n v="2024"/>
    <d v="2024-11-18T00:00:00"/>
    <n v="834.63"/>
    <n v="54"/>
    <s v="sofi_checking"/>
    <n v="0"/>
  </r>
  <r>
    <n v="1559"/>
    <n v="112"/>
    <d v="2024-11-19T00:00:00"/>
    <s v="From Savings - 3552"/>
    <n v="800"/>
    <m/>
    <x v="22"/>
    <x v="0"/>
    <m/>
    <x v="11"/>
    <n v="2024"/>
    <d v="2024-11-19T00:00:00"/>
    <n v="1634.63"/>
    <n v="55"/>
    <s v="sofi_checking"/>
    <n v="0"/>
  </r>
  <r>
    <n v="1560"/>
    <n v="113"/>
    <d v="2024-11-30T00:00:00"/>
    <s v="Interest earned"/>
    <n v="0.62"/>
    <m/>
    <x v="105"/>
    <x v="1"/>
    <s v="Payment_and_Interest"/>
    <x v="11"/>
    <n v="2024"/>
    <d v="2024-11-30T00:00:00"/>
    <n v="1635.25"/>
    <n v="11"/>
    <s v="sofi_checking"/>
    <n v="1"/>
  </r>
  <r>
    <n v="1561"/>
    <n v="114"/>
    <d v="2024-12-01T00:00:00"/>
    <s v="From Savings - 3552"/>
    <n v="450"/>
    <m/>
    <x v="22"/>
    <x v="0"/>
    <m/>
    <x v="12"/>
    <n v="2024"/>
    <d v="2024-12-01T00:00:00"/>
    <n v="2085.25"/>
    <n v="56"/>
    <s v="sofi_checking"/>
    <n v="0"/>
  </r>
  <r>
    <n v="1562"/>
    <n v="115"/>
    <d v="2024-12-03T00:00:00"/>
    <s v="SYNCHRONY BANK"/>
    <n v="-460"/>
    <m/>
    <x v="9"/>
    <x v="0"/>
    <m/>
    <x v="12"/>
    <n v="2024"/>
    <d v="2024-12-03T00:00:00"/>
    <n v="1625.25"/>
    <n v="6"/>
    <s v="sofi_checking"/>
    <n v="0"/>
  </r>
  <r>
    <n v="1563"/>
    <n v="116"/>
    <d v="2024-12-13T00:00:00"/>
    <s v="From Savings - 3552"/>
    <n v="155"/>
    <m/>
    <x v="22"/>
    <x v="0"/>
    <m/>
    <x v="12"/>
    <n v="2024"/>
    <d v="2024-12-13T00:00:00"/>
    <n v="1780.25"/>
    <n v="57"/>
    <s v="sofi_checking"/>
    <n v="0"/>
  </r>
  <r>
    <n v="1564"/>
    <n v="117"/>
    <d v="2024-12-13T00:00:00"/>
    <s v="From Savings - 3552"/>
    <n v="1132"/>
    <m/>
    <x v="22"/>
    <x v="0"/>
    <m/>
    <x v="12"/>
    <n v="2024"/>
    <d v="2024-12-13T00:00:00"/>
    <n v="2912.25"/>
    <n v="58"/>
    <s v="sofi_checking"/>
    <n v="0"/>
  </r>
  <r>
    <n v="1565"/>
    <n v="118"/>
    <d v="2024-12-16T00:00:00"/>
    <s v="Synchrony Bank"/>
    <n v="-1131.94"/>
    <m/>
    <x v="9"/>
    <x v="0"/>
    <m/>
    <x v="12"/>
    <n v="2024"/>
    <d v="2024-12-16T00:00:00"/>
    <n v="1780.31"/>
    <n v="7"/>
    <s v="sofi_checking"/>
    <n v="0"/>
  </r>
  <r>
    <n v="1566"/>
    <n v="119"/>
    <d v="2024-12-17T00:00:00"/>
    <s v="STATE FARM RO 27"/>
    <n v="-108.56"/>
    <m/>
    <x v="61"/>
    <x v="0"/>
    <m/>
    <x v="12"/>
    <n v="2024"/>
    <d v="2024-12-17T00:00:00"/>
    <n v="1671.75"/>
    <n v="3"/>
    <s v="sofi_checking"/>
    <n v="0"/>
  </r>
  <r>
    <n v="1567"/>
    <n v="120"/>
    <d v="2024-12-20T00:00:00"/>
    <s v="DISCOVER CARD"/>
    <n v="-500"/>
    <m/>
    <x v="22"/>
    <x v="0"/>
    <m/>
    <x v="12"/>
    <n v="2024"/>
    <d v="2024-12-20T00:00:00"/>
    <n v="1171.75"/>
    <n v="59"/>
    <s v="sofi_checking"/>
    <n v="0"/>
  </r>
  <r>
    <n v="1568"/>
    <n v="121"/>
    <d v="2024-12-27T00:00:00"/>
    <s v="Zelle® Payment from Kenny Thai"/>
    <n v="30"/>
    <m/>
    <x v="111"/>
    <x v="0"/>
    <m/>
    <x v="12"/>
    <n v="2024"/>
    <d v="2024-12-27T00:00:00"/>
    <n v="1201.75"/>
    <n v="1"/>
    <s v="sofi_checking"/>
    <n v="0"/>
  </r>
  <r>
    <n v="1569"/>
    <n v="122"/>
    <d v="2024-12-31T00:00:00"/>
    <s v="Interest earned"/>
    <n v="0.68"/>
    <m/>
    <x v="105"/>
    <x v="1"/>
    <s v="Payment_and_Interest"/>
    <x v="12"/>
    <n v="2024"/>
    <d v="2024-12-31T00:00:00"/>
    <n v="1202.43"/>
    <n v="12"/>
    <s v="sofi_checking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B065EC-5297-402B-9A45-3E0407AC63FC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31" firstHeaderRow="1" firstDataRow="2" firstDataCol="1" rowPageCount="1" colPageCount="1"/>
  <pivotFields count="16">
    <pivotField showAll="0"/>
    <pivotField showAll="0"/>
    <pivotField numFmtId="166" showAll="0"/>
    <pivotField showAll="0"/>
    <pivotField dataField="1" showAll="0"/>
    <pivotField showAll="0"/>
    <pivotField axis="axisRow" showAll="0">
      <items count="114">
        <item x="66"/>
        <item x="62"/>
        <item x="64"/>
        <item x="48"/>
        <item x="46"/>
        <item x="17"/>
        <item x="59"/>
        <item x="0"/>
        <item x="34"/>
        <item x="9"/>
        <item x="14"/>
        <item x="30"/>
        <item x="56"/>
        <item x="44"/>
        <item x="68"/>
        <item x="45"/>
        <item x="77"/>
        <item x="71"/>
        <item x="74"/>
        <item x="39"/>
        <item x="69"/>
        <item x="13"/>
        <item x="67"/>
        <item x="42"/>
        <item x="36"/>
        <item x="5"/>
        <item x="50"/>
        <item x="18"/>
        <item x="70"/>
        <item x="76"/>
        <item x="1"/>
        <item x="47"/>
        <item x="80"/>
        <item x="26"/>
        <item x="73"/>
        <item x="23"/>
        <item x="49"/>
        <item x="41"/>
        <item x="78"/>
        <item x="108"/>
        <item x="3"/>
        <item x="105"/>
        <item x="65"/>
        <item x="110"/>
        <item x="16"/>
        <item x="106"/>
        <item x="15"/>
        <item x="24"/>
        <item x="54"/>
        <item x="43"/>
        <item x="53"/>
        <item x="72"/>
        <item x="63"/>
        <item x="10"/>
        <item x="79"/>
        <item x="27"/>
        <item x="60"/>
        <item x="33"/>
        <item x="38"/>
        <item x="12"/>
        <item x="2"/>
        <item x="51"/>
        <item x="55"/>
        <item x="31"/>
        <item x="35"/>
        <item x="6"/>
        <item x="109"/>
        <item x="40"/>
        <item x="81"/>
        <item x="104"/>
        <item x="52"/>
        <item x="32"/>
        <item x="61"/>
        <item x="4"/>
        <item x="57"/>
        <item x="22"/>
        <item m="1" x="112"/>
        <item x="8"/>
        <item x="37"/>
        <item x="107"/>
        <item x="83"/>
        <item x="75"/>
        <item x="7"/>
        <item x="11"/>
        <item x="19"/>
        <item x="20"/>
        <item x="21"/>
        <item x="25"/>
        <item x="58"/>
        <item x="82"/>
        <item x="84"/>
        <item x="85"/>
        <item x="86"/>
        <item x="87"/>
        <item x="88"/>
        <item x="89"/>
        <item x="90"/>
        <item x="91"/>
        <item x="92"/>
        <item x="94"/>
        <item x="28"/>
        <item x="29"/>
        <item x="93"/>
        <item x="95"/>
        <item x="96"/>
        <item x="97"/>
        <item x="98"/>
        <item x="99"/>
        <item x="100"/>
        <item x="101"/>
        <item x="102"/>
        <item x="103"/>
        <item x="11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axis="axisCol" numFmtId="14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numFmtId="14" showAll="0"/>
    <pivotField showAll="0"/>
    <pivotField showAll="0"/>
    <pivotField showAll="0"/>
    <pivotField showAll="0"/>
  </pivotFields>
  <rowFields count="1">
    <field x="6"/>
  </rowFields>
  <rowItems count="27">
    <i>
      <x/>
    </i>
    <i>
      <x v="4"/>
    </i>
    <i>
      <x v="8"/>
    </i>
    <i>
      <x v="9"/>
    </i>
    <i>
      <x v="10"/>
    </i>
    <i>
      <x v="11"/>
    </i>
    <i>
      <x v="23"/>
    </i>
    <i>
      <x v="32"/>
    </i>
    <i>
      <x v="36"/>
    </i>
    <i>
      <x v="37"/>
    </i>
    <i>
      <x v="41"/>
    </i>
    <i>
      <x v="44"/>
    </i>
    <i>
      <x v="45"/>
    </i>
    <i>
      <x v="48"/>
    </i>
    <i>
      <x v="57"/>
    </i>
    <i>
      <x v="63"/>
    </i>
    <i>
      <x v="64"/>
    </i>
    <i>
      <x v="66"/>
    </i>
    <i>
      <x v="71"/>
    </i>
    <i>
      <x v="72"/>
    </i>
    <i>
      <x v="73"/>
    </i>
    <i>
      <x v="79"/>
    </i>
    <i>
      <x v="89"/>
    </i>
    <i>
      <x v="91"/>
    </i>
    <i>
      <x v="97"/>
    </i>
    <i>
      <x v="109"/>
    </i>
    <i t="grand">
      <x/>
    </i>
  </rowItems>
  <colFields count="1">
    <field x="9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1">
    <pageField fld="7" item="1" hier="-1"/>
  </pageFields>
  <dataFields count="1">
    <dataField name="Sum of Amount" fld="4" baseField="0" baseItem="0" numFmtId="167"/>
  </dataFields>
  <formats count="2">
    <format dxfId="1">
      <pivotArea field="6" grandCol="1" collapsedLevelsAreSubtotals="1" axis="axisRow" fieldPosition="0">
        <references count="1">
          <reference field="6" count="25">
            <x v="0"/>
            <x v="4"/>
            <x v="8"/>
            <x v="9"/>
            <x v="10"/>
            <x v="11"/>
            <x v="23"/>
            <x v="32"/>
            <x v="36"/>
            <x v="37"/>
            <x v="41"/>
            <x v="44"/>
            <x v="45"/>
            <x v="48"/>
            <x v="57"/>
            <x v="63"/>
            <x v="64"/>
            <x v="66"/>
            <x v="71"/>
            <x v="72"/>
            <x v="73"/>
            <x v="79"/>
            <x v="89"/>
            <x v="91"/>
            <x v="97"/>
          </reference>
        </references>
      </pivotArea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12" c="12">
    <v t="s"/>
    <v t="s">Column1</v>
    <v t="s">ORIG_INDEX</v>
    <v t="s">Trans_Date</v>
    <v t="s">Description</v>
    <v t="s">Amount</v>
    <v t="s">...</v>
    <v t="s">Sort_Date</v>
    <v t="s">CumAmount</v>
    <v t="s">Counter</v>
    <v t="s">Account</v>
    <v t="s">Last_balance</v>
    <v>0</v>
    <v>0</v>
    <v>0</v>
    <v t="r">0</v>
    <v t="s">Balance</v>
    <v>616.53</v>
    <v t="s">...</v>
    <v t="r">0</v>
    <v>616.53</v>
    <v>1</v>
    <v t="s">wells_fargo_checking</v>
    <v>1</v>
    <v>1</v>
    <v>1</v>
    <v>1</v>
    <v t="r">1</v>
    <v t="s">PURCHASE AUTHORIZED ON 01/01 A&amp;A GAS BURLINGAME CA P584001656812755 CARD 1081</v>
    <v>-47.14</v>
    <v t="s">...</v>
    <v t="r">1</v>
    <v>569.39</v>
    <v>1</v>
    <v t="s">wells_fargo_checking</v>
    <v>0</v>
    <v>2</v>
    <v>2</v>
    <v>2</v>
    <v t="r">1</v>
    <v t="s">PURCHASE AUTHORIZED ON 12/30 REDWOOD CITY PARKI REDWOOD CITY CA S303364838418587 CARD 1081</v>
    <v>-0.5</v>
    <v t="s">...</v>
    <v t="r">1</v>
    <v>568.89</v>
    <v>1</v>
    <v t="s">wells_fargo_checking</v>
    <v>0</v>
    <v>3</v>
    <v>3</v>
    <v>3</v>
    <v t="r">2</v>
    <v t="s">PURCHASE AUTHORIZED ON 01/11 ARCO#00524MEHRZ MILL VALLEY CA P000000381980594 CARD 1081</v>
    <v>-33.17</v>
    <v t="s">...</v>
    <v t="r">2</v>
    <v>535.72</v>
    <v>2</v>
    <v t="s">wells_fargo_checking</v>
    <v>0</v>
    <v>4</v>
    <v>4</v>
    <v>4</v>
    <v t="r">2</v>
    <v t="s">PURCHASE AUTHORIZED ON 01/11 ARCO#00524MEHRZ MILL VALLEY CA P000000181526744 CARD 1081</v>
    <v>-12.06</v>
    <v t="s">...</v>
    <v t="r">2</v>
    <v>523.66000000000008</v>
    <v>3</v>
    <v t="s">wells_fargo_checking</v>
    <v>0</v>
    <v t="s">...</v>
    <v t="s">...</v>
    <v t="s">...</v>
    <v t="s">...</v>
    <v t="s">...</v>
    <v t="s">...</v>
    <v t="s">...</v>
    <v t="s">...</v>
    <v t="s">...</v>
    <v t="s">...</v>
    <v t="s">...</v>
    <v t="s">...</v>
    <v>1565</v>
    <v>1565</v>
    <v>118</v>
    <v t="r">3</v>
    <v t="s">Synchrony Bank</v>
    <v>-1131.94</v>
    <v t="s">...</v>
    <v t="r">3</v>
    <v>1780.31</v>
    <v>7</v>
    <v t="s">sofi_checking</v>
    <v>0</v>
    <v>1566</v>
    <v>1566</v>
    <v>119</v>
    <v t="r">4</v>
    <v t="s">STATE FARM RO 27</v>
    <v>-108.56</v>
    <v t="s">...</v>
    <v t="r">4</v>
    <v>1671.75</v>
    <v>3</v>
    <v t="s">sofi_checking</v>
    <v>0</v>
    <v>1567</v>
    <v>1567</v>
    <v>120</v>
    <v t="r">5</v>
    <v t="s">DISCOVER CARD</v>
    <v>-500</v>
    <v t="s">...</v>
    <v t="r">5</v>
    <v>1171.75</v>
    <v>59</v>
    <v t="s">sofi_checking</v>
    <v>0</v>
    <v>1568</v>
    <v>1568</v>
    <v>121</v>
    <v t="r">6</v>
    <v t="s">Zelle® Payment from Kenny Thai</v>
    <v>30</v>
    <v t="s">...</v>
    <v t="r">6</v>
    <v>1201.75</v>
    <v>1</v>
    <v t="s">sofi_checking</v>
    <v>0</v>
    <v>1569</v>
    <v>1569</v>
    <v>122</v>
    <v t="r">7</v>
    <v t="s">Interest earned</v>
    <v>0.68</v>
    <v t="s">...</v>
    <v t="r">7</v>
    <v>1202.43</v>
    <v>12</v>
    <v t="s">sofi_checking</v>
    <v>1</v>
  </a>
</arrayData>
</file>

<file path=xl/richData/rdrichvalue.xml><?xml version="1.0" encoding="utf-8"?>
<rvData xmlns="http://schemas.microsoft.com/office/spreadsheetml/2017/richdata" count="11">
  <rv s="0">
    <fb>44927</fb>
    <v>2</v>
  </rv>
  <rv s="0">
    <fb>45293</fb>
    <v>2</v>
  </rv>
  <rv s="0">
    <fb>45302</fb>
    <v>2</v>
  </rv>
  <rv s="0">
    <fb>45642</fb>
    <v>2</v>
  </rv>
  <rv s="0">
    <fb>45643</fb>
    <v>2</v>
  </rv>
  <rv s="0">
    <fb>45646</fb>
    <v>2</v>
  </rv>
  <rv s="0">
    <fb>45653</fb>
    <v>2</v>
  </rv>
  <rv s="0">
    <fb>45657</fb>
    <v>2</v>
  </rv>
  <rv s="1">
    <v>0</v>
  </rv>
  <rv s="2">
    <v>DataFrame</v>
    <v>1</v>
    <v>8</v>
  </rv>
  <rv s="3">
    <v>&lt;class 'pandas.core.frame.DataFrame'&gt;</v>
    <v>DataFrame</v>
    <v xml:space="preserve">      Column1  ORIG_INDEX Trans_Date  \
0           0           0 2023-01-01   
1           1           1 2024-01-02   
2           2           2 2024-01-02   
3           3           3 2024-01-11   
4           4           4 2024-01-11   
...       .....</v>
    <v>9</v>
    <v>3</v>
  </rv>
</rvData>
</file>

<file path=xl/richData/rdrichvaluestructure.xml><?xml version="1.0" encoding="utf-8"?>
<rvStructures xmlns="http://schemas.microsoft.com/office/spreadsheetml/2017/richdata" count="4">
  <s t="_formattednumber">
    <k n="_Format" t="spb"/>
  </s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4">
    <spb s="0">
      <v>1570</v>
      <v>16</v>
      <v>DataFrame</v>
      <v>arrayPreview</v>
      <v>1</v>
    </spb>
    <spb s="1">
      <v>0</v>
    </spb>
    <spb s="2">
      <v>1</v>
    </spb>
    <spb s="3">
      <v>https://www.anaconda.com/excel</v>
      <v>https://res.cdn.office.net/officepysvc/prod-preview/anacondalogo.png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4">
  <s>
    <k n="drw" t="i"/>
    <k n="dcol" t="i"/>
    <k n="name" t="s"/>
    <k n="array" t="s"/>
    <k n="headers" t="b"/>
  </s>
  <s>
    <k n="ArrayCardInfo" t="spb"/>
  </s>
  <s>
    <k n="_Self" t="i"/>
  </s>
  <s>
    <k n="link" t="s"/>
    <k n="logo" t="s"/>
    <k n="na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19" formatCode="m/d/yyyy"/>
    </x:dxf>
  </dxfs>
  <richStyles>
    <rSty dxfid="0"/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76586F-661D-42D9-B476-4D2ADF79F978}" name="Combined_Accounts" displayName="Combined_Accounts" ref="A4:P1574" totalsRowShown="0">
  <autoFilter ref="A4:P1574" xr:uid="{BA76586F-661D-42D9-B476-4D2ADF79F978}">
    <filterColumn colId="6">
      <filters>
        <filter val="la_fitness"/>
      </filters>
    </filterColumn>
  </autoFilter>
  <sortState xmlns:xlrd2="http://schemas.microsoft.com/office/spreadsheetml/2017/richdata2" ref="A777:P1125">
    <sortCondition descending="1" ref="C4:C1125"/>
  </sortState>
  <tableColumns count="16">
    <tableColumn id="16" xr3:uid="{B2967BFF-9CC5-4823-8158-1515FCC0F61F}" name="Column1" dataDxfId="13"/>
    <tableColumn id="17" xr3:uid="{55D7C1BF-3615-4D52-B56D-772A5B9ACA39}" name="ORIG_INDEX"/>
    <tableColumn id="3" xr3:uid="{9CDC102E-161F-4336-9BBC-B29AA603A4D3}" name="Trans_Date" dataDxfId="12"/>
    <tableColumn id="4" xr3:uid="{B1527D66-B9ED-4800-9098-CEA39440DEEE}" name="Description" dataDxfId="11"/>
    <tableColumn id="5" xr3:uid="{F69B290F-D52E-4D5A-8727-9C379FF7E0FF}" name="Amount" dataDxfId="10"/>
    <tableColumn id="6" xr3:uid="{F984C1DC-98EC-4646-931C-90415117376D}" name="Category" dataDxfId="9"/>
    <tableColumn id="7" xr3:uid="{D12C84B8-FD4A-4795-B601-A809A1D58394}" name="Short_Desc" dataDxfId="8"/>
    <tableColumn id="8" xr3:uid="{7668ECF4-CE17-4D58-9AB6-D3B43E9DBC20}" name="Reoccurring_Flag" dataDxfId="7"/>
    <tableColumn id="9" xr3:uid="{80469B22-9901-4EDA-9E1B-719B83D6A24C}" name="Category_2" dataDxfId="6"/>
    <tableColumn id="10" xr3:uid="{5504AC77-16B7-4B52-B330-0DA04AD61468}" name="Date" dataDxfId="5"/>
    <tableColumn id="11" xr3:uid="{B5908B83-81DA-4624-808B-E16C82EEC6D9}" name="Year"/>
    <tableColumn id="12" xr3:uid="{492AFD0E-9E6A-4EFB-B72C-BB23FFF875B5}" name="Sort_Date" dataDxfId="4"/>
    <tableColumn id="13" xr3:uid="{B30613E9-FEFF-4277-BAB9-ABCDD96D5C1A}" name="CumAmount"/>
    <tableColumn id="14" xr3:uid="{4FB6CB7D-4937-4A7B-AF03-B856E7095D6A}" name="Counter"/>
    <tableColumn id="15" xr3:uid="{AD23C1E6-076F-4BEC-8026-9C27D89C1679}" name="Account" dataDxfId="3"/>
    <tableColumn id="18" xr3:uid="{7882045D-F35B-4B92-9F55-96FBF66B8D87}" name="Last_balance" dataDxfId="2">
      <calculatedColumnFormula>IF(J5&lt;&gt;J6, 1, 0)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  <wetp:taskpane dockstate="right" visibility="0" width="1" row="8">
    <wetp:webextensionref xmlns:r="http://schemas.openxmlformats.org/officeDocument/2006/relationships" r:id="rId2"/>
  </wetp:taskpane>
  <wetp:taskpane dockstate="right" visibility="0" width="1" row="9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757C920F-8EA2-4569-9884-677C6F48993F}">
  <we:reference id="wa104380862" version="3.0.0.0" store="en-US" storeType="OMEX"/>
  <we:alternateReferences>
    <we:reference id="WA104380862" version="3.0.0.0" store="WA104380862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DB384F4F-DBE3-418C-A184-440DFB9347C0}">
  <we:reference id="wa200003696" version="1.3.0.0" store="en-US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429AE4E8-9828-499B-8FA5-9D253D15818B}&quot;}"/>
  </we:properties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E8FD7E5B-FFAF-42D6-B039-36416E37E1CF}">
  <we:reference id="wa200006518" version="1.0.3.0" store="en-US" storeType="OMEX"/>
  <we:alternateReferences>
    <we:reference id="WA200006518" version="1.0.3.0" store="WA200006518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79E86-A425-4B5D-9974-CEE4DA12A576}">
  <dimension ref="A1:T1574"/>
  <sheetViews>
    <sheetView topLeftCell="D1" workbookViewId="0">
      <selection activeCell="G1579" sqref="G1579"/>
    </sheetView>
  </sheetViews>
  <sheetFormatPr defaultRowHeight="15" x14ac:dyDescent="0.25"/>
  <cols>
    <col min="1" max="1" width="8.28515625" bestFit="1" customWidth="1"/>
    <col min="2" max="2" width="14.5703125" bestFit="1" customWidth="1"/>
    <col min="3" max="3" width="13.42578125" bestFit="1" customWidth="1"/>
    <col min="4" max="4" width="103.7109375" customWidth="1"/>
    <col min="5" max="5" width="10.28515625" bestFit="1" customWidth="1"/>
    <col min="6" max="6" width="24.85546875" bestFit="1" customWidth="1"/>
    <col min="7" max="7" width="15.28515625" bestFit="1" customWidth="1"/>
    <col min="8" max="8" width="18.7109375" bestFit="1" customWidth="1"/>
    <col min="9" max="9" width="24" bestFit="1" customWidth="1"/>
    <col min="10" max="10" width="10.42578125" bestFit="1" customWidth="1"/>
    <col min="11" max="11" width="7.28515625" bestFit="1" customWidth="1"/>
    <col min="12" max="12" width="12.140625" bestFit="1" customWidth="1"/>
    <col min="13" max="13" width="14.5703125" bestFit="1" customWidth="1"/>
    <col min="14" max="14" width="10.7109375" bestFit="1" customWidth="1"/>
    <col min="15" max="15" width="20" bestFit="1" customWidth="1"/>
    <col min="16" max="16" width="14.85546875" bestFit="1" customWidth="1"/>
    <col min="17" max="17" width="20" bestFit="1" customWidth="1"/>
    <col min="18" max="18" width="11.28515625" bestFit="1" customWidth="1"/>
  </cols>
  <sheetData>
    <row r="1" spans="1:20" x14ac:dyDescent="0.25">
      <c r="A1" t="e" cm="1" vm="1">
        <f t="array" ref="A1">_xlfn._xlws.PY(0,1,Combined_Accounts[#All])</f>
        <v>#VALUE!</v>
      </c>
    </row>
    <row r="4" spans="1:20" x14ac:dyDescent="0.25">
      <c r="A4" t="s">
        <v>798</v>
      </c>
      <c r="B4" s="8" t="s">
        <v>333</v>
      </c>
      <c r="C4" s="8" t="s">
        <v>799</v>
      </c>
      <c r="D4" s="8" t="s">
        <v>0</v>
      </c>
      <c r="E4" s="8" t="s">
        <v>1</v>
      </c>
      <c r="F4" s="8" t="s">
        <v>2</v>
      </c>
      <c r="G4" s="8" t="s">
        <v>3</v>
      </c>
      <c r="H4" s="8" t="s">
        <v>4</v>
      </c>
      <c r="I4" s="8" t="s">
        <v>5</v>
      </c>
      <c r="J4" s="8" t="s">
        <v>6</v>
      </c>
      <c r="K4" s="8" t="s">
        <v>7</v>
      </c>
      <c r="L4" s="8" t="s">
        <v>8</v>
      </c>
      <c r="M4" s="8" t="s">
        <v>9</v>
      </c>
      <c r="N4" s="8" t="s">
        <v>10</v>
      </c>
      <c r="O4" s="8" t="s">
        <v>11</v>
      </c>
      <c r="P4" t="s">
        <v>361</v>
      </c>
    </row>
    <row r="5" spans="1:20" hidden="1" x14ac:dyDescent="0.25">
      <c r="A5" s="8">
        <v>0</v>
      </c>
      <c r="B5">
        <v>0</v>
      </c>
      <c r="C5" s="27">
        <v>44927</v>
      </c>
      <c r="D5" t="s">
        <v>86</v>
      </c>
      <c r="E5">
        <v>616.53</v>
      </c>
      <c r="G5" t="s">
        <v>86</v>
      </c>
      <c r="H5" t="s">
        <v>14</v>
      </c>
      <c r="I5" t="s">
        <v>86</v>
      </c>
      <c r="J5" s="27">
        <v>44927</v>
      </c>
      <c r="K5">
        <v>2023</v>
      </c>
      <c r="L5" s="27">
        <v>44927</v>
      </c>
      <c r="M5">
        <v>616.53</v>
      </c>
      <c r="N5">
        <v>1</v>
      </c>
      <c r="O5" t="s">
        <v>16</v>
      </c>
      <c r="P5">
        <f t="shared" ref="P5:P68" si="0">IF(J5&lt;&gt;J6, 1, 0)</f>
        <v>1</v>
      </c>
      <c r="R5" s="20">
        <f>R6+Combined_Accounts[[#This Row],[Amount]]</f>
        <v>1549.47</v>
      </c>
      <c r="T5">
        <v>616.53</v>
      </c>
    </row>
    <row r="6" spans="1:20" hidden="1" x14ac:dyDescent="0.25">
      <c r="A6" s="8">
        <v>1</v>
      </c>
      <c r="B6">
        <v>1</v>
      </c>
      <c r="C6" s="27">
        <v>45293</v>
      </c>
      <c r="D6" t="s">
        <v>17</v>
      </c>
      <c r="E6">
        <v>-47.14</v>
      </c>
      <c r="G6" t="s">
        <v>18</v>
      </c>
      <c r="H6" t="s">
        <v>14</v>
      </c>
      <c r="I6" t="s">
        <v>19</v>
      </c>
      <c r="J6" s="27">
        <v>45292</v>
      </c>
      <c r="K6">
        <v>2024</v>
      </c>
      <c r="L6" s="27">
        <v>45293</v>
      </c>
      <c r="M6">
        <v>569.39</v>
      </c>
      <c r="N6">
        <v>1</v>
      </c>
      <c r="O6" t="s">
        <v>16</v>
      </c>
      <c r="P6">
        <f t="shared" si="0"/>
        <v>0</v>
      </c>
      <c r="R6" s="20">
        <f>R7+Combined_Accounts[[#This Row],[Amount]]</f>
        <v>932.94</v>
      </c>
      <c r="T6">
        <f>T5+Combined_Accounts[[#This Row],[Amount]]</f>
        <v>569.39</v>
      </c>
    </row>
    <row r="7" spans="1:20" hidden="1" x14ac:dyDescent="0.25">
      <c r="A7" s="8">
        <v>2</v>
      </c>
      <c r="B7">
        <v>2</v>
      </c>
      <c r="C7" s="27">
        <v>45293</v>
      </c>
      <c r="D7" t="s">
        <v>12</v>
      </c>
      <c r="E7">
        <v>-0.5</v>
      </c>
      <c r="G7" t="s">
        <v>13</v>
      </c>
      <c r="H7" t="s">
        <v>14</v>
      </c>
      <c r="I7" t="s">
        <v>15</v>
      </c>
      <c r="J7" s="27">
        <v>45292</v>
      </c>
      <c r="K7">
        <v>2024</v>
      </c>
      <c r="L7" s="27">
        <v>45293</v>
      </c>
      <c r="M7">
        <v>568.89</v>
      </c>
      <c r="N7">
        <v>1</v>
      </c>
      <c r="O7" t="s">
        <v>16</v>
      </c>
      <c r="P7">
        <f t="shared" si="0"/>
        <v>0</v>
      </c>
      <c r="R7" s="20">
        <f>R8+Combined_Accounts[[#This Row],[Amount]]</f>
        <v>980.08</v>
      </c>
      <c r="T7">
        <f>T6+Combined_Accounts[[#This Row],[Amount]]</f>
        <v>568.89</v>
      </c>
    </row>
    <row r="8" spans="1:20" hidden="1" x14ac:dyDescent="0.25">
      <c r="A8" s="8">
        <v>3</v>
      </c>
      <c r="B8">
        <v>3</v>
      </c>
      <c r="C8" s="27">
        <v>45302</v>
      </c>
      <c r="D8" t="s">
        <v>21</v>
      </c>
      <c r="E8">
        <v>-33.17</v>
      </c>
      <c r="G8" t="s">
        <v>18</v>
      </c>
      <c r="H8" t="s">
        <v>14</v>
      </c>
      <c r="I8" t="s">
        <v>19</v>
      </c>
      <c r="J8" s="27">
        <v>45292</v>
      </c>
      <c r="K8">
        <v>2024</v>
      </c>
      <c r="L8" s="27">
        <v>45302</v>
      </c>
      <c r="M8">
        <v>535.72</v>
      </c>
      <c r="N8">
        <v>2</v>
      </c>
      <c r="O8" t="s">
        <v>16</v>
      </c>
      <c r="P8">
        <f t="shared" si="0"/>
        <v>0</v>
      </c>
      <c r="R8" s="20">
        <f>R9+Combined_Accounts[[#This Row],[Amount]]</f>
        <v>980.58</v>
      </c>
      <c r="T8">
        <f>T7+Combined_Accounts[[#This Row],[Amount]]</f>
        <v>535.72</v>
      </c>
    </row>
    <row r="9" spans="1:20" hidden="1" x14ac:dyDescent="0.25">
      <c r="A9" s="8">
        <v>4</v>
      </c>
      <c r="B9">
        <v>4</v>
      </c>
      <c r="C9" s="27">
        <v>45302</v>
      </c>
      <c r="D9" t="s">
        <v>20</v>
      </c>
      <c r="E9">
        <v>-12.06</v>
      </c>
      <c r="G9" t="s">
        <v>18</v>
      </c>
      <c r="H9" t="s">
        <v>14</v>
      </c>
      <c r="I9" t="s">
        <v>19</v>
      </c>
      <c r="J9" s="27">
        <v>45292</v>
      </c>
      <c r="K9">
        <v>2024</v>
      </c>
      <c r="L9" s="27">
        <v>45302</v>
      </c>
      <c r="M9">
        <v>523.66000000000008</v>
      </c>
      <c r="N9">
        <v>3</v>
      </c>
      <c r="O9" t="s">
        <v>16</v>
      </c>
      <c r="P9">
        <f t="shared" si="0"/>
        <v>0</v>
      </c>
      <c r="R9" s="20">
        <f>R10+Combined_Accounts[[#This Row],[Amount]]</f>
        <v>1013.75</v>
      </c>
      <c r="T9">
        <f>T8+Combined_Accounts[[#This Row],[Amount]]</f>
        <v>523.66000000000008</v>
      </c>
    </row>
    <row r="10" spans="1:20" hidden="1" x14ac:dyDescent="0.25">
      <c r="A10" s="8">
        <v>5</v>
      </c>
      <c r="B10">
        <v>5</v>
      </c>
      <c r="C10" s="27">
        <v>45302</v>
      </c>
      <c r="D10" t="s">
        <v>22</v>
      </c>
      <c r="E10">
        <v>502.15</v>
      </c>
      <c r="G10" t="s">
        <v>337</v>
      </c>
      <c r="H10" t="s">
        <v>14</v>
      </c>
      <c r="I10" t="s">
        <v>386</v>
      </c>
      <c r="J10" s="27">
        <v>45292</v>
      </c>
      <c r="K10">
        <v>2024</v>
      </c>
      <c r="L10" s="27">
        <v>45302</v>
      </c>
      <c r="M10">
        <v>1025.81</v>
      </c>
      <c r="N10">
        <v>1</v>
      </c>
      <c r="O10" t="s">
        <v>16</v>
      </c>
      <c r="P10">
        <f t="shared" si="0"/>
        <v>0</v>
      </c>
      <c r="R10" s="21">
        <v>1025.81</v>
      </c>
      <c r="T10">
        <f>T9+Combined_Accounts[[#This Row],[Amount]]</f>
        <v>1025.81</v>
      </c>
    </row>
    <row r="11" spans="1:20" hidden="1" x14ac:dyDescent="0.25">
      <c r="A11" s="8">
        <v>6</v>
      </c>
      <c r="B11">
        <v>6</v>
      </c>
      <c r="C11" s="27">
        <v>45307</v>
      </c>
      <c r="D11" t="s">
        <v>26</v>
      </c>
      <c r="E11">
        <v>-426.16</v>
      </c>
      <c r="G11" t="s">
        <v>27</v>
      </c>
      <c r="H11" t="s">
        <v>28</v>
      </c>
      <c r="I11" t="s">
        <v>29</v>
      </c>
      <c r="J11" s="27">
        <v>45292</v>
      </c>
      <c r="K11">
        <v>2024</v>
      </c>
      <c r="L11" s="27">
        <v>45307</v>
      </c>
      <c r="M11">
        <v>599.64999999999986</v>
      </c>
      <c r="N11">
        <v>1</v>
      </c>
      <c r="O11" t="s">
        <v>16</v>
      </c>
      <c r="P11">
        <f t="shared" si="0"/>
        <v>0</v>
      </c>
      <c r="T11">
        <f>T10+Combined_Accounts[[#This Row],[Amount]]</f>
        <v>599.64999999999986</v>
      </c>
    </row>
    <row r="12" spans="1:20" hidden="1" x14ac:dyDescent="0.25">
      <c r="A12" s="8">
        <v>7</v>
      </c>
      <c r="B12">
        <v>7</v>
      </c>
      <c r="C12" s="27">
        <v>45307</v>
      </c>
      <c r="D12" t="s">
        <v>23</v>
      </c>
      <c r="E12">
        <v>180</v>
      </c>
      <c r="G12" t="s">
        <v>24</v>
      </c>
      <c r="H12" t="s">
        <v>14</v>
      </c>
      <c r="I12" t="s">
        <v>25</v>
      </c>
      <c r="J12" s="27">
        <v>45292</v>
      </c>
      <c r="K12">
        <v>2024</v>
      </c>
      <c r="L12" s="27">
        <v>45307</v>
      </c>
      <c r="M12">
        <v>779.64999999999986</v>
      </c>
      <c r="N12">
        <v>1</v>
      </c>
      <c r="O12" t="s">
        <v>16</v>
      </c>
      <c r="P12">
        <f t="shared" si="0"/>
        <v>0</v>
      </c>
      <c r="T12">
        <f>T11+Combined_Accounts[[#This Row],[Amount]]</f>
        <v>779.64999999999986</v>
      </c>
    </row>
    <row r="13" spans="1:20" hidden="1" x14ac:dyDescent="0.25">
      <c r="A13" s="8">
        <v>8</v>
      </c>
      <c r="B13">
        <v>8</v>
      </c>
      <c r="C13" s="27">
        <v>45308</v>
      </c>
      <c r="D13" t="s">
        <v>32</v>
      </c>
      <c r="E13">
        <v>-100</v>
      </c>
      <c r="G13" t="s">
        <v>24</v>
      </c>
      <c r="H13" t="s">
        <v>14</v>
      </c>
      <c r="I13" t="s">
        <v>25</v>
      </c>
      <c r="J13" s="27">
        <v>45292</v>
      </c>
      <c r="K13">
        <v>2024</v>
      </c>
      <c r="L13" s="27">
        <v>45308</v>
      </c>
      <c r="M13">
        <v>679.64999999999986</v>
      </c>
      <c r="N13">
        <v>2</v>
      </c>
      <c r="O13" t="s">
        <v>16</v>
      </c>
      <c r="P13">
        <f t="shared" si="0"/>
        <v>0</v>
      </c>
      <c r="T13">
        <f>T12+Combined_Accounts[[#This Row],[Amount]]</f>
        <v>679.64999999999986</v>
      </c>
    </row>
    <row r="14" spans="1:20" hidden="1" x14ac:dyDescent="0.25">
      <c r="A14" s="8">
        <v>9</v>
      </c>
      <c r="B14">
        <v>9</v>
      </c>
      <c r="C14" s="27">
        <v>45308</v>
      </c>
      <c r="D14" t="s">
        <v>30</v>
      </c>
      <c r="E14">
        <v>123.48</v>
      </c>
      <c r="G14" t="s">
        <v>31</v>
      </c>
      <c r="H14" t="s">
        <v>14</v>
      </c>
      <c r="I14" t="s">
        <v>386</v>
      </c>
      <c r="J14" s="27">
        <v>45292</v>
      </c>
      <c r="K14">
        <v>2024</v>
      </c>
      <c r="L14" s="27">
        <v>45308</v>
      </c>
      <c r="M14">
        <v>803.12999999999988</v>
      </c>
      <c r="N14">
        <v>1</v>
      </c>
      <c r="O14" t="s">
        <v>16</v>
      </c>
      <c r="P14">
        <f t="shared" si="0"/>
        <v>0</v>
      </c>
      <c r="T14">
        <f>T13+Combined_Accounts[[#This Row],[Amount]]</f>
        <v>803.12999999999988</v>
      </c>
    </row>
    <row r="15" spans="1:20" hidden="1" x14ac:dyDescent="0.25">
      <c r="A15" s="8">
        <v>10</v>
      </c>
      <c r="B15">
        <v>10</v>
      </c>
      <c r="C15" s="27">
        <v>45309</v>
      </c>
      <c r="D15" t="s">
        <v>33</v>
      </c>
      <c r="E15">
        <v>-111.63</v>
      </c>
      <c r="G15" t="s">
        <v>392</v>
      </c>
      <c r="H15" t="s">
        <v>14</v>
      </c>
      <c r="I15" t="s">
        <v>25</v>
      </c>
      <c r="J15" s="27">
        <v>45292</v>
      </c>
      <c r="K15">
        <v>2024</v>
      </c>
      <c r="L15" s="27">
        <v>45309</v>
      </c>
      <c r="M15">
        <v>691.49999999999989</v>
      </c>
      <c r="N15">
        <v>1</v>
      </c>
      <c r="O15" t="s">
        <v>16</v>
      </c>
      <c r="P15">
        <f t="shared" si="0"/>
        <v>0</v>
      </c>
      <c r="T15">
        <f>T14+Combined_Accounts[[#This Row],[Amount]]</f>
        <v>691.49999999999989</v>
      </c>
    </row>
    <row r="16" spans="1:20" hidden="1" x14ac:dyDescent="0.25">
      <c r="A16" s="8">
        <v>11</v>
      </c>
      <c r="B16">
        <v>11</v>
      </c>
      <c r="C16" s="27">
        <v>45314</v>
      </c>
      <c r="D16" t="s">
        <v>37</v>
      </c>
      <c r="E16">
        <v>-30</v>
      </c>
      <c r="G16" t="s">
        <v>24</v>
      </c>
      <c r="H16" t="s">
        <v>14</v>
      </c>
      <c r="I16" t="s">
        <v>25</v>
      </c>
      <c r="J16" s="27">
        <v>45292</v>
      </c>
      <c r="K16">
        <v>2024</v>
      </c>
      <c r="L16" s="27">
        <v>45314</v>
      </c>
      <c r="M16">
        <v>661.49999999999989</v>
      </c>
      <c r="N16">
        <v>3</v>
      </c>
      <c r="O16" t="s">
        <v>16</v>
      </c>
      <c r="P16">
        <f t="shared" si="0"/>
        <v>0</v>
      </c>
      <c r="T16">
        <f>T15+Combined_Accounts[[#This Row],[Amount]]</f>
        <v>661.49999999999989</v>
      </c>
    </row>
    <row r="17" spans="1:20" hidden="1" x14ac:dyDescent="0.25">
      <c r="A17" s="8">
        <v>12</v>
      </c>
      <c r="B17">
        <v>12</v>
      </c>
      <c r="C17" s="27">
        <v>45314</v>
      </c>
      <c r="D17" t="s">
        <v>35</v>
      </c>
      <c r="E17">
        <v>318.83</v>
      </c>
      <c r="G17" t="s">
        <v>36</v>
      </c>
      <c r="H17" t="s">
        <v>14</v>
      </c>
      <c r="I17" t="s">
        <v>25</v>
      </c>
      <c r="J17" s="27">
        <v>45292</v>
      </c>
      <c r="K17">
        <v>2024</v>
      </c>
      <c r="L17" s="27">
        <v>45314</v>
      </c>
      <c r="M17">
        <v>980.32999999999993</v>
      </c>
      <c r="N17">
        <v>1</v>
      </c>
      <c r="O17" t="s">
        <v>16</v>
      </c>
      <c r="P17">
        <f t="shared" si="0"/>
        <v>0</v>
      </c>
      <c r="T17">
        <f>T16+Combined_Accounts[[#This Row],[Amount]]</f>
        <v>980.32999999999993</v>
      </c>
    </row>
    <row r="18" spans="1:20" hidden="1" x14ac:dyDescent="0.25">
      <c r="A18" s="8">
        <v>13</v>
      </c>
      <c r="B18">
        <v>13</v>
      </c>
      <c r="C18" s="27">
        <v>45315</v>
      </c>
      <c r="D18" t="s">
        <v>38</v>
      </c>
      <c r="E18">
        <v>-417.29</v>
      </c>
      <c r="G18" t="s">
        <v>39</v>
      </c>
      <c r="H18" t="s">
        <v>28</v>
      </c>
      <c r="I18" t="s">
        <v>40</v>
      </c>
      <c r="J18" s="27">
        <v>45292</v>
      </c>
      <c r="K18">
        <v>2024</v>
      </c>
      <c r="L18" s="27">
        <v>45315</v>
      </c>
      <c r="M18">
        <v>563.04</v>
      </c>
      <c r="N18">
        <v>1</v>
      </c>
      <c r="O18" t="s">
        <v>16</v>
      </c>
      <c r="P18">
        <f t="shared" si="0"/>
        <v>0</v>
      </c>
      <c r="T18">
        <f>T17+Combined_Accounts[[#This Row],[Amount]]</f>
        <v>563.04</v>
      </c>
    </row>
    <row r="19" spans="1:20" hidden="1" x14ac:dyDescent="0.25">
      <c r="A19" s="8">
        <v>14</v>
      </c>
      <c r="B19">
        <v>14</v>
      </c>
      <c r="C19" s="27">
        <v>45315</v>
      </c>
      <c r="D19" t="s">
        <v>41</v>
      </c>
      <c r="E19">
        <v>200</v>
      </c>
      <c r="G19" t="s">
        <v>24</v>
      </c>
      <c r="H19" t="s">
        <v>14</v>
      </c>
      <c r="I19" t="s">
        <v>25</v>
      </c>
      <c r="J19" s="27">
        <v>45292</v>
      </c>
      <c r="K19">
        <v>2024</v>
      </c>
      <c r="L19" s="27">
        <v>45315</v>
      </c>
      <c r="M19">
        <v>763.04</v>
      </c>
      <c r="N19">
        <v>4</v>
      </c>
      <c r="O19" t="s">
        <v>16</v>
      </c>
      <c r="P19">
        <f t="shared" si="0"/>
        <v>0</v>
      </c>
      <c r="T19">
        <f>T18+Combined_Accounts[[#This Row],[Amount]]</f>
        <v>763.04</v>
      </c>
    </row>
    <row r="20" spans="1:20" hidden="1" x14ac:dyDescent="0.25">
      <c r="A20" s="8">
        <v>15</v>
      </c>
      <c r="B20">
        <v>15</v>
      </c>
      <c r="C20" s="27">
        <v>45316</v>
      </c>
      <c r="D20" t="s">
        <v>45</v>
      </c>
      <c r="E20">
        <v>-500</v>
      </c>
      <c r="G20" t="s">
        <v>278</v>
      </c>
      <c r="H20" t="s">
        <v>14</v>
      </c>
      <c r="I20" t="s">
        <v>44</v>
      </c>
      <c r="J20" s="27">
        <v>45292</v>
      </c>
      <c r="K20">
        <v>2024</v>
      </c>
      <c r="L20" s="27">
        <v>45316</v>
      </c>
      <c r="M20">
        <v>263.04000000000002</v>
      </c>
      <c r="N20">
        <v>1</v>
      </c>
      <c r="O20" t="s">
        <v>16</v>
      </c>
      <c r="P20">
        <f t="shared" si="0"/>
        <v>0</v>
      </c>
      <c r="T20">
        <f>T19+Combined_Accounts[[#This Row],[Amount]]</f>
        <v>263.03999999999996</v>
      </c>
    </row>
    <row r="21" spans="1:20" hidden="1" x14ac:dyDescent="0.25">
      <c r="A21" s="8">
        <v>16</v>
      </c>
      <c r="B21">
        <v>16</v>
      </c>
      <c r="C21" s="27">
        <v>45316</v>
      </c>
      <c r="D21" t="s">
        <v>43</v>
      </c>
      <c r="E21">
        <v>-30.86</v>
      </c>
      <c r="G21" t="s">
        <v>393</v>
      </c>
      <c r="H21" t="s">
        <v>14</v>
      </c>
      <c r="I21" t="s">
        <v>69</v>
      </c>
      <c r="J21" s="27">
        <v>45292</v>
      </c>
      <c r="K21">
        <v>2024</v>
      </c>
      <c r="L21" s="27">
        <v>45316</v>
      </c>
      <c r="M21">
        <v>232.17999999999989</v>
      </c>
      <c r="N21">
        <v>1</v>
      </c>
      <c r="O21" t="s">
        <v>16</v>
      </c>
      <c r="P21">
        <f t="shared" si="0"/>
        <v>0</v>
      </c>
      <c r="T21">
        <f>T20+Combined_Accounts[[#This Row],[Amount]]</f>
        <v>232.17999999999995</v>
      </c>
    </row>
    <row r="22" spans="1:20" hidden="1" x14ac:dyDescent="0.25">
      <c r="A22" s="8">
        <v>17</v>
      </c>
      <c r="B22">
        <v>17</v>
      </c>
      <c r="C22" s="27">
        <v>45316</v>
      </c>
      <c r="D22" t="s">
        <v>42</v>
      </c>
      <c r="E22">
        <v>502.15</v>
      </c>
      <c r="G22" t="s">
        <v>337</v>
      </c>
      <c r="H22" t="s">
        <v>14</v>
      </c>
      <c r="I22" t="s">
        <v>386</v>
      </c>
      <c r="J22" s="27">
        <v>45292</v>
      </c>
      <c r="K22">
        <v>2024</v>
      </c>
      <c r="L22" s="27">
        <v>45316</v>
      </c>
      <c r="M22">
        <v>734.32999999999993</v>
      </c>
      <c r="N22">
        <v>2</v>
      </c>
      <c r="O22" t="s">
        <v>16</v>
      </c>
      <c r="P22">
        <f t="shared" si="0"/>
        <v>1</v>
      </c>
      <c r="T22">
        <f>T21+Combined_Accounts[[#This Row],[Amount]]</f>
        <v>734.32999999999993</v>
      </c>
    </row>
    <row r="23" spans="1:20" hidden="1" x14ac:dyDescent="0.25">
      <c r="A23" s="8">
        <v>18</v>
      </c>
      <c r="B23">
        <v>18</v>
      </c>
      <c r="C23" s="27">
        <v>45328</v>
      </c>
      <c r="D23" t="s">
        <v>47</v>
      </c>
      <c r="E23">
        <v>-50</v>
      </c>
      <c r="G23" t="s">
        <v>24</v>
      </c>
      <c r="H23" t="s">
        <v>14</v>
      </c>
      <c r="I23" t="s">
        <v>25</v>
      </c>
      <c r="J23" s="27">
        <v>45323</v>
      </c>
      <c r="K23">
        <v>2024</v>
      </c>
      <c r="L23" s="27">
        <v>45328</v>
      </c>
      <c r="M23">
        <v>684.32999999999993</v>
      </c>
      <c r="N23">
        <v>5</v>
      </c>
      <c r="O23" t="s">
        <v>16</v>
      </c>
      <c r="P23">
        <f t="shared" si="0"/>
        <v>0</v>
      </c>
      <c r="T23">
        <f>T22+Combined_Accounts[[#This Row],[Amount]]</f>
        <v>684.32999999999993</v>
      </c>
    </row>
    <row r="24" spans="1:20" hidden="1" x14ac:dyDescent="0.25">
      <c r="A24" s="8">
        <v>19</v>
      </c>
      <c r="B24">
        <v>19</v>
      </c>
      <c r="C24" s="27">
        <v>45330</v>
      </c>
      <c r="D24" t="s">
        <v>48</v>
      </c>
      <c r="E24">
        <v>852.81</v>
      </c>
      <c r="G24" t="s">
        <v>337</v>
      </c>
      <c r="H24" t="s">
        <v>14</v>
      </c>
      <c r="I24" t="s">
        <v>386</v>
      </c>
      <c r="J24" s="27">
        <v>45323</v>
      </c>
      <c r="K24">
        <v>2024</v>
      </c>
      <c r="L24" s="27">
        <v>45330</v>
      </c>
      <c r="M24">
        <v>1537.14</v>
      </c>
      <c r="N24">
        <v>3</v>
      </c>
      <c r="O24" t="s">
        <v>16</v>
      </c>
      <c r="P24">
        <f t="shared" si="0"/>
        <v>0</v>
      </c>
      <c r="T24">
        <f>T23+Combined_Accounts[[#This Row],[Amount]]</f>
        <v>1537.1399999999999</v>
      </c>
    </row>
    <row r="25" spans="1:20" hidden="1" x14ac:dyDescent="0.25">
      <c r="A25" s="8">
        <v>20</v>
      </c>
      <c r="B25">
        <v>20</v>
      </c>
      <c r="C25" s="27">
        <v>45331</v>
      </c>
      <c r="D25" t="s">
        <v>49</v>
      </c>
      <c r="E25">
        <v>-820</v>
      </c>
      <c r="G25" t="s">
        <v>278</v>
      </c>
      <c r="H25" t="s">
        <v>14</v>
      </c>
      <c r="I25" t="s">
        <v>44</v>
      </c>
      <c r="J25" s="27">
        <v>45323</v>
      </c>
      <c r="K25">
        <v>2024</v>
      </c>
      <c r="L25" s="27">
        <v>45331</v>
      </c>
      <c r="M25">
        <v>717.13999999999987</v>
      </c>
      <c r="N25">
        <v>2</v>
      </c>
      <c r="O25" t="s">
        <v>16</v>
      </c>
      <c r="P25">
        <f t="shared" si="0"/>
        <v>0</v>
      </c>
      <c r="T25">
        <f>T24+Combined_Accounts[[#This Row],[Amount]]</f>
        <v>717.13999999999987</v>
      </c>
    </row>
    <row r="26" spans="1:20" hidden="1" x14ac:dyDescent="0.25">
      <c r="A26" s="8">
        <v>21</v>
      </c>
      <c r="B26">
        <v>21</v>
      </c>
      <c r="C26" s="27">
        <v>45342</v>
      </c>
      <c r="D26" t="s">
        <v>55</v>
      </c>
      <c r="E26">
        <v>-237.29</v>
      </c>
      <c r="G26" t="s">
        <v>39</v>
      </c>
      <c r="H26" t="s">
        <v>28</v>
      </c>
      <c r="I26" t="s">
        <v>40</v>
      </c>
      <c r="J26" s="27">
        <v>45323</v>
      </c>
      <c r="K26">
        <v>2024</v>
      </c>
      <c r="L26" s="27">
        <v>45342</v>
      </c>
      <c r="M26">
        <v>479.84999999999991</v>
      </c>
      <c r="N26">
        <v>2</v>
      </c>
      <c r="O26" t="s">
        <v>16</v>
      </c>
      <c r="P26">
        <f t="shared" si="0"/>
        <v>0</v>
      </c>
      <c r="T26">
        <f>T25+Combined_Accounts[[#This Row],[Amount]]</f>
        <v>479.84999999999991</v>
      </c>
    </row>
    <row r="27" spans="1:20" hidden="1" x14ac:dyDescent="0.25">
      <c r="A27" s="8">
        <v>22</v>
      </c>
      <c r="B27">
        <v>22</v>
      </c>
      <c r="C27" s="27">
        <v>45342</v>
      </c>
      <c r="D27" t="s">
        <v>54</v>
      </c>
      <c r="E27">
        <v>-111.63</v>
      </c>
      <c r="G27" t="s">
        <v>392</v>
      </c>
      <c r="H27" t="s">
        <v>14</v>
      </c>
      <c r="I27" t="s">
        <v>25</v>
      </c>
      <c r="J27" s="27">
        <v>45323</v>
      </c>
      <c r="K27">
        <v>2024</v>
      </c>
      <c r="L27" s="27">
        <v>45342</v>
      </c>
      <c r="M27">
        <v>368.21999999999991</v>
      </c>
      <c r="N27">
        <v>2</v>
      </c>
      <c r="O27" t="s">
        <v>16</v>
      </c>
      <c r="P27">
        <f t="shared" si="0"/>
        <v>0</v>
      </c>
      <c r="T27">
        <f>T26+Combined_Accounts[[#This Row],[Amount]]</f>
        <v>368.21999999999991</v>
      </c>
    </row>
    <row r="28" spans="1:20" hidden="1" x14ac:dyDescent="0.25">
      <c r="A28" s="8">
        <v>23</v>
      </c>
      <c r="B28">
        <v>23</v>
      </c>
      <c r="C28" s="27">
        <v>45342</v>
      </c>
      <c r="D28" t="s">
        <v>52</v>
      </c>
      <c r="E28">
        <v>-69.849999999999994</v>
      </c>
      <c r="G28" t="s">
        <v>53</v>
      </c>
      <c r="H28" t="s">
        <v>14</v>
      </c>
      <c r="I28" t="s">
        <v>25</v>
      </c>
      <c r="J28" s="27">
        <v>45323</v>
      </c>
      <c r="K28">
        <v>2024</v>
      </c>
      <c r="L28" s="27">
        <v>45342</v>
      </c>
      <c r="M28">
        <v>298.36999999999989</v>
      </c>
      <c r="N28">
        <v>1</v>
      </c>
      <c r="O28" t="s">
        <v>16</v>
      </c>
      <c r="P28">
        <f t="shared" si="0"/>
        <v>0</v>
      </c>
      <c r="T28">
        <f>T27+Combined_Accounts[[#This Row],[Amount]]</f>
        <v>298.36999999999989</v>
      </c>
    </row>
    <row r="29" spans="1:20" hidden="1" x14ac:dyDescent="0.25">
      <c r="A29" s="8">
        <v>24</v>
      </c>
      <c r="B29">
        <v>24</v>
      </c>
      <c r="C29" s="27">
        <v>45342</v>
      </c>
      <c r="D29" t="s">
        <v>51</v>
      </c>
      <c r="E29">
        <v>-78.92</v>
      </c>
      <c r="G29" t="s">
        <v>18</v>
      </c>
      <c r="H29" t="s">
        <v>14</v>
      </c>
      <c r="I29" t="s">
        <v>19</v>
      </c>
      <c r="J29" s="27">
        <v>45323</v>
      </c>
      <c r="K29">
        <v>2024</v>
      </c>
      <c r="L29" s="27">
        <v>45342</v>
      </c>
      <c r="M29">
        <v>219.4499999999999</v>
      </c>
      <c r="N29">
        <v>4</v>
      </c>
      <c r="O29" t="s">
        <v>16</v>
      </c>
      <c r="P29">
        <f t="shared" si="0"/>
        <v>0</v>
      </c>
      <c r="T29">
        <f>T28+Combined_Accounts[[#This Row],[Amount]]</f>
        <v>219.44999999999987</v>
      </c>
    </row>
    <row r="30" spans="1:20" hidden="1" x14ac:dyDescent="0.25">
      <c r="A30" s="8">
        <v>25</v>
      </c>
      <c r="B30">
        <v>25</v>
      </c>
      <c r="C30" s="27">
        <v>45342</v>
      </c>
      <c r="D30" t="s">
        <v>50</v>
      </c>
      <c r="E30">
        <v>100</v>
      </c>
      <c r="G30" t="s">
        <v>24</v>
      </c>
      <c r="H30" t="s">
        <v>14</v>
      </c>
      <c r="I30" t="s">
        <v>25</v>
      </c>
      <c r="J30" s="27">
        <v>45323</v>
      </c>
      <c r="K30">
        <v>2024</v>
      </c>
      <c r="L30" s="27">
        <v>45342</v>
      </c>
      <c r="M30">
        <v>319.44999999999987</v>
      </c>
      <c r="N30">
        <v>6</v>
      </c>
      <c r="O30" t="s">
        <v>16</v>
      </c>
      <c r="P30">
        <f t="shared" si="0"/>
        <v>0</v>
      </c>
      <c r="T30">
        <f>T29+Combined_Accounts[[#This Row],[Amount]]</f>
        <v>319.44999999999987</v>
      </c>
    </row>
    <row r="31" spans="1:20" hidden="1" x14ac:dyDescent="0.25">
      <c r="A31" s="8">
        <v>26</v>
      </c>
      <c r="B31">
        <v>26</v>
      </c>
      <c r="C31" s="27">
        <v>45343</v>
      </c>
      <c r="D31" t="s">
        <v>56</v>
      </c>
      <c r="E31">
        <v>-52</v>
      </c>
      <c r="G31" t="s">
        <v>57</v>
      </c>
      <c r="H31" t="s">
        <v>14</v>
      </c>
      <c r="I31" t="s">
        <v>40</v>
      </c>
      <c r="J31" s="27">
        <v>45323</v>
      </c>
      <c r="K31">
        <v>2024</v>
      </c>
      <c r="L31" s="27">
        <v>45343</v>
      </c>
      <c r="M31">
        <v>267.44999999999987</v>
      </c>
      <c r="N31">
        <v>1</v>
      </c>
      <c r="O31" t="s">
        <v>16</v>
      </c>
      <c r="P31">
        <f t="shared" si="0"/>
        <v>0</v>
      </c>
      <c r="T31">
        <f>T30+Combined_Accounts[[#This Row],[Amount]]</f>
        <v>267.44999999999987</v>
      </c>
    </row>
    <row r="32" spans="1:20" hidden="1" x14ac:dyDescent="0.25">
      <c r="A32" s="8">
        <v>27</v>
      </c>
      <c r="B32">
        <v>27</v>
      </c>
      <c r="C32" s="27">
        <v>45344</v>
      </c>
      <c r="D32" t="s">
        <v>61</v>
      </c>
      <c r="E32">
        <v>-171.66</v>
      </c>
      <c r="G32" t="s">
        <v>36</v>
      </c>
      <c r="H32" t="s">
        <v>14</v>
      </c>
      <c r="I32" t="s">
        <v>25</v>
      </c>
      <c r="J32" s="27">
        <v>45323</v>
      </c>
      <c r="K32">
        <v>2024</v>
      </c>
      <c r="L32" s="27">
        <v>45344</v>
      </c>
      <c r="M32">
        <v>95.789999999999878</v>
      </c>
      <c r="N32">
        <v>2</v>
      </c>
      <c r="O32" t="s">
        <v>16</v>
      </c>
      <c r="P32">
        <f t="shared" si="0"/>
        <v>0</v>
      </c>
      <c r="T32">
        <f>T31+Combined_Accounts[[#This Row],[Amount]]</f>
        <v>95.789999999999878</v>
      </c>
    </row>
    <row r="33" spans="1:20" hidden="1" x14ac:dyDescent="0.25">
      <c r="A33" s="8">
        <v>28</v>
      </c>
      <c r="B33">
        <v>28</v>
      </c>
      <c r="C33" s="27">
        <v>45344</v>
      </c>
      <c r="D33" t="s">
        <v>60</v>
      </c>
      <c r="E33">
        <v>-128.75</v>
      </c>
      <c r="G33" t="s">
        <v>36</v>
      </c>
      <c r="H33" t="s">
        <v>14</v>
      </c>
      <c r="I33" t="s">
        <v>25</v>
      </c>
      <c r="J33" s="27">
        <v>45323</v>
      </c>
      <c r="K33">
        <v>2024</v>
      </c>
      <c r="L33" s="27">
        <v>45344</v>
      </c>
      <c r="M33">
        <v>-32.960000000000122</v>
      </c>
      <c r="N33">
        <v>3</v>
      </c>
      <c r="O33" t="s">
        <v>16</v>
      </c>
      <c r="P33">
        <f t="shared" si="0"/>
        <v>0</v>
      </c>
      <c r="T33">
        <f>T32+Combined_Accounts[[#This Row],[Amount]]</f>
        <v>-32.960000000000122</v>
      </c>
    </row>
    <row r="34" spans="1:20" hidden="1" x14ac:dyDescent="0.25">
      <c r="A34" s="8">
        <v>29</v>
      </c>
      <c r="B34">
        <v>29</v>
      </c>
      <c r="C34" s="27">
        <v>45344</v>
      </c>
      <c r="D34" t="s">
        <v>59</v>
      </c>
      <c r="E34">
        <v>-366.21</v>
      </c>
      <c r="G34" t="s">
        <v>34</v>
      </c>
      <c r="H34" t="s">
        <v>28</v>
      </c>
      <c r="I34" t="s">
        <v>19</v>
      </c>
      <c r="J34" s="27">
        <v>45323</v>
      </c>
      <c r="K34">
        <v>2024</v>
      </c>
      <c r="L34" s="27">
        <v>45344</v>
      </c>
      <c r="M34">
        <v>-399.17000000000007</v>
      </c>
      <c r="N34">
        <v>1</v>
      </c>
      <c r="O34" t="s">
        <v>16</v>
      </c>
      <c r="P34">
        <f t="shared" si="0"/>
        <v>0</v>
      </c>
      <c r="T34">
        <f>T33+Combined_Accounts[[#This Row],[Amount]]</f>
        <v>-399.17000000000007</v>
      </c>
    </row>
    <row r="35" spans="1:20" hidden="1" x14ac:dyDescent="0.25">
      <c r="A35" s="8">
        <v>30</v>
      </c>
      <c r="B35">
        <v>30</v>
      </c>
      <c r="C35" s="27">
        <v>45344</v>
      </c>
      <c r="D35" t="s">
        <v>58</v>
      </c>
      <c r="E35">
        <v>502.15</v>
      </c>
      <c r="G35" t="s">
        <v>337</v>
      </c>
      <c r="H35" t="s">
        <v>14</v>
      </c>
      <c r="I35" t="s">
        <v>386</v>
      </c>
      <c r="J35" s="27">
        <v>45323</v>
      </c>
      <c r="K35">
        <v>2024</v>
      </c>
      <c r="L35" s="27">
        <v>45344</v>
      </c>
      <c r="M35">
        <v>102.9799999999999</v>
      </c>
      <c r="N35">
        <v>4</v>
      </c>
      <c r="O35" t="s">
        <v>16</v>
      </c>
      <c r="P35">
        <f t="shared" si="0"/>
        <v>0</v>
      </c>
      <c r="T35">
        <f>T34+Combined_Accounts[[#This Row],[Amount]]</f>
        <v>102.9799999999999</v>
      </c>
    </row>
    <row r="36" spans="1:20" hidden="1" x14ac:dyDescent="0.25">
      <c r="A36" s="8">
        <v>31</v>
      </c>
      <c r="B36">
        <v>31</v>
      </c>
      <c r="C36" s="27">
        <v>45349</v>
      </c>
      <c r="D36" t="s">
        <v>62</v>
      </c>
      <c r="E36">
        <v>-50.03</v>
      </c>
      <c r="G36" t="s">
        <v>18</v>
      </c>
      <c r="H36" t="s">
        <v>14</v>
      </c>
      <c r="I36" t="s">
        <v>19</v>
      </c>
      <c r="J36" s="27">
        <v>45323</v>
      </c>
      <c r="K36">
        <v>2024</v>
      </c>
      <c r="L36" s="27">
        <v>45349</v>
      </c>
      <c r="M36">
        <v>52.949999999999903</v>
      </c>
      <c r="N36">
        <v>5</v>
      </c>
      <c r="O36" t="s">
        <v>16</v>
      </c>
      <c r="P36">
        <f t="shared" si="0"/>
        <v>1</v>
      </c>
      <c r="T36">
        <f>T35+Combined_Accounts[[#This Row],[Amount]]</f>
        <v>52.949999999999903</v>
      </c>
    </row>
    <row r="37" spans="1:20" hidden="1" x14ac:dyDescent="0.25">
      <c r="A37" s="8">
        <v>32</v>
      </c>
      <c r="B37">
        <v>32</v>
      </c>
      <c r="C37" s="27">
        <v>45358</v>
      </c>
      <c r="D37" t="s">
        <v>63</v>
      </c>
      <c r="E37">
        <v>732.23</v>
      </c>
      <c r="G37" t="s">
        <v>337</v>
      </c>
      <c r="H37" t="s">
        <v>14</v>
      </c>
      <c r="I37" t="s">
        <v>386</v>
      </c>
      <c r="J37" s="27">
        <v>45352</v>
      </c>
      <c r="K37">
        <v>2024</v>
      </c>
      <c r="L37" s="27">
        <v>45358</v>
      </c>
      <c r="M37">
        <v>785.18</v>
      </c>
      <c r="N37">
        <v>5</v>
      </c>
      <c r="O37" t="s">
        <v>16</v>
      </c>
      <c r="P37">
        <f t="shared" si="0"/>
        <v>0</v>
      </c>
      <c r="T37">
        <f>T36+Combined_Accounts[[#This Row],[Amount]]</f>
        <v>785.18</v>
      </c>
    </row>
    <row r="38" spans="1:20" hidden="1" x14ac:dyDescent="0.25">
      <c r="A38" s="8">
        <v>33</v>
      </c>
      <c r="B38">
        <v>33</v>
      </c>
      <c r="C38" s="27">
        <v>45359</v>
      </c>
      <c r="D38" t="s">
        <v>64</v>
      </c>
      <c r="E38">
        <v>238.73</v>
      </c>
      <c r="G38" t="s">
        <v>31</v>
      </c>
      <c r="H38" t="s">
        <v>14</v>
      </c>
      <c r="I38" t="s">
        <v>386</v>
      </c>
      <c r="J38" s="27">
        <v>45352</v>
      </c>
      <c r="K38">
        <v>2024</v>
      </c>
      <c r="L38" s="27">
        <v>45359</v>
      </c>
      <c r="M38">
        <v>1023.91</v>
      </c>
      <c r="N38">
        <v>2</v>
      </c>
      <c r="O38" t="s">
        <v>16</v>
      </c>
      <c r="P38">
        <f t="shared" si="0"/>
        <v>0</v>
      </c>
      <c r="T38">
        <f>T37+Combined_Accounts[[#This Row],[Amount]]</f>
        <v>1023.91</v>
      </c>
    </row>
    <row r="39" spans="1:20" hidden="1" x14ac:dyDescent="0.25">
      <c r="A39" s="8">
        <v>34</v>
      </c>
      <c r="B39">
        <v>34</v>
      </c>
      <c r="C39" s="27">
        <v>45362</v>
      </c>
      <c r="D39" t="s">
        <v>65</v>
      </c>
      <c r="E39">
        <v>-50</v>
      </c>
      <c r="G39" t="s">
        <v>66</v>
      </c>
      <c r="H39" t="s">
        <v>14</v>
      </c>
      <c r="I39" t="s">
        <v>19</v>
      </c>
      <c r="J39" s="27">
        <v>45352</v>
      </c>
      <c r="K39">
        <v>2024</v>
      </c>
      <c r="L39" s="27">
        <v>45362</v>
      </c>
      <c r="M39">
        <v>973.91</v>
      </c>
      <c r="N39">
        <v>1</v>
      </c>
      <c r="O39" t="s">
        <v>16</v>
      </c>
      <c r="P39">
        <f t="shared" si="0"/>
        <v>0</v>
      </c>
      <c r="T39">
        <f>T38+Combined_Accounts[[#This Row],[Amount]]</f>
        <v>973.91</v>
      </c>
    </row>
    <row r="40" spans="1:20" x14ac:dyDescent="0.25">
      <c r="A40" s="8">
        <v>35</v>
      </c>
      <c r="B40">
        <v>35</v>
      </c>
      <c r="C40" s="27">
        <v>45366</v>
      </c>
      <c r="D40" t="s">
        <v>67</v>
      </c>
      <c r="E40">
        <v>-220</v>
      </c>
      <c r="G40" t="s">
        <v>68</v>
      </c>
      <c r="H40" t="s">
        <v>28</v>
      </c>
      <c r="I40" t="s">
        <v>69</v>
      </c>
      <c r="J40" s="27">
        <v>45352</v>
      </c>
      <c r="K40">
        <v>2024</v>
      </c>
      <c r="L40" s="27">
        <v>45366</v>
      </c>
      <c r="M40">
        <v>753.91</v>
      </c>
      <c r="N40">
        <v>1</v>
      </c>
      <c r="O40" t="s">
        <v>16</v>
      </c>
      <c r="P40">
        <f t="shared" si="0"/>
        <v>0</v>
      </c>
      <c r="T40">
        <f>T39+Combined_Accounts[[#This Row],[Amount]]</f>
        <v>753.91</v>
      </c>
    </row>
    <row r="41" spans="1:20" hidden="1" x14ac:dyDescent="0.25">
      <c r="A41" s="8">
        <v>36</v>
      </c>
      <c r="B41">
        <v>36</v>
      </c>
      <c r="C41" s="27">
        <v>45369</v>
      </c>
      <c r="D41" t="s">
        <v>71</v>
      </c>
      <c r="E41">
        <v>-458.96</v>
      </c>
      <c r="G41" t="s">
        <v>39</v>
      </c>
      <c r="H41" t="s">
        <v>28</v>
      </c>
      <c r="I41" t="s">
        <v>40</v>
      </c>
      <c r="J41" s="27">
        <v>45352</v>
      </c>
      <c r="K41">
        <v>2024</v>
      </c>
      <c r="L41" s="27">
        <v>45369</v>
      </c>
      <c r="M41">
        <v>294.95</v>
      </c>
      <c r="N41">
        <v>3</v>
      </c>
      <c r="O41" t="s">
        <v>16</v>
      </c>
      <c r="P41">
        <f t="shared" si="0"/>
        <v>0</v>
      </c>
      <c r="T41">
        <f>T40+Combined_Accounts[[#This Row],[Amount]]</f>
        <v>294.95</v>
      </c>
    </row>
    <row r="42" spans="1:20" hidden="1" x14ac:dyDescent="0.25">
      <c r="A42" s="8">
        <v>37</v>
      </c>
      <c r="B42">
        <v>37</v>
      </c>
      <c r="C42" s="27">
        <v>45369</v>
      </c>
      <c r="D42" t="s">
        <v>70</v>
      </c>
      <c r="E42">
        <v>-65.83</v>
      </c>
      <c r="G42" t="s">
        <v>392</v>
      </c>
      <c r="H42" t="s">
        <v>14</v>
      </c>
      <c r="I42" t="s">
        <v>25</v>
      </c>
      <c r="J42" s="27">
        <v>45352</v>
      </c>
      <c r="K42">
        <v>2024</v>
      </c>
      <c r="L42" s="27">
        <v>45369</v>
      </c>
      <c r="M42">
        <v>229.12</v>
      </c>
      <c r="N42">
        <v>3</v>
      </c>
      <c r="O42" t="s">
        <v>16</v>
      </c>
      <c r="P42">
        <f t="shared" si="0"/>
        <v>0</v>
      </c>
      <c r="T42">
        <f>T41+Combined_Accounts[[#This Row],[Amount]]</f>
        <v>229.12</v>
      </c>
    </row>
    <row r="43" spans="1:20" hidden="1" x14ac:dyDescent="0.25">
      <c r="A43" s="8">
        <v>38</v>
      </c>
      <c r="B43">
        <v>38</v>
      </c>
      <c r="C43" s="27">
        <v>45372</v>
      </c>
      <c r="D43" t="s">
        <v>72</v>
      </c>
      <c r="E43">
        <v>527.54999999999995</v>
      </c>
      <c r="G43" t="s">
        <v>337</v>
      </c>
      <c r="H43" t="s">
        <v>14</v>
      </c>
      <c r="I43" t="s">
        <v>386</v>
      </c>
      <c r="J43" s="27">
        <v>45352</v>
      </c>
      <c r="K43">
        <v>2024</v>
      </c>
      <c r="L43" s="27">
        <v>45372</v>
      </c>
      <c r="M43">
        <v>756.67</v>
      </c>
      <c r="N43">
        <v>6</v>
      </c>
      <c r="O43" t="s">
        <v>16</v>
      </c>
      <c r="P43">
        <f t="shared" si="0"/>
        <v>0</v>
      </c>
      <c r="T43">
        <f>T42+Combined_Accounts[[#This Row],[Amount]]</f>
        <v>756.67</v>
      </c>
    </row>
    <row r="44" spans="1:20" hidden="1" x14ac:dyDescent="0.25">
      <c r="A44" s="8">
        <v>39</v>
      </c>
      <c r="B44">
        <v>39</v>
      </c>
      <c r="C44" s="27">
        <v>45376</v>
      </c>
      <c r="D44" t="s">
        <v>75</v>
      </c>
      <c r="E44">
        <v>-2.5</v>
      </c>
      <c r="G44" t="s">
        <v>74</v>
      </c>
      <c r="H44" t="s">
        <v>14</v>
      </c>
      <c r="I44" t="s">
        <v>69</v>
      </c>
      <c r="J44" s="27">
        <v>45352</v>
      </c>
      <c r="K44">
        <v>2024</v>
      </c>
      <c r="L44" s="27">
        <v>45376</v>
      </c>
      <c r="M44">
        <v>754.17</v>
      </c>
      <c r="N44">
        <v>1</v>
      </c>
      <c r="O44" t="s">
        <v>16</v>
      </c>
      <c r="P44">
        <f t="shared" si="0"/>
        <v>0</v>
      </c>
      <c r="T44">
        <f>T43+Combined_Accounts[[#This Row],[Amount]]</f>
        <v>754.17</v>
      </c>
    </row>
    <row r="45" spans="1:20" hidden="1" x14ac:dyDescent="0.25">
      <c r="A45" s="8">
        <v>40</v>
      </c>
      <c r="B45">
        <v>40</v>
      </c>
      <c r="C45" s="27">
        <v>45376</v>
      </c>
      <c r="D45" t="s">
        <v>73</v>
      </c>
      <c r="E45">
        <v>-63</v>
      </c>
      <c r="G45" t="s">
        <v>74</v>
      </c>
      <c r="H45" t="s">
        <v>14</v>
      </c>
      <c r="I45" t="s">
        <v>69</v>
      </c>
      <c r="J45" s="27">
        <v>45352</v>
      </c>
      <c r="K45">
        <v>2024</v>
      </c>
      <c r="L45" s="27">
        <v>45376</v>
      </c>
      <c r="M45">
        <v>691.17</v>
      </c>
      <c r="N45">
        <v>2</v>
      </c>
      <c r="O45" t="s">
        <v>16</v>
      </c>
      <c r="P45">
        <f t="shared" si="0"/>
        <v>0</v>
      </c>
      <c r="T45">
        <f>T44+Combined_Accounts[[#This Row],[Amount]]</f>
        <v>691.17</v>
      </c>
    </row>
    <row r="46" spans="1:20" hidden="1" x14ac:dyDescent="0.25">
      <c r="A46" s="8">
        <v>41</v>
      </c>
      <c r="B46">
        <v>41</v>
      </c>
      <c r="C46" s="27">
        <v>45376</v>
      </c>
      <c r="D46" t="s">
        <v>76</v>
      </c>
      <c r="E46">
        <v>-9</v>
      </c>
      <c r="G46" t="s">
        <v>13</v>
      </c>
      <c r="H46" t="s">
        <v>14</v>
      </c>
      <c r="I46" t="s">
        <v>15</v>
      </c>
      <c r="J46" s="27">
        <v>45352</v>
      </c>
      <c r="K46">
        <v>2024</v>
      </c>
      <c r="L46" s="27">
        <v>45376</v>
      </c>
      <c r="M46">
        <v>682.17</v>
      </c>
      <c r="N46">
        <v>2</v>
      </c>
      <c r="O46" t="s">
        <v>16</v>
      </c>
      <c r="P46">
        <f t="shared" si="0"/>
        <v>0</v>
      </c>
      <c r="T46">
        <f>T45+Combined_Accounts[[#This Row],[Amount]]</f>
        <v>682.17</v>
      </c>
    </row>
    <row r="47" spans="1:20" hidden="1" x14ac:dyDescent="0.25">
      <c r="A47" s="8">
        <v>42</v>
      </c>
      <c r="B47">
        <v>42</v>
      </c>
      <c r="C47" s="27">
        <v>45377</v>
      </c>
      <c r="D47" t="s">
        <v>78</v>
      </c>
      <c r="E47">
        <v>-0.39</v>
      </c>
      <c r="G47" t="s">
        <v>79</v>
      </c>
      <c r="H47" t="s">
        <v>14</v>
      </c>
      <c r="I47" t="s">
        <v>80</v>
      </c>
      <c r="J47" s="27">
        <v>45352</v>
      </c>
      <c r="K47">
        <v>2024</v>
      </c>
      <c r="L47" s="27">
        <v>45377</v>
      </c>
      <c r="M47">
        <v>681.78</v>
      </c>
      <c r="N47">
        <v>1</v>
      </c>
      <c r="O47" t="s">
        <v>16</v>
      </c>
      <c r="P47">
        <f t="shared" si="0"/>
        <v>0</v>
      </c>
      <c r="T47">
        <f>T46+Combined_Accounts[[#This Row],[Amount]]</f>
        <v>681.78</v>
      </c>
    </row>
    <row r="48" spans="1:20" hidden="1" x14ac:dyDescent="0.25">
      <c r="A48" s="8">
        <v>43</v>
      </c>
      <c r="B48">
        <v>43</v>
      </c>
      <c r="C48" s="27">
        <v>45377</v>
      </c>
      <c r="D48" t="s">
        <v>77</v>
      </c>
      <c r="E48">
        <v>-13.1</v>
      </c>
      <c r="G48" t="s">
        <v>394</v>
      </c>
      <c r="H48" t="s">
        <v>14</v>
      </c>
      <c r="I48" t="s">
        <v>395</v>
      </c>
      <c r="J48" s="27">
        <v>45352</v>
      </c>
      <c r="K48">
        <v>2024</v>
      </c>
      <c r="L48" s="27">
        <v>45377</v>
      </c>
      <c r="M48">
        <v>668.68</v>
      </c>
      <c r="N48">
        <v>1</v>
      </c>
      <c r="O48" t="s">
        <v>16</v>
      </c>
      <c r="P48">
        <f t="shared" si="0"/>
        <v>1</v>
      </c>
      <c r="T48">
        <f>T47+Combined_Accounts[[#This Row],[Amount]]</f>
        <v>668.68</v>
      </c>
    </row>
    <row r="49" spans="1:20" hidden="1" x14ac:dyDescent="0.25">
      <c r="A49" s="8">
        <v>44</v>
      </c>
      <c r="B49">
        <v>44</v>
      </c>
      <c r="C49" s="27">
        <v>45383</v>
      </c>
      <c r="D49" t="s">
        <v>81</v>
      </c>
      <c r="E49">
        <v>-260</v>
      </c>
      <c r="G49" t="s">
        <v>36</v>
      </c>
      <c r="H49" t="s">
        <v>14</v>
      </c>
      <c r="I49" t="s">
        <v>25</v>
      </c>
      <c r="J49" s="27">
        <v>45383</v>
      </c>
      <c r="K49">
        <v>2024</v>
      </c>
      <c r="L49" s="27">
        <v>45383</v>
      </c>
      <c r="M49">
        <v>408.67999999999989</v>
      </c>
      <c r="N49">
        <v>4</v>
      </c>
      <c r="O49" t="s">
        <v>16</v>
      </c>
      <c r="P49">
        <f t="shared" si="0"/>
        <v>0</v>
      </c>
      <c r="T49">
        <f>T48+Combined_Accounts[[#This Row],[Amount]]</f>
        <v>408.67999999999995</v>
      </c>
    </row>
    <row r="50" spans="1:20" hidden="1" x14ac:dyDescent="0.25">
      <c r="A50" s="8">
        <v>45</v>
      </c>
      <c r="B50">
        <v>45</v>
      </c>
      <c r="C50" s="27">
        <v>45384</v>
      </c>
      <c r="D50" t="s">
        <v>82</v>
      </c>
      <c r="E50">
        <v>-500</v>
      </c>
      <c r="G50" t="s">
        <v>24</v>
      </c>
      <c r="H50" t="s">
        <v>14</v>
      </c>
      <c r="I50" t="s">
        <v>25</v>
      </c>
      <c r="J50" s="27">
        <v>45383</v>
      </c>
      <c r="K50">
        <v>2024</v>
      </c>
      <c r="L50" s="27">
        <v>45384</v>
      </c>
      <c r="M50">
        <v>-91.32000000000005</v>
      </c>
      <c r="N50">
        <v>7</v>
      </c>
      <c r="O50" t="s">
        <v>16</v>
      </c>
      <c r="P50">
        <f t="shared" si="0"/>
        <v>0</v>
      </c>
      <c r="T50">
        <f>T49+Combined_Accounts[[#This Row],[Amount]]</f>
        <v>-91.32000000000005</v>
      </c>
    </row>
    <row r="51" spans="1:20" hidden="1" x14ac:dyDescent="0.25">
      <c r="A51" s="8">
        <v>46</v>
      </c>
      <c r="B51">
        <v>46</v>
      </c>
      <c r="C51" s="27">
        <v>45385</v>
      </c>
      <c r="D51" t="s">
        <v>83</v>
      </c>
      <c r="E51">
        <v>-52.64</v>
      </c>
      <c r="G51" t="s">
        <v>18</v>
      </c>
      <c r="H51" t="s">
        <v>14</v>
      </c>
      <c r="I51" t="s">
        <v>19</v>
      </c>
      <c r="J51" s="27">
        <v>45383</v>
      </c>
      <c r="K51">
        <v>2024</v>
      </c>
      <c r="L51" s="27">
        <v>45385</v>
      </c>
      <c r="M51">
        <v>-143.96</v>
      </c>
      <c r="N51">
        <v>6</v>
      </c>
      <c r="O51" t="s">
        <v>16</v>
      </c>
      <c r="P51">
        <f t="shared" si="0"/>
        <v>0</v>
      </c>
      <c r="T51">
        <f>T50+Combined_Accounts[[#This Row],[Amount]]</f>
        <v>-143.96000000000004</v>
      </c>
    </row>
    <row r="52" spans="1:20" hidden="1" x14ac:dyDescent="0.25">
      <c r="A52" s="8">
        <v>47</v>
      </c>
      <c r="B52">
        <v>47</v>
      </c>
      <c r="C52" s="27">
        <v>45386</v>
      </c>
      <c r="D52" t="s">
        <v>84</v>
      </c>
      <c r="E52">
        <v>527.55999999999995</v>
      </c>
      <c r="G52" t="s">
        <v>337</v>
      </c>
      <c r="H52" t="s">
        <v>14</v>
      </c>
      <c r="I52" t="s">
        <v>386</v>
      </c>
      <c r="J52" s="27">
        <v>45383</v>
      </c>
      <c r="K52">
        <v>2024</v>
      </c>
      <c r="L52" s="27">
        <v>45386</v>
      </c>
      <c r="M52">
        <v>383.59999999999991</v>
      </c>
      <c r="N52">
        <v>7</v>
      </c>
      <c r="O52" t="s">
        <v>16</v>
      </c>
      <c r="P52">
        <f t="shared" si="0"/>
        <v>0</v>
      </c>
      <c r="T52">
        <f>T51+Combined_Accounts[[#This Row],[Amount]]</f>
        <v>383.59999999999991</v>
      </c>
    </row>
    <row r="53" spans="1:20" hidden="1" x14ac:dyDescent="0.25">
      <c r="A53" s="8">
        <v>48</v>
      </c>
      <c r="B53">
        <v>48</v>
      </c>
      <c r="C53" s="27">
        <v>45387</v>
      </c>
      <c r="D53" t="s">
        <v>85</v>
      </c>
      <c r="E53">
        <v>-200</v>
      </c>
      <c r="G53" t="s">
        <v>24</v>
      </c>
      <c r="H53" t="s">
        <v>14</v>
      </c>
      <c r="I53" t="s">
        <v>25</v>
      </c>
      <c r="J53" s="27">
        <v>45383</v>
      </c>
      <c r="K53">
        <v>2024</v>
      </c>
      <c r="L53" s="27">
        <v>45387</v>
      </c>
      <c r="M53">
        <v>183.59999999999991</v>
      </c>
      <c r="N53">
        <v>8</v>
      </c>
      <c r="O53" t="s">
        <v>16</v>
      </c>
      <c r="P53">
        <f t="shared" si="0"/>
        <v>0</v>
      </c>
      <c r="T53">
        <f>T52+Combined_Accounts[[#This Row],[Amount]]</f>
        <v>183.59999999999991</v>
      </c>
    </row>
    <row r="54" spans="1:20" hidden="1" x14ac:dyDescent="0.25">
      <c r="A54" s="8">
        <v>49</v>
      </c>
      <c r="B54">
        <v>49</v>
      </c>
      <c r="C54" s="27">
        <v>45391</v>
      </c>
      <c r="D54" t="s">
        <v>396</v>
      </c>
      <c r="E54">
        <v>-200</v>
      </c>
      <c r="G54" t="s">
        <v>74</v>
      </c>
      <c r="H54" t="s">
        <v>14</v>
      </c>
      <c r="I54" t="s">
        <v>69</v>
      </c>
      <c r="J54" s="27">
        <v>45383</v>
      </c>
      <c r="K54">
        <v>2024</v>
      </c>
      <c r="L54" s="27">
        <v>45391</v>
      </c>
      <c r="M54">
        <v>-16.400000000000091</v>
      </c>
      <c r="N54">
        <v>3</v>
      </c>
      <c r="O54" t="s">
        <v>16</v>
      </c>
      <c r="P54">
        <f t="shared" si="0"/>
        <v>0</v>
      </c>
    </row>
    <row r="55" spans="1:20" hidden="1" x14ac:dyDescent="0.25">
      <c r="A55" s="8">
        <v>50</v>
      </c>
      <c r="B55">
        <v>50</v>
      </c>
      <c r="C55" s="27">
        <v>45391</v>
      </c>
      <c r="D55" t="s">
        <v>397</v>
      </c>
      <c r="E55">
        <v>200</v>
      </c>
      <c r="G55" t="s">
        <v>24</v>
      </c>
      <c r="H55" t="s">
        <v>14</v>
      </c>
      <c r="I55" t="s">
        <v>25</v>
      </c>
      <c r="J55" s="27">
        <v>45383</v>
      </c>
      <c r="K55">
        <v>2024</v>
      </c>
      <c r="L55" s="27">
        <v>45391</v>
      </c>
      <c r="M55">
        <v>183.59999999999991</v>
      </c>
      <c r="N55">
        <v>9</v>
      </c>
      <c r="O55" t="s">
        <v>16</v>
      </c>
      <c r="P55">
        <f t="shared" si="0"/>
        <v>0</v>
      </c>
    </row>
    <row r="56" spans="1:20" hidden="1" x14ac:dyDescent="0.25">
      <c r="A56" s="8">
        <v>51</v>
      </c>
      <c r="B56">
        <v>51</v>
      </c>
      <c r="C56" s="27">
        <v>45392</v>
      </c>
      <c r="D56" t="s">
        <v>398</v>
      </c>
      <c r="E56">
        <v>32</v>
      </c>
      <c r="G56" t="s">
        <v>74</v>
      </c>
      <c r="H56" t="s">
        <v>14</v>
      </c>
      <c r="I56" t="s">
        <v>69</v>
      </c>
      <c r="J56" s="27">
        <v>45383</v>
      </c>
      <c r="K56">
        <v>2024</v>
      </c>
      <c r="L56" s="27">
        <v>45392</v>
      </c>
      <c r="M56">
        <v>215.59999999999991</v>
      </c>
      <c r="N56">
        <v>4</v>
      </c>
      <c r="O56" t="s">
        <v>16</v>
      </c>
      <c r="P56">
        <f t="shared" si="0"/>
        <v>0</v>
      </c>
    </row>
    <row r="57" spans="1:20" hidden="1" x14ac:dyDescent="0.25">
      <c r="A57" s="8">
        <v>52</v>
      </c>
      <c r="B57">
        <v>52</v>
      </c>
      <c r="C57" s="27">
        <v>45392</v>
      </c>
      <c r="D57" t="s">
        <v>399</v>
      </c>
      <c r="E57">
        <v>269</v>
      </c>
      <c r="G57" t="s">
        <v>74</v>
      </c>
      <c r="H57" t="s">
        <v>14</v>
      </c>
      <c r="I57" t="s">
        <v>69</v>
      </c>
      <c r="J57" s="27">
        <v>45383</v>
      </c>
      <c r="K57">
        <v>2024</v>
      </c>
      <c r="L57" s="27">
        <v>45392</v>
      </c>
      <c r="M57">
        <v>484.59999999999991</v>
      </c>
      <c r="N57">
        <v>5</v>
      </c>
      <c r="O57" t="s">
        <v>16</v>
      </c>
      <c r="P57">
        <f t="shared" si="0"/>
        <v>0</v>
      </c>
    </row>
    <row r="58" spans="1:20" hidden="1" x14ac:dyDescent="0.25">
      <c r="A58" s="8">
        <v>53</v>
      </c>
      <c r="B58">
        <v>53</v>
      </c>
      <c r="C58" s="27">
        <v>45397</v>
      </c>
      <c r="D58" t="s">
        <v>400</v>
      </c>
      <c r="E58">
        <v>-20</v>
      </c>
      <c r="G58" t="s">
        <v>36</v>
      </c>
      <c r="H58" t="s">
        <v>14</v>
      </c>
      <c r="I58" t="s">
        <v>25</v>
      </c>
      <c r="J58" s="27">
        <v>45383</v>
      </c>
      <c r="K58">
        <v>2024</v>
      </c>
      <c r="L58" s="27">
        <v>45397</v>
      </c>
      <c r="M58">
        <v>464.59999999999991</v>
      </c>
      <c r="N58">
        <v>5</v>
      </c>
      <c r="O58" t="s">
        <v>16</v>
      </c>
      <c r="P58">
        <f t="shared" si="0"/>
        <v>0</v>
      </c>
    </row>
    <row r="59" spans="1:20" x14ac:dyDescent="0.25">
      <c r="A59" s="8">
        <v>54</v>
      </c>
      <c r="B59">
        <v>54</v>
      </c>
      <c r="C59" s="27">
        <v>45397</v>
      </c>
      <c r="D59" t="s">
        <v>401</v>
      </c>
      <c r="E59">
        <v>-220</v>
      </c>
      <c r="G59" t="s">
        <v>68</v>
      </c>
      <c r="H59" t="s">
        <v>28</v>
      </c>
      <c r="I59" t="s">
        <v>69</v>
      </c>
      <c r="J59" s="27">
        <v>45383</v>
      </c>
      <c r="K59">
        <v>2024</v>
      </c>
      <c r="L59" s="27">
        <v>45397</v>
      </c>
      <c r="M59">
        <v>244.59999999999991</v>
      </c>
      <c r="N59">
        <v>2</v>
      </c>
      <c r="O59" t="s">
        <v>16</v>
      </c>
      <c r="P59">
        <f t="shared" si="0"/>
        <v>0</v>
      </c>
    </row>
    <row r="60" spans="1:20" hidden="1" x14ac:dyDescent="0.25">
      <c r="A60" s="8">
        <v>55</v>
      </c>
      <c r="B60">
        <v>55</v>
      </c>
      <c r="C60" s="27">
        <v>45397</v>
      </c>
      <c r="D60" t="s">
        <v>402</v>
      </c>
      <c r="E60">
        <v>-44</v>
      </c>
      <c r="G60" t="s">
        <v>57</v>
      </c>
      <c r="H60" t="s">
        <v>14</v>
      </c>
      <c r="I60" t="s">
        <v>40</v>
      </c>
      <c r="J60" s="27">
        <v>45383</v>
      </c>
      <c r="K60">
        <v>2024</v>
      </c>
      <c r="L60" s="27">
        <v>45397</v>
      </c>
      <c r="M60">
        <v>200.59999999999991</v>
      </c>
      <c r="N60">
        <v>2</v>
      </c>
      <c r="O60" t="s">
        <v>16</v>
      </c>
      <c r="P60">
        <f t="shared" si="0"/>
        <v>0</v>
      </c>
    </row>
    <row r="61" spans="1:20" hidden="1" x14ac:dyDescent="0.25">
      <c r="A61" s="8">
        <v>56</v>
      </c>
      <c r="B61">
        <v>56</v>
      </c>
      <c r="C61" s="27">
        <v>45400</v>
      </c>
      <c r="D61" t="s">
        <v>403</v>
      </c>
      <c r="E61">
        <v>-65.83</v>
      </c>
      <c r="G61" t="s">
        <v>392</v>
      </c>
      <c r="H61" t="s">
        <v>14</v>
      </c>
      <c r="I61" t="s">
        <v>25</v>
      </c>
      <c r="J61" s="27">
        <v>45383</v>
      </c>
      <c r="K61">
        <v>2024</v>
      </c>
      <c r="L61" s="27">
        <v>45400</v>
      </c>
      <c r="M61">
        <v>134.7699999999999</v>
      </c>
      <c r="N61">
        <v>4</v>
      </c>
      <c r="O61" t="s">
        <v>16</v>
      </c>
      <c r="P61">
        <f t="shared" si="0"/>
        <v>0</v>
      </c>
    </row>
    <row r="62" spans="1:20" hidden="1" x14ac:dyDescent="0.25">
      <c r="A62" s="8">
        <v>57</v>
      </c>
      <c r="B62">
        <v>57</v>
      </c>
      <c r="C62" s="27">
        <v>45400</v>
      </c>
      <c r="D62" t="s">
        <v>404</v>
      </c>
      <c r="E62">
        <v>527.55999999999995</v>
      </c>
      <c r="G62" t="s">
        <v>337</v>
      </c>
      <c r="H62" t="s">
        <v>14</v>
      </c>
      <c r="I62" t="s">
        <v>386</v>
      </c>
      <c r="J62" s="27">
        <v>45383</v>
      </c>
      <c r="K62">
        <v>2024</v>
      </c>
      <c r="L62" s="27">
        <v>45400</v>
      </c>
      <c r="M62">
        <v>662.32999999999993</v>
      </c>
      <c r="N62">
        <v>8</v>
      </c>
      <c r="O62" t="s">
        <v>16</v>
      </c>
      <c r="P62">
        <f t="shared" si="0"/>
        <v>0</v>
      </c>
    </row>
    <row r="63" spans="1:20" hidden="1" x14ac:dyDescent="0.25">
      <c r="A63" s="8">
        <v>58</v>
      </c>
      <c r="B63">
        <v>58</v>
      </c>
      <c r="C63" s="27">
        <v>45400</v>
      </c>
      <c r="D63" t="s">
        <v>405</v>
      </c>
      <c r="E63">
        <v>3000</v>
      </c>
      <c r="G63" t="s">
        <v>406</v>
      </c>
      <c r="H63" t="s">
        <v>14</v>
      </c>
      <c r="I63" t="s">
        <v>25</v>
      </c>
      <c r="J63" s="27">
        <v>45383</v>
      </c>
      <c r="K63">
        <v>2024</v>
      </c>
      <c r="L63" s="27">
        <v>45400</v>
      </c>
      <c r="M63">
        <v>3662.33</v>
      </c>
      <c r="N63">
        <v>1</v>
      </c>
      <c r="O63" t="s">
        <v>16</v>
      </c>
      <c r="P63">
        <f t="shared" si="0"/>
        <v>0</v>
      </c>
    </row>
    <row r="64" spans="1:20" hidden="1" x14ac:dyDescent="0.25">
      <c r="A64" s="8">
        <v>59</v>
      </c>
      <c r="B64">
        <v>59</v>
      </c>
      <c r="C64" s="27">
        <v>45401</v>
      </c>
      <c r="D64" t="s">
        <v>407</v>
      </c>
      <c r="E64">
        <v>-3000</v>
      </c>
      <c r="G64" t="s">
        <v>39</v>
      </c>
      <c r="H64" t="s">
        <v>28</v>
      </c>
      <c r="I64" t="s">
        <v>40</v>
      </c>
      <c r="J64" s="27">
        <v>45383</v>
      </c>
      <c r="K64">
        <v>2024</v>
      </c>
      <c r="L64" s="27">
        <v>45401</v>
      </c>
      <c r="M64">
        <v>662.32999999999993</v>
      </c>
      <c r="N64">
        <v>4</v>
      </c>
      <c r="O64" t="s">
        <v>16</v>
      </c>
      <c r="P64">
        <f t="shared" si="0"/>
        <v>0</v>
      </c>
    </row>
    <row r="65" spans="1:16" hidden="1" x14ac:dyDescent="0.25">
      <c r="A65" s="8">
        <v>60</v>
      </c>
      <c r="B65">
        <v>60</v>
      </c>
      <c r="C65" s="27">
        <v>45404</v>
      </c>
      <c r="D65" t="s">
        <v>75</v>
      </c>
      <c r="E65">
        <v>-5</v>
      </c>
      <c r="G65" t="s">
        <v>74</v>
      </c>
      <c r="H65" t="s">
        <v>14</v>
      </c>
      <c r="I65" t="s">
        <v>69</v>
      </c>
      <c r="J65" s="27">
        <v>45383</v>
      </c>
      <c r="K65">
        <v>2024</v>
      </c>
      <c r="L65" s="27">
        <v>45404</v>
      </c>
      <c r="M65">
        <v>657.32999999999993</v>
      </c>
      <c r="N65">
        <v>6</v>
      </c>
      <c r="O65" t="s">
        <v>16</v>
      </c>
      <c r="P65">
        <f t="shared" si="0"/>
        <v>0</v>
      </c>
    </row>
    <row r="66" spans="1:16" hidden="1" x14ac:dyDescent="0.25">
      <c r="A66" s="8">
        <v>61</v>
      </c>
      <c r="B66">
        <v>61</v>
      </c>
      <c r="C66" s="27">
        <v>45404</v>
      </c>
      <c r="D66" t="s">
        <v>408</v>
      </c>
      <c r="E66">
        <v>-118.79</v>
      </c>
      <c r="G66" t="s">
        <v>409</v>
      </c>
      <c r="H66" t="s">
        <v>14</v>
      </c>
      <c r="I66" t="s">
        <v>395</v>
      </c>
      <c r="J66" s="27">
        <v>45383</v>
      </c>
      <c r="K66">
        <v>2024</v>
      </c>
      <c r="L66" s="27">
        <v>45404</v>
      </c>
      <c r="M66">
        <v>538.54</v>
      </c>
      <c r="N66">
        <v>1</v>
      </c>
      <c r="O66" t="s">
        <v>16</v>
      </c>
      <c r="P66">
        <f t="shared" si="0"/>
        <v>0</v>
      </c>
    </row>
    <row r="67" spans="1:16" hidden="1" x14ac:dyDescent="0.25">
      <c r="A67" s="8">
        <v>62</v>
      </c>
      <c r="B67">
        <v>62</v>
      </c>
      <c r="C67" s="27">
        <v>45404</v>
      </c>
      <c r="D67" t="s">
        <v>410</v>
      </c>
      <c r="E67">
        <v>1020</v>
      </c>
      <c r="G67" t="s">
        <v>278</v>
      </c>
      <c r="H67" t="s">
        <v>14</v>
      </c>
      <c r="I67" t="s">
        <v>44</v>
      </c>
      <c r="J67" s="27">
        <v>45383</v>
      </c>
      <c r="K67">
        <v>2024</v>
      </c>
      <c r="L67" s="27">
        <v>45404</v>
      </c>
      <c r="M67">
        <v>1558.54</v>
      </c>
      <c r="N67">
        <v>3</v>
      </c>
      <c r="O67" t="s">
        <v>16</v>
      </c>
      <c r="P67">
        <f t="shared" si="0"/>
        <v>0</v>
      </c>
    </row>
    <row r="68" spans="1:16" hidden="1" x14ac:dyDescent="0.25">
      <c r="A68" s="8">
        <v>63</v>
      </c>
      <c r="B68">
        <v>63</v>
      </c>
      <c r="C68" s="27">
        <v>45405</v>
      </c>
      <c r="D68" t="s">
        <v>78</v>
      </c>
      <c r="E68">
        <v>-0.16</v>
      </c>
      <c r="G68" t="s">
        <v>79</v>
      </c>
      <c r="H68" t="s">
        <v>14</v>
      </c>
      <c r="I68" t="s">
        <v>80</v>
      </c>
      <c r="J68" s="27">
        <v>45383</v>
      </c>
      <c r="K68">
        <v>2024</v>
      </c>
      <c r="L68" s="27">
        <v>45405</v>
      </c>
      <c r="M68">
        <v>1558.38</v>
      </c>
      <c r="N68">
        <v>2</v>
      </c>
      <c r="O68" t="s">
        <v>16</v>
      </c>
      <c r="P68">
        <f t="shared" si="0"/>
        <v>0</v>
      </c>
    </row>
    <row r="69" spans="1:16" hidden="1" x14ac:dyDescent="0.25">
      <c r="A69" s="8">
        <v>64</v>
      </c>
      <c r="B69">
        <v>64</v>
      </c>
      <c r="C69" s="27">
        <v>45405</v>
      </c>
      <c r="D69" t="s">
        <v>411</v>
      </c>
      <c r="E69">
        <v>-5.4</v>
      </c>
      <c r="G69" t="s">
        <v>409</v>
      </c>
      <c r="H69" t="s">
        <v>14</v>
      </c>
      <c r="I69" t="s">
        <v>395</v>
      </c>
      <c r="J69" s="27">
        <v>45383</v>
      </c>
      <c r="K69">
        <v>2024</v>
      </c>
      <c r="L69" s="27">
        <v>45405</v>
      </c>
      <c r="M69">
        <v>1552.98</v>
      </c>
      <c r="N69">
        <v>2</v>
      </c>
      <c r="O69" t="s">
        <v>16</v>
      </c>
      <c r="P69">
        <f t="shared" ref="P69:P132" si="1">IF(J69&lt;&gt;J70, 1, 0)</f>
        <v>0</v>
      </c>
    </row>
    <row r="70" spans="1:16" hidden="1" x14ac:dyDescent="0.25">
      <c r="A70" s="8">
        <v>65</v>
      </c>
      <c r="B70">
        <v>65</v>
      </c>
      <c r="C70" s="27">
        <v>45407</v>
      </c>
      <c r="D70" t="s">
        <v>78</v>
      </c>
      <c r="E70">
        <v>-0.59</v>
      </c>
      <c r="G70" t="s">
        <v>79</v>
      </c>
      <c r="H70" t="s">
        <v>14</v>
      </c>
      <c r="I70" t="s">
        <v>80</v>
      </c>
      <c r="J70" s="27">
        <v>45383</v>
      </c>
      <c r="K70">
        <v>2024</v>
      </c>
      <c r="L70" s="27">
        <v>45407</v>
      </c>
      <c r="M70">
        <v>1552.39</v>
      </c>
      <c r="N70">
        <v>3</v>
      </c>
      <c r="O70" t="s">
        <v>16</v>
      </c>
      <c r="P70">
        <f t="shared" si="1"/>
        <v>0</v>
      </c>
    </row>
    <row r="71" spans="1:16" hidden="1" x14ac:dyDescent="0.25">
      <c r="A71" s="8">
        <v>66</v>
      </c>
      <c r="B71">
        <v>66</v>
      </c>
      <c r="C71" s="27">
        <v>45407</v>
      </c>
      <c r="D71" t="s">
        <v>412</v>
      </c>
      <c r="E71">
        <v>-19.84</v>
      </c>
      <c r="G71" t="s">
        <v>409</v>
      </c>
      <c r="H71" t="s">
        <v>14</v>
      </c>
      <c r="I71" t="s">
        <v>395</v>
      </c>
      <c r="J71" s="27">
        <v>45383</v>
      </c>
      <c r="K71">
        <v>2024</v>
      </c>
      <c r="L71" s="27">
        <v>45407</v>
      </c>
      <c r="M71">
        <v>1532.55</v>
      </c>
      <c r="N71">
        <v>3</v>
      </c>
      <c r="O71" t="s">
        <v>16</v>
      </c>
      <c r="P71">
        <f t="shared" si="1"/>
        <v>0</v>
      </c>
    </row>
    <row r="72" spans="1:16" hidden="1" x14ac:dyDescent="0.25">
      <c r="A72" s="8">
        <v>67</v>
      </c>
      <c r="B72">
        <v>67</v>
      </c>
      <c r="C72" s="27">
        <v>45411</v>
      </c>
      <c r="D72" t="s">
        <v>78</v>
      </c>
      <c r="E72">
        <v>-0.19</v>
      </c>
      <c r="G72" t="s">
        <v>79</v>
      </c>
      <c r="H72" t="s">
        <v>14</v>
      </c>
      <c r="I72" t="s">
        <v>80</v>
      </c>
      <c r="J72" s="27">
        <v>45383</v>
      </c>
      <c r="K72">
        <v>2024</v>
      </c>
      <c r="L72" s="27">
        <v>45411</v>
      </c>
      <c r="M72">
        <v>1532.36</v>
      </c>
      <c r="N72">
        <v>4</v>
      </c>
      <c r="O72" t="s">
        <v>16</v>
      </c>
      <c r="P72">
        <f t="shared" si="1"/>
        <v>0</v>
      </c>
    </row>
    <row r="73" spans="1:16" hidden="1" x14ac:dyDescent="0.25">
      <c r="A73" s="8">
        <v>68</v>
      </c>
      <c r="B73">
        <v>68</v>
      </c>
      <c r="C73" s="27">
        <v>45411</v>
      </c>
      <c r="D73" t="s">
        <v>413</v>
      </c>
      <c r="E73">
        <v>-6.43</v>
      </c>
      <c r="G73" t="s">
        <v>409</v>
      </c>
      <c r="H73" t="s">
        <v>14</v>
      </c>
      <c r="I73" t="s">
        <v>395</v>
      </c>
      <c r="J73" s="27">
        <v>45383</v>
      </c>
      <c r="K73">
        <v>2024</v>
      </c>
      <c r="L73" s="27">
        <v>45411</v>
      </c>
      <c r="M73">
        <v>1525.93</v>
      </c>
      <c r="N73">
        <v>4</v>
      </c>
      <c r="O73" t="s">
        <v>16</v>
      </c>
      <c r="P73">
        <f t="shared" si="1"/>
        <v>0</v>
      </c>
    </row>
    <row r="74" spans="1:16" hidden="1" x14ac:dyDescent="0.25">
      <c r="A74" s="8">
        <v>69</v>
      </c>
      <c r="B74">
        <v>69</v>
      </c>
      <c r="C74" s="27">
        <v>45411</v>
      </c>
      <c r="D74" t="s">
        <v>78</v>
      </c>
      <c r="E74">
        <v>-6.17</v>
      </c>
      <c r="G74" t="s">
        <v>79</v>
      </c>
      <c r="H74" t="s">
        <v>14</v>
      </c>
      <c r="I74" t="s">
        <v>80</v>
      </c>
      <c r="J74" s="27">
        <v>45383</v>
      </c>
      <c r="K74">
        <v>2024</v>
      </c>
      <c r="L74" s="27">
        <v>45411</v>
      </c>
      <c r="M74">
        <v>1519.76</v>
      </c>
      <c r="N74">
        <v>5</v>
      </c>
      <c r="O74" t="s">
        <v>16</v>
      </c>
      <c r="P74">
        <f t="shared" si="1"/>
        <v>0</v>
      </c>
    </row>
    <row r="75" spans="1:16" hidden="1" x14ac:dyDescent="0.25">
      <c r="A75" s="8">
        <v>70</v>
      </c>
      <c r="B75">
        <v>70</v>
      </c>
      <c r="C75" s="27">
        <v>45411</v>
      </c>
      <c r="D75" t="s">
        <v>414</v>
      </c>
      <c r="E75">
        <v>-205.7</v>
      </c>
      <c r="G75" t="s">
        <v>409</v>
      </c>
      <c r="H75" t="s">
        <v>14</v>
      </c>
      <c r="I75" t="s">
        <v>395</v>
      </c>
      <c r="J75" s="27">
        <v>45383</v>
      </c>
      <c r="K75">
        <v>2024</v>
      </c>
      <c r="L75" s="27">
        <v>45411</v>
      </c>
      <c r="M75">
        <v>1314.06</v>
      </c>
      <c r="N75">
        <v>5</v>
      </c>
      <c r="O75" t="s">
        <v>16</v>
      </c>
      <c r="P75">
        <f t="shared" si="1"/>
        <v>1</v>
      </c>
    </row>
    <row r="76" spans="1:16" hidden="1" x14ac:dyDescent="0.25">
      <c r="A76" s="8">
        <v>71</v>
      </c>
      <c r="B76">
        <v>71</v>
      </c>
      <c r="C76" s="27">
        <v>45413</v>
      </c>
      <c r="D76" t="s">
        <v>78</v>
      </c>
      <c r="E76">
        <v>-0.21</v>
      </c>
      <c r="G76" t="s">
        <v>79</v>
      </c>
      <c r="H76" t="s">
        <v>14</v>
      </c>
      <c r="I76" t="s">
        <v>80</v>
      </c>
      <c r="J76" s="27">
        <v>45413</v>
      </c>
      <c r="K76">
        <v>2024</v>
      </c>
      <c r="L76" s="27">
        <v>45413</v>
      </c>
      <c r="M76">
        <v>1313.85</v>
      </c>
      <c r="N76">
        <v>6</v>
      </c>
      <c r="O76" t="s">
        <v>16</v>
      </c>
      <c r="P76">
        <f t="shared" si="1"/>
        <v>0</v>
      </c>
    </row>
    <row r="77" spans="1:16" hidden="1" x14ac:dyDescent="0.25">
      <c r="A77" s="8">
        <v>72</v>
      </c>
      <c r="B77">
        <v>72</v>
      </c>
      <c r="C77" s="27">
        <v>45413</v>
      </c>
      <c r="D77" t="s">
        <v>415</v>
      </c>
      <c r="E77">
        <v>-7.24</v>
      </c>
      <c r="G77" t="s">
        <v>409</v>
      </c>
      <c r="H77" t="s">
        <v>14</v>
      </c>
      <c r="I77" t="s">
        <v>395</v>
      </c>
      <c r="J77" s="27">
        <v>45413</v>
      </c>
      <c r="K77">
        <v>2024</v>
      </c>
      <c r="L77" s="27">
        <v>45413</v>
      </c>
      <c r="M77">
        <v>1306.6099999999999</v>
      </c>
      <c r="N77">
        <v>6</v>
      </c>
      <c r="O77" t="s">
        <v>16</v>
      </c>
      <c r="P77">
        <f t="shared" si="1"/>
        <v>0</v>
      </c>
    </row>
    <row r="78" spans="1:16" hidden="1" x14ac:dyDescent="0.25">
      <c r="A78" s="8">
        <v>73</v>
      </c>
      <c r="B78">
        <v>73</v>
      </c>
      <c r="C78" s="27">
        <v>45414</v>
      </c>
      <c r="D78" t="s">
        <v>416</v>
      </c>
      <c r="E78">
        <v>527.55999999999995</v>
      </c>
      <c r="G78" t="s">
        <v>337</v>
      </c>
      <c r="H78" t="s">
        <v>14</v>
      </c>
      <c r="I78" t="s">
        <v>386</v>
      </c>
      <c r="J78" s="27">
        <v>45413</v>
      </c>
      <c r="K78">
        <v>2024</v>
      </c>
      <c r="L78" s="27">
        <v>45414</v>
      </c>
      <c r="M78">
        <v>1834.17</v>
      </c>
      <c r="N78">
        <v>9</v>
      </c>
      <c r="O78" t="s">
        <v>16</v>
      </c>
      <c r="P78">
        <f t="shared" si="1"/>
        <v>0</v>
      </c>
    </row>
    <row r="79" spans="1:16" hidden="1" x14ac:dyDescent="0.25">
      <c r="A79" s="8">
        <v>74</v>
      </c>
      <c r="B79">
        <v>74</v>
      </c>
      <c r="C79" s="27">
        <v>45418</v>
      </c>
      <c r="D79" t="s">
        <v>75</v>
      </c>
      <c r="E79">
        <v>-2.5</v>
      </c>
      <c r="G79" t="s">
        <v>74</v>
      </c>
      <c r="H79" t="s">
        <v>14</v>
      </c>
      <c r="I79" t="s">
        <v>69</v>
      </c>
      <c r="J79" s="27">
        <v>45413</v>
      </c>
      <c r="K79">
        <v>2024</v>
      </c>
      <c r="L79" s="27">
        <v>45418</v>
      </c>
      <c r="M79">
        <v>1831.67</v>
      </c>
      <c r="N79">
        <v>7</v>
      </c>
      <c r="O79" t="s">
        <v>16</v>
      </c>
      <c r="P79">
        <f t="shared" si="1"/>
        <v>0</v>
      </c>
    </row>
    <row r="80" spans="1:16" hidden="1" x14ac:dyDescent="0.25">
      <c r="A80" s="8">
        <v>75</v>
      </c>
      <c r="B80">
        <v>75</v>
      </c>
      <c r="C80" s="27">
        <v>45418</v>
      </c>
      <c r="D80" t="s">
        <v>417</v>
      </c>
      <c r="E80">
        <v>-103.25</v>
      </c>
      <c r="G80" t="s">
        <v>74</v>
      </c>
      <c r="H80" t="s">
        <v>14</v>
      </c>
      <c r="I80" t="s">
        <v>69</v>
      </c>
      <c r="J80" s="27">
        <v>45413</v>
      </c>
      <c r="K80">
        <v>2024</v>
      </c>
      <c r="L80" s="27">
        <v>45418</v>
      </c>
      <c r="M80">
        <v>1728.42</v>
      </c>
      <c r="N80">
        <v>8</v>
      </c>
      <c r="O80" t="s">
        <v>16</v>
      </c>
      <c r="P80">
        <f t="shared" si="1"/>
        <v>0</v>
      </c>
    </row>
    <row r="81" spans="1:16" hidden="1" x14ac:dyDescent="0.25">
      <c r="A81" s="8">
        <v>76</v>
      </c>
      <c r="B81">
        <v>76</v>
      </c>
      <c r="C81" s="27">
        <v>45419</v>
      </c>
      <c r="D81" t="s">
        <v>418</v>
      </c>
      <c r="E81">
        <v>321.5</v>
      </c>
      <c r="G81" t="s">
        <v>36</v>
      </c>
      <c r="H81" t="s">
        <v>14</v>
      </c>
      <c r="I81" t="s">
        <v>25</v>
      </c>
      <c r="J81" s="27">
        <v>45413</v>
      </c>
      <c r="K81">
        <v>2024</v>
      </c>
      <c r="L81" s="27">
        <v>45419</v>
      </c>
      <c r="M81">
        <v>2049.92</v>
      </c>
      <c r="N81">
        <v>6</v>
      </c>
      <c r="O81" t="s">
        <v>16</v>
      </c>
      <c r="P81">
        <f t="shared" si="1"/>
        <v>0</v>
      </c>
    </row>
    <row r="82" spans="1:16" hidden="1" x14ac:dyDescent="0.25">
      <c r="A82" s="8">
        <v>77</v>
      </c>
      <c r="B82">
        <v>77</v>
      </c>
      <c r="C82" s="27">
        <v>45426</v>
      </c>
      <c r="D82" t="s">
        <v>419</v>
      </c>
      <c r="E82">
        <v>-31.9</v>
      </c>
      <c r="G82" t="s">
        <v>394</v>
      </c>
      <c r="H82" t="s">
        <v>14</v>
      </c>
      <c r="I82" t="s">
        <v>395</v>
      </c>
      <c r="J82" s="27">
        <v>45413</v>
      </c>
      <c r="K82">
        <v>2024</v>
      </c>
      <c r="L82" s="27">
        <v>45426</v>
      </c>
      <c r="M82">
        <v>2018.02</v>
      </c>
      <c r="N82">
        <v>2</v>
      </c>
      <c r="O82" t="s">
        <v>16</v>
      </c>
      <c r="P82">
        <f t="shared" si="1"/>
        <v>0</v>
      </c>
    </row>
    <row r="83" spans="1:16" hidden="1" x14ac:dyDescent="0.25">
      <c r="A83" s="8">
        <v>78</v>
      </c>
      <c r="B83">
        <v>78</v>
      </c>
      <c r="C83" s="27">
        <v>45426</v>
      </c>
      <c r="D83" t="s">
        <v>420</v>
      </c>
      <c r="E83">
        <v>-10.14</v>
      </c>
      <c r="G83" t="s">
        <v>394</v>
      </c>
      <c r="H83" t="s">
        <v>14</v>
      </c>
      <c r="I83" t="s">
        <v>395</v>
      </c>
      <c r="J83" s="27">
        <v>45413</v>
      </c>
      <c r="K83">
        <v>2024</v>
      </c>
      <c r="L83" s="27">
        <v>45426</v>
      </c>
      <c r="M83">
        <v>2007.879999999999</v>
      </c>
      <c r="N83">
        <v>3</v>
      </c>
      <c r="O83" t="s">
        <v>16</v>
      </c>
      <c r="P83">
        <f t="shared" si="1"/>
        <v>0</v>
      </c>
    </row>
    <row r="84" spans="1:16" x14ac:dyDescent="0.25">
      <c r="A84" s="8">
        <v>79</v>
      </c>
      <c r="B84">
        <v>79</v>
      </c>
      <c r="C84" s="27">
        <v>45427</v>
      </c>
      <c r="D84" t="s">
        <v>421</v>
      </c>
      <c r="E84">
        <v>-220</v>
      </c>
      <c r="G84" t="s">
        <v>68</v>
      </c>
      <c r="H84" t="s">
        <v>28</v>
      </c>
      <c r="I84" t="s">
        <v>69</v>
      </c>
      <c r="J84" s="27">
        <v>45413</v>
      </c>
      <c r="K84">
        <v>2024</v>
      </c>
      <c r="L84" s="27">
        <v>45427</v>
      </c>
      <c r="M84">
        <v>1787.879999999999</v>
      </c>
      <c r="N84">
        <v>3</v>
      </c>
      <c r="O84" t="s">
        <v>16</v>
      </c>
      <c r="P84">
        <f t="shared" si="1"/>
        <v>0</v>
      </c>
    </row>
    <row r="85" spans="1:16" hidden="1" x14ac:dyDescent="0.25">
      <c r="A85" s="8">
        <v>80</v>
      </c>
      <c r="B85">
        <v>80</v>
      </c>
      <c r="C85" s="27">
        <v>45427</v>
      </c>
      <c r="D85" t="s">
        <v>78</v>
      </c>
      <c r="E85">
        <v>-0.09</v>
      </c>
      <c r="G85" t="s">
        <v>79</v>
      </c>
      <c r="H85" t="s">
        <v>14</v>
      </c>
      <c r="I85" t="s">
        <v>80</v>
      </c>
      <c r="J85" s="27">
        <v>45413</v>
      </c>
      <c r="K85">
        <v>2024</v>
      </c>
      <c r="L85" s="27">
        <v>45427</v>
      </c>
      <c r="M85">
        <v>1787.79</v>
      </c>
      <c r="N85">
        <v>7</v>
      </c>
      <c r="O85" t="s">
        <v>16</v>
      </c>
      <c r="P85">
        <f t="shared" si="1"/>
        <v>0</v>
      </c>
    </row>
    <row r="86" spans="1:16" hidden="1" x14ac:dyDescent="0.25">
      <c r="A86" s="8">
        <v>81</v>
      </c>
      <c r="B86">
        <v>81</v>
      </c>
      <c r="C86" s="27">
        <v>45427</v>
      </c>
      <c r="D86" t="s">
        <v>422</v>
      </c>
      <c r="E86">
        <v>-3.25</v>
      </c>
      <c r="G86" t="s">
        <v>394</v>
      </c>
      <c r="H86" t="s">
        <v>14</v>
      </c>
      <c r="I86" t="s">
        <v>395</v>
      </c>
      <c r="J86" s="27">
        <v>45413</v>
      </c>
      <c r="K86">
        <v>2024</v>
      </c>
      <c r="L86" s="27">
        <v>45427</v>
      </c>
      <c r="M86">
        <v>1784.54</v>
      </c>
      <c r="N86">
        <v>4</v>
      </c>
      <c r="O86" t="s">
        <v>16</v>
      </c>
      <c r="P86">
        <f t="shared" si="1"/>
        <v>0</v>
      </c>
    </row>
    <row r="87" spans="1:16" hidden="1" x14ac:dyDescent="0.25">
      <c r="A87" s="8">
        <v>82</v>
      </c>
      <c r="B87">
        <v>82</v>
      </c>
      <c r="C87" s="27">
        <v>45427</v>
      </c>
      <c r="D87" t="s">
        <v>78</v>
      </c>
      <c r="E87">
        <v>-0.09</v>
      </c>
      <c r="G87" t="s">
        <v>79</v>
      </c>
      <c r="H87" t="s">
        <v>14</v>
      </c>
      <c r="I87" t="s">
        <v>80</v>
      </c>
      <c r="J87" s="27">
        <v>45413</v>
      </c>
      <c r="K87">
        <v>2024</v>
      </c>
      <c r="L87" s="27">
        <v>45427</v>
      </c>
      <c r="M87">
        <v>1784.45</v>
      </c>
      <c r="N87">
        <v>8</v>
      </c>
      <c r="O87" t="s">
        <v>16</v>
      </c>
      <c r="P87">
        <f t="shared" si="1"/>
        <v>0</v>
      </c>
    </row>
    <row r="88" spans="1:16" hidden="1" x14ac:dyDescent="0.25">
      <c r="A88" s="8">
        <v>83</v>
      </c>
      <c r="B88">
        <v>83</v>
      </c>
      <c r="C88" s="27">
        <v>45427</v>
      </c>
      <c r="D88" t="s">
        <v>423</v>
      </c>
      <c r="E88">
        <v>-3.32</v>
      </c>
      <c r="G88" t="s">
        <v>394</v>
      </c>
      <c r="H88" t="s">
        <v>14</v>
      </c>
      <c r="I88" t="s">
        <v>395</v>
      </c>
      <c r="J88" s="27">
        <v>45413</v>
      </c>
      <c r="K88">
        <v>2024</v>
      </c>
      <c r="L88" s="27">
        <v>45427</v>
      </c>
      <c r="M88">
        <v>1781.13</v>
      </c>
      <c r="N88">
        <v>5</v>
      </c>
      <c r="O88" t="s">
        <v>16</v>
      </c>
      <c r="P88">
        <f t="shared" si="1"/>
        <v>0</v>
      </c>
    </row>
    <row r="89" spans="1:16" hidden="1" x14ac:dyDescent="0.25">
      <c r="A89" s="8">
        <v>84</v>
      </c>
      <c r="B89">
        <v>84</v>
      </c>
      <c r="C89" s="27">
        <v>45427</v>
      </c>
      <c r="D89" t="s">
        <v>78</v>
      </c>
      <c r="E89">
        <v>-0.41</v>
      </c>
      <c r="G89" t="s">
        <v>79</v>
      </c>
      <c r="H89" t="s">
        <v>14</v>
      </c>
      <c r="I89" t="s">
        <v>80</v>
      </c>
      <c r="J89" s="27">
        <v>45413</v>
      </c>
      <c r="K89">
        <v>2024</v>
      </c>
      <c r="L89" s="27">
        <v>45427</v>
      </c>
      <c r="M89">
        <v>1780.72</v>
      </c>
      <c r="N89">
        <v>9</v>
      </c>
      <c r="O89" t="s">
        <v>16</v>
      </c>
      <c r="P89">
        <f t="shared" si="1"/>
        <v>0</v>
      </c>
    </row>
    <row r="90" spans="1:16" hidden="1" x14ac:dyDescent="0.25">
      <c r="A90" s="8">
        <v>85</v>
      </c>
      <c r="B90">
        <v>85</v>
      </c>
      <c r="C90" s="27">
        <v>45427</v>
      </c>
      <c r="D90" t="s">
        <v>424</v>
      </c>
      <c r="E90">
        <v>-13.79</v>
      </c>
      <c r="G90" t="s">
        <v>394</v>
      </c>
      <c r="H90" t="s">
        <v>14</v>
      </c>
      <c r="I90" t="s">
        <v>395</v>
      </c>
      <c r="J90" s="27">
        <v>45413</v>
      </c>
      <c r="K90">
        <v>2024</v>
      </c>
      <c r="L90" s="27">
        <v>45427</v>
      </c>
      <c r="M90">
        <v>1766.93</v>
      </c>
      <c r="N90">
        <v>6</v>
      </c>
      <c r="O90" t="s">
        <v>16</v>
      </c>
      <c r="P90">
        <f t="shared" si="1"/>
        <v>0</v>
      </c>
    </row>
    <row r="91" spans="1:16" hidden="1" x14ac:dyDescent="0.25">
      <c r="A91" s="8">
        <v>86</v>
      </c>
      <c r="B91">
        <v>86</v>
      </c>
      <c r="C91" s="27">
        <v>45428</v>
      </c>
      <c r="D91" t="s">
        <v>425</v>
      </c>
      <c r="E91">
        <v>-60.9</v>
      </c>
      <c r="G91" t="s">
        <v>394</v>
      </c>
      <c r="H91" t="s">
        <v>14</v>
      </c>
      <c r="I91" t="s">
        <v>395</v>
      </c>
      <c r="J91" s="27">
        <v>45413</v>
      </c>
      <c r="K91">
        <v>2024</v>
      </c>
      <c r="L91" s="27">
        <v>45428</v>
      </c>
      <c r="M91">
        <v>1706.03</v>
      </c>
      <c r="N91">
        <v>7</v>
      </c>
      <c r="O91" t="s">
        <v>16</v>
      </c>
      <c r="P91">
        <f t="shared" si="1"/>
        <v>0</v>
      </c>
    </row>
    <row r="92" spans="1:16" hidden="1" x14ac:dyDescent="0.25">
      <c r="A92" s="8">
        <v>87</v>
      </c>
      <c r="B92">
        <v>87</v>
      </c>
      <c r="C92" s="27">
        <v>45428</v>
      </c>
      <c r="D92" t="s">
        <v>78</v>
      </c>
      <c r="E92">
        <v>-1.19</v>
      </c>
      <c r="G92" t="s">
        <v>79</v>
      </c>
      <c r="H92" t="s">
        <v>14</v>
      </c>
      <c r="I92" t="s">
        <v>80</v>
      </c>
      <c r="J92" s="27">
        <v>45413</v>
      </c>
      <c r="K92">
        <v>2024</v>
      </c>
      <c r="L92" s="27">
        <v>45428</v>
      </c>
      <c r="M92">
        <v>1704.839999999999</v>
      </c>
      <c r="N92">
        <v>10</v>
      </c>
      <c r="O92" t="s">
        <v>16</v>
      </c>
      <c r="P92">
        <f t="shared" si="1"/>
        <v>0</v>
      </c>
    </row>
    <row r="93" spans="1:16" hidden="1" x14ac:dyDescent="0.25">
      <c r="A93" s="8">
        <v>88</v>
      </c>
      <c r="B93">
        <v>88</v>
      </c>
      <c r="C93" s="27">
        <v>45428</v>
      </c>
      <c r="D93" t="s">
        <v>426</v>
      </c>
      <c r="E93">
        <v>-39.69</v>
      </c>
      <c r="G93" t="s">
        <v>394</v>
      </c>
      <c r="H93" t="s">
        <v>14</v>
      </c>
      <c r="I93" t="s">
        <v>395</v>
      </c>
      <c r="J93" s="27">
        <v>45413</v>
      </c>
      <c r="K93">
        <v>2024</v>
      </c>
      <c r="L93" s="27">
        <v>45428</v>
      </c>
      <c r="M93">
        <v>1665.149999999999</v>
      </c>
      <c r="N93">
        <v>8</v>
      </c>
      <c r="O93" t="s">
        <v>16</v>
      </c>
      <c r="P93">
        <f t="shared" si="1"/>
        <v>0</v>
      </c>
    </row>
    <row r="94" spans="1:16" hidden="1" x14ac:dyDescent="0.25">
      <c r="A94" s="8">
        <v>89</v>
      </c>
      <c r="B94">
        <v>89</v>
      </c>
      <c r="C94" s="27">
        <v>45428</v>
      </c>
      <c r="D94" t="s">
        <v>78</v>
      </c>
      <c r="E94">
        <v>-0.08</v>
      </c>
      <c r="G94" t="s">
        <v>79</v>
      </c>
      <c r="H94" t="s">
        <v>14</v>
      </c>
      <c r="I94" t="s">
        <v>80</v>
      </c>
      <c r="J94" s="27">
        <v>45413</v>
      </c>
      <c r="K94">
        <v>2024</v>
      </c>
      <c r="L94" s="27">
        <v>45428</v>
      </c>
      <c r="M94">
        <v>1665.069999999999</v>
      </c>
      <c r="N94">
        <v>11</v>
      </c>
      <c r="O94" t="s">
        <v>16</v>
      </c>
      <c r="P94">
        <f t="shared" si="1"/>
        <v>0</v>
      </c>
    </row>
    <row r="95" spans="1:16" hidden="1" x14ac:dyDescent="0.25">
      <c r="A95" s="8">
        <v>90</v>
      </c>
      <c r="B95">
        <v>90</v>
      </c>
      <c r="C95" s="27">
        <v>45428</v>
      </c>
      <c r="D95" t="s">
        <v>427</v>
      </c>
      <c r="E95">
        <v>-2.99</v>
      </c>
      <c r="G95" t="s">
        <v>394</v>
      </c>
      <c r="H95" t="s">
        <v>14</v>
      </c>
      <c r="I95" t="s">
        <v>395</v>
      </c>
      <c r="J95" s="27">
        <v>45413</v>
      </c>
      <c r="K95">
        <v>2024</v>
      </c>
      <c r="L95" s="27">
        <v>45428</v>
      </c>
      <c r="M95">
        <v>1662.079999999999</v>
      </c>
      <c r="N95">
        <v>9</v>
      </c>
      <c r="O95" t="s">
        <v>16</v>
      </c>
      <c r="P95">
        <f t="shared" si="1"/>
        <v>0</v>
      </c>
    </row>
    <row r="96" spans="1:16" hidden="1" x14ac:dyDescent="0.25">
      <c r="A96" s="8">
        <v>91</v>
      </c>
      <c r="B96">
        <v>91</v>
      </c>
      <c r="C96" s="27">
        <v>45428</v>
      </c>
      <c r="D96" t="s">
        <v>78</v>
      </c>
      <c r="E96">
        <v>-0.49</v>
      </c>
      <c r="G96" t="s">
        <v>79</v>
      </c>
      <c r="H96" t="s">
        <v>14</v>
      </c>
      <c r="I96" t="s">
        <v>80</v>
      </c>
      <c r="J96" s="27">
        <v>45413</v>
      </c>
      <c r="K96">
        <v>2024</v>
      </c>
      <c r="L96" s="27">
        <v>45428</v>
      </c>
      <c r="M96">
        <v>1661.589999999999</v>
      </c>
      <c r="N96">
        <v>12</v>
      </c>
      <c r="O96" t="s">
        <v>16</v>
      </c>
      <c r="P96">
        <f t="shared" si="1"/>
        <v>0</v>
      </c>
    </row>
    <row r="97" spans="1:16" hidden="1" x14ac:dyDescent="0.25">
      <c r="A97" s="8">
        <v>92</v>
      </c>
      <c r="B97">
        <v>92</v>
      </c>
      <c r="C97" s="27">
        <v>45428</v>
      </c>
      <c r="D97" t="s">
        <v>428</v>
      </c>
      <c r="E97">
        <v>-16.579999999999998</v>
      </c>
      <c r="G97" t="s">
        <v>394</v>
      </c>
      <c r="H97" t="s">
        <v>14</v>
      </c>
      <c r="I97" t="s">
        <v>395</v>
      </c>
      <c r="J97" s="27">
        <v>45413</v>
      </c>
      <c r="K97">
        <v>2024</v>
      </c>
      <c r="L97" s="27">
        <v>45428</v>
      </c>
      <c r="M97">
        <v>1645.01</v>
      </c>
      <c r="N97">
        <v>10</v>
      </c>
      <c r="O97" t="s">
        <v>16</v>
      </c>
      <c r="P97">
        <f t="shared" si="1"/>
        <v>0</v>
      </c>
    </row>
    <row r="98" spans="1:16" hidden="1" x14ac:dyDescent="0.25">
      <c r="A98" s="8">
        <v>93</v>
      </c>
      <c r="B98">
        <v>93</v>
      </c>
      <c r="C98" s="27">
        <v>45428</v>
      </c>
      <c r="D98" t="s">
        <v>429</v>
      </c>
      <c r="E98">
        <v>527.55999999999995</v>
      </c>
      <c r="G98" t="s">
        <v>337</v>
      </c>
      <c r="H98" t="s">
        <v>14</v>
      </c>
      <c r="I98" t="s">
        <v>386</v>
      </c>
      <c r="J98" s="27">
        <v>45413</v>
      </c>
      <c r="K98">
        <v>2024</v>
      </c>
      <c r="L98" s="27">
        <v>45428</v>
      </c>
      <c r="M98">
        <v>2172.5700000000002</v>
      </c>
      <c r="N98">
        <v>10</v>
      </c>
      <c r="O98" t="s">
        <v>16</v>
      </c>
      <c r="P98">
        <f t="shared" si="1"/>
        <v>0</v>
      </c>
    </row>
    <row r="99" spans="1:16" hidden="1" x14ac:dyDescent="0.25">
      <c r="A99" s="8">
        <v>94</v>
      </c>
      <c r="B99">
        <v>94</v>
      </c>
      <c r="C99" s="27">
        <v>45429</v>
      </c>
      <c r="D99" t="s">
        <v>430</v>
      </c>
      <c r="E99">
        <v>-25.02</v>
      </c>
      <c r="G99" t="s">
        <v>394</v>
      </c>
      <c r="H99" t="s">
        <v>14</v>
      </c>
      <c r="I99" t="s">
        <v>395</v>
      </c>
      <c r="J99" s="27">
        <v>45413</v>
      </c>
      <c r="K99">
        <v>2024</v>
      </c>
      <c r="L99" s="27">
        <v>45429</v>
      </c>
      <c r="M99">
        <v>2147.5500000000002</v>
      </c>
      <c r="N99">
        <v>11</v>
      </c>
      <c r="O99" t="s">
        <v>16</v>
      </c>
      <c r="P99">
        <f t="shared" si="1"/>
        <v>0</v>
      </c>
    </row>
    <row r="100" spans="1:16" hidden="1" x14ac:dyDescent="0.25">
      <c r="A100" s="8">
        <v>95</v>
      </c>
      <c r="B100">
        <v>95</v>
      </c>
      <c r="C100" s="27">
        <v>45429</v>
      </c>
      <c r="D100" t="s">
        <v>431</v>
      </c>
      <c r="E100">
        <v>-2.4</v>
      </c>
      <c r="G100" t="s">
        <v>394</v>
      </c>
      <c r="H100" t="s">
        <v>14</v>
      </c>
      <c r="I100" t="s">
        <v>395</v>
      </c>
      <c r="J100" s="27">
        <v>45413</v>
      </c>
      <c r="K100">
        <v>2024</v>
      </c>
      <c r="L100" s="27">
        <v>45429</v>
      </c>
      <c r="M100">
        <v>2145.15</v>
      </c>
      <c r="N100">
        <v>12</v>
      </c>
      <c r="O100" t="s">
        <v>16</v>
      </c>
      <c r="P100">
        <f t="shared" si="1"/>
        <v>0</v>
      </c>
    </row>
    <row r="101" spans="1:16" hidden="1" x14ac:dyDescent="0.25">
      <c r="A101" s="8">
        <v>96</v>
      </c>
      <c r="B101">
        <v>96</v>
      </c>
      <c r="C101" s="27">
        <v>45429</v>
      </c>
      <c r="D101" t="s">
        <v>78</v>
      </c>
      <c r="E101">
        <v>-1.48</v>
      </c>
      <c r="G101" t="s">
        <v>79</v>
      </c>
      <c r="H101" t="s">
        <v>14</v>
      </c>
      <c r="I101" t="s">
        <v>80</v>
      </c>
      <c r="J101" s="27">
        <v>45413</v>
      </c>
      <c r="K101">
        <v>2024</v>
      </c>
      <c r="L101" s="27">
        <v>45429</v>
      </c>
      <c r="M101">
        <v>2143.67</v>
      </c>
      <c r="N101">
        <v>13</v>
      </c>
      <c r="O101" t="s">
        <v>16</v>
      </c>
      <c r="P101">
        <f t="shared" si="1"/>
        <v>0</v>
      </c>
    </row>
    <row r="102" spans="1:16" hidden="1" x14ac:dyDescent="0.25">
      <c r="A102" s="8">
        <v>97</v>
      </c>
      <c r="B102">
        <v>97</v>
      </c>
      <c r="C102" s="27">
        <v>45429</v>
      </c>
      <c r="D102" t="s">
        <v>432</v>
      </c>
      <c r="E102">
        <v>-49.57</v>
      </c>
      <c r="G102" t="s">
        <v>394</v>
      </c>
      <c r="H102" t="s">
        <v>14</v>
      </c>
      <c r="I102" t="s">
        <v>395</v>
      </c>
      <c r="J102" s="27">
        <v>45413</v>
      </c>
      <c r="K102">
        <v>2024</v>
      </c>
      <c r="L102" s="27">
        <v>45429</v>
      </c>
      <c r="M102">
        <v>2094.099999999999</v>
      </c>
      <c r="N102">
        <v>13</v>
      </c>
      <c r="O102" t="s">
        <v>16</v>
      </c>
      <c r="P102">
        <f t="shared" si="1"/>
        <v>0</v>
      </c>
    </row>
    <row r="103" spans="1:16" hidden="1" x14ac:dyDescent="0.25">
      <c r="A103" s="8">
        <v>98</v>
      </c>
      <c r="B103">
        <v>98</v>
      </c>
      <c r="C103" s="27">
        <v>45429</v>
      </c>
      <c r="D103" t="s">
        <v>78</v>
      </c>
      <c r="E103">
        <v>-2.64</v>
      </c>
      <c r="G103" t="s">
        <v>79</v>
      </c>
      <c r="H103" t="s">
        <v>14</v>
      </c>
      <c r="I103" t="s">
        <v>80</v>
      </c>
      <c r="J103" s="27">
        <v>45413</v>
      </c>
      <c r="K103">
        <v>2024</v>
      </c>
      <c r="L103" s="27">
        <v>45429</v>
      </c>
      <c r="M103">
        <v>2091.46</v>
      </c>
      <c r="N103">
        <v>14</v>
      </c>
      <c r="O103" t="s">
        <v>16</v>
      </c>
      <c r="P103">
        <f t="shared" si="1"/>
        <v>0</v>
      </c>
    </row>
    <row r="104" spans="1:16" hidden="1" x14ac:dyDescent="0.25">
      <c r="A104" s="8">
        <v>99</v>
      </c>
      <c r="B104">
        <v>99</v>
      </c>
      <c r="C104" s="27">
        <v>45429</v>
      </c>
      <c r="D104" t="s">
        <v>433</v>
      </c>
      <c r="E104">
        <v>-88.16</v>
      </c>
      <c r="G104" t="s">
        <v>394</v>
      </c>
      <c r="H104" t="s">
        <v>14</v>
      </c>
      <c r="I104" t="s">
        <v>395</v>
      </c>
      <c r="J104" s="27">
        <v>45413</v>
      </c>
      <c r="K104">
        <v>2024</v>
      </c>
      <c r="L104" s="27">
        <v>45429</v>
      </c>
      <c r="M104">
        <v>2003.299999999999</v>
      </c>
      <c r="N104">
        <v>14</v>
      </c>
      <c r="O104" t="s">
        <v>16</v>
      </c>
      <c r="P104">
        <f t="shared" si="1"/>
        <v>0</v>
      </c>
    </row>
    <row r="105" spans="1:16" hidden="1" x14ac:dyDescent="0.25">
      <c r="A105" s="8">
        <v>100</v>
      </c>
      <c r="B105">
        <v>100</v>
      </c>
      <c r="C105" s="27">
        <v>45432</v>
      </c>
      <c r="D105" t="s">
        <v>434</v>
      </c>
      <c r="E105">
        <v>-65.83</v>
      </c>
      <c r="G105" t="s">
        <v>392</v>
      </c>
      <c r="H105" t="s">
        <v>14</v>
      </c>
      <c r="I105" t="s">
        <v>25</v>
      </c>
      <c r="J105" s="27">
        <v>45413</v>
      </c>
      <c r="K105">
        <v>2024</v>
      </c>
      <c r="L105" s="27">
        <v>45432</v>
      </c>
      <c r="M105">
        <v>1937.47</v>
      </c>
      <c r="N105">
        <v>5</v>
      </c>
      <c r="O105" t="s">
        <v>16</v>
      </c>
      <c r="P105">
        <f t="shared" si="1"/>
        <v>0</v>
      </c>
    </row>
    <row r="106" spans="1:16" hidden="1" x14ac:dyDescent="0.25">
      <c r="A106" s="8">
        <v>101</v>
      </c>
      <c r="B106">
        <v>101</v>
      </c>
      <c r="C106" s="27">
        <v>45432</v>
      </c>
      <c r="D106" t="s">
        <v>435</v>
      </c>
      <c r="E106">
        <v>-458.96</v>
      </c>
      <c r="G106" t="s">
        <v>39</v>
      </c>
      <c r="H106" t="s">
        <v>28</v>
      </c>
      <c r="I106" t="s">
        <v>40</v>
      </c>
      <c r="J106" s="27">
        <v>45413</v>
      </c>
      <c r="K106">
        <v>2024</v>
      </c>
      <c r="L106" s="27">
        <v>45432</v>
      </c>
      <c r="M106">
        <v>1478.51</v>
      </c>
      <c r="N106">
        <v>5</v>
      </c>
      <c r="O106" t="s">
        <v>16</v>
      </c>
      <c r="P106">
        <f t="shared" si="1"/>
        <v>0</v>
      </c>
    </row>
    <row r="107" spans="1:16" hidden="1" x14ac:dyDescent="0.25">
      <c r="A107" s="8">
        <v>102</v>
      </c>
      <c r="B107">
        <v>102</v>
      </c>
      <c r="C107" s="27">
        <v>45432</v>
      </c>
      <c r="D107" t="s">
        <v>436</v>
      </c>
      <c r="E107">
        <v>-5.35</v>
      </c>
      <c r="G107" t="s">
        <v>394</v>
      </c>
      <c r="H107" t="s">
        <v>14</v>
      </c>
      <c r="I107" t="s">
        <v>395</v>
      </c>
      <c r="J107" s="27">
        <v>45413</v>
      </c>
      <c r="K107">
        <v>2024</v>
      </c>
      <c r="L107" s="27">
        <v>45432</v>
      </c>
      <c r="M107">
        <v>1473.16</v>
      </c>
      <c r="N107">
        <v>15</v>
      </c>
      <c r="O107" t="s">
        <v>16</v>
      </c>
      <c r="P107">
        <f t="shared" si="1"/>
        <v>0</v>
      </c>
    </row>
    <row r="108" spans="1:16" hidden="1" x14ac:dyDescent="0.25">
      <c r="A108" s="8">
        <v>103</v>
      </c>
      <c r="B108">
        <v>103</v>
      </c>
      <c r="C108" s="27">
        <v>45432</v>
      </c>
      <c r="D108" t="s">
        <v>78</v>
      </c>
      <c r="E108">
        <v>-1.56</v>
      </c>
      <c r="G108" t="s">
        <v>79</v>
      </c>
      <c r="H108" t="s">
        <v>14</v>
      </c>
      <c r="I108" t="s">
        <v>80</v>
      </c>
      <c r="J108" s="27">
        <v>45413</v>
      </c>
      <c r="K108">
        <v>2024</v>
      </c>
      <c r="L108" s="27">
        <v>45432</v>
      </c>
      <c r="M108">
        <v>1471.6</v>
      </c>
      <c r="N108">
        <v>15</v>
      </c>
      <c r="O108" t="s">
        <v>16</v>
      </c>
      <c r="P108">
        <f t="shared" si="1"/>
        <v>0</v>
      </c>
    </row>
    <row r="109" spans="1:16" hidden="1" x14ac:dyDescent="0.25">
      <c r="A109" s="8">
        <v>104</v>
      </c>
      <c r="B109">
        <v>104</v>
      </c>
      <c r="C109" s="27">
        <v>45432</v>
      </c>
      <c r="D109" t="s">
        <v>437</v>
      </c>
      <c r="E109">
        <v>-52.22</v>
      </c>
      <c r="G109" t="s">
        <v>394</v>
      </c>
      <c r="H109" t="s">
        <v>14</v>
      </c>
      <c r="I109" t="s">
        <v>395</v>
      </c>
      <c r="J109" s="27">
        <v>45413</v>
      </c>
      <c r="K109">
        <v>2024</v>
      </c>
      <c r="L109" s="27">
        <v>45432</v>
      </c>
      <c r="M109">
        <v>1419.38</v>
      </c>
      <c r="N109">
        <v>16</v>
      </c>
      <c r="O109" t="s">
        <v>16</v>
      </c>
      <c r="P109">
        <f t="shared" si="1"/>
        <v>0</v>
      </c>
    </row>
    <row r="110" spans="1:16" hidden="1" x14ac:dyDescent="0.25">
      <c r="A110" s="8">
        <v>105</v>
      </c>
      <c r="B110">
        <v>105</v>
      </c>
      <c r="C110" s="27">
        <v>45432</v>
      </c>
      <c r="D110" t="s">
        <v>78</v>
      </c>
      <c r="E110">
        <v>-0.18</v>
      </c>
      <c r="G110" t="s">
        <v>79</v>
      </c>
      <c r="H110" t="s">
        <v>14</v>
      </c>
      <c r="I110" t="s">
        <v>80</v>
      </c>
      <c r="J110" s="27">
        <v>45413</v>
      </c>
      <c r="K110">
        <v>2024</v>
      </c>
      <c r="L110" s="27">
        <v>45432</v>
      </c>
      <c r="M110">
        <v>1419.2</v>
      </c>
      <c r="N110">
        <v>16</v>
      </c>
      <c r="O110" t="s">
        <v>16</v>
      </c>
      <c r="P110">
        <f t="shared" si="1"/>
        <v>0</v>
      </c>
    </row>
    <row r="111" spans="1:16" hidden="1" x14ac:dyDescent="0.25">
      <c r="A111" s="8">
        <v>106</v>
      </c>
      <c r="B111">
        <v>106</v>
      </c>
      <c r="C111" s="27">
        <v>45432</v>
      </c>
      <c r="D111" t="s">
        <v>438</v>
      </c>
      <c r="E111">
        <v>-6.03</v>
      </c>
      <c r="G111" t="s">
        <v>394</v>
      </c>
      <c r="H111" t="s">
        <v>14</v>
      </c>
      <c r="I111" t="s">
        <v>395</v>
      </c>
      <c r="J111" s="27">
        <v>45413</v>
      </c>
      <c r="K111">
        <v>2024</v>
      </c>
      <c r="L111" s="27">
        <v>45432</v>
      </c>
      <c r="M111">
        <v>1413.17</v>
      </c>
      <c r="N111">
        <v>17</v>
      </c>
      <c r="O111" t="s">
        <v>16</v>
      </c>
      <c r="P111">
        <f t="shared" si="1"/>
        <v>0</v>
      </c>
    </row>
    <row r="112" spans="1:16" hidden="1" x14ac:dyDescent="0.25">
      <c r="A112" s="8">
        <v>107</v>
      </c>
      <c r="B112">
        <v>107</v>
      </c>
      <c r="C112" s="27">
        <v>45432</v>
      </c>
      <c r="D112" t="s">
        <v>78</v>
      </c>
      <c r="E112">
        <v>-0.91</v>
      </c>
      <c r="G112" t="s">
        <v>79</v>
      </c>
      <c r="H112" t="s">
        <v>14</v>
      </c>
      <c r="I112" t="s">
        <v>80</v>
      </c>
      <c r="J112" s="27">
        <v>45413</v>
      </c>
      <c r="K112">
        <v>2024</v>
      </c>
      <c r="L112" s="27">
        <v>45432</v>
      </c>
      <c r="M112">
        <v>1412.26</v>
      </c>
      <c r="N112">
        <v>17</v>
      </c>
      <c r="O112" t="s">
        <v>16</v>
      </c>
      <c r="P112">
        <f t="shared" si="1"/>
        <v>0</v>
      </c>
    </row>
    <row r="113" spans="1:16" hidden="1" x14ac:dyDescent="0.25">
      <c r="A113" s="8">
        <v>108</v>
      </c>
      <c r="B113">
        <v>108</v>
      </c>
      <c r="C113" s="27">
        <v>45432</v>
      </c>
      <c r="D113" t="s">
        <v>439</v>
      </c>
      <c r="E113">
        <v>-30.61</v>
      </c>
      <c r="G113" t="s">
        <v>394</v>
      </c>
      <c r="H113" t="s">
        <v>14</v>
      </c>
      <c r="I113" t="s">
        <v>395</v>
      </c>
      <c r="J113" s="27">
        <v>45413</v>
      </c>
      <c r="K113">
        <v>2024</v>
      </c>
      <c r="L113" s="27">
        <v>45432</v>
      </c>
      <c r="M113">
        <v>1381.65</v>
      </c>
      <c r="N113">
        <v>18</v>
      </c>
      <c r="O113" t="s">
        <v>16</v>
      </c>
      <c r="P113">
        <f t="shared" si="1"/>
        <v>0</v>
      </c>
    </row>
    <row r="114" spans="1:16" hidden="1" x14ac:dyDescent="0.25">
      <c r="A114" s="8">
        <v>109</v>
      </c>
      <c r="B114">
        <v>109</v>
      </c>
      <c r="C114" s="27">
        <v>45432</v>
      </c>
      <c r="D114" t="s">
        <v>78</v>
      </c>
      <c r="E114">
        <v>-0.13</v>
      </c>
      <c r="G114" t="s">
        <v>79</v>
      </c>
      <c r="H114" t="s">
        <v>14</v>
      </c>
      <c r="I114" t="s">
        <v>80</v>
      </c>
      <c r="J114" s="27">
        <v>45413</v>
      </c>
      <c r="K114">
        <v>2024</v>
      </c>
      <c r="L114" s="27">
        <v>45432</v>
      </c>
      <c r="M114">
        <v>1381.52</v>
      </c>
      <c r="N114">
        <v>18</v>
      </c>
      <c r="O114" t="s">
        <v>16</v>
      </c>
      <c r="P114">
        <f t="shared" si="1"/>
        <v>0</v>
      </c>
    </row>
    <row r="115" spans="1:16" hidden="1" x14ac:dyDescent="0.25">
      <c r="A115" s="8">
        <v>110</v>
      </c>
      <c r="B115">
        <v>110</v>
      </c>
      <c r="C115" s="27">
        <v>45432</v>
      </c>
      <c r="D115" t="s">
        <v>440</v>
      </c>
      <c r="E115">
        <v>-4.5999999999999996</v>
      </c>
      <c r="G115" t="s">
        <v>394</v>
      </c>
      <c r="H115" t="s">
        <v>14</v>
      </c>
      <c r="I115" t="s">
        <v>395</v>
      </c>
      <c r="J115" s="27">
        <v>45413</v>
      </c>
      <c r="K115">
        <v>2024</v>
      </c>
      <c r="L115" s="27">
        <v>45432</v>
      </c>
      <c r="M115">
        <v>1376.92</v>
      </c>
      <c r="N115">
        <v>19</v>
      </c>
      <c r="O115" t="s">
        <v>16</v>
      </c>
      <c r="P115">
        <f t="shared" si="1"/>
        <v>0</v>
      </c>
    </row>
    <row r="116" spans="1:16" hidden="1" x14ac:dyDescent="0.25">
      <c r="A116" s="8">
        <v>111</v>
      </c>
      <c r="B116">
        <v>111</v>
      </c>
      <c r="C116" s="27">
        <v>45432</v>
      </c>
      <c r="D116" t="s">
        <v>78</v>
      </c>
      <c r="E116">
        <v>-0.1</v>
      </c>
      <c r="G116" t="s">
        <v>79</v>
      </c>
      <c r="H116" t="s">
        <v>14</v>
      </c>
      <c r="I116" t="s">
        <v>80</v>
      </c>
      <c r="J116" s="27">
        <v>45413</v>
      </c>
      <c r="K116">
        <v>2024</v>
      </c>
      <c r="L116" s="27">
        <v>45432</v>
      </c>
      <c r="M116">
        <v>1376.82</v>
      </c>
      <c r="N116">
        <v>19</v>
      </c>
      <c r="O116" t="s">
        <v>16</v>
      </c>
      <c r="P116">
        <f t="shared" si="1"/>
        <v>0</v>
      </c>
    </row>
    <row r="117" spans="1:16" hidden="1" x14ac:dyDescent="0.25">
      <c r="A117" s="8">
        <v>112</v>
      </c>
      <c r="B117">
        <v>112</v>
      </c>
      <c r="C117" s="27">
        <v>45432</v>
      </c>
      <c r="D117" t="s">
        <v>441</v>
      </c>
      <c r="E117">
        <v>-3.34</v>
      </c>
      <c r="G117" t="s">
        <v>394</v>
      </c>
      <c r="H117" t="s">
        <v>14</v>
      </c>
      <c r="I117" t="s">
        <v>395</v>
      </c>
      <c r="J117" s="27">
        <v>45413</v>
      </c>
      <c r="K117">
        <v>2024</v>
      </c>
      <c r="L117" s="27">
        <v>45432</v>
      </c>
      <c r="M117">
        <v>1373.48</v>
      </c>
      <c r="N117">
        <v>20</v>
      </c>
      <c r="O117" t="s">
        <v>16</v>
      </c>
      <c r="P117">
        <f t="shared" si="1"/>
        <v>0</v>
      </c>
    </row>
    <row r="118" spans="1:16" hidden="1" x14ac:dyDescent="0.25">
      <c r="A118" s="8">
        <v>113</v>
      </c>
      <c r="B118">
        <v>113</v>
      </c>
      <c r="C118" s="27">
        <v>45432</v>
      </c>
      <c r="D118" t="s">
        <v>78</v>
      </c>
      <c r="E118">
        <v>-7.0000000000000007E-2</v>
      </c>
      <c r="G118" t="s">
        <v>79</v>
      </c>
      <c r="H118" t="s">
        <v>14</v>
      </c>
      <c r="I118" t="s">
        <v>80</v>
      </c>
      <c r="J118" s="27">
        <v>45413</v>
      </c>
      <c r="K118">
        <v>2024</v>
      </c>
      <c r="L118" s="27">
        <v>45432</v>
      </c>
      <c r="M118">
        <v>1373.41</v>
      </c>
      <c r="N118">
        <v>20</v>
      </c>
      <c r="O118" t="s">
        <v>16</v>
      </c>
      <c r="P118">
        <f t="shared" si="1"/>
        <v>0</v>
      </c>
    </row>
    <row r="119" spans="1:16" hidden="1" x14ac:dyDescent="0.25">
      <c r="A119" s="8">
        <v>114</v>
      </c>
      <c r="B119">
        <v>114</v>
      </c>
      <c r="C119" s="27">
        <v>45432</v>
      </c>
      <c r="D119" t="s">
        <v>442</v>
      </c>
      <c r="E119">
        <v>-2.35</v>
      </c>
      <c r="G119" t="s">
        <v>394</v>
      </c>
      <c r="H119" t="s">
        <v>14</v>
      </c>
      <c r="I119" t="s">
        <v>395</v>
      </c>
      <c r="J119" s="27">
        <v>45413</v>
      </c>
      <c r="K119">
        <v>2024</v>
      </c>
      <c r="L119" s="27">
        <v>45432</v>
      </c>
      <c r="M119">
        <v>1371.06</v>
      </c>
      <c r="N119">
        <v>21</v>
      </c>
      <c r="O119" t="s">
        <v>16</v>
      </c>
      <c r="P119">
        <f t="shared" si="1"/>
        <v>0</v>
      </c>
    </row>
    <row r="120" spans="1:16" hidden="1" x14ac:dyDescent="0.25">
      <c r="A120" s="8">
        <v>115</v>
      </c>
      <c r="B120">
        <v>115</v>
      </c>
      <c r="C120" s="27">
        <v>45432</v>
      </c>
      <c r="D120" t="s">
        <v>78</v>
      </c>
      <c r="E120">
        <v>-0.32</v>
      </c>
      <c r="G120" t="s">
        <v>79</v>
      </c>
      <c r="H120" t="s">
        <v>14</v>
      </c>
      <c r="I120" t="s">
        <v>80</v>
      </c>
      <c r="J120" s="27">
        <v>45413</v>
      </c>
      <c r="K120">
        <v>2024</v>
      </c>
      <c r="L120" s="27">
        <v>45432</v>
      </c>
      <c r="M120">
        <v>1370.74</v>
      </c>
      <c r="N120">
        <v>21</v>
      </c>
      <c r="O120" t="s">
        <v>16</v>
      </c>
      <c r="P120">
        <f t="shared" si="1"/>
        <v>0</v>
      </c>
    </row>
    <row r="121" spans="1:16" hidden="1" x14ac:dyDescent="0.25">
      <c r="A121" s="8">
        <v>116</v>
      </c>
      <c r="B121">
        <v>116</v>
      </c>
      <c r="C121" s="27">
        <v>45432</v>
      </c>
      <c r="D121" t="s">
        <v>443</v>
      </c>
      <c r="E121">
        <v>-10.91</v>
      </c>
      <c r="G121" t="s">
        <v>394</v>
      </c>
      <c r="H121" t="s">
        <v>14</v>
      </c>
      <c r="I121" t="s">
        <v>395</v>
      </c>
      <c r="J121" s="27">
        <v>45413</v>
      </c>
      <c r="K121">
        <v>2024</v>
      </c>
      <c r="L121" s="27">
        <v>45432</v>
      </c>
      <c r="M121">
        <v>1359.83</v>
      </c>
      <c r="N121">
        <v>22</v>
      </c>
      <c r="O121" t="s">
        <v>16</v>
      </c>
      <c r="P121">
        <f t="shared" si="1"/>
        <v>0</v>
      </c>
    </row>
    <row r="122" spans="1:16" hidden="1" x14ac:dyDescent="0.25">
      <c r="A122" s="8">
        <v>117</v>
      </c>
      <c r="B122">
        <v>117</v>
      </c>
      <c r="C122" s="27">
        <v>45432</v>
      </c>
      <c r="D122" t="s">
        <v>78</v>
      </c>
      <c r="E122">
        <v>-0.08</v>
      </c>
      <c r="G122" t="s">
        <v>79</v>
      </c>
      <c r="H122" t="s">
        <v>14</v>
      </c>
      <c r="I122" t="s">
        <v>80</v>
      </c>
      <c r="J122" s="27">
        <v>45413</v>
      </c>
      <c r="K122">
        <v>2024</v>
      </c>
      <c r="L122" s="27">
        <v>45432</v>
      </c>
      <c r="M122">
        <v>1359.75</v>
      </c>
      <c r="N122">
        <v>22</v>
      </c>
      <c r="O122" t="s">
        <v>16</v>
      </c>
      <c r="P122">
        <f t="shared" si="1"/>
        <v>0</v>
      </c>
    </row>
    <row r="123" spans="1:16" hidden="1" x14ac:dyDescent="0.25">
      <c r="A123" s="8">
        <v>118</v>
      </c>
      <c r="B123">
        <v>118</v>
      </c>
      <c r="C123" s="27">
        <v>45432</v>
      </c>
      <c r="D123" t="s">
        <v>444</v>
      </c>
      <c r="E123">
        <v>-2.73</v>
      </c>
      <c r="G123" t="s">
        <v>394</v>
      </c>
      <c r="H123" t="s">
        <v>14</v>
      </c>
      <c r="I123" t="s">
        <v>395</v>
      </c>
      <c r="J123" s="27">
        <v>45413</v>
      </c>
      <c r="K123">
        <v>2024</v>
      </c>
      <c r="L123" s="27">
        <v>45432</v>
      </c>
      <c r="M123">
        <v>1357.02</v>
      </c>
      <c r="N123">
        <v>23</v>
      </c>
      <c r="O123" t="s">
        <v>16</v>
      </c>
      <c r="P123">
        <f t="shared" si="1"/>
        <v>0</v>
      </c>
    </row>
    <row r="124" spans="1:16" hidden="1" x14ac:dyDescent="0.25">
      <c r="A124" s="8">
        <v>119</v>
      </c>
      <c r="B124">
        <v>119</v>
      </c>
      <c r="C124" s="27">
        <v>45432</v>
      </c>
      <c r="D124" t="s">
        <v>78</v>
      </c>
      <c r="E124">
        <v>-0.32</v>
      </c>
      <c r="G124" t="s">
        <v>79</v>
      </c>
      <c r="H124" t="s">
        <v>14</v>
      </c>
      <c r="I124" t="s">
        <v>80</v>
      </c>
      <c r="J124" s="27">
        <v>45413</v>
      </c>
      <c r="K124">
        <v>2024</v>
      </c>
      <c r="L124" s="27">
        <v>45432</v>
      </c>
      <c r="M124">
        <v>1356.7</v>
      </c>
      <c r="N124">
        <v>23</v>
      </c>
      <c r="O124" t="s">
        <v>16</v>
      </c>
      <c r="P124">
        <f t="shared" si="1"/>
        <v>0</v>
      </c>
    </row>
    <row r="125" spans="1:16" hidden="1" x14ac:dyDescent="0.25">
      <c r="A125" s="8">
        <v>120</v>
      </c>
      <c r="B125">
        <v>120</v>
      </c>
      <c r="C125" s="27">
        <v>45432</v>
      </c>
      <c r="D125" t="s">
        <v>445</v>
      </c>
      <c r="E125">
        <v>-10.78</v>
      </c>
      <c r="G125" t="s">
        <v>392</v>
      </c>
      <c r="H125" t="s">
        <v>14</v>
      </c>
      <c r="I125" t="s">
        <v>25</v>
      </c>
      <c r="J125" s="27">
        <v>45413</v>
      </c>
      <c r="K125">
        <v>2024</v>
      </c>
      <c r="L125" s="27">
        <v>45432</v>
      </c>
      <c r="M125">
        <v>1345.92</v>
      </c>
      <c r="N125">
        <v>6</v>
      </c>
      <c r="O125" t="s">
        <v>16</v>
      </c>
      <c r="P125">
        <f t="shared" si="1"/>
        <v>0</v>
      </c>
    </row>
    <row r="126" spans="1:16" hidden="1" x14ac:dyDescent="0.25">
      <c r="A126" s="8">
        <v>121</v>
      </c>
      <c r="B126">
        <v>121</v>
      </c>
      <c r="C126" s="27">
        <v>45432</v>
      </c>
      <c r="D126" t="s">
        <v>78</v>
      </c>
      <c r="E126">
        <v>-0.1</v>
      </c>
      <c r="G126" t="s">
        <v>79</v>
      </c>
      <c r="H126" t="s">
        <v>14</v>
      </c>
      <c r="I126" t="s">
        <v>80</v>
      </c>
      <c r="J126" s="27">
        <v>45413</v>
      </c>
      <c r="K126">
        <v>2024</v>
      </c>
      <c r="L126" s="27">
        <v>45432</v>
      </c>
      <c r="M126">
        <v>1345.82</v>
      </c>
      <c r="N126">
        <v>24</v>
      </c>
      <c r="O126" t="s">
        <v>16</v>
      </c>
      <c r="P126">
        <f t="shared" si="1"/>
        <v>0</v>
      </c>
    </row>
    <row r="127" spans="1:16" hidden="1" x14ac:dyDescent="0.25">
      <c r="A127" s="8">
        <v>122</v>
      </c>
      <c r="B127">
        <v>122</v>
      </c>
      <c r="C127" s="27">
        <v>45432</v>
      </c>
      <c r="D127" t="s">
        <v>446</v>
      </c>
      <c r="E127">
        <v>-3.65</v>
      </c>
      <c r="G127" t="s">
        <v>394</v>
      </c>
      <c r="H127" t="s">
        <v>14</v>
      </c>
      <c r="I127" t="s">
        <v>395</v>
      </c>
      <c r="J127" s="27">
        <v>45413</v>
      </c>
      <c r="K127">
        <v>2024</v>
      </c>
      <c r="L127" s="27">
        <v>45432</v>
      </c>
      <c r="M127">
        <v>1342.17</v>
      </c>
      <c r="N127">
        <v>24</v>
      </c>
      <c r="O127" t="s">
        <v>16</v>
      </c>
      <c r="P127">
        <f t="shared" si="1"/>
        <v>0</v>
      </c>
    </row>
    <row r="128" spans="1:16" hidden="1" x14ac:dyDescent="0.25">
      <c r="A128" s="8">
        <v>123</v>
      </c>
      <c r="B128">
        <v>123</v>
      </c>
      <c r="C128" s="27">
        <v>45433</v>
      </c>
      <c r="D128" t="s">
        <v>78</v>
      </c>
      <c r="E128">
        <v>-0.23</v>
      </c>
      <c r="G128" t="s">
        <v>79</v>
      </c>
      <c r="H128" t="s">
        <v>14</v>
      </c>
      <c r="I128" t="s">
        <v>80</v>
      </c>
      <c r="J128" s="27">
        <v>45413</v>
      </c>
      <c r="K128">
        <v>2024</v>
      </c>
      <c r="L128" s="27">
        <v>45433</v>
      </c>
      <c r="M128">
        <v>1341.94</v>
      </c>
      <c r="N128">
        <v>25</v>
      </c>
      <c r="O128" t="s">
        <v>16</v>
      </c>
      <c r="P128">
        <f t="shared" si="1"/>
        <v>0</v>
      </c>
    </row>
    <row r="129" spans="1:16" hidden="1" x14ac:dyDescent="0.25">
      <c r="A129" s="8">
        <v>124</v>
      </c>
      <c r="B129">
        <v>124</v>
      </c>
      <c r="C129" s="27">
        <v>45433</v>
      </c>
      <c r="D129" t="s">
        <v>447</v>
      </c>
      <c r="E129">
        <v>-7.92</v>
      </c>
      <c r="G129" t="s">
        <v>394</v>
      </c>
      <c r="H129" t="s">
        <v>14</v>
      </c>
      <c r="I129" t="s">
        <v>395</v>
      </c>
      <c r="J129" s="27">
        <v>45413</v>
      </c>
      <c r="K129">
        <v>2024</v>
      </c>
      <c r="L129" s="27">
        <v>45433</v>
      </c>
      <c r="M129">
        <v>1334.02</v>
      </c>
      <c r="N129">
        <v>25</v>
      </c>
      <c r="O129" t="s">
        <v>16</v>
      </c>
      <c r="P129">
        <f t="shared" si="1"/>
        <v>0</v>
      </c>
    </row>
    <row r="130" spans="1:16" hidden="1" x14ac:dyDescent="0.25">
      <c r="A130" s="8">
        <v>125</v>
      </c>
      <c r="B130">
        <v>125</v>
      </c>
      <c r="C130" s="27">
        <v>45433</v>
      </c>
      <c r="D130" t="s">
        <v>78</v>
      </c>
      <c r="E130">
        <v>-0.3</v>
      </c>
      <c r="G130" t="s">
        <v>79</v>
      </c>
      <c r="H130" t="s">
        <v>14</v>
      </c>
      <c r="I130" t="s">
        <v>80</v>
      </c>
      <c r="J130" s="27">
        <v>45413</v>
      </c>
      <c r="K130">
        <v>2024</v>
      </c>
      <c r="L130" s="27">
        <v>45433</v>
      </c>
      <c r="M130">
        <v>1333.72</v>
      </c>
      <c r="N130">
        <v>26</v>
      </c>
      <c r="O130" t="s">
        <v>16</v>
      </c>
      <c r="P130">
        <f t="shared" si="1"/>
        <v>0</v>
      </c>
    </row>
    <row r="131" spans="1:16" hidden="1" x14ac:dyDescent="0.25">
      <c r="A131" s="8">
        <v>126</v>
      </c>
      <c r="B131">
        <v>126</v>
      </c>
      <c r="C131" s="27">
        <v>45433</v>
      </c>
      <c r="D131" t="s">
        <v>448</v>
      </c>
      <c r="E131">
        <v>-10.07</v>
      </c>
      <c r="G131" t="s">
        <v>394</v>
      </c>
      <c r="H131" t="s">
        <v>14</v>
      </c>
      <c r="I131" t="s">
        <v>395</v>
      </c>
      <c r="J131" s="27">
        <v>45413</v>
      </c>
      <c r="K131">
        <v>2024</v>
      </c>
      <c r="L131" s="27">
        <v>45433</v>
      </c>
      <c r="M131">
        <v>1323.65</v>
      </c>
      <c r="N131">
        <v>26</v>
      </c>
      <c r="O131" t="s">
        <v>16</v>
      </c>
      <c r="P131">
        <f t="shared" si="1"/>
        <v>0</v>
      </c>
    </row>
    <row r="132" spans="1:16" hidden="1" x14ac:dyDescent="0.25">
      <c r="A132" s="8">
        <v>127</v>
      </c>
      <c r="B132">
        <v>127</v>
      </c>
      <c r="C132" s="27">
        <v>45433</v>
      </c>
      <c r="D132" t="s">
        <v>449</v>
      </c>
      <c r="E132">
        <v>-181.16</v>
      </c>
      <c r="G132" t="s">
        <v>394</v>
      </c>
      <c r="H132" t="s">
        <v>14</v>
      </c>
      <c r="I132" t="s">
        <v>395</v>
      </c>
      <c r="J132" s="27">
        <v>45413</v>
      </c>
      <c r="K132">
        <v>2024</v>
      </c>
      <c r="L132" s="27">
        <v>45433</v>
      </c>
      <c r="M132">
        <v>1142.49</v>
      </c>
      <c r="N132">
        <v>27</v>
      </c>
      <c r="O132" t="s">
        <v>16</v>
      </c>
      <c r="P132">
        <f t="shared" si="1"/>
        <v>0</v>
      </c>
    </row>
    <row r="133" spans="1:16" hidden="1" x14ac:dyDescent="0.25">
      <c r="A133" s="8">
        <v>128</v>
      </c>
      <c r="B133">
        <v>128</v>
      </c>
      <c r="C133" s="27">
        <v>45433</v>
      </c>
      <c r="D133" t="s">
        <v>78</v>
      </c>
      <c r="E133">
        <v>-2.2200000000000002</v>
      </c>
      <c r="G133" t="s">
        <v>79</v>
      </c>
      <c r="H133" t="s">
        <v>14</v>
      </c>
      <c r="I133" t="s">
        <v>80</v>
      </c>
      <c r="J133" s="27">
        <v>45413</v>
      </c>
      <c r="K133">
        <v>2024</v>
      </c>
      <c r="L133" s="27">
        <v>45433</v>
      </c>
      <c r="M133">
        <v>1140.27</v>
      </c>
      <c r="N133">
        <v>27</v>
      </c>
      <c r="O133" t="s">
        <v>16</v>
      </c>
      <c r="P133">
        <f t="shared" ref="P133:P196" si="2">IF(J133&lt;&gt;J134, 1, 0)</f>
        <v>0</v>
      </c>
    </row>
    <row r="134" spans="1:16" hidden="1" x14ac:dyDescent="0.25">
      <c r="A134" s="8">
        <v>129</v>
      </c>
      <c r="B134">
        <v>129</v>
      </c>
      <c r="C134" s="27">
        <v>45433</v>
      </c>
      <c r="D134" t="s">
        <v>450</v>
      </c>
      <c r="E134">
        <v>-74.03</v>
      </c>
      <c r="G134" t="s">
        <v>394</v>
      </c>
      <c r="H134" t="s">
        <v>14</v>
      </c>
      <c r="I134" t="s">
        <v>395</v>
      </c>
      <c r="J134" s="27">
        <v>45413</v>
      </c>
      <c r="K134">
        <v>2024</v>
      </c>
      <c r="L134" s="27">
        <v>45433</v>
      </c>
      <c r="M134">
        <v>1066.24</v>
      </c>
      <c r="N134">
        <v>28</v>
      </c>
      <c r="O134" t="s">
        <v>16</v>
      </c>
      <c r="P134">
        <f t="shared" si="2"/>
        <v>0</v>
      </c>
    </row>
    <row r="135" spans="1:16" hidden="1" x14ac:dyDescent="0.25">
      <c r="A135" s="8">
        <v>130</v>
      </c>
      <c r="B135">
        <v>130</v>
      </c>
      <c r="C135" s="27">
        <v>45433</v>
      </c>
      <c r="D135" t="s">
        <v>78</v>
      </c>
      <c r="E135">
        <v>-0.3</v>
      </c>
      <c r="G135" t="s">
        <v>79</v>
      </c>
      <c r="H135" t="s">
        <v>14</v>
      </c>
      <c r="I135" t="s">
        <v>80</v>
      </c>
      <c r="J135" s="27">
        <v>45413</v>
      </c>
      <c r="K135">
        <v>2024</v>
      </c>
      <c r="L135" s="27">
        <v>45433</v>
      </c>
      <c r="M135">
        <v>1065.94</v>
      </c>
      <c r="N135">
        <v>28</v>
      </c>
      <c r="O135" t="s">
        <v>16</v>
      </c>
      <c r="P135">
        <f t="shared" si="2"/>
        <v>0</v>
      </c>
    </row>
    <row r="136" spans="1:16" hidden="1" x14ac:dyDescent="0.25">
      <c r="A136" s="8">
        <v>131</v>
      </c>
      <c r="B136">
        <v>131</v>
      </c>
      <c r="C136" s="27">
        <v>45433</v>
      </c>
      <c r="D136" t="s">
        <v>451</v>
      </c>
      <c r="E136">
        <v>-10.199999999999999</v>
      </c>
      <c r="G136" t="s">
        <v>394</v>
      </c>
      <c r="H136" t="s">
        <v>14</v>
      </c>
      <c r="I136" t="s">
        <v>395</v>
      </c>
      <c r="J136" s="27">
        <v>45413</v>
      </c>
      <c r="K136">
        <v>2024</v>
      </c>
      <c r="L136" s="27">
        <v>45433</v>
      </c>
      <c r="M136">
        <v>1055.74</v>
      </c>
      <c r="N136">
        <v>29</v>
      </c>
      <c r="O136" t="s">
        <v>16</v>
      </c>
      <c r="P136">
        <f t="shared" si="2"/>
        <v>0</v>
      </c>
    </row>
    <row r="137" spans="1:16" hidden="1" x14ac:dyDescent="0.25">
      <c r="A137" s="8">
        <v>132</v>
      </c>
      <c r="B137">
        <v>132</v>
      </c>
      <c r="C137" s="27">
        <v>45434</v>
      </c>
      <c r="D137" t="s">
        <v>78</v>
      </c>
      <c r="E137">
        <v>-0.3</v>
      </c>
      <c r="G137" t="s">
        <v>79</v>
      </c>
      <c r="H137" t="s">
        <v>14</v>
      </c>
      <c r="I137" t="s">
        <v>80</v>
      </c>
      <c r="J137" s="27">
        <v>45413</v>
      </c>
      <c r="K137">
        <v>2024</v>
      </c>
      <c r="L137" s="27">
        <v>45434</v>
      </c>
      <c r="M137">
        <v>1055.44</v>
      </c>
      <c r="N137">
        <v>29</v>
      </c>
      <c r="O137" t="s">
        <v>16</v>
      </c>
      <c r="P137">
        <f t="shared" si="2"/>
        <v>0</v>
      </c>
    </row>
    <row r="138" spans="1:16" hidden="1" x14ac:dyDescent="0.25">
      <c r="A138" s="8">
        <v>133</v>
      </c>
      <c r="B138">
        <v>133</v>
      </c>
      <c r="C138" s="27">
        <v>45434</v>
      </c>
      <c r="D138" t="s">
        <v>452</v>
      </c>
      <c r="E138">
        <v>-10.029999999999999</v>
      </c>
      <c r="G138" t="s">
        <v>394</v>
      </c>
      <c r="H138" t="s">
        <v>14</v>
      </c>
      <c r="I138" t="s">
        <v>395</v>
      </c>
      <c r="J138" s="27">
        <v>45413</v>
      </c>
      <c r="K138">
        <v>2024</v>
      </c>
      <c r="L138" s="27">
        <v>45434</v>
      </c>
      <c r="M138">
        <v>1045.4100000000001</v>
      </c>
      <c r="N138">
        <v>30</v>
      </c>
      <c r="O138" t="s">
        <v>16</v>
      </c>
      <c r="P138">
        <f t="shared" si="2"/>
        <v>0</v>
      </c>
    </row>
    <row r="139" spans="1:16" hidden="1" x14ac:dyDescent="0.25">
      <c r="A139" s="8">
        <v>134</v>
      </c>
      <c r="B139">
        <v>134</v>
      </c>
      <c r="C139" s="27">
        <v>45435</v>
      </c>
      <c r="D139" t="s">
        <v>78</v>
      </c>
      <c r="E139">
        <v>-0.1</v>
      </c>
      <c r="G139" t="s">
        <v>79</v>
      </c>
      <c r="H139" t="s">
        <v>14</v>
      </c>
      <c r="I139" t="s">
        <v>80</v>
      </c>
      <c r="J139" s="27">
        <v>45413</v>
      </c>
      <c r="K139">
        <v>2024</v>
      </c>
      <c r="L139" s="27">
        <v>45435</v>
      </c>
      <c r="M139">
        <v>1045.31</v>
      </c>
      <c r="N139">
        <v>30</v>
      </c>
      <c r="O139" t="s">
        <v>16</v>
      </c>
      <c r="P139">
        <f t="shared" si="2"/>
        <v>0</v>
      </c>
    </row>
    <row r="140" spans="1:16" hidden="1" x14ac:dyDescent="0.25">
      <c r="A140" s="8">
        <v>135</v>
      </c>
      <c r="B140">
        <v>135</v>
      </c>
      <c r="C140" s="27">
        <v>45435</v>
      </c>
      <c r="D140" t="s">
        <v>453</v>
      </c>
      <c r="E140">
        <v>-3.34</v>
      </c>
      <c r="G140" t="s">
        <v>394</v>
      </c>
      <c r="H140" t="s">
        <v>14</v>
      </c>
      <c r="I140" t="s">
        <v>395</v>
      </c>
      <c r="J140" s="27">
        <v>45413</v>
      </c>
      <c r="K140">
        <v>2024</v>
      </c>
      <c r="L140" s="27">
        <v>45435</v>
      </c>
      <c r="M140">
        <v>1041.97</v>
      </c>
      <c r="N140">
        <v>31</v>
      </c>
      <c r="O140" t="s">
        <v>16</v>
      </c>
      <c r="P140">
        <f t="shared" si="2"/>
        <v>0</v>
      </c>
    </row>
    <row r="141" spans="1:16" hidden="1" x14ac:dyDescent="0.25">
      <c r="A141" s="8">
        <v>136</v>
      </c>
      <c r="B141">
        <v>136</v>
      </c>
      <c r="C141" s="27">
        <v>45435</v>
      </c>
      <c r="D141" t="s">
        <v>78</v>
      </c>
      <c r="E141">
        <v>-0.8</v>
      </c>
      <c r="G141" t="s">
        <v>79</v>
      </c>
      <c r="H141" t="s">
        <v>14</v>
      </c>
      <c r="I141" t="s">
        <v>80</v>
      </c>
      <c r="J141" s="27">
        <v>45413</v>
      </c>
      <c r="K141">
        <v>2024</v>
      </c>
      <c r="L141" s="27">
        <v>45435</v>
      </c>
      <c r="M141">
        <v>1041.17</v>
      </c>
      <c r="N141">
        <v>31</v>
      </c>
      <c r="O141" t="s">
        <v>16</v>
      </c>
      <c r="P141">
        <f t="shared" si="2"/>
        <v>0</v>
      </c>
    </row>
    <row r="142" spans="1:16" hidden="1" x14ac:dyDescent="0.25">
      <c r="A142" s="8">
        <v>137</v>
      </c>
      <c r="B142">
        <v>137</v>
      </c>
      <c r="C142" s="27">
        <v>45435</v>
      </c>
      <c r="D142" t="s">
        <v>454</v>
      </c>
      <c r="E142">
        <v>-26.89</v>
      </c>
      <c r="G142" t="s">
        <v>394</v>
      </c>
      <c r="H142" t="s">
        <v>14</v>
      </c>
      <c r="I142" t="s">
        <v>395</v>
      </c>
      <c r="J142" s="27">
        <v>45413</v>
      </c>
      <c r="K142">
        <v>2024</v>
      </c>
      <c r="L142" s="27">
        <v>45435</v>
      </c>
      <c r="M142">
        <v>1014.28</v>
      </c>
      <c r="N142">
        <v>32</v>
      </c>
      <c r="O142" t="s">
        <v>16</v>
      </c>
      <c r="P142">
        <f t="shared" si="2"/>
        <v>0</v>
      </c>
    </row>
    <row r="143" spans="1:16" hidden="1" x14ac:dyDescent="0.25">
      <c r="A143" s="8">
        <v>138</v>
      </c>
      <c r="B143">
        <v>138</v>
      </c>
      <c r="C143" s="27">
        <v>45436</v>
      </c>
      <c r="D143" t="s">
        <v>455</v>
      </c>
      <c r="E143">
        <v>-15.31</v>
      </c>
      <c r="G143" t="s">
        <v>394</v>
      </c>
      <c r="H143" t="s">
        <v>14</v>
      </c>
      <c r="I143" t="s">
        <v>395</v>
      </c>
      <c r="J143" s="27">
        <v>45413</v>
      </c>
      <c r="K143">
        <v>2024</v>
      </c>
      <c r="L143" s="27">
        <v>45436</v>
      </c>
      <c r="M143">
        <v>998.97000000000037</v>
      </c>
      <c r="N143">
        <v>33</v>
      </c>
      <c r="O143" t="s">
        <v>16</v>
      </c>
      <c r="P143">
        <f t="shared" si="2"/>
        <v>0</v>
      </c>
    </row>
    <row r="144" spans="1:16" hidden="1" x14ac:dyDescent="0.25">
      <c r="A144" s="8">
        <v>139</v>
      </c>
      <c r="B144">
        <v>139</v>
      </c>
      <c r="C144" s="27">
        <v>45436</v>
      </c>
      <c r="D144" t="s">
        <v>456</v>
      </c>
      <c r="E144">
        <v>-17.309999999999999</v>
      </c>
      <c r="G144" t="s">
        <v>394</v>
      </c>
      <c r="H144" t="s">
        <v>14</v>
      </c>
      <c r="I144" t="s">
        <v>395</v>
      </c>
      <c r="J144" s="27">
        <v>45413</v>
      </c>
      <c r="K144">
        <v>2024</v>
      </c>
      <c r="L144" s="27">
        <v>45436</v>
      </c>
      <c r="M144">
        <v>981.66000000000042</v>
      </c>
      <c r="N144">
        <v>34</v>
      </c>
      <c r="O144" t="s">
        <v>16</v>
      </c>
      <c r="P144">
        <f t="shared" si="2"/>
        <v>0</v>
      </c>
    </row>
    <row r="145" spans="1:16" hidden="1" x14ac:dyDescent="0.25">
      <c r="A145" s="8">
        <v>140</v>
      </c>
      <c r="B145">
        <v>140</v>
      </c>
      <c r="C145" s="27">
        <v>45436</v>
      </c>
      <c r="D145" t="s">
        <v>457</v>
      </c>
      <c r="E145">
        <v>-2.38</v>
      </c>
      <c r="G145" t="s">
        <v>394</v>
      </c>
      <c r="H145" t="s">
        <v>14</v>
      </c>
      <c r="I145" t="s">
        <v>395</v>
      </c>
      <c r="J145" s="27">
        <v>45413</v>
      </c>
      <c r="K145">
        <v>2024</v>
      </c>
      <c r="L145" s="27">
        <v>45436</v>
      </c>
      <c r="M145">
        <v>979.28000000000043</v>
      </c>
      <c r="N145">
        <v>35</v>
      </c>
      <c r="O145" t="s">
        <v>16</v>
      </c>
      <c r="P145">
        <f t="shared" si="2"/>
        <v>0</v>
      </c>
    </row>
    <row r="146" spans="1:16" hidden="1" x14ac:dyDescent="0.25">
      <c r="A146" s="8">
        <v>141</v>
      </c>
      <c r="B146">
        <v>141</v>
      </c>
      <c r="C146" s="27">
        <v>45436</v>
      </c>
      <c r="D146" t="s">
        <v>458</v>
      </c>
      <c r="E146">
        <v>-22.22</v>
      </c>
      <c r="G146" t="s">
        <v>394</v>
      </c>
      <c r="H146" t="s">
        <v>14</v>
      </c>
      <c r="I146" t="s">
        <v>395</v>
      </c>
      <c r="J146" s="27">
        <v>45413</v>
      </c>
      <c r="K146">
        <v>2024</v>
      </c>
      <c r="L146" s="27">
        <v>45436</v>
      </c>
      <c r="M146">
        <v>957.0600000000004</v>
      </c>
      <c r="N146">
        <v>36</v>
      </c>
      <c r="O146" t="s">
        <v>16</v>
      </c>
      <c r="P146">
        <f t="shared" si="2"/>
        <v>0</v>
      </c>
    </row>
    <row r="147" spans="1:16" hidden="1" x14ac:dyDescent="0.25">
      <c r="A147" s="8">
        <v>142</v>
      </c>
      <c r="B147">
        <v>142</v>
      </c>
      <c r="C147" s="27">
        <v>45440</v>
      </c>
      <c r="D147" t="s">
        <v>459</v>
      </c>
      <c r="E147">
        <v>-13.82</v>
      </c>
      <c r="G147" t="s">
        <v>394</v>
      </c>
      <c r="H147" t="s">
        <v>14</v>
      </c>
      <c r="I147" t="s">
        <v>395</v>
      </c>
      <c r="J147" s="27">
        <v>45413</v>
      </c>
      <c r="K147">
        <v>2024</v>
      </c>
      <c r="L147" s="27">
        <v>45440</v>
      </c>
      <c r="M147">
        <v>943.24000000000035</v>
      </c>
      <c r="N147">
        <v>37</v>
      </c>
      <c r="O147" t="s">
        <v>16</v>
      </c>
      <c r="P147">
        <f t="shared" si="2"/>
        <v>0</v>
      </c>
    </row>
    <row r="148" spans="1:16" hidden="1" x14ac:dyDescent="0.25">
      <c r="A148" s="8">
        <v>143</v>
      </c>
      <c r="B148">
        <v>143</v>
      </c>
      <c r="C148" s="27">
        <v>45440</v>
      </c>
      <c r="D148" t="s">
        <v>78</v>
      </c>
      <c r="E148">
        <v>-0.08</v>
      </c>
      <c r="G148" t="s">
        <v>79</v>
      </c>
      <c r="H148" t="s">
        <v>14</v>
      </c>
      <c r="I148" t="s">
        <v>80</v>
      </c>
      <c r="J148" s="27">
        <v>45413</v>
      </c>
      <c r="K148">
        <v>2024</v>
      </c>
      <c r="L148" s="27">
        <v>45440</v>
      </c>
      <c r="M148">
        <v>943.16000000000031</v>
      </c>
      <c r="N148">
        <v>32</v>
      </c>
      <c r="O148" t="s">
        <v>16</v>
      </c>
      <c r="P148">
        <f t="shared" si="2"/>
        <v>0</v>
      </c>
    </row>
    <row r="149" spans="1:16" hidden="1" x14ac:dyDescent="0.25">
      <c r="A149" s="8">
        <v>144</v>
      </c>
      <c r="B149">
        <v>144</v>
      </c>
      <c r="C149" s="27">
        <v>45440</v>
      </c>
      <c r="D149" t="s">
        <v>460</v>
      </c>
      <c r="E149">
        <v>-2.71</v>
      </c>
      <c r="G149" t="s">
        <v>394</v>
      </c>
      <c r="H149" t="s">
        <v>14</v>
      </c>
      <c r="I149" t="s">
        <v>395</v>
      </c>
      <c r="J149" s="27">
        <v>45413</v>
      </c>
      <c r="K149">
        <v>2024</v>
      </c>
      <c r="L149" s="27">
        <v>45440</v>
      </c>
      <c r="M149">
        <v>940.45000000000027</v>
      </c>
      <c r="N149">
        <v>38</v>
      </c>
      <c r="O149" t="s">
        <v>16</v>
      </c>
      <c r="P149">
        <f t="shared" si="2"/>
        <v>0</v>
      </c>
    </row>
    <row r="150" spans="1:16" hidden="1" x14ac:dyDescent="0.25">
      <c r="A150" s="8">
        <v>145</v>
      </c>
      <c r="B150">
        <v>145</v>
      </c>
      <c r="C150" s="27">
        <v>45440</v>
      </c>
      <c r="D150" t="s">
        <v>78</v>
      </c>
      <c r="E150">
        <v>-0.13</v>
      </c>
      <c r="G150" t="s">
        <v>79</v>
      </c>
      <c r="H150" t="s">
        <v>14</v>
      </c>
      <c r="I150" t="s">
        <v>80</v>
      </c>
      <c r="J150" s="27">
        <v>45413</v>
      </c>
      <c r="K150">
        <v>2024</v>
      </c>
      <c r="L150" s="27">
        <v>45440</v>
      </c>
      <c r="M150">
        <v>940.32000000000028</v>
      </c>
      <c r="N150">
        <v>33</v>
      </c>
      <c r="O150" t="s">
        <v>16</v>
      </c>
      <c r="P150">
        <f t="shared" si="2"/>
        <v>0</v>
      </c>
    </row>
    <row r="151" spans="1:16" hidden="1" x14ac:dyDescent="0.25">
      <c r="A151" s="8">
        <v>146</v>
      </c>
      <c r="B151">
        <v>146</v>
      </c>
      <c r="C151" s="27">
        <v>45440</v>
      </c>
      <c r="D151" t="s">
        <v>461</v>
      </c>
      <c r="E151">
        <v>-4.3600000000000003</v>
      </c>
      <c r="G151" t="s">
        <v>394</v>
      </c>
      <c r="H151" t="s">
        <v>14</v>
      </c>
      <c r="I151" t="s">
        <v>395</v>
      </c>
      <c r="J151" s="27">
        <v>45413</v>
      </c>
      <c r="K151">
        <v>2024</v>
      </c>
      <c r="L151" s="27">
        <v>45440</v>
      </c>
      <c r="M151">
        <v>935.96000000000026</v>
      </c>
      <c r="N151">
        <v>39</v>
      </c>
      <c r="O151" t="s">
        <v>16</v>
      </c>
      <c r="P151">
        <f t="shared" si="2"/>
        <v>0</v>
      </c>
    </row>
    <row r="152" spans="1:16" hidden="1" x14ac:dyDescent="0.25">
      <c r="A152" s="8">
        <v>147</v>
      </c>
      <c r="B152">
        <v>147</v>
      </c>
      <c r="C152" s="27">
        <v>45440</v>
      </c>
      <c r="D152" t="s">
        <v>78</v>
      </c>
      <c r="E152">
        <v>-0.14000000000000001</v>
      </c>
      <c r="G152" t="s">
        <v>79</v>
      </c>
      <c r="H152" t="s">
        <v>14</v>
      </c>
      <c r="I152" t="s">
        <v>80</v>
      </c>
      <c r="J152" s="27">
        <v>45413</v>
      </c>
      <c r="K152">
        <v>2024</v>
      </c>
      <c r="L152" s="27">
        <v>45440</v>
      </c>
      <c r="M152">
        <v>935.82000000000028</v>
      </c>
      <c r="N152">
        <v>34</v>
      </c>
      <c r="O152" t="s">
        <v>16</v>
      </c>
      <c r="P152">
        <f t="shared" si="2"/>
        <v>0</v>
      </c>
    </row>
    <row r="153" spans="1:16" hidden="1" x14ac:dyDescent="0.25">
      <c r="A153" s="8">
        <v>148</v>
      </c>
      <c r="B153">
        <v>148</v>
      </c>
      <c r="C153" s="27">
        <v>45440</v>
      </c>
      <c r="D153" t="s">
        <v>462</v>
      </c>
      <c r="E153">
        <v>-4.93</v>
      </c>
      <c r="G153" t="s">
        <v>394</v>
      </c>
      <c r="H153" t="s">
        <v>14</v>
      </c>
      <c r="I153" t="s">
        <v>395</v>
      </c>
      <c r="J153" s="27">
        <v>45413</v>
      </c>
      <c r="K153">
        <v>2024</v>
      </c>
      <c r="L153" s="27">
        <v>45440</v>
      </c>
      <c r="M153">
        <v>930.89000000000033</v>
      </c>
      <c r="N153">
        <v>40</v>
      </c>
      <c r="O153" t="s">
        <v>16</v>
      </c>
      <c r="P153">
        <f t="shared" si="2"/>
        <v>0</v>
      </c>
    </row>
    <row r="154" spans="1:16" hidden="1" x14ac:dyDescent="0.25">
      <c r="A154" s="8">
        <v>149</v>
      </c>
      <c r="B154">
        <v>149</v>
      </c>
      <c r="C154" s="27">
        <v>45440</v>
      </c>
      <c r="D154" t="s">
        <v>78</v>
      </c>
      <c r="E154">
        <v>-7.0000000000000007E-2</v>
      </c>
      <c r="G154" t="s">
        <v>79</v>
      </c>
      <c r="H154" t="s">
        <v>14</v>
      </c>
      <c r="I154" t="s">
        <v>80</v>
      </c>
      <c r="J154" s="27">
        <v>45413</v>
      </c>
      <c r="K154">
        <v>2024</v>
      </c>
      <c r="L154" s="27">
        <v>45440</v>
      </c>
      <c r="M154">
        <v>930.82000000000028</v>
      </c>
      <c r="N154">
        <v>35</v>
      </c>
      <c r="O154" t="s">
        <v>16</v>
      </c>
      <c r="P154">
        <f t="shared" si="2"/>
        <v>0</v>
      </c>
    </row>
    <row r="155" spans="1:16" hidden="1" x14ac:dyDescent="0.25">
      <c r="A155" s="8">
        <v>150</v>
      </c>
      <c r="B155">
        <v>150</v>
      </c>
      <c r="C155" s="27">
        <v>45440</v>
      </c>
      <c r="D155" t="s">
        <v>463</v>
      </c>
      <c r="E155">
        <v>-2.48</v>
      </c>
      <c r="G155" t="s">
        <v>394</v>
      </c>
      <c r="H155" t="s">
        <v>14</v>
      </c>
      <c r="I155" t="s">
        <v>395</v>
      </c>
      <c r="J155" s="27">
        <v>45413</v>
      </c>
      <c r="K155">
        <v>2024</v>
      </c>
      <c r="L155" s="27">
        <v>45440</v>
      </c>
      <c r="M155">
        <v>928.34000000000026</v>
      </c>
      <c r="N155">
        <v>41</v>
      </c>
      <c r="O155" t="s">
        <v>16</v>
      </c>
      <c r="P155">
        <f t="shared" si="2"/>
        <v>0</v>
      </c>
    </row>
    <row r="156" spans="1:16" hidden="1" x14ac:dyDescent="0.25">
      <c r="A156" s="8">
        <v>151</v>
      </c>
      <c r="B156">
        <v>151</v>
      </c>
      <c r="C156" s="27">
        <v>45440</v>
      </c>
      <c r="D156" t="s">
        <v>78</v>
      </c>
      <c r="E156">
        <v>-0.35</v>
      </c>
      <c r="G156" t="s">
        <v>79</v>
      </c>
      <c r="H156" t="s">
        <v>14</v>
      </c>
      <c r="I156" t="s">
        <v>80</v>
      </c>
      <c r="J156" s="27">
        <v>45413</v>
      </c>
      <c r="K156">
        <v>2024</v>
      </c>
      <c r="L156" s="27">
        <v>45440</v>
      </c>
      <c r="M156">
        <v>927.99000000000024</v>
      </c>
      <c r="N156">
        <v>36</v>
      </c>
      <c r="O156" t="s">
        <v>16</v>
      </c>
      <c r="P156">
        <f t="shared" si="2"/>
        <v>0</v>
      </c>
    </row>
    <row r="157" spans="1:16" hidden="1" x14ac:dyDescent="0.25">
      <c r="A157" s="8">
        <v>152</v>
      </c>
      <c r="B157">
        <v>152</v>
      </c>
      <c r="C157" s="27">
        <v>45440</v>
      </c>
      <c r="D157" t="s">
        <v>464</v>
      </c>
      <c r="E157">
        <v>-11.95</v>
      </c>
      <c r="G157" t="s">
        <v>394</v>
      </c>
      <c r="H157" t="s">
        <v>14</v>
      </c>
      <c r="I157" t="s">
        <v>395</v>
      </c>
      <c r="J157" s="27">
        <v>45413</v>
      </c>
      <c r="K157">
        <v>2024</v>
      </c>
      <c r="L157" s="27">
        <v>45440</v>
      </c>
      <c r="M157">
        <v>916.04000000000019</v>
      </c>
      <c r="N157">
        <v>42</v>
      </c>
      <c r="O157" t="s">
        <v>16</v>
      </c>
      <c r="P157">
        <f t="shared" si="2"/>
        <v>0</v>
      </c>
    </row>
    <row r="158" spans="1:16" hidden="1" x14ac:dyDescent="0.25">
      <c r="A158" s="8">
        <v>153</v>
      </c>
      <c r="B158">
        <v>153</v>
      </c>
      <c r="C158" s="27">
        <v>45440</v>
      </c>
      <c r="D158" t="s">
        <v>78</v>
      </c>
      <c r="E158">
        <v>-0.95</v>
      </c>
      <c r="G158" t="s">
        <v>79</v>
      </c>
      <c r="H158" t="s">
        <v>14</v>
      </c>
      <c r="I158" t="s">
        <v>80</v>
      </c>
      <c r="J158" s="27">
        <v>45413</v>
      </c>
      <c r="K158">
        <v>2024</v>
      </c>
      <c r="L158" s="27">
        <v>45440</v>
      </c>
      <c r="M158">
        <v>915.09000000000015</v>
      </c>
      <c r="N158">
        <v>37</v>
      </c>
      <c r="O158" t="s">
        <v>16</v>
      </c>
      <c r="P158">
        <f t="shared" si="2"/>
        <v>0</v>
      </c>
    </row>
    <row r="159" spans="1:16" hidden="1" x14ac:dyDescent="0.25">
      <c r="A159" s="8">
        <v>154</v>
      </c>
      <c r="B159">
        <v>154</v>
      </c>
      <c r="C159" s="27">
        <v>45440</v>
      </c>
      <c r="D159" t="s">
        <v>465</v>
      </c>
      <c r="E159">
        <v>-31.77</v>
      </c>
      <c r="G159" t="s">
        <v>394</v>
      </c>
      <c r="H159" t="s">
        <v>14</v>
      </c>
      <c r="I159" t="s">
        <v>395</v>
      </c>
      <c r="J159" s="27">
        <v>45413</v>
      </c>
      <c r="K159">
        <v>2024</v>
      </c>
      <c r="L159" s="27">
        <v>45440</v>
      </c>
      <c r="M159">
        <v>883.32000000000016</v>
      </c>
      <c r="N159">
        <v>43</v>
      </c>
      <c r="O159" t="s">
        <v>16</v>
      </c>
      <c r="P159">
        <f t="shared" si="2"/>
        <v>0</v>
      </c>
    </row>
    <row r="160" spans="1:16" hidden="1" x14ac:dyDescent="0.25">
      <c r="A160" s="8">
        <v>155</v>
      </c>
      <c r="B160">
        <v>155</v>
      </c>
      <c r="C160" s="27">
        <v>45440</v>
      </c>
      <c r="D160" t="s">
        <v>466</v>
      </c>
      <c r="E160">
        <v>-30</v>
      </c>
      <c r="G160" t="s">
        <v>46</v>
      </c>
      <c r="H160" t="s">
        <v>14</v>
      </c>
      <c r="I160" t="s">
        <v>25</v>
      </c>
      <c r="J160" s="27">
        <v>45413</v>
      </c>
      <c r="K160">
        <v>2024</v>
      </c>
      <c r="L160" s="27">
        <v>45440</v>
      </c>
      <c r="M160">
        <v>853.32000000000016</v>
      </c>
      <c r="N160">
        <v>1</v>
      </c>
      <c r="O160" t="s">
        <v>16</v>
      </c>
      <c r="P160">
        <f t="shared" si="2"/>
        <v>0</v>
      </c>
    </row>
    <row r="161" spans="1:16" hidden="1" x14ac:dyDescent="0.25">
      <c r="A161" s="8">
        <v>156</v>
      </c>
      <c r="B161">
        <v>156</v>
      </c>
      <c r="C161" s="27">
        <v>45440</v>
      </c>
      <c r="D161" t="s">
        <v>78</v>
      </c>
      <c r="E161">
        <v>-0.14000000000000001</v>
      </c>
      <c r="G161" t="s">
        <v>79</v>
      </c>
      <c r="H161" t="s">
        <v>14</v>
      </c>
      <c r="I161" t="s">
        <v>80</v>
      </c>
      <c r="J161" s="27">
        <v>45413</v>
      </c>
      <c r="K161">
        <v>2024</v>
      </c>
      <c r="L161" s="27">
        <v>45440</v>
      </c>
      <c r="M161">
        <v>853.18000000000018</v>
      </c>
      <c r="N161">
        <v>38</v>
      </c>
      <c r="O161" t="s">
        <v>16</v>
      </c>
      <c r="P161">
        <f t="shared" si="2"/>
        <v>0</v>
      </c>
    </row>
    <row r="162" spans="1:16" hidden="1" x14ac:dyDescent="0.25">
      <c r="A162" s="8">
        <v>157</v>
      </c>
      <c r="B162">
        <v>157</v>
      </c>
      <c r="C162" s="27">
        <v>45440</v>
      </c>
      <c r="D162" t="s">
        <v>467</v>
      </c>
      <c r="E162">
        <v>-4.79</v>
      </c>
      <c r="G162" t="s">
        <v>394</v>
      </c>
      <c r="H162" t="s">
        <v>14</v>
      </c>
      <c r="I162" t="s">
        <v>395</v>
      </c>
      <c r="J162" s="27">
        <v>45413</v>
      </c>
      <c r="K162">
        <v>2024</v>
      </c>
      <c r="L162" s="27">
        <v>45440</v>
      </c>
      <c r="M162">
        <v>848.39000000000021</v>
      </c>
      <c r="N162">
        <v>44</v>
      </c>
      <c r="O162" t="s">
        <v>16</v>
      </c>
      <c r="P162">
        <f t="shared" si="2"/>
        <v>0</v>
      </c>
    </row>
    <row r="163" spans="1:16" hidden="1" x14ac:dyDescent="0.25">
      <c r="A163" s="8">
        <v>158</v>
      </c>
      <c r="B163">
        <v>158</v>
      </c>
      <c r="C163" s="27">
        <v>45440</v>
      </c>
      <c r="D163" t="s">
        <v>78</v>
      </c>
      <c r="E163">
        <v>-0.17</v>
      </c>
      <c r="G163" t="s">
        <v>79</v>
      </c>
      <c r="H163" t="s">
        <v>14</v>
      </c>
      <c r="I163" t="s">
        <v>80</v>
      </c>
      <c r="J163" s="27">
        <v>45413</v>
      </c>
      <c r="K163">
        <v>2024</v>
      </c>
      <c r="L163" s="27">
        <v>45440</v>
      </c>
      <c r="M163">
        <v>848.22000000000025</v>
      </c>
      <c r="N163">
        <v>39</v>
      </c>
      <c r="O163" t="s">
        <v>16</v>
      </c>
      <c r="P163">
        <f t="shared" si="2"/>
        <v>0</v>
      </c>
    </row>
    <row r="164" spans="1:16" hidden="1" x14ac:dyDescent="0.25">
      <c r="A164" s="8">
        <v>159</v>
      </c>
      <c r="B164">
        <v>159</v>
      </c>
      <c r="C164" s="27">
        <v>45440</v>
      </c>
      <c r="D164" t="s">
        <v>468</v>
      </c>
      <c r="E164">
        <v>-5.91</v>
      </c>
      <c r="G164" t="s">
        <v>394</v>
      </c>
      <c r="H164" t="s">
        <v>14</v>
      </c>
      <c r="I164" t="s">
        <v>395</v>
      </c>
      <c r="J164" s="27">
        <v>45413</v>
      </c>
      <c r="K164">
        <v>2024</v>
      </c>
      <c r="L164" s="27">
        <v>45440</v>
      </c>
      <c r="M164">
        <v>842.31000000000029</v>
      </c>
      <c r="N164">
        <v>45</v>
      </c>
      <c r="O164" t="s">
        <v>16</v>
      </c>
      <c r="P164">
        <f t="shared" si="2"/>
        <v>0</v>
      </c>
    </row>
    <row r="165" spans="1:16" hidden="1" x14ac:dyDescent="0.25">
      <c r="A165" s="8">
        <v>160</v>
      </c>
      <c r="B165">
        <v>160</v>
      </c>
      <c r="C165" s="27">
        <v>45440</v>
      </c>
      <c r="D165" t="s">
        <v>78</v>
      </c>
      <c r="E165">
        <v>-0.14000000000000001</v>
      </c>
      <c r="G165" t="s">
        <v>79</v>
      </c>
      <c r="H165" t="s">
        <v>14</v>
      </c>
      <c r="I165" t="s">
        <v>80</v>
      </c>
      <c r="J165" s="27">
        <v>45413</v>
      </c>
      <c r="K165">
        <v>2024</v>
      </c>
      <c r="L165" s="27">
        <v>45440</v>
      </c>
      <c r="M165">
        <v>842.1700000000003</v>
      </c>
      <c r="N165">
        <v>40</v>
      </c>
      <c r="O165" t="s">
        <v>16</v>
      </c>
      <c r="P165">
        <f t="shared" si="2"/>
        <v>0</v>
      </c>
    </row>
    <row r="166" spans="1:16" hidden="1" x14ac:dyDescent="0.25">
      <c r="A166" s="8">
        <v>161</v>
      </c>
      <c r="B166">
        <v>161</v>
      </c>
      <c r="C166" s="27">
        <v>45440</v>
      </c>
      <c r="D166" t="s">
        <v>469</v>
      </c>
      <c r="E166">
        <v>-4.9800000000000004</v>
      </c>
      <c r="G166" t="s">
        <v>394</v>
      </c>
      <c r="H166" t="s">
        <v>14</v>
      </c>
      <c r="I166" t="s">
        <v>395</v>
      </c>
      <c r="J166" s="27">
        <v>45413</v>
      </c>
      <c r="K166">
        <v>2024</v>
      </c>
      <c r="L166" s="27">
        <v>45440</v>
      </c>
      <c r="M166">
        <v>837.19000000000028</v>
      </c>
      <c r="N166">
        <v>46</v>
      </c>
      <c r="O166" t="s">
        <v>16</v>
      </c>
      <c r="P166">
        <f t="shared" si="2"/>
        <v>0</v>
      </c>
    </row>
    <row r="167" spans="1:16" hidden="1" x14ac:dyDescent="0.25">
      <c r="A167" s="8">
        <v>162</v>
      </c>
      <c r="B167">
        <v>162</v>
      </c>
      <c r="C167" s="27">
        <v>45440</v>
      </c>
      <c r="D167" t="s">
        <v>78</v>
      </c>
      <c r="E167">
        <v>-0.14000000000000001</v>
      </c>
      <c r="G167" t="s">
        <v>79</v>
      </c>
      <c r="H167" t="s">
        <v>14</v>
      </c>
      <c r="I167" t="s">
        <v>80</v>
      </c>
      <c r="J167" s="27">
        <v>45413</v>
      </c>
      <c r="K167">
        <v>2024</v>
      </c>
      <c r="L167" s="27">
        <v>45440</v>
      </c>
      <c r="M167">
        <v>837.0500000000003</v>
      </c>
      <c r="N167">
        <v>41</v>
      </c>
      <c r="O167" t="s">
        <v>16</v>
      </c>
      <c r="P167">
        <f t="shared" si="2"/>
        <v>0</v>
      </c>
    </row>
    <row r="168" spans="1:16" hidden="1" x14ac:dyDescent="0.25">
      <c r="A168" s="8">
        <v>163</v>
      </c>
      <c r="B168">
        <v>163</v>
      </c>
      <c r="C168" s="27">
        <v>45440</v>
      </c>
      <c r="D168" t="s">
        <v>470</v>
      </c>
      <c r="E168">
        <v>-4.88</v>
      </c>
      <c r="G168" t="s">
        <v>394</v>
      </c>
      <c r="H168" t="s">
        <v>14</v>
      </c>
      <c r="I168" t="s">
        <v>395</v>
      </c>
      <c r="J168" s="27">
        <v>45413</v>
      </c>
      <c r="K168">
        <v>2024</v>
      </c>
      <c r="L168" s="27">
        <v>45440</v>
      </c>
      <c r="M168">
        <v>832.1700000000003</v>
      </c>
      <c r="N168">
        <v>47</v>
      </c>
      <c r="O168" t="s">
        <v>16</v>
      </c>
      <c r="P168">
        <f t="shared" si="2"/>
        <v>0</v>
      </c>
    </row>
    <row r="169" spans="1:16" hidden="1" x14ac:dyDescent="0.25">
      <c r="A169" s="8">
        <v>164</v>
      </c>
      <c r="B169">
        <v>164</v>
      </c>
      <c r="C169" s="27">
        <v>45441</v>
      </c>
      <c r="D169" t="s">
        <v>78</v>
      </c>
      <c r="E169">
        <v>-1.1100000000000001</v>
      </c>
      <c r="G169" t="s">
        <v>79</v>
      </c>
      <c r="H169" t="s">
        <v>14</v>
      </c>
      <c r="I169" t="s">
        <v>80</v>
      </c>
      <c r="J169" s="27">
        <v>45413</v>
      </c>
      <c r="K169">
        <v>2024</v>
      </c>
      <c r="L169" s="27">
        <v>45441</v>
      </c>
      <c r="M169">
        <v>831.06000000000029</v>
      </c>
      <c r="N169">
        <v>42</v>
      </c>
      <c r="O169" t="s">
        <v>16</v>
      </c>
      <c r="P169">
        <f t="shared" si="2"/>
        <v>0</v>
      </c>
    </row>
    <row r="170" spans="1:16" hidden="1" x14ac:dyDescent="0.25">
      <c r="A170" s="8">
        <v>165</v>
      </c>
      <c r="B170">
        <v>165</v>
      </c>
      <c r="C170" s="27">
        <v>45441</v>
      </c>
      <c r="D170" t="s">
        <v>471</v>
      </c>
      <c r="E170">
        <v>-37.26</v>
      </c>
      <c r="G170" t="s">
        <v>394</v>
      </c>
      <c r="H170" t="s">
        <v>14</v>
      </c>
      <c r="I170" t="s">
        <v>395</v>
      </c>
      <c r="J170" s="27">
        <v>45413</v>
      </c>
      <c r="K170">
        <v>2024</v>
      </c>
      <c r="L170" s="27">
        <v>45441</v>
      </c>
      <c r="M170">
        <v>793.8000000000003</v>
      </c>
      <c r="N170">
        <v>48</v>
      </c>
      <c r="O170" t="s">
        <v>16</v>
      </c>
      <c r="P170">
        <f t="shared" si="2"/>
        <v>0</v>
      </c>
    </row>
    <row r="171" spans="1:16" hidden="1" x14ac:dyDescent="0.25">
      <c r="A171" s="8">
        <v>166</v>
      </c>
      <c r="B171">
        <v>166</v>
      </c>
      <c r="C171" s="27">
        <v>45441</v>
      </c>
      <c r="D171" t="s">
        <v>78</v>
      </c>
      <c r="E171">
        <v>-0.13</v>
      </c>
      <c r="G171" t="s">
        <v>79</v>
      </c>
      <c r="H171" t="s">
        <v>14</v>
      </c>
      <c r="I171" t="s">
        <v>80</v>
      </c>
      <c r="J171" s="27">
        <v>45413</v>
      </c>
      <c r="K171">
        <v>2024</v>
      </c>
      <c r="L171" s="27">
        <v>45441</v>
      </c>
      <c r="M171">
        <v>793.6700000000003</v>
      </c>
      <c r="N171">
        <v>43</v>
      </c>
      <c r="O171" t="s">
        <v>16</v>
      </c>
      <c r="P171">
        <f t="shared" si="2"/>
        <v>0</v>
      </c>
    </row>
    <row r="172" spans="1:16" hidden="1" x14ac:dyDescent="0.25">
      <c r="A172" s="8">
        <v>167</v>
      </c>
      <c r="B172">
        <v>167</v>
      </c>
      <c r="C172" s="27">
        <v>45441</v>
      </c>
      <c r="D172" t="s">
        <v>472</v>
      </c>
      <c r="E172">
        <v>-4.3899999999999997</v>
      </c>
      <c r="G172" t="s">
        <v>394</v>
      </c>
      <c r="H172" t="s">
        <v>14</v>
      </c>
      <c r="I172" t="s">
        <v>395</v>
      </c>
      <c r="J172" s="27">
        <v>45413</v>
      </c>
      <c r="K172">
        <v>2024</v>
      </c>
      <c r="L172" s="27">
        <v>45441</v>
      </c>
      <c r="M172">
        <v>789.28000000000031</v>
      </c>
      <c r="N172">
        <v>49</v>
      </c>
      <c r="O172" t="s">
        <v>16</v>
      </c>
      <c r="P172">
        <f t="shared" si="2"/>
        <v>0</v>
      </c>
    </row>
    <row r="173" spans="1:16" hidden="1" x14ac:dyDescent="0.25">
      <c r="A173" s="8">
        <v>168</v>
      </c>
      <c r="B173">
        <v>168</v>
      </c>
      <c r="C173" s="27">
        <v>45441</v>
      </c>
      <c r="D173" t="s">
        <v>78</v>
      </c>
      <c r="E173">
        <v>-0.94</v>
      </c>
      <c r="G173" t="s">
        <v>79</v>
      </c>
      <c r="H173" t="s">
        <v>14</v>
      </c>
      <c r="I173" t="s">
        <v>80</v>
      </c>
      <c r="J173" s="27">
        <v>45413</v>
      </c>
      <c r="K173">
        <v>2024</v>
      </c>
      <c r="L173" s="27">
        <v>45441</v>
      </c>
      <c r="M173">
        <v>788.34000000000026</v>
      </c>
      <c r="N173">
        <v>44</v>
      </c>
      <c r="O173" t="s">
        <v>16</v>
      </c>
      <c r="P173">
        <f t="shared" si="2"/>
        <v>0</v>
      </c>
    </row>
    <row r="174" spans="1:16" hidden="1" x14ac:dyDescent="0.25">
      <c r="A174" s="8">
        <v>169</v>
      </c>
      <c r="B174">
        <v>169</v>
      </c>
      <c r="C174" s="27">
        <v>45441</v>
      </c>
      <c r="D174" t="s">
        <v>473</v>
      </c>
      <c r="E174">
        <v>-31.43</v>
      </c>
      <c r="G174" t="s">
        <v>394</v>
      </c>
      <c r="H174" t="s">
        <v>14</v>
      </c>
      <c r="I174" t="s">
        <v>395</v>
      </c>
      <c r="J174" s="27">
        <v>45413</v>
      </c>
      <c r="K174">
        <v>2024</v>
      </c>
      <c r="L174" s="27">
        <v>45441</v>
      </c>
      <c r="M174">
        <v>756.91000000000031</v>
      </c>
      <c r="N174">
        <v>50</v>
      </c>
      <c r="O174" t="s">
        <v>16</v>
      </c>
      <c r="P174">
        <f t="shared" si="2"/>
        <v>0</v>
      </c>
    </row>
    <row r="175" spans="1:16" hidden="1" x14ac:dyDescent="0.25">
      <c r="A175" s="8">
        <v>170</v>
      </c>
      <c r="B175">
        <v>170</v>
      </c>
      <c r="C175" s="27">
        <v>45441</v>
      </c>
      <c r="D175" t="s">
        <v>78</v>
      </c>
      <c r="E175">
        <v>-0.19</v>
      </c>
      <c r="G175" t="s">
        <v>79</v>
      </c>
      <c r="H175" t="s">
        <v>14</v>
      </c>
      <c r="I175" t="s">
        <v>80</v>
      </c>
      <c r="J175" s="27">
        <v>45413</v>
      </c>
      <c r="K175">
        <v>2024</v>
      </c>
      <c r="L175" s="27">
        <v>45441</v>
      </c>
      <c r="M175">
        <v>756.72000000000025</v>
      </c>
      <c r="N175">
        <v>45</v>
      </c>
      <c r="O175" t="s">
        <v>16</v>
      </c>
      <c r="P175">
        <f t="shared" si="2"/>
        <v>0</v>
      </c>
    </row>
    <row r="176" spans="1:16" hidden="1" x14ac:dyDescent="0.25">
      <c r="A176" s="8">
        <v>171</v>
      </c>
      <c r="B176">
        <v>171</v>
      </c>
      <c r="C176" s="27">
        <v>45441</v>
      </c>
      <c r="D176" t="s">
        <v>474</v>
      </c>
      <c r="E176">
        <v>-6.64</v>
      </c>
      <c r="G176" t="s">
        <v>394</v>
      </c>
      <c r="H176" t="s">
        <v>14</v>
      </c>
      <c r="I176" t="s">
        <v>395</v>
      </c>
      <c r="J176" s="27">
        <v>45413</v>
      </c>
      <c r="K176">
        <v>2024</v>
      </c>
      <c r="L176" s="27">
        <v>45441</v>
      </c>
      <c r="M176">
        <v>750.08000000000027</v>
      </c>
      <c r="N176">
        <v>51</v>
      </c>
      <c r="O176" t="s">
        <v>16</v>
      </c>
      <c r="P176">
        <f t="shared" si="2"/>
        <v>0</v>
      </c>
    </row>
    <row r="177" spans="1:16" hidden="1" x14ac:dyDescent="0.25">
      <c r="A177" s="8">
        <v>172</v>
      </c>
      <c r="B177">
        <v>172</v>
      </c>
      <c r="C177" s="27">
        <v>45441</v>
      </c>
      <c r="D177" t="s">
        <v>475</v>
      </c>
      <c r="E177">
        <v>200</v>
      </c>
      <c r="G177" t="s">
        <v>24</v>
      </c>
      <c r="H177" t="s">
        <v>14</v>
      </c>
      <c r="I177" t="s">
        <v>25</v>
      </c>
      <c r="J177" s="27">
        <v>45413</v>
      </c>
      <c r="K177">
        <v>2024</v>
      </c>
      <c r="L177" s="27">
        <v>45441</v>
      </c>
      <c r="M177">
        <v>950.08000000000027</v>
      </c>
      <c r="N177">
        <v>10</v>
      </c>
      <c r="O177" t="s">
        <v>16</v>
      </c>
      <c r="P177">
        <f t="shared" si="2"/>
        <v>0</v>
      </c>
    </row>
    <row r="178" spans="1:16" hidden="1" x14ac:dyDescent="0.25">
      <c r="A178" s="8">
        <v>173</v>
      </c>
      <c r="B178">
        <v>173</v>
      </c>
      <c r="C178" s="27">
        <v>45442</v>
      </c>
      <c r="D178" t="s">
        <v>476</v>
      </c>
      <c r="E178">
        <v>-53.98</v>
      </c>
      <c r="G178" t="s">
        <v>394</v>
      </c>
      <c r="H178" t="s">
        <v>14</v>
      </c>
      <c r="I178" t="s">
        <v>395</v>
      </c>
      <c r="J178" s="27">
        <v>45413</v>
      </c>
      <c r="K178">
        <v>2024</v>
      </c>
      <c r="L178" s="27">
        <v>45442</v>
      </c>
      <c r="M178">
        <v>896.10000000000025</v>
      </c>
      <c r="N178">
        <v>52</v>
      </c>
      <c r="O178" t="s">
        <v>16</v>
      </c>
      <c r="P178">
        <f t="shared" si="2"/>
        <v>0</v>
      </c>
    </row>
    <row r="179" spans="1:16" hidden="1" x14ac:dyDescent="0.25">
      <c r="A179" s="8">
        <v>174</v>
      </c>
      <c r="B179">
        <v>174</v>
      </c>
      <c r="C179" s="27">
        <v>45442</v>
      </c>
      <c r="D179" t="s">
        <v>78</v>
      </c>
      <c r="E179">
        <v>-2.96</v>
      </c>
      <c r="G179" t="s">
        <v>79</v>
      </c>
      <c r="H179" t="s">
        <v>14</v>
      </c>
      <c r="I179" t="s">
        <v>80</v>
      </c>
      <c r="J179" s="27">
        <v>45413</v>
      </c>
      <c r="K179">
        <v>2024</v>
      </c>
      <c r="L179" s="27">
        <v>45442</v>
      </c>
      <c r="M179">
        <v>893.14000000000021</v>
      </c>
      <c r="N179">
        <v>46</v>
      </c>
      <c r="O179" t="s">
        <v>16</v>
      </c>
      <c r="P179">
        <f t="shared" si="2"/>
        <v>0</v>
      </c>
    </row>
    <row r="180" spans="1:16" hidden="1" x14ac:dyDescent="0.25">
      <c r="A180" s="8">
        <v>175</v>
      </c>
      <c r="B180">
        <v>175</v>
      </c>
      <c r="C180" s="27">
        <v>45442</v>
      </c>
      <c r="D180" t="s">
        <v>477</v>
      </c>
      <c r="E180">
        <v>-98.69</v>
      </c>
      <c r="G180" t="s">
        <v>394</v>
      </c>
      <c r="H180" t="s">
        <v>14</v>
      </c>
      <c r="I180" t="s">
        <v>395</v>
      </c>
      <c r="J180" s="27">
        <v>45413</v>
      </c>
      <c r="K180">
        <v>2024</v>
      </c>
      <c r="L180" s="27">
        <v>45442</v>
      </c>
      <c r="M180">
        <v>794.45000000000027</v>
      </c>
      <c r="N180">
        <v>53</v>
      </c>
      <c r="O180" t="s">
        <v>16</v>
      </c>
      <c r="P180">
        <f t="shared" si="2"/>
        <v>0</v>
      </c>
    </row>
    <row r="181" spans="1:16" hidden="1" x14ac:dyDescent="0.25">
      <c r="A181" s="8">
        <v>176</v>
      </c>
      <c r="B181">
        <v>176</v>
      </c>
      <c r="C181" s="27">
        <v>45442</v>
      </c>
      <c r="D181" t="s">
        <v>78</v>
      </c>
      <c r="E181">
        <v>-0.1</v>
      </c>
      <c r="G181" t="s">
        <v>79</v>
      </c>
      <c r="H181" t="s">
        <v>14</v>
      </c>
      <c r="I181" t="s">
        <v>80</v>
      </c>
      <c r="J181" s="27">
        <v>45413</v>
      </c>
      <c r="K181">
        <v>2024</v>
      </c>
      <c r="L181" s="27">
        <v>45442</v>
      </c>
      <c r="M181">
        <v>794.35000000000025</v>
      </c>
      <c r="N181">
        <v>47</v>
      </c>
      <c r="O181" t="s">
        <v>16</v>
      </c>
      <c r="P181">
        <f t="shared" si="2"/>
        <v>0</v>
      </c>
    </row>
    <row r="182" spans="1:16" hidden="1" x14ac:dyDescent="0.25">
      <c r="A182" s="8">
        <v>177</v>
      </c>
      <c r="B182">
        <v>177</v>
      </c>
      <c r="C182" s="27">
        <v>45442</v>
      </c>
      <c r="D182" t="s">
        <v>478</v>
      </c>
      <c r="E182">
        <v>-3.34</v>
      </c>
      <c r="G182" t="s">
        <v>394</v>
      </c>
      <c r="H182" t="s">
        <v>14</v>
      </c>
      <c r="I182" t="s">
        <v>395</v>
      </c>
      <c r="J182" s="27">
        <v>45413</v>
      </c>
      <c r="K182">
        <v>2024</v>
      </c>
      <c r="L182" s="27">
        <v>45442</v>
      </c>
      <c r="M182">
        <v>791.01000000000022</v>
      </c>
      <c r="N182">
        <v>54</v>
      </c>
      <c r="O182" t="s">
        <v>16</v>
      </c>
      <c r="P182">
        <f t="shared" si="2"/>
        <v>0</v>
      </c>
    </row>
    <row r="183" spans="1:16" hidden="1" x14ac:dyDescent="0.25">
      <c r="A183" s="8">
        <v>178</v>
      </c>
      <c r="B183">
        <v>178</v>
      </c>
      <c r="C183" s="27">
        <v>45442</v>
      </c>
      <c r="D183" t="s">
        <v>78</v>
      </c>
      <c r="E183">
        <v>-0.19</v>
      </c>
      <c r="G183" t="s">
        <v>79</v>
      </c>
      <c r="H183" t="s">
        <v>14</v>
      </c>
      <c r="I183" t="s">
        <v>80</v>
      </c>
      <c r="J183" s="27">
        <v>45413</v>
      </c>
      <c r="K183">
        <v>2024</v>
      </c>
      <c r="L183" s="27">
        <v>45442</v>
      </c>
      <c r="M183">
        <v>790.82000000000016</v>
      </c>
      <c r="N183">
        <v>48</v>
      </c>
      <c r="O183" t="s">
        <v>16</v>
      </c>
      <c r="P183">
        <f t="shared" si="2"/>
        <v>0</v>
      </c>
    </row>
    <row r="184" spans="1:16" hidden="1" x14ac:dyDescent="0.25">
      <c r="A184" s="8">
        <v>179</v>
      </c>
      <c r="B184">
        <v>179</v>
      </c>
      <c r="C184" s="27">
        <v>45442</v>
      </c>
      <c r="D184" t="s">
        <v>479</v>
      </c>
      <c r="E184">
        <v>-6.38</v>
      </c>
      <c r="G184" t="s">
        <v>394</v>
      </c>
      <c r="H184" t="s">
        <v>14</v>
      </c>
      <c r="I184" t="s">
        <v>395</v>
      </c>
      <c r="J184" s="27">
        <v>45413</v>
      </c>
      <c r="K184">
        <v>2024</v>
      </c>
      <c r="L184" s="27">
        <v>45442</v>
      </c>
      <c r="M184">
        <v>784.44000000000017</v>
      </c>
      <c r="N184">
        <v>55</v>
      </c>
      <c r="O184" t="s">
        <v>16</v>
      </c>
      <c r="P184">
        <f t="shared" si="2"/>
        <v>0</v>
      </c>
    </row>
    <row r="185" spans="1:16" hidden="1" x14ac:dyDescent="0.25">
      <c r="A185" s="8">
        <v>180</v>
      </c>
      <c r="B185">
        <v>180</v>
      </c>
      <c r="C185" s="27">
        <v>45442</v>
      </c>
      <c r="D185" t="s">
        <v>78</v>
      </c>
      <c r="E185">
        <v>-0.49</v>
      </c>
      <c r="G185" t="s">
        <v>79</v>
      </c>
      <c r="H185" t="s">
        <v>14</v>
      </c>
      <c r="I185" t="s">
        <v>80</v>
      </c>
      <c r="J185" s="27">
        <v>45413</v>
      </c>
      <c r="K185">
        <v>2024</v>
      </c>
      <c r="L185" s="27">
        <v>45442</v>
      </c>
      <c r="M185">
        <v>783.95000000000016</v>
      </c>
      <c r="N185">
        <v>49</v>
      </c>
      <c r="O185" t="s">
        <v>16</v>
      </c>
      <c r="P185">
        <f t="shared" si="2"/>
        <v>0</v>
      </c>
    </row>
    <row r="186" spans="1:16" hidden="1" x14ac:dyDescent="0.25">
      <c r="A186" s="8">
        <v>181</v>
      </c>
      <c r="B186">
        <v>181</v>
      </c>
      <c r="C186" s="27">
        <v>45442</v>
      </c>
      <c r="D186" t="s">
        <v>480</v>
      </c>
      <c r="E186">
        <v>-16.45</v>
      </c>
      <c r="G186" t="s">
        <v>394</v>
      </c>
      <c r="H186" t="s">
        <v>14</v>
      </c>
      <c r="I186" t="s">
        <v>395</v>
      </c>
      <c r="J186" s="27">
        <v>45413</v>
      </c>
      <c r="K186">
        <v>2024</v>
      </c>
      <c r="L186" s="27">
        <v>45442</v>
      </c>
      <c r="M186">
        <v>767.50000000000011</v>
      </c>
      <c r="N186">
        <v>56</v>
      </c>
      <c r="O186" t="s">
        <v>16</v>
      </c>
      <c r="P186">
        <f t="shared" si="2"/>
        <v>0</v>
      </c>
    </row>
    <row r="187" spans="1:16" hidden="1" x14ac:dyDescent="0.25">
      <c r="A187" s="8">
        <v>182</v>
      </c>
      <c r="B187">
        <v>182</v>
      </c>
      <c r="C187" s="27">
        <v>45442</v>
      </c>
      <c r="D187" t="s">
        <v>78</v>
      </c>
      <c r="E187">
        <v>-0.18</v>
      </c>
      <c r="G187" t="s">
        <v>79</v>
      </c>
      <c r="H187" t="s">
        <v>14</v>
      </c>
      <c r="I187" t="s">
        <v>80</v>
      </c>
      <c r="J187" s="27">
        <v>45413</v>
      </c>
      <c r="K187">
        <v>2024</v>
      </c>
      <c r="L187" s="27">
        <v>45442</v>
      </c>
      <c r="M187">
        <v>767.32000000000016</v>
      </c>
      <c r="N187">
        <v>50</v>
      </c>
      <c r="O187" t="s">
        <v>16</v>
      </c>
      <c r="P187">
        <f t="shared" si="2"/>
        <v>0</v>
      </c>
    </row>
    <row r="188" spans="1:16" hidden="1" x14ac:dyDescent="0.25">
      <c r="A188" s="8">
        <v>183</v>
      </c>
      <c r="B188">
        <v>183</v>
      </c>
      <c r="C188" s="27">
        <v>45442</v>
      </c>
      <c r="D188" t="s">
        <v>481</v>
      </c>
      <c r="E188">
        <v>-6.19</v>
      </c>
      <c r="G188" t="s">
        <v>394</v>
      </c>
      <c r="H188" t="s">
        <v>14</v>
      </c>
      <c r="I188" t="s">
        <v>395</v>
      </c>
      <c r="J188" s="27">
        <v>45413</v>
      </c>
      <c r="K188">
        <v>2024</v>
      </c>
      <c r="L188" s="27">
        <v>45442</v>
      </c>
      <c r="M188">
        <v>761.13000000000011</v>
      </c>
      <c r="N188">
        <v>57</v>
      </c>
      <c r="O188" t="s">
        <v>16</v>
      </c>
      <c r="P188">
        <f t="shared" si="2"/>
        <v>0</v>
      </c>
    </row>
    <row r="189" spans="1:16" hidden="1" x14ac:dyDescent="0.25">
      <c r="A189" s="8">
        <v>184</v>
      </c>
      <c r="B189">
        <v>184</v>
      </c>
      <c r="C189" s="27">
        <v>45442</v>
      </c>
      <c r="D189" t="s">
        <v>482</v>
      </c>
      <c r="E189">
        <v>527.55999999999995</v>
      </c>
      <c r="G189" t="s">
        <v>337</v>
      </c>
      <c r="H189" t="s">
        <v>14</v>
      </c>
      <c r="I189" t="s">
        <v>386</v>
      </c>
      <c r="J189" s="27">
        <v>45413</v>
      </c>
      <c r="K189">
        <v>2024</v>
      </c>
      <c r="L189" s="27">
        <v>45442</v>
      </c>
      <c r="M189">
        <v>1288.69</v>
      </c>
      <c r="N189">
        <v>11</v>
      </c>
      <c r="O189" t="s">
        <v>16</v>
      </c>
      <c r="P189">
        <f t="shared" si="2"/>
        <v>0</v>
      </c>
    </row>
    <row r="190" spans="1:16" hidden="1" x14ac:dyDescent="0.25">
      <c r="A190" s="8">
        <v>185</v>
      </c>
      <c r="B190">
        <v>185</v>
      </c>
      <c r="C190" s="27">
        <v>45443</v>
      </c>
      <c r="D190" t="s">
        <v>78</v>
      </c>
      <c r="E190">
        <v>-1.58</v>
      </c>
      <c r="G190" t="s">
        <v>79</v>
      </c>
      <c r="H190" t="s">
        <v>14</v>
      </c>
      <c r="I190" t="s">
        <v>80</v>
      </c>
      <c r="J190" s="27">
        <v>45413</v>
      </c>
      <c r="K190">
        <v>2024</v>
      </c>
      <c r="L190" s="27">
        <v>45443</v>
      </c>
      <c r="M190">
        <v>1287.1099999999999</v>
      </c>
      <c r="N190">
        <v>51</v>
      </c>
      <c r="O190" t="s">
        <v>16</v>
      </c>
      <c r="P190">
        <f t="shared" si="2"/>
        <v>0</v>
      </c>
    </row>
    <row r="191" spans="1:16" hidden="1" x14ac:dyDescent="0.25">
      <c r="A191" s="8">
        <v>186</v>
      </c>
      <c r="B191">
        <v>186</v>
      </c>
      <c r="C191" s="27">
        <v>45443</v>
      </c>
      <c r="D191" t="s">
        <v>483</v>
      </c>
      <c r="E191">
        <v>-52.68</v>
      </c>
      <c r="G191" t="s">
        <v>394</v>
      </c>
      <c r="H191" t="s">
        <v>14</v>
      </c>
      <c r="I191" t="s">
        <v>395</v>
      </c>
      <c r="J191" s="27">
        <v>45413</v>
      </c>
      <c r="K191">
        <v>2024</v>
      </c>
      <c r="L191" s="27">
        <v>45443</v>
      </c>
      <c r="M191">
        <v>1234.43</v>
      </c>
      <c r="N191">
        <v>58</v>
      </c>
      <c r="O191" t="s">
        <v>16</v>
      </c>
      <c r="P191">
        <f t="shared" si="2"/>
        <v>0</v>
      </c>
    </row>
    <row r="192" spans="1:16" hidden="1" x14ac:dyDescent="0.25">
      <c r="A192" s="8">
        <v>187</v>
      </c>
      <c r="B192">
        <v>187</v>
      </c>
      <c r="C192" s="27">
        <v>45443</v>
      </c>
      <c r="D192" t="s">
        <v>78</v>
      </c>
      <c r="E192">
        <v>-0.69</v>
      </c>
      <c r="G192" t="s">
        <v>79</v>
      </c>
      <c r="H192" t="s">
        <v>14</v>
      </c>
      <c r="I192" t="s">
        <v>80</v>
      </c>
      <c r="J192" s="27">
        <v>45413</v>
      </c>
      <c r="K192">
        <v>2024</v>
      </c>
      <c r="L192" s="27">
        <v>45443</v>
      </c>
      <c r="M192">
        <v>1233.74</v>
      </c>
      <c r="N192">
        <v>52</v>
      </c>
      <c r="O192" t="s">
        <v>16</v>
      </c>
      <c r="P192">
        <f t="shared" si="2"/>
        <v>0</v>
      </c>
    </row>
    <row r="193" spans="1:16" hidden="1" x14ac:dyDescent="0.25">
      <c r="A193" s="8">
        <v>188</v>
      </c>
      <c r="B193">
        <v>188</v>
      </c>
      <c r="C193" s="27">
        <v>45443</v>
      </c>
      <c r="D193" t="s">
        <v>484</v>
      </c>
      <c r="E193">
        <v>-23.31</v>
      </c>
      <c r="G193" t="s">
        <v>394</v>
      </c>
      <c r="H193" t="s">
        <v>14</v>
      </c>
      <c r="I193" t="s">
        <v>395</v>
      </c>
      <c r="J193" s="27">
        <v>45413</v>
      </c>
      <c r="K193">
        <v>2024</v>
      </c>
      <c r="L193" s="27">
        <v>45443</v>
      </c>
      <c r="M193">
        <v>1210.43</v>
      </c>
      <c r="N193">
        <v>59</v>
      </c>
      <c r="O193" t="s">
        <v>16</v>
      </c>
      <c r="P193">
        <f t="shared" si="2"/>
        <v>0</v>
      </c>
    </row>
    <row r="194" spans="1:16" hidden="1" x14ac:dyDescent="0.25">
      <c r="A194" s="8">
        <v>189</v>
      </c>
      <c r="B194">
        <v>189</v>
      </c>
      <c r="C194" s="27">
        <v>45443</v>
      </c>
      <c r="D194" t="s">
        <v>78</v>
      </c>
      <c r="E194">
        <v>-0.66</v>
      </c>
      <c r="G194" t="s">
        <v>79</v>
      </c>
      <c r="H194" t="s">
        <v>14</v>
      </c>
      <c r="I194" t="s">
        <v>80</v>
      </c>
      <c r="J194" s="27">
        <v>45413</v>
      </c>
      <c r="K194">
        <v>2024</v>
      </c>
      <c r="L194" s="27">
        <v>45443</v>
      </c>
      <c r="M194">
        <v>1209.77</v>
      </c>
      <c r="N194">
        <v>53</v>
      </c>
      <c r="O194" t="s">
        <v>16</v>
      </c>
      <c r="P194">
        <f t="shared" si="2"/>
        <v>0</v>
      </c>
    </row>
    <row r="195" spans="1:16" hidden="1" x14ac:dyDescent="0.25">
      <c r="A195" s="8">
        <v>190</v>
      </c>
      <c r="B195">
        <v>190</v>
      </c>
      <c r="C195" s="27">
        <v>45443</v>
      </c>
      <c r="D195" t="s">
        <v>485</v>
      </c>
      <c r="E195">
        <v>-22.05</v>
      </c>
      <c r="G195" t="s">
        <v>394</v>
      </c>
      <c r="H195" t="s">
        <v>14</v>
      </c>
      <c r="I195" t="s">
        <v>395</v>
      </c>
      <c r="J195" s="27">
        <v>45413</v>
      </c>
      <c r="K195">
        <v>2024</v>
      </c>
      <c r="L195" s="27">
        <v>45443</v>
      </c>
      <c r="M195">
        <v>1187.72</v>
      </c>
      <c r="N195">
        <v>60</v>
      </c>
      <c r="O195" t="s">
        <v>16</v>
      </c>
      <c r="P195">
        <f t="shared" si="2"/>
        <v>0</v>
      </c>
    </row>
    <row r="196" spans="1:16" hidden="1" x14ac:dyDescent="0.25">
      <c r="A196" s="8">
        <v>191</v>
      </c>
      <c r="B196">
        <v>191</v>
      </c>
      <c r="C196" s="27">
        <v>45443</v>
      </c>
      <c r="D196" t="s">
        <v>78</v>
      </c>
      <c r="E196">
        <v>-0.06</v>
      </c>
      <c r="G196" t="s">
        <v>79</v>
      </c>
      <c r="H196" t="s">
        <v>14</v>
      </c>
      <c r="I196" t="s">
        <v>80</v>
      </c>
      <c r="J196" s="27">
        <v>45413</v>
      </c>
      <c r="K196">
        <v>2024</v>
      </c>
      <c r="L196" s="27">
        <v>45443</v>
      </c>
      <c r="M196">
        <v>1187.6600000000001</v>
      </c>
      <c r="N196">
        <v>54</v>
      </c>
      <c r="O196" t="s">
        <v>16</v>
      </c>
      <c r="P196">
        <f t="shared" si="2"/>
        <v>0</v>
      </c>
    </row>
    <row r="197" spans="1:16" hidden="1" x14ac:dyDescent="0.25">
      <c r="A197" s="8">
        <v>192</v>
      </c>
      <c r="B197">
        <v>192</v>
      </c>
      <c r="C197" s="27">
        <v>45443</v>
      </c>
      <c r="D197" t="s">
        <v>486</v>
      </c>
      <c r="E197">
        <v>-2</v>
      </c>
      <c r="G197" t="s">
        <v>394</v>
      </c>
      <c r="H197" t="s">
        <v>14</v>
      </c>
      <c r="I197" t="s">
        <v>395</v>
      </c>
      <c r="J197" s="27">
        <v>45413</v>
      </c>
      <c r="K197">
        <v>2024</v>
      </c>
      <c r="L197" s="27">
        <v>45443</v>
      </c>
      <c r="M197">
        <v>1185.6600000000001</v>
      </c>
      <c r="N197">
        <v>61</v>
      </c>
      <c r="O197" t="s">
        <v>16</v>
      </c>
      <c r="P197">
        <f t="shared" ref="P197:P260" si="3">IF(J197&lt;&gt;J198, 1, 0)</f>
        <v>1</v>
      </c>
    </row>
    <row r="198" spans="1:16" hidden="1" x14ac:dyDescent="0.25">
      <c r="A198" s="8">
        <v>193</v>
      </c>
      <c r="B198">
        <v>193</v>
      </c>
      <c r="C198" s="27">
        <v>45446</v>
      </c>
      <c r="D198" t="s">
        <v>487</v>
      </c>
      <c r="E198">
        <v>-6.73</v>
      </c>
      <c r="G198" t="s">
        <v>394</v>
      </c>
      <c r="H198" t="s">
        <v>14</v>
      </c>
      <c r="I198" t="s">
        <v>395</v>
      </c>
      <c r="J198" s="27">
        <v>45444</v>
      </c>
      <c r="K198">
        <v>2024</v>
      </c>
      <c r="L198" s="27">
        <v>45446</v>
      </c>
      <c r="M198">
        <v>1178.93</v>
      </c>
      <c r="N198">
        <v>62</v>
      </c>
      <c r="O198" t="s">
        <v>16</v>
      </c>
      <c r="P198">
        <f t="shared" si="3"/>
        <v>0</v>
      </c>
    </row>
    <row r="199" spans="1:16" hidden="1" x14ac:dyDescent="0.25">
      <c r="A199" s="8">
        <v>194</v>
      </c>
      <c r="B199">
        <v>194</v>
      </c>
      <c r="C199" s="27">
        <v>45446</v>
      </c>
      <c r="D199" t="s">
        <v>488</v>
      </c>
      <c r="E199">
        <v>-114</v>
      </c>
      <c r="G199" t="s">
        <v>394</v>
      </c>
      <c r="H199" t="s">
        <v>14</v>
      </c>
      <c r="I199" t="s">
        <v>395</v>
      </c>
      <c r="J199" s="27">
        <v>45444</v>
      </c>
      <c r="K199">
        <v>2024</v>
      </c>
      <c r="L199" s="27">
        <v>45446</v>
      </c>
      <c r="M199">
        <v>1064.93</v>
      </c>
      <c r="N199">
        <v>63</v>
      </c>
      <c r="O199" t="s">
        <v>16</v>
      </c>
      <c r="P199">
        <f t="shared" si="3"/>
        <v>0</v>
      </c>
    </row>
    <row r="200" spans="1:16" hidden="1" x14ac:dyDescent="0.25">
      <c r="A200" s="8">
        <v>195</v>
      </c>
      <c r="B200">
        <v>195</v>
      </c>
      <c r="C200" s="27">
        <v>45446</v>
      </c>
      <c r="D200" t="s">
        <v>489</v>
      </c>
      <c r="E200">
        <v>-5.45</v>
      </c>
      <c r="G200" t="s">
        <v>394</v>
      </c>
      <c r="H200" t="s">
        <v>14</v>
      </c>
      <c r="I200" t="s">
        <v>395</v>
      </c>
      <c r="J200" s="27">
        <v>45444</v>
      </c>
      <c r="K200">
        <v>2024</v>
      </c>
      <c r="L200" s="27">
        <v>45446</v>
      </c>
      <c r="M200">
        <v>1059.48</v>
      </c>
      <c r="N200">
        <v>64</v>
      </c>
      <c r="O200" t="s">
        <v>16</v>
      </c>
      <c r="P200">
        <f t="shared" si="3"/>
        <v>0</v>
      </c>
    </row>
    <row r="201" spans="1:16" hidden="1" x14ac:dyDescent="0.25">
      <c r="A201" s="8">
        <v>196</v>
      </c>
      <c r="B201">
        <v>196</v>
      </c>
      <c r="C201" s="27">
        <v>45446</v>
      </c>
      <c r="D201" t="s">
        <v>78</v>
      </c>
      <c r="E201">
        <v>-0.24</v>
      </c>
      <c r="G201" t="s">
        <v>79</v>
      </c>
      <c r="H201" t="s">
        <v>14</v>
      </c>
      <c r="I201" t="s">
        <v>80</v>
      </c>
      <c r="J201" s="27">
        <v>45444</v>
      </c>
      <c r="K201">
        <v>2024</v>
      </c>
      <c r="L201" s="27">
        <v>45446</v>
      </c>
      <c r="M201">
        <v>1059.24</v>
      </c>
      <c r="N201">
        <v>55</v>
      </c>
      <c r="O201" t="s">
        <v>16</v>
      </c>
      <c r="P201">
        <f t="shared" si="3"/>
        <v>0</v>
      </c>
    </row>
    <row r="202" spans="1:16" hidden="1" x14ac:dyDescent="0.25">
      <c r="A202" s="8">
        <v>197</v>
      </c>
      <c r="B202">
        <v>197</v>
      </c>
      <c r="C202" s="27">
        <v>45446</v>
      </c>
      <c r="D202" t="s">
        <v>490</v>
      </c>
      <c r="E202">
        <v>-8.11</v>
      </c>
      <c r="G202" t="s">
        <v>394</v>
      </c>
      <c r="H202" t="s">
        <v>14</v>
      </c>
      <c r="I202" t="s">
        <v>395</v>
      </c>
      <c r="J202" s="27">
        <v>45444</v>
      </c>
      <c r="K202">
        <v>2024</v>
      </c>
      <c r="L202" s="27">
        <v>45446</v>
      </c>
      <c r="M202">
        <v>1051.1300000000001</v>
      </c>
      <c r="N202">
        <v>65</v>
      </c>
      <c r="O202" t="s">
        <v>16</v>
      </c>
      <c r="P202">
        <f t="shared" si="3"/>
        <v>0</v>
      </c>
    </row>
    <row r="203" spans="1:16" hidden="1" x14ac:dyDescent="0.25">
      <c r="A203" s="8">
        <v>198</v>
      </c>
      <c r="B203">
        <v>198</v>
      </c>
      <c r="C203" s="27">
        <v>45446</v>
      </c>
      <c r="D203" t="s">
        <v>491</v>
      </c>
      <c r="E203">
        <v>-46.9</v>
      </c>
      <c r="G203" t="s">
        <v>394</v>
      </c>
      <c r="H203" t="s">
        <v>14</v>
      </c>
      <c r="I203" t="s">
        <v>395</v>
      </c>
      <c r="J203" s="27">
        <v>45444</v>
      </c>
      <c r="K203">
        <v>2024</v>
      </c>
      <c r="L203" s="27">
        <v>45446</v>
      </c>
      <c r="M203">
        <v>1004.23</v>
      </c>
      <c r="N203">
        <v>66</v>
      </c>
      <c r="O203" t="s">
        <v>16</v>
      </c>
      <c r="P203">
        <f t="shared" si="3"/>
        <v>0</v>
      </c>
    </row>
    <row r="204" spans="1:16" hidden="1" x14ac:dyDescent="0.25">
      <c r="A204" s="8">
        <v>199</v>
      </c>
      <c r="B204">
        <v>199</v>
      </c>
      <c r="C204" s="27">
        <v>45446</v>
      </c>
      <c r="D204" t="s">
        <v>492</v>
      </c>
      <c r="E204">
        <v>-32.409999999999997</v>
      </c>
      <c r="G204" t="s">
        <v>394</v>
      </c>
      <c r="H204" t="s">
        <v>14</v>
      </c>
      <c r="I204" t="s">
        <v>395</v>
      </c>
      <c r="J204" s="27">
        <v>45444</v>
      </c>
      <c r="K204">
        <v>2024</v>
      </c>
      <c r="L204" s="27">
        <v>45446</v>
      </c>
      <c r="M204">
        <v>971.82000000000016</v>
      </c>
      <c r="N204">
        <v>67</v>
      </c>
      <c r="O204" t="s">
        <v>16</v>
      </c>
      <c r="P204">
        <f t="shared" si="3"/>
        <v>0</v>
      </c>
    </row>
    <row r="205" spans="1:16" hidden="1" x14ac:dyDescent="0.25">
      <c r="A205" s="8">
        <v>200</v>
      </c>
      <c r="B205">
        <v>200</v>
      </c>
      <c r="C205" s="27">
        <v>45446</v>
      </c>
      <c r="D205" t="s">
        <v>78</v>
      </c>
      <c r="E205">
        <v>-1.9</v>
      </c>
      <c r="G205" t="s">
        <v>79</v>
      </c>
      <c r="H205" t="s">
        <v>14</v>
      </c>
      <c r="I205" t="s">
        <v>80</v>
      </c>
      <c r="J205" s="27">
        <v>45444</v>
      </c>
      <c r="K205">
        <v>2024</v>
      </c>
      <c r="L205" s="27">
        <v>45446</v>
      </c>
      <c r="M205">
        <v>969.92000000000019</v>
      </c>
      <c r="N205">
        <v>56</v>
      </c>
      <c r="O205" t="s">
        <v>16</v>
      </c>
      <c r="P205">
        <f t="shared" si="3"/>
        <v>0</v>
      </c>
    </row>
    <row r="206" spans="1:16" hidden="1" x14ac:dyDescent="0.25">
      <c r="A206" s="8">
        <v>201</v>
      </c>
      <c r="B206">
        <v>201</v>
      </c>
      <c r="C206" s="27">
        <v>45446</v>
      </c>
      <c r="D206" t="s">
        <v>493</v>
      </c>
      <c r="E206">
        <v>-63.4</v>
      </c>
      <c r="G206" t="s">
        <v>394</v>
      </c>
      <c r="H206" t="s">
        <v>14</v>
      </c>
      <c r="I206" t="s">
        <v>395</v>
      </c>
      <c r="J206" s="27">
        <v>45444</v>
      </c>
      <c r="K206">
        <v>2024</v>
      </c>
      <c r="L206" s="27">
        <v>45446</v>
      </c>
      <c r="M206">
        <v>906.52000000000021</v>
      </c>
      <c r="N206">
        <v>68</v>
      </c>
      <c r="O206" t="s">
        <v>16</v>
      </c>
      <c r="P206">
        <f t="shared" si="3"/>
        <v>0</v>
      </c>
    </row>
    <row r="207" spans="1:16" hidden="1" x14ac:dyDescent="0.25">
      <c r="A207" s="8">
        <v>202</v>
      </c>
      <c r="B207">
        <v>202</v>
      </c>
      <c r="C207" s="27">
        <v>45446</v>
      </c>
      <c r="D207" t="s">
        <v>78</v>
      </c>
      <c r="E207">
        <v>-0.8</v>
      </c>
      <c r="G207" t="s">
        <v>79</v>
      </c>
      <c r="H207" t="s">
        <v>14</v>
      </c>
      <c r="I207" t="s">
        <v>80</v>
      </c>
      <c r="J207" s="27">
        <v>45444</v>
      </c>
      <c r="K207">
        <v>2024</v>
      </c>
      <c r="L207" s="27">
        <v>45446</v>
      </c>
      <c r="M207">
        <v>905.72000000000025</v>
      </c>
      <c r="N207">
        <v>57</v>
      </c>
      <c r="O207" t="s">
        <v>16</v>
      </c>
      <c r="P207">
        <f t="shared" si="3"/>
        <v>0</v>
      </c>
    </row>
    <row r="208" spans="1:16" hidden="1" x14ac:dyDescent="0.25">
      <c r="A208" s="8">
        <v>203</v>
      </c>
      <c r="B208">
        <v>203</v>
      </c>
      <c r="C208" s="27">
        <v>45446</v>
      </c>
      <c r="D208" t="s">
        <v>494</v>
      </c>
      <c r="E208">
        <v>-26.7</v>
      </c>
      <c r="G208" t="s">
        <v>394</v>
      </c>
      <c r="H208" t="s">
        <v>14</v>
      </c>
      <c r="I208" t="s">
        <v>395</v>
      </c>
      <c r="J208" s="27">
        <v>45444</v>
      </c>
      <c r="K208">
        <v>2024</v>
      </c>
      <c r="L208" s="27">
        <v>45446</v>
      </c>
      <c r="M208">
        <v>879.02000000000021</v>
      </c>
      <c r="N208">
        <v>69</v>
      </c>
      <c r="O208" t="s">
        <v>16</v>
      </c>
      <c r="P208">
        <f t="shared" si="3"/>
        <v>0</v>
      </c>
    </row>
    <row r="209" spans="1:16" hidden="1" x14ac:dyDescent="0.25">
      <c r="A209" s="8">
        <v>204</v>
      </c>
      <c r="B209">
        <v>204</v>
      </c>
      <c r="C209" s="27">
        <v>45446</v>
      </c>
      <c r="D209" t="s">
        <v>78</v>
      </c>
      <c r="E209">
        <v>-0.04</v>
      </c>
      <c r="G209" t="s">
        <v>79</v>
      </c>
      <c r="H209" t="s">
        <v>14</v>
      </c>
      <c r="I209" t="s">
        <v>80</v>
      </c>
      <c r="J209" s="27">
        <v>45444</v>
      </c>
      <c r="K209">
        <v>2024</v>
      </c>
      <c r="L209" s="27">
        <v>45446</v>
      </c>
      <c r="M209">
        <v>878.98000000000025</v>
      </c>
      <c r="N209">
        <v>58</v>
      </c>
      <c r="O209" t="s">
        <v>16</v>
      </c>
      <c r="P209">
        <f t="shared" si="3"/>
        <v>0</v>
      </c>
    </row>
    <row r="210" spans="1:16" hidden="1" x14ac:dyDescent="0.25">
      <c r="A210" s="8">
        <v>205</v>
      </c>
      <c r="B210">
        <v>205</v>
      </c>
      <c r="C210" s="27">
        <v>45446</v>
      </c>
      <c r="D210" t="s">
        <v>495</v>
      </c>
      <c r="E210">
        <v>-1.5</v>
      </c>
      <c r="G210" t="s">
        <v>394</v>
      </c>
      <c r="H210" t="s">
        <v>14</v>
      </c>
      <c r="I210" t="s">
        <v>395</v>
      </c>
      <c r="J210" s="27">
        <v>45444</v>
      </c>
      <c r="K210">
        <v>2024</v>
      </c>
      <c r="L210" s="27">
        <v>45446</v>
      </c>
      <c r="M210">
        <v>877.48000000000025</v>
      </c>
      <c r="N210">
        <v>70</v>
      </c>
      <c r="O210" t="s">
        <v>16</v>
      </c>
      <c r="P210">
        <f t="shared" si="3"/>
        <v>0</v>
      </c>
    </row>
    <row r="211" spans="1:16" hidden="1" x14ac:dyDescent="0.25">
      <c r="A211" s="8">
        <v>206</v>
      </c>
      <c r="B211">
        <v>206</v>
      </c>
      <c r="C211" s="27">
        <v>45446</v>
      </c>
      <c r="D211" t="s">
        <v>78</v>
      </c>
      <c r="E211">
        <v>-0.04</v>
      </c>
      <c r="G211" t="s">
        <v>79</v>
      </c>
      <c r="H211" t="s">
        <v>14</v>
      </c>
      <c r="I211" t="s">
        <v>80</v>
      </c>
      <c r="J211" s="27">
        <v>45444</v>
      </c>
      <c r="K211">
        <v>2024</v>
      </c>
      <c r="L211" s="27">
        <v>45446</v>
      </c>
      <c r="M211">
        <v>877.44000000000028</v>
      </c>
      <c r="N211">
        <v>59</v>
      </c>
      <c r="O211" t="s">
        <v>16</v>
      </c>
      <c r="P211">
        <f t="shared" si="3"/>
        <v>0</v>
      </c>
    </row>
    <row r="212" spans="1:16" hidden="1" x14ac:dyDescent="0.25">
      <c r="A212" s="8">
        <v>207</v>
      </c>
      <c r="B212">
        <v>207</v>
      </c>
      <c r="C212" s="27">
        <v>45446</v>
      </c>
      <c r="D212" t="s">
        <v>496</v>
      </c>
      <c r="E212">
        <v>-1.5</v>
      </c>
      <c r="G212" t="s">
        <v>394</v>
      </c>
      <c r="H212" t="s">
        <v>14</v>
      </c>
      <c r="I212" t="s">
        <v>395</v>
      </c>
      <c r="J212" s="27">
        <v>45444</v>
      </c>
      <c r="K212">
        <v>2024</v>
      </c>
      <c r="L212" s="27">
        <v>45446</v>
      </c>
      <c r="M212">
        <v>875.94000000000028</v>
      </c>
      <c r="N212">
        <v>71</v>
      </c>
      <c r="O212" t="s">
        <v>16</v>
      </c>
      <c r="P212">
        <f t="shared" si="3"/>
        <v>0</v>
      </c>
    </row>
    <row r="213" spans="1:16" hidden="1" x14ac:dyDescent="0.25">
      <c r="A213" s="8">
        <v>208</v>
      </c>
      <c r="B213">
        <v>208</v>
      </c>
      <c r="C213" s="27">
        <v>45446</v>
      </c>
      <c r="D213" t="s">
        <v>78</v>
      </c>
      <c r="E213">
        <v>-0.14000000000000001</v>
      </c>
      <c r="G213" t="s">
        <v>79</v>
      </c>
      <c r="H213" t="s">
        <v>14</v>
      </c>
      <c r="I213" t="s">
        <v>80</v>
      </c>
      <c r="J213" s="27">
        <v>45444</v>
      </c>
      <c r="K213">
        <v>2024</v>
      </c>
      <c r="L213" s="27">
        <v>45446</v>
      </c>
      <c r="M213">
        <v>875.8000000000003</v>
      </c>
      <c r="N213">
        <v>60</v>
      </c>
      <c r="O213" t="s">
        <v>16</v>
      </c>
      <c r="P213">
        <f t="shared" si="3"/>
        <v>0</v>
      </c>
    </row>
    <row r="214" spans="1:16" hidden="1" x14ac:dyDescent="0.25">
      <c r="A214" s="8">
        <v>209</v>
      </c>
      <c r="B214">
        <v>209</v>
      </c>
      <c r="C214" s="27">
        <v>45446</v>
      </c>
      <c r="D214" t="s">
        <v>497</v>
      </c>
      <c r="E214">
        <v>-4.6900000000000004</v>
      </c>
      <c r="G214" t="s">
        <v>394</v>
      </c>
      <c r="H214" t="s">
        <v>14</v>
      </c>
      <c r="I214" t="s">
        <v>395</v>
      </c>
      <c r="J214" s="27">
        <v>45444</v>
      </c>
      <c r="K214">
        <v>2024</v>
      </c>
      <c r="L214" s="27">
        <v>45446</v>
      </c>
      <c r="M214">
        <v>871.11000000000024</v>
      </c>
      <c r="N214">
        <v>72</v>
      </c>
      <c r="O214" t="s">
        <v>16</v>
      </c>
      <c r="P214">
        <f t="shared" si="3"/>
        <v>0</v>
      </c>
    </row>
    <row r="215" spans="1:16" hidden="1" x14ac:dyDescent="0.25">
      <c r="A215" s="8">
        <v>210</v>
      </c>
      <c r="B215">
        <v>210</v>
      </c>
      <c r="C215" s="27">
        <v>45446</v>
      </c>
      <c r="D215" t="s">
        <v>78</v>
      </c>
      <c r="E215">
        <v>-0.19</v>
      </c>
      <c r="G215" t="s">
        <v>79</v>
      </c>
      <c r="H215" t="s">
        <v>14</v>
      </c>
      <c r="I215" t="s">
        <v>80</v>
      </c>
      <c r="J215" s="27">
        <v>45444</v>
      </c>
      <c r="K215">
        <v>2024</v>
      </c>
      <c r="L215" s="27">
        <v>45446</v>
      </c>
      <c r="M215">
        <v>870.92000000000019</v>
      </c>
      <c r="N215">
        <v>61</v>
      </c>
      <c r="O215" t="s">
        <v>16</v>
      </c>
      <c r="P215">
        <f t="shared" si="3"/>
        <v>0</v>
      </c>
    </row>
    <row r="216" spans="1:16" hidden="1" x14ac:dyDescent="0.25">
      <c r="A216" s="8">
        <v>211</v>
      </c>
      <c r="B216">
        <v>211</v>
      </c>
      <c r="C216" s="27">
        <v>45446</v>
      </c>
      <c r="D216" t="s">
        <v>498</v>
      </c>
      <c r="E216">
        <v>-6.6</v>
      </c>
      <c r="G216" t="s">
        <v>394</v>
      </c>
      <c r="H216" t="s">
        <v>14</v>
      </c>
      <c r="I216" t="s">
        <v>395</v>
      </c>
      <c r="J216" s="27">
        <v>45444</v>
      </c>
      <c r="K216">
        <v>2024</v>
      </c>
      <c r="L216" s="27">
        <v>45446</v>
      </c>
      <c r="M216">
        <v>864.32000000000016</v>
      </c>
      <c r="N216">
        <v>73</v>
      </c>
      <c r="O216" t="s">
        <v>16</v>
      </c>
      <c r="P216">
        <f t="shared" si="3"/>
        <v>0</v>
      </c>
    </row>
    <row r="217" spans="1:16" hidden="1" x14ac:dyDescent="0.25">
      <c r="A217" s="8">
        <v>212</v>
      </c>
      <c r="B217">
        <v>212</v>
      </c>
      <c r="C217" s="27">
        <v>45446</v>
      </c>
      <c r="D217" t="s">
        <v>78</v>
      </c>
      <c r="E217">
        <v>-0.1</v>
      </c>
      <c r="G217" t="s">
        <v>79</v>
      </c>
      <c r="H217" t="s">
        <v>14</v>
      </c>
      <c r="I217" t="s">
        <v>80</v>
      </c>
      <c r="J217" s="27">
        <v>45444</v>
      </c>
      <c r="K217">
        <v>2024</v>
      </c>
      <c r="L217" s="27">
        <v>45446</v>
      </c>
      <c r="M217">
        <v>864.22000000000014</v>
      </c>
      <c r="N217">
        <v>62</v>
      </c>
      <c r="O217" t="s">
        <v>16</v>
      </c>
      <c r="P217">
        <f t="shared" si="3"/>
        <v>0</v>
      </c>
    </row>
    <row r="218" spans="1:16" hidden="1" x14ac:dyDescent="0.25">
      <c r="A218" s="8">
        <v>213</v>
      </c>
      <c r="B218">
        <v>213</v>
      </c>
      <c r="C218" s="27">
        <v>45446</v>
      </c>
      <c r="D218" t="s">
        <v>499</v>
      </c>
      <c r="E218">
        <v>-3.63</v>
      </c>
      <c r="G218" t="s">
        <v>394</v>
      </c>
      <c r="H218" t="s">
        <v>14</v>
      </c>
      <c r="I218" t="s">
        <v>395</v>
      </c>
      <c r="J218" s="27">
        <v>45444</v>
      </c>
      <c r="K218">
        <v>2024</v>
      </c>
      <c r="L218" s="27">
        <v>45446</v>
      </c>
      <c r="M218">
        <v>860.59000000000015</v>
      </c>
      <c r="N218">
        <v>74</v>
      </c>
      <c r="O218" t="s">
        <v>16</v>
      </c>
      <c r="P218">
        <f t="shared" si="3"/>
        <v>0</v>
      </c>
    </row>
    <row r="219" spans="1:16" hidden="1" x14ac:dyDescent="0.25">
      <c r="A219" s="8">
        <v>214</v>
      </c>
      <c r="B219">
        <v>214</v>
      </c>
      <c r="C219" s="27">
        <v>45447</v>
      </c>
      <c r="D219" t="s">
        <v>500</v>
      </c>
      <c r="E219">
        <v>-600</v>
      </c>
      <c r="G219" t="s">
        <v>392</v>
      </c>
      <c r="H219" t="s">
        <v>14</v>
      </c>
      <c r="I219" t="s">
        <v>25</v>
      </c>
      <c r="J219" s="27">
        <v>45444</v>
      </c>
      <c r="K219">
        <v>2024</v>
      </c>
      <c r="L219" s="27">
        <v>45447</v>
      </c>
      <c r="M219">
        <v>260.59000000000009</v>
      </c>
      <c r="N219">
        <v>7</v>
      </c>
      <c r="O219" t="s">
        <v>16</v>
      </c>
      <c r="P219">
        <f t="shared" si="3"/>
        <v>0</v>
      </c>
    </row>
    <row r="220" spans="1:16" hidden="1" x14ac:dyDescent="0.25">
      <c r="A220" s="8">
        <v>215</v>
      </c>
      <c r="B220">
        <v>215</v>
      </c>
      <c r="C220" s="27">
        <v>45447</v>
      </c>
      <c r="D220" t="s">
        <v>78</v>
      </c>
      <c r="E220">
        <v>-0.26</v>
      </c>
      <c r="G220" t="s">
        <v>79</v>
      </c>
      <c r="H220" t="s">
        <v>14</v>
      </c>
      <c r="I220" t="s">
        <v>80</v>
      </c>
      <c r="J220" s="27">
        <v>45444</v>
      </c>
      <c r="K220">
        <v>2024</v>
      </c>
      <c r="L220" s="27">
        <v>45447</v>
      </c>
      <c r="M220">
        <v>260.33000000000021</v>
      </c>
      <c r="N220">
        <v>63</v>
      </c>
      <c r="O220" t="s">
        <v>16</v>
      </c>
      <c r="P220">
        <f t="shared" si="3"/>
        <v>0</v>
      </c>
    </row>
    <row r="221" spans="1:16" hidden="1" x14ac:dyDescent="0.25">
      <c r="A221" s="8">
        <v>216</v>
      </c>
      <c r="B221">
        <v>216</v>
      </c>
      <c r="C221" s="27">
        <v>45447</v>
      </c>
      <c r="D221" t="s">
        <v>501</v>
      </c>
      <c r="E221">
        <v>-8.7200000000000006</v>
      </c>
      <c r="G221" t="s">
        <v>394</v>
      </c>
      <c r="H221" t="s">
        <v>14</v>
      </c>
      <c r="I221" t="s">
        <v>395</v>
      </c>
      <c r="J221" s="27">
        <v>45444</v>
      </c>
      <c r="K221">
        <v>2024</v>
      </c>
      <c r="L221" s="27">
        <v>45447</v>
      </c>
      <c r="M221">
        <v>251.61000000000021</v>
      </c>
      <c r="N221">
        <v>75</v>
      </c>
      <c r="O221" t="s">
        <v>16</v>
      </c>
      <c r="P221">
        <f t="shared" si="3"/>
        <v>0</v>
      </c>
    </row>
    <row r="222" spans="1:16" hidden="1" x14ac:dyDescent="0.25">
      <c r="A222" s="8">
        <v>217</v>
      </c>
      <c r="B222">
        <v>217</v>
      </c>
      <c r="C222" s="27">
        <v>45447</v>
      </c>
      <c r="D222" t="s">
        <v>502</v>
      </c>
      <c r="E222">
        <v>-4.8899999999999997</v>
      </c>
      <c r="G222" t="s">
        <v>394</v>
      </c>
      <c r="H222" t="s">
        <v>14</v>
      </c>
      <c r="I222" t="s">
        <v>395</v>
      </c>
      <c r="J222" s="27">
        <v>45444</v>
      </c>
      <c r="K222">
        <v>2024</v>
      </c>
      <c r="L222" s="27">
        <v>45447</v>
      </c>
      <c r="M222">
        <v>246.7200000000002</v>
      </c>
      <c r="N222">
        <v>76</v>
      </c>
      <c r="O222" t="s">
        <v>16</v>
      </c>
      <c r="P222">
        <f t="shared" si="3"/>
        <v>0</v>
      </c>
    </row>
    <row r="223" spans="1:16" hidden="1" x14ac:dyDescent="0.25">
      <c r="A223" s="8">
        <v>218</v>
      </c>
      <c r="B223">
        <v>218</v>
      </c>
      <c r="C223" s="27">
        <v>45447</v>
      </c>
      <c r="D223" t="s">
        <v>78</v>
      </c>
      <c r="E223">
        <v>-0.1</v>
      </c>
      <c r="G223" t="s">
        <v>79</v>
      </c>
      <c r="H223" t="s">
        <v>14</v>
      </c>
      <c r="I223" t="s">
        <v>80</v>
      </c>
      <c r="J223" s="27">
        <v>45444</v>
      </c>
      <c r="K223">
        <v>2024</v>
      </c>
      <c r="L223" s="27">
        <v>45447</v>
      </c>
      <c r="M223">
        <v>246.6200000000002</v>
      </c>
      <c r="N223">
        <v>64</v>
      </c>
      <c r="O223" t="s">
        <v>16</v>
      </c>
      <c r="P223">
        <f t="shared" si="3"/>
        <v>0</v>
      </c>
    </row>
    <row r="224" spans="1:16" hidden="1" x14ac:dyDescent="0.25">
      <c r="A224" s="8">
        <v>219</v>
      </c>
      <c r="B224">
        <v>219</v>
      </c>
      <c r="C224" s="27">
        <v>45447</v>
      </c>
      <c r="D224" t="s">
        <v>503</v>
      </c>
      <c r="E224">
        <v>-3.34</v>
      </c>
      <c r="G224" t="s">
        <v>394</v>
      </c>
      <c r="H224" t="s">
        <v>14</v>
      </c>
      <c r="I224" t="s">
        <v>395</v>
      </c>
      <c r="J224" s="27">
        <v>45444</v>
      </c>
      <c r="K224">
        <v>2024</v>
      </c>
      <c r="L224" s="27">
        <v>45447</v>
      </c>
      <c r="M224">
        <v>243.2800000000002</v>
      </c>
      <c r="N224">
        <v>77</v>
      </c>
      <c r="O224" t="s">
        <v>16</v>
      </c>
      <c r="P224">
        <f t="shared" si="3"/>
        <v>0</v>
      </c>
    </row>
    <row r="225" spans="1:16" hidden="1" x14ac:dyDescent="0.25">
      <c r="A225" s="8">
        <v>220</v>
      </c>
      <c r="B225">
        <v>220</v>
      </c>
      <c r="C225" s="27">
        <v>45448</v>
      </c>
      <c r="D225" t="s">
        <v>78</v>
      </c>
      <c r="E225">
        <v>-1.28</v>
      </c>
      <c r="G225" t="s">
        <v>79</v>
      </c>
      <c r="H225" t="s">
        <v>14</v>
      </c>
      <c r="I225" t="s">
        <v>80</v>
      </c>
      <c r="J225" s="27">
        <v>45444</v>
      </c>
      <c r="K225">
        <v>2024</v>
      </c>
      <c r="L225" s="27">
        <v>45448</v>
      </c>
      <c r="M225">
        <v>242.0000000000002</v>
      </c>
      <c r="N225">
        <v>65</v>
      </c>
      <c r="O225" t="s">
        <v>16</v>
      </c>
      <c r="P225">
        <f t="shared" si="3"/>
        <v>0</v>
      </c>
    </row>
    <row r="226" spans="1:16" hidden="1" x14ac:dyDescent="0.25">
      <c r="A226" s="8">
        <v>221</v>
      </c>
      <c r="B226">
        <v>221</v>
      </c>
      <c r="C226" s="27">
        <v>45448</v>
      </c>
      <c r="D226" t="s">
        <v>504</v>
      </c>
      <c r="E226">
        <v>-42.89</v>
      </c>
      <c r="G226" t="s">
        <v>394</v>
      </c>
      <c r="H226" t="s">
        <v>14</v>
      </c>
      <c r="I226" t="s">
        <v>395</v>
      </c>
      <c r="J226" s="27">
        <v>45444</v>
      </c>
      <c r="K226">
        <v>2024</v>
      </c>
      <c r="L226" s="27">
        <v>45448</v>
      </c>
      <c r="M226">
        <v>199.11000000000021</v>
      </c>
      <c r="N226">
        <v>78</v>
      </c>
      <c r="O226" t="s">
        <v>16</v>
      </c>
      <c r="P226">
        <f t="shared" si="3"/>
        <v>0</v>
      </c>
    </row>
    <row r="227" spans="1:16" hidden="1" x14ac:dyDescent="0.25">
      <c r="A227" s="8">
        <v>222</v>
      </c>
      <c r="B227">
        <v>222</v>
      </c>
      <c r="C227" s="27">
        <v>45448</v>
      </c>
      <c r="D227" t="s">
        <v>78</v>
      </c>
      <c r="E227">
        <v>-0.72</v>
      </c>
      <c r="G227" t="s">
        <v>79</v>
      </c>
      <c r="H227" t="s">
        <v>14</v>
      </c>
      <c r="I227" t="s">
        <v>80</v>
      </c>
      <c r="J227" s="27">
        <v>45444</v>
      </c>
      <c r="K227">
        <v>2024</v>
      </c>
      <c r="L227" s="27">
        <v>45448</v>
      </c>
      <c r="M227">
        <v>198.39000000000021</v>
      </c>
      <c r="N227">
        <v>66</v>
      </c>
      <c r="O227" t="s">
        <v>16</v>
      </c>
      <c r="P227">
        <f t="shared" si="3"/>
        <v>0</v>
      </c>
    </row>
    <row r="228" spans="1:16" hidden="1" x14ac:dyDescent="0.25">
      <c r="A228" s="8">
        <v>223</v>
      </c>
      <c r="B228">
        <v>223</v>
      </c>
      <c r="C228" s="27">
        <v>45448</v>
      </c>
      <c r="D228" t="s">
        <v>505</v>
      </c>
      <c r="E228">
        <v>-24.13</v>
      </c>
      <c r="G228" t="s">
        <v>394</v>
      </c>
      <c r="H228" t="s">
        <v>14</v>
      </c>
      <c r="I228" t="s">
        <v>395</v>
      </c>
      <c r="J228" s="27">
        <v>45444</v>
      </c>
      <c r="K228">
        <v>2024</v>
      </c>
      <c r="L228" s="27">
        <v>45448</v>
      </c>
      <c r="M228">
        <v>174.26000000000019</v>
      </c>
      <c r="N228">
        <v>79</v>
      </c>
      <c r="O228" t="s">
        <v>16</v>
      </c>
      <c r="P228">
        <f t="shared" si="3"/>
        <v>0</v>
      </c>
    </row>
    <row r="229" spans="1:16" hidden="1" x14ac:dyDescent="0.25">
      <c r="A229" s="8">
        <v>224</v>
      </c>
      <c r="B229">
        <v>224</v>
      </c>
      <c r="C229" s="27">
        <v>45448</v>
      </c>
      <c r="D229" t="s">
        <v>78</v>
      </c>
      <c r="E229">
        <v>-0.96</v>
      </c>
      <c r="G229" t="s">
        <v>79</v>
      </c>
      <c r="H229" t="s">
        <v>14</v>
      </c>
      <c r="I229" t="s">
        <v>80</v>
      </c>
      <c r="J229" s="27">
        <v>45444</v>
      </c>
      <c r="K229">
        <v>2024</v>
      </c>
      <c r="L229" s="27">
        <v>45448</v>
      </c>
      <c r="M229">
        <v>173.30000000000021</v>
      </c>
      <c r="N229">
        <v>67</v>
      </c>
      <c r="O229" t="s">
        <v>16</v>
      </c>
      <c r="P229">
        <f t="shared" si="3"/>
        <v>0</v>
      </c>
    </row>
    <row r="230" spans="1:16" hidden="1" x14ac:dyDescent="0.25">
      <c r="A230" s="8">
        <v>225</v>
      </c>
      <c r="B230">
        <v>225</v>
      </c>
      <c r="C230" s="27">
        <v>45448</v>
      </c>
      <c r="D230" t="s">
        <v>506</v>
      </c>
      <c r="E230">
        <v>-32.15</v>
      </c>
      <c r="G230" t="s">
        <v>394</v>
      </c>
      <c r="H230" t="s">
        <v>14</v>
      </c>
      <c r="I230" t="s">
        <v>395</v>
      </c>
      <c r="J230" s="27">
        <v>45444</v>
      </c>
      <c r="K230">
        <v>2024</v>
      </c>
      <c r="L230" s="27">
        <v>45448</v>
      </c>
      <c r="M230">
        <v>141.1500000000002</v>
      </c>
      <c r="N230">
        <v>80</v>
      </c>
      <c r="O230" t="s">
        <v>16</v>
      </c>
      <c r="P230">
        <f t="shared" si="3"/>
        <v>0</v>
      </c>
    </row>
    <row r="231" spans="1:16" hidden="1" x14ac:dyDescent="0.25">
      <c r="A231" s="8">
        <v>226</v>
      </c>
      <c r="B231">
        <v>226</v>
      </c>
      <c r="C231" s="27">
        <v>45448</v>
      </c>
      <c r="D231" t="s">
        <v>507</v>
      </c>
      <c r="E231">
        <v>600</v>
      </c>
      <c r="G231" t="s">
        <v>278</v>
      </c>
      <c r="H231" t="s">
        <v>14</v>
      </c>
      <c r="I231" t="s">
        <v>44</v>
      </c>
      <c r="J231" s="27">
        <v>45444</v>
      </c>
      <c r="K231">
        <v>2024</v>
      </c>
      <c r="L231" s="27">
        <v>45448</v>
      </c>
      <c r="M231">
        <v>741.1500000000002</v>
      </c>
      <c r="N231">
        <v>4</v>
      </c>
      <c r="O231" t="s">
        <v>16</v>
      </c>
      <c r="P231">
        <f t="shared" si="3"/>
        <v>0</v>
      </c>
    </row>
    <row r="232" spans="1:16" hidden="1" x14ac:dyDescent="0.25">
      <c r="A232" s="8">
        <v>227</v>
      </c>
      <c r="B232">
        <v>227</v>
      </c>
      <c r="C232" s="27">
        <v>45449</v>
      </c>
      <c r="D232" t="s">
        <v>508</v>
      </c>
      <c r="E232">
        <v>-28.63</v>
      </c>
      <c r="G232" t="s">
        <v>394</v>
      </c>
      <c r="H232" t="s">
        <v>14</v>
      </c>
      <c r="I232" t="s">
        <v>395</v>
      </c>
      <c r="J232" s="27">
        <v>45444</v>
      </c>
      <c r="K232">
        <v>2024</v>
      </c>
      <c r="L232" s="27">
        <v>45449</v>
      </c>
      <c r="M232">
        <v>712.52000000000021</v>
      </c>
      <c r="N232">
        <v>81</v>
      </c>
      <c r="O232" t="s">
        <v>16</v>
      </c>
      <c r="P232">
        <f t="shared" si="3"/>
        <v>0</v>
      </c>
    </row>
    <row r="233" spans="1:16" hidden="1" x14ac:dyDescent="0.25">
      <c r="A233" s="8">
        <v>228</v>
      </c>
      <c r="B233">
        <v>228</v>
      </c>
      <c r="C233" s="27">
        <v>45449</v>
      </c>
      <c r="D233" t="s">
        <v>78</v>
      </c>
      <c r="E233">
        <v>-0.1</v>
      </c>
      <c r="G233" t="s">
        <v>79</v>
      </c>
      <c r="H233" t="s">
        <v>14</v>
      </c>
      <c r="I233" t="s">
        <v>80</v>
      </c>
      <c r="J233" s="27">
        <v>45444</v>
      </c>
      <c r="K233">
        <v>2024</v>
      </c>
      <c r="L233" s="27">
        <v>45449</v>
      </c>
      <c r="M233">
        <v>712.42000000000019</v>
      </c>
      <c r="N233">
        <v>68</v>
      </c>
      <c r="O233" t="s">
        <v>16</v>
      </c>
      <c r="P233">
        <f t="shared" si="3"/>
        <v>0</v>
      </c>
    </row>
    <row r="234" spans="1:16" hidden="1" x14ac:dyDescent="0.25">
      <c r="A234" s="8">
        <v>229</v>
      </c>
      <c r="B234">
        <v>229</v>
      </c>
      <c r="C234" s="27">
        <v>45449</v>
      </c>
      <c r="D234" t="s">
        <v>509</v>
      </c>
      <c r="E234">
        <v>-3.48</v>
      </c>
      <c r="G234" t="s">
        <v>392</v>
      </c>
      <c r="H234" t="s">
        <v>14</v>
      </c>
      <c r="I234" t="s">
        <v>25</v>
      </c>
      <c r="J234" s="27">
        <v>45444</v>
      </c>
      <c r="K234">
        <v>2024</v>
      </c>
      <c r="L234" s="27">
        <v>45449</v>
      </c>
      <c r="M234">
        <v>708.94000000000017</v>
      </c>
      <c r="N234">
        <v>8</v>
      </c>
      <c r="O234" t="s">
        <v>16</v>
      </c>
      <c r="P234">
        <f t="shared" si="3"/>
        <v>0</v>
      </c>
    </row>
    <row r="235" spans="1:16" hidden="1" x14ac:dyDescent="0.25">
      <c r="A235" s="8">
        <v>230</v>
      </c>
      <c r="B235">
        <v>230</v>
      </c>
      <c r="C235" s="27">
        <v>45450</v>
      </c>
      <c r="D235" t="s">
        <v>510</v>
      </c>
      <c r="E235">
        <v>-32.54</v>
      </c>
      <c r="G235" t="s">
        <v>394</v>
      </c>
      <c r="H235" t="s">
        <v>14</v>
      </c>
      <c r="I235" t="s">
        <v>395</v>
      </c>
      <c r="J235" s="27">
        <v>45444</v>
      </c>
      <c r="K235">
        <v>2024</v>
      </c>
      <c r="L235" s="27">
        <v>45450</v>
      </c>
      <c r="M235">
        <v>676.4000000000002</v>
      </c>
      <c r="N235">
        <v>82</v>
      </c>
      <c r="O235" t="s">
        <v>16</v>
      </c>
      <c r="P235">
        <f t="shared" si="3"/>
        <v>0</v>
      </c>
    </row>
    <row r="236" spans="1:16" hidden="1" x14ac:dyDescent="0.25">
      <c r="A236" s="8">
        <v>231</v>
      </c>
      <c r="B236">
        <v>231</v>
      </c>
      <c r="C236" s="27">
        <v>45450</v>
      </c>
      <c r="D236" t="s">
        <v>511</v>
      </c>
      <c r="E236">
        <v>-8.14</v>
      </c>
      <c r="G236" t="s">
        <v>394</v>
      </c>
      <c r="H236" t="s">
        <v>14</v>
      </c>
      <c r="I236" t="s">
        <v>395</v>
      </c>
      <c r="J236" s="27">
        <v>45444</v>
      </c>
      <c r="K236">
        <v>2024</v>
      </c>
      <c r="L236" s="27">
        <v>45450</v>
      </c>
      <c r="M236">
        <v>668.26000000000022</v>
      </c>
      <c r="N236">
        <v>83</v>
      </c>
      <c r="O236" t="s">
        <v>16</v>
      </c>
      <c r="P236">
        <f t="shared" si="3"/>
        <v>0</v>
      </c>
    </row>
    <row r="237" spans="1:16" hidden="1" x14ac:dyDescent="0.25">
      <c r="A237" s="8">
        <v>232</v>
      </c>
      <c r="B237">
        <v>232</v>
      </c>
      <c r="C237" s="27">
        <v>45450</v>
      </c>
      <c r="D237" t="s">
        <v>78</v>
      </c>
      <c r="E237">
        <v>-0.16</v>
      </c>
      <c r="G237" t="s">
        <v>79</v>
      </c>
      <c r="H237" t="s">
        <v>14</v>
      </c>
      <c r="I237" t="s">
        <v>80</v>
      </c>
      <c r="J237" s="27">
        <v>45444</v>
      </c>
      <c r="K237">
        <v>2024</v>
      </c>
      <c r="L237" s="27">
        <v>45450</v>
      </c>
      <c r="M237">
        <v>668.10000000000025</v>
      </c>
      <c r="N237">
        <v>69</v>
      </c>
      <c r="O237" t="s">
        <v>16</v>
      </c>
      <c r="P237">
        <f t="shared" si="3"/>
        <v>0</v>
      </c>
    </row>
    <row r="238" spans="1:16" hidden="1" x14ac:dyDescent="0.25">
      <c r="A238" s="8">
        <v>233</v>
      </c>
      <c r="B238">
        <v>233</v>
      </c>
      <c r="C238" s="27">
        <v>45450</v>
      </c>
      <c r="D238" t="s">
        <v>512</v>
      </c>
      <c r="E238">
        <v>-5.37</v>
      </c>
      <c r="G238" t="s">
        <v>394</v>
      </c>
      <c r="H238" t="s">
        <v>14</v>
      </c>
      <c r="I238" t="s">
        <v>395</v>
      </c>
      <c r="J238" s="27">
        <v>45444</v>
      </c>
      <c r="K238">
        <v>2024</v>
      </c>
      <c r="L238" s="27">
        <v>45450</v>
      </c>
      <c r="M238">
        <v>662.73000000000025</v>
      </c>
      <c r="N238">
        <v>84</v>
      </c>
      <c r="O238" t="s">
        <v>16</v>
      </c>
      <c r="P238">
        <f t="shared" si="3"/>
        <v>0</v>
      </c>
    </row>
    <row r="239" spans="1:16" hidden="1" x14ac:dyDescent="0.25">
      <c r="A239" s="8">
        <v>234</v>
      </c>
      <c r="B239">
        <v>234</v>
      </c>
      <c r="C239" s="27">
        <v>45453</v>
      </c>
      <c r="D239" t="s">
        <v>513</v>
      </c>
      <c r="E239">
        <v>-300</v>
      </c>
      <c r="G239" t="s">
        <v>392</v>
      </c>
      <c r="H239" t="s">
        <v>14</v>
      </c>
      <c r="I239" t="s">
        <v>25</v>
      </c>
      <c r="J239" s="27">
        <v>45444</v>
      </c>
      <c r="K239">
        <v>2024</v>
      </c>
      <c r="L239" s="27">
        <v>45453</v>
      </c>
      <c r="M239">
        <v>362.73000000000019</v>
      </c>
      <c r="N239">
        <v>9</v>
      </c>
      <c r="O239" t="s">
        <v>16</v>
      </c>
      <c r="P239">
        <f t="shared" si="3"/>
        <v>0</v>
      </c>
    </row>
    <row r="240" spans="1:16" hidden="1" x14ac:dyDescent="0.25">
      <c r="A240" s="8">
        <v>235</v>
      </c>
      <c r="B240">
        <v>235</v>
      </c>
      <c r="C240" s="27">
        <v>45453</v>
      </c>
      <c r="D240" t="s">
        <v>78</v>
      </c>
      <c r="E240">
        <v>-0.09</v>
      </c>
      <c r="G240" t="s">
        <v>79</v>
      </c>
      <c r="H240" t="s">
        <v>14</v>
      </c>
      <c r="I240" t="s">
        <v>80</v>
      </c>
      <c r="J240" s="27">
        <v>45444</v>
      </c>
      <c r="K240">
        <v>2024</v>
      </c>
      <c r="L240" s="27">
        <v>45453</v>
      </c>
      <c r="M240">
        <v>362.64000000000033</v>
      </c>
      <c r="N240">
        <v>70</v>
      </c>
      <c r="O240" t="s">
        <v>16</v>
      </c>
      <c r="P240">
        <f t="shared" si="3"/>
        <v>0</v>
      </c>
    </row>
    <row r="241" spans="1:16" hidden="1" x14ac:dyDescent="0.25">
      <c r="A241" s="8">
        <v>236</v>
      </c>
      <c r="B241">
        <v>236</v>
      </c>
      <c r="C241" s="27">
        <v>45453</v>
      </c>
      <c r="D241" t="s">
        <v>514</v>
      </c>
      <c r="E241">
        <v>-3.32</v>
      </c>
      <c r="G241" t="s">
        <v>394</v>
      </c>
      <c r="H241" t="s">
        <v>14</v>
      </c>
      <c r="I241" t="s">
        <v>395</v>
      </c>
      <c r="J241" s="27">
        <v>45444</v>
      </c>
      <c r="K241">
        <v>2024</v>
      </c>
      <c r="L241" s="27">
        <v>45453</v>
      </c>
      <c r="M241">
        <v>359.32000000000028</v>
      </c>
      <c r="N241">
        <v>85</v>
      </c>
      <c r="O241" t="s">
        <v>16</v>
      </c>
      <c r="P241">
        <f t="shared" si="3"/>
        <v>0</v>
      </c>
    </row>
    <row r="242" spans="1:16" hidden="1" x14ac:dyDescent="0.25">
      <c r="A242" s="8">
        <v>237</v>
      </c>
      <c r="B242">
        <v>237</v>
      </c>
      <c r="C242" s="27">
        <v>45453</v>
      </c>
      <c r="D242" t="s">
        <v>78</v>
      </c>
      <c r="E242">
        <v>-0.1</v>
      </c>
      <c r="G242" t="s">
        <v>79</v>
      </c>
      <c r="H242" t="s">
        <v>14</v>
      </c>
      <c r="I242" t="s">
        <v>80</v>
      </c>
      <c r="J242" s="27">
        <v>45444</v>
      </c>
      <c r="K242">
        <v>2024</v>
      </c>
      <c r="L242" s="27">
        <v>45453</v>
      </c>
      <c r="M242">
        <v>359.22000000000031</v>
      </c>
      <c r="N242">
        <v>71</v>
      </c>
      <c r="O242" t="s">
        <v>16</v>
      </c>
      <c r="P242">
        <f t="shared" si="3"/>
        <v>0</v>
      </c>
    </row>
    <row r="243" spans="1:16" hidden="1" x14ac:dyDescent="0.25">
      <c r="A243" s="8">
        <v>238</v>
      </c>
      <c r="B243">
        <v>238</v>
      </c>
      <c r="C243" s="27">
        <v>45453</v>
      </c>
      <c r="D243" t="s">
        <v>515</v>
      </c>
      <c r="E243">
        <v>-3.37</v>
      </c>
      <c r="G243" t="s">
        <v>394</v>
      </c>
      <c r="H243" t="s">
        <v>14</v>
      </c>
      <c r="I243" t="s">
        <v>395</v>
      </c>
      <c r="J243" s="27">
        <v>45444</v>
      </c>
      <c r="K243">
        <v>2024</v>
      </c>
      <c r="L243" s="27">
        <v>45453</v>
      </c>
      <c r="M243">
        <v>355.85000000000031</v>
      </c>
      <c r="N243">
        <v>86</v>
      </c>
      <c r="O243" t="s">
        <v>16</v>
      </c>
      <c r="P243">
        <f t="shared" si="3"/>
        <v>0</v>
      </c>
    </row>
    <row r="244" spans="1:16" hidden="1" x14ac:dyDescent="0.25">
      <c r="A244" s="8">
        <v>239</v>
      </c>
      <c r="B244">
        <v>239</v>
      </c>
      <c r="C244" s="27">
        <v>45454</v>
      </c>
      <c r="D244" t="s">
        <v>516</v>
      </c>
      <c r="E244">
        <v>-8</v>
      </c>
      <c r="G244" t="s">
        <v>13</v>
      </c>
      <c r="H244" t="s">
        <v>14</v>
      </c>
      <c r="I244" t="s">
        <v>15</v>
      </c>
      <c r="J244" s="27">
        <v>45444</v>
      </c>
      <c r="K244">
        <v>2024</v>
      </c>
      <c r="L244" s="27">
        <v>45454</v>
      </c>
      <c r="M244">
        <v>347.85000000000031</v>
      </c>
      <c r="N244">
        <v>3</v>
      </c>
      <c r="O244" t="s">
        <v>16</v>
      </c>
      <c r="P244">
        <f t="shared" si="3"/>
        <v>0</v>
      </c>
    </row>
    <row r="245" spans="1:16" hidden="1" x14ac:dyDescent="0.25">
      <c r="A245" s="8">
        <v>240</v>
      </c>
      <c r="B245">
        <v>240</v>
      </c>
      <c r="C245" s="27">
        <v>45456</v>
      </c>
      <c r="D245" t="s">
        <v>517</v>
      </c>
      <c r="E245">
        <v>527.55999999999995</v>
      </c>
      <c r="G245" t="s">
        <v>337</v>
      </c>
      <c r="H245" t="s">
        <v>14</v>
      </c>
      <c r="I245" t="s">
        <v>386</v>
      </c>
      <c r="J245" s="27">
        <v>45444</v>
      </c>
      <c r="K245">
        <v>2024</v>
      </c>
      <c r="L245" s="27">
        <v>45456</v>
      </c>
      <c r="M245">
        <v>875.4100000000002</v>
      </c>
      <c r="N245">
        <v>12</v>
      </c>
      <c r="O245" t="s">
        <v>16</v>
      </c>
      <c r="P245">
        <f t="shared" si="3"/>
        <v>0</v>
      </c>
    </row>
    <row r="246" spans="1:16" hidden="1" x14ac:dyDescent="0.25">
      <c r="A246" s="8">
        <v>241</v>
      </c>
      <c r="B246">
        <v>241</v>
      </c>
      <c r="C246" s="27">
        <v>45460</v>
      </c>
      <c r="D246" t="s">
        <v>518</v>
      </c>
      <c r="E246">
        <v>-20</v>
      </c>
      <c r="G246" t="s">
        <v>36</v>
      </c>
      <c r="H246" t="s">
        <v>14</v>
      </c>
      <c r="I246" t="s">
        <v>25</v>
      </c>
      <c r="J246" s="27">
        <v>45444</v>
      </c>
      <c r="K246">
        <v>2024</v>
      </c>
      <c r="L246" s="27">
        <v>45460</v>
      </c>
      <c r="M246">
        <v>855.4100000000002</v>
      </c>
      <c r="N246">
        <v>7</v>
      </c>
      <c r="O246" t="s">
        <v>16</v>
      </c>
      <c r="P246">
        <f t="shared" si="3"/>
        <v>0</v>
      </c>
    </row>
    <row r="247" spans="1:16" x14ac:dyDescent="0.25">
      <c r="A247" s="8">
        <v>242</v>
      </c>
      <c r="B247">
        <v>242</v>
      </c>
      <c r="C247" s="27">
        <v>45460</v>
      </c>
      <c r="D247" t="s">
        <v>519</v>
      </c>
      <c r="E247">
        <v>-220</v>
      </c>
      <c r="G247" t="s">
        <v>68</v>
      </c>
      <c r="H247" t="s">
        <v>28</v>
      </c>
      <c r="I247" t="s">
        <v>69</v>
      </c>
      <c r="J247" s="27">
        <v>45444</v>
      </c>
      <c r="K247">
        <v>2024</v>
      </c>
      <c r="L247" s="27">
        <v>45460</v>
      </c>
      <c r="M247">
        <v>635.4100000000002</v>
      </c>
      <c r="N247">
        <v>4</v>
      </c>
      <c r="O247" t="s">
        <v>16</v>
      </c>
      <c r="P247">
        <f t="shared" si="3"/>
        <v>0</v>
      </c>
    </row>
    <row r="248" spans="1:16" hidden="1" x14ac:dyDescent="0.25">
      <c r="A248" s="8">
        <v>243</v>
      </c>
      <c r="B248">
        <v>243</v>
      </c>
      <c r="C248" s="27">
        <v>45460</v>
      </c>
      <c r="D248" t="s">
        <v>78</v>
      </c>
      <c r="E248">
        <v>-1.47</v>
      </c>
      <c r="G248" t="s">
        <v>79</v>
      </c>
      <c r="H248" t="s">
        <v>14</v>
      </c>
      <c r="I248" t="s">
        <v>80</v>
      </c>
      <c r="J248" s="27">
        <v>45444</v>
      </c>
      <c r="K248">
        <v>2024</v>
      </c>
      <c r="L248" s="27">
        <v>45460</v>
      </c>
      <c r="M248">
        <v>633.94000000000017</v>
      </c>
      <c r="N248">
        <v>72</v>
      </c>
      <c r="O248" t="s">
        <v>16</v>
      </c>
      <c r="P248">
        <f t="shared" si="3"/>
        <v>0</v>
      </c>
    </row>
    <row r="249" spans="1:16" hidden="1" x14ac:dyDescent="0.25">
      <c r="A249" s="8">
        <v>244</v>
      </c>
      <c r="B249">
        <v>244</v>
      </c>
      <c r="C249" s="27">
        <v>45460</v>
      </c>
      <c r="D249" t="s">
        <v>520</v>
      </c>
      <c r="E249">
        <v>-49.17</v>
      </c>
      <c r="G249" t="s">
        <v>394</v>
      </c>
      <c r="H249" t="s">
        <v>14</v>
      </c>
      <c r="I249" t="s">
        <v>395</v>
      </c>
      <c r="J249" s="27">
        <v>45444</v>
      </c>
      <c r="K249">
        <v>2024</v>
      </c>
      <c r="L249" s="27">
        <v>45460</v>
      </c>
      <c r="M249">
        <v>584.77000000000021</v>
      </c>
      <c r="N249">
        <v>87</v>
      </c>
      <c r="O249" t="s">
        <v>16</v>
      </c>
      <c r="P249">
        <f t="shared" si="3"/>
        <v>0</v>
      </c>
    </row>
    <row r="250" spans="1:16" hidden="1" x14ac:dyDescent="0.25">
      <c r="A250" s="8">
        <v>245</v>
      </c>
      <c r="B250">
        <v>245</v>
      </c>
      <c r="C250" s="27">
        <v>45460</v>
      </c>
      <c r="D250" t="s">
        <v>521</v>
      </c>
      <c r="E250">
        <v>-600</v>
      </c>
      <c r="G250" t="s">
        <v>392</v>
      </c>
      <c r="H250" t="s">
        <v>14</v>
      </c>
      <c r="I250" t="s">
        <v>25</v>
      </c>
      <c r="J250" s="27">
        <v>45444</v>
      </c>
      <c r="K250">
        <v>2024</v>
      </c>
      <c r="L250" s="27">
        <v>45460</v>
      </c>
      <c r="M250">
        <v>-15.229999999999791</v>
      </c>
      <c r="N250">
        <v>10</v>
      </c>
      <c r="O250" t="s">
        <v>16</v>
      </c>
      <c r="P250">
        <f t="shared" si="3"/>
        <v>0</v>
      </c>
    </row>
    <row r="251" spans="1:16" hidden="1" x14ac:dyDescent="0.25">
      <c r="A251" s="8">
        <v>246</v>
      </c>
      <c r="B251">
        <v>246</v>
      </c>
      <c r="C251" s="27">
        <v>45461</v>
      </c>
      <c r="D251" t="s">
        <v>522</v>
      </c>
      <c r="E251">
        <v>-77.849999999999994</v>
      </c>
      <c r="G251" t="s">
        <v>392</v>
      </c>
      <c r="H251" t="s">
        <v>14</v>
      </c>
      <c r="I251" t="s">
        <v>25</v>
      </c>
      <c r="J251" s="27">
        <v>45444</v>
      </c>
      <c r="K251">
        <v>2024</v>
      </c>
      <c r="L251" s="27">
        <v>45461</v>
      </c>
      <c r="M251">
        <v>-93.079999999999785</v>
      </c>
      <c r="N251">
        <v>11</v>
      </c>
      <c r="O251" t="s">
        <v>16</v>
      </c>
      <c r="P251">
        <f t="shared" si="3"/>
        <v>0</v>
      </c>
    </row>
    <row r="252" spans="1:16" hidden="1" x14ac:dyDescent="0.25">
      <c r="A252" s="8">
        <v>247</v>
      </c>
      <c r="B252">
        <v>247</v>
      </c>
      <c r="C252" s="27">
        <v>45461</v>
      </c>
      <c r="D252" t="s">
        <v>523</v>
      </c>
      <c r="E252">
        <v>200</v>
      </c>
      <c r="G252" t="s">
        <v>278</v>
      </c>
      <c r="H252" t="s">
        <v>14</v>
      </c>
      <c r="I252" t="s">
        <v>44</v>
      </c>
      <c r="J252" s="27">
        <v>45444</v>
      </c>
      <c r="K252">
        <v>2024</v>
      </c>
      <c r="L252" s="27">
        <v>45461</v>
      </c>
      <c r="M252">
        <v>106.9200000000002</v>
      </c>
      <c r="N252">
        <v>5</v>
      </c>
      <c r="O252" t="s">
        <v>16</v>
      </c>
      <c r="P252">
        <f t="shared" si="3"/>
        <v>0</v>
      </c>
    </row>
    <row r="253" spans="1:16" hidden="1" x14ac:dyDescent="0.25">
      <c r="A253" s="8">
        <v>248</v>
      </c>
      <c r="B253">
        <v>248</v>
      </c>
      <c r="C253" s="27">
        <v>45467</v>
      </c>
      <c r="D253" t="s">
        <v>75</v>
      </c>
      <c r="E253">
        <v>-5</v>
      </c>
      <c r="G253" t="s">
        <v>74</v>
      </c>
      <c r="H253" t="s">
        <v>14</v>
      </c>
      <c r="I253" t="s">
        <v>69</v>
      </c>
      <c r="J253" s="27">
        <v>45444</v>
      </c>
      <c r="K253">
        <v>2024</v>
      </c>
      <c r="L253" s="27">
        <v>45467</v>
      </c>
      <c r="M253">
        <v>101.9200000000002</v>
      </c>
      <c r="N253">
        <v>9</v>
      </c>
      <c r="O253" t="s">
        <v>16</v>
      </c>
      <c r="P253">
        <f t="shared" si="3"/>
        <v>0</v>
      </c>
    </row>
    <row r="254" spans="1:16" hidden="1" x14ac:dyDescent="0.25">
      <c r="A254" s="8">
        <v>249</v>
      </c>
      <c r="B254">
        <v>249</v>
      </c>
      <c r="C254" s="27">
        <v>45467</v>
      </c>
      <c r="D254" t="s">
        <v>524</v>
      </c>
      <c r="E254">
        <v>-52.77</v>
      </c>
      <c r="G254" t="s">
        <v>315</v>
      </c>
      <c r="H254" t="s">
        <v>14</v>
      </c>
      <c r="I254" t="s">
        <v>395</v>
      </c>
      <c r="J254" s="27">
        <v>45444</v>
      </c>
      <c r="K254">
        <v>2024</v>
      </c>
      <c r="L254" s="27">
        <v>45467</v>
      </c>
      <c r="M254">
        <v>49.150000000000212</v>
      </c>
      <c r="N254">
        <v>1</v>
      </c>
      <c r="O254" t="s">
        <v>16</v>
      </c>
      <c r="P254">
        <f t="shared" si="3"/>
        <v>0</v>
      </c>
    </row>
    <row r="255" spans="1:16" hidden="1" x14ac:dyDescent="0.25">
      <c r="A255" s="8">
        <v>250</v>
      </c>
      <c r="B255">
        <v>250</v>
      </c>
      <c r="C255" s="27">
        <v>45468</v>
      </c>
      <c r="D255" t="s">
        <v>75</v>
      </c>
      <c r="E255">
        <v>-5</v>
      </c>
      <c r="G255" t="s">
        <v>74</v>
      </c>
      <c r="H255" t="s">
        <v>14</v>
      </c>
      <c r="I255" t="s">
        <v>69</v>
      </c>
      <c r="J255" s="27">
        <v>45444</v>
      </c>
      <c r="K255">
        <v>2024</v>
      </c>
      <c r="L255" s="27">
        <v>45468</v>
      </c>
      <c r="M255">
        <v>44.150000000000212</v>
      </c>
      <c r="N255">
        <v>10</v>
      </c>
      <c r="O255" t="s">
        <v>16</v>
      </c>
      <c r="P255">
        <f t="shared" si="3"/>
        <v>0</v>
      </c>
    </row>
    <row r="256" spans="1:16" hidden="1" x14ac:dyDescent="0.25">
      <c r="A256" s="8">
        <v>251</v>
      </c>
      <c r="B256">
        <v>251</v>
      </c>
      <c r="C256" s="27">
        <v>45468</v>
      </c>
      <c r="D256" t="s">
        <v>525</v>
      </c>
      <c r="E256">
        <v>-25.62</v>
      </c>
      <c r="G256" t="s">
        <v>315</v>
      </c>
      <c r="H256" t="s">
        <v>14</v>
      </c>
      <c r="I256" t="s">
        <v>395</v>
      </c>
      <c r="J256" s="27">
        <v>45444</v>
      </c>
      <c r="K256">
        <v>2024</v>
      </c>
      <c r="L256" s="27">
        <v>45468</v>
      </c>
      <c r="M256">
        <v>18.530000000000211</v>
      </c>
      <c r="N256">
        <v>2</v>
      </c>
      <c r="O256" t="s">
        <v>16</v>
      </c>
      <c r="P256">
        <f t="shared" si="3"/>
        <v>0</v>
      </c>
    </row>
    <row r="257" spans="1:16" hidden="1" x14ac:dyDescent="0.25">
      <c r="A257" s="8">
        <v>252</v>
      </c>
      <c r="B257">
        <v>252</v>
      </c>
      <c r="C257" s="27">
        <v>45468</v>
      </c>
      <c r="D257" t="s">
        <v>75</v>
      </c>
      <c r="E257">
        <v>-5</v>
      </c>
      <c r="G257" t="s">
        <v>74</v>
      </c>
      <c r="H257" t="s">
        <v>14</v>
      </c>
      <c r="I257" t="s">
        <v>69</v>
      </c>
      <c r="J257" s="27">
        <v>45444</v>
      </c>
      <c r="K257">
        <v>2024</v>
      </c>
      <c r="L257" s="27">
        <v>45468</v>
      </c>
      <c r="M257">
        <v>13.530000000000211</v>
      </c>
      <c r="N257">
        <v>11</v>
      </c>
      <c r="O257" t="s">
        <v>16</v>
      </c>
      <c r="P257">
        <f t="shared" si="3"/>
        <v>0</v>
      </c>
    </row>
    <row r="258" spans="1:16" hidden="1" x14ac:dyDescent="0.25">
      <c r="A258" s="8">
        <v>253</v>
      </c>
      <c r="B258">
        <v>253</v>
      </c>
      <c r="C258" s="27">
        <v>45468</v>
      </c>
      <c r="D258" t="s">
        <v>526</v>
      </c>
      <c r="E258">
        <v>-52.76</v>
      </c>
      <c r="G258" t="s">
        <v>315</v>
      </c>
      <c r="H258" t="s">
        <v>14</v>
      </c>
      <c r="I258" t="s">
        <v>395</v>
      </c>
      <c r="J258" s="27">
        <v>45444</v>
      </c>
      <c r="K258">
        <v>2024</v>
      </c>
      <c r="L258" s="27">
        <v>45468</v>
      </c>
      <c r="M258">
        <v>-39.229999999999791</v>
      </c>
      <c r="N258">
        <v>3</v>
      </c>
      <c r="O258" t="s">
        <v>16</v>
      </c>
      <c r="P258">
        <f t="shared" si="3"/>
        <v>0</v>
      </c>
    </row>
    <row r="259" spans="1:16" hidden="1" x14ac:dyDescent="0.25">
      <c r="A259" s="8">
        <v>254</v>
      </c>
      <c r="B259">
        <v>254</v>
      </c>
      <c r="C259" s="27">
        <v>45468</v>
      </c>
      <c r="D259" t="s">
        <v>527</v>
      </c>
      <c r="E259">
        <v>500</v>
      </c>
      <c r="G259" t="s">
        <v>278</v>
      </c>
      <c r="H259" t="s">
        <v>14</v>
      </c>
      <c r="I259" t="s">
        <v>44</v>
      </c>
      <c r="J259" s="27">
        <v>45444</v>
      </c>
      <c r="K259">
        <v>2024</v>
      </c>
      <c r="L259" s="27">
        <v>45468</v>
      </c>
      <c r="M259">
        <v>460.77000000000021</v>
      </c>
      <c r="N259">
        <v>6</v>
      </c>
      <c r="O259" t="s">
        <v>16</v>
      </c>
      <c r="P259">
        <f t="shared" si="3"/>
        <v>0</v>
      </c>
    </row>
    <row r="260" spans="1:16" hidden="1" x14ac:dyDescent="0.25">
      <c r="A260" s="8">
        <v>255</v>
      </c>
      <c r="B260">
        <v>255</v>
      </c>
      <c r="C260" s="27">
        <v>45469</v>
      </c>
      <c r="D260" t="s">
        <v>78</v>
      </c>
      <c r="E260">
        <v>-0.34</v>
      </c>
      <c r="G260" t="s">
        <v>79</v>
      </c>
      <c r="H260" t="s">
        <v>14</v>
      </c>
      <c r="I260" t="s">
        <v>80</v>
      </c>
      <c r="J260" s="27">
        <v>45444</v>
      </c>
      <c r="K260">
        <v>2024</v>
      </c>
      <c r="L260" s="27">
        <v>45469</v>
      </c>
      <c r="M260">
        <v>460.43000000000018</v>
      </c>
      <c r="N260">
        <v>73</v>
      </c>
      <c r="O260" t="s">
        <v>16</v>
      </c>
      <c r="P260">
        <f t="shared" si="3"/>
        <v>0</v>
      </c>
    </row>
    <row r="261" spans="1:16" hidden="1" x14ac:dyDescent="0.25">
      <c r="A261" s="8">
        <v>256</v>
      </c>
      <c r="B261">
        <v>256</v>
      </c>
      <c r="C261" s="27">
        <v>45469</v>
      </c>
      <c r="D261" t="s">
        <v>528</v>
      </c>
      <c r="E261">
        <v>-11.41</v>
      </c>
      <c r="G261" t="s">
        <v>315</v>
      </c>
      <c r="H261" t="s">
        <v>14</v>
      </c>
      <c r="I261" t="s">
        <v>395</v>
      </c>
      <c r="J261" s="27">
        <v>45444</v>
      </c>
      <c r="K261">
        <v>2024</v>
      </c>
      <c r="L261" s="27">
        <v>45469</v>
      </c>
      <c r="M261">
        <v>449.02000000000021</v>
      </c>
      <c r="N261">
        <v>4</v>
      </c>
      <c r="O261" t="s">
        <v>16</v>
      </c>
      <c r="P261">
        <f t="shared" ref="P261:P324" si="4">IF(J261&lt;&gt;J262, 1, 0)</f>
        <v>0</v>
      </c>
    </row>
    <row r="262" spans="1:16" hidden="1" x14ac:dyDescent="0.25">
      <c r="A262" s="8">
        <v>257</v>
      </c>
      <c r="B262">
        <v>257</v>
      </c>
      <c r="C262" s="27">
        <v>45469</v>
      </c>
      <c r="D262" t="s">
        <v>78</v>
      </c>
      <c r="E262">
        <v>-0.38</v>
      </c>
      <c r="G262" t="s">
        <v>79</v>
      </c>
      <c r="H262" t="s">
        <v>14</v>
      </c>
      <c r="I262" t="s">
        <v>80</v>
      </c>
      <c r="J262" s="27">
        <v>45444</v>
      </c>
      <c r="K262">
        <v>2024</v>
      </c>
      <c r="L262" s="27">
        <v>45469</v>
      </c>
      <c r="M262">
        <v>448.64000000000021</v>
      </c>
      <c r="N262">
        <v>74</v>
      </c>
      <c r="O262" t="s">
        <v>16</v>
      </c>
      <c r="P262">
        <f t="shared" si="4"/>
        <v>0</v>
      </c>
    </row>
    <row r="263" spans="1:16" hidden="1" x14ac:dyDescent="0.25">
      <c r="A263" s="8">
        <v>258</v>
      </c>
      <c r="B263">
        <v>258</v>
      </c>
      <c r="C263" s="27">
        <v>45469</v>
      </c>
      <c r="D263" t="s">
        <v>529</v>
      </c>
      <c r="E263">
        <v>-12.69</v>
      </c>
      <c r="G263" t="s">
        <v>394</v>
      </c>
      <c r="H263" t="s">
        <v>14</v>
      </c>
      <c r="I263" t="s">
        <v>395</v>
      </c>
      <c r="J263" s="27">
        <v>45444</v>
      </c>
      <c r="K263">
        <v>2024</v>
      </c>
      <c r="L263" s="27">
        <v>45469</v>
      </c>
      <c r="M263">
        <v>435.95000000000022</v>
      </c>
      <c r="N263">
        <v>88</v>
      </c>
      <c r="O263" t="s">
        <v>16</v>
      </c>
      <c r="P263">
        <f t="shared" si="4"/>
        <v>0</v>
      </c>
    </row>
    <row r="264" spans="1:16" hidden="1" x14ac:dyDescent="0.25">
      <c r="A264" s="8">
        <v>259</v>
      </c>
      <c r="B264">
        <v>259</v>
      </c>
      <c r="C264" s="27">
        <v>45470</v>
      </c>
      <c r="D264" t="s">
        <v>530</v>
      </c>
      <c r="E264">
        <v>667.35</v>
      </c>
      <c r="G264" t="s">
        <v>337</v>
      </c>
      <c r="H264" t="s">
        <v>14</v>
      </c>
      <c r="I264" t="s">
        <v>386</v>
      </c>
      <c r="J264" s="27">
        <v>45444</v>
      </c>
      <c r="K264">
        <v>2024</v>
      </c>
      <c r="L264" s="27">
        <v>45470</v>
      </c>
      <c r="M264">
        <v>1103.3</v>
      </c>
      <c r="N264">
        <v>13</v>
      </c>
      <c r="O264" t="s">
        <v>16</v>
      </c>
      <c r="P264">
        <f t="shared" si="4"/>
        <v>0</v>
      </c>
    </row>
    <row r="265" spans="1:16" hidden="1" x14ac:dyDescent="0.25">
      <c r="A265" s="8">
        <v>260</v>
      </c>
      <c r="B265">
        <v>260</v>
      </c>
      <c r="C265" s="27">
        <v>45471</v>
      </c>
      <c r="D265" t="s">
        <v>531</v>
      </c>
      <c r="E265">
        <v>-14</v>
      </c>
      <c r="G265" t="s">
        <v>36</v>
      </c>
      <c r="H265" t="s">
        <v>14</v>
      </c>
      <c r="I265" t="s">
        <v>25</v>
      </c>
      <c r="J265" s="27">
        <v>45444</v>
      </c>
      <c r="K265">
        <v>2024</v>
      </c>
      <c r="L265" s="27">
        <v>45471</v>
      </c>
      <c r="M265">
        <v>1089.3</v>
      </c>
      <c r="N265">
        <v>8</v>
      </c>
      <c r="O265" t="s">
        <v>16</v>
      </c>
      <c r="P265">
        <f t="shared" si="4"/>
        <v>0</v>
      </c>
    </row>
    <row r="266" spans="1:16" hidden="1" x14ac:dyDescent="0.25">
      <c r="A266" s="8">
        <v>261</v>
      </c>
      <c r="B266">
        <v>261</v>
      </c>
      <c r="C266" s="27">
        <v>45471</v>
      </c>
      <c r="D266" t="s">
        <v>78</v>
      </c>
      <c r="E266">
        <v>-0.01</v>
      </c>
      <c r="G266" t="s">
        <v>79</v>
      </c>
      <c r="H266" t="s">
        <v>14</v>
      </c>
      <c r="I266" t="s">
        <v>80</v>
      </c>
      <c r="J266" s="27">
        <v>45444</v>
      </c>
      <c r="K266">
        <v>2024</v>
      </c>
      <c r="L266" s="27">
        <v>45471</v>
      </c>
      <c r="M266">
        <v>1089.29</v>
      </c>
      <c r="N266">
        <v>75</v>
      </c>
      <c r="O266" t="s">
        <v>16</v>
      </c>
      <c r="P266">
        <f t="shared" si="4"/>
        <v>0</v>
      </c>
    </row>
    <row r="267" spans="1:16" hidden="1" x14ac:dyDescent="0.25">
      <c r="A267" s="8">
        <v>262</v>
      </c>
      <c r="B267">
        <v>262</v>
      </c>
      <c r="C267" s="27">
        <v>45471</v>
      </c>
      <c r="D267" t="s">
        <v>532</v>
      </c>
      <c r="E267">
        <v>-0.55000000000000004</v>
      </c>
      <c r="G267" t="s">
        <v>315</v>
      </c>
      <c r="H267" t="s">
        <v>14</v>
      </c>
      <c r="I267" t="s">
        <v>395</v>
      </c>
      <c r="J267" s="27">
        <v>45444</v>
      </c>
      <c r="K267">
        <v>2024</v>
      </c>
      <c r="L267" s="27">
        <v>45471</v>
      </c>
      <c r="M267">
        <v>1088.74</v>
      </c>
      <c r="N267">
        <v>5</v>
      </c>
      <c r="O267" t="s">
        <v>16</v>
      </c>
      <c r="P267">
        <f t="shared" si="4"/>
        <v>0</v>
      </c>
    </row>
    <row r="268" spans="1:16" hidden="1" x14ac:dyDescent="0.25">
      <c r="A268" s="8">
        <v>263</v>
      </c>
      <c r="B268">
        <v>263</v>
      </c>
      <c r="C268" s="27">
        <v>45471</v>
      </c>
      <c r="D268" t="s">
        <v>78</v>
      </c>
      <c r="E268">
        <v>-1.08</v>
      </c>
      <c r="G268" t="s">
        <v>79</v>
      </c>
      <c r="H268" t="s">
        <v>14</v>
      </c>
      <c r="I268" t="s">
        <v>80</v>
      </c>
      <c r="J268" s="27">
        <v>45444</v>
      </c>
      <c r="K268">
        <v>2024</v>
      </c>
      <c r="L268" s="27">
        <v>45471</v>
      </c>
      <c r="M268">
        <v>1087.6600000000001</v>
      </c>
      <c r="N268">
        <v>76</v>
      </c>
      <c r="O268" t="s">
        <v>16</v>
      </c>
      <c r="P268">
        <f t="shared" si="4"/>
        <v>0</v>
      </c>
    </row>
    <row r="269" spans="1:16" hidden="1" x14ac:dyDescent="0.25">
      <c r="A269" s="8">
        <v>264</v>
      </c>
      <c r="B269">
        <v>264</v>
      </c>
      <c r="C269" s="27">
        <v>45471</v>
      </c>
      <c r="D269" t="s">
        <v>533</v>
      </c>
      <c r="E269">
        <v>-36.04</v>
      </c>
      <c r="G269" t="s">
        <v>315</v>
      </c>
      <c r="H269" t="s">
        <v>14</v>
      </c>
      <c r="I269" t="s">
        <v>395</v>
      </c>
      <c r="J269" s="27">
        <v>45444</v>
      </c>
      <c r="K269">
        <v>2024</v>
      </c>
      <c r="L269" s="27">
        <v>45471</v>
      </c>
      <c r="M269">
        <v>1051.6199999999999</v>
      </c>
      <c r="N269">
        <v>6</v>
      </c>
      <c r="O269" t="s">
        <v>16</v>
      </c>
      <c r="P269">
        <f t="shared" si="4"/>
        <v>1</v>
      </c>
    </row>
    <row r="270" spans="1:16" hidden="1" x14ac:dyDescent="0.25">
      <c r="A270" s="8">
        <v>265</v>
      </c>
      <c r="B270">
        <v>265</v>
      </c>
      <c r="C270" s="27">
        <v>45474</v>
      </c>
      <c r="D270" t="s">
        <v>78</v>
      </c>
      <c r="E270">
        <v>-0.52</v>
      </c>
      <c r="G270" t="s">
        <v>79</v>
      </c>
      <c r="H270" t="s">
        <v>14</v>
      </c>
      <c r="I270" t="s">
        <v>80</v>
      </c>
      <c r="J270" s="27">
        <v>45474</v>
      </c>
      <c r="K270">
        <v>2024</v>
      </c>
      <c r="L270" s="27">
        <v>45474</v>
      </c>
      <c r="M270">
        <v>1051.0999999999999</v>
      </c>
      <c r="N270">
        <v>77</v>
      </c>
      <c r="O270" t="s">
        <v>16</v>
      </c>
      <c r="P270">
        <f t="shared" si="4"/>
        <v>0</v>
      </c>
    </row>
    <row r="271" spans="1:16" hidden="1" x14ac:dyDescent="0.25">
      <c r="A271" s="8">
        <v>266</v>
      </c>
      <c r="B271">
        <v>266</v>
      </c>
      <c r="C271" s="27">
        <v>45474</v>
      </c>
      <c r="D271" t="s">
        <v>534</v>
      </c>
      <c r="E271">
        <v>-17.350000000000001</v>
      </c>
      <c r="G271" t="s">
        <v>315</v>
      </c>
      <c r="H271" t="s">
        <v>14</v>
      </c>
      <c r="I271" t="s">
        <v>395</v>
      </c>
      <c r="J271" s="27">
        <v>45474</v>
      </c>
      <c r="K271">
        <v>2024</v>
      </c>
      <c r="L271" s="27">
        <v>45474</v>
      </c>
      <c r="M271">
        <v>1033.75</v>
      </c>
      <c r="N271">
        <v>7</v>
      </c>
      <c r="O271" t="s">
        <v>16</v>
      </c>
      <c r="P271">
        <f t="shared" si="4"/>
        <v>0</v>
      </c>
    </row>
    <row r="272" spans="1:16" hidden="1" x14ac:dyDescent="0.25">
      <c r="A272" s="8">
        <v>267</v>
      </c>
      <c r="B272">
        <v>267</v>
      </c>
      <c r="C272" s="27">
        <v>45474</v>
      </c>
      <c r="D272" t="s">
        <v>78</v>
      </c>
      <c r="E272">
        <v>-7.0000000000000007E-2</v>
      </c>
      <c r="G272" t="s">
        <v>79</v>
      </c>
      <c r="H272" t="s">
        <v>14</v>
      </c>
      <c r="I272" t="s">
        <v>80</v>
      </c>
      <c r="J272" s="27">
        <v>45474</v>
      </c>
      <c r="K272">
        <v>2024</v>
      </c>
      <c r="L272" s="27">
        <v>45474</v>
      </c>
      <c r="M272">
        <v>1033.680000000001</v>
      </c>
      <c r="N272">
        <v>78</v>
      </c>
      <c r="O272" t="s">
        <v>16</v>
      </c>
      <c r="P272">
        <f t="shared" si="4"/>
        <v>0</v>
      </c>
    </row>
    <row r="273" spans="1:16" hidden="1" x14ac:dyDescent="0.25">
      <c r="A273" s="8">
        <v>268</v>
      </c>
      <c r="B273">
        <v>268</v>
      </c>
      <c r="C273" s="27">
        <v>45474</v>
      </c>
      <c r="D273" t="s">
        <v>535</v>
      </c>
      <c r="E273">
        <v>-2.48</v>
      </c>
      <c r="G273" t="s">
        <v>315</v>
      </c>
      <c r="H273" t="s">
        <v>14</v>
      </c>
      <c r="I273" t="s">
        <v>395</v>
      </c>
      <c r="J273" s="27">
        <v>45474</v>
      </c>
      <c r="K273">
        <v>2024</v>
      </c>
      <c r="L273" s="27">
        <v>45474</v>
      </c>
      <c r="M273">
        <v>1031.200000000001</v>
      </c>
      <c r="N273">
        <v>8</v>
      </c>
      <c r="O273" t="s">
        <v>16</v>
      </c>
      <c r="P273">
        <f t="shared" si="4"/>
        <v>0</v>
      </c>
    </row>
    <row r="274" spans="1:16" hidden="1" x14ac:dyDescent="0.25">
      <c r="A274" s="8">
        <v>269</v>
      </c>
      <c r="B274">
        <v>269</v>
      </c>
      <c r="C274" s="27">
        <v>45474</v>
      </c>
      <c r="D274" t="s">
        <v>78</v>
      </c>
      <c r="E274">
        <v>-0.56000000000000005</v>
      </c>
      <c r="G274" t="s">
        <v>79</v>
      </c>
      <c r="H274" t="s">
        <v>14</v>
      </c>
      <c r="I274" t="s">
        <v>80</v>
      </c>
      <c r="J274" s="27">
        <v>45474</v>
      </c>
      <c r="K274">
        <v>2024</v>
      </c>
      <c r="L274" s="27">
        <v>45474</v>
      </c>
      <c r="M274">
        <v>1030.640000000001</v>
      </c>
      <c r="N274">
        <v>79</v>
      </c>
      <c r="O274" t="s">
        <v>16</v>
      </c>
      <c r="P274">
        <f t="shared" si="4"/>
        <v>0</v>
      </c>
    </row>
    <row r="275" spans="1:16" hidden="1" x14ac:dyDescent="0.25">
      <c r="A275" s="8">
        <v>270</v>
      </c>
      <c r="B275">
        <v>270</v>
      </c>
      <c r="C275" s="27">
        <v>45474</v>
      </c>
      <c r="D275" t="s">
        <v>536</v>
      </c>
      <c r="E275">
        <v>-18.72</v>
      </c>
      <c r="G275" t="s">
        <v>315</v>
      </c>
      <c r="H275" t="s">
        <v>14</v>
      </c>
      <c r="I275" t="s">
        <v>395</v>
      </c>
      <c r="J275" s="27">
        <v>45474</v>
      </c>
      <c r="K275">
        <v>2024</v>
      </c>
      <c r="L275" s="27">
        <v>45474</v>
      </c>
      <c r="M275">
        <v>1011.920000000001</v>
      </c>
      <c r="N275">
        <v>9</v>
      </c>
      <c r="O275" t="s">
        <v>16</v>
      </c>
      <c r="P275">
        <f t="shared" si="4"/>
        <v>0</v>
      </c>
    </row>
    <row r="276" spans="1:16" hidden="1" x14ac:dyDescent="0.25">
      <c r="A276" s="8">
        <v>271</v>
      </c>
      <c r="B276">
        <v>271</v>
      </c>
      <c r="C276" s="27">
        <v>45474</v>
      </c>
      <c r="D276" t="s">
        <v>78</v>
      </c>
      <c r="E276">
        <v>-0.56999999999999995</v>
      </c>
      <c r="G276" t="s">
        <v>79</v>
      </c>
      <c r="H276" t="s">
        <v>14</v>
      </c>
      <c r="I276" t="s">
        <v>80</v>
      </c>
      <c r="J276" s="27">
        <v>45474</v>
      </c>
      <c r="K276">
        <v>2024</v>
      </c>
      <c r="L276" s="27">
        <v>45474</v>
      </c>
      <c r="M276">
        <v>1011.35</v>
      </c>
      <c r="N276">
        <v>80</v>
      </c>
      <c r="O276" t="s">
        <v>16</v>
      </c>
      <c r="P276">
        <f t="shared" si="4"/>
        <v>0</v>
      </c>
    </row>
    <row r="277" spans="1:16" hidden="1" x14ac:dyDescent="0.25">
      <c r="A277" s="8">
        <v>272</v>
      </c>
      <c r="B277">
        <v>272</v>
      </c>
      <c r="C277" s="27">
        <v>45474</v>
      </c>
      <c r="D277" t="s">
        <v>537</v>
      </c>
      <c r="E277">
        <v>-19</v>
      </c>
      <c r="G277" t="s">
        <v>315</v>
      </c>
      <c r="H277" t="s">
        <v>14</v>
      </c>
      <c r="I277" t="s">
        <v>395</v>
      </c>
      <c r="J277" s="27">
        <v>45474</v>
      </c>
      <c r="K277">
        <v>2024</v>
      </c>
      <c r="L277" s="27">
        <v>45474</v>
      </c>
      <c r="M277">
        <v>992.35000000000048</v>
      </c>
      <c r="N277">
        <v>10</v>
      </c>
      <c r="O277" t="s">
        <v>16</v>
      </c>
      <c r="P277">
        <f t="shared" si="4"/>
        <v>0</v>
      </c>
    </row>
    <row r="278" spans="1:16" hidden="1" x14ac:dyDescent="0.25">
      <c r="A278" s="8">
        <v>273</v>
      </c>
      <c r="B278">
        <v>273</v>
      </c>
      <c r="C278" s="27">
        <v>45474</v>
      </c>
      <c r="D278" t="s">
        <v>78</v>
      </c>
      <c r="E278">
        <v>-0.28999999999999998</v>
      </c>
      <c r="G278" t="s">
        <v>79</v>
      </c>
      <c r="H278" t="s">
        <v>14</v>
      </c>
      <c r="I278" t="s">
        <v>80</v>
      </c>
      <c r="J278" s="27">
        <v>45474</v>
      </c>
      <c r="K278">
        <v>2024</v>
      </c>
      <c r="L278" s="27">
        <v>45474</v>
      </c>
      <c r="M278">
        <v>992.06000000000051</v>
      </c>
      <c r="N278">
        <v>81</v>
      </c>
      <c r="O278" t="s">
        <v>16</v>
      </c>
      <c r="P278">
        <f t="shared" si="4"/>
        <v>0</v>
      </c>
    </row>
    <row r="279" spans="1:16" hidden="1" x14ac:dyDescent="0.25">
      <c r="A279" s="8">
        <v>274</v>
      </c>
      <c r="B279">
        <v>274</v>
      </c>
      <c r="C279" s="27">
        <v>45474</v>
      </c>
      <c r="D279" t="s">
        <v>538</v>
      </c>
      <c r="E279">
        <v>-9.91</v>
      </c>
      <c r="G279" t="s">
        <v>315</v>
      </c>
      <c r="H279" t="s">
        <v>14</v>
      </c>
      <c r="I279" t="s">
        <v>395</v>
      </c>
      <c r="J279" s="27">
        <v>45474</v>
      </c>
      <c r="K279">
        <v>2024</v>
      </c>
      <c r="L279" s="27">
        <v>45474</v>
      </c>
      <c r="M279">
        <v>982.15000000000055</v>
      </c>
      <c r="N279">
        <v>11</v>
      </c>
      <c r="O279" t="s">
        <v>16</v>
      </c>
      <c r="P279">
        <f t="shared" si="4"/>
        <v>0</v>
      </c>
    </row>
    <row r="280" spans="1:16" hidden="1" x14ac:dyDescent="0.25">
      <c r="A280" s="8">
        <v>275</v>
      </c>
      <c r="B280">
        <v>275</v>
      </c>
      <c r="C280" s="27">
        <v>45474</v>
      </c>
      <c r="D280" t="s">
        <v>78</v>
      </c>
      <c r="E280">
        <v>-1.53</v>
      </c>
      <c r="G280" t="s">
        <v>79</v>
      </c>
      <c r="H280" t="s">
        <v>14</v>
      </c>
      <c r="I280" t="s">
        <v>80</v>
      </c>
      <c r="J280" s="27">
        <v>45474</v>
      </c>
      <c r="K280">
        <v>2024</v>
      </c>
      <c r="L280" s="27">
        <v>45474</v>
      </c>
      <c r="M280">
        <v>980.62000000000057</v>
      </c>
      <c r="N280">
        <v>82</v>
      </c>
      <c r="O280" t="s">
        <v>16</v>
      </c>
      <c r="P280">
        <f t="shared" si="4"/>
        <v>0</v>
      </c>
    </row>
    <row r="281" spans="1:16" hidden="1" x14ac:dyDescent="0.25">
      <c r="A281" s="8">
        <v>276</v>
      </c>
      <c r="B281">
        <v>276</v>
      </c>
      <c r="C281" s="27">
        <v>45474</v>
      </c>
      <c r="D281" t="s">
        <v>539</v>
      </c>
      <c r="E281">
        <v>-51.05</v>
      </c>
      <c r="G281" t="s">
        <v>315</v>
      </c>
      <c r="H281" t="s">
        <v>14</v>
      </c>
      <c r="I281" t="s">
        <v>395</v>
      </c>
      <c r="J281" s="27">
        <v>45474</v>
      </c>
      <c r="K281">
        <v>2024</v>
      </c>
      <c r="L281" s="27">
        <v>45474</v>
      </c>
      <c r="M281">
        <v>929.57000000000062</v>
      </c>
      <c r="N281">
        <v>12</v>
      </c>
      <c r="O281" t="s">
        <v>16</v>
      </c>
      <c r="P281">
        <f t="shared" si="4"/>
        <v>0</v>
      </c>
    </row>
    <row r="282" spans="1:16" hidden="1" x14ac:dyDescent="0.25">
      <c r="A282" s="8">
        <v>277</v>
      </c>
      <c r="B282">
        <v>277</v>
      </c>
      <c r="C282" s="27">
        <v>45474</v>
      </c>
      <c r="D282" t="s">
        <v>78</v>
      </c>
      <c r="E282">
        <v>-0.28000000000000003</v>
      </c>
      <c r="G282" t="s">
        <v>79</v>
      </c>
      <c r="H282" t="s">
        <v>14</v>
      </c>
      <c r="I282" t="s">
        <v>80</v>
      </c>
      <c r="J282" s="27">
        <v>45474</v>
      </c>
      <c r="K282">
        <v>2024</v>
      </c>
      <c r="L282" s="27">
        <v>45474</v>
      </c>
      <c r="M282">
        <v>929.29000000000065</v>
      </c>
      <c r="N282">
        <v>83</v>
      </c>
      <c r="O282" t="s">
        <v>16</v>
      </c>
      <c r="P282">
        <f t="shared" si="4"/>
        <v>0</v>
      </c>
    </row>
    <row r="283" spans="1:16" hidden="1" x14ac:dyDescent="0.25">
      <c r="A283" s="8">
        <v>278</v>
      </c>
      <c r="B283">
        <v>278</v>
      </c>
      <c r="C283" s="27">
        <v>45474</v>
      </c>
      <c r="D283" t="s">
        <v>540</v>
      </c>
      <c r="E283">
        <v>-9.64</v>
      </c>
      <c r="G283" t="s">
        <v>315</v>
      </c>
      <c r="H283" t="s">
        <v>14</v>
      </c>
      <c r="I283" t="s">
        <v>395</v>
      </c>
      <c r="J283" s="27">
        <v>45474</v>
      </c>
      <c r="K283">
        <v>2024</v>
      </c>
      <c r="L283" s="27">
        <v>45474</v>
      </c>
      <c r="M283">
        <v>919.65000000000066</v>
      </c>
      <c r="N283">
        <v>13</v>
      </c>
      <c r="O283" t="s">
        <v>16</v>
      </c>
      <c r="P283">
        <f t="shared" si="4"/>
        <v>0</v>
      </c>
    </row>
    <row r="284" spans="1:16" hidden="1" x14ac:dyDescent="0.25">
      <c r="A284" s="8">
        <v>279</v>
      </c>
      <c r="B284">
        <v>279</v>
      </c>
      <c r="C284" s="27">
        <v>45474</v>
      </c>
      <c r="D284" t="s">
        <v>78</v>
      </c>
      <c r="E284">
        <v>-0.61</v>
      </c>
      <c r="G284" t="s">
        <v>79</v>
      </c>
      <c r="H284" t="s">
        <v>14</v>
      </c>
      <c r="I284" t="s">
        <v>80</v>
      </c>
      <c r="J284" s="27">
        <v>45474</v>
      </c>
      <c r="K284">
        <v>2024</v>
      </c>
      <c r="L284" s="27">
        <v>45474</v>
      </c>
      <c r="M284">
        <v>919.04000000000065</v>
      </c>
      <c r="N284">
        <v>84</v>
      </c>
      <c r="O284" t="s">
        <v>16</v>
      </c>
      <c r="P284">
        <f t="shared" si="4"/>
        <v>0</v>
      </c>
    </row>
    <row r="285" spans="1:16" hidden="1" x14ac:dyDescent="0.25">
      <c r="A285" s="8">
        <v>280</v>
      </c>
      <c r="B285">
        <v>280</v>
      </c>
      <c r="C285" s="27">
        <v>45474</v>
      </c>
      <c r="D285" t="s">
        <v>541</v>
      </c>
      <c r="E285">
        <v>-20.65</v>
      </c>
      <c r="G285" t="s">
        <v>315</v>
      </c>
      <c r="H285" t="s">
        <v>14</v>
      </c>
      <c r="I285" t="s">
        <v>395</v>
      </c>
      <c r="J285" s="27">
        <v>45474</v>
      </c>
      <c r="K285">
        <v>2024</v>
      </c>
      <c r="L285" s="27">
        <v>45474</v>
      </c>
      <c r="M285">
        <v>898.39000000000067</v>
      </c>
      <c r="N285">
        <v>14</v>
      </c>
      <c r="O285" t="s">
        <v>16</v>
      </c>
      <c r="P285">
        <f t="shared" si="4"/>
        <v>0</v>
      </c>
    </row>
    <row r="286" spans="1:16" hidden="1" x14ac:dyDescent="0.25">
      <c r="A286" s="8">
        <v>281</v>
      </c>
      <c r="B286">
        <v>281</v>
      </c>
      <c r="C286" s="27">
        <v>45474</v>
      </c>
      <c r="D286" t="s">
        <v>78</v>
      </c>
      <c r="E286">
        <v>-0.05</v>
      </c>
      <c r="G286" t="s">
        <v>79</v>
      </c>
      <c r="H286" t="s">
        <v>14</v>
      </c>
      <c r="I286" t="s">
        <v>80</v>
      </c>
      <c r="J286" s="27">
        <v>45474</v>
      </c>
      <c r="K286">
        <v>2024</v>
      </c>
      <c r="L286" s="27">
        <v>45474</v>
      </c>
      <c r="M286">
        <v>898.34000000000071</v>
      </c>
      <c r="N286">
        <v>85</v>
      </c>
      <c r="O286" t="s">
        <v>16</v>
      </c>
      <c r="P286">
        <f t="shared" si="4"/>
        <v>0</v>
      </c>
    </row>
    <row r="287" spans="1:16" hidden="1" x14ac:dyDescent="0.25">
      <c r="A287" s="8">
        <v>282</v>
      </c>
      <c r="B287">
        <v>282</v>
      </c>
      <c r="C287" s="27">
        <v>45474</v>
      </c>
      <c r="D287" t="s">
        <v>542</v>
      </c>
      <c r="E287">
        <v>-1.72</v>
      </c>
      <c r="G287" t="s">
        <v>315</v>
      </c>
      <c r="H287" t="s">
        <v>14</v>
      </c>
      <c r="I287" t="s">
        <v>395</v>
      </c>
      <c r="J287" s="27">
        <v>45474</v>
      </c>
      <c r="K287">
        <v>2024</v>
      </c>
      <c r="L287" s="27">
        <v>45474</v>
      </c>
      <c r="M287">
        <v>896.62000000000069</v>
      </c>
      <c r="N287">
        <v>15</v>
      </c>
      <c r="O287" t="s">
        <v>16</v>
      </c>
      <c r="P287">
        <f t="shared" si="4"/>
        <v>0</v>
      </c>
    </row>
    <row r="288" spans="1:16" hidden="1" x14ac:dyDescent="0.25">
      <c r="A288" s="8">
        <v>283</v>
      </c>
      <c r="B288">
        <v>283</v>
      </c>
      <c r="C288" s="27">
        <v>45474</v>
      </c>
      <c r="D288" t="s">
        <v>78</v>
      </c>
      <c r="E288">
        <v>-0.04</v>
      </c>
      <c r="G288" t="s">
        <v>79</v>
      </c>
      <c r="H288" t="s">
        <v>14</v>
      </c>
      <c r="I288" t="s">
        <v>80</v>
      </c>
      <c r="J288" s="27">
        <v>45474</v>
      </c>
      <c r="K288">
        <v>2024</v>
      </c>
      <c r="L288" s="27">
        <v>45474</v>
      </c>
      <c r="M288">
        <v>896.58000000000072</v>
      </c>
      <c r="N288">
        <v>86</v>
      </c>
      <c r="O288" t="s">
        <v>16</v>
      </c>
      <c r="P288">
        <f t="shared" si="4"/>
        <v>0</v>
      </c>
    </row>
    <row r="289" spans="1:16" hidden="1" x14ac:dyDescent="0.25">
      <c r="A289" s="8">
        <v>284</v>
      </c>
      <c r="B289">
        <v>284</v>
      </c>
      <c r="C289" s="27">
        <v>45474</v>
      </c>
      <c r="D289" t="s">
        <v>543</v>
      </c>
      <c r="E289">
        <v>-1.38</v>
      </c>
      <c r="G289" t="s">
        <v>315</v>
      </c>
      <c r="H289" t="s">
        <v>14</v>
      </c>
      <c r="I289" t="s">
        <v>395</v>
      </c>
      <c r="J289" s="27">
        <v>45474</v>
      </c>
      <c r="K289">
        <v>2024</v>
      </c>
      <c r="L289" s="27">
        <v>45474</v>
      </c>
      <c r="M289">
        <v>895.20000000000073</v>
      </c>
      <c r="N289">
        <v>16</v>
      </c>
      <c r="O289" t="s">
        <v>16</v>
      </c>
      <c r="P289">
        <f t="shared" si="4"/>
        <v>0</v>
      </c>
    </row>
    <row r="290" spans="1:16" hidden="1" x14ac:dyDescent="0.25">
      <c r="A290" s="8">
        <v>285</v>
      </c>
      <c r="B290">
        <v>285</v>
      </c>
      <c r="C290" s="27">
        <v>45474</v>
      </c>
      <c r="D290" t="s">
        <v>78</v>
      </c>
      <c r="E290">
        <v>-0.18</v>
      </c>
      <c r="G290" t="s">
        <v>79</v>
      </c>
      <c r="H290" t="s">
        <v>14</v>
      </c>
      <c r="I290" t="s">
        <v>80</v>
      </c>
      <c r="J290" s="27">
        <v>45474</v>
      </c>
      <c r="K290">
        <v>2024</v>
      </c>
      <c r="L290" s="27">
        <v>45474</v>
      </c>
      <c r="M290">
        <v>895.02000000000078</v>
      </c>
      <c r="N290">
        <v>87</v>
      </c>
      <c r="O290" t="s">
        <v>16</v>
      </c>
      <c r="P290">
        <f t="shared" si="4"/>
        <v>0</v>
      </c>
    </row>
    <row r="291" spans="1:16" hidden="1" x14ac:dyDescent="0.25">
      <c r="A291" s="8">
        <v>286</v>
      </c>
      <c r="B291">
        <v>286</v>
      </c>
      <c r="C291" s="27">
        <v>45474</v>
      </c>
      <c r="D291" t="s">
        <v>544</v>
      </c>
      <c r="E291">
        <v>-6.12</v>
      </c>
      <c r="G291" t="s">
        <v>315</v>
      </c>
      <c r="H291" t="s">
        <v>14</v>
      </c>
      <c r="I291" t="s">
        <v>395</v>
      </c>
      <c r="J291" s="27">
        <v>45474</v>
      </c>
      <c r="K291">
        <v>2024</v>
      </c>
      <c r="L291" s="27">
        <v>45474</v>
      </c>
      <c r="M291">
        <v>888.90000000000077</v>
      </c>
      <c r="N291">
        <v>17</v>
      </c>
      <c r="O291" t="s">
        <v>16</v>
      </c>
      <c r="P291">
        <f t="shared" si="4"/>
        <v>0</v>
      </c>
    </row>
    <row r="292" spans="1:16" hidden="1" x14ac:dyDescent="0.25">
      <c r="A292" s="8">
        <v>287</v>
      </c>
      <c r="B292">
        <v>287</v>
      </c>
      <c r="C292" s="27">
        <v>45474</v>
      </c>
      <c r="D292" t="s">
        <v>78</v>
      </c>
      <c r="E292">
        <v>-0.06</v>
      </c>
      <c r="G292" t="s">
        <v>79</v>
      </c>
      <c r="H292" t="s">
        <v>14</v>
      </c>
      <c r="I292" t="s">
        <v>80</v>
      </c>
      <c r="J292" s="27">
        <v>45474</v>
      </c>
      <c r="K292">
        <v>2024</v>
      </c>
      <c r="L292" s="27">
        <v>45474</v>
      </c>
      <c r="M292">
        <v>888.84000000000083</v>
      </c>
      <c r="N292">
        <v>88</v>
      </c>
      <c r="O292" t="s">
        <v>16</v>
      </c>
      <c r="P292">
        <f t="shared" si="4"/>
        <v>0</v>
      </c>
    </row>
    <row r="293" spans="1:16" hidden="1" x14ac:dyDescent="0.25">
      <c r="A293" s="8">
        <v>288</v>
      </c>
      <c r="B293">
        <v>288</v>
      </c>
      <c r="C293" s="27">
        <v>45474</v>
      </c>
      <c r="D293" t="s">
        <v>545</v>
      </c>
      <c r="E293">
        <v>-2.2000000000000002</v>
      </c>
      <c r="G293" t="s">
        <v>315</v>
      </c>
      <c r="H293" t="s">
        <v>14</v>
      </c>
      <c r="I293" t="s">
        <v>395</v>
      </c>
      <c r="J293" s="27">
        <v>45474</v>
      </c>
      <c r="K293">
        <v>2024</v>
      </c>
      <c r="L293" s="27">
        <v>45474</v>
      </c>
      <c r="M293">
        <v>886.64000000000078</v>
      </c>
      <c r="N293">
        <v>18</v>
      </c>
      <c r="O293" t="s">
        <v>16</v>
      </c>
      <c r="P293">
        <f t="shared" si="4"/>
        <v>0</v>
      </c>
    </row>
    <row r="294" spans="1:16" hidden="1" x14ac:dyDescent="0.25">
      <c r="A294" s="8">
        <v>289</v>
      </c>
      <c r="B294">
        <v>289</v>
      </c>
      <c r="C294" s="27">
        <v>45474</v>
      </c>
      <c r="D294" t="s">
        <v>78</v>
      </c>
      <c r="E294">
        <v>-1.06</v>
      </c>
      <c r="G294" t="s">
        <v>79</v>
      </c>
      <c r="H294" t="s">
        <v>14</v>
      </c>
      <c r="I294" t="s">
        <v>80</v>
      </c>
      <c r="J294" s="27">
        <v>45474</v>
      </c>
      <c r="K294">
        <v>2024</v>
      </c>
      <c r="L294" s="27">
        <v>45474</v>
      </c>
      <c r="M294">
        <v>885.58000000000084</v>
      </c>
      <c r="N294">
        <v>89</v>
      </c>
      <c r="O294" t="s">
        <v>16</v>
      </c>
      <c r="P294">
        <f t="shared" si="4"/>
        <v>0</v>
      </c>
    </row>
    <row r="295" spans="1:16" hidden="1" x14ac:dyDescent="0.25">
      <c r="A295" s="8">
        <v>290</v>
      </c>
      <c r="B295">
        <v>290</v>
      </c>
      <c r="C295" s="27">
        <v>45474</v>
      </c>
      <c r="D295" t="s">
        <v>546</v>
      </c>
      <c r="E295">
        <v>-35.44</v>
      </c>
      <c r="G295" t="s">
        <v>315</v>
      </c>
      <c r="H295" t="s">
        <v>14</v>
      </c>
      <c r="I295" t="s">
        <v>395</v>
      </c>
      <c r="J295" s="27">
        <v>45474</v>
      </c>
      <c r="K295">
        <v>2024</v>
      </c>
      <c r="L295" s="27">
        <v>45474</v>
      </c>
      <c r="M295">
        <v>850.14000000000078</v>
      </c>
      <c r="N295">
        <v>19</v>
      </c>
      <c r="O295" t="s">
        <v>16</v>
      </c>
      <c r="P295">
        <f t="shared" si="4"/>
        <v>0</v>
      </c>
    </row>
    <row r="296" spans="1:16" hidden="1" x14ac:dyDescent="0.25">
      <c r="A296" s="8">
        <v>291</v>
      </c>
      <c r="B296">
        <v>291</v>
      </c>
      <c r="C296" s="27">
        <v>45474</v>
      </c>
      <c r="D296" t="s">
        <v>78</v>
      </c>
      <c r="E296">
        <v>-7.0000000000000007E-2</v>
      </c>
      <c r="G296" t="s">
        <v>79</v>
      </c>
      <c r="H296" t="s">
        <v>14</v>
      </c>
      <c r="I296" t="s">
        <v>80</v>
      </c>
      <c r="J296" s="27">
        <v>45474</v>
      </c>
      <c r="K296">
        <v>2024</v>
      </c>
      <c r="L296" s="27">
        <v>45474</v>
      </c>
      <c r="M296">
        <v>850.07000000000073</v>
      </c>
      <c r="N296">
        <v>90</v>
      </c>
      <c r="O296" t="s">
        <v>16</v>
      </c>
      <c r="P296">
        <f t="shared" si="4"/>
        <v>0</v>
      </c>
    </row>
    <row r="297" spans="1:16" hidden="1" x14ac:dyDescent="0.25">
      <c r="A297" s="8">
        <v>292</v>
      </c>
      <c r="B297">
        <v>292</v>
      </c>
      <c r="C297" s="27">
        <v>45474</v>
      </c>
      <c r="D297" t="s">
        <v>547</v>
      </c>
      <c r="E297">
        <v>-2.48</v>
      </c>
      <c r="G297" t="s">
        <v>315</v>
      </c>
      <c r="H297" t="s">
        <v>14</v>
      </c>
      <c r="I297" t="s">
        <v>395</v>
      </c>
      <c r="J297" s="27">
        <v>45474</v>
      </c>
      <c r="K297">
        <v>2024</v>
      </c>
      <c r="L297" s="27">
        <v>45474</v>
      </c>
      <c r="M297">
        <v>847.59000000000071</v>
      </c>
      <c r="N297">
        <v>20</v>
      </c>
      <c r="O297" t="s">
        <v>16</v>
      </c>
      <c r="P297">
        <f t="shared" si="4"/>
        <v>0</v>
      </c>
    </row>
    <row r="298" spans="1:16" hidden="1" x14ac:dyDescent="0.25">
      <c r="A298" s="8">
        <v>293</v>
      </c>
      <c r="B298">
        <v>293</v>
      </c>
      <c r="C298" s="27">
        <v>45474</v>
      </c>
      <c r="D298" t="s">
        <v>78</v>
      </c>
      <c r="E298">
        <v>-0.4</v>
      </c>
      <c r="G298" t="s">
        <v>79</v>
      </c>
      <c r="H298" t="s">
        <v>14</v>
      </c>
      <c r="I298" t="s">
        <v>80</v>
      </c>
      <c r="J298" s="27">
        <v>45474</v>
      </c>
      <c r="K298">
        <v>2024</v>
      </c>
      <c r="L298" s="27">
        <v>45474</v>
      </c>
      <c r="M298">
        <v>847.19000000000074</v>
      </c>
      <c r="N298">
        <v>91</v>
      </c>
      <c r="O298" t="s">
        <v>16</v>
      </c>
      <c r="P298">
        <f t="shared" si="4"/>
        <v>0</v>
      </c>
    </row>
    <row r="299" spans="1:16" hidden="1" x14ac:dyDescent="0.25">
      <c r="A299" s="8">
        <v>294</v>
      </c>
      <c r="B299">
        <v>294</v>
      </c>
      <c r="C299" s="27">
        <v>45474</v>
      </c>
      <c r="D299" t="s">
        <v>548</v>
      </c>
      <c r="E299">
        <v>-13.63</v>
      </c>
      <c r="G299" t="s">
        <v>315</v>
      </c>
      <c r="H299" t="s">
        <v>14</v>
      </c>
      <c r="I299" t="s">
        <v>395</v>
      </c>
      <c r="J299" s="27">
        <v>45474</v>
      </c>
      <c r="K299">
        <v>2024</v>
      </c>
      <c r="L299" s="27">
        <v>45474</v>
      </c>
      <c r="M299">
        <v>833.56000000000074</v>
      </c>
      <c r="N299">
        <v>21</v>
      </c>
      <c r="O299" t="s">
        <v>16</v>
      </c>
      <c r="P299">
        <f t="shared" si="4"/>
        <v>0</v>
      </c>
    </row>
    <row r="300" spans="1:16" hidden="1" x14ac:dyDescent="0.25">
      <c r="A300" s="8">
        <v>295</v>
      </c>
      <c r="B300">
        <v>295</v>
      </c>
      <c r="C300" s="27">
        <v>45474</v>
      </c>
      <c r="D300" t="s">
        <v>549</v>
      </c>
      <c r="E300">
        <v>9.36</v>
      </c>
      <c r="G300" t="s">
        <v>315</v>
      </c>
      <c r="H300" t="s">
        <v>14</v>
      </c>
      <c r="I300" t="s">
        <v>395</v>
      </c>
      <c r="J300" s="27">
        <v>45474</v>
      </c>
      <c r="K300">
        <v>2024</v>
      </c>
      <c r="L300" s="27">
        <v>45474</v>
      </c>
      <c r="M300">
        <v>842.92000000000075</v>
      </c>
      <c r="N300">
        <v>22</v>
      </c>
      <c r="O300" t="s">
        <v>16</v>
      </c>
      <c r="P300">
        <f t="shared" si="4"/>
        <v>0</v>
      </c>
    </row>
    <row r="301" spans="1:16" hidden="1" x14ac:dyDescent="0.25">
      <c r="A301" s="8">
        <v>296</v>
      </c>
      <c r="B301">
        <v>296</v>
      </c>
      <c r="C301" s="27">
        <v>45475</v>
      </c>
      <c r="D301" t="s">
        <v>78</v>
      </c>
      <c r="E301">
        <v>-0.13</v>
      </c>
      <c r="G301" t="s">
        <v>79</v>
      </c>
      <c r="H301" t="s">
        <v>14</v>
      </c>
      <c r="I301" t="s">
        <v>80</v>
      </c>
      <c r="J301" s="27">
        <v>45474</v>
      </c>
      <c r="K301">
        <v>2024</v>
      </c>
      <c r="L301" s="27">
        <v>45475</v>
      </c>
      <c r="M301">
        <v>842.79000000000076</v>
      </c>
      <c r="N301">
        <v>92</v>
      </c>
      <c r="O301" t="s">
        <v>16</v>
      </c>
      <c r="P301">
        <f t="shared" si="4"/>
        <v>0</v>
      </c>
    </row>
    <row r="302" spans="1:16" hidden="1" x14ac:dyDescent="0.25">
      <c r="A302" s="8">
        <v>297</v>
      </c>
      <c r="B302">
        <v>297</v>
      </c>
      <c r="C302" s="27">
        <v>45475</v>
      </c>
      <c r="D302" t="s">
        <v>550</v>
      </c>
      <c r="E302">
        <v>-4.54</v>
      </c>
      <c r="G302" t="s">
        <v>315</v>
      </c>
      <c r="H302" t="s">
        <v>14</v>
      </c>
      <c r="I302" t="s">
        <v>395</v>
      </c>
      <c r="J302" s="27">
        <v>45474</v>
      </c>
      <c r="K302">
        <v>2024</v>
      </c>
      <c r="L302" s="27">
        <v>45475</v>
      </c>
      <c r="M302">
        <v>838.2500000000008</v>
      </c>
      <c r="N302">
        <v>23</v>
      </c>
      <c r="O302" t="s">
        <v>16</v>
      </c>
      <c r="P302">
        <f t="shared" si="4"/>
        <v>0</v>
      </c>
    </row>
    <row r="303" spans="1:16" hidden="1" x14ac:dyDescent="0.25">
      <c r="A303" s="8">
        <v>298</v>
      </c>
      <c r="B303">
        <v>298</v>
      </c>
      <c r="C303" s="27">
        <v>45475</v>
      </c>
      <c r="D303" t="s">
        <v>78</v>
      </c>
      <c r="E303">
        <v>-7.0000000000000007E-2</v>
      </c>
      <c r="G303" t="s">
        <v>79</v>
      </c>
      <c r="H303" t="s">
        <v>14</v>
      </c>
      <c r="I303" t="s">
        <v>80</v>
      </c>
      <c r="J303" s="27">
        <v>45474</v>
      </c>
      <c r="K303">
        <v>2024</v>
      </c>
      <c r="L303" s="27">
        <v>45475</v>
      </c>
      <c r="M303">
        <v>838.18000000000075</v>
      </c>
      <c r="N303">
        <v>93</v>
      </c>
      <c r="O303" t="s">
        <v>16</v>
      </c>
      <c r="P303">
        <f t="shared" si="4"/>
        <v>0</v>
      </c>
    </row>
    <row r="304" spans="1:16" hidden="1" x14ac:dyDescent="0.25">
      <c r="A304" s="8">
        <v>299</v>
      </c>
      <c r="B304">
        <v>299</v>
      </c>
      <c r="C304" s="27">
        <v>45475</v>
      </c>
      <c r="D304" t="s">
        <v>551</v>
      </c>
      <c r="E304">
        <v>-2.48</v>
      </c>
      <c r="G304" t="s">
        <v>315</v>
      </c>
      <c r="H304" t="s">
        <v>14</v>
      </c>
      <c r="I304" t="s">
        <v>395</v>
      </c>
      <c r="J304" s="27">
        <v>45474</v>
      </c>
      <c r="K304">
        <v>2024</v>
      </c>
      <c r="L304" s="27">
        <v>45475</v>
      </c>
      <c r="M304">
        <v>835.70000000000073</v>
      </c>
      <c r="N304">
        <v>24</v>
      </c>
      <c r="O304" t="s">
        <v>16</v>
      </c>
      <c r="P304">
        <f t="shared" si="4"/>
        <v>0</v>
      </c>
    </row>
    <row r="305" spans="1:16" hidden="1" x14ac:dyDescent="0.25">
      <c r="A305" s="8">
        <v>300</v>
      </c>
      <c r="B305">
        <v>300</v>
      </c>
      <c r="C305" s="27">
        <v>45475</v>
      </c>
      <c r="D305" t="s">
        <v>78</v>
      </c>
      <c r="E305">
        <v>-7.0000000000000007E-2</v>
      </c>
      <c r="G305" t="s">
        <v>79</v>
      </c>
      <c r="H305" t="s">
        <v>14</v>
      </c>
      <c r="I305" t="s">
        <v>80</v>
      </c>
      <c r="J305" s="27">
        <v>45474</v>
      </c>
      <c r="K305">
        <v>2024</v>
      </c>
      <c r="L305" s="27">
        <v>45475</v>
      </c>
      <c r="M305">
        <v>835.63000000000068</v>
      </c>
      <c r="N305">
        <v>94</v>
      </c>
      <c r="O305" t="s">
        <v>16</v>
      </c>
      <c r="P305">
        <f t="shared" si="4"/>
        <v>0</v>
      </c>
    </row>
    <row r="306" spans="1:16" hidden="1" x14ac:dyDescent="0.25">
      <c r="A306" s="8">
        <v>301</v>
      </c>
      <c r="B306">
        <v>301</v>
      </c>
      <c r="C306" s="27">
        <v>45475</v>
      </c>
      <c r="D306" t="s">
        <v>552</v>
      </c>
      <c r="E306">
        <v>-2.52</v>
      </c>
      <c r="G306" t="s">
        <v>315</v>
      </c>
      <c r="H306" t="s">
        <v>14</v>
      </c>
      <c r="I306" t="s">
        <v>395</v>
      </c>
      <c r="J306" s="27">
        <v>45474</v>
      </c>
      <c r="K306">
        <v>2024</v>
      </c>
      <c r="L306" s="27">
        <v>45475</v>
      </c>
      <c r="M306">
        <v>833.1100000000007</v>
      </c>
      <c r="N306">
        <v>25</v>
      </c>
      <c r="O306" t="s">
        <v>16</v>
      </c>
      <c r="P306">
        <f t="shared" si="4"/>
        <v>0</v>
      </c>
    </row>
    <row r="307" spans="1:16" hidden="1" x14ac:dyDescent="0.25">
      <c r="A307" s="8">
        <v>302</v>
      </c>
      <c r="B307">
        <v>302</v>
      </c>
      <c r="C307" s="27">
        <v>45476</v>
      </c>
      <c r="D307" t="s">
        <v>78</v>
      </c>
      <c r="E307">
        <v>-0.56999999999999995</v>
      </c>
      <c r="G307" t="s">
        <v>79</v>
      </c>
      <c r="H307" t="s">
        <v>14</v>
      </c>
      <c r="I307" t="s">
        <v>80</v>
      </c>
      <c r="J307" s="27">
        <v>45474</v>
      </c>
      <c r="K307">
        <v>2024</v>
      </c>
      <c r="L307" s="27">
        <v>45476</v>
      </c>
      <c r="M307">
        <v>832.54000000000065</v>
      </c>
      <c r="N307">
        <v>95</v>
      </c>
      <c r="O307" t="s">
        <v>16</v>
      </c>
      <c r="P307">
        <f t="shared" si="4"/>
        <v>0</v>
      </c>
    </row>
    <row r="308" spans="1:16" hidden="1" x14ac:dyDescent="0.25">
      <c r="A308" s="8">
        <v>303</v>
      </c>
      <c r="B308">
        <v>303</v>
      </c>
      <c r="C308" s="27">
        <v>45476</v>
      </c>
      <c r="D308" t="s">
        <v>553</v>
      </c>
      <c r="E308">
        <v>-19.21</v>
      </c>
      <c r="G308" t="s">
        <v>315</v>
      </c>
      <c r="H308" t="s">
        <v>14</v>
      </c>
      <c r="I308" t="s">
        <v>395</v>
      </c>
      <c r="J308" s="27">
        <v>45474</v>
      </c>
      <c r="K308">
        <v>2024</v>
      </c>
      <c r="L308" s="27">
        <v>45476</v>
      </c>
      <c r="M308">
        <v>813.33000000000061</v>
      </c>
      <c r="N308">
        <v>26</v>
      </c>
      <c r="O308" t="s">
        <v>16</v>
      </c>
      <c r="P308">
        <f t="shared" si="4"/>
        <v>0</v>
      </c>
    </row>
    <row r="309" spans="1:16" hidden="1" x14ac:dyDescent="0.25">
      <c r="A309" s="8">
        <v>304</v>
      </c>
      <c r="B309">
        <v>304</v>
      </c>
      <c r="C309" s="27">
        <v>45476</v>
      </c>
      <c r="D309" t="s">
        <v>78</v>
      </c>
      <c r="E309">
        <v>-0.47</v>
      </c>
      <c r="G309" t="s">
        <v>79</v>
      </c>
      <c r="H309" t="s">
        <v>14</v>
      </c>
      <c r="I309" t="s">
        <v>80</v>
      </c>
      <c r="J309" s="27">
        <v>45474</v>
      </c>
      <c r="K309">
        <v>2024</v>
      </c>
      <c r="L309" s="27">
        <v>45476</v>
      </c>
      <c r="M309">
        <v>812.86000000000058</v>
      </c>
      <c r="N309">
        <v>96</v>
      </c>
      <c r="O309" t="s">
        <v>16</v>
      </c>
      <c r="P309">
        <f t="shared" si="4"/>
        <v>0</v>
      </c>
    </row>
    <row r="310" spans="1:16" hidden="1" x14ac:dyDescent="0.25">
      <c r="A310" s="8">
        <v>305</v>
      </c>
      <c r="B310">
        <v>305</v>
      </c>
      <c r="C310" s="27">
        <v>45476</v>
      </c>
      <c r="D310" t="s">
        <v>554</v>
      </c>
      <c r="E310">
        <v>-15.75</v>
      </c>
      <c r="G310" t="s">
        <v>315</v>
      </c>
      <c r="H310" t="s">
        <v>14</v>
      </c>
      <c r="I310" t="s">
        <v>395</v>
      </c>
      <c r="J310" s="27">
        <v>45474</v>
      </c>
      <c r="K310">
        <v>2024</v>
      </c>
      <c r="L310" s="27">
        <v>45476</v>
      </c>
      <c r="M310">
        <v>797.11000000000058</v>
      </c>
      <c r="N310">
        <v>27</v>
      </c>
      <c r="O310" t="s">
        <v>16</v>
      </c>
      <c r="P310">
        <f t="shared" si="4"/>
        <v>0</v>
      </c>
    </row>
    <row r="311" spans="1:16" hidden="1" x14ac:dyDescent="0.25">
      <c r="A311" s="8">
        <v>306</v>
      </c>
      <c r="B311">
        <v>306</v>
      </c>
      <c r="C311" s="27">
        <v>45476</v>
      </c>
      <c r="D311" t="s">
        <v>78</v>
      </c>
      <c r="E311">
        <v>-0.48</v>
      </c>
      <c r="G311" t="s">
        <v>79</v>
      </c>
      <c r="H311" t="s">
        <v>14</v>
      </c>
      <c r="I311" t="s">
        <v>80</v>
      </c>
      <c r="J311" s="27">
        <v>45474</v>
      </c>
      <c r="K311">
        <v>2024</v>
      </c>
      <c r="L311" s="27">
        <v>45476</v>
      </c>
      <c r="M311">
        <v>796.63000000000056</v>
      </c>
      <c r="N311">
        <v>97</v>
      </c>
      <c r="O311" t="s">
        <v>16</v>
      </c>
      <c r="P311">
        <f t="shared" si="4"/>
        <v>0</v>
      </c>
    </row>
    <row r="312" spans="1:16" hidden="1" x14ac:dyDescent="0.25">
      <c r="A312" s="8">
        <v>307</v>
      </c>
      <c r="B312">
        <v>307</v>
      </c>
      <c r="C312" s="27">
        <v>45476</v>
      </c>
      <c r="D312" t="s">
        <v>555</v>
      </c>
      <c r="E312">
        <v>-16.170000000000002</v>
      </c>
      <c r="G312" t="s">
        <v>315</v>
      </c>
      <c r="H312" t="s">
        <v>14</v>
      </c>
      <c r="I312" t="s">
        <v>395</v>
      </c>
      <c r="J312" s="27">
        <v>45474</v>
      </c>
      <c r="K312">
        <v>2024</v>
      </c>
      <c r="L312" s="27">
        <v>45476</v>
      </c>
      <c r="M312">
        <v>780.4600000000006</v>
      </c>
      <c r="N312">
        <v>28</v>
      </c>
      <c r="O312" t="s">
        <v>16</v>
      </c>
      <c r="P312">
        <f t="shared" si="4"/>
        <v>0</v>
      </c>
    </row>
    <row r="313" spans="1:16" hidden="1" x14ac:dyDescent="0.25">
      <c r="A313" s="8">
        <v>308</v>
      </c>
      <c r="B313">
        <v>308</v>
      </c>
      <c r="C313" s="27">
        <v>45476</v>
      </c>
      <c r="D313" t="s">
        <v>78</v>
      </c>
      <c r="E313">
        <v>-0.23</v>
      </c>
      <c r="G313" t="s">
        <v>79</v>
      </c>
      <c r="H313" t="s">
        <v>14</v>
      </c>
      <c r="I313" t="s">
        <v>80</v>
      </c>
      <c r="J313" s="27">
        <v>45474</v>
      </c>
      <c r="K313">
        <v>2024</v>
      </c>
      <c r="L313" s="27">
        <v>45476</v>
      </c>
      <c r="M313">
        <v>780.23000000000059</v>
      </c>
      <c r="N313">
        <v>98</v>
      </c>
      <c r="O313" t="s">
        <v>16</v>
      </c>
      <c r="P313">
        <f t="shared" si="4"/>
        <v>0</v>
      </c>
    </row>
    <row r="314" spans="1:16" hidden="1" x14ac:dyDescent="0.25">
      <c r="A314" s="8">
        <v>309</v>
      </c>
      <c r="B314">
        <v>309</v>
      </c>
      <c r="C314" s="27">
        <v>45476</v>
      </c>
      <c r="D314" t="s">
        <v>556</v>
      </c>
      <c r="E314">
        <v>-7.71</v>
      </c>
      <c r="G314" t="s">
        <v>315</v>
      </c>
      <c r="H314" t="s">
        <v>14</v>
      </c>
      <c r="I314" t="s">
        <v>395</v>
      </c>
      <c r="J314" s="27">
        <v>45474</v>
      </c>
      <c r="K314">
        <v>2024</v>
      </c>
      <c r="L314" s="27">
        <v>45476</v>
      </c>
      <c r="M314">
        <v>772.52000000000055</v>
      </c>
      <c r="N314">
        <v>29</v>
      </c>
      <c r="O314" t="s">
        <v>16</v>
      </c>
      <c r="P314">
        <f t="shared" si="4"/>
        <v>0</v>
      </c>
    </row>
    <row r="315" spans="1:16" hidden="1" x14ac:dyDescent="0.25">
      <c r="A315" s="8">
        <v>310</v>
      </c>
      <c r="B315">
        <v>310</v>
      </c>
      <c r="C315" s="27">
        <v>45476</v>
      </c>
      <c r="D315" t="s">
        <v>78</v>
      </c>
      <c r="E315">
        <v>-1.95</v>
      </c>
      <c r="G315" t="s">
        <v>79</v>
      </c>
      <c r="H315" t="s">
        <v>14</v>
      </c>
      <c r="I315" t="s">
        <v>80</v>
      </c>
      <c r="J315" s="27">
        <v>45474</v>
      </c>
      <c r="K315">
        <v>2024</v>
      </c>
      <c r="L315" s="27">
        <v>45476</v>
      </c>
      <c r="M315">
        <v>770.5700000000005</v>
      </c>
      <c r="N315">
        <v>99</v>
      </c>
      <c r="O315" t="s">
        <v>16</v>
      </c>
      <c r="P315">
        <f t="shared" si="4"/>
        <v>0</v>
      </c>
    </row>
    <row r="316" spans="1:16" hidden="1" x14ac:dyDescent="0.25">
      <c r="A316" s="8">
        <v>311</v>
      </c>
      <c r="B316">
        <v>311</v>
      </c>
      <c r="C316" s="27">
        <v>45476</v>
      </c>
      <c r="D316" t="s">
        <v>557</v>
      </c>
      <c r="E316">
        <v>-65.2</v>
      </c>
      <c r="G316" t="s">
        <v>315</v>
      </c>
      <c r="H316" t="s">
        <v>14</v>
      </c>
      <c r="I316" t="s">
        <v>395</v>
      </c>
      <c r="J316" s="27">
        <v>45474</v>
      </c>
      <c r="K316">
        <v>2024</v>
      </c>
      <c r="L316" s="27">
        <v>45476</v>
      </c>
      <c r="M316">
        <v>705.37000000000046</v>
      </c>
      <c r="N316">
        <v>30</v>
      </c>
      <c r="O316" t="s">
        <v>16</v>
      </c>
      <c r="P316">
        <f t="shared" si="4"/>
        <v>0</v>
      </c>
    </row>
    <row r="317" spans="1:16" hidden="1" x14ac:dyDescent="0.25">
      <c r="A317" s="8">
        <v>312</v>
      </c>
      <c r="B317">
        <v>312</v>
      </c>
      <c r="C317" s="27">
        <v>45476</v>
      </c>
      <c r="D317" t="s">
        <v>78</v>
      </c>
      <c r="E317">
        <v>-0.14000000000000001</v>
      </c>
      <c r="G317" t="s">
        <v>79</v>
      </c>
      <c r="H317" t="s">
        <v>14</v>
      </c>
      <c r="I317" t="s">
        <v>80</v>
      </c>
      <c r="J317" s="27">
        <v>45474</v>
      </c>
      <c r="K317">
        <v>2024</v>
      </c>
      <c r="L317" s="27">
        <v>45476</v>
      </c>
      <c r="M317">
        <v>705.23000000000047</v>
      </c>
      <c r="N317">
        <v>100</v>
      </c>
      <c r="O317" t="s">
        <v>16</v>
      </c>
      <c r="P317">
        <f t="shared" si="4"/>
        <v>0</v>
      </c>
    </row>
    <row r="318" spans="1:16" hidden="1" x14ac:dyDescent="0.25">
      <c r="A318" s="8">
        <v>313</v>
      </c>
      <c r="B318">
        <v>313</v>
      </c>
      <c r="C318" s="27">
        <v>45476</v>
      </c>
      <c r="D318" t="s">
        <v>558</v>
      </c>
      <c r="E318">
        <v>-4.82</v>
      </c>
      <c r="G318" t="s">
        <v>315</v>
      </c>
      <c r="H318" t="s">
        <v>14</v>
      </c>
      <c r="I318" t="s">
        <v>395</v>
      </c>
      <c r="J318" s="27">
        <v>45474</v>
      </c>
      <c r="K318">
        <v>2024</v>
      </c>
      <c r="L318" s="27">
        <v>45476</v>
      </c>
      <c r="M318">
        <v>700.41000000000042</v>
      </c>
      <c r="N318">
        <v>31</v>
      </c>
      <c r="O318" t="s">
        <v>16</v>
      </c>
      <c r="P318">
        <f t="shared" si="4"/>
        <v>0</v>
      </c>
    </row>
    <row r="319" spans="1:16" hidden="1" x14ac:dyDescent="0.25">
      <c r="A319" s="8">
        <v>314</v>
      </c>
      <c r="B319">
        <v>314</v>
      </c>
      <c r="C319" s="27">
        <v>45484</v>
      </c>
      <c r="D319" t="s">
        <v>559</v>
      </c>
      <c r="E319">
        <v>527.55999999999995</v>
      </c>
      <c r="G319" t="s">
        <v>337</v>
      </c>
      <c r="H319" t="s">
        <v>14</v>
      </c>
      <c r="I319" t="s">
        <v>386</v>
      </c>
      <c r="J319" s="27">
        <v>45474</v>
      </c>
      <c r="K319">
        <v>2024</v>
      </c>
      <c r="L319" s="27">
        <v>45484</v>
      </c>
      <c r="M319">
        <v>1227.97</v>
      </c>
      <c r="N319">
        <v>14</v>
      </c>
      <c r="O319" t="s">
        <v>16</v>
      </c>
      <c r="P319">
        <f t="shared" si="4"/>
        <v>0</v>
      </c>
    </row>
    <row r="320" spans="1:16" hidden="1" x14ac:dyDescent="0.25">
      <c r="A320" s="8">
        <v>315</v>
      </c>
      <c r="B320">
        <v>315</v>
      </c>
      <c r="C320" s="27">
        <v>45489</v>
      </c>
      <c r="D320" t="s">
        <v>560</v>
      </c>
      <c r="E320">
        <v>-442.73</v>
      </c>
      <c r="G320" t="s">
        <v>27</v>
      </c>
      <c r="H320" t="s">
        <v>28</v>
      </c>
      <c r="I320" t="s">
        <v>29</v>
      </c>
      <c r="J320" s="27">
        <v>45474</v>
      </c>
      <c r="K320">
        <v>2024</v>
      </c>
      <c r="L320" s="27">
        <v>45489</v>
      </c>
      <c r="M320">
        <v>785.24000000000024</v>
      </c>
      <c r="N320">
        <v>2</v>
      </c>
      <c r="O320" t="s">
        <v>16</v>
      </c>
      <c r="P320">
        <f t="shared" si="4"/>
        <v>0</v>
      </c>
    </row>
    <row r="321" spans="1:16" hidden="1" x14ac:dyDescent="0.25">
      <c r="A321" s="8">
        <v>316</v>
      </c>
      <c r="B321">
        <v>316</v>
      </c>
      <c r="C321" s="27">
        <v>45490</v>
      </c>
      <c r="D321" t="s">
        <v>78</v>
      </c>
      <c r="E321">
        <v>-1.5</v>
      </c>
      <c r="G321" t="s">
        <v>79</v>
      </c>
      <c r="H321" t="s">
        <v>14</v>
      </c>
      <c r="I321" t="s">
        <v>80</v>
      </c>
      <c r="J321" s="27">
        <v>45474</v>
      </c>
      <c r="K321">
        <v>2024</v>
      </c>
      <c r="L321" s="27">
        <v>45490</v>
      </c>
      <c r="M321">
        <v>783.74000000000024</v>
      </c>
      <c r="N321">
        <v>101</v>
      </c>
      <c r="O321" t="s">
        <v>16</v>
      </c>
      <c r="P321">
        <f t="shared" si="4"/>
        <v>0</v>
      </c>
    </row>
    <row r="322" spans="1:16" hidden="1" x14ac:dyDescent="0.25">
      <c r="A322" s="8">
        <v>317</v>
      </c>
      <c r="B322">
        <v>317</v>
      </c>
      <c r="C322" s="27">
        <v>45490</v>
      </c>
      <c r="D322" t="s">
        <v>561</v>
      </c>
      <c r="E322">
        <v>-50.08</v>
      </c>
      <c r="G322" t="s">
        <v>394</v>
      </c>
      <c r="H322" t="s">
        <v>14</v>
      </c>
      <c r="I322" t="s">
        <v>395</v>
      </c>
      <c r="J322" s="27">
        <v>45474</v>
      </c>
      <c r="K322">
        <v>2024</v>
      </c>
      <c r="L322" s="27">
        <v>45490</v>
      </c>
      <c r="M322">
        <v>733.6600000000002</v>
      </c>
      <c r="N322">
        <v>89</v>
      </c>
      <c r="O322" t="s">
        <v>16</v>
      </c>
      <c r="P322">
        <f t="shared" si="4"/>
        <v>0</v>
      </c>
    </row>
    <row r="323" spans="1:16" hidden="1" x14ac:dyDescent="0.25">
      <c r="A323" s="8">
        <v>318</v>
      </c>
      <c r="B323">
        <v>318</v>
      </c>
      <c r="C323" s="27">
        <v>45490</v>
      </c>
      <c r="D323" t="s">
        <v>562</v>
      </c>
      <c r="E323">
        <v>891</v>
      </c>
      <c r="G323" t="s">
        <v>36</v>
      </c>
      <c r="H323" t="s">
        <v>14</v>
      </c>
      <c r="I323" t="s">
        <v>25</v>
      </c>
      <c r="J323" s="27">
        <v>45474</v>
      </c>
      <c r="K323">
        <v>2024</v>
      </c>
      <c r="L323" s="27">
        <v>45490</v>
      </c>
      <c r="M323">
        <v>1624.66</v>
      </c>
      <c r="N323">
        <v>9</v>
      </c>
      <c r="O323" t="s">
        <v>16</v>
      </c>
      <c r="P323">
        <f t="shared" si="4"/>
        <v>0</v>
      </c>
    </row>
    <row r="324" spans="1:16" hidden="1" x14ac:dyDescent="0.25">
      <c r="A324" s="8">
        <v>319</v>
      </c>
      <c r="B324">
        <v>319</v>
      </c>
      <c r="C324" s="27">
        <v>45491</v>
      </c>
      <c r="D324" t="s">
        <v>563</v>
      </c>
      <c r="E324">
        <v>-65.83</v>
      </c>
      <c r="G324" t="s">
        <v>392</v>
      </c>
      <c r="H324" t="s">
        <v>14</v>
      </c>
      <c r="I324" t="s">
        <v>25</v>
      </c>
      <c r="J324" s="27">
        <v>45474</v>
      </c>
      <c r="K324">
        <v>2024</v>
      </c>
      <c r="L324" s="27">
        <v>45491</v>
      </c>
      <c r="M324">
        <v>1558.83</v>
      </c>
      <c r="N324">
        <v>12</v>
      </c>
      <c r="O324" t="s">
        <v>16</v>
      </c>
      <c r="P324">
        <f t="shared" si="4"/>
        <v>0</v>
      </c>
    </row>
    <row r="325" spans="1:16" x14ac:dyDescent="0.25">
      <c r="A325" s="8">
        <v>320</v>
      </c>
      <c r="B325">
        <v>320</v>
      </c>
      <c r="C325" s="27">
        <v>45491</v>
      </c>
      <c r="D325" t="s">
        <v>564</v>
      </c>
      <c r="E325">
        <v>220</v>
      </c>
      <c r="G325" t="s">
        <v>31</v>
      </c>
      <c r="H325" t="s">
        <v>28</v>
      </c>
      <c r="I325" t="s">
        <v>69</v>
      </c>
      <c r="J325" s="27">
        <v>45474</v>
      </c>
      <c r="K325">
        <v>2024</v>
      </c>
      <c r="L325" s="27">
        <v>45491</v>
      </c>
      <c r="M325">
        <v>1778.83</v>
      </c>
      <c r="N325">
        <v>5</v>
      </c>
      <c r="O325" t="s">
        <v>16</v>
      </c>
      <c r="P325">
        <f t="shared" ref="P325:P388" si="5">IF(J325&lt;&gt;J326, 1, 0)</f>
        <v>0</v>
      </c>
    </row>
    <row r="326" spans="1:16" x14ac:dyDescent="0.25">
      <c r="A326" s="8">
        <v>321</v>
      </c>
      <c r="B326">
        <v>321</v>
      </c>
      <c r="C326" s="27">
        <v>45491</v>
      </c>
      <c r="D326" t="s">
        <v>565</v>
      </c>
      <c r="E326">
        <v>220</v>
      </c>
      <c r="G326" t="s">
        <v>31</v>
      </c>
      <c r="H326" t="s">
        <v>28</v>
      </c>
      <c r="I326" t="s">
        <v>69</v>
      </c>
      <c r="J326" s="27">
        <v>45474</v>
      </c>
      <c r="K326">
        <v>2024</v>
      </c>
      <c r="L326" s="27">
        <v>45491</v>
      </c>
      <c r="M326">
        <v>1998.83</v>
      </c>
      <c r="N326">
        <v>6</v>
      </c>
      <c r="O326" t="s">
        <v>16</v>
      </c>
      <c r="P326">
        <f t="shared" si="5"/>
        <v>0</v>
      </c>
    </row>
    <row r="327" spans="1:16" hidden="1" x14ac:dyDescent="0.25">
      <c r="A327" s="8">
        <v>322</v>
      </c>
      <c r="B327">
        <v>322</v>
      </c>
      <c r="C327" s="27">
        <v>45492</v>
      </c>
      <c r="D327" t="s">
        <v>566</v>
      </c>
      <c r="E327">
        <v>-50</v>
      </c>
      <c r="G327" t="s">
        <v>66</v>
      </c>
      <c r="H327" t="s">
        <v>14</v>
      </c>
      <c r="I327" t="s">
        <v>19</v>
      </c>
      <c r="J327" s="27">
        <v>45474</v>
      </c>
      <c r="K327">
        <v>2024</v>
      </c>
      <c r="L327" s="27">
        <v>45492</v>
      </c>
      <c r="M327">
        <v>1948.83</v>
      </c>
      <c r="N327">
        <v>2</v>
      </c>
      <c r="O327" t="s">
        <v>16</v>
      </c>
      <c r="P327">
        <f t="shared" si="5"/>
        <v>0</v>
      </c>
    </row>
    <row r="328" spans="1:16" hidden="1" x14ac:dyDescent="0.25">
      <c r="A328" s="8">
        <v>323</v>
      </c>
      <c r="B328">
        <v>323</v>
      </c>
      <c r="C328" s="27">
        <v>45495</v>
      </c>
      <c r="D328" t="s">
        <v>567</v>
      </c>
      <c r="E328">
        <v>-1000</v>
      </c>
      <c r="G328" t="s">
        <v>36</v>
      </c>
      <c r="H328" t="s">
        <v>14</v>
      </c>
      <c r="I328" t="s">
        <v>25</v>
      </c>
      <c r="J328" s="27">
        <v>45474</v>
      </c>
      <c r="K328">
        <v>2024</v>
      </c>
      <c r="L328" s="27">
        <v>45495</v>
      </c>
      <c r="M328">
        <v>948.83000000000038</v>
      </c>
      <c r="N328">
        <v>10</v>
      </c>
      <c r="O328" t="s">
        <v>16</v>
      </c>
      <c r="P328">
        <f t="shared" si="5"/>
        <v>0</v>
      </c>
    </row>
    <row r="329" spans="1:16" hidden="1" x14ac:dyDescent="0.25">
      <c r="A329" s="8">
        <v>324</v>
      </c>
      <c r="B329">
        <v>324</v>
      </c>
      <c r="C329" s="27">
        <v>45496</v>
      </c>
      <c r="D329" t="s">
        <v>568</v>
      </c>
      <c r="E329">
        <v>-195</v>
      </c>
      <c r="G329" t="s">
        <v>128</v>
      </c>
      <c r="H329" t="s">
        <v>14</v>
      </c>
      <c r="I329" t="s">
        <v>69</v>
      </c>
      <c r="J329" s="27">
        <v>45474</v>
      </c>
      <c r="K329">
        <v>2024</v>
      </c>
      <c r="L329" s="27">
        <v>45496</v>
      </c>
      <c r="M329">
        <v>753.83000000000038</v>
      </c>
      <c r="N329">
        <v>1</v>
      </c>
      <c r="O329" t="s">
        <v>16</v>
      </c>
      <c r="P329">
        <f t="shared" si="5"/>
        <v>0</v>
      </c>
    </row>
    <row r="330" spans="1:16" hidden="1" x14ac:dyDescent="0.25">
      <c r="A330" s="8">
        <v>325</v>
      </c>
      <c r="B330">
        <v>325</v>
      </c>
      <c r="C330" s="27">
        <v>45497</v>
      </c>
      <c r="D330" t="s">
        <v>569</v>
      </c>
      <c r="E330">
        <v>3000</v>
      </c>
      <c r="G330" t="s">
        <v>36</v>
      </c>
      <c r="H330" t="s">
        <v>14</v>
      </c>
      <c r="I330" t="s">
        <v>25</v>
      </c>
      <c r="J330" s="27">
        <v>45474</v>
      </c>
      <c r="K330">
        <v>2024</v>
      </c>
      <c r="L330" s="27">
        <v>45497</v>
      </c>
      <c r="M330">
        <v>3753.83</v>
      </c>
      <c r="N330">
        <v>11</v>
      </c>
      <c r="O330" t="s">
        <v>16</v>
      </c>
      <c r="P330">
        <f t="shared" si="5"/>
        <v>0</v>
      </c>
    </row>
    <row r="331" spans="1:16" hidden="1" x14ac:dyDescent="0.25">
      <c r="A331" s="8">
        <v>326</v>
      </c>
      <c r="B331">
        <v>326</v>
      </c>
      <c r="C331" s="27">
        <v>45498</v>
      </c>
      <c r="D331" t="s">
        <v>570</v>
      </c>
      <c r="E331">
        <v>-3500</v>
      </c>
      <c r="G331" t="s">
        <v>46</v>
      </c>
      <c r="H331" t="s">
        <v>14</v>
      </c>
      <c r="I331" t="s">
        <v>25</v>
      </c>
      <c r="J331" s="27">
        <v>45474</v>
      </c>
      <c r="K331">
        <v>2024</v>
      </c>
      <c r="L331" s="27">
        <v>45498</v>
      </c>
      <c r="M331">
        <v>253.83000000000041</v>
      </c>
      <c r="N331">
        <v>2</v>
      </c>
      <c r="O331" t="s">
        <v>16</v>
      </c>
      <c r="P331">
        <f t="shared" si="5"/>
        <v>0</v>
      </c>
    </row>
    <row r="332" spans="1:16" hidden="1" x14ac:dyDescent="0.25">
      <c r="A332" s="8">
        <v>327</v>
      </c>
      <c r="B332">
        <v>327</v>
      </c>
      <c r="C332" s="27">
        <v>45498</v>
      </c>
      <c r="D332" t="s">
        <v>571</v>
      </c>
      <c r="E332">
        <v>-5</v>
      </c>
      <c r="G332" t="s">
        <v>278</v>
      </c>
      <c r="H332" t="s">
        <v>14</v>
      </c>
      <c r="I332" t="s">
        <v>44</v>
      </c>
      <c r="J332" s="27">
        <v>45474</v>
      </c>
      <c r="K332">
        <v>2024</v>
      </c>
      <c r="L332" s="27">
        <v>45498</v>
      </c>
      <c r="M332">
        <v>248.83000000000041</v>
      </c>
      <c r="N332">
        <v>7</v>
      </c>
      <c r="O332" t="s">
        <v>16</v>
      </c>
      <c r="P332">
        <f t="shared" si="5"/>
        <v>0</v>
      </c>
    </row>
    <row r="333" spans="1:16" hidden="1" x14ac:dyDescent="0.25">
      <c r="A333" s="8">
        <v>328</v>
      </c>
      <c r="B333">
        <v>328</v>
      </c>
      <c r="C333" s="27">
        <v>45498</v>
      </c>
      <c r="D333" t="s">
        <v>572</v>
      </c>
      <c r="E333">
        <v>527.55999999999995</v>
      </c>
      <c r="G333" t="s">
        <v>337</v>
      </c>
      <c r="H333" t="s">
        <v>14</v>
      </c>
      <c r="I333" t="s">
        <v>386</v>
      </c>
      <c r="J333" s="27">
        <v>45474</v>
      </c>
      <c r="K333">
        <v>2024</v>
      </c>
      <c r="L333" s="27">
        <v>45498</v>
      </c>
      <c r="M333">
        <v>776.39000000000033</v>
      </c>
      <c r="N333">
        <v>15</v>
      </c>
      <c r="O333" t="s">
        <v>16</v>
      </c>
      <c r="P333">
        <f t="shared" si="5"/>
        <v>0</v>
      </c>
    </row>
    <row r="334" spans="1:16" hidden="1" x14ac:dyDescent="0.25">
      <c r="A334" s="8">
        <v>329</v>
      </c>
      <c r="B334">
        <v>329</v>
      </c>
      <c r="C334" s="27">
        <v>45499</v>
      </c>
      <c r="D334" t="s">
        <v>573</v>
      </c>
      <c r="E334">
        <v>-22</v>
      </c>
      <c r="G334" t="s">
        <v>57</v>
      </c>
      <c r="H334" t="s">
        <v>14</v>
      </c>
      <c r="I334" t="s">
        <v>40</v>
      </c>
      <c r="J334" s="27">
        <v>45474</v>
      </c>
      <c r="K334">
        <v>2024</v>
      </c>
      <c r="L334" s="27">
        <v>45499</v>
      </c>
      <c r="M334">
        <v>754.39000000000033</v>
      </c>
      <c r="N334">
        <v>3</v>
      </c>
      <c r="O334" t="s">
        <v>16</v>
      </c>
      <c r="P334">
        <f t="shared" si="5"/>
        <v>0</v>
      </c>
    </row>
    <row r="335" spans="1:16" hidden="1" x14ac:dyDescent="0.25">
      <c r="A335" s="8">
        <v>330</v>
      </c>
      <c r="B335">
        <v>330</v>
      </c>
      <c r="C335" s="27">
        <v>45502</v>
      </c>
      <c r="D335" t="s">
        <v>574</v>
      </c>
      <c r="E335">
        <v>-44.36</v>
      </c>
      <c r="G335" t="s">
        <v>18</v>
      </c>
      <c r="H335" t="s">
        <v>14</v>
      </c>
      <c r="I335" t="s">
        <v>19</v>
      </c>
      <c r="J335" s="27">
        <v>45474</v>
      </c>
      <c r="K335">
        <v>2024</v>
      </c>
      <c r="L335" s="27">
        <v>45502</v>
      </c>
      <c r="M335">
        <v>710.03000000000031</v>
      </c>
      <c r="N335">
        <v>7</v>
      </c>
      <c r="O335" t="s">
        <v>16</v>
      </c>
      <c r="P335">
        <f t="shared" si="5"/>
        <v>0</v>
      </c>
    </row>
    <row r="336" spans="1:16" hidden="1" x14ac:dyDescent="0.25">
      <c r="A336" s="8">
        <v>331</v>
      </c>
      <c r="B336">
        <v>331</v>
      </c>
      <c r="C336" s="27">
        <v>45503</v>
      </c>
      <c r="D336" t="s">
        <v>575</v>
      </c>
      <c r="E336">
        <v>-260</v>
      </c>
      <c r="G336" t="s">
        <v>128</v>
      </c>
      <c r="H336" t="s">
        <v>14</v>
      </c>
      <c r="I336" t="s">
        <v>69</v>
      </c>
      <c r="J336" s="27">
        <v>45474</v>
      </c>
      <c r="K336">
        <v>2024</v>
      </c>
      <c r="L336" s="27">
        <v>45503</v>
      </c>
      <c r="M336">
        <v>450.03000000000031</v>
      </c>
      <c r="N336">
        <v>2</v>
      </c>
      <c r="O336" t="s">
        <v>16</v>
      </c>
      <c r="P336">
        <f t="shared" si="5"/>
        <v>1</v>
      </c>
    </row>
    <row r="337" spans="1:16" hidden="1" x14ac:dyDescent="0.25">
      <c r="A337" s="8">
        <v>332</v>
      </c>
      <c r="B337">
        <v>332</v>
      </c>
      <c r="C337" s="27">
        <v>45505</v>
      </c>
      <c r="D337" t="s">
        <v>576</v>
      </c>
      <c r="E337">
        <v>-55</v>
      </c>
      <c r="G337" t="s">
        <v>46</v>
      </c>
      <c r="H337" t="s">
        <v>14</v>
      </c>
      <c r="I337" t="s">
        <v>25</v>
      </c>
      <c r="J337" s="27">
        <v>45505</v>
      </c>
      <c r="K337">
        <v>2024</v>
      </c>
      <c r="L337" s="27">
        <v>45505</v>
      </c>
      <c r="M337">
        <v>395.03000000000031</v>
      </c>
      <c r="N337">
        <v>3</v>
      </c>
      <c r="O337" t="s">
        <v>16</v>
      </c>
      <c r="P337">
        <f t="shared" si="5"/>
        <v>0</v>
      </c>
    </row>
    <row r="338" spans="1:16" hidden="1" x14ac:dyDescent="0.25">
      <c r="A338" s="8">
        <v>333</v>
      </c>
      <c r="B338">
        <v>333</v>
      </c>
      <c r="C338" s="27">
        <v>45509</v>
      </c>
      <c r="D338" t="s">
        <v>577</v>
      </c>
      <c r="E338">
        <v>-44.76</v>
      </c>
      <c r="G338" t="s">
        <v>36</v>
      </c>
      <c r="H338" t="s">
        <v>14</v>
      </c>
      <c r="I338" t="s">
        <v>25</v>
      </c>
      <c r="J338" s="27">
        <v>45505</v>
      </c>
      <c r="K338">
        <v>2024</v>
      </c>
      <c r="L338" s="27">
        <v>45509</v>
      </c>
      <c r="M338">
        <v>350.27000000000032</v>
      </c>
      <c r="N338">
        <v>12</v>
      </c>
      <c r="O338" t="s">
        <v>16</v>
      </c>
      <c r="P338">
        <f t="shared" si="5"/>
        <v>0</v>
      </c>
    </row>
    <row r="339" spans="1:16" hidden="1" x14ac:dyDescent="0.25">
      <c r="A339" s="8">
        <v>334</v>
      </c>
      <c r="B339">
        <v>334</v>
      </c>
      <c r="C339" s="27">
        <v>45512</v>
      </c>
      <c r="D339" t="s">
        <v>578</v>
      </c>
      <c r="E339">
        <v>527.55999999999995</v>
      </c>
      <c r="G339" t="s">
        <v>337</v>
      </c>
      <c r="H339" t="s">
        <v>14</v>
      </c>
      <c r="I339" t="s">
        <v>386</v>
      </c>
      <c r="J339" s="27">
        <v>45505</v>
      </c>
      <c r="K339">
        <v>2024</v>
      </c>
      <c r="L339" s="27">
        <v>45512</v>
      </c>
      <c r="M339">
        <v>877.83000000000027</v>
      </c>
      <c r="N339">
        <v>16</v>
      </c>
      <c r="O339" t="s">
        <v>16</v>
      </c>
      <c r="P339">
        <f t="shared" si="5"/>
        <v>0</v>
      </c>
    </row>
    <row r="340" spans="1:16" hidden="1" x14ac:dyDescent="0.25">
      <c r="A340" s="8">
        <v>335</v>
      </c>
      <c r="B340">
        <v>335</v>
      </c>
      <c r="C340" s="27">
        <v>45513</v>
      </c>
      <c r="D340" t="s">
        <v>579</v>
      </c>
      <c r="E340">
        <v>-45.69</v>
      </c>
      <c r="G340" t="s">
        <v>18</v>
      </c>
      <c r="H340" t="s">
        <v>14</v>
      </c>
      <c r="I340" t="s">
        <v>19</v>
      </c>
      <c r="J340" s="27">
        <v>45505</v>
      </c>
      <c r="K340">
        <v>2024</v>
      </c>
      <c r="L340" s="27">
        <v>45513</v>
      </c>
      <c r="M340">
        <v>832.14000000000033</v>
      </c>
      <c r="N340">
        <v>8</v>
      </c>
      <c r="O340" t="s">
        <v>16</v>
      </c>
      <c r="P340">
        <f t="shared" si="5"/>
        <v>0</v>
      </c>
    </row>
    <row r="341" spans="1:16" hidden="1" x14ac:dyDescent="0.25">
      <c r="A341" s="8">
        <v>336</v>
      </c>
      <c r="B341">
        <v>336</v>
      </c>
      <c r="C341" s="27">
        <v>45517</v>
      </c>
      <c r="D341" t="s">
        <v>580</v>
      </c>
      <c r="E341">
        <v>-50</v>
      </c>
      <c r="G341" t="s">
        <v>24</v>
      </c>
      <c r="H341" t="s">
        <v>14</v>
      </c>
      <c r="I341" t="s">
        <v>25</v>
      </c>
      <c r="J341" s="27">
        <v>45505</v>
      </c>
      <c r="K341">
        <v>2024</v>
      </c>
      <c r="L341" s="27">
        <v>45517</v>
      </c>
      <c r="M341">
        <v>782.14000000000033</v>
      </c>
      <c r="N341">
        <v>11</v>
      </c>
      <c r="O341" t="s">
        <v>16</v>
      </c>
      <c r="P341">
        <f t="shared" si="5"/>
        <v>0</v>
      </c>
    </row>
    <row r="342" spans="1:16" hidden="1" x14ac:dyDescent="0.25">
      <c r="A342" s="8">
        <v>337</v>
      </c>
      <c r="B342">
        <v>337</v>
      </c>
      <c r="C342" s="27">
        <v>45523</v>
      </c>
      <c r="D342" t="s">
        <v>581</v>
      </c>
      <c r="E342">
        <v>-65.83</v>
      </c>
      <c r="G342" t="s">
        <v>392</v>
      </c>
      <c r="H342" t="s">
        <v>14</v>
      </c>
      <c r="I342" t="s">
        <v>25</v>
      </c>
      <c r="J342" s="27">
        <v>45505</v>
      </c>
      <c r="K342">
        <v>2024</v>
      </c>
      <c r="L342" s="27">
        <v>45523</v>
      </c>
      <c r="M342">
        <v>716.31000000000029</v>
      </c>
      <c r="N342">
        <v>13</v>
      </c>
      <c r="O342" t="s">
        <v>16</v>
      </c>
      <c r="P342">
        <f t="shared" si="5"/>
        <v>0</v>
      </c>
    </row>
    <row r="343" spans="1:16" hidden="1" x14ac:dyDescent="0.25">
      <c r="A343" s="8">
        <v>338</v>
      </c>
      <c r="B343">
        <v>338</v>
      </c>
      <c r="C343" s="27">
        <v>45523</v>
      </c>
      <c r="D343" t="s">
        <v>78</v>
      </c>
      <c r="E343">
        <v>-1.48</v>
      </c>
      <c r="G343" t="s">
        <v>79</v>
      </c>
      <c r="H343" t="s">
        <v>14</v>
      </c>
      <c r="I343" t="s">
        <v>80</v>
      </c>
      <c r="J343" s="27">
        <v>45505</v>
      </c>
      <c r="K343">
        <v>2024</v>
      </c>
      <c r="L343" s="27">
        <v>45523</v>
      </c>
      <c r="M343">
        <v>714.83000000000027</v>
      </c>
      <c r="N343">
        <v>102</v>
      </c>
      <c r="O343" t="s">
        <v>16</v>
      </c>
      <c r="P343">
        <f t="shared" si="5"/>
        <v>0</v>
      </c>
    </row>
    <row r="344" spans="1:16" hidden="1" x14ac:dyDescent="0.25">
      <c r="A344" s="8">
        <v>339</v>
      </c>
      <c r="B344">
        <v>339</v>
      </c>
      <c r="C344" s="27">
        <v>45523</v>
      </c>
      <c r="D344" t="s">
        <v>582</v>
      </c>
      <c r="E344">
        <v>-49.39</v>
      </c>
      <c r="G344" t="s">
        <v>394</v>
      </c>
      <c r="H344" t="s">
        <v>14</v>
      </c>
      <c r="I344" t="s">
        <v>395</v>
      </c>
      <c r="J344" s="27">
        <v>45505</v>
      </c>
      <c r="K344">
        <v>2024</v>
      </c>
      <c r="L344" s="27">
        <v>45523</v>
      </c>
      <c r="M344">
        <v>665.44000000000028</v>
      </c>
      <c r="N344">
        <v>90</v>
      </c>
      <c r="O344" t="s">
        <v>16</v>
      </c>
      <c r="P344">
        <f t="shared" si="5"/>
        <v>0</v>
      </c>
    </row>
    <row r="345" spans="1:16" hidden="1" x14ac:dyDescent="0.25">
      <c r="A345" s="8">
        <v>340</v>
      </c>
      <c r="B345">
        <v>340</v>
      </c>
      <c r="C345" s="27">
        <v>45524</v>
      </c>
      <c r="D345" t="s">
        <v>583</v>
      </c>
      <c r="E345">
        <v>-442.73</v>
      </c>
      <c r="G345" t="s">
        <v>27</v>
      </c>
      <c r="H345" t="s">
        <v>28</v>
      </c>
      <c r="I345" t="s">
        <v>29</v>
      </c>
      <c r="J345" s="27">
        <v>45505</v>
      </c>
      <c r="K345">
        <v>2024</v>
      </c>
      <c r="L345" s="27">
        <v>45524</v>
      </c>
      <c r="M345">
        <v>222.71000000000029</v>
      </c>
      <c r="N345">
        <v>3</v>
      </c>
      <c r="O345" t="s">
        <v>16</v>
      </c>
      <c r="P345">
        <f t="shared" si="5"/>
        <v>0</v>
      </c>
    </row>
    <row r="346" spans="1:16" hidden="1" x14ac:dyDescent="0.25">
      <c r="A346" s="8">
        <v>341</v>
      </c>
      <c r="B346">
        <v>341</v>
      </c>
      <c r="C346" s="27">
        <v>45526</v>
      </c>
      <c r="D346" t="s">
        <v>584</v>
      </c>
      <c r="E346">
        <v>-38.47</v>
      </c>
      <c r="G346" t="s">
        <v>18</v>
      </c>
      <c r="H346" t="s">
        <v>14</v>
      </c>
      <c r="I346" t="s">
        <v>19</v>
      </c>
      <c r="J346" s="27">
        <v>45505</v>
      </c>
      <c r="K346">
        <v>2024</v>
      </c>
      <c r="L346" s="27">
        <v>45526</v>
      </c>
      <c r="M346">
        <v>184.24000000000029</v>
      </c>
      <c r="N346">
        <v>9</v>
      </c>
      <c r="O346" t="s">
        <v>16</v>
      </c>
      <c r="P346">
        <f t="shared" si="5"/>
        <v>0</v>
      </c>
    </row>
    <row r="347" spans="1:16" hidden="1" x14ac:dyDescent="0.25">
      <c r="A347" s="8">
        <v>342</v>
      </c>
      <c r="B347">
        <v>342</v>
      </c>
      <c r="C347" s="27">
        <v>45526</v>
      </c>
      <c r="D347" t="s">
        <v>585</v>
      </c>
      <c r="E347">
        <v>527.55999999999995</v>
      </c>
      <c r="G347" t="s">
        <v>337</v>
      </c>
      <c r="H347" t="s">
        <v>14</v>
      </c>
      <c r="I347" t="s">
        <v>386</v>
      </c>
      <c r="J347" s="27">
        <v>45505</v>
      </c>
      <c r="K347">
        <v>2024</v>
      </c>
      <c r="L347" s="27">
        <v>45526</v>
      </c>
      <c r="M347">
        <v>711.80000000000018</v>
      </c>
      <c r="N347">
        <v>17</v>
      </c>
      <c r="O347" t="s">
        <v>16</v>
      </c>
      <c r="P347">
        <f t="shared" si="5"/>
        <v>0</v>
      </c>
    </row>
    <row r="348" spans="1:16" hidden="1" x14ac:dyDescent="0.25">
      <c r="A348" s="8">
        <v>343</v>
      </c>
      <c r="B348">
        <v>343</v>
      </c>
      <c r="C348" s="27">
        <v>45530</v>
      </c>
      <c r="D348" t="s">
        <v>75</v>
      </c>
      <c r="E348">
        <v>-2.5</v>
      </c>
      <c r="G348" t="s">
        <v>74</v>
      </c>
      <c r="H348" t="s">
        <v>14</v>
      </c>
      <c r="I348" t="s">
        <v>69</v>
      </c>
      <c r="J348" s="27">
        <v>45505</v>
      </c>
      <c r="K348">
        <v>2024</v>
      </c>
      <c r="L348" s="27">
        <v>45530</v>
      </c>
      <c r="M348">
        <v>709.30000000000018</v>
      </c>
      <c r="N348">
        <v>12</v>
      </c>
      <c r="O348" t="s">
        <v>16</v>
      </c>
      <c r="P348">
        <f t="shared" si="5"/>
        <v>0</v>
      </c>
    </row>
    <row r="349" spans="1:16" hidden="1" x14ac:dyDescent="0.25">
      <c r="A349" s="8">
        <v>344</v>
      </c>
      <c r="B349">
        <v>344</v>
      </c>
      <c r="C349" s="27">
        <v>45530</v>
      </c>
      <c r="D349" t="s">
        <v>586</v>
      </c>
      <c r="E349">
        <v>-73.5</v>
      </c>
      <c r="G349" t="s">
        <v>74</v>
      </c>
      <c r="H349" t="s">
        <v>14</v>
      </c>
      <c r="I349" t="s">
        <v>69</v>
      </c>
      <c r="J349" s="27">
        <v>45505</v>
      </c>
      <c r="K349">
        <v>2024</v>
      </c>
      <c r="L349" s="27">
        <v>45530</v>
      </c>
      <c r="M349">
        <v>635.80000000000018</v>
      </c>
      <c r="N349">
        <v>13</v>
      </c>
      <c r="O349" t="s">
        <v>16</v>
      </c>
      <c r="P349">
        <f t="shared" si="5"/>
        <v>1</v>
      </c>
    </row>
    <row r="350" spans="1:16" hidden="1" x14ac:dyDescent="0.25">
      <c r="A350" s="8">
        <v>345</v>
      </c>
      <c r="B350">
        <v>345</v>
      </c>
      <c r="C350" s="27">
        <v>45538</v>
      </c>
      <c r="D350" t="s">
        <v>587</v>
      </c>
      <c r="E350">
        <v>-4</v>
      </c>
      <c r="G350" t="s">
        <v>588</v>
      </c>
      <c r="H350" t="s">
        <v>14</v>
      </c>
      <c r="I350" t="s">
        <v>93</v>
      </c>
      <c r="J350" s="27">
        <v>45536</v>
      </c>
      <c r="K350">
        <v>2024</v>
      </c>
      <c r="L350" s="27">
        <v>45538</v>
      </c>
      <c r="M350">
        <v>631.80000000000018</v>
      </c>
      <c r="N350">
        <v>1</v>
      </c>
      <c r="O350" t="s">
        <v>16</v>
      </c>
      <c r="P350">
        <f t="shared" si="5"/>
        <v>0</v>
      </c>
    </row>
    <row r="351" spans="1:16" hidden="1" x14ac:dyDescent="0.25">
      <c r="A351" s="8">
        <v>346</v>
      </c>
      <c r="B351">
        <v>346</v>
      </c>
      <c r="C351" s="27">
        <v>45538</v>
      </c>
      <c r="D351" t="s">
        <v>589</v>
      </c>
      <c r="E351">
        <v>-43.15</v>
      </c>
      <c r="G351" t="s">
        <v>18</v>
      </c>
      <c r="H351" t="s">
        <v>14</v>
      </c>
      <c r="I351" t="s">
        <v>19</v>
      </c>
      <c r="J351" s="27">
        <v>45536</v>
      </c>
      <c r="K351">
        <v>2024</v>
      </c>
      <c r="L351" s="27">
        <v>45538</v>
      </c>
      <c r="M351">
        <v>588.6500000000002</v>
      </c>
      <c r="N351">
        <v>10</v>
      </c>
      <c r="O351" t="s">
        <v>16</v>
      </c>
      <c r="P351">
        <f t="shared" si="5"/>
        <v>0</v>
      </c>
    </row>
    <row r="352" spans="1:16" hidden="1" x14ac:dyDescent="0.25">
      <c r="A352" s="8">
        <v>347</v>
      </c>
      <c r="B352">
        <v>347</v>
      </c>
      <c r="C352" s="27">
        <v>45540</v>
      </c>
      <c r="D352" t="s">
        <v>590</v>
      </c>
      <c r="E352">
        <v>-52.4</v>
      </c>
      <c r="G352" t="s">
        <v>18</v>
      </c>
      <c r="H352" t="s">
        <v>14</v>
      </c>
      <c r="I352" t="s">
        <v>19</v>
      </c>
      <c r="J352" s="27">
        <v>45536</v>
      </c>
      <c r="K352">
        <v>2024</v>
      </c>
      <c r="L352" s="27">
        <v>45540</v>
      </c>
      <c r="M352">
        <v>536.25000000000023</v>
      </c>
      <c r="N352">
        <v>11</v>
      </c>
      <c r="O352" t="s">
        <v>16</v>
      </c>
      <c r="P352">
        <f t="shared" si="5"/>
        <v>0</v>
      </c>
    </row>
    <row r="353" spans="1:16" hidden="1" x14ac:dyDescent="0.25">
      <c r="A353" s="8">
        <v>348</v>
      </c>
      <c r="B353">
        <v>348</v>
      </c>
      <c r="C353" s="27">
        <v>45540</v>
      </c>
      <c r="D353" t="s">
        <v>591</v>
      </c>
      <c r="E353">
        <v>527.55999999999995</v>
      </c>
      <c r="G353" t="s">
        <v>337</v>
      </c>
      <c r="H353" t="s">
        <v>14</v>
      </c>
      <c r="I353" t="s">
        <v>386</v>
      </c>
      <c r="J353" s="27">
        <v>45536</v>
      </c>
      <c r="K353">
        <v>2024</v>
      </c>
      <c r="L353" s="27">
        <v>45540</v>
      </c>
      <c r="M353">
        <v>1063.81</v>
      </c>
      <c r="N353">
        <v>18</v>
      </c>
      <c r="O353" t="s">
        <v>16</v>
      </c>
      <c r="P353">
        <f t="shared" si="5"/>
        <v>0</v>
      </c>
    </row>
    <row r="354" spans="1:16" hidden="1" x14ac:dyDescent="0.25">
      <c r="A354" s="8">
        <v>349</v>
      </c>
      <c r="B354">
        <v>349</v>
      </c>
      <c r="C354" s="27">
        <v>45544</v>
      </c>
      <c r="D354" t="s">
        <v>801</v>
      </c>
      <c r="E354">
        <v>-460</v>
      </c>
      <c r="G354" t="s">
        <v>39</v>
      </c>
      <c r="H354" t="s">
        <v>28</v>
      </c>
      <c r="I354" t="s">
        <v>40</v>
      </c>
      <c r="J354" s="27">
        <v>45536</v>
      </c>
      <c r="K354">
        <v>2024</v>
      </c>
      <c r="L354" s="27">
        <v>45544</v>
      </c>
      <c r="M354">
        <v>603.81000000000017</v>
      </c>
      <c r="N354">
        <v>6</v>
      </c>
      <c r="O354" t="s">
        <v>16</v>
      </c>
      <c r="P354">
        <f t="shared" si="5"/>
        <v>0</v>
      </c>
    </row>
    <row r="355" spans="1:16" hidden="1" x14ac:dyDescent="0.25">
      <c r="A355" s="8">
        <v>350</v>
      </c>
      <c r="B355">
        <v>350</v>
      </c>
      <c r="C355" s="27">
        <v>45545</v>
      </c>
      <c r="D355" t="s">
        <v>802</v>
      </c>
      <c r="E355">
        <v>-442.73</v>
      </c>
      <c r="G355" t="s">
        <v>27</v>
      </c>
      <c r="H355" t="s">
        <v>28</v>
      </c>
      <c r="I355" t="s">
        <v>29</v>
      </c>
      <c r="J355" s="27">
        <v>45536</v>
      </c>
      <c r="K355">
        <v>2024</v>
      </c>
      <c r="L355" s="27">
        <v>45545</v>
      </c>
      <c r="M355">
        <v>161.08000000000021</v>
      </c>
      <c r="N355">
        <v>4</v>
      </c>
      <c r="O355" t="s">
        <v>16</v>
      </c>
      <c r="P355">
        <f t="shared" si="5"/>
        <v>0</v>
      </c>
    </row>
    <row r="356" spans="1:16" hidden="1" x14ac:dyDescent="0.25">
      <c r="A356" s="8">
        <v>351</v>
      </c>
      <c r="B356">
        <v>351</v>
      </c>
      <c r="C356" s="27">
        <v>45545</v>
      </c>
      <c r="D356" t="s">
        <v>78</v>
      </c>
      <c r="E356">
        <v>-0.2</v>
      </c>
      <c r="G356" t="s">
        <v>79</v>
      </c>
      <c r="H356" t="s">
        <v>14</v>
      </c>
      <c r="I356" t="s">
        <v>80</v>
      </c>
      <c r="J356" s="27">
        <v>45536</v>
      </c>
      <c r="K356">
        <v>2024</v>
      </c>
      <c r="L356" s="27">
        <v>45545</v>
      </c>
      <c r="M356">
        <v>160.88000000000019</v>
      </c>
      <c r="N356">
        <v>103</v>
      </c>
      <c r="O356" t="s">
        <v>16</v>
      </c>
      <c r="P356">
        <f t="shared" si="5"/>
        <v>0</v>
      </c>
    </row>
    <row r="357" spans="1:16" hidden="1" x14ac:dyDescent="0.25">
      <c r="A357" s="8">
        <v>352</v>
      </c>
      <c r="B357">
        <v>352</v>
      </c>
      <c r="C357" s="27">
        <v>45545</v>
      </c>
      <c r="D357" t="s">
        <v>803</v>
      </c>
      <c r="E357">
        <v>-6.77</v>
      </c>
      <c r="G357" t="s">
        <v>394</v>
      </c>
      <c r="H357" t="s">
        <v>14</v>
      </c>
      <c r="I357" t="s">
        <v>395</v>
      </c>
      <c r="J357" s="27">
        <v>45536</v>
      </c>
      <c r="K357">
        <v>2024</v>
      </c>
      <c r="L357" s="27">
        <v>45545</v>
      </c>
      <c r="M357">
        <v>154.11000000000021</v>
      </c>
      <c r="N357">
        <v>91</v>
      </c>
      <c r="O357" t="s">
        <v>16</v>
      </c>
      <c r="P357">
        <f t="shared" si="5"/>
        <v>0</v>
      </c>
    </row>
    <row r="358" spans="1:16" hidden="1" x14ac:dyDescent="0.25">
      <c r="A358" s="8">
        <v>353</v>
      </c>
      <c r="B358">
        <v>353</v>
      </c>
      <c r="C358" s="27">
        <v>45551</v>
      </c>
      <c r="D358" t="s">
        <v>804</v>
      </c>
      <c r="E358">
        <v>-24.55</v>
      </c>
      <c r="G358" t="s">
        <v>18</v>
      </c>
      <c r="H358" t="s">
        <v>14</v>
      </c>
      <c r="I358" t="s">
        <v>19</v>
      </c>
      <c r="J358" s="27">
        <v>45536</v>
      </c>
      <c r="K358">
        <v>2024</v>
      </c>
      <c r="L358" s="27">
        <v>45551</v>
      </c>
      <c r="M358">
        <v>129.56000000000009</v>
      </c>
      <c r="N358">
        <v>12</v>
      </c>
      <c r="O358" t="s">
        <v>16</v>
      </c>
      <c r="P358">
        <f t="shared" si="5"/>
        <v>0</v>
      </c>
    </row>
    <row r="359" spans="1:16" hidden="1" x14ac:dyDescent="0.25">
      <c r="A359" s="8">
        <v>354</v>
      </c>
      <c r="B359">
        <v>354</v>
      </c>
      <c r="C359" s="27">
        <v>45551</v>
      </c>
      <c r="D359" t="s">
        <v>805</v>
      </c>
      <c r="E359">
        <v>-132.32</v>
      </c>
      <c r="G359" t="s">
        <v>393</v>
      </c>
      <c r="H359" t="s">
        <v>14</v>
      </c>
      <c r="I359" t="s">
        <v>69</v>
      </c>
      <c r="J359" s="27">
        <v>45536</v>
      </c>
      <c r="K359">
        <v>2024</v>
      </c>
      <c r="L359" s="27">
        <v>45551</v>
      </c>
      <c r="M359">
        <v>-2.7599999999998488</v>
      </c>
      <c r="N359">
        <v>2</v>
      </c>
      <c r="O359" t="s">
        <v>16</v>
      </c>
      <c r="P359">
        <f t="shared" si="5"/>
        <v>0</v>
      </c>
    </row>
    <row r="360" spans="1:16" hidden="1" x14ac:dyDescent="0.25">
      <c r="A360" s="8">
        <v>355</v>
      </c>
      <c r="B360">
        <v>355</v>
      </c>
      <c r="C360" s="27">
        <v>45551</v>
      </c>
      <c r="D360" t="s">
        <v>806</v>
      </c>
      <c r="E360">
        <v>50</v>
      </c>
      <c r="G360" t="s">
        <v>24</v>
      </c>
      <c r="H360" t="s">
        <v>14</v>
      </c>
      <c r="I360" t="s">
        <v>25</v>
      </c>
      <c r="J360" s="27">
        <v>45536</v>
      </c>
      <c r="K360">
        <v>2024</v>
      </c>
      <c r="L360" s="27">
        <v>45551</v>
      </c>
      <c r="M360">
        <v>47.240000000000151</v>
      </c>
      <c r="N360">
        <v>12</v>
      </c>
      <c r="O360" t="s">
        <v>16</v>
      </c>
      <c r="P360">
        <f t="shared" si="5"/>
        <v>0</v>
      </c>
    </row>
    <row r="361" spans="1:16" hidden="1" x14ac:dyDescent="0.25">
      <c r="A361" s="8">
        <v>356</v>
      </c>
      <c r="B361">
        <v>356</v>
      </c>
      <c r="C361" s="27">
        <v>45553</v>
      </c>
      <c r="D361" t="s">
        <v>807</v>
      </c>
      <c r="E361">
        <v>-65.83</v>
      </c>
      <c r="G361" t="s">
        <v>392</v>
      </c>
      <c r="H361" t="s">
        <v>14</v>
      </c>
      <c r="I361" t="s">
        <v>25</v>
      </c>
      <c r="J361" s="27">
        <v>45536</v>
      </c>
      <c r="K361">
        <v>2024</v>
      </c>
      <c r="L361" s="27">
        <v>45553</v>
      </c>
      <c r="M361">
        <v>-18.589999999999851</v>
      </c>
      <c r="N361">
        <v>14</v>
      </c>
      <c r="O361" t="s">
        <v>16</v>
      </c>
      <c r="P361">
        <f t="shared" si="5"/>
        <v>0</v>
      </c>
    </row>
    <row r="362" spans="1:16" hidden="1" x14ac:dyDescent="0.25">
      <c r="A362" s="8">
        <v>357</v>
      </c>
      <c r="B362">
        <v>357</v>
      </c>
      <c r="C362" s="27">
        <v>45554</v>
      </c>
      <c r="D362" t="s">
        <v>808</v>
      </c>
      <c r="E362">
        <v>527.55999999999995</v>
      </c>
      <c r="G362" t="s">
        <v>337</v>
      </c>
      <c r="H362" t="s">
        <v>14</v>
      </c>
      <c r="I362" t="s">
        <v>386</v>
      </c>
      <c r="J362" s="27">
        <v>45536</v>
      </c>
      <c r="K362">
        <v>2024</v>
      </c>
      <c r="L362" s="27">
        <v>45554</v>
      </c>
      <c r="M362">
        <v>508.97000000000008</v>
      </c>
      <c r="N362">
        <v>19</v>
      </c>
      <c r="O362" t="s">
        <v>16</v>
      </c>
      <c r="P362">
        <f t="shared" si="5"/>
        <v>0</v>
      </c>
    </row>
    <row r="363" spans="1:16" hidden="1" x14ac:dyDescent="0.25">
      <c r="A363" s="8">
        <v>358</v>
      </c>
      <c r="B363">
        <v>358</v>
      </c>
      <c r="C363" s="27">
        <v>45558</v>
      </c>
      <c r="D363" t="s">
        <v>809</v>
      </c>
      <c r="E363">
        <v>-37</v>
      </c>
      <c r="G363" t="s">
        <v>13</v>
      </c>
      <c r="H363" t="s">
        <v>14</v>
      </c>
      <c r="I363" t="s">
        <v>15</v>
      </c>
      <c r="J363" s="27">
        <v>45536</v>
      </c>
      <c r="K363">
        <v>2024</v>
      </c>
      <c r="L363" s="27">
        <v>45558</v>
      </c>
      <c r="M363">
        <v>471.97000000000008</v>
      </c>
      <c r="N363">
        <v>4</v>
      </c>
      <c r="O363" t="s">
        <v>16</v>
      </c>
      <c r="P363">
        <f t="shared" si="5"/>
        <v>0</v>
      </c>
    </row>
    <row r="364" spans="1:16" hidden="1" x14ac:dyDescent="0.25">
      <c r="A364" s="8">
        <v>359</v>
      </c>
      <c r="B364">
        <v>359</v>
      </c>
      <c r="C364" s="27">
        <v>45558</v>
      </c>
      <c r="D364" t="s">
        <v>810</v>
      </c>
      <c r="E364">
        <v>-24.86</v>
      </c>
      <c r="G364" t="s">
        <v>137</v>
      </c>
      <c r="H364" t="s">
        <v>14</v>
      </c>
      <c r="I364" t="s">
        <v>118</v>
      </c>
      <c r="J364" s="27">
        <v>45536</v>
      </c>
      <c r="K364">
        <v>2024</v>
      </c>
      <c r="L364" s="27">
        <v>45558</v>
      </c>
      <c r="M364">
        <v>447.11000000000013</v>
      </c>
      <c r="N364">
        <v>1</v>
      </c>
      <c r="O364" t="s">
        <v>16</v>
      </c>
      <c r="P364">
        <f t="shared" si="5"/>
        <v>0</v>
      </c>
    </row>
    <row r="365" spans="1:16" hidden="1" x14ac:dyDescent="0.25">
      <c r="A365" s="8">
        <v>360</v>
      </c>
      <c r="B365">
        <v>360</v>
      </c>
      <c r="C365" s="27">
        <v>45560</v>
      </c>
      <c r="D365" t="s">
        <v>811</v>
      </c>
      <c r="E365">
        <v>-77.59</v>
      </c>
      <c r="G365" t="s">
        <v>137</v>
      </c>
      <c r="H365" t="s">
        <v>14</v>
      </c>
      <c r="I365" t="s">
        <v>118</v>
      </c>
      <c r="J365" s="27">
        <v>45536</v>
      </c>
      <c r="K365">
        <v>2024</v>
      </c>
      <c r="L365" s="27">
        <v>45560</v>
      </c>
      <c r="M365">
        <v>369.5200000000001</v>
      </c>
      <c r="N365">
        <v>2</v>
      </c>
      <c r="O365" t="s">
        <v>16</v>
      </c>
      <c r="P365">
        <f t="shared" si="5"/>
        <v>0</v>
      </c>
    </row>
    <row r="366" spans="1:16" hidden="1" x14ac:dyDescent="0.25">
      <c r="A366" s="8">
        <v>361</v>
      </c>
      <c r="B366">
        <v>361</v>
      </c>
      <c r="C366" s="27">
        <v>45560</v>
      </c>
      <c r="D366" t="s">
        <v>812</v>
      </c>
      <c r="E366">
        <v>-40</v>
      </c>
      <c r="G366" t="s">
        <v>24</v>
      </c>
      <c r="H366" t="s">
        <v>14</v>
      </c>
      <c r="I366" t="s">
        <v>25</v>
      </c>
      <c r="J366" s="27">
        <v>45536</v>
      </c>
      <c r="K366">
        <v>2024</v>
      </c>
      <c r="L366" s="27">
        <v>45560</v>
      </c>
      <c r="M366">
        <v>329.5200000000001</v>
      </c>
      <c r="N366">
        <v>13</v>
      </c>
      <c r="O366" t="s">
        <v>16</v>
      </c>
      <c r="P366">
        <f t="shared" si="5"/>
        <v>0</v>
      </c>
    </row>
    <row r="367" spans="1:16" hidden="1" x14ac:dyDescent="0.25">
      <c r="A367" s="8">
        <v>362</v>
      </c>
      <c r="B367">
        <v>362</v>
      </c>
      <c r="C367" s="27">
        <v>45561</v>
      </c>
      <c r="D367" t="s">
        <v>813</v>
      </c>
      <c r="E367">
        <v>-22.23</v>
      </c>
      <c r="G367" t="s">
        <v>92</v>
      </c>
      <c r="H367" t="s">
        <v>14</v>
      </c>
      <c r="I367" t="s">
        <v>93</v>
      </c>
      <c r="J367" s="27">
        <v>45536</v>
      </c>
      <c r="K367">
        <v>2024</v>
      </c>
      <c r="L367" s="27">
        <v>45561</v>
      </c>
      <c r="M367">
        <v>307.29000000000008</v>
      </c>
      <c r="N367">
        <v>1</v>
      </c>
      <c r="O367" t="s">
        <v>16</v>
      </c>
      <c r="P367">
        <f t="shared" si="5"/>
        <v>0</v>
      </c>
    </row>
    <row r="368" spans="1:16" hidden="1" x14ac:dyDescent="0.25">
      <c r="A368" s="8">
        <v>363</v>
      </c>
      <c r="B368">
        <v>363</v>
      </c>
      <c r="C368" s="27">
        <v>45561</v>
      </c>
      <c r="D368" t="s">
        <v>814</v>
      </c>
      <c r="E368">
        <v>-28.03</v>
      </c>
      <c r="G368" t="s">
        <v>92</v>
      </c>
      <c r="H368" t="s">
        <v>14</v>
      </c>
      <c r="I368" t="s">
        <v>93</v>
      </c>
      <c r="J368" s="27">
        <v>45536</v>
      </c>
      <c r="K368">
        <v>2024</v>
      </c>
      <c r="L368" s="27">
        <v>45561</v>
      </c>
      <c r="M368">
        <v>279.2600000000001</v>
      </c>
      <c r="N368">
        <v>2</v>
      </c>
      <c r="O368" t="s">
        <v>16</v>
      </c>
      <c r="P368">
        <f t="shared" si="5"/>
        <v>1</v>
      </c>
    </row>
    <row r="369" spans="1:16" hidden="1" x14ac:dyDescent="0.25">
      <c r="A369" s="8">
        <v>364</v>
      </c>
      <c r="B369">
        <v>364</v>
      </c>
      <c r="C369" s="27">
        <v>45567</v>
      </c>
      <c r="D369" t="s">
        <v>815</v>
      </c>
      <c r="E369">
        <v>-48.61</v>
      </c>
      <c r="G369" t="s">
        <v>18</v>
      </c>
      <c r="H369" t="s">
        <v>14</v>
      </c>
      <c r="I369" t="s">
        <v>19</v>
      </c>
      <c r="J369" s="27">
        <v>45566</v>
      </c>
      <c r="K369">
        <v>2024</v>
      </c>
      <c r="L369" s="27">
        <v>45567</v>
      </c>
      <c r="M369">
        <v>230.65000000000009</v>
      </c>
      <c r="N369">
        <v>13</v>
      </c>
      <c r="O369" t="s">
        <v>16</v>
      </c>
      <c r="P369">
        <f t="shared" si="5"/>
        <v>0</v>
      </c>
    </row>
    <row r="370" spans="1:16" hidden="1" x14ac:dyDescent="0.25">
      <c r="A370" s="8">
        <v>365</v>
      </c>
      <c r="B370">
        <v>365</v>
      </c>
      <c r="C370" s="27">
        <v>45568</v>
      </c>
      <c r="D370" t="s">
        <v>816</v>
      </c>
      <c r="E370">
        <v>527.55999999999995</v>
      </c>
      <c r="G370" t="s">
        <v>337</v>
      </c>
      <c r="H370" t="s">
        <v>14</v>
      </c>
      <c r="I370" t="s">
        <v>386</v>
      </c>
      <c r="J370" s="27">
        <v>45566</v>
      </c>
      <c r="K370">
        <v>2024</v>
      </c>
      <c r="L370" s="27">
        <v>45568</v>
      </c>
      <c r="M370">
        <v>758.21</v>
      </c>
      <c r="N370">
        <v>20</v>
      </c>
      <c r="O370" t="s">
        <v>16</v>
      </c>
      <c r="P370">
        <f t="shared" si="5"/>
        <v>0</v>
      </c>
    </row>
    <row r="371" spans="1:16" hidden="1" x14ac:dyDescent="0.25">
      <c r="A371" s="8">
        <v>366</v>
      </c>
      <c r="B371">
        <v>366</v>
      </c>
      <c r="C371" s="27">
        <v>45576</v>
      </c>
      <c r="D371" t="s">
        <v>817</v>
      </c>
      <c r="E371">
        <v>-43.78</v>
      </c>
      <c r="G371" t="s">
        <v>18</v>
      </c>
      <c r="H371" t="s">
        <v>14</v>
      </c>
      <c r="I371" t="s">
        <v>19</v>
      </c>
      <c r="J371" s="27">
        <v>45566</v>
      </c>
      <c r="K371">
        <v>2024</v>
      </c>
      <c r="L371" s="27">
        <v>45576</v>
      </c>
      <c r="M371">
        <v>714.43000000000006</v>
      </c>
      <c r="N371">
        <v>14</v>
      </c>
      <c r="O371" t="s">
        <v>16</v>
      </c>
      <c r="P371">
        <f t="shared" si="5"/>
        <v>0</v>
      </c>
    </row>
    <row r="372" spans="1:16" hidden="1" x14ac:dyDescent="0.25">
      <c r="A372" s="8">
        <v>367</v>
      </c>
      <c r="B372">
        <v>367</v>
      </c>
      <c r="C372" s="27">
        <v>45580</v>
      </c>
      <c r="D372" t="s">
        <v>818</v>
      </c>
      <c r="E372">
        <v>-108.16</v>
      </c>
      <c r="G372" t="s">
        <v>819</v>
      </c>
      <c r="H372" t="s">
        <v>14</v>
      </c>
      <c r="I372" t="s">
        <v>69</v>
      </c>
      <c r="J372" s="27">
        <v>45566</v>
      </c>
      <c r="K372">
        <v>2024</v>
      </c>
      <c r="L372" s="27">
        <v>45580</v>
      </c>
      <c r="M372">
        <v>606.2700000000001</v>
      </c>
      <c r="N372">
        <v>1</v>
      </c>
      <c r="O372" t="s">
        <v>16</v>
      </c>
      <c r="P372">
        <f t="shared" si="5"/>
        <v>0</v>
      </c>
    </row>
    <row r="373" spans="1:16" hidden="1" x14ac:dyDescent="0.25">
      <c r="A373" s="8">
        <v>368</v>
      </c>
      <c r="B373">
        <v>368</v>
      </c>
      <c r="C373" s="27">
        <v>45580</v>
      </c>
      <c r="D373" t="s">
        <v>820</v>
      </c>
      <c r="E373">
        <v>-223.9</v>
      </c>
      <c r="G373" t="s">
        <v>819</v>
      </c>
      <c r="H373" t="s">
        <v>14</v>
      </c>
      <c r="I373" t="s">
        <v>69</v>
      </c>
      <c r="J373" s="27">
        <v>45566</v>
      </c>
      <c r="K373">
        <v>2024</v>
      </c>
      <c r="L373" s="27">
        <v>45580</v>
      </c>
      <c r="M373">
        <v>382.37000000000012</v>
      </c>
      <c r="N373">
        <v>2</v>
      </c>
      <c r="O373" t="s">
        <v>16</v>
      </c>
      <c r="P373">
        <f t="shared" si="5"/>
        <v>0</v>
      </c>
    </row>
    <row r="374" spans="1:16" hidden="1" x14ac:dyDescent="0.25">
      <c r="A374" s="8">
        <v>369</v>
      </c>
      <c r="B374">
        <v>369</v>
      </c>
      <c r="C374" s="27">
        <v>45581</v>
      </c>
      <c r="D374" t="s">
        <v>821</v>
      </c>
      <c r="E374">
        <v>-326.68</v>
      </c>
      <c r="G374" t="s">
        <v>819</v>
      </c>
      <c r="H374" t="s">
        <v>14</v>
      </c>
      <c r="I374" t="s">
        <v>69</v>
      </c>
      <c r="J374" s="27">
        <v>45566</v>
      </c>
      <c r="K374">
        <v>2024</v>
      </c>
      <c r="L374" s="27">
        <v>45581</v>
      </c>
      <c r="M374">
        <v>55.690000000000111</v>
      </c>
      <c r="N374">
        <v>3</v>
      </c>
      <c r="O374" t="s">
        <v>16</v>
      </c>
      <c r="P374">
        <f t="shared" si="5"/>
        <v>0</v>
      </c>
    </row>
    <row r="375" spans="1:16" hidden="1" x14ac:dyDescent="0.25">
      <c r="A375" s="8">
        <v>370</v>
      </c>
      <c r="B375">
        <v>370</v>
      </c>
      <c r="C375" s="27">
        <v>45582</v>
      </c>
      <c r="D375" t="s">
        <v>822</v>
      </c>
      <c r="E375">
        <v>527.55999999999995</v>
      </c>
      <c r="G375" t="s">
        <v>337</v>
      </c>
      <c r="H375" t="s">
        <v>14</v>
      </c>
      <c r="I375" t="s">
        <v>386</v>
      </c>
      <c r="J375" s="27">
        <v>45566</v>
      </c>
      <c r="K375">
        <v>2024</v>
      </c>
      <c r="L375" s="27">
        <v>45582</v>
      </c>
      <c r="M375">
        <v>583.25</v>
      </c>
      <c r="N375">
        <v>21</v>
      </c>
      <c r="O375" t="s">
        <v>16</v>
      </c>
      <c r="P375">
        <f t="shared" si="5"/>
        <v>0</v>
      </c>
    </row>
    <row r="376" spans="1:16" hidden="1" x14ac:dyDescent="0.25">
      <c r="A376" s="8">
        <v>371</v>
      </c>
      <c r="B376">
        <v>371</v>
      </c>
      <c r="C376" s="27">
        <v>45583</v>
      </c>
      <c r="D376" t="s">
        <v>823</v>
      </c>
      <c r="E376">
        <v>-65.91</v>
      </c>
      <c r="G376" t="s">
        <v>392</v>
      </c>
      <c r="H376" t="s">
        <v>14</v>
      </c>
      <c r="I376" t="s">
        <v>25</v>
      </c>
      <c r="J376" s="27">
        <v>45566</v>
      </c>
      <c r="K376">
        <v>2024</v>
      </c>
      <c r="L376" s="27">
        <v>45583</v>
      </c>
      <c r="M376">
        <v>517.34</v>
      </c>
      <c r="N376">
        <v>15</v>
      </c>
      <c r="O376" t="s">
        <v>16</v>
      </c>
      <c r="P376">
        <f t="shared" si="5"/>
        <v>0</v>
      </c>
    </row>
    <row r="377" spans="1:16" hidden="1" x14ac:dyDescent="0.25">
      <c r="A377" s="8">
        <v>372</v>
      </c>
      <c r="B377">
        <v>372</v>
      </c>
      <c r="C377" s="27">
        <v>45593</v>
      </c>
      <c r="D377" t="s">
        <v>824</v>
      </c>
      <c r="E377">
        <v>-43.98</v>
      </c>
      <c r="G377" t="s">
        <v>18</v>
      </c>
      <c r="H377" t="s">
        <v>14</v>
      </c>
      <c r="I377" t="s">
        <v>19</v>
      </c>
      <c r="J377" s="27">
        <v>45566</v>
      </c>
      <c r="K377">
        <v>2024</v>
      </c>
      <c r="L377" s="27">
        <v>45593</v>
      </c>
      <c r="M377">
        <v>473.36</v>
      </c>
      <c r="N377">
        <v>15</v>
      </c>
      <c r="O377" t="s">
        <v>16</v>
      </c>
      <c r="P377">
        <f t="shared" si="5"/>
        <v>0</v>
      </c>
    </row>
    <row r="378" spans="1:16" hidden="1" x14ac:dyDescent="0.25">
      <c r="A378" s="8">
        <v>373</v>
      </c>
      <c r="B378">
        <v>373</v>
      </c>
      <c r="C378" s="27">
        <v>45593</v>
      </c>
      <c r="D378" t="s">
        <v>825</v>
      </c>
      <c r="E378">
        <v>-30</v>
      </c>
      <c r="G378" t="s">
        <v>826</v>
      </c>
      <c r="H378" t="s">
        <v>14</v>
      </c>
      <c r="J378" s="27">
        <v>45566</v>
      </c>
      <c r="K378">
        <v>2024</v>
      </c>
      <c r="L378" s="27">
        <v>45593</v>
      </c>
      <c r="M378">
        <v>443.36</v>
      </c>
      <c r="N378">
        <v>1</v>
      </c>
      <c r="O378" t="s">
        <v>16</v>
      </c>
      <c r="P378">
        <f t="shared" si="5"/>
        <v>0</v>
      </c>
    </row>
    <row r="379" spans="1:16" hidden="1" x14ac:dyDescent="0.25">
      <c r="A379" s="8">
        <v>374</v>
      </c>
      <c r="B379">
        <v>374</v>
      </c>
      <c r="C379" s="27">
        <v>45596</v>
      </c>
      <c r="D379" t="s">
        <v>827</v>
      </c>
      <c r="E379">
        <v>527.55999999999995</v>
      </c>
      <c r="G379" t="s">
        <v>337</v>
      </c>
      <c r="H379" t="s">
        <v>14</v>
      </c>
      <c r="I379" t="s">
        <v>19</v>
      </c>
      <c r="J379" s="27">
        <v>45566</v>
      </c>
      <c r="K379">
        <v>2024</v>
      </c>
      <c r="L379" s="27">
        <v>45596</v>
      </c>
      <c r="M379">
        <v>970.92</v>
      </c>
      <c r="N379">
        <v>16</v>
      </c>
      <c r="O379" t="s">
        <v>16</v>
      </c>
      <c r="P379">
        <f t="shared" si="5"/>
        <v>1</v>
      </c>
    </row>
    <row r="380" spans="1:16" hidden="1" x14ac:dyDescent="0.25">
      <c r="A380" s="8">
        <v>375</v>
      </c>
      <c r="B380">
        <v>375</v>
      </c>
      <c r="C380" s="27">
        <v>45597</v>
      </c>
      <c r="D380" t="s">
        <v>828</v>
      </c>
      <c r="E380">
        <v>-47.24</v>
      </c>
      <c r="G380" t="s">
        <v>18</v>
      </c>
      <c r="H380" t="s">
        <v>14</v>
      </c>
      <c r="I380" t="s">
        <v>19</v>
      </c>
      <c r="J380" s="27">
        <v>45597</v>
      </c>
      <c r="K380">
        <v>2024</v>
      </c>
      <c r="L380" s="27">
        <v>45597</v>
      </c>
      <c r="M380">
        <v>923.68</v>
      </c>
      <c r="N380">
        <v>17</v>
      </c>
      <c r="O380" t="s">
        <v>16</v>
      </c>
      <c r="P380">
        <f t="shared" si="5"/>
        <v>0</v>
      </c>
    </row>
    <row r="381" spans="1:16" hidden="1" x14ac:dyDescent="0.25">
      <c r="A381" s="8">
        <v>376</v>
      </c>
      <c r="B381">
        <v>376</v>
      </c>
      <c r="C381" s="27">
        <v>45600</v>
      </c>
      <c r="D381" t="s">
        <v>829</v>
      </c>
      <c r="E381">
        <v>-150</v>
      </c>
      <c r="G381" t="s">
        <v>18</v>
      </c>
      <c r="H381" t="s">
        <v>14</v>
      </c>
      <c r="I381" t="s">
        <v>19</v>
      </c>
      <c r="J381" s="27">
        <v>45597</v>
      </c>
      <c r="K381">
        <v>2024</v>
      </c>
      <c r="L381" s="27">
        <v>45600</v>
      </c>
      <c r="M381">
        <v>773.68</v>
      </c>
      <c r="N381">
        <v>18</v>
      </c>
      <c r="O381" t="s">
        <v>16</v>
      </c>
      <c r="P381">
        <f t="shared" si="5"/>
        <v>0</v>
      </c>
    </row>
    <row r="382" spans="1:16" hidden="1" x14ac:dyDescent="0.25">
      <c r="A382" s="8">
        <v>377</v>
      </c>
      <c r="B382">
        <v>377</v>
      </c>
      <c r="C382" s="27">
        <v>45600</v>
      </c>
      <c r="D382" t="s">
        <v>830</v>
      </c>
      <c r="E382">
        <v>69</v>
      </c>
      <c r="G382" t="s">
        <v>36</v>
      </c>
      <c r="H382" t="s">
        <v>14</v>
      </c>
      <c r="I382" t="s">
        <v>25</v>
      </c>
      <c r="J382" s="27">
        <v>45597</v>
      </c>
      <c r="K382">
        <v>2024</v>
      </c>
      <c r="L382" s="27">
        <v>45600</v>
      </c>
      <c r="M382">
        <v>842.68</v>
      </c>
      <c r="N382">
        <v>13</v>
      </c>
      <c r="O382" t="s">
        <v>16</v>
      </c>
      <c r="P382">
        <f t="shared" si="5"/>
        <v>0</v>
      </c>
    </row>
    <row r="383" spans="1:16" hidden="1" x14ac:dyDescent="0.25">
      <c r="A383" s="8">
        <v>378</v>
      </c>
      <c r="B383">
        <v>378</v>
      </c>
      <c r="C383" s="27">
        <v>45604</v>
      </c>
      <c r="D383" t="s">
        <v>831</v>
      </c>
      <c r="E383">
        <v>-37.450000000000003</v>
      </c>
      <c r="G383" t="s">
        <v>18</v>
      </c>
      <c r="H383" t="s">
        <v>14</v>
      </c>
      <c r="I383" t="s">
        <v>19</v>
      </c>
      <c r="J383" s="27">
        <v>45597</v>
      </c>
      <c r="K383">
        <v>2024</v>
      </c>
      <c r="L383" s="27">
        <v>45604</v>
      </c>
      <c r="M383">
        <v>805.2299999999999</v>
      </c>
      <c r="N383">
        <v>19</v>
      </c>
      <c r="O383" t="s">
        <v>16</v>
      </c>
      <c r="P383">
        <f t="shared" si="5"/>
        <v>0</v>
      </c>
    </row>
    <row r="384" spans="1:16" hidden="1" x14ac:dyDescent="0.25">
      <c r="A384" s="8">
        <v>379</v>
      </c>
      <c r="B384">
        <v>379</v>
      </c>
      <c r="C384" s="27">
        <v>45608</v>
      </c>
      <c r="D384" t="s">
        <v>832</v>
      </c>
      <c r="E384">
        <v>-47.03</v>
      </c>
      <c r="G384" t="s">
        <v>18</v>
      </c>
      <c r="H384" t="s">
        <v>14</v>
      </c>
      <c r="I384" t="s">
        <v>19</v>
      </c>
      <c r="J384" s="27">
        <v>45597</v>
      </c>
      <c r="K384">
        <v>2024</v>
      </c>
      <c r="L384" s="27">
        <v>45608</v>
      </c>
      <c r="M384">
        <v>758.19999999999993</v>
      </c>
      <c r="N384">
        <v>20</v>
      </c>
      <c r="O384" t="s">
        <v>16</v>
      </c>
      <c r="P384">
        <f t="shared" si="5"/>
        <v>0</v>
      </c>
    </row>
    <row r="385" spans="1:16" hidden="1" x14ac:dyDescent="0.25">
      <c r="A385" s="8">
        <v>380</v>
      </c>
      <c r="B385">
        <v>380</v>
      </c>
      <c r="C385" s="27">
        <v>45610</v>
      </c>
      <c r="D385" t="s">
        <v>833</v>
      </c>
      <c r="E385">
        <v>527.55999999999995</v>
      </c>
      <c r="G385" t="s">
        <v>337</v>
      </c>
      <c r="H385" t="s">
        <v>14</v>
      </c>
      <c r="I385" t="s">
        <v>386</v>
      </c>
      <c r="J385" s="27">
        <v>45597</v>
      </c>
      <c r="K385">
        <v>2024</v>
      </c>
      <c r="L385" s="27">
        <v>45610</v>
      </c>
      <c r="M385">
        <v>1285.76</v>
      </c>
      <c r="N385">
        <v>22</v>
      </c>
      <c r="O385" t="s">
        <v>16</v>
      </c>
      <c r="P385">
        <f t="shared" si="5"/>
        <v>0</v>
      </c>
    </row>
    <row r="386" spans="1:16" hidden="1" x14ac:dyDescent="0.25">
      <c r="A386" s="8">
        <v>381</v>
      </c>
      <c r="B386">
        <v>381</v>
      </c>
      <c r="C386" s="27">
        <v>45614</v>
      </c>
      <c r="D386" t="s">
        <v>834</v>
      </c>
      <c r="E386">
        <v>-70</v>
      </c>
      <c r="G386" t="s">
        <v>392</v>
      </c>
      <c r="H386" t="s">
        <v>14</v>
      </c>
      <c r="I386" t="s">
        <v>25</v>
      </c>
      <c r="J386" s="27">
        <v>45597</v>
      </c>
      <c r="K386">
        <v>2024</v>
      </c>
      <c r="L386" s="27">
        <v>45614</v>
      </c>
      <c r="M386">
        <v>1215.76</v>
      </c>
      <c r="N386">
        <v>16</v>
      </c>
      <c r="O386" t="s">
        <v>16</v>
      </c>
      <c r="P386">
        <f t="shared" si="5"/>
        <v>0</v>
      </c>
    </row>
    <row r="387" spans="1:16" hidden="1" x14ac:dyDescent="0.25">
      <c r="A387" s="8">
        <v>382</v>
      </c>
      <c r="B387">
        <v>382</v>
      </c>
      <c r="C387" s="27">
        <v>45614</v>
      </c>
      <c r="D387" t="s">
        <v>835</v>
      </c>
      <c r="E387">
        <v>-500</v>
      </c>
      <c r="G387" t="s">
        <v>24</v>
      </c>
      <c r="H387" t="s">
        <v>14</v>
      </c>
      <c r="I387" t="s">
        <v>25</v>
      </c>
      <c r="J387" s="27">
        <v>45597</v>
      </c>
      <c r="K387">
        <v>2024</v>
      </c>
      <c r="L387" s="27">
        <v>45614</v>
      </c>
      <c r="M387">
        <v>715.75999999999976</v>
      </c>
      <c r="N387">
        <v>14</v>
      </c>
      <c r="O387" t="s">
        <v>16</v>
      </c>
      <c r="P387">
        <f t="shared" si="5"/>
        <v>0</v>
      </c>
    </row>
    <row r="388" spans="1:16" hidden="1" x14ac:dyDescent="0.25">
      <c r="A388" s="8">
        <v>383</v>
      </c>
      <c r="B388">
        <v>383</v>
      </c>
      <c r="C388" s="27">
        <v>45623</v>
      </c>
      <c r="D388" t="s">
        <v>836</v>
      </c>
      <c r="E388">
        <v>512.55999999999995</v>
      </c>
      <c r="G388" t="s">
        <v>337</v>
      </c>
      <c r="H388" t="s">
        <v>14</v>
      </c>
      <c r="I388" t="s">
        <v>386</v>
      </c>
      <c r="J388" s="27">
        <v>45597</v>
      </c>
      <c r="K388">
        <v>2024</v>
      </c>
      <c r="L388" s="27">
        <v>45623</v>
      </c>
      <c r="M388">
        <v>1228.32</v>
      </c>
      <c r="N388">
        <v>23</v>
      </c>
      <c r="O388" t="s">
        <v>16</v>
      </c>
      <c r="P388">
        <f t="shared" si="5"/>
        <v>0</v>
      </c>
    </row>
    <row r="389" spans="1:16" hidden="1" x14ac:dyDescent="0.25">
      <c r="A389" s="8">
        <v>384</v>
      </c>
      <c r="B389">
        <v>384</v>
      </c>
      <c r="C389" s="27">
        <v>45625</v>
      </c>
      <c r="D389" t="s">
        <v>837</v>
      </c>
      <c r="E389">
        <v>-442.73</v>
      </c>
      <c r="G389" t="s">
        <v>27</v>
      </c>
      <c r="H389" t="s">
        <v>28</v>
      </c>
      <c r="I389" t="s">
        <v>29</v>
      </c>
      <c r="J389" s="27">
        <v>45597</v>
      </c>
      <c r="K389">
        <v>2024</v>
      </c>
      <c r="L389" s="27">
        <v>45625</v>
      </c>
      <c r="M389">
        <v>785.58999999999969</v>
      </c>
      <c r="N389">
        <v>5</v>
      </c>
      <c r="O389" t="s">
        <v>16</v>
      </c>
      <c r="P389">
        <f t="shared" ref="P389:P452" si="6">IF(J389&lt;&gt;J390, 1, 0)</f>
        <v>1</v>
      </c>
    </row>
    <row r="390" spans="1:16" hidden="1" x14ac:dyDescent="0.25">
      <c r="A390" s="8">
        <v>385</v>
      </c>
      <c r="B390">
        <v>385</v>
      </c>
      <c r="C390" s="27">
        <v>45638</v>
      </c>
      <c r="D390" t="s">
        <v>838</v>
      </c>
      <c r="E390">
        <v>527.55999999999995</v>
      </c>
      <c r="G390" t="s">
        <v>337</v>
      </c>
      <c r="H390" t="s">
        <v>14</v>
      </c>
      <c r="I390" t="s">
        <v>386</v>
      </c>
      <c r="J390" s="27">
        <v>45627</v>
      </c>
      <c r="K390">
        <v>2024</v>
      </c>
      <c r="L390" s="27">
        <v>45638</v>
      </c>
      <c r="M390">
        <v>1313.15</v>
      </c>
      <c r="N390">
        <v>24</v>
      </c>
      <c r="O390" t="s">
        <v>16</v>
      </c>
      <c r="P390">
        <f t="shared" si="6"/>
        <v>0</v>
      </c>
    </row>
    <row r="391" spans="1:16" hidden="1" x14ac:dyDescent="0.25">
      <c r="A391" s="8">
        <v>386</v>
      </c>
      <c r="B391">
        <v>386</v>
      </c>
      <c r="C391" s="27">
        <v>45643</v>
      </c>
      <c r="D391" t="s">
        <v>839</v>
      </c>
      <c r="E391">
        <v>-442.73</v>
      </c>
      <c r="G391" t="s">
        <v>27</v>
      </c>
      <c r="H391" t="s">
        <v>28</v>
      </c>
      <c r="I391" t="s">
        <v>29</v>
      </c>
      <c r="J391" s="27">
        <v>45627</v>
      </c>
      <c r="K391">
        <v>2024</v>
      </c>
      <c r="L391" s="27">
        <v>45643</v>
      </c>
      <c r="M391">
        <v>870.41999999999962</v>
      </c>
      <c r="N391">
        <v>6</v>
      </c>
      <c r="O391" t="s">
        <v>16</v>
      </c>
      <c r="P391">
        <f t="shared" si="6"/>
        <v>0</v>
      </c>
    </row>
    <row r="392" spans="1:16" hidden="1" x14ac:dyDescent="0.25">
      <c r="A392" s="8">
        <v>387</v>
      </c>
      <c r="B392">
        <v>387</v>
      </c>
      <c r="C392" s="27">
        <v>45644</v>
      </c>
      <c r="D392" t="s">
        <v>840</v>
      </c>
      <c r="E392">
        <v>-70</v>
      </c>
      <c r="G392" t="s">
        <v>392</v>
      </c>
      <c r="H392" t="s">
        <v>14</v>
      </c>
      <c r="I392" t="s">
        <v>25</v>
      </c>
      <c r="J392" s="27">
        <v>45627</v>
      </c>
      <c r="K392">
        <v>2024</v>
      </c>
      <c r="L392" s="27">
        <v>45644</v>
      </c>
      <c r="M392">
        <v>800.41999999999962</v>
      </c>
      <c r="N392">
        <v>17</v>
      </c>
      <c r="O392" t="s">
        <v>16</v>
      </c>
      <c r="P392">
        <f t="shared" si="6"/>
        <v>0</v>
      </c>
    </row>
    <row r="393" spans="1:16" hidden="1" x14ac:dyDescent="0.25">
      <c r="A393" s="8">
        <v>388</v>
      </c>
      <c r="B393">
        <v>388</v>
      </c>
      <c r="C393" s="27">
        <v>45649</v>
      </c>
      <c r="D393" t="s">
        <v>841</v>
      </c>
      <c r="E393">
        <v>-40.799999999999997</v>
      </c>
      <c r="G393" t="s">
        <v>18</v>
      </c>
      <c r="H393" t="s">
        <v>14</v>
      </c>
      <c r="I393" t="s">
        <v>19</v>
      </c>
      <c r="J393" s="27">
        <v>45627</v>
      </c>
      <c r="K393">
        <v>2024</v>
      </c>
      <c r="L393" s="27">
        <v>45649</v>
      </c>
      <c r="M393">
        <v>759.61999999999966</v>
      </c>
      <c r="N393">
        <v>21</v>
      </c>
      <c r="O393" t="s">
        <v>16</v>
      </c>
      <c r="P393">
        <f t="shared" si="6"/>
        <v>0</v>
      </c>
    </row>
    <row r="394" spans="1:16" hidden="1" x14ac:dyDescent="0.25">
      <c r="A394" s="8">
        <v>389</v>
      </c>
      <c r="B394">
        <v>389</v>
      </c>
      <c r="C394" s="27">
        <v>45649</v>
      </c>
      <c r="D394" t="s">
        <v>842</v>
      </c>
      <c r="E394">
        <v>162.80000000000001</v>
      </c>
      <c r="G394" t="s">
        <v>46</v>
      </c>
      <c r="H394" t="s">
        <v>14</v>
      </c>
      <c r="I394" t="s">
        <v>25</v>
      </c>
      <c r="J394" s="27">
        <v>45627</v>
      </c>
      <c r="K394">
        <v>2024</v>
      </c>
      <c r="L394" s="27">
        <v>45649</v>
      </c>
      <c r="M394">
        <v>922.41999999999962</v>
      </c>
      <c r="N394">
        <v>4</v>
      </c>
      <c r="O394" t="s">
        <v>16</v>
      </c>
      <c r="P394">
        <f t="shared" si="6"/>
        <v>0</v>
      </c>
    </row>
    <row r="395" spans="1:16" hidden="1" x14ac:dyDescent="0.25">
      <c r="A395" s="8">
        <v>390</v>
      </c>
      <c r="B395">
        <v>390</v>
      </c>
      <c r="C395" s="27">
        <v>45652</v>
      </c>
      <c r="D395" t="s">
        <v>843</v>
      </c>
      <c r="E395">
        <v>527.55999999999995</v>
      </c>
      <c r="G395" t="s">
        <v>337</v>
      </c>
      <c r="H395" t="s">
        <v>14</v>
      </c>
      <c r="I395" t="s">
        <v>386</v>
      </c>
      <c r="J395" s="27">
        <v>45627</v>
      </c>
      <c r="K395">
        <v>2024</v>
      </c>
      <c r="L395" s="27">
        <v>45652</v>
      </c>
      <c r="M395">
        <v>1449.98</v>
      </c>
      <c r="N395">
        <v>25</v>
      </c>
      <c r="O395" t="s">
        <v>16</v>
      </c>
      <c r="P395">
        <f t="shared" si="6"/>
        <v>1</v>
      </c>
    </row>
    <row r="396" spans="1:16" hidden="1" x14ac:dyDescent="0.25">
      <c r="A396" s="8">
        <v>391</v>
      </c>
      <c r="B396">
        <v>0</v>
      </c>
      <c r="C396" s="27">
        <v>44927</v>
      </c>
      <c r="D396" t="s">
        <v>86</v>
      </c>
      <c r="E396">
        <v>227.7</v>
      </c>
      <c r="F396" t="s">
        <v>86</v>
      </c>
      <c r="G396" t="s">
        <v>86</v>
      </c>
      <c r="H396" t="s">
        <v>14</v>
      </c>
      <c r="I396" t="s">
        <v>86</v>
      </c>
      <c r="J396" s="27">
        <v>44927</v>
      </c>
      <c r="K396">
        <v>2023</v>
      </c>
      <c r="L396" s="27">
        <v>44927</v>
      </c>
      <c r="M396">
        <v>227.7</v>
      </c>
      <c r="N396">
        <v>1</v>
      </c>
      <c r="O396" t="s">
        <v>90</v>
      </c>
      <c r="P396">
        <f t="shared" si="6"/>
        <v>1</v>
      </c>
    </row>
    <row r="397" spans="1:16" hidden="1" x14ac:dyDescent="0.25">
      <c r="A397" s="8">
        <v>392</v>
      </c>
      <c r="B397">
        <v>1</v>
      </c>
      <c r="C397" s="27">
        <v>45292</v>
      </c>
      <c r="D397" t="s">
        <v>87</v>
      </c>
      <c r="E397">
        <v>20</v>
      </c>
      <c r="F397" t="s">
        <v>88</v>
      </c>
      <c r="G397" t="s">
        <v>89</v>
      </c>
      <c r="H397" t="s">
        <v>28</v>
      </c>
      <c r="I397" t="s">
        <v>69</v>
      </c>
      <c r="J397" s="27">
        <v>45292</v>
      </c>
      <c r="K397">
        <v>2024</v>
      </c>
      <c r="L397" s="27">
        <v>45292</v>
      </c>
      <c r="M397">
        <v>247.7</v>
      </c>
      <c r="N397">
        <v>1</v>
      </c>
      <c r="O397" t="s">
        <v>90</v>
      </c>
      <c r="P397">
        <f t="shared" si="6"/>
        <v>0</v>
      </c>
    </row>
    <row r="398" spans="1:16" hidden="1" x14ac:dyDescent="0.25">
      <c r="A398" s="8">
        <v>393</v>
      </c>
      <c r="B398">
        <v>2</v>
      </c>
      <c r="C398" s="27">
        <v>45292</v>
      </c>
      <c r="D398" t="s">
        <v>91</v>
      </c>
      <c r="E398">
        <v>24.99</v>
      </c>
      <c r="F398" t="s">
        <v>88</v>
      </c>
      <c r="G398" t="s">
        <v>92</v>
      </c>
      <c r="H398" t="s">
        <v>14</v>
      </c>
      <c r="I398" t="s">
        <v>93</v>
      </c>
      <c r="J398" s="27">
        <v>45292</v>
      </c>
      <c r="K398">
        <v>2024</v>
      </c>
      <c r="L398" s="27">
        <v>45292</v>
      </c>
      <c r="M398">
        <v>272.69</v>
      </c>
      <c r="N398">
        <v>1</v>
      </c>
      <c r="O398" t="s">
        <v>90</v>
      </c>
      <c r="P398">
        <f t="shared" si="6"/>
        <v>0</v>
      </c>
    </row>
    <row r="399" spans="1:16" hidden="1" x14ac:dyDescent="0.25">
      <c r="A399" s="8">
        <v>394</v>
      </c>
      <c r="B399">
        <v>3</v>
      </c>
      <c r="C399" s="27">
        <v>45292</v>
      </c>
      <c r="D399" t="s">
        <v>94</v>
      </c>
      <c r="E399">
        <v>5</v>
      </c>
      <c r="F399" t="s">
        <v>95</v>
      </c>
      <c r="G399" t="s">
        <v>96</v>
      </c>
      <c r="H399" t="s">
        <v>28</v>
      </c>
      <c r="I399" t="s">
        <v>69</v>
      </c>
      <c r="J399" s="27">
        <v>45292</v>
      </c>
      <c r="K399">
        <v>2024</v>
      </c>
      <c r="L399" s="27">
        <v>45292</v>
      </c>
      <c r="M399">
        <v>277.69</v>
      </c>
      <c r="N399">
        <v>1</v>
      </c>
      <c r="O399" t="s">
        <v>90</v>
      </c>
      <c r="P399">
        <f t="shared" si="6"/>
        <v>0</v>
      </c>
    </row>
    <row r="400" spans="1:16" hidden="1" x14ac:dyDescent="0.25">
      <c r="A400" s="8">
        <v>395</v>
      </c>
      <c r="B400">
        <v>4</v>
      </c>
      <c r="C400" s="27">
        <v>45292</v>
      </c>
      <c r="D400" t="s">
        <v>97</v>
      </c>
      <c r="E400">
        <v>5.99</v>
      </c>
      <c r="F400" t="s">
        <v>88</v>
      </c>
      <c r="G400" t="s">
        <v>98</v>
      </c>
      <c r="H400" t="s">
        <v>28</v>
      </c>
      <c r="I400" t="s">
        <v>93</v>
      </c>
      <c r="J400" s="27">
        <v>45292</v>
      </c>
      <c r="K400">
        <v>2024</v>
      </c>
      <c r="L400" s="27">
        <v>45292</v>
      </c>
      <c r="M400">
        <v>283.68</v>
      </c>
      <c r="N400">
        <v>1</v>
      </c>
      <c r="O400" t="s">
        <v>90</v>
      </c>
      <c r="P400">
        <f t="shared" si="6"/>
        <v>0</v>
      </c>
    </row>
    <row r="401" spans="1:16" hidden="1" x14ac:dyDescent="0.25">
      <c r="A401" s="8">
        <v>396</v>
      </c>
      <c r="B401">
        <v>5</v>
      </c>
      <c r="C401" s="27">
        <v>45293</v>
      </c>
      <c r="D401" t="s">
        <v>99</v>
      </c>
      <c r="E401">
        <v>264.10000000000002</v>
      </c>
      <c r="F401" t="s">
        <v>95</v>
      </c>
      <c r="G401" t="s">
        <v>100</v>
      </c>
      <c r="H401" t="s">
        <v>28</v>
      </c>
      <c r="I401" t="s">
        <v>69</v>
      </c>
      <c r="J401" s="27">
        <v>45292</v>
      </c>
      <c r="K401">
        <v>2024</v>
      </c>
      <c r="L401" s="27">
        <v>45293</v>
      </c>
      <c r="M401">
        <v>547.78</v>
      </c>
      <c r="N401">
        <v>1</v>
      </c>
      <c r="O401" t="s">
        <v>90</v>
      </c>
      <c r="P401">
        <f t="shared" si="6"/>
        <v>0</v>
      </c>
    </row>
    <row r="402" spans="1:16" hidden="1" x14ac:dyDescent="0.25">
      <c r="A402" s="8">
        <v>397</v>
      </c>
      <c r="B402">
        <v>6</v>
      </c>
      <c r="C402" s="27">
        <v>45293</v>
      </c>
      <c r="D402" t="s">
        <v>101</v>
      </c>
      <c r="E402">
        <v>10</v>
      </c>
      <c r="F402" t="s">
        <v>88</v>
      </c>
      <c r="G402" t="s">
        <v>102</v>
      </c>
      <c r="H402" t="s">
        <v>28</v>
      </c>
      <c r="I402" t="s">
        <v>93</v>
      </c>
      <c r="J402" s="27">
        <v>45292</v>
      </c>
      <c r="K402">
        <v>2024</v>
      </c>
      <c r="L402" s="27">
        <v>45293</v>
      </c>
      <c r="M402">
        <v>557.78</v>
      </c>
      <c r="N402">
        <v>1</v>
      </c>
      <c r="O402" t="s">
        <v>90</v>
      </c>
      <c r="P402">
        <f t="shared" si="6"/>
        <v>0</v>
      </c>
    </row>
    <row r="403" spans="1:16" hidden="1" x14ac:dyDescent="0.25">
      <c r="A403" s="8">
        <v>398</v>
      </c>
      <c r="B403">
        <v>7</v>
      </c>
      <c r="C403" s="27">
        <v>45293</v>
      </c>
      <c r="D403" t="s">
        <v>103</v>
      </c>
      <c r="E403">
        <v>29.99</v>
      </c>
      <c r="F403" t="s">
        <v>88</v>
      </c>
      <c r="G403" t="s">
        <v>104</v>
      </c>
      <c r="H403" t="s">
        <v>28</v>
      </c>
      <c r="I403" t="s">
        <v>69</v>
      </c>
      <c r="J403" s="27">
        <v>45292</v>
      </c>
      <c r="K403">
        <v>2024</v>
      </c>
      <c r="L403" s="27">
        <v>45293</v>
      </c>
      <c r="M403">
        <v>587.77</v>
      </c>
      <c r="N403">
        <v>1</v>
      </c>
      <c r="O403" t="s">
        <v>90</v>
      </c>
      <c r="P403">
        <f t="shared" si="6"/>
        <v>0</v>
      </c>
    </row>
    <row r="404" spans="1:16" hidden="1" x14ac:dyDescent="0.25">
      <c r="A404" s="8">
        <v>399</v>
      </c>
      <c r="B404">
        <v>8</v>
      </c>
      <c r="C404" s="27">
        <v>45293</v>
      </c>
      <c r="D404" t="s">
        <v>105</v>
      </c>
      <c r="E404">
        <v>66.319999999999993</v>
      </c>
      <c r="F404" t="s">
        <v>106</v>
      </c>
      <c r="G404" t="s">
        <v>107</v>
      </c>
      <c r="H404" t="s">
        <v>14</v>
      </c>
      <c r="I404" t="s">
        <v>69</v>
      </c>
      <c r="J404" s="27">
        <v>45292</v>
      </c>
      <c r="K404">
        <v>2024</v>
      </c>
      <c r="L404" s="27">
        <v>45293</v>
      </c>
      <c r="M404">
        <v>654.08999999999992</v>
      </c>
      <c r="N404">
        <v>1</v>
      </c>
      <c r="O404" t="s">
        <v>90</v>
      </c>
      <c r="P404">
        <f t="shared" si="6"/>
        <v>0</v>
      </c>
    </row>
    <row r="405" spans="1:16" hidden="1" x14ac:dyDescent="0.25">
      <c r="A405" s="8">
        <v>400</v>
      </c>
      <c r="B405">
        <v>9</v>
      </c>
      <c r="C405" s="27">
        <v>45293</v>
      </c>
      <c r="D405" t="s">
        <v>108</v>
      </c>
      <c r="E405">
        <v>6.99</v>
      </c>
      <c r="F405" t="s">
        <v>88</v>
      </c>
      <c r="G405" t="s">
        <v>109</v>
      </c>
      <c r="H405" t="s">
        <v>14</v>
      </c>
      <c r="I405" t="s">
        <v>93</v>
      </c>
      <c r="J405" s="27">
        <v>45292</v>
      </c>
      <c r="K405">
        <v>2024</v>
      </c>
      <c r="L405" s="27">
        <v>45293</v>
      </c>
      <c r="M405">
        <v>661.07999999999993</v>
      </c>
      <c r="N405">
        <v>1</v>
      </c>
      <c r="O405" t="s">
        <v>90</v>
      </c>
      <c r="P405">
        <f t="shared" si="6"/>
        <v>0</v>
      </c>
    </row>
    <row r="406" spans="1:16" hidden="1" x14ac:dyDescent="0.25">
      <c r="A406" s="8">
        <v>401</v>
      </c>
      <c r="B406">
        <v>10</v>
      </c>
      <c r="C406" s="27">
        <v>45294</v>
      </c>
      <c r="D406" t="s">
        <v>113</v>
      </c>
      <c r="E406">
        <v>13.39</v>
      </c>
      <c r="F406" t="s">
        <v>88</v>
      </c>
      <c r="G406" t="s">
        <v>114</v>
      </c>
      <c r="H406" t="s">
        <v>14</v>
      </c>
      <c r="I406" t="s">
        <v>93</v>
      </c>
      <c r="J406" s="27">
        <v>45292</v>
      </c>
      <c r="K406">
        <v>2024</v>
      </c>
      <c r="L406" s="27">
        <v>45294</v>
      </c>
      <c r="M406">
        <v>674.46999999999991</v>
      </c>
      <c r="N406">
        <v>1</v>
      </c>
      <c r="O406" t="s">
        <v>90</v>
      </c>
      <c r="P406">
        <f t="shared" si="6"/>
        <v>0</v>
      </c>
    </row>
    <row r="407" spans="1:16" hidden="1" x14ac:dyDescent="0.25">
      <c r="A407" s="8">
        <v>402</v>
      </c>
      <c r="B407">
        <v>11</v>
      </c>
      <c r="C407" s="27">
        <v>45294</v>
      </c>
      <c r="D407" t="s">
        <v>105</v>
      </c>
      <c r="E407">
        <v>97.96</v>
      </c>
      <c r="F407" t="s">
        <v>106</v>
      </c>
      <c r="G407" t="s">
        <v>107</v>
      </c>
      <c r="H407" t="s">
        <v>14</v>
      </c>
      <c r="I407" t="s">
        <v>69</v>
      </c>
      <c r="J407" s="27">
        <v>45292</v>
      </c>
      <c r="K407">
        <v>2024</v>
      </c>
      <c r="L407" s="27">
        <v>45294</v>
      </c>
      <c r="M407">
        <v>772.43</v>
      </c>
      <c r="N407">
        <v>2</v>
      </c>
      <c r="O407" t="s">
        <v>90</v>
      </c>
      <c r="P407">
        <f t="shared" si="6"/>
        <v>0</v>
      </c>
    </row>
    <row r="408" spans="1:16" hidden="1" x14ac:dyDescent="0.25">
      <c r="A408" s="8">
        <v>403</v>
      </c>
      <c r="B408">
        <v>12</v>
      </c>
      <c r="C408" s="27">
        <v>45294</v>
      </c>
      <c r="D408" t="s">
        <v>110</v>
      </c>
      <c r="E408">
        <v>-39.159999999999997</v>
      </c>
      <c r="F408" t="s">
        <v>111</v>
      </c>
      <c r="G408" t="s">
        <v>112</v>
      </c>
      <c r="H408" t="s">
        <v>14</v>
      </c>
      <c r="I408" t="s">
        <v>80</v>
      </c>
      <c r="J408" s="27">
        <v>45292</v>
      </c>
      <c r="K408">
        <v>2024</v>
      </c>
      <c r="L408" s="27">
        <v>45294</v>
      </c>
      <c r="M408">
        <v>733.27</v>
      </c>
      <c r="N408">
        <v>1</v>
      </c>
      <c r="O408" t="s">
        <v>90</v>
      </c>
      <c r="P408">
        <f t="shared" si="6"/>
        <v>0</v>
      </c>
    </row>
    <row r="409" spans="1:16" hidden="1" x14ac:dyDescent="0.25">
      <c r="A409" s="8">
        <v>404</v>
      </c>
      <c r="B409">
        <v>13</v>
      </c>
      <c r="C409" s="27">
        <v>45294</v>
      </c>
      <c r="D409" t="s">
        <v>113</v>
      </c>
      <c r="E409">
        <v>3.19</v>
      </c>
      <c r="F409" t="s">
        <v>88</v>
      </c>
      <c r="G409" t="s">
        <v>114</v>
      </c>
      <c r="H409" t="s">
        <v>14</v>
      </c>
      <c r="I409" t="s">
        <v>93</v>
      </c>
      <c r="J409" s="27">
        <v>45292</v>
      </c>
      <c r="K409">
        <v>2024</v>
      </c>
      <c r="L409" s="27">
        <v>45294</v>
      </c>
      <c r="M409">
        <v>736.46</v>
      </c>
      <c r="N409">
        <v>2</v>
      </c>
      <c r="O409" t="s">
        <v>90</v>
      </c>
      <c r="P409">
        <f t="shared" si="6"/>
        <v>0</v>
      </c>
    </row>
    <row r="410" spans="1:16" hidden="1" x14ac:dyDescent="0.25">
      <c r="A410" s="8">
        <v>405</v>
      </c>
      <c r="B410">
        <v>14</v>
      </c>
      <c r="C410" s="27">
        <v>45295</v>
      </c>
      <c r="D410" t="s">
        <v>115</v>
      </c>
      <c r="E410">
        <v>45</v>
      </c>
      <c r="F410" t="s">
        <v>116</v>
      </c>
      <c r="G410" t="s">
        <v>117</v>
      </c>
      <c r="H410" t="s">
        <v>14</v>
      </c>
      <c r="I410" t="s">
        <v>118</v>
      </c>
      <c r="J410" s="27">
        <v>45292</v>
      </c>
      <c r="K410">
        <v>2024</v>
      </c>
      <c r="L410" s="27">
        <v>45295</v>
      </c>
      <c r="M410">
        <v>781.46</v>
      </c>
      <c r="N410">
        <v>1</v>
      </c>
      <c r="O410" t="s">
        <v>90</v>
      </c>
      <c r="P410">
        <f t="shared" si="6"/>
        <v>0</v>
      </c>
    </row>
    <row r="411" spans="1:16" hidden="1" x14ac:dyDescent="0.25">
      <c r="A411" s="8">
        <v>406</v>
      </c>
      <c r="B411">
        <v>15</v>
      </c>
      <c r="C411" s="27">
        <v>45296</v>
      </c>
      <c r="D411" t="s">
        <v>121</v>
      </c>
      <c r="E411">
        <v>15.89</v>
      </c>
      <c r="F411" t="s">
        <v>88</v>
      </c>
      <c r="G411" t="s">
        <v>122</v>
      </c>
      <c r="H411" t="s">
        <v>28</v>
      </c>
      <c r="I411" t="s">
        <v>93</v>
      </c>
      <c r="J411" s="27">
        <v>45292</v>
      </c>
      <c r="K411">
        <v>2024</v>
      </c>
      <c r="L411" s="27">
        <v>45296</v>
      </c>
      <c r="M411">
        <v>797.35</v>
      </c>
      <c r="N411">
        <v>1</v>
      </c>
      <c r="O411" t="s">
        <v>90</v>
      </c>
      <c r="P411">
        <f t="shared" si="6"/>
        <v>0</v>
      </c>
    </row>
    <row r="412" spans="1:16" hidden="1" x14ac:dyDescent="0.25">
      <c r="A412" s="8">
        <v>407</v>
      </c>
      <c r="B412">
        <v>16</v>
      </c>
      <c r="C412" s="27">
        <v>45296</v>
      </c>
      <c r="D412" t="s">
        <v>123</v>
      </c>
      <c r="E412">
        <v>5</v>
      </c>
      <c r="F412" t="s">
        <v>88</v>
      </c>
      <c r="G412" t="s">
        <v>124</v>
      </c>
      <c r="H412" t="s">
        <v>28</v>
      </c>
      <c r="I412" t="s">
        <v>69</v>
      </c>
      <c r="J412" s="27">
        <v>45292</v>
      </c>
      <c r="K412">
        <v>2024</v>
      </c>
      <c r="L412" s="27">
        <v>45296</v>
      </c>
      <c r="M412">
        <v>802.35</v>
      </c>
      <c r="N412">
        <v>1</v>
      </c>
      <c r="O412" t="s">
        <v>90</v>
      </c>
      <c r="P412">
        <f t="shared" si="6"/>
        <v>0</v>
      </c>
    </row>
    <row r="413" spans="1:16" hidden="1" x14ac:dyDescent="0.25">
      <c r="A413" s="8">
        <v>408</v>
      </c>
      <c r="B413">
        <v>17</v>
      </c>
      <c r="C413" s="27">
        <v>45296</v>
      </c>
      <c r="D413" t="s">
        <v>120</v>
      </c>
      <c r="E413">
        <v>4.5</v>
      </c>
      <c r="F413" t="s">
        <v>95</v>
      </c>
      <c r="G413" t="s">
        <v>100</v>
      </c>
      <c r="H413" t="s">
        <v>28</v>
      </c>
      <c r="I413" t="s">
        <v>69</v>
      </c>
      <c r="J413" s="27">
        <v>45292</v>
      </c>
      <c r="K413">
        <v>2024</v>
      </c>
      <c r="L413" s="27">
        <v>45296</v>
      </c>
      <c r="M413">
        <v>806.85</v>
      </c>
      <c r="N413">
        <v>2</v>
      </c>
      <c r="O413" t="s">
        <v>90</v>
      </c>
      <c r="P413">
        <f t="shared" si="6"/>
        <v>0</v>
      </c>
    </row>
    <row r="414" spans="1:16" hidden="1" x14ac:dyDescent="0.25">
      <c r="A414" s="8">
        <v>409</v>
      </c>
      <c r="B414">
        <v>18</v>
      </c>
      <c r="C414" s="27">
        <v>45296</v>
      </c>
      <c r="D414" t="s">
        <v>119</v>
      </c>
      <c r="E414">
        <v>5</v>
      </c>
      <c r="F414" t="s">
        <v>95</v>
      </c>
      <c r="G414" t="s">
        <v>100</v>
      </c>
      <c r="H414" t="s">
        <v>28</v>
      </c>
      <c r="I414" t="s">
        <v>69</v>
      </c>
      <c r="J414" s="27">
        <v>45292</v>
      </c>
      <c r="K414">
        <v>2024</v>
      </c>
      <c r="L414" s="27">
        <v>45296</v>
      </c>
      <c r="M414">
        <v>811.85</v>
      </c>
      <c r="N414">
        <v>3</v>
      </c>
      <c r="O414" t="s">
        <v>90</v>
      </c>
      <c r="P414">
        <f t="shared" si="6"/>
        <v>0</v>
      </c>
    </row>
    <row r="415" spans="1:16" hidden="1" x14ac:dyDescent="0.25">
      <c r="A415" s="8">
        <v>410</v>
      </c>
      <c r="B415">
        <v>19</v>
      </c>
      <c r="C415" s="27">
        <v>45297</v>
      </c>
      <c r="D415" t="s">
        <v>113</v>
      </c>
      <c r="E415">
        <v>14.87</v>
      </c>
      <c r="F415" t="s">
        <v>88</v>
      </c>
      <c r="G415" t="s">
        <v>114</v>
      </c>
      <c r="H415" t="s">
        <v>14</v>
      </c>
      <c r="I415" t="s">
        <v>93</v>
      </c>
      <c r="J415" s="27">
        <v>45292</v>
      </c>
      <c r="K415">
        <v>2024</v>
      </c>
      <c r="L415" s="27">
        <v>45297</v>
      </c>
      <c r="M415">
        <v>826.72</v>
      </c>
      <c r="N415">
        <v>3</v>
      </c>
      <c r="O415" t="s">
        <v>90</v>
      </c>
      <c r="P415">
        <f t="shared" si="6"/>
        <v>0</v>
      </c>
    </row>
    <row r="416" spans="1:16" hidden="1" x14ac:dyDescent="0.25">
      <c r="A416" s="8">
        <v>411</v>
      </c>
      <c r="B416">
        <v>20</v>
      </c>
      <c r="C416" s="27">
        <v>45297</v>
      </c>
      <c r="D416" t="s">
        <v>125</v>
      </c>
      <c r="E416">
        <v>27.13</v>
      </c>
      <c r="F416" t="s">
        <v>95</v>
      </c>
      <c r="G416" t="s">
        <v>126</v>
      </c>
      <c r="H416" t="s">
        <v>14</v>
      </c>
      <c r="I416" t="s">
        <v>93</v>
      </c>
      <c r="J416" s="27">
        <v>45292</v>
      </c>
      <c r="K416">
        <v>2024</v>
      </c>
      <c r="L416" s="27">
        <v>45297</v>
      </c>
      <c r="M416">
        <v>853.85</v>
      </c>
      <c r="N416">
        <v>1</v>
      </c>
      <c r="O416" t="s">
        <v>90</v>
      </c>
      <c r="P416">
        <f t="shared" si="6"/>
        <v>0</v>
      </c>
    </row>
    <row r="417" spans="1:16" hidden="1" x14ac:dyDescent="0.25">
      <c r="A417" s="8">
        <v>412</v>
      </c>
      <c r="B417">
        <v>21</v>
      </c>
      <c r="C417" s="27">
        <v>45297</v>
      </c>
      <c r="D417" t="s">
        <v>127</v>
      </c>
      <c r="E417">
        <v>30.3</v>
      </c>
      <c r="F417" t="s">
        <v>88</v>
      </c>
      <c r="G417" t="s">
        <v>128</v>
      </c>
      <c r="H417" t="s">
        <v>14</v>
      </c>
      <c r="I417" t="s">
        <v>69</v>
      </c>
      <c r="J417" s="27">
        <v>45292</v>
      </c>
      <c r="K417">
        <v>2024</v>
      </c>
      <c r="L417" s="27">
        <v>45297</v>
      </c>
      <c r="M417">
        <v>884.15</v>
      </c>
      <c r="N417">
        <v>1</v>
      </c>
      <c r="O417" t="s">
        <v>90</v>
      </c>
      <c r="P417">
        <f t="shared" si="6"/>
        <v>0</v>
      </c>
    </row>
    <row r="418" spans="1:16" hidden="1" x14ac:dyDescent="0.25">
      <c r="A418" s="8">
        <v>413</v>
      </c>
      <c r="B418">
        <v>22</v>
      </c>
      <c r="C418" s="27">
        <v>45297</v>
      </c>
      <c r="D418" t="s">
        <v>129</v>
      </c>
      <c r="E418">
        <v>15.75</v>
      </c>
      <c r="F418" t="s">
        <v>116</v>
      </c>
      <c r="G418" t="s">
        <v>117</v>
      </c>
      <c r="H418" t="s">
        <v>14</v>
      </c>
      <c r="I418" t="s">
        <v>118</v>
      </c>
      <c r="J418" s="27">
        <v>45292</v>
      </c>
      <c r="K418">
        <v>2024</v>
      </c>
      <c r="L418" s="27">
        <v>45297</v>
      </c>
      <c r="M418">
        <v>899.9</v>
      </c>
      <c r="N418">
        <v>2</v>
      </c>
      <c r="O418" t="s">
        <v>90</v>
      </c>
      <c r="P418">
        <f t="shared" si="6"/>
        <v>0</v>
      </c>
    </row>
    <row r="419" spans="1:16" hidden="1" x14ac:dyDescent="0.25">
      <c r="A419" s="8">
        <v>414</v>
      </c>
      <c r="B419">
        <v>23</v>
      </c>
      <c r="C419" s="27">
        <v>45298</v>
      </c>
      <c r="D419" t="s">
        <v>142</v>
      </c>
      <c r="E419">
        <v>17.63</v>
      </c>
      <c r="F419" t="s">
        <v>116</v>
      </c>
      <c r="G419" t="s">
        <v>143</v>
      </c>
      <c r="H419" t="s">
        <v>14</v>
      </c>
      <c r="I419" t="s">
        <v>118</v>
      </c>
      <c r="J419" s="27">
        <v>45292</v>
      </c>
      <c r="K419">
        <v>2024</v>
      </c>
      <c r="L419" s="27">
        <v>45298</v>
      </c>
      <c r="M419">
        <v>917.53</v>
      </c>
      <c r="N419">
        <v>1</v>
      </c>
      <c r="O419" t="s">
        <v>90</v>
      </c>
      <c r="P419">
        <f t="shared" si="6"/>
        <v>0</v>
      </c>
    </row>
    <row r="420" spans="1:16" hidden="1" x14ac:dyDescent="0.25">
      <c r="A420" s="8">
        <v>415</v>
      </c>
      <c r="B420">
        <v>24</v>
      </c>
      <c r="C420" s="27">
        <v>45298</v>
      </c>
      <c r="D420" t="s">
        <v>144</v>
      </c>
      <c r="E420">
        <v>41.95</v>
      </c>
      <c r="F420" t="s">
        <v>136</v>
      </c>
      <c r="G420" t="s">
        <v>139</v>
      </c>
      <c r="H420" t="s">
        <v>14</v>
      </c>
      <c r="I420" t="s">
        <v>93</v>
      </c>
      <c r="J420" s="27">
        <v>45292</v>
      </c>
      <c r="K420">
        <v>2024</v>
      </c>
      <c r="L420" s="27">
        <v>45298</v>
      </c>
      <c r="M420">
        <v>959.48</v>
      </c>
      <c r="N420">
        <v>1</v>
      </c>
      <c r="O420" t="s">
        <v>90</v>
      </c>
      <c r="P420">
        <f t="shared" si="6"/>
        <v>0</v>
      </c>
    </row>
    <row r="421" spans="1:16" hidden="1" x14ac:dyDescent="0.25">
      <c r="A421" s="8">
        <v>416</v>
      </c>
      <c r="B421">
        <v>25</v>
      </c>
      <c r="C421" s="27">
        <v>45298</v>
      </c>
      <c r="D421" t="s">
        <v>138</v>
      </c>
      <c r="E421">
        <v>41.5</v>
      </c>
      <c r="F421" t="s">
        <v>136</v>
      </c>
      <c r="G421" t="s">
        <v>139</v>
      </c>
      <c r="H421" t="s">
        <v>14</v>
      </c>
      <c r="I421" t="s">
        <v>93</v>
      </c>
      <c r="J421" s="27">
        <v>45292</v>
      </c>
      <c r="K421">
        <v>2024</v>
      </c>
      <c r="L421" s="27">
        <v>45298</v>
      </c>
      <c r="M421">
        <v>1000.98</v>
      </c>
      <c r="N421">
        <v>2</v>
      </c>
      <c r="O421" t="s">
        <v>90</v>
      </c>
      <c r="P421">
        <f t="shared" si="6"/>
        <v>0</v>
      </c>
    </row>
    <row r="422" spans="1:16" hidden="1" x14ac:dyDescent="0.25">
      <c r="A422" s="8">
        <v>417</v>
      </c>
      <c r="B422">
        <v>26</v>
      </c>
      <c r="C422" s="27">
        <v>45298</v>
      </c>
      <c r="D422" t="s">
        <v>140</v>
      </c>
      <c r="E422">
        <v>4.95</v>
      </c>
      <c r="F422" t="s">
        <v>116</v>
      </c>
      <c r="G422" t="s">
        <v>117</v>
      </c>
      <c r="H422" t="s">
        <v>14</v>
      </c>
      <c r="I422" t="s">
        <v>118</v>
      </c>
      <c r="J422" s="27">
        <v>45292</v>
      </c>
      <c r="K422">
        <v>2024</v>
      </c>
      <c r="L422" s="27">
        <v>45298</v>
      </c>
      <c r="M422">
        <v>1005.93</v>
      </c>
      <c r="N422">
        <v>3</v>
      </c>
      <c r="O422" t="s">
        <v>90</v>
      </c>
      <c r="P422">
        <f t="shared" si="6"/>
        <v>0</v>
      </c>
    </row>
    <row r="423" spans="1:16" hidden="1" x14ac:dyDescent="0.25">
      <c r="A423" s="8">
        <v>418</v>
      </c>
      <c r="B423">
        <v>27</v>
      </c>
      <c r="C423" s="27">
        <v>45298</v>
      </c>
      <c r="D423" t="s">
        <v>130</v>
      </c>
      <c r="E423">
        <v>9.99</v>
      </c>
      <c r="F423" t="s">
        <v>88</v>
      </c>
      <c r="G423" t="s">
        <v>131</v>
      </c>
      <c r="H423" t="s">
        <v>28</v>
      </c>
      <c r="I423" t="s">
        <v>69</v>
      </c>
      <c r="J423" s="27">
        <v>45292</v>
      </c>
      <c r="K423">
        <v>2024</v>
      </c>
      <c r="L423" s="27">
        <v>45298</v>
      </c>
      <c r="M423">
        <v>1015.92</v>
      </c>
      <c r="N423">
        <v>1</v>
      </c>
      <c r="O423" t="s">
        <v>90</v>
      </c>
      <c r="P423">
        <f t="shared" si="6"/>
        <v>0</v>
      </c>
    </row>
    <row r="424" spans="1:16" hidden="1" x14ac:dyDescent="0.25">
      <c r="A424" s="8">
        <v>419</v>
      </c>
      <c r="B424">
        <v>28</v>
      </c>
      <c r="C424" s="27">
        <v>45298</v>
      </c>
      <c r="D424" t="s">
        <v>132</v>
      </c>
      <c r="E424">
        <v>44.62</v>
      </c>
      <c r="F424" t="s">
        <v>133</v>
      </c>
      <c r="G424" t="s">
        <v>134</v>
      </c>
      <c r="H424" t="s">
        <v>14</v>
      </c>
      <c r="I424" t="s">
        <v>15</v>
      </c>
      <c r="J424" s="27">
        <v>45292</v>
      </c>
      <c r="K424">
        <v>2024</v>
      </c>
      <c r="L424" s="27">
        <v>45298</v>
      </c>
      <c r="M424">
        <v>1060.54</v>
      </c>
      <c r="N424">
        <v>1</v>
      </c>
      <c r="O424" t="s">
        <v>90</v>
      </c>
      <c r="P424">
        <f t="shared" si="6"/>
        <v>0</v>
      </c>
    </row>
    <row r="425" spans="1:16" hidden="1" x14ac:dyDescent="0.25">
      <c r="A425" s="8">
        <v>420</v>
      </c>
      <c r="B425">
        <v>29</v>
      </c>
      <c r="C425" s="27">
        <v>45298</v>
      </c>
      <c r="D425" t="s">
        <v>132</v>
      </c>
      <c r="E425">
        <v>12.81</v>
      </c>
      <c r="F425" t="s">
        <v>133</v>
      </c>
      <c r="G425" t="s">
        <v>134</v>
      </c>
      <c r="H425" t="s">
        <v>14</v>
      </c>
      <c r="I425" t="s">
        <v>15</v>
      </c>
      <c r="J425" s="27">
        <v>45292</v>
      </c>
      <c r="K425">
        <v>2024</v>
      </c>
      <c r="L425" s="27">
        <v>45298</v>
      </c>
      <c r="M425">
        <v>1073.3499999999999</v>
      </c>
      <c r="N425">
        <v>2</v>
      </c>
      <c r="O425" t="s">
        <v>90</v>
      </c>
      <c r="P425">
        <f t="shared" si="6"/>
        <v>0</v>
      </c>
    </row>
    <row r="426" spans="1:16" hidden="1" x14ac:dyDescent="0.25">
      <c r="A426" s="8">
        <v>421</v>
      </c>
      <c r="B426">
        <v>30</v>
      </c>
      <c r="C426" s="27">
        <v>45298</v>
      </c>
      <c r="D426" t="s">
        <v>135</v>
      </c>
      <c r="E426">
        <v>82</v>
      </c>
      <c r="F426" t="s">
        <v>136</v>
      </c>
      <c r="G426" t="s">
        <v>137</v>
      </c>
      <c r="H426" t="s">
        <v>14</v>
      </c>
      <c r="I426" t="s">
        <v>118</v>
      </c>
      <c r="J426" s="27">
        <v>45292</v>
      </c>
      <c r="K426">
        <v>2024</v>
      </c>
      <c r="L426" s="27">
        <v>45298</v>
      </c>
      <c r="M426">
        <v>1155.3499999999999</v>
      </c>
      <c r="N426">
        <v>1</v>
      </c>
      <c r="O426" t="s">
        <v>90</v>
      </c>
      <c r="P426">
        <f t="shared" si="6"/>
        <v>0</v>
      </c>
    </row>
    <row r="427" spans="1:16" hidden="1" x14ac:dyDescent="0.25">
      <c r="A427" s="8">
        <v>422</v>
      </c>
      <c r="B427">
        <v>31</v>
      </c>
      <c r="C427" s="27">
        <v>45299</v>
      </c>
      <c r="D427" t="s">
        <v>157</v>
      </c>
      <c r="E427">
        <v>22.08</v>
      </c>
      <c r="F427" t="s">
        <v>88</v>
      </c>
      <c r="G427" t="s">
        <v>107</v>
      </c>
      <c r="H427" t="s">
        <v>14</v>
      </c>
      <c r="I427" t="s">
        <v>69</v>
      </c>
      <c r="J427" s="27">
        <v>45292</v>
      </c>
      <c r="K427">
        <v>2024</v>
      </c>
      <c r="L427" s="27">
        <v>45299</v>
      </c>
      <c r="M427">
        <v>1177.43</v>
      </c>
      <c r="N427">
        <v>3</v>
      </c>
      <c r="O427" t="s">
        <v>90</v>
      </c>
      <c r="P427">
        <f t="shared" si="6"/>
        <v>0</v>
      </c>
    </row>
    <row r="428" spans="1:16" hidden="1" x14ac:dyDescent="0.25">
      <c r="A428" s="8">
        <v>423</v>
      </c>
      <c r="B428">
        <v>32</v>
      </c>
      <c r="C428" s="27">
        <v>45299</v>
      </c>
      <c r="D428" t="s">
        <v>152</v>
      </c>
      <c r="E428">
        <v>34.99</v>
      </c>
      <c r="F428" t="s">
        <v>88</v>
      </c>
      <c r="G428" t="s">
        <v>153</v>
      </c>
      <c r="H428" t="s">
        <v>14</v>
      </c>
      <c r="I428" t="s">
        <v>69</v>
      </c>
      <c r="J428" s="27">
        <v>45292</v>
      </c>
      <c r="K428">
        <v>2024</v>
      </c>
      <c r="L428" s="27">
        <v>45299</v>
      </c>
      <c r="M428">
        <v>1212.42</v>
      </c>
      <c r="N428">
        <v>1</v>
      </c>
      <c r="O428" t="s">
        <v>90</v>
      </c>
      <c r="P428">
        <f t="shared" si="6"/>
        <v>0</v>
      </c>
    </row>
    <row r="429" spans="1:16" hidden="1" x14ac:dyDescent="0.25">
      <c r="A429" s="8">
        <v>424</v>
      </c>
      <c r="B429">
        <v>33</v>
      </c>
      <c r="C429" s="27">
        <v>45299</v>
      </c>
      <c r="D429" t="s">
        <v>154</v>
      </c>
      <c r="E429">
        <v>49.5</v>
      </c>
      <c r="F429" t="s">
        <v>88</v>
      </c>
      <c r="G429" t="s">
        <v>155</v>
      </c>
      <c r="H429" t="s">
        <v>28</v>
      </c>
      <c r="I429" t="s">
        <v>69</v>
      </c>
      <c r="J429" s="27">
        <v>45292</v>
      </c>
      <c r="K429">
        <v>2024</v>
      </c>
      <c r="L429" s="27">
        <v>45299</v>
      </c>
      <c r="M429">
        <v>1261.92</v>
      </c>
      <c r="N429">
        <v>1</v>
      </c>
      <c r="O429" t="s">
        <v>90</v>
      </c>
      <c r="P429">
        <f t="shared" si="6"/>
        <v>0</v>
      </c>
    </row>
    <row r="430" spans="1:16" hidden="1" x14ac:dyDescent="0.25">
      <c r="A430" s="8">
        <v>425</v>
      </c>
      <c r="B430">
        <v>34</v>
      </c>
      <c r="C430" s="27">
        <v>45299</v>
      </c>
      <c r="D430" t="s">
        <v>113</v>
      </c>
      <c r="E430">
        <v>12.75</v>
      </c>
      <c r="F430" t="s">
        <v>88</v>
      </c>
      <c r="G430" t="s">
        <v>114</v>
      </c>
      <c r="H430" t="s">
        <v>14</v>
      </c>
      <c r="I430" t="s">
        <v>93</v>
      </c>
      <c r="J430" s="27">
        <v>45292</v>
      </c>
      <c r="K430">
        <v>2024</v>
      </c>
      <c r="L430" s="27">
        <v>45299</v>
      </c>
      <c r="M430">
        <v>1274.67</v>
      </c>
      <c r="N430">
        <v>4</v>
      </c>
      <c r="O430" t="s">
        <v>90</v>
      </c>
      <c r="P430">
        <f t="shared" si="6"/>
        <v>0</v>
      </c>
    </row>
    <row r="431" spans="1:16" hidden="1" x14ac:dyDescent="0.25">
      <c r="A431" s="8">
        <v>426</v>
      </c>
      <c r="B431">
        <v>35</v>
      </c>
      <c r="C431" s="27">
        <v>45299</v>
      </c>
      <c r="D431" t="s">
        <v>156</v>
      </c>
      <c r="E431">
        <v>15.9</v>
      </c>
      <c r="F431" t="s">
        <v>116</v>
      </c>
      <c r="G431" t="s">
        <v>141</v>
      </c>
      <c r="H431" t="s">
        <v>14</v>
      </c>
      <c r="I431" t="s">
        <v>118</v>
      </c>
      <c r="J431" s="27">
        <v>45292</v>
      </c>
      <c r="K431">
        <v>2024</v>
      </c>
      <c r="L431" s="27">
        <v>45299</v>
      </c>
      <c r="M431">
        <v>1290.57</v>
      </c>
      <c r="N431">
        <v>1</v>
      </c>
      <c r="O431" t="s">
        <v>90</v>
      </c>
      <c r="P431">
        <f t="shared" si="6"/>
        <v>0</v>
      </c>
    </row>
    <row r="432" spans="1:16" hidden="1" x14ac:dyDescent="0.25">
      <c r="A432" s="8">
        <v>427</v>
      </c>
      <c r="B432">
        <v>36</v>
      </c>
      <c r="C432" s="27">
        <v>45299</v>
      </c>
      <c r="D432" t="s">
        <v>150</v>
      </c>
      <c r="E432">
        <v>9.5</v>
      </c>
      <c r="F432" t="s">
        <v>95</v>
      </c>
      <c r="G432" t="s">
        <v>151</v>
      </c>
      <c r="H432" t="s">
        <v>14</v>
      </c>
      <c r="I432" t="s">
        <v>93</v>
      </c>
      <c r="J432" s="27">
        <v>45292</v>
      </c>
      <c r="K432">
        <v>2024</v>
      </c>
      <c r="L432" s="27">
        <v>45299</v>
      </c>
      <c r="M432">
        <v>1300.07</v>
      </c>
      <c r="N432">
        <v>1</v>
      </c>
      <c r="O432" t="s">
        <v>90</v>
      </c>
      <c r="P432">
        <f t="shared" si="6"/>
        <v>0</v>
      </c>
    </row>
    <row r="433" spans="1:16" hidden="1" x14ac:dyDescent="0.25">
      <c r="A433" s="8">
        <v>428</v>
      </c>
      <c r="B433">
        <v>37</v>
      </c>
      <c r="C433" s="27">
        <v>45299</v>
      </c>
      <c r="D433" t="s">
        <v>146</v>
      </c>
      <c r="E433">
        <v>25</v>
      </c>
      <c r="F433" t="s">
        <v>95</v>
      </c>
      <c r="G433" t="s">
        <v>147</v>
      </c>
      <c r="H433" t="s">
        <v>14</v>
      </c>
      <c r="I433" t="s">
        <v>69</v>
      </c>
      <c r="J433" s="27">
        <v>45292</v>
      </c>
      <c r="K433">
        <v>2024</v>
      </c>
      <c r="L433" s="27">
        <v>45299</v>
      </c>
      <c r="M433">
        <v>1325.07</v>
      </c>
      <c r="N433">
        <v>1</v>
      </c>
      <c r="O433" t="s">
        <v>90</v>
      </c>
      <c r="P433">
        <f t="shared" si="6"/>
        <v>0</v>
      </c>
    </row>
    <row r="434" spans="1:16" hidden="1" x14ac:dyDescent="0.25">
      <c r="A434" s="8">
        <v>429</v>
      </c>
      <c r="B434">
        <v>38</v>
      </c>
      <c r="C434" s="27">
        <v>45299</v>
      </c>
      <c r="D434" t="s">
        <v>145</v>
      </c>
      <c r="E434">
        <v>63.44</v>
      </c>
      <c r="F434" t="s">
        <v>106</v>
      </c>
      <c r="G434" t="s">
        <v>137</v>
      </c>
      <c r="H434" t="s">
        <v>14</v>
      </c>
      <c r="I434" t="s">
        <v>118</v>
      </c>
      <c r="J434" s="27">
        <v>45292</v>
      </c>
      <c r="K434">
        <v>2024</v>
      </c>
      <c r="L434" s="27">
        <v>45299</v>
      </c>
      <c r="M434">
        <v>1388.51</v>
      </c>
      <c r="N434">
        <v>2</v>
      </c>
      <c r="O434" t="s">
        <v>90</v>
      </c>
      <c r="P434">
        <f t="shared" si="6"/>
        <v>0</v>
      </c>
    </row>
    <row r="435" spans="1:16" hidden="1" x14ac:dyDescent="0.25">
      <c r="A435" s="8">
        <v>430</v>
      </c>
      <c r="B435">
        <v>39</v>
      </c>
      <c r="C435" s="27">
        <v>45299</v>
      </c>
      <c r="D435" t="s">
        <v>148</v>
      </c>
      <c r="E435">
        <v>58.85</v>
      </c>
      <c r="F435" t="s">
        <v>136</v>
      </c>
      <c r="G435" t="s">
        <v>149</v>
      </c>
      <c r="H435" t="s">
        <v>14</v>
      </c>
      <c r="I435" t="s">
        <v>93</v>
      </c>
      <c r="J435" s="27">
        <v>45292</v>
      </c>
      <c r="K435">
        <v>2024</v>
      </c>
      <c r="L435" s="27">
        <v>45299</v>
      </c>
      <c r="M435">
        <v>1447.36</v>
      </c>
      <c r="N435">
        <v>1</v>
      </c>
      <c r="O435" t="s">
        <v>90</v>
      </c>
      <c r="P435">
        <f t="shared" si="6"/>
        <v>0</v>
      </c>
    </row>
    <row r="436" spans="1:16" hidden="1" x14ac:dyDescent="0.25">
      <c r="A436" s="8">
        <v>431</v>
      </c>
      <c r="B436">
        <v>40</v>
      </c>
      <c r="C436" s="27">
        <v>45300</v>
      </c>
      <c r="D436" t="s">
        <v>160</v>
      </c>
      <c r="E436">
        <v>16.309999999999999</v>
      </c>
      <c r="F436" t="s">
        <v>116</v>
      </c>
      <c r="G436" t="s">
        <v>117</v>
      </c>
      <c r="H436" t="s">
        <v>14</v>
      </c>
      <c r="I436" t="s">
        <v>118</v>
      </c>
      <c r="J436" s="27">
        <v>45292</v>
      </c>
      <c r="K436">
        <v>2024</v>
      </c>
      <c r="L436" s="27">
        <v>45300</v>
      </c>
      <c r="M436">
        <v>1463.67</v>
      </c>
      <c r="N436">
        <v>4</v>
      </c>
      <c r="O436" t="s">
        <v>90</v>
      </c>
      <c r="P436">
        <f t="shared" si="6"/>
        <v>0</v>
      </c>
    </row>
    <row r="437" spans="1:16" hidden="1" x14ac:dyDescent="0.25">
      <c r="A437" s="8">
        <v>432</v>
      </c>
      <c r="B437">
        <v>41</v>
      </c>
      <c r="C437" s="27">
        <v>45300</v>
      </c>
      <c r="D437" t="s">
        <v>158</v>
      </c>
      <c r="E437">
        <v>15</v>
      </c>
      <c r="F437" t="s">
        <v>88</v>
      </c>
      <c r="G437" t="s">
        <v>159</v>
      </c>
      <c r="H437" t="s">
        <v>28</v>
      </c>
      <c r="I437" t="s">
        <v>69</v>
      </c>
      <c r="J437" s="27">
        <v>45292</v>
      </c>
      <c r="K437">
        <v>2024</v>
      </c>
      <c r="L437" s="27">
        <v>45300</v>
      </c>
      <c r="M437">
        <v>1478.67</v>
      </c>
      <c r="N437">
        <v>1</v>
      </c>
      <c r="O437" t="s">
        <v>90</v>
      </c>
      <c r="P437">
        <f t="shared" si="6"/>
        <v>0</v>
      </c>
    </row>
    <row r="438" spans="1:16" hidden="1" x14ac:dyDescent="0.25">
      <c r="A438" s="8">
        <v>433</v>
      </c>
      <c r="B438">
        <v>42</v>
      </c>
      <c r="C438" s="27">
        <v>45300</v>
      </c>
      <c r="D438" t="s">
        <v>113</v>
      </c>
      <c r="E438">
        <v>10.62</v>
      </c>
      <c r="F438" t="s">
        <v>88</v>
      </c>
      <c r="G438" t="s">
        <v>114</v>
      </c>
      <c r="H438" t="s">
        <v>14</v>
      </c>
      <c r="I438" t="s">
        <v>93</v>
      </c>
      <c r="J438" s="27">
        <v>45292</v>
      </c>
      <c r="K438">
        <v>2024</v>
      </c>
      <c r="L438" s="27">
        <v>45300</v>
      </c>
      <c r="M438">
        <v>1489.29</v>
      </c>
      <c r="N438">
        <v>5</v>
      </c>
      <c r="O438" t="s">
        <v>90</v>
      </c>
      <c r="P438">
        <f t="shared" si="6"/>
        <v>0</v>
      </c>
    </row>
    <row r="439" spans="1:16" hidden="1" x14ac:dyDescent="0.25">
      <c r="A439" s="8">
        <v>434</v>
      </c>
      <c r="B439">
        <v>43</v>
      </c>
      <c r="C439" s="27">
        <v>45301</v>
      </c>
      <c r="D439" t="s">
        <v>161</v>
      </c>
      <c r="E439">
        <v>6</v>
      </c>
      <c r="F439" t="s">
        <v>95</v>
      </c>
      <c r="G439" t="s">
        <v>13</v>
      </c>
      <c r="H439" t="s">
        <v>14</v>
      </c>
      <c r="I439" t="s">
        <v>15</v>
      </c>
      <c r="J439" s="27">
        <v>45292</v>
      </c>
      <c r="K439">
        <v>2024</v>
      </c>
      <c r="L439" s="27">
        <v>45301</v>
      </c>
      <c r="M439">
        <v>1495.29</v>
      </c>
      <c r="N439">
        <v>1</v>
      </c>
      <c r="O439" t="s">
        <v>90</v>
      </c>
      <c r="P439">
        <f t="shared" si="6"/>
        <v>0</v>
      </c>
    </row>
    <row r="440" spans="1:16" hidden="1" x14ac:dyDescent="0.25">
      <c r="A440" s="8">
        <v>435</v>
      </c>
      <c r="B440">
        <v>44</v>
      </c>
      <c r="C440" s="27">
        <v>45301</v>
      </c>
      <c r="D440" t="s">
        <v>162</v>
      </c>
      <c r="E440">
        <v>-1382.28</v>
      </c>
      <c r="F440" t="s">
        <v>163</v>
      </c>
      <c r="G440" t="s">
        <v>164</v>
      </c>
      <c r="H440" t="s">
        <v>14</v>
      </c>
      <c r="I440" t="s">
        <v>80</v>
      </c>
      <c r="J440" s="27">
        <v>45292</v>
      </c>
      <c r="K440">
        <v>2024</v>
      </c>
      <c r="L440" s="27">
        <v>45301</v>
      </c>
      <c r="M440">
        <v>113.00999999999981</v>
      </c>
      <c r="N440">
        <v>1</v>
      </c>
      <c r="O440" t="s">
        <v>90</v>
      </c>
      <c r="P440">
        <f t="shared" si="6"/>
        <v>0</v>
      </c>
    </row>
    <row r="441" spans="1:16" hidden="1" x14ac:dyDescent="0.25">
      <c r="A441" s="8">
        <v>436</v>
      </c>
      <c r="B441">
        <v>45</v>
      </c>
      <c r="C441" s="27">
        <v>45301</v>
      </c>
      <c r="D441" t="s">
        <v>165</v>
      </c>
      <c r="E441">
        <v>11.29</v>
      </c>
      <c r="F441" t="s">
        <v>116</v>
      </c>
      <c r="G441" t="s">
        <v>141</v>
      </c>
      <c r="H441" t="s">
        <v>14</v>
      </c>
      <c r="I441" t="s">
        <v>118</v>
      </c>
      <c r="J441" s="27">
        <v>45292</v>
      </c>
      <c r="K441">
        <v>2024</v>
      </c>
      <c r="L441" s="27">
        <v>45301</v>
      </c>
      <c r="M441">
        <v>124.2999999999998</v>
      </c>
      <c r="N441">
        <v>2</v>
      </c>
      <c r="O441" t="s">
        <v>90</v>
      </c>
      <c r="P441">
        <f t="shared" si="6"/>
        <v>0</v>
      </c>
    </row>
    <row r="442" spans="1:16" hidden="1" x14ac:dyDescent="0.25">
      <c r="A442" s="8">
        <v>437</v>
      </c>
      <c r="B442">
        <v>46</v>
      </c>
      <c r="C442" s="27">
        <v>45301</v>
      </c>
      <c r="D442" t="s">
        <v>166</v>
      </c>
      <c r="E442">
        <v>54.89</v>
      </c>
      <c r="F442" t="s">
        <v>116</v>
      </c>
      <c r="G442" t="s">
        <v>117</v>
      </c>
      <c r="H442" t="s">
        <v>14</v>
      </c>
      <c r="I442" t="s">
        <v>118</v>
      </c>
      <c r="J442" s="27">
        <v>45292</v>
      </c>
      <c r="K442">
        <v>2024</v>
      </c>
      <c r="L442" s="27">
        <v>45301</v>
      </c>
      <c r="M442">
        <v>179.1899999999998</v>
      </c>
      <c r="N442">
        <v>5</v>
      </c>
      <c r="O442" t="s">
        <v>90</v>
      </c>
      <c r="P442">
        <f t="shared" si="6"/>
        <v>0</v>
      </c>
    </row>
    <row r="443" spans="1:16" hidden="1" x14ac:dyDescent="0.25">
      <c r="A443" s="8">
        <v>438</v>
      </c>
      <c r="B443">
        <v>47</v>
      </c>
      <c r="C443" s="27">
        <v>45302</v>
      </c>
      <c r="D443" t="s">
        <v>150</v>
      </c>
      <c r="E443">
        <v>24.5</v>
      </c>
      <c r="F443" t="s">
        <v>95</v>
      </c>
      <c r="G443" t="s">
        <v>151</v>
      </c>
      <c r="H443" t="s">
        <v>14</v>
      </c>
      <c r="I443" t="s">
        <v>93</v>
      </c>
      <c r="J443" s="27">
        <v>45292</v>
      </c>
      <c r="K443">
        <v>2024</v>
      </c>
      <c r="L443" s="27">
        <v>45302</v>
      </c>
      <c r="M443">
        <v>203.6899999999998</v>
      </c>
      <c r="N443">
        <v>2</v>
      </c>
      <c r="O443" t="s">
        <v>90</v>
      </c>
      <c r="P443">
        <f t="shared" si="6"/>
        <v>0</v>
      </c>
    </row>
    <row r="444" spans="1:16" hidden="1" x14ac:dyDescent="0.25">
      <c r="A444" s="8">
        <v>439</v>
      </c>
      <c r="B444">
        <v>48</v>
      </c>
      <c r="C444" s="27">
        <v>45302</v>
      </c>
      <c r="D444" t="s">
        <v>170</v>
      </c>
      <c r="E444">
        <v>68.17</v>
      </c>
      <c r="F444" t="s">
        <v>88</v>
      </c>
      <c r="G444" t="s">
        <v>151</v>
      </c>
      <c r="H444" t="s">
        <v>14</v>
      </c>
      <c r="I444" t="s">
        <v>93</v>
      </c>
      <c r="J444" s="27">
        <v>45292</v>
      </c>
      <c r="K444">
        <v>2024</v>
      </c>
      <c r="L444" s="27">
        <v>45302</v>
      </c>
      <c r="M444">
        <v>271.85999999999979</v>
      </c>
      <c r="N444">
        <v>3</v>
      </c>
      <c r="O444" t="s">
        <v>90</v>
      </c>
      <c r="P444">
        <f t="shared" si="6"/>
        <v>0</v>
      </c>
    </row>
    <row r="445" spans="1:16" hidden="1" x14ac:dyDescent="0.25">
      <c r="A445" s="8">
        <v>440</v>
      </c>
      <c r="B445">
        <v>49</v>
      </c>
      <c r="C445" s="27">
        <v>45302</v>
      </c>
      <c r="D445" t="s">
        <v>167</v>
      </c>
      <c r="E445">
        <v>86.9</v>
      </c>
      <c r="F445" t="s">
        <v>88</v>
      </c>
      <c r="G445" t="s">
        <v>168</v>
      </c>
      <c r="H445" t="s">
        <v>14</v>
      </c>
      <c r="I445" t="s">
        <v>69</v>
      </c>
      <c r="J445" s="27">
        <v>45292</v>
      </c>
      <c r="K445">
        <v>2024</v>
      </c>
      <c r="L445" s="27">
        <v>45302</v>
      </c>
      <c r="M445">
        <v>358.75999999999982</v>
      </c>
      <c r="N445">
        <v>1</v>
      </c>
      <c r="O445" t="s">
        <v>90</v>
      </c>
      <c r="P445">
        <f t="shared" si="6"/>
        <v>0</v>
      </c>
    </row>
    <row r="446" spans="1:16" hidden="1" x14ac:dyDescent="0.25">
      <c r="A446" s="8">
        <v>441</v>
      </c>
      <c r="B446">
        <v>50</v>
      </c>
      <c r="C446" s="27">
        <v>45302</v>
      </c>
      <c r="D446" t="s">
        <v>169</v>
      </c>
      <c r="E446">
        <v>99.31</v>
      </c>
      <c r="F446" t="s">
        <v>116</v>
      </c>
      <c r="G446" t="s">
        <v>117</v>
      </c>
      <c r="H446" t="s">
        <v>14</v>
      </c>
      <c r="I446" t="s">
        <v>118</v>
      </c>
      <c r="J446" s="27">
        <v>45292</v>
      </c>
      <c r="K446">
        <v>2024</v>
      </c>
      <c r="L446" s="27">
        <v>45302</v>
      </c>
      <c r="M446">
        <v>458.06999999999982</v>
      </c>
      <c r="N446">
        <v>6</v>
      </c>
      <c r="O446" t="s">
        <v>90</v>
      </c>
      <c r="P446">
        <f t="shared" si="6"/>
        <v>0</v>
      </c>
    </row>
    <row r="447" spans="1:16" hidden="1" x14ac:dyDescent="0.25">
      <c r="A447" s="8">
        <v>442</v>
      </c>
      <c r="B447">
        <v>51</v>
      </c>
      <c r="C447" s="27">
        <v>45303</v>
      </c>
      <c r="D447" t="s">
        <v>171</v>
      </c>
      <c r="E447">
        <v>25</v>
      </c>
      <c r="F447" t="s">
        <v>136</v>
      </c>
      <c r="G447" t="s">
        <v>172</v>
      </c>
      <c r="H447" t="s">
        <v>14</v>
      </c>
      <c r="I447" t="s">
        <v>15</v>
      </c>
      <c r="J447" s="27">
        <v>45292</v>
      </c>
      <c r="K447">
        <v>2024</v>
      </c>
      <c r="L447" s="27">
        <v>45303</v>
      </c>
      <c r="M447">
        <v>483.06999999999982</v>
      </c>
      <c r="N447">
        <v>1</v>
      </c>
      <c r="O447" t="s">
        <v>90</v>
      </c>
      <c r="P447">
        <f t="shared" si="6"/>
        <v>0</v>
      </c>
    </row>
    <row r="448" spans="1:16" hidden="1" x14ac:dyDescent="0.25">
      <c r="A448" s="8">
        <v>443</v>
      </c>
      <c r="B448">
        <v>52</v>
      </c>
      <c r="C448" s="27">
        <v>45303</v>
      </c>
      <c r="D448" t="s">
        <v>173</v>
      </c>
      <c r="E448">
        <v>47.1</v>
      </c>
      <c r="F448" t="s">
        <v>88</v>
      </c>
      <c r="G448" t="s">
        <v>385</v>
      </c>
      <c r="H448" t="s">
        <v>14</v>
      </c>
      <c r="I448" t="s">
        <v>395</v>
      </c>
      <c r="J448" s="27">
        <v>45292</v>
      </c>
      <c r="K448">
        <v>2024</v>
      </c>
      <c r="L448" s="27">
        <v>45303</v>
      </c>
      <c r="M448">
        <v>530.16999999999973</v>
      </c>
      <c r="N448">
        <v>1</v>
      </c>
      <c r="O448" t="s">
        <v>90</v>
      </c>
      <c r="P448">
        <f t="shared" si="6"/>
        <v>0</v>
      </c>
    </row>
    <row r="449" spans="1:16" hidden="1" x14ac:dyDescent="0.25">
      <c r="A449" s="8">
        <v>444</v>
      </c>
      <c r="B449">
        <v>53</v>
      </c>
      <c r="C449" s="27">
        <v>45303</v>
      </c>
      <c r="D449" t="s">
        <v>105</v>
      </c>
      <c r="E449">
        <v>46.39</v>
      </c>
      <c r="F449" t="s">
        <v>106</v>
      </c>
      <c r="G449" t="s">
        <v>107</v>
      </c>
      <c r="H449" t="s">
        <v>14</v>
      </c>
      <c r="I449" t="s">
        <v>69</v>
      </c>
      <c r="J449" s="27">
        <v>45292</v>
      </c>
      <c r="K449">
        <v>2024</v>
      </c>
      <c r="L449" s="27">
        <v>45303</v>
      </c>
      <c r="M449">
        <v>576.55999999999972</v>
      </c>
      <c r="N449">
        <v>4</v>
      </c>
      <c r="O449" t="s">
        <v>90</v>
      </c>
      <c r="P449">
        <f t="shared" si="6"/>
        <v>0</v>
      </c>
    </row>
    <row r="450" spans="1:16" hidden="1" x14ac:dyDescent="0.25">
      <c r="A450" s="8">
        <v>445</v>
      </c>
      <c r="B450">
        <v>54</v>
      </c>
      <c r="C450" s="27">
        <v>45303</v>
      </c>
      <c r="D450" t="s">
        <v>174</v>
      </c>
      <c r="E450">
        <v>71.05</v>
      </c>
      <c r="F450" t="s">
        <v>116</v>
      </c>
      <c r="G450" t="s">
        <v>141</v>
      </c>
      <c r="H450" t="s">
        <v>14</v>
      </c>
      <c r="I450" t="s">
        <v>118</v>
      </c>
      <c r="J450" s="27">
        <v>45292</v>
      </c>
      <c r="K450">
        <v>2024</v>
      </c>
      <c r="L450" s="27">
        <v>45303</v>
      </c>
      <c r="M450">
        <v>647.60999999999967</v>
      </c>
      <c r="N450">
        <v>3</v>
      </c>
      <c r="O450" t="s">
        <v>90</v>
      </c>
      <c r="P450">
        <f t="shared" si="6"/>
        <v>0</v>
      </c>
    </row>
    <row r="451" spans="1:16" hidden="1" x14ac:dyDescent="0.25">
      <c r="A451" s="8">
        <v>446</v>
      </c>
      <c r="B451">
        <v>55</v>
      </c>
      <c r="C451" s="27">
        <v>45304</v>
      </c>
      <c r="D451" t="s">
        <v>175</v>
      </c>
      <c r="E451">
        <v>42.92</v>
      </c>
      <c r="F451" t="s">
        <v>116</v>
      </c>
      <c r="G451" t="s">
        <v>176</v>
      </c>
      <c r="H451" t="s">
        <v>14</v>
      </c>
      <c r="I451" t="s">
        <v>93</v>
      </c>
      <c r="J451" s="27">
        <v>45292</v>
      </c>
      <c r="K451">
        <v>2024</v>
      </c>
      <c r="L451" s="27">
        <v>45304</v>
      </c>
      <c r="M451">
        <v>690.52999999999963</v>
      </c>
      <c r="N451">
        <v>1</v>
      </c>
      <c r="O451" t="s">
        <v>90</v>
      </c>
      <c r="P451">
        <f t="shared" si="6"/>
        <v>0</v>
      </c>
    </row>
    <row r="452" spans="1:16" hidden="1" x14ac:dyDescent="0.25">
      <c r="A452" s="8">
        <v>447</v>
      </c>
      <c r="B452">
        <v>56</v>
      </c>
      <c r="C452" s="27">
        <v>45304</v>
      </c>
      <c r="D452" t="s">
        <v>105</v>
      </c>
      <c r="E452">
        <v>42.64</v>
      </c>
      <c r="F452" t="s">
        <v>106</v>
      </c>
      <c r="G452" t="s">
        <v>107</v>
      </c>
      <c r="H452" t="s">
        <v>14</v>
      </c>
      <c r="I452" t="s">
        <v>69</v>
      </c>
      <c r="J452" s="27">
        <v>45292</v>
      </c>
      <c r="K452">
        <v>2024</v>
      </c>
      <c r="L452" s="27">
        <v>45304</v>
      </c>
      <c r="M452">
        <v>733.16999999999962</v>
      </c>
      <c r="N452">
        <v>5</v>
      </c>
      <c r="O452" t="s">
        <v>90</v>
      </c>
      <c r="P452">
        <f t="shared" si="6"/>
        <v>0</v>
      </c>
    </row>
    <row r="453" spans="1:16" hidden="1" x14ac:dyDescent="0.25">
      <c r="A453" s="8">
        <v>448</v>
      </c>
      <c r="B453">
        <v>57</v>
      </c>
      <c r="C453" s="27">
        <v>45305</v>
      </c>
      <c r="D453" t="s">
        <v>178</v>
      </c>
      <c r="E453">
        <v>45</v>
      </c>
      <c r="F453" t="s">
        <v>95</v>
      </c>
      <c r="G453" t="s">
        <v>179</v>
      </c>
      <c r="H453" t="s">
        <v>14</v>
      </c>
      <c r="I453" t="s">
        <v>93</v>
      </c>
      <c r="J453" s="27">
        <v>45292</v>
      </c>
      <c r="K453">
        <v>2024</v>
      </c>
      <c r="L453" s="27">
        <v>45305</v>
      </c>
      <c r="M453">
        <v>778.16999999999962</v>
      </c>
      <c r="N453">
        <v>1</v>
      </c>
      <c r="O453" t="s">
        <v>90</v>
      </c>
      <c r="P453">
        <f t="shared" ref="P453:P516" si="7">IF(J453&lt;&gt;J454, 1, 0)</f>
        <v>0</v>
      </c>
    </row>
    <row r="454" spans="1:16" hidden="1" x14ac:dyDescent="0.25">
      <c r="A454" s="8">
        <v>449</v>
      </c>
      <c r="B454">
        <v>58</v>
      </c>
      <c r="C454" s="27">
        <v>45305</v>
      </c>
      <c r="D454" t="s">
        <v>177</v>
      </c>
      <c r="E454">
        <v>33.409999999999997</v>
      </c>
      <c r="F454" t="s">
        <v>116</v>
      </c>
      <c r="G454" t="s">
        <v>141</v>
      </c>
      <c r="H454" t="s">
        <v>14</v>
      </c>
      <c r="I454" t="s">
        <v>118</v>
      </c>
      <c r="J454" s="27">
        <v>45292</v>
      </c>
      <c r="K454">
        <v>2024</v>
      </c>
      <c r="L454" s="27">
        <v>45305</v>
      </c>
      <c r="M454">
        <v>811.57999999999959</v>
      </c>
      <c r="N454">
        <v>4</v>
      </c>
      <c r="O454" t="s">
        <v>90</v>
      </c>
      <c r="P454">
        <f t="shared" si="7"/>
        <v>0</v>
      </c>
    </row>
    <row r="455" spans="1:16" hidden="1" x14ac:dyDescent="0.25">
      <c r="A455" s="8">
        <v>450</v>
      </c>
      <c r="B455">
        <v>59</v>
      </c>
      <c r="C455" s="27">
        <v>45306</v>
      </c>
      <c r="D455" t="s">
        <v>180</v>
      </c>
      <c r="E455">
        <v>9.2799999999999994</v>
      </c>
      <c r="F455" t="s">
        <v>116</v>
      </c>
      <c r="G455" t="s">
        <v>141</v>
      </c>
      <c r="H455" t="s">
        <v>14</v>
      </c>
      <c r="I455" t="s">
        <v>118</v>
      </c>
      <c r="J455" s="27">
        <v>45292</v>
      </c>
      <c r="K455">
        <v>2024</v>
      </c>
      <c r="L455" s="27">
        <v>45306</v>
      </c>
      <c r="M455">
        <v>820.85999999999956</v>
      </c>
      <c r="N455">
        <v>5</v>
      </c>
      <c r="O455" t="s">
        <v>90</v>
      </c>
      <c r="P455">
        <f t="shared" si="7"/>
        <v>0</v>
      </c>
    </row>
    <row r="456" spans="1:16" hidden="1" x14ac:dyDescent="0.25">
      <c r="A456" s="8">
        <v>451</v>
      </c>
      <c r="B456">
        <v>60</v>
      </c>
      <c r="C456" s="27">
        <v>45306</v>
      </c>
      <c r="D456" t="s">
        <v>181</v>
      </c>
      <c r="E456">
        <v>220</v>
      </c>
      <c r="F456" t="s">
        <v>136</v>
      </c>
      <c r="G456" t="s">
        <v>155</v>
      </c>
      <c r="H456" t="s">
        <v>28</v>
      </c>
      <c r="I456" t="s">
        <v>69</v>
      </c>
      <c r="J456" s="27">
        <v>45292</v>
      </c>
      <c r="K456">
        <v>2024</v>
      </c>
      <c r="L456" s="27">
        <v>45306</v>
      </c>
      <c r="M456">
        <v>1040.8599999999999</v>
      </c>
      <c r="N456">
        <v>2</v>
      </c>
      <c r="O456" t="s">
        <v>90</v>
      </c>
      <c r="P456">
        <f t="shared" si="7"/>
        <v>0</v>
      </c>
    </row>
    <row r="457" spans="1:16" hidden="1" x14ac:dyDescent="0.25">
      <c r="A457" s="8">
        <v>452</v>
      </c>
      <c r="B457">
        <v>61</v>
      </c>
      <c r="C457" s="27">
        <v>45306</v>
      </c>
      <c r="D457" t="s">
        <v>182</v>
      </c>
      <c r="E457">
        <v>25.88</v>
      </c>
      <c r="F457" t="s">
        <v>116</v>
      </c>
      <c r="G457" t="s">
        <v>117</v>
      </c>
      <c r="H457" t="s">
        <v>14</v>
      </c>
      <c r="I457" t="s">
        <v>118</v>
      </c>
      <c r="J457" s="27">
        <v>45292</v>
      </c>
      <c r="K457">
        <v>2024</v>
      </c>
      <c r="L457" s="27">
        <v>45306</v>
      </c>
      <c r="M457">
        <v>1066.74</v>
      </c>
      <c r="N457">
        <v>7</v>
      </c>
      <c r="O457" t="s">
        <v>90</v>
      </c>
      <c r="P457">
        <f t="shared" si="7"/>
        <v>0</v>
      </c>
    </row>
    <row r="458" spans="1:16" hidden="1" x14ac:dyDescent="0.25">
      <c r="A458" s="8">
        <v>453</v>
      </c>
      <c r="B458">
        <v>62</v>
      </c>
      <c r="C458" s="27">
        <v>45306</v>
      </c>
      <c r="D458" t="s">
        <v>105</v>
      </c>
      <c r="E458">
        <v>81.8</v>
      </c>
      <c r="F458" t="s">
        <v>106</v>
      </c>
      <c r="G458" t="s">
        <v>107</v>
      </c>
      <c r="H458" t="s">
        <v>14</v>
      </c>
      <c r="I458" t="s">
        <v>69</v>
      </c>
      <c r="J458" s="27">
        <v>45292</v>
      </c>
      <c r="K458">
        <v>2024</v>
      </c>
      <c r="L458" s="27">
        <v>45306</v>
      </c>
      <c r="M458">
        <v>1148.54</v>
      </c>
      <c r="N458">
        <v>6</v>
      </c>
      <c r="O458" t="s">
        <v>90</v>
      </c>
      <c r="P458">
        <f t="shared" si="7"/>
        <v>0</v>
      </c>
    </row>
    <row r="459" spans="1:16" hidden="1" x14ac:dyDescent="0.25">
      <c r="A459" s="8">
        <v>454</v>
      </c>
      <c r="B459">
        <v>63</v>
      </c>
      <c r="C459" s="27">
        <v>45307</v>
      </c>
      <c r="D459" t="s">
        <v>188</v>
      </c>
      <c r="E459">
        <v>71.34</v>
      </c>
      <c r="F459" t="s">
        <v>116</v>
      </c>
      <c r="G459" t="s">
        <v>117</v>
      </c>
      <c r="H459" t="s">
        <v>14</v>
      </c>
      <c r="I459" t="s">
        <v>118</v>
      </c>
      <c r="J459" s="27">
        <v>45292</v>
      </c>
      <c r="K459">
        <v>2024</v>
      </c>
      <c r="L459" s="27">
        <v>45307</v>
      </c>
      <c r="M459">
        <v>1219.8800000000001</v>
      </c>
      <c r="N459">
        <v>8</v>
      </c>
      <c r="O459" t="s">
        <v>90</v>
      </c>
      <c r="P459">
        <f t="shared" si="7"/>
        <v>0</v>
      </c>
    </row>
    <row r="460" spans="1:16" hidden="1" x14ac:dyDescent="0.25">
      <c r="A460" s="8">
        <v>455</v>
      </c>
      <c r="B460">
        <v>64</v>
      </c>
      <c r="C460" s="27">
        <v>45307</v>
      </c>
      <c r="D460" t="s">
        <v>184</v>
      </c>
      <c r="E460">
        <v>13.73</v>
      </c>
      <c r="F460" t="s">
        <v>133</v>
      </c>
      <c r="G460" t="s">
        <v>134</v>
      </c>
      <c r="H460" t="s">
        <v>14</v>
      </c>
      <c r="I460" t="s">
        <v>15</v>
      </c>
      <c r="J460" s="27">
        <v>45292</v>
      </c>
      <c r="K460">
        <v>2024</v>
      </c>
      <c r="L460" s="27">
        <v>45307</v>
      </c>
      <c r="M460">
        <v>1233.6099999999999</v>
      </c>
      <c r="N460">
        <v>3</v>
      </c>
      <c r="O460" t="s">
        <v>90</v>
      </c>
      <c r="P460">
        <f t="shared" si="7"/>
        <v>0</v>
      </c>
    </row>
    <row r="461" spans="1:16" hidden="1" x14ac:dyDescent="0.25">
      <c r="A461" s="8">
        <v>456</v>
      </c>
      <c r="B461">
        <v>65</v>
      </c>
      <c r="C461" s="27">
        <v>45307</v>
      </c>
      <c r="D461" t="s">
        <v>184</v>
      </c>
      <c r="E461">
        <v>47.01</v>
      </c>
      <c r="F461" t="s">
        <v>133</v>
      </c>
      <c r="G461" t="s">
        <v>134</v>
      </c>
      <c r="H461" t="s">
        <v>14</v>
      </c>
      <c r="I461" t="s">
        <v>15</v>
      </c>
      <c r="J461" s="27">
        <v>45292</v>
      </c>
      <c r="K461">
        <v>2024</v>
      </c>
      <c r="L461" s="27">
        <v>45307</v>
      </c>
      <c r="M461">
        <v>1280.6199999999999</v>
      </c>
      <c r="N461">
        <v>4</v>
      </c>
      <c r="O461" t="s">
        <v>90</v>
      </c>
      <c r="P461">
        <f t="shared" si="7"/>
        <v>0</v>
      </c>
    </row>
    <row r="462" spans="1:16" hidden="1" x14ac:dyDescent="0.25">
      <c r="A462" s="8">
        <v>457</v>
      </c>
      <c r="B462">
        <v>66</v>
      </c>
      <c r="C462" s="27">
        <v>45307</v>
      </c>
      <c r="D462" t="s">
        <v>183</v>
      </c>
      <c r="E462">
        <v>69.510000000000005</v>
      </c>
      <c r="F462" t="s">
        <v>88</v>
      </c>
      <c r="G462" t="s">
        <v>128</v>
      </c>
      <c r="H462" t="s">
        <v>14</v>
      </c>
      <c r="I462" t="s">
        <v>69</v>
      </c>
      <c r="J462" s="27">
        <v>45292</v>
      </c>
      <c r="K462">
        <v>2024</v>
      </c>
      <c r="L462" s="27">
        <v>45307</v>
      </c>
      <c r="M462">
        <v>1350.13</v>
      </c>
      <c r="N462">
        <v>2</v>
      </c>
      <c r="O462" t="s">
        <v>90</v>
      </c>
      <c r="P462">
        <f t="shared" si="7"/>
        <v>0</v>
      </c>
    </row>
    <row r="463" spans="1:16" hidden="1" x14ac:dyDescent="0.25">
      <c r="A463" s="8">
        <v>458</v>
      </c>
      <c r="B463">
        <v>67</v>
      </c>
      <c r="C463" s="27">
        <v>45307</v>
      </c>
      <c r="D463" t="s">
        <v>185</v>
      </c>
      <c r="E463">
        <v>90.83</v>
      </c>
      <c r="F463" t="s">
        <v>88</v>
      </c>
      <c r="G463" t="s">
        <v>186</v>
      </c>
      <c r="H463" t="s">
        <v>28</v>
      </c>
      <c r="I463" t="s">
        <v>187</v>
      </c>
      <c r="J463" s="27">
        <v>45292</v>
      </c>
      <c r="K463">
        <v>2024</v>
      </c>
      <c r="L463" s="27">
        <v>45307</v>
      </c>
      <c r="M463">
        <v>1440.96</v>
      </c>
      <c r="N463">
        <v>1</v>
      </c>
      <c r="O463" t="s">
        <v>90</v>
      </c>
      <c r="P463">
        <f t="shared" si="7"/>
        <v>0</v>
      </c>
    </row>
    <row r="464" spans="1:16" hidden="1" x14ac:dyDescent="0.25">
      <c r="A464" s="8">
        <v>459</v>
      </c>
      <c r="B464">
        <v>68</v>
      </c>
      <c r="C464" s="27">
        <v>45308</v>
      </c>
      <c r="D464" t="s">
        <v>91</v>
      </c>
      <c r="E464">
        <v>10.99</v>
      </c>
      <c r="F464" t="s">
        <v>88</v>
      </c>
      <c r="G464" t="s">
        <v>92</v>
      </c>
      <c r="H464" t="s">
        <v>14</v>
      </c>
      <c r="I464" t="s">
        <v>93</v>
      </c>
      <c r="J464" s="27">
        <v>45292</v>
      </c>
      <c r="K464">
        <v>2024</v>
      </c>
      <c r="L464" s="27">
        <v>45308</v>
      </c>
      <c r="M464">
        <v>1451.95</v>
      </c>
      <c r="N464">
        <v>2</v>
      </c>
      <c r="O464" t="s">
        <v>90</v>
      </c>
      <c r="P464">
        <f t="shared" si="7"/>
        <v>0</v>
      </c>
    </row>
    <row r="465" spans="1:16" hidden="1" x14ac:dyDescent="0.25">
      <c r="A465" s="8">
        <v>460</v>
      </c>
      <c r="B465">
        <v>69</v>
      </c>
      <c r="C465" s="27">
        <v>45308</v>
      </c>
      <c r="D465" t="s">
        <v>189</v>
      </c>
      <c r="E465">
        <v>41.28</v>
      </c>
      <c r="F465" t="s">
        <v>106</v>
      </c>
      <c r="G465" t="s">
        <v>137</v>
      </c>
      <c r="H465" t="s">
        <v>14</v>
      </c>
      <c r="I465" t="s">
        <v>118</v>
      </c>
      <c r="J465" s="27">
        <v>45292</v>
      </c>
      <c r="K465">
        <v>2024</v>
      </c>
      <c r="L465" s="27">
        <v>45308</v>
      </c>
      <c r="M465">
        <v>1493.23</v>
      </c>
      <c r="N465">
        <v>3</v>
      </c>
      <c r="O465" t="s">
        <v>90</v>
      </c>
      <c r="P465">
        <f t="shared" si="7"/>
        <v>0</v>
      </c>
    </row>
    <row r="466" spans="1:16" hidden="1" x14ac:dyDescent="0.25">
      <c r="A466" s="8">
        <v>461</v>
      </c>
      <c r="B466">
        <v>70</v>
      </c>
      <c r="C466" s="27">
        <v>45309</v>
      </c>
      <c r="D466" t="s">
        <v>105</v>
      </c>
      <c r="E466">
        <v>48.48</v>
      </c>
      <c r="F466" t="s">
        <v>106</v>
      </c>
      <c r="G466" t="s">
        <v>107</v>
      </c>
      <c r="H466" t="s">
        <v>14</v>
      </c>
      <c r="I466" t="s">
        <v>69</v>
      </c>
      <c r="J466" s="27">
        <v>45292</v>
      </c>
      <c r="K466">
        <v>2024</v>
      </c>
      <c r="L466" s="27">
        <v>45309</v>
      </c>
      <c r="M466">
        <v>1541.71</v>
      </c>
      <c r="N466">
        <v>7</v>
      </c>
      <c r="O466" t="s">
        <v>90</v>
      </c>
      <c r="P466">
        <f t="shared" si="7"/>
        <v>0</v>
      </c>
    </row>
    <row r="467" spans="1:16" hidden="1" x14ac:dyDescent="0.25">
      <c r="A467" s="8">
        <v>462</v>
      </c>
      <c r="B467">
        <v>71</v>
      </c>
      <c r="C467" s="27">
        <v>45310</v>
      </c>
      <c r="D467" t="s">
        <v>198</v>
      </c>
      <c r="E467">
        <v>35</v>
      </c>
      <c r="F467" t="s">
        <v>136</v>
      </c>
      <c r="G467" t="s">
        <v>199</v>
      </c>
      <c r="H467" t="s">
        <v>14</v>
      </c>
      <c r="I467" t="s">
        <v>395</v>
      </c>
      <c r="J467" s="27">
        <v>45292</v>
      </c>
      <c r="K467">
        <v>2024</v>
      </c>
      <c r="L467" s="27">
        <v>45310</v>
      </c>
      <c r="M467">
        <v>1576.71</v>
      </c>
      <c r="N467">
        <v>1</v>
      </c>
      <c r="O467" t="s">
        <v>90</v>
      </c>
      <c r="P467">
        <f t="shared" si="7"/>
        <v>0</v>
      </c>
    </row>
    <row r="468" spans="1:16" hidden="1" x14ac:dyDescent="0.25">
      <c r="A468" s="8">
        <v>463</v>
      </c>
      <c r="B468">
        <v>72</v>
      </c>
      <c r="C468" s="27">
        <v>45310</v>
      </c>
      <c r="D468" t="s">
        <v>197</v>
      </c>
      <c r="E468">
        <v>20.07</v>
      </c>
      <c r="F468" t="s">
        <v>116</v>
      </c>
      <c r="G468" t="s">
        <v>141</v>
      </c>
      <c r="H468" t="s">
        <v>14</v>
      </c>
      <c r="I468" t="s">
        <v>118</v>
      </c>
      <c r="J468" s="27">
        <v>45292</v>
      </c>
      <c r="K468">
        <v>2024</v>
      </c>
      <c r="L468" s="27">
        <v>45310</v>
      </c>
      <c r="M468">
        <v>1596.78</v>
      </c>
      <c r="N468">
        <v>6</v>
      </c>
      <c r="O468" t="s">
        <v>90</v>
      </c>
      <c r="P468">
        <f t="shared" si="7"/>
        <v>0</v>
      </c>
    </row>
    <row r="469" spans="1:16" hidden="1" x14ac:dyDescent="0.25">
      <c r="A469" s="8">
        <v>464</v>
      </c>
      <c r="B469">
        <v>73</v>
      </c>
      <c r="C469" s="27">
        <v>45310</v>
      </c>
      <c r="D469" t="s">
        <v>196</v>
      </c>
      <c r="E469">
        <v>15.93</v>
      </c>
      <c r="F469" t="s">
        <v>116</v>
      </c>
      <c r="G469" t="s">
        <v>117</v>
      </c>
      <c r="H469" t="s">
        <v>14</v>
      </c>
      <c r="I469" t="s">
        <v>118</v>
      </c>
      <c r="J469" s="27">
        <v>45292</v>
      </c>
      <c r="K469">
        <v>2024</v>
      </c>
      <c r="L469" s="27">
        <v>45310</v>
      </c>
      <c r="M469">
        <v>1612.71</v>
      </c>
      <c r="N469">
        <v>9</v>
      </c>
      <c r="O469" t="s">
        <v>90</v>
      </c>
      <c r="P469">
        <f t="shared" si="7"/>
        <v>0</v>
      </c>
    </row>
    <row r="470" spans="1:16" hidden="1" x14ac:dyDescent="0.25">
      <c r="A470" s="8">
        <v>465</v>
      </c>
      <c r="B470">
        <v>74</v>
      </c>
      <c r="C470" s="27">
        <v>45310</v>
      </c>
      <c r="D470" t="s">
        <v>190</v>
      </c>
      <c r="E470">
        <v>11.45</v>
      </c>
      <c r="F470" t="s">
        <v>88</v>
      </c>
      <c r="G470" t="s">
        <v>137</v>
      </c>
      <c r="H470" t="s">
        <v>14</v>
      </c>
      <c r="I470" t="s">
        <v>118</v>
      </c>
      <c r="J470" s="27">
        <v>45292</v>
      </c>
      <c r="K470">
        <v>2024</v>
      </c>
      <c r="L470" s="27">
        <v>45310</v>
      </c>
      <c r="M470">
        <v>1624.16</v>
      </c>
      <c r="N470">
        <v>4</v>
      </c>
      <c r="O470" t="s">
        <v>90</v>
      </c>
      <c r="P470">
        <f t="shared" si="7"/>
        <v>0</v>
      </c>
    </row>
    <row r="471" spans="1:16" hidden="1" x14ac:dyDescent="0.25">
      <c r="A471" s="8">
        <v>466</v>
      </c>
      <c r="B471">
        <v>75</v>
      </c>
      <c r="C471" s="27">
        <v>45310</v>
      </c>
      <c r="D471" t="s">
        <v>191</v>
      </c>
      <c r="E471">
        <v>20.16</v>
      </c>
      <c r="F471" t="s">
        <v>192</v>
      </c>
      <c r="G471" t="s">
        <v>193</v>
      </c>
      <c r="H471" t="s">
        <v>14</v>
      </c>
      <c r="I471" t="s">
        <v>40</v>
      </c>
      <c r="J471" s="27">
        <v>45292</v>
      </c>
      <c r="K471">
        <v>2024</v>
      </c>
      <c r="L471" s="27">
        <v>45310</v>
      </c>
      <c r="M471">
        <v>1644.32</v>
      </c>
      <c r="N471">
        <v>1</v>
      </c>
      <c r="O471" t="s">
        <v>90</v>
      </c>
      <c r="P471">
        <f t="shared" si="7"/>
        <v>0</v>
      </c>
    </row>
    <row r="472" spans="1:16" hidden="1" x14ac:dyDescent="0.25">
      <c r="A472" s="8">
        <v>467</v>
      </c>
      <c r="B472">
        <v>76</v>
      </c>
      <c r="C472" s="27">
        <v>45310</v>
      </c>
      <c r="D472" t="s">
        <v>194</v>
      </c>
      <c r="E472">
        <v>9.57</v>
      </c>
      <c r="F472" t="s">
        <v>88</v>
      </c>
      <c r="G472" t="s">
        <v>195</v>
      </c>
      <c r="H472" t="s">
        <v>14</v>
      </c>
      <c r="I472" t="s">
        <v>395</v>
      </c>
      <c r="J472" s="27">
        <v>45292</v>
      </c>
      <c r="K472">
        <v>2024</v>
      </c>
      <c r="L472" s="27">
        <v>45310</v>
      </c>
      <c r="M472">
        <v>1653.89</v>
      </c>
      <c r="N472">
        <v>1</v>
      </c>
      <c r="O472" t="s">
        <v>90</v>
      </c>
      <c r="P472">
        <f t="shared" si="7"/>
        <v>0</v>
      </c>
    </row>
    <row r="473" spans="1:16" hidden="1" x14ac:dyDescent="0.25">
      <c r="A473" s="8">
        <v>468</v>
      </c>
      <c r="B473">
        <v>77</v>
      </c>
      <c r="C473" s="27">
        <v>45311</v>
      </c>
      <c r="D473" t="s">
        <v>200</v>
      </c>
      <c r="E473">
        <v>11.9</v>
      </c>
      <c r="F473" t="s">
        <v>116</v>
      </c>
      <c r="G473" t="s">
        <v>143</v>
      </c>
      <c r="H473" t="s">
        <v>14</v>
      </c>
      <c r="I473" t="s">
        <v>118</v>
      </c>
      <c r="J473" s="27">
        <v>45292</v>
      </c>
      <c r="K473">
        <v>2024</v>
      </c>
      <c r="L473" s="27">
        <v>45311</v>
      </c>
      <c r="M473">
        <v>1665.79</v>
      </c>
      <c r="N473">
        <v>2</v>
      </c>
      <c r="O473" t="s">
        <v>90</v>
      </c>
      <c r="P473">
        <f t="shared" si="7"/>
        <v>0</v>
      </c>
    </row>
    <row r="474" spans="1:16" hidden="1" x14ac:dyDescent="0.25">
      <c r="A474" s="8">
        <v>469</v>
      </c>
      <c r="B474">
        <v>78</v>
      </c>
      <c r="C474" s="27">
        <v>45311</v>
      </c>
      <c r="D474" t="s">
        <v>201</v>
      </c>
      <c r="E474">
        <v>156.57</v>
      </c>
      <c r="F474" t="s">
        <v>106</v>
      </c>
      <c r="G474" t="s">
        <v>107</v>
      </c>
      <c r="H474" t="s">
        <v>14</v>
      </c>
      <c r="I474" t="s">
        <v>69</v>
      </c>
      <c r="J474" s="27">
        <v>45292</v>
      </c>
      <c r="K474">
        <v>2024</v>
      </c>
      <c r="L474" s="27">
        <v>45311</v>
      </c>
      <c r="M474">
        <v>1822.36</v>
      </c>
      <c r="N474">
        <v>8</v>
      </c>
      <c r="O474" t="s">
        <v>90</v>
      </c>
      <c r="P474">
        <f t="shared" si="7"/>
        <v>0</v>
      </c>
    </row>
    <row r="475" spans="1:16" hidden="1" x14ac:dyDescent="0.25">
      <c r="A475" s="8">
        <v>470</v>
      </c>
      <c r="B475">
        <v>79</v>
      </c>
      <c r="C475" s="27">
        <v>45311</v>
      </c>
      <c r="D475" t="s">
        <v>202</v>
      </c>
      <c r="E475">
        <v>35</v>
      </c>
      <c r="F475" t="s">
        <v>136</v>
      </c>
      <c r="G475" t="s">
        <v>199</v>
      </c>
      <c r="H475" t="s">
        <v>14</v>
      </c>
      <c r="I475" t="s">
        <v>395</v>
      </c>
      <c r="J475" s="27">
        <v>45292</v>
      </c>
      <c r="K475">
        <v>2024</v>
      </c>
      <c r="L475" s="27">
        <v>45311</v>
      </c>
      <c r="M475">
        <v>1857.36</v>
      </c>
      <c r="N475">
        <v>2</v>
      </c>
      <c r="O475" t="s">
        <v>90</v>
      </c>
      <c r="P475">
        <f t="shared" si="7"/>
        <v>0</v>
      </c>
    </row>
    <row r="476" spans="1:16" hidden="1" x14ac:dyDescent="0.25">
      <c r="A476" s="8">
        <v>471</v>
      </c>
      <c r="B476">
        <v>80</v>
      </c>
      <c r="C476" s="27">
        <v>45312</v>
      </c>
      <c r="D476" t="s">
        <v>207</v>
      </c>
      <c r="E476">
        <v>45.04</v>
      </c>
      <c r="F476" t="s">
        <v>116</v>
      </c>
      <c r="G476" t="s">
        <v>385</v>
      </c>
      <c r="H476" t="s">
        <v>14</v>
      </c>
      <c r="I476" t="s">
        <v>395</v>
      </c>
      <c r="J476" s="27">
        <v>45292</v>
      </c>
      <c r="K476">
        <v>2024</v>
      </c>
      <c r="L476" s="27">
        <v>45312</v>
      </c>
      <c r="M476">
        <v>1902.4</v>
      </c>
      <c r="N476">
        <v>2</v>
      </c>
      <c r="O476" t="s">
        <v>90</v>
      </c>
      <c r="P476">
        <f t="shared" si="7"/>
        <v>0</v>
      </c>
    </row>
    <row r="477" spans="1:16" hidden="1" x14ac:dyDescent="0.25">
      <c r="A477" s="8">
        <v>472</v>
      </c>
      <c r="B477">
        <v>81</v>
      </c>
      <c r="C477" s="27">
        <v>45312</v>
      </c>
      <c r="D477" t="s">
        <v>206</v>
      </c>
      <c r="E477">
        <v>16.27</v>
      </c>
      <c r="F477" t="s">
        <v>88</v>
      </c>
      <c r="G477" t="s">
        <v>195</v>
      </c>
      <c r="H477" t="s">
        <v>14</v>
      </c>
      <c r="I477" t="s">
        <v>395</v>
      </c>
      <c r="J477" s="27">
        <v>45292</v>
      </c>
      <c r="K477">
        <v>2024</v>
      </c>
      <c r="L477" s="27">
        <v>45312</v>
      </c>
      <c r="M477">
        <v>1918.67</v>
      </c>
      <c r="N477">
        <v>2</v>
      </c>
      <c r="O477" t="s">
        <v>90</v>
      </c>
      <c r="P477">
        <f t="shared" si="7"/>
        <v>0</v>
      </c>
    </row>
    <row r="478" spans="1:16" hidden="1" x14ac:dyDescent="0.25">
      <c r="A478" s="8">
        <v>473</v>
      </c>
      <c r="B478">
        <v>82</v>
      </c>
      <c r="C478" s="27">
        <v>45312</v>
      </c>
      <c r="D478" t="s">
        <v>204</v>
      </c>
      <c r="E478">
        <v>86.01</v>
      </c>
      <c r="F478" t="s">
        <v>192</v>
      </c>
      <c r="G478" t="s">
        <v>385</v>
      </c>
      <c r="H478" t="s">
        <v>14</v>
      </c>
      <c r="I478" t="s">
        <v>395</v>
      </c>
      <c r="J478" s="27">
        <v>45292</v>
      </c>
      <c r="K478">
        <v>2024</v>
      </c>
      <c r="L478" s="27">
        <v>45312</v>
      </c>
      <c r="M478">
        <v>2004.68</v>
      </c>
      <c r="N478">
        <v>3</v>
      </c>
      <c r="O478" t="s">
        <v>90</v>
      </c>
      <c r="P478">
        <f t="shared" si="7"/>
        <v>0</v>
      </c>
    </row>
    <row r="479" spans="1:16" hidden="1" x14ac:dyDescent="0.25">
      <c r="A479" s="8">
        <v>474</v>
      </c>
      <c r="B479">
        <v>83</v>
      </c>
      <c r="C479" s="27">
        <v>45312</v>
      </c>
      <c r="D479" t="s">
        <v>203</v>
      </c>
      <c r="E479">
        <v>14.6</v>
      </c>
      <c r="F479" t="s">
        <v>116</v>
      </c>
      <c r="G479" t="s">
        <v>195</v>
      </c>
      <c r="H479" t="s">
        <v>14</v>
      </c>
      <c r="I479" t="s">
        <v>395</v>
      </c>
      <c r="J479" s="27">
        <v>45292</v>
      </c>
      <c r="K479">
        <v>2024</v>
      </c>
      <c r="L479" s="27">
        <v>45312</v>
      </c>
      <c r="M479">
        <v>2019.28</v>
      </c>
      <c r="N479">
        <v>3</v>
      </c>
      <c r="O479" t="s">
        <v>90</v>
      </c>
      <c r="P479">
        <f t="shared" si="7"/>
        <v>0</v>
      </c>
    </row>
    <row r="480" spans="1:16" hidden="1" x14ac:dyDescent="0.25">
      <c r="A480" s="8">
        <v>475</v>
      </c>
      <c r="B480">
        <v>84</v>
      </c>
      <c r="C480" s="27">
        <v>45313</v>
      </c>
      <c r="D480" t="s">
        <v>208</v>
      </c>
      <c r="E480">
        <v>22.08</v>
      </c>
      <c r="F480" t="s">
        <v>88</v>
      </c>
      <c r="G480" t="s">
        <v>107</v>
      </c>
      <c r="H480" t="s">
        <v>14</v>
      </c>
      <c r="I480" t="s">
        <v>69</v>
      </c>
      <c r="J480" s="27">
        <v>45292</v>
      </c>
      <c r="K480">
        <v>2024</v>
      </c>
      <c r="L480" s="27">
        <v>45313</v>
      </c>
      <c r="M480">
        <v>2041.359999999999</v>
      </c>
      <c r="N480">
        <v>9</v>
      </c>
      <c r="O480" t="s">
        <v>90</v>
      </c>
      <c r="P480">
        <f t="shared" si="7"/>
        <v>0</v>
      </c>
    </row>
    <row r="481" spans="1:16" hidden="1" x14ac:dyDescent="0.25">
      <c r="A481" s="8">
        <v>476</v>
      </c>
      <c r="B481">
        <v>85</v>
      </c>
      <c r="C481" s="27">
        <v>45315</v>
      </c>
      <c r="D481" t="s">
        <v>210</v>
      </c>
      <c r="E481">
        <v>42.17</v>
      </c>
      <c r="F481" t="s">
        <v>106</v>
      </c>
      <c r="G481" t="s">
        <v>107</v>
      </c>
      <c r="H481" t="s">
        <v>14</v>
      </c>
      <c r="I481" t="s">
        <v>69</v>
      </c>
      <c r="J481" s="27">
        <v>45292</v>
      </c>
      <c r="K481">
        <v>2024</v>
      </c>
      <c r="L481" s="27">
        <v>45315</v>
      </c>
      <c r="M481">
        <v>2083.5299999999988</v>
      </c>
      <c r="N481">
        <v>10</v>
      </c>
      <c r="O481" t="s">
        <v>90</v>
      </c>
      <c r="P481">
        <f t="shared" si="7"/>
        <v>0</v>
      </c>
    </row>
    <row r="482" spans="1:16" hidden="1" x14ac:dyDescent="0.25">
      <c r="A482" s="8">
        <v>477</v>
      </c>
      <c r="B482">
        <v>86</v>
      </c>
      <c r="C482" s="27">
        <v>45315</v>
      </c>
      <c r="D482" t="s">
        <v>209</v>
      </c>
      <c r="E482">
        <v>65.180000000000007</v>
      </c>
      <c r="F482" t="s">
        <v>88</v>
      </c>
      <c r="G482" t="s">
        <v>168</v>
      </c>
      <c r="H482" t="s">
        <v>14</v>
      </c>
      <c r="I482" t="s">
        <v>69</v>
      </c>
      <c r="J482" s="27">
        <v>45292</v>
      </c>
      <c r="K482">
        <v>2024</v>
      </c>
      <c r="L482" s="27">
        <v>45315</v>
      </c>
      <c r="M482">
        <v>2148.7099999999991</v>
      </c>
      <c r="N482">
        <v>2</v>
      </c>
      <c r="O482" t="s">
        <v>90</v>
      </c>
      <c r="P482">
        <f t="shared" si="7"/>
        <v>0</v>
      </c>
    </row>
    <row r="483" spans="1:16" hidden="1" x14ac:dyDescent="0.25">
      <c r="A483" s="8">
        <v>478</v>
      </c>
      <c r="B483">
        <v>87</v>
      </c>
      <c r="C483" s="27">
        <v>45316</v>
      </c>
      <c r="D483" t="s">
        <v>162</v>
      </c>
      <c r="E483">
        <v>-2068.37</v>
      </c>
      <c r="F483" t="s">
        <v>163</v>
      </c>
      <c r="G483" t="s">
        <v>164</v>
      </c>
      <c r="H483" t="s">
        <v>14</v>
      </c>
      <c r="I483" t="s">
        <v>80</v>
      </c>
      <c r="J483" s="27">
        <v>45292</v>
      </c>
      <c r="K483">
        <v>2024</v>
      </c>
      <c r="L483" s="27">
        <v>45316</v>
      </c>
      <c r="M483">
        <v>80.339999999999236</v>
      </c>
      <c r="N483">
        <v>2</v>
      </c>
      <c r="O483" t="s">
        <v>90</v>
      </c>
      <c r="P483">
        <f t="shared" si="7"/>
        <v>0</v>
      </c>
    </row>
    <row r="484" spans="1:16" hidden="1" x14ac:dyDescent="0.25">
      <c r="A484" s="8">
        <v>479</v>
      </c>
      <c r="B484">
        <v>88</v>
      </c>
      <c r="C484" s="27">
        <v>45316</v>
      </c>
      <c r="D484" t="s">
        <v>211</v>
      </c>
      <c r="E484">
        <v>10</v>
      </c>
      <c r="F484" t="s">
        <v>116</v>
      </c>
      <c r="G484" t="s">
        <v>212</v>
      </c>
      <c r="H484" t="s">
        <v>14</v>
      </c>
      <c r="I484" t="s">
        <v>69</v>
      </c>
      <c r="J484" s="27">
        <v>45292</v>
      </c>
      <c r="K484">
        <v>2024</v>
      </c>
      <c r="L484" s="27">
        <v>45316</v>
      </c>
      <c r="M484">
        <v>90.339999999999236</v>
      </c>
      <c r="N484">
        <v>1</v>
      </c>
      <c r="O484" t="s">
        <v>90</v>
      </c>
      <c r="P484">
        <f t="shared" si="7"/>
        <v>0</v>
      </c>
    </row>
    <row r="485" spans="1:16" hidden="1" x14ac:dyDescent="0.25">
      <c r="A485" s="8">
        <v>480</v>
      </c>
      <c r="B485">
        <v>89</v>
      </c>
      <c r="C485" s="27">
        <v>45317</v>
      </c>
      <c r="D485" t="s">
        <v>113</v>
      </c>
      <c r="E485">
        <v>8.49</v>
      </c>
      <c r="F485" t="s">
        <v>88</v>
      </c>
      <c r="G485" t="s">
        <v>114</v>
      </c>
      <c r="H485" t="s">
        <v>14</v>
      </c>
      <c r="I485" t="s">
        <v>93</v>
      </c>
      <c r="J485" s="27">
        <v>45292</v>
      </c>
      <c r="K485">
        <v>2024</v>
      </c>
      <c r="L485" s="27">
        <v>45317</v>
      </c>
      <c r="M485">
        <v>98.829999999999231</v>
      </c>
      <c r="N485">
        <v>6</v>
      </c>
      <c r="O485" t="s">
        <v>90</v>
      </c>
      <c r="P485">
        <f t="shared" si="7"/>
        <v>0</v>
      </c>
    </row>
    <row r="486" spans="1:16" hidden="1" x14ac:dyDescent="0.25">
      <c r="A486" s="8">
        <v>481</v>
      </c>
      <c r="B486">
        <v>90</v>
      </c>
      <c r="C486" s="27">
        <v>45318</v>
      </c>
      <c r="D486" t="s">
        <v>213</v>
      </c>
      <c r="E486">
        <v>29.99</v>
      </c>
      <c r="F486" t="s">
        <v>88</v>
      </c>
      <c r="G486" t="s">
        <v>214</v>
      </c>
      <c r="H486" t="s">
        <v>28</v>
      </c>
      <c r="I486" t="s">
        <v>69</v>
      </c>
      <c r="J486" s="27">
        <v>45292</v>
      </c>
      <c r="K486">
        <v>2024</v>
      </c>
      <c r="L486" s="27">
        <v>45318</v>
      </c>
      <c r="M486">
        <v>128.8199999999992</v>
      </c>
      <c r="N486">
        <v>1</v>
      </c>
      <c r="O486" t="s">
        <v>90</v>
      </c>
      <c r="P486">
        <f t="shared" si="7"/>
        <v>0</v>
      </c>
    </row>
    <row r="487" spans="1:16" hidden="1" x14ac:dyDescent="0.25">
      <c r="A487" s="8">
        <v>482</v>
      </c>
      <c r="B487">
        <v>91</v>
      </c>
      <c r="C487" s="27">
        <v>45318</v>
      </c>
      <c r="D487" t="s">
        <v>215</v>
      </c>
      <c r="E487">
        <v>69.760000000000005</v>
      </c>
      <c r="F487" t="s">
        <v>88</v>
      </c>
      <c r="G487" t="s">
        <v>216</v>
      </c>
      <c r="H487" t="s">
        <v>14</v>
      </c>
      <c r="I487" t="s">
        <v>69</v>
      </c>
      <c r="J487" s="27">
        <v>45292</v>
      </c>
      <c r="K487">
        <v>2024</v>
      </c>
      <c r="L487" s="27">
        <v>45318</v>
      </c>
      <c r="M487">
        <v>198.57999999999919</v>
      </c>
      <c r="N487">
        <v>1</v>
      </c>
      <c r="O487" t="s">
        <v>90</v>
      </c>
      <c r="P487">
        <f t="shared" si="7"/>
        <v>0</v>
      </c>
    </row>
    <row r="488" spans="1:16" hidden="1" x14ac:dyDescent="0.25">
      <c r="A488" s="8">
        <v>483</v>
      </c>
      <c r="B488">
        <v>92</v>
      </c>
      <c r="C488" s="27">
        <v>45318</v>
      </c>
      <c r="D488" t="s">
        <v>217</v>
      </c>
      <c r="E488">
        <v>17.989999999999998</v>
      </c>
      <c r="F488" t="s">
        <v>116</v>
      </c>
      <c r="G488" t="s">
        <v>117</v>
      </c>
      <c r="H488" t="s">
        <v>14</v>
      </c>
      <c r="I488" t="s">
        <v>118</v>
      </c>
      <c r="J488" s="27">
        <v>45292</v>
      </c>
      <c r="K488">
        <v>2024</v>
      </c>
      <c r="L488" s="27">
        <v>45318</v>
      </c>
      <c r="M488">
        <v>216.56999999999931</v>
      </c>
      <c r="N488">
        <v>10</v>
      </c>
      <c r="O488" t="s">
        <v>90</v>
      </c>
      <c r="P488">
        <f t="shared" si="7"/>
        <v>0</v>
      </c>
    </row>
    <row r="489" spans="1:16" hidden="1" x14ac:dyDescent="0.25">
      <c r="A489" s="8">
        <v>484</v>
      </c>
      <c r="B489">
        <v>93</v>
      </c>
      <c r="C489" s="27">
        <v>45318</v>
      </c>
      <c r="D489" t="s">
        <v>218</v>
      </c>
      <c r="E489">
        <v>14.49</v>
      </c>
      <c r="F489" t="s">
        <v>116</v>
      </c>
      <c r="G489" t="s">
        <v>117</v>
      </c>
      <c r="H489" t="s">
        <v>14</v>
      </c>
      <c r="I489" t="s">
        <v>118</v>
      </c>
      <c r="J489" s="27">
        <v>45292</v>
      </c>
      <c r="K489">
        <v>2024</v>
      </c>
      <c r="L489" s="27">
        <v>45318</v>
      </c>
      <c r="M489">
        <v>231.05999999999929</v>
      </c>
      <c r="N489">
        <v>11</v>
      </c>
      <c r="O489" t="s">
        <v>90</v>
      </c>
      <c r="P489">
        <f t="shared" si="7"/>
        <v>0</v>
      </c>
    </row>
    <row r="490" spans="1:16" hidden="1" x14ac:dyDescent="0.25">
      <c r="A490" s="8">
        <v>485</v>
      </c>
      <c r="B490">
        <v>94</v>
      </c>
      <c r="C490" s="27">
        <v>45319</v>
      </c>
      <c r="D490" t="s">
        <v>219</v>
      </c>
      <c r="E490">
        <v>12.6</v>
      </c>
      <c r="F490" t="s">
        <v>116</v>
      </c>
      <c r="G490" t="s">
        <v>117</v>
      </c>
      <c r="H490" t="s">
        <v>14</v>
      </c>
      <c r="I490" t="s">
        <v>118</v>
      </c>
      <c r="J490" s="27">
        <v>45292</v>
      </c>
      <c r="K490">
        <v>2024</v>
      </c>
      <c r="L490" s="27">
        <v>45319</v>
      </c>
      <c r="M490">
        <v>243.65999999999929</v>
      </c>
      <c r="N490">
        <v>12</v>
      </c>
      <c r="O490" t="s">
        <v>90</v>
      </c>
      <c r="P490">
        <f t="shared" si="7"/>
        <v>0</v>
      </c>
    </row>
    <row r="491" spans="1:16" hidden="1" x14ac:dyDescent="0.25">
      <c r="A491" s="8">
        <v>486</v>
      </c>
      <c r="B491">
        <v>95</v>
      </c>
      <c r="C491" s="27">
        <v>45319</v>
      </c>
      <c r="D491" t="s">
        <v>220</v>
      </c>
      <c r="E491">
        <v>12.6</v>
      </c>
      <c r="F491" t="s">
        <v>116</v>
      </c>
      <c r="G491" t="s">
        <v>117</v>
      </c>
      <c r="H491" t="s">
        <v>14</v>
      </c>
      <c r="I491" t="s">
        <v>118</v>
      </c>
      <c r="J491" s="27">
        <v>45292</v>
      </c>
      <c r="K491">
        <v>2024</v>
      </c>
      <c r="L491" s="27">
        <v>45319</v>
      </c>
      <c r="M491">
        <v>256.25999999999931</v>
      </c>
      <c r="N491">
        <v>13</v>
      </c>
      <c r="O491" t="s">
        <v>90</v>
      </c>
      <c r="P491">
        <f t="shared" si="7"/>
        <v>0</v>
      </c>
    </row>
    <row r="492" spans="1:16" hidden="1" x14ac:dyDescent="0.25">
      <c r="A492" s="8">
        <v>487</v>
      </c>
      <c r="B492">
        <v>96</v>
      </c>
      <c r="C492" s="27">
        <v>45319</v>
      </c>
      <c r="D492" t="s">
        <v>221</v>
      </c>
      <c r="E492">
        <v>35.35</v>
      </c>
      <c r="F492" t="s">
        <v>116</v>
      </c>
      <c r="G492" t="s">
        <v>117</v>
      </c>
      <c r="H492" t="s">
        <v>14</v>
      </c>
      <c r="I492" t="s">
        <v>118</v>
      </c>
      <c r="J492" s="27">
        <v>45292</v>
      </c>
      <c r="K492">
        <v>2024</v>
      </c>
      <c r="L492" s="27">
        <v>45319</v>
      </c>
      <c r="M492">
        <v>291.60999999999927</v>
      </c>
      <c r="N492">
        <v>14</v>
      </c>
      <c r="O492" t="s">
        <v>90</v>
      </c>
      <c r="P492">
        <f t="shared" si="7"/>
        <v>0</v>
      </c>
    </row>
    <row r="493" spans="1:16" hidden="1" x14ac:dyDescent="0.25">
      <c r="A493" s="8">
        <v>488</v>
      </c>
      <c r="B493">
        <v>97</v>
      </c>
      <c r="C493" s="27">
        <v>45319</v>
      </c>
      <c r="D493" t="s">
        <v>105</v>
      </c>
      <c r="E493">
        <v>99.78</v>
      </c>
      <c r="F493" t="s">
        <v>106</v>
      </c>
      <c r="G493" t="s">
        <v>107</v>
      </c>
      <c r="H493" t="s">
        <v>14</v>
      </c>
      <c r="I493" t="s">
        <v>69</v>
      </c>
      <c r="J493" s="27">
        <v>45292</v>
      </c>
      <c r="K493">
        <v>2024</v>
      </c>
      <c r="L493" s="27">
        <v>45319</v>
      </c>
      <c r="M493">
        <v>391.3899999999993</v>
      </c>
      <c r="N493">
        <v>11</v>
      </c>
      <c r="O493" t="s">
        <v>90</v>
      </c>
      <c r="P493">
        <f t="shared" si="7"/>
        <v>0</v>
      </c>
    </row>
    <row r="494" spans="1:16" hidden="1" x14ac:dyDescent="0.25">
      <c r="A494" s="8">
        <v>489</v>
      </c>
      <c r="B494">
        <v>98</v>
      </c>
      <c r="C494" s="27">
        <v>45321</v>
      </c>
      <c r="D494" t="s">
        <v>222</v>
      </c>
      <c r="E494">
        <v>5.97</v>
      </c>
      <c r="F494" t="s">
        <v>116</v>
      </c>
      <c r="G494" t="s">
        <v>385</v>
      </c>
      <c r="H494" t="s">
        <v>14</v>
      </c>
      <c r="I494" t="s">
        <v>395</v>
      </c>
      <c r="J494" s="27">
        <v>45292</v>
      </c>
      <c r="K494">
        <v>2024</v>
      </c>
      <c r="L494" s="27">
        <v>45321</v>
      </c>
      <c r="M494">
        <v>397.35999999999927</v>
      </c>
      <c r="N494">
        <v>4</v>
      </c>
      <c r="O494" t="s">
        <v>90</v>
      </c>
      <c r="P494">
        <f t="shared" si="7"/>
        <v>0</v>
      </c>
    </row>
    <row r="495" spans="1:16" hidden="1" x14ac:dyDescent="0.25">
      <c r="A495" s="8">
        <v>490</v>
      </c>
      <c r="B495">
        <v>99</v>
      </c>
      <c r="C495" s="27">
        <v>45321</v>
      </c>
      <c r="D495" t="s">
        <v>223</v>
      </c>
      <c r="E495">
        <v>35</v>
      </c>
      <c r="F495" t="s">
        <v>88</v>
      </c>
      <c r="G495" t="s">
        <v>224</v>
      </c>
      <c r="H495" t="s">
        <v>14</v>
      </c>
      <c r="I495" t="s">
        <v>69</v>
      </c>
      <c r="J495" s="27">
        <v>45292</v>
      </c>
      <c r="K495">
        <v>2024</v>
      </c>
      <c r="L495" s="27">
        <v>45321</v>
      </c>
      <c r="M495">
        <v>432.35999999999927</v>
      </c>
      <c r="N495">
        <v>1</v>
      </c>
      <c r="O495" t="s">
        <v>90</v>
      </c>
      <c r="P495">
        <f t="shared" si="7"/>
        <v>0</v>
      </c>
    </row>
    <row r="496" spans="1:16" hidden="1" x14ac:dyDescent="0.25">
      <c r="A496" s="8">
        <v>491</v>
      </c>
      <c r="B496">
        <v>100</v>
      </c>
      <c r="C496" s="27">
        <v>45322</v>
      </c>
      <c r="D496" t="s">
        <v>91</v>
      </c>
      <c r="E496">
        <v>25.99</v>
      </c>
      <c r="F496" t="s">
        <v>88</v>
      </c>
      <c r="G496" t="s">
        <v>92</v>
      </c>
      <c r="H496" t="s">
        <v>14</v>
      </c>
      <c r="I496" t="s">
        <v>93</v>
      </c>
      <c r="J496" s="27">
        <v>45292</v>
      </c>
      <c r="K496">
        <v>2024</v>
      </c>
      <c r="L496" s="27">
        <v>45322</v>
      </c>
      <c r="M496">
        <v>458.34999999999928</v>
      </c>
      <c r="N496">
        <v>3</v>
      </c>
      <c r="O496" t="s">
        <v>90</v>
      </c>
      <c r="P496">
        <f t="shared" si="7"/>
        <v>0</v>
      </c>
    </row>
    <row r="497" spans="1:16" hidden="1" x14ac:dyDescent="0.25">
      <c r="A497" s="8">
        <v>492</v>
      </c>
      <c r="B497">
        <v>101</v>
      </c>
      <c r="C497" s="27">
        <v>45322</v>
      </c>
      <c r="D497" t="s">
        <v>225</v>
      </c>
      <c r="E497">
        <v>15.64</v>
      </c>
      <c r="F497" t="s">
        <v>116</v>
      </c>
      <c r="G497" t="s">
        <v>385</v>
      </c>
      <c r="H497" t="s">
        <v>14</v>
      </c>
      <c r="I497" t="s">
        <v>395</v>
      </c>
      <c r="J497" s="27">
        <v>45292</v>
      </c>
      <c r="K497">
        <v>2024</v>
      </c>
      <c r="L497" s="27">
        <v>45322</v>
      </c>
      <c r="M497">
        <v>473.98999999999933</v>
      </c>
      <c r="N497">
        <v>5</v>
      </c>
      <c r="O497" t="s">
        <v>90</v>
      </c>
      <c r="P497">
        <f t="shared" si="7"/>
        <v>1</v>
      </c>
    </row>
    <row r="498" spans="1:16" hidden="1" x14ac:dyDescent="0.25">
      <c r="A498" s="8">
        <v>493</v>
      </c>
      <c r="B498">
        <v>102</v>
      </c>
      <c r="C498" s="27">
        <v>45323</v>
      </c>
      <c r="D498" t="s">
        <v>226</v>
      </c>
      <c r="E498">
        <v>31.75</v>
      </c>
      <c r="F498" t="s">
        <v>88</v>
      </c>
      <c r="G498" t="s">
        <v>176</v>
      </c>
      <c r="H498" t="s">
        <v>14</v>
      </c>
      <c r="I498" t="s">
        <v>93</v>
      </c>
      <c r="J498" s="27">
        <v>45323</v>
      </c>
      <c r="K498">
        <v>2024</v>
      </c>
      <c r="L498" s="27">
        <v>45323</v>
      </c>
      <c r="M498">
        <v>505.73999999999933</v>
      </c>
      <c r="N498">
        <v>2</v>
      </c>
      <c r="O498" t="s">
        <v>90</v>
      </c>
      <c r="P498">
        <f t="shared" si="7"/>
        <v>0</v>
      </c>
    </row>
    <row r="499" spans="1:16" hidden="1" x14ac:dyDescent="0.25">
      <c r="A499" s="8">
        <v>494</v>
      </c>
      <c r="B499">
        <v>103</v>
      </c>
      <c r="C499" s="27">
        <v>45323</v>
      </c>
      <c r="D499" t="s">
        <v>87</v>
      </c>
      <c r="E499">
        <v>20</v>
      </c>
      <c r="F499" t="s">
        <v>88</v>
      </c>
      <c r="G499" t="s">
        <v>89</v>
      </c>
      <c r="H499" t="s">
        <v>28</v>
      </c>
      <c r="I499" t="s">
        <v>69</v>
      </c>
      <c r="J499" s="27">
        <v>45323</v>
      </c>
      <c r="K499">
        <v>2024</v>
      </c>
      <c r="L499" s="27">
        <v>45323</v>
      </c>
      <c r="M499">
        <v>525.73999999999933</v>
      </c>
      <c r="N499">
        <v>2</v>
      </c>
      <c r="O499" t="s">
        <v>90</v>
      </c>
      <c r="P499">
        <f t="shared" si="7"/>
        <v>0</v>
      </c>
    </row>
    <row r="500" spans="1:16" hidden="1" x14ac:dyDescent="0.25">
      <c r="A500" s="8">
        <v>495</v>
      </c>
      <c r="B500">
        <v>104</v>
      </c>
      <c r="C500" s="27">
        <v>45323</v>
      </c>
      <c r="D500" t="s">
        <v>227</v>
      </c>
      <c r="E500">
        <v>126</v>
      </c>
      <c r="F500" t="s">
        <v>106</v>
      </c>
      <c r="G500" t="s">
        <v>228</v>
      </c>
      <c r="H500" t="s">
        <v>14</v>
      </c>
      <c r="I500" t="s">
        <v>25</v>
      </c>
      <c r="J500" s="27">
        <v>45323</v>
      </c>
      <c r="K500">
        <v>2024</v>
      </c>
      <c r="L500" s="27">
        <v>45323</v>
      </c>
      <c r="M500">
        <v>651.73999999999933</v>
      </c>
      <c r="N500">
        <v>1</v>
      </c>
      <c r="O500" t="s">
        <v>90</v>
      </c>
      <c r="P500">
        <f t="shared" si="7"/>
        <v>0</v>
      </c>
    </row>
    <row r="501" spans="1:16" hidden="1" x14ac:dyDescent="0.25">
      <c r="A501" s="8">
        <v>496</v>
      </c>
      <c r="B501">
        <v>105</v>
      </c>
      <c r="C501" s="27">
        <v>45323</v>
      </c>
      <c r="D501" t="s">
        <v>103</v>
      </c>
      <c r="E501">
        <v>29.99</v>
      </c>
      <c r="F501" t="s">
        <v>88</v>
      </c>
      <c r="G501" t="s">
        <v>104</v>
      </c>
      <c r="H501" t="s">
        <v>28</v>
      </c>
      <c r="I501" t="s">
        <v>69</v>
      </c>
      <c r="J501" s="27">
        <v>45323</v>
      </c>
      <c r="K501">
        <v>2024</v>
      </c>
      <c r="L501" s="27">
        <v>45323</v>
      </c>
      <c r="M501">
        <v>681.72999999999934</v>
      </c>
      <c r="N501">
        <v>2</v>
      </c>
      <c r="O501" t="s">
        <v>90</v>
      </c>
      <c r="P501">
        <f t="shared" si="7"/>
        <v>0</v>
      </c>
    </row>
    <row r="502" spans="1:16" hidden="1" x14ac:dyDescent="0.25">
      <c r="A502" s="8">
        <v>497</v>
      </c>
      <c r="B502">
        <v>106</v>
      </c>
      <c r="C502" s="27">
        <v>45323</v>
      </c>
      <c r="D502" t="s">
        <v>229</v>
      </c>
      <c r="E502">
        <v>59.13</v>
      </c>
      <c r="F502" t="s">
        <v>88</v>
      </c>
      <c r="G502" t="s">
        <v>117</v>
      </c>
      <c r="H502" t="s">
        <v>14</v>
      </c>
      <c r="I502" t="s">
        <v>118</v>
      </c>
      <c r="J502" s="27">
        <v>45323</v>
      </c>
      <c r="K502">
        <v>2024</v>
      </c>
      <c r="L502" s="27">
        <v>45323</v>
      </c>
      <c r="M502">
        <v>740.85999999999933</v>
      </c>
      <c r="N502">
        <v>15</v>
      </c>
      <c r="O502" t="s">
        <v>90</v>
      </c>
      <c r="P502">
        <f t="shared" si="7"/>
        <v>0</v>
      </c>
    </row>
    <row r="503" spans="1:16" hidden="1" x14ac:dyDescent="0.25">
      <c r="A503" s="8">
        <v>498</v>
      </c>
      <c r="B503">
        <v>107</v>
      </c>
      <c r="C503" s="27">
        <v>45323</v>
      </c>
      <c r="D503" t="s">
        <v>94</v>
      </c>
      <c r="E503">
        <v>5</v>
      </c>
      <c r="F503" t="s">
        <v>95</v>
      </c>
      <c r="G503" t="s">
        <v>96</v>
      </c>
      <c r="H503" t="s">
        <v>28</v>
      </c>
      <c r="I503" t="s">
        <v>69</v>
      </c>
      <c r="J503" s="27">
        <v>45323</v>
      </c>
      <c r="K503">
        <v>2024</v>
      </c>
      <c r="L503" s="27">
        <v>45323</v>
      </c>
      <c r="M503">
        <v>745.85999999999933</v>
      </c>
      <c r="N503">
        <v>2</v>
      </c>
      <c r="O503" t="s">
        <v>90</v>
      </c>
      <c r="P503">
        <f t="shared" si="7"/>
        <v>0</v>
      </c>
    </row>
    <row r="504" spans="1:16" hidden="1" x14ac:dyDescent="0.25">
      <c r="A504" s="8">
        <v>499</v>
      </c>
      <c r="B504">
        <v>108</v>
      </c>
      <c r="C504" s="27">
        <v>45323</v>
      </c>
      <c r="D504" t="s">
        <v>230</v>
      </c>
      <c r="E504">
        <v>5.99</v>
      </c>
      <c r="F504" t="s">
        <v>88</v>
      </c>
      <c r="G504" t="s">
        <v>98</v>
      </c>
      <c r="H504" t="s">
        <v>28</v>
      </c>
      <c r="I504" t="s">
        <v>93</v>
      </c>
      <c r="J504" s="27">
        <v>45323</v>
      </c>
      <c r="K504">
        <v>2024</v>
      </c>
      <c r="L504" s="27">
        <v>45323</v>
      </c>
      <c r="M504">
        <v>751.84999999999934</v>
      </c>
      <c r="N504">
        <v>2</v>
      </c>
      <c r="O504" t="s">
        <v>90</v>
      </c>
      <c r="P504">
        <f t="shared" si="7"/>
        <v>0</v>
      </c>
    </row>
    <row r="505" spans="1:16" hidden="1" x14ac:dyDescent="0.25">
      <c r="A505" s="8">
        <v>500</v>
      </c>
      <c r="B505">
        <v>109</v>
      </c>
      <c r="C505" s="27">
        <v>45324</v>
      </c>
      <c r="D505" t="s">
        <v>101</v>
      </c>
      <c r="E505">
        <v>10</v>
      </c>
      <c r="F505" t="s">
        <v>88</v>
      </c>
      <c r="G505" t="s">
        <v>102</v>
      </c>
      <c r="H505" t="s">
        <v>28</v>
      </c>
      <c r="I505" t="s">
        <v>93</v>
      </c>
      <c r="J505" s="27">
        <v>45323</v>
      </c>
      <c r="K505">
        <v>2024</v>
      </c>
      <c r="L505" s="27">
        <v>45324</v>
      </c>
      <c r="M505">
        <v>761.84999999999934</v>
      </c>
      <c r="N505">
        <v>2</v>
      </c>
      <c r="O505" t="s">
        <v>90</v>
      </c>
      <c r="P505">
        <f t="shared" si="7"/>
        <v>0</v>
      </c>
    </row>
    <row r="506" spans="1:16" hidden="1" x14ac:dyDescent="0.25">
      <c r="A506" s="8">
        <v>501</v>
      </c>
      <c r="B506">
        <v>110</v>
      </c>
      <c r="C506" s="27">
        <v>45324</v>
      </c>
      <c r="D506" t="s">
        <v>231</v>
      </c>
      <c r="E506">
        <v>273.60000000000002</v>
      </c>
      <c r="F506" t="s">
        <v>95</v>
      </c>
      <c r="G506" t="s">
        <v>100</v>
      </c>
      <c r="H506" t="s">
        <v>28</v>
      </c>
      <c r="I506" t="s">
        <v>69</v>
      </c>
      <c r="J506" s="27">
        <v>45323</v>
      </c>
      <c r="K506">
        <v>2024</v>
      </c>
      <c r="L506" s="27">
        <v>45324</v>
      </c>
      <c r="M506">
        <v>1035.4499999999989</v>
      </c>
      <c r="N506">
        <v>4</v>
      </c>
      <c r="O506" t="s">
        <v>90</v>
      </c>
      <c r="P506">
        <f t="shared" si="7"/>
        <v>0</v>
      </c>
    </row>
    <row r="507" spans="1:16" hidden="1" x14ac:dyDescent="0.25">
      <c r="A507" s="8">
        <v>502</v>
      </c>
      <c r="B507">
        <v>111</v>
      </c>
      <c r="C507" s="27">
        <v>45324</v>
      </c>
      <c r="D507" t="s">
        <v>232</v>
      </c>
      <c r="E507">
        <v>24.12</v>
      </c>
      <c r="F507" t="s">
        <v>116</v>
      </c>
      <c r="G507" t="s">
        <v>141</v>
      </c>
      <c r="H507" t="s">
        <v>14</v>
      </c>
      <c r="I507" t="s">
        <v>118</v>
      </c>
      <c r="J507" s="27">
        <v>45323</v>
      </c>
      <c r="K507">
        <v>2024</v>
      </c>
      <c r="L507" s="27">
        <v>45324</v>
      </c>
      <c r="M507">
        <v>1059.569999999999</v>
      </c>
      <c r="N507">
        <v>7</v>
      </c>
      <c r="O507" t="s">
        <v>90</v>
      </c>
      <c r="P507">
        <f t="shared" si="7"/>
        <v>0</v>
      </c>
    </row>
    <row r="508" spans="1:16" hidden="1" x14ac:dyDescent="0.25">
      <c r="A508" s="8">
        <v>503</v>
      </c>
      <c r="B508">
        <v>112</v>
      </c>
      <c r="C508" s="27">
        <v>45324</v>
      </c>
      <c r="D508" t="s">
        <v>189</v>
      </c>
      <c r="E508">
        <v>40.71</v>
      </c>
      <c r="F508" t="s">
        <v>106</v>
      </c>
      <c r="G508" t="s">
        <v>137</v>
      </c>
      <c r="H508" t="s">
        <v>14</v>
      </c>
      <c r="I508" t="s">
        <v>118</v>
      </c>
      <c r="J508" s="27">
        <v>45323</v>
      </c>
      <c r="K508">
        <v>2024</v>
      </c>
      <c r="L508" s="27">
        <v>45324</v>
      </c>
      <c r="M508">
        <v>1100.2799999999991</v>
      </c>
      <c r="N508">
        <v>5</v>
      </c>
      <c r="O508" t="s">
        <v>90</v>
      </c>
      <c r="P508">
        <f t="shared" si="7"/>
        <v>0</v>
      </c>
    </row>
    <row r="509" spans="1:16" hidden="1" x14ac:dyDescent="0.25">
      <c r="A509" s="8">
        <v>504</v>
      </c>
      <c r="B509">
        <v>113</v>
      </c>
      <c r="C509" s="27">
        <v>45325</v>
      </c>
      <c r="D509" t="s">
        <v>91</v>
      </c>
      <c r="E509">
        <v>20.99</v>
      </c>
      <c r="F509" t="s">
        <v>88</v>
      </c>
      <c r="G509" t="s">
        <v>92</v>
      </c>
      <c r="H509" t="s">
        <v>14</v>
      </c>
      <c r="I509" t="s">
        <v>93</v>
      </c>
      <c r="J509" s="27">
        <v>45323</v>
      </c>
      <c r="K509">
        <v>2024</v>
      </c>
      <c r="L509" s="27">
        <v>45325</v>
      </c>
      <c r="M509">
        <v>1121.2699999999991</v>
      </c>
      <c r="N509">
        <v>4</v>
      </c>
      <c r="O509" t="s">
        <v>90</v>
      </c>
      <c r="P509">
        <f t="shared" si="7"/>
        <v>0</v>
      </c>
    </row>
    <row r="510" spans="1:16" hidden="1" x14ac:dyDescent="0.25">
      <c r="A510" s="8">
        <v>505</v>
      </c>
      <c r="B510">
        <v>114</v>
      </c>
      <c r="C510" s="27">
        <v>45325</v>
      </c>
      <c r="D510" t="s">
        <v>110</v>
      </c>
      <c r="E510">
        <v>-49.26</v>
      </c>
      <c r="F510" t="s">
        <v>111</v>
      </c>
      <c r="G510" t="s">
        <v>112</v>
      </c>
      <c r="H510" t="s">
        <v>14</v>
      </c>
      <c r="I510" t="s">
        <v>80</v>
      </c>
      <c r="J510" s="27">
        <v>45323</v>
      </c>
      <c r="K510">
        <v>2024</v>
      </c>
      <c r="L510" s="27">
        <v>45325</v>
      </c>
      <c r="M510">
        <v>1072.0099999999991</v>
      </c>
      <c r="N510">
        <v>2</v>
      </c>
      <c r="O510" t="s">
        <v>90</v>
      </c>
      <c r="P510">
        <f t="shared" si="7"/>
        <v>0</v>
      </c>
    </row>
    <row r="511" spans="1:16" hidden="1" x14ac:dyDescent="0.25">
      <c r="A511" s="8">
        <v>506</v>
      </c>
      <c r="B511">
        <v>115</v>
      </c>
      <c r="C511" s="27">
        <v>45326</v>
      </c>
      <c r="D511" t="s">
        <v>233</v>
      </c>
      <c r="E511">
        <v>27.35</v>
      </c>
      <c r="F511" t="s">
        <v>116</v>
      </c>
      <c r="G511" t="s">
        <v>117</v>
      </c>
      <c r="H511" t="s">
        <v>14</v>
      </c>
      <c r="I511" t="s">
        <v>118</v>
      </c>
      <c r="J511" s="27">
        <v>45323</v>
      </c>
      <c r="K511">
        <v>2024</v>
      </c>
      <c r="L511" s="27">
        <v>45326</v>
      </c>
      <c r="M511">
        <v>1099.359999999999</v>
      </c>
      <c r="N511">
        <v>16</v>
      </c>
      <c r="O511" t="s">
        <v>90</v>
      </c>
      <c r="P511">
        <f t="shared" si="7"/>
        <v>0</v>
      </c>
    </row>
    <row r="512" spans="1:16" hidden="1" x14ac:dyDescent="0.25">
      <c r="A512" s="8">
        <v>507</v>
      </c>
      <c r="B512">
        <v>116</v>
      </c>
      <c r="C512" s="27">
        <v>45326</v>
      </c>
      <c r="D512" t="s">
        <v>234</v>
      </c>
      <c r="E512">
        <v>22.08</v>
      </c>
      <c r="F512" t="s">
        <v>88</v>
      </c>
      <c r="G512" t="s">
        <v>107</v>
      </c>
      <c r="H512" t="s">
        <v>14</v>
      </c>
      <c r="I512" t="s">
        <v>69</v>
      </c>
      <c r="J512" s="27">
        <v>45323</v>
      </c>
      <c r="K512">
        <v>2024</v>
      </c>
      <c r="L512" s="27">
        <v>45326</v>
      </c>
      <c r="M512">
        <v>1121.4399999999989</v>
      </c>
      <c r="N512">
        <v>12</v>
      </c>
      <c r="O512" t="s">
        <v>90</v>
      </c>
      <c r="P512">
        <f t="shared" si="7"/>
        <v>0</v>
      </c>
    </row>
    <row r="513" spans="1:16" hidden="1" x14ac:dyDescent="0.25">
      <c r="A513" s="8">
        <v>508</v>
      </c>
      <c r="B513">
        <v>117</v>
      </c>
      <c r="C513" s="27">
        <v>45327</v>
      </c>
      <c r="D513" t="s">
        <v>235</v>
      </c>
      <c r="E513">
        <v>18.09</v>
      </c>
      <c r="F513" t="s">
        <v>88</v>
      </c>
      <c r="G513" t="s">
        <v>107</v>
      </c>
      <c r="H513" t="s">
        <v>14</v>
      </c>
      <c r="I513" t="s">
        <v>69</v>
      </c>
      <c r="J513" s="27">
        <v>45323</v>
      </c>
      <c r="K513">
        <v>2024</v>
      </c>
      <c r="L513" s="27">
        <v>45327</v>
      </c>
      <c r="M513">
        <v>1139.5299999999991</v>
      </c>
      <c r="N513">
        <v>13</v>
      </c>
      <c r="O513" t="s">
        <v>90</v>
      </c>
      <c r="P513">
        <f t="shared" si="7"/>
        <v>0</v>
      </c>
    </row>
    <row r="514" spans="1:16" hidden="1" x14ac:dyDescent="0.25">
      <c r="A514" s="8">
        <v>509</v>
      </c>
      <c r="B514">
        <v>118</v>
      </c>
      <c r="C514" s="27">
        <v>45328</v>
      </c>
      <c r="D514" t="s">
        <v>123</v>
      </c>
      <c r="E514">
        <v>5</v>
      </c>
      <c r="F514" t="s">
        <v>88</v>
      </c>
      <c r="G514" t="s">
        <v>124</v>
      </c>
      <c r="H514" t="s">
        <v>28</v>
      </c>
      <c r="I514" t="s">
        <v>69</v>
      </c>
      <c r="J514" s="27">
        <v>45323</v>
      </c>
      <c r="K514">
        <v>2024</v>
      </c>
      <c r="L514" s="27">
        <v>45328</v>
      </c>
      <c r="M514">
        <v>1144.5299999999991</v>
      </c>
      <c r="N514">
        <v>2</v>
      </c>
      <c r="O514" t="s">
        <v>90</v>
      </c>
      <c r="P514">
        <f t="shared" si="7"/>
        <v>0</v>
      </c>
    </row>
    <row r="515" spans="1:16" hidden="1" x14ac:dyDescent="0.25">
      <c r="A515" s="8">
        <v>510</v>
      </c>
      <c r="B515">
        <v>119</v>
      </c>
      <c r="C515" s="27">
        <v>45329</v>
      </c>
      <c r="D515" t="s">
        <v>236</v>
      </c>
      <c r="E515">
        <v>9.99</v>
      </c>
      <c r="F515" t="s">
        <v>88</v>
      </c>
      <c r="G515" t="s">
        <v>131</v>
      </c>
      <c r="H515" t="s">
        <v>28</v>
      </c>
      <c r="I515" t="s">
        <v>69</v>
      </c>
      <c r="J515" s="27">
        <v>45323</v>
      </c>
      <c r="K515">
        <v>2024</v>
      </c>
      <c r="L515" s="27">
        <v>45329</v>
      </c>
      <c r="M515">
        <v>1154.5199999999991</v>
      </c>
      <c r="N515">
        <v>2</v>
      </c>
      <c r="O515" t="s">
        <v>90</v>
      </c>
      <c r="P515">
        <f t="shared" si="7"/>
        <v>0</v>
      </c>
    </row>
    <row r="516" spans="1:16" hidden="1" x14ac:dyDescent="0.25">
      <c r="A516" s="8">
        <v>511</v>
      </c>
      <c r="B516">
        <v>120</v>
      </c>
      <c r="C516" s="27">
        <v>45329</v>
      </c>
      <c r="D516" t="s">
        <v>162</v>
      </c>
      <c r="E516">
        <v>-1166.54</v>
      </c>
      <c r="F516" t="s">
        <v>163</v>
      </c>
      <c r="G516" t="s">
        <v>164</v>
      </c>
      <c r="H516" t="s">
        <v>14</v>
      </c>
      <c r="I516" t="s">
        <v>80</v>
      </c>
      <c r="J516" s="27">
        <v>45323</v>
      </c>
      <c r="K516">
        <v>2024</v>
      </c>
      <c r="L516" s="27">
        <v>45329</v>
      </c>
      <c r="M516">
        <v>-12.02000000000089</v>
      </c>
      <c r="N516">
        <v>3</v>
      </c>
      <c r="O516" t="s">
        <v>90</v>
      </c>
      <c r="P516">
        <f t="shared" si="7"/>
        <v>0</v>
      </c>
    </row>
    <row r="517" spans="1:16" hidden="1" x14ac:dyDescent="0.25">
      <c r="A517" s="8">
        <v>512</v>
      </c>
      <c r="B517">
        <v>121</v>
      </c>
      <c r="C517" s="27">
        <v>45329</v>
      </c>
      <c r="D517" t="s">
        <v>123</v>
      </c>
      <c r="E517">
        <v>-5</v>
      </c>
      <c r="F517" t="s">
        <v>163</v>
      </c>
      <c r="G517" t="s">
        <v>124</v>
      </c>
      <c r="H517" t="s">
        <v>28</v>
      </c>
      <c r="I517" t="s">
        <v>69</v>
      </c>
      <c r="J517" s="27">
        <v>45323</v>
      </c>
      <c r="K517">
        <v>2024</v>
      </c>
      <c r="L517" s="27">
        <v>45329</v>
      </c>
      <c r="M517">
        <v>-17.020000000000891</v>
      </c>
      <c r="N517">
        <v>3</v>
      </c>
      <c r="O517" t="s">
        <v>90</v>
      </c>
      <c r="P517">
        <f t="shared" ref="P517:P580" si="8">IF(J517&lt;&gt;J518, 1, 0)</f>
        <v>0</v>
      </c>
    </row>
    <row r="518" spans="1:16" hidden="1" x14ac:dyDescent="0.25">
      <c r="A518" s="8">
        <v>513</v>
      </c>
      <c r="B518">
        <v>122</v>
      </c>
      <c r="C518" s="27">
        <v>45330</v>
      </c>
      <c r="D518" t="s">
        <v>237</v>
      </c>
      <c r="E518">
        <v>87.72</v>
      </c>
      <c r="F518" t="s">
        <v>106</v>
      </c>
      <c r="G518" t="s">
        <v>137</v>
      </c>
      <c r="H518" t="s">
        <v>14</v>
      </c>
      <c r="I518" t="s">
        <v>118</v>
      </c>
      <c r="J518" s="27">
        <v>45323</v>
      </c>
      <c r="K518">
        <v>2024</v>
      </c>
      <c r="L518" s="27">
        <v>45330</v>
      </c>
      <c r="M518">
        <v>70.699999999999108</v>
      </c>
      <c r="N518">
        <v>6</v>
      </c>
      <c r="O518" t="s">
        <v>90</v>
      </c>
      <c r="P518">
        <f t="shared" si="8"/>
        <v>0</v>
      </c>
    </row>
    <row r="519" spans="1:16" hidden="1" x14ac:dyDescent="0.25">
      <c r="A519" s="8">
        <v>514</v>
      </c>
      <c r="B519">
        <v>123</v>
      </c>
      <c r="C519" s="27">
        <v>45330</v>
      </c>
      <c r="D519" t="s">
        <v>238</v>
      </c>
      <c r="E519">
        <v>89</v>
      </c>
      <c r="F519" t="s">
        <v>136</v>
      </c>
      <c r="G519" t="s">
        <v>239</v>
      </c>
      <c r="H519" t="s">
        <v>14</v>
      </c>
      <c r="I519" t="s">
        <v>69</v>
      </c>
      <c r="J519" s="27">
        <v>45323</v>
      </c>
      <c r="K519">
        <v>2024</v>
      </c>
      <c r="L519" s="27">
        <v>45330</v>
      </c>
      <c r="M519">
        <v>159.69999999999911</v>
      </c>
      <c r="N519">
        <v>1</v>
      </c>
      <c r="O519" t="s">
        <v>90</v>
      </c>
      <c r="P519">
        <f t="shared" si="8"/>
        <v>0</v>
      </c>
    </row>
    <row r="520" spans="1:16" hidden="1" x14ac:dyDescent="0.25">
      <c r="A520" s="8">
        <v>515</v>
      </c>
      <c r="B520">
        <v>124</v>
      </c>
      <c r="C520" s="27">
        <v>45330</v>
      </c>
      <c r="D520" t="s">
        <v>240</v>
      </c>
      <c r="E520">
        <v>59.98</v>
      </c>
      <c r="F520" t="s">
        <v>88</v>
      </c>
      <c r="G520" t="s">
        <v>168</v>
      </c>
      <c r="H520" t="s">
        <v>14</v>
      </c>
      <c r="I520" t="s">
        <v>69</v>
      </c>
      <c r="J520" s="27">
        <v>45323</v>
      </c>
      <c r="K520">
        <v>2024</v>
      </c>
      <c r="L520" s="27">
        <v>45330</v>
      </c>
      <c r="M520">
        <v>219.6799999999991</v>
      </c>
      <c r="N520">
        <v>3</v>
      </c>
      <c r="O520" t="s">
        <v>90</v>
      </c>
      <c r="P520">
        <f t="shared" si="8"/>
        <v>0</v>
      </c>
    </row>
    <row r="521" spans="1:16" hidden="1" x14ac:dyDescent="0.25">
      <c r="A521" s="8">
        <v>516</v>
      </c>
      <c r="B521">
        <v>125</v>
      </c>
      <c r="C521" s="27">
        <v>45331</v>
      </c>
      <c r="D521" t="s">
        <v>171</v>
      </c>
      <c r="E521">
        <v>25</v>
      </c>
      <c r="F521" t="s">
        <v>136</v>
      </c>
      <c r="G521" t="s">
        <v>172</v>
      </c>
      <c r="H521" t="s">
        <v>14</v>
      </c>
      <c r="I521" t="s">
        <v>15</v>
      </c>
      <c r="J521" s="27">
        <v>45323</v>
      </c>
      <c r="K521">
        <v>2024</v>
      </c>
      <c r="L521" s="27">
        <v>45331</v>
      </c>
      <c r="M521">
        <v>244.6799999999991</v>
      </c>
      <c r="N521">
        <v>2</v>
      </c>
      <c r="O521" t="s">
        <v>90</v>
      </c>
      <c r="P521">
        <f t="shared" si="8"/>
        <v>0</v>
      </c>
    </row>
    <row r="522" spans="1:16" hidden="1" x14ac:dyDescent="0.25">
      <c r="A522" s="8">
        <v>517</v>
      </c>
      <c r="B522">
        <v>126</v>
      </c>
      <c r="C522" s="27">
        <v>45332</v>
      </c>
      <c r="D522" t="s">
        <v>242</v>
      </c>
      <c r="E522">
        <v>28.29</v>
      </c>
      <c r="F522" t="s">
        <v>95</v>
      </c>
      <c r="G522" t="s">
        <v>139</v>
      </c>
      <c r="H522" t="s">
        <v>14</v>
      </c>
      <c r="I522" t="s">
        <v>93</v>
      </c>
      <c r="J522" s="27">
        <v>45323</v>
      </c>
      <c r="K522">
        <v>2024</v>
      </c>
      <c r="L522" s="27">
        <v>45332</v>
      </c>
      <c r="M522">
        <v>272.96999999999912</v>
      </c>
      <c r="N522">
        <v>3</v>
      </c>
      <c r="O522" t="s">
        <v>90</v>
      </c>
      <c r="P522">
        <f t="shared" si="8"/>
        <v>0</v>
      </c>
    </row>
    <row r="523" spans="1:16" hidden="1" x14ac:dyDescent="0.25">
      <c r="A523" s="8">
        <v>518</v>
      </c>
      <c r="B523">
        <v>127</v>
      </c>
      <c r="C523" s="27">
        <v>45332</v>
      </c>
      <c r="D523" t="s">
        <v>189</v>
      </c>
      <c r="E523">
        <v>85.46</v>
      </c>
      <c r="F523" t="s">
        <v>106</v>
      </c>
      <c r="G523" t="s">
        <v>137</v>
      </c>
      <c r="H523" t="s">
        <v>14</v>
      </c>
      <c r="I523" t="s">
        <v>118</v>
      </c>
      <c r="J523" s="27">
        <v>45323</v>
      </c>
      <c r="K523">
        <v>2024</v>
      </c>
      <c r="L523" s="27">
        <v>45332</v>
      </c>
      <c r="M523">
        <v>358.4299999999991</v>
      </c>
      <c r="N523">
        <v>7</v>
      </c>
      <c r="O523" t="s">
        <v>90</v>
      </c>
      <c r="P523">
        <f t="shared" si="8"/>
        <v>0</v>
      </c>
    </row>
    <row r="524" spans="1:16" hidden="1" x14ac:dyDescent="0.25">
      <c r="A524" s="8">
        <v>519</v>
      </c>
      <c r="B524">
        <v>128</v>
      </c>
      <c r="C524" s="27">
        <v>45332</v>
      </c>
      <c r="D524" t="s">
        <v>241</v>
      </c>
      <c r="E524">
        <v>53.1</v>
      </c>
      <c r="F524" t="s">
        <v>136</v>
      </c>
      <c r="G524" t="s">
        <v>212</v>
      </c>
      <c r="H524" t="s">
        <v>14</v>
      </c>
      <c r="I524" t="s">
        <v>69</v>
      </c>
      <c r="J524" s="27">
        <v>45323</v>
      </c>
      <c r="K524">
        <v>2024</v>
      </c>
      <c r="L524" s="27">
        <v>45332</v>
      </c>
      <c r="M524">
        <v>411.52999999999912</v>
      </c>
      <c r="N524">
        <v>2</v>
      </c>
      <c r="O524" t="s">
        <v>90</v>
      </c>
      <c r="P524">
        <f t="shared" si="8"/>
        <v>0</v>
      </c>
    </row>
    <row r="525" spans="1:16" hidden="1" x14ac:dyDescent="0.25">
      <c r="A525" s="8">
        <v>520</v>
      </c>
      <c r="B525">
        <v>129</v>
      </c>
      <c r="C525" s="27">
        <v>45333</v>
      </c>
      <c r="D525" t="s">
        <v>243</v>
      </c>
      <c r="E525">
        <v>26.11</v>
      </c>
      <c r="F525" t="s">
        <v>88</v>
      </c>
      <c r="G525" t="s">
        <v>244</v>
      </c>
      <c r="H525" t="s">
        <v>14</v>
      </c>
      <c r="I525" t="s">
        <v>69</v>
      </c>
      <c r="J525" s="27">
        <v>45323</v>
      </c>
      <c r="K525">
        <v>2024</v>
      </c>
      <c r="L525" s="27">
        <v>45333</v>
      </c>
      <c r="M525">
        <v>437.63999999999908</v>
      </c>
      <c r="N525">
        <v>1</v>
      </c>
      <c r="O525" t="s">
        <v>90</v>
      </c>
      <c r="P525">
        <f t="shared" si="8"/>
        <v>0</v>
      </c>
    </row>
    <row r="526" spans="1:16" hidden="1" x14ac:dyDescent="0.25">
      <c r="A526" s="8">
        <v>521</v>
      </c>
      <c r="B526">
        <v>130</v>
      </c>
      <c r="C526" s="27">
        <v>45333</v>
      </c>
      <c r="D526" t="s">
        <v>108</v>
      </c>
      <c r="E526">
        <v>49.46</v>
      </c>
      <c r="F526" t="s">
        <v>88</v>
      </c>
      <c r="G526" t="s">
        <v>109</v>
      </c>
      <c r="H526" t="s">
        <v>14</v>
      </c>
      <c r="I526" t="s">
        <v>93</v>
      </c>
      <c r="J526" s="27">
        <v>45323</v>
      </c>
      <c r="K526">
        <v>2024</v>
      </c>
      <c r="L526" s="27">
        <v>45333</v>
      </c>
      <c r="M526">
        <v>487.09999999999911</v>
      </c>
      <c r="N526">
        <v>2</v>
      </c>
      <c r="O526" t="s">
        <v>90</v>
      </c>
      <c r="P526">
        <f t="shared" si="8"/>
        <v>0</v>
      </c>
    </row>
    <row r="527" spans="1:16" hidden="1" x14ac:dyDescent="0.25">
      <c r="A527" s="8">
        <v>522</v>
      </c>
      <c r="B527">
        <v>131</v>
      </c>
      <c r="C527" s="27">
        <v>45333</v>
      </c>
      <c r="D527" t="s">
        <v>108</v>
      </c>
      <c r="E527">
        <v>39.99</v>
      </c>
      <c r="F527" t="s">
        <v>88</v>
      </c>
      <c r="G527" t="s">
        <v>109</v>
      </c>
      <c r="H527" t="s">
        <v>14</v>
      </c>
      <c r="I527" t="s">
        <v>93</v>
      </c>
      <c r="J527" s="27">
        <v>45323</v>
      </c>
      <c r="K527">
        <v>2024</v>
      </c>
      <c r="L527" s="27">
        <v>45333</v>
      </c>
      <c r="M527">
        <v>527.08999999999912</v>
      </c>
      <c r="N527">
        <v>3</v>
      </c>
      <c r="O527" t="s">
        <v>90</v>
      </c>
      <c r="P527">
        <f t="shared" si="8"/>
        <v>0</v>
      </c>
    </row>
    <row r="528" spans="1:16" hidden="1" x14ac:dyDescent="0.25">
      <c r="A528" s="8">
        <v>523</v>
      </c>
      <c r="B528">
        <v>132</v>
      </c>
      <c r="C528" s="27">
        <v>45333</v>
      </c>
      <c r="D528" t="s">
        <v>245</v>
      </c>
      <c r="E528">
        <v>37.68</v>
      </c>
      <c r="F528" t="s">
        <v>106</v>
      </c>
      <c r="G528" t="s">
        <v>137</v>
      </c>
      <c r="H528" t="s">
        <v>14</v>
      </c>
      <c r="I528" t="s">
        <v>118</v>
      </c>
      <c r="J528" s="27">
        <v>45323</v>
      </c>
      <c r="K528">
        <v>2024</v>
      </c>
      <c r="L528" s="27">
        <v>45333</v>
      </c>
      <c r="M528">
        <v>564.76999999999907</v>
      </c>
      <c r="N528">
        <v>8</v>
      </c>
      <c r="O528" t="s">
        <v>90</v>
      </c>
      <c r="P528">
        <f t="shared" si="8"/>
        <v>0</v>
      </c>
    </row>
    <row r="529" spans="1:16" hidden="1" x14ac:dyDescent="0.25">
      <c r="A529" s="8">
        <v>524</v>
      </c>
      <c r="B529">
        <v>133</v>
      </c>
      <c r="C529" s="27">
        <v>45334</v>
      </c>
      <c r="D529" t="s">
        <v>248</v>
      </c>
      <c r="E529">
        <v>61.05</v>
      </c>
      <c r="F529" t="s">
        <v>136</v>
      </c>
      <c r="G529" t="s">
        <v>139</v>
      </c>
      <c r="H529" t="s">
        <v>14</v>
      </c>
      <c r="I529" t="s">
        <v>93</v>
      </c>
      <c r="J529" s="27">
        <v>45323</v>
      </c>
      <c r="K529">
        <v>2024</v>
      </c>
      <c r="L529" s="27">
        <v>45334</v>
      </c>
      <c r="M529">
        <v>625.81999999999903</v>
      </c>
      <c r="N529">
        <v>4</v>
      </c>
      <c r="O529" t="s">
        <v>90</v>
      </c>
      <c r="P529">
        <f t="shared" si="8"/>
        <v>0</v>
      </c>
    </row>
    <row r="530" spans="1:16" hidden="1" x14ac:dyDescent="0.25">
      <c r="A530" s="8">
        <v>525</v>
      </c>
      <c r="B530">
        <v>134</v>
      </c>
      <c r="C530" s="27">
        <v>45334</v>
      </c>
      <c r="D530" t="s">
        <v>138</v>
      </c>
      <c r="E530">
        <v>47</v>
      </c>
      <c r="F530" t="s">
        <v>136</v>
      </c>
      <c r="G530" t="s">
        <v>139</v>
      </c>
      <c r="H530" t="s">
        <v>14</v>
      </c>
      <c r="I530" t="s">
        <v>93</v>
      </c>
      <c r="J530" s="27">
        <v>45323</v>
      </c>
      <c r="K530">
        <v>2024</v>
      </c>
      <c r="L530" s="27">
        <v>45334</v>
      </c>
      <c r="M530">
        <v>672.81999999999903</v>
      </c>
      <c r="N530">
        <v>5</v>
      </c>
      <c r="O530" t="s">
        <v>90</v>
      </c>
      <c r="P530">
        <f t="shared" si="8"/>
        <v>0</v>
      </c>
    </row>
    <row r="531" spans="1:16" hidden="1" x14ac:dyDescent="0.25">
      <c r="A531" s="8">
        <v>526</v>
      </c>
      <c r="B531">
        <v>135</v>
      </c>
      <c r="C531" s="27">
        <v>45334</v>
      </c>
      <c r="D531" t="s">
        <v>246</v>
      </c>
      <c r="E531">
        <v>105</v>
      </c>
      <c r="F531" t="s">
        <v>88</v>
      </c>
      <c r="G531" t="s">
        <v>247</v>
      </c>
      <c r="H531" t="s">
        <v>14</v>
      </c>
      <c r="I531" t="s">
        <v>44</v>
      </c>
      <c r="J531" s="27">
        <v>45323</v>
      </c>
      <c r="K531">
        <v>2024</v>
      </c>
      <c r="L531" s="27">
        <v>45334</v>
      </c>
      <c r="M531">
        <v>777.81999999999903</v>
      </c>
      <c r="N531">
        <v>1</v>
      </c>
      <c r="O531" t="s">
        <v>90</v>
      </c>
      <c r="P531">
        <f t="shared" si="8"/>
        <v>0</v>
      </c>
    </row>
    <row r="532" spans="1:16" hidden="1" x14ac:dyDescent="0.25">
      <c r="A532" s="8">
        <v>527</v>
      </c>
      <c r="B532">
        <v>136</v>
      </c>
      <c r="C532" s="27">
        <v>45335</v>
      </c>
      <c r="D532" t="s">
        <v>226</v>
      </c>
      <c r="E532">
        <v>24.79</v>
      </c>
      <c r="F532" t="s">
        <v>88</v>
      </c>
      <c r="G532" t="s">
        <v>176</v>
      </c>
      <c r="H532" t="s">
        <v>14</v>
      </c>
      <c r="I532" t="s">
        <v>93</v>
      </c>
      <c r="J532" s="27">
        <v>45323</v>
      </c>
      <c r="K532">
        <v>2024</v>
      </c>
      <c r="L532" s="27">
        <v>45335</v>
      </c>
      <c r="M532">
        <v>802.60999999999899</v>
      </c>
      <c r="N532">
        <v>3</v>
      </c>
      <c r="O532" t="s">
        <v>90</v>
      </c>
      <c r="P532">
        <f t="shared" si="8"/>
        <v>0</v>
      </c>
    </row>
    <row r="533" spans="1:16" hidden="1" x14ac:dyDescent="0.25">
      <c r="A533" s="8">
        <v>528</v>
      </c>
      <c r="B533">
        <v>137</v>
      </c>
      <c r="C533" s="27">
        <v>45336</v>
      </c>
      <c r="D533" t="s">
        <v>185</v>
      </c>
      <c r="E533">
        <v>90.54</v>
      </c>
      <c r="F533" t="s">
        <v>88</v>
      </c>
      <c r="G533" t="s">
        <v>186</v>
      </c>
      <c r="H533" t="s">
        <v>28</v>
      </c>
      <c r="I533" t="s">
        <v>187</v>
      </c>
      <c r="J533" s="27">
        <v>45323</v>
      </c>
      <c r="K533">
        <v>2024</v>
      </c>
      <c r="L533" s="27">
        <v>45336</v>
      </c>
      <c r="M533">
        <v>893.14999999999895</v>
      </c>
      <c r="N533">
        <v>2</v>
      </c>
      <c r="O533" t="s">
        <v>90</v>
      </c>
      <c r="P533">
        <f t="shared" si="8"/>
        <v>0</v>
      </c>
    </row>
    <row r="534" spans="1:16" hidden="1" x14ac:dyDescent="0.25">
      <c r="A534" s="8">
        <v>529</v>
      </c>
      <c r="B534">
        <v>138</v>
      </c>
      <c r="C534" s="27">
        <v>45337</v>
      </c>
      <c r="D534" t="s">
        <v>181</v>
      </c>
      <c r="E534">
        <v>220</v>
      </c>
      <c r="F534" t="s">
        <v>136</v>
      </c>
      <c r="G534" t="s">
        <v>155</v>
      </c>
      <c r="H534" t="s">
        <v>28</v>
      </c>
      <c r="I534" t="s">
        <v>69</v>
      </c>
      <c r="J534" s="27">
        <v>45323</v>
      </c>
      <c r="K534">
        <v>2024</v>
      </c>
      <c r="L534" s="27">
        <v>45337</v>
      </c>
      <c r="M534">
        <v>1113.149999999999</v>
      </c>
      <c r="N534">
        <v>3</v>
      </c>
      <c r="O534" t="s">
        <v>90</v>
      </c>
      <c r="P534">
        <f t="shared" si="8"/>
        <v>0</v>
      </c>
    </row>
    <row r="535" spans="1:16" hidden="1" x14ac:dyDescent="0.25">
      <c r="A535" s="8">
        <v>530</v>
      </c>
      <c r="B535">
        <v>139</v>
      </c>
      <c r="C535" s="27">
        <v>45339</v>
      </c>
      <c r="D535" t="s">
        <v>249</v>
      </c>
      <c r="E535">
        <v>23</v>
      </c>
      <c r="F535" t="s">
        <v>88</v>
      </c>
      <c r="G535" t="s">
        <v>153</v>
      </c>
      <c r="H535" t="s">
        <v>14</v>
      </c>
      <c r="I535" t="s">
        <v>69</v>
      </c>
      <c r="J535" s="27">
        <v>45323</v>
      </c>
      <c r="K535">
        <v>2024</v>
      </c>
      <c r="L535" s="27">
        <v>45339</v>
      </c>
      <c r="M535">
        <v>1136.149999999999</v>
      </c>
      <c r="N535">
        <v>2</v>
      </c>
      <c r="O535" t="s">
        <v>90</v>
      </c>
      <c r="P535">
        <f t="shared" si="8"/>
        <v>0</v>
      </c>
    </row>
    <row r="536" spans="1:16" hidden="1" x14ac:dyDescent="0.25">
      <c r="A536" s="8">
        <v>531</v>
      </c>
      <c r="B536">
        <v>140</v>
      </c>
      <c r="C536" s="27">
        <v>45340</v>
      </c>
      <c r="D536" t="s">
        <v>250</v>
      </c>
      <c r="E536">
        <v>20.46</v>
      </c>
      <c r="F536" t="s">
        <v>116</v>
      </c>
      <c r="G536" t="s">
        <v>117</v>
      </c>
      <c r="H536" t="s">
        <v>14</v>
      </c>
      <c r="I536" t="s">
        <v>118</v>
      </c>
      <c r="J536" s="27">
        <v>45323</v>
      </c>
      <c r="K536">
        <v>2024</v>
      </c>
      <c r="L536" s="27">
        <v>45340</v>
      </c>
      <c r="M536">
        <v>1156.609999999999</v>
      </c>
      <c r="N536">
        <v>17</v>
      </c>
      <c r="O536" t="s">
        <v>90</v>
      </c>
      <c r="P536">
        <f t="shared" si="8"/>
        <v>0</v>
      </c>
    </row>
    <row r="537" spans="1:16" hidden="1" x14ac:dyDescent="0.25">
      <c r="A537" s="8">
        <v>532</v>
      </c>
      <c r="B537">
        <v>141</v>
      </c>
      <c r="C537" s="27">
        <v>45340</v>
      </c>
      <c r="D537" t="s">
        <v>189</v>
      </c>
      <c r="E537">
        <v>36.83</v>
      </c>
      <c r="F537" t="s">
        <v>106</v>
      </c>
      <c r="G537" t="s">
        <v>137</v>
      </c>
      <c r="H537" t="s">
        <v>14</v>
      </c>
      <c r="I537" t="s">
        <v>118</v>
      </c>
      <c r="J537" s="27">
        <v>45323</v>
      </c>
      <c r="K537">
        <v>2024</v>
      </c>
      <c r="L537" s="27">
        <v>45340</v>
      </c>
      <c r="M537">
        <v>1193.4399999999989</v>
      </c>
      <c r="N537">
        <v>9</v>
      </c>
      <c r="O537" t="s">
        <v>90</v>
      </c>
      <c r="P537">
        <f t="shared" si="8"/>
        <v>0</v>
      </c>
    </row>
    <row r="538" spans="1:16" hidden="1" x14ac:dyDescent="0.25">
      <c r="A538" s="8">
        <v>533</v>
      </c>
      <c r="B538">
        <v>142</v>
      </c>
      <c r="C538" s="27">
        <v>45340</v>
      </c>
      <c r="D538" t="s">
        <v>251</v>
      </c>
      <c r="E538">
        <v>20.61</v>
      </c>
      <c r="F538" t="s">
        <v>95</v>
      </c>
      <c r="G538" t="s">
        <v>247</v>
      </c>
      <c r="H538" t="s">
        <v>14</v>
      </c>
      <c r="I538" t="s">
        <v>44</v>
      </c>
      <c r="J538" s="27">
        <v>45323</v>
      </c>
      <c r="K538">
        <v>2024</v>
      </c>
      <c r="L538" s="27">
        <v>45340</v>
      </c>
      <c r="M538">
        <v>1214.049999999999</v>
      </c>
      <c r="N538">
        <v>2</v>
      </c>
      <c r="O538" t="s">
        <v>90</v>
      </c>
      <c r="P538">
        <f t="shared" si="8"/>
        <v>0</v>
      </c>
    </row>
    <row r="539" spans="1:16" hidden="1" x14ac:dyDescent="0.25">
      <c r="A539" s="8">
        <v>534</v>
      </c>
      <c r="B539">
        <v>143</v>
      </c>
      <c r="C539" s="27">
        <v>45341</v>
      </c>
      <c r="D539" t="s">
        <v>252</v>
      </c>
      <c r="E539">
        <v>22.08</v>
      </c>
      <c r="F539" t="s">
        <v>88</v>
      </c>
      <c r="G539" t="s">
        <v>107</v>
      </c>
      <c r="H539" t="s">
        <v>14</v>
      </c>
      <c r="I539" t="s">
        <v>69</v>
      </c>
      <c r="J539" s="27">
        <v>45323</v>
      </c>
      <c r="K539">
        <v>2024</v>
      </c>
      <c r="L539" s="27">
        <v>45341</v>
      </c>
      <c r="M539">
        <v>1236.129999999999</v>
      </c>
      <c r="N539">
        <v>14</v>
      </c>
      <c r="O539" t="s">
        <v>90</v>
      </c>
      <c r="P539">
        <f t="shared" si="8"/>
        <v>0</v>
      </c>
    </row>
    <row r="540" spans="1:16" hidden="1" x14ac:dyDescent="0.25">
      <c r="A540" s="8">
        <v>535</v>
      </c>
      <c r="B540">
        <v>144</v>
      </c>
      <c r="C540" s="27">
        <v>45342</v>
      </c>
      <c r="D540" t="s">
        <v>108</v>
      </c>
      <c r="E540">
        <v>20.99</v>
      </c>
      <c r="F540" t="s">
        <v>88</v>
      </c>
      <c r="G540" t="s">
        <v>109</v>
      </c>
      <c r="H540" t="s">
        <v>14</v>
      </c>
      <c r="I540" t="s">
        <v>93</v>
      </c>
      <c r="J540" s="27">
        <v>45323</v>
      </c>
      <c r="K540">
        <v>2024</v>
      </c>
      <c r="L540" s="27">
        <v>45342</v>
      </c>
      <c r="M540">
        <v>1257.119999999999</v>
      </c>
      <c r="N540">
        <v>4</v>
      </c>
      <c r="O540" t="s">
        <v>90</v>
      </c>
      <c r="P540">
        <f t="shared" si="8"/>
        <v>0</v>
      </c>
    </row>
    <row r="541" spans="1:16" hidden="1" x14ac:dyDescent="0.25">
      <c r="A541" s="8">
        <v>536</v>
      </c>
      <c r="B541">
        <v>145</v>
      </c>
      <c r="C541" s="27">
        <v>45343</v>
      </c>
      <c r="D541" t="s">
        <v>113</v>
      </c>
      <c r="E541">
        <v>12.75</v>
      </c>
      <c r="F541" t="s">
        <v>88</v>
      </c>
      <c r="G541" t="s">
        <v>114</v>
      </c>
      <c r="H541" t="s">
        <v>14</v>
      </c>
      <c r="I541" t="s">
        <v>93</v>
      </c>
      <c r="J541" s="27">
        <v>45323</v>
      </c>
      <c r="K541">
        <v>2024</v>
      </c>
      <c r="L541" s="27">
        <v>45343</v>
      </c>
      <c r="M541">
        <v>1269.869999999999</v>
      </c>
      <c r="N541">
        <v>7</v>
      </c>
      <c r="O541" t="s">
        <v>90</v>
      </c>
      <c r="P541">
        <f t="shared" si="8"/>
        <v>0</v>
      </c>
    </row>
    <row r="542" spans="1:16" hidden="1" x14ac:dyDescent="0.25">
      <c r="A542" s="8">
        <v>537</v>
      </c>
      <c r="B542">
        <v>146</v>
      </c>
      <c r="C542" s="27">
        <v>45343</v>
      </c>
      <c r="D542" t="s">
        <v>162</v>
      </c>
      <c r="E542">
        <v>-1263.1400000000001</v>
      </c>
      <c r="F542" t="s">
        <v>163</v>
      </c>
      <c r="G542" t="s">
        <v>164</v>
      </c>
      <c r="H542" t="s">
        <v>14</v>
      </c>
      <c r="I542" t="s">
        <v>80</v>
      </c>
      <c r="J542" s="27">
        <v>45323</v>
      </c>
      <c r="K542">
        <v>2024</v>
      </c>
      <c r="L542" s="27">
        <v>45343</v>
      </c>
      <c r="M542">
        <v>6.7299999999986539</v>
      </c>
      <c r="N542">
        <v>4</v>
      </c>
      <c r="O542" t="s">
        <v>90</v>
      </c>
      <c r="P542">
        <f t="shared" si="8"/>
        <v>0</v>
      </c>
    </row>
    <row r="543" spans="1:16" hidden="1" x14ac:dyDescent="0.25">
      <c r="A543" s="8">
        <v>538</v>
      </c>
      <c r="B543">
        <v>147</v>
      </c>
      <c r="C543" s="27">
        <v>45344</v>
      </c>
      <c r="D543" t="s">
        <v>253</v>
      </c>
      <c r="E543">
        <v>63.59</v>
      </c>
      <c r="F543" t="s">
        <v>88</v>
      </c>
      <c r="G543" t="s">
        <v>254</v>
      </c>
      <c r="H543" t="s">
        <v>14</v>
      </c>
      <c r="I543" t="s">
        <v>69</v>
      </c>
      <c r="J543" s="27">
        <v>45323</v>
      </c>
      <c r="K543">
        <v>2024</v>
      </c>
      <c r="L543" s="27">
        <v>45344</v>
      </c>
      <c r="M543">
        <v>70.319999999998657</v>
      </c>
      <c r="N543">
        <v>1</v>
      </c>
      <c r="O543" t="s">
        <v>90</v>
      </c>
      <c r="P543">
        <f t="shared" si="8"/>
        <v>0</v>
      </c>
    </row>
    <row r="544" spans="1:16" hidden="1" x14ac:dyDescent="0.25">
      <c r="A544" s="8">
        <v>539</v>
      </c>
      <c r="B544">
        <v>148</v>
      </c>
      <c r="C544" s="27">
        <v>45344</v>
      </c>
      <c r="D544" t="s">
        <v>255</v>
      </c>
      <c r="E544">
        <v>54.36</v>
      </c>
      <c r="F544" t="s">
        <v>136</v>
      </c>
      <c r="G544" t="s">
        <v>92</v>
      </c>
      <c r="H544" t="s">
        <v>14</v>
      </c>
      <c r="I544" t="s">
        <v>93</v>
      </c>
      <c r="J544" s="27">
        <v>45323</v>
      </c>
      <c r="K544">
        <v>2024</v>
      </c>
      <c r="L544" s="27">
        <v>45344</v>
      </c>
      <c r="M544">
        <v>124.6799999999987</v>
      </c>
      <c r="N544">
        <v>5</v>
      </c>
      <c r="O544" t="s">
        <v>90</v>
      </c>
      <c r="P544">
        <f t="shared" si="8"/>
        <v>0</v>
      </c>
    </row>
    <row r="545" spans="1:16" hidden="1" x14ac:dyDescent="0.25">
      <c r="A545" s="8">
        <v>540</v>
      </c>
      <c r="B545">
        <v>149</v>
      </c>
      <c r="C545" s="27">
        <v>45348</v>
      </c>
      <c r="D545" t="s">
        <v>113</v>
      </c>
      <c r="E545">
        <v>9.0399999999999991</v>
      </c>
      <c r="F545" t="s">
        <v>88</v>
      </c>
      <c r="G545" t="s">
        <v>114</v>
      </c>
      <c r="H545" t="s">
        <v>14</v>
      </c>
      <c r="I545" t="s">
        <v>93</v>
      </c>
      <c r="J545" s="27">
        <v>45323</v>
      </c>
      <c r="K545">
        <v>2024</v>
      </c>
      <c r="L545" s="27">
        <v>45348</v>
      </c>
      <c r="M545">
        <v>133.71999999999869</v>
      </c>
      <c r="N545">
        <v>8</v>
      </c>
      <c r="O545" t="s">
        <v>90</v>
      </c>
      <c r="P545">
        <f t="shared" si="8"/>
        <v>0</v>
      </c>
    </row>
    <row r="546" spans="1:16" hidden="1" x14ac:dyDescent="0.25">
      <c r="A546" s="8">
        <v>541</v>
      </c>
      <c r="B546">
        <v>150</v>
      </c>
      <c r="C546" s="27">
        <v>45348</v>
      </c>
      <c r="D546" t="s">
        <v>256</v>
      </c>
      <c r="E546">
        <v>33.520000000000003</v>
      </c>
      <c r="F546" t="s">
        <v>95</v>
      </c>
      <c r="G546" t="s">
        <v>257</v>
      </c>
      <c r="H546" t="s">
        <v>14</v>
      </c>
      <c r="I546" t="s">
        <v>93</v>
      </c>
      <c r="J546" s="27">
        <v>45323</v>
      </c>
      <c r="K546">
        <v>2024</v>
      </c>
      <c r="L546" s="27">
        <v>45348</v>
      </c>
      <c r="M546">
        <v>167.2399999999987</v>
      </c>
      <c r="N546">
        <v>1</v>
      </c>
      <c r="O546" t="s">
        <v>90</v>
      </c>
      <c r="P546">
        <f t="shared" si="8"/>
        <v>0</v>
      </c>
    </row>
    <row r="547" spans="1:16" hidden="1" x14ac:dyDescent="0.25">
      <c r="A547" s="8">
        <v>542</v>
      </c>
      <c r="B547">
        <v>151</v>
      </c>
      <c r="C547" s="27">
        <v>45349</v>
      </c>
      <c r="D547" t="s">
        <v>213</v>
      </c>
      <c r="E547">
        <v>29.99</v>
      </c>
      <c r="F547" t="s">
        <v>88</v>
      </c>
      <c r="G547" t="s">
        <v>214</v>
      </c>
      <c r="H547" t="s">
        <v>28</v>
      </c>
      <c r="I547" t="s">
        <v>69</v>
      </c>
      <c r="J547" s="27">
        <v>45323</v>
      </c>
      <c r="K547">
        <v>2024</v>
      </c>
      <c r="L547" s="27">
        <v>45349</v>
      </c>
      <c r="M547">
        <v>197.22999999999871</v>
      </c>
      <c r="N547">
        <v>2</v>
      </c>
      <c r="O547" t="s">
        <v>90</v>
      </c>
      <c r="P547">
        <f t="shared" si="8"/>
        <v>0</v>
      </c>
    </row>
    <row r="548" spans="1:16" hidden="1" x14ac:dyDescent="0.25">
      <c r="A548" s="8">
        <v>543</v>
      </c>
      <c r="B548">
        <v>152</v>
      </c>
      <c r="C548" s="27">
        <v>45349</v>
      </c>
      <c r="D548" t="s">
        <v>258</v>
      </c>
      <c r="E548">
        <v>10.37</v>
      </c>
      <c r="F548" t="s">
        <v>116</v>
      </c>
      <c r="G548" t="s">
        <v>117</v>
      </c>
      <c r="H548" t="s">
        <v>14</v>
      </c>
      <c r="I548" t="s">
        <v>118</v>
      </c>
      <c r="J548" s="27">
        <v>45323</v>
      </c>
      <c r="K548">
        <v>2024</v>
      </c>
      <c r="L548" s="27">
        <v>45349</v>
      </c>
      <c r="M548">
        <v>207.59999999999869</v>
      </c>
      <c r="N548">
        <v>18</v>
      </c>
      <c r="O548" t="s">
        <v>90</v>
      </c>
      <c r="P548">
        <f t="shared" si="8"/>
        <v>0</v>
      </c>
    </row>
    <row r="549" spans="1:16" hidden="1" x14ac:dyDescent="0.25">
      <c r="A549" s="8">
        <v>544</v>
      </c>
      <c r="B549">
        <v>153</v>
      </c>
      <c r="C549" s="27">
        <v>45350</v>
      </c>
      <c r="D549" t="s">
        <v>259</v>
      </c>
      <c r="E549">
        <v>27.36</v>
      </c>
      <c r="F549" t="s">
        <v>88</v>
      </c>
      <c r="G549" t="s">
        <v>107</v>
      </c>
      <c r="H549" t="s">
        <v>14</v>
      </c>
      <c r="I549" t="s">
        <v>69</v>
      </c>
      <c r="J549" s="27">
        <v>45323</v>
      </c>
      <c r="K549">
        <v>2024</v>
      </c>
      <c r="L549" s="27">
        <v>45350</v>
      </c>
      <c r="M549">
        <v>234.9599999999987</v>
      </c>
      <c r="N549">
        <v>15</v>
      </c>
      <c r="O549" t="s">
        <v>90</v>
      </c>
      <c r="P549">
        <f t="shared" si="8"/>
        <v>0</v>
      </c>
    </row>
    <row r="550" spans="1:16" hidden="1" x14ac:dyDescent="0.25">
      <c r="A550" s="8">
        <v>545</v>
      </c>
      <c r="B550">
        <v>154</v>
      </c>
      <c r="C550" s="27">
        <v>45350</v>
      </c>
      <c r="D550" t="s">
        <v>260</v>
      </c>
      <c r="E550">
        <v>184.99</v>
      </c>
      <c r="F550" t="s">
        <v>88</v>
      </c>
      <c r="G550" t="s">
        <v>261</v>
      </c>
      <c r="H550" t="s">
        <v>14</v>
      </c>
      <c r="I550" t="s">
        <v>69</v>
      </c>
      <c r="J550" s="27">
        <v>45323</v>
      </c>
      <c r="K550">
        <v>2024</v>
      </c>
      <c r="L550" s="27">
        <v>45350</v>
      </c>
      <c r="M550">
        <v>419.94999999999868</v>
      </c>
      <c r="N550">
        <v>1</v>
      </c>
      <c r="O550" t="s">
        <v>90</v>
      </c>
      <c r="P550">
        <f t="shared" si="8"/>
        <v>0</v>
      </c>
    </row>
    <row r="551" spans="1:16" hidden="1" x14ac:dyDescent="0.25">
      <c r="A551" s="8">
        <v>546</v>
      </c>
      <c r="B551">
        <v>155</v>
      </c>
      <c r="C551" s="27">
        <v>45350</v>
      </c>
      <c r="D551" t="s">
        <v>113</v>
      </c>
      <c r="E551">
        <v>8.19</v>
      </c>
      <c r="F551" t="s">
        <v>88</v>
      </c>
      <c r="G551" t="s">
        <v>114</v>
      </c>
      <c r="H551" t="s">
        <v>14</v>
      </c>
      <c r="I551" t="s">
        <v>93</v>
      </c>
      <c r="J551" s="27">
        <v>45323</v>
      </c>
      <c r="K551">
        <v>2024</v>
      </c>
      <c r="L551" s="27">
        <v>45350</v>
      </c>
      <c r="M551">
        <v>428.13999999999868</v>
      </c>
      <c r="N551">
        <v>9</v>
      </c>
      <c r="O551" t="s">
        <v>90</v>
      </c>
      <c r="P551">
        <f t="shared" si="8"/>
        <v>0</v>
      </c>
    </row>
    <row r="552" spans="1:16" hidden="1" x14ac:dyDescent="0.25">
      <c r="A552" s="8">
        <v>547</v>
      </c>
      <c r="B552">
        <v>156</v>
      </c>
      <c r="C552" s="27">
        <v>45351</v>
      </c>
      <c r="D552" t="s">
        <v>241</v>
      </c>
      <c r="E552">
        <v>25.77</v>
      </c>
      <c r="F552" t="s">
        <v>136</v>
      </c>
      <c r="G552" t="s">
        <v>212</v>
      </c>
      <c r="H552" t="s">
        <v>14</v>
      </c>
      <c r="I552" t="s">
        <v>69</v>
      </c>
      <c r="J552" s="27">
        <v>45323</v>
      </c>
      <c r="K552">
        <v>2024</v>
      </c>
      <c r="L552" s="27">
        <v>45351</v>
      </c>
      <c r="M552">
        <v>453.90999999999872</v>
      </c>
      <c r="N552">
        <v>3</v>
      </c>
      <c r="O552" t="s">
        <v>90</v>
      </c>
      <c r="P552">
        <f t="shared" si="8"/>
        <v>0</v>
      </c>
    </row>
    <row r="553" spans="1:16" hidden="1" x14ac:dyDescent="0.25">
      <c r="A553" s="8">
        <v>548</v>
      </c>
      <c r="B553">
        <v>157</v>
      </c>
      <c r="C553" s="27">
        <v>45351</v>
      </c>
      <c r="D553" t="s">
        <v>262</v>
      </c>
      <c r="E553">
        <v>44.81</v>
      </c>
      <c r="F553" t="s">
        <v>106</v>
      </c>
      <c r="G553" t="s">
        <v>117</v>
      </c>
      <c r="H553" t="s">
        <v>14</v>
      </c>
      <c r="I553" t="s">
        <v>118</v>
      </c>
      <c r="J553" s="27">
        <v>45323</v>
      </c>
      <c r="K553">
        <v>2024</v>
      </c>
      <c r="L553" s="27">
        <v>45351</v>
      </c>
      <c r="M553">
        <v>498.71999999999872</v>
      </c>
      <c r="N553">
        <v>19</v>
      </c>
      <c r="O553" t="s">
        <v>90</v>
      </c>
      <c r="P553">
        <f t="shared" si="8"/>
        <v>1</v>
      </c>
    </row>
    <row r="554" spans="1:16" hidden="1" x14ac:dyDescent="0.25">
      <c r="A554" s="8">
        <v>549</v>
      </c>
      <c r="B554">
        <v>158</v>
      </c>
      <c r="C554" s="27">
        <v>45352</v>
      </c>
      <c r="D554" t="s">
        <v>265</v>
      </c>
      <c r="E554">
        <v>5.99</v>
      </c>
      <c r="F554" t="s">
        <v>88</v>
      </c>
      <c r="G554" t="s">
        <v>98</v>
      </c>
      <c r="H554" t="s">
        <v>28</v>
      </c>
      <c r="I554" t="s">
        <v>93</v>
      </c>
      <c r="J554" s="27">
        <v>45352</v>
      </c>
      <c r="K554">
        <v>2024</v>
      </c>
      <c r="L554" s="27">
        <v>45352</v>
      </c>
      <c r="M554">
        <v>504.70999999999867</v>
      </c>
      <c r="N554">
        <v>3</v>
      </c>
      <c r="O554" t="s">
        <v>90</v>
      </c>
      <c r="P554">
        <f t="shared" si="8"/>
        <v>0</v>
      </c>
    </row>
    <row r="555" spans="1:16" hidden="1" x14ac:dyDescent="0.25">
      <c r="A555" s="8">
        <v>550</v>
      </c>
      <c r="B555">
        <v>159</v>
      </c>
      <c r="C555" s="27">
        <v>45352</v>
      </c>
      <c r="D555" t="s">
        <v>94</v>
      </c>
      <c r="E555">
        <v>5</v>
      </c>
      <c r="F555" t="s">
        <v>95</v>
      </c>
      <c r="G555" t="s">
        <v>96</v>
      </c>
      <c r="H555" t="s">
        <v>28</v>
      </c>
      <c r="I555" t="s">
        <v>69</v>
      </c>
      <c r="J555" s="27">
        <v>45352</v>
      </c>
      <c r="K555">
        <v>2024</v>
      </c>
      <c r="L555" s="27">
        <v>45352</v>
      </c>
      <c r="M555">
        <v>509.70999999999867</v>
      </c>
      <c r="N555">
        <v>3</v>
      </c>
      <c r="O555" t="s">
        <v>90</v>
      </c>
      <c r="P555">
        <f t="shared" si="8"/>
        <v>0</v>
      </c>
    </row>
    <row r="556" spans="1:16" hidden="1" x14ac:dyDescent="0.25">
      <c r="A556" s="8">
        <v>551</v>
      </c>
      <c r="B556">
        <v>160</v>
      </c>
      <c r="C556" s="27">
        <v>45352</v>
      </c>
      <c r="D556" t="s">
        <v>263</v>
      </c>
      <c r="E556">
        <v>23.46</v>
      </c>
      <c r="F556" t="s">
        <v>116</v>
      </c>
      <c r="G556" t="s">
        <v>117</v>
      </c>
      <c r="H556" t="s">
        <v>14</v>
      </c>
      <c r="I556" t="s">
        <v>118</v>
      </c>
      <c r="J556" s="27">
        <v>45352</v>
      </c>
      <c r="K556">
        <v>2024</v>
      </c>
      <c r="L556" s="27">
        <v>45352</v>
      </c>
      <c r="M556">
        <v>533.16999999999871</v>
      </c>
      <c r="N556">
        <v>20</v>
      </c>
      <c r="O556" t="s">
        <v>90</v>
      </c>
      <c r="P556">
        <f t="shared" si="8"/>
        <v>0</v>
      </c>
    </row>
    <row r="557" spans="1:16" hidden="1" x14ac:dyDescent="0.25">
      <c r="A557" s="8">
        <v>552</v>
      </c>
      <c r="B557">
        <v>161</v>
      </c>
      <c r="C557" s="27">
        <v>45352</v>
      </c>
      <c r="D557" t="s">
        <v>264</v>
      </c>
      <c r="E557">
        <v>23.69</v>
      </c>
      <c r="F557" t="s">
        <v>88</v>
      </c>
      <c r="G557" t="s">
        <v>107</v>
      </c>
      <c r="H557" t="s">
        <v>14</v>
      </c>
      <c r="I557" t="s">
        <v>69</v>
      </c>
      <c r="J557" s="27">
        <v>45352</v>
      </c>
      <c r="K557">
        <v>2024</v>
      </c>
      <c r="L557" s="27">
        <v>45352</v>
      </c>
      <c r="M557">
        <v>556.85999999999876</v>
      </c>
      <c r="N557">
        <v>16</v>
      </c>
      <c r="O557" t="s">
        <v>90</v>
      </c>
      <c r="P557">
        <f t="shared" si="8"/>
        <v>0</v>
      </c>
    </row>
    <row r="558" spans="1:16" hidden="1" x14ac:dyDescent="0.25">
      <c r="A558" s="8">
        <v>553</v>
      </c>
      <c r="B558">
        <v>162</v>
      </c>
      <c r="C558" s="27">
        <v>45352</v>
      </c>
      <c r="D558" t="s">
        <v>87</v>
      </c>
      <c r="E558">
        <v>20</v>
      </c>
      <c r="F558" t="s">
        <v>88</v>
      </c>
      <c r="G558" t="s">
        <v>89</v>
      </c>
      <c r="H558" t="s">
        <v>28</v>
      </c>
      <c r="I558" t="s">
        <v>69</v>
      </c>
      <c r="J558" s="27">
        <v>45352</v>
      </c>
      <c r="K558">
        <v>2024</v>
      </c>
      <c r="L558" s="27">
        <v>45352</v>
      </c>
      <c r="M558">
        <v>576.85999999999876</v>
      </c>
      <c r="N558">
        <v>3</v>
      </c>
      <c r="O558" t="s">
        <v>90</v>
      </c>
      <c r="P558">
        <f t="shared" si="8"/>
        <v>0</v>
      </c>
    </row>
    <row r="559" spans="1:16" hidden="1" x14ac:dyDescent="0.25">
      <c r="A559" s="8">
        <v>554</v>
      </c>
      <c r="B559">
        <v>163</v>
      </c>
      <c r="C559" s="27">
        <v>45353</v>
      </c>
      <c r="D559" t="s">
        <v>269</v>
      </c>
      <c r="E559">
        <v>10</v>
      </c>
      <c r="F559" t="s">
        <v>88</v>
      </c>
      <c r="G559" t="s">
        <v>102</v>
      </c>
      <c r="H559" t="s">
        <v>28</v>
      </c>
      <c r="I559" t="s">
        <v>93</v>
      </c>
      <c r="J559" s="27">
        <v>45352</v>
      </c>
      <c r="K559">
        <v>2024</v>
      </c>
      <c r="L559" s="27">
        <v>45353</v>
      </c>
      <c r="M559">
        <v>586.85999999999876</v>
      </c>
      <c r="N559">
        <v>3</v>
      </c>
      <c r="O559" t="s">
        <v>90</v>
      </c>
      <c r="P559">
        <f t="shared" si="8"/>
        <v>0</v>
      </c>
    </row>
    <row r="560" spans="1:16" hidden="1" x14ac:dyDescent="0.25">
      <c r="A560" s="8">
        <v>555</v>
      </c>
      <c r="B560">
        <v>164</v>
      </c>
      <c r="C560" s="27">
        <v>45353</v>
      </c>
      <c r="D560" t="s">
        <v>113</v>
      </c>
      <c r="E560">
        <v>6.37</v>
      </c>
      <c r="F560" t="s">
        <v>88</v>
      </c>
      <c r="G560" t="s">
        <v>114</v>
      </c>
      <c r="H560" t="s">
        <v>14</v>
      </c>
      <c r="I560" t="s">
        <v>93</v>
      </c>
      <c r="J560" s="27">
        <v>45352</v>
      </c>
      <c r="K560">
        <v>2024</v>
      </c>
      <c r="L560" s="27">
        <v>45353</v>
      </c>
      <c r="M560">
        <v>593.22999999999877</v>
      </c>
      <c r="N560">
        <v>10</v>
      </c>
      <c r="O560" t="s">
        <v>90</v>
      </c>
      <c r="P560">
        <f t="shared" si="8"/>
        <v>0</v>
      </c>
    </row>
    <row r="561" spans="1:16" hidden="1" x14ac:dyDescent="0.25">
      <c r="A561" s="8">
        <v>556</v>
      </c>
      <c r="B561">
        <v>165</v>
      </c>
      <c r="C561" s="27">
        <v>45353</v>
      </c>
      <c r="D561" t="s">
        <v>270</v>
      </c>
      <c r="E561">
        <v>13.25</v>
      </c>
      <c r="F561" t="s">
        <v>88</v>
      </c>
      <c r="G561" t="s">
        <v>107</v>
      </c>
      <c r="H561" t="s">
        <v>14</v>
      </c>
      <c r="I561" t="s">
        <v>69</v>
      </c>
      <c r="J561" s="27">
        <v>45352</v>
      </c>
      <c r="K561">
        <v>2024</v>
      </c>
      <c r="L561" s="27">
        <v>45353</v>
      </c>
      <c r="M561">
        <v>606.47999999999877</v>
      </c>
      <c r="N561">
        <v>17</v>
      </c>
      <c r="O561" t="s">
        <v>90</v>
      </c>
      <c r="P561">
        <f t="shared" si="8"/>
        <v>0</v>
      </c>
    </row>
    <row r="562" spans="1:16" hidden="1" x14ac:dyDescent="0.25">
      <c r="A562" s="8">
        <v>557</v>
      </c>
      <c r="B562">
        <v>166</v>
      </c>
      <c r="C562" s="27">
        <v>45353</v>
      </c>
      <c r="D562" t="s">
        <v>268</v>
      </c>
      <c r="E562">
        <v>99.52</v>
      </c>
      <c r="F562" t="s">
        <v>116</v>
      </c>
      <c r="G562" t="s">
        <v>385</v>
      </c>
      <c r="H562" t="s">
        <v>14</v>
      </c>
      <c r="I562" t="s">
        <v>395</v>
      </c>
      <c r="J562" s="27">
        <v>45352</v>
      </c>
      <c r="K562">
        <v>2024</v>
      </c>
      <c r="L562" s="27">
        <v>45353</v>
      </c>
      <c r="M562">
        <v>705.99999999999875</v>
      </c>
      <c r="N562">
        <v>6</v>
      </c>
      <c r="O562" t="s">
        <v>90</v>
      </c>
      <c r="P562">
        <f t="shared" si="8"/>
        <v>0</v>
      </c>
    </row>
    <row r="563" spans="1:16" hidden="1" x14ac:dyDescent="0.25">
      <c r="A563" s="8">
        <v>558</v>
      </c>
      <c r="B563">
        <v>167</v>
      </c>
      <c r="C563" s="27">
        <v>45353</v>
      </c>
      <c r="D563" t="s">
        <v>266</v>
      </c>
      <c r="E563">
        <v>273.60000000000002</v>
      </c>
      <c r="F563" t="s">
        <v>95</v>
      </c>
      <c r="G563" t="s">
        <v>100</v>
      </c>
      <c r="H563" t="s">
        <v>28</v>
      </c>
      <c r="I563" t="s">
        <v>69</v>
      </c>
      <c r="J563" s="27">
        <v>45352</v>
      </c>
      <c r="K563">
        <v>2024</v>
      </c>
      <c r="L563" s="27">
        <v>45353</v>
      </c>
      <c r="M563">
        <v>979.59999999999877</v>
      </c>
      <c r="N563">
        <v>5</v>
      </c>
      <c r="O563" t="s">
        <v>90</v>
      </c>
      <c r="P563">
        <f t="shared" si="8"/>
        <v>0</v>
      </c>
    </row>
    <row r="564" spans="1:16" hidden="1" x14ac:dyDescent="0.25">
      <c r="A564" s="8">
        <v>559</v>
      </c>
      <c r="B564">
        <v>168</v>
      </c>
      <c r="C564" s="27">
        <v>45353</v>
      </c>
      <c r="D564" t="s">
        <v>105</v>
      </c>
      <c r="E564">
        <v>37.61</v>
      </c>
      <c r="F564" t="s">
        <v>106</v>
      </c>
      <c r="G564" t="s">
        <v>107</v>
      </c>
      <c r="H564" t="s">
        <v>14</v>
      </c>
      <c r="I564" t="s">
        <v>69</v>
      </c>
      <c r="J564" s="27">
        <v>45352</v>
      </c>
      <c r="K564">
        <v>2024</v>
      </c>
      <c r="L564" s="27">
        <v>45353</v>
      </c>
      <c r="M564">
        <v>1017.209999999999</v>
      </c>
      <c r="N564">
        <v>18</v>
      </c>
      <c r="O564" t="s">
        <v>90</v>
      </c>
      <c r="P564">
        <f t="shared" si="8"/>
        <v>0</v>
      </c>
    </row>
    <row r="565" spans="1:16" hidden="1" x14ac:dyDescent="0.25">
      <c r="A565" s="8">
        <v>560</v>
      </c>
      <c r="B565">
        <v>169</v>
      </c>
      <c r="C565" s="27">
        <v>45353</v>
      </c>
      <c r="D565" t="s">
        <v>267</v>
      </c>
      <c r="E565">
        <v>54.7</v>
      </c>
      <c r="F565" t="s">
        <v>88</v>
      </c>
      <c r="G565" t="s">
        <v>168</v>
      </c>
      <c r="H565" t="s">
        <v>14</v>
      </c>
      <c r="I565" t="s">
        <v>69</v>
      </c>
      <c r="J565" s="27">
        <v>45352</v>
      </c>
      <c r="K565">
        <v>2024</v>
      </c>
      <c r="L565" s="27">
        <v>45353</v>
      </c>
      <c r="M565">
        <v>1071.9099999999989</v>
      </c>
      <c r="N565">
        <v>4</v>
      </c>
      <c r="O565" t="s">
        <v>90</v>
      </c>
      <c r="P565">
        <f t="shared" si="8"/>
        <v>0</v>
      </c>
    </row>
    <row r="566" spans="1:16" hidden="1" x14ac:dyDescent="0.25">
      <c r="A566" s="8">
        <v>561</v>
      </c>
      <c r="B566">
        <v>170</v>
      </c>
      <c r="C566" s="27">
        <v>45354</v>
      </c>
      <c r="D566" t="s">
        <v>140</v>
      </c>
      <c r="E566">
        <v>17.62</v>
      </c>
      <c r="F566" t="s">
        <v>116</v>
      </c>
      <c r="G566" t="s">
        <v>117</v>
      </c>
      <c r="H566" t="s">
        <v>14</v>
      </c>
      <c r="I566" t="s">
        <v>118</v>
      </c>
      <c r="J566" s="27">
        <v>45352</v>
      </c>
      <c r="K566">
        <v>2024</v>
      </c>
      <c r="L566" s="27">
        <v>45354</v>
      </c>
      <c r="M566">
        <v>1089.5299999999991</v>
      </c>
      <c r="N566">
        <v>21</v>
      </c>
      <c r="O566" t="s">
        <v>90</v>
      </c>
      <c r="P566">
        <f t="shared" si="8"/>
        <v>0</v>
      </c>
    </row>
    <row r="567" spans="1:16" hidden="1" x14ac:dyDescent="0.25">
      <c r="A567" s="8">
        <v>562</v>
      </c>
      <c r="B567">
        <v>171</v>
      </c>
      <c r="C567" s="27">
        <v>45354</v>
      </c>
      <c r="D567" t="s">
        <v>271</v>
      </c>
      <c r="E567">
        <v>16.3</v>
      </c>
      <c r="F567" t="s">
        <v>95</v>
      </c>
      <c r="G567" t="s">
        <v>13</v>
      </c>
      <c r="H567" t="s">
        <v>14</v>
      </c>
      <c r="I567" t="s">
        <v>15</v>
      </c>
      <c r="J567" s="27">
        <v>45352</v>
      </c>
      <c r="K567">
        <v>2024</v>
      </c>
      <c r="L567" s="27">
        <v>45354</v>
      </c>
      <c r="M567">
        <v>1105.829999999999</v>
      </c>
      <c r="N567">
        <v>2</v>
      </c>
      <c r="O567" t="s">
        <v>90</v>
      </c>
      <c r="P567">
        <f t="shared" si="8"/>
        <v>0</v>
      </c>
    </row>
    <row r="568" spans="1:16" hidden="1" x14ac:dyDescent="0.25">
      <c r="A568" s="8">
        <v>563</v>
      </c>
      <c r="B568">
        <v>172</v>
      </c>
      <c r="C568" s="27">
        <v>45355</v>
      </c>
      <c r="D568" t="s">
        <v>110</v>
      </c>
      <c r="E568">
        <v>-22.56</v>
      </c>
      <c r="F568" t="s">
        <v>111</v>
      </c>
      <c r="G568" t="s">
        <v>112</v>
      </c>
      <c r="H568" t="s">
        <v>14</v>
      </c>
      <c r="I568" t="s">
        <v>80</v>
      </c>
      <c r="J568" s="27">
        <v>45352</v>
      </c>
      <c r="K568">
        <v>2024</v>
      </c>
      <c r="L568" s="27">
        <v>45355</v>
      </c>
      <c r="M568">
        <v>1083.2699999999991</v>
      </c>
      <c r="N568">
        <v>3</v>
      </c>
      <c r="O568" t="s">
        <v>90</v>
      </c>
      <c r="P568">
        <f t="shared" si="8"/>
        <v>0</v>
      </c>
    </row>
    <row r="569" spans="1:16" hidden="1" x14ac:dyDescent="0.25">
      <c r="A569" s="8">
        <v>564</v>
      </c>
      <c r="B569">
        <v>173</v>
      </c>
      <c r="C569" s="27">
        <v>45356</v>
      </c>
      <c r="D569" t="s">
        <v>189</v>
      </c>
      <c r="E569">
        <v>124.59</v>
      </c>
      <c r="F569" t="s">
        <v>106</v>
      </c>
      <c r="G569" t="s">
        <v>137</v>
      </c>
      <c r="H569" t="s">
        <v>14</v>
      </c>
      <c r="I569" t="s">
        <v>118</v>
      </c>
      <c r="J569" s="27">
        <v>45352</v>
      </c>
      <c r="K569">
        <v>2024</v>
      </c>
      <c r="L569" s="27">
        <v>45356</v>
      </c>
      <c r="M569">
        <v>1207.859999999999</v>
      </c>
      <c r="N569">
        <v>10</v>
      </c>
      <c r="O569" t="s">
        <v>90</v>
      </c>
      <c r="P569">
        <f t="shared" si="8"/>
        <v>0</v>
      </c>
    </row>
    <row r="570" spans="1:16" hidden="1" x14ac:dyDescent="0.25">
      <c r="A570" s="8">
        <v>565</v>
      </c>
      <c r="B570">
        <v>174</v>
      </c>
      <c r="C570" s="27">
        <v>45358</v>
      </c>
      <c r="D570" t="s">
        <v>272</v>
      </c>
      <c r="E570">
        <v>65.739999999999995</v>
      </c>
      <c r="F570" t="s">
        <v>88</v>
      </c>
      <c r="G570" t="s">
        <v>107</v>
      </c>
      <c r="H570" t="s">
        <v>14</v>
      </c>
      <c r="I570" t="s">
        <v>69</v>
      </c>
      <c r="J570" s="27">
        <v>45352</v>
      </c>
      <c r="K570">
        <v>2024</v>
      </c>
      <c r="L570" s="27">
        <v>45358</v>
      </c>
      <c r="M570">
        <v>1273.599999999999</v>
      </c>
      <c r="N570">
        <v>19</v>
      </c>
      <c r="O570" t="s">
        <v>90</v>
      </c>
      <c r="P570">
        <f t="shared" si="8"/>
        <v>0</v>
      </c>
    </row>
    <row r="571" spans="1:16" hidden="1" x14ac:dyDescent="0.25">
      <c r="A571" s="8">
        <v>566</v>
      </c>
      <c r="B571">
        <v>175</v>
      </c>
      <c r="C571" s="27">
        <v>45358</v>
      </c>
      <c r="D571" t="s">
        <v>273</v>
      </c>
      <c r="E571">
        <v>9.99</v>
      </c>
      <c r="F571" t="s">
        <v>88</v>
      </c>
      <c r="G571" t="s">
        <v>131</v>
      </c>
      <c r="H571" t="s">
        <v>28</v>
      </c>
      <c r="I571" t="s">
        <v>69</v>
      </c>
      <c r="J571" s="27">
        <v>45352</v>
      </c>
      <c r="K571">
        <v>2024</v>
      </c>
      <c r="L571" s="27">
        <v>45358</v>
      </c>
      <c r="M571">
        <v>1283.589999999999</v>
      </c>
      <c r="N571">
        <v>3</v>
      </c>
      <c r="O571" t="s">
        <v>90</v>
      </c>
      <c r="P571">
        <f t="shared" si="8"/>
        <v>0</v>
      </c>
    </row>
    <row r="572" spans="1:16" hidden="1" x14ac:dyDescent="0.25">
      <c r="A572" s="8">
        <v>567</v>
      </c>
      <c r="B572">
        <v>176</v>
      </c>
      <c r="C572" s="27">
        <v>45358</v>
      </c>
      <c r="D572" t="s">
        <v>162</v>
      </c>
      <c r="E572">
        <v>-541</v>
      </c>
      <c r="F572" t="s">
        <v>163</v>
      </c>
      <c r="G572" t="s">
        <v>164</v>
      </c>
      <c r="H572" t="s">
        <v>14</v>
      </c>
      <c r="I572" t="s">
        <v>80</v>
      </c>
      <c r="J572" s="27">
        <v>45352</v>
      </c>
      <c r="K572">
        <v>2024</v>
      </c>
      <c r="L572" s="27">
        <v>45358</v>
      </c>
      <c r="M572">
        <v>742.58999999999855</v>
      </c>
      <c r="N572">
        <v>5</v>
      </c>
      <c r="O572" t="s">
        <v>90</v>
      </c>
      <c r="P572">
        <f t="shared" si="8"/>
        <v>0</v>
      </c>
    </row>
    <row r="573" spans="1:16" hidden="1" x14ac:dyDescent="0.25">
      <c r="A573" s="8">
        <v>568</v>
      </c>
      <c r="B573">
        <v>177</v>
      </c>
      <c r="C573" s="27">
        <v>45359</v>
      </c>
      <c r="D573" t="s">
        <v>276</v>
      </c>
      <c r="E573">
        <v>42.92</v>
      </c>
      <c r="F573" t="s">
        <v>88</v>
      </c>
      <c r="G573" t="s">
        <v>176</v>
      </c>
      <c r="H573" t="s">
        <v>14</v>
      </c>
      <c r="I573" t="s">
        <v>93</v>
      </c>
      <c r="J573" s="27">
        <v>45352</v>
      </c>
      <c r="K573">
        <v>2024</v>
      </c>
      <c r="L573" s="27">
        <v>45359</v>
      </c>
      <c r="M573">
        <v>785.50999999999851</v>
      </c>
      <c r="N573">
        <v>4</v>
      </c>
      <c r="O573" t="s">
        <v>90</v>
      </c>
      <c r="P573">
        <f t="shared" si="8"/>
        <v>0</v>
      </c>
    </row>
    <row r="574" spans="1:16" hidden="1" x14ac:dyDescent="0.25">
      <c r="A574" s="8">
        <v>569</v>
      </c>
      <c r="B574">
        <v>178</v>
      </c>
      <c r="C574" s="27">
        <v>45359</v>
      </c>
      <c r="D574" t="s">
        <v>277</v>
      </c>
      <c r="E574">
        <v>8.0399999999999991</v>
      </c>
      <c r="F574" t="s">
        <v>88</v>
      </c>
      <c r="G574" t="s">
        <v>278</v>
      </c>
      <c r="H574" t="s">
        <v>14</v>
      </c>
      <c r="I574" t="s">
        <v>44</v>
      </c>
      <c r="J574" s="27">
        <v>45352</v>
      </c>
      <c r="K574">
        <v>2024</v>
      </c>
      <c r="L574" s="27">
        <v>45359</v>
      </c>
      <c r="M574">
        <v>793.54999999999848</v>
      </c>
      <c r="N574">
        <v>1</v>
      </c>
      <c r="O574" t="s">
        <v>90</v>
      </c>
      <c r="P574">
        <f t="shared" si="8"/>
        <v>0</v>
      </c>
    </row>
    <row r="575" spans="1:16" hidden="1" x14ac:dyDescent="0.25">
      <c r="A575" s="8">
        <v>570</v>
      </c>
      <c r="B575">
        <v>179</v>
      </c>
      <c r="C575" s="27">
        <v>45359</v>
      </c>
      <c r="D575" t="s">
        <v>279</v>
      </c>
      <c r="E575">
        <v>44.5</v>
      </c>
      <c r="F575" t="s">
        <v>116</v>
      </c>
      <c r="G575" t="s">
        <v>280</v>
      </c>
      <c r="H575" t="s">
        <v>14</v>
      </c>
      <c r="I575" t="s">
        <v>118</v>
      </c>
      <c r="J575" s="27">
        <v>45352</v>
      </c>
      <c r="K575">
        <v>2024</v>
      </c>
      <c r="L575" s="27">
        <v>45359</v>
      </c>
      <c r="M575">
        <v>838.04999999999848</v>
      </c>
      <c r="N575">
        <v>1</v>
      </c>
      <c r="O575" t="s">
        <v>90</v>
      </c>
      <c r="P575">
        <f t="shared" si="8"/>
        <v>0</v>
      </c>
    </row>
    <row r="576" spans="1:16" hidden="1" x14ac:dyDescent="0.25">
      <c r="A576" s="8">
        <v>571</v>
      </c>
      <c r="B576">
        <v>180</v>
      </c>
      <c r="C576" s="27">
        <v>45359</v>
      </c>
      <c r="D576" t="s">
        <v>274</v>
      </c>
      <c r="E576">
        <v>80</v>
      </c>
      <c r="F576" t="s">
        <v>95</v>
      </c>
      <c r="G576" t="s">
        <v>275</v>
      </c>
      <c r="H576" t="s">
        <v>14</v>
      </c>
      <c r="I576" t="s">
        <v>69</v>
      </c>
      <c r="J576" s="27">
        <v>45352</v>
      </c>
      <c r="K576">
        <v>2024</v>
      </c>
      <c r="L576" s="27">
        <v>45359</v>
      </c>
      <c r="M576">
        <v>918.04999999999848</v>
      </c>
      <c r="N576">
        <v>1</v>
      </c>
      <c r="O576" t="s">
        <v>90</v>
      </c>
      <c r="P576">
        <f t="shared" si="8"/>
        <v>0</v>
      </c>
    </row>
    <row r="577" spans="1:16" hidden="1" x14ac:dyDescent="0.25">
      <c r="A577" s="8">
        <v>572</v>
      </c>
      <c r="B577">
        <v>181</v>
      </c>
      <c r="C577" s="27">
        <v>45360</v>
      </c>
      <c r="D577" t="s">
        <v>248</v>
      </c>
      <c r="E577">
        <v>85.55</v>
      </c>
      <c r="F577" t="s">
        <v>136</v>
      </c>
      <c r="G577" t="s">
        <v>139</v>
      </c>
      <c r="H577" t="s">
        <v>14</v>
      </c>
      <c r="I577" t="s">
        <v>93</v>
      </c>
      <c r="J577" s="27">
        <v>45352</v>
      </c>
      <c r="K577">
        <v>2024</v>
      </c>
      <c r="L577" s="27">
        <v>45360</v>
      </c>
      <c r="M577">
        <v>1003.599999999998</v>
      </c>
      <c r="N577">
        <v>6</v>
      </c>
      <c r="O577" t="s">
        <v>90</v>
      </c>
      <c r="P577">
        <f t="shared" si="8"/>
        <v>0</v>
      </c>
    </row>
    <row r="578" spans="1:16" hidden="1" x14ac:dyDescent="0.25">
      <c r="A578" s="8">
        <v>573</v>
      </c>
      <c r="B578">
        <v>182</v>
      </c>
      <c r="C578" s="27">
        <v>45360</v>
      </c>
      <c r="D578" t="s">
        <v>281</v>
      </c>
      <c r="E578">
        <v>23.34</v>
      </c>
      <c r="F578" t="s">
        <v>116</v>
      </c>
      <c r="G578" t="s">
        <v>117</v>
      </c>
      <c r="H578" t="s">
        <v>14</v>
      </c>
      <c r="I578" t="s">
        <v>118</v>
      </c>
      <c r="J578" s="27">
        <v>45352</v>
      </c>
      <c r="K578">
        <v>2024</v>
      </c>
      <c r="L578" s="27">
        <v>45360</v>
      </c>
      <c r="M578">
        <v>1026.939999999998</v>
      </c>
      <c r="N578">
        <v>22</v>
      </c>
      <c r="O578" t="s">
        <v>90</v>
      </c>
      <c r="P578">
        <f t="shared" si="8"/>
        <v>0</v>
      </c>
    </row>
    <row r="579" spans="1:16" hidden="1" x14ac:dyDescent="0.25">
      <c r="A579" s="8">
        <v>574</v>
      </c>
      <c r="B579">
        <v>183</v>
      </c>
      <c r="C579" s="27">
        <v>45360</v>
      </c>
      <c r="D579" t="s">
        <v>105</v>
      </c>
      <c r="E579">
        <v>41.36</v>
      </c>
      <c r="F579" t="s">
        <v>106</v>
      </c>
      <c r="G579" t="s">
        <v>107</v>
      </c>
      <c r="H579" t="s">
        <v>14</v>
      </c>
      <c r="I579" t="s">
        <v>69</v>
      </c>
      <c r="J579" s="27">
        <v>45352</v>
      </c>
      <c r="K579">
        <v>2024</v>
      </c>
      <c r="L579" s="27">
        <v>45360</v>
      </c>
      <c r="M579">
        <v>1068.2999999999979</v>
      </c>
      <c r="N579">
        <v>20</v>
      </c>
      <c r="O579" t="s">
        <v>90</v>
      </c>
      <c r="P579">
        <f t="shared" si="8"/>
        <v>0</v>
      </c>
    </row>
    <row r="580" spans="1:16" hidden="1" x14ac:dyDescent="0.25">
      <c r="A580" s="8">
        <v>575</v>
      </c>
      <c r="B580">
        <v>184</v>
      </c>
      <c r="C580" s="27">
        <v>45361</v>
      </c>
      <c r="D580" t="s">
        <v>170</v>
      </c>
      <c r="E580">
        <v>13.91</v>
      </c>
      <c r="F580" t="s">
        <v>88</v>
      </c>
      <c r="G580" t="s">
        <v>151</v>
      </c>
      <c r="H580" t="s">
        <v>14</v>
      </c>
      <c r="I580" t="s">
        <v>93</v>
      </c>
      <c r="J580" s="27">
        <v>45352</v>
      </c>
      <c r="K580">
        <v>2024</v>
      </c>
      <c r="L580" s="27">
        <v>45361</v>
      </c>
      <c r="M580">
        <v>1082.209999999998</v>
      </c>
      <c r="N580">
        <v>4</v>
      </c>
      <c r="O580" t="s">
        <v>90</v>
      </c>
      <c r="P580">
        <f t="shared" si="8"/>
        <v>0</v>
      </c>
    </row>
    <row r="581" spans="1:16" hidden="1" x14ac:dyDescent="0.25">
      <c r="A581" s="8">
        <v>576</v>
      </c>
      <c r="B581">
        <v>185</v>
      </c>
      <c r="C581" s="27">
        <v>45361</v>
      </c>
      <c r="D581" t="s">
        <v>150</v>
      </c>
      <c r="E581">
        <v>9.5</v>
      </c>
      <c r="F581" t="s">
        <v>95</v>
      </c>
      <c r="G581" t="s">
        <v>151</v>
      </c>
      <c r="H581" t="s">
        <v>14</v>
      </c>
      <c r="I581" t="s">
        <v>93</v>
      </c>
      <c r="J581" s="27">
        <v>45352</v>
      </c>
      <c r="K581">
        <v>2024</v>
      </c>
      <c r="L581" s="27">
        <v>45361</v>
      </c>
      <c r="M581">
        <v>1091.709999999998</v>
      </c>
      <c r="N581">
        <v>5</v>
      </c>
      <c r="O581" t="s">
        <v>90</v>
      </c>
      <c r="P581">
        <f t="shared" ref="P581:P644" si="9">IF(J581&lt;&gt;J582, 1, 0)</f>
        <v>0</v>
      </c>
    </row>
    <row r="582" spans="1:16" hidden="1" x14ac:dyDescent="0.25">
      <c r="A582" s="8">
        <v>577</v>
      </c>
      <c r="B582">
        <v>186</v>
      </c>
      <c r="C582" s="27">
        <v>45361</v>
      </c>
      <c r="D582" t="s">
        <v>286</v>
      </c>
      <c r="E582">
        <v>10.29</v>
      </c>
      <c r="F582" t="s">
        <v>116</v>
      </c>
      <c r="G582" t="s">
        <v>117</v>
      </c>
      <c r="H582" t="s">
        <v>14</v>
      </c>
      <c r="I582" t="s">
        <v>118</v>
      </c>
      <c r="J582" s="27">
        <v>45352</v>
      </c>
      <c r="K582">
        <v>2024</v>
      </c>
      <c r="L582" s="27">
        <v>45361</v>
      </c>
      <c r="M582">
        <v>1101.999999999998</v>
      </c>
      <c r="N582">
        <v>23</v>
      </c>
      <c r="O582" t="s">
        <v>90</v>
      </c>
      <c r="P582">
        <f t="shared" si="9"/>
        <v>0</v>
      </c>
    </row>
    <row r="583" spans="1:16" hidden="1" x14ac:dyDescent="0.25">
      <c r="A583" s="8">
        <v>578</v>
      </c>
      <c r="B583">
        <v>187</v>
      </c>
      <c r="C583" s="27">
        <v>45361</v>
      </c>
      <c r="D583" t="s">
        <v>282</v>
      </c>
      <c r="E583">
        <v>47.01</v>
      </c>
      <c r="F583" t="s">
        <v>133</v>
      </c>
      <c r="G583" t="s">
        <v>134</v>
      </c>
      <c r="H583" t="s">
        <v>14</v>
      </c>
      <c r="I583" t="s">
        <v>15</v>
      </c>
      <c r="J583" s="27">
        <v>45352</v>
      </c>
      <c r="K583">
        <v>2024</v>
      </c>
      <c r="L583" s="27">
        <v>45361</v>
      </c>
      <c r="M583">
        <v>1149.0099999999979</v>
      </c>
      <c r="N583">
        <v>5</v>
      </c>
      <c r="O583" t="s">
        <v>90</v>
      </c>
      <c r="P583">
        <f t="shared" si="9"/>
        <v>0</v>
      </c>
    </row>
    <row r="584" spans="1:16" hidden="1" x14ac:dyDescent="0.25">
      <c r="A584" s="8">
        <v>579</v>
      </c>
      <c r="B584">
        <v>188</v>
      </c>
      <c r="C584" s="27">
        <v>45361</v>
      </c>
      <c r="D584" t="s">
        <v>283</v>
      </c>
      <c r="E584">
        <v>5.38</v>
      </c>
      <c r="F584" t="s">
        <v>88</v>
      </c>
      <c r="G584" t="s">
        <v>284</v>
      </c>
      <c r="H584" t="s">
        <v>14</v>
      </c>
      <c r="I584" t="s">
        <v>285</v>
      </c>
      <c r="J584" s="27">
        <v>45352</v>
      </c>
      <c r="K584">
        <v>2024</v>
      </c>
      <c r="L584" s="27">
        <v>45361</v>
      </c>
      <c r="M584">
        <v>1154.389999999999</v>
      </c>
      <c r="N584">
        <v>1</v>
      </c>
      <c r="O584" t="s">
        <v>90</v>
      </c>
      <c r="P584">
        <f t="shared" si="9"/>
        <v>0</v>
      </c>
    </row>
    <row r="585" spans="1:16" hidden="1" x14ac:dyDescent="0.25">
      <c r="A585" s="8">
        <v>580</v>
      </c>
      <c r="B585">
        <v>189</v>
      </c>
      <c r="C585" s="27">
        <v>45362</v>
      </c>
      <c r="D585" t="s">
        <v>288</v>
      </c>
      <c r="E585">
        <v>130.46</v>
      </c>
      <c r="F585" t="s">
        <v>88</v>
      </c>
      <c r="G585" t="s">
        <v>168</v>
      </c>
      <c r="H585" t="s">
        <v>14</v>
      </c>
      <c r="I585" t="s">
        <v>69</v>
      </c>
      <c r="J585" s="27">
        <v>45352</v>
      </c>
      <c r="K585">
        <v>2024</v>
      </c>
      <c r="L585" s="27">
        <v>45362</v>
      </c>
      <c r="M585">
        <v>1284.849999999999</v>
      </c>
      <c r="N585">
        <v>5</v>
      </c>
      <c r="O585" t="s">
        <v>90</v>
      </c>
      <c r="P585">
        <f t="shared" si="9"/>
        <v>0</v>
      </c>
    </row>
    <row r="586" spans="1:16" hidden="1" x14ac:dyDescent="0.25">
      <c r="A586" s="8">
        <v>581</v>
      </c>
      <c r="B586">
        <v>190</v>
      </c>
      <c r="C586" s="27">
        <v>45362</v>
      </c>
      <c r="D586" t="s">
        <v>91</v>
      </c>
      <c r="E586">
        <v>21.98</v>
      </c>
      <c r="F586" t="s">
        <v>88</v>
      </c>
      <c r="G586" t="s">
        <v>92</v>
      </c>
      <c r="H586" t="s">
        <v>14</v>
      </c>
      <c r="I586" t="s">
        <v>93</v>
      </c>
      <c r="J586" s="27">
        <v>45352</v>
      </c>
      <c r="K586">
        <v>2024</v>
      </c>
      <c r="L586" s="27">
        <v>45362</v>
      </c>
      <c r="M586">
        <v>1306.829999999999</v>
      </c>
      <c r="N586">
        <v>6</v>
      </c>
      <c r="O586" t="s">
        <v>90</v>
      </c>
      <c r="P586">
        <f t="shared" si="9"/>
        <v>0</v>
      </c>
    </row>
    <row r="587" spans="1:16" hidden="1" x14ac:dyDescent="0.25">
      <c r="A587" s="8">
        <v>582</v>
      </c>
      <c r="B587">
        <v>191</v>
      </c>
      <c r="C587" s="27">
        <v>45362</v>
      </c>
      <c r="D587" t="s">
        <v>287</v>
      </c>
      <c r="E587">
        <v>27.86</v>
      </c>
      <c r="F587" t="s">
        <v>116</v>
      </c>
      <c r="G587" t="s">
        <v>141</v>
      </c>
      <c r="H587" t="s">
        <v>14</v>
      </c>
      <c r="I587" t="s">
        <v>118</v>
      </c>
      <c r="J587" s="27">
        <v>45352</v>
      </c>
      <c r="K587">
        <v>2024</v>
      </c>
      <c r="L587" s="27">
        <v>45362</v>
      </c>
      <c r="M587">
        <v>1334.689999999998</v>
      </c>
      <c r="N587">
        <v>8</v>
      </c>
      <c r="O587" t="s">
        <v>90</v>
      </c>
      <c r="P587">
        <f t="shared" si="9"/>
        <v>0</v>
      </c>
    </row>
    <row r="588" spans="1:16" hidden="1" x14ac:dyDescent="0.25">
      <c r="A588" s="8">
        <v>583</v>
      </c>
      <c r="B588">
        <v>192</v>
      </c>
      <c r="C588" s="27">
        <v>45364</v>
      </c>
      <c r="D588" t="s">
        <v>237</v>
      </c>
      <c r="E588">
        <v>78.3</v>
      </c>
      <c r="F588" t="s">
        <v>106</v>
      </c>
      <c r="G588" t="s">
        <v>137</v>
      </c>
      <c r="H588" t="s">
        <v>14</v>
      </c>
      <c r="I588" t="s">
        <v>118</v>
      </c>
      <c r="J588" s="27">
        <v>45352</v>
      </c>
      <c r="K588">
        <v>2024</v>
      </c>
      <c r="L588" s="27">
        <v>45364</v>
      </c>
      <c r="M588">
        <v>1412.989999999998</v>
      </c>
      <c r="N588">
        <v>11</v>
      </c>
      <c r="O588" t="s">
        <v>90</v>
      </c>
      <c r="P588">
        <f t="shared" si="9"/>
        <v>0</v>
      </c>
    </row>
    <row r="589" spans="1:16" hidden="1" x14ac:dyDescent="0.25">
      <c r="A589" s="8">
        <v>584</v>
      </c>
      <c r="B589">
        <v>193</v>
      </c>
      <c r="C589" s="27">
        <v>45365</v>
      </c>
      <c r="D589" t="s">
        <v>185</v>
      </c>
      <c r="E589">
        <v>90.54</v>
      </c>
      <c r="F589" t="s">
        <v>88</v>
      </c>
      <c r="G589" t="s">
        <v>186</v>
      </c>
      <c r="H589" t="s">
        <v>28</v>
      </c>
      <c r="I589" t="s">
        <v>187</v>
      </c>
      <c r="J589" s="27">
        <v>45352</v>
      </c>
      <c r="K589">
        <v>2024</v>
      </c>
      <c r="L589" s="27">
        <v>45365</v>
      </c>
      <c r="M589">
        <v>1503.5299999999979</v>
      </c>
      <c r="N589">
        <v>3</v>
      </c>
      <c r="O589" t="s">
        <v>90</v>
      </c>
      <c r="P589">
        <f t="shared" si="9"/>
        <v>0</v>
      </c>
    </row>
    <row r="590" spans="1:16" hidden="1" x14ac:dyDescent="0.25">
      <c r="A590" s="8">
        <v>585</v>
      </c>
      <c r="B590">
        <v>194</v>
      </c>
      <c r="C590" s="27">
        <v>45365</v>
      </c>
      <c r="D590" t="s">
        <v>105</v>
      </c>
      <c r="E590">
        <v>94.75</v>
      </c>
      <c r="F590" t="s">
        <v>106</v>
      </c>
      <c r="G590" t="s">
        <v>107</v>
      </c>
      <c r="H590" t="s">
        <v>14</v>
      </c>
      <c r="I590" t="s">
        <v>69</v>
      </c>
      <c r="J590" s="27">
        <v>45352</v>
      </c>
      <c r="K590">
        <v>2024</v>
      </c>
      <c r="L590" s="27">
        <v>45365</v>
      </c>
      <c r="M590">
        <v>1598.2799999999979</v>
      </c>
      <c r="N590">
        <v>21</v>
      </c>
      <c r="O590" t="s">
        <v>90</v>
      </c>
      <c r="P590">
        <f t="shared" si="9"/>
        <v>0</v>
      </c>
    </row>
    <row r="591" spans="1:16" hidden="1" x14ac:dyDescent="0.25">
      <c r="A591" s="8">
        <v>586</v>
      </c>
      <c r="B591">
        <v>195</v>
      </c>
      <c r="C591" s="27">
        <v>45367</v>
      </c>
      <c r="D591" t="s">
        <v>290</v>
      </c>
      <c r="E591">
        <v>370.99</v>
      </c>
      <c r="F591" t="s">
        <v>88</v>
      </c>
      <c r="G591" t="s">
        <v>291</v>
      </c>
      <c r="H591" t="s">
        <v>14</v>
      </c>
      <c r="I591" t="s">
        <v>25</v>
      </c>
      <c r="J591" s="27">
        <v>45352</v>
      </c>
      <c r="K591">
        <v>2024</v>
      </c>
      <c r="L591" s="27">
        <v>45367</v>
      </c>
      <c r="M591">
        <v>1969.2699999999979</v>
      </c>
      <c r="N591">
        <v>1</v>
      </c>
      <c r="O591" t="s">
        <v>90</v>
      </c>
      <c r="P591">
        <f t="shared" si="9"/>
        <v>0</v>
      </c>
    </row>
    <row r="592" spans="1:16" hidden="1" x14ac:dyDescent="0.25">
      <c r="A592" s="8">
        <v>587</v>
      </c>
      <c r="B592">
        <v>196</v>
      </c>
      <c r="C592" s="27">
        <v>45367</v>
      </c>
      <c r="D592" t="s">
        <v>289</v>
      </c>
      <c r="E592">
        <v>44.74</v>
      </c>
      <c r="F592" t="s">
        <v>95</v>
      </c>
      <c r="G592" t="s">
        <v>224</v>
      </c>
      <c r="H592" t="s">
        <v>14</v>
      </c>
      <c r="I592" t="s">
        <v>69</v>
      </c>
      <c r="J592" s="27">
        <v>45352</v>
      </c>
      <c r="K592">
        <v>2024</v>
      </c>
      <c r="L592" s="27">
        <v>45367</v>
      </c>
      <c r="M592">
        <v>2014.0099999999979</v>
      </c>
      <c r="N592">
        <v>2</v>
      </c>
      <c r="O592" t="s">
        <v>90</v>
      </c>
      <c r="P592">
        <f t="shared" si="9"/>
        <v>0</v>
      </c>
    </row>
    <row r="593" spans="1:16" hidden="1" x14ac:dyDescent="0.25">
      <c r="A593" s="8">
        <v>588</v>
      </c>
      <c r="B593">
        <v>197</v>
      </c>
      <c r="C593" s="27">
        <v>45367</v>
      </c>
      <c r="D593" t="s">
        <v>113</v>
      </c>
      <c r="E593">
        <v>17</v>
      </c>
      <c r="F593" t="s">
        <v>88</v>
      </c>
      <c r="G593" t="s">
        <v>114</v>
      </c>
      <c r="H593" t="s">
        <v>14</v>
      </c>
      <c r="I593" t="s">
        <v>93</v>
      </c>
      <c r="J593" s="27">
        <v>45352</v>
      </c>
      <c r="K593">
        <v>2024</v>
      </c>
      <c r="L593" s="27">
        <v>45367</v>
      </c>
      <c r="M593">
        <v>2031.0099999999979</v>
      </c>
      <c r="N593">
        <v>11</v>
      </c>
      <c r="O593" t="s">
        <v>90</v>
      </c>
      <c r="P593">
        <f t="shared" si="9"/>
        <v>0</v>
      </c>
    </row>
    <row r="594" spans="1:16" hidden="1" x14ac:dyDescent="0.25">
      <c r="A594" s="8">
        <v>589</v>
      </c>
      <c r="B594">
        <v>198</v>
      </c>
      <c r="C594" s="27">
        <v>45367</v>
      </c>
      <c r="D594" t="s">
        <v>292</v>
      </c>
      <c r="E594">
        <v>35.770000000000003</v>
      </c>
      <c r="F594" t="s">
        <v>88</v>
      </c>
      <c r="G594" t="s">
        <v>176</v>
      </c>
      <c r="H594" t="s">
        <v>14</v>
      </c>
      <c r="I594" t="s">
        <v>93</v>
      </c>
      <c r="J594" s="27">
        <v>45352</v>
      </c>
      <c r="K594">
        <v>2024</v>
      </c>
      <c r="L594" s="27">
        <v>45367</v>
      </c>
      <c r="M594">
        <v>2066.7799999999979</v>
      </c>
      <c r="N594">
        <v>5</v>
      </c>
      <c r="O594" t="s">
        <v>90</v>
      </c>
      <c r="P594">
        <f t="shared" si="9"/>
        <v>0</v>
      </c>
    </row>
    <row r="595" spans="1:16" hidden="1" x14ac:dyDescent="0.25">
      <c r="A595" s="8">
        <v>590</v>
      </c>
      <c r="B595">
        <v>199</v>
      </c>
      <c r="C595" s="27">
        <v>45367</v>
      </c>
      <c r="D595" t="s">
        <v>113</v>
      </c>
      <c r="E595">
        <v>9.57</v>
      </c>
      <c r="F595" t="s">
        <v>88</v>
      </c>
      <c r="G595" t="s">
        <v>114</v>
      </c>
      <c r="H595" t="s">
        <v>14</v>
      </c>
      <c r="I595" t="s">
        <v>93</v>
      </c>
      <c r="J595" s="27">
        <v>45352</v>
      </c>
      <c r="K595">
        <v>2024</v>
      </c>
      <c r="L595" s="27">
        <v>45367</v>
      </c>
      <c r="M595">
        <v>2076.349999999999</v>
      </c>
      <c r="N595">
        <v>12</v>
      </c>
      <c r="O595" t="s">
        <v>90</v>
      </c>
      <c r="P595">
        <f t="shared" si="9"/>
        <v>0</v>
      </c>
    </row>
    <row r="596" spans="1:16" hidden="1" x14ac:dyDescent="0.25">
      <c r="A596" s="8">
        <v>591</v>
      </c>
      <c r="B596">
        <v>200</v>
      </c>
      <c r="C596" s="27">
        <v>45367</v>
      </c>
      <c r="D596" t="s">
        <v>113</v>
      </c>
      <c r="E596">
        <v>3.19</v>
      </c>
      <c r="F596" t="s">
        <v>88</v>
      </c>
      <c r="G596" t="s">
        <v>114</v>
      </c>
      <c r="H596" t="s">
        <v>14</v>
      </c>
      <c r="I596" t="s">
        <v>93</v>
      </c>
      <c r="J596" s="27">
        <v>45352</v>
      </c>
      <c r="K596">
        <v>2024</v>
      </c>
      <c r="L596" s="27">
        <v>45367</v>
      </c>
      <c r="M596">
        <v>2079.5399999999991</v>
      </c>
      <c r="N596">
        <v>13</v>
      </c>
      <c r="O596" t="s">
        <v>90</v>
      </c>
      <c r="P596">
        <f t="shared" si="9"/>
        <v>0</v>
      </c>
    </row>
    <row r="597" spans="1:16" hidden="1" x14ac:dyDescent="0.25">
      <c r="A597" s="8">
        <v>592</v>
      </c>
      <c r="B597">
        <v>201</v>
      </c>
      <c r="C597" s="27">
        <v>45367</v>
      </c>
      <c r="D597" t="s">
        <v>113</v>
      </c>
      <c r="E597">
        <v>12.76</v>
      </c>
      <c r="F597" t="s">
        <v>88</v>
      </c>
      <c r="G597" t="s">
        <v>114</v>
      </c>
      <c r="H597" t="s">
        <v>14</v>
      </c>
      <c r="I597" t="s">
        <v>93</v>
      </c>
      <c r="J597" s="27">
        <v>45352</v>
      </c>
      <c r="K597">
        <v>2024</v>
      </c>
      <c r="L597" s="27">
        <v>45367</v>
      </c>
      <c r="M597">
        <v>2092.2999999999988</v>
      </c>
      <c r="N597">
        <v>14</v>
      </c>
      <c r="O597" t="s">
        <v>90</v>
      </c>
      <c r="P597">
        <f t="shared" si="9"/>
        <v>0</v>
      </c>
    </row>
    <row r="598" spans="1:16" hidden="1" x14ac:dyDescent="0.25">
      <c r="A598" s="8">
        <v>593</v>
      </c>
      <c r="B598">
        <v>202</v>
      </c>
      <c r="C598" s="27">
        <v>45368</v>
      </c>
      <c r="D598" t="s">
        <v>296</v>
      </c>
      <c r="E598">
        <v>106.93</v>
      </c>
      <c r="F598" t="s">
        <v>116</v>
      </c>
      <c r="G598" t="s">
        <v>117</v>
      </c>
      <c r="H598" t="s">
        <v>14</v>
      </c>
      <c r="I598" t="s">
        <v>118</v>
      </c>
      <c r="J598" s="27">
        <v>45352</v>
      </c>
      <c r="K598">
        <v>2024</v>
      </c>
      <c r="L598" s="27">
        <v>45368</v>
      </c>
      <c r="M598">
        <v>2199.2299999999991</v>
      </c>
      <c r="N598">
        <v>24</v>
      </c>
      <c r="O598" t="s">
        <v>90</v>
      </c>
      <c r="P598">
        <f t="shared" si="9"/>
        <v>0</v>
      </c>
    </row>
    <row r="599" spans="1:16" hidden="1" x14ac:dyDescent="0.25">
      <c r="A599" s="8">
        <v>594</v>
      </c>
      <c r="B599">
        <v>203</v>
      </c>
      <c r="C599" s="27">
        <v>45368</v>
      </c>
      <c r="D599" t="s">
        <v>295</v>
      </c>
      <c r="E599">
        <v>14.2</v>
      </c>
      <c r="F599" t="s">
        <v>116</v>
      </c>
      <c r="G599" t="s">
        <v>117</v>
      </c>
      <c r="H599" t="s">
        <v>14</v>
      </c>
      <c r="I599" t="s">
        <v>118</v>
      </c>
      <c r="J599" s="27">
        <v>45352</v>
      </c>
      <c r="K599">
        <v>2024</v>
      </c>
      <c r="L599" s="27">
        <v>45368</v>
      </c>
      <c r="M599">
        <v>2213.429999999998</v>
      </c>
      <c r="N599">
        <v>25</v>
      </c>
      <c r="O599" t="s">
        <v>90</v>
      </c>
      <c r="P599">
        <f t="shared" si="9"/>
        <v>0</v>
      </c>
    </row>
    <row r="600" spans="1:16" hidden="1" x14ac:dyDescent="0.25">
      <c r="A600" s="8">
        <v>595</v>
      </c>
      <c r="B600">
        <v>204</v>
      </c>
      <c r="C600" s="27">
        <v>45368</v>
      </c>
      <c r="D600" t="s">
        <v>293</v>
      </c>
      <c r="E600">
        <v>100.91</v>
      </c>
      <c r="F600" t="s">
        <v>116</v>
      </c>
      <c r="G600" t="s">
        <v>117</v>
      </c>
      <c r="H600" t="s">
        <v>14</v>
      </c>
      <c r="I600" t="s">
        <v>118</v>
      </c>
      <c r="J600" s="27">
        <v>45352</v>
      </c>
      <c r="K600">
        <v>2024</v>
      </c>
      <c r="L600" s="27">
        <v>45368</v>
      </c>
      <c r="M600">
        <v>2314.3399999999979</v>
      </c>
      <c r="N600">
        <v>26</v>
      </c>
      <c r="O600" t="s">
        <v>90</v>
      </c>
      <c r="P600">
        <f t="shared" si="9"/>
        <v>0</v>
      </c>
    </row>
    <row r="601" spans="1:16" hidden="1" x14ac:dyDescent="0.25">
      <c r="A601" s="8">
        <v>596</v>
      </c>
      <c r="B601">
        <v>205</v>
      </c>
      <c r="C601" s="27">
        <v>45368</v>
      </c>
      <c r="D601" t="s">
        <v>294</v>
      </c>
      <c r="E601">
        <v>32.450000000000003</v>
      </c>
      <c r="F601" t="s">
        <v>136</v>
      </c>
      <c r="G601" t="s">
        <v>92</v>
      </c>
      <c r="H601" t="s">
        <v>14</v>
      </c>
      <c r="I601" t="s">
        <v>93</v>
      </c>
      <c r="J601" s="27">
        <v>45352</v>
      </c>
      <c r="K601">
        <v>2024</v>
      </c>
      <c r="L601" s="27">
        <v>45368</v>
      </c>
      <c r="M601">
        <v>2346.7899999999981</v>
      </c>
      <c r="N601">
        <v>7</v>
      </c>
      <c r="O601" t="s">
        <v>90</v>
      </c>
      <c r="P601">
        <f t="shared" si="9"/>
        <v>0</v>
      </c>
    </row>
    <row r="602" spans="1:16" hidden="1" x14ac:dyDescent="0.25">
      <c r="A602" s="8">
        <v>597</v>
      </c>
      <c r="B602">
        <v>206</v>
      </c>
      <c r="C602" s="27">
        <v>45369</v>
      </c>
      <c r="D602" t="s">
        <v>297</v>
      </c>
      <c r="E602">
        <v>91.98</v>
      </c>
      <c r="F602" t="s">
        <v>88</v>
      </c>
      <c r="G602" t="s">
        <v>34</v>
      </c>
      <c r="H602" t="s">
        <v>28</v>
      </c>
      <c r="I602" t="s">
        <v>19</v>
      </c>
      <c r="J602" s="27">
        <v>45352</v>
      </c>
      <c r="K602">
        <v>2024</v>
      </c>
      <c r="L602" s="27">
        <v>45369</v>
      </c>
      <c r="M602">
        <v>2438.7699999999982</v>
      </c>
      <c r="N602">
        <v>1</v>
      </c>
      <c r="O602" t="s">
        <v>90</v>
      </c>
      <c r="P602">
        <f t="shared" si="9"/>
        <v>0</v>
      </c>
    </row>
    <row r="603" spans="1:16" hidden="1" x14ac:dyDescent="0.25">
      <c r="A603" s="8">
        <v>598</v>
      </c>
      <c r="B603">
        <v>207</v>
      </c>
      <c r="C603" s="27">
        <v>45369</v>
      </c>
      <c r="D603" t="s">
        <v>113</v>
      </c>
      <c r="E603">
        <v>5.85</v>
      </c>
      <c r="F603" t="s">
        <v>88</v>
      </c>
      <c r="G603" t="s">
        <v>114</v>
      </c>
      <c r="H603" t="s">
        <v>14</v>
      </c>
      <c r="I603" t="s">
        <v>93</v>
      </c>
      <c r="J603" s="27">
        <v>45352</v>
      </c>
      <c r="K603">
        <v>2024</v>
      </c>
      <c r="L603" s="27">
        <v>45369</v>
      </c>
      <c r="M603">
        <v>2444.6199999999981</v>
      </c>
      <c r="N603">
        <v>15</v>
      </c>
      <c r="O603" t="s">
        <v>90</v>
      </c>
      <c r="P603">
        <f t="shared" si="9"/>
        <v>0</v>
      </c>
    </row>
    <row r="604" spans="1:16" hidden="1" x14ac:dyDescent="0.25">
      <c r="A604" s="8">
        <v>599</v>
      </c>
      <c r="B604">
        <v>208</v>
      </c>
      <c r="C604" s="27">
        <v>45369</v>
      </c>
      <c r="D604" t="s">
        <v>113</v>
      </c>
      <c r="E604">
        <v>9.3000000000000007</v>
      </c>
      <c r="F604" t="s">
        <v>88</v>
      </c>
      <c r="G604" t="s">
        <v>114</v>
      </c>
      <c r="H604" t="s">
        <v>14</v>
      </c>
      <c r="I604" t="s">
        <v>93</v>
      </c>
      <c r="J604" s="27">
        <v>45352</v>
      </c>
      <c r="K604">
        <v>2024</v>
      </c>
      <c r="L604" s="27">
        <v>45369</v>
      </c>
      <c r="M604">
        <v>2453.9199999999978</v>
      </c>
      <c r="N604">
        <v>16</v>
      </c>
      <c r="O604" t="s">
        <v>90</v>
      </c>
      <c r="P604">
        <f t="shared" si="9"/>
        <v>0</v>
      </c>
    </row>
    <row r="605" spans="1:16" hidden="1" x14ac:dyDescent="0.25">
      <c r="A605" s="8">
        <v>600</v>
      </c>
      <c r="B605">
        <v>209</v>
      </c>
      <c r="C605" s="27">
        <v>45369</v>
      </c>
      <c r="D605" t="s">
        <v>298</v>
      </c>
      <c r="E605">
        <v>39.96</v>
      </c>
      <c r="F605" t="s">
        <v>88</v>
      </c>
      <c r="G605" t="s">
        <v>212</v>
      </c>
      <c r="H605" t="s">
        <v>14</v>
      </c>
      <c r="I605" t="s">
        <v>69</v>
      </c>
      <c r="J605" s="27">
        <v>45352</v>
      </c>
      <c r="K605">
        <v>2024</v>
      </c>
      <c r="L605" s="27">
        <v>45369</v>
      </c>
      <c r="M605">
        <v>2493.8799999999978</v>
      </c>
      <c r="N605">
        <v>4</v>
      </c>
      <c r="O605" t="s">
        <v>90</v>
      </c>
      <c r="P605">
        <f t="shared" si="9"/>
        <v>0</v>
      </c>
    </row>
    <row r="606" spans="1:16" hidden="1" x14ac:dyDescent="0.25">
      <c r="A606" s="8">
        <v>601</v>
      </c>
      <c r="B606">
        <v>210</v>
      </c>
      <c r="C606" s="27">
        <v>45369</v>
      </c>
      <c r="D606" t="s">
        <v>298</v>
      </c>
      <c r="E606">
        <v>50.43</v>
      </c>
      <c r="F606" t="s">
        <v>88</v>
      </c>
      <c r="G606" t="s">
        <v>212</v>
      </c>
      <c r="H606" t="s">
        <v>14</v>
      </c>
      <c r="I606" t="s">
        <v>69</v>
      </c>
      <c r="J606" s="27">
        <v>45352</v>
      </c>
      <c r="K606">
        <v>2024</v>
      </c>
      <c r="L606" s="27">
        <v>45369</v>
      </c>
      <c r="M606">
        <v>2544.3099999999981</v>
      </c>
      <c r="N606">
        <v>5</v>
      </c>
      <c r="O606" t="s">
        <v>90</v>
      </c>
      <c r="P606">
        <f t="shared" si="9"/>
        <v>0</v>
      </c>
    </row>
    <row r="607" spans="1:16" hidden="1" x14ac:dyDescent="0.25">
      <c r="A607" s="8">
        <v>602</v>
      </c>
      <c r="B607">
        <v>211</v>
      </c>
      <c r="C607" s="27">
        <v>45370</v>
      </c>
      <c r="D607" t="s">
        <v>162</v>
      </c>
      <c r="E607">
        <v>-2373.8000000000002</v>
      </c>
      <c r="F607" t="s">
        <v>163</v>
      </c>
      <c r="G607" t="s">
        <v>164</v>
      </c>
      <c r="H607" t="s">
        <v>14</v>
      </c>
      <c r="I607" t="s">
        <v>80</v>
      </c>
      <c r="J607" s="27">
        <v>45352</v>
      </c>
      <c r="K607">
        <v>2024</v>
      </c>
      <c r="L607" s="27">
        <v>45370</v>
      </c>
      <c r="M607">
        <v>170.50999999999789</v>
      </c>
      <c r="N607">
        <v>6</v>
      </c>
      <c r="O607" t="s">
        <v>90</v>
      </c>
      <c r="P607">
        <f t="shared" si="9"/>
        <v>0</v>
      </c>
    </row>
    <row r="608" spans="1:16" hidden="1" x14ac:dyDescent="0.25">
      <c r="A608" s="8">
        <v>603</v>
      </c>
      <c r="B608">
        <v>212</v>
      </c>
      <c r="C608" s="27">
        <v>45370</v>
      </c>
      <c r="D608" t="s">
        <v>299</v>
      </c>
      <c r="E608">
        <v>91.71</v>
      </c>
      <c r="F608" t="s">
        <v>116</v>
      </c>
      <c r="G608" t="s">
        <v>385</v>
      </c>
      <c r="H608" t="s">
        <v>14</v>
      </c>
      <c r="I608" t="s">
        <v>395</v>
      </c>
      <c r="J608" s="27">
        <v>45352</v>
      </c>
      <c r="K608">
        <v>2024</v>
      </c>
      <c r="L608" s="27">
        <v>45370</v>
      </c>
      <c r="M608">
        <v>262.21999999999792</v>
      </c>
      <c r="N608">
        <v>7</v>
      </c>
      <c r="O608" t="s">
        <v>90</v>
      </c>
      <c r="P608">
        <f t="shared" si="9"/>
        <v>0</v>
      </c>
    </row>
    <row r="609" spans="1:16" hidden="1" x14ac:dyDescent="0.25">
      <c r="A609" s="8">
        <v>604</v>
      </c>
      <c r="B609">
        <v>213</v>
      </c>
      <c r="C609" s="27">
        <v>45371</v>
      </c>
      <c r="D609" t="s">
        <v>300</v>
      </c>
      <c r="E609">
        <v>23.69</v>
      </c>
      <c r="F609" t="s">
        <v>88</v>
      </c>
      <c r="G609" t="s">
        <v>107</v>
      </c>
      <c r="H609" t="s">
        <v>14</v>
      </c>
      <c r="I609" t="s">
        <v>69</v>
      </c>
      <c r="J609" s="27">
        <v>45352</v>
      </c>
      <c r="K609">
        <v>2024</v>
      </c>
      <c r="L609" s="27">
        <v>45371</v>
      </c>
      <c r="M609">
        <v>285.90999999999792</v>
      </c>
      <c r="N609">
        <v>22</v>
      </c>
      <c r="O609" t="s">
        <v>90</v>
      </c>
      <c r="P609">
        <f t="shared" si="9"/>
        <v>0</v>
      </c>
    </row>
    <row r="610" spans="1:16" hidden="1" x14ac:dyDescent="0.25">
      <c r="A610" s="8">
        <v>605</v>
      </c>
      <c r="B610">
        <v>214</v>
      </c>
      <c r="C610" s="27">
        <v>45371</v>
      </c>
      <c r="D610" t="s">
        <v>108</v>
      </c>
      <c r="E610">
        <v>52.39</v>
      </c>
      <c r="F610" t="s">
        <v>88</v>
      </c>
      <c r="G610" t="s">
        <v>109</v>
      </c>
      <c r="H610" t="s">
        <v>14</v>
      </c>
      <c r="I610" t="s">
        <v>93</v>
      </c>
      <c r="J610" s="27">
        <v>45352</v>
      </c>
      <c r="K610">
        <v>2024</v>
      </c>
      <c r="L610" s="27">
        <v>45371</v>
      </c>
      <c r="M610">
        <v>338.29999999999791</v>
      </c>
      <c r="N610">
        <v>5</v>
      </c>
      <c r="O610" t="s">
        <v>90</v>
      </c>
      <c r="P610">
        <f t="shared" si="9"/>
        <v>0</v>
      </c>
    </row>
    <row r="611" spans="1:16" hidden="1" x14ac:dyDescent="0.25">
      <c r="A611" s="8">
        <v>606</v>
      </c>
      <c r="B611">
        <v>215</v>
      </c>
      <c r="C611" s="27">
        <v>45372</v>
      </c>
      <c r="D611" t="s">
        <v>302</v>
      </c>
      <c r="E611">
        <v>11.1</v>
      </c>
      <c r="F611" t="s">
        <v>88</v>
      </c>
      <c r="G611" t="s">
        <v>244</v>
      </c>
      <c r="H611" t="s">
        <v>14</v>
      </c>
      <c r="I611" t="s">
        <v>69</v>
      </c>
      <c r="J611" s="27">
        <v>45352</v>
      </c>
      <c r="K611">
        <v>2024</v>
      </c>
      <c r="L611" s="27">
        <v>45372</v>
      </c>
      <c r="M611">
        <v>349.39999999999787</v>
      </c>
      <c r="N611">
        <v>2</v>
      </c>
      <c r="O611" t="s">
        <v>90</v>
      </c>
      <c r="P611">
        <f t="shared" si="9"/>
        <v>0</v>
      </c>
    </row>
    <row r="612" spans="1:16" hidden="1" x14ac:dyDescent="0.25">
      <c r="A612" s="8">
        <v>607</v>
      </c>
      <c r="B612">
        <v>216</v>
      </c>
      <c r="C612" s="27">
        <v>45372</v>
      </c>
      <c r="D612" t="s">
        <v>301</v>
      </c>
      <c r="E612">
        <v>20</v>
      </c>
      <c r="F612" t="s">
        <v>116</v>
      </c>
      <c r="G612" t="s">
        <v>141</v>
      </c>
      <c r="H612" t="s">
        <v>14</v>
      </c>
      <c r="I612" t="s">
        <v>118</v>
      </c>
      <c r="J612" s="27">
        <v>45352</v>
      </c>
      <c r="K612">
        <v>2024</v>
      </c>
      <c r="L612" s="27">
        <v>45372</v>
      </c>
      <c r="M612">
        <v>369.39999999999787</v>
      </c>
      <c r="N612">
        <v>9</v>
      </c>
      <c r="O612" t="s">
        <v>90</v>
      </c>
      <c r="P612">
        <f t="shared" si="9"/>
        <v>0</v>
      </c>
    </row>
    <row r="613" spans="1:16" hidden="1" x14ac:dyDescent="0.25">
      <c r="A613" s="8">
        <v>608</v>
      </c>
      <c r="B613">
        <v>217</v>
      </c>
      <c r="C613" s="27">
        <v>45373</v>
      </c>
      <c r="D613" t="s">
        <v>108</v>
      </c>
      <c r="E613">
        <v>29.99</v>
      </c>
      <c r="F613" t="s">
        <v>88</v>
      </c>
      <c r="G613" t="s">
        <v>109</v>
      </c>
      <c r="H613" t="s">
        <v>14</v>
      </c>
      <c r="I613" t="s">
        <v>93</v>
      </c>
      <c r="J613" s="27">
        <v>45352</v>
      </c>
      <c r="K613">
        <v>2024</v>
      </c>
      <c r="L613" s="27">
        <v>45373</v>
      </c>
      <c r="M613">
        <v>399.38999999999788</v>
      </c>
      <c r="N613">
        <v>6</v>
      </c>
      <c r="O613" t="s">
        <v>90</v>
      </c>
      <c r="P613">
        <f t="shared" si="9"/>
        <v>0</v>
      </c>
    </row>
    <row r="614" spans="1:16" hidden="1" x14ac:dyDescent="0.25">
      <c r="A614" s="8">
        <v>609</v>
      </c>
      <c r="B614">
        <v>218</v>
      </c>
      <c r="C614" s="27">
        <v>45373</v>
      </c>
      <c r="D614" t="s">
        <v>303</v>
      </c>
      <c r="E614">
        <v>40.25</v>
      </c>
      <c r="F614" t="s">
        <v>88</v>
      </c>
      <c r="G614" t="s">
        <v>224</v>
      </c>
      <c r="H614" t="s">
        <v>14</v>
      </c>
      <c r="I614" t="s">
        <v>69</v>
      </c>
      <c r="J614" s="27">
        <v>45352</v>
      </c>
      <c r="K614">
        <v>2024</v>
      </c>
      <c r="L614" s="27">
        <v>45373</v>
      </c>
      <c r="M614">
        <v>439.63999999999788</v>
      </c>
      <c r="N614">
        <v>3</v>
      </c>
      <c r="O614" t="s">
        <v>90</v>
      </c>
      <c r="P614">
        <f t="shared" si="9"/>
        <v>0</v>
      </c>
    </row>
    <row r="615" spans="1:16" hidden="1" x14ac:dyDescent="0.25">
      <c r="A615" s="8">
        <v>610</v>
      </c>
      <c r="B615">
        <v>219</v>
      </c>
      <c r="C615" s="27">
        <v>45373</v>
      </c>
      <c r="D615" t="s">
        <v>105</v>
      </c>
      <c r="E615">
        <v>19.329999999999998</v>
      </c>
      <c r="F615" t="s">
        <v>106</v>
      </c>
      <c r="G615" t="s">
        <v>107</v>
      </c>
      <c r="H615" t="s">
        <v>14</v>
      </c>
      <c r="I615" t="s">
        <v>69</v>
      </c>
      <c r="J615" s="27">
        <v>45352</v>
      </c>
      <c r="K615">
        <v>2024</v>
      </c>
      <c r="L615" s="27">
        <v>45373</v>
      </c>
      <c r="M615">
        <v>458.96999999999792</v>
      </c>
      <c r="N615">
        <v>23</v>
      </c>
      <c r="O615" t="s">
        <v>90</v>
      </c>
      <c r="P615">
        <f t="shared" si="9"/>
        <v>0</v>
      </c>
    </row>
    <row r="616" spans="1:16" hidden="1" x14ac:dyDescent="0.25">
      <c r="A616" s="8">
        <v>611</v>
      </c>
      <c r="B616">
        <v>220</v>
      </c>
      <c r="C616" s="27">
        <v>45374</v>
      </c>
      <c r="D616" t="s">
        <v>304</v>
      </c>
      <c r="E616">
        <v>13.07</v>
      </c>
      <c r="F616" t="s">
        <v>88</v>
      </c>
      <c r="G616" t="s">
        <v>244</v>
      </c>
      <c r="H616" t="s">
        <v>14</v>
      </c>
      <c r="I616" t="s">
        <v>69</v>
      </c>
      <c r="J616" s="27">
        <v>45352</v>
      </c>
      <c r="K616">
        <v>2024</v>
      </c>
      <c r="L616" s="27">
        <v>45374</v>
      </c>
      <c r="M616">
        <v>472.03999999999792</v>
      </c>
      <c r="N616">
        <v>3</v>
      </c>
      <c r="O616" t="s">
        <v>90</v>
      </c>
      <c r="P616">
        <f t="shared" si="9"/>
        <v>0</v>
      </c>
    </row>
    <row r="617" spans="1:16" hidden="1" x14ac:dyDescent="0.25">
      <c r="A617" s="8">
        <v>612</v>
      </c>
      <c r="B617">
        <v>221</v>
      </c>
      <c r="C617" s="27">
        <v>45375</v>
      </c>
      <c r="D617" t="s">
        <v>305</v>
      </c>
      <c r="E617">
        <v>8</v>
      </c>
      <c r="F617" t="s">
        <v>106</v>
      </c>
      <c r="G617" t="s">
        <v>137</v>
      </c>
      <c r="H617" t="s">
        <v>14</v>
      </c>
      <c r="I617" t="s">
        <v>118</v>
      </c>
      <c r="J617" s="27">
        <v>45352</v>
      </c>
      <c r="K617">
        <v>2024</v>
      </c>
      <c r="L617" s="27">
        <v>45375</v>
      </c>
      <c r="M617">
        <v>480.03999999999792</v>
      </c>
      <c r="N617">
        <v>12</v>
      </c>
      <c r="O617" t="s">
        <v>90</v>
      </c>
      <c r="P617">
        <f t="shared" si="9"/>
        <v>0</v>
      </c>
    </row>
    <row r="618" spans="1:16" hidden="1" x14ac:dyDescent="0.25">
      <c r="A618" s="8">
        <v>613</v>
      </c>
      <c r="B618">
        <v>222</v>
      </c>
      <c r="C618" s="27">
        <v>45376</v>
      </c>
      <c r="D618" t="s">
        <v>309</v>
      </c>
      <c r="E618">
        <v>4.3899999999999997</v>
      </c>
      <c r="F618" t="s">
        <v>136</v>
      </c>
      <c r="G618" t="s">
        <v>239</v>
      </c>
      <c r="H618" t="s">
        <v>14</v>
      </c>
      <c r="I618" t="s">
        <v>69</v>
      </c>
      <c r="J618" s="27">
        <v>45352</v>
      </c>
      <c r="K618">
        <v>2024</v>
      </c>
      <c r="L618" s="27">
        <v>45376</v>
      </c>
      <c r="M618">
        <v>484.4299999999979</v>
      </c>
      <c r="N618">
        <v>2</v>
      </c>
      <c r="O618" t="s">
        <v>90</v>
      </c>
      <c r="P618">
        <f t="shared" si="9"/>
        <v>0</v>
      </c>
    </row>
    <row r="619" spans="1:16" hidden="1" x14ac:dyDescent="0.25">
      <c r="A619" s="8">
        <v>614</v>
      </c>
      <c r="B619">
        <v>223</v>
      </c>
      <c r="C619" s="27">
        <v>45376</v>
      </c>
      <c r="D619" t="s">
        <v>113</v>
      </c>
      <c r="E619">
        <v>7.43</v>
      </c>
      <c r="F619" t="s">
        <v>88</v>
      </c>
      <c r="G619" t="s">
        <v>114</v>
      </c>
      <c r="H619" t="s">
        <v>14</v>
      </c>
      <c r="I619" t="s">
        <v>93</v>
      </c>
      <c r="J619" s="27">
        <v>45352</v>
      </c>
      <c r="K619">
        <v>2024</v>
      </c>
      <c r="L619" s="27">
        <v>45376</v>
      </c>
      <c r="M619">
        <v>491.85999999999791</v>
      </c>
      <c r="N619">
        <v>17</v>
      </c>
      <c r="O619" t="s">
        <v>90</v>
      </c>
      <c r="P619">
        <f t="shared" si="9"/>
        <v>0</v>
      </c>
    </row>
    <row r="620" spans="1:16" hidden="1" x14ac:dyDescent="0.25">
      <c r="A620" s="8">
        <v>615</v>
      </c>
      <c r="B620">
        <v>224</v>
      </c>
      <c r="C620" s="27">
        <v>45376</v>
      </c>
      <c r="D620" t="s">
        <v>113</v>
      </c>
      <c r="E620">
        <v>12.75</v>
      </c>
      <c r="F620" t="s">
        <v>88</v>
      </c>
      <c r="G620" t="s">
        <v>114</v>
      </c>
      <c r="H620" t="s">
        <v>14</v>
      </c>
      <c r="I620" t="s">
        <v>93</v>
      </c>
      <c r="J620" s="27">
        <v>45352</v>
      </c>
      <c r="K620">
        <v>2024</v>
      </c>
      <c r="L620" s="27">
        <v>45376</v>
      </c>
      <c r="M620">
        <v>504.60999999999791</v>
      </c>
      <c r="N620">
        <v>18</v>
      </c>
      <c r="O620" t="s">
        <v>90</v>
      </c>
      <c r="P620">
        <f t="shared" si="9"/>
        <v>0</v>
      </c>
    </row>
    <row r="621" spans="1:16" hidden="1" x14ac:dyDescent="0.25">
      <c r="A621" s="8">
        <v>616</v>
      </c>
      <c r="B621">
        <v>225</v>
      </c>
      <c r="C621" s="27">
        <v>45376</v>
      </c>
      <c r="D621" t="s">
        <v>306</v>
      </c>
      <c r="E621">
        <v>10.59</v>
      </c>
      <c r="F621" t="s">
        <v>88</v>
      </c>
      <c r="G621" t="s">
        <v>307</v>
      </c>
      <c r="H621" t="s">
        <v>28</v>
      </c>
      <c r="I621" t="s">
        <v>69</v>
      </c>
      <c r="J621" s="27">
        <v>45352</v>
      </c>
      <c r="K621">
        <v>2024</v>
      </c>
      <c r="L621" s="27">
        <v>45376</v>
      </c>
      <c r="M621">
        <v>515.19999999999789</v>
      </c>
      <c r="N621">
        <v>1</v>
      </c>
      <c r="O621" t="s">
        <v>90</v>
      </c>
      <c r="P621">
        <f t="shared" si="9"/>
        <v>0</v>
      </c>
    </row>
    <row r="622" spans="1:16" hidden="1" x14ac:dyDescent="0.25">
      <c r="A622" s="8">
        <v>617</v>
      </c>
      <c r="B622">
        <v>226</v>
      </c>
      <c r="C622" s="27">
        <v>45376</v>
      </c>
      <c r="D622" t="s">
        <v>308</v>
      </c>
      <c r="E622">
        <v>31.22</v>
      </c>
      <c r="F622" t="s">
        <v>116</v>
      </c>
      <c r="G622" t="s">
        <v>117</v>
      </c>
      <c r="H622" t="s">
        <v>14</v>
      </c>
      <c r="I622" t="s">
        <v>118</v>
      </c>
      <c r="J622" s="27">
        <v>45352</v>
      </c>
      <c r="K622">
        <v>2024</v>
      </c>
      <c r="L622" s="27">
        <v>45376</v>
      </c>
      <c r="M622">
        <v>546.41999999999791</v>
      </c>
      <c r="N622">
        <v>27</v>
      </c>
      <c r="O622" t="s">
        <v>90</v>
      </c>
      <c r="P622">
        <f t="shared" si="9"/>
        <v>0</v>
      </c>
    </row>
    <row r="623" spans="1:16" hidden="1" x14ac:dyDescent="0.25">
      <c r="A623" s="8">
        <v>618</v>
      </c>
      <c r="B623">
        <v>227</v>
      </c>
      <c r="C623" s="27">
        <v>45376</v>
      </c>
      <c r="D623" t="s">
        <v>290</v>
      </c>
      <c r="E623">
        <v>-370.99</v>
      </c>
      <c r="F623" t="s">
        <v>163</v>
      </c>
      <c r="G623" t="s">
        <v>291</v>
      </c>
      <c r="H623" t="s">
        <v>14</v>
      </c>
      <c r="I623" t="s">
        <v>25</v>
      </c>
      <c r="J623" s="27">
        <v>45352</v>
      </c>
      <c r="K623">
        <v>2024</v>
      </c>
      <c r="L623" s="27">
        <v>45376</v>
      </c>
      <c r="M623">
        <v>175.4299999999979</v>
      </c>
      <c r="N623">
        <v>2</v>
      </c>
      <c r="O623" t="s">
        <v>90</v>
      </c>
      <c r="P623">
        <f t="shared" si="9"/>
        <v>0</v>
      </c>
    </row>
    <row r="624" spans="1:16" hidden="1" x14ac:dyDescent="0.25">
      <c r="A624" s="8">
        <v>619</v>
      </c>
      <c r="B624">
        <v>228</v>
      </c>
      <c r="C624" s="27">
        <v>45378</v>
      </c>
      <c r="D624" t="s">
        <v>310</v>
      </c>
      <c r="E624">
        <v>29.59</v>
      </c>
      <c r="F624" t="s">
        <v>106</v>
      </c>
      <c r="G624" t="s">
        <v>137</v>
      </c>
      <c r="H624" t="s">
        <v>14</v>
      </c>
      <c r="I624" t="s">
        <v>118</v>
      </c>
      <c r="J624" s="27">
        <v>45352</v>
      </c>
      <c r="K624">
        <v>2024</v>
      </c>
      <c r="L624" s="27">
        <v>45378</v>
      </c>
      <c r="M624">
        <v>205.01999999999791</v>
      </c>
      <c r="N624">
        <v>13</v>
      </c>
      <c r="O624" t="s">
        <v>90</v>
      </c>
      <c r="P624">
        <f t="shared" si="9"/>
        <v>0</v>
      </c>
    </row>
    <row r="625" spans="1:16" hidden="1" x14ac:dyDescent="0.25">
      <c r="A625" s="8">
        <v>620</v>
      </c>
      <c r="B625">
        <v>229</v>
      </c>
      <c r="C625" s="27">
        <v>45378</v>
      </c>
      <c r="D625" t="s">
        <v>294</v>
      </c>
      <c r="E625">
        <v>70.040000000000006</v>
      </c>
      <c r="F625" t="s">
        <v>136</v>
      </c>
      <c r="G625" t="s">
        <v>92</v>
      </c>
      <c r="H625" t="s">
        <v>14</v>
      </c>
      <c r="I625" t="s">
        <v>93</v>
      </c>
      <c r="J625" s="27">
        <v>45352</v>
      </c>
      <c r="K625">
        <v>2024</v>
      </c>
      <c r="L625" s="27">
        <v>45378</v>
      </c>
      <c r="M625">
        <v>275.0599999999979</v>
      </c>
      <c r="N625">
        <v>8</v>
      </c>
      <c r="O625" t="s">
        <v>90</v>
      </c>
      <c r="P625">
        <f t="shared" si="9"/>
        <v>0</v>
      </c>
    </row>
    <row r="626" spans="1:16" hidden="1" x14ac:dyDescent="0.25">
      <c r="A626" s="8">
        <v>621</v>
      </c>
      <c r="B626">
        <v>230</v>
      </c>
      <c r="C626" s="27">
        <v>45378</v>
      </c>
      <c r="D626" t="s">
        <v>311</v>
      </c>
      <c r="E626">
        <v>8.99</v>
      </c>
      <c r="F626" t="s">
        <v>136</v>
      </c>
      <c r="G626" t="s">
        <v>312</v>
      </c>
      <c r="H626" t="s">
        <v>14</v>
      </c>
      <c r="I626" t="s">
        <v>15</v>
      </c>
      <c r="J626" s="27">
        <v>45352</v>
      </c>
      <c r="K626">
        <v>2024</v>
      </c>
      <c r="L626" s="27">
        <v>45378</v>
      </c>
      <c r="M626">
        <v>284.04999999999791</v>
      </c>
      <c r="N626">
        <v>1</v>
      </c>
      <c r="O626" t="s">
        <v>90</v>
      </c>
      <c r="P626">
        <f t="shared" si="9"/>
        <v>0</v>
      </c>
    </row>
    <row r="627" spans="1:16" hidden="1" x14ac:dyDescent="0.25">
      <c r="A627" s="8">
        <v>622</v>
      </c>
      <c r="B627">
        <v>231</v>
      </c>
      <c r="C627" s="27">
        <v>45378</v>
      </c>
      <c r="D627" t="s">
        <v>270</v>
      </c>
      <c r="E627">
        <v>8.75</v>
      </c>
      <c r="F627" t="s">
        <v>88</v>
      </c>
      <c r="G627" t="s">
        <v>107</v>
      </c>
      <c r="H627" t="s">
        <v>14</v>
      </c>
      <c r="I627" t="s">
        <v>69</v>
      </c>
      <c r="J627" s="27">
        <v>45352</v>
      </c>
      <c r="K627">
        <v>2024</v>
      </c>
      <c r="L627" s="27">
        <v>45378</v>
      </c>
      <c r="M627">
        <v>292.79999999999791</v>
      </c>
      <c r="N627">
        <v>24</v>
      </c>
      <c r="O627" t="s">
        <v>90</v>
      </c>
      <c r="P627">
        <f t="shared" si="9"/>
        <v>0</v>
      </c>
    </row>
    <row r="628" spans="1:16" hidden="1" x14ac:dyDescent="0.25">
      <c r="A628" s="8">
        <v>623</v>
      </c>
      <c r="B628">
        <v>232</v>
      </c>
      <c r="C628" s="27">
        <v>45378</v>
      </c>
      <c r="D628" t="s">
        <v>171</v>
      </c>
      <c r="E628">
        <v>25</v>
      </c>
      <c r="F628" t="s">
        <v>136</v>
      </c>
      <c r="G628" t="s">
        <v>172</v>
      </c>
      <c r="H628" t="s">
        <v>14</v>
      </c>
      <c r="I628" t="s">
        <v>15</v>
      </c>
      <c r="J628" s="27">
        <v>45352</v>
      </c>
      <c r="K628">
        <v>2024</v>
      </c>
      <c r="L628" s="27">
        <v>45378</v>
      </c>
      <c r="M628">
        <v>317.79999999999791</v>
      </c>
      <c r="N628">
        <v>3</v>
      </c>
      <c r="O628" t="s">
        <v>90</v>
      </c>
      <c r="P628">
        <f t="shared" si="9"/>
        <v>0</v>
      </c>
    </row>
    <row r="629" spans="1:16" hidden="1" x14ac:dyDescent="0.25">
      <c r="A629" s="8">
        <v>624</v>
      </c>
      <c r="B629">
        <v>233</v>
      </c>
      <c r="C629" s="27">
        <v>45378</v>
      </c>
      <c r="D629" t="s">
        <v>313</v>
      </c>
      <c r="E629">
        <v>199.82</v>
      </c>
      <c r="F629" t="s">
        <v>314</v>
      </c>
      <c r="G629" t="s">
        <v>315</v>
      </c>
      <c r="H629" t="s">
        <v>14</v>
      </c>
      <c r="I629" t="s">
        <v>395</v>
      </c>
      <c r="J629" s="27">
        <v>45352</v>
      </c>
      <c r="K629">
        <v>2024</v>
      </c>
      <c r="L629" s="27">
        <v>45378</v>
      </c>
      <c r="M629">
        <v>517.61999999999784</v>
      </c>
      <c r="N629">
        <v>1</v>
      </c>
      <c r="O629" t="s">
        <v>90</v>
      </c>
      <c r="P629">
        <f t="shared" si="9"/>
        <v>0</v>
      </c>
    </row>
    <row r="630" spans="1:16" hidden="1" x14ac:dyDescent="0.25">
      <c r="A630" s="8">
        <v>625</v>
      </c>
      <c r="B630">
        <v>234</v>
      </c>
      <c r="C630" s="27">
        <v>45378</v>
      </c>
      <c r="D630" t="s">
        <v>316</v>
      </c>
      <c r="E630">
        <v>29.99</v>
      </c>
      <c r="F630" t="s">
        <v>88</v>
      </c>
      <c r="G630" t="s">
        <v>214</v>
      </c>
      <c r="H630" t="s">
        <v>28</v>
      </c>
      <c r="I630" t="s">
        <v>69</v>
      </c>
      <c r="J630" s="27">
        <v>45352</v>
      </c>
      <c r="K630">
        <v>2024</v>
      </c>
      <c r="L630" s="27">
        <v>45378</v>
      </c>
      <c r="M630">
        <v>547.60999999999785</v>
      </c>
      <c r="N630">
        <v>3</v>
      </c>
      <c r="O630" t="s">
        <v>90</v>
      </c>
      <c r="P630">
        <f t="shared" si="9"/>
        <v>0</v>
      </c>
    </row>
    <row r="631" spans="1:16" hidden="1" x14ac:dyDescent="0.25">
      <c r="A631" s="8">
        <v>626</v>
      </c>
      <c r="B631">
        <v>235</v>
      </c>
      <c r="C631" s="27">
        <v>45379</v>
      </c>
      <c r="D631" t="s">
        <v>113</v>
      </c>
      <c r="E631">
        <v>7.43</v>
      </c>
      <c r="F631" t="s">
        <v>88</v>
      </c>
      <c r="G631" t="s">
        <v>114</v>
      </c>
      <c r="H631" t="s">
        <v>14</v>
      </c>
      <c r="I631" t="s">
        <v>93</v>
      </c>
      <c r="J631" s="27">
        <v>45352</v>
      </c>
      <c r="K631">
        <v>2024</v>
      </c>
      <c r="L631" s="27">
        <v>45379</v>
      </c>
      <c r="M631">
        <v>555.0399999999978</v>
      </c>
      <c r="N631">
        <v>19</v>
      </c>
      <c r="O631" t="s">
        <v>90</v>
      </c>
      <c r="P631">
        <f t="shared" si="9"/>
        <v>0</v>
      </c>
    </row>
    <row r="632" spans="1:16" hidden="1" x14ac:dyDescent="0.25">
      <c r="A632" s="8">
        <v>627</v>
      </c>
      <c r="B632">
        <v>236</v>
      </c>
      <c r="C632" s="27">
        <v>45379</v>
      </c>
      <c r="D632" t="s">
        <v>113</v>
      </c>
      <c r="E632">
        <v>10.35</v>
      </c>
      <c r="F632" t="s">
        <v>88</v>
      </c>
      <c r="G632" t="s">
        <v>114</v>
      </c>
      <c r="H632" t="s">
        <v>14</v>
      </c>
      <c r="I632" t="s">
        <v>93</v>
      </c>
      <c r="J632" s="27">
        <v>45352</v>
      </c>
      <c r="K632">
        <v>2024</v>
      </c>
      <c r="L632" s="27">
        <v>45379</v>
      </c>
      <c r="M632">
        <v>565.38999999999783</v>
      </c>
      <c r="N632">
        <v>20</v>
      </c>
      <c r="O632" t="s">
        <v>90</v>
      </c>
      <c r="P632">
        <f t="shared" si="9"/>
        <v>0</v>
      </c>
    </row>
    <row r="633" spans="1:16" hidden="1" x14ac:dyDescent="0.25">
      <c r="A633" s="8">
        <v>628</v>
      </c>
      <c r="B633">
        <v>237</v>
      </c>
      <c r="C633" s="27">
        <v>45379</v>
      </c>
      <c r="D633" t="s">
        <v>317</v>
      </c>
      <c r="E633">
        <v>103.5</v>
      </c>
      <c r="F633" t="s">
        <v>88</v>
      </c>
      <c r="G633" t="s">
        <v>224</v>
      </c>
      <c r="H633" t="s">
        <v>14</v>
      </c>
      <c r="I633" t="s">
        <v>69</v>
      </c>
      <c r="J633" s="27">
        <v>45352</v>
      </c>
      <c r="K633">
        <v>2024</v>
      </c>
      <c r="L633" s="27">
        <v>45379</v>
      </c>
      <c r="M633">
        <v>668.88999999999783</v>
      </c>
      <c r="N633">
        <v>4</v>
      </c>
      <c r="O633" t="s">
        <v>90</v>
      </c>
      <c r="P633">
        <f t="shared" si="9"/>
        <v>0</v>
      </c>
    </row>
    <row r="634" spans="1:16" hidden="1" x14ac:dyDescent="0.25">
      <c r="A634" s="8">
        <v>629</v>
      </c>
      <c r="B634">
        <v>238</v>
      </c>
      <c r="C634" s="27">
        <v>45380</v>
      </c>
      <c r="D634" t="s">
        <v>113</v>
      </c>
      <c r="E634">
        <v>10.62</v>
      </c>
      <c r="F634" t="s">
        <v>88</v>
      </c>
      <c r="G634" t="s">
        <v>114</v>
      </c>
      <c r="H634" t="s">
        <v>14</v>
      </c>
      <c r="I634" t="s">
        <v>93</v>
      </c>
      <c r="J634" s="27">
        <v>45352</v>
      </c>
      <c r="K634">
        <v>2024</v>
      </c>
      <c r="L634" s="27">
        <v>45380</v>
      </c>
      <c r="M634">
        <v>679.50999999999783</v>
      </c>
      <c r="N634">
        <v>21</v>
      </c>
      <c r="O634" t="s">
        <v>90</v>
      </c>
      <c r="P634">
        <f t="shared" si="9"/>
        <v>0</v>
      </c>
    </row>
    <row r="635" spans="1:16" hidden="1" x14ac:dyDescent="0.25">
      <c r="A635" s="8">
        <v>630</v>
      </c>
      <c r="B635">
        <v>239</v>
      </c>
      <c r="C635" s="27">
        <v>45380</v>
      </c>
      <c r="D635" t="s">
        <v>113</v>
      </c>
      <c r="E635">
        <v>10.62</v>
      </c>
      <c r="F635" t="s">
        <v>88</v>
      </c>
      <c r="G635" t="s">
        <v>114</v>
      </c>
      <c r="H635" t="s">
        <v>14</v>
      </c>
      <c r="I635" t="s">
        <v>93</v>
      </c>
      <c r="J635" s="27">
        <v>45352</v>
      </c>
      <c r="K635">
        <v>2024</v>
      </c>
      <c r="L635" s="27">
        <v>45380</v>
      </c>
      <c r="M635">
        <v>690.12999999999784</v>
      </c>
      <c r="N635">
        <v>22</v>
      </c>
      <c r="O635" t="s">
        <v>90</v>
      </c>
      <c r="P635">
        <f t="shared" si="9"/>
        <v>0</v>
      </c>
    </row>
    <row r="636" spans="1:16" hidden="1" x14ac:dyDescent="0.25">
      <c r="A636" s="8">
        <v>631</v>
      </c>
      <c r="B636">
        <v>240</v>
      </c>
      <c r="C636" s="27">
        <v>45380</v>
      </c>
      <c r="D636" t="s">
        <v>318</v>
      </c>
      <c r="E636">
        <v>34.799999999999997</v>
      </c>
      <c r="F636" t="s">
        <v>88</v>
      </c>
      <c r="G636" t="s">
        <v>141</v>
      </c>
      <c r="H636" t="s">
        <v>14</v>
      </c>
      <c r="I636" t="s">
        <v>118</v>
      </c>
      <c r="J636" s="27">
        <v>45352</v>
      </c>
      <c r="K636">
        <v>2024</v>
      </c>
      <c r="L636" s="27">
        <v>45380</v>
      </c>
      <c r="M636">
        <v>724.92999999999779</v>
      </c>
      <c r="N636">
        <v>10</v>
      </c>
      <c r="O636" t="s">
        <v>90</v>
      </c>
      <c r="P636">
        <f t="shared" si="9"/>
        <v>0</v>
      </c>
    </row>
    <row r="637" spans="1:16" hidden="1" x14ac:dyDescent="0.25">
      <c r="A637" s="8">
        <v>632</v>
      </c>
      <c r="B637">
        <v>241</v>
      </c>
      <c r="C637" s="27">
        <v>45380</v>
      </c>
      <c r="D637" t="s">
        <v>91</v>
      </c>
      <c r="E637">
        <v>6.98</v>
      </c>
      <c r="F637" t="s">
        <v>88</v>
      </c>
      <c r="G637" t="s">
        <v>92</v>
      </c>
      <c r="H637" t="s">
        <v>14</v>
      </c>
      <c r="I637" t="s">
        <v>93</v>
      </c>
      <c r="J637" s="27">
        <v>45352</v>
      </c>
      <c r="K637">
        <v>2024</v>
      </c>
      <c r="L637" s="27">
        <v>45380</v>
      </c>
      <c r="M637">
        <v>731.90999999999781</v>
      </c>
      <c r="N637">
        <v>9</v>
      </c>
      <c r="O637" t="s">
        <v>90</v>
      </c>
      <c r="P637">
        <f t="shared" si="9"/>
        <v>0</v>
      </c>
    </row>
    <row r="638" spans="1:16" hidden="1" x14ac:dyDescent="0.25">
      <c r="A638" s="8">
        <v>633</v>
      </c>
      <c r="B638">
        <v>242</v>
      </c>
      <c r="C638" s="27">
        <v>45381</v>
      </c>
      <c r="D638" t="s">
        <v>113</v>
      </c>
      <c r="E638">
        <v>19.13</v>
      </c>
      <c r="F638" t="s">
        <v>88</v>
      </c>
      <c r="G638" t="s">
        <v>114</v>
      </c>
      <c r="H638" t="s">
        <v>14</v>
      </c>
      <c r="I638" t="s">
        <v>93</v>
      </c>
      <c r="J638" s="27">
        <v>45352</v>
      </c>
      <c r="K638">
        <v>2024</v>
      </c>
      <c r="L638" s="27">
        <v>45381</v>
      </c>
      <c r="M638">
        <v>751.0399999999978</v>
      </c>
      <c r="N638">
        <v>23</v>
      </c>
      <c r="O638" t="s">
        <v>90</v>
      </c>
      <c r="P638">
        <f t="shared" si="9"/>
        <v>0</v>
      </c>
    </row>
    <row r="639" spans="1:16" hidden="1" x14ac:dyDescent="0.25">
      <c r="A639" s="8">
        <v>634</v>
      </c>
      <c r="B639">
        <v>243</v>
      </c>
      <c r="C639" s="27">
        <v>45381</v>
      </c>
      <c r="D639" t="s">
        <v>321</v>
      </c>
      <c r="E639">
        <v>50.09</v>
      </c>
      <c r="F639" t="s">
        <v>88</v>
      </c>
      <c r="G639" t="s">
        <v>117</v>
      </c>
      <c r="H639" t="s">
        <v>14</v>
      </c>
      <c r="I639" t="s">
        <v>118</v>
      </c>
      <c r="J639" s="27">
        <v>45352</v>
      </c>
      <c r="K639">
        <v>2024</v>
      </c>
      <c r="L639" s="27">
        <v>45381</v>
      </c>
      <c r="M639">
        <v>801.12999999999784</v>
      </c>
      <c r="N639">
        <v>28</v>
      </c>
      <c r="O639" t="s">
        <v>90</v>
      </c>
      <c r="P639">
        <f t="shared" si="9"/>
        <v>0</v>
      </c>
    </row>
    <row r="640" spans="1:16" hidden="1" x14ac:dyDescent="0.25">
      <c r="A640" s="8">
        <v>635</v>
      </c>
      <c r="B640">
        <v>244</v>
      </c>
      <c r="C640" s="27">
        <v>45381</v>
      </c>
      <c r="D640" t="s">
        <v>319</v>
      </c>
      <c r="E640">
        <v>41.8</v>
      </c>
      <c r="F640" t="s">
        <v>116</v>
      </c>
      <c r="G640" t="s">
        <v>117</v>
      </c>
      <c r="H640" t="s">
        <v>14</v>
      </c>
      <c r="I640" t="s">
        <v>118</v>
      </c>
      <c r="J640" s="27">
        <v>45352</v>
      </c>
      <c r="K640">
        <v>2024</v>
      </c>
      <c r="L640" s="27">
        <v>45381</v>
      </c>
      <c r="M640">
        <v>842.92999999999779</v>
      </c>
      <c r="N640">
        <v>29</v>
      </c>
      <c r="O640" t="s">
        <v>90</v>
      </c>
      <c r="P640">
        <f t="shared" si="9"/>
        <v>0</v>
      </c>
    </row>
    <row r="641" spans="1:16" hidden="1" x14ac:dyDescent="0.25">
      <c r="A641" s="8">
        <v>636</v>
      </c>
      <c r="B641">
        <v>245</v>
      </c>
      <c r="C641" s="27">
        <v>45381</v>
      </c>
      <c r="D641" t="s">
        <v>320</v>
      </c>
      <c r="E641">
        <v>34.369999999999997</v>
      </c>
      <c r="F641" t="s">
        <v>106</v>
      </c>
      <c r="G641" t="s">
        <v>107</v>
      </c>
      <c r="H641" t="s">
        <v>14</v>
      </c>
      <c r="I641" t="s">
        <v>69</v>
      </c>
      <c r="J641" s="27">
        <v>45352</v>
      </c>
      <c r="K641">
        <v>2024</v>
      </c>
      <c r="L641" s="27">
        <v>45381</v>
      </c>
      <c r="M641">
        <v>877.29999999999779</v>
      </c>
      <c r="N641">
        <v>25</v>
      </c>
      <c r="O641" t="s">
        <v>90</v>
      </c>
      <c r="P641">
        <f t="shared" si="9"/>
        <v>0</v>
      </c>
    </row>
    <row r="642" spans="1:16" hidden="1" x14ac:dyDescent="0.25">
      <c r="A642" s="8">
        <v>637</v>
      </c>
      <c r="B642">
        <v>246</v>
      </c>
      <c r="C642" s="27">
        <v>45382</v>
      </c>
      <c r="D642" t="s">
        <v>140</v>
      </c>
      <c r="E642">
        <v>5.4</v>
      </c>
      <c r="F642" t="s">
        <v>116</v>
      </c>
      <c r="G642" t="s">
        <v>117</v>
      </c>
      <c r="H642" t="s">
        <v>14</v>
      </c>
      <c r="I642" t="s">
        <v>118</v>
      </c>
      <c r="J642" s="27">
        <v>45352</v>
      </c>
      <c r="K642">
        <v>2024</v>
      </c>
      <c r="L642" s="27">
        <v>45382</v>
      </c>
      <c r="M642">
        <v>882.69999999999777</v>
      </c>
      <c r="N642">
        <v>30</v>
      </c>
      <c r="O642" t="s">
        <v>90</v>
      </c>
      <c r="P642">
        <f t="shared" si="9"/>
        <v>1</v>
      </c>
    </row>
    <row r="643" spans="1:16" hidden="1" x14ac:dyDescent="0.25">
      <c r="A643" s="8">
        <v>638</v>
      </c>
      <c r="B643">
        <v>247</v>
      </c>
      <c r="C643" s="27">
        <v>45383</v>
      </c>
      <c r="D643" t="s">
        <v>323</v>
      </c>
      <c r="E643">
        <v>69.64</v>
      </c>
      <c r="F643" t="s">
        <v>88</v>
      </c>
      <c r="G643" t="s">
        <v>107</v>
      </c>
      <c r="H643" t="s">
        <v>14</v>
      </c>
      <c r="I643" t="s">
        <v>69</v>
      </c>
      <c r="J643" s="27">
        <v>45383</v>
      </c>
      <c r="K643">
        <v>2024</v>
      </c>
      <c r="L643" s="27">
        <v>45383</v>
      </c>
      <c r="M643">
        <v>952.33999999999776</v>
      </c>
      <c r="N643">
        <v>26</v>
      </c>
      <c r="O643" t="s">
        <v>90</v>
      </c>
      <c r="P643">
        <f t="shared" si="9"/>
        <v>0</v>
      </c>
    </row>
    <row r="644" spans="1:16" hidden="1" x14ac:dyDescent="0.25">
      <c r="A644" s="8">
        <v>639</v>
      </c>
      <c r="B644">
        <v>248</v>
      </c>
      <c r="C644" s="27">
        <v>45383</v>
      </c>
      <c r="D644" t="s">
        <v>87</v>
      </c>
      <c r="E644">
        <v>20</v>
      </c>
      <c r="F644" t="s">
        <v>88</v>
      </c>
      <c r="G644" t="s">
        <v>89</v>
      </c>
      <c r="H644" t="s">
        <v>28</v>
      </c>
      <c r="I644" t="s">
        <v>69</v>
      </c>
      <c r="J644" s="27">
        <v>45383</v>
      </c>
      <c r="K644">
        <v>2024</v>
      </c>
      <c r="L644" s="27">
        <v>45383</v>
      </c>
      <c r="M644">
        <v>972.33999999999776</v>
      </c>
      <c r="N644">
        <v>4</v>
      </c>
      <c r="O644" t="s">
        <v>90</v>
      </c>
      <c r="P644">
        <f t="shared" si="9"/>
        <v>0</v>
      </c>
    </row>
    <row r="645" spans="1:16" hidden="1" x14ac:dyDescent="0.25">
      <c r="A645" s="8">
        <v>640</v>
      </c>
      <c r="B645">
        <v>249</v>
      </c>
      <c r="C645" s="27">
        <v>45383</v>
      </c>
      <c r="D645" t="s">
        <v>325</v>
      </c>
      <c r="E645">
        <v>28.57</v>
      </c>
      <c r="F645" t="s">
        <v>116</v>
      </c>
      <c r="G645" t="s">
        <v>385</v>
      </c>
      <c r="H645" t="s">
        <v>14</v>
      </c>
      <c r="I645" t="s">
        <v>395</v>
      </c>
      <c r="J645" s="27">
        <v>45383</v>
      </c>
      <c r="K645">
        <v>2024</v>
      </c>
      <c r="L645" s="27">
        <v>45383</v>
      </c>
      <c r="M645">
        <v>1000.909999999998</v>
      </c>
      <c r="N645">
        <v>8</v>
      </c>
      <c r="O645" t="s">
        <v>90</v>
      </c>
      <c r="P645">
        <f t="shared" ref="P645:P708" si="10">IF(J645&lt;&gt;J646, 1, 0)</f>
        <v>0</v>
      </c>
    </row>
    <row r="646" spans="1:16" hidden="1" x14ac:dyDescent="0.25">
      <c r="A646" s="8">
        <v>641</v>
      </c>
      <c r="B646">
        <v>250</v>
      </c>
      <c r="C646" s="27">
        <v>45383</v>
      </c>
      <c r="D646" t="s">
        <v>324</v>
      </c>
      <c r="E646">
        <v>57.98</v>
      </c>
      <c r="F646" t="s">
        <v>88</v>
      </c>
      <c r="G646" t="s">
        <v>168</v>
      </c>
      <c r="H646" t="s">
        <v>14</v>
      </c>
      <c r="I646" t="s">
        <v>69</v>
      </c>
      <c r="J646" s="27">
        <v>45383</v>
      </c>
      <c r="K646">
        <v>2024</v>
      </c>
      <c r="L646" s="27">
        <v>45383</v>
      </c>
      <c r="M646">
        <v>1058.8899999999981</v>
      </c>
      <c r="N646">
        <v>6</v>
      </c>
      <c r="O646" t="s">
        <v>90</v>
      </c>
      <c r="P646">
        <f t="shared" si="10"/>
        <v>0</v>
      </c>
    </row>
    <row r="647" spans="1:16" hidden="1" x14ac:dyDescent="0.25">
      <c r="A647" s="8">
        <v>642</v>
      </c>
      <c r="B647">
        <v>251</v>
      </c>
      <c r="C647" s="27">
        <v>45383</v>
      </c>
      <c r="D647" t="s">
        <v>326</v>
      </c>
      <c r="E647">
        <v>61</v>
      </c>
      <c r="F647" t="s">
        <v>95</v>
      </c>
      <c r="G647" t="s">
        <v>117</v>
      </c>
      <c r="H647" t="s">
        <v>14</v>
      </c>
      <c r="I647" t="s">
        <v>118</v>
      </c>
      <c r="J647" s="27">
        <v>45383</v>
      </c>
      <c r="K647">
        <v>2024</v>
      </c>
      <c r="L647" s="27">
        <v>45383</v>
      </c>
      <c r="M647">
        <v>1119.8899999999981</v>
      </c>
      <c r="N647">
        <v>31</v>
      </c>
      <c r="O647" t="s">
        <v>90</v>
      </c>
      <c r="P647">
        <f t="shared" si="10"/>
        <v>0</v>
      </c>
    </row>
    <row r="648" spans="1:16" hidden="1" x14ac:dyDescent="0.25">
      <c r="A648" s="8">
        <v>643</v>
      </c>
      <c r="B648">
        <v>252</v>
      </c>
      <c r="C648" s="27">
        <v>45383</v>
      </c>
      <c r="D648" t="s">
        <v>113</v>
      </c>
      <c r="E648">
        <v>3.19</v>
      </c>
      <c r="F648" t="s">
        <v>88</v>
      </c>
      <c r="G648" t="s">
        <v>114</v>
      </c>
      <c r="H648" t="s">
        <v>14</v>
      </c>
      <c r="I648" t="s">
        <v>93</v>
      </c>
      <c r="J648" s="27">
        <v>45383</v>
      </c>
      <c r="K648">
        <v>2024</v>
      </c>
      <c r="L648" s="27">
        <v>45383</v>
      </c>
      <c r="M648">
        <v>1123.0799999999981</v>
      </c>
      <c r="N648">
        <v>24</v>
      </c>
      <c r="O648" t="s">
        <v>90</v>
      </c>
      <c r="P648">
        <f t="shared" si="10"/>
        <v>0</v>
      </c>
    </row>
    <row r="649" spans="1:16" hidden="1" x14ac:dyDescent="0.25">
      <c r="A649" s="8">
        <v>644</v>
      </c>
      <c r="B649">
        <v>253</v>
      </c>
      <c r="C649" s="27">
        <v>45383</v>
      </c>
      <c r="D649" t="s">
        <v>94</v>
      </c>
      <c r="E649">
        <v>5</v>
      </c>
      <c r="F649" t="s">
        <v>95</v>
      </c>
      <c r="G649" t="s">
        <v>96</v>
      </c>
      <c r="H649" t="s">
        <v>28</v>
      </c>
      <c r="I649" t="s">
        <v>69</v>
      </c>
      <c r="J649" s="27">
        <v>45383</v>
      </c>
      <c r="K649">
        <v>2024</v>
      </c>
      <c r="L649" s="27">
        <v>45383</v>
      </c>
      <c r="M649">
        <v>1128.0799999999981</v>
      </c>
      <c r="N649">
        <v>4</v>
      </c>
      <c r="O649" t="s">
        <v>90</v>
      </c>
      <c r="P649">
        <f t="shared" si="10"/>
        <v>0</v>
      </c>
    </row>
    <row r="650" spans="1:16" hidden="1" x14ac:dyDescent="0.25">
      <c r="A650" s="8">
        <v>645</v>
      </c>
      <c r="B650">
        <v>254</v>
      </c>
      <c r="C650" s="27">
        <v>45383</v>
      </c>
      <c r="D650" t="s">
        <v>189</v>
      </c>
      <c r="E650">
        <v>62.46</v>
      </c>
      <c r="F650" t="s">
        <v>106</v>
      </c>
      <c r="G650" t="s">
        <v>137</v>
      </c>
      <c r="H650" t="s">
        <v>14</v>
      </c>
      <c r="I650" t="s">
        <v>118</v>
      </c>
      <c r="J650" s="27">
        <v>45383</v>
      </c>
      <c r="K650">
        <v>2024</v>
      </c>
      <c r="L650" s="27">
        <v>45383</v>
      </c>
      <c r="M650">
        <v>1190.5399999999979</v>
      </c>
      <c r="N650">
        <v>14</v>
      </c>
      <c r="O650" t="s">
        <v>90</v>
      </c>
      <c r="P650">
        <f t="shared" si="10"/>
        <v>0</v>
      </c>
    </row>
    <row r="651" spans="1:16" hidden="1" x14ac:dyDescent="0.25">
      <c r="A651" s="8">
        <v>646</v>
      </c>
      <c r="B651">
        <v>255</v>
      </c>
      <c r="C651" s="27">
        <v>45383</v>
      </c>
      <c r="D651" t="s">
        <v>322</v>
      </c>
      <c r="E651">
        <v>5.99</v>
      </c>
      <c r="F651" t="s">
        <v>88</v>
      </c>
      <c r="G651" t="s">
        <v>98</v>
      </c>
      <c r="H651" t="s">
        <v>28</v>
      </c>
      <c r="I651" t="s">
        <v>93</v>
      </c>
      <c r="J651" s="27">
        <v>45383</v>
      </c>
      <c r="K651">
        <v>2024</v>
      </c>
      <c r="L651" s="27">
        <v>45383</v>
      </c>
      <c r="M651">
        <v>1196.5299999999979</v>
      </c>
      <c r="N651">
        <v>4</v>
      </c>
      <c r="O651" t="s">
        <v>90</v>
      </c>
      <c r="P651">
        <f t="shared" si="10"/>
        <v>0</v>
      </c>
    </row>
    <row r="652" spans="1:16" hidden="1" x14ac:dyDescent="0.25">
      <c r="A652" s="8">
        <v>647</v>
      </c>
      <c r="B652">
        <v>256</v>
      </c>
      <c r="C652" s="27">
        <v>45384</v>
      </c>
      <c r="D652" t="s">
        <v>327</v>
      </c>
      <c r="E652">
        <v>273.60000000000002</v>
      </c>
      <c r="F652" t="s">
        <v>95</v>
      </c>
      <c r="G652" t="s">
        <v>100</v>
      </c>
      <c r="H652" t="s">
        <v>28</v>
      </c>
      <c r="I652" t="s">
        <v>69</v>
      </c>
      <c r="J652" s="27">
        <v>45383</v>
      </c>
      <c r="K652">
        <v>2024</v>
      </c>
      <c r="L652" s="27">
        <v>45384</v>
      </c>
      <c r="M652">
        <v>1470.1299999999981</v>
      </c>
      <c r="N652">
        <v>6</v>
      </c>
      <c r="O652" t="s">
        <v>90</v>
      </c>
      <c r="P652">
        <f t="shared" si="10"/>
        <v>0</v>
      </c>
    </row>
    <row r="653" spans="1:16" hidden="1" x14ac:dyDescent="0.25">
      <c r="A653" s="8">
        <v>648</v>
      </c>
      <c r="B653">
        <v>257</v>
      </c>
      <c r="C653" s="27">
        <v>45384</v>
      </c>
      <c r="D653" t="s">
        <v>328</v>
      </c>
      <c r="E653">
        <v>23.69</v>
      </c>
      <c r="F653" t="s">
        <v>88</v>
      </c>
      <c r="G653" t="s">
        <v>107</v>
      </c>
      <c r="H653" t="s">
        <v>14</v>
      </c>
      <c r="I653" t="s">
        <v>69</v>
      </c>
      <c r="J653" s="27">
        <v>45383</v>
      </c>
      <c r="K653">
        <v>2024</v>
      </c>
      <c r="L653" s="27">
        <v>45384</v>
      </c>
      <c r="M653">
        <v>1493.8199999999979</v>
      </c>
      <c r="N653">
        <v>27</v>
      </c>
      <c r="O653" t="s">
        <v>90</v>
      </c>
      <c r="P653">
        <f t="shared" si="10"/>
        <v>0</v>
      </c>
    </row>
    <row r="654" spans="1:16" hidden="1" x14ac:dyDescent="0.25">
      <c r="A654" s="8">
        <v>649</v>
      </c>
      <c r="B654">
        <v>258</v>
      </c>
      <c r="C654" s="27">
        <v>45384</v>
      </c>
      <c r="D654" t="s">
        <v>269</v>
      </c>
      <c r="E654">
        <v>10</v>
      </c>
      <c r="F654" t="s">
        <v>88</v>
      </c>
      <c r="G654" t="s">
        <v>102</v>
      </c>
      <c r="H654" t="s">
        <v>28</v>
      </c>
      <c r="I654" t="s">
        <v>93</v>
      </c>
      <c r="J654" s="27">
        <v>45383</v>
      </c>
      <c r="K654">
        <v>2024</v>
      </c>
      <c r="L654" s="27">
        <v>45384</v>
      </c>
      <c r="M654">
        <v>1503.8199999999979</v>
      </c>
      <c r="N654">
        <v>4</v>
      </c>
      <c r="O654" t="s">
        <v>90</v>
      </c>
      <c r="P654">
        <f t="shared" si="10"/>
        <v>0</v>
      </c>
    </row>
    <row r="655" spans="1:16" hidden="1" x14ac:dyDescent="0.25">
      <c r="A655" s="8">
        <v>650</v>
      </c>
      <c r="B655">
        <v>259</v>
      </c>
      <c r="C655" s="27">
        <v>45384</v>
      </c>
      <c r="D655" t="s">
        <v>329</v>
      </c>
      <c r="E655">
        <v>3</v>
      </c>
      <c r="F655" t="s">
        <v>95</v>
      </c>
      <c r="G655" t="s">
        <v>13</v>
      </c>
      <c r="H655" t="s">
        <v>14</v>
      </c>
      <c r="I655" t="s">
        <v>15</v>
      </c>
      <c r="J655" s="27">
        <v>45383</v>
      </c>
      <c r="K655">
        <v>2024</v>
      </c>
      <c r="L655" s="27">
        <v>45384</v>
      </c>
      <c r="M655">
        <v>1506.8199999999979</v>
      </c>
      <c r="N655">
        <v>3</v>
      </c>
      <c r="O655" t="s">
        <v>90</v>
      </c>
      <c r="P655">
        <f t="shared" si="10"/>
        <v>0</v>
      </c>
    </row>
    <row r="656" spans="1:16" hidden="1" x14ac:dyDescent="0.25">
      <c r="A656" s="8">
        <v>651</v>
      </c>
      <c r="B656">
        <v>260</v>
      </c>
      <c r="C656" s="27">
        <v>45385</v>
      </c>
      <c r="D656" t="s">
        <v>330</v>
      </c>
      <c r="E656">
        <v>57.46</v>
      </c>
      <c r="F656" t="s">
        <v>116</v>
      </c>
      <c r="G656" t="s">
        <v>117</v>
      </c>
      <c r="H656" t="s">
        <v>14</v>
      </c>
      <c r="I656" t="s">
        <v>118</v>
      </c>
      <c r="J656" s="27">
        <v>45383</v>
      </c>
      <c r="K656">
        <v>2024</v>
      </c>
      <c r="L656" s="27">
        <v>45385</v>
      </c>
      <c r="M656">
        <v>1564.2799999999979</v>
      </c>
      <c r="N656">
        <v>32</v>
      </c>
      <c r="O656" t="s">
        <v>90</v>
      </c>
      <c r="P656">
        <f t="shared" si="10"/>
        <v>0</v>
      </c>
    </row>
    <row r="657" spans="1:16" hidden="1" x14ac:dyDescent="0.25">
      <c r="A657" s="8">
        <v>652</v>
      </c>
      <c r="B657">
        <v>261</v>
      </c>
      <c r="C657" s="27">
        <v>45385</v>
      </c>
      <c r="D657" t="s">
        <v>188</v>
      </c>
      <c r="E657">
        <v>43.19</v>
      </c>
      <c r="F657" t="s">
        <v>116</v>
      </c>
      <c r="G657" t="s">
        <v>117</v>
      </c>
      <c r="H657" t="s">
        <v>14</v>
      </c>
      <c r="I657" t="s">
        <v>118</v>
      </c>
      <c r="J657" s="27">
        <v>45383</v>
      </c>
      <c r="K657">
        <v>2024</v>
      </c>
      <c r="L657" s="27">
        <v>45385</v>
      </c>
      <c r="M657">
        <v>1607.469999999998</v>
      </c>
      <c r="N657">
        <v>33</v>
      </c>
      <c r="O657" t="s">
        <v>90</v>
      </c>
      <c r="P657">
        <f t="shared" si="10"/>
        <v>0</v>
      </c>
    </row>
    <row r="658" spans="1:16" hidden="1" x14ac:dyDescent="0.25">
      <c r="A658" s="8">
        <v>653</v>
      </c>
      <c r="B658">
        <v>262</v>
      </c>
      <c r="C658" s="27">
        <v>45385</v>
      </c>
      <c r="D658" t="s">
        <v>110</v>
      </c>
      <c r="E658">
        <v>-39.46</v>
      </c>
      <c r="F658" t="s">
        <v>111</v>
      </c>
      <c r="G658" t="s">
        <v>112</v>
      </c>
      <c r="H658" t="s">
        <v>14</v>
      </c>
      <c r="I658" t="s">
        <v>80</v>
      </c>
      <c r="J658" s="27">
        <v>45383</v>
      </c>
      <c r="K658">
        <v>2024</v>
      </c>
      <c r="L658" s="27">
        <v>45385</v>
      </c>
      <c r="M658">
        <v>1568.0099999999979</v>
      </c>
      <c r="N658">
        <v>4</v>
      </c>
      <c r="O658" t="s">
        <v>90</v>
      </c>
      <c r="P658">
        <f t="shared" si="10"/>
        <v>0</v>
      </c>
    </row>
    <row r="659" spans="1:16" hidden="1" x14ac:dyDescent="0.25">
      <c r="A659" s="8">
        <v>654</v>
      </c>
      <c r="B659">
        <v>263</v>
      </c>
      <c r="C659" s="27">
        <v>45385</v>
      </c>
      <c r="D659" t="s">
        <v>113</v>
      </c>
      <c r="E659">
        <v>10.62</v>
      </c>
      <c r="F659" t="s">
        <v>88</v>
      </c>
      <c r="G659" t="s">
        <v>114</v>
      </c>
      <c r="H659" t="s">
        <v>14</v>
      </c>
      <c r="I659" t="s">
        <v>93</v>
      </c>
      <c r="J659" s="27">
        <v>45383</v>
      </c>
      <c r="K659">
        <v>2024</v>
      </c>
      <c r="L659" s="27">
        <v>45385</v>
      </c>
      <c r="M659">
        <v>1578.6299999999981</v>
      </c>
      <c r="N659">
        <v>25</v>
      </c>
      <c r="O659" t="s">
        <v>90</v>
      </c>
      <c r="P659">
        <f t="shared" si="10"/>
        <v>0</v>
      </c>
    </row>
    <row r="660" spans="1:16" hidden="1" x14ac:dyDescent="0.25">
      <c r="A660" s="8">
        <v>655</v>
      </c>
      <c r="B660">
        <v>264</v>
      </c>
      <c r="C660" s="27">
        <v>45386</v>
      </c>
      <c r="D660" t="s">
        <v>113</v>
      </c>
      <c r="E660">
        <v>8.49</v>
      </c>
      <c r="F660" t="s">
        <v>88</v>
      </c>
      <c r="G660" t="s">
        <v>114</v>
      </c>
      <c r="H660" t="s">
        <v>14</v>
      </c>
      <c r="I660" t="s">
        <v>93</v>
      </c>
      <c r="J660" s="27">
        <v>45383</v>
      </c>
      <c r="K660">
        <v>2024</v>
      </c>
      <c r="L660" s="27">
        <v>45386</v>
      </c>
      <c r="M660">
        <v>1587.1199999999981</v>
      </c>
      <c r="N660">
        <v>26</v>
      </c>
      <c r="O660" t="s">
        <v>90</v>
      </c>
      <c r="P660">
        <f t="shared" si="10"/>
        <v>0</v>
      </c>
    </row>
    <row r="661" spans="1:16" hidden="1" x14ac:dyDescent="0.25">
      <c r="A661" s="8">
        <v>656</v>
      </c>
      <c r="B661">
        <v>265</v>
      </c>
      <c r="C661" s="27">
        <v>45386</v>
      </c>
      <c r="D661" t="s">
        <v>162</v>
      </c>
      <c r="E661">
        <v>-1420.5</v>
      </c>
      <c r="F661" t="s">
        <v>163</v>
      </c>
      <c r="G661" t="s">
        <v>164</v>
      </c>
      <c r="H661" t="s">
        <v>14</v>
      </c>
      <c r="I661" t="s">
        <v>80</v>
      </c>
      <c r="J661" s="27">
        <v>45383</v>
      </c>
      <c r="K661">
        <v>2024</v>
      </c>
      <c r="L661" s="27">
        <v>45386</v>
      </c>
      <c r="M661">
        <v>166.61999999999779</v>
      </c>
      <c r="N661">
        <v>7</v>
      </c>
      <c r="O661" t="s">
        <v>90</v>
      </c>
      <c r="P661">
        <f t="shared" si="10"/>
        <v>0</v>
      </c>
    </row>
    <row r="662" spans="1:16" hidden="1" x14ac:dyDescent="0.25">
      <c r="A662" s="8">
        <v>657</v>
      </c>
      <c r="B662">
        <v>266</v>
      </c>
      <c r="C662" s="27">
        <v>45386</v>
      </c>
      <c r="D662" t="s">
        <v>331</v>
      </c>
      <c r="E662">
        <v>20.48</v>
      </c>
      <c r="F662" t="s">
        <v>116</v>
      </c>
      <c r="G662" t="s">
        <v>212</v>
      </c>
      <c r="H662" t="s">
        <v>14</v>
      </c>
      <c r="I662" t="s">
        <v>69</v>
      </c>
      <c r="J662" s="27">
        <v>45383</v>
      </c>
      <c r="K662">
        <v>2024</v>
      </c>
      <c r="L662" s="27">
        <v>45386</v>
      </c>
      <c r="M662">
        <v>187.09999999999781</v>
      </c>
      <c r="N662">
        <v>6</v>
      </c>
      <c r="O662" t="s">
        <v>90</v>
      </c>
      <c r="P662">
        <f t="shared" si="10"/>
        <v>0</v>
      </c>
    </row>
    <row r="663" spans="1:16" hidden="1" x14ac:dyDescent="0.25">
      <c r="A663" s="8">
        <v>658</v>
      </c>
      <c r="B663">
        <v>267</v>
      </c>
      <c r="C663" s="27">
        <v>45387</v>
      </c>
      <c r="D663" t="s">
        <v>592</v>
      </c>
      <c r="E663">
        <v>46.73</v>
      </c>
      <c r="F663" t="s">
        <v>116</v>
      </c>
      <c r="G663" t="s">
        <v>117</v>
      </c>
      <c r="H663" t="s">
        <v>14</v>
      </c>
      <c r="I663" t="s">
        <v>118</v>
      </c>
      <c r="J663" s="27">
        <v>45383</v>
      </c>
      <c r="K663">
        <v>2024</v>
      </c>
      <c r="L663" s="27">
        <v>45387</v>
      </c>
      <c r="M663">
        <v>233.8299999999978</v>
      </c>
      <c r="N663">
        <v>34</v>
      </c>
      <c r="O663" t="s">
        <v>90</v>
      </c>
      <c r="P663">
        <f t="shared" si="10"/>
        <v>0</v>
      </c>
    </row>
    <row r="664" spans="1:16" hidden="1" x14ac:dyDescent="0.25">
      <c r="A664" s="8">
        <v>659</v>
      </c>
      <c r="B664">
        <v>268</v>
      </c>
      <c r="C664" s="27">
        <v>45387</v>
      </c>
      <c r="D664" t="s">
        <v>332</v>
      </c>
      <c r="E664">
        <v>19.68</v>
      </c>
      <c r="F664" t="s">
        <v>116</v>
      </c>
      <c r="G664" t="s">
        <v>385</v>
      </c>
      <c r="H664" t="s">
        <v>14</v>
      </c>
      <c r="I664" t="s">
        <v>395</v>
      </c>
      <c r="J664" s="27">
        <v>45383</v>
      </c>
      <c r="K664">
        <v>2024</v>
      </c>
      <c r="L664" s="27">
        <v>45387</v>
      </c>
      <c r="M664">
        <v>253.5099999999978</v>
      </c>
      <c r="N664">
        <v>9</v>
      </c>
      <c r="O664" t="s">
        <v>90</v>
      </c>
      <c r="P664">
        <f t="shared" si="10"/>
        <v>0</v>
      </c>
    </row>
    <row r="665" spans="1:16" hidden="1" x14ac:dyDescent="0.25">
      <c r="A665" s="8">
        <v>660</v>
      </c>
      <c r="B665">
        <v>269</v>
      </c>
      <c r="C665" s="27">
        <v>45388</v>
      </c>
      <c r="D665" t="s">
        <v>593</v>
      </c>
      <c r="E665">
        <v>50</v>
      </c>
      <c r="F665" t="s">
        <v>95</v>
      </c>
      <c r="G665" t="s">
        <v>92</v>
      </c>
      <c r="H665" t="s">
        <v>14</v>
      </c>
      <c r="I665" t="s">
        <v>93</v>
      </c>
      <c r="J665" s="27">
        <v>45383</v>
      </c>
      <c r="K665">
        <v>2024</v>
      </c>
      <c r="L665" s="27">
        <v>45388</v>
      </c>
      <c r="M665">
        <v>303.50999999999777</v>
      </c>
      <c r="N665">
        <v>10</v>
      </c>
      <c r="O665" t="s">
        <v>90</v>
      </c>
      <c r="P665">
        <f t="shared" si="10"/>
        <v>0</v>
      </c>
    </row>
    <row r="666" spans="1:16" hidden="1" x14ac:dyDescent="0.25">
      <c r="A666" s="8">
        <v>661</v>
      </c>
      <c r="B666">
        <v>270</v>
      </c>
      <c r="C666" s="27">
        <v>45388</v>
      </c>
      <c r="D666" t="s">
        <v>594</v>
      </c>
      <c r="E666">
        <v>69.989999999999995</v>
      </c>
      <c r="F666" t="s">
        <v>88</v>
      </c>
      <c r="G666" t="s">
        <v>595</v>
      </c>
      <c r="H666" t="s">
        <v>28</v>
      </c>
      <c r="I666" t="s">
        <v>69</v>
      </c>
      <c r="J666" s="27">
        <v>45383</v>
      </c>
      <c r="K666">
        <v>2024</v>
      </c>
      <c r="L666" s="27">
        <v>45388</v>
      </c>
      <c r="M666">
        <v>373.49999999999778</v>
      </c>
      <c r="N666">
        <v>1</v>
      </c>
      <c r="O666" t="s">
        <v>90</v>
      </c>
      <c r="P666">
        <f t="shared" si="10"/>
        <v>0</v>
      </c>
    </row>
    <row r="667" spans="1:16" hidden="1" x14ac:dyDescent="0.25">
      <c r="A667" s="8">
        <v>662</v>
      </c>
      <c r="B667">
        <v>271</v>
      </c>
      <c r="C667" s="27">
        <v>45389</v>
      </c>
      <c r="D667" t="s">
        <v>596</v>
      </c>
      <c r="E667">
        <v>9.99</v>
      </c>
      <c r="F667" t="s">
        <v>88</v>
      </c>
      <c r="G667" t="s">
        <v>131</v>
      </c>
      <c r="H667" t="s">
        <v>28</v>
      </c>
      <c r="I667" t="s">
        <v>69</v>
      </c>
      <c r="J667" s="27">
        <v>45383</v>
      </c>
      <c r="K667">
        <v>2024</v>
      </c>
      <c r="L667" s="27">
        <v>45389</v>
      </c>
      <c r="M667">
        <v>383.48999999999779</v>
      </c>
      <c r="N667">
        <v>4</v>
      </c>
      <c r="O667" t="s">
        <v>90</v>
      </c>
      <c r="P667">
        <f t="shared" si="10"/>
        <v>0</v>
      </c>
    </row>
    <row r="668" spans="1:16" hidden="1" x14ac:dyDescent="0.25">
      <c r="A668" s="8">
        <v>663</v>
      </c>
      <c r="B668">
        <v>272</v>
      </c>
      <c r="C668" s="27">
        <v>45390</v>
      </c>
      <c r="D668" t="s">
        <v>598</v>
      </c>
      <c r="E668">
        <v>4.43</v>
      </c>
      <c r="F668" t="s">
        <v>88</v>
      </c>
      <c r="G668" t="s">
        <v>117</v>
      </c>
      <c r="H668" t="s">
        <v>14</v>
      </c>
      <c r="I668" t="s">
        <v>118</v>
      </c>
      <c r="J668" s="27">
        <v>45383</v>
      </c>
      <c r="K668">
        <v>2024</v>
      </c>
      <c r="L668" s="27">
        <v>45390</v>
      </c>
      <c r="M668">
        <v>387.91999999999791</v>
      </c>
      <c r="N668">
        <v>35</v>
      </c>
      <c r="O668" t="s">
        <v>90</v>
      </c>
      <c r="P668">
        <f t="shared" si="10"/>
        <v>0</v>
      </c>
    </row>
    <row r="669" spans="1:16" hidden="1" x14ac:dyDescent="0.25">
      <c r="A669" s="8">
        <v>664</v>
      </c>
      <c r="B669">
        <v>273</v>
      </c>
      <c r="C669" s="27">
        <v>45390</v>
      </c>
      <c r="D669" t="s">
        <v>597</v>
      </c>
      <c r="E669">
        <v>62.79</v>
      </c>
      <c r="F669" t="s">
        <v>88</v>
      </c>
      <c r="G669" t="s">
        <v>168</v>
      </c>
      <c r="H669" t="s">
        <v>14</v>
      </c>
      <c r="I669" t="s">
        <v>69</v>
      </c>
      <c r="J669" s="27">
        <v>45383</v>
      </c>
      <c r="K669">
        <v>2024</v>
      </c>
      <c r="L669" s="27">
        <v>45390</v>
      </c>
      <c r="M669">
        <v>450.70999999999788</v>
      </c>
      <c r="N669">
        <v>7</v>
      </c>
      <c r="O669" t="s">
        <v>90</v>
      </c>
      <c r="P669">
        <f t="shared" si="10"/>
        <v>0</v>
      </c>
    </row>
    <row r="670" spans="1:16" hidden="1" x14ac:dyDescent="0.25">
      <c r="A670" s="8">
        <v>665</v>
      </c>
      <c r="B670">
        <v>274</v>
      </c>
      <c r="C670" s="27">
        <v>45390</v>
      </c>
      <c r="D670" t="s">
        <v>597</v>
      </c>
      <c r="E670">
        <v>34.28</v>
      </c>
      <c r="F670" t="s">
        <v>88</v>
      </c>
      <c r="G670" t="s">
        <v>168</v>
      </c>
      <c r="H670" t="s">
        <v>14</v>
      </c>
      <c r="I670" t="s">
        <v>69</v>
      </c>
      <c r="J670" s="27">
        <v>45383</v>
      </c>
      <c r="K670">
        <v>2024</v>
      </c>
      <c r="L670" s="27">
        <v>45390</v>
      </c>
      <c r="M670">
        <v>484.98999999999779</v>
      </c>
      <c r="N670">
        <v>8</v>
      </c>
      <c r="O670" t="s">
        <v>90</v>
      </c>
      <c r="P670">
        <f t="shared" si="10"/>
        <v>0</v>
      </c>
    </row>
    <row r="671" spans="1:16" hidden="1" x14ac:dyDescent="0.25">
      <c r="A671" s="8">
        <v>666</v>
      </c>
      <c r="B671">
        <v>275</v>
      </c>
      <c r="C671" s="27">
        <v>45390</v>
      </c>
      <c r="D671" t="s">
        <v>113</v>
      </c>
      <c r="E671">
        <v>18.059999999999999</v>
      </c>
      <c r="F671" t="s">
        <v>88</v>
      </c>
      <c r="G671" t="s">
        <v>114</v>
      </c>
      <c r="H671" t="s">
        <v>14</v>
      </c>
      <c r="I671" t="s">
        <v>93</v>
      </c>
      <c r="J671" s="27">
        <v>45383</v>
      </c>
      <c r="K671">
        <v>2024</v>
      </c>
      <c r="L671" s="27">
        <v>45390</v>
      </c>
      <c r="M671">
        <v>503.04999999999791</v>
      </c>
      <c r="N671">
        <v>27</v>
      </c>
      <c r="O671" t="s">
        <v>90</v>
      </c>
      <c r="P671">
        <f t="shared" si="10"/>
        <v>0</v>
      </c>
    </row>
    <row r="672" spans="1:16" hidden="1" x14ac:dyDescent="0.25">
      <c r="A672" s="8">
        <v>667</v>
      </c>
      <c r="B672">
        <v>276</v>
      </c>
      <c r="C672" s="27">
        <v>45390</v>
      </c>
      <c r="D672" t="s">
        <v>113</v>
      </c>
      <c r="E672">
        <v>10.62</v>
      </c>
      <c r="F672" t="s">
        <v>88</v>
      </c>
      <c r="G672" t="s">
        <v>114</v>
      </c>
      <c r="H672" t="s">
        <v>14</v>
      </c>
      <c r="I672" t="s">
        <v>93</v>
      </c>
      <c r="J672" s="27">
        <v>45383</v>
      </c>
      <c r="K672">
        <v>2024</v>
      </c>
      <c r="L672" s="27">
        <v>45390</v>
      </c>
      <c r="M672">
        <v>513.6699999999978</v>
      </c>
      <c r="N672">
        <v>28</v>
      </c>
      <c r="O672" t="s">
        <v>90</v>
      </c>
      <c r="P672">
        <f t="shared" si="10"/>
        <v>0</v>
      </c>
    </row>
    <row r="673" spans="1:16" hidden="1" x14ac:dyDescent="0.25">
      <c r="A673" s="8">
        <v>668</v>
      </c>
      <c r="B673">
        <v>277</v>
      </c>
      <c r="C673" s="27">
        <v>45391</v>
      </c>
      <c r="D673" t="s">
        <v>601</v>
      </c>
      <c r="E673">
        <v>140</v>
      </c>
      <c r="F673" t="s">
        <v>95</v>
      </c>
      <c r="G673" t="s">
        <v>385</v>
      </c>
      <c r="H673" t="s">
        <v>14</v>
      </c>
      <c r="I673" t="s">
        <v>395</v>
      </c>
      <c r="J673" s="27">
        <v>45383</v>
      </c>
      <c r="K673">
        <v>2024</v>
      </c>
      <c r="L673" s="27">
        <v>45391</v>
      </c>
      <c r="M673">
        <v>653.6699999999978</v>
      </c>
      <c r="N673">
        <v>10</v>
      </c>
      <c r="O673" t="s">
        <v>90</v>
      </c>
      <c r="P673">
        <f t="shared" si="10"/>
        <v>0</v>
      </c>
    </row>
    <row r="674" spans="1:16" hidden="1" x14ac:dyDescent="0.25">
      <c r="A674" s="8">
        <v>669</v>
      </c>
      <c r="B674">
        <v>278</v>
      </c>
      <c r="C674" s="27">
        <v>45391</v>
      </c>
      <c r="D674" t="s">
        <v>599</v>
      </c>
      <c r="E674">
        <v>12.33</v>
      </c>
      <c r="F674" t="s">
        <v>116</v>
      </c>
      <c r="G674" t="s">
        <v>117</v>
      </c>
      <c r="H674" t="s">
        <v>14</v>
      </c>
      <c r="I674" t="s">
        <v>118</v>
      </c>
      <c r="J674" s="27">
        <v>45383</v>
      </c>
      <c r="K674">
        <v>2024</v>
      </c>
      <c r="L674" s="27">
        <v>45391</v>
      </c>
      <c r="M674">
        <v>665.99999999999784</v>
      </c>
      <c r="N674">
        <v>36</v>
      </c>
      <c r="O674" t="s">
        <v>90</v>
      </c>
      <c r="P674">
        <f t="shared" si="10"/>
        <v>0</v>
      </c>
    </row>
    <row r="675" spans="1:16" hidden="1" x14ac:dyDescent="0.25">
      <c r="A675" s="8">
        <v>670</v>
      </c>
      <c r="B675">
        <v>279</v>
      </c>
      <c r="C675" s="27">
        <v>45391</v>
      </c>
      <c r="D675" t="s">
        <v>600</v>
      </c>
      <c r="E675">
        <v>2.83</v>
      </c>
      <c r="F675" t="s">
        <v>116</v>
      </c>
      <c r="G675" t="s">
        <v>141</v>
      </c>
      <c r="H675" t="s">
        <v>14</v>
      </c>
      <c r="I675" t="s">
        <v>118</v>
      </c>
      <c r="J675" s="27">
        <v>45383</v>
      </c>
      <c r="K675">
        <v>2024</v>
      </c>
      <c r="L675" s="27">
        <v>45391</v>
      </c>
      <c r="M675">
        <v>668.82999999999788</v>
      </c>
      <c r="N675">
        <v>11</v>
      </c>
      <c r="O675" t="s">
        <v>90</v>
      </c>
      <c r="P675">
        <f t="shared" si="10"/>
        <v>0</v>
      </c>
    </row>
    <row r="676" spans="1:16" hidden="1" x14ac:dyDescent="0.25">
      <c r="A676" s="8">
        <v>671</v>
      </c>
      <c r="B676">
        <v>280</v>
      </c>
      <c r="C676" s="27">
        <v>45392</v>
      </c>
      <c r="D676" t="s">
        <v>132</v>
      </c>
      <c r="E676">
        <v>3.34</v>
      </c>
      <c r="F676" t="s">
        <v>133</v>
      </c>
      <c r="G676" t="s">
        <v>134</v>
      </c>
      <c r="H676" t="s">
        <v>14</v>
      </c>
      <c r="I676" t="s">
        <v>15</v>
      </c>
      <c r="J676" s="27">
        <v>45383</v>
      </c>
      <c r="K676">
        <v>2024</v>
      </c>
      <c r="L676" s="27">
        <v>45392</v>
      </c>
      <c r="M676">
        <v>672.16999999999791</v>
      </c>
      <c r="N676">
        <v>6</v>
      </c>
      <c r="O676" t="s">
        <v>90</v>
      </c>
      <c r="P676">
        <f t="shared" si="10"/>
        <v>0</v>
      </c>
    </row>
    <row r="677" spans="1:16" hidden="1" x14ac:dyDescent="0.25">
      <c r="A677" s="8">
        <v>672</v>
      </c>
      <c r="B677">
        <v>281</v>
      </c>
      <c r="C677" s="27">
        <v>45392</v>
      </c>
      <c r="D677" t="s">
        <v>132</v>
      </c>
      <c r="E677">
        <v>54.02</v>
      </c>
      <c r="F677" t="s">
        <v>133</v>
      </c>
      <c r="G677" t="s">
        <v>134</v>
      </c>
      <c r="H677" t="s">
        <v>14</v>
      </c>
      <c r="I677" t="s">
        <v>15</v>
      </c>
      <c r="J677" s="27">
        <v>45383</v>
      </c>
      <c r="K677">
        <v>2024</v>
      </c>
      <c r="L677" s="27">
        <v>45392</v>
      </c>
      <c r="M677">
        <v>726.18999999999789</v>
      </c>
      <c r="N677">
        <v>7</v>
      </c>
      <c r="O677" t="s">
        <v>90</v>
      </c>
      <c r="P677">
        <f t="shared" si="10"/>
        <v>0</v>
      </c>
    </row>
    <row r="678" spans="1:16" hidden="1" x14ac:dyDescent="0.25">
      <c r="A678" s="8">
        <v>673</v>
      </c>
      <c r="B678">
        <v>282</v>
      </c>
      <c r="C678" s="27">
        <v>45392</v>
      </c>
      <c r="D678" t="s">
        <v>603</v>
      </c>
      <c r="E678">
        <v>142.62</v>
      </c>
      <c r="F678" t="s">
        <v>88</v>
      </c>
      <c r="G678" t="s">
        <v>128</v>
      </c>
      <c r="H678" t="s">
        <v>14</v>
      </c>
      <c r="I678" t="s">
        <v>69</v>
      </c>
      <c r="J678" s="27">
        <v>45383</v>
      </c>
      <c r="K678">
        <v>2024</v>
      </c>
      <c r="L678" s="27">
        <v>45392</v>
      </c>
      <c r="M678">
        <v>868.8099999999979</v>
      </c>
      <c r="N678">
        <v>3</v>
      </c>
      <c r="O678" t="s">
        <v>90</v>
      </c>
      <c r="P678">
        <f t="shared" si="10"/>
        <v>0</v>
      </c>
    </row>
    <row r="679" spans="1:16" hidden="1" x14ac:dyDescent="0.25">
      <c r="A679" s="8">
        <v>674</v>
      </c>
      <c r="B679">
        <v>283</v>
      </c>
      <c r="C679" s="27">
        <v>45392</v>
      </c>
      <c r="D679" t="s">
        <v>603</v>
      </c>
      <c r="E679">
        <v>175.39</v>
      </c>
      <c r="F679" t="s">
        <v>88</v>
      </c>
      <c r="G679" t="s">
        <v>128</v>
      </c>
      <c r="H679" t="s">
        <v>14</v>
      </c>
      <c r="I679" t="s">
        <v>69</v>
      </c>
      <c r="J679" s="27">
        <v>45383</v>
      </c>
      <c r="K679">
        <v>2024</v>
      </c>
      <c r="L679" s="27">
        <v>45392</v>
      </c>
      <c r="M679">
        <v>1044.199999999998</v>
      </c>
      <c r="N679">
        <v>4</v>
      </c>
      <c r="O679" t="s">
        <v>90</v>
      </c>
      <c r="P679">
        <f t="shared" si="10"/>
        <v>0</v>
      </c>
    </row>
    <row r="680" spans="1:16" hidden="1" x14ac:dyDescent="0.25">
      <c r="A680" s="8">
        <v>675</v>
      </c>
      <c r="B680">
        <v>284</v>
      </c>
      <c r="C680" s="27">
        <v>45392</v>
      </c>
      <c r="D680" t="s">
        <v>171</v>
      </c>
      <c r="E680">
        <v>25</v>
      </c>
      <c r="F680" t="s">
        <v>136</v>
      </c>
      <c r="G680" t="s">
        <v>172</v>
      </c>
      <c r="H680" t="s">
        <v>14</v>
      </c>
      <c r="I680" t="s">
        <v>15</v>
      </c>
      <c r="J680" s="27">
        <v>45383</v>
      </c>
      <c r="K680">
        <v>2024</v>
      </c>
      <c r="L680" s="27">
        <v>45392</v>
      </c>
      <c r="M680">
        <v>1069.199999999998</v>
      </c>
      <c r="N680">
        <v>4</v>
      </c>
      <c r="O680" t="s">
        <v>90</v>
      </c>
      <c r="P680">
        <f t="shared" si="10"/>
        <v>0</v>
      </c>
    </row>
    <row r="681" spans="1:16" hidden="1" x14ac:dyDescent="0.25">
      <c r="A681" s="8">
        <v>676</v>
      </c>
      <c r="B681">
        <v>285</v>
      </c>
      <c r="C681" s="27">
        <v>45392</v>
      </c>
      <c r="D681" t="s">
        <v>602</v>
      </c>
      <c r="E681">
        <v>48.5</v>
      </c>
      <c r="F681" t="s">
        <v>116</v>
      </c>
      <c r="G681" t="s">
        <v>141</v>
      </c>
      <c r="H681" t="s">
        <v>14</v>
      </c>
      <c r="I681" t="s">
        <v>118</v>
      </c>
      <c r="J681" s="27">
        <v>45383</v>
      </c>
      <c r="K681">
        <v>2024</v>
      </c>
      <c r="L681" s="27">
        <v>45392</v>
      </c>
      <c r="M681">
        <v>1117.699999999998</v>
      </c>
      <c r="N681">
        <v>12</v>
      </c>
      <c r="O681" t="s">
        <v>90</v>
      </c>
      <c r="P681">
        <f t="shared" si="10"/>
        <v>0</v>
      </c>
    </row>
    <row r="682" spans="1:16" hidden="1" x14ac:dyDescent="0.25">
      <c r="A682" s="8">
        <v>677</v>
      </c>
      <c r="B682">
        <v>286</v>
      </c>
      <c r="C682" s="27">
        <v>45393</v>
      </c>
      <c r="D682" t="s">
        <v>189</v>
      </c>
      <c r="E682">
        <v>14.82</v>
      </c>
      <c r="F682" t="s">
        <v>106</v>
      </c>
      <c r="G682" t="s">
        <v>137</v>
      </c>
      <c r="H682" t="s">
        <v>14</v>
      </c>
      <c r="I682" t="s">
        <v>118</v>
      </c>
      <c r="J682" s="27">
        <v>45383</v>
      </c>
      <c r="K682">
        <v>2024</v>
      </c>
      <c r="L682" s="27">
        <v>45393</v>
      </c>
      <c r="M682">
        <v>1132.5199999999979</v>
      </c>
      <c r="N682">
        <v>15</v>
      </c>
      <c r="O682" t="s">
        <v>90</v>
      </c>
      <c r="P682">
        <f t="shared" si="10"/>
        <v>0</v>
      </c>
    </row>
    <row r="683" spans="1:16" hidden="1" x14ac:dyDescent="0.25">
      <c r="A683" s="8">
        <v>678</v>
      </c>
      <c r="B683">
        <v>287</v>
      </c>
      <c r="C683" s="27">
        <v>45393</v>
      </c>
      <c r="D683" t="s">
        <v>604</v>
      </c>
      <c r="E683">
        <v>233.29</v>
      </c>
      <c r="F683" t="s">
        <v>88</v>
      </c>
      <c r="G683" t="s">
        <v>92</v>
      </c>
      <c r="H683" t="s">
        <v>14</v>
      </c>
      <c r="I683" t="s">
        <v>93</v>
      </c>
      <c r="J683" s="27">
        <v>45383</v>
      </c>
      <c r="K683">
        <v>2024</v>
      </c>
      <c r="L683" s="27">
        <v>45393</v>
      </c>
      <c r="M683">
        <v>1365.8099999999979</v>
      </c>
      <c r="N683">
        <v>11</v>
      </c>
      <c r="O683" t="s">
        <v>90</v>
      </c>
      <c r="P683">
        <f t="shared" si="10"/>
        <v>0</v>
      </c>
    </row>
    <row r="684" spans="1:16" hidden="1" x14ac:dyDescent="0.25">
      <c r="A684" s="8">
        <v>679</v>
      </c>
      <c r="B684">
        <v>288</v>
      </c>
      <c r="C684" s="27">
        <v>45393</v>
      </c>
      <c r="D684" t="s">
        <v>156</v>
      </c>
      <c r="E684">
        <v>15.76</v>
      </c>
      <c r="F684" t="s">
        <v>116</v>
      </c>
      <c r="G684" t="s">
        <v>141</v>
      </c>
      <c r="H684" t="s">
        <v>14</v>
      </c>
      <c r="I684" t="s">
        <v>118</v>
      </c>
      <c r="J684" s="27">
        <v>45383</v>
      </c>
      <c r="K684">
        <v>2024</v>
      </c>
      <c r="L684" s="27">
        <v>45393</v>
      </c>
      <c r="M684">
        <v>1381.5699999999979</v>
      </c>
      <c r="N684">
        <v>13</v>
      </c>
      <c r="O684" t="s">
        <v>90</v>
      </c>
      <c r="P684">
        <f t="shared" si="10"/>
        <v>0</v>
      </c>
    </row>
    <row r="685" spans="1:16" hidden="1" x14ac:dyDescent="0.25">
      <c r="A685" s="8">
        <v>680</v>
      </c>
      <c r="B685">
        <v>289</v>
      </c>
      <c r="C685" s="27">
        <v>45394</v>
      </c>
      <c r="D685" t="s">
        <v>302</v>
      </c>
      <c r="E685">
        <v>15.34</v>
      </c>
      <c r="F685" t="s">
        <v>88</v>
      </c>
      <c r="G685" t="s">
        <v>244</v>
      </c>
      <c r="H685" t="s">
        <v>14</v>
      </c>
      <c r="I685" t="s">
        <v>69</v>
      </c>
      <c r="J685" s="27">
        <v>45383</v>
      </c>
      <c r="K685">
        <v>2024</v>
      </c>
      <c r="L685" s="27">
        <v>45394</v>
      </c>
      <c r="M685">
        <v>1396.909999999998</v>
      </c>
      <c r="N685">
        <v>4</v>
      </c>
      <c r="O685" t="s">
        <v>90</v>
      </c>
      <c r="P685">
        <f t="shared" si="10"/>
        <v>0</v>
      </c>
    </row>
    <row r="686" spans="1:16" hidden="1" x14ac:dyDescent="0.25">
      <c r="A686" s="8">
        <v>681</v>
      </c>
      <c r="B686">
        <v>290</v>
      </c>
      <c r="C686" s="27">
        <v>45394</v>
      </c>
      <c r="D686" t="s">
        <v>329</v>
      </c>
      <c r="E686">
        <v>1</v>
      </c>
      <c r="F686" t="s">
        <v>95</v>
      </c>
      <c r="G686" t="s">
        <v>13</v>
      </c>
      <c r="H686" t="s">
        <v>14</v>
      </c>
      <c r="I686" t="s">
        <v>15</v>
      </c>
      <c r="J686" s="27">
        <v>45383</v>
      </c>
      <c r="K686">
        <v>2024</v>
      </c>
      <c r="L686" s="27">
        <v>45394</v>
      </c>
      <c r="M686">
        <v>1397.909999999998</v>
      </c>
      <c r="N686">
        <v>4</v>
      </c>
      <c r="O686" t="s">
        <v>90</v>
      </c>
      <c r="P686">
        <f t="shared" si="10"/>
        <v>0</v>
      </c>
    </row>
    <row r="687" spans="1:16" hidden="1" x14ac:dyDescent="0.25">
      <c r="A687" s="8">
        <v>682</v>
      </c>
      <c r="B687">
        <v>291</v>
      </c>
      <c r="C687" s="27">
        <v>45395</v>
      </c>
      <c r="D687" t="s">
        <v>113</v>
      </c>
      <c r="E687">
        <v>10.62</v>
      </c>
      <c r="F687" t="s">
        <v>88</v>
      </c>
      <c r="G687" t="s">
        <v>114</v>
      </c>
      <c r="H687" t="s">
        <v>14</v>
      </c>
      <c r="I687" t="s">
        <v>93</v>
      </c>
      <c r="J687" s="27">
        <v>45383</v>
      </c>
      <c r="K687">
        <v>2024</v>
      </c>
      <c r="L687" s="27">
        <v>45395</v>
      </c>
      <c r="M687">
        <v>1408.5299999999979</v>
      </c>
      <c r="N687">
        <v>29</v>
      </c>
      <c r="O687" t="s">
        <v>90</v>
      </c>
      <c r="P687">
        <f t="shared" si="10"/>
        <v>0</v>
      </c>
    </row>
    <row r="688" spans="1:16" hidden="1" x14ac:dyDescent="0.25">
      <c r="A688" s="8">
        <v>683</v>
      </c>
      <c r="B688">
        <v>292</v>
      </c>
      <c r="C688" s="27">
        <v>45395</v>
      </c>
      <c r="D688" t="s">
        <v>113</v>
      </c>
      <c r="E688">
        <v>15.95</v>
      </c>
      <c r="F688" t="s">
        <v>88</v>
      </c>
      <c r="G688" t="s">
        <v>114</v>
      </c>
      <c r="H688" t="s">
        <v>14</v>
      </c>
      <c r="I688" t="s">
        <v>93</v>
      </c>
      <c r="J688" s="27">
        <v>45383</v>
      </c>
      <c r="K688">
        <v>2024</v>
      </c>
      <c r="L688" s="27">
        <v>45395</v>
      </c>
      <c r="M688">
        <v>1424.479999999998</v>
      </c>
      <c r="N688">
        <v>30</v>
      </c>
      <c r="O688" t="s">
        <v>90</v>
      </c>
      <c r="P688">
        <f t="shared" si="10"/>
        <v>0</v>
      </c>
    </row>
    <row r="689" spans="1:16" hidden="1" x14ac:dyDescent="0.25">
      <c r="A689" s="8">
        <v>684</v>
      </c>
      <c r="B689">
        <v>293</v>
      </c>
      <c r="C689" s="27">
        <v>45396</v>
      </c>
      <c r="D689" t="s">
        <v>605</v>
      </c>
      <c r="E689">
        <v>14.84</v>
      </c>
      <c r="F689" t="s">
        <v>116</v>
      </c>
      <c r="G689" t="s">
        <v>134</v>
      </c>
      <c r="H689" t="s">
        <v>14</v>
      </c>
      <c r="I689" t="s">
        <v>15</v>
      </c>
      <c r="J689" s="27">
        <v>45383</v>
      </c>
      <c r="K689">
        <v>2024</v>
      </c>
      <c r="L689" s="27">
        <v>45396</v>
      </c>
      <c r="M689">
        <v>1439.3199999999979</v>
      </c>
      <c r="N689">
        <v>8</v>
      </c>
      <c r="O689" t="s">
        <v>90</v>
      </c>
      <c r="P689">
        <f t="shared" si="10"/>
        <v>0</v>
      </c>
    </row>
    <row r="690" spans="1:16" hidden="1" x14ac:dyDescent="0.25">
      <c r="A690" s="8">
        <v>685</v>
      </c>
      <c r="B690">
        <v>294</v>
      </c>
      <c r="C690" s="27">
        <v>45396</v>
      </c>
      <c r="D690" t="s">
        <v>606</v>
      </c>
      <c r="E690">
        <v>280.57</v>
      </c>
      <c r="F690" t="s">
        <v>192</v>
      </c>
      <c r="G690" t="s">
        <v>205</v>
      </c>
      <c r="H690" t="s">
        <v>14</v>
      </c>
      <c r="I690" t="s">
        <v>40</v>
      </c>
      <c r="J690" s="27">
        <v>45383</v>
      </c>
      <c r="K690">
        <v>2024</v>
      </c>
      <c r="L690" s="27">
        <v>45396</v>
      </c>
      <c r="M690">
        <v>1719.8899999999981</v>
      </c>
      <c r="N690">
        <v>1</v>
      </c>
      <c r="O690" t="s">
        <v>90</v>
      </c>
      <c r="P690">
        <f t="shared" si="10"/>
        <v>0</v>
      </c>
    </row>
    <row r="691" spans="1:16" hidden="1" x14ac:dyDescent="0.25">
      <c r="A691" s="8">
        <v>686</v>
      </c>
      <c r="B691">
        <v>295</v>
      </c>
      <c r="C691" s="27">
        <v>45396</v>
      </c>
      <c r="D691" t="s">
        <v>105</v>
      </c>
      <c r="E691">
        <v>77.680000000000007</v>
      </c>
      <c r="F691" t="s">
        <v>106</v>
      </c>
      <c r="G691" t="s">
        <v>107</v>
      </c>
      <c r="H691" t="s">
        <v>14</v>
      </c>
      <c r="I691" t="s">
        <v>69</v>
      </c>
      <c r="J691" s="27">
        <v>45383</v>
      </c>
      <c r="K691">
        <v>2024</v>
      </c>
      <c r="L691" s="27">
        <v>45396</v>
      </c>
      <c r="M691">
        <v>1797.5699999999979</v>
      </c>
      <c r="N691">
        <v>28</v>
      </c>
      <c r="O691" t="s">
        <v>90</v>
      </c>
      <c r="P691">
        <f t="shared" si="10"/>
        <v>0</v>
      </c>
    </row>
    <row r="692" spans="1:16" hidden="1" x14ac:dyDescent="0.25">
      <c r="A692" s="8">
        <v>687</v>
      </c>
      <c r="B692">
        <v>296</v>
      </c>
      <c r="C692" s="27">
        <v>45397</v>
      </c>
      <c r="D692" t="s">
        <v>251</v>
      </c>
      <c r="E692">
        <v>92.72</v>
      </c>
      <c r="F692" t="s">
        <v>95</v>
      </c>
      <c r="G692" t="s">
        <v>247</v>
      </c>
      <c r="H692" t="s">
        <v>14</v>
      </c>
      <c r="I692" t="s">
        <v>44</v>
      </c>
      <c r="J692" s="27">
        <v>45383</v>
      </c>
      <c r="K692">
        <v>2024</v>
      </c>
      <c r="L692" s="27">
        <v>45397</v>
      </c>
      <c r="M692">
        <v>1890.2899999999979</v>
      </c>
      <c r="N692">
        <v>3</v>
      </c>
      <c r="O692" t="s">
        <v>90</v>
      </c>
      <c r="P692">
        <f t="shared" si="10"/>
        <v>0</v>
      </c>
    </row>
    <row r="693" spans="1:16" hidden="1" x14ac:dyDescent="0.25">
      <c r="A693" s="8">
        <v>688</v>
      </c>
      <c r="B693">
        <v>297</v>
      </c>
      <c r="C693" s="27">
        <v>45398</v>
      </c>
      <c r="D693" t="s">
        <v>608</v>
      </c>
      <c r="E693">
        <v>23.69</v>
      </c>
      <c r="F693" t="s">
        <v>88</v>
      </c>
      <c r="G693" t="s">
        <v>212</v>
      </c>
      <c r="H693" t="s">
        <v>14</v>
      </c>
      <c r="I693" t="s">
        <v>69</v>
      </c>
      <c r="J693" s="27">
        <v>45383</v>
      </c>
      <c r="K693">
        <v>2024</v>
      </c>
      <c r="L693" s="27">
        <v>45398</v>
      </c>
      <c r="M693">
        <v>1913.979999999998</v>
      </c>
      <c r="N693">
        <v>7</v>
      </c>
      <c r="O693" t="s">
        <v>90</v>
      </c>
      <c r="P693">
        <f t="shared" si="10"/>
        <v>0</v>
      </c>
    </row>
    <row r="694" spans="1:16" hidden="1" x14ac:dyDescent="0.25">
      <c r="A694" s="8">
        <v>689</v>
      </c>
      <c r="B694">
        <v>298</v>
      </c>
      <c r="C694" s="27">
        <v>45398</v>
      </c>
      <c r="D694" t="s">
        <v>288</v>
      </c>
      <c r="E694">
        <v>85.52</v>
      </c>
      <c r="F694" t="s">
        <v>88</v>
      </c>
      <c r="G694" t="s">
        <v>168</v>
      </c>
      <c r="H694" t="s">
        <v>14</v>
      </c>
      <c r="I694" t="s">
        <v>69</v>
      </c>
      <c r="J694" s="27">
        <v>45383</v>
      </c>
      <c r="K694">
        <v>2024</v>
      </c>
      <c r="L694" s="27">
        <v>45398</v>
      </c>
      <c r="M694">
        <v>1999.499999999998</v>
      </c>
      <c r="N694">
        <v>9</v>
      </c>
      <c r="O694" t="s">
        <v>90</v>
      </c>
      <c r="P694">
        <f t="shared" si="10"/>
        <v>0</v>
      </c>
    </row>
    <row r="695" spans="1:16" hidden="1" x14ac:dyDescent="0.25">
      <c r="A695" s="8">
        <v>690</v>
      </c>
      <c r="B695">
        <v>299</v>
      </c>
      <c r="C695" s="27">
        <v>45398</v>
      </c>
      <c r="D695" t="s">
        <v>185</v>
      </c>
      <c r="E695">
        <v>90.54</v>
      </c>
      <c r="F695" t="s">
        <v>88</v>
      </c>
      <c r="G695" t="s">
        <v>186</v>
      </c>
      <c r="H695" t="s">
        <v>28</v>
      </c>
      <c r="I695" t="s">
        <v>187</v>
      </c>
      <c r="J695" s="27">
        <v>45383</v>
      </c>
      <c r="K695">
        <v>2024</v>
      </c>
      <c r="L695" s="27">
        <v>45398</v>
      </c>
      <c r="M695">
        <v>2090.0399999999981</v>
      </c>
      <c r="N695">
        <v>4</v>
      </c>
      <c r="O695" t="s">
        <v>90</v>
      </c>
      <c r="P695">
        <f t="shared" si="10"/>
        <v>0</v>
      </c>
    </row>
    <row r="696" spans="1:16" hidden="1" x14ac:dyDescent="0.25">
      <c r="A696" s="8">
        <v>691</v>
      </c>
      <c r="B696">
        <v>300</v>
      </c>
      <c r="C696" s="27">
        <v>45398</v>
      </c>
      <c r="D696" t="s">
        <v>607</v>
      </c>
      <c r="E696">
        <v>101</v>
      </c>
      <c r="F696" t="s">
        <v>116</v>
      </c>
      <c r="G696" t="s">
        <v>117</v>
      </c>
      <c r="H696" t="s">
        <v>14</v>
      </c>
      <c r="I696" t="s">
        <v>118</v>
      </c>
      <c r="J696" s="27">
        <v>45383</v>
      </c>
      <c r="K696">
        <v>2024</v>
      </c>
      <c r="L696" s="27">
        <v>45398</v>
      </c>
      <c r="M696">
        <v>2191.0399999999981</v>
      </c>
      <c r="N696">
        <v>37</v>
      </c>
      <c r="O696" t="s">
        <v>90</v>
      </c>
      <c r="P696">
        <f t="shared" si="10"/>
        <v>0</v>
      </c>
    </row>
    <row r="697" spans="1:16" hidden="1" x14ac:dyDescent="0.25">
      <c r="A697" s="8">
        <v>692</v>
      </c>
      <c r="B697">
        <v>301</v>
      </c>
      <c r="C697" s="27">
        <v>45399</v>
      </c>
      <c r="D697" t="s">
        <v>132</v>
      </c>
      <c r="E697">
        <v>53.36</v>
      </c>
      <c r="F697" t="s">
        <v>133</v>
      </c>
      <c r="G697" t="s">
        <v>134</v>
      </c>
      <c r="H697" t="s">
        <v>14</v>
      </c>
      <c r="I697" t="s">
        <v>15</v>
      </c>
      <c r="J697" s="27">
        <v>45383</v>
      </c>
      <c r="K697">
        <v>2024</v>
      </c>
      <c r="L697" s="27">
        <v>45399</v>
      </c>
      <c r="M697">
        <v>2244.3999999999978</v>
      </c>
      <c r="N697">
        <v>9</v>
      </c>
      <c r="O697" t="s">
        <v>90</v>
      </c>
      <c r="P697">
        <f t="shared" si="10"/>
        <v>0</v>
      </c>
    </row>
    <row r="698" spans="1:16" hidden="1" x14ac:dyDescent="0.25">
      <c r="A698" s="8">
        <v>693</v>
      </c>
      <c r="B698">
        <v>302</v>
      </c>
      <c r="C698" s="27">
        <v>45399</v>
      </c>
      <c r="D698" t="s">
        <v>609</v>
      </c>
      <c r="E698">
        <v>62.93</v>
      </c>
      <c r="F698" t="s">
        <v>116</v>
      </c>
      <c r="G698" t="s">
        <v>117</v>
      </c>
      <c r="H698" t="s">
        <v>14</v>
      </c>
      <c r="I698" t="s">
        <v>118</v>
      </c>
      <c r="J698" s="27">
        <v>45383</v>
      </c>
      <c r="K698">
        <v>2024</v>
      </c>
      <c r="L698" s="27">
        <v>45399</v>
      </c>
      <c r="M698">
        <v>2307.3299999999981</v>
      </c>
      <c r="N698">
        <v>38</v>
      </c>
      <c r="O698" t="s">
        <v>90</v>
      </c>
      <c r="P698">
        <f t="shared" si="10"/>
        <v>0</v>
      </c>
    </row>
    <row r="699" spans="1:16" hidden="1" x14ac:dyDescent="0.25">
      <c r="A699" s="8">
        <v>694</v>
      </c>
      <c r="B699">
        <v>303</v>
      </c>
      <c r="C699" s="27">
        <v>45400</v>
      </c>
      <c r="D699" t="s">
        <v>610</v>
      </c>
      <c r="E699">
        <v>46.6</v>
      </c>
      <c r="F699" t="s">
        <v>116</v>
      </c>
      <c r="G699" t="s">
        <v>280</v>
      </c>
      <c r="H699" t="s">
        <v>14</v>
      </c>
      <c r="I699" t="s">
        <v>118</v>
      </c>
      <c r="J699" s="27">
        <v>45383</v>
      </c>
      <c r="K699">
        <v>2024</v>
      </c>
      <c r="L699" s="27">
        <v>45400</v>
      </c>
      <c r="M699">
        <v>2353.929999999998</v>
      </c>
      <c r="N699">
        <v>2</v>
      </c>
      <c r="O699" t="s">
        <v>90</v>
      </c>
      <c r="P699">
        <f t="shared" si="10"/>
        <v>0</v>
      </c>
    </row>
    <row r="700" spans="1:16" hidden="1" x14ac:dyDescent="0.25">
      <c r="A700" s="8">
        <v>695</v>
      </c>
      <c r="B700">
        <v>304</v>
      </c>
      <c r="C700" s="27">
        <v>45400</v>
      </c>
      <c r="D700" t="s">
        <v>162</v>
      </c>
      <c r="E700">
        <v>-2026.51</v>
      </c>
      <c r="F700" t="s">
        <v>163</v>
      </c>
      <c r="G700" t="s">
        <v>164</v>
      </c>
      <c r="H700" t="s">
        <v>14</v>
      </c>
      <c r="I700" t="s">
        <v>80</v>
      </c>
      <c r="J700" s="27">
        <v>45383</v>
      </c>
      <c r="K700">
        <v>2024</v>
      </c>
      <c r="L700" s="27">
        <v>45400</v>
      </c>
      <c r="M700">
        <v>327.41999999999757</v>
      </c>
      <c r="N700">
        <v>8</v>
      </c>
      <c r="O700" t="s">
        <v>90</v>
      </c>
      <c r="P700">
        <f t="shared" si="10"/>
        <v>0</v>
      </c>
    </row>
    <row r="701" spans="1:16" hidden="1" x14ac:dyDescent="0.25">
      <c r="A701" s="8">
        <v>696</v>
      </c>
      <c r="B701">
        <v>305</v>
      </c>
      <c r="C701" s="27">
        <v>45400</v>
      </c>
      <c r="D701" t="s">
        <v>113</v>
      </c>
      <c r="E701">
        <v>18.07</v>
      </c>
      <c r="F701" t="s">
        <v>88</v>
      </c>
      <c r="G701" t="s">
        <v>114</v>
      </c>
      <c r="H701" t="s">
        <v>14</v>
      </c>
      <c r="I701" t="s">
        <v>93</v>
      </c>
      <c r="J701" s="27">
        <v>45383</v>
      </c>
      <c r="K701">
        <v>2024</v>
      </c>
      <c r="L701" s="27">
        <v>45400</v>
      </c>
      <c r="M701">
        <v>345.48999999999762</v>
      </c>
      <c r="N701">
        <v>31</v>
      </c>
      <c r="O701" t="s">
        <v>90</v>
      </c>
      <c r="P701">
        <f t="shared" si="10"/>
        <v>0</v>
      </c>
    </row>
    <row r="702" spans="1:16" hidden="1" x14ac:dyDescent="0.25">
      <c r="A702" s="8">
        <v>697</v>
      </c>
      <c r="B702">
        <v>306</v>
      </c>
      <c r="C702" s="27">
        <v>45401</v>
      </c>
      <c r="D702" t="s">
        <v>613</v>
      </c>
      <c r="E702">
        <v>38.369999999999997</v>
      </c>
      <c r="F702" t="s">
        <v>116</v>
      </c>
      <c r="G702" t="s">
        <v>117</v>
      </c>
      <c r="H702" t="s">
        <v>14</v>
      </c>
      <c r="I702" t="s">
        <v>118</v>
      </c>
      <c r="J702" s="27">
        <v>45383</v>
      </c>
      <c r="K702">
        <v>2024</v>
      </c>
      <c r="L702" s="27">
        <v>45401</v>
      </c>
      <c r="M702">
        <v>383.85999999999763</v>
      </c>
      <c r="N702">
        <v>39</v>
      </c>
      <c r="O702" t="s">
        <v>90</v>
      </c>
      <c r="P702">
        <f t="shared" si="10"/>
        <v>0</v>
      </c>
    </row>
    <row r="703" spans="1:16" hidden="1" x14ac:dyDescent="0.25">
      <c r="A703" s="8">
        <v>698</v>
      </c>
      <c r="B703">
        <v>307</v>
      </c>
      <c r="C703" s="27">
        <v>45401</v>
      </c>
      <c r="D703" t="s">
        <v>614</v>
      </c>
      <c r="E703">
        <v>6.18</v>
      </c>
      <c r="F703" t="s">
        <v>88</v>
      </c>
      <c r="G703" t="s">
        <v>244</v>
      </c>
      <c r="H703" t="s">
        <v>14</v>
      </c>
      <c r="I703" t="s">
        <v>69</v>
      </c>
      <c r="J703" s="27">
        <v>45383</v>
      </c>
      <c r="K703">
        <v>2024</v>
      </c>
      <c r="L703" s="27">
        <v>45401</v>
      </c>
      <c r="M703">
        <v>390.03999999999758</v>
      </c>
      <c r="N703">
        <v>5</v>
      </c>
      <c r="O703" t="s">
        <v>90</v>
      </c>
      <c r="P703">
        <f t="shared" si="10"/>
        <v>0</v>
      </c>
    </row>
    <row r="704" spans="1:16" hidden="1" x14ac:dyDescent="0.25">
      <c r="A704" s="8">
        <v>699</v>
      </c>
      <c r="B704">
        <v>308</v>
      </c>
      <c r="C704" s="27">
        <v>45401</v>
      </c>
      <c r="D704" t="s">
        <v>611</v>
      </c>
      <c r="E704">
        <v>19</v>
      </c>
      <c r="F704" t="s">
        <v>116</v>
      </c>
      <c r="G704" t="s">
        <v>117</v>
      </c>
      <c r="H704" t="s">
        <v>14</v>
      </c>
      <c r="I704" t="s">
        <v>118</v>
      </c>
      <c r="J704" s="27">
        <v>45383</v>
      </c>
      <c r="K704">
        <v>2024</v>
      </c>
      <c r="L704" s="27">
        <v>45401</v>
      </c>
      <c r="M704">
        <v>409.03999999999758</v>
      </c>
      <c r="N704">
        <v>40</v>
      </c>
      <c r="O704" t="s">
        <v>90</v>
      </c>
      <c r="P704">
        <f t="shared" si="10"/>
        <v>0</v>
      </c>
    </row>
    <row r="705" spans="1:16" hidden="1" x14ac:dyDescent="0.25">
      <c r="A705" s="8">
        <v>700</v>
      </c>
      <c r="B705">
        <v>309</v>
      </c>
      <c r="C705" s="27">
        <v>45401</v>
      </c>
      <c r="D705" t="s">
        <v>612</v>
      </c>
      <c r="E705">
        <v>23.67</v>
      </c>
      <c r="F705" t="s">
        <v>88</v>
      </c>
      <c r="G705" t="s">
        <v>244</v>
      </c>
      <c r="H705" t="s">
        <v>14</v>
      </c>
      <c r="I705" t="s">
        <v>69</v>
      </c>
      <c r="J705" s="27">
        <v>45383</v>
      </c>
      <c r="K705">
        <v>2024</v>
      </c>
      <c r="L705" s="27">
        <v>45401</v>
      </c>
      <c r="M705">
        <v>432.70999999999759</v>
      </c>
      <c r="N705">
        <v>6</v>
      </c>
      <c r="O705" t="s">
        <v>90</v>
      </c>
      <c r="P705">
        <f t="shared" si="10"/>
        <v>0</v>
      </c>
    </row>
    <row r="706" spans="1:16" hidden="1" x14ac:dyDescent="0.25">
      <c r="A706" s="8">
        <v>701</v>
      </c>
      <c r="B706">
        <v>310</v>
      </c>
      <c r="C706" s="27">
        <v>45402</v>
      </c>
      <c r="D706" t="s">
        <v>615</v>
      </c>
      <c r="E706">
        <v>30.43</v>
      </c>
      <c r="F706" t="s">
        <v>88</v>
      </c>
      <c r="G706" t="s">
        <v>168</v>
      </c>
      <c r="H706" t="s">
        <v>14</v>
      </c>
      <c r="I706" t="s">
        <v>69</v>
      </c>
      <c r="J706" s="27">
        <v>45383</v>
      </c>
      <c r="K706">
        <v>2024</v>
      </c>
      <c r="L706" s="27">
        <v>45402</v>
      </c>
      <c r="M706">
        <v>463.1399999999976</v>
      </c>
      <c r="N706">
        <v>10</v>
      </c>
      <c r="O706" t="s">
        <v>90</v>
      </c>
      <c r="P706">
        <f t="shared" si="10"/>
        <v>0</v>
      </c>
    </row>
    <row r="707" spans="1:16" hidden="1" x14ac:dyDescent="0.25">
      <c r="A707" s="8">
        <v>702</v>
      </c>
      <c r="B707">
        <v>311</v>
      </c>
      <c r="C707" s="27">
        <v>45403</v>
      </c>
      <c r="D707" t="s">
        <v>616</v>
      </c>
      <c r="E707">
        <v>105.99</v>
      </c>
      <c r="F707" t="s">
        <v>88</v>
      </c>
      <c r="G707" t="s">
        <v>176</v>
      </c>
      <c r="H707" t="s">
        <v>14</v>
      </c>
      <c r="I707" t="s">
        <v>93</v>
      </c>
      <c r="J707" s="27">
        <v>45383</v>
      </c>
      <c r="K707">
        <v>2024</v>
      </c>
      <c r="L707" s="27">
        <v>45403</v>
      </c>
      <c r="M707">
        <v>569.12999999999761</v>
      </c>
      <c r="N707">
        <v>6</v>
      </c>
      <c r="O707" t="s">
        <v>90</v>
      </c>
      <c r="P707">
        <f t="shared" si="10"/>
        <v>0</v>
      </c>
    </row>
    <row r="708" spans="1:16" hidden="1" x14ac:dyDescent="0.25">
      <c r="A708" s="8">
        <v>703</v>
      </c>
      <c r="B708">
        <v>312</v>
      </c>
      <c r="C708" s="27">
        <v>45403</v>
      </c>
      <c r="D708" t="s">
        <v>113</v>
      </c>
      <c r="E708">
        <v>13.81</v>
      </c>
      <c r="F708" t="s">
        <v>88</v>
      </c>
      <c r="G708" t="s">
        <v>114</v>
      </c>
      <c r="H708" t="s">
        <v>14</v>
      </c>
      <c r="I708" t="s">
        <v>93</v>
      </c>
      <c r="J708" s="27">
        <v>45383</v>
      </c>
      <c r="K708">
        <v>2024</v>
      </c>
      <c r="L708" s="27">
        <v>45403</v>
      </c>
      <c r="M708">
        <v>582.93999999999755</v>
      </c>
      <c r="N708">
        <v>32</v>
      </c>
      <c r="O708" t="s">
        <v>90</v>
      </c>
      <c r="P708">
        <f t="shared" si="10"/>
        <v>0</v>
      </c>
    </row>
    <row r="709" spans="1:16" hidden="1" x14ac:dyDescent="0.25">
      <c r="A709" s="8">
        <v>704</v>
      </c>
      <c r="B709">
        <v>313</v>
      </c>
      <c r="C709" s="27">
        <v>45404</v>
      </c>
      <c r="D709" t="s">
        <v>113</v>
      </c>
      <c r="E709">
        <v>10.62</v>
      </c>
      <c r="F709" t="s">
        <v>88</v>
      </c>
      <c r="G709" t="s">
        <v>114</v>
      </c>
      <c r="H709" t="s">
        <v>14</v>
      </c>
      <c r="I709" t="s">
        <v>93</v>
      </c>
      <c r="J709" s="27">
        <v>45383</v>
      </c>
      <c r="K709">
        <v>2024</v>
      </c>
      <c r="L709" s="27">
        <v>45404</v>
      </c>
      <c r="M709">
        <v>593.55999999999756</v>
      </c>
      <c r="N709">
        <v>33</v>
      </c>
      <c r="O709" t="s">
        <v>90</v>
      </c>
      <c r="P709">
        <f t="shared" ref="P709:P772" si="11">IF(J709&lt;&gt;J710, 1, 0)</f>
        <v>0</v>
      </c>
    </row>
    <row r="710" spans="1:16" hidden="1" x14ac:dyDescent="0.25">
      <c r="A710" s="8">
        <v>705</v>
      </c>
      <c r="B710">
        <v>314</v>
      </c>
      <c r="C710" s="27">
        <v>45405</v>
      </c>
      <c r="D710" t="s">
        <v>91</v>
      </c>
      <c r="E710">
        <v>12.99</v>
      </c>
      <c r="F710" t="s">
        <v>88</v>
      </c>
      <c r="G710" t="s">
        <v>92</v>
      </c>
      <c r="H710" t="s">
        <v>14</v>
      </c>
      <c r="I710" t="s">
        <v>93</v>
      </c>
      <c r="J710" s="27">
        <v>45383</v>
      </c>
      <c r="K710">
        <v>2024</v>
      </c>
      <c r="L710" s="27">
        <v>45405</v>
      </c>
      <c r="M710">
        <v>606.54999999999757</v>
      </c>
      <c r="N710">
        <v>12</v>
      </c>
      <c r="O710" t="s">
        <v>90</v>
      </c>
      <c r="P710">
        <f t="shared" si="11"/>
        <v>0</v>
      </c>
    </row>
    <row r="711" spans="1:16" hidden="1" x14ac:dyDescent="0.25">
      <c r="A711" s="8">
        <v>706</v>
      </c>
      <c r="B711">
        <v>315</v>
      </c>
      <c r="C711" s="27">
        <v>45405</v>
      </c>
      <c r="D711" t="s">
        <v>617</v>
      </c>
      <c r="E711">
        <v>22</v>
      </c>
      <c r="F711" t="s">
        <v>136</v>
      </c>
      <c r="G711" t="s">
        <v>239</v>
      </c>
      <c r="H711" t="s">
        <v>14</v>
      </c>
      <c r="I711" t="s">
        <v>69</v>
      </c>
      <c r="J711" s="27">
        <v>45383</v>
      </c>
      <c r="K711">
        <v>2024</v>
      </c>
      <c r="L711" s="27">
        <v>45405</v>
      </c>
      <c r="M711">
        <v>628.54999999999757</v>
      </c>
      <c r="N711">
        <v>3</v>
      </c>
      <c r="O711" t="s">
        <v>90</v>
      </c>
      <c r="P711">
        <f t="shared" si="11"/>
        <v>0</v>
      </c>
    </row>
    <row r="712" spans="1:16" hidden="1" x14ac:dyDescent="0.25">
      <c r="A712" s="8">
        <v>707</v>
      </c>
      <c r="B712">
        <v>316</v>
      </c>
      <c r="C712" s="27">
        <v>45405</v>
      </c>
      <c r="D712" t="s">
        <v>617</v>
      </c>
      <c r="E712">
        <v>22</v>
      </c>
      <c r="F712" t="s">
        <v>136</v>
      </c>
      <c r="G712" t="s">
        <v>239</v>
      </c>
      <c r="H712" t="s">
        <v>14</v>
      </c>
      <c r="I712" t="s">
        <v>69</v>
      </c>
      <c r="J712" s="27">
        <v>45383</v>
      </c>
      <c r="K712">
        <v>2024</v>
      </c>
      <c r="L712" s="27">
        <v>45405</v>
      </c>
      <c r="M712">
        <v>650.54999999999757</v>
      </c>
      <c r="N712">
        <v>4</v>
      </c>
      <c r="O712" t="s">
        <v>90</v>
      </c>
      <c r="P712">
        <f t="shared" si="11"/>
        <v>0</v>
      </c>
    </row>
    <row r="713" spans="1:16" hidden="1" x14ac:dyDescent="0.25">
      <c r="A713" s="8">
        <v>708</v>
      </c>
      <c r="B713">
        <v>317</v>
      </c>
      <c r="C713" s="27">
        <v>45407</v>
      </c>
      <c r="D713" t="s">
        <v>618</v>
      </c>
      <c r="E713">
        <v>23.69</v>
      </c>
      <c r="F713" t="s">
        <v>88</v>
      </c>
      <c r="G713" t="s">
        <v>107</v>
      </c>
      <c r="H713" t="s">
        <v>14</v>
      </c>
      <c r="I713" t="s">
        <v>69</v>
      </c>
      <c r="J713" s="27">
        <v>45383</v>
      </c>
      <c r="K713">
        <v>2024</v>
      </c>
      <c r="L713" s="27">
        <v>45407</v>
      </c>
      <c r="M713">
        <v>674.23999999999762</v>
      </c>
      <c r="N713">
        <v>29</v>
      </c>
      <c r="O713" t="s">
        <v>90</v>
      </c>
      <c r="P713">
        <f t="shared" si="11"/>
        <v>0</v>
      </c>
    </row>
    <row r="714" spans="1:16" hidden="1" x14ac:dyDescent="0.25">
      <c r="A714" s="8">
        <v>709</v>
      </c>
      <c r="B714">
        <v>318</v>
      </c>
      <c r="C714" s="27">
        <v>45408</v>
      </c>
      <c r="D714" t="s">
        <v>619</v>
      </c>
      <c r="E714">
        <v>10</v>
      </c>
      <c r="F714" t="s">
        <v>88</v>
      </c>
      <c r="G714" t="s">
        <v>114</v>
      </c>
      <c r="H714" t="s">
        <v>14</v>
      </c>
      <c r="I714" t="s">
        <v>93</v>
      </c>
      <c r="J714" s="27">
        <v>45383</v>
      </c>
      <c r="K714">
        <v>2024</v>
      </c>
      <c r="L714" s="27">
        <v>45408</v>
      </c>
      <c r="M714">
        <v>684.23999999999762</v>
      </c>
      <c r="N714">
        <v>34</v>
      </c>
      <c r="O714" t="s">
        <v>90</v>
      </c>
      <c r="P714">
        <f t="shared" si="11"/>
        <v>0</v>
      </c>
    </row>
    <row r="715" spans="1:16" hidden="1" x14ac:dyDescent="0.25">
      <c r="A715" s="8">
        <v>710</v>
      </c>
      <c r="B715">
        <v>319</v>
      </c>
      <c r="C715" s="27">
        <v>45408</v>
      </c>
      <c r="D715" t="s">
        <v>619</v>
      </c>
      <c r="E715">
        <v>4.99</v>
      </c>
      <c r="F715" t="s">
        <v>88</v>
      </c>
      <c r="G715" t="s">
        <v>114</v>
      </c>
      <c r="H715" t="s">
        <v>14</v>
      </c>
      <c r="I715" t="s">
        <v>93</v>
      </c>
      <c r="J715" s="27">
        <v>45383</v>
      </c>
      <c r="K715">
        <v>2024</v>
      </c>
      <c r="L715" s="27">
        <v>45408</v>
      </c>
      <c r="M715">
        <v>689.22999999999763</v>
      </c>
      <c r="N715">
        <v>35</v>
      </c>
      <c r="O715" t="s">
        <v>90</v>
      </c>
      <c r="P715">
        <f t="shared" si="11"/>
        <v>0</v>
      </c>
    </row>
    <row r="716" spans="1:16" hidden="1" x14ac:dyDescent="0.25">
      <c r="A716" s="8">
        <v>711</v>
      </c>
      <c r="B716">
        <v>320</v>
      </c>
      <c r="C716" s="27">
        <v>45408</v>
      </c>
      <c r="D716" t="s">
        <v>619</v>
      </c>
      <c r="E716">
        <v>4.99</v>
      </c>
      <c r="F716" t="s">
        <v>88</v>
      </c>
      <c r="G716" t="s">
        <v>114</v>
      </c>
      <c r="H716" t="s">
        <v>14</v>
      </c>
      <c r="I716" t="s">
        <v>93</v>
      </c>
      <c r="J716" s="27">
        <v>45383</v>
      </c>
      <c r="K716">
        <v>2024</v>
      </c>
      <c r="L716" s="27">
        <v>45408</v>
      </c>
      <c r="M716">
        <v>694.21999999999764</v>
      </c>
      <c r="N716">
        <v>36</v>
      </c>
      <c r="O716" t="s">
        <v>90</v>
      </c>
      <c r="P716">
        <f t="shared" si="11"/>
        <v>0</v>
      </c>
    </row>
    <row r="717" spans="1:16" hidden="1" x14ac:dyDescent="0.25">
      <c r="A717" s="8">
        <v>712</v>
      </c>
      <c r="B717">
        <v>321</v>
      </c>
      <c r="C717" s="27">
        <v>45409</v>
      </c>
      <c r="D717" t="s">
        <v>316</v>
      </c>
      <c r="E717">
        <v>29.99</v>
      </c>
      <c r="F717" t="s">
        <v>88</v>
      </c>
      <c r="G717" t="s">
        <v>214</v>
      </c>
      <c r="H717" t="s">
        <v>28</v>
      </c>
      <c r="I717" t="s">
        <v>69</v>
      </c>
      <c r="J717" s="27">
        <v>45383</v>
      </c>
      <c r="K717">
        <v>2024</v>
      </c>
      <c r="L717" s="27">
        <v>45409</v>
      </c>
      <c r="M717">
        <v>724.20999999999765</v>
      </c>
      <c r="N717">
        <v>4</v>
      </c>
      <c r="O717" t="s">
        <v>90</v>
      </c>
      <c r="P717">
        <f t="shared" si="11"/>
        <v>0</v>
      </c>
    </row>
    <row r="718" spans="1:16" hidden="1" x14ac:dyDescent="0.25">
      <c r="A718" s="8">
        <v>713</v>
      </c>
      <c r="B718">
        <v>322</v>
      </c>
      <c r="C718" s="27">
        <v>45409</v>
      </c>
      <c r="D718" t="s">
        <v>171</v>
      </c>
      <c r="E718">
        <v>25</v>
      </c>
      <c r="F718" t="s">
        <v>136</v>
      </c>
      <c r="G718" t="s">
        <v>172</v>
      </c>
      <c r="H718" t="s">
        <v>14</v>
      </c>
      <c r="I718" t="s">
        <v>15</v>
      </c>
      <c r="J718" s="27">
        <v>45383</v>
      </c>
      <c r="K718">
        <v>2024</v>
      </c>
      <c r="L718" s="27">
        <v>45409</v>
      </c>
      <c r="M718">
        <v>749.20999999999765</v>
      </c>
      <c r="N718">
        <v>5</v>
      </c>
      <c r="O718" t="s">
        <v>90</v>
      </c>
      <c r="P718">
        <f t="shared" si="11"/>
        <v>0</v>
      </c>
    </row>
    <row r="719" spans="1:16" hidden="1" x14ac:dyDescent="0.25">
      <c r="A719" s="8">
        <v>714</v>
      </c>
      <c r="B719">
        <v>323</v>
      </c>
      <c r="C719" s="27">
        <v>45409</v>
      </c>
      <c r="D719" t="s">
        <v>620</v>
      </c>
      <c r="E719">
        <v>12.99</v>
      </c>
      <c r="F719" t="s">
        <v>88</v>
      </c>
      <c r="G719" t="s">
        <v>114</v>
      </c>
      <c r="H719" t="s">
        <v>14</v>
      </c>
      <c r="I719" t="s">
        <v>93</v>
      </c>
      <c r="J719" s="27">
        <v>45383</v>
      </c>
      <c r="K719">
        <v>2024</v>
      </c>
      <c r="L719" s="27">
        <v>45409</v>
      </c>
      <c r="M719">
        <v>762.19999999999766</v>
      </c>
      <c r="N719">
        <v>37</v>
      </c>
      <c r="O719" t="s">
        <v>90</v>
      </c>
      <c r="P719">
        <f t="shared" si="11"/>
        <v>0</v>
      </c>
    </row>
    <row r="720" spans="1:16" hidden="1" x14ac:dyDescent="0.25">
      <c r="A720" s="8">
        <v>715</v>
      </c>
      <c r="B720">
        <v>324</v>
      </c>
      <c r="C720" s="27">
        <v>45411</v>
      </c>
      <c r="D720" t="s">
        <v>619</v>
      </c>
      <c r="E720">
        <v>5</v>
      </c>
      <c r="F720" t="s">
        <v>88</v>
      </c>
      <c r="G720" t="s">
        <v>114</v>
      </c>
      <c r="H720" t="s">
        <v>14</v>
      </c>
      <c r="I720" t="s">
        <v>93</v>
      </c>
      <c r="J720" s="27">
        <v>45383</v>
      </c>
      <c r="K720">
        <v>2024</v>
      </c>
      <c r="L720" s="27">
        <v>45411</v>
      </c>
      <c r="M720">
        <v>767.19999999999766</v>
      </c>
      <c r="N720">
        <v>38</v>
      </c>
      <c r="O720" t="s">
        <v>90</v>
      </c>
      <c r="P720">
        <f t="shared" si="11"/>
        <v>0</v>
      </c>
    </row>
    <row r="721" spans="1:16" hidden="1" x14ac:dyDescent="0.25">
      <c r="A721" s="8">
        <v>716</v>
      </c>
      <c r="B721">
        <v>325</v>
      </c>
      <c r="C721" s="27">
        <v>45412</v>
      </c>
      <c r="D721" t="s">
        <v>621</v>
      </c>
      <c r="E721">
        <v>141.41999999999999</v>
      </c>
      <c r="F721" t="s">
        <v>314</v>
      </c>
      <c r="G721" t="s">
        <v>168</v>
      </c>
      <c r="H721" t="s">
        <v>14</v>
      </c>
      <c r="I721" t="s">
        <v>69</v>
      </c>
      <c r="J721" s="27">
        <v>45383</v>
      </c>
      <c r="K721">
        <v>2024</v>
      </c>
      <c r="L721" s="27">
        <v>45412</v>
      </c>
      <c r="M721">
        <v>908.61999999999762</v>
      </c>
      <c r="N721">
        <v>11</v>
      </c>
      <c r="O721" t="s">
        <v>90</v>
      </c>
      <c r="P721">
        <f t="shared" si="11"/>
        <v>1</v>
      </c>
    </row>
    <row r="722" spans="1:16" hidden="1" x14ac:dyDescent="0.25">
      <c r="A722" s="8">
        <v>717</v>
      </c>
      <c r="B722">
        <v>326</v>
      </c>
      <c r="C722" s="27">
        <v>45413</v>
      </c>
      <c r="D722" t="s">
        <v>87</v>
      </c>
      <c r="E722">
        <v>20</v>
      </c>
      <c r="F722" t="s">
        <v>88</v>
      </c>
      <c r="G722" t="s">
        <v>89</v>
      </c>
      <c r="H722" t="s">
        <v>28</v>
      </c>
      <c r="I722" t="s">
        <v>69</v>
      </c>
      <c r="J722" s="27">
        <v>45413</v>
      </c>
      <c r="K722">
        <v>2024</v>
      </c>
      <c r="L722" s="27">
        <v>45413</v>
      </c>
      <c r="M722">
        <v>928.61999999999762</v>
      </c>
      <c r="N722">
        <v>5</v>
      </c>
      <c r="O722" t="s">
        <v>90</v>
      </c>
      <c r="P722">
        <f t="shared" si="11"/>
        <v>0</v>
      </c>
    </row>
    <row r="723" spans="1:16" hidden="1" x14ac:dyDescent="0.25">
      <c r="A723" s="8">
        <v>718</v>
      </c>
      <c r="B723">
        <v>327</v>
      </c>
      <c r="C723" s="27">
        <v>45413</v>
      </c>
      <c r="D723" t="s">
        <v>94</v>
      </c>
      <c r="E723">
        <v>5</v>
      </c>
      <c r="F723" t="s">
        <v>95</v>
      </c>
      <c r="G723" t="s">
        <v>96</v>
      </c>
      <c r="H723" t="s">
        <v>28</v>
      </c>
      <c r="I723" t="s">
        <v>69</v>
      </c>
      <c r="J723" s="27">
        <v>45413</v>
      </c>
      <c r="K723">
        <v>2024</v>
      </c>
      <c r="L723" s="27">
        <v>45413</v>
      </c>
      <c r="M723">
        <v>933.61999999999762</v>
      </c>
      <c r="N723">
        <v>5</v>
      </c>
      <c r="O723" t="s">
        <v>90</v>
      </c>
      <c r="P723">
        <f t="shared" si="11"/>
        <v>0</v>
      </c>
    </row>
    <row r="724" spans="1:16" hidden="1" x14ac:dyDescent="0.25">
      <c r="A724" s="8">
        <v>719</v>
      </c>
      <c r="B724">
        <v>328</v>
      </c>
      <c r="C724" s="27">
        <v>45413</v>
      </c>
      <c r="D724" t="s">
        <v>622</v>
      </c>
      <c r="E724">
        <v>5.99</v>
      </c>
      <c r="F724" t="s">
        <v>88</v>
      </c>
      <c r="G724" t="s">
        <v>98</v>
      </c>
      <c r="H724" t="s">
        <v>28</v>
      </c>
      <c r="I724" t="s">
        <v>93</v>
      </c>
      <c r="J724" s="27">
        <v>45413</v>
      </c>
      <c r="K724">
        <v>2024</v>
      </c>
      <c r="L724" s="27">
        <v>45413</v>
      </c>
      <c r="M724">
        <v>939.60999999999763</v>
      </c>
      <c r="N724">
        <v>5</v>
      </c>
      <c r="O724" t="s">
        <v>90</v>
      </c>
      <c r="P724">
        <f t="shared" si="11"/>
        <v>0</v>
      </c>
    </row>
    <row r="725" spans="1:16" hidden="1" x14ac:dyDescent="0.25">
      <c r="A725" s="8">
        <v>720</v>
      </c>
      <c r="B725">
        <v>329</v>
      </c>
      <c r="C725" s="27">
        <v>45414</v>
      </c>
      <c r="D725" t="s">
        <v>269</v>
      </c>
      <c r="E725">
        <v>10</v>
      </c>
      <c r="F725" t="s">
        <v>88</v>
      </c>
      <c r="G725" t="s">
        <v>102</v>
      </c>
      <c r="H725" t="s">
        <v>28</v>
      </c>
      <c r="I725" t="s">
        <v>93</v>
      </c>
      <c r="J725" s="27">
        <v>45413</v>
      </c>
      <c r="K725">
        <v>2024</v>
      </c>
      <c r="L725" s="27">
        <v>45414</v>
      </c>
      <c r="M725">
        <v>949.60999999999763</v>
      </c>
      <c r="N725">
        <v>5</v>
      </c>
      <c r="O725" t="s">
        <v>90</v>
      </c>
      <c r="P725">
        <f t="shared" si="11"/>
        <v>0</v>
      </c>
    </row>
    <row r="726" spans="1:16" hidden="1" x14ac:dyDescent="0.25">
      <c r="A726" s="8">
        <v>721</v>
      </c>
      <c r="B726">
        <v>330</v>
      </c>
      <c r="C726" s="27">
        <v>45414</v>
      </c>
      <c r="D726" t="s">
        <v>625</v>
      </c>
      <c r="E726">
        <v>273.60000000000002</v>
      </c>
      <c r="F726" t="s">
        <v>95</v>
      </c>
      <c r="G726" t="s">
        <v>100</v>
      </c>
      <c r="H726" t="s">
        <v>28</v>
      </c>
      <c r="I726" t="s">
        <v>69</v>
      </c>
      <c r="J726" s="27">
        <v>45413</v>
      </c>
      <c r="K726">
        <v>2024</v>
      </c>
      <c r="L726" s="27">
        <v>45414</v>
      </c>
      <c r="M726">
        <v>1223.209999999998</v>
      </c>
      <c r="N726">
        <v>7</v>
      </c>
      <c r="O726" t="s">
        <v>90</v>
      </c>
      <c r="P726">
        <f t="shared" si="11"/>
        <v>0</v>
      </c>
    </row>
    <row r="727" spans="1:16" hidden="1" x14ac:dyDescent="0.25">
      <c r="A727" s="8">
        <v>722</v>
      </c>
      <c r="B727">
        <v>331</v>
      </c>
      <c r="C727" s="27">
        <v>45414</v>
      </c>
      <c r="D727" t="s">
        <v>626</v>
      </c>
      <c r="E727">
        <v>14.48</v>
      </c>
      <c r="F727" t="s">
        <v>627</v>
      </c>
      <c r="G727" t="s">
        <v>628</v>
      </c>
      <c r="H727" t="s">
        <v>14</v>
      </c>
      <c r="I727" t="s">
        <v>19</v>
      </c>
      <c r="J727" s="27">
        <v>45413</v>
      </c>
      <c r="K727">
        <v>2024</v>
      </c>
      <c r="L727" s="27">
        <v>45414</v>
      </c>
      <c r="M727">
        <v>1237.689999999998</v>
      </c>
      <c r="N727">
        <v>1</v>
      </c>
      <c r="O727" t="s">
        <v>90</v>
      </c>
      <c r="P727">
        <f t="shared" si="11"/>
        <v>0</v>
      </c>
    </row>
    <row r="728" spans="1:16" hidden="1" x14ac:dyDescent="0.25">
      <c r="A728" s="8">
        <v>723</v>
      </c>
      <c r="B728">
        <v>332</v>
      </c>
      <c r="C728" s="27">
        <v>45414</v>
      </c>
      <c r="D728" t="s">
        <v>623</v>
      </c>
      <c r="E728">
        <v>38.29</v>
      </c>
      <c r="F728" t="s">
        <v>624</v>
      </c>
      <c r="G728" t="s">
        <v>247</v>
      </c>
      <c r="H728" t="s">
        <v>14</v>
      </c>
      <c r="I728" t="s">
        <v>44</v>
      </c>
      <c r="J728" s="27">
        <v>45413</v>
      </c>
      <c r="K728">
        <v>2024</v>
      </c>
      <c r="L728" s="27">
        <v>45414</v>
      </c>
      <c r="M728">
        <v>1275.979999999998</v>
      </c>
      <c r="N728">
        <v>4</v>
      </c>
      <c r="O728" t="s">
        <v>90</v>
      </c>
      <c r="P728">
        <f t="shared" si="11"/>
        <v>0</v>
      </c>
    </row>
    <row r="729" spans="1:16" hidden="1" x14ac:dyDescent="0.25">
      <c r="A729" s="8">
        <v>724</v>
      </c>
      <c r="B729">
        <v>333</v>
      </c>
      <c r="C729" s="27">
        <v>45415</v>
      </c>
      <c r="D729" t="s">
        <v>629</v>
      </c>
      <c r="E729">
        <v>100</v>
      </c>
      <c r="F729" t="s">
        <v>624</v>
      </c>
      <c r="G729" t="s">
        <v>199</v>
      </c>
      <c r="H729" t="s">
        <v>14</v>
      </c>
      <c r="I729" t="s">
        <v>395</v>
      </c>
      <c r="J729" s="27">
        <v>45413</v>
      </c>
      <c r="K729">
        <v>2024</v>
      </c>
      <c r="L729" s="27">
        <v>45415</v>
      </c>
      <c r="M729">
        <v>1375.979999999998</v>
      </c>
      <c r="N729">
        <v>3</v>
      </c>
      <c r="O729" t="s">
        <v>90</v>
      </c>
      <c r="P729">
        <f t="shared" si="11"/>
        <v>0</v>
      </c>
    </row>
    <row r="730" spans="1:16" hidden="1" x14ac:dyDescent="0.25">
      <c r="A730" s="8">
        <v>725</v>
      </c>
      <c r="B730">
        <v>334</v>
      </c>
      <c r="C730" s="27">
        <v>45415</v>
      </c>
      <c r="D730" t="s">
        <v>110</v>
      </c>
      <c r="E730">
        <v>-40.6</v>
      </c>
      <c r="F730" t="s">
        <v>111</v>
      </c>
      <c r="G730" t="s">
        <v>112</v>
      </c>
      <c r="H730" t="s">
        <v>14</v>
      </c>
      <c r="I730" t="s">
        <v>80</v>
      </c>
      <c r="J730" s="27">
        <v>45413</v>
      </c>
      <c r="K730">
        <v>2024</v>
      </c>
      <c r="L730" s="27">
        <v>45415</v>
      </c>
      <c r="M730">
        <v>1335.3799999999981</v>
      </c>
      <c r="N730">
        <v>5</v>
      </c>
      <c r="O730" t="s">
        <v>90</v>
      </c>
      <c r="P730">
        <f t="shared" si="11"/>
        <v>0</v>
      </c>
    </row>
    <row r="731" spans="1:16" hidden="1" x14ac:dyDescent="0.25">
      <c r="A731" s="8">
        <v>726</v>
      </c>
      <c r="B731">
        <v>335</v>
      </c>
      <c r="C731" s="27">
        <v>45416</v>
      </c>
      <c r="D731" t="s">
        <v>630</v>
      </c>
      <c r="E731">
        <v>9.27</v>
      </c>
      <c r="F731" t="s">
        <v>116</v>
      </c>
      <c r="G731" t="s">
        <v>385</v>
      </c>
      <c r="H731" t="s">
        <v>14</v>
      </c>
      <c r="I731" t="s">
        <v>395</v>
      </c>
      <c r="J731" s="27">
        <v>45413</v>
      </c>
      <c r="K731">
        <v>2024</v>
      </c>
      <c r="L731" s="27">
        <v>45416</v>
      </c>
      <c r="M731">
        <v>1344.649999999998</v>
      </c>
      <c r="N731">
        <v>11</v>
      </c>
      <c r="O731" t="s">
        <v>90</v>
      </c>
      <c r="P731">
        <f t="shared" si="11"/>
        <v>0</v>
      </c>
    </row>
    <row r="732" spans="1:16" hidden="1" x14ac:dyDescent="0.25">
      <c r="A732" s="8">
        <v>727</v>
      </c>
      <c r="B732">
        <v>336</v>
      </c>
      <c r="C732" s="27">
        <v>45417</v>
      </c>
      <c r="D732" t="s">
        <v>634</v>
      </c>
      <c r="E732">
        <v>5.4</v>
      </c>
      <c r="F732" t="s">
        <v>136</v>
      </c>
      <c r="G732" t="s">
        <v>312</v>
      </c>
      <c r="H732" t="s">
        <v>14</v>
      </c>
      <c r="I732" t="s">
        <v>15</v>
      </c>
      <c r="J732" s="27">
        <v>45413</v>
      </c>
      <c r="K732">
        <v>2024</v>
      </c>
      <c r="L732" s="27">
        <v>45417</v>
      </c>
      <c r="M732">
        <v>1350.0499999999979</v>
      </c>
      <c r="N732">
        <v>2</v>
      </c>
      <c r="O732" t="s">
        <v>90</v>
      </c>
      <c r="P732">
        <f t="shared" si="11"/>
        <v>0</v>
      </c>
    </row>
    <row r="733" spans="1:16" hidden="1" x14ac:dyDescent="0.25">
      <c r="A733" s="8">
        <v>728</v>
      </c>
      <c r="B733">
        <v>337</v>
      </c>
      <c r="C733" s="27">
        <v>45417</v>
      </c>
      <c r="D733" t="s">
        <v>635</v>
      </c>
      <c r="E733">
        <v>30</v>
      </c>
      <c r="F733" t="s">
        <v>136</v>
      </c>
      <c r="G733" t="s">
        <v>385</v>
      </c>
      <c r="H733" t="s">
        <v>14</v>
      </c>
      <c r="I733" t="s">
        <v>395</v>
      </c>
      <c r="J733" s="27">
        <v>45413</v>
      </c>
      <c r="K733">
        <v>2024</v>
      </c>
      <c r="L733" s="27">
        <v>45417</v>
      </c>
      <c r="M733">
        <v>1380.0499999999979</v>
      </c>
      <c r="N733">
        <v>12</v>
      </c>
      <c r="O733" t="s">
        <v>90</v>
      </c>
      <c r="P733">
        <f t="shared" si="11"/>
        <v>0</v>
      </c>
    </row>
    <row r="734" spans="1:16" hidden="1" x14ac:dyDescent="0.25">
      <c r="A734" s="8">
        <v>729</v>
      </c>
      <c r="B734">
        <v>338</v>
      </c>
      <c r="C734" s="27">
        <v>45417</v>
      </c>
      <c r="D734" t="s">
        <v>162</v>
      </c>
      <c r="E734">
        <v>-1229.23</v>
      </c>
      <c r="F734" t="s">
        <v>163</v>
      </c>
      <c r="G734" t="s">
        <v>164</v>
      </c>
      <c r="H734" t="s">
        <v>14</v>
      </c>
      <c r="I734" t="s">
        <v>80</v>
      </c>
      <c r="J734" s="27">
        <v>45413</v>
      </c>
      <c r="K734">
        <v>2024</v>
      </c>
      <c r="L734" s="27">
        <v>45417</v>
      </c>
      <c r="M734">
        <v>150.81999999999789</v>
      </c>
      <c r="N734">
        <v>9</v>
      </c>
      <c r="O734" t="s">
        <v>90</v>
      </c>
      <c r="P734">
        <f t="shared" si="11"/>
        <v>0</v>
      </c>
    </row>
    <row r="735" spans="1:16" hidden="1" x14ac:dyDescent="0.25">
      <c r="A735" s="8">
        <v>730</v>
      </c>
      <c r="B735">
        <v>339</v>
      </c>
      <c r="C735" s="27">
        <v>45417</v>
      </c>
      <c r="D735" t="s">
        <v>633</v>
      </c>
      <c r="E735">
        <v>7.84</v>
      </c>
      <c r="F735" t="s">
        <v>106</v>
      </c>
      <c r="G735" t="s">
        <v>385</v>
      </c>
      <c r="H735" t="s">
        <v>14</v>
      </c>
      <c r="I735" t="s">
        <v>395</v>
      </c>
      <c r="J735" s="27">
        <v>45413</v>
      </c>
      <c r="K735">
        <v>2024</v>
      </c>
      <c r="L735" s="27">
        <v>45417</v>
      </c>
      <c r="M735">
        <v>158.65999999999789</v>
      </c>
      <c r="N735">
        <v>13</v>
      </c>
      <c r="O735" t="s">
        <v>90</v>
      </c>
      <c r="P735">
        <f t="shared" si="11"/>
        <v>0</v>
      </c>
    </row>
    <row r="736" spans="1:16" hidden="1" x14ac:dyDescent="0.25">
      <c r="A736" s="8">
        <v>731</v>
      </c>
      <c r="B736">
        <v>340</v>
      </c>
      <c r="C736" s="27">
        <v>45417</v>
      </c>
      <c r="D736" t="s">
        <v>631</v>
      </c>
      <c r="E736">
        <v>7.23</v>
      </c>
      <c r="F736" t="s">
        <v>116</v>
      </c>
      <c r="G736" t="s">
        <v>385</v>
      </c>
      <c r="H736" t="s">
        <v>14</v>
      </c>
      <c r="I736" t="s">
        <v>395</v>
      </c>
      <c r="J736" s="27">
        <v>45413</v>
      </c>
      <c r="K736">
        <v>2024</v>
      </c>
      <c r="L736" s="27">
        <v>45417</v>
      </c>
      <c r="M736">
        <v>165.88999999999791</v>
      </c>
      <c r="N736">
        <v>14</v>
      </c>
      <c r="O736" t="s">
        <v>90</v>
      </c>
      <c r="P736">
        <f t="shared" si="11"/>
        <v>0</v>
      </c>
    </row>
    <row r="737" spans="1:16" hidden="1" x14ac:dyDescent="0.25">
      <c r="A737" s="8">
        <v>732</v>
      </c>
      <c r="B737">
        <v>341</v>
      </c>
      <c r="C737" s="27">
        <v>45417</v>
      </c>
      <c r="D737" t="s">
        <v>632</v>
      </c>
      <c r="E737">
        <v>10.85</v>
      </c>
      <c r="F737" t="s">
        <v>116</v>
      </c>
      <c r="G737" t="s">
        <v>385</v>
      </c>
      <c r="H737" t="s">
        <v>14</v>
      </c>
      <c r="I737" t="s">
        <v>395</v>
      </c>
      <c r="J737" s="27">
        <v>45413</v>
      </c>
      <c r="K737">
        <v>2024</v>
      </c>
      <c r="L737" s="27">
        <v>45417</v>
      </c>
      <c r="M737">
        <v>176.73999999999791</v>
      </c>
      <c r="N737">
        <v>15</v>
      </c>
      <c r="O737" t="s">
        <v>90</v>
      </c>
      <c r="P737">
        <f t="shared" si="11"/>
        <v>0</v>
      </c>
    </row>
    <row r="738" spans="1:16" hidden="1" x14ac:dyDescent="0.25">
      <c r="A738" s="8">
        <v>733</v>
      </c>
      <c r="B738">
        <v>342</v>
      </c>
      <c r="C738" s="27">
        <v>45418</v>
      </c>
      <c r="D738" t="s">
        <v>636</v>
      </c>
      <c r="E738">
        <v>11.4</v>
      </c>
      <c r="F738" t="s">
        <v>116</v>
      </c>
      <c r="G738" t="s">
        <v>385</v>
      </c>
      <c r="H738" t="s">
        <v>14</v>
      </c>
      <c r="I738" t="s">
        <v>395</v>
      </c>
      <c r="J738" s="27">
        <v>45413</v>
      </c>
      <c r="K738">
        <v>2024</v>
      </c>
      <c r="L738" s="27">
        <v>45418</v>
      </c>
      <c r="M738">
        <v>188.13999999999791</v>
      </c>
      <c r="N738">
        <v>16</v>
      </c>
      <c r="O738" t="s">
        <v>90</v>
      </c>
      <c r="P738">
        <f t="shared" si="11"/>
        <v>0</v>
      </c>
    </row>
    <row r="739" spans="1:16" hidden="1" x14ac:dyDescent="0.25">
      <c r="A739" s="8">
        <v>734</v>
      </c>
      <c r="B739">
        <v>343</v>
      </c>
      <c r="C739" s="27">
        <v>45418</v>
      </c>
      <c r="D739" t="s">
        <v>637</v>
      </c>
      <c r="E739">
        <v>109.88</v>
      </c>
      <c r="F739" t="s">
        <v>314</v>
      </c>
      <c r="G739" t="s">
        <v>385</v>
      </c>
      <c r="H739" t="s">
        <v>14</v>
      </c>
      <c r="I739" t="s">
        <v>395</v>
      </c>
      <c r="J739" s="27">
        <v>45413</v>
      </c>
      <c r="K739">
        <v>2024</v>
      </c>
      <c r="L739" s="27">
        <v>45418</v>
      </c>
      <c r="M739">
        <v>298.01999999999788</v>
      </c>
      <c r="N739">
        <v>17</v>
      </c>
      <c r="O739" t="s">
        <v>90</v>
      </c>
      <c r="P739">
        <f t="shared" si="11"/>
        <v>0</v>
      </c>
    </row>
    <row r="740" spans="1:16" hidden="1" x14ac:dyDescent="0.25">
      <c r="A740" s="8">
        <v>735</v>
      </c>
      <c r="B740">
        <v>344</v>
      </c>
      <c r="C740" s="27">
        <v>45419</v>
      </c>
      <c r="D740" t="s">
        <v>639</v>
      </c>
      <c r="E740">
        <v>39.51</v>
      </c>
      <c r="F740" t="s">
        <v>116</v>
      </c>
      <c r="G740" t="s">
        <v>385</v>
      </c>
      <c r="H740" t="s">
        <v>14</v>
      </c>
      <c r="I740" t="s">
        <v>395</v>
      </c>
      <c r="J740" s="27">
        <v>45413</v>
      </c>
      <c r="K740">
        <v>2024</v>
      </c>
      <c r="L740" s="27">
        <v>45419</v>
      </c>
      <c r="M740">
        <v>337.52999999999793</v>
      </c>
      <c r="N740">
        <v>18</v>
      </c>
      <c r="O740" t="s">
        <v>90</v>
      </c>
      <c r="P740">
        <f t="shared" si="11"/>
        <v>0</v>
      </c>
    </row>
    <row r="741" spans="1:16" hidden="1" x14ac:dyDescent="0.25">
      <c r="A741" s="8">
        <v>736</v>
      </c>
      <c r="B741">
        <v>345</v>
      </c>
      <c r="C741" s="27">
        <v>45419</v>
      </c>
      <c r="D741" t="s">
        <v>638</v>
      </c>
      <c r="E741">
        <v>14.66</v>
      </c>
      <c r="F741" t="s">
        <v>116</v>
      </c>
      <c r="G741" t="s">
        <v>385</v>
      </c>
      <c r="H741" t="s">
        <v>14</v>
      </c>
      <c r="I741" t="s">
        <v>395</v>
      </c>
      <c r="J741" s="27">
        <v>45413</v>
      </c>
      <c r="K741">
        <v>2024</v>
      </c>
      <c r="L741" s="27">
        <v>45419</v>
      </c>
      <c r="M741">
        <v>352.18999999999789</v>
      </c>
      <c r="N741">
        <v>19</v>
      </c>
      <c r="O741" t="s">
        <v>90</v>
      </c>
      <c r="P741">
        <f t="shared" si="11"/>
        <v>0</v>
      </c>
    </row>
    <row r="742" spans="1:16" hidden="1" x14ac:dyDescent="0.25">
      <c r="A742" s="8">
        <v>737</v>
      </c>
      <c r="B742">
        <v>346</v>
      </c>
      <c r="C742" s="27">
        <v>45420</v>
      </c>
      <c r="D742" t="s">
        <v>640</v>
      </c>
      <c r="E742">
        <v>53.63</v>
      </c>
      <c r="F742" t="s">
        <v>106</v>
      </c>
      <c r="G742" t="s">
        <v>385</v>
      </c>
      <c r="H742" t="s">
        <v>14</v>
      </c>
      <c r="I742" t="s">
        <v>395</v>
      </c>
      <c r="J742" s="27">
        <v>45413</v>
      </c>
      <c r="K742">
        <v>2024</v>
      </c>
      <c r="L742" s="27">
        <v>45420</v>
      </c>
      <c r="M742">
        <v>405.81999999999789</v>
      </c>
      <c r="N742">
        <v>20</v>
      </c>
      <c r="O742" t="s">
        <v>90</v>
      </c>
      <c r="P742">
        <f t="shared" si="11"/>
        <v>0</v>
      </c>
    </row>
    <row r="743" spans="1:16" hidden="1" x14ac:dyDescent="0.25">
      <c r="A743" s="8">
        <v>738</v>
      </c>
      <c r="B743">
        <v>347</v>
      </c>
      <c r="C743" s="27">
        <v>45421</v>
      </c>
      <c r="D743" t="s">
        <v>641</v>
      </c>
      <c r="E743">
        <v>60.98</v>
      </c>
      <c r="F743" t="s">
        <v>116</v>
      </c>
      <c r="G743" t="s">
        <v>385</v>
      </c>
      <c r="H743" t="s">
        <v>14</v>
      </c>
      <c r="I743" t="s">
        <v>395</v>
      </c>
      <c r="J743" s="27">
        <v>45413</v>
      </c>
      <c r="K743">
        <v>2024</v>
      </c>
      <c r="L743" s="27">
        <v>45421</v>
      </c>
      <c r="M743">
        <v>466.79999999999791</v>
      </c>
      <c r="N743">
        <v>21</v>
      </c>
      <c r="O743" t="s">
        <v>90</v>
      </c>
      <c r="P743">
        <f t="shared" si="11"/>
        <v>0</v>
      </c>
    </row>
    <row r="744" spans="1:16" hidden="1" x14ac:dyDescent="0.25">
      <c r="A744" s="8">
        <v>739</v>
      </c>
      <c r="B744">
        <v>348</v>
      </c>
      <c r="C744" s="27">
        <v>45422</v>
      </c>
      <c r="D744" t="s">
        <v>649</v>
      </c>
      <c r="E744">
        <v>4.3099999999999996</v>
      </c>
      <c r="F744" t="s">
        <v>88</v>
      </c>
      <c r="G744" t="s">
        <v>385</v>
      </c>
      <c r="H744" t="s">
        <v>14</v>
      </c>
      <c r="I744" t="s">
        <v>395</v>
      </c>
      <c r="J744" s="27">
        <v>45413</v>
      </c>
      <c r="K744">
        <v>2024</v>
      </c>
      <c r="L744" s="27">
        <v>45422</v>
      </c>
      <c r="M744">
        <v>471.10999999999791</v>
      </c>
      <c r="N744">
        <v>22</v>
      </c>
      <c r="O744" t="s">
        <v>90</v>
      </c>
      <c r="P744">
        <f t="shared" si="11"/>
        <v>0</v>
      </c>
    </row>
    <row r="745" spans="1:16" hidden="1" x14ac:dyDescent="0.25">
      <c r="A745" s="8">
        <v>740</v>
      </c>
      <c r="B745">
        <v>349</v>
      </c>
      <c r="C745" s="27">
        <v>45422</v>
      </c>
      <c r="D745" t="s">
        <v>648</v>
      </c>
      <c r="E745">
        <v>10.24</v>
      </c>
      <c r="F745" t="s">
        <v>116</v>
      </c>
      <c r="G745" t="s">
        <v>385</v>
      </c>
      <c r="H745" t="s">
        <v>14</v>
      </c>
      <c r="I745" t="s">
        <v>395</v>
      </c>
      <c r="J745" s="27">
        <v>45413</v>
      </c>
      <c r="K745">
        <v>2024</v>
      </c>
      <c r="L745" s="27">
        <v>45422</v>
      </c>
      <c r="M745">
        <v>481.34999999999792</v>
      </c>
      <c r="N745">
        <v>23</v>
      </c>
      <c r="O745" t="s">
        <v>90</v>
      </c>
      <c r="P745">
        <f t="shared" si="11"/>
        <v>0</v>
      </c>
    </row>
    <row r="746" spans="1:16" hidden="1" x14ac:dyDescent="0.25">
      <c r="A746" s="8">
        <v>741</v>
      </c>
      <c r="B746">
        <v>350</v>
      </c>
      <c r="C746" s="27">
        <v>45422</v>
      </c>
      <c r="D746" t="s">
        <v>647</v>
      </c>
      <c r="E746">
        <v>29.32</v>
      </c>
      <c r="F746" t="s">
        <v>136</v>
      </c>
      <c r="G746" t="s">
        <v>385</v>
      </c>
      <c r="H746" t="s">
        <v>14</v>
      </c>
      <c r="I746" t="s">
        <v>395</v>
      </c>
      <c r="J746" s="27">
        <v>45413</v>
      </c>
      <c r="K746">
        <v>2024</v>
      </c>
      <c r="L746" s="27">
        <v>45422</v>
      </c>
      <c r="M746">
        <v>510.66999999999791</v>
      </c>
      <c r="N746">
        <v>24</v>
      </c>
      <c r="O746" t="s">
        <v>90</v>
      </c>
      <c r="P746">
        <f t="shared" si="11"/>
        <v>0</v>
      </c>
    </row>
    <row r="747" spans="1:16" hidden="1" x14ac:dyDescent="0.25">
      <c r="A747" s="8">
        <v>742</v>
      </c>
      <c r="B747">
        <v>351</v>
      </c>
      <c r="C747" s="27">
        <v>45422</v>
      </c>
      <c r="D747" t="s">
        <v>646</v>
      </c>
      <c r="E747">
        <v>42.04</v>
      </c>
      <c r="F747" t="s">
        <v>88</v>
      </c>
      <c r="G747" t="s">
        <v>385</v>
      </c>
      <c r="H747" t="s">
        <v>14</v>
      </c>
      <c r="I747" t="s">
        <v>395</v>
      </c>
      <c r="J747" s="27">
        <v>45413</v>
      </c>
      <c r="K747">
        <v>2024</v>
      </c>
      <c r="L747" s="27">
        <v>45422</v>
      </c>
      <c r="M747">
        <v>552.70999999999788</v>
      </c>
      <c r="N747">
        <v>25</v>
      </c>
      <c r="O747" t="s">
        <v>90</v>
      </c>
      <c r="P747">
        <f t="shared" si="11"/>
        <v>0</v>
      </c>
    </row>
    <row r="748" spans="1:16" hidden="1" x14ac:dyDescent="0.25">
      <c r="A748" s="8">
        <v>743</v>
      </c>
      <c r="B748">
        <v>352</v>
      </c>
      <c r="C748" s="27">
        <v>45422</v>
      </c>
      <c r="D748" t="s">
        <v>645</v>
      </c>
      <c r="E748">
        <v>37.75</v>
      </c>
      <c r="F748" t="s">
        <v>88</v>
      </c>
      <c r="G748" t="s">
        <v>385</v>
      </c>
      <c r="H748" t="s">
        <v>14</v>
      </c>
      <c r="I748" t="s">
        <v>395</v>
      </c>
      <c r="J748" s="27">
        <v>45413</v>
      </c>
      <c r="K748">
        <v>2024</v>
      </c>
      <c r="L748" s="27">
        <v>45422</v>
      </c>
      <c r="M748">
        <v>590.45999999999788</v>
      </c>
      <c r="N748">
        <v>26</v>
      </c>
      <c r="O748" t="s">
        <v>90</v>
      </c>
      <c r="P748">
        <f t="shared" si="11"/>
        <v>0</v>
      </c>
    </row>
    <row r="749" spans="1:16" hidden="1" x14ac:dyDescent="0.25">
      <c r="A749" s="8">
        <v>744</v>
      </c>
      <c r="B749">
        <v>353</v>
      </c>
      <c r="C749" s="27">
        <v>45422</v>
      </c>
      <c r="D749" t="s">
        <v>644</v>
      </c>
      <c r="E749">
        <v>25.12</v>
      </c>
      <c r="F749" t="s">
        <v>106</v>
      </c>
      <c r="G749" t="s">
        <v>385</v>
      </c>
      <c r="H749" t="s">
        <v>14</v>
      </c>
      <c r="I749" t="s">
        <v>395</v>
      </c>
      <c r="J749" s="27">
        <v>45413</v>
      </c>
      <c r="K749">
        <v>2024</v>
      </c>
      <c r="L749" s="27">
        <v>45422</v>
      </c>
      <c r="M749">
        <v>615.57999999999788</v>
      </c>
      <c r="N749">
        <v>27</v>
      </c>
      <c r="O749" t="s">
        <v>90</v>
      </c>
      <c r="P749">
        <f t="shared" si="11"/>
        <v>0</v>
      </c>
    </row>
    <row r="750" spans="1:16" hidden="1" x14ac:dyDescent="0.25">
      <c r="A750" s="8">
        <v>745</v>
      </c>
      <c r="B750">
        <v>354</v>
      </c>
      <c r="C750" s="27">
        <v>45422</v>
      </c>
      <c r="D750" t="s">
        <v>643</v>
      </c>
      <c r="E750">
        <v>13.92</v>
      </c>
      <c r="F750" t="s">
        <v>136</v>
      </c>
      <c r="G750" t="s">
        <v>312</v>
      </c>
      <c r="H750" t="s">
        <v>14</v>
      </c>
      <c r="I750" t="s">
        <v>15</v>
      </c>
      <c r="J750" s="27">
        <v>45413</v>
      </c>
      <c r="K750">
        <v>2024</v>
      </c>
      <c r="L750" s="27">
        <v>45422</v>
      </c>
      <c r="M750">
        <v>629.49999999999784</v>
      </c>
      <c r="N750">
        <v>3</v>
      </c>
      <c r="O750" t="s">
        <v>90</v>
      </c>
      <c r="P750">
        <f t="shared" si="11"/>
        <v>0</v>
      </c>
    </row>
    <row r="751" spans="1:16" hidden="1" x14ac:dyDescent="0.25">
      <c r="A751" s="8">
        <v>746</v>
      </c>
      <c r="B751">
        <v>355</v>
      </c>
      <c r="C751" s="27">
        <v>45422</v>
      </c>
      <c r="D751" t="s">
        <v>642</v>
      </c>
      <c r="E751">
        <v>5.7</v>
      </c>
      <c r="F751" t="s">
        <v>88</v>
      </c>
      <c r="G751" t="s">
        <v>385</v>
      </c>
      <c r="H751" t="s">
        <v>14</v>
      </c>
      <c r="I751" t="s">
        <v>395</v>
      </c>
      <c r="J751" s="27">
        <v>45413</v>
      </c>
      <c r="K751">
        <v>2024</v>
      </c>
      <c r="L751" s="27">
        <v>45422</v>
      </c>
      <c r="M751">
        <v>635.19999999999789</v>
      </c>
      <c r="N751">
        <v>28</v>
      </c>
      <c r="O751" t="s">
        <v>90</v>
      </c>
      <c r="P751">
        <f t="shared" si="11"/>
        <v>0</v>
      </c>
    </row>
    <row r="752" spans="1:16" hidden="1" x14ac:dyDescent="0.25">
      <c r="A752" s="8">
        <v>747</v>
      </c>
      <c r="B752">
        <v>356</v>
      </c>
      <c r="C752" s="27">
        <v>45423</v>
      </c>
      <c r="D752" t="s">
        <v>642</v>
      </c>
      <c r="E752">
        <v>23.96</v>
      </c>
      <c r="F752" t="s">
        <v>88</v>
      </c>
      <c r="G752" t="s">
        <v>385</v>
      </c>
      <c r="H752" t="s">
        <v>14</v>
      </c>
      <c r="I752" t="s">
        <v>395</v>
      </c>
      <c r="J752" s="27">
        <v>45413</v>
      </c>
      <c r="K752">
        <v>2024</v>
      </c>
      <c r="L752" s="27">
        <v>45423</v>
      </c>
      <c r="M752">
        <v>659.15999999999792</v>
      </c>
      <c r="N752">
        <v>29</v>
      </c>
      <c r="O752" t="s">
        <v>90</v>
      </c>
      <c r="P752">
        <f t="shared" si="11"/>
        <v>0</v>
      </c>
    </row>
    <row r="753" spans="1:16" hidden="1" x14ac:dyDescent="0.25">
      <c r="A753" s="8">
        <v>748</v>
      </c>
      <c r="B753">
        <v>357</v>
      </c>
      <c r="C753" s="27">
        <v>45423</v>
      </c>
      <c r="D753" t="s">
        <v>642</v>
      </c>
      <c r="E753">
        <v>10.1</v>
      </c>
      <c r="F753" t="s">
        <v>88</v>
      </c>
      <c r="G753" t="s">
        <v>385</v>
      </c>
      <c r="H753" t="s">
        <v>14</v>
      </c>
      <c r="I753" t="s">
        <v>395</v>
      </c>
      <c r="J753" s="27">
        <v>45413</v>
      </c>
      <c r="K753">
        <v>2024</v>
      </c>
      <c r="L753" s="27">
        <v>45423</v>
      </c>
      <c r="M753">
        <v>669.25999999999794</v>
      </c>
      <c r="N753">
        <v>30</v>
      </c>
      <c r="O753" t="s">
        <v>90</v>
      </c>
      <c r="P753">
        <f t="shared" si="11"/>
        <v>0</v>
      </c>
    </row>
    <row r="754" spans="1:16" hidden="1" x14ac:dyDescent="0.25">
      <c r="A754" s="8">
        <v>749</v>
      </c>
      <c r="B754">
        <v>358</v>
      </c>
      <c r="C754" s="27">
        <v>45423</v>
      </c>
      <c r="D754" t="s">
        <v>650</v>
      </c>
      <c r="E754">
        <v>25.05</v>
      </c>
      <c r="F754" t="s">
        <v>116</v>
      </c>
      <c r="G754" t="s">
        <v>385</v>
      </c>
      <c r="H754" t="s">
        <v>14</v>
      </c>
      <c r="I754" t="s">
        <v>395</v>
      </c>
      <c r="J754" s="27">
        <v>45413</v>
      </c>
      <c r="K754">
        <v>2024</v>
      </c>
      <c r="L754" s="27">
        <v>45423</v>
      </c>
      <c r="M754">
        <v>694.3099999999979</v>
      </c>
      <c r="N754">
        <v>31</v>
      </c>
      <c r="O754" t="s">
        <v>90</v>
      </c>
      <c r="P754">
        <f t="shared" si="11"/>
        <v>0</v>
      </c>
    </row>
    <row r="755" spans="1:16" hidden="1" x14ac:dyDescent="0.25">
      <c r="A755" s="8">
        <v>750</v>
      </c>
      <c r="B755">
        <v>359</v>
      </c>
      <c r="C755" s="27">
        <v>45423</v>
      </c>
      <c r="D755" t="s">
        <v>651</v>
      </c>
      <c r="E755">
        <v>81</v>
      </c>
      <c r="F755" t="s">
        <v>624</v>
      </c>
      <c r="G755" t="s">
        <v>385</v>
      </c>
      <c r="H755" t="s">
        <v>14</v>
      </c>
      <c r="I755" t="s">
        <v>395</v>
      </c>
      <c r="J755" s="27">
        <v>45413</v>
      </c>
      <c r="K755">
        <v>2024</v>
      </c>
      <c r="L755" s="27">
        <v>45423</v>
      </c>
      <c r="M755">
        <v>775.3099999999979</v>
      </c>
      <c r="N755">
        <v>32</v>
      </c>
      <c r="O755" t="s">
        <v>90</v>
      </c>
      <c r="P755">
        <f t="shared" si="11"/>
        <v>0</v>
      </c>
    </row>
    <row r="756" spans="1:16" hidden="1" x14ac:dyDescent="0.25">
      <c r="A756" s="8">
        <v>751</v>
      </c>
      <c r="B756">
        <v>360</v>
      </c>
      <c r="C756" s="27">
        <v>45423</v>
      </c>
      <c r="D756" t="s">
        <v>651</v>
      </c>
      <c r="E756">
        <v>29</v>
      </c>
      <c r="F756" t="s">
        <v>624</v>
      </c>
      <c r="G756" t="s">
        <v>385</v>
      </c>
      <c r="H756" t="s">
        <v>14</v>
      </c>
      <c r="I756" t="s">
        <v>395</v>
      </c>
      <c r="J756" s="27">
        <v>45413</v>
      </c>
      <c r="K756">
        <v>2024</v>
      </c>
      <c r="L756" s="27">
        <v>45423</v>
      </c>
      <c r="M756">
        <v>804.3099999999979</v>
      </c>
      <c r="N756">
        <v>33</v>
      </c>
      <c r="O756" t="s">
        <v>90</v>
      </c>
      <c r="P756">
        <f t="shared" si="11"/>
        <v>0</v>
      </c>
    </row>
    <row r="757" spans="1:16" hidden="1" x14ac:dyDescent="0.25">
      <c r="A757" s="8">
        <v>752</v>
      </c>
      <c r="B757">
        <v>361</v>
      </c>
      <c r="C757" s="27">
        <v>45423</v>
      </c>
      <c r="D757" t="s">
        <v>652</v>
      </c>
      <c r="E757">
        <v>4</v>
      </c>
      <c r="F757" t="s">
        <v>136</v>
      </c>
      <c r="G757" t="s">
        <v>312</v>
      </c>
      <c r="H757" t="s">
        <v>14</v>
      </c>
      <c r="I757" t="s">
        <v>15</v>
      </c>
      <c r="J757" s="27">
        <v>45413</v>
      </c>
      <c r="K757">
        <v>2024</v>
      </c>
      <c r="L757" s="27">
        <v>45423</v>
      </c>
      <c r="M757">
        <v>808.3099999999979</v>
      </c>
      <c r="N757">
        <v>4</v>
      </c>
      <c r="O757" t="s">
        <v>90</v>
      </c>
      <c r="P757">
        <f t="shared" si="11"/>
        <v>0</v>
      </c>
    </row>
    <row r="758" spans="1:16" hidden="1" x14ac:dyDescent="0.25">
      <c r="A758" s="8">
        <v>753</v>
      </c>
      <c r="B758">
        <v>362</v>
      </c>
      <c r="C758" s="27">
        <v>45423</v>
      </c>
      <c r="D758" t="s">
        <v>643</v>
      </c>
      <c r="E758">
        <v>15.6</v>
      </c>
      <c r="F758" t="s">
        <v>136</v>
      </c>
      <c r="G758" t="s">
        <v>312</v>
      </c>
      <c r="H758" t="s">
        <v>14</v>
      </c>
      <c r="I758" t="s">
        <v>15</v>
      </c>
      <c r="J758" s="27">
        <v>45413</v>
      </c>
      <c r="K758">
        <v>2024</v>
      </c>
      <c r="L758" s="27">
        <v>45423</v>
      </c>
      <c r="M758">
        <v>823.90999999999792</v>
      </c>
      <c r="N758">
        <v>5</v>
      </c>
      <c r="O758" t="s">
        <v>90</v>
      </c>
      <c r="P758">
        <f t="shared" si="11"/>
        <v>0</v>
      </c>
    </row>
    <row r="759" spans="1:16" hidden="1" x14ac:dyDescent="0.25">
      <c r="A759" s="8">
        <v>754</v>
      </c>
      <c r="B759">
        <v>363</v>
      </c>
      <c r="C759" s="27">
        <v>45423</v>
      </c>
      <c r="D759" t="s">
        <v>653</v>
      </c>
      <c r="E759">
        <v>55.6</v>
      </c>
      <c r="F759" t="s">
        <v>116</v>
      </c>
      <c r="G759" t="s">
        <v>385</v>
      </c>
      <c r="H759" t="s">
        <v>14</v>
      </c>
      <c r="I759" t="s">
        <v>395</v>
      </c>
      <c r="J759" s="27">
        <v>45413</v>
      </c>
      <c r="K759">
        <v>2024</v>
      </c>
      <c r="L759" s="27">
        <v>45423</v>
      </c>
      <c r="M759">
        <v>879.50999999999794</v>
      </c>
      <c r="N759">
        <v>34</v>
      </c>
      <c r="O759" t="s">
        <v>90</v>
      </c>
      <c r="P759">
        <f t="shared" si="11"/>
        <v>0</v>
      </c>
    </row>
    <row r="760" spans="1:16" hidden="1" x14ac:dyDescent="0.25">
      <c r="A760" s="8">
        <v>755</v>
      </c>
      <c r="B760">
        <v>364</v>
      </c>
      <c r="C760" s="27">
        <v>45423</v>
      </c>
      <c r="D760" t="s">
        <v>654</v>
      </c>
      <c r="E760">
        <v>34.4</v>
      </c>
      <c r="F760" t="s">
        <v>88</v>
      </c>
      <c r="G760" t="s">
        <v>385</v>
      </c>
      <c r="H760" t="s">
        <v>14</v>
      </c>
      <c r="I760" t="s">
        <v>395</v>
      </c>
      <c r="J760" s="27">
        <v>45413</v>
      </c>
      <c r="K760">
        <v>2024</v>
      </c>
      <c r="L760" s="27">
        <v>45423</v>
      </c>
      <c r="M760">
        <v>913.90999999999792</v>
      </c>
      <c r="N760">
        <v>35</v>
      </c>
      <c r="O760" t="s">
        <v>90</v>
      </c>
      <c r="P760">
        <f t="shared" si="11"/>
        <v>0</v>
      </c>
    </row>
    <row r="761" spans="1:16" hidden="1" x14ac:dyDescent="0.25">
      <c r="A761" s="8">
        <v>756</v>
      </c>
      <c r="B761">
        <v>365</v>
      </c>
      <c r="C761" s="27">
        <v>45423</v>
      </c>
      <c r="D761" t="s">
        <v>655</v>
      </c>
      <c r="E761">
        <v>20.89</v>
      </c>
      <c r="F761" t="s">
        <v>116</v>
      </c>
      <c r="G761" t="s">
        <v>385</v>
      </c>
      <c r="H761" t="s">
        <v>14</v>
      </c>
      <c r="I761" t="s">
        <v>395</v>
      </c>
      <c r="J761" s="27">
        <v>45413</v>
      </c>
      <c r="K761">
        <v>2024</v>
      </c>
      <c r="L761" s="27">
        <v>45423</v>
      </c>
      <c r="M761">
        <v>934.79999999999791</v>
      </c>
      <c r="N761">
        <v>36</v>
      </c>
      <c r="O761" t="s">
        <v>90</v>
      </c>
      <c r="P761">
        <f t="shared" si="11"/>
        <v>0</v>
      </c>
    </row>
    <row r="762" spans="1:16" hidden="1" x14ac:dyDescent="0.25">
      <c r="A762" s="8">
        <v>757</v>
      </c>
      <c r="B762">
        <v>366</v>
      </c>
      <c r="C762" s="27">
        <v>45423</v>
      </c>
      <c r="D762" t="s">
        <v>656</v>
      </c>
      <c r="E762">
        <v>26.7</v>
      </c>
      <c r="F762" t="s">
        <v>88</v>
      </c>
      <c r="G762" t="s">
        <v>385</v>
      </c>
      <c r="H762" t="s">
        <v>14</v>
      </c>
      <c r="I762" t="s">
        <v>395</v>
      </c>
      <c r="J762" s="27">
        <v>45413</v>
      </c>
      <c r="K762">
        <v>2024</v>
      </c>
      <c r="L762" s="27">
        <v>45423</v>
      </c>
      <c r="M762">
        <v>961.49999999999795</v>
      </c>
      <c r="N762">
        <v>37</v>
      </c>
      <c r="O762" t="s">
        <v>90</v>
      </c>
      <c r="P762">
        <f t="shared" si="11"/>
        <v>0</v>
      </c>
    </row>
    <row r="763" spans="1:16" hidden="1" x14ac:dyDescent="0.25">
      <c r="A763" s="8">
        <v>758</v>
      </c>
      <c r="B763">
        <v>367</v>
      </c>
      <c r="C763" s="27">
        <v>45423</v>
      </c>
      <c r="D763" t="s">
        <v>657</v>
      </c>
      <c r="E763">
        <v>24</v>
      </c>
      <c r="F763" t="s">
        <v>136</v>
      </c>
      <c r="G763" t="s">
        <v>385</v>
      </c>
      <c r="H763" t="s">
        <v>14</v>
      </c>
      <c r="I763" t="s">
        <v>395</v>
      </c>
      <c r="J763" s="27">
        <v>45413</v>
      </c>
      <c r="K763">
        <v>2024</v>
      </c>
      <c r="L763" s="27">
        <v>45423</v>
      </c>
      <c r="M763">
        <v>985.49999999999795</v>
      </c>
      <c r="N763">
        <v>38</v>
      </c>
      <c r="O763" t="s">
        <v>90</v>
      </c>
      <c r="P763">
        <f t="shared" si="11"/>
        <v>0</v>
      </c>
    </row>
    <row r="764" spans="1:16" hidden="1" x14ac:dyDescent="0.25">
      <c r="A764" s="8">
        <v>759</v>
      </c>
      <c r="B764">
        <v>368</v>
      </c>
      <c r="C764" s="27">
        <v>45423</v>
      </c>
      <c r="D764" t="s">
        <v>658</v>
      </c>
      <c r="E764">
        <v>10.5</v>
      </c>
      <c r="F764" t="s">
        <v>116</v>
      </c>
      <c r="G764" t="s">
        <v>385</v>
      </c>
      <c r="H764" t="s">
        <v>14</v>
      </c>
      <c r="I764" t="s">
        <v>395</v>
      </c>
      <c r="J764" s="27">
        <v>45413</v>
      </c>
      <c r="K764">
        <v>2024</v>
      </c>
      <c r="L764" s="27">
        <v>45423</v>
      </c>
      <c r="M764">
        <v>995.99999999999795</v>
      </c>
      <c r="N764">
        <v>39</v>
      </c>
      <c r="O764" t="s">
        <v>90</v>
      </c>
      <c r="P764">
        <f t="shared" si="11"/>
        <v>0</v>
      </c>
    </row>
    <row r="765" spans="1:16" hidden="1" x14ac:dyDescent="0.25">
      <c r="A765" s="8">
        <v>760</v>
      </c>
      <c r="B765">
        <v>369</v>
      </c>
      <c r="C765" s="27">
        <v>45423</v>
      </c>
      <c r="D765" t="s">
        <v>659</v>
      </c>
      <c r="E765">
        <v>14.64</v>
      </c>
      <c r="F765" t="s">
        <v>88</v>
      </c>
      <c r="G765" t="s">
        <v>385</v>
      </c>
      <c r="H765" t="s">
        <v>14</v>
      </c>
      <c r="I765" t="s">
        <v>395</v>
      </c>
      <c r="J765" s="27">
        <v>45413</v>
      </c>
      <c r="K765">
        <v>2024</v>
      </c>
      <c r="L765" s="27">
        <v>45423</v>
      </c>
      <c r="M765">
        <v>1010.6399999999981</v>
      </c>
      <c r="N765">
        <v>40</v>
      </c>
      <c r="O765" t="s">
        <v>90</v>
      </c>
      <c r="P765">
        <f t="shared" si="11"/>
        <v>0</v>
      </c>
    </row>
    <row r="766" spans="1:16" hidden="1" x14ac:dyDescent="0.25">
      <c r="A766" s="8">
        <v>761</v>
      </c>
      <c r="B766">
        <v>370</v>
      </c>
      <c r="C766" s="27">
        <v>45423</v>
      </c>
      <c r="D766" t="s">
        <v>640</v>
      </c>
      <c r="E766">
        <v>20.75</v>
      </c>
      <c r="F766" t="s">
        <v>106</v>
      </c>
      <c r="G766" t="s">
        <v>385</v>
      </c>
      <c r="H766" t="s">
        <v>14</v>
      </c>
      <c r="I766" t="s">
        <v>395</v>
      </c>
      <c r="J766" s="27">
        <v>45413</v>
      </c>
      <c r="K766">
        <v>2024</v>
      </c>
      <c r="L766" s="27">
        <v>45423</v>
      </c>
      <c r="M766">
        <v>1031.3899999999981</v>
      </c>
      <c r="N766">
        <v>41</v>
      </c>
      <c r="O766" t="s">
        <v>90</v>
      </c>
      <c r="P766">
        <f t="shared" si="11"/>
        <v>0</v>
      </c>
    </row>
    <row r="767" spans="1:16" hidden="1" x14ac:dyDescent="0.25">
      <c r="A767" s="8">
        <v>762</v>
      </c>
      <c r="B767">
        <v>371</v>
      </c>
      <c r="C767" s="27">
        <v>45423</v>
      </c>
      <c r="D767" t="s">
        <v>644</v>
      </c>
      <c r="E767">
        <v>12.57</v>
      </c>
      <c r="F767" t="s">
        <v>106</v>
      </c>
      <c r="G767" t="s">
        <v>385</v>
      </c>
      <c r="H767" t="s">
        <v>14</v>
      </c>
      <c r="I767" t="s">
        <v>395</v>
      </c>
      <c r="J767" s="27">
        <v>45413</v>
      </c>
      <c r="K767">
        <v>2024</v>
      </c>
      <c r="L767" s="27">
        <v>45423</v>
      </c>
      <c r="M767">
        <v>1043.959999999998</v>
      </c>
      <c r="N767">
        <v>42</v>
      </c>
      <c r="O767" t="s">
        <v>90</v>
      </c>
      <c r="P767">
        <f t="shared" si="11"/>
        <v>0</v>
      </c>
    </row>
    <row r="768" spans="1:16" hidden="1" x14ac:dyDescent="0.25">
      <c r="A768" s="8">
        <v>763</v>
      </c>
      <c r="B768">
        <v>372</v>
      </c>
      <c r="C768" s="27">
        <v>45424</v>
      </c>
      <c r="D768" t="s">
        <v>662</v>
      </c>
      <c r="E768">
        <v>22.39</v>
      </c>
      <c r="F768" t="s">
        <v>88</v>
      </c>
      <c r="G768" t="s">
        <v>385</v>
      </c>
      <c r="H768" t="s">
        <v>14</v>
      </c>
      <c r="I768" t="s">
        <v>395</v>
      </c>
      <c r="J768" s="27">
        <v>45413</v>
      </c>
      <c r="K768">
        <v>2024</v>
      </c>
      <c r="L768" s="27">
        <v>45424</v>
      </c>
      <c r="M768">
        <v>1066.3499999999981</v>
      </c>
      <c r="N768">
        <v>43</v>
      </c>
      <c r="O768" t="s">
        <v>90</v>
      </c>
      <c r="P768">
        <f t="shared" si="11"/>
        <v>0</v>
      </c>
    </row>
    <row r="769" spans="1:16" hidden="1" x14ac:dyDescent="0.25">
      <c r="A769" s="8">
        <v>764</v>
      </c>
      <c r="B769">
        <v>373</v>
      </c>
      <c r="C769" s="27">
        <v>45424</v>
      </c>
      <c r="D769" t="s">
        <v>661</v>
      </c>
      <c r="E769">
        <v>21.37</v>
      </c>
      <c r="F769" t="s">
        <v>116</v>
      </c>
      <c r="G769" t="s">
        <v>385</v>
      </c>
      <c r="H769" t="s">
        <v>14</v>
      </c>
      <c r="I769" t="s">
        <v>395</v>
      </c>
      <c r="J769" s="27">
        <v>45413</v>
      </c>
      <c r="K769">
        <v>2024</v>
      </c>
      <c r="L769" s="27">
        <v>45424</v>
      </c>
      <c r="M769">
        <v>1087.719999999998</v>
      </c>
      <c r="N769">
        <v>44</v>
      </c>
      <c r="O769" t="s">
        <v>90</v>
      </c>
      <c r="P769">
        <f t="shared" si="11"/>
        <v>0</v>
      </c>
    </row>
    <row r="770" spans="1:16" hidden="1" x14ac:dyDescent="0.25">
      <c r="A770" s="8">
        <v>765</v>
      </c>
      <c r="B770">
        <v>374</v>
      </c>
      <c r="C770" s="27">
        <v>45424</v>
      </c>
      <c r="D770" t="s">
        <v>643</v>
      </c>
      <c r="E770">
        <v>2</v>
      </c>
      <c r="F770" t="s">
        <v>136</v>
      </c>
      <c r="G770" t="s">
        <v>312</v>
      </c>
      <c r="H770" t="s">
        <v>14</v>
      </c>
      <c r="I770" t="s">
        <v>15</v>
      </c>
      <c r="J770" s="27">
        <v>45413</v>
      </c>
      <c r="K770">
        <v>2024</v>
      </c>
      <c r="L770" s="27">
        <v>45424</v>
      </c>
      <c r="M770">
        <v>1089.719999999998</v>
      </c>
      <c r="N770">
        <v>6</v>
      </c>
      <c r="O770" t="s">
        <v>90</v>
      </c>
      <c r="P770">
        <f t="shared" si="11"/>
        <v>0</v>
      </c>
    </row>
    <row r="771" spans="1:16" hidden="1" x14ac:dyDescent="0.25">
      <c r="A771" s="8">
        <v>766</v>
      </c>
      <c r="B771">
        <v>375</v>
      </c>
      <c r="C771" s="27">
        <v>45424</v>
      </c>
      <c r="D771" t="s">
        <v>660</v>
      </c>
      <c r="E771">
        <v>33.92</v>
      </c>
      <c r="F771" t="s">
        <v>116</v>
      </c>
      <c r="G771" t="s">
        <v>385</v>
      </c>
      <c r="H771" t="s">
        <v>14</v>
      </c>
      <c r="I771" t="s">
        <v>395</v>
      </c>
      <c r="J771" s="27">
        <v>45413</v>
      </c>
      <c r="K771">
        <v>2024</v>
      </c>
      <c r="L771" s="27">
        <v>45424</v>
      </c>
      <c r="M771">
        <v>1123.6399999999981</v>
      </c>
      <c r="N771">
        <v>45</v>
      </c>
      <c r="O771" t="s">
        <v>90</v>
      </c>
      <c r="P771">
        <f t="shared" si="11"/>
        <v>0</v>
      </c>
    </row>
    <row r="772" spans="1:16" hidden="1" x14ac:dyDescent="0.25">
      <c r="A772" s="8">
        <v>767</v>
      </c>
      <c r="B772">
        <v>376</v>
      </c>
      <c r="C772" s="27">
        <v>45425</v>
      </c>
      <c r="D772" t="s">
        <v>643</v>
      </c>
      <c r="E772">
        <v>54.76</v>
      </c>
      <c r="F772" t="s">
        <v>136</v>
      </c>
      <c r="G772" t="s">
        <v>312</v>
      </c>
      <c r="H772" t="s">
        <v>14</v>
      </c>
      <c r="I772" t="s">
        <v>15</v>
      </c>
      <c r="J772" s="27">
        <v>45413</v>
      </c>
      <c r="K772">
        <v>2024</v>
      </c>
      <c r="L772" s="27">
        <v>45425</v>
      </c>
      <c r="M772">
        <v>1178.399999999998</v>
      </c>
      <c r="N772">
        <v>7</v>
      </c>
      <c r="O772" t="s">
        <v>90</v>
      </c>
      <c r="P772">
        <f t="shared" si="11"/>
        <v>0</v>
      </c>
    </row>
    <row r="773" spans="1:16" hidden="1" x14ac:dyDescent="0.25">
      <c r="A773" s="8">
        <v>768</v>
      </c>
      <c r="B773">
        <v>377</v>
      </c>
      <c r="C773" s="27">
        <v>45425</v>
      </c>
      <c r="D773" t="s">
        <v>619</v>
      </c>
      <c r="E773">
        <v>7.8</v>
      </c>
      <c r="F773" t="s">
        <v>88</v>
      </c>
      <c r="G773" t="s">
        <v>114</v>
      </c>
      <c r="H773" t="s">
        <v>14</v>
      </c>
      <c r="I773" t="s">
        <v>93</v>
      </c>
      <c r="J773" s="27">
        <v>45413</v>
      </c>
      <c r="K773">
        <v>2024</v>
      </c>
      <c r="L773" s="27">
        <v>45425</v>
      </c>
      <c r="M773">
        <v>1186.199999999998</v>
      </c>
      <c r="N773">
        <v>39</v>
      </c>
      <c r="O773" t="s">
        <v>90</v>
      </c>
      <c r="P773">
        <f t="shared" ref="P773:P776" si="12">IF(J773&lt;&gt;J774, 1, 0)</f>
        <v>0</v>
      </c>
    </row>
    <row r="774" spans="1:16" hidden="1" x14ac:dyDescent="0.25">
      <c r="A774" s="8">
        <v>769</v>
      </c>
      <c r="B774">
        <v>378</v>
      </c>
      <c r="C774" s="27">
        <v>45425</v>
      </c>
      <c r="D774" t="s">
        <v>663</v>
      </c>
      <c r="E774">
        <v>23.69</v>
      </c>
      <c r="F774" t="s">
        <v>88</v>
      </c>
      <c r="G774" t="s">
        <v>107</v>
      </c>
      <c r="H774" t="s">
        <v>14</v>
      </c>
      <c r="I774" t="s">
        <v>69</v>
      </c>
      <c r="J774" s="27">
        <v>45413</v>
      </c>
      <c r="K774">
        <v>2024</v>
      </c>
      <c r="L774" s="27">
        <v>45425</v>
      </c>
      <c r="M774">
        <v>1209.8899999999981</v>
      </c>
      <c r="N774">
        <v>30</v>
      </c>
      <c r="O774" t="s">
        <v>90</v>
      </c>
      <c r="P774">
        <f t="shared" si="12"/>
        <v>0</v>
      </c>
    </row>
    <row r="775" spans="1:16" hidden="1" x14ac:dyDescent="0.25">
      <c r="A775" s="8">
        <v>770</v>
      </c>
      <c r="B775">
        <v>379</v>
      </c>
      <c r="C775" s="27">
        <v>45425</v>
      </c>
      <c r="D775" t="s">
        <v>620</v>
      </c>
      <c r="E775">
        <v>7</v>
      </c>
      <c r="F775" t="s">
        <v>88</v>
      </c>
      <c r="G775" t="s">
        <v>114</v>
      </c>
      <c r="H775" t="s">
        <v>14</v>
      </c>
      <c r="I775" t="s">
        <v>93</v>
      </c>
      <c r="J775" s="27">
        <v>45413</v>
      </c>
      <c r="K775">
        <v>2024</v>
      </c>
      <c r="L775" s="27">
        <v>45425</v>
      </c>
      <c r="M775">
        <v>1216.8899999999981</v>
      </c>
      <c r="N775">
        <v>40</v>
      </c>
      <c r="O775" t="s">
        <v>90</v>
      </c>
      <c r="P775">
        <f t="shared" si="12"/>
        <v>0</v>
      </c>
    </row>
    <row r="776" spans="1:16" hidden="1" x14ac:dyDescent="0.25">
      <c r="A776" s="8">
        <v>771</v>
      </c>
      <c r="B776">
        <v>380</v>
      </c>
      <c r="C776" s="27">
        <v>45426</v>
      </c>
      <c r="D776" t="s">
        <v>619</v>
      </c>
      <c r="E776">
        <v>20</v>
      </c>
      <c r="F776" t="s">
        <v>88</v>
      </c>
      <c r="G776" t="s">
        <v>114</v>
      </c>
      <c r="H776" t="s">
        <v>14</v>
      </c>
      <c r="I776" t="s">
        <v>93</v>
      </c>
      <c r="J776" s="27">
        <v>45413</v>
      </c>
      <c r="K776">
        <v>2024</v>
      </c>
      <c r="L776" s="27">
        <v>45426</v>
      </c>
      <c r="M776">
        <v>1236.8899999999981</v>
      </c>
      <c r="N776">
        <v>41</v>
      </c>
      <c r="O776" t="s">
        <v>90</v>
      </c>
      <c r="P776">
        <f t="shared" si="12"/>
        <v>0</v>
      </c>
    </row>
    <row r="777" spans="1:16" hidden="1" x14ac:dyDescent="0.25">
      <c r="A777" s="8">
        <v>772</v>
      </c>
      <c r="B777">
        <v>381</v>
      </c>
      <c r="C777" s="27">
        <v>45426</v>
      </c>
      <c r="D777" t="s">
        <v>185</v>
      </c>
      <c r="E777">
        <v>90.54</v>
      </c>
      <c r="F777" t="s">
        <v>88</v>
      </c>
      <c r="G777" t="s">
        <v>186</v>
      </c>
      <c r="H777" t="s">
        <v>28</v>
      </c>
      <c r="I777" t="s">
        <v>187</v>
      </c>
      <c r="J777" s="27">
        <v>45413</v>
      </c>
      <c r="K777">
        <v>2024</v>
      </c>
      <c r="L777" s="27">
        <v>45426</v>
      </c>
      <c r="M777">
        <v>1327.429999999998</v>
      </c>
      <c r="N777">
        <v>5</v>
      </c>
      <c r="O777" t="s">
        <v>90</v>
      </c>
      <c r="P777">
        <f t="shared" ref="P777:P840" si="13">IF(J777&lt;&gt;J778, 1, 0)</f>
        <v>0</v>
      </c>
    </row>
    <row r="778" spans="1:16" hidden="1" x14ac:dyDescent="0.25">
      <c r="A778" s="8">
        <v>773</v>
      </c>
      <c r="B778">
        <v>382</v>
      </c>
      <c r="C778" s="27">
        <v>45429</v>
      </c>
      <c r="D778" t="s">
        <v>643</v>
      </c>
      <c r="E778">
        <v>10.95</v>
      </c>
      <c r="F778" t="s">
        <v>136</v>
      </c>
      <c r="G778" t="s">
        <v>312</v>
      </c>
      <c r="H778" t="s">
        <v>14</v>
      </c>
      <c r="I778" t="s">
        <v>15</v>
      </c>
      <c r="J778" s="27">
        <v>45413</v>
      </c>
      <c r="K778">
        <v>2024</v>
      </c>
      <c r="L778" s="27">
        <v>45429</v>
      </c>
      <c r="M778">
        <v>1338.3799999999981</v>
      </c>
      <c r="N778">
        <v>8</v>
      </c>
      <c r="O778" t="s">
        <v>90</v>
      </c>
      <c r="P778">
        <f t="shared" si="13"/>
        <v>0</v>
      </c>
    </row>
    <row r="779" spans="1:16" hidden="1" x14ac:dyDescent="0.25">
      <c r="A779" s="8">
        <v>774</v>
      </c>
      <c r="B779">
        <v>383</v>
      </c>
      <c r="C779" s="27">
        <v>45430</v>
      </c>
      <c r="D779" t="s">
        <v>162</v>
      </c>
      <c r="E779">
        <v>-1365.39</v>
      </c>
      <c r="F779" t="s">
        <v>163</v>
      </c>
      <c r="G779" t="s">
        <v>164</v>
      </c>
      <c r="H779" t="s">
        <v>14</v>
      </c>
      <c r="I779" t="s">
        <v>80</v>
      </c>
      <c r="J779" s="27">
        <v>45413</v>
      </c>
      <c r="K779">
        <v>2024</v>
      </c>
      <c r="L779" s="27">
        <v>45430</v>
      </c>
      <c r="M779">
        <v>-27.010000000002041</v>
      </c>
      <c r="N779">
        <v>10</v>
      </c>
      <c r="O779" t="s">
        <v>90</v>
      </c>
      <c r="P779">
        <f t="shared" si="13"/>
        <v>0</v>
      </c>
    </row>
    <row r="780" spans="1:16" hidden="1" x14ac:dyDescent="0.25">
      <c r="A780" s="8">
        <v>775</v>
      </c>
      <c r="B780">
        <v>384</v>
      </c>
      <c r="C780" s="27">
        <v>45430</v>
      </c>
      <c r="D780" t="s">
        <v>620</v>
      </c>
      <c r="E780">
        <v>7.99</v>
      </c>
      <c r="F780" t="s">
        <v>88</v>
      </c>
      <c r="G780" t="s">
        <v>114</v>
      </c>
      <c r="H780" t="s">
        <v>14</v>
      </c>
      <c r="I780" t="s">
        <v>93</v>
      </c>
      <c r="J780" s="27">
        <v>45413</v>
      </c>
      <c r="K780">
        <v>2024</v>
      </c>
      <c r="L780" s="27">
        <v>45430</v>
      </c>
      <c r="M780">
        <v>-19.020000000002039</v>
      </c>
      <c r="N780">
        <v>42</v>
      </c>
      <c r="O780" t="s">
        <v>90</v>
      </c>
      <c r="P780">
        <f t="shared" si="13"/>
        <v>0</v>
      </c>
    </row>
    <row r="781" spans="1:16" hidden="1" x14ac:dyDescent="0.25">
      <c r="A781" s="8">
        <v>776</v>
      </c>
      <c r="B781">
        <v>385</v>
      </c>
      <c r="C781" s="27">
        <v>45430</v>
      </c>
      <c r="D781" t="s">
        <v>619</v>
      </c>
      <c r="E781">
        <v>9.99</v>
      </c>
      <c r="F781" t="s">
        <v>88</v>
      </c>
      <c r="G781" t="s">
        <v>114</v>
      </c>
      <c r="H781" t="s">
        <v>14</v>
      </c>
      <c r="I781" t="s">
        <v>93</v>
      </c>
      <c r="J781" s="27">
        <v>45413</v>
      </c>
      <c r="K781">
        <v>2024</v>
      </c>
      <c r="L781" s="27">
        <v>45430</v>
      </c>
      <c r="M781">
        <v>-9.0300000000020351</v>
      </c>
      <c r="N781">
        <v>43</v>
      </c>
      <c r="O781" t="s">
        <v>90</v>
      </c>
      <c r="P781">
        <f t="shared" si="13"/>
        <v>0</v>
      </c>
    </row>
    <row r="782" spans="1:16" hidden="1" x14ac:dyDescent="0.25">
      <c r="A782" s="8">
        <v>777</v>
      </c>
      <c r="B782">
        <v>386</v>
      </c>
      <c r="C782" s="27">
        <v>45433</v>
      </c>
      <c r="D782" t="s">
        <v>620</v>
      </c>
      <c r="E782">
        <v>15.99</v>
      </c>
      <c r="F782" t="s">
        <v>88</v>
      </c>
      <c r="G782" t="s">
        <v>114</v>
      </c>
      <c r="H782" t="s">
        <v>14</v>
      </c>
      <c r="I782" t="s">
        <v>93</v>
      </c>
      <c r="J782" s="27">
        <v>45413</v>
      </c>
      <c r="K782">
        <v>2024</v>
      </c>
      <c r="L782" s="27">
        <v>45433</v>
      </c>
      <c r="M782">
        <v>6.9599999999979651</v>
      </c>
      <c r="N782">
        <v>44</v>
      </c>
      <c r="O782" t="s">
        <v>90</v>
      </c>
      <c r="P782">
        <f t="shared" si="13"/>
        <v>0</v>
      </c>
    </row>
    <row r="783" spans="1:16" hidden="1" x14ac:dyDescent="0.25">
      <c r="A783" s="8">
        <v>778</v>
      </c>
      <c r="B783">
        <v>387</v>
      </c>
      <c r="C783" s="27">
        <v>45433</v>
      </c>
      <c r="D783" t="s">
        <v>664</v>
      </c>
      <c r="E783">
        <v>3.28</v>
      </c>
      <c r="F783" t="s">
        <v>136</v>
      </c>
      <c r="G783" t="s">
        <v>312</v>
      </c>
      <c r="H783" t="s">
        <v>14</v>
      </c>
      <c r="I783" t="s">
        <v>15</v>
      </c>
      <c r="J783" s="27">
        <v>45413</v>
      </c>
      <c r="K783">
        <v>2024</v>
      </c>
      <c r="L783" s="27">
        <v>45433</v>
      </c>
      <c r="M783">
        <v>10.239999999997959</v>
      </c>
      <c r="N783">
        <v>9</v>
      </c>
      <c r="O783" t="s">
        <v>90</v>
      </c>
      <c r="P783">
        <f t="shared" si="13"/>
        <v>0</v>
      </c>
    </row>
    <row r="784" spans="1:16" hidden="1" x14ac:dyDescent="0.25">
      <c r="A784" s="8">
        <v>779</v>
      </c>
      <c r="B784">
        <v>388</v>
      </c>
      <c r="C784" s="27">
        <v>45433</v>
      </c>
      <c r="D784" t="s">
        <v>665</v>
      </c>
      <c r="E784">
        <v>9.42</v>
      </c>
      <c r="F784" t="s">
        <v>136</v>
      </c>
      <c r="G784" t="s">
        <v>312</v>
      </c>
      <c r="H784" t="s">
        <v>14</v>
      </c>
      <c r="I784" t="s">
        <v>15</v>
      </c>
      <c r="J784" s="27">
        <v>45413</v>
      </c>
      <c r="K784">
        <v>2024</v>
      </c>
      <c r="L784" s="27">
        <v>45433</v>
      </c>
      <c r="M784">
        <v>19.659999999997961</v>
      </c>
      <c r="N784">
        <v>10</v>
      </c>
      <c r="O784" t="s">
        <v>90</v>
      </c>
      <c r="P784">
        <f t="shared" si="13"/>
        <v>0</v>
      </c>
    </row>
    <row r="785" spans="1:16" hidden="1" x14ac:dyDescent="0.25">
      <c r="A785" s="8">
        <v>780</v>
      </c>
      <c r="B785">
        <v>389</v>
      </c>
      <c r="C785" s="27">
        <v>45433</v>
      </c>
      <c r="D785" t="s">
        <v>666</v>
      </c>
      <c r="E785">
        <v>10.49</v>
      </c>
      <c r="F785" t="s">
        <v>136</v>
      </c>
      <c r="G785" t="s">
        <v>312</v>
      </c>
      <c r="H785" t="s">
        <v>14</v>
      </c>
      <c r="I785" t="s">
        <v>15</v>
      </c>
      <c r="J785" s="27">
        <v>45413</v>
      </c>
      <c r="K785">
        <v>2024</v>
      </c>
      <c r="L785" s="27">
        <v>45433</v>
      </c>
      <c r="M785">
        <v>30.14999999999797</v>
      </c>
      <c r="N785">
        <v>11</v>
      </c>
      <c r="O785" t="s">
        <v>90</v>
      </c>
      <c r="P785">
        <f t="shared" si="13"/>
        <v>0</v>
      </c>
    </row>
    <row r="786" spans="1:16" hidden="1" x14ac:dyDescent="0.25">
      <c r="A786" s="8">
        <v>781</v>
      </c>
      <c r="B786">
        <v>390</v>
      </c>
      <c r="C786" s="27">
        <v>45434</v>
      </c>
      <c r="D786" t="s">
        <v>667</v>
      </c>
      <c r="E786">
        <v>1.96</v>
      </c>
      <c r="F786" t="s">
        <v>136</v>
      </c>
      <c r="G786" t="s">
        <v>312</v>
      </c>
      <c r="H786" t="s">
        <v>14</v>
      </c>
      <c r="I786" t="s">
        <v>15</v>
      </c>
      <c r="J786" s="27">
        <v>45413</v>
      </c>
      <c r="K786">
        <v>2024</v>
      </c>
      <c r="L786" s="27">
        <v>45434</v>
      </c>
      <c r="M786">
        <v>32.109999999997967</v>
      </c>
      <c r="N786">
        <v>12</v>
      </c>
      <c r="O786" t="s">
        <v>90</v>
      </c>
      <c r="P786">
        <f t="shared" si="13"/>
        <v>0</v>
      </c>
    </row>
    <row r="787" spans="1:16" hidden="1" x14ac:dyDescent="0.25">
      <c r="A787" s="8">
        <v>782</v>
      </c>
      <c r="B787">
        <v>391</v>
      </c>
      <c r="C787" s="27">
        <v>45436</v>
      </c>
      <c r="D787" t="s">
        <v>619</v>
      </c>
      <c r="E787">
        <v>6.75</v>
      </c>
      <c r="F787" t="s">
        <v>88</v>
      </c>
      <c r="G787" t="s">
        <v>114</v>
      </c>
      <c r="H787" t="s">
        <v>14</v>
      </c>
      <c r="I787" t="s">
        <v>93</v>
      </c>
      <c r="J787" s="27">
        <v>45413</v>
      </c>
      <c r="K787">
        <v>2024</v>
      </c>
      <c r="L787" s="27">
        <v>45436</v>
      </c>
      <c r="M787">
        <v>38.859999999997967</v>
      </c>
      <c r="N787">
        <v>45</v>
      </c>
      <c r="O787" t="s">
        <v>90</v>
      </c>
      <c r="P787">
        <f t="shared" si="13"/>
        <v>0</v>
      </c>
    </row>
    <row r="788" spans="1:16" hidden="1" x14ac:dyDescent="0.25">
      <c r="A788" s="8">
        <v>783</v>
      </c>
      <c r="B788">
        <v>392</v>
      </c>
      <c r="C788" s="27">
        <v>45437</v>
      </c>
      <c r="D788" t="s">
        <v>619</v>
      </c>
      <c r="E788">
        <v>11.99</v>
      </c>
      <c r="F788" t="s">
        <v>88</v>
      </c>
      <c r="G788" t="s">
        <v>114</v>
      </c>
      <c r="H788" t="s">
        <v>14</v>
      </c>
      <c r="I788" t="s">
        <v>93</v>
      </c>
      <c r="J788" s="27">
        <v>45413</v>
      </c>
      <c r="K788">
        <v>2024</v>
      </c>
      <c r="L788" s="27">
        <v>45437</v>
      </c>
      <c r="M788">
        <v>50.849999999997969</v>
      </c>
      <c r="N788">
        <v>46</v>
      </c>
      <c r="O788" t="s">
        <v>90</v>
      </c>
      <c r="P788">
        <f t="shared" si="13"/>
        <v>0</v>
      </c>
    </row>
    <row r="789" spans="1:16" hidden="1" x14ac:dyDescent="0.25">
      <c r="A789" s="8">
        <v>784</v>
      </c>
      <c r="B789">
        <v>393</v>
      </c>
      <c r="C789" s="27">
        <v>45437</v>
      </c>
      <c r="D789" t="s">
        <v>668</v>
      </c>
      <c r="E789">
        <v>23.69</v>
      </c>
      <c r="F789" t="s">
        <v>88</v>
      </c>
      <c r="G789" t="s">
        <v>107</v>
      </c>
      <c r="H789" t="s">
        <v>14</v>
      </c>
      <c r="I789" t="s">
        <v>69</v>
      </c>
      <c r="J789" s="27">
        <v>45413</v>
      </c>
      <c r="K789">
        <v>2024</v>
      </c>
      <c r="L789" s="27">
        <v>45437</v>
      </c>
      <c r="M789">
        <v>74.539999999997974</v>
      </c>
      <c r="N789">
        <v>31</v>
      </c>
      <c r="O789" t="s">
        <v>90</v>
      </c>
      <c r="P789">
        <f t="shared" si="13"/>
        <v>0</v>
      </c>
    </row>
    <row r="790" spans="1:16" hidden="1" x14ac:dyDescent="0.25">
      <c r="A790" s="8">
        <v>785</v>
      </c>
      <c r="B790">
        <v>394</v>
      </c>
      <c r="C790" s="27">
        <v>45437</v>
      </c>
      <c r="D790" t="s">
        <v>620</v>
      </c>
      <c r="E790">
        <v>15</v>
      </c>
      <c r="F790" t="s">
        <v>88</v>
      </c>
      <c r="G790" t="s">
        <v>114</v>
      </c>
      <c r="H790" t="s">
        <v>14</v>
      </c>
      <c r="I790" t="s">
        <v>93</v>
      </c>
      <c r="J790" s="27">
        <v>45413</v>
      </c>
      <c r="K790">
        <v>2024</v>
      </c>
      <c r="L790" s="27">
        <v>45437</v>
      </c>
      <c r="M790">
        <v>89.539999999997974</v>
      </c>
      <c r="N790">
        <v>47</v>
      </c>
      <c r="O790" t="s">
        <v>90</v>
      </c>
      <c r="P790">
        <f t="shared" si="13"/>
        <v>0</v>
      </c>
    </row>
    <row r="791" spans="1:16" hidden="1" x14ac:dyDescent="0.25">
      <c r="A791" s="8">
        <v>786</v>
      </c>
      <c r="B791">
        <v>395</v>
      </c>
      <c r="C791" s="27">
        <v>45438</v>
      </c>
      <c r="D791" t="s">
        <v>260</v>
      </c>
      <c r="E791">
        <v>30</v>
      </c>
      <c r="F791" t="s">
        <v>88</v>
      </c>
      <c r="G791" t="s">
        <v>261</v>
      </c>
      <c r="H791" t="s">
        <v>14</v>
      </c>
      <c r="I791" t="s">
        <v>69</v>
      </c>
      <c r="J791" s="27">
        <v>45413</v>
      </c>
      <c r="K791">
        <v>2024</v>
      </c>
      <c r="L791" s="27">
        <v>45438</v>
      </c>
      <c r="M791">
        <v>119.539999999998</v>
      </c>
      <c r="N791">
        <v>2</v>
      </c>
      <c r="O791" t="s">
        <v>90</v>
      </c>
      <c r="P791">
        <f t="shared" si="13"/>
        <v>0</v>
      </c>
    </row>
    <row r="792" spans="1:16" hidden="1" x14ac:dyDescent="0.25">
      <c r="A792" s="8">
        <v>787</v>
      </c>
      <c r="B792">
        <v>396</v>
      </c>
      <c r="C792" s="27">
        <v>45439</v>
      </c>
      <c r="D792" t="s">
        <v>316</v>
      </c>
      <c r="E792">
        <v>29.99</v>
      </c>
      <c r="F792" t="s">
        <v>88</v>
      </c>
      <c r="G792" t="s">
        <v>214</v>
      </c>
      <c r="H792" t="s">
        <v>28</v>
      </c>
      <c r="I792" t="s">
        <v>69</v>
      </c>
      <c r="J792" s="27">
        <v>45413</v>
      </c>
      <c r="K792">
        <v>2024</v>
      </c>
      <c r="L792" s="27">
        <v>45439</v>
      </c>
      <c r="M792">
        <v>149.52999999999801</v>
      </c>
      <c r="N792">
        <v>5</v>
      </c>
      <c r="O792" t="s">
        <v>90</v>
      </c>
      <c r="P792">
        <f t="shared" si="13"/>
        <v>0</v>
      </c>
    </row>
    <row r="793" spans="1:16" hidden="1" x14ac:dyDescent="0.25">
      <c r="A793" s="8">
        <v>788</v>
      </c>
      <c r="B793">
        <v>397</v>
      </c>
      <c r="C793" s="27">
        <v>45439</v>
      </c>
      <c r="D793" t="s">
        <v>669</v>
      </c>
      <c r="E793">
        <v>24.37</v>
      </c>
      <c r="F793" t="s">
        <v>95</v>
      </c>
      <c r="G793" t="s">
        <v>670</v>
      </c>
      <c r="H793" t="s">
        <v>28</v>
      </c>
      <c r="I793" t="s">
        <v>93</v>
      </c>
      <c r="J793" s="27">
        <v>45413</v>
      </c>
      <c r="K793">
        <v>2024</v>
      </c>
      <c r="L793" s="27">
        <v>45439</v>
      </c>
      <c r="M793">
        <v>173.89999999999799</v>
      </c>
      <c r="N793">
        <v>1</v>
      </c>
      <c r="O793" t="s">
        <v>90</v>
      </c>
      <c r="P793">
        <f t="shared" si="13"/>
        <v>0</v>
      </c>
    </row>
    <row r="794" spans="1:16" hidden="1" x14ac:dyDescent="0.25">
      <c r="A794" s="8">
        <v>789</v>
      </c>
      <c r="B794">
        <v>398</v>
      </c>
      <c r="C794" s="27">
        <v>45441</v>
      </c>
      <c r="D794" t="s">
        <v>671</v>
      </c>
      <c r="E794">
        <v>38.56</v>
      </c>
      <c r="F794" t="s">
        <v>95</v>
      </c>
      <c r="G794" t="s">
        <v>239</v>
      </c>
      <c r="H794" t="s">
        <v>14</v>
      </c>
      <c r="I794" t="s">
        <v>69</v>
      </c>
      <c r="J794" s="27">
        <v>45413</v>
      </c>
      <c r="K794">
        <v>2024</v>
      </c>
      <c r="L794" s="27">
        <v>45441</v>
      </c>
      <c r="M794">
        <v>212.45999999999799</v>
      </c>
      <c r="N794">
        <v>5</v>
      </c>
      <c r="O794" t="s">
        <v>90</v>
      </c>
      <c r="P794">
        <f t="shared" si="13"/>
        <v>0</v>
      </c>
    </row>
    <row r="795" spans="1:16" hidden="1" x14ac:dyDescent="0.25">
      <c r="A795" s="8">
        <v>790</v>
      </c>
      <c r="B795">
        <v>399</v>
      </c>
      <c r="C795" s="27">
        <v>45443</v>
      </c>
      <c r="D795" t="s">
        <v>672</v>
      </c>
      <c r="E795">
        <v>9.43</v>
      </c>
      <c r="F795" t="s">
        <v>136</v>
      </c>
      <c r="G795" t="s">
        <v>312</v>
      </c>
      <c r="H795" t="s">
        <v>14</v>
      </c>
      <c r="I795" t="s">
        <v>15</v>
      </c>
      <c r="J795" s="27">
        <v>45413</v>
      </c>
      <c r="K795">
        <v>2024</v>
      </c>
      <c r="L795" s="27">
        <v>45443</v>
      </c>
      <c r="M795">
        <v>221.889999999998</v>
      </c>
      <c r="N795">
        <v>13</v>
      </c>
      <c r="O795" t="s">
        <v>90</v>
      </c>
      <c r="P795">
        <f t="shared" si="13"/>
        <v>1</v>
      </c>
    </row>
    <row r="796" spans="1:16" hidden="1" x14ac:dyDescent="0.25">
      <c r="A796" s="8">
        <v>791</v>
      </c>
      <c r="B796">
        <v>400</v>
      </c>
      <c r="C796" s="27">
        <v>45444</v>
      </c>
      <c r="D796" t="s">
        <v>94</v>
      </c>
      <c r="E796">
        <v>5</v>
      </c>
      <c r="F796" t="s">
        <v>95</v>
      </c>
      <c r="G796" t="s">
        <v>96</v>
      </c>
      <c r="H796" t="s">
        <v>28</v>
      </c>
      <c r="I796" t="s">
        <v>69</v>
      </c>
      <c r="J796" s="27">
        <v>45444</v>
      </c>
      <c r="K796">
        <v>2024</v>
      </c>
      <c r="L796" s="27">
        <v>45444</v>
      </c>
      <c r="M796">
        <v>226.889999999998</v>
      </c>
      <c r="N796">
        <v>6</v>
      </c>
      <c r="O796" t="s">
        <v>90</v>
      </c>
      <c r="P796">
        <f t="shared" si="13"/>
        <v>0</v>
      </c>
    </row>
    <row r="797" spans="1:16" hidden="1" x14ac:dyDescent="0.25">
      <c r="A797" s="8">
        <v>792</v>
      </c>
      <c r="B797">
        <v>401</v>
      </c>
      <c r="C797" s="27">
        <v>45444</v>
      </c>
      <c r="D797" t="s">
        <v>674</v>
      </c>
      <c r="E797">
        <v>20</v>
      </c>
      <c r="F797" t="s">
        <v>88</v>
      </c>
      <c r="G797" t="s">
        <v>89</v>
      </c>
      <c r="H797" t="s">
        <v>28</v>
      </c>
      <c r="I797" t="s">
        <v>69</v>
      </c>
      <c r="J797" s="27">
        <v>45444</v>
      </c>
      <c r="K797">
        <v>2024</v>
      </c>
      <c r="L797" s="27">
        <v>45444</v>
      </c>
      <c r="M797">
        <v>246.889999999998</v>
      </c>
      <c r="N797">
        <v>6</v>
      </c>
      <c r="O797" t="s">
        <v>90</v>
      </c>
      <c r="P797">
        <f t="shared" si="13"/>
        <v>0</v>
      </c>
    </row>
    <row r="798" spans="1:16" hidden="1" x14ac:dyDescent="0.25">
      <c r="A798" s="8">
        <v>793</v>
      </c>
      <c r="B798">
        <v>402</v>
      </c>
      <c r="C798" s="27">
        <v>45444</v>
      </c>
      <c r="D798" t="s">
        <v>673</v>
      </c>
      <c r="E798">
        <v>5.99</v>
      </c>
      <c r="F798" t="s">
        <v>88</v>
      </c>
      <c r="G798" t="s">
        <v>98</v>
      </c>
      <c r="H798" t="s">
        <v>28</v>
      </c>
      <c r="I798" t="s">
        <v>93</v>
      </c>
      <c r="J798" s="27">
        <v>45444</v>
      </c>
      <c r="K798">
        <v>2024</v>
      </c>
      <c r="L798" s="27">
        <v>45444</v>
      </c>
      <c r="M798">
        <v>252.87999999999801</v>
      </c>
      <c r="N798">
        <v>6</v>
      </c>
      <c r="O798" t="s">
        <v>90</v>
      </c>
      <c r="P798">
        <f t="shared" si="13"/>
        <v>0</v>
      </c>
    </row>
    <row r="799" spans="1:16" hidden="1" x14ac:dyDescent="0.25">
      <c r="A799" s="8">
        <v>794</v>
      </c>
      <c r="B799">
        <v>403</v>
      </c>
      <c r="C799" s="27">
        <v>45445</v>
      </c>
      <c r="D799" t="s">
        <v>676</v>
      </c>
      <c r="E799">
        <v>10</v>
      </c>
      <c r="F799" t="s">
        <v>88</v>
      </c>
      <c r="G799" t="s">
        <v>102</v>
      </c>
      <c r="H799" t="s">
        <v>28</v>
      </c>
      <c r="I799" t="s">
        <v>93</v>
      </c>
      <c r="J799" s="27">
        <v>45444</v>
      </c>
      <c r="K799">
        <v>2024</v>
      </c>
      <c r="L799" s="27">
        <v>45445</v>
      </c>
      <c r="M799">
        <v>262.87999999999801</v>
      </c>
      <c r="N799">
        <v>6</v>
      </c>
      <c r="O799" t="s">
        <v>90</v>
      </c>
      <c r="P799">
        <f t="shared" si="13"/>
        <v>0</v>
      </c>
    </row>
    <row r="800" spans="1:16" hidden="1" x14ac:dyDescent="0.25">
      <c r="A800" s="8">
        <v>795</v>
      </c>
      <c r="B800">
        <v>404</v>
      </c>
      <c r="C800" s="27">
        <v>45445</v>
      </c>
      <c r="D800" t="s">
        <v>675</v>
      </c>
      <c r="E800">
        <v>273.60000000000002</v>
      </c>
      <c r="F800" t="s">
        <v>95</v>
      </c>
      <c r="G800" t="s">
        <v>100</v>
      </c>
      <c r="H800" t="s">
        <v>28</v>
      </c>
      <c r="I800" t="s">
        <v>69</v>
      </c>
      <c r="J800" s="27">
        <v>45444</v>
      </c>
      <c r="K800">
        <v>2024</v>
      </c>
      <c r="L800" s="27">
        <v>45445</v>
      </c>
      <c r="M800">
        <v>536.47999999999797</v>
      </c>
      <c r="N800">
        <v>8</v>
      </c>
      <c r="O800" t="s">
        <v>90</v>
      </c>
      <c r="P800">
        <f t="shared" si="13"/>
        <v>0</v>
      </c>
    </row>
    <row r="801" spans="1:16" hidden="1" x14ac:dyDescent="0.25">
      <c r="A801" s="8">
        <v>796</v>
      </c>
      <c r="B801">
        <v>405</v>
      </c>
      <c r="C801" s="27">
        <v>45446</v>
      </c>
      <c r="D801" t="s">
        <v>110</v>
      </c>
      <c r="E801">
        <v>-23.51</v>
      </c>
      <c r="F801" t="s">
        <v>111</v>
      </c>
      <c r="G801" t="s">
        <v>112</v>
      </c>
      <c r="H801" t="s">
        <v>14</v>
      </c>
      <c r="I801" t="s">
        <v>80</v>
      </c>
      <c r="J801" s="27">
        <v>45444</v>
      </c>
      <c r="K801">
        <v>2024</v>
      </c>
      <c r="L801" s="27">
        <v>45446</v>
      </c>
      <c r="M801">
        <v>512.96999999999798</v>
      </c>
      <c r="N801">
        <v>6</v>
      </c>
      <c r="O801" t="s">
        <v>90</v>
      </c>
      <c r="P801">
        <f t="shared" si="13"/>
        <v>0</v>
      </c>
    </row>
    <row r="802" spans="1:16" hidden="1" x14ac:dyDescent="0.25">
      <c r="A802" s="8">
        <v>797</v>
      </c>
      <c r="B802">
        <v>406</v>
      </c>
      <c r="C802" s="27">
        <v>45446</v>
      </c>
      <c r="D802" t="s">
        <v>677</v>
      </c>
      <c r="E802">
        <v>299.14999999999998</v>
      </c>
      <c r="F802" t="s">
        <v>314</v>
      </c>
      <c r="G802" t="s">
        <v>315</v>
      </c>
      <c r="H802" t="s">
        <v>14</v>
      </c>
      <c r="I802" t="s">
        <v>395</v>
      </c>
      <c r="J802" s="27">
        <v>45444</v>
      </c>
      <c r="K802">
        <v>2024</v>
      </c>
      <c r="L802" s="27">
        <v>45446</v>
      </c>
      <c r="M802">
        <v>812.11999999999796</v>
      </c>
      <c r="N802">
        <v>2</v>
      </c>
      <c r="O802" t="s">
        <v>90</v>
      </c>
      <c r="P802">
        <f t="shared" si="13"/>
        <v>0</v>
      </c>
    </row>
    <row r="803" spans="1:16" hidden="1" x14ac:dyDescent="0.25">
      <c r="A803" s="8">
        <v>798</v>
      </c>
      <c r="B803">
        <v>407</v>
      </c>
      <c r="C803" s="27">
        <v>45447</v>
      </c>
      <c r="D803" t="s">
        <v>664</v>
      </c>
      <c r="E803">
        <v>3.28</v>
      </c>
      <c r="F803" t="s">
        <v>136</v>
      </c>
      <c r="G803" t="s">
        <v>312</v>
      </c>
      <c r="H803" t="s">
        <v>14</v>
      </c>
      <c r="I803" t="s">
        <v>15</v>
      </c>
      <c r="J803" s="27">
        <v>45444</v>
      </c>
      <c r="K803">
        <v>2024</v>
      </c>
      <c r="L803" s="27">
        <v>45447</v>
      </c>
      <c r="M803">
        <v>815.39999999999793</v>
      </c>
      <c r="N803">
        <v>14</v>
      </c>
      <c r="O803" t="s">
        <v>90</v>
      </c>
      <c r="P803">
        <f t="shared" si="13"/>
        <v>0</v>
      </c>
    </row>
    <row r="804" spans="1:16" hidden="1" x14ac:dyDescent="0.25">
      <c r="A804" s="8">
        <v>799</v>
      </c>
      <c r="B804">
        <v>408</v>
      </c>
      <c r="C804" s="27">
        <v>45447</v>
      </c>
      <c r="D804" t="s">
        <v>664</v>
      </c>
      <c r="E804">
        <v>3.28</v>
      </c>
      <c r="F804" t="s">
        <v>136</v>
      </c>
      <c r="G804" t="s">
        <v>312</v>
      </c>
      <c r="H804" t="s">
        <v>14</v>
      </c>
      <c r="I804" t="s">
        <v>15</v>
      </c>
      <c r="J804" s="27">
        <v>45444</v>
      </c>
      <c r="K804">
        <v>2024</v>
      </c>
      <c r="L804" s="27">
        <v>45447</v>
      </c>
      <c r="M804">
        <v>818.6799999999979</v>
      </c>
      <c r="N804">
        <v>15</v>
      </c>
      <c r="O804" t="s">
        <v>90</v>
      </c>
      <c r="P804">
        <f t="shared" si="13"/>
        <v>0</v>
      </c>
    </row>
    <row r="805" spans="1:16" hidden="1" x14ac:dyDescent="0.25">
      <c r="A805" s="8">
        <v>800</v>
      </c>
      <c r="B805">
        <v>409</v>
      </c>
      <c r="C805" s="27">
        <v>45447</v>
      </c>
      <c r="D805" t="s">
        <v>678</v>
      </c>
      <c r="E805">
        <v>24.22</v>
      </c>
      <c r="F805" t="s">
        <v>136</v>
      </c>
      <c r="G805" t="s">
        <v>312</v>
      </c>
      <c r="H805" t="s">
        <v>14</v>
      </c>
      <c r="I805" t="s">
        <v>15</v>
      </c>
      <c r="J805" s="27">
        <v>45444</v>
      </c>
      <c r="K805">
        <v>2024</v>
      </c>
      <c r="L805" s="27">
        <v>45447</v>
      </c>
      <c r="M805">
        <v>842.89999999999793</v>
      </c>
      <c r="N805">
        <v>16</v>
      </c>
      <c r="O805" t="s">
        <v>90</v>
      </c>
      <c r="P805">
        <f t="shared" si="13"/>
        <v>0</v>
      </c>
    </row>
    <row r="806" spans="1:16" hidden="1" x14ac:dyDescent="0.25">
      <c r="A806" s="8">
        <v>801</v>
      </c>
      <c r="B806">
        <v>410</v>
      </c>
      <c r="C806" s="27">
        <v>45448</v>
      </c>
      <c r="D806" t="s">
        <v>679</v>
      </c>
      <c r="E806">
        <v>15</v>
      </c>
      <c r="F806" t="s">
        <v>192</v>
      </c>
      <c r="G806" t="s">
        <v>205</v>
      </c>
      <c r="H806" t="s">
        <v>14</v>
      </c>
      <c r="I806" t="s">
        <v>40</v>
      </c>
      <c r="J806" s="27">
        <v>45444</v>
      </c>
      <c r="K806">
        <v>2024</v>
      </c>
      <c r="L806" s="27">
        <v>45448</v>
      </c>
      <c r="M806">
        <v>857.89999999999793</v>
      </c>
      <c r="N806">
        <v>2</v>
      </c>
      <c r="O806" t="s">
        <v>90</v>
      </c>
      <c r="P806">
        <f t="shared" si="13"/>
        <v>0</v>
      </c>
    </row>
    <row r="807" spans="1:16" hidden="1" x14ac:dyDescent="0.25">
      <c r="A807" s="8">
        <v>802</v>
      </c>
      <c r="B807">
        <v>411</v>
      </c>
      <c r="C807" s="27">
        <v>45449</v>
      </c>
      <c r="D807" t="s">
        <v>619</v>
      </c>
      <c r="E807">
        <v>9.99</v>
      </c>
      <c r="F807" t="s">
        <v>88</v>
      </c>
      <c r="G807" t="s">
        <v>114</v>
      </c>
      <c r="H807" t="s">
        <v>14</v>
      </c>
      <c r="I807" t="s">
        <v>93</v>
      </c>
      <c r="J807" s="27">
        <v>45444</v>
      </c>
      <c r="K807">
        <v>2024</v>
      </c>
      <c r="L807" s="27">
        <v>45449</v>
      </c>
      <c r="M807">
        <v>867.88999999999794</v>
      </c>
      <c r="N807">
        <v>48</v>
      </c>
      <c r="O807" t="s">
        <v>90</v>
      </c>
      <c r="P807">
        <f t="shared" si="13"/>
        <v>0</v>
      </c>
    </row>
    <row r="808" spans="1:16" hidden="1" x14ac:dyDescent="0.25">
      <c r="A808" s="8">
        <v>803</v>
      </c>
      <c r="B808">
        <v>412</v>
      </c>
      <c r="C808" s="27">
        <v>45449</v>
      </c>
      <c r="D808" t="s">
        <v>680</v>
      </c>
      <c r="E808">
        <v>25.28</v>
      </c>
      <c r="F808" t="s">
        <v>136</v>
      </c>
      <c r="G808" t="s">
        <v>312</v>
      </c>
      <c r="H808" t="s">
        <v>14</v>
      </c>
      <c r="I808" t="s">
        <v>15</v>
      </c>
      <c r="J808" s="27">
        <v>45444</v>
      </c>
      <c r="K808">
        <v>2024</v>
      </c>
      <c r="L808" s="27">
        <v>45449</v>
      </c>
      <c r="M808">
        <v>893.16999999999791</v>
      </c>
      <c r="N808">
        <v>17</v>
      </c>
      <c r="O808" t="s">
        <v>90</v>
      </c>
      <c r="P808">
        <f t="shared" si="13"/>
        <v>0</v>
      </c>
    </row>
    <row r="809" spans="1:16" hidden="1" x14ac:dyDescent="0.25">
      <c r="A809" s="8">
        <v>804</v>
      </c>
      <c r="B809">
        <v>413</v>
      </c>
      <c r="C809" s="27">
        <v>45452</v>
      </c>
      <c r="D809" t="s">
        <v>681</v>
      </c>
      <c r="E809">
        <v>27.47</v>
      </c>
      <c r="F809" t="s">
        <v>136</v>
      </c>
      <c r="G809" t="s">
        <v>312</v>
      </c>
      <c r="H809" t="s">
        <v>14</v>
      </c>
      <c r="I809" t="s">
        <v>15</v>
      </c>
      <c r="J809" s="27">
        <v>45444</v>
      </c>
      <c r="K809">
        <v>2024</v>
      </c>
      <c r="L809" s="27">
        <v>45452</v>
      </c>
      <c r="M809">
        <v>920.63999999999794</v>
      </c>
      <c r="N809">
        <v>18</v>
      </c>
      <c r="O809" t="s">
        <v>90</v>
      </c>
      <c r="P809">
        <f t="shared" si="13"/>
        <v>0</v>
      </c>
    </row>
    <row r="810" spans="1:16" hidden="1" x14ac:dyDescent="0.25">
      <c r="A810" s="8">
        <v>805</v>
      </c>
      <c r="B810">
        <v>414</v>
      </c>
      <c r="C810" s="27">
        <v>45452</v>
      </c>
      <c r="D810" t="s">
        <v>682</v>
      </c>
      <c r="E810">
        <v>53.66</v>
      </c>
      <c r="F810" t="s">
        <v>136</v>
      </c>
      <c r="G810" t="s">
        <v>312</v>
      </c>
      <c r="H810" t="s">
        <v>14</v>
      </c>
      <c r="I810" t="s">
        <v>15</v>
      </c>
      <c r="J810" s="27">
        <v>45444</v>
      </c>
      <c r="K810">
        <v>2024</v>
      </c>
      <c r="L810" s="27">
        <v>45452</v>
      </c>
      <c r="M810">
        <v>974.29999999999791</v>
      </c>
      <c r="N810">
        <v>19</v>
      </c>
      <c r="O810" t="s">
        <v>90</v>
      </c>
      <c r="P810">
        <f t="shared" si="13"/>
        <v>0</v>
      </c>
    </row>
    <row r="811" spans="1:16" hidden="1" x14ac:dyDescent="0.25">
      <c r="A811" s="8">
        <v>806</v>
      </c>
      <c r="B811">
        <v>415</v>
      </c>
      <c r="C811" s="27">
        <v>45453</v>
      </c>
      <c r="D811" t="s">
        <v>643</v>
      </c>
      <c r="E811">
        <v>37.93</v>
      </c>
      <c r="F811" t="s">
        <v>136</v>
      </c>
      <c r="G811" t="s">
        <v>312</v>
      </c>
      <c r="H811" t="s">
        <v>14</v>
      </c>
      <c r="I811" t="s">
        <v>15</v>
      </c>
      <c r="J811" s="27">
        <v>45444</v>
      </c>
      <c r="K811">
        <v>2024</v>
      </c>
      <c r="L811" s="27">
        <v>45453</v>
      </c>
      <c r="M811">
        <v>1012.229999999998</v>
      </c>
      <c r="N811">
        <v>20</v>
      </c>
      <c r="O811" t="s">
        <v>90</v>
      </c>
      <c r="P811">
        <f t="shared" si="13"/>
        <v>0</v>
      </c>
    </row>
    <row r="812" spans="1:16" hidden="1" x14ac:dyDescent="0.25">
      <c r="A812" s="8">
        <v>807</v>
      </c>
      <c r="B812">
        <v>416</v>
      </c>
      <c r="C812" s="27">
        <v>45454</v>
      </c>
      <c r="D812" t="s">
        <v>162</v>
      </c>
      <c r="E812">
        <v>-920.18</v>
      </c>
      <c r="F812" t="s">
        <v>163</v>
      </c>
      <c r="G812" t="s">
        <v>164</v>
      </c>
      <c r="H812" t="s">
        <v>14</v>
      </c>
      <c r="I812" t="s">
        <v>80</v>
      </c>
      <c r="J812" s="27">
        <v>45444</v>
      </c>
      <c r="K812">
        <v>2024</v>
      </c>
      <c r="L812" s="27">
        <v>45454</v>
      </c>
      <c r="M812">
        <v>92.049999999997908</v>
      </c>
      <c r="N812">
        <v>11</v>
      </c>
      <c r="O812" t="s">
        <v>90</v>
      </c>
      <c r="P812">
        <f t="shared" si="13"/>
        <v>0</v>
      </c>
    </row>
    <row r="813" spans="1:16" hidden="1" x14ac:dyDescent="0.25">
      <c r="A813" s="8">
        <v>808</v>
      </c>
      <c r="B813">
        <v>417</v>
      </c>
      <c r="C813" s="27">
        <v>45454</v>
      </c>
      <c r="D813" t="s">
        <v>684</v>
      </c>
      <c r="E813">
        <v>24.8</v>
      </c>
      <c r="F813" t="s">
        <v>116</v>
      </c>
      <c r="G813" t="s">
        <v>117</v>
      </c>
      <c r="H813" t="s">
        <v>14</v>
      </c>
      <c r="I813" t="s">
        <v>118</v>
      </c>
      <c r="J813" s="27">
        <v>45444</v>
      </c>
      <c r="K813">
        <v>2024</v>
      </c>
      <c r="L813" s="27">
        <v>45454</v>
      </c>
      <c r="M813">
        <v>116.84999999999791</v>
      </c>
      <c r="N813">
        <v>41</v>
      </c>
      <c r="O813" t="s">
        <v>90</v>
      </c>
      <c r="P813">
        <f t="shared" si="13"/>
        <v>0</v>
      </c>
    </row>
    <row r="814" spans="1:16" hidden="1" x14ac:dyDescent="0.25">
      <c r="A814" s="8">
        <v>809</v>
      </c>
      <c r="B814">
        <v>418</v>
      </c>
      <c r="C814" s="27">
        <v>45454</v>
      </c>
      <c r="D814" t="s">
        <v>685</v>
      </c>
      <c r="E814">
        <v>59.99</v>
      </c>
      <c r="F814" t="s">
        <v>88</v>
      </c>
      <c r="G814" t="s">
        <v>109</v>
      </c>
      <c r="H814" t="s">
        <v>14</v>
      </c>
      <c r="I814" t="s">
        <v>93</v>
      </c>
      <c r="J814" s="27">
        <v>45444</v>
      </c>
      <c r="K814">
        <v>2024</v>
      </c>
      <c r="L814" s="27">
        <v>45454</v>
      </c>
      <c r="M814">
        <v>176.8399999999979</v>
      </c>
      <c r="N814">
        <v>7</v>
      </c>
      <c r="O814" t="s">
        <v>90</v>
      </c>
      <c r="P814">
        <f t="shared" si="13"/>
        <v>0</v>
      </c>
    </row>
    <row r="815" spans="1:16" hidden="1" x14ac:dyDescent="0.25">
      <c r="A815" s="8">
        <v>810</v>
      </c>
      <c r="B815">
        <v>419</v>
      </c>
      <c r="C815" s="27">
        <v>45454</v>
      </c>
      <c r="D815" t="s">
        <v>683</v>
      </c>
      <c r="E815">
        <v>23.69</v>
      </c>
      <c r="F815" t="s">
        <v>88</v>
      </c>
      <c r="G815" t="s">
        <v>107</v>
      </c>
      <c r="H815" t="s">
        <v>14</v>
      </c>
      <c r="I815" t="s">
        <v>69</v>
      </c>
      <c r="J815" s="27">
        <v>45444</v>
      </c>
      <c r="K815">
        <v>2024</v>
      </c>
      <c r="L815" s="27">
        <v>45454</v>
      </c>
      <c r="M815">
        <v>200.5299999999979</v>
      </c>
      <c r="N815">
        <v>32</v>
      </c>
      <c r="O815" t="s">
        <v>90</v>
      </c>
      <c r="P815">
        <f t="shared" si="13"/>
        <v>0</v>
      </c>
    </row>
    <row r="816" spans="1:16" hidden="1" x14ac:dyDescent="0.25">
      <c r="A816" s="8">
        <v>811</v>
      </c>
      <c r="B816">
        <v>420</v>
      </c>
      <c r="C816" s="27">
        <v>45454</v>
      </c>
      <c r="D816" t="s">
        <v>191</v>
      </c>
      <c r="E816">
        <v>15</v>
      </c>
      <c r="F816" t="s">
        <v>192</v>
      </c>
      <c r="G816" t="s">
        <v>193</v>
      </c>
      <c r="H816" t="s">
        <v>14</v>
      </c>
      <c r="I816" t="s">
        <v>40</v>
      </c>
      <c r="J816" s="27">
        <v>45444</v>
      </c>
      <c r="K816">
        <v>2024</v>
      </c>
      <c r="L816" s="27">
        <v>45454</v>
      </c>
      <c r="M816">
        <v>215.5299999999979</v>
      </c>
      <c r="N816">
        <v>2</v>
      </c>
      <c r="O816" t="s">
        <v>90</v>
      </c>
      <c r="P816">
        <f t="shared" si="13"/>
        <v>0</v>
      </c>
    </row>
    <row r="817" spans="1:16" hidden="1" x14ac:dyDescent="0.25">
      <c r="A817" s="8">
        <v>812</v>
      </c>
      <c r="B817">
        <v>421</v>
      </c>
      <c r="C817" s="27">
        <v>45455</v>
      </c>
      <c r="D817" t="s">
        <v>686</v>
      </c>
      <c r="E817">
        <v>5.16</v>
      </c>
      <c r="F817" t="s">
        <v>116</v>
      </c>
      <c r="G817" t="s">
        <v>257</v>
      </c>
      <c r="H817" t="s">
        <v>14</v>
      </c>
      <c r="I817" t="s">
        <v>93</v>
      </c>
      <c r="J817" s="27">
        <v>45444</v>
      </c>
      <c r="K817">
        <v>2024</v>
      </c>
      <c r="L817" s="27">
        <v>45455</v>
      </c>
      <c r="M817">
        <v>220.68999999999789</v>
      </c>
      <c r="N817">
        <v>2</v>
      </c>
      <c r="O817" t="s">
        <v>90</v>
      </c>
      <c r="P817">
        <f t="shared" si="13"/>
        <v>0</v>
      </c>
    </row>
    <row r="818" spans="1:16" hidden="1" x14ac:dyDescent="0.25">
      <c r="A818" s="8">
        <v>813</v>
      </c>
      <c r="B818">
        <v>422</v>
      </c>
      <c r="C818" s="27">
        <v>45455</v>
      </c>
      <c r="D818" t="s">
        <v>620</v>
      </c>
      <c r="E818">
        <v>15</v>
      </c>
      <c r="F818" t="s">
        <v>88</v>
      </c>
      <c r="G818" t="s">
        <v>114</v>
      </c>
      <c r="H818" t="s">
        <v>14</v>
      </c>
      <c r="I818" t="s">
        <v>93</v>
      </c>
      <c r="J818" s="27">
        <v>45444</v>
      </c>
      <c r="K818">
        <v>2024</v>
      </c>
      <c r="L818" s="27">
        <v>45455</v>
      </c>
      <c r="M818">
        <v>235.68999999999789</v>
      </c>
      <c r="N818">
        <v>49</v>
      </c>
      <c r="O818" t="s">
        <v>90</v>
      </c>
      <c r="P818">
        <f t="shared" si="13"/>
        <v>0</v>
      </c>
    </row>
    <row r="819" spans="1:16" hidden="1" x14ac:dyDescent="0.25">
      <c r="A819" s="8">
        <v>814</v>
      </c>
      <c r="B819">
        <v>423</v>
      </c>
      <c r="C819" s="27">
        <v>45455</v>
      </c>
      <c r="D819" t="s">
        <v>619</v>
      </c>
      <c r="E819">
        <v>5.39</v>
      </c>
      <c r="F819" t="s">
        <v>88</v>
      </c>
      <c r="G819" t="s">
        <v>114</v>
      </c>
      <c r="H819" t="s">
        <v>14</v>
      </c>
      <c r="I819" t="s">
        <v>93</v>
      </c>
      <c r="J819" s="27">
        <v>45444</v>
      </c>
      <c r="K819">
        <v>2024</v>
      </c>
      <c r="L819" s="27">
        <v>45455</v>
      </c>
      <c r="M819">
        <v>241.07999999999791</v>
      </c>
      <c r="N819">
        <v>50</v>
      </c>
      <c r="O819" t="s">
        <v>90</v>
      </c>
      <c r="P819">
        <f t="shared" si="13"/>
        <v>0</v>
      </c>
    </row>
    <row r="820" spans="1:16" hidden="1" x14ac:dyDescent="0.25">
      <c r="A820" s="8">
        <v>815</v>
      </c>
      <c r="B820">
        <v>424</v>
      </c>
      <c r="C820" s="27">
        <v>45455</v>
      </c>
      <c r="D820" t="s">
        <v>643</v>
      </c>
      <c r="E820">
        <v>7.58</v>
      </c>
      <c r="F820" t="s">
        <v>136</v>
      </c>
      <c r="G820" t="s">
        <v>312</v>
      </c>
      <c r="H820" t="s">
        <v>14</v>
      </c>
      <c r="I820" t="s">
        <v>15</v>
      </c>
      <c r="J820" s="27">
        <v>45444</v>
      </c>
      <c r="K820">
        <v>2024</v>
      </c>
      <c r="L820" s="27">
        <v>45455</v>
      </c>
      <c r="M820">
        <v>248.65999999999789</v>
      </c>
      <c r="N820">
        <v>21</v>
      </c>
      <c r="O820" t="s">
        <v>90</v>
      </c>
      <c r="P820">
        <f t="shared" si="13"/>
        <v>0</v>
      </c>
    </row>
    <row r="821" spans="1:16" hidden="1" x14ac:dyDescent="0.25">
      <c r="A821" s="8">
        <v>816</v>
      </c>
      <c r="B821">
        <v>425</v>
      </c>
      <c r="C821" s="27">
        <v>45455</v>
      </c>
      <c r="D821" t="s">
        <v>643</v>
      </c>
      <c r="E821">
        <v>12.89</v>
      </c>
      <c r="F821" t="s">
        <v>136</v>
      </c>
      <c r="G821" t="s">
        <v>312</v>
      </c>
      <c r="H821" t="s">
        <v>14</v>
      </c>
      <c r="I821" t="s">
        <v>15</v>
      </c>
      <c r="J821" s="27">
        <v>45444</v>
      </c>
      <c r="K821">
        <v>2024</v>
      </c>
      <c r="L821" s="27">
        <v>45455</v>
      </c>
      <c r="M821">
        <v>261.54999999999791</v>
      </c>
      <c r="N821">
        <v>22</v>
      </c>
      <c r="O821" t="s">
        <v>90</v>
      </c>
      <c r="P821">
        <f t="shared" si="13"/>
        <v>0</v>
      </c>
    </row>
    <row r="822" spans="1:16" hidden="1" x14ac:dyDescent="0.25">
      <c r="A822" s="8">
        <v>817</v>
      </c>
      <c r="B822">
        <v>426</v>
      </c>
      <c r="C822" s="27">
        <v>45456</v>
      </c>
      <c r="D822" t="s">
        <v>687</v>
      </c>
      <c r="E822">
        <v>32.53</v>
      </c>
      <c r="F822" t="s">
        <v>95</v>
      </c>
      <c r="G822" t="s">
        <v>688</v>
      </c>
      <c r="H822" t="s">
        <v>14</v>
      </c>
      <c r="I822" t="s">
        <v>93</v>
      </c>
      <c r="J822" s="27">
        <v>45444</v>
      </c>
      <c r="K822">
        <v>2024</v>
      </c>
      <c r="L822" s="27">
        <v>45456</v>
      </c>
      <c r="M822">
        <v>294.07999999999788</v>
      </c>
      <c r="N822">
        <v>1</v>
      </c>
      <c r="O822" t="s">
        <v>90</v>
      </c>
      <c r="P822">
        <f t="shared" si="13"/>
        <v>0</v>
      </c>
    </row>
    <row r="823" spans="1:16" hidden="1" x14ac:dyDescent="0.25">
      <c r="A823" s="8">
        <v>818</v>
      </c>
      <c r="B823">
        <v>427</v>
      </c>
      <c r="C823" s="27">
        <v>45456</v>
      </c>
      <c r="D823" t="s">
        <v>687</v>
      </c>
      <c r="E823">
        <v>37.909999999999997</v>
      </c>
      <c r="F823" t="s">
        <v>95</v>
      </c>
      <c r="G823" t="s">
        <v>688</v>
      </c>
      <c r="H823" t="s">
        <v>14</v>
      </c>
      <c r="I823" t="s">
        <v>93</v>
      </c>
      <c r="J823" s="27">
        <v>45444</v>
      </c>
      <c r="K823">
        <v>2024</v>
      </c>
      <c r="L823" s="27">
        <v>45456</v>
      </c>
      <c r="M823">
        <v>331.98999999999779</v>
      </c>
      <c r="N823">
        <v>2</v>
      </c>
      <c r="O823" t="s">
        <v>90</v>
      </c>
      <c r="P823">
        <f t="shared" si="13"/>
        <v>0</v>
      </c>
    </row>
    <row r="824" spans="1:16" hidden="1" x14ac:dyDescent="0.25">
      <c r="A824" s="8">
        <v>819</v>
      </c>
      <c r="B824">
        <v>428</v>
      </c>
      <c r="C824" s="27">
        <v>45457</v>
      </c>
      <c r="D824" t="s">
        <v>185</v>
      </c>
      <c r="E824">
        <v>90.54</v>
      </c>
      <c r="F824" t="s">
        <v>88</v>
      </c>
      <c r="G824" t="s">
        <v>186</v>
      </c>
      <c r="H824" t="s">
        <v>28</v>
      </c>
      <c r="I824" t="s">
        <v>187</v>
      </c>
      <c r="J824" s="27">
        <v>45444</v>
      </c>
      <c r="K824">
        <v>2024</v>
      </c>
      <c r="L824" s="27">
        <v>45457</v>
      </c>
      <c r="M824">
        <v>422.52999999999793</v>
      </c>
      <c r="N824">
        <v>6</v>
      </c>
      <c r="O824" t="s">
        <v>90</v>
      </c>
      <c r="P824">
        <f t="shared" si="13"/>
        <v>0</v>
      </c>
    </row>
    <row r="825" spans="1:16" hidden="1" x14ac:dyDescent="0.25">
      <c r="A825" s="8">
        <v>820</v>
      </c>
      <c r="B825">
        <v>429</v>
      </c>
      <c r="C825" s="27">
        <v>45458</v>
      </c>
      <c r="D825" t="s">
        <v>690</v>
      </c>
      <c r="E825">
        <v>34.18</v>
      </c>
      <c r="F825" t="s">
        <v>95</v>
      </c>
      <c r="G825" t="s">
        <v>385</v>
      </c>
      <c r="H825" t="s">
        <v>14</v>
      </c>
      <c r="I825" t="s">
        <v>395</v>
      </c>
      <c r="J825" s="27">
        <v>45444</v>
      </c>
      <c r="K825">
        <v>2024</v>
      </c>
      <c r="L825" s="27">
        <v>45458</v>
      </c>
      <c r="M825">
        <v>456.70999999999788</v>
      </c>
      <c r="N825">
        <v>46</v>
      </c>
      <c r="O825" t="s">
        <v>90</v>
      </c>
      <c r="P825">
        <f t="shared" si="13"/>
        <v>0</v>
      </c>
    </row>
    <row r="826" spans="1:16" hidden="1" x14ac:dyDescent="0.25">
      <c r="A826" s="8">
        <v>821</v>
      </c>
      <c r="B826">
        <v>430</v>
      </c>
      <c r="C826" s="27">
        <v>45458</v>
      </c>
      <c r="D826" t="s">
        <v>689</v>
      </c>
      <c r="E826">
        <v>29.85</v>
      </c>
      <c r="F826" t="s">
        <v>116</v>
      </c>
      <c r="G826" t="s">
        <v>117</v>
      </c>
      <c r="H826" t="s">
        <v>14</v>
      </c>
      <c r="I826" t="s">
        <v>118</v>
      </c>
      <c r="J826" s="27">
        <v>45444</v>
      </c>
      <c r="K826">
        <v>2024</v>
      </c>
      <c r="L826" s="27">
        <v>45458</v>
      </c>
      <c r="M826">
        <v>486.5599999999979</v>
      </c>
      <c r="N826">
        <v>42</v>
      </c>
      <c r="O826" t="s">
        <v>90</v>
      </c>
      <c r="P826">
        <f t="shared" si="13"/>
        <v>0</v>
      </c>
    </row>
    <row r="827" spans="1:16" hidden="1" x14ac:dyDescent="0.25">
      <c r="A827" s="8">
        <v>822</v>
      </c>
      <c r="B827">
        <v>431</v>
      </c>
      <c r="C827" s="27">
        <v>45459</v>
      </c>
      <c r="D827" t="s">
        <v>691</v>
      </c>
      <c r="E827">
        <v>72.55</v>
      </c>
      <c r="F827" t="s">
        <v>116</v>
      </c>
      <c r="G827" t="s">
        <v>117</v>
      </c>
      <c r="H827" t="s">
        <v>14</v>
      </c>
      <c r="I827" t="s">
        <v>118</v>
      </c>
      <c r="J827" s="27">
        <v>45444</v>
      </c>
      <c r="K827">
        <v>2024</v>
      </c>
      <c r="L827" s="27">
        <v>45459</v>
      </c>
      <c r="M827">
        <v>559.10999999999785</v>
      </c>
      <c r="N827">
        <v>43</v>
      </c>
      <c r="O827" t="s">
        <v>90</v>
      </c>
      <c r="P827">
        <f t="shared" si="13"/>
        <v>0</v>
      </c>
    </row>
    <row r="828" spans="1:16" hidden="1" x14ac:dyDescent="0.25">
      <c r="A828" s="8">
        <v>823</v>
      </c>
      <c r="B828">
        <v>432</v>
      </c>
      <c r="C828" s="27">
        <v>45460</v>
      </c>
      <c r="D828" t="s">
        <v>288</v>
      </c>
      <c r="E828">
        <v>285.92</v>
      </c>
      <c r="F828" t="s">
        <v>88</v>
      </c>
      <c r="G828" t="s">
        <v>168</v>
      </c>
      <c r="H828" t="s">
        <v>14</v>
      </c>
      <c r="I828" t="s">
        <v>69</v>
      </c>
      <c r="J828" s="27">
        <v>45444</v>
      </c>
      <c r="K828">
        <v>2024</v>
      </c>
      <c r="L828" s="27">
        <v>45460</v>
      </c>
      <c r="M828">
        <v>845.02999999999793</v>
      </c>
      <c r="N828">
        <v>12</v>
      </c>
      <c r="O828" t="s">
        <v>90</v>
      </c>
      <c r="P828">
        <f t="shared" si="13"/>
        <v>0</v>
      </c>
    </row>
    <row r="829" spans="1:16" hidden="1" x14ac:dyDescent="0.25">
      <c r="A829" s="8">
        <v>824</v>
      </c>
      <c r="B829">
        <v>433</v>
      </c>
      <c r="C829" s="27">
        <v>45460</v>
      </c>
      <c r="D829" t="s">
        <v>692</v>
      </c>
      <c r="E829">
        <v>8.76</v>
      </c>
      <c r="F829" t="s">
        <v>88</v>
      </c>
      <c r="G829" t="s">
        <v>107</v>
      </c>
      <c r="H829" t="s">
        <v>14</v>
      </c>
      <c r="I829" t="s">
        <v>69</v>
      </c>
      <c r="J829" s="27">
        <v>45444</v>
      </c>
      <c r="K829">
        <v>2024</v>
      </c>
      <c r="L829" s="27">
        <v>45460</v>
      </c>
      <c r="M829">
        <v>853.78999999999792</v>
      </c>
      <c r="N829">
        <v>33</v>
      </c>
      <c r="O829" t="s">
        <v>90</v>
      </c>
      <c r="P829">
        <f t="shared" si="13"/>
        <v>0</v>
      </c>
    </row>
    <row r="830" spans="1:16" hidden="1" x14ac:dyDescent="0.25">
      <c r="A830" s="8">
        <v>825</v>
      </c>
      <c r="B830">
        <v>434</v>
      </c>
      <c r="C830" s="27">
        <v>45462</v>
      </c>
      <c r="D830" t="s">
        <v>694</v>
      </c>
      <c r="E830">
        <v>207.67</v>
      </c>
      <c r="F830" t="s">
        <v>88</v>
      </c>
      <c r="G830" t="s">
        <v>168</v>
      </c>
      <c r="H830" t="s">
        <v>14</v>
      </c>
      <c r="I830" t="s">
        <v>69</v>
      </c>
      <c r="J830" s="27">
        <v>45444</v>
      </c>
      <c r="K830">
        <v>2024</v>
      </c>
      <c r="L830" s="27">
        <v>45462</v>
      </c>
      <c r="M830">
        <v>1061.459999999998</v>
      </c>
      <c r="N830">
        <v>13</v>
      </c>
      <c r="O830" t="s">
        <v>90</v>
      </c>
      <c r="P830">
        <f t="shared" si="13"/>
        <v>0</v>
      </c>
    </row>
    <row r="831" spans="1:16" hidden="1" x14ac:dyDescent="0.25">
      <c r="A831" s="8">
        <v>826</v>
      </c>
      <c r="B831">
        <v>435</v>
      </c>
      <c r="C831" s="27">
        <v>45462</v>
      </c>
      <c r="D831" t="s">
        <v>693</v>
      </c>
      <c r="E831">
        <v>8.2799999999999994</v>
      </c>
      <c r="F831" t="s">
        <v>116</v>
      </c>
      <c r="G831" t="s">
        <v>143</v>
      </c>
      <c r="H831" t="s">
        <v>14</v>
      </c>
      <c r="I831" t="s">
        <v>118</v>
      </c>
      <c r="J831" s="27">
        <v>45444</v>
      </c>
      <c r="K831">
        <v>2024</v>
      </c>
      <c r="L831" s="27">
        <v>45462</v>
      </c>
      <c r="M831">
        <v>1069.739999999998</v>
      </c>
      <c r="N831">
        <v>3</v>
      </c>
      <c r="O831" t="s">
        <v>90</v>
      </c>
      <c r="P831">
        <f t="shared" si="13"/>
        <v>0</v>
      </c>
    </row>
    <row r="832" spans="1:16" hidden="1" x14ac:dyDescent="0.25">
      <c r="A832" s="8">
        <v>827</v>
      </c>
      <c r="B832">
        <v>436</v>
      </c>
      <c r="C832" s="27">
        <v>45462</v>
      </c>
      <c r="D832" t="s">
        <v>694</v>
      </c>
      <c r="E832">
        <v>65.319999999999993</v>
      </c>
      <c r="F832" t="s">
        <v>88</v>
      </c>
      <c r="G832" t="s">
        <v>168</v>
      </c>
      <c r="H832" t="s">
        <v>14</v>
      </c>
      <c r="I832" t="s">
        <v>69</v>
      </c>
      <c r="J832" s="27">
        <v>45444</v>
      </c>
      <c r="K832">
        <v>2024</v>
      </c>
      <c r="L832" s="27">
        <v>45462</v>
      </c>
      <c r="M832">
        <v>1135.0599999999979</v>
      </c>
      <c r="N832">
        <v>14</v>
      </c>
      <c r="O832" t="s">
        <v>90</v>
      </c>
      <c r="P832">
        <f t="shared" si="13"/>
        <v>0</v>
      </c>
    </row>
    <row r="833" spans="1:16" hidden="1" x14ac:dyDescent="0.25">
      <c r="A833" s="8">
        <v>828</v>
      </c>
      <c r="B833">
        <v>437</v>
      </c>
      <c r="C833" s="27">
        <v>45463</v>
      </c>
      <c r="D833" t="s">
        <v>696</v>
      </c>
      <c r="E833">
        <v>21.34</v>
      </c>
      <c r="F833" t="s">
        <v>88</v>
      </c>
      <c r="G833" t="s">
        <v>107</v>
      </c>
      <c r="H833" t="s">
        <v>14</v>
      </c>
      <c r="I833" t="s">
        <v>69</v>
      </c>
      <c r="J833" s="27">
        <v>45444</v>
      </c>
      <c r="K833">
        <v>2024</v>
      </c>
      <c r="L833" s="27">
        <v>45463</v>
      </c>
      <c r="M833">
        <v>1156.399999999998</v>
      </c>
      <c r="N833">
        <v>34</v>
      </c>
      <c r="O833" t="s">
        <v>90</v>
      </c>
      <c r="P833">
        <f t="shared" si="13"/>
        <v>0</v>
      </c>
    </row>
    <row r="834" spans="1:16" hidden="1" x14ac:dyDescent="0.25">
      <c r="A834" s="8">
        <v>829</v>
      </c>
      <c r="B834">
        <v>438</v>
      </c>
      <c r="C834" s="27">
        <v>45463</v>
      </c>
      <c r="D834" t="s">
        <v>695</v>
      </c>
      <c r="E834">
        <v>61</v>
      </c>
      <c r="F834" t="s">
        <v>95</v>
      </c>
      <c r="G834" t="s">
        <v>117</v>
      </c>
      <c r="H834" t="s">
        <v>14</v>
      </c>
      <c r="I834" t="s">
        <v>118</v>
      </c>
      <c r="J834" s="27">
        <v>45444</v>
      </c>
      <c r="K834">
        <v>2024</v>
      </c>
      <c r="L834" s="27">
        <v>45463</v>
      </c>
      <c r="M834">
        <v>1217.399999999998</v>
      </c>
      <c r="N834">
        <v>44</v>
      </c>
      <c r="O834" t="s">
        <v>90</v>
      </c>
      <c r="P834">
        <f t="shared" si="13"/>
        <v>0</v>
      </c>
    </row>
    <row r="835" spans="1:16" hidden="1" x14ac:dyDescent="0.25">
      <c r="A835" s="8">
        <v>830</v>
      </c>
      <c r="B835">
        <v>439</v>
      </c>
      <c r="C835" s="27">
        <v>45464</v>
      </c>
      <c r="D835" t="s">
        <v>697</v>
      </c>
      <c r="E835">
        <v>24.08</v>
      </c>
      <c r="F835" t="s">
        <v>116</v>
      </c>
      <c r="G835" t="s">
        <v>698</v>
      </c>
      <c r="H835" t="s">
        <v>14</v>
      </c>
      <c r="I835" t="s">
        <v>93</v>
      </c>
      <c r="J835" s="27">
        <v>45444</v>
      </c>
      <c r="K835">
        <v>2024</v>
      </c>
      <c r="L835" s="27">
        <v>45464</v>
      </c>
      <c r="M835">
        <v>1241.479999999998</v>
      </c>
      <c r="N835">
        <v>1</v>
      </c>
      <c r="O835" t="s">
        <v>90</v>
      </c>
      <c r="P835">
        <f t="shared" si="13"/>
        <v>0</v>
      </c>
    </row>
    <row r="836" spans="1:16" hidden="1" x14ac:dyDescent="0.25">
      <c r="A836" s="8">
        <v>831</v>
      </c>
      <c r="B836">
        <v>440</v>
      </c>
      <c r="C836" s="27">
        <v>45464</v>
      </c>
      <c r="D836" t="s">
        <v>699</v>
      </c>
      <c r="E836">
        <v>10</v>
      </c>
      <c r="F836" t="s">
        <v>88</v>
      </c>
      <c r="G836" t="s">
        <v>700</v>
      </c>
      <c r="H836" t="s">
        <v>14</v>
      </c>
      <c r="I836" t="s">
        <v>69</v>
      </c>
      <c r="J836" s="27">
        <v>45444</v>
      </c>
      <c r="K836">
        <v>2024</v>
      </c>
      <c r="L836" s="27">
        <v>45464</v>
      </c>
      <c r="M836">
        <v>1251.479999999998</v>
      </c>
      <c r="N836">
        <v>1</v>
      </c>
      <c r="O836" t="s">
        <v>90</v>
      </c>
      <c r="P836">
        <f t="shared" si="13"/>
        <v>0</v>
      </c>
    </row>
    <row r="837" spans="1:16" hidden="1" x14ac:dyDescent="0.25">
      <c r="A837" s="8">
        <v>832</v>
      </c>
      <c r="B837">
        <v>441</v>
      </c>
      <c r="C837" s="27">
        <v>45464</v>
      </c>
      <c r="D837" t="s">
        <v>171</v>
      </c>
      <c r="E837">
        <v>25</v>
      </c>
      <c r="F837" t="s">
        <v>136</v>
      </c>
      <c r="G837" t="s">
        <v>172</v>
      </c>
      <c r="H837" t="s">
        <v>14</v>
      </c>
      <c r="I837" t="s">
        <v>15</v>
      </c>
      <c r="J837" s="27">
        <v>45444</v>
      </c>
      <c r="K837">
        <v>2024</v>
      </c>
      <c r="L837" s="27">
        <v>45464</v>
      </c>
      <c r="M837">
        <v>1276.479999999998</v>
      </c>
      <c r="N837">
        <v>6</v>
      </c>
      <c r="O837" t="s">
        <v>90</v>
      </c>
      <c r="P837">
        <f t="shared" si="13"/>
        <v>0</v>
      </c>
    </row>
    <row r="838" spans="1:16" hidden="1" x14ac:dyDescent="0.25">
      <c r="A838" s="8">
        <v>833</v>
      </c>
      <c r="B838">
        <v>442</v>
      </c>
      <c r="C838" s="27">
        <v>45464</v>
      </c>
      <c r="D838" t="s">
        <v>701</v>
      </c>
      <c r="E838">
        <v>165</v>
      </c>
      <c r="F838" t="s">
        <v>314</v>
      </c>
      <c r="G838" t="s">
        <v>385</v>
      </c>
      <c r="H838" t="s">
        <v>14</v>
      </c>
      <c r="I838" t="s">
        <v>395</v>
      </c>
      <c r="J838" s="27">
        <v>45444</v>
      </c>
      <c r="K838">
        <v>2024</v>
      </c>
      <c r="L838" s="27">
        <v>45464</v>
      </c>
      <c r="M838">
        <v>1441.479999999998</v>
      </c>
      <c r="N838">
        <v>47</v>
      </c>
      <c r="O838" t="s">
        <v>90</v>
      </c>
      <c r="P838">
        <f t="shared" si="13"/>
        <v>0</v>
      </c>
    </row>
    <row r="839" spans="1:16" hidden="1" x14ac:dyDescent="0.25">
      <c r="A839" s="8">
        <v>834</v>
      </c>
      <c r="B839">
        <v>443</v>
      </c>
      <c r="C839" s="27">
        <v>45464</v>
      </c>
      <c r="D839" t="s">
        <v>702</v>
      </c>
      <c r="E839">
        <v>72</v>
      </c>
      <c r="F839" t="s">
        <v>136</v>
      </c>
      <c r="G839" t="s">
        <v>385</v>
      </c>
      <c r="H839" t="s">
        <v>14</v>
      </c>
      <c r="I839" t="s">
        <v>395</v>
      </c>
      <c r="J839" s="27">
        <v>45444</v>
      </c>
      <c r="K839">
        <v>2024</v>
      </c>
      <c r="L839" s="27">
        <v>45464</v>
      </c>
      <c r="M839">
        <v>1513.479999999998</v>
      </c>
      <c r="N839">
        <v>48</v>
      </c>
      <c r="O839" t="s">
        <v>90</v>
      </c>
      <c r="P839">
        <f t="shared" si="13"/>
        <v>0</v>
      </c>
    </row>
    <row r="840" spans="1:16" hidden="1" x14ac:dyDescent="0.25">
      <c r="A840" s="8">
        <v>835</v>
      </c>
      <c r="B840">
        <v>444</v>
      </c>
      <c r="C840" s="27">
        <v>45464</v>
      </c>
      <c r="D840" t="s">
        <v>703</v>
      </c>
      <c r="E840">
        <v>5.75</v>
      </c>
      <c r="F840" t="s">
        <v>116</v>
      </c>
      <c r="G840" t="s">
        <v>92</v>
      </c>
      <c r="H840" t="s">
        <v>14</v>
      </c>
      <c r="I840" t="s">
        <v>93</v>
      </c>
      <c r="J840" s="27">
        <v>45444</v>
      </c>
      <c r="K840">
        <v>2024</v>
      </c>
      <c r="L840" s="27">
        <v>45464</v>
      </c>
      <c r="M840">
        <v>1519.229999999998</v>
      </c>
      <c r="N840">
        <v>13</v>
      </c>
      <c r="O840" t="s">
        <v>90</v>
      </c>
      <c r="P840">
        <f t="shared" si="13"/>
        <v>0</v>
      </c>
    </row>
    <row r="841" spans="1:16" hidden="1" x14ac:dyDescent="0.25">
      <c r="A841" s="8">
        <v>836</v>
      </c>
      <c r="B841">
        <v>445</v>
      </c>
      <c r="C841" s="27">
        <v>45464</v>
      </c>
      <c r="D841" t="s">
        <v>267</v>
      </c>
      <c r="E841">
        <v>224.55</v>
      </c>
      <c r="F841" t="s">
        <v>88</v>
      </c>
      <c r="G841" t="s">
        <v>168</v>
      </c>
      <c r="H841" t="s">
        <v>14</v>
      </c>
      <c r="I841" t="s">
        <v>69</v>
      </c>
      <c r="J841" s="27">
        <v>45444</v>
      </c>
      <c r="K841">
        <v>2024</v>
      </c>
      <c r="L841" s="27">
        <v>45464</v>
      </c>
      <c r="M841">
        <v>1743.7799999999979</v>
      </c>
      <c r="N841">
        <v>15</v>
      </c>
      <c r="O841" t="s">
        <v>90</v>
      </c>
      <c r="P841">
        <f t="shared" ref="P841:P904" si="14">IF(J841&lt;&gt;J842, 1, 0)</f>
        <v>0</v>
      </c>
    </row>
    <row r="842" spans="1:16" hidden="1" x14ac:dyDescent="0.25">
      <c r="A842" s="8">
        <v>837</v>
      </c>
      <c r="B842">
        <v>446</v>
      </c>
      <c r="C842" s="27">
        <v>45467</v>
      </c>
      <c r="D842" t="s">
        <v>704</v>
      </c>
      <c r="E842">
        <v>18.23</v>
      </c>
      <c r="F842" t="s">
        <v>136</v>
      </c>
      <c r="G842" t="s">
        <v>312</v>
      </c>
      <c r="H842" t="s">
        <v>14</v>
      </c>
      <c r="I842" t="s">
        <v>15</v>
      </c>
      <c r="J842" s="27">
        <v>45444</v>
      </c>
      <c r="K842">
        <v>2024</v>
      </c>
      <c r="L842" s="27">
        <v>45467</v>
      </c>
      <c r="M842">
        <v>1762.0099999999979</v>
      </c>
      <c r="N842">
        <v>23</v>
      </c>
      <c r="O842" t="s">
        <v>90</v>
      </c>
      <c r="P842">
        <f t="shared" si="14"/>
        <v>0</v>
      </c>
    </row>
    <row r="843" spans="1:16" hidden="1" x14ac:dyDescent="0.25">
      <c r="A843" s="8">
        <v>838</v>
      </c>
      <c r="B843">
        <v>447</v>
      </c>
      <c r="C843" s="27">
        <v>45467</v>
      </c>
      <c r="D843" t="s">
        <v>705</v>
      </c>
      <c r="E843">
        <v>1.95</v>
      </c>
      <c r="F843" t="s">
        <v>136</v>
      </c>
      <c r="G843" t="s">
        <v>312</v>
      </c>
      <c r="H843" t="s">
        <v>14</v>
      </c>
      <c r="I843" t="s">
        <v>15</v>
      </c>
      <c r="J843" s="27">
        <v>45444</v>
      </c>
      <c r="K843">
        <v>2024</v>
      </c>
      <c r="L843" s="27">
        <v>45467</v>
      </c>
      <c r="M843">
        <v>1763.959999999998</v>
      </c>
      <c r="N843">
        <v>24</v>
      </c>
      <c r="O843" t="s">
        <v>90</v>
      </c>
      <c r="P843">
        <f t="shared" si="14"/>
        <v>0</v>
      </c>
    </row>
    <row r="844" spans="1:16" hidden="1" x14ac:dyDescent="0.25">
      <c r="A844" s="8">
        <v>839</v>
      </c>
      <c r="B844">
        <v>448</v>
      </c>
      <c r="C844" s="27">
        <v>45467</v>
      </c>
      <c r="D844" t="s">
        <v>706</v>
      </c>
      <c r="E844">
        <v>4.4800000000000004</v>
      </c>
      <c r="F844" t="s">
        <v>116</v>
      </c>
      <c r="G844" t="s">
        <v>141</v>
      </c>
      <c r="H844" t="s">
        <v>14</v>
      </c>
      <c r="I844" t="s">
        <v>118</v>
      </c>
      <c r="J844" s="27">
        <v>45444</v>
      </c>
      <c r="K844">
        <v>2024</v>
      </c>
      <c r="L844" s="27">
        <v>45467</v>
      </c>
      <c r="M844">
        <v>1768.439999999998</v>
      </c>
      <c r="N844">
        <v>14</v>
      </c>
      <c r="O844" t="s">
        <v>90</v>
      </c>
      <c r="P844">
        <f t="shared" si="14"/>
        <v>0</v>
      </c>
    </row>
    <row r="845" spans="1:16" hidden="1" x14ac:dyDescent="0.25">
      <c r="A845" s="8">
        <v>840</v>
      </c>
      <c r="B845">
        <v>449</v>
      </c>
      <c r="C845" s="27">
        <v>45467</v>
      </c>
      <c r="D845" t="s">
        <v>643</v>
      </c>
      <c r="E845">
        <v>3</v>
      </c>
      <c r="F845" t="s">
        <v>136</v>
      </c>
      <c r="G845" t="s">
        <v>312</v>
      </c>
      <c r="H845" t="s">
        <v>14</v>
      </c>
      <c r="I845" t="s">
        <v>15</v>
      </c>
      <c r="J845" s="27">
        <v>45444</v>
      </c>
      <c r="K845">
        <v>2024</v>
      </c>
      <c r="L845" s="27">
        <v>45467</v>
      </c>
      <c r="M845">
        <v>1771.439999999998</v>
      </c>
      <c r="N845">
        <v>25</v>
      </c>
      <c r="O845" t="s">
        <v>90</v>
      </c>
      <c r="P845">
        <f t="shared" si="14"/>
        <v>0</v>
      </c>
    </row>
    <row r="846" spans="1:16" hidden="1" x14ac:dyDescent="0.25">
      <c r="A846" s="8">
        <v>841</v>
      </c>
      <c r="B846">
        <v>450</v>
      </c>
      <c r="C846" s="27">
        <v>45468</v>
      </c>
      <c r="D846" t="s">
        <v>707</v>
      </c>
      <c r="E846">
        <v>9.1</v>
      </c>
      <c r="F846" t="s">
        <v>88</v>
      </c>
      <c r="G846" t="s">
        <v>315</v>
      </c>
      <c r="H846" t="s">
        <v>14</v>
      </c>
      <c r="I846" t="s">
        <v>395</v>
      </c>
      <c r="J846" s="27">
        <v>45444</v>
      </c>
      <c r="K846">
        <v>2024</v>
      </c>
      <c r="L846" s="27">
        <v>45468</v>
      </c>
      <c r="M846">
        <v>1780.5399999999979</v>
      </c>
      <c r="N846">
        <v>3</v>
      </c>
      <c r="O846" t="s">
        <v>90</v>
      </c>
      <c r="P846">
        <f t="shared" si="14"/>
        <v>0</v>
      </c>
    </row>
    <row r="847" spans="1:16" hidden="1" x14ac:dyDescent="0.25">
      <c r="A847" s="8">
        <v>842</v>
      </c>
      <c r="B847">
        <v>451</v>
      </c>
      <c r="C847" s="27">
        <v>45468</v>
      </c>
      <c r="D847" t="s">
        <v>708</v>
      </c>
      <c r="E847">
        <v>9.18</v>
      </c>
      <c r="F847" t="s">
        <v>136</v>
      </c>
      <c r="G847" t="s">
        <v>312</v>
      </c>
      <c r="H847" t="s">
        <v>14</v>
      </c>
      <c r="I847" t="s">
        <v>15</v>
      </c>
      <c r="J847" s="27">
        <v>45444</v>
      </c>
      <c r="K847">
        <v>2024</v>
      </c>
      <c r="L847" s="27">
        <v>45468</v>
      </c>
      <c r="M847">
        <v>1789.719999999998</v>
      </c>
      <c r="N847">
        <v>26</v>
      </c>
      <c r="O847" t="s">
        <v>90</v>
      </c>
      <c r="P847">
        <f t="shared" si="14"/>
        <v>0</v>
      </c>
    </row>
    <row r="848" spans="1:16" hidden="1" x14ac:dyDescent="0.25">
      <c r="A848" s="8">
        <v>843</v>
      </c>
      <c r="B848">
        <v>452</v>
      </c>
      <c r="C848" s="27">
        <v>45470</v>
      </c>
      <c r="D848" t="s">
        <v>316</v>
      </c>
      <c r="E848">
        <v>29.99</v>
      </c>
      <c r="F848" t="s">
        <v>88</v>
      </c>
      <c r="G848" t="s">
        <v>214</v>
      </c>
      <c r="H848" t="s">
        <v>28</v>
      </c>
      <c r="I848" t="s">
        <v>69</v>
      </c>
      <c r="J848" s="27">
        <v>45444</v>
      </c>
      <c r="K848">
        <v>2024</v>
      </c>
      <c r="L848" s="27">
        <v>45470</v>
      </c>
      <c r="M848">
        <v>1819.709999999998</v>
      </c>
      <c r="N848">
        <v>6</v>
      </c>
      <c r="O848" t="s">
        <v>90</v>
      </c>
      <c r="P848">
        <f t="shared" si="14"/>
        <v>0</v>
      </c>
    </row>
    <row r="849" spans="1:16" hidden="1" x14ac:dyDescent="0.25">
      <c r="A849" s="8">
        <v>844</v>
      </c>
      <c r="B849">
        <v>453</v>
      </c>
      <c r="C849" s="27">
        <v>45470</v>
      </c>
      <c r="D849" t="s">
        <v>709</v>
      </c>
      <c r="E849">
        <v>24.37</v>
      </c>
      <c r="F849" t="s">
        <v>88</v>
      </c>
      <c r="G849" t="s">
        <v>670</v>
      </c>
      <c r="H849" t="s">
        <v>28</v>
      </c>
      <c r="I849" t="s">
        <v>93</v>
      </c>
      <c r="J849" s="27">
        <v>45444</v>
      </c>
      <c r="K849">
        <v>2024</v>
      </c>
      <c r="L849" s="27">
        <v>45470</v>
      </c>
      <c r="M849">
        <v>1844.0799999999981</v>
      </c>
      <c r="N849">
        <v>2</v>
      </c>
      <c r="O849" t="s">
        <v>90</v>
      </c>
      <c r="P849">
        <f t="shared" si="14"/>
        <v>0</v>
      </c>
    </row>
    <row r="850" spans="1:16" hidden="1" x14ac:dyDescent="0.25">
      <c r="A850" s="8">
        <v>845</v>
      </c>
      <c r="B850">
        <v>454</v>
      </c>
      <c r="C850" s="27">
        <v>45470</v>
      </c>
      <c r="D850" t="s">
        <v>619</v>
      </c>
      <c r="E850">
        <v>15.99</v>
      </c>
      <c r="F850" t="s">
        <v>88</v>
      </c>
      <c r="G850" t="s">
        <v>114</v>
      </c>
      <c r="H850" t="s">
        <v>14</v>
      </c>
      <c r="I850" t="s">
        <v>93</v>
      </c>
      <c r="J850" s="27">
        <v>45444</v>
      </c>
      <c r="K850">
        <v>2024</v>
      </c>
      <c r="L850" s="27">
        <v>45470</v>
      </c>
      <c r="M850">
        <v>1860.0699999999979</v>
      </c>
      <c r="N850">
        <v>51</v>
      </c>
      <c r="O850" t="s">
        <v>90</v>
      </c>
      <c r="P850">
        <f t="shared" si="14"/>
        <v>0</v>
      </c>
    </row>
    <row r="851" spans="1:16" hidden="1" x14ac:dyDescent="0.25">
      <c r="A851" s="8">
        <v>846</v>
      </c>
      <c r="B851">
        <v>455</v>
      </c>
      <c r="C851" s="27">
        <v>45473</v>
      </c>
      <c r="D851" t="s">
        <v>710</v>
      </c>
      <c r="E851">
        <v>139.52000000000001</v>
      </c>
      <c r="F851" t="s">
        <v>88</v>
      </c>
      <c r="G851" t="s">
        <v>168</v>
      </c>
      <c r="H851" t="s">
        <v>14</v>
      </c>
      <c r="I851" t="s">
        <v>69</v>
      </c>
      <c r="J851" s="27">
        <v>45444</v>
      </c>
      <c r="K851">
        <v>2024</v>
      </c>
      <c r="L851" s="27">
        <v>45473</v>
      </c>
      <c r="M851">
        <v>1999.5899999999981</v>
      </c>
      <c r="N851">
        <v>16</v>
      </c>
      <c r="O851" t="s">
        <v>90</v>
      </c>
      <c r="P851">
        <f t="shared" si="14"/>
        <v>1</v>
      </c>
    </row>
    <row r="852" spans="1:16" hidden="1" x14ac:dyDescent="0.25">
      <c r="A852" s="8">
        <v>847</v>
      </c>
      <c r="B852">
        <v>456</v>
      </c>
      <c r="C852" s="27">
        <v>45474</v>
      </c>
      <c r="D852" t="s">
        <v>94</v>
      </c>
      <c r="E852">
        <v>5</v>
      </c>
      <c r="F852" t="s">
        <v>95</v>
      </c>
      <c r="G852" t="s">
        <v>96</v>
      </c>
      <c r="H852" t="s">
        <v>28</v>
      </c>
      <c r="I852" t="s">
        <v>69</v>
      </c>
      <c r="J852" s="27">
        <v>45474</v>
      </c>
      <c r="K852">
        <v>2024</v>
      </c>
      <c r="L852" s="27">
        <v>45474</v>
      </c>
      <c r="M852">
        <v>2004.5899999999981</v>
      </c>
      <c r="N852">
        <v>7</v>
      </c>
      <c r="O852" t="s">
        <v>90</v>
      </c>
      <c r="P852">
        <f t="shared" si="14"/>
        <v>0</v>
      </c>
    </row>
    <row r="853" spans="1:16" hidden="1" x14ac:dyDescent="0.25">
      <c r="A853" s="8">
        <v>848</v>
      </c>
      <c r="B853">
        <v>457</v>
      </c>
      <c r="C853" s="27">
        <v>45474</v>
      </c>
      <c r="D853" t="s">
        <v>674</v>
      </c>
      <c r="E853">
        <v>20</v>
      </c>
      <c r="F853" t="s">
        <v>88</v>
      </c>
      <c r="G853" t="s">
        <v>89</v>
      </c>
      <c r="H853" t="s">
        <v>28</v>
      </c>
      <c r="I853" t="s">
        <v>69</v>
      </c>
      <c r="J853" s="27">
        <v>45474</v>
      </c>
      <c r="K853">
        <v>2024</v>
      </c>
      <c r="L853" s="27">
        <v>45474</v>
      </c>
      <c r="M853">
        <v>2024.5899999999981</v>
      </c>
      <c r="N853">
        <v>7</v>
      </c>
      <c r="O853" t="s">
        <v>90</v>
      </c>
      <c r="P853">
        <f t="shared" si="14"/>
        <v>0</v>
      </c>
    </row>
    <row r="854" spans="1:16" hidden="1" x14ac:dyDescent="0.25">
      <c r="A854" s="8">
        <v>849</v>
      </c>
      <c r="B854">
        <v>458</v>
      </c>
      <c r="C854" s="27">
        <v>45474</v>
      </c>
      <c r="D854" t="s">
        <v>713</v>
      </c>
      <c r="E854">
        <v>57.93</v>
      </c>
      <c r="F854" t="s">
        <v>136</v>
      </c>
      <c r="G854" t="s">
        <v>149</v>
      </c>
      <c r="H854" t="s">
        <v>14</v>
      </c>
      <c r="I854" t="s">
        <v>93</v>
      </c>
      <c r="J854" s="27">
        <v>45474</v>
      </c>
      <c r="K854">
        <v>2024</v>
      </c>
      <c r="L854" s="27">
        <v>45474</v>
      </c>
      <c r="M854">
        <v>2082.5199999999982</v>
      </c>
      <c r="N854">
        <v>2</v>
      </c>
      <c r="O854" t="s">
        <v>90</v>
      </c>
      <c r="P854">
        <f t="shared" si="14"/>
        <v>0</v>
      </c>
    </row>
    <row r="855" spans="1:16" hidden="1" x14ac:dyDescent="0.25">
      <c r="A855" s="8">
        <v>850</v>
      </c>
      <c r="B855">
        <v>459</v>
      </c>
      <c r="C855" s="27">
        <v>45474</v>
      </c>
      <c r="D855" t="s">
        <v>712</v>
      </c>
      <c r="E855">
        <v>43.26</v>
      </c>
      <c r="F855" t="s">
        <v>95</v>
      </c>
      <c r="G855" t="s">
        <v>315</v>
      </c>
      <c r="H855" t="s">
        <v>14</v>
      </c>
      <c r="I855" t="s">
        <v>395</v>
      </c>
      <c r="J855" s="27">
        <v>45474</v>
      </c>
      <c r="K855">
        <v>2024</v>
      </c>
      <c r="L855" s="27">
        <v>45474</v>
      </c>
      <c r="M855">
        <v>2125.7799999999979</v>
      </c>
      <c r="N855">
        <v>4</v>
      </c>
      <c r="O855" t="s">
        <v>90</v>
      </c>
      <c r="P855">
        <f t="shared" si="14"/>
        <v>0</v>
      </c>
    </row>
    <row r="856" spans="1:16" hidden="1" x14ac:dyDescent="0.25">
      <c r="A856" s="8">
        <v>851</v>
      </c>
      <c r="B856">
        <v>460</v>
      </c>
      <c r="C856" s="27">
        <v>45474</v>
      </c>
      <c r="D856" t="s">
        <v>711</v>
      </c>
      <c r="E856">
        <v>5.99</v>
      </c>
      <c r="F856" t="s">
        <v>88</v>
      </c>
      <c r="G856" t="s">
        <v>98</v>
      </c>
      <c r="H856" t="s">
        <v>28</v>
      </c>
      <c r="I856" t="s">
        <v>93</v>
      </c>
      <c r="J856" s="27">
        <v>45474</v>
      </c>
      <c r="K856">
        <v>2024</v>
      </c>
      <c r="L856" s="27">
        <v>45474</v>
      </c>
      <c r="M856">
        <v>2131.7699999999982</v>
      </c>
      <c r="N856">
        <v>7</v>
      </c>
      <c r="O856" t="s">
        <v>90</v>
      </c>
      <c r="P856">
        <f t="shared" si="14"/>
        <v>0</v>
      </c>
    </row>
    <row r="857" spans="1:16" hidden="1" x14ac:dyDescent="0.25">
      <c r="A857" s="8">
        <v>852</v>
      </c>
      <c r="B857">
        <v>461</v>
      </c>
      <c r="C857" s="27">
        <v>45475</v>
      </c>
      <c r="D857" t="s">
        <v>717</v>
      </c>
      <c r="E857">
        <v>8.74</v>
      </c>
      <c r="F857" t="s">
        <v>88</v>
      </c>
      <c r="G857" t="s">
        <v>244</v>
      </c>
      <c r="H857" t="s">
        <v>14</v>
      </c>
      <c r="I857" t="s">
        <v>69</v>
      </c>
      <c r="J857" s="27">
        <v>45474</v>
      </c>
      <c r="K857">
        <v>2024</v>
      </c>
      <c r="L857" s="27">
        <v>45475</v>
      </c>
      <c r="M857">
        <v>2140.509999999997</v>
      </c>
      <c r="N857">
        <v>7</v>
      </c>
      <c r="O857" t="s">
        <v>90</v>
      </c>
      <c r="P857">
        <f t="shared" si="14"/>
        <v>0</v>
      </c>
    </row>
    <row r="858" spans="1:16" hidden="1" x14ac:dyDescent="0.25">
      <c r="A858" s="8">
        <v>853</v>
      </c>
      <c r="B858">
        <v>462</v>
      </c>
      <c r="C858" s="27">
        <v>45475</v>
      </c>
      <c r="D858" t="s">
        <v>715</v>
      </c>
      <c r="E858">
        <v>101</v>
      </c>
      <c r="F858" t="s">
        <v>95</v>
      </c>
      <c r="G858" t="s">
        <v>278</v>
      </c>
      <c r="H858" t="s">
        <v>14</v>
      </c>
      <c r="I858" t="s">
        <v>44</v>
      </c>
      <c r="J858" s="27">
        <v>45474</v>
      </c>
      <c r="K858">
        <v>2024</v>
      </c>
      <c r="L858" s="27">
        <v>45475</v>
      </c>
      <c r="M858">
        <v>2241.509999999997</v>
      </c>
      <c r="N858">
        <v>2</v>
      </c>
      <c r="O858" t="s">
        <v>90</v>
      </c>
      <c r="P858">
        <f t="shared" si="14"/>
        <v>0</v>
      </c>
    </row>
    <row r="859" spans="1:16" hidden="1" x14ac:dyDescent="0.25">
      <c r="A859" s="8">
        <v>854</v>
      </c>
      <c r="B859">
        <v>463</v>
      </c>
      <c r="C859" s="27">
        <v>45475</v>
      </c>
      <c r="D859" t="s">
        <v>716</v>
      </c>
      <c r="E859">
        <v>0.65</v>
      </c>
      <c r="F859" t="s">
        <v>136</v>
      </c>
      <c r="G859" t="s">
        <v>312</v>
      </c>
      <c r="H859" t="s">
        <v>14</v>
      </c>
      <c r="I859" t="s">
        <v>15</v>
      </c>
      <c r="J859" s="27">
        <v>45474</v>
      </c>
      <c r="K859">
        <v>2024</v>
      </c>
      <c r="L859" s="27">
        <v>45475</v>
      </c>
      <c r="M859">
        <v>2242.159999999998</v>
      </c>
      <c r="N859">
        <v>27</v>
      </c>
      <c r="O859" t="s">
        <v>90</v>
      </c>
      <c r="P859">
        <f t="shared" si="14"/>
        <v>0</v>
      </c>
    </row>
    <row r="860" spans="1:16" hidden="1" x14ac:dyDescent="0.25">
      <c r="A860" s="8">
        <v>855</v>
      </c>
      <c r="B860">
        <v>464</v>
      </c>
      <c r="C860" s="27">
        <v>45475</v>
      </c>
      <c r="D860" t="s">
        <v>676</v>
      </c>
      <c r="E860">
        <v>10</v>
      </c>
      <c r="F860" t="s">
        <v>88</v>
      </c>
      <c r="G860" t="s">
        <v>102</v>
      </c>
      <c r="H860" t="s">
        <v>28</v>
      </c>
      <c r="I860" t="s">
        <v>93</v>
      </c>
      <c r="J860" s="27">
        <v>45474</v>
      </c>
      <c r="K860">
        <v>2024</v>
      </c>
      <c r="L860" s="27">
        <v>45475</v>
      </c>
      <c r="M860">
        <v>2252.159999999998</v>
      </c>
      <c r="N860">
        <v>7</v>
      </c>
      <c r="O860" t="s">
        <v>90</v>
      </c>
      <c r="P860">
        <f t="shared" si="14"/>
        <v>0</v>
      </c>
    </row>
    <row r="861" spans="1:16" hidden="1" x14ac:dyDescent="0.25">
      <c r="A861" s="8">
        <v>856</v>
      </c>
      <c r="B861">
        <v>465</v>
      </c>
      <c r="C861" s="27">
        <v>45475</v>
      </c>
      <c r="D861" t="s">
        <v>714</v>
      </c>
      <c r="E861">
        <v>273.60000000000002</v>
      </c>
      <c r="F861" t="s">
        <v>95</v>
      </c>
      <c r="G861" t="s">
        <v>100</v>
      </c>
      <c r="H861" t="s">
        <v>28</v>
      </c>
      <c r="I861" t="s">
        <v>69</v>
      </c>
      <c r="J861" s="27">
        <v>45474</v>
      </c>
      <c r="K861">
        <v>2024</v>
      </c>
      <c r="L861" s="27">
        <v>45475</v>
      </c>
      <c r="M861">
        <v>2525.759999999997</v>
      </c>
      <c r="N861">
        <v>9</v>
      </c>
      <c r="O861" t="s">
        <v>90</v>
      </c>
      <c r="P861">
        <f t="shared" si="14"/>
        <v>0</v>
      </c>
    </row>
    <row r="862" spans="1:16" hidden="1" x14ac:dyDescent="0.25">
      <c r="A862" s="8">
        <v>857</v>
      </c>
      <c r="B862">
        <v>466</v>
      </c>
      <c r="C862" s="27">
        <v>45476</v>
      </c>
      <c r="D862" t="s">
        <v>719</v>
      </c>
      <c r="E862">
        <v>50</v>
      </c>
      <c r="F862" t="s">
        <v>95</v>
      </c>
      <c r="G862" t="s">
        <v>720</v>
      </c>
      <c r="H862" t="s">
        <v>14</v>
      </c>
      <c r="I862" t="s">
        <v>25</v>
      </c>
      <c r="J862" s="27">
        <v>45474</v>
      </c>
      <c r="K862">
        <v>2024</v>
      </c>
      <c r="L862" s="27">
        <v>45476</v>
      </c>
      <c r="M862">
        <v>2575.759999999997</v>
      </c>
      <c r="N862">
        <v>1</v>
      </c>
      <c r="O862" t="s">
        <v>90</v>
      </c>
      <c r="P862">
        <f t="shared" si="14"/>
        <v>0</v>
      </c>
    </row>
    <row r="863" spans="1:16" hidden="1" x14ac:dyDescent="0.25">
      <c r="A863" s="8">
        <v>858</v>
      </c>
      <c r="B863">
        <v>467</v>
      </c>
      <c r="C863" s="27">
        <v>45476</v>
      </c>
      <c r="D863" t="s">
        <v>110</v>
      </c>
      <c r="E863">
        <v>-28.9</v>
      </c>
      <c r="F863" t="s">
        <v>111</v>
      </c>
      <c r="G863" t="s">
        <v>112</v>
      </c>
      <c r="H863" t="s">
        <v>14</v>
      </c>
      <c r="I863" t="s">
        <v>80</v>
      </c>
      <c r="J863" s="27">
        <v>45474</v>
      </c>
      <c r="K863">
        <v>2024</v>
      </c>
      <c r="L863" s="27">
        <v>45476</v>
      </c>
      <c r="M863">
        <v>2546.8599999999969</v>
      </c>
      <c r="N863">
        <v>7</v>
      </c>
      <c r="O863" t="s">
        <v>90</v>
      </c>
      <c r="P863">
        <f t="shared" si="14"/>
        <v>0</v>
      </c>
    </row>
    <row r="864" spans="1:16" hidden="1" x14ac:dyDescent="0.25">
      <c r="A864" s="8">
        <v>859</v>
      </c>
      <c r="B864">
        <v>468</v>
      </c>
      <c r="C864" s="27">
        <v>45476</v>
      </c>
      <c r="D864" t="s">
        <v>718</v>
      </c>
      <c r="E864">
        <v>70.430000000000007</v>
      </c>
      <c r="F864" t="s">
        <v>95</v>
      </c>
      <c r="G864" t="s">
        <v>315</v>
      </c>
      <c r="H864" t="s">
        <v>14</v>
      </c>
      <c r="I864" t="s">
        <v>395</v>
      </c>
      <c r="J864" s="27">
        <v>45474</v>
      </c>
      <c r="K864">
        <v>2024</v>
      </c>
      <c r="L864" s="27">
        <v>45476</v>
      </c>
      <c r="M864">
        <v>2617.2899999999968</v>
      </c>
      <c r="N864">
        <v>5</v>
      </c>
      <c r="O864" t="s">
        <v>90</v>
      </c>
      <c r="P864">
        <f t="shared" si="14"/>
        <v>0</v>
      </c>
    </row>
    <row r="865" spans="1:16" hidden="1" x14ac:dyDescent="0.25">
      <c r="A865" s="8">
        <v>860</v>
      </c>
      <c r="B865">
        <v>469</v>
      </c>
      <c r="C865" s="27">
        <v>45476</v>
      </c>
      <c r="D865" t="s">
        <v>162</v>
      </c>
      <c r="E865">
        <v>-2378.13</v>
      </c>
      <c r="F865" t="s">
        <v>163</v>
      </c>
      <c r="G865" t="s">
        <v>164</v>
      </c>
      <c r="H865" t="s">
        <v>14</v>
      </c>
      <c r="I865" t="s">
        <v>80</v>
      </c>
      <c r="J865" s="27">
        <v>45474</v>
      </c>
      <c r="K865">
        <v>2024</v>
      </c>
      <c r="L865" s="27">
        <v>45476</v>
      </c>
      <c r="M865">
        <v>239.1599999999971</v>
      </c>
      <c r="N865">
        <v>12</v>
      </c>
      <c r="O865" t="s">
        <v>90</v>
      </c>
      <c r="P865">
        <f t="shared" si="14"/>
        <v>0</v>
      </c>
    </row>
    <row r="866" spans="1:16" hidden="1" x14ac:dyDescent="0.25">
      <c r="A866" s="8">
        <v>861</v>
      </c>
      <c r="B866">
        <v>470</v>
      </c>
      <c r="C866" s="27">
        <v>45477</v>
      </c>
      <c r="D866" t="s">
        <v>721</v>
      </c>
      <c r="E866">
        <v>49</v>
      </c>
      <c r="F866" t="s">
        <v>722</v>
      </c>
      <c r="G866" t="s">
        <v>128</v>
      </c>
      <c r="H866" t="s">
        <v>14</v>
      </c>
      <c r="I866" t="s">
        <v>69</v>
      </c>
      <c r="J866" s="27">
        <v>45474</v>
      </c>
      <c r="K866">
        <v>2024</v>
      </c>
      <c r="L866" s="27">
        <v>45477</v>
      </c>
      <c r="M866">
        <v>288.15999999999713</v>
      </c>
      <c r="N866">
        <v>5</v>
      </c>
      <c r="O866" t="s">
        <v>90</v>
      </c>
      <c r="P866">
        <f t="shared" si="14"/>
        <v>0</v>
      </c>
    </row>
    <row r="867" spans="1:16" hidden="1" x14ac:dyDescent="0.25">
      <c r="A867" s="8">
        <v>862</v>
      </c>
      <c r="B867">
        <v>471</v>
      </c>
      <c r="C867" s="27">
        <v>45478</v>
      </c>
      <c r="D867" t="s">
        <v>108</v>
      </c>
      <c r="E867">
        <v>80.989999999999995</v>
      </c>
      <c r="F867" t="s">
        <v>88</v>
      </c>
      <c r="G867" t="s">
        <v>109</v>
      </c>
      <c r="H867" t="s">
        <v>14</v>
      </c>
      <c r="I867" t="s">
        <v>93</v>
      </c>
      <c r="J867" s="27">
        <v>45474</v>
      </c>
      <c r="K867">
        <v>2024</v>
      </c>
      <c r="L867" s="27">
        <v>45478</v>
      </c>
      <c r="M867">
        <v>369.14999999999708</v>
      </c>
      <c r="N867">
        <v>8</v>
      </c>
      <c r="O867" t="s">
        <v>90</v>
      </c>
      <c r="P867">
        <f t="shared" si="14"/>
        <v>0</v>
      </c>
    </row>
    <row r="868" spans="1:16" hidden="1" x14ac:dyDescent="0.25">
      <c r="A868" s="8">
        <v>863</v>
      </c>
      <c r="B868">
        <v>472</v>
      </c>
      <c r="C868" s="27">
        <v>45480</v>
      </c>
      <c r="D868" t="s">
        <v>91</v>
      </c>
      <c r="E868">
        <v>25.99</v>
      </c>
      <c r="F868" t="s">
        <v>88</v>
      </c>
      <c r="G868" t="s">
        <v>92</v>
      </c>
      <c r="H868" t="s">
        <v>14</v>
      </c>
      <c r="I868" t="s">
        <v>93</v>
      </c>
      <c r="J868" s="27">
        <v>45474</v>
      </c>
      <c r="K868">
        <v>2024</v>
      </c>
      <c r="L868" s="27">
        <v>45480</v>
      </c>
      <c r="M868">
        <v>395.13999999999709</v>
      </c>
      <c r="N868">
        <v>14</v>
      </c>
      <c r="O868" t="s">
        <v>90</v>
      </c>
      <c r="P868">
        <f t="shared" si="14"/>
        <v>0</v>
      </c>
    </row>
    <row r="869" spans="1:16" hidden="1" x14ac:dyDescent="0.25">
      <c r="A869" s="8">
        <v>864</v>
      </c>
      <c r="B869">
        <v>473</v>
      </c>
      <c r="C869" s="27">
        <v>45480</v>
      </c>
      <c r="D869" t="s">
        <v>91</v>
      </c>
      <c r="E869">
        <v>35.99</v>
      </c>
      <c r="F869" t="s">
        <v>88</v>
      </c>
      <c r="G869" t="s">
        <v>92</v>
      </c>
      <c r="H869" t="s">
        <v>14</v>
      </c>
      <c r="I869" t="s">
        <v>93</v>
      </c>
      <c r="J869" s="27">
        <v>45474</v>
      </c>
      <c r="K869">
        <v>2024</v>
      </c>
      <c r="L869" s="27">
        <v>45480</v>
      </c>
      <c r="M869">
        <v>431.12999999999721</v>
      </c>
      <c r="N869">
        <v>15</v>
      </c>
      <c r="O869" t="s">
        <v>90</v>
      </c>
      <c r="P869">
        <f t="shared" si="14"/>
        <v>0</v>
      </c>
    </row>
    <row r="870" spans="1:16" hidden="1" x14ac:dyDescent="0.25">
      <c r="A870" s="8">
        <v>865</v>
      </c>
      <c r="B870">
        <v>474</v>
      </c>
      <c r="C870" s="27">
        <v>45481</v>
      </c>
      <c r="D870" t="s">
        <v>189</v>
      </c>
      <c r="E870">
        <v>57.67</v>
      </c>
      <c r="F870" t="s">
        <v>106</v>
      </c>
      <c r="G870" t="s">
        <v>137</v>
      </c>
      <c r="H870" t="s">
        <v>14</v>
      </c>
      <c r="I870" t="s">
        <v>118</v>
      </c>
      <c r="J870" s="27">
        <v>45474</v>
      </c>
      <c r="K870">
        <v>2024</v>
      </c>
      <c r="L870" s="27">
        <v>45481</v>
      </c>
      <c r="M870">
        <v>488.79999999999723</v>
      </c>
      <c r="N870">
        <v>16</v>
      </c>
      <c r="O870" t="s">
        <v>90</v>
      </c>
      <c r="P870">
        <f t="shared" si="14"/>
        <v>0</v>
      </c>
    </row>
    <row r="871" spans="1:16" hidden="1" x14ac:dyDescent="0.25">
      <c r="A871" s="8">
        <v>866</v>
      </c>
      <c r="B871">
        <v>475</v>
      </c>
      <c r="C871" s="27">
        <v>45481</v>
      </c>
      <c r="D871" t="s">
        <v>717</v>
      </c>
      <c r="E871">
        <v>20.95</v>
      </c>
      <c r="F871" t="s">
        <v>88</v>
      </c>
      <c r="G871" t="s">
        <v>244</v>
      </c>
      <c r="H871" t="s">
        <v>14</v>
      </c>
      <c r="I871" t="s">
        <v>69</v>
      </c>
      <c r="J871" s="27">
        <v>45474</v>
      </c>
      <c r="K871">
        <v>2024</v>
      </c>
      <c r="L871" s="27">
        <v>45481</v>
      </c>
      <c r="M871">
        <v>509.74999999999721</v>
      </c>
      <c r="N871">
        <v>8</v>
      </c>
      <c r="O871" t="s">
        <v>90</v>
      </c>
      <c r="P871">
        <f t="shared" si="14"/>
        <v>0</v>
      </c>
    </row>
    <row r="872" spans="1:16" hidden="1" x14ac:dyDescent="0.25">
      <c r="A872" s="8">
        <v>867</v>
      </c>
      <c r="B872">
        <v>476</v>
      </c>
      <c r="C872" s="27">
        <v>45482</v>
      </c>
      <c r="D872" t="s">
        <v>721</v>
      </c>
      <c r="E872">
        <v>9.99</v>
      </c>
      <c r="F872" t="s">
        <v>722</v>
      </c>
      <c r="G872" t="s">
        <v>128</v>
      </c>
      <c r="H872" t="s">
        <v>14</v>
      </c>
      <c r="I872" t="s">
        <v>69</v>
      </c>
      <c r="J872" s="27">
        <v>45474</v>
      </c>
      <c r="K872">
        <v>2024</v>
      </c>
      <c r="L872" s="27">
        <v>45482</v>
      </c>
      <c r="M872">
        <v>519.73999999999717</v>
      </c>
      <c r="N872">
        <v>6</v>
      </c>
      <c r="O872" t="s">
        <v>90</v>
      </c>
      <c r="P872">
        <f t="shared" si="14"/>
        <v>0</v>
      </c>
    </row>
    <row r="873" spans="1:16" hidden="1" x14ac:dyDescent="0.25">
      <c r="A873" s="8">
        <v>868</v>
      </c>
      <c r="B873">
        <v>477</v>
      </c>
      <c r="C873" s="27">
        <v>45482</v>
      </c>
      <c r="D873" t="s">
        <v>723</v>
      </c>
      <c r="E873">
        <v>21.34</v>
      </c>
      <c r="F873" t="s">
        <v>88</v>
      </c>
      <c r="G873" t="s">
        <v>107</v>
      </c>
      <c r="H873" t="s">
        <v>14</v>
      </c>
      <c r="I873" t="s">
        <v>69</v>
      </c>
      <c r="J873" s="27">
        <v>45474</v>
      </c>
      <c r="K873">
        <v>2024</v>
      </c>
      <c r="L873" s="27">
        <v>45482</v>
      </c>
      <c r="M873">
        <v>541.0799999999972</v>
      </c>
      <c r="N873">
        <v>35</v>
      </c>
      <c r="O873" t="s">
        <v>90</v>
      </c>
      <c r="P873">
        <f t="shared" si="14"/>
        <v>0</v>
      </c>
    </row>
    <row r="874" spans="1:16" hidden="1" x14ac:dyDescent="0.25">
      <c r="A874" s="8">
        <v>869</v>
      </c>
      <c r="B874">
        <v>478</v>
      </c>
      <c r="C874" s="27">
        <v>45482</v>
      </c>
      <c r="D874" t="s">
        <v>721</v>
      </c>
      <c r="E874">
        <v>9.99</v>
      </c>
      <c r="F874" t="s">
        <v>722</v>
      </c>
      <c r="G874" t="s">
        <v>128</v>
      </c>
      <c r="H874" t="s">
        <v>14</v>
      </c>
      <c r="I874" t="s">
        <v>69</v>
      </c>
      <c r="J874" s="27">
        <v>45474</v>
      </c>
      <c r="K874">
        <v>2024</v>
      </c>
      <c r="L874" s="27">
        <v>45482</v>
      </c>
      <c r="M874">
        <v>551.06999999999721</v>
      </c>
      <c r="N874">
        <v>7</v>
      </c>
      <c r="O874" t="s">
        <v>90</v>
      </c>
      <c r="P874">
        <f t="shared" si="14"/>
        <v>0</v>
      </c>
    </row>
    <row r="875" spans="1:16" hidden="1" x14ac:dyDescent="0.25">
      <c r="A875" s="8">
        <v>870</v>
      </c>
      <c r="B875">
        <v>479</v>
      </c>
      <c r="C875" s="27">
        <v>45483</v>
      </c>
      <c r="D875" t="s">
        <v>724</v>
      </c>
      <c r="E875">
        <v>55.26</v>
      </c>
      <c r="F875" t="s">
        <v>133</v>
      </c>
      <c r="G875" t="s">
        <v>199</v>
      </c>
      <c r="H875" t="s">
        <v>14</v>
      </c>
      <c r="I875" t="s">
        <v>395</v>
      </c>
      <c r="J875" s="27">
        <v>45474</v>
      </c>
      <c r="K875">
        <v>2024</v>
      </c>
      <c r="L875" s="27">
        <v>45483</v>
      </c>
      <c r="M875">
        <v>606.3299999999972</v>
      </c>
      <c r="N875">
        <v>4</v>
      </c>
      <c r="O875" t="s">
        <v>90</v>
      </c>
      <c r="P875">
        <f t="shared" si="14"/>
        <v>0</v>
      </c>
    </row>
    <row r="876" spans="1:16" hidden="1" x14ac:dyDescent="0.25">
      <c r="A876" s="8">
        <v>871</v>
      </c>
      <c r="B876">
        <v>480</v>
      </c>
      <c r="C876" s="27">
        <v>45484</v>
      </c>
      <c r="D876" t="s">
        <v>619</v>
      </c>
      <c r="E876">
        <v>7.99</v>
      </c>
      <c r="F876" t="s">
        <v>88</v>
      </c>
      <c r="G876" t="s">
        <v>114</v>
      </c>
      <c r="H876" t="s">
        <v>14</v>
      </c>
      <c r="I876" t="s">
        <v>93</v>
      </c>
      <c r="J876" s="27">
        <v>45474</v>
      </c>
      <c r="K876">
        <v>2024</v>
      </c>
      <c r="L876" s="27">
        <v>45484</v>
      </c>
      <c r="M876">
        <v>614.31999999999721</v>
      </c>
      <c r="N876">
        <v>52</v>
      </c>
      <c r="O876" t="s">
        <v>90</v>
      </c>
      <c r="P876">
        <f t="shared" si="14"/>
        <v>0</v>
      </c>
    </row>
    <row r="877" spans="1:16" hidden="1" x14ac:dyDescent="0.25">
      <c r="A877" s="8">
        <v>872</v>
      </c>
      <c r="B877">
        <v>481</v>
      </c>
      <c r="C877" s="27">
        <v>45485</v>
      </c>
      <c r="D877" t="s">
        <v>721</v>
      </c>
      <c r="E877">
        <v>49</v>
      </c>
      <c r="F877" t="s">
        <v>722</v>
      </c>
      <c r="G877" t="s">
        <v>128</v>
      </c>
      <c r="H877" t="s">
        <v>14</v>
      </c>
      <c r="I877" t="s">
        <v>69</v>
      </c>
      <c r="J877" s="27">
        <v>45474</v>
      </c>
      <c r="K877">
        <v>2024</v>
      </c>
      <c r="L877" s="27">
        <v>45485</v>
      </c>
      <c r="M877">
        <v>663.31999999999721</v>
      </c>
      <c r="N877">
        <v>8</v>
      </c>
      <c r="O877" t="s">
        <v>90</v>
      </c>
      <c r="P877">
        <f t="shared" si="14"/>
        <v>0</v>
      </c>
    </row>
    <row r="878" spans="1:16" hidden="1" x14ac:dyDescent="0.25">
      <c r="A878" s="8">
        <v>873</v>
      </c>
      <c r="B878">
        <v>482</v>
      </c>
      <c r="C878" s="27">
        <v>45485</v>
      </c>
      <c r="D878" t="s">
        <v>725</v>
      </c>
      <c r="E878">
        <v>48.86</v>
      </c>
      <c r="F878" t="s">
        <v>106</v>
      </c>
      <c r="G878" t="s">
        <v>137</v>
      </c>
      <c r="H878" t="s">
        <v>14</v>
      </c>
      <c r="I878" t="s">
        <v>118</v>
      </c>
      <c r="J878" s="27">
        <v>45474</v>
      </c>
      <c r="K878">
        <v>2024</v>
      </c>
      <c r="L878" s="27">
        <v>45485</v>
      </c>
      <c r="M878">
        <v>712.17999999999722</v>
      </c>
      <c r="N878">
        <v>17</v>
      </c>
      <c r="O878" t="s">
        <v>90</v>
      </c>
      <c r="P878">
        <f t="shared" si="14"/>
        <v>0</v>
      </c>
    </row>
    <row r="879" spans="1:16" hidden="1" x14ac:dyDescent="0.25">
      <c r="A879" s="8">
        <v>874</v>
      </c>
      <c r="B879">
        <v>483</v>
      </c>
      <c r="C879" s="27">
        <v>45485</v>
      </c>
      <c r="D879" t="s">
        <v>726</v>
      </c>
      <c r="E879">
        <v>200</v>
      </c>
      <c r="F879" t="s">
        <v>192</v>
      </c>
      <c r="G879" t="s">
        <v>193</v>
      </c>
      <c r="H879" t="s">
        <v>14</v>
      </c>
      <c r="I879" t="s">
        <v>40</v>
      </c>
      <c r="J879" s="27">
        <v>45474</v>
      </c>
      <c r="K879">
        <v>2024</v>
      </c>
      <c r="L879" s="27">
        <v>45485</v>
      </c>
      <c r="M879">
        <v>912.17999999999722</v>
      </c>
      <c r="N879">
        <v>3</v>
      </c>
      <c r="O879" t="s">
        <v>90</v>
      </c>
      <c r="P879">
        <f t="shared" si="14"/>
        <v>0</v>
      </c>
    </row>
    <row r="880" spans="1:16" hidden="1" x14ac:dyDescent="0.25">
      <c r="A880" s="8">
        <v>875</v>
      </c>
      <c r="B880">
        <v>484</v>
      </c>
      <c r="C880" s="27">
        <v>45486</v>
      </c>
      <c r="D880" t="s">
        <v>620</v>
      </c>
      <c r="E880">
        <v>15</v>
      </c>
      <c r="F880" t="s">
        <v>88</v>
      </c>
      <c r="G880" t="s">
        <v>114</v>
      </c>
      <c r="H880" t="s">
        <v>14</v>
      </c>
      <c r="I880" t="s">
        <v>93</v>
      </c>
      <c r="J880" s="27">
        <v>45474</v>
      </c>
      <c r="K880">
        <v>2024</v>
      </c>
      <c r="L880" s="27">
        <v>45486</v>
      </c>
      <c r="M880">
        <v>927.17999999999722</v>
      </c>
      <c r="N880">
        <v>53</v>
      </c>
      <c r="O880" t="s">
        <v>90</v>
      </c>
      <c r="P880">
        <f t="shared" si="14"/>
        <v>0</v>
      </c>
    </row>
    <row r="881" spans="1:16" hidden="1" x14ac:dyDescent="0.25">
      <c r="A881" s="8">
        <v>876</v>
      </c>
      <c r="B881">
        <v>485</v>
      </c>
      <c r="C881" s="27">
        <v>45486</v>
      </c>
      <c r="D881" t="s">
        <v>619</v>
      </c>
      <c r="E881">
        <v>15</v>
      </c>
      <c r="F881" t="s">
        <v>88</v>
      </c>
      <c r="G881" t="s">
        <v>114</v>
      </c>
      <c r="H881" t="s">
        <v>14</v>
      </c>
      <c r="I881" t="s">
        <v>93</v>
      </c>
      <c r="J881" s="27">
        <v>45474</v>
      </c>
      <c r="K881">
        <v>2024</v>
      </c>
      <c r="L881" s="27">
        <v>45486</v>
      </c>
      <c r="M881">
        <v>942.17999999999722</v>
      </c>
      <c r="N881">
        <v>54</v>
      </c>
      <c r="O881" t="s">
        <v>90</v>
      </c>
      <c r="P881">
        <f t="shared" si="14"/>
        <v>0</v>
      </c>
    </row>
    <row r="882" spans="1:16" hidden="1" x14ac:dyDescent="0.25">
      <c r="A882" s="8">
        <v>877</v>
      </c>
      <c r="B882">
        <v>486</v>
      </c>
      <c r="C882" s="27">
        <v>45489</v>
      </c>
      <c r="D882" t="s">
        <v>185</v>
      </c>
      <c r="E882">
        <v>90.54</v>
      </c>
      <c r="F882" t="s">
        <v>88</v>
      </c>
      <c r="G882" t="s">
        <v>186</v>
      </c>
      <c r="H882" t="s">
        <v>28</v>
      </c>
      <c r="I882" t="s">
        <v>187</v>
      </c>
      <c r="J882" s="27">
        <v>45474</v>
      </c>
      <c r="K882">
        <v>2024</v>
      </c>
      <c r="L882" s="27">
        <v>45489</v>
      </c>
      <c r="M882">
        <v>1032.7199999999971</v>
      </c>
      <c r="N882">
        <v>7</v>
      </c>
      <c r="O882" t="s">
        <v>90</v>
      </c>
      <c r="P882">
        <f t="shared" si="14"/>
        <v>0</v>
      </c>
    </row>
    <row r="883" spans="1:16" hidden="1" x14ac:dyDescent="0.25">
      <c r="A883" s="8">
        <v>878</v>
      </c>
      <c r="B883">
        <v>487</v>
      </c>
      <c r="C883" s="27">
        <v>45491</v>
      </c>
      <c r="D883" t="s">
        <v>189</v>
      </c>
      <c r="E883">
        <v>55.81</v>
      </c>
      <c r="F883" t="s">
        <v>106</v>
      </c>
      <c r="G883" t="s">
        <v>137</v>
      </c>
      <c r="H883" t="s">
        <v>14</v>
      </c>
      <c r="I883" t="s">
        <v>118</v>
      </c>
      <c r="J883" s="27">
        <v>45474</v>
      </c>
      <c r="K883">
        <v>2024</v>
      </c>
      <c r="L883" s="27">
        <v>45491</v>
      </c>
      <c r="M883">
        <v>1088.529999999997</v>
      </c>
      <c r="N883">
        <v>18</v>
      </c>
      <c r="O883" t="s">
        <v>90</v>
      </c>
      <c r="P883">
        <f t="shared" si="14"/>
        <v>0</v>
      </c>
    </row>
    <row r="884" spans="1:16" hidden="1" x14ac:dyDescent="0.25">
      <c r="A884" s="8">
        <v>879</v>
      </c>
      <c r="B884">
        <v>488</v>
      </c>
      <c r="C884" s="27">
        <v>45492</v>
      </c>
      <c r="D884" t="s">
        <v>730</v>
      </c>
      <c r="E884">
        <v>24.99</v>
      </c>
      <c r="F884" t="s">
        <v>627</v>
      </c>
      <c r="G884" t="s">
        <v>628</v>
      </c>
      <c r="H884" t="s">
        <v>14</v>
      </c>
      <c r="I884" t="s">
        <v>19</v>
      </c>
      <c r="J884" s="27">
        <v>45474</v>
      </c>
      <c r="K884">
        <v>2024</v>
      </c>
      <c r="L884" s="27">
        <v>45492</v>
      </c>
      <c r="M884">
        <v>1113.519999999997</v>
      </c>
      <c r="N884">
        <v>2</v>
      </c>
      <c r="O884" t="s">
        <v>90</v>
      </c>
      <c r="P884">
        <f t="shared" si="14"/>
        <v>0</v>
      </c>
    </row>
    <row r="885" spans="1:16" hidden="1" x14ac:dyDescent="0.25">
      <c r="A885" s="8">
        <v>880</v>
      </c>
      <c r="B885">
        <v>489</v>
      </c>
      <c r="C885" s="27">
        <v>45492</v>
      </c>
      <c r="D885" t="s">
        <v>728</v>
      </c>
      <c r="E885">
        <v>43.43</v>
      </c>
      <c r="F885" t="s">
        <v>88</v>
      </c>
      <c r="G885" t="s">
        <v>729</v>
      </c>
      <c r="H885" t="s">
        <v>14</v>
      </c>
      <c r="I885" t="s">
        <v>69</v>
      </c>
      <c r="J885" s="27">
        <v>45474</v>
      </c>
      <c r="K885">
        <v>2024</v>
      </c>
      <c r="L885" s="27">
        <v>45492</v>
      </c>
      <c r="M885">
        <v>1156.9499999999971</v>
      </c>
      <c r="N885">
        <v>1</v>
      </c>
      <c r="O885" t="s">
        <v>90</v>
      </c>
      <c r="P885">
        <f t="shared" si="14"/>
        <v>0</v>
      </c>
    </row>
    <row r="886" spans="1:16" hidden="1" x14ac:dyDescent="0.25">
      <c r="A886" s="8">
        <v>881</v>
      </c>
      <c r="B886">
        <v>490</v>
      </c>
      <c r="C886" s="27">
        <v>45492</v>
      </c>
      <c r="D886" t="s">
        <v>727</v>
      </c>
      <c r="E886">
        <v>33.69</v>
      </c>
      <c r="F886" t="s">
        <v>116</v>
      </c>
      <c r="G886" t="s">
        <v>141</v>
      </c>
      <c r="H886" t="s">
        <v>14</v>
      </c>
      <c r="I886" t="s">
        <v>118</v>
      </c>
      <c r="J886" s="27">
        <v>45474</v>
      </c>
      <c r="K886">
        <v>2024</v>
      </c>
      <c r="L886" s="27">
        <v>45492</v>
      </c>
      <c r="M886">
        <v>1190.6399999999969</v>
      </c>
      <c r="N886">
        <v>15</v>
      </c>
      <c r="O886" t="s">
        <v>90</v>
      </c>
      <c r="P886">
        <f t="shared" si="14"/>
        <v>0</v>
      </c>
    </row>
    <row r="887" spans="1:16" hidden="1" x14ac:dyDescent="0.25">
      <c r="A887" s="8">
        <v>882</v>
      </c>
      <c r="B887">
        <v>491</v>
      </c>
      <c r="C887" s="27">
        <v>45493</v>
      </c>
      <c r="D887" t="s">
        <v>189</v>
      </c>
      <c r="E887">
        <v>66.19</v>
      </c>
      <c r="F887" t="s">
        <v>106</v>
      </c>
      <c r="G887" t="s">
        <v>137</v>
      </c>
      <c r="H887" t="s">
        <v>14</v>
      </c>
      <c r="I887" t="s">
        <v>118</v>
      </c>
      <c r="J887" s="27">
        <v>45474</v>
      </c>
      <c r="K887">
        <v>2024</v>
      </c>
      <c r="L887" s="27">
        <v>45493</v>
      </c>
      <c r="M887">
        <v>1256.829999999997</v>
      </c>
      <c r="N887">
        <v>19</v>
      </c>
      <c r="O887" t="s">
        <v>90</v>
      </c>
      <c r="P887">
        <f t="shared" si="14"/>
        <v>0</v>
      </c>
    </row>
    <row r="888" spans="1:16" hidden="1" x14ac:dyDescent="0.25">
      <c r="A888" s="8">
        <v>883</v>
      </c>
      <c r="B888">
        <v>492</v>
      </c>
      <c r="C888" s="27">
        <v>45493</v>
      </c>
      <c r="D888" t="s">
        <v>241</v>
      </c>
      <c r="E888">
        <v>40.200000000000003</v>
      </c>
      <c r="F888" t="s">
        <v>136</v>
      </c>
      <c r="G888" t="s">
        <v>212</v>
      </c>
      <c r="H888" t="s">
        <v>14</v>
      </c>
      <c r="I888" t="s">
        <v>69</v>
      </c>
      <c r="J888" s="27">
        <v>45474</v>
      </c>
      <c r="K888">
        <v>2024</v>
      </c>
      <c r="L888" s="27">
        <v>45493</v>
      </c>
      <c r="M888">
        <v>1297.029999999997</v>
      </c>
      <c r="N888">
        <v>8</v>
      </c>
      <c r="O888" t="s">
        <v>90</v>
      </c>
      <c r="P888">
        <f t="shared" si="14"/>
        <v>0</v>
      </c>
    </row>
    <row r="889" spans="1:16" hidden="1" x14ac:dyDescent="0.25">
      <c r="A889" s="8">
        <v>884</v>
      </c>
      <c r="B889">
        <v>493</v>
      </c>
      <c r="C889" s="27">
        <v>45494</v>
      </c>
      <c r="D889" t="s">
        <v>91</v>
      </c>
      <c r="E889">
        <v>20.99</v>
      </c>
      <c r="F889" t="s">
        <v>88</v>
      </c>
      <c r="G889" t="s">
        <v>92</v>
      </c>
      <c r="H889" t="s">
        <v>14</v>
      </c>
      <c r="I889" t="s">
        <v>93</v>
      </c>
      <c r="J889" s="27">
        <v>45474</v>
      </c>
      <c r="K889">
        <v>2024</v>
      </c>
      <c r="L889" s="27">
        <v>45494</v>
      </c>
      <c r="M889">
        <v>1318.019999999997</v>
      </c>
      <c r="N889">
        <v>16</v>
      </c>
      <c r="O889" t="s">
        <v>90</v>
      </c>
      <c r="P889">
        <f t="shared" si="14"/>
        <v>0</v>
      </c>
    </row>
    <row r="890" spans="1:16" hidden="1" x14ac:dyDescent="0.25">
      <c r="A890" s="8">
        <v>885</v>
      </c>
      <c r="B890">
        <v>494</v>
      </c>
      <c r="C890" s="27">
        <v>45495</v>
      </c>
      <c r="D890" t="s">
        <v>189</v>
      </c>
      <c r="E890">
        <v>49.41</v>
      </c>
      <c r="F890" t="s">
        <v>106</v>
      </c>
      <c r="G890" t="s">
        <v>137</v>
      </c>
      <c r="H890" t="s">
        <v>14</v>
      </c>
      <c r="I890" t="s">
        <v>118</v>
      </c>
      <c r="J890" s="27">
        <v>45474</v>
      </c>
      <c r="K890">
        <v>2024</v>
      </c>
      <c r="L890" s="27">
        <v>45495</v>
      </c>
      <c r="M890">
        <v>1367.429999999998</v>
      </c>
      <c r="N890">
        <v>20</v>
      </c>
      <c r="O890" t="s">
        <v>90</v>
      </c>
      <c r="P890">
        <f t="shared" si="14"/>
        <v>0</v>
      </c>
    </row>
    <row r="891" spans="1:16" hidden="1" x14ac:dyDescent="0.25">
      <c r="A891" s="8">
        <v>886</v>
      </c>
      <c r="B891">
        <v>495</v>
      </c>
      <c r="C891" s="27">
        <v>45496</v>
      </c>
      <c r="D891" t="s">
        <v>731</v>
      </c>
      <c r="E891">
        <v>-13.47</v>
      </c>
      <c r="F891" t="s">
        <v>163</v>
      </c>
      <c r="G891" t="s">
        <v>628</v>
      </c>
      <c r="H891" t="s">
        <v>14</v>
      </c>
      <c r="I891" t="s">
        <v>19</v>
      </c>
      <c r="J891" s="27">
        <v>45474</v>
      </c>
      <c r="K891">
        <v>2024</v>
      </c>
      <c r="L891" s="27">
        <v>45496</v>
      </c>
      <c r="M891">
        <v>1353.959999999998</v>
      </c>
      <c r="N891">
        <v>3</v>
      </c>
      <c r="O891" t="s">
        <v>90</v>
      </c>
      <c r="P891">
        <f t="shared" si="14"/>
        <v>0</v>
      </c>
    </row>
    <row r="892" spans="1:16" hidden="1" x14ac:dyDescent="0.25">
      <c r="A892" s="8">
        <v>887</v>
      </c>
      <c r="B892">
        <v>496</v>
      </c>
      <c r="C892" s="27">
        <v>45499</v>
      </c>
      <c r="D892" t="s">
        <v>732</v>
      </c>
      <c r="E892">
        <v>24.37</v>
      </c>
      <c r="F892" t="s">
        <v>88</v>
      </c>
      <c r="G892" t="s">
        <v>670</v>
      </c>
      <c r="H892" t="s">
        <v>28</v>
      </c>
      <c r="I892" t="s">
        <v>93</v>
      </c>
      <c r="J892" s="27">
        <v>45474</v>
      </c>
      <c r="K892">
        <v>2024</v>
      </c>
      <c r="L892" s="27">
        <v>45499</v>
      </c>
      <c r="M892">
        <v>1378.329999999997</v>
      </c>
      <c r="N892">
        <v>3</v>
      </c>
      <c r="O892" t="s">
        <v>90</v>
      </c>
      <c r="P892">
        <f t="shared" si="14"/>
        <v>0</v>
      </c>
    </row>
    <row r="893" spans="1:16" hidden="1" x14ac:dyDescent="0.25">
      <c r="A893" s="8">
        <v>888</v>
      </c>
      <c r="B893">
        <v>497</v>
      </c>
      <c r="C893" s="27">
        <v>45500</v>
      </c>
      <c r="D893" t="s">
        <v>316</v>
      </c>
      <c r="E893">
        <v>29.99</v>
      </c>
      <c r="F893" t="s">
        <v>88</v>
      </c>
      <c r="G893" t="s">
        <v>214</v>
      </c>
      <c r="H893" t="s">
        <v>28</v>
      </c>
      <c r="I893" t="s">
        <v>69</v>
      </c>
      <c r="J893" s="27">
        <v>45474</v>
      </c>
      <c r="K893">
        <v>2024</v>
      </c>
      <c r="L893" s="27">
        <v>45500</v>
      </c>
      <c r="M893">
        <v>1408.319999999997</v>
      </c>
      <c r="N893">
        <v>7</v>
      </c>
      <c r="O893" t="s">
        <v>90</v>
      </c>
      <c r="P893">
        <f t="shared" si="14"/>
        <v>0</v>
      </c>
    </row>
    <row r="894" spans="1:16" hidden="1" x14ac:dyDescent="0.25">
      <c r="A894" s="8">
        <v>889</v>
      </c>
      <c r="B894">
        <v>498</v>
      </c>
      <c r="C894" s="27">
        <v>45500</v>
      </c>
      <c r="D894" t="s">
        <v>619</v>
      </c>
      <c r="E894">
        <v>10</v>
      </c>
      <c r="F894" t="s">
        <v>88</v>
      </c>
      <c r="G894" t="s">
        <v>114</v>
      </c>
      <c r="H894" t="s">
        <v>14</v>
      </c>
      <c r="I894" t="s">
        <v>93</v>
      </c>
      <c r="J894" s="27">
        <v>45474</v>
      </c>
      <c r="K894">
        <v>2024</v>
      </c>
      <c r="L894" s="27">
        <v>45500</v>
      </c>
      <c r="M894">
        <v>1418.319999999997</v>
      </c>
      <c r="N894">
        <v>55</v>
      </c>
      <c r="O894" t="s">
        <v>90</v>
      </c>
      <c r="P894">
        <f t="shared" si="14"/>
        <v>0</v>
      </c>
    </row>
    <row r="895" spans="1:16" hidden="1" x14ac:dyDescent="0.25">
      <c r="A895" s="8">
        <v>890</v>
      </c>
      <c r="B895">
        <v>499</v>
      </c>
      <c r="C895" s="27">
        <v>45500</v>
      </c>
      <c r="D895" t="s">
        <v>733</v>
      </c>
      <c r="E895">
        <v>30.33</v>
      </c>
      <c r="F895" t="s">
        <v>116</v>
      </c>
      <c r="G895" t="s">
        <v>117</v>
      </c>
      <c r="H895" t="s">
        <v>14</v>
      </c>
      <c r="I895" t="s">
        <v>118</v>
      </c>
      <c r="J895" s="27">
        <v>45474</v>
      </c>
      <c r="K895">
        <v>2024</v>
      </c>
      <c r="L895" s="27">
        <v>45500</v>
      </c>
      <c r="M895">
        <v>1448.6499999999969</v>
      </c>
      <c r="N895">
        <v>45</v>
      </c>
      <c r="O895" t="s">
        <v>90</v>
      </c>
      <c r="P895">
        <f t="shared" si="14"/>
        <v>0</v>
      </c>
    </row>
    <row r="896" spans="1:16" hidden="1" x14ac:dyDescent="0.25">
      <c r="A896" s="8">
        <v>891</v>
      </c>
      <c r="B896">
        <v>500</v>
      </c>
      <c r="C896" s="27">
        <v>45500</v>
      </c>
      <c r="D896" t="s">
        <v>105</v>
      </c>
      <c r="E896">
        <v>92.59</v>
      </c>
      <c r="F896" t="s">
        <v>106</v>
      </c>
      <c r="G896" t="s">
        <v>107</v>
      </c>
      <c r="H896" t="s">
        <v>14</v>
      </c>
      <c r="I896" t="s">
        <v>69</v>
      </c>
      <c r="J896" s="27">
        <v>45474</v>
      </c>
      <c r="K896">
        <v>2024</v>
      </c>
      <c r="L896" s="27">
        <v>45500</v>
      </c>
      <c r="M896">
        <v>1541.2399999999971</v>
      </c>
      <c r="N896">
        <v>36</v>
      </c>
      <c r="O896" t="s">
        <v>90</v>
      </c>
      <c r="P896">
        <f t="shared" si="14"/>
        <v>0</v>
      </c>
    </row>
    <row r="897" spans="1:16" hidden="1" x14ac:dyDescent="0.25">
      <c r="A897" s="8">
        <v>892</v>
      </c>
      <c r="B897">
        <v>501</v>
      </c>
      <c r="C897" s="27">
        <v>45501</v>
      </c>
      <c r="D897" t="s">
        <v>734</v>
      </c>
      <c r="E897">
        <v>44.8</v>
      </c>
      <c r="F897" t="s">
        <v>88</v>
      </c>
      <c r="G897" t="s">
        <v>128</v>
      </c>
      <c r="H897" t="s">
        <v>14</v>
      </c>
      <c r="I897" t="s">
        <v>69</v>
      </c>
      <c r="J897" s="27">
        <v>45474</v>
      </c>
      <c r="K897">
        <v>2024</v>
      </c>
      <c r="L897" s="27">
        <v>45501</v>
      </c>
      <c r="M897">
        <v>1586.039999999997</v>
      </c>
      <c r="N897">
        <v>9</v>
      </c>
      <c r="O897" t="s">
        <v>90</v>
      </c>
      <c r="P897">
        <f t="shared" si="14"/>
        <v>0</v>
      </c>
    </row>
    <row r="898" spans="1:16" hidden="1" x14ac:dyDescent="0.25">
      <c r="A898" s="8">
        <v>893</v>
      </c>
      <c r="B898">
        <v>502</v>
      </c>
      <c r="C898" s="27">
        <v>45501</v>
      </c>
      <c r="D898" t="s">
        <v>734</v>
      </c>
      <c r="E898">
        <v>20</v>
      </c>
      <c r="F898" t="s">
        <v>88</v>
      </c>
      <c r="G898" t="s">
        <v>128</v>
      </c>
      <c r="H898" t="s">
        <v>14</v>
      </c>
      <c r="I898" t="s">
        <v>69</v>
      </c>
      <c r="J898" s="27">
        <v>45474</v>
      </c>
      <c r="K898">
        <v>2024</v>
      </c>
      <c r="L898" s="27">
        <v>45501</v>
      </c>
      <c r="M898">
        <v>1606.039999999997</v>
      </c>
      <c r="N898">
        <v>10</v>
      </c>
      <c r="O898" t="s">
        <v>90</v>
      </c>
      <c r="P898">
        <f t="shared" si="14"/>
        <v>0</v>
      </c>
    </row>
    <row r="899" spans="1:16" hidden="1" x14ac:dyDescent="0.25">
      <c r="A899" s="8">
        <v>894</v>
      </c>
      <c r="B899">
        <v>503</v>
      </c>
      <c r="C899" s="27">
        <v>45501</v>
      </c>
      <c r="D899" t="s">
        <v>736</v>
      </c>
      <c r="E899">
        <v>45.57</v>
      </c>
      <c r="F899" t="s">
        <v>88</v>
      </c>
      <c r="G899" t="s">
        <v>107</v>
      </c>
      <c r="H899" t="s">
        <v>14</v>
      </c>
      <c r="I899" t="s">
        <v>69</v>
      </c>
      <c r="J899" s="27">
        <v>45474</v>
      </c>
      <c r="K899">
        <v>2024</v>
      </c>
      <c r="L899" s="27">
        <v>45501</v>
      </c>
      <c r="M899">
        <v>1651.6099999999969</v>
      </c>
      <c r="N899">
        <v>37</v>
      </c>
      <c r="O899" t="s">
        <v>90</v>
      </c>
      <c r="P899">
        <f t="shared" si="14"/>
        <v>0</v>
      </c>
    </row>
    <row r="900" spans="1:16" hidden="1" x14ac:dyDescent="0.25">
      <c r="A900" s="8">
        <v>895</v>
      </c>
      <c r="B900">
        <v>504</v>
      </c>
      <c r="C900" s="27">
        <v>45501</v>
      </c>
      <c r="D900" t="s">
        <v>735</v>
      </c>
      <c r="E900">
        <v>65.760000000000005</v>
      </c>
      <c r="F900" t="s">
        <v>88</v>
      </c>
      <c r="G900" t="s">
        <v>107</v>
      </c>
      <c r="H900" t="s">
        <v>14</v>
      </c>
      <c r="I900" t="s">
        <v>69</v>
      </c>
      <c r="J900" s="27">
        <v>45474</v>
      </c>
      <c r="K900">
        <v>2024</v>
      </c>
      <c r="L900" s="27">
        <v>45501</v>
      </c>
      <c r="M900">
        <v>1717.3699999999969</v>
      </c>
      <c r="N900">
        <v>38</v>
      </c>
      <c r="O900" t="s">
        <v>90</v>
      </c>
      <c r="P900">
        <f t="shared" si="14"/>
        <v>0</v>
      </c>
    </row>
    <row r="901" spans="1:16" hidden="1" x14ac:dyDescent="0.25">
      <c r="A901" s="8">
        <v>896</v>
      </c>
      <c r="B901">
        <v>505</v>
      </c>
      <c r="C901" s="27">
        <v>45502</v>
      </c>
      <c r="D901" t="s">
        <v>737</v>
      </c>
      <c r="E901">
        <v>76.72</v>
      </c>
      <c r="F901" t="s">
        <v>88</v>
      </c>
      <c r="G901" t="s">
        <v>107</v>
      </c>
      <c r="H901" t="s">
        <v>14</v>
      </c>
      <c r="I901" t="s">
        <v>69</v>
      </c>
      <c r="J901" s="27">
        <v>45474</v>
      </c>
      <c r="K901">
        <v>2024</v>
      </c>
      <c r="L901" s="27">
        <v>45502</v>
      </c>
      <c r="M901">
        <v>1794.089999999997</v>
      </c>
      <c r="N901">
        <v>39</v>
      </c>
      <c r="O901" t="s">
        <v>90</v>
      </c>
      <c r="P901">
        <f t="shared" si="14"/>
        <v>0</v>
      </c>
    </row>
    <row r="902" spans="1:16" hidden="1" x14ac:dyDescent="0.25">
      <c r="A902" s="8">
        <v>897</v>
      </c>
      <c r="B902">
        <v>506</v>
      </c>
      <c r="C902" s="27">
        <v>45503</v>
      </c>
      <c r="D902" t="s">
        <v>738</v>
      </c>
      <c r="E902">
        <v>37.090000000000003</v>
      </c>
      <c r="F902" t="s">
        <v>116</v>
      </c>
      <c r="G902" t="s">
        <v>117</v>
      </c>
      <c r="H902" t="s">
        <v>14</v>
      </c>
      <c r="I902" t="s">
        <v>118</v>
      </c>
      <c r="J902" s="27">
        <v>45474</v>
      </c>
      <c r="K902">
        <v>2024</v>
      </c>
      <c r="L902" s="27">
        <v>45503</v>
      </c>
      <c r="M902">
        <v>1831.1799999999971</v>
      </c>
      <c r="N902">
        <v>46</v>
      </c>
      <c r="O902" t="s">
        <v>90</v>
      </c>
      <c r="P902">
        <f t="shared" si="14"/>
        <v>0</v>
      </c>
    </row>
    <row r="903" spans="1:16" hidden="1" x14ac:dyDescent="0.25">
      <c r="A903" s="8">
        <v>898</v>
      </c>
      <c r="B903">
        <v>507</v>
      </c>
      <c r="C903" s="27">
        <v>45504</v>
      </c>
      <c r="D903" t="s">
        <v>105</v>
      </c>
      <c r="E903">
        <v>17.75</v>
      </c>
      <c r="F903" t="s">
        <v>106</v>
      </c>
      <c r="G903" t="s">
        <v>107</v>
      </c>
      <c r="H903" t="s">
        <v>14</v>
      </c>
      <c r="I903" t="s">
        <v>69</v>
      </c>
      <c r="J903" s="27">
        <v>45474</v>
      </c>
      <c r="K903">
        <v>2024</v>
      </c>
      <c r="L903" s="27">
        <v>45504</v>
      </c>
      <c r="M903">
        <v>1848.9299999999971</v>
      </c>
      <c r="N903">
        <v>40</v>
      </c>
      <c r="O903" t="s">
        <v>90</v>
      </c>
      <c r="P903">
        <f t="shared" si="14"/>
        <v>1</v>
      </c>
    </row>
    <row r="904" spans="1:16" hidden="1" x14ac:dyDescent="0.25">
      <c r="A904" s="8">
        <v>899</v>
      </c>
      <c r="B904">
        <v>508</v>
      </c>
      <c r="C904" s="27">
        <v>45505</v>
      </c>
      <c r="D904" t="s">
        <v>739</v>
      </c>
      <c r="E904">
        <v>3.17</v>
      </c>
      <c r="F904" t="s">
        <v>88</v>
      </c>
      <c r="G904" t="s">
        <v>239</v>
      </c>
      <c r="H904" t="s">
        <v>14</v>
      </c>
      <c r="I904" t="s">
        <v>69</v>
      </c>
      <c r="J904" s="27">
        <v>45505</v>
      </c>
      <c r="K904">
        <v>2024</v>
      </c>
      <c r="L904" s="27">
        <v>45505</v>
      </c>
      <c r="M904">
        <v>1852.099999999997</v>
      </c>
      <c r="N904">
        <v>6</v>
      </c>
      <c r="O904" t="s">
        <v>90</v>
      </c>
      <c r="P904">
        <f t="shared" si="14"/>
        <v>0</v>
      </c>
    </row>
    <row r="905" spans="1:16" hidden="1" x14ac:dyDescent="0.25">
      <c r="A905" s="8">
        <v>900</v>
      </c>
      <c r="B905">
        <v>509</v>
      </c>
      <c r="C905" s="27">
        <v>45505</v>
      </c>
      <c r="D905" t="s">
        <v>91</v>
      </c>
      <c r="E905">
        <v>25.99</v>
      </c>
      <c r="F905" t="s">
        <v>88</v>
      </c>
      <c r="G905" t="s">
        <v>92</v>
      </c>
      <c r="H905" t="s">
        <v>14</v>
      </c>
      <c r="I905" t="s">
        <v>93</v>
      </c>
      <c r="J905" s="27">
        <v>45505</v>
      </c>
      <c r="K905">
        <v>2024</v>
      </c>
      <c r="L905" s="27">
        <v>45505</v>
      </c>
      <c r="M905">
        <v>1878.089999999997</v>
      </c>
      <c r="N905">
        <v>17</v>
      </c>
      <c r="O905" t="s">
        <v>90</v>
      </c>
      <c r="P905">
        <f t="shared" ref="P905:P968" si="15">IF(J905&lt;&gt;J906, 1, 0)</f>
        <v>0</v>
      </c>
    </row>
    <row r="906" spans="1:16" hidden="1" x14ac:dyDescent="0.25">
      <c r="A906" s="8">
        <v>901</v>
      </c>
      <c r="B906">
        <v>510</v>
      </c>
      <c r="C906" s="27">
        <v>45505</v>
      </c>
      <c r="D906" t="s">
        <v>674</v>
      </c>
      <c r="E906">
        <v>20</v>
      </c>
      <c r="F906" t="s">
        <v>88</v>
      </c>
      <c r="G906" t="s">
        <v>89</v>
      </c>
      <c r="H906" t="s">
        <v>28</v>
      </c>
      <c r="I906" t="s">
        <v>69</v>
      </c>
      <c r="J906" s="27">
        <v>45505</v>
      </c>
      <c r="K906">
        <v>2024</v>
      </c>
      <c r="L906" s="27">
        <v>45505</v>
      </c>
      <c r="M906">
        <v>1898.089999999997</v>
      </c>
      <c r="N906">
        <v>8</v>
      </c>
      <c r="O906" t="s">
        <v>90</v>
      </c>
      <c r="P906">
        <f t="shared" si="15"/>
        <v>0</v>
      </c>
    </row>
    <row r="907" spans="1:16" hidden="1" x14ac:dyDescent="0.25">
      <c r="A907" s="8">
        <v>902</v>
      </c>
      <c r="B907">
        <v>511</v>
      </c>
      <c r="C907" s="27">
        <v>45505</v>
      </c>
      <c r="D907" t="s">
        <v>740</v>
      </c>
      <c r="E907">
        <v>312.60000000000002</v>
      </c>
      <c r="F907" t="s">
        <v>136</v>
      </c>
      <c r="G907" t="s">
        <v>149</v>
      </c>
      <c r="H907" t="s">
        <v>14</v>
      </c>
      <c r="I907" t="s">
        <v>93</v>
      </c>
      <c r="J907" s="27">
        <v>45505</v>
      </c>
      <c r="K907">
        <v>2024</v>
      </c>
      <c r="L907" s="27">
        <v>45505</v>
      </c>
      <c r="M907">
        <v>2210.6899999999969</v>
      </c>
      <c r="N907">
        <v>3</v>
      </c>
      <c r="O907" t="s">
        <v>90</v>
      </c>
      <c r="P907">
        <f t="shared" si="15"/>
        <v>0</v>
      </c>
    </row>
    <row r="908" spans="1:16" hidden="1" x14ac:dyDescent="0.25">
      <c r="A908" s="8">
        <v>903</v>
      </c>
      <c r="B908">
        <v>512</v>
      </c>
      <c r="C908" s="27">
        <v>45505</v>
      </c>
      <c r="D908" t="s">
        <v>94</v>
      </c>
      <c r="E908">
        <v>5</v>
      </c>
      <c r="F908" t="s">
        <v>95</v>
      </c>
      <c r="G908" t="s">
        <v>96</v>
      </c>
      <c r="H908" t="s">
        <v>28</v>
      </c>
      <c r="I908" t="s">
        <v>69</v>
      </c>
      <c r="J908" s="27">
        <v>45505</v>
      </c>
      <c r="K908">
        <v>2024</v>
      </c>
      <c r="L908" s="27">
        <v>45505</v>
      </c>
      <c r="M908">
        <v>2215.6899999999969</v>
      </c>
      <c r="N908">
        <v>8</v>
      </c>
      <c r="O908" t="s">
        <v>90</v>
      </c>
      <c r="P908">
        <f t="shared" si="15"/>
        <v>0</v>
      </c>
    </row>
    <row r="909" spans="1:16" hidden="1" x14ac:dyDescent="0.25">
      <c r="A909" s="8">
        <v>904</v>
      </c>
      <c r="B909">
        <v>513</v>
      </c>
      <c r="C909" s="27">
        <v>45505</v>
      </c>
      <c r="D909" t="s">
        <v>741</v>
      </c>
      <c r="E909">
        <v>5.99</v>
      </c>
      <c r="F909" t="s">
        <v>88</v>
      </c>
      <c r="G909" t="s">
        <v>98</v>
      </c>
      <c r="H909" t="s">
        <v>28</v>
      </c>
      <c r="I909" t="s">
        <v>93</v>
      </c>
      <c r="J909" s="27">
        <v>45505</v>
      </c>
      <c r="K909">
        <v>2024</v>
      </c>
      <c r="L909" s="27">
        <v>45505</v>
      </c>
      <c r="M909">
        <v>2221.6799999999971</v>
      </c>
      <c r="N909">
        <v>8</v>
      </c>
      <c r="O909" t="s">
        <v>90</v>
      </c>
      <c r="P909">
        <f t="shared" si="15"/>
        <v>0</v>
      </c>
    </row>
    <row r="910" spans="1:16" hidden="1" x14ac:dyDescent="0.25">
      <c r="A910" s="8">
        <v>905</v>
      </c>
      <c r="B910">
        <v>514</v>
      </c>
      <c r="C910" s="27">
        <v>45506</v>
      </c>
      <c r="D910" t="s">
        <v>676</v>
      </c>
      <c r="E910">
        <v>10</v>
      </c>
      <c r="F910" t="s">
        <v>88</v>
      </c>
      <c r="G910" t="s">
        <v>102</v>
      </c>
      <c r="H910" t="s">
        <v>28</v>
      </c>
      <c r="I910" t="s">
        <v>93</v>
      </c>
      <c r="J910" s="27">
        <v>45505</v>
      </c>
      <c r="K910">
        <v>2024</v>
      </c>
      <c r="L910" s="27">
        <v>45506</v>
      </c>
      <c r="M910">
        <v>2231.6799999999971</v>
      </c>
      <c r="N910">
        <v>8</v>
      </c>
      <c r="O910" t="s">
        <v>90</v>
      </c>
      <c r="P910">
        <f t="shared" si="15"/>
        <v>0</v>
      </c>
    </row>
    <row r="911" spans="1:16" hidden="1" x14ac:dyDescent="0.25">
      <c r="A911" s="8">
        <v>906</v>
      </c>
      <c r="B911">
        <v>515</v>
      </c>
      <c r="C911" s="27">
        <v>45506</v>
      </c>
      <c r="D911" t="s">
        <v>189</v>
      </c>
      <c r="E911">
        <v>41.15</v>
      </c>
      <c r="F911" t="s">
        <v>106</v>
      </c>
      <c r="G911" t="s">
        <v>137</v>
      </c>
      <c r="H911" t="s">
        <v>14</v>
      </c>
      <c r="I911" t="s">
        <v>118</v>
      </c>
      <c r="J911" s="27">
        <v>45505</v>
      </c>
      <c r="K911">
        <v>2024</v>
      </c>
      <c r="L911" s="27">
        <v>45506</v>
      </c>
      <c r="M911">
        <v>2272.8299999999972</v>
      </c>
      <c r="N911">
        <v>21</v>
      </c>
      <c r="O911" t="s">
        <v>90</v>
      </c>
      <c r="P911">
        <f t="shared" si="15"/>
        <v>0</v>
      </c>
    </row>
    <row r="912" spans="1:16" hidden="1" x14ac:dyDescent="0.25">
      <c r="A912" s="8">
        <v>907</v>
      </c>
      <c r="B912">
        <v>516</v>
      </c>
      <c r="C912" s="27">
        <v>45506</v>
      </c>
      <c r="D912" t="s">
        <v>742</v>
      </c>
      <c r="E912">
        <v>273.60000000000002</v>
      </c>
      <c r="F912" t="s">
        <v>95</v>
      </c>
      <c r="G912" t="s">
        <v>100</v>
      </c>
      <c r="H912" t="s">
        <v>28</v>
      </c>
      <c r="I912" t="s">
        <v>69</v>
      </c>
      <c r="J912" s="27">
        <v>45505</v>
      </c>
      <c r="K912">
        <v>2024</v>
      </c>
      <c r="L912" s="27">
        <v>45506</v>
      </c>
      <c r="M912">
        <v>2546.4299999999971</v>
      </c>
      <c r="N912">
        <v>10</v>
      </c>
      <c r="O912" t="s">
        <v>90</v>
      </c>
      <c r="P912">
        <f t="shared" si="15"/>
        <v>0</v>
      </c>
    </row>
    <row r="913" spans="1:16" hidden="1" x14ac:dyDescent="0.25">
      <c r="A913" s="8">
        <v>908</v>
      </c>
      <c r="B913">
        <v>517</v>
      </c>
      <c r="C913" s="27">
        <v>45507</v>
      </c>
      <c r="D913" t="s">
        <v>743</v>
      </c>
      <c r="E913">
        <v>13.44</v>
      </c>
      <c r="F913" t="s">
        <v>116</v>
      </c>
      <c r="G913" t="s">
        <v>92</v>
      </c>
      <c r="H913" t="s">
        <v>14</v>
      </c>
      <c r="I913" t="s">
        <v>93</v>
      </c>
      <c r="J913" s="27">
        <v>45505</v>
      </c>
      <c r="K913">
        <v>2024</v>
      </c>
      <c r="L913" s="27">
        <v>45507</v>
      </c>
      <c r="M913">
        <v>2559.8699999999972</v>
      </c>
      <c r="N913">
        <v>18</v>
      </c>
      <c r="O913" t="s">
        <v>90</v>
      </c>
      <c r="P913">
        <f t="shared" si="15"/>
        <v>0</v>
      </c>
    </row>
    <row r="914" spans="1:16" hidden="1" x14ac:dyDescent="0.25">
      <c r="A914" s="8">
        <v>909</v>
      </c>
      <c r="B914">
        <v>518</v>
      </c>
      <c r="C914" s="27">
        <v>45507</v>
      </c>
      <c r="D914" t="s">
        <v>162</v>
      </c>
      <c r="E914">
        <v>-2511.3000000000002</v>
      </c>
      <c r="F914" t="s">
        <v>163</v>
      </c>
      <c r="G914" t="s">
        <v>164</v>
      </c>
      <c r="H914" t="s">
        <v>14</v>
      </c>
      <c r="I914" t="s">
        <v>80</v>
      </c>
      <c r="J914" s="27">
        <v>45505</v>
      </c>
      <c r="K914">
        <v>2024</v>
      </c>
      <c r="L914" s="27">
        <v>45507</v>
      </c>
      <c r="M914">
        <v>48.56999999999698</v>
      </c>
      <c r="N914">
        <v>13</v>
      </c>
      <c r="O914" t="s">
        <v>90</v>
      </c>
      <c r="P914">
        <f t="shared" si="15"/>
        <v>0</v>
      </c>
    </row>
    <row r="915" spans="1:16" hidden="1" x14ac:dyDescent="0.25">
      <c r="A915" s="8">
        <v>910</v>
      </c>
      <c r="B915">
        <v>519</v>
      </c>
      <c r="C915" s="27">
        <v>45507</v>
      </c>
      <c r="D915" t="s">
        <v>110</v>
      </c>
      <c r="E915">
        <v>-28</v>
      </c>
      <c r="F915" t="s">
        <v>111</v>
      </c>
      <c r="G915" t="s">
        <v>112</v>
      </c>
      <c r="H915" t="s">
        <v>14</v>
      </c>
      <c r="I915" t="s">
        <v>80</v>
      </c>
      <c r="J915" s="27">
        <v>45505</v>
      </c>
      <c r="K915">
        <v>2024</v>
      </c>
      <c r="L915" s="27">
        <v>45507</v>
      </c>
      <c r="M915">
        <v>20.56999999999698</v>
      </c>
      <c r="N915">
        <v>8</v>
      </c>
      <c r="O915" t="s">
        <v>90</v>
      </c>
      <c r="P915">
        <f t="shared" si="15"/>
        <v>0</v>
      </c>
    </row>
    <row r="916" spans="1:16" hidden="1" x14ac:dyDescent="0.25">
      <c r="A916" s="8">
        <v>911</v>
      </c>
      <c r="B916">
        <v>520</v>
      </c>
      <c r="C916" s="27">
        <v>45507</v>
      </c>
      <c r="D916" t="s">
        <v>744</v>
      </c>
      <c r="E916">
        <v>59</v>
      </c>
      <c r="F916" t="s">
        <v>88</v>
      </c>
      <c r="G916" t="s">
        <v>729</v>
      </c>
      <c r="H916" t="s">
        <v>14</v>
      </c>
      <c r="I916" t="s">
        <v>69</v>
      </c>
      <c r="J916" s="27">
        <v>45505</v>
      </c>
      <c r="K916">
        <v>2024</v>
      </c>
      <c r="L916" s="27">
        <v>45507</v>
      </c>
      <c r="M916">
        <v>79.56999999999698</v>
      </c>
      <c r="N916">
        <v>2</v>
      </c>
      <c r="O916" t="s">
        <v>90</v>
      </c>
      <c r="P916">
        <f t="shared" si="15"/>
        <v>0</v>
      </c>
    </row>
    <row r="917" spans="1:16" hidden="1" x14ac:dyDescent="0.25">
      <c r="A917" s="8">
        <v>912</v>
      </c>
      <c r="B917">
        <v>521</v>
      </c>
      <c r="C917" s="27">
        <v>45508</v>
      </c>
      <c r="D917" t="s">
        <v>739</v>
      </c>
      <c r="E917">
        <v>-3.17</v>
      </c>
      <c r="F917" t="s">
        <v>163</v>
      </c>
      <c r="G917" t="s">
        <v>239</v>
      </c>
      <c r="H917" t="s">
        <v>14</v>
      </c>
      <c r="I917" t="s">
        <v>69</v>
      </c>
      <c r="J917" s="27">
        <v>45505</v>
      </c>
      <c r="K917">
        <v>2024</v>
      </c>
      <c r="L917" s="27">
        <v>45508</v>
      </c>
      <c r="M917">
        <v>76.399999999996979</v>
      </c>
      <c r="N917">
        <v>7</v>
      </c>
      <c r="O917" t="s">
        <v>90</v>
      </c>
      <c r="P917">
        <f t="shared" si="15"/>
        <v>0</v>
      </c>
    </row>
    <row r="918" spans="1:16" hidden="1" x14ac:dyDescent="0.25">
      <c r="A918" s="8">
        <v>913</v>
      </c>
      <c r="B918">
        <v>522</v>
      </c>
      <c r="C918" s="27">
        <v>45509</v>
      </c>
      <c r="D918" t="s">
        <v>156</v>
      </c>
      <c r="E918">
        <v>34.82</v>
      </c>
      <c r="F918" t="s">
        <v>116</v>
      </c>
      <c r="G918" t="s">
        <v>141</v>
      </c>
      <c r="H918" t="s">
        <v>14</v>
      </c>
      <c r="I918" t="s">
        <v>118</v>
      </c>
      <c r="J918" s="27">
        <v>45505</v>
      </c>
      <c r="K918">
        <v>2024</v>
      </c>
      <c r="L918" s="27">
        <v>45509</v>
      </c>
      <c r="M918">
        <v>111.219999999997</v>
      </c>
      <c r="N918">
        <v>16</v>
      </c>
      <c r="O918" t="s">
        <v>90</v>
      </c>
      <c r="P918">
        <f t="shared" si="15"/>
        <v>0</v>
      </c>
    </row>
    <row r="919" spans="1:16" hidden="1" x14ac:dyDescent="0.25">
      <c r="A919" s="8">
        <v>914</v>
      </c>
      <c r="B919">
        <v>523</v>
      </c>
      <c r="C919" s="27">
        <v>45511</v>
      </c>
      <c r="D919" t="s">
        <v>745</v>
      </c>
      <c r="E919">
        <v>32.75</v>
      </c>
      <c r="F919" t="s">
        <v>116</v>
      </c>
      <c r="G919" t="s">
        <v>143</v>
      </c>
      <c r="H919" t="s">
        <v>14</v>
      </c>
      <c r="I919" t="s">
        <v>118</v>
      </c>
      <c r="J919" s="27">
        <v>45505</v>
      </c>
      <c r="K919">
        <v>2024</v>
      </c>
      <c r="L919" s="27">
        <v>45511</v>
      </c>
      <c r="M919">
        <v>143.96999999999699</v>
      </c>
      <c r="N919">
        <v>4</v>
      </c>
      <c r="O919" t="s">
        <v>90</v>
      </c>
      <c r="P919">
        <f t="shared" si="15"/>
        <v>0</v>
      </c>
    </row>
    <row r="920" spans="1:16" hidden="1" x14ac:dyDescent="0.25">
      <c r="A920" s="8">
        <v>915</v>
      </c>
      <c r="B920">
        <v>524</v>
      </c>
      <c r="C920" s="27">
        <v>45512</v>
      </c>
      <c r="D920" t="s">
        <v>91</v>
      </c>
      <c r="E920">
        <v>21.98</v>
      </c>
      <c r="F920" t="s">
        <v>88</v>
      </c>
      <c r="G920" t="s">
        <v>92</v>
      </c>
      <c r="H920" t="s">
        <v>14</v>
      </c>
      <c r="I920" t="s">
        <v>93</v>
      </c>
      <c r="J920" s="27">
        <v>45505</v>
      </c>
      <c r="K920">
        <v>2024</v>
      </c>
      <c r="L920" s="27">
        <v>45512</v>
      </c>
      <c r="M920">
        <v>165.949999999997</v>
      </c>
      <c r="N920">
        <v>19</v>
      </c>
      <c r="O920" t="s">
        <v>90</v>
      </c>
      <c r="P920">
        <f t="shared" si="15"/>
        <v>0</v>
      </c>
    </row>
    <row r="921" spans="1:16" hidden="1" x14ac:dyDescent="0.25">
      <c r="A921" s="8">
        <v>916</v>
      </c>
      <c r="B921">
        <v>525</v>
      </c>
      <c r="C921" s="27">
        <v>45515</v>
      </c>
      <c r="D921" t="s">
        <v>746</v>
      </c>
      <c r="E921">
        <v>11.1</v>
      </c>
      <c r="F921" t="s">
        <v>136</v>
      </c>
      <c r="G921" t="s">
        <v>92</v>
      </c>
      <c r="H921" t="s">
        <v>14</v>
      </c>
      <c r="I921" t="s">
        <v>93</v>
      </c>
      <c r="J921" s="27">
        <v>45505</v>
      </c>
      <c r="K921">
        <v>2024</v>
      </c>
      <c r="L921" s="27">
        <v>45515</v>
      </c>
      <c r="M921">
        <v>177.049999999997</v>
      </c>
      <c r="N921">
        <v>20</v>
      </c>
      <c r="O921" t="s">
        <v>90</v>
      </c>
      <c r="P921">
        <f t="shared" si="15"/>
        <v>0</v>
      </c>
    </row>
    <row r="922" spans="1:16" hidden="1" x14ac:dyDescent="0.25">
      <c r="A922" s="8">
        <v>917</v>
      </c>
      <c r="B922">
        <v>526</v>
      </c>
      <c r="C922" s="27">
        <v>45515</v>
      </c>
      <c r="D922" t="s">
        <v>189</v>
      </c>
      <c r="E922">
        <v>72.86</v>
      </c>
      <c r="F922" t="s">
        <v>106</v>
      </c>
      <c r="G922" t="s">
        <v>137</v>
      </c>
      <c r="H922" t="s">
        <v>14</v>
      </c>
      <c r="I922" t="s">
        <v>118</v>
      </c>
      <c r="J922" s="27">
        <v>45505</v>
      </c>
      <c r="K922">
        <v>2024</v>
      </c>
      <c r="L922" s="27">
        <v>45515</v>
      </c>
      <c r="M922">
        <v>249.90999999999701</v>
      </c>
      <c r="N922">
        <v>22</v>
      </c>
      <c r="O922" t="s">
        <v>90</v>
      </c>
      <c r="P922">
        <f t="shared" si="15"/>
        <v>0</v>
      </c>
    </row>
    <row r="923" spans="1:16" hidden="1" x14ac:dyDescent="0.25">
      <c r="A923" s="8">
        <v>918</v>
      </c>
      <c r="B923">
        <v>527</v>
      </c>
      <c r="C923" s="27">
        <v>45515</v>
      </c>
      <c r="D923" t="s">
        <v>694</v>
      </c>
      <c r="E923">
        <v>131.25</v>
      </c>
      <c r="F923" t="s">
        <v>88</v>
      </c>
      <c r="G923" t="s">
        <v>168</v>
      </c>
      <c r="H923" t="s">
        <v>14</v>
      </c>
      <c r="I923" t="s">
        <v>69</v>
      </c>
      <c r="J923" s="27">
        <v>45505</v>
      </c>
      <c r="K923">
        <v>2024</v>
      </c>
      <c r="L923" s="27">
        <v>45515</v>
      </c>
      <c r="M923">
        <v>381.15999999999701</v>
      </c>
      <c r="N923">
        <v>17</v>
      </c>
      <c r="O923" t="s">
        <v>90</v>
      </c>
      <c r="P923">
        <f t="shared" si="15"/>
        <v>0</v>
      </c>
    </row>
    <row r="924" spans="1:16" hidden="1" x14ac:dyDescent="0.25">
      <c r="A924" s="8">
        <v>919</v>
      </c>
      <c r="B924">
        <v>528</v>
      </c>
      <c r="C924" s="27">
        <v>45516</v>
      </c>
      <c r="D924" t="s">
        <v>747</v>
      </c>
      <c r="E924">
        <v>2.11</v>
      </c>
      <c r="F924" t="s">
        <v>88</v>
      </c>
      <c r="G924" t="s">
        <v>748</v>
      </c>
      <c r="H924" t="s">
        <v>28</v>
      </c>
      <c r="I924" t="s">
        <v>69</v>
      </c>
      <c r="J924" s="27">
        <v>45505</v>
      </c>
      <c r="K924">
        <v>2024</v>
      </c>
      <c r="L924" s="27">
        <v>45516</v>
      </c>
      <c r="M924">
        <v>383.26999999999703</v>
      </c>
      <c r="N924">
        <v>1</v>
      </c>
      <c r="O924" t="s">
        <v>90</v>
      </c>
      <c r="P924">
        <f t="shared" si="15"/>
        <v>0</v>
      </c>
    </row>
    <row r="925" spans="1:16" hidden="1" x14ac:dyDescent="0.25">
      <c r="A925" s="8">
        <v>920</v>
      </c>
      <c r="B925">
        <v>529</v>
      </c>
      <c r="C925" s="27">
        <v>45518</v>
      </c>
      <c r="D925" t="s">
        <v>185</v>
      </c>
      <c r="E925">
        <v>108.56</v>
      </c>
      <c r="F925" t="s">
        <v>88</v>
      </c>
      <c r="G925" t="s">
        <v>186</v>
      </c>
      <c r="H925" t="s">
        <v>28</v>
      </c>
      <c r="I925" t="s">
        <v>187</v>
      </c>
      <c r="J925" s="27">
        <v>45505</v>
      </c>
      <c r="K925">
        <v>2024</v>
      </c>
      <c r="L925" s="27">
        <v>45518</v>
      </c>
      <c r="M925">
        <v>491.82999999999703</v>
      </c>
      <c r="N925">
        <v>8</v>
      </c>
      <c r="O925" t="s">
        <v>90</v>
      </c>
      <c r="P925">
        <f t="shared" si="15"/>
        <v>0</v>
      </c>
    </row>
    <row r="926" spans="1:16" hidden="1" x14ac:dyDescent="0.25">
      <c r="A926" s="8">
        <v>921</v>
      </c>
      <c r="B926">
        <v>530</v>
      </c>
      <c r="C926" s="27">
        <v>45519</v>
      </c>
      <c r="D926" t="s">
        <v>749</v>
      </c>
      <c r="E926">
        <v>36.119999999999997</v>
      </c>
      <c r="F926" t="s">
        <v>136</v>
      </c>
      <c r="G926" t="s">
        <v>92</v>
      </c>
      <c r="H926" t="s">
        <v>14</v>
      </c>
      <c r="I926" t="s">
        <v>93</v>
      </c>
      <c r="J926" s="27">
        <v>45505</v>
      </c>
      <c r="K926">
        <v>2024</v>
      </c>
      <c r="L926" s="27">
        <v>45519</v>
      </c>
      <c r="M926">
        <v>527.94999999999698</v>
      </c>
      <c r="N926">
        <v>21</v>
      </c>
      <c r="O926" t="s">
        <v>90</v>
      </c>
      <c r="P926">
        <f t="shared" si="15"/>
        <v>0</v>
      </c>
    </row>
    <row r="927" spans="1:16" hidden="1" x14ac:dyDescent="0.25">
      <c r="A927" s="8">
        <v>922</v>
      </c>
      <c r="B927">
        <v>531</v>
      </c>
      <c r="C927" s="27">
        <v>45519</v>
      </c>
      <c r="D927" t="s">
        <v>619</v>
      </c>
      <c r="E927">
        <v>11.99</v>
      </c>
      <c r="F927" t="s">
        <v>88</v>
      </c>
      <c r="G927" t="s">
        <v>114</v>
      </c>
      <c r="H927" t="s">
        <v>14</v>
      </c>
      <c r="I927" t="s">
        <v>93</v>
      </c>
      <c r="J927" s="27">
        <v>45505</v>
      </c>
      <c r="K927">
        <v>2024</v>
      </c>
      <c r="L927" s="27">
        <v>45519</v>
      </c>
      <c r="M927">
        <v>539.93999999999699</v>
      </c>
      <c r="N927">
        <v>56</v>
      </c>
      <c r="O927" t="s">
        <v>90</v>
      </c>
      <c r="P927">
        <f t="shared" si="15"/>
        <v>0</v>
      </c>
    </row>
    <row r="928" spans="1:16" hidden="1" x14ac:dyDescent="0.25">
      <c r="A928" s="8">
        <v>923</v>
      </c>
      <c r="B928">
        <v>532</v>
      </c>
      <c r="C928" s="27">
        <v>45519</v>
      </c>
      <c r="D928" t="s">
        <v>750</v>
      </c>
      <c r="E928">
        <v>71.23</v>
      </c>
      <c r="F928" t="s">
        <v>136</v>
      </c>
      <c r="G928" t="s">
        <v>239</v>
      </c>
      <c r="H928" t="s">
        <v>14</v>
      </c>
      <c r="I928" t="s">
        <v>69</v>
      </c>
      <c r="J928" s="27">
        <v>45505</v>
      </c>
      <c r="K928">
        <v>2024</v>
      </c>
      <c r="L928" s="27">
        <v>45519</v>
      </c>
      <c r="M928">
        <v>611.169999999997</v>
      </c>
      <c r="N928">
        <v>8</v>
      </c>
      <c r="O928" t="s">
        <v>90</v>
      </c>
      <c r="P928">
        <f t="shared" si="15"/>
        <v>0</v>
      </c>
    </row>
    <row r="929" spans="1:16" hidden="1" x14ac:dyDescent="0.25">
      <c r="A929" s="8">
        <v>924</v>
      </c>
      <c r="B929">
        <v>533</v>
      </c>
      <c r="C929" s="27">
        <v>45520</v>
      </c>
      <c r="D929" t="s">
        <v>619</v>
      </c>
      <c r="E929">
        <v>10</v>
      </c>
      <c r="F929" t="s">
        <v>88</v>
      </c>
      <c r="G929" t="s">
        <v>114</v>
      </c>
      <c r="H929" t="s">
        <v>14</v>
      </c>
      <c r="I929" t="s">
        <v>93</v>
      </c>
      <c r="J929" s="27">
        <v>45505</v>
      </c>
      <c r="K929">
        <v>2024</v>
      </c>
      <c r="L929" s="27">
        <v>45520</v>
      </c>
      <c r="M929">
        <v>621.169999999997</v>
      </c>
      <c r="N929">
        <v>57</v>
      </c>
      <c r="O929" t="s">
        <v>90</v>
      </c>
      <c r="P929">
        <f t="shared" si="15"/>
        <v>0</v>
      </c>
    </row>
    <row r="930" spans="1:16" hidden="1" x14ac:dyDescent="0.25">
      <c r="A930" s="8">
        <v>925</v>
      </c>
      <c r="B930">
        <v>534</v>
      </c>
      <c r="C930" s="27">
        <v>45520</v>
      </c>
      <c r="D930" t="s">
        <v>189</v>
      </c>
      <c r="E930">
        <v>27.52</v>
      </c>
      <c r="F930" t="s">
        <v>106</v>
      </c>
      <c r="G930" t="s">
        <v>137</v>
      </c>
      <c r="H930" t="s">
        <v>14</v>
      </c>
      <c r="I930" t="s">
        <v>118</v>
      </c>
      <c r="J930" s="27">
        <v>45505</v>
      </c>
      <c r="K930">
        <v>2024</v>
      </c>
      <c r="L930" s="27">
        <v>45520</v>
      </c>
      <c r="M930">
        <v>648.68999999999699</v>
      </c>
      <c r="N930">
        <v>23</v>
      </c>
      <c r="O930" t="s">
        <v>90</v>
      </c>
      <c r="P930">
        <f t="shared" si="15"/>
        <v>0</v>
      </c>
    </row>
    <row r="931" spans="1:16" hidden="1" x14ac:dyDescent="0.25">
      <c r="A931" s="8">
        <v>926</v>
      </c>
      <c r="B931">
        <v>535</v>
      </c>
      <c r="C931" s="27">
        <v>45520</v>
      </c>
      <c r="D931" t="s">
        <v>105</v>
      </c>
      <c r="E931">
        <v>68.63</v>
      </c>
      <c r="F931" t="s">
        <v>106</v>
      </c>
      <c r="G931" t="s">
        <v>107</v>
      </c>
      <c r="H931" t="s">
        <v>14</v>
      </c>
      <c r="I931" t="s">
        <v>69</v>
      </c>
      <c r="J931" s="27">
        <v>45505</v>
      </c>
      <c r="K931">
        <v>2024</v>
      </c>
      <c r="L931" s="27">
        <v>45520</v>
      </c>
      <c r="M931">
        <v>717.31999999999698</v>
      </c>
      <c r="N931">
        <v>41</v>
      </c>
      <c r="O931" t="s">
        <v>90</v>
      </c>
      <c r="P931">
        <f t="shared" si="15"/>
        <v>0</v>
      </c>
    </row>
    <row r="932" spans="1:16" hidden="1" x14ac:dyDescent="0.25">
      <c r="A932" s="8">
        <v>927</v>
      </c>
      <c r="B932">
        <v>536</v>
      </c>
      <c r="C932" s="27">
        <v>45521</v>
      </c>
      <c r="D932" t="s">
        <v>745</v>
      </c>
      <c r="E932">
        <v>25.56</v>
      </c>
      <c r="F932" t="s">
        <v>116</v>
      </c>
      <c r="G932" t="s">
        <v>143</v>
      </c>
      <c r="H932" t="s">
        <v>14</v>
      </c>
      <c r="I932" t="s">
        <v>118</v>
      </c>
      <c r="J932" s="27">
        <v>45505</v>
      </c>
      <c r="K932">
        <v>2024</v>
      </c>
      <c r="L932" s="27">
        <v>45521</v>
      </c>
      <c r="M932">
        <v>742.87999999999693</v>
      </c>
      <c r="N932">
        <v>5</v>
      </c>
      <c r="O932" t="s">
        <v>90</v>
      </c>
      <c r="P932">
        <f t="shared" si="15"/>
        <v>0</v>
      </c>
    </row>
    <row r="933" spans="1:16" hidden="1" x14ac:dyDescent="0.25">
      <c r="A933" s="8">
        <v>928</v>
      </c>
      <c r="B933">
        <v>537</v>
      </c>
      <c r="C933" s="27">
        <v>45521</v>
      </c>
      <c r="D933" t="s">
        <v>751</v>
      </c>
      <c r="E933">
        <v>49.2</v>
      </c>
      <c r="F933" t="s">
        <v>116</v>
      </c>
      <c r="G933" t="s">
        <v>141</v>
      </c>
      <c r="H933" t="s">
        <v>14</v>
      </c>
      <c r="I933" t="s">
        <v>118</v>
      </c>
      <c r="J933" s="27">
        <v>45505</v>
      </c>
      <c r="K933">
        <v>2024</v>
      </c>
      <c r="L933" s="27">
        <v>45521</v>
      </c>
      <c r="M933">
        <v>792.07999999999697</v>
      </c>
      <c r="N933">
        <v>17</v>
      </c>
      <c r="O933" t="s">
        <v>90</v>
      </c>
      <c r="P933">
        <f t="shared" si="15"/>
        <v>0</v>
      </c>
    </row>
    <row r="934" spans="1:16" hidden="1" x14ac:dyDescent="0.25">
      <c r="A934" s="8">
        <v>929</v>
      </c>
      <c r="B934">
        <v>538</v>
      </c>
      <c r="C934" s="27">
        <v>45521</v>
      </c>
      <c r="D934" t="s">
        <v>752</v>
      </c>
      <c r="E934">
        <v>10</v>
      </c>
      <c r="F934" t="s">
        <v>106</v>
      </c>
      <c r="G934" t="s">
        <v>117</v>
      </c>
      <c r="H934" t="s">
        <v>14</v>
      </c>
      <c r="I934" t="s">
        <v>118</v>
      </c>
      <c r="J934" s="27">
        <v>45505</v>
      </c>
      <c r="K934">
        <v>2024</v>
      </c>
      <c r="L934" s="27">
        <v>45521</v>
      </c>
      <c r="M934">
        <v>802.07999999999697</v>
      </c>
      <c r="N934">
        <v>47</v>
      </c>
      <c r="O934" t="s">
        <v>90</v>
      </c>
      <c r="P934">
        <f t="shared" si="15"/>
        <v>0</v>
      </c>
    </row>
    <row r="935" spans="1:16" hidden="1" x14ac:dyDescent="0.25">
      <c r="A935" s="8">
        <v>930</v>
      </c>
      <c r="B935">
        <v>539</v>
      </c>
      <c r="C935" s="27">
        <v>45521</v>
      </c>
      <c r="D935" t="s">
        <v>753</v>
      </c>
      <c r="E935">
        <v>218.8</v>
      </c>
      <c r="F935" t="s">
        <v>116</v>
      </c>
      <c r="G935" t="s">
        <v>117</v>
      </c>
      <c r="H935" t="s">
        <v>14</v>
      </c>
      <c r="I935" t="s">
        <v>118</v>
      </c>
      <c r="J935" s="27">
        <v>45505</v>
      </c>
      <c r="K935">
        <v>2024</v>
      </c>
      <c r="L935" s="27">
        <v>45521</v>
      </c>
      <c r="M935">
        <v>1020.879999999997</v>
      </c>
      <c r="N935">
        <v>48</v>
      </c>
      <c r="O935" t="s">
        <v>90</v>
      </c>
      <c r="P935">
        <f t="shared" si="15"/>
        <v>0</v>
      </c>
    </row>
    <row r="936" spans="1:16" hidden="1" x14ac:dyDescent="0.25">
      <c r="A936" s="8">
        <v>931</v>
      </c>
      <c r="B936">
        <v>540</v>
      </c>
      <c r="C936" s="27">
        <v>45522</v>
      </c>
      <c r="D936" t="s">
        <v>754</v>
      </c>
      <c r="E936">
        <v>421.39</v>
      </c>
      <c r="F936" t="s">
        <v>116</v>
      </c>
      <c r="G936" t="s">
        <v>117</v>
      </c>
      <c r="H936" t="s">
        <v>14</v>
      </c>
      <c r="I936" t="s">
        <v>118</v>
      </c>
      <c r="J936" s="27">
        <v>45505</v>
      </c>
      <c r="K936">
        <v>2024</v>
      </c>
      <c r="L936" s="27">
        <v>45522</v>
      </c>
      <c r="M936">
        <v>1442.269999999997</v>
      </c>
      <c r="N936">
        <v>49</v>
      </c>
      <c r="O936" t="s">
        <v>90</v>
      </c>
      <c r="P936">
        <f t="shared" si="15"/>
        <v>0</v>
      </c>
    </row>
    <row r="937" spans="1:16" hidden="1" x14ac:dyDescent="0.25">
      <c r="A937" s="8">
        <v>932</v>
      </c>
      <c r="B937">
        <v>541</v>
      </c>
      <c r="C937" s="27">
        <v>45522</v>
      </c>
      <c r="D937" t="s">
        <v>755</v>
      </c>
      <c r="E937">
        <v>15</v>
      </c>
      <c r="F937" t="s">
        <v>106</v>
      </c>
      <c r="G937" t="s">
        <v>385</v>
      </c>
      <c r="H937" t="s">
        <v>14</v>
      </c>
      <c r="I937" t="s">
        <v>395</v>
      </c>
      <c r="J937" s="27">
        <v>45505</v>
      </c>
      <c r="K937">
        <v>2024</v>
      </c>
      <c r="L937" s="27">
        <v>45522</v>
      </c>
      <c r="M937">
        <v>1457.269999999997</v>
      </c>
      <c r="N937">
        <v>49</v>
      </c>
      <c r="O937" t="s">
        <v>90</v>
      </c>
      <c r="P937">
        <f t="shared" si="15"/>
        <v>0</v>
      </c>
    </row>
    <row r="938" spans="1:16" hidden="1" x14ac:dyDescent="0.25">
      <c r="A938" s="8">
        <v>933</v>
      </c>
      <c r="B938">
        <v>542</v>
      </c>
      <c r="C938" s="27">
        <v>45522</v>
      </c>
      <c r="D938" t="s">
        <v>758</v>
      </c>
      <c r="E938">
        <v>145</v>
      </c>
      <c r="F938" t="s">
        <v>88</v>
      </c>
      <c r="G938" t="s">
        <v>168</v>
      </c>
      <c r="H938" t="s">
        <v>14</v>
      </c>
      <c r="I938" t="s">
        <v>69</v>
      </c>
      <c r="J938" s="27">
        <v>45505</v>
      </c>
      <c r="K938">
        <v>2024</v>
      </c>
      <c r="L938" s="27">
        <v>45522</v>
      </c>
      <c r="M938">
        <v>1602.269999999997</v>
      </c>
      <c r="N938">
        <v>18</v>
      </c>
      <c r="O938" t="s">
        <v>90</v>
      </c>
      <c r="P938">
        <f t="shared" si="15"/>
        <v>0</v>
      </c>
    </row>
    <row r="939" spans="1:16" hidden="1" x14ac:dyDescent="0.25">
      <c r="A939" s="8">
        <v>934</v>
      </c>
      <c r="B939">
        <v>543</v>
      </c>
      <c r="C939" s="27">
        <v>45522</v>
      </c>
      <c r="D939" t="s">
        <v>757</v>
      </c>
      <c r="E939">
        <v>104.3</v>
      </c>
      <c r="F939" t="s">
        <v>88</v>
      </c>
      <c r="G939" t="s">
        <v>141</v>
      </c>
      <c r="H939" t="s">
        <v>14</v>
      </c>
      <c r="I939" t="s">
        <v>118</v>
      </c>
      <c r="J939" s="27">
        <v>45505</v>
      </c>
      <c r="K939">
        <v>2024</v>
      </c>
      <c r="L939" s="27">
        <v>45522</v>
      </c>
      <c r="M939">
        <v>1706.569999999997</v>
      </c>
      <c r="N939">
        <v>18</v>
      </c>
      <c r="O939" t="s">
        <v>90</v>
      </c>
      <c r="P939">
        <f t="shared" si="15"/>
        <v>0</v>
      </c>
    </row>
    <row r="940" spans="1:16" hidden="1" x14ac:dyDescent="0.25">
      <c r="A940" s="8">
        <v>935</v>
      </c>
      <c r="B940">
        <v>544</v>
      </c>
      <c r="C940" s="27">
        <v>45522</v>
      </c>
      <c r="D940" t="s">
        <v>756</v>
      </c>
      <c r="E940">
        <v>102.99</v>
      </c>
      <c r="F940" t="s">
        <v>88</v>
      </c>
      <c r="G940" t="s">
        <v>168</v>
      </c>
      <c r="H940" t="s">
        <v>14</v>
      </c>
      <c r="I940" t="s">
        <v>69</v>
      </c>
      <c r="J940" s="27">
        <v>45505</v>
      </c>
      <c r="K940">
        <v>2024</v>
      </c>
      <c r="L940" s="27">
        <v>45522</v>
      </c>
      <c r="M940">
        <v>1809.559999999997</v>
      </c>
      <c r="N940">
        <v>19</v>
      </c>
      <c r="O940" t="s">
        <v>90</v>
      </c>
      <c r="P940">
        <f t="shared" si="15"/>
        <v>0</v>
      </c>
    </row>
    <row r="941" spans="1:16" hidden="1" x14ac:dyDescent="0.25">
      <c r="A941" s="8">
        <v>936</v>
      </c>
      <c r="B941">
        <v>545</v>
      </c>
      <c r="C941" s="27">
        <v>45523</v>
      </c>
      <c r="D941" t="s">
        <v>759</v>
      </c>
      <c r="E941">
        <v>438.03</v>
      </c>
      <c r="F941" t="s">
        <v>760</v>
      </c>
      <c r="G941" t="s">
        <v>284</v>
      </c>
      <c r="H941" t="s">
        <v>14</v>
      </c>
      <c r="I941" t="s">
        <v>285</v>
      </c>
      <c r="J941" s="27">
        <v>45505</v>
      </c>
      <c r="K941">
        <v>2024</v>
      </c>
      <c r="L941" s="27">
        <v>45523</v>
      </c>
      <c r="M941">
        <v>2247.589999999997</v>
      </c>
      <c r="N941">
        <v>2</v>
      </c>
      <c r="O941" t="s">
        <v>90</v>
      </c>
      <c r="P941">
        <f t="shared" si="15"/>
        <v>0</v>
      </c>
    </row>
    <row r="942" spans="1:16" hidden="1" x14ac:dyDescent="0.25">
      <c r="A942" s="8">
        <v>937</v>
      </c>
      <c r="B942">
        <v>546</v>
      </c>
      <c r="C942" s="27">
        <v>45523</v>
      </c>
      <c r="D942" t="s">
        <v>620</v>
      </c>
      <c r="E942">
        <v>11.99</v>
      </c>
      <c r="F942" t="s">
        <v>88</v>
      </c>
      <c r="G942" t="s">
        <v>114</v>
      </c>
      <c r="H942" t="s">
        <v>14</v>
      </c>
      <c r="I942" t="s">
        <v>93</v>
      </c>
      <c r="J942" s="27">
        <v>45505</v>
      </c>
      <c r="K942">
        <v>2024</v>
      </c>
      <c r="L942" s="27">
        <v>45523</v>
      </c>
      <c r="M942">
        <v>2259.5799999999958</v>
      </c>
      <c r="N942">
        <v>58</v>
      </c>
      <c r="O942" t="s">
        <v>90</v>
      </c>
      <c r="P942">
        <f t="shared" si="15"/>
        <v>0</v>
      </c>
    </row>
    <row r="943" spans="1:16" hidden="1" x14ac:dyDescent="0.25">
      <c r="A943" s="8">
        <v>938</v>
      </c>
      <c r="B943">
        <v>547</v>
      </c>
      <c r="C943" s="27">
        <v>45523</v>
      </c>
      <c r="D943" t="s">
        <v>620</v>
      </c>
      <c r="E943">
        <v>16</v>
      </c>
      <c r="F943" t="s">
        <v>88</v>
      </c>
      <c r="G943" t="s">
        <v>114</v>
      </c>
      <c r="H943" t="s">
        <v>14</v>
      </c>
      <c r="I943" t="s">
        <v>93</v>
      </c>
      <c r="J943" s="27">
        <v>45505</v>
      </c>
      <c r="K943">
        <v>2024</v>
      </c>
      <c r="L943" s="27">
        <v>45523</v>
      </c>
      <c r="M943">
        <v>2275.5799999999958</v>
      </c>
      <c r="N943">
        <v>59</v>
      </c>
      <c r="O943" t="s">
        <v>90</v>
      </c>
      <c r="P943">
        <f t="shared" si="15"/>
        <v>0</v>
      </c>
    </row>
    <row r="944" spans="1:16" hidden="1" x14ac:dyDescent="0.25">
      <c r="A944" s="8">
        <v>939</v>
      </c>
      <c r="B944">
        <v>548</v>
      </c>
      <c r="C944" s="27">
        <v>45523</v>
      </c>
      <c r="D944" t="s">
        <v>619</v>
      </c>
      <c r="E944">
        <v>12.99</v>
      </c>
      <c r="F944" t="s">
        <v>88</v>
      </c>
      <c r="G944" t="s">
        <v>114</v>
      </c>
      <c r="H944" t="s">
        <v>14</v>
      </c>
      <c r="I944" t="s">
        <v>93</v>
      </c>
      <c r="J944" s="27">
        <v>45505</v>
      </c>
      <c r="K944">
        <v>2024</v>
      </c>
      <c r="L944" s="27">
        <v>45523</v>
      </c>
      <c r="M944">
        <v>2288.5699999999961</v>
      </c>
      <c r="N944">
        <v>60</v>
      </c>
      <c r="O944" t="s">
        <v>90</v>
      </c>
      <c r="P944">
        <f t="shared" si="15"/>
        <v>0</v>
      </c>
    </row>
    <row r="945" spans="1:16" hidden="1" x14ac:dyDescent="0.25">
      <c r="A945" s="8">
        <v>940</v>
      </c>
      <c r="B945">
        <v>549</v>
      </c>
      <c r="C945" s="27">
        <v>45525</v>
      </c>
      <c r="D945" t="s">
        <v>91</v>
      </c>
      <c r="E945">
        <v>5.99</v>
      </c>
      <c r="F945" t="s">
        <v>88</v>
      </c>
      <c r="G945" t="s">
        <v>92</v>
      </c>
      <c r="H945" t="s">
        <v>14</v>
      </c>
      <c r="I945" t="s">
        <v>93</v>
      </c>
      <c r="J945" s="27">
        <v>45505</v>
      </c>
      <c r="K945">
        <v>2024</v>
      </c>
      <c r="L945" s="27">
        <v>45525</v>
      </c>
      <c r="M945">
        <v>2294.5599999999959</v>
      </c>
      <c r="N945">
        <v>22</v>
      </c>
      <c r="O945" t="s">
        <v>90</v>
      </c>
      <c r="P945">
        <f t="shared" si="15"/>
        <v>0</v>
      </c>
    </row>
    <row r="946" spans="1:16" hidden="1" x14ac:dyDescent="0.25">
      <c r="A946" s="8">
        <v>941</v>
      </c>
      <c r="B946">
        <v>550</v>
      </c>
      <c r="C946" s="27">
        <v>45525</v>
      </c>
      <c r="D946" t="s">
        <v>761</v>
      </c>
      <c r="E946">
        <v>51</v>
      </c>
      <c r="F946" t="s">
        <v>760</v>
      </c>
      <c r="G946" t="s">
        <v>762</v>
      </c>
      <c r="H946" t="s">
        <v>14</v>
      </c>
      <c r="I946" t="s">
        <v>285</v>
      </c>
      <c r="J946" s="27">
        <v>45505</v>
      </c>
      <c r="K946">
        <v>2024</v>
      </c>
      <c r="L946" s="27">
        <v>45525</v>
      </c>
      <c r="M946">
        <v>2345.5599999999959</v>
      </c>
      <c r="N946">
        <v>1</v>
      </c>
      <c r="O946" t="s">
        <v>90</v>
      </c>
      <c r="P946">
        <f t="shared" si="15"/>
        <v>0</v>
      </c>
    </row>
    <row r="947" spans="1:16" hidden="1" x14ac:dyDescent="0.25">
      <c r="A947" s="8">
        <v>942</v>
      </c>
      <c r="B947">
        <v>551</v>
      </c>
      <c r="C947" s="27">
        <v>45525</v>
      </c>
      <c r="D947" t="s">
        <v>189</v>
      </c>
      <c r="E947">
        <v>51.86</v>
      </c>
      <c r="F947" t="s">
        <v>106</v>
      </c>
      <c r="G947" t="s">
        <v>137</v>
      </c>
      <c r="H947" t="s">
        <v>14</v>
      </c>
      <c r="I947" t="s">
        <v>118</v>
      </c>
      <c r="J947" s="27">
        <v>45505</v>
      </c>
      <c r="K947">
        <v>2024</v>
      </c>
      <c r="L947" s="27">
        <v>45525</v>
      </c>
      <c r="M947">
        <v>2397.419999999996</v>
      </c>
      <c r="N947">
        <v>24</v>
      </c>
      <c r="O947" t="s">
        <v>90</v>
      </c>
      <c r="P947">
        <f t="shared" si="15"/>
        <v>0</v>
      </c>
    </row>
    <row r="948" spans="1:16" hidden="1" x14ac:dyDescent="0.25">
      <c r="A948" s="8">
        <v>943</v>
      </c>
      <c r="B948">
        <v>552</v>
      </c>
      <c r="C948" s="27">
        <v>45526</v>
      </c>
      <c r="D948" t="s">
        <v>763</v>
      </c>
      <c r="E948">
        <v>20.69</v>
      </c>
      <c r="F948" t="s">
        <v>136</v>
      </c>
      <c r="G948" t="s">
        <v>92</v>
      </c>
      <c r="H948" t="s">
        <v>14</v>
      </c>
      <c r="I948" t="s">
        <v>93</v>
      </c>
      <c r="J948" s="27">
        <v>45505</v>
      </c>
      <c r="K948">
        <v>2024</v>
      </c>
      <c r="L948" s="27">
        <v>45526</v>
      </c>
      <c r="M948">
        <v>2418.109999999996</v>
      </c>
      <c r="N948">
        <v>23</v>
      </c>
      <c r="O948" t="s">
        <v>90</v>
      </c>
      <c r="P948">
        <f t="shared" si="15"/>
        <v>0</v>
      </c>
    </row>
    <row r="949" spans="1:16" hidden="1" x14ac:dyDescent="0.25">
      <c r="A949" s="8">
        <v>944</v>
      </c>
      <c r="B949">
        <v>553</v>
      </c>
      <c r="C949" s="27">
        <v>45526</v>
      </c>
      <c r="D949" t="s">
        <v>764</v>
      </c>
      <c r="E949">
        <v>12.3</v>
      </c>
      <c r="F949" t="s">
        <v>136</v>
      </c>
      <c r="G949" t="s">
        <v>92</v>
      </c>
      <c r="H949" t="s">
        <v>14</v>
      </c>
      <c r="I949" t="s">
        <v>93</v>
      </c>
      <c r="J949" s="27">
        <v>45505</v>
      </c>
      <c r="K949">
        <v>2024</v>
      </c>
      <c r="L949" s="27">
        <v>45526</v>
      </c>
      <c r="M949">
        <v>2430.4099999999962</v>
      </c>
      <c r="N949">
        <v>24</v>
      </c>
      <c r="O949" t="s">
        <v>90</v>
      </c>
      <c r="P949">
        <f t="shared" si="15"/>
        <v>0</v>
      </c>
    </row>
    <row r="950" spans="1:16" hidden="1" x14ac:dyDescent="0.25">
      <c r="A950" s="8">
        <v>945</v>
      </c>
      <c r="B950">
        <v>554</v>
      </c>
      <c r="C950" s="27">
        <v>45527</v>
      </c>
      <c r="D950" t="s">
        <v>171</v>
      </c>
      <c r="E950">
        <v>25</v>
      </c>
      <c r="F950" t="s">
        <v>136</v>
      </c>
      <c r="G950" t="s">
        <v>172</v>
      </c>
      <c r="H950" t="s">
        <v>14</v>
      </c>
      <c r="I950" t="s">
        <v>15</v>
      </c>
      <c r="J950" s="27">
        <v>45505</v>
      </c>
      <c r="K950">
        <v>2024</v>
      </c>
      <c r="L950" s="27">
        <v>45527</v>
      </c>
      <c r="M950">
        <v>2455.4099999999962</v>
      </c>
      <c r="N950">
        <v>7</v>
      </c>
      <c r="O950" t="s">
        <v>90</v>
      </c>
      <c r="P950">
        <f t="shared" si="15"/>
        <v>0</v>
      </c>
    </row>
    <row r="951" spans="1:16" hidden="1" x14ac:dyDescent="0.25">
      <c r="A951" s="8">
        <v>946</v>
      </c>
      <c r="B951">
        <v>555</v>
      </c>
      <c r="C951" s="27">
        <v>45528</v>
      </c>
      <c r="D951" t="s">
        <v>766</v>
      </c>
      <c r="E951">
        <v>42.44</v>
      </c>
      <c r="F951" t="s">
        <v>116</v>
      </c>
      <c r="G951" t="s">
        <v>117</v>
      </c>
      <c r="H951" t="s">
        <v>14</v>
      </c>
      <c r="I951" t="s">
        <v>118</v>
      </c>
      <c r="J951" s="27">
        <v>45505</v>
      </c>
      <c r="K951">
        <v>2024</v>
      </c>
      <c r="L951" s="27">
        <v>45528</v>
      </c>
      <c r="M951">
        <v>2497.8499999999958</v>
      </c>
      <c r="N951">
        <v>50</v>
      </c>
      <c r="O951" t="s">
        <v>90</v>
      </c>
      <c r="P951">
        <f t="shared" si="15"/>
        <v>0</v>
      </c>
    </row>
    <row r="952" spans="1:16" hidden="1" x14ac:dyDescent="0.25">
      <c r="A952" s="8">
        <v>947</v>
      </c>
      <c r="B952">
        <v>556</v>
      </c>
      <c r="C952" s="27">
        <v>45528</v>
      </c>
      <c r="D952" t="s">
        <v>189</v>
      </c>
      <c r="E952">
        <v>59.43</v>
      </c>
      <c r="F952" t="s">
        <v>106</v>
      </c>
      <c r="G952" t="s">
        <v>137</v>
      </c>
      <c r="H952" t="s">
        <v>14</v>
      </c>
      <c r="I952" t="s">
        <v>118</v>
      </c>
      <c r="J952" s="27">
        <v>45505</v>
      </c>
      <c r="K952">
        <v>2024</v>
      </c>
      <c r="L952" s="27">
        <v>45528</v>
      </c>
      <c r="M952">
        <v>2557.2799999999961</v>
      </c>
      <c r="N952">
        <v>25</v>
      </c>
      <c r="O952" t="s">
        <v>90</v>
      </c>
      <c r="P952">
        <f t="shared" si="15"/>
        <v>0</v>
      </c>
    </row>
    <row r="953" spans="1:16" hidden="1" x14ac:dyDescent="0.25">
      <c r="A953" s="8">
        <v>948</v>
      </c>
      <c r="B953">
        <v>557</v>
      </c>
      <c r="C953" s="27">
        <v>45528</v>
      </c>
      <c r="D953" t="s">
        <v>765</v>
      </c>
      <c r="E953">
        <v>91.24</v>
      </c>
      <c r="F953" t="s">
        <v>88</v>
      </c>
      <c r="G953" t="s">
        <v>212</v>
      </c>
      <c r="H953" t="s">
        <v>14</v>
      </c>
      <c r="I953" t="s">
        <v>69</v>
      </c>
      <c r="J953" s="27">
        <v>45505</v>
      </c>
      <c r="K953">
        <v>2024</v>
      </c>
      <c r="L953" s="27">
        <v>45528</v>
      </c>
      <c r="M953">
        <v>2648.5199999999959</v>
      </c>
      <c r="N953">
        <v>9</v>
      </c>
      <c r="O953" t="s">
        <v>90</v>
      </c>
      <c r="P953">
        <f t="shared" si="15"/>
        <v>0</v>
      </c>
    </row>
    <row r="954" spans="1:16" hidden="1" x14ac:dyDescent="0.25">
      <c r="A954" s="8">
        <v>949</v>
      </c>
      <c r="B954">
        <v>558</v>
      </c>
      <c r="C954" s="27">
        <v>45529</v>
      </c>
      <c r="D954" t="s">
        <v>620</v>
      </c>
      <c r="E954">
        <v>5.99</v>
      </c>
      <c r="F954" t="s">
        <v>88</v>
      </c>
      <c r="G954" t="s">
        <v>114</v>
      </c>
      <c r="H954" t="s">
        <v>14</v>
      </c>
      <c r="I954" t="s">
        <v>93</v>
      </c>
      <c r="J954" s="27">
        <v>45505</v>
      </c>
      <c r="K954">
        <v>2024</v>
      </c>
      <c r="L954" s="27">
        <v>45529</v>
      </c>
      <c r="M954">
        <v>2654.5099999999961</v>
      </c>
      <c r="N954">
        <v>61</v>
      </c>
      <c r="O954" t="s">
        <v>90</v>
      </c>
      <c r="P954">
        <f t="shared" si="15"/>
        <v>0</v>
      </c>
    </row>
    <row r="955" spans="1:16" hidden="1" x14ac:dyDescent="0.25">
      <c r="A955" s="8">
        <v>950</v>
      </c>
      <c r="B955">
        <v>559</v>
      </c>
      <c r="C955" s="27">
        <v>45529</v>
      </c>
      <c r="D955" t="s">
        <v>620</v>
      </c>
      <c r="E955">
        <v>12.99</v>
      </c>
      <c r="F955" t="s">
        <v>88</v>
      </c>
      <c r="G955" t="s">
        <v>114</v>
      </c>
      <c r="H955" t="s">
        <v>14</v>
      </c>
      <c r="I955" t="s">
        <v>93</v>
      </c>
      <c r="J955" s="27">
        <v>45505</v>
      </c>
      <c r="K955">
        <v>2024</v>
      </c>
      <c r="L955" s="27">
        <v>45529</v>
      </c>
      <c r="M955">
        <v>2667.499999999995</v>
      </c>
      <c r="N955">
        <v>62</v>
      </c>
      <c r="O955" t="s">
        <v>90</v>
      </c>
      <c r="P955">
        <f t="shared" si="15"/>
        <v>0</v>
      </c>
    </row>
    <row r="956" spans="1:16" hidden="1" x14ac:dyDescent="0.25">
      <c r="A956" s="8">
        <v>951</v>
      </c>
      <c r="B956">
        <v>560</v>
      </c>
      <c r="C956" s="27">
        <v>45529</v>
      </c>
      <c r="D956" t="s">
        <v>619</v>
      </c>
      <c r="E956">
        <v>4.99</v>
      </c>
      <c r="F956" t="s">
        <v>88</v>
      </c>
      <c r="G956" t="s">
        <v>114</v>
      </c>
      <c r="H956" t="s">
        <v>14</v>
      </c>
      <c r="I956" t="s">
        <v>93</v>
      </c>
      <c r="J956" s="27">
        <v>45505</v>
      </c>
      <c r="K956">
        <v>2024</v>
      </c>
      <c r="L956" s="27">
        <v>45529</v>
      </c>
      <c r="M956">
        <v>2672.4899999999948</v>
      </c>
      <c r="N956">
        <v>63</v>
      </c>
      <c r="O956" t="s">
        <v>90</v>
      </c>
      <c r="P956">
        <f t="shared" si="15"/>
        <v>0</v>
      </c>
    </row>
    <row r="957" spans="1:16" hidden="1" x14ac:dyDescent="0.25">
      <c r="A957" s="8">
        <v>952</v>
      </c>
      <c r="B957">
        <v>561</v>
      </c>
      <c r="C957" s="27">
        <v>45529</v>
      </c>
      <c r="D957" t="s">
        <v>619</v>
      </c>
      <c r="E957">
        <v>6.5</v>
      </c>
      <c r="F957" t="s">
        <v>88</v>
      </c>
      <c r="G957" t="s">
        <v>114</v>
      </c>
      <c r="H957" t="s">
        <v>14</v>
      </c>
      <c r="I957" t="s">
        <v>93</v>
      </c>
      <c r="J957" s="27">
        <v>45505</v>
      </c>
      <c r="K957">
        <v>2024</v>
      </c>
      <c r="L957" s="27">
        <v>45529</v>
      </c>
      <c r="M957">
        <v>2678.9899999999948</v>
      </c>
      <c r="N957">
        <v>64</v>
      </c>
      <c r="O957" t="s">
        <v>90</v>
      </c>
      <c r="P957">
        <f t="shared" si="15"/>
        <v>0</v>
      </c>
    </row>
    <row r="958" spans="1:16" hidden="1" x14ac:dyDescent="0.25">
      <c r="A958" s="8">
        <v>953</v>
      </c>
      <c r="B958">
        <v>562</v>
      </c>
      <c r="C958" s="27">
        <v>45530</v>
      </c>
      <c r="D958" t="s">
        <v>767</v>
      </c>
      <c r="E958">
        <v>95</v>
      </c>
      <c r="F958" t="s">
        <v>88</v>
      </c>
      <c r="G958" t="s">
        <v>128</v>
      </c>
      <c r="H958" t="s">
        <v>14</v>
      </c>
      <c r="I958" t="s">
        <v>69</v>
      </c>
      <c r="J958" s="27">
        <v>45505</v>
      </c>
      <c r="K958">
        <v>2024</v>
      </c>
      <c r="L958" s="27">
        <v>45530</v>
      </c>
      <c r="M958">
        <v>2773.9899999999948</v>
      </c>
      <c r="N958">
        <v>11</v>
      </c>
      <c r="O958" t="s">
        <v>90</v>
      </c>
      <c r="P958">
        <f t="shared" si="15"/>
        <v>0</v>
      </c>
    </row>
    <row r="959" spans="1:16" hidden="1" x14ac:dyDescent="0.25">
      <c r="A959" s="8">
        <v>954</v>
      </c>
      <c r="B959">
        <v>563</v>
      </c>
      <c r="C959" s="27">
        <v>45531</v>
      </c>
      <c r="D959" t="s">
        <v>316</v>
      </c>
      <c r="E959">
        <v>29.99</v>
      </c>
      <c r="F959" t="s">
        <v>88</v>
      </c>
      <c r="G959" t="s">
        <v>214</v>
      </c>
      <c r="H959" t="s">
        <v>28</v>
      </c>
      <c r="I959" t="s">
        <v>69</v>
      </c>
      <c r="J959" s="27">
        <v>45505</v>
      </c>
      <c r="K959">
        <v>2024</v>
      </c>
      <c r="L959" s="27">
        <v>45531</v>
      </c>
      <c r="M959">
        <v>2803.979999999995</v>
      </c>
      <c r="N959">
        <v>8</v>
      </c>
      <c r="O959" t="s">
        <v>90</v>
      </c>
      <c r="P959">
        <f t="shared" si="15"/>
        <v>0</v>
      </c>
    </row>
    <row r="960" spans="1:16" hidden="1" x14ac:dyDescent="0.25">
      <c r="A960" s="8">
        <v>955</v>
      </c>
      <c r="B960">
        <v>564</v>
      </c>
      <c r="C960" s="27">
        <v>45531</v>
      </c>
      <c r="D960" t="s">
        <v>619</v>
      </c>
      <c r="E960">
        <v>5.55</v>
      </c>
      <c r="F960" t="s">
        <v>88</v>
      </c>
      <c r="G960" t="s">
        <v>114</v>
      </c>
      <c r="H960" t="s">
        <v>14</v>
      </c>
      <c r="I960" t="s">
        <v>93</v>
      </c>
      <c r="J960" s="27">
        <v>45505</v>
      </c>
      <c r="K960">
        <v>2024</v>
      </c>
      <c r="L960" s="27">
        <v>45531</v>
      </c>
      <c r="M960">
        <v>2809.5299999999952</v>
      </c>
      <c r="N960">
        <v>65</v>
      </c>
      <c r="O960" t="s">
        <v>90</v>
      </c>
      <c r="P960">
        <f t="shared" si="15"/>
        <v>0</v>
      </c>
    </row>
    <row r="961" spans="1:16" hidden="1" x14ac:dyDescent="0.25">
      <c r="A961" s="8">
        <v>956</v>
      </c>
      <c r="B961">
        <v>565</v>
      </c>
      <c r="C961" s="27">
        <v>45531</v>
      </c>
      <c r="D961" t="s">
        <v>768</v>
      </c>
      <c r="E961">
        <v>289</v>
      </c>
      <c r="F961" t="s">
        <v>88</v>
      </c>
      <c r="G961" t="s">
        <v>128</v>
      </c>
      <c r="H961" t="s">
        <v>14</v>
      </c>
      <c r="I961" t="s">
        <v>69</v>
      </c>
      <c r="J961" s="27">
        <v>45505</v>
      </c>
      <c r="K961">
        <v>2024</v>
      </c>
      <c r="L961" s="27">
        <v>45531</v>
      </c>
      <c r="M961">
        <v>3098.5299999999952</v>
      </c>
      <c r="N961">
        <v>12</v>
      </c>
      <c r="O961" t="s">
        <v>90</v>
      </c>
      <c r="P961">
        <f t="shared" si="15"/>
        <v>0</v>
      </c>
    </row>
    <row r="962" spans="1:16" hidden="1" x14ac:dyDescent="0.25">
      <c r="A962" s="8">
        <v>957</v>
      </c>
      <c r="B962">
        <v>566</v>
      </c>
      <c r="C962" s="27">
        <v>45532</v>
      </c>
      <c r="D962" t="s">
        <v>165</v>
      </c>
      <c r="E962">
        <v>11.29</v>
      </c>
      <c r="F962" t="s">
        <v>116</v>
      </c>
      <c r="G962" t="s">
        <v>141</v>
      </c>
      <c r="H962" t="s">
        <v>14</v>
      </c>
      <c r="I962" t="s">
        <v>118</v>
      </c>
      <c r="J962" s="27">
        <v>45505</v>
      </c>
      <c r="K962">
        <v>2024</v>
      </c>
      <c r="L962" s="27">
        <v>45532</v>
      </c>
      <c r="M962">
        <v>3109.8199999999952</v>
      </c>
      <c r="N962">
        <v>19</v>
      </c>
      <c r="O962" t="s">
        <v>90</v>
      </c>
      <c r="P962">
        <f t="shared" si="15"/>
        <v>0</v>
      </c>
    </row>
    <row r="963" spans="1:16" hidden="1" x14ac:dyDescent="0.25">
      <c r="A963" s="8">
        <v>958</v>
      </c>
      <c r="B963">
        <v>567</v>
      </c>
      <c r="C963" s="27">
        <v>45534</v>
      </c>
      <c r="D963" t="s">
        <v>769</v>
      </c>
      <c r="E963">
        <v>13.52</v>
      </c>
      <c r="F963" t="s">
        <v>116</v>
      </c>
      <c r="G963" t="s">
        <v>698</v>
      </c>
      <c r="H963" t="s">
        <v>14</v>
      </c>
      <c r="I963" t="s">
        <v>93</v>
      </c>
      <c r="J963" s="27">
        <v>45505</v>
      </c>
      <c r="K963">
        <v>2024</v>
      </c>
      <c r="L963" s="27">
        <v>45534</v>
      </c>
      <c r="M963">
        <v>3123.3399999999951</v>
      </c>
      <c r="N963">
        <v>2</v>
      </c>
      <c r="O963" t="s">
        <v>90</v>
      </c>
      <c r="P963">
        <f t="shared" si="15"/>
        <v>0</v>
      </c>
    </row>
    <row r="964" spans="1:16" hidden="1" x14ac:dyDescent="0.25">
      <c r="A964" s="8">
        <v>959</v>
      </c>
      <c r="B964">
        <v>568</v>
      </c>
      <c r="C964" s="27">
        <v>45534</v>
      </c>
      <c r="D964" t="s">
        <v>162</v>
      </c>
      <c r="E964">
        <v>-3136.83</v>
      </c>
      <c r="F964" t="s">
        <v>163</v>
      </c>
      <c r="G964" t="s">
        <v>164</v>
      </c>
      <c r="H964" t="s">
        <v>14</v>
      </c>
      <c r="I964" t="s">
        <v>80</v>
      </c>
      <c r="J964" s="27">
        <v>45505</v>
      </c>
      <c r="K964">
        <v>2024</v>
      </c>
      <c r="L964" s="27">
        <v>45534</v>
      </c>
      <c r="M964">
        <v>-13.49000000000478</v>
      </c>
      <c r="N964">
        <v>14</v>
      </c>
      <c r="O964" t="s">
        <v>90</v>
      </c>
      <c r="P964">
        <f t="shared" si="15"/>
        <v>0</v>
      </c>
    </row>
    <row r="965" spans="1:16" hidden="1" x14ac:dyDescent="0.25">
      <c r="A965" s="8">
        <v>960</v>
      </c>
      <c r="B965">
        <v>569</v>
      </c>
      <c r="C965" s="27">
        <v>45535</v>
      </c>
      <c r="D965" t="s">
        <v>771</v>
      </c>
      <c r="E965">
        <v>15.36</v>
      </c>
      <c r="F965" t="s">
        <v>136</v>
      </c>
      <c r="G965" t="s">
        <v>312</v>
      </c>
      <c r="H965" t="s">
        <v>14</v>
      </c>
      <c r="I965" t="s">
        <v>15</v>
      </c>
      <c r="J965" s="27">
        <v>45505</v>
      </c>
      <c r="K965">
        <v>2024</v>
      </c>
      <c r="L965" s="27">
        <v>45535</v>
      </c>
      <c r="M965">
        <v>1.869999999995215</v>
      </c>
      <c r="N965">
        <v>28</v>
      </c>
      <c r="O965" t="s">
        <v>90</v>
      </c>
      <c r="P965">
        <f t="shared" si="15"/>
        <v>0</v>
      </c>
    </row>
    <row r="966" spans="1:16" hidden="1" x14ac:dyDescent="0.25">
      <c r="A966" s="8">
        <v>961</v>
      </c>
      <c r="B966">
        <v>570</v>
      </c>
      <c r="C966" s="27">
        <v>45535</v>
      </c>
      <c r="D966" t="s">
        <v>718</v>
      </c>
      <c r="E966">
        <v>-43.88</v>
      </c>
      <c r="F966" t="s">
        <v>163</v>
      </c>
      <c r="G966" t="s">
        <v>315</v>
      </c>
      <c r="H966" t="s">
        <v>14</v>
      </c>
      <c r="I966" t="s">
        <v>395</v>
      </c>
      <c r="J966" s="27">
        <v>45505</v>
      </c>
      <c r="K966">
        <v>2024</v>
      </c>
      <c r="L966" s="27">
        <v>45535</v>
      </c>
      <c r="M966">
        <v>-42.010000000004787</v>
      </c>
      <c r="N966">
        <v>6</v>
      </c>
      <c r="O966" t="s">
        <v>90</v>
      </c>
      <c r="P966">
        <f t="shared" si="15"/>
        <v>0</v>
      </c>
    </row>
    <row r="967" spans="1:16" hidden="1" x14ac:dyDescent="0.25">
      <c r="A967" s="8">
        <v>962</v>
      </c>
      <c r="B967">
        <v>571</v>
      </c>
      <c r="C967" s="27">
        <v>45535</v>
      </c>
      <c r="D967" t="s">
        <v>772</v>
      </c>
      <c r="E967">
        <v>31</v>
      </c>
      <c r="F967" t="s">
        <v>136</v>
      </c>
      <c r="G967" t="s">
        <v>588</v>
      </c>
      <c r="H967" t="s">
        <v>14</v>
      </c>
      <c r="I967" t="s">
        <v>93</v>
      </c>
      <c r="J967" s="27">
        <v>45505</v>
      </c>
      <c r="K967">
        <v>2024</v>
      </c>
      <c r="L967" s="27">
        <v>45535</v>
      </c>
      <c r="M967">
        <v>-11.010000000004791</v>
      </c>
      <c r="N967">
        <v>1</v>
      </c>
      <c r="O967" t="s">
        <v>90</v>
      </c>
      <c r="P967">
        <f t="shared" si="15"/>
        <v>0</v>
      </c>
    </row>
    <row r="968" spans="1:16" hidden="1" x14ac:dyDescent="0.25">
      <c r="A968" s="8">
        <v>963</v>
      </c>
      <c r="B968">
        <v>572</v>
      </c>
      <c r="C968" s="27">
        <v>45535</v>
      </c>
      <c r="D968" t="s">
        <v>773</v>
      </c>
      <c r="E968">
        <v>9.5</v>
      </c>
      <c r="F968" t="s">
        <v>116</v>
      </c>
      <c r="G968" t="s">
        <v>117</v>
      </c>
      <c r="H968" t="s">
        <v>14</v>
      </c>
      <c r="I968" t="s">
        <v>118</v>
      </c>
      <c r="J968" s="27">
        <v>45505</v>
      </c>
      <c r="K968">
        <v>2024</v>
      </c>
      <c r="L968" s="27">
        <v>45535</v>
      </c>
      <c r="M968">
        <v>-1.5100000000047871</v>
      </c>
      <c r="N968">
        <v>51</v>
      </c>
      <c r="O968" t="s">
        <v>90</v>
      </c>
      <c r="P968">
        <f t="shared" si="15"/>
        <v>0</v>
      </c>
    </row>
    <row r="969" spans="1:16" hidden="1" x14ac:dyDescent="0.25">
      <c r="A969" s="8">
        <v>964</v>
      </c>
      <c r="B969">
        <v>573</v>
      </c>
      <c r="C969" s="27">
        <v>45535</v>
      </c>
      <c r="D969" t="s">
        <v>770</v>
      </c>
      <c r="E969">
        <v>80</v>
      </c>
      <c r="F969" t="s">
        <v>136</v>
      </c>
      <c r="G969" t="s">
        <v>168</v>
      </c>
      <c r="H969" t="s">
        <v>14</v>
      </c>
      <c r="I969" t="s">
        <v>69</v>
      </c>
      <c r="J969" s="27">
        <v>45505</v>
      </c>
      <c r="K969">
        <v>2024</v>
      </c>
      <c r="L969" s="27">
        <v>45535</v>
      </c>
      <c r="M969">
        <v>78.489999999995206</v>
      </c>
      <c r="N969">
        <v>20</v>
      </c>
      <c r="O969" t="s">
        <v>90</v>
      </c>
      <c r="P969">
        <f t="shared" ref="P969:P1032" si="16">IF(J969&lt;&gt;J970, 1, 0)</f>
        <v>0</v>
      </c>
    </row>
    <row r="970" spans="1:16" hidden="1" x14ac:dyDescent="0.25">
      <c r="A970" s="8">
        <v>965</v>
      </c>
      <c r="B970">
        <v>574</v>
      </c>
      <c r="C970" s="27">
        <v>45535</v>
      </c>
      <c r="D970" t="s">
        <v>774</v>
      </c>
      <c r="E970">
        <v>10</v>
      </c>
      <c r="F970" t="s">
        <v>88</v>
      </c>
      <c r="G970" t="s">
        <v>141</v>
      </c>
      <c r="H970" t="s">
        <v>14</v>
      </c>
      <c r="I970" t="s">
        <v>118</v>
      </c>
      <c r="J970" s="27">
        <v>45505</v>
      </c>
      <c r="K970">
        <v>2024</v>
      </c>
      <c r="L970" s="27">
        <v>45535</v>
      </c>
      <c r="M970">
        <v>88.489999999995206</v>
      </c>
      <c r="N970">
        <v>20</v>
      </c>
      <c r="O970" t="s">
        <v>90</v>
      </c>
      <c r="P970">
        <f t="shared" si="16"/>
        <v>0</v>
      </c>
    </row>
    <row r="971" spans="1:16" hidden="1" x14ac:dyDescent="0.25">
      <c r="A971" s="8">
        <v>966</v>
      </c>
      <c r="B971">
        <v>575</v>
      </c>
      <c r="C971" s="27">
        <v>45535</v>
      </c>
      <c r="D971" t="s">
        <v>777</v>
      </c>
      <c r="E971">
        <v>6.88</v>
      </c>
      <c r="F971" t="s">
        <v>133</v>
      </c>
      <c r="G971" t="s">
        <v>134</v>
      </c>
      <c r="H971" t="s">
        <v>14</v>
      </c>
      <c r="I971" t="s">
        <v>15</v>
      </c>
      <c r="J971" s="27">
        <v>45505</v>
      </c>
      <c r="K971">
        <v>2024</v>
      </c>
      <c r="L971" s="27">
        <v>45535</v>
      </c>
      <c r="M971">
        <v>95.369999999995201</v>
      </c>
      <c r="N971">
        <v>10</v>
      </c>
      <c r="O971" t="s">
        <v>90</v>
      </c>
      <c r="P971">
        <f t="shared" si="16"/>
        <v>0</v>
      </c>
    </row>
    <row r="972" spans="1:16" hidden="1" x14ac:dyDescent="0.25">
      <c r="A972" s="8">
        <v>967</v>
      </c>
      <c r="B972">
        <v>576</v>
      </c>
      <c r="C972" s="27">
        <v>45535</v>
      </c>
      <c r="D972" t="s">
        <v>778</v>
      </c>
      <c r="E972">
        <v>12.5</v>
      </c>
      <c r="F972" t="s">
        <v>106</v>
      </c>
      <c r="G972" t="s">
        <v>588</v>
      </c>
      <c r="H972" t="s">
        <v>14</v>
      </c>
      <c r="I972" t="s">
        <v>93</v>
      </c>
      <c r="J972" s="27">
        <v>45505</v>
      </c>
      <c r="K972">
        <v>2024</v>
      </c>
      <c r="L972" s="27">
        <v>45535</v>
      </c>
      <c r="M972">
        <v>107.8699999999952</v>
      </c>
      <c r="N972">
        <v>2</v>
      </c>
      <c r="O972" t="s">
        <v>90</v>
      </c>
      <c r="P972">
        <f t="shared" si="16"/>
        <v>0</v>
      </c>
    </row>
    <row r="973" spans="1:16" hidden="1" x14ac:dyDescent="0.25">
      <c r="A973" s="8">
        <v>968</v>
      </c>
      <c r="B973">
        <v>577</v>
      </c>
      <c r="C973" s="27">
        <v>45535</v>
      </c>
      <c r="D973" t="s">
        <v>776</v>
      </c>
      <c r="E973">
        <v>15</v>
      </c>
      <c r="F973" t="s">
        <v>136</v>
      </c>
      <c r="G973" t="s">
        <v>588</v>
      </c>
      <c r="H973" t="s">
        <v>14</v>
      </c>
      <c r="I973" t="s">
        <v>93</v>
      </c>
      <c r="J973" s="27">
        <v>45505</v>
      </c>
      <c r="K973">
        <v>2024</v>
      </c>
      <c r="L973" s="27">
        <v>45535</v>
      </c>
      <c r="M973">
        <v>122.8699999999952</v>
      </c>
      <c r="N973">
        <v>3</v>
      </c>
      <c r="O973" t="s">
        <v>90</v>
      </c>
      <c r="P973">
        <f t="shared" si="16"/>
        <v>0</v>
      </c>
    </row>
    <row r="974" spans="1:16" hidden="1" x14ac:dyDescent="0.25">
      <c r="A974" s="8">
        <v>969</v>
      </c>
      <c r="B974">
        <v>578</v>
      </c>
      <c r="C974" s="27">
        <v>45535</v>
      </c>
      <c r="D974" t="s">
        <v>775</v>
      </c>
      <c r="E974">
        <v>27.19</v>
      </c>
      <c r="F974" t="s">
        <v>106</v>
      </c>
      <c r="G974" t="s">
        <v>137</v>
      </c>
      <c r="H974" t="s">
        <v>14</v>
      </c>
      <c r="I974" t="s">
        <v>118</v>
      </c>
      <c r="J974" s="27">
        <v>45505</v>
      </c>
      <c r="K974">
        <v>2024</v>
      </c>
      <c r="L974" s="27">
        <v>45535</v>
      </c>
      <c r="M974">
        <v>150.0599999999952</v>
      </c>
      <c r="N974">
        <v>26</v>
      </c>
      <c r="O974" t="s">
        <v>90</v>
      </c>
      <c r="P974">
        <f t="shared" si="16"/>
        <v>1</v>
      </c>
    </row>
    <row r="975" spans="1:16" hidden="1" x14ac:dyDescent="0.25">
      <c r="A975" s="8">
        <v>970</v>
      </c>
      <c r="B975">
        <v>579</v>
      </c>
      <c r="C975" s="27">
        <v>45536</v>
      </c>
      <c r="D975" t="s">
        <v>782</v>
      </c>
      <c r="E975">
        <v>30.7</v>
      </c>
      <c r="F975" t="s">
        <v>116</v>
      </c>
      <c r="G975" t="s">
        <v>117</v>
      </c>
      <c r="H975" t="s">
        <v>14</v>
      </c>
      <c r="I975" t="s">
        <v>118</v>
      </c>
      <c r="J975" s="27">
        <v>45536</v>
      </c>
      <c r="K975">
        <v>2024</v>
      </c>
      <c r="L975" s="27">
        <v>45536</v>
      </c>
      <c r="M975">
        <v>180.75999999999519</v>
      </c>
      <c r="N975">
        <v>52</v>
      </c>
      <c r="O975" t="s">
        <v>90</v>
      </c>
      <c r="P975">
        <f t="shared" si="16"/>
        <v>0</v>
      </c>
    </row>
    <row r="976" spans="1:16" hidden="1" x14ac:dyDescent="0.25">
      <c r="A976" s="8">
        <v>971</v>
      </c>
      <c r="B976">
        <v>580</v>
      </c>
      <c r="C976" s="27">
        <v>45536</v>
      </c>
      <c r="D976" t="s">
        <v>781</v>
      </c>
      <c r="E976">
        <v>21.06</v>
      </c>
      <c r="F976" t="s">
        <v>106</v>
      </c>
      <c r="G976" t="s">
        <v>275</v>
      </c>
      <c r="H976" t="s">
        <v>14</v>
      </c>
      <c r="I976" t="s">
        <v>69</v>
      </c>
      <c r="J976" s="27">
        <v>45536</v>
      </c>
      <c r="K976">
        <v>2024</v>
      </c>
      <c r="L976" s="27">
        <v>45536</v>
      </c>
      <c r="M976">
        <v>201.81999999999519</v>
      </c>
      <c r="N976">
        <v>2</v>
      </c>
      <c r="O976" t="s">
        <v>90</v>
      </c>
      <c r="P976">
        <f t="shared" si="16"/>
        <v>0</v>
      </c>
    </row>
    <row r="977" spans="1:16" hidden="1" x14ac:dyDescent="0.25">
      <c r="A977" s="8">
        <v>972</v>
      </c>
      <c r="B977">
        <v>581</v>
      </c>
      <c r="C977" s="27">
        <v>45536</v>
      </c>
      <c r="D977" t="s">
        <v>674</v>
      </c>
      <c r="E977">
        <v>20</v>
      </c>
      <c r="F977" t="s">
        <v>88</v>
      </c>
      <c r="G977" t="s">
        <v>89</v>
      </c>
      <c r="H977" t="s">
        <v>28</v>
      </c>
      <c r="I977" t="s">
        <v>69</v>
      </c>
      <c r="J977" s="27">
        <v>45536</v>
      </c>
      <c r="K977">
        <v>2024</v>
      </c>
      <c r="L977" s="27">
        <v>45536</v>
      </c>
      <c r="M977">
        <v>221.81999999999519</v>
      </c>
      <c r="N977">
        <v>9</v>
      </c>
      <c r="O977" t="s">
        <v>90</v>
      </c>
      <c r="P977">
        <f t="shared" si="16"/>
        <v>0</v>
      </c>
    </row>
    <row r="978" spans="1:16" hidden="1" x14ac:dyDescent="0.25">
      <c r="A978" s="8">
        <v>973</v>
      </c>
      <c r="B978">
        <v>582</v>
      </c>
      <c r="C978" s="27">
        <v>45536</v>
      </c>
      <c r="D978" t="s">
        <v>779</v>
      </c>
      <c r="E978">
        <v>48.11</v>
      </c>
      <c r="F978" t="s">
        <v>116</v>
      </c>
      <c r="G978" t="s">
        <v>117</v>
      </c>
      <c r="H978" t="s">
        <v>14</v>
      </c>
      <c r="I978" t="s">
        <v>118</v>
      </c>
      <c r="J978" s="27">
        <v>45536</v>
      </c>
      <c r="K978">
        <v>2024</v>
      </c>
      <c r="L978" s="27">
        <v>45536</v>
      </c>
      <c r="M978">
        <v>269.92999999999518</v>
      </c>
      <c r="N978">
        <v>53</v>
      </c>
      <c r="O978" t="s">
        <v>90</v>
      </c>
      <c r="P978">
        <f t="shared" si="16"/>
        <v>0</v>
      </c>
    </row>
    <row r="979" spans="1:16" hidden="1" x14ac:dyDescent="0.25">
      <c r="A979" s="8">
        <v>974</v>
      </c>
      <c r="B979">
        <v>583</v>
      </c>
      <c r="C979" s="27">
        <v>45536</v>
      </c>
      <c r="D979" t="s">
        <v>94</v>
      </c>
      <c r="E979">
        <v>5</v>
      </c>
      <c r="F979" t="s">
        <v>95</v>
      </c>
      <c r="G979" t="s">
        <v>96</v>
      </c>
      <c r="H979" t="s">
        <v>28</v>
      </c>
      <c r="I979" t="s">
        <v>69</v>
      </c>
      <c r="J979" s="27">
        <v>45536</v>
      </c>
      <c r="K979">
        <v>2024</v>
      </c>
      <c r="L979" s="27">
        <v>45536</v>
      </c>
      <c r="M979">
        <v>274.92999999999518</v>
      </c>
      <c r="N979">
        <v>9</v>
      </c>
      <c r="O979" t="s">
        <v>90</v>
      </c>
      <c r="P979">
        <f t="shared" si="16"/>
        <v>0</v>
      </c>
    </row>
    <row r="980" spans="1:16" hidden="1" x14ac:dyDescent="0.25">
      <c r="A980" s="8">
        <v>975</v>
      </c>
      <c r="B980">
        <v>584</v>
      </c>
      <c r="C980" s="27">
        <v>45536</v>
      </c>
      <c r="D980" t="s">
        <v>780</v>
      </c>
      <c r="E980">
        <v>5.99</v>
      </c>
      <c r="F980" t="s">
        <v>88</v>
      </c>
      <c r="G980" t="s">
        <v>98</v>
      </c>
      <c r="H980" t="s">
        <v>28</v>
      </c>
      <c r="I980" t="s">
        <v>93</v>
      </c>
      <c r="J980" s="27">
        <v>45536</v>
      </c>
      <c r="K980">
        <v>2024</v>
      </c>
      <c r="L980" s="27">
        <v>45536</v>
      </c>
      <c r="M980">
        <v>280.91999999999518</v>
      </c>
      <c r="N980">
        <v>9</v>
      </c>
      <c r="O980" t="s">
        <v>90</v>
      </c>
      <c r="P980">
        <f t="shared" si="16"/>
        <v>0</v>
      </c>
    </row>
    <row r="981" spans="1:16" hidden="1" x14ac:dyDescent="0.25">
      <c r="A981" s="8">
        <v>976</v>
      </c>
      <c r="B981">
        <v>585</v>
      </c>
      <c r="C981" s="27">
        <v>45537</v>
      </c>
      <c r="D981" t="s">
        <v>783</v>
      </c>
      <c r="E981">
        <v>273.60000000000002</v>
      </c>
      <c r="F981" t="s">
        <v>95</v>
      </c>
      <c r="G981" t="s">
        <v>100</v>
      </c>
      <c r="H981" t="s">
        <v>28</v>
      </c>
      <c r="I981" t="s">
        <v>69</v>
      </c>
      <c r="J981" s="27">
        <v>45536</v>
      </c>
      <c r="K981">
        <v>2024</v>
      </c>
      <c r="L981" s="27">
        <v>45537</v>
      </c>
      <c r="M981">
        <v>554.51999999999521</v>
      </c>
      <c r="N981">
        <v>11</v>
      </c>
      <c r="O981" t="s">
        <v>90</v>
      </c>
      <c r="P981">
        <f t="shared" si="16"/>
        <v>0</v>
      </c>
    </row>
    <row r="982" spans="1:16" hidden="1" x14ac:dyDescent="0.25">
      <c r="A982" s="8">
        <v>977</v>
      </c>
      <c r="B982">
        <v>586</v>
      </c>
      <c r="C982" s="27">
        <v>45537</v>
      </c>
      <c r="D982" t="s">
        <v>676</v>
      </c>
      <c r="E982">
        <v>10</v>
      </c>
      <c r="F982" t="s">
        <v>88</v>
      </c>
      <c r="G982" t="s">
        <v>102</v>
      </c>
      <c r="H982" t="s">
        <v>28</v>
      </c>
      <c r="I982" t="s">
        <v>93</v>
      </c>
      <c r="J982" s="27">
        <v>45536</v>
      </c>
      <c r="K982">
        <v>2024</v>
      </c>
      <c r="L982" s="27">
        <v>45537</v>
      </c>
      <c r="M982">
        <v>564.51999999999521</v>
      </c>
      <c r="N982">
        <v>9</v>
      </c>
      <c r="O982" t="s">
        <v>90</v>
      </c>
      <c r="P982">
        <f t="shared" si="16"/>
        <v>0</v>
      </c>
    </row>
    <row r="983" spans="1:16" hidden="1" x14ac:dyDescent="0.25">
      <c r="A983" s="8">
        <v>978</v>
      </c>
      <c r="B983">
        <v>587</v>
      </c>
      <c r="C983" s="27">
        <v>45537</v>
      </c>
      <c r="D983" t="s">
        <v>619</v>
      </c>
      <c r="E983">
        <v>6.62</v>
      </c>
      <c r="F983" t="s">
        <v>88</v>
      </c>
      <c r="G983" t="s">
        <v>114</v>
      </c>
      <c r="H983" t="s">
        <v>14</v>
      </c>
      <c r="I983" t="s">
        <v>93</v>
      </c>
      <c r="J983" s="27">
        <v>45536</v>
      </c>
      <c r="K983">
        <v>2024</v>
      </c>
      <c r="L983" s="27">
        <v>45537</v>
      </c>
      <c r="M983">
        <v>571.13999999999521</v>
      </c>
      <c r="N983">
        <v>66</v>
      </c>
      <c r="O983" t="s">
        <v>90</v>
      </c>
      <c r="P983">
        <f t="shared" si="16"/>
        <v>0</v>
      </c>
    </row>
    <row r="984" spans="1:16" hidden="1" x14ac:dyDescent="0.25">
      <c r="A984" s="8">
        <v>979</v>
      </c>
      <c r="B984">
        <v>588</v>
      </c>
      <c r="C984" s="27">
        <v>45538</v>
      </c>
      <c r="D984" t="s">
        <v>717</v>
      </c>
      <c r="E984">
        <v>10</v>
      </c>
      <c r="F984" t="s">
        <v>88</v>
      </c>
      <c r="G984" t="s">
        <v>244</v>
      </c>
      <c r="H984" t="s">
        <v>14</v>
      </c>
      <c r="I984" t="s">
        <v>69</v>
      </c>
      <c r="J984" s="27">
        <v>45536</v>
      </c>
      <c r="K984">
        <v>2024</v>
      </c>
      <c r="L984" s="27">
        <v>45538</v>
      </c>
      <c r="M984">
        <v>581.13999999999521</v>
      </c>
      <c r="N984">
        <v>9</v>
      </c>
      <c r="O984" t="s">
        <v>90</v>
      </c>
      <c r="P984">
        <f t="shared" si="16"/>
        <v>0</v>
      </c>
    </row>
    <row r="985" spans="1:16" hidden="1" x14ac:dyDescent="0.25">
      <c r="A985" s="8">
        <v>980</v>
      </c>
      <c r="B985">
        <v>589</v>
      </c>
      <c r="C985" s="27">
        <v>45538</v>
      </c>
      <c r="D985" t="s">
        <v>717</v>
      </c>
      <c r="E985">
        <v>10</v>
      </c>
      <c r="F985" t="s">
        <v>88</v>
      </c>
      <c r="G985" t="s">
        <v>244</v>
      </c>
      <c r="H985" t="s">
        <v>14</v>
      </c>
      <c r="I985" t="s">
        <v>69</v>
      </c>
      <c r="J985" s="27">
        <v>45536</v>
      </c>
      <c r="K985">
        <v>2024</v>
      </c>
      <c r="L985" s="27">
        <v>45538</v>
      </c>
      <c r="M985">
        <v>591.13999999999521</v>
      </c>
      <c r="N985">
        <v>10</v>
      </c>
      <c r="O985" t="s">
        <v>90</v>
      </c>
      <c r="P985">
        <f t="shared" si="16"/>
        <v>0</v>
      </c>
    </row>
    <row r="986" spans="1:16" hidden="1" x14ac:dyDescent="0.25">
      <c r="A986" s="8">
        <v>981</v>
      </c>
      <c r="B986">
        <v>590</v>
      </c>
      <c r="C986" s="27">
        <v>45538</v>
      </c>
      <c r="D986" t="s">
        <v>110</v>
      </c>
      <c r="E986">
        <v>-47.01</v>
      </c>
      <c r="F986" t="s">
        <v>111</v>
      </c>
      <c r="G986" t="s">
        <v>112</v>
      </c>
      <c r="H986" t="s">
        <v>14</v>
      </c>
      <c r="I986" t="s">
        <v>80</v>
      </c>
      <c r="J986" s="27">
        <v>45536</v>
      </c>
      <c r="K986">
        <v>2024</v>
      </c>
      <c r="L986" s="27">
        <v>45538</v>
      </c>
      <c r="M986">
        <v>544.12999999999522</v>
      </c>
      <c r="N986">
        <v>9</v>
      </c>
      <c r="O986" t="s">
        <v>90</v>
      </c>
      <c r="P986">
        <f t="shared" si="16"/>
        <v>0</v>
      </c>
    </row>
    <row r="987" spans="1:16" hidden="1" x14ac:dyDescent="0.25">
      <c r="A987" s="8">
        <v>982</v>
      </c>
      <c r="B987">
        <v>591</v>
      </c>
      <c r="C987" s="27">
        <v>45538</v>
      </c>
      <c r="D987" t="s">
        <v>784</v>
      </c>
      <c r="E987">
        <v>12.84</v>
      </c>
      <c r="F987" t="s">
        <v>88</v>
      </c>
      <c r="G987" t="s">
        <v>141</v>
      </c>
      <c r="H987" t="s">
        <v>14</v>
      </c>
      <c r="I987" t="s">
        <v>118</v>
      </c>
      <c r="J987" s="27">
        <v>45536</v>
      </c>
      <c r="K987">
        <v>2024</v>
      </c>
      <c r="L987" s="27">
        <v>45538</v>
      </c>
      <c r="M987">
        <v>556.96999999999525</v>
      </c>
      <c r="N987">
        <v>21</v>
      </c>
      <c r="O987" t="s">
        <v>90</v>
      </c>
      <c r="P987">
        <f t="shared" si="16"/>
        <v>0</v>
      </c>
    </row>
    <row r="988" spans="1:16" hidden="1" x14ac:dyDescent="0.25">
      <c r="A988" s="8">
        <v>983</v>
      </c>
      <c r="B988">
        <v>592</v>
      </c>
      <c r="C988" s="27">
        <v>45539</v>
      </c>
      <c r="D988" t="s">
        <v>785</v>
      </c>
      <c r="E988">
        <v>34.78</v>
      </c>
      <c r="F988" t="s">
        <v>116</v>
      </c>
      <c r="G988" t="s">
        <v>117</v>
      </c>
      <c r="H988" t="s">
        <v>14</v>
      </c>
      <c r="I988" t="s">
        <v>118</v>
      </c>
      <c r="J988" s="27">
        <v>45536</v>
      </c>
      <c r="K988">
        <v>2024</v>
      </c>
      <c r="L988" s="27">
        <v>45539</v>
      </c>
      <c r="M988">
        <v>591.74999999999523</v>
      </c>
      <c r="N988">
        <v>54</v>
      </c>
      <c r="O988" t="s">
        <v>90</v>
      </c>
      <c r="P988">
        <f t="shared" si="16"/>
        <v>0</v>
      </c>
    </row>
    <row r="989" spans="1:16" hidden="1" x14ac:dyDescent="0.25">
      <c r="A989" s="8">
        <v>984</v>
      </c>
      <c r="B989">
        <v>593</v>
      </c>
      <c r="C989" s="27">
        <v>45539</v>
      </c>
      <c r="D989" t="s">
        <v>786</v>
      </c>
      <c r="E989">
        <v>38.659999999999997</v>
      </c>
      <c r="F989" t="s">
        <v>106</v>
      </c>
      <c r="G989" t="s">
        <v>137</v>
      </c>
      <c r="H989" t="s">
        <v>14</v>
      </c>
      <c r="I989" t="s">
        <v>118</v>
      </c>
      <c r="J989" s="27">
        <v>45536</v>
      </c>
      <c r="K989">
        <v>2024</v>
      </c>
      <c r="L989" s="27">
        <v>45539</v>
      </c>
      <c r="M989">
        <v>630.40999999999519</v>
      </c>
      <c r="N989">
        <v>27</v>
      </c>
      <c r="O989" t="s">
        <v>90</v>
      </c>
      <c r="P989">
        <f t="shared" si="16"/>
        <v>0</v>
      </c>
    </row>
    <row r="990" spans="1:16" hidden="1" x14ac:dyDescent="0.25">
      <c r="A990" s="8">
        <v>985</v>
      </c>
      <c r="B990">
        <v>594</v>
      </c>
      <c r="C990" s="27">
        <v>45540</v>
      </c>
      <c r="D990" t="s">
        <v>787</v>
      </c>
      <c r="E990">
        <v>89</v>
      </c>
      <c r="F990" t="s">
        <v>88</v>
      </c>
      <c r="G990" t="s">
        <v>385</v>
      </c>
      <c r="H990" t="s">
        <v>14</v>
      </c>
      <c r="I990" t="s">
        <v>395</v>
      </c>
      <c r="J990" s="27">
        <v>45536</v>
      </c>
      <c r="K990">
        <v>2024</v>
      </c>
      <c r="L990" s="27">
        <v>45540</v>
      </c>
      <c r="M990">
        <v>719.40999999999519</v>
      </c>
      <c r="N990">
        <v>50</v>
      </c>
      <c r="O990" t="s">
        <v>90</v>
      </c>
      <c r="P990">
        <f t="shared" si="16"/>
        <v>0</v>
      </c>
    </row>
    <row r="991" spans="1:16" hidden="1" x14ac:dyDescent="0.25">
      <c r="A991" s="8">
        <v>986</v>
      </c>
      <c r="B991">
        <v>595</v>
      </c>
      <c r="C991" s="27">
        <v>45540</v>
      </c>
      <c r="D991" t="s">
        <v>788</v>
      </c>
      <c r="E991">
        <v>69.989999999999995</v>
      </c>
      <c r="F991" t="s">
        <v>88</v>
      </c>
      <c r="G991" t="s">
        <v>109</v>
      </c>
      <c r="H991" t="s">
        <v>14</v>
      </c>
      <c r="I991" t="s">
        <v>93</v>
      </c>
      <c r="J991" s="27">
        <v>45536</v>
      </c>
      <c r="K991">
        <v>2024</v>
      </c>
      <c r="L991" s="27">
        <v>45540</v>
      </c>
      <c r="M991">
        <v>789.3999999999952</v>
      </c>
      <c r="N991">
        <v>9</v>
      </c>
      <c r="O991" t="s">
        <v>90</v>
      </c>
      <c r="P991">
        <f t="shared" si="16"/>
        <v>0</v>
      </c>
    </row>
    <row r="992" spans="1:16" hidden="1" x14ac:dyDescent="0.25">
      <c r="A992" s="8">
        <v>987</v>
      </c>
      <c r="B992">
        <v>596</v>
      </c>
      <c r="C992" s="27">
        <v>45541</v>
      </c>
      <c r="D992" t="s">
        <v>844</v>
      </c>
      <c r="E992">
        <v>43.94</v>
      </c>
      <c r="F992" t="s">
        <v>116</v>
      </c>
      <c r="G992" t="s">
        <v>139</v>
      </c>
      <c r="H992" t="s">
        <v>14</v>
      </c>
      <c r="I992" t="s">
        <v>93</v>
      </c>
      <c r="J992" s="27">
        <v>45536</v>
      </c>
      <c r="K992">
        <v>2024</v>
      </c>
      <c r="L992" s="27">
        <v>45541</v>
      </c>
      <c r="M992">
        <v>833.33999999999514</v>
      </c>
      <c r="N992">
        <v>7</v>
      </c>
      <c r="O992" t="s">
        <v>90</v>
      </c>
      <c r="P992">
        <f t="shared" si="16"/>
        <v>0</v>
      </c>
    </row>
    <row r="993" spans="1:16" hidden="1" x14ac:dyDescent="0.25">
      <c r="A993" s="8">
        <v>988</v>
      </c>
      <c r="B993">
        <v>597</v>
      </c>
      <c r="C993" s="27">
        <v>45542</v>
      </c>
      <c r="D993" t="s">
        <v>845</v>
      </c>
      <c r="E993">
        <v>23.01</v>
      </c>
      <c r="F993" t="s">
        <v>88</v>
      </c>
      <c r="G993" t="s">
        <v>107</v>
      </c>
      <c r="H993" t="s">
        <v>14</v>
      </c>
      <c r="I993" t="s">
        <v>69</v>
      </c>
      <c r="J993" s="27">
        <v>45536</v>
      </c>
      <c r="K993">
        <v>2024</v>
      </c>
      <c r="L993" s="27">
        <v>45542</v>
      </c>
      <c r="M993">
        <v>856.34999999999513</v>
      </c>
      <c r="N993">
        <v>42</v>
      </c>
      <c r="O993" t="s">
        <v>90</v>
      </c>
      <c r="P993">
        <f t="shared" si="16"/>
        <v>0</v>
      </c>
    </row>
    <row r="994" spans="1:16" hidden="1" x14ac:dyDescent="0.25">
      <c r="A994" s="8">
        <v>989</v>
      </c>
      <c r="B994">
        <v>598</v>
      </c>
      <c r="C994" s="27">
        <v>45542</v>
      </c>
      <c r="D994" t="s">
        <v>781</v>
      </c>
      <c r="E994">
        <v>26.97</v>
      </c>
      <c r="F994" t="s">
        <v>106</v>
      </c>
      <c r="G994" t="s">
        <v>275</v>
      </c>
      <c r="H994" t="s">
        <v>14</v>
      </c>
      <c r="I994" t="s">
        <v>69</v>
      </c>
      <c r="J994" s="27">
        <v>45536</v>
      </c>
      <c r="K994">
        <v>2024</v>
      </c>
      <c r="L994" s="27">
        <v>45542</v>
      </c>
      <c r="M994">
        <v>883.31999999999516</v>
      </c>
      <c r="N994">
        <v>3</v>
      </c>
      <c r="O994" t="s">
        <v>90</v>
      </c>
      <c r="P994">
        <f t="shared" si="16"/>
        <v>0</v>
      </c>
    </row>
    <row r="995" spans="1:16" hidden="1" x14ac:dyDescent="0.25">
      <c r="A995" s="8">
        <v>990</v>
      </c>
      <c r="B995">
        <v>599</v>
      </c>
      <c r="C995" s="27">
        <v>45542</v>
      </c>
      <c r="D995" t="s">
        <v>846</v>
      </c>
      <c r="E995">
        <v>60.03</v>
      </c>
      <c r="F995" t="s">
        <v>106</v>
      </c>
      <c r="G995" t="s">
        <v>137</v>
      </c>
      <c r="H995" t="s">
        <v>14</v>
      </c>
      <c r="I995" t="s">
        <v>118</v>
      </c>
      <c r="J995" s="27">
        <v>45536</v>
      </c>
      <c r="K995">
        <v>2024</v>
      </c>
      <c r="L995" s="27">
        <v>45542</v>
      </c>
      <c r="M995">
        <v>943.34999999999513</v>
      </c>
      <c r="N995">
        <v>28</v>
      </c>
      <c r="O995" t="s">
        <v>90</v>
      </c>
      <c r="P995">
        <f t="shared" si="16"/>
        <v>0</v>
      </c>
    </row>
    <row r="996" spans="1:16" hidden="1" x14ac:dyDescent="0.25">
      <c r="A996" s="8">
        <v>991</v>
      </c>
      <c r="B996">
        <v>600</v>
      </c>
      <c r="C996" s="27">
        <v>45542</v>
      </c>
      <c r="D996" t="s">
        <v>847</v>
      </c>
      <c r="E996">
        <v>21</v>
      </c>
      <c r="F996" t="s">
        <v>116</v>
      </c>
      <c r="G996" t="s">
        <v>141</v>
      </c>
      <c r="H996" t="s">
        <v>14</v>
      </c>
      <c r="I996" t="s">
        <v>118</v>
      </c>
      <c r="J996" s="27">
        <v>45536</v>
      </c>
      <c r="K996">
        <v>2024</v>
      </c>
      <c r="L996" s="27">
        <v>45542</v>
      </c>
      <c r="M996">
        <v>964.34999999999513</v>
      </c>
      <c r="N996">
        <v>22</v>
      </c>
      <c r="O996" t="s">
        <v>90</v>
      </c>
      <c r="P996">
        <f t="shared" si="16"/>
        <v>0</v>
      </c>
    </row>
    <row r="997" spans="1:16" hidden="1" x14ac:dyDescent="0.25">
      <c r="A997" s="8">
        <v>992</v>
      </c>
      <c r="B997">
        <v>601</v>
      </c>
      <c r="C997" s="27">
        <v>45543</v>
      </c>
      <c r="D997" t="s">
        <v>189</v>
      </c>
      <c r="E997">
        <v>57.19</v>
      </c>
      <c r="F997" t="s">
        <v>106</v>
      </c>
      <c r="G997" t="s">
        <v>137</v>
      </c>
      <c r="H997" t="s">
        <v>14</v>
      </c>
      <c r="I997" t="s">
        <v>118</v>
      </c>
      <c r="J997" s="27">
        <v>45536</v>
      </c>
      <c r="K997">
        <v>2024</v>
      </c>
      <c r="L997" s="27">
        <v>45543</v>
      </c>
      <c r="M997">
        <v>1021.539999999995</v>
      </c>
      <c r="N997">
        <v>29</v>
      </c>
      <c r="O997" t="s">
        <v>90</v>
      </c>
      <c r="P997">
        <f t="shared" si="16"/>
        <v>0</v>
      </c>
    </row>
    <row r="998" spans="1:16" hidden="1" x14ac:dyDescent="0.25">
      <c r="A998" s="8">
        <v>993</v>
      </c>
      <c r="B998">
        <v>602</v>
      </c>
      <c r="C998" s="27">
        <v>45543</v>
      </c>
      <c r="D998" t="s">
        <v>652</v>
      </c>
      <c r="E998">
        <v>1</v>
      </c>
      <c r="F998" t="s">
        <v>136</v>
      </c>
      <c r="G998" t="s">
        <v>312</v>
      </c>
      <c r="H998" t="s">
        <v>14</v>
      </c>
      <c r="I998" t="s">
        <v>15</v>
      </c>
      <c r="J998" s="27">
        <v>45536</v>
      </c>
      <c r="K998">
        <v>2024</v>
      </c>
      <c r="L998" s="27">
        <v>45543</v>
      </c>
      <c r="M998">
        <v>1022.539999999995</v>
      </c>
      <c r="N998">
        <v>29</v>
      </c>
      <c r="O998" t="s">
        <v>90</v>
      </c>
      <c r="P998">
        <f t="shared" si="16"/>
        <v>0</v>
      </c>
    </row>
    <row r="999" spans="1:16" hidden="1" x14ac:dyDescent="0.25">
      <c r="A999" s="8">
        <v>994</v>
      </c>
      <c r="B999">
        <v>603</v>
      </c>
      <c r="C999" s="27">
        <v>45544</v>
      </c>
      <c r="D999" t="s">
        <v>848</v>
      </c>
      <c r="E999">
        <v>199</v>
      </c>
      <c r="F999" t="s">
        <v>136</v>
      </c>
      <c r="G999" t="s">
        <v>849</v>
      </c>
      <c r="H999" t="s">
        <v>14</v>
      </c>
      <c r="I999" t="s">
        <v>93</v>
      </c>
      <c r="J999" s="27">
        <v>45536</v>
      </c>
      <c r="K999">
        <v>2024</v>
      </c>
      <c r="L999" s="27">
        <v>45544</v>
      </c>
      <c r="M999">
        <v>1221.539999999995</v>
      </c>
      <c r="N999">
        <v>1</v>
      </c>
      <c r="O999" t="s">
        <v>90</v>
      </c>
      <c r="P999">
        <f t="shared" si="16"/>
        <v>0</v>
      </c>
    </row>
    <row r="1000" spans="1:16" hidden="1" x14ac:dyDescent="0.25">
      <c r="A1000" s="8">
        <v>995</v>
      </c>
      <c r="B1000">
        <v>604</v>
      </c>
      <c r="C1000" s="27">
        <v>45544</v>
      </c>
      <c r="D1000" t="s">
        <v>850</v>
      </c>
      <c r="E1000">
        <v>19.43</v>
      </c>
      <c r="F1000" t="s">
        <v>95</v>
      </c>
      <c r="G1000" t="s">
        <v>797</v>
      </c>
      <c r="H1000" t="s">
        <v>14</v>
      </c>
      <c r="I1000" t="s">
        <v>25</v>
      </c>
      <c r="J1000" s="27">
        <v>45536</v>
      </c>
      <c r="K1000">
        <v>2024</v>
      </c>
      <c r="L1000" s="27">
        <v>45544</v>
      </c>
      <c r="M1000">
        <v>1240.969999999995</v>
      </c>
      <c r="N1000">
        <v>1</v>
      </c>
      <c r="O1000" t="s">
        <v>90</v>
      </c>
      <c r="P1000">
        <f t="shared" si="16"/>
        <v>0</v>
      </c>
    </row>
    <row r="1001" spans="1:16" hidden="1" x14ac:dyDescent="0.25">
      <c r="A1001" s="8">
        <v>996</v>
      </c>
      <c r="B1001">
        <v>605</v>
      </c>
      <c r="C1001" s="27">
        <v>45544</v>
      </c>
      <c r="D1001" t="s">
        <v>851</v>
      </c>
      <c r="E1001">
        <v>6.25</v>
      </c>
      <c r="F1001" t="s">
        <v>95</v>
      </c>
      <c r="G1001" t="s">
        <v>147</v>
      </c>
      <c r="H1001" t="s">
        <v>14</v>
      </c>
      <c r="I1001" t="s">
        <v>69</v>
      </c>
      <c r="J1001" s="27">
        <v>45536</v>
      </c>
      <c r="K1001">
        <v>2024</v>
      </c>
      <c r="L1001" s="27">
        <v>45544</v>
      </c>
      <c r="M1001">
        <v>1247.219999999995</v>
      </c>
      <c r="N1001">
        <v>2</v>
      </c>
      <c r="O1001" t="s">
        <v>90</v>
      </c>
      <c r="P1001">
        <f t="shared" si="16"/>
        <v>0</v>
      </c>
    </row>
    <row r="1002" spans="1:16" hidden="1" x14ac:dyDescent="0.25">
      <c r="A1002" s="8">
        <v>997</v>
      </c>
      <c r="B1002">
        <v>606</v>
      </c>
      <c r="C1002" s="27">
        <v>45545</v>
      </c>
      <c r="D1002" t="s">
        <v>852</v>
      </c>
      <c r="E1002">
        <v>49.12</v>
      </c>
      <c r="F1002" t="s">
        <v>116</v>
      </c>
      <c r="G1002" t="s">
        <v>117</v>
      </c>
      <c r="H1002" t="s">
        <v>14</v>
      </c>
      <c r="I1002" t="s">
        <v>118</v>
      </c>
      <c r="J1002" s="27">
        <v>45536</v>
      </c>
      <c r="K1002">
        <v>2024</v>
      </c>
      <c r="L1002" s="27">
        <v>45545</v>
      </c>
      <c r="M1002">
        <v>1296.3399999999949</v>
      </c>
      <c r="N1002">
        <v>55</v>
      </c>
      <c r="O1002" t="s">
        <v>90</v>
      </c>
      <c r="P1002">
        <f t="shared" si="16"/>
        <v>0</v>
      </c>
    </row>
    <row r="1003" spans="1:16" hidden="1" x14ac:dyDescent="0.25">
      <c r="A1003" s="8">
        <v>998</v>
      </c>
      <c r="B1003">
        <v>607</v>
      </c>
      <c r="C1003" s="27">
        <v>45546</v>
      </c>
      <c r="D1003" t="s">
        <v>171</v>
      </c>
      <c r="E1003">
        <v>25</v>
      </c>
      <c r="F1003" t="s">
        <v>136</v>
      </c>
      <c r="G1003" t="s">
        <v>172</v>
      </c>
      <c r="H1003" t="s">
        <v>14</v>
      </c>
      <c r="I1003" t="s">
        <v>15</v>
      </c>
      <c r="J1003" s="27">
        <v>45536</v>
      </c>
      <c r="K1003">
        <v>2024</v>
      </c>
      <c r="L1003" s="27">
        <v>45546</v>
      </c>
      <c r="M1003">
        <v>1321.3399999999949</v>
      </c>
      <c r="N1003">
        <v>8</v>
      </c>
      <c r="O1003" t="s">
        <v>90</v>
      </c>
      <c r="P1003">
        <f t="shared" si="16"/>
        <v>0</v>
      </c>
    </row>
    <row r="1004" spans="1:16" hidden="1" x14ac:dyDescent="0.25">
      <c r="A1004" s="8">
        <v>999</v>
      </c>
      <c r="B1004">
        <v>608</v>
      </c>
      <c r="C1004" s="27">
        <v>45547</v>
      </c>
      <c r="D1004" t="s">
        <v>853</v>
      </c>
      <c r="E1004">
        <v>53.77</v>
      </c>
      <c r="F1004" t="s">
        <v>88</v>
      </c>
      <c r="G1004" t="s">
        <v>117</v>
      </c>
      <c r="H1004" t="s">
        <v>14</v>
      </c>
      <c r="I1004" t="s">
        <v>118</v>
      </c>
      <c r="J1004" s="27">
        <v>45536</v>
      </c>
      <c r="K1004">
        <v>2024</v>
      </c>
      <c r="L1004" s="27">
        <v>45547</v>
      </c>
      <c r="M1004">
        <v>1375.1099999999949</v>
      </c>
      <c r="N1004">
        <v>56</v>
      </c>
      <c r="O1004" t="s">
        <v>90</v>
      </c>
      <c r="P1004">
        <f t="shared" si="16"/>
        <v>0</v>
      </c>
    </row>
    <row r="1005" spans="1:16" hidden="1" x14ac:dyDescent="0.25">
      <c r="A1005" s="8">
        <v>1000</v>
      </c>
      <c r="B1005">
        <v>609</v>
      </c>
      <c r="C1005" s="27">
        <v>45547</v>
      </c>
      <c r="D1005" t="s">
        <v>854</v>
      </c>
      <c r="E1005">
        <v>10.98</v>
      </c>
      <c r="F1005" t="s">
        <v>88</v>
      </c>
      <c r="G1005" t="s">
        <v>117</v>
      </c>
      <c r="H1005" t="s">
        <v>14</v>
      </c>
      <c r="I1005" t="s">
        <v>118</v>
      </c>
      <c r="J1005" s="27">
        <v>45536</v>
      </c>
      <c r="K1005">
        <v>2024</v>
      </c>
      <c r="L1005" s="27">
        <v>45547</v>
      </c>
      <c r="M1005">
        <v>1386.0899999999949</v>
      </c>
      <c r="N1005">
        <v>57</v>
      </c>
      <c r="O1005" t="s">
        <v>90</v>
      </c>
      <c r="P1005">
        <f t="shared" si="16"/>
        <v>0</v>
      </c>
    </row>
    <row r="1006" spans="1:16" hidden="1" x14ac:dyDescent="0.25">
      <c r="A1006" s="8">
        <v>1001</v>
      </c>
      <c r="B1006">
        <v>610</v>
      </c>
      <c r="C1006" s="27">
        <v>45547</v>
      </c>
      <c r="D1006" t="s">
        <v>855</v>
      </c>
      <c r="E1006">
        <v>19.32</v>
      </c>
      <c r="F1006" t="s">
        <v>116</v>
      </c>
      <c r="G1006" t="s">
        <v>141</v>
      </c>
      <c r="H1006" t="s">
        <v>14</v>
      </c>
      <c r="I1006" t="s">
        <v>118</v>
      </c>
      <c r="J1006" s="27">
        <v>45536</v>
      </c>
      <c r="K1006">
        <v>2024</v>
      </c>
      <c r="L1006" s="27">
        <v>45547</v>
      </c>
      <c r="M1006">
        <v>1405.4099999999951</v>
      </c>
      <c r="N1006">
        <v>23</v>
      </c>
      <c r="O1006" t="s">
        <v>90</v>
      </c>
      <c r="P1006">
        <f t="shared" si="16"/>
        <v>0</v>
      </c>
    </row>
    <row r="1007" spans="1:16" hidden="1" x14ac:dyDescent="0.25">
      <c r="A1007" s="8">
        <v>1002</v>
      </c>
      <c r="B1007">
        <v>611</v>
      </c>
      <c r="C1007" s="27">
        <v>45547</v>
      </c>
      <c r="D1007" t="s">
        <v>856</v>
      </c>
      <c r="E1007">
        <v>2.11</v>
      </c>
      <c r="F1007" t="s">
        <v>88</v>
      </c>
      <c r="G1007" t="s">
        <v>748</v>
      </c>
      <c r="H1007" t="s">
        <v>28</v>
      </c>
      <c r="I1007" t="s">
        <v>69</v>
      </c>
      <c r="J1007" s="27">
        <v>45536</v>
      </c>
      <c r="K1007">
        <v>2024</v>
      </c>
      <c r="L1007" s="27">
        <v>45547</v>
      </c>
      <c r="M1007">
        <v>1407.519999999995</v>
      </c>
      <c r="N1007">
        <v>2</v>
      </c>
      <c r="O1007" t="s">
        <v>90</v>
      </c>
      <c r="P1007">
        <f t="shared" si="16"/>
        <v>0</v>
      </c>
    </row>
    <row r="1008" spans="1:16" hidden="1" x14ac:dyDescent="0.25">
      <c r="A1008" s="8">
        <v>1003</v>
      </c>
      <c r="B1008">
        <v>612</v>
      </c>
      <c r="C1008" s="27">
        <v>45547</v>
      </c>
      <c r="D1008" t="s">
        <v>857</v>
      </c>
      <c r="E1008">
        <v>153</v>
      </c>
      <c r="F1008" t="s">
        <v>136</v>
      </c>
      <c r="G1008" t="s">
        <v>858</v>
      </c>
      <c r="H1008" t="s">
        <v>14</v>
      </c>
      <c r="I1008" t="s">
        <v>93</v>
      </c>
      <c r="J1008" s="27">
        <v>45536</v>
      </c>
      <c r="K1008">
        <v>2024</v>
      </c>
      <c r="L1008" s="27">
        <v>45547</v>
      </c>
      <c r="M1008">
        <v>1560.519999999995</v>
      </c>
      <c r="N1008">
        <v>1</v>
      </c>
      <c r="O1008" t="s">
        <v>90</v>
      </c>
      <c r="P1008">
        <f t="shared" si="16"/>
        <v>0</v>
      </c>
    </row>
    <row r="1009" spans="1:16" hidden="1" x14ac:dyDescent="0.25">
      <c r="A1009" s="8">
        <v>1004</v>
      </c>
      <c r="B1009">
        <v>613</v>
      </c>
      <c r="C1009" s="27">
        <v>45548</v>
      </c>
      <c r="D1009" t="s">
        <v>859</v>
      </c>
      <c r="E1009">
        <v>54.91</v>
      </c>
      <c r="F1009" t="s">
        <v>106</v>
      </c>
      <c r="G1009" t="s">
        <v>137</v>
      </c>
      <c r="H1009" t="s">
        <v>14</v>
      </c>
      <c r="I1009" t="s">
        <v>118</v>
      </c>
      <c r="J1009" s="27">
        <v>45536</v>
      </c>
      <c r="K1009">
        <v>2024</v>
      </c>
      <c r="L1009" s="27">
        <v>45548</v>
      </c>
      <c r="M1009">
        <v>1615.4299999999951</v>
      </c>
      <c r="N1009">
        <v>30</v>
      </c>
      <c r="O1009" t="s">
        <v>90</v>
      </c>
      <c r="P1009">
        <f t="shared" si="16"/>
        <v>0</v>
      </c>
    </row>
    <row r="1010" spans="1:16" hidden="1" x14ac:dyDescent="0.25">
      <c r="A1010" s="8">
        <v>1005</v>
      </c>
      <c r="B1010">
        <v>614</v>
      </c>
      <c r="C1010" s="27">
        <v>45548</v>
      </c>
      <c r="D1010" t="s">
        <v>860</v>
      </c>
      <c r="E1010">
        <v>42.87</v>
      </c>
      <c r="F1010" t="s">
        <v>106</v>
      </c>
      <c r="G1010" t="s">
        <v>137</v>
      </c>
      <c r="H1010" t="s">
        <v>14</v>
      </c>
      <c r="I1010" t="s">
        <v>118</v>
      </c>
      <c r="J1010" s="27">
        <v>45536</v>
      </c>
      <c r="K1010">
        <v>2024</v>
      </c>
      <c r="L1010" s="27">
        <v>45548</v>
      </c>
      <c r="M1010">
        <v>1658.299999999995</v>
      </c>
      <c r="N1010">
        <v>31</v>
      </c>
      <c r="O1010" t="s">
        <v>90</v>
      </c>
      <c r="P1010">
        <f t="shared" si="16"/>
        <v>0</v>
      </c>
    </row>
    <row r="1011" spans="1:16" hidden="1" x14ac:dyDescent="0.25">
      <c r="A1011" s="8">
        <v>1006</v>
      </c>
      <c r="B1011">
        <v>615</v>
      </c>
      <c r="C1011" s="27">
        <v>45548</v>
      </c>
      <c r="D1011" t="s">
        <v>861</v>
      </c>
      <c r="E1011">
        <v>57.18</v>
      </c>
      <c r="F1011" t="s">
        <v>88</v>
      </c>
      <c r="G1011" t="s">
        <v>216</v>
      </c>
      <c r="H1011" t="s">
        <v>14</v>
      </c>
      <c r="I1011" t="s">
        <v>69</v>
      </c>
      <c r="J1011" s="27">
        <v>45536</v>
      </c>
      <c r="K1011">
        <v>2024</v>
      </c>
      <c r="L1011" s="27">
        <v>45548</v>
      </c>
      <c r="M1011">
        <v>1715.479999999995</v>
      </c>
      <c r="N1011">
        <v>2</v>
      </c>
      <c r="O1011" t="s">
        <v>90</v>
      </c>
      <c r="P1011">
        <f t="shared" si="16"/>
        <v>0</v>
      </c>
    </row>
    <row r="1012" spans="1:16" hidden="1" x14ac:dyDescent="0.25">
      <c r="A1012" s="8">
        <v>1007</v>
      </c>
      <c r="B1012">
        <v>616</v>
      </c>
      <c r="C1012" s="27">
        <v>45548</v>
      </c>
      <c r="D1012" t="s">
        <v>862</v>
      </c>
      <c r="E1012">
        <v>15.48</v>
      </c>
      <c r="F1012" t="s">
        <v>106</v>
      </c>
      <c r="G1012" t="s">
        <v>137</v>
      </c>
      <c r="H1012" t="s">
        <v>14</v>
      </c>
      <c r="I1012" t="s">
        <v>118</v>
      </c>
      <c r="J1012" s="27">
        <v>45536</v>
      </c>
      <c r="K1012">
        <v>2024</v>
      </c>
      <c r="L1012" s="27">
        <v>45548</v>
      </c>
      <c r="M1012">
        <v>1730.959999999995</v>
      </c>
      <c r="N1012">
        <v>32</v>
      </c>
      <c r="O1012" t="s">
        <v>90</v>
      </c>
      <c r="P1012">
        <f t="shared" si="16"/>
        <v>0</v>
      </c>
    </row>
    <row r="1013" spans="1:16" hidden="1" x14ac:dyDescent="0.25">
      <c r="A1013" s="8">
        <v>1008</v>
      </c>
      <c r="B1013">
        <v>617</v>
      </c>
      <c r="C1013" s="27">
        <v>45549</v>
      </c>
      <c r="D1013" t="s">
        <v>863</v>
      </c>
      <c r="E1013">
        <v>238.18</v>
      </c>
      <c r="F1013" t="s">
        <v>88</v>
      </c>
      <c r="G1013" t="s">
        <v>107</v>
      </c>
      <c r="H1013" t="s">
        <v>14</v>
      </c>
      <c r="I1013" t="s">
        <v>69</v>
      </c>
      <c r="J1013" s="27">
        <v>45536</v>
      </c>
      <c r="K1013">
        <v>2024</v>
      </c>
      <c r="L1013" s="27">
        <v>45549</v>
      </c>
      <c r="M1013">
        <v>1969.1399999999951</v>
      </c>
      <c r="N1013">
        <v>43</v>
      </c>
      <c r="O1013" t="s">
        <v>90</v>
      </c>
      <c r="P1013">
        <f t="shared" si="16"/>
        <v>0</v>
      </c>
    </row>
    <row r="1014" spans="1:16" hidden="1" x14ac:dyDescent="0.25">
      <c r="A1014" s="8">
        <v>1009</v>
      </c>
      <c r="B1014">
        <v>618</v>
      </c>
      <c r="C1014" s="27">
        <v>45549</v>
      </c>
      <c r="D1014" t="s">
        <v>863</v>
      </c>
      <c r="E1014">
        <v>197.58</v>
      </c>
      <c r="F1014" t="s">
        <v>88</v>
      </c>
      <c r="G1014" t="s">
        <v>107</v>
      </c>
      <c r="H1014" t="s">
        <v>14</v>
      </c>
      <c r="I1014" t="s">
        <v>69</v>
      </c>
      <c r="J1014" s="27">
        <v>45536</v>
      </c>
      <c r="K1014">
        <v>2024</v>
      </c>
      <c r="L1014" s="27">
        <v>45549</v>
      </c>
      <c r="M1014">
        <v>2166.7199999999948</v>
      </c>
      <c r="N1014">
        <v>44</v>
      </c>
      <c r="O1014" t="s">
        <v>90</v>
      </c>
      <c r="P1014">
        <f t="shared" si="16"/>
        <v>0</v>
      </c>
    </row>
    <row r="1015" spans="1:16" hidden="1" x14ac:dyDescent="0.25">
      <c r="A1015" s="8">
        <v>1010</v>
      </c>
      <c r="B1015">
        <v>619</v>
      </c>
      <c r="C1015" s="27">
        <v>45549</v>
      </c>
      <c r="D1015" t="s">
        <v>185</v>
      </c>
      <c r="E1015">
        <v>108.56</v>
      </c>
      <c r="F1015" t="s">
        <v>88</v>
      </c>
      <c r="G1015" t="s">
        <v>186</v>
      </c>
      <c r="H1015" t="s">
        <v>28</v>
      </c>
      <c r="I1015" t="s">
        <v>187</v>
      </c>
      <c r="J1015" s="27">
        <v>45536</v>
      </c>
      <c r="K1015">
        <v>2024</v>
      </c>
      <c r="L1015" s="27">
        <v>45549</v>
      </c>
      <c r="M1015">
        <v>2275.2799999999952</v>
      </c>
      <c r="N1015">
        <v>9</v>
      </c>
      <c r="O1015" t="s">
        <v>90</v>
      </c>
      <c r="P1015">
        <f t="shared" si="16"/>
        <v>0</v>
      </c>
    </row>
    <row r="1016" spans="1:16" hidden="1" x14ac:dyDescent="0.25">
      <c r="A1016" s="8">
        <v>1011</v>
      </c>
      <c r="B1016">
        <v>620</v>
      </c>
      <c r="C1016" s="27">
        <v>45549</v>
      </c>
      <c r="D1016" t="s">
        <v>864</v>
      </c>
      <c r="E1016">
        <v>84.76</v>
      </c>
      <c r="F1016" t="s">
        <v>88</v>
      </c>
      <c r="G1016" t="s">
        <v>865</v>
      </c>
      <c r="H1016" t="s">
        <v>14</v>
      </c>
      <c r="I1016" t="s">
        <v>25</v>
      </c>
      <c r="J1016" s="27">
        <v>45536</v>
      </c>
      <c r="K1016">
        <v>2024</v>
      </c>
      <c r="L1016" s="27">
        <v>45549</v>
      </c>
      <c r="M1016">
        <v>2360.039999999995</v>
      </c>
      <c r="N1016">
        <v>1</v>
      </c>
      <c r="O1016" t="s">
        <v>90</v>
      </c>
      <c r="P1016">
        <f t="shared" si="16"/>
        <v>0</v>
      </c>
    </row>
    <row r="1017" spans="1:16" hidden="1" x14ac:dyDescent="0.25">
      <c r="A1017" s="8">
        <v>1012</v>
      </c>
      <c r="B1017">
        <v>621</v>
      </c>
      <c r="C1017" s="27">
        <v>45549</v>
      </c>
      <c r="D1017" t="s">
        <v>866</v>
      </c>
      <c r="E1017">
        <v>5</v>
      </c>
      <c r="F1017" t="s">
        <v>116</v>
      </c>
      <c r="G1017" t="s">
        <v>143</v>
      </c>
      <c r="H1017" t="s">
        <v>14</v>
      </c>
      <c r="I1017" t="s">
        <v>118</v>
      </c>
      <c r="J1017" s="27">
        <v>45536</v>
      </c>
      <c r="K1017">
        <v>2024</v>
      </c>
      <c r="L1017" s="27">
        <v>45549</v>
      </c>
      <c r="M1017">
        <v>2365.039999999995</v>
      </c>
      <c r="N1017">
        <v>6</v>
      </c>
      <c r="O1017" t="s">
        <v>90</v>
      </c>
      <c r="P1017">
        <f t="shared" si="16"/>
        <v>0</v>
      </c>
    </row>
    <row r="1018" spans="1:16" hidden="1" x14ac:dyDescent="0.25">
      <c r="A1018" s="8">
        <v>1013</v>
      </c>
      <c r="B1018">
        <v>622</v>
      </c>
      <c r="C1018" s="27">
        <v>45549</v>
      </c>
      <c r="D1018" t="s">
        <v>867</v>
      </c>
      <c r="E1018">
        <v>52.11</v>
      </c>
      <c r="F1018" t="s">
        <v>116</v>
      </c>
      <c r="G1018" t="s">
        <v>117</v>
      </c>
      <c r="H1018" t="s">
        <v>14</v>
      </c>
      <c r="I1018" t="s">
        <v>118</v>
      </c>
      <c r="J1018" s="27">
        <v>45536</v>
      </c>
      <c r="K1018">
        <v>2024</v>
      </c>
      <c r="L1018" s="27">
        <v>45549</v>
      </c>
      <c r="M1018">
        <v>2417.149999999996</v>
      </c>
      <c r="N1018">
        <v>58</v>
      </c>
      <c r="O1018" t="s">
        <v>90</v>
      </c>
      <c r="P1018">
        <f t="shared" si="16"/>
        <v>0</v>
      </c>
    </row>
    <row r="1019" spans="1:16" hidden="1" x14ac:dyDescent="0.25">
      <c r="A1019" s="8">
        <v>1014</v>
      </c>
      <c r="B1019">
        <v>623</v>
      </c>
      <c r="C1019" s="27">
        <v>45550</v>
      </c>
      <c r="D1019" t="s">
        <v>868</v>
      </c>
      <c r="E1019">
        <v>26.35</v>
      </c>
      <c r="F1019" t="s">
        <v>116</v>
      </c>
      <c r="G1019" t="s">
        <v>141</v>
      </c>
      <c r="H1019" t="s">
        <v>14</v>
      </c>
      <c r="I1019" t="s">
        <v>118</v>
      </c>
      <c r="J1019" s="27">
        <v>45536</v>
      </c>
      <c r="K1019">
        <v>2024</v>
      </c>
      <c r="L1019" s="27">
        <v>45550</v>
      </c>
      <c r="M1019">
        <v>2443.499999999995</v>
      </c>
      <c r="N1019">
        <v>24</v>
      </c>
      <c r="O1019" t="s">
        <v>90</v>
      </c>
      <c r="P1019">
        <f t="shared" si="16"/>
        <v>0</v>
      </c>
    </row>
    <row r="1020" spans="1:16" hidden="1" x14ac:dyDescent="0.25">
      <c r="A1020" s="8">
        <v>1015</v>
      </c>
      <c r="B1020">
        <v>624</v>
      </c>
      <c r="C1020" s="27">
        <v>45550</v>
      </c>
      <c r="D1020" t="s">
        <v>869</v>
      </c>
      <c r="E1020">
        <v>62.33</v>
      </c>
      <c r="F1020" t="s">
        <v>106</v>
      </c>
      <c r="G1020" t="s">
        <v>212</v>
      </c>
      <c r="H1020" t="s">
        <v>14</v>
      </c>
      <c r="I1020" t="s">
        <v>69</v>
      </c>
      <c r="J1020" s="27">
        <v>45536</v>
      </c>
      <c r="K1020">
        <v>2024</v>
      </c>
      <c r="L1020" s="27">
        <v>45550</v>
      </c>
      <c r="M1020">
        <v>2505.8299999999949</v>
      </c>
      <c r="N1020">
        <v>10</v>
      </c>
      <c r="O1020" t="s">
        <v>90</v>
      </c>
      <c r="P1020">
        <f t="shared" si="16"/>
        <v>0</v>
      </c>
    </row>
    <row r="1021" spans="1:16" hidden="1" x14ac:dyDescent="0.25">
      <c r="A1021" s="8">
        <v>1016</v>
      </c>
      <c r="B1021">
        <v>625</v>
      </c>
      <c r="C1021" s="27">
        <v>45551</v>
      </c>
      <c r="D1021" t="s">
        <v>870</v>
      </c>
      <c r="E1021">
        <v>36.299999999999997</v>
      </c>
      <c r="F1021" t="s">
        <v>88</v>
      </c>
      <c r="G1021" t="s">
        <v>107</v>
      </c>
      <c r="H1021" t="s">
        <v>14</v>
      </c>
      <c r="I1021" t="s">
        <v>69</v>
      </c>
      <c r="J1021" s="27">
        <v>45536</v>
      </c>
      <c r="K1021">
        <v>2024</v>
      </c>
      <c r="L1021" s="27">
        <v>45551</v>
      </c>
      <c r="M1021">
        <v>2542.129999999996</v>
      </c>
      <c r="N1021">
        <v>45</v>
      </c>
      <c r="O1021" t="s">
        <v>90</v>
      </c>
      <c r="P1021">
        <f t="shared" si="16"/>
        <v>0</v>
      </c>
    </row>
    <row r="1022" spans="1:16" hidden="1" x14ac:dyDescent="0.25">
      <c r="A1022" s="8">
        <v>1017</v>
      </c>
      <c r="B1022">
        <v>626</v>
      </c>
      <c r="C1022" s="27">
        <v>45551</v>
      </c>
      <c r="D1022" t="s">
        <v>871</v>
      </c>
      <c r="E1022">
        <v>21.19</v>
      </c>
      <c r="F1022" t="s">
        <v>88</v>
      </c>
      <c r="G1022" t="s">
        <v>872</v>
      </c>
      <c r="H1022" t="s">
        <v>14</v>
      </c>
      <c r="I1022" t="s">
        <v>93</v>
      </c>
      <c r="J1022" s="27">
        <v>45536</v>
      </c>
      <c r="K1022">
        <v>2024</v>
      </c>
      <c r="L1022" s="27">
        <v>45551</v>
      </c>
      <c r="M1022">
        <v>2563.3199999999961</v>
      </c>
      <c r="N1022">
        <v>1</v>
      </c>
      <c r="O1022" t="s">
        <v>90</v>
      </c>
      <c r="P1022">
        <f t="shared" si="16"/>
        <v>0</v>
      </c>
    </row>
    <row r="1023" spans="1:16" hidden="1" x14ac:dyDescent="0.25">
      <c r="A1023" s="8">
        <v>1018</v>
      </c>
      <c r="B1023">
        <v>627</v>
      </c>
      <c r="C1023" s="27">
        <v>45551</v>
      </c>
      <c r="D1023" t="s">
        <v>756</v>
      </c>
      <c r="E1023">
        <v>-102.99</v>
      </c>
      <c r="F1023" t="s">
        <v>163</v>
      </c>
      <c r="G1023" t="s">
        <v>168</v>
      </c>
      <c r="H1023" t="s">
        <v>14</v>
      </c>
      <c r="I1023" t="s">
        <v>69</v>
      </c>
      <c r="J1023" s="27">
        <v>45536</v>
      </c>
      <c r="K1023">
        <v>2024</v>
      </c>
      <c r="L1023" s="27">
        <v>45551</v>
      </c>
      <c r="M1023">
        <v>2460.3299999999958</v>
      </c>
      <c r="N1023">
        <v>21</v>
      </c>
      <c r="O1023" t="s">
        <v>90</v>
      </c>
      <c r="P1023">
        <f t="shared" si="16"/>
        <v>0</v>
      </c>
    </row>
    <row r="1024" spans="1:16" hidden="1" x14ac:dyDescent="0.25">
      <c r="A1024" s="8">
        <v>1019</v>
      </c>
      <c r="B1024">
        <v>628</v>
      </c>
      <c r="C1024" s="27">
        <v>45551</v>
      </c>
      <c r="D1024" t="s">
        <v>873</v>
      </c>
      <c r="E1024">
        <v>127.96</v>
      </c>
      <c r="F1024" t="s">
        <v>106</v>
      </c>
      <c r="G1024" t="s">
        <v>239</v>
      </c>
      <c r="H1024" t="s">
        <v>14</v>
      </c>
      <c r="I1024" t="s">
        <v>69</v>
      </c>
      <c r="J1024" s="27">
        <v>45536</v>
      </c>
      <c r="K1024">
        <v>2024</v>
      </c>
      <c r="L1024" s="27">
        <v>45551</v>
      </c>
      <c r="M1024">
        <v>2588.2899999999959</v>
      </c>
      <c r="N1024">
        <v>9</v>
      </c>
      <c r="O1024" t="s">
        <v>90</v>
      </c>
      <c r="P1024">
        <f t="shared" si="16"/>
        <v>0</v>
      </c>
    </row>
    <row r="1025" spans="1:16" hidden="1" x14ac:dyDescent="0.25">
      <c r="A1025" s="8">
        <v>1020</v>
      </c>
      <c r="B1025">
        <v>629</v>
      </c>
      <c r="C1025" s="27">
        <v>45551</v>
      </c>
      <c r="D1025" t="s">
        <v>874</v>
      </c>
      <c r="E1025">
        <v>21.2</v>
      </c>
      <c r="F1025" t="s">
        <v>88</v>
      </c>
      <c r="G1025" t="s">
        <v>107</v>
      </c>
      <c r="H1025" t="s">
        <v>14</v>
      </c>
      <c r="I1025" t="s">
        <v>69</v>
      </c>
      <c r="J1025" s="27">
        <v>45536</v>
      </c>
      <c r="K1025">
        <v>2024</v>
      </c>
      <c r="L1025" s="27">
        <v>45551</v>
      </c>
      <c r="M1025">
        <v>2609.4899999999961</v>
      </c>
      <c r="N1025">
        <v>46</v>
      </c>
      <c r="O1025" t="s">
        <v>90</v>
      </c>
      <c r="P1025">
        <f t="shared" si="16"/>
        <v>0</v>
      </c>
    </row>
    <row r="1026" spans="1:16" hidden="1" x14ac:dyDescent="0.25">
      <c r="A1026" s="8">
        <v>1021</v>
      </c>
      <c r="B1026">
        <v>630</v>
      </c>
      <c r="C1026" s="27">
        <v>45551</v>
      </c>
      <c r="D1026" t="s">
        <v>875</v>
      </c>
      <c r="E1026">
        <v>25.37</v>
      </c>
      <c r="F1026" t="s">
        <v>88</v>
      </c>
      <c r="G1026" t="s">
        <v>168</v>
      </c>
      <c r="H1026" t="s">
        <v>14</v>
      </c>
      <c r="I1026" t="s">
        <v>69</v>
      </c>
      <c r="J1026" s="27">
        <v>45536</v>
      </c>
      <c r="K1026">
        <v>2024</v>
      </c>
      <c r="L1026" s="27">
        <v>45551</v>
      </c>
      <c r="M1026">
        <v>2634.859999999996</v>
      </c>
      <c r="N1026">
        <v>22</v>
      </c>
      <c r="O1026" t="s">
        <v>90</v>
      </c>
      <c r="P1026">
        <f t="shared" si="16"/>
        <v>0</v>
      </c>
    </row>
    <row r="1027" spans="1:16" hidden="1" x14ac:dyDescent="0.25">
      <c r="A1027" s="8">
        <v>1022</v>
      </c>
      <c r="B1027">
        <v>631</v>
      </c>
      <c r="C1027" s="27">
        <v>45552</v>
      </c>
      <c r="D1027" t="s">
        <v>652</v>
      </c>
      <c r="E1027">
        <v>8.8000000000000007</v>
      </c>
      <c r="F1027" t="s">
        <v>136</v>
      </c>
      <c r="G1027" t="s">
        <v>312</v>
      </c>
      <c r="H1027" t="s">
        <v>14</v>
      </c>
      <c r="I1027" t="s">
        <v>15</v>
      </c>
      <c r="J1027" s="27">
        <v>45536</v>
      </c>
      <c r="K1027">
        <v>2024</v>
      </c>
      <c r="L1027" s="27">
        <v>45552</v>
      </c>
      <c r="M1027">
        <v>2643.6599999999962</v>
      </c>
      <c r="N1027">
        <v>30</v>
      </c>
      <c r="O1027" t="s">
        <v>90</v>
      </c>
      <c r="P1027">
        <f t="shared" si="16"/>
        <v>0</v>
      </c>
    </row>
    <row r="1028" spans="1:16" hidden="1" x14ac:dyDescent="0.25">
      <c r="A1028" s="8">
        <v>1023</v>
      </c>
      <c r="B1028">
        <v>632</v>
      </c>
      <c r="C1028" s="27">
        <v>45552</v>
      </c>
      <c r="D1028" t="s">
        <v>771</v>
      </c>
      <c r="E1028">
        <v>96.98</v>
      </c>
      <c r="F1028" t="s">
        <v>136</v>
      </c>
      <c r="G1028" t="s">
        <v>312</v>
      </c>
      <c r="H1028" t="s">
        <v>14</v>
      </c>
      <c r="I1028" t="s">
        <v>15</v>
      </c>
      <c r="J1028" s="27">
        <v>45536</v>
      </c>
      <c r="K1028">
        <v>2024</v>
      </c>
      <c r="L1028" s="27">
        <v>45552</v>
      </c>
      <c r="M1028">
        <v>2740.6399999999958</v>
      </c>
      <c r="N1028">
        <v>31</v>
      </c>
      <c r="O1028" t="s">
        <v>90</v>
      </c>
      <c r="P1028">
        <f t="shared" si="16"/>
        <v>0</v>
      </c>
    </row>
    <row r="1029" spans="1:16" hidden="1" x14ac:dyDescent="0.25">
      <c r="A1029" s="8">
        <v>1024</v>
      </c>
      <c r="B1029">
        <v>633</v>
      </c>
      <c r="C1029" s="27">
        <v>45552</v>
      </c>
      <c r="D1029" t="s">
        <v>876</v>
      </c>
      <c r="E1029">
        <v>74.099999999999994</v>
      </c>
      <c r="F1029" t="s">
        <v>88</v>
      </c>
      <c r="G1029" t="s">
        <v>107</v>
      </c>
      <c r="H1029" t="s">
        <v>14</v>
      </c>
      <c r="I1029" t="s">
        <v>69</v>
      </c>
      <c r="J1029" s="27">
        <v>45536</v>
      </c>
      <c r="K1029">
        <v>2024</v>
      </c>
      <c r="L1029" s="27">
        <v>45552</v>
      </c>
      <c r="M1029">
        <v>2814.7399999999961</v>
      </c>
      <c r="N1029">
        <v>47</v>
      </c>
      <c r="O1029" t="s">
        <v>90</v>
      </c>
      <c r="P1029">
        <f t="shared" si="16"/>
        <v>0</v>
      </c>
    </row>
    <row r="1030" spans="1:16" hidden="1" x14ac:dyDescent="0.25">
      <c r="A1030" s="8">
        <v>1025</v>
      </c>
      <c r="B1030">
        <v>634</v>
      </c>
      <c r="C1030" s="27">
        <v>45553</v>
      </c>
      <c r="D1030" t="s">
        <v>877</v>
      </c>
      <c r="E1030">
        <v>151.78</v>
      </c>
      <c r="F1030" t="s">
        <v>88</v>
      </c>
      <c r="G1030" t="s">
        <v>107</v>
      </c>
      <c r="H1030" t="s">
        <v>14</v>
      </c>
      <c r="I1030" t="s">
        <v>69</v>
      </c>
      <c r="J1030" s="27">
        <v>45536</v>
      </c>
      <c r="K1030">
        <v>2024</v>
      </c>
      <c r="L1030" s="27">
        <v>45553</v>
      </c>
      <c r="M1030">
        <v>2966.5199999999959</v>
      </c>
      <c r="N1030">
        <v>48</v>
      </c>
      <c r="O1030" t="s">
        <v>90</v>
      </c>
      <c r="P1030">
        <f t="shared" si="16"/>
        <v>0</v>
      </c>
    </row>
    <row r="1031" spans="1:16" hidden="1" x14ac:dyDescent="0.25">
      <c r="A1031" s="8">
        <v>1026</v>
      </c>
      <c r="B1031">
        <v>635</v>
      </c>
      <c r="C1031" s="27">
        <v>45555</v>
      </c>
      <c r="D1031" t="s">
        <v>878</v>
      </c>
      <c r="E1031">
        <v>13.55</v>
      </c>
      <c r="F1031" t="s">
        <v>88</v>
      </c>
      <c r="G1031" t="s">
        <v>107</v>
      </c>
      <c r="H1031" t="s">
        <v>14</v>
      </c>
      <c r="I1031" t="s">
        <v>69</v>
      </c>
      <c r="J1031" s="27">
        <v>45536</v>
      </c>
      <c r="K1031">
        <v>2024</v>
      </c>
      <c r="L1031" s="27">
        <v>45555</v>
      </c>
      <c r="M1031">
        <v>2980.0699999999961</v>
      </c>
      <c r="N1031">
        <v>49</v>
      </c>
      <c r="O1031" t="s">
        <v>90</v>
      </c>
      <c r="P1031">
        <f t="shared" si="16"/>
        <v>0</v>
      </c>
    </row>
    <row r="1032" spans="1:16" hidden="1" x14ac:dyDescent="0.25">
      <c r="A1032" s="8">
        <v>1027</v>
      </c>
      <c r="B1032">
        <v>636</v>
      </c>
      <c r="C1032" s="27">
        <v>45556</v>
      </c>
      <c r="D1032" t="s">
        <v>879</v>
      </c>
      <c r="E1032">
        <v>46.42</v>
      </c>
      <c r="F1032" t="s">
        <v>106</v>
      </c>
      <c r="G1032" t="s">
        <v>212</v>
      </c>
      <c r="H1032" t="s">
        <v>14</v>
      </c>
      <c r="I1032" t="s">
        <v>69</v>
      </c>
      <c r="J1032" s="27">
        <v>45536</v>
      </c>
      <c r="K1032">
        <v>2024</v>
      </c>
      <c r="L1032" s="27">
        <v>45556</v>
      </c>
      <c r="M1032">
        <v>3026.4899999999961</v>
      </c>
      <c r="N1032">
        <v>11</v>
      </c>
      <c r="O1032" t="s">
        <v>90</v>
      </c>
      <c r="P1032">
        <f t="shared" si="16"/>
        <v>0</v>
      </c>
    </row>
    <row r="1033" spans="1:16" hidden="1" x14ac:dyDescent="0.25">
      <c r="A1033" s="8">
        <v>1028</v>
      </c>
      <c r="B1033">
        <v>637</v>
      </c>
      <c r="C1033" s="27">
        <v>45556</v>
      </c>
      <c r="D1033" t="s">
        <v>880</v>
      </c>
      <c r="E1033">
        <v>107.54</v>
      </c>
      <c r="F1033" t="s">
        <v>133</v>
      </c>
      <c r="G1033" t="s">
        <v>134</v>
      </c>
      <c r="H1033" t="s">
        <v>14</v>
      </c>
      <c r="I1033" t="s">
        <v>15</v>
      </c>
      <c r="J1033" s="27">
        <v>45536</v>
      </c>
      <c r="K1033">
        <v>2024</v>
      </c>
      <c r="L1033" s="27">
        <v>45556</v>
      </c>
      <c r="M1033">
        <v>3134.0299999999961</v>
      </c>
      <c r="N1033">
        <v>11</v>
      </c>
      <c r="O1033" t="s">
        <v>90</v>
      </c>
      <c r="P1033">
        <f t="shared" ref="P1033:P1096" si="17">IF(J1033&lt;&gt;J1034, 1, 0)</f>
        <v>0</v>
      </c>
    </row>
    <row r="1034" spans="1:16" hidden="1" x14ac:dyDescent="0.25">
      <c r="A1034" s="8">
        <v>1029</v>
      </c>
      <c r="B1034">
        <v>638</v>
      </c>
      <c r="C1034" s="27">
        <v>45556</v>
      </c>
      <c r="D1034" t="s">
        <v>881</v>
      </c>
      <c r="E1034">
        <v>29.64</v>
      </c>
      <c r="F1034" t="s">
        <v>88</v>
      </c>
      <c r="G1034" t="s">
        <v>882</v>
      </c>
      <c r="H1034" t="s">
        <v>14</v>
      </c>
      <c r="I1034" t="s">
        <v>44</v>
      </c>
      <c r="J1034" s="27">
        <v>45536</v>
      </c>
      <c r="K1034">
        <v>2024</v>
      </c>
      <c r="L1034" s="27">
        <v>45556</v>
      </c>
      <c r="M1034">
        <v>3163.669999999996</v>
      </c>
      <c r="N1034">
        <v>1</v>
      </c>
      <c r="O1034" t="s">
        <v>90</v>
      </c>
      <c r="P1034">
        <f t="shared" si="17"/>
        <v>0</v>
      </c>
    </row>
    <row r="1035" spans="1:16" hidden="1" x14ac:dyDescent="0.25">
      <c r="A1035" s="8">
        <v>1030</v>
      </c>
      <c r="B1035">
        <v>639</v>
      </c>
      <c r="C1035" s="27">
        <v>45556</v>
      </c>
      <c r="D1035" t="s">
        <v>883</v>
      </c>
      <c r="E1035">
        <v>144.66</v>
      </c>
      <c r="F1035" t="s">
        <v>106</v>
      </c>
      <c r="G1035" t="s">
        <v>107</v>
      </c>
      <c r="H1035" t="s">
        <v>14</v>
      </c>
      <c r="I1035" t="s">
        <v>69</v>
      </c>
      <c r="J1035" s="27">
        <v>45536</v>
      </c>
      <c r="K1035">
        <v>2024</v>
      </c>
      <c r="L1035" s="27">
        <v>45556</v>
      </c>
      <c r="M1035">
        <v>3308.3299999999958</v>
      </c>
      <c r="N1035">
        <v>50</v>
      </c>
      <c r="O1035" t="s">
        <v>90</v>
      </c>
      <c r="P1035">
        <f t="shared" si="17"/>
        <v>0</v>
      </c>
    </row>
    <row r="1036" spans="1:16" hidden="1" x14ac:dyDescent="0.25">
      <c r="A1036" s="8">
        <v>1031</v>
      </c>
      <c r="B1036">
        <v>640</v>
      </c>
      <c r="C1036" s="27">
        <v>45556</v>
      </c>
      <c r="D1036" t="s">
        <v>861</v>
      </c>
      <c r="E1036">
        <v>20.65</v>
      </c>
      <c r="F1036" t="s">
        <v>88</v>
      </c>
      <c r="G1036" t="s">
        <v>216</v>
      </c>
      <c r="H1036" t="s">
        <v>14</v>
      </c>
      <c r="I1036" t="s">
        <v>69</v>
      </c>
      <c r="J1036" s="27">
        <v>45536</v>
      </c>
      <c r="K1036">
        <v>2024</v>
      </c>
      <c r="L1036" s="27">
        <v>45556</v>
      </c>
      <c r="M1036">
        <v>3328.9799999999959</v>
      </c>
      <c r="N1036">
        <v>3</v>
      </c>
      <c r="O1036" t="s">
        <v>90</v>
      </c>
      <c r="P1036">
        <f t="shared" si="17"/>
        <v>0</v>
      </c>
    </row>
    <row r="1037" spans="1:16" hidden="1" x14ac:dyDescent="0.25">
      <c r="A1037" s="8">
        <v>1032</v>
      </c>
      <c r="B1037">
        <v>641</v>
      </c>
      <c r="C1037" s="27">
        <v>45556</v>
      </c>
      <c r="D1037" t="s">
        <v>884</v>
      </c>
      <c r="E1037">
        <v>20.62</v>
      </c>
      <c r="F1037" t="s">
        <v>116</v>
      </c>
      <c r="G1037" t="s">
        <v>141</v>
      </c>
      <c r="H1037" t="s">
        <v>14</v>
      </c>
      <c r="I1037" t="s">
        <v>118</v>
      </c>
      <c r="J1037" s="27">
        <v>45536</v>
      </c>
      <c r="K1037">
        <v>2024</v>
      </c>
      <c r="L1037" s="27">
        <v>45556</v>
      </c>
      <c r="M1037">
        <v>3349.5999999999958</v>
      </c>
      <c r="N1037">
        <v>25</v>
      </c>
      <c r="O1037" t="s">
        <v>90</v>
      </c>
      <c r="P1037">
        <f t="shared" si="17"/>
        <v>0</v>
      </c>
    </row>
    <row r="1038" spans="1:16" hidden="1" x14ac:dyDescent="0.25">
      <c r="A1038" s="8">
        <v>1033</v>
      </c>
      <c r="B1038">
        <v>642</v>
      </c>
      <c r="C1038" s="27">
        <v>45556</v>
      </c>
      <c r="D1038" t="s">
        <v>875</v>
      </c>
      <c r="E1038">
        <v>18</v>
      </c>
      <c r="F1038" t="s">
        <v>88</v>
      </c>
      <c r="G1038" t="s">
        <v>168</v>
      </c>
      <c r="H1038" t="s">
        <v>14</v>
      </c>
      <c r="I1038" t="s">
        <v>69</v>
      </c>
      <c r="J1038" s="27">
        <v>45536</v>
      </c>
      <c r="K1038">
        <v>2024</v>
      </c>
      <c r="L1038" s="27">
        <v>45556</v>
      </c>
      <c r="M1038">
        <v>3367.5999999999958</v>
      </c>
      <c r="N1038">
        <v>23</v>
      </c>
      <c r="O1038" t="s">
        <v>90</v>
      </c>
      <c r="P1038">
        <f t="shared" si="17"/>
        <v>0</v>
      </c>
    </row>
    <row r="1039" spans="1:16" hidden="1" x14ac:dyDescent="0.25">
      <c r="A1039" s="8">
        <v>1034</v>
      </c>
      <c r="B1039">
        <v>643</v>
      </c>
      <c r="C1039" s="27">
        <v>45557</v>
      </c>
      <c r="D1039" t="s">
        <v>885</v>
      </c>
      <c r="E1039">
        <v>32.5</v>
      </c>
      <c r="F1039" t="s">
        <v>136</v>
      </c>
      <c r="G1039" t="s">
        <v>385</v>
      </c>
      <c r="H1039" t="s">
        <v>14</v>
      </c>
      <c r="I1039" t="s">
        <v>395</v>
      </c>
      <c r="J1039" s="27">
        <v>45536</v>
      </c>
      <c r="K1039">
        <v>2024</v>
      </c>
      <c r="L1039" s="27">
        <v>45557</v>
      </c>
      <c r="M1039">
        <v>3400.0999999999958</v>
      </c>
      <c r="N1039">
        <v>51</v>
      </c>
      <c r="O1039" t="s">
        <v>90</v>
      </c>
      <c r="P1039">
        <f t="shared" si="17"/>
        <v>0</v>
      </c>
    </row>
    <row r="1040" spans="1:16" hidden="1" x14ac:dyDescent="0.25">
      <c r="A1040" s="8">
        <v>1035</v>
      </c>
      <c r="B1040">
        <v>644</v>
      </c>
      <c r="C1040" s="27">
        <v>45557</v>
      </c>
      <c r="D1040" t="s">
        <v>886</v>
      </c>
      <c r="E1040">
        <v>64</v>
      </c>
      <c r="F1040" t="s">
        <v>136</v>
      </c>
      <c r="G1040" t="s">
        <v>92</v>
      </c>
      <c r="H1040" t="s">
        <v>14</v>
      </c>
      <c r="I1040" t="s">
        <v>93</v>
      </c>
      <c r="J1040" s="27">
        <v>45536</v>
      </c>
      <c r="K1040">
        <v>2024</v>
      </c>
      <c r="L1040" s="27">
        <v>45557</v>
      </c>
      <c r="M1040">
        <v>3464.0999999999958</v>
      </c>
      <c r="N1040">
        <v>25</v>
      </c>
      <c r="O1040" t="s">
        <v>90</v>
      </c>
      <c r="P1040">
        <f t="shared" si="17"/>
        <v>0</v>
      </c>
    </row>
    <row r="1041" spans="1:16" hidden="1" x14ac:dyDescent="0.25">
      <c r="A1041" s="8">
        <v>1036</v>
      </c>
      <c r="B1041">
        <v>645</v>
      </c>
      <c r="C1041" s="27">
        <v>45557</v>
      </c>
      <c r="D1041" t="s">
        <v>887</v>
      </c>
      <c r="E1041">
        <v>20.94</v>
      </c>
      <c r="F1041" t="s">
        <v>116</v>
      </c>
      <c r="G1041" t="s">
        <v>141</v>
      </c>
      <c r="H1041" t="s">
        <v>14</v>
      </c>
      <c r="I1041" t="s">
        <v>118</v>
      </c>
      <c r="J1041" s="27">
        <v>45536</v>
      </c>
      <c r="K1041">
        <v>2024</v>
      </c>
      <c r="L1041" s="27">
        <v>45557</v>
      </c>
      <c r="M1041">
        <v>3485.0399999999959</v>
      </c>
      <c r="N1041">
        <v>26</v>
      </c>
      <c r="O1041" t="s">
        <v>90</v>
      </c>
      <c r="P1041">
        <f t="shared" si="17"/>
        <v>0</v>
      </c>
    </row>
    <row r="1042" spans="1:16" hidden="1" x14ac:dyDescent="0.25">
      <c r="A1042" s="8">
        <v>1037</v>
      </c>
      <c r="B1042">
        <v>646</v>
      </c>
      <c r="C1042" s="27">
        <v>45557</v>
      </c>
      <c r="D1042" t="s">
        <v>888</v>
      </c>
      <c r="E1042">
        <v>8.2899999999999991</v>
      </c>
      <c r="F1042" t="s">
        <v>116</v>
      </c>
      <c r="G1042" t="s">
        <v>117</v>
      </c>
      <c r="H1042" t="s">
        <v>14</v>
      </c>
      <c r="I1042" t="s">
        <v>118</v>
      </c>
      <c r="J1042" s="27">
        <v>45536</v>
      </c>
      <c r="K1042">
        <v>2024</v>
      </c>
      <c r="L1042" s="27">
        <v>45557</v>
      </c>
      <c r="M1042">
        <v>3493.3299999999958</v>
      </c>
      <c r="N1042">
        <v>59</v>
      </c>
      <c r="O1042" t="s">
        <v>90</v>
      </c>
      <c r="P1042">
        <f t="shared" si="17"/>
        <v>0</v>
      </c>
    </row>
    <row r="1043" spans="1:16" hidden="1" x14ac:dyDescent="0.25">
      <c r="A1043" s="8">
        <v>1038</v>
      </c>
      <c r="B1043">
        <v>647</v>
      </c>
      <c r="C1043" s="27">
        <v>45557</v>
      </c>
      <c r="D1043" t="s">
        <v>888</v>
      </c>
      <c r="E1043">
        <v>91.7</v>
      </c>
      <c r="F1043" t="s">
        <v>116</v>
      </c>
      <c r="G1043" t="s">
        <v>117</v>
      </c>
      <c r="H1043" t="s">
        <v>14</v>
      </c>
      <c r="I1043" t="s">
        <v>118</v>
      </c>
      <c r="J1043" s="27">
        <v>45536</v>
      </c>
      <c r="K1043">
        <v>2024</v>
      </c>
      <c r="L1043" s="27">
        <v>45557</v>
      </c>
      <c r="M1043">
        <v>3585.0299999999961</v>
      </c>
      <c r="N1043">
        <v>60</v>
      </c>
      <c r="O1043" t="s">
        <v>90</v>
      </c>
      <c r="P1043">
        <f t="shared" si="17"/>
        <v>0</v>
      </c>
    </row>
    <row r="1044" spans="1:16" hidden="1" x14ac:dyDescent="0.25">
      <c r="A1044" s="8">
        <v>1039</v>
      </c>
      <c r="B1044">
        <v>648</v>
      </c>
      <c r="C1044" s="27">
        <v>45557</v>
      </c>
      <c r="D1044" t="s">
        <v>889</v>
      </c>
      <c r="E1044">
        <v>36.06</v>
      </c>
      <c r="F1044" t="s">
        <v>106</v>
      </c>
      <c r="G1044" t="s">
        <v>143</v>
      </c>
      <c r="H1044" t="s">
        <v>14</v>
      </c>
      <c r="I1044" t="s">
        <v>118</v>
      </c>
      <c r="J1044" s="27">
        <v>45536</v>
      </c>
      <c r="K1044">
        <v>2024</v>
      </c>
      <c r="L1044" s="27">
        <v>45557</v>
      </c>
      <c r="M1044">
        <v>3621.0899999999961</v>
      </c>
      <c r="N1044">
        <v>7</v>
      </c>
      <c r="O1044" t="s">
        <v>90</v>
      </c>
      <c r="P1044">
        <f t="shared" si="17"/>
        <v>0</v>
      </c>
    </row>
    <row r="1045" spans="1:16" hidden="1" x14ac:dyDescent="0.25">
      <c r="A1045" s="8">
        <v>1040</v>
      </c>
      <c r="B1045">
        <v>649</v>
      </c>
      <c r="C1045" s="27">
        <v>45557</v>
      </c>
      <c r="D1045" t="s">
        <v>890</v>
      </c>
      <c r="E1045">
        <v>43.49</v>
      </c>
      <c r="F1045" t="s">
        <v>136</v>
      </c>
      <c r="G1045" t="s">
        <v>92</v>
      </c>
      <c r="H1045" t="s">
        <v>14</v>
      </c>
      <c r="I1045" t="s">
        <v>93</v>
      </c>
      <c r="J1045" s="27">
        <v>45536</v>
      </c>
      <c r="K1045">
        <v>2024</v>
      </c>
      <c r="L1045" s="27">
        <v>45557</v>
      </c>
      <c r="M1045">
        <v>3664.5799999999949</v>
      </c>
      <c r="N1045">
        <v>26</v>
      </c>
      <c r="O1045" t="s">
        <v>90</v>
      </c>
      <c r="P1045">
        <f t="shared" si="17"/>
        <v>0</v>
      </c>
    </row>
    <row r="1046" spans="1:16" hidden="1" x14ac:dyDescent="0.25">
      <c r="A1046" s="8">
        <v>1041</v>
      </c>
      <c r="B1046">
        <v>650</v>
      </c>
      <c r="C1046" s="27">
        <v>45558</v>
      </c>
      <c r="D1046" t="s">
        <v>863</v>
      </c>
      <c r="E1046">
        <v>53.21</v>
      </c>
      <c r="F1046" t="s">
        <v>88</v>
      </c>
      <c r="G1046" t="s">
        <v>107</v>
      </c>
      <c r="H1046" t="s">
        <v>14</v>
      </c>
      <c r="I1046" t="s">
        <v>69</v>
      </c>
      <c r="J1046" s="27">
        <v>45536</v>
      </c>
      <c r="K1046">
        <v>2024</v>
      </c>
      <c r="L1046" s="27">
        <v>45558</v>
      </c>
      <c r="M1046">
        <v>3717.789999999995</v>
      </c>
      <c r="N1046">
        <v>51</v>
      </c>
      <c r="O1046" t="s">
        <v>90</v>
      </c>
      <c r="P1046">
        <f t="shared" si="17"/>
        <v>0</v>
      </c>
    </row>
    <row r="1047" spans="1:16" hidden="1" x14ac:dyDescent="0.25">
      <c r="A1047" s="8">
        <v>1042</v>
      </c>
      <c r="B1047">
        <v>651</v>
      </c>
      <c r="C1047" s="27">
        <v>45558</v>
      </c>
      <c r="D1047" t="s">
        <v>891</v>
      </c>
      <c r="E1047">
        <v>6.53</v>
      </c>
      <c r="F1047" t="s">
        <v>88</v>
      </c>
      <c r="G1047" t="s">
        <v>244</v>
      </c>
      <c r="H1047" t="s">
        <v>14</v>
      </c>
      <c r="I1047" t="s">
        <v>69</v>
      </c>
      <c r="J1047" s="27">
        <v>45536</v>
      </c>
      <c r="K1047">
        <v>2024</v>
      </c>
      <c r="L1047" s="27">
        <v>45558</v>
      </c>
      <c r="M1047">
        <v>3724.3199999999961</v>
      </c>
      <c r="N1047">
        <v>11</v>
      </c>
      <c r="O1047" t="s">
        <v>90</v>
      </c>
      <c r="P1047">
        <f t="shared" si="17"/>
        <v>0</v>
      </c>
    </row>
    <row r="1048" spans="1:16" hidden="1" x14ac:dyDescent="0.25">
      <c r="A1048" s="8">
        <v>1043</v>
      </c>
      <c r="B1048">
        <v>652</v>
      </c>
      <c r="C1048" s="27">
        <v>45558</v>
      </c>
      <c r="D1048" t="s">
        <v>863</v>
      </c>
      <c r="E1048">
        <v>12.4</v>
      </c>
      <c r="F1048" t="s">
        <v>88</v>
      </c>
      <c r="G1048" t="s">
        <v>107</v>
      </c>
      <c r="H1048" t="s">
        <v>14</v>
      </c>
      <c r="I1048" t="s">
        <v>69</v>
      </c>
      <c r="J1048" s="27">
        <v>45536</v>
      </c>
      <c r="K1048">
        <v>2024</v>
      </c>
      <c r="L1048" s="27">
        <v>45558</v>
      </c>
      <c r="M1048">
        <v>3736.7199999999962</v>
      </c>
      <c r="N1048">
        <v>52</v>
      </c>
      <c r="O1048" t="s">
        <v>90</v>
      </c>
      <c r="P1048">
        <f t="shared" si="17"/>
        <v>0</v>
      </c>
    </row>
    <row r="1049" spans="1:16" hidden="1" x14ac:dyDescent="0.25">
      <c r="A1049" s="8">
        <v>1044</v>
      </c>
      <c r="B1049">
        <v>653</v>
      </c>
      <c r="C1049" s="27">
        <v>45558</v>
      </c>
      <c r="D1049" t="s">
        <v>869</v>
      </c>
      <c r="E1049">
        <v>52.41</v>
      </c>
      <c r="F1049" t="s">
        <v>106</v>
      </c>
      <c r="G1049" t="s">
        <v>212</v>
      </c>
      <c r="H1049" t="s">
        <v>14</v>
      </c>
      <c r="I1049" t="s">
        <v>69</v>
      </c>
      <c r="J1049" s="27">
        <v>45536</v>
      </c>
      <c r="K1049">
        <v>2024</v>
      </c>
      <c r="L1049" s="27">
        <v>45558</v>
      </c>
      <c r="M1049">
        <v>3789.129999999996</v>
      </c>
      <c r="N1049">
        <v>12</v>
      </c>
      <c r="O1049" t="s">
        <v>90</v>
      </c>
      <c r="P1049">
        <f t="shared" si="17"/>
        <v>0</v>
      </c>
    </row>
    <row r="1050" spans="1:16" hidden="1" x14ac:dyDescent="0.25">
      <c r="A1050" s="8">
        <v>1045</v>
      </c>
      <c r="B1050">
        <v>654</v>
      </c>
      <c r="C1050" s="27">
        <v>45558</v>
      </c>
      <c r="D1050" t="s">
        <v>771</v>
      </c>
      <c r="E1050">
        <v>14.95</v>
      </c>
      <c r="F1050" t="s">
        <v>136</v>
      </c>
      <c r="G1050" t="s">
        <v>312</v>
      </c>
      <c r="H1050" t="s">
        <v>14</v>
      </c>
      <c r="I1050" t="s">
        <v>15</v>
      </c>
      <c r="J1050" s="27">
        <v>45536</v>
      </c>
      <c r="K1050">
        <v>2024</v>
      </c>
      <c r="L1050" s="27">
        <v>45558</v>
      </c>
      <c r="M1050">
        <v>3804.0799999999949</v>
      </c>
      <c r="N1050">
        <v>32</v>
      </c>
      <c r="O1050" t="s">
        <v>90</v>
      </c>
      <c r="P1050">
        <f t="shared" si="17"/>
        <v>0</v>
      </c>
    </row>
    <row r="1051" spans="1:16" hidden="1" x14ac:dyDescent="0.25">
      <c r="A1051" s="8">
        <v>1046</v>
      </c>
      <c r="B1051">
        <v>655</v>
      </c>
      <c r="C1051" s="27">
        <v>45558</v>
      </c>
      <c r="D1051" t="s">
        <v>892</v>
      </c>
      <c r="E1051">
        <v>25</v>
      </c>
      <c r="F1051" t="s">
        <v>133</v>
      </c>
      <c r="G1051" t="s">
        <v>134</v>
      </c>
      <c r="H1051" t="s">
        <v>14</v>
      </c>
      <c r="I1051" t="s">
        <v>15</v>
      </c>
      <c r="J1051" s="27">
        <v>45536</v>
      </c>
      <c r="K1051">
        <v>2024</v>
      </c>
      <c r="L1051" s="27">
        <v>45558</v>
      </c>
      <c r="M1051">
        <v>3829.0799999999949</v>
      </c>
      <c r="N1051">
        <v>12</v>
      </c>
      <c r="O1051" t="s">
        <v>90</v>
      </c>
      <c r="P1051">
        <f t="shared" si="17"/>
        <v>0</v>
      </c>
    </row>
    <row r="1052" spans="1:16" hidden="1" x14ac:dyDescent="0.25">
      <c r="A1052" s="8">
        <v>1047</v>
      </c>
      <c r="B1052">
        <v>656</v>
      </c>
      <c r="C1052" s="27">
        <v>45558</v>
      </c>
      <c r="D1052" t="s">
        <v>893</v>
      </c>
      <c r="E1052">
        <v>241.58</v>
      </c>
      <c r="F1052" t="s">
        <v>88</v>
      </c>
      <c r="G1052" t="s">
        <v>107</v>
      </c>
      <c r="H1052" t="s">
        <v>14</v>
      </c>
      <c r="I1052" t="s">
        <v>69</v>
      </c>
      <c r="J1052" s="27">
        <v>45536</v>
      </c>
      <c r="K1052">
        <v>2024</v>
      </c>
      <c r="L1052" s="27">
        <v>45558</v>
      </c>
      <c r="M1052">
        <v>4070.6599999999949</v>
      </c>
      <c r="N1052">
        <v>53</v>
      </c>
      <c r="O1052" t="s">
        <v>90</v>
      </c>
      <c r="P1052">
        <f t="shared" si="17"/>
        <v>0</v>
      </c>
    </row>
    <row r="1053" spans="1:16" hidden="1" x14ac:dyDescent="0.25">
      <c r="A1053" s="8">
        <v>1048</v>
      </c>
      <c r="B1053">
        <v>657</v>
      </c>
      <c r="C1053" s="27">
        <v>45558</v>
      </c>
      <c r="D1053" t="s">
        <v>894</v>
      </c>
      <c r="E1053">
        <v>3.09</v>
      </c>
      <c r="F1053" t="s">
        <v>88</v>
      </c>
      <c r="G1053" t="s">
        <v>117</v>
      </c>
      <c r="H1053" t="s">
        <v>14</v>
      </c>
      <c r="I1053" t="s">
        <v>118</v>
      </c>
      <c r="J1053" s="27">
        <v>45536</v>
      </c>
      <c r="K1053">
        <v>2024</v>
      </c>
      <c r="L1053" s="27">
        <v>45558</v>
      </c>
      <c r="M1053">
        <v>4073.749999999995</v>
      </c>
      <c r="N1053">
        <v>61</v>
      </c>
      <c r="O1053" t="s">
        <v>90</v>
      </c>
      <c r="P1053">
        <f t="shared" si="17"/>
        <v>0</v>
      </c>
    </row>
    <row r="1054" spans="1:16" hidden="1" x14ac:dyDescent="0.25">
      <c r="A1054" s="8">
        <v>1049</v>
      </c>
      <c r="B1054">
        <v>658</v>
      </c>
      <c r="C1054" s="27">
        <v>45558</v>
      </c>
      <c r="D1054" t="s">
        <v>895</v>
      </c>
      <c r="E1054">
        <v>15.5</v>
      </c>
      <c r="F1054" t="s">
        <v>136</v>
      </c>
      <c r="G1054" t="s">
        <v>312</v>
      </c>
      <c r="H1054" t="s">
        <v>14</v>
      </c>
      <c r="I1054" t="s">
        <v>15</v>
      </c>
      <c r="J1054" s="27">
        <v>45536</v>
      </c>
      <c r="K1054">
        <v>2024</v>
      </c>
      <c r="L1054" s="27">
        <v>45558</v>
      </c>
      <c r="M1054">
        <v>4089.249999999995</v>
      </c>
      <c r="N1054">
        <v>33</v>
      </c>
      <c r="O1054" t="s">
        <v>90</v>
      </c>
      <c r="P1054">
        <f t="shared" si="17"/>
        <v>0</v>
      </c>
    </row>
    <row r="1055" spans="1:16" hidden="1" x14ac:dyDescent="0.25">
      <c r="A1055" s="8">
        <v>1050</v>
      </c>
      <c r="B1055">
        <v>659</v>
      </c>
      <c r="C1055" s="27">
        <v>45558</v>
      </c>
      <c r="D1055" t="s">
        <v>771</v>
      </c>
      <c r="E1055">
        <v>3</v>
      </c>
      <c r="F1055" t="s">
        <v>136</v>
      </c>
      <c r="G1055" t="s">
        <v>312</v>
      </c>
      <c r="H1055" t="s">
        <v>14</v>
      </c>
      <c r="I1055" t="s">
        <v>15</v>
      </c>
      <c r="J1055" s="27">
        <v>45536</v>
      </c>
      <c r="K1055">
        <v>2024</v>
      </c>
      <c r="L1055" s="27">
        <v>45558</v>
      </c>
      <c r="M1055">
        <v>4092.249999999995</v>
      </c>
      <c r="N1055">
        <v>34</v>
      </c>
      <c r="O1055" t="s">
        <v>90</v>
      </c>
      <c r="P1055">
        <f t="shared" si="17"/>
        <v>0</v>
      </c>
    </row>
    <row r="1056" spans="1:16" hidden="1" x14ac:dyDescent="0.25">
      <c r="A1056" s="8">
        <v>1051</v>
      </c>
      <c r="B1056">
        <v>660</v>
      </c>
      <c r="C1056" s="27">
        <v>45558</v>
      </c>
      <c r="D1056" t="s">
        <v>896</v>
      </c>
      <c r="E1056">
        <v>15.15</v>
      </c>
      <c r="F1056" t="s">
        <v>116</v>
      </c>
      <c r="G1056" t="s">
        <v>141</v>
      </c>
      <c r="H1056" t="s">
        <v>14</v>
      </c>
      <c r="I1056" t="s">
        <v>118</v>
      </c>
      <c r="J1056" s="27">
        <v>45536</v>
      </c>
      <c r="K1056">
        <v>2024</v>
      </c>
      <c r="L1056" s="27">
        <v>45558</v>
      </c>
      <c r="M1056">
        <v>4107.3999999999951</v>
      </c>
      <c r="N1056">
        <v>27</v>
      </c>
      <c r="O1056" t="s">
        <v>90</v>
      </c>
      <c r="P1056">
        <f t="shared" si="17"/>
        <v>0</v>
      </c>
    </row>
    <row r="1057" spans="1:16" hidden="1" x14ac:dyDescent="0.25">
      <c r="A1057" s="8">
        <v>1052</v>
      </c>
      <c r="B1057">
        <v>661</v>
      </c>
      <c r="C1057" s="27">
        <v>45558</v>
      </c>
      <c r="D1057" t="s">
        <v>896</v>
      </c>
      <c r="E1057">
        <v>11.44</v>
      </c>
      <c r="F1057" t="s">
        <v>116</v>
      </c>
      <c r="G1057" t="s">
        <v>141</v>
      </c>
      <c r="H1057" t="s">
        <v>14</v>
      </c>
      <c r="I1057" t="s">
        <v>118</v>
      </c>
      <c r="J1057" s="27">
        <v>45536</v>
      </c>
      <c r="K1057">
        <v>2024</v>
      </c>
      <c r="L1057" s="27">
        <v>45558</v>
      </c>
      <c r="M1057">
        <v>4118.8399999999947</v>
      </c>
      <c r="N1057">
        <v>28</v>
      </c>
      <c r="O1057" t="s">
        <v>90</v>
      </c>
      <c r="P1057">
        <f t="shared" si="17"/>
        <v>0</v>
      </c>
    </row>
    <row r="1058" spans="1:16" hidden="1" x14ac:dyDescent="0.25">
      <c r="A1058" s="8">
        <v>1053</v>
      </c>
      <c r="B1058">
        <v>662</v>
      </c>
      <c r="C1058" s="27">
        <v>45559</v>
      </c>
      <c r="D1058" t="s">
        <v>897</v>
      </c>
      <c r="E1058">
        <v>17.41</v>
      </c>
      <c r="F1058" t="s">
        <v>88</v>
      </c>
      <c r="G1058" t="s">
        <v>107</v>
      </c>
      <c r="H1058" t="s">
        <v>14</v>
      </c>
      <c r="I1058" t="s">
        <v>69</v>
      </c>
      <c r="J1058" s="27">
        <v>45536</v>
      </c>
      <c r="K1058">
        <v>2024</v>
      </c>
      <c r="L1058" s="27">
        <v>45559</v>
      </c>
      <c r="M1058">
        <v>4136.2499999999955</v>
      </c>
      <c r="N1058">
        <v>54</v>
      </c>
      <c r="O1058" t="s">
        <v>90</v>
      </c>
      <c r="P1058">
        <f t="shared" si="17"/>
        <v>0</v>
      </c>
    </row>
    <row r="1059" spans="1:16" hidden="1" x14ac:dyDescent="0.25">
      <c r="A1059" s="8">
        <v>1054</v>
      </c>
      <c r="B1059">
        <v>663</v>
      </c>
      <c r="C1059" s="27">
        <v>45559</v>
      </c>
      <c r="D1059" t="s">
        <v>771</v>
      </c>
      <c r="E1059">
        <v>69.900000000000006</v>
      </c>
      <c r="F1059" t="s">
        <v>136</v>
      </c>
      <c r="G1059" t="s">
        <v>312</v>
      </c>
      <c r="H1059" t="s">
        <v>14</v>
      </c>
      <c r="I1059" t="s">
        <v>15</v>
      </c>
      <c r="J1059" s="27">
        <v>45536</v>
      </c>
      <c r="K1059">
        <v>2024</v>
      </c>
      <c r="L1059" s="27">
        <v>45559</v>
      </c>
      <c r="M1059">
        <v>4206.1499999999942</v>
      </c>
      <c r="N1059">
        <v>35</v>
      </c>
      <c r="O1059" t="s">
        <v>90</v>
      </c>
      <c r="P1059">
        <f t="shared" si="17"/>
        <v>0</v>
      </c>
    </row>
    <row r="1060" spans="1:16" hidden="1" x14ac:dyDescent="0.25">
      <c r="A1060" s="8">
        <v>1055</v>
      </c>
      <c r="B1060">
        <v>664</v>
      </c>
      <c r="C1060" s="27">
        <v>45559</v>
      </c>
      <c r="D1060" t="s">
        <v>898</v>
      </c>
      <c r="E1060">
        <v>41.33</v>
      </c>
      <c r="F1060" t="s">
        <v>116</v>
      </c>
      <c r="G1060" t="s">
        <v>141</v>
      </c>
      <c r="H1060" t="s">
        <v>14</v>
      </c>
      <c r="I1060" t="s">
        <v>118</v>
      </c>
      <c r="J1060" s="27">
        <v>45536</v>
      </c>
      <c r="K1060">
        <v>2024</v>
      </c>
      <c r="L1060" s="27">
        <v>45559</v>
      </c>
      <c r="M1060">
        <v>4247.4799999999941</v>
      </c>
      <c r="N1060">
        <v>29</v>
      </c>
      <c r="O1060" t="s">
        <v>90</v>
      </c>
      <c r="P1060">
        <f t="shared" si="17"/>
        <v>0</v>
      </c>
    </row>
    <row r="1061" spans="1:16" hidden="1" x14ac:dyDescent="0.25">
      <c r="A1061" s="8">
        <v>1056</v>
      </c>
      <c r="B1061">
        <v>665</v>
      </c>
      <c r="C1061" s="27">
        <v>45559</v>
      </c>
      <c r="D1061" t="s">
        <v>899</v>
      </c>
      <c r="E1061">
        <v>28.28</v>
      </c>
      <c r="F1061" t="s">
        <v>116</v>
      </c>
      <c r="G1061" t="s">
        <v>280</v>
      </c>
      <c r="H1061" t="s">
        <v>14</v>
      </c>
      <c r="I1061" t="s">
        <v>118</v>
      </c>
      <c r="J1061" s="27">
        <v>45536</v>
      </c>
      <c r="K1061">
        <v>2024</v>
      </c>
      <c r="L1061" s="27">
        <v>45559</v>
      </c>
      <c r="M1061">
        <v>4275.7599999999939</v>
      </c>
      <c r="N1061">
        <v>3</v>
      </c>
      <c r="O1061" t="s">
        <v>90</v>
      </c>
      <c r="P1061">
        <f t="shared" si="17"/>
        <v>0</v>
      </c>
    </row>
    <row r="1062" spans="1:16" hidden="1" x14ac:dyDescent="0.25">
      <c r="A1062" s="8">
        <v>1057</v>
      </c>
      <c r="B1062">
        <v>666</v>
      </c>
      <c r="C1062" s="27">
        <v>45559</v>
      </c>
      <c r="D1062" t="s">
        <v>900</v>
      </c>
      <c r="E1062">
        <v>3.98</v>
      </c>
      <c r="F1062" t="s">
        <v>136</v>
      </c>
      <c r="G1062" t="s">
        <v>92</v>
      </c>
      <c r="H1062" t="s">
        <v>14</v>
      </c>
      <c r="I1062" t="s">
        <v>93</v>
      </c>
      <c r="J1062" s="27">
        <v>45536</v>
      </c>
      <c r="K1062">
        <v>2024</v>
      </c>
      <c r="L1062" s="27">
        <v>45559</v>
      </c>
      <c r="M1062">
        <v>4279.7399999999934</v>
      </c>
      <c r="N1062">
        <v>27</v>
      </c>
      <c r="O1062" t="s">
        <v>90</v>
      </c>
      <c r="P1062">
        <f t="shared" si="17"/>
        <v>0</v>
      </c>
    </row>
    <row r="1063" spans="1:16" hidden="1" x14ac:dyDescent="0.25">
      <c r="A1063" s="8">
        <v>1058</v>
      </c>
      <c r="B1063">
        <v>667</v>
      </c>
      <c r="C1063" s="27">
        <v>45561</v>
      </c>
      <c r="D1063" t="s">
        <v>901</v>
      </c>
      <c r="E1063">
        <v>45.11</v>
      </c>
      <c r="F1063" t="s">
        <v>116</v>
      </c>
      <c r="G1063" t="s">
        <v>117</v>
      </c>
      <c r="H1063" t="s">
        <v>14</v>
      </c>
      <c r="I1063" t="s">
        <v>118</v>
      </c>
      <c r="J1063" s="27">
        <v>45536</v>
      </c>
      <c r="K1063">
        <v>2024</v>
      </c>
      <c r="L1063" s="27">
        <v>45561</v>
      </c>
      <c r="M1063">
        <v>4324.8499999999931</v>
      </c>
      <c r="N1063">
        <v>62</v>
      </c>
      <c r="O1063" t="s">
        <v>90</v>
      </c>
      <c r="P1063">
        <f t="shared" si="17"/>
        <v>0</v>
      </c>
    </row>
    <row r="1064" spans="1:16" hidden="1" x14ac:dyDescent="0.25">
      <c r="A1064" s="8">
        <v>1059</v>
      </c>
      <c r="B1064">
        <v>668</v>
      </c>
      <c r="C1064" s="27">
        <v>45561</v>
      </c>
      <c r="D1064" t="s">
        <v>771</v>
      </c>
      <c r="E1064">
        <v>10.48</v>
      </c>
      <c r="F1064" t="s">
        <v>136</v>
      </c>
      <c r="G1064" t="s">
        <v>312</v>
      </c>
      <c r="H1064" t="s">
        <v>14</v>
      </c>
      <c r="I1064" t="s">
        <v>15</v>
      </c>
      <c r="J1064" s="27">
        <v>45536</v>
      </c>
      <c r="K1064">
        <v>2024</v>
      </c>
      <c r="L1064" s="27">
        <v>45561</v>
      </c>
      <c r="M1064">
        <v>4335.3299999999927</v>
      </c>
      <c r="N1064">
        <v>36</v>
      </c>
      <c r="O1064" t="s">
        <v>90</v>
      </c>
      <c r="P1064">
        <f t="shared" si="17"/>
        <v>0</v>
      </c>
    </row>
    <row r="1065" spans="1:16" hidden="1" x14ac:dyDescent="0.25">
      <c r="A1065" s="8">
        <v>1060</v>
      </c>
      <c r="B1065">
        <v>669</v>
      </c>
      <c r="C1065" s="27">
        <v>45561</v>
      </c>
      <c r="D1065" t="s">
        <v>652</v>
      </c>
      <c r="E1065">
        <v>5</v>
      </c>
      <c r="F1065" t="s">
        <v>136</v>
      </c>
      <c r="G1065" t="s">
        <v>312</v>
      </c>
      <c r="H1065" t="s">
        <v>14</v>
      </c>
      <c r="I1065" t="s">
        <v>15</v>
      </c>
      <c r="J1065" s="27">
        <v>45536</v>
      </c>
      <c r="K1065">
        <v>2024</v>
      </c>
      <c r="L1065" s="27">
        <v>45561</v>
      </c>
      <c r="M1065">
        <v>4340.3299999999927</v>
      </c>
      <c r="N1065">
        <v>37</v>
      </c>
      <c r="O1065" t="s">
        <v>90</v>
      </c>
      <c r="P1065">
        <f t="shared" si="17"/>
        <v>0</v>
      </c>
    </row>
    <row r="1066" spans="1:16" hidden="1" x14ac:dyDescent="0.25">
      <c r="A1066" s="8">
        <v>1061</v>
      </c>
      <c r="B1066">
        <v>670</v>
      </c>
      <c r="C1066" s="27">
        <v>45562</v>
      </c>
      <c r="D1066" t="s">
        <v>771</v>
      </c>
      <c r="E1066">
        <v>25</v>
      </c>
      <c r="F1066" t="s">
        <v>136</v>
      </c>
      <c r="G1066" t="s">
        <v>312</v>
      </c>
      <c r="H1066" t="s">
        <v>14</v>
      </c>
      <c r="I1066" t="s">
        <v>15</v>
      </c>
      <c r="J1066" s="27">
        <v>45536</v>
      </c>
      <c r="K1066">
        <v>2024</v>
      </c>
      <c r="L1066" s="27">
        <v>45562</v>
      </c>
      <c r="M1066">
        <v>4365.3299999999927</v>
      </c>
      <c r="N1066">
        <v>38</v>
      </c>
      <c r="O1066" t="s">
        <v>90</v>
      </c>
      <c r="P1066">
        <f t="shared" si="17"/>
        <v>0</v>
      </c>
    </row>
    <row r="1067" spans="1:16" hidden="1" x14ac:dyDescent="0.25">
      <c r="A1067" s="8">
        <v>1062</v>
      </c>
      <c r="B1067">
        <v>671</v>
      </c>
      <c r="C1067" s="27">
        <v>45562</v>
      </c>
      <c r="D1067" t="s">
        <v>771</v>
      </c>
      <c r="E1067">
        <v>15.97</v>
      </c>
      <c r="F1067" t="s">
        <v>136</v>
      </c>
      <c r="G1067" t="s">
        <v>312</v>
      </c>
      <c r="H1067" t="s">
        <v>14</v>
      </c>
      <c r="I1067" t="s">
        <v>15</v>
      </c>
      <c r="J1067" s="27">
        <v>45536</v>
      </c>
      <c r="K1067">
        <v>2024</v>
      </c>
      <c r="L1067" s="27">
        <v>45562</v>
      </c>
      <c r="M1067">
        <v>4381.2999999999929</v>
      </c>
      <c r="N1067">
        <v>39</v>
      </c>
      <c r="O1067" t="s">
        <v>90</v>
      </c>
      <c r="P1067">
        <f t="shared" si="17"/>
        <v>0</v>
      </c>
    </row>
    <row r="1068" spans="1:16" hidden="1" x14ac:dyDescent="0.25">
      <c r="A1068" s="8">
        <v>1063</v>
      </c>
      <c r="B1068">
        <v>672</v>
      </c>
      <c r="C1068" s="27">
        <v>45562</v>
      </c>
      <c r="D1068" t="s">
        <v>619</v>
      </c>
      <c r="E1068">
        <v>11.99</v>
      </c>
      <c r="F1068" t="s">
        <v>88</v>
      </c>
      <c r="G1068" t="s">
        <v>114</v>
      </c>
      <c r="H1068" t="s">
        <v>14</v>
      </c>
      <c r="I1068" t="s">
        <v>93</v>
      </c>
      <c r="J1068" s="27">
        <v>45536</v>
      </c>
      <c r="K1068">
        <v>2024</v>
      </c>
      <c r="L1068" s="27">
        <v>45562</v>
      </c>
      <c r="M1068">
        <v>4393.2899999999927</v>
      </c>
      <c r="N1068">
        <v>67</v>
      </c>
      <c r="O1068" t="s">
        <v>90</v>
      </c>
      <c r="P1068">
        <f t="shared" si="17"/>
        <v>0</v>
      </c>
    </row>
    <row r="1069" spans="1:16" hidden="1" x14ac:dyDescent="0.25">
      <c r="A1069" s="8">
        <v>1064</v>
      </c>
      <c r="B1069">
        <v>673</v>
      </c>
      <c r="C1069" s="27">
        <v>45562</v>
      </c>
      <c r="D1069" t="s">
        <v>619</v>
      </c>
      <c r="E1069">
        <v>10</v>
      </c>
      <c r="F1069" t="s">
        <v>88</v>
      </c>
      <c r="G1069" t="s">
        <v>114</v>
      </c>
      <c r="H1069" t="s">
        <v>14</v>
      </c>
      <c r="I1069" t="s">
        <v>93</v>
      </c>
      <c r="J1069" s="27">
        <v>45536</v>
      </c>
      <c r="K1069">
        <v>2024</v>
      </c>
      <c r="L1069" s="27">
        <v>45562</v>
      </c>
      <c r="M1069">
        <v>4403.2899999999927</v>
      </c>
      <c r="N1069">
        <v>68</v>
      </c>
      <c r="O1069" t="s">
        <v>90</v>
      </c>
      <c r="P1069">
        <f t="shared" si="17"/>
        <v>0</v>
      </c>
    </row>
    <row r="1070" spans="1:16" hidden="1" x14ac:dyDescent="0.25">
      <c r="A1070" s="8">
        <v>1065</v>
      </c>
      <c r="B1070">
        <v>674</v>
      </c>
      <c r="C1070" s="27">
        <v>45562</v>
      </c>
      <c r="D1070" t="s">
        <v>316</v>
      </c>
      <c r="E1070">
        <v>29.99</v>
      </c>
      <c r="F1070" t="s">
        <v>88</v>
      </c>
      <c r="G1070" t="s">
        <v>214</v>
      </c>
      <c r="H1070" t="s">
        <v>28</v>
      </c>
      <c r="I1070" t="s">
        <v>69</v>
      </c>
      <c r="J1070" s="27">
        <v>45536</v>
      </c>
      <c r="K1070">
        <v>2024</v>
      </c>
      <c r="L1070" s="27">
        <v>45562</v>
      </c>
      <c r="M1070">
        <v>4433.2799999999916</v>
      </c>
      <c r="N1070">
        <v>9</v>
      </c>
      <c r="O1070" t="s">
        <v>90</v>
      </c>
      <c r="P1070">
        <f t="shared" si="17"/>
        <v>0</v>
      </c>
    </row>
    <row r="1071" spans="1:16" hidden="1" x14ac:dyDescent="0.25">
      <c r="A1071" s="8">
        <v>1066</v>
      </c>
      <c r="B1071">
        <v>675</v>
      </c>
      <c r="C1071" s="27">
        <v>45562</v>
      </c>
      <c r="D1071" t="s">
        <v>619</v>
      </c>
      <c r="E1071">
        <v>10</v>
      </c>
      <c r="F1071" t="s">
        <v>88</v>
      </c>
      <c r="G1071" t="s">
        <v>114</v>
      </c>
      <c r="H1071" t="s">
        <v>14</v>
      </c>
      <c r="I1071" t="s">
        <v>93</v>
      </c>
      <c r="J1071" s="27">
        <v>45536</v>
      </c>
      <c r="K1071">
        <v>2024</v>
      </c>
      <c r="L1071" s="27">
        <v>45562</v>
      </c>
      <c r="M1071">
        <v>4443.2799999999916</v>
      </c>
      <c r="N1071">
        <v>69</v>
      </c>
      <c r="O1071" t="s">
        <v>90</v>
      </c>
      <c r="P1071">
        <f t="shared" si="17"/>
        <v>0</v>
      </c>
    </row>
    <row r="1072" spans="1:16" hidden="1" x14ac:dyDescent="0.25">
      <c r="A1072" s="8">
        <v>1067</v>
      </c>
      <c r="B1072">
        <v>676</v>
      </c>
      <c r="C1072" s="27">
        <v>45562</v>
      </c>
      <c r="D1072" t="s">
        <v>619</v>
      </c>
      <c r="E1072">
        <v>3.75</v>
      </c>
      <c r="F1072" t="s">
        <v>88</v>
      </c>
      <c r="G1072" t="s">
        <v>114</v>
      </c>
      <c r="H1072" t="s">
        <v>14</v>
      </c>
      <c r="I1072" t="s">
        <v>93</v>
      </c>
      <c r="J1072" s="27">
        <v>45536</v>
      </c>
      <c r="K1072">
        <v>2024</v>
      </c>
      <c r="L1072" s="27">
        <v>45562</v>
      </c>
      <c r="M1072">
        <v>4447.0299999999916</v>
      </c>
      <c r="N1072">
        <v>70</v>
      </c>
      <c r="O1072" t="s">
        <v>90</v>
      </c>
      <c r="P1072">
        <f t="shared" si="17"/>
        <v>0</v>
      </c>
    </row>
    <row r="1073" spans="1:16" hidden="1" x14ac:dyDescent="0.25">
      <c r="A1073" s="8">
        <v>1068</v>
      </c>
      <c r="B1073">
        <v>677</v>
      </c>
      <c r="C1073" s="27">
        <v>45562</v>
      </c>
      <c r="D1073" t="s">
        <v>619</v>
      </c>
      <c r="E1073">
        <v>10</v>
      </c>
      <c r="F1073" t="s">
        <v>88</v>
      </c>
      <c r="G1073" t="s">
        <v>114</v>
      </c>
      <c r="H1073" t="s">
        <v>14</v>
      </c>
      <c r="I1073" t="s">
        <v>93</v>
      </c>
      <c r="J1073" s="27">
        <v>45536</v>
      </c>
      <c r="K1073">
        <v>2024</v>
      </c>
      <c r="L1073" s="27">
        <v>45562</v>
      </c>
      <c r="M1073">
        <v>4457.0299999999916</v>
      </c>
      <c r="N1073">
        <v>71</v>
      </c>
      <c r="O1073" t="s">
        <v>90</v>
      </c>
      <c r="P1073">
        <f t="shared" si="17"/>
        <v>0</v>
      </c>
    </row>
    <row r="1074" spans="1:16" hidden="1" x14ac:dyDescent="0.25">
      <c r="A1074" s="8">
        <v>1069</v>
      </c>
      <c r="B1074">
        <v>678</v>
      </c>
      <c r="C1074" s="27">
        <v>45563</v>
      </c>
      <c r="D1074" t="s">
        <v>902</v>
      </c>
      <c r="E1074">
        <v>75.239999999999995</v>
      </c>
      <c r="F1074" t="s">
        <v>88</v>
      </c>
      <c r="G1074" t="s">
        <v>195</v>
      </c>
      <c r="H1074" t="s">
        <v>14</v>
      </c>
      <c r="I1074" t="s">
        <v>395</v>
      </c>
      <c r="J1074" s="27">
        <v>45536</v>
      </c>
      <c r="K1074">
        <v>2024</v>
      </c>
      <c r="L1074" s="27">
        <v>45563</v>
      </c>
      <c r="M1074">
        <v>4532.2699999999923</v>
      </c>
      <c r="N1074">
        <v>4</v>
      </c>
      <c r="O1074" t="s">
        <v>90</v>
      </c>
      <c r="P1074">
        <f t="shared" si="17"/>
        <v>0</v>
      </c>
    </row>
    <row r="1075" spans="1:16" hidden="1" x14ac:dyDescent="0.25">
      <c r="A1075" s="8">
        <v>1070</v>
      </c>
      <c r="B1075">
        <v>679</v>
      </c>
      <c r="C1075" s="27">
        <v>45564</v>
      </c>
      <c r="D1075" t="s">
        <v>162</v>
      </c>
      <c r="E1075">
        <v>-4363.2</v>
      </c>
      <c r="F1075" t="s">
        <v>163</v>
      </c>
      <c r="G1075" t="s">
        <v>164</v>
      </c>
      <c r="H1075" t="s">
        <v>14</v>
      </c>
      <c r="I1075" t="s">
        <v>80</v>
      </c>
      <c r="J1075" s="27">
        <v>45536</v>
      </c>
      <c r="K1075">
        <v>2024</v>
      </c>
      <c r="L1075" s="27">
        <v>45564</v>
      </c>
      <c r="M1075">
        <v>169.0699999999924</v>
      </c>
      <c r="N1075">
        <v>15</v>
      </c>
      <c r="O1075" t="s">
        <v>90</v>
      </c>
      <c r="P1075">
        <f t="shared" si="17"/>
        <v>0</v>
      </c>
    </row>
    <row r="1076" spans="1:16" hidden="1" x14ac:dyDescent="0.25">
      <c r="A1076" s="8">
        <v>1071</v>
      </c>
      <c r="B1076">
        <v>680</v>
      </c>
      <c r="C1076" s="27">
        <v>45564</v>
      </c>
      <c r="D1076" t="s">
        <v>850</v>
      </c>
      <c r="E1076">
        <v>2.15</v>
      </c>
      <c r="F1076" t="s">
        <v>95</v>
      </c>
      <c r="G1076" t="s">
        <v>797</v>
      </c>
      <c r="H1076" t="s">
        <v>14</v>
      </c>
      <c r="I1076" t="s">
        <v>25</v>
      </c>
      <c r="J1076" s="27">
        <v>45536</v>
      </c>
      <c r="K1076">
        <v>2024</v>
      </c>
      <c r="L1076" s="27">
        <v>45564</v>
      </c>
      <c r="M1076">
        <v>171.21999999999241</v>
      </c>
      <c r="N1076">
        <v>2</v>
      </c>
      <c r="O1076" t="s">
        <v>90</v>
      </c>
      <c r="P1076">
        <f t="shared" si="17"/>
        <v>0</v>
      </c>
    </row>
    <row r="1077" spans="1:16" hidden="1" x14ac:dyDescent="0.25">
      <c r="A1077" s="8">
        <v>1072</v>
      </c>
      <c r="B1077">
        <v>681</v>
      </c>
      <c r="C1077" s="27">
        <v>45564</v>
      </c>
      <c r="D1077" t="s">
        <v>108</v>
      </c>
      <c r="E1077">
        <v>69.989999999999995</v>
      </c>
      <c r="F1077" t="s">
        <v>88</v>
      </c>
      <c r="G1077" t="s">
        <v>109</v>
      </c>
      <c r="H1077" t="s">
        <v>14</v>
      </c>
      <c r="I1077" t="s">
        <v>93</v>
      </c>
      <c r="J1077" s="27">
        <v>45536</v>
      </c>
      <c r="K1077">
        <v>2024</v>
      </c>
      <c r="L1077" s="27">
        <v>45564</v>
      </c>
      <c r="M1077">
        <v>241.20999999999239</v>
      </c>
      <c r="N1077">
        <v>10</v>
      </c>
      <c r="O1077" t="s">
        <v>90</v>
      </c>
      <c r="P1077">
        <f t="shared" si="17"/>
        <v>0</v>
      </c>
    </row>
    <row r="1078" spans="1:16" hidden="1" x14ac:dyDescent="0.25">
      <c r="A1078" s="8">
        <v>1073</v>
      </c>
      <c r="B1078">
        <v>682</v>
      </c>
      <c r="C1078" s="27">
        <v>45565</v>
      </c>
      <c r="D1078" t="s">
        <v>619</v>
      </c>
      <c r="E1078">
        <v>15.99</v>
      </c>
      <c r="F1078" t="s">
        <v>88</v>
      </c>
      <c r="G1078" t="s">
        <v>114</v>
      </c>
      <c r="H1078" t="s">
        <v>14</v>
      </c>
      <c r="I1078" t="s">
        <v>93</v>
      </c>
      <c r="J1078" s="27">
        <v>45536</v>
      </c>
      <c r="K1078">
        <v>2024</v>
      </c>
      <c r="L1078" s="27">
        <v>45565</v>
      </c>
      <c r="M1078">
        <v>257.19999999999237</v>
      </c>
      <c r="N1078">
        <v>72</v>
      </c>
      <c r="O1078" t="s">
        <v>90</v>
      </c>
      <c r="P1078">
        <f t="shared" si="17"/>
        <v>0</v>
      </c>
    </row>
    <row r="1079" spans="1:16" hidden="1" x14ac:dyDescent="0.25">
      <c r="A1079" s="8">
        <v>1074</v>
      </c>
      <c r="B1079">
        <v>683</v>
      </c>
      <c r="C1079" s="27">
        <v>45565</v>
      </c>
      <c r="D1079" t="s">
        <v>189</v>
      </c>
      <c r="E1079">
        <v>50.32</v>
      </c>
      <c r="F1079" t="s">
        <v>106</v>
      </c>
      <c r="G1079" t="s">
        <v>137</v>
      </c>
      <c r="H1079" t="s">
        <v>14</v>
      </c>
      <c r="I1079" t="s">
        <v>118</v>
      </c>
      <c r="J1079" s="27">
        <v>45536</v>
      </c>
      <c r="K1079">
        <v>2024</v>
      </c>
      <c r="L1079" s="27">
        <v>45565</v>
      </c>
      <c r="M1079">
        <v>307.51999999999242</v>
      </c>
      <c r="N1079">
        <v>33</v>
      </c>
      <c r="O1079" t="s">
        <v>90</v>
      </c>
      <c r="P1079">
        <f t="shared" si="17"/>
        <v>1</v>
      </c>
    </row>
    <row r="1080" spans="1:16" hidden="1" x14ac:dyDescent="0.25">
      <c r="A1080" s="8">
        <v>1075</v>
      </c>
      <c r="B1080">
        <v>684</v>
      </c>
      <c r="C1080" s="27">
        <v>45566</v>
      </c>
      <c r="D1080" t="s">
        <v>94</v>
      </c>
      <c r="E1080">
        <v>5</v>
      </c>
      <c r="F1080" t="s">
        <v>95</v>
      </c>
      <c r="G1080" t="s">
        <v>96</v>
      </c>
      <c r="H1080" t="s">
        <v>28</v>
      </c>
      <c r="I1080" t="s">
        <v>69</v>
      </c>
      <c r="J1080" s="27">
        <v>45566</v>
      </c>
      <c r="K1080">
        <v>2024</v>
      </c>
      <c r="L1080" s="27">
        <v>45566</v>
      </c>
      <c r="M1080">
        <v>312.51999999999242</v>
      </c>
      <c r="N1080">
        <v>10</v>
      </c>
      <c r="O1080" t="s">
        <v>90</v>
      </c>
      <c r="P1080">
        <f t="shared" si="17"/>
        <v>0</v>
      </c>
    </row>
    <row r="1081" spans="1:16" hidden="1" x14ac:dyDescent="0.25">
      <c r="A1081" s="8">
        <v>1076</v>
      </c>
      <c r="B1081">
        <v>685</v>
      </c>
      <c r="C1081" s="27">
        <v>45566</v>
      </c>
      <c r="D1081" t="s">
        <v>878</v>
      </c>
      <c r="E1081">
        <v>-13.55</v>
      </c>
      <c r="F1081" t="s">
        <v>163</v>
      </c>
      <c r="G1081" t="s">
        <v>107</v>
      </c>
      <c r="H1081" t="s">
        <v>14</v>
      </c>
      <c r="I1081" t="s">
        <v>69</v>
      </c>
      <c r="J1081" s="27">
        <v>45566</v>
      </c>
      <c r="K1081">
        <v>2024</v>
      </c>
      <c r="L1081" s="27">
        <v>45566</v>
      </c>
      <c r="M1081">
        <v>298.96999999999241</v>
      </c>
      <c r="N1081">
        <v>55</v>
      </c>
      <c r="O1081" t="s">
        <v>90</v>
      </c>
      <c r="P1081">
        <f t="shared" si="17"/>
        <v>0</v>
      </c>
    </row>
    <row r="1082" spans="1:16" hidden="1" x14ac:dyDescent="0.25">
      <c r="A1082" s="8">
        <v>1077</v>
      </c>
      <c r="B1082">
        <v>686</v>
      </c>
      <c r="C1082" s="27">
        <v>45566</v>
      </c>
      <c r="D1082" t="s">
        <v>903</v>
      </c>
      <c r="E1082">
        <v>5.99</v>
      </c>
      <c r="F1082" t="s">
        <v>88</v>
      </c>
      <c r="G1082" t="s">
        <v>98</v>
      </c>
      <c r="H1082" t="s">
        <v>28</v>
      </c>
      <c r="I1082" t="s">
        <v>93</v>
      </c>
      <c r="J1082" s="27">
        <v>45566</v>
      </c>
      <c r="K1082">
        <v>2024</v>
      </c>
      <c r="L1082" s="27">
        <v>45566</v>
      </c>
      <c r="M1082">
        <v>304.95999999999242</v>
      </c>
      <c r="N1082">
        <v>10</v>
      </c>
      <c r="O1082" t="s">
        <v>90</v>
      </c>
      <c r="P1082">
        <f t="shared" si="17"/>
        <v>0</v>
      </c>
    </row>
    <row r="1083" spans="1:16" hidden="1" x14ac:dyDescent="0.25">
      <c r="A1083" s="8">
        <v>1078</v>
      </c>
      <c r="B1083">
        <v>687</v>
      </c>
      <c r="C1083" s="27">
        <v>45566</v>
      </c>
      <c r="D1083" t="s">
        <v>904</v>
      </c>
      <c r="E1083">
        <v>35</v>
      </c>
      <c r="F1083" t="s">
        <v>95</v>
      </c>
      <c r="G1083" t="s">
        <v>117</v>
      </c>
      <c r="H1083" t="s">
        <v>14</v>
      </c>
      <c r="I1083" t="s">
        <v>118</v>
      </c>
      <c r="J1083" s="27">
        <v>45566</v>
      </c>
      <c r="K1083">
        <v>2024</v>
      </c>
      <c r="L1083" s="27">
        <v>45566</v>
      </c>
      <c r="M1083">
        <v>339.95999999999242</v>
      </c>
      <c r="N1083">
        <v>63</v>
      </c>
      <c r="O1083" t="s">
        <v>90</v>
      </c>
      <c r="P1083">
        <f t="shared" si="17"/>
        <v>0</v>
      </c>
    </row>
    <row r="1084" spans="1:16" hidden="1" x14ac:dyDescent="0.25">
      <c r="A1084" s="8">
        <v>1079</v>
      </c>
      <c r="B1084">
        <v>688</v>
      </c>
      <c r="C1084" s="27">
        <v>45566</v>
      </c>
      <c r="D1084" t="s">
        <v>674</v>
      </c>
      <c r="E1084">
        <v>20</v>
      </c>
      <c r="F1084" t="s">
        <v>88</v>
      </c>
      <c r="G1084" t="s">
        <v>89</v>
      </c>
      <c r="H1084" t="s">
        <v>28</v>
      </c>
      <c r="I1084" t="s">
        <v>69</v>
      </c>
      <c r="J1084" s="27">
        <v>45566</v>
      </c>
      <c r="K1084">
        <v>2024</v>
      </c>
      <c r="L1084" s="27">
        <v>45566</v>
      </c>
      <c r="M1084">
        <v>359.95999999999242</v>
      </c>
      <c r="N1084">
        <v>10</v>
      </c>
      <c r="O1084" t="s">
        <v>90</v>
      </c>
      <c r="P1084">
        <f t="shared" si="17"/>
        <v>0</v>
      </c>
    </row>
    <row r="1085" spans="1:16" hidden="1" x14ac:dyDescent="0.25">
      <c r="A1085" s="8">
        <v>1080</v>
      </c>
      <c r="B1085">
        <v>689</v>
      </c>
      <c r="C1085" s="27">
        <v>45566</v>
      </c>
      <c r="D1085" t="s">
        <v>771</v>
      </c>
      <c r="E1085">
        <v>13.96</v>
      </c>
      <c r="F1085" t="s">
        <v>136</v>
      </c>
      <c r="G1085" t="s">
        <v>312</v>
      </c>
      <c r="H1085" t="s">
        <v>14</v>
      </c>
      <c r="I1085" t="s">
        <v>15</v>
      </c>
      <c r="J1085" s="27">
        <v>45566</v>
      </c>
      <c r="K1085">
        <v>2024</v>
      </c>
      <c r="L1085" s="27">
        <v>45566</v>
      </c>
      <c r="M1085">
        <v>373.9199999999924</v>
      </c>
      <c r="N1085">
        <v>40</v>
      </c>
      <c r="O1085" t="s">
        <v>90</v>
      </c>
      <c r="P1085">
        <f t="shared" si="17"/>
        <v>0</v>
      </c>
    </row>
    <row r="1086" spans="1:16" hidden="1" x14ac:dyDescent="0.25">
      <c r="A1086" s="8">
        <v>1081</v>
      </c>
      <c r="B1086">
        <v>690</v>
      </c>
      <c r="C1086" s="27">
        <v>45566</v>
      </c>
      <c r="D1086" t="s">
        <v>105</v>
      </c>
      <c r="E1086">
        <v>80.03</v>
      </c>
      <c r="F1086" t="s">
        <v>106</v>
      </c>
      <c r="G1086" t="s">
        <v>107</v>
      </c>
      <c r="H1086" t="s">
        <v>14</v>
      </c>
      <c r="I1086" t="s">
        <v>69</v>
      </c>
      <c r="J1086" s="27">
        <v>45566</v>
      </c>
      <c r="K1086">
        <v>2024</v>
      </c>
      <c r="L1086" s="27">
        <v>45566</v>
      </c>
      <c r="M1086">
        <v>453.94999999999237</v>
      </c>
      <c r="N1086">
        <v>56</v>
      </c>
      <c r="O1086" t="s">
        <v>90</v>
      </c>
      <c r="P1086">
        <f t="shared" si="17"/>
        <v>0</v>
      </c>
    </row>
    <row r="1087" spans="1:16" hidden="1" x14ac:dyDescent="0.25">
      <c r="A1087" s="8">
        <v>1082</v>
      </c>
      <c r="B1087">
        <v>691</v>
      </c>
      <c r="C1087" s="27">
        <v>45567</v>
      </c>
      <c r="D1087" t="s">
        <v>905</v>
      </c>
      <c r="E1087">
        <v>29.54</v>
      </c>
      <c r="F1087" t="s">
        <v>88</v>
      </c>
      <c r="G1087" t="s">
        <v>107</v>
      </c>
      <c r="H1087" t="s">
        <v>14</v>
      </c>
      <c r="I1087" t="s">
        <v>69</v>
      </c>
      <c r="J1087" s="27">
        <v>45566</v>
      </c>
      <c r="K1087">
        <v>2024</v>
      </c>
      <c r="L1087" s="27">
        <v>45567</v>
      </c>
      <c r="M1087">
        <v>483.48999999999239</v>
      </c>
      <c r="N1087">
        <v>57</v>
      </c>
      <c r="O1087" t="s">
        <v>90</v>
      </c>
      <c r="P1087">
        <f t="shared" si="17"/>
        <v>0</v>
      </c>
    </row>
    <row r="1088" spans="1:16" hidden="1" x14ac:dyDescent="0.25">
      <c r="A1088" s="8">
        <v>1083</v>
      </c>
      <c r="B1088">
        <v>692</v>
      </c>
      <c r="C1088" s="27">
        <v>45567</v>
      </c>
      <c r="D1088" t="s">
        <v>906</v>
      </c>
      <c r="E1088">
        <v>50</v>
      </c>
      <c r="F1088" t="s">
        <v>95</v>
      </c>
      <c r="G1088" t="s">
        <v>729</v>
      </c>
      <c r="H1088" t="s">
        <v>14</v>
      </c>
      <c r="I1088" t="s">
        <v>69</v>
      </c>
      <c r="J1088" s="27">
        <v>45566</v>
      </c>
      <c r="K1088">
        <v>2024</v>
      </c>
      <c r="L1088" s="27">
        <v>45567</v>
      </c>
      <c r="M1088">
        <v>533.48999999999251</v>
      </c>
      <c r="N1088">
        <v>3</v>
      </c>
      <c r="O1088" t="s">
        <v>90</v>
      </c>
      <c r="P1088">
        <f t="shared" si="17"/>
        <v>0</v>
      </c>
    </row>
    <row r="1089" spans="1:16" hidden="1" x14ac:dyDescent="0.25">
      <c r="A1089" s="8">
        <v>1084</v>
      </c>
      <c r="B1089">
        <v>693</v>
      </c>
      <c r="C1089" s="27">
        <v>45567</v>
      </c>
      <c r="D1089" t="s">
        <v>907</v>
      </c>
      <c r="E1089">
        <v>36.42</v>
      </c>
      <c r="F1089" t="s">
        <v>106</v>
      </c>
      <c r="G1089" t="s">
        <v>239</v>
      </c>
      <c r="H1089" t="s">
        <v>14</v>
      </c>
      <c r="I1089" t="s">
        <v>69</v>
      </c>
      <c r="J1089" s="27">
        <v>45566</v>
      </c>
      <c r="K1089">
        <v>2024</v>
      </c>
      <c r="L1089" s="27">
        <v>45567</v>
      </c>
      <c r="M1089">
        <v>569.90999999999246</v>
      </c>
      <c r="N1089">
        <v>10</v>
      </c>
      <c r="O1089" t="s">
        <v>90</v>
      </c>
      <c r="P1089">
        <f t="shared" si="17"/>
        <v>0</v>
      </c>
    </row>
    <row r="1090" spans="1:16" hidden="1" x14ac:dyDescent="0.25">
      <c r="A1090" s="8">
        <v>1085</v>
      </c>
      <c r="B1090">
        <v>694</v>
      </c>
      <c r="C1090" s="27">
        <v>45567</v>
      </c>
      <c r="D1090" t="s">
        <v>676</v>
      </c>
      <c r="E1090">
        <v>10</v>
      </c>
      <c r="F1090" t="s">
        <v>88</v>
      </c>
      <c r="G1090" t="s">
        <v>102</v>
      </c>
      <c r="H1090" t="s">
        <v>28</v>
      </c>
      <c r="I1090" t="s">
        <v>93</v>
      </c>
      <c r="J1090" s="27">
        <v>45566</v>
      </c>
      <c r="K1090">
        <v>2024</v>
      </c>
      <c r="L1090" s="27">
        <v>45567</v>
      </c>
      <c r="M1090">
        <v>579.90999999999246</v>
      </c>
      <c r="N1090">
        <v>10</v>
      </c>
      <c r="O1090" t="s">
        <v>90</v>
      </c>
      <c r="P1090">
        <f t="shared" si="17"/>
        <v>0</v>
      </c>
    </row>
    <row r="1091" spans="1:16" hidden="1" x14ac:dyDescent="0.25">
      <c r="A1091" s="8">
        <v>1086</v>
      </c>
      <c r="B1091">
        <v>695</v>
      </c>
      <c r="C1091" s="27">
        <v>45567</v>
      </c>
      <c r="D1091" t="s">
        <v>908</v>
      </c>
      <c r="E1091">
        <v>273.60000000000002</v>
      </c>
      <c r="F1091" t="s">
        <v>95</v>
      </c>
      <c r="G1091" t="s">
        <v>100</v>
      </c>
      <c r="H1091" t="s">
        <v>28</v>
      </c>
      <c r="I1091" t="s">
        <v>69</v>
      </c>
      <c r="J1091" s="27">
        <v>45566</v>
      </c>
      <c r="K1091">
        <v>2024</v>
      </c>
      <c r="L1091" s="27">
        <v>45567</v>
      </c>
      <c r="M1091">
        <v>853.50999999999249</v>
      </c>
      <c r="N1091">
        <v>12</v>
      </c>
      <c r="O1091" t="s">
        <v>90</v>
      </c>
      <c r="P1091">
        <f t="shared" si="17"/>
        <v>0</v>
      </c>
    </row>
    <row r="1092" spans="1:16" hidden="1" x14ac:dyDescent="0.25">
      <c r="A1092" s="8">
        <v>1087</v>
      </c>
      <c r="B1092">
        <v>696</v>
      </c>
      <c r="C1092" s="27">
        <v>45568</v>
      </c>
      <c r="D1092" t="s">
        <v>110</v>
      </c>
      <c r="E1092">
        <v>-46.21</v>
      </c>
      <c r="F1092" t="s">
        <v>111</v>
      </c>
      <c r="G1092" t="s">
        <v>112</v>
      </c>
      <c r="H1092" t="s">
        <v>14</v>
      </c>
      <c r="I1092" t="s">
        <v>80</v>
      </c>
      <c r="J1092" s="27">
        <v>45566</v>
      </c>
      <c r="K1092">
        <v>2024</v>
      </c>
      <c r="L1092" s="27">
        <v>45568</v>
      </c>
      <c r="M1092">
        <v>807.29999999999245</v>
      </c>
      <c r="N1092">
        <v>10</v>
      </c>
      <c r="O1092" t="s">
        <v>90</v>
      </c>
      <c r="P1092">
        <f t="shared" si="17"/>
        <v>0</v>
      </c>
    </row>
    <row r="1093" spans="1:16" hidden="1" x14ac:dyDescent="0.25">
      <c r="A1093" s="8">
        <v>1088</v>
      </c>
      <c r="B1093">
        <v>697</v>
      </c>
      <c r="C1093" s="27">
        <v>45568</v>
      </c>
      <c r="D1093" t="s">
        <v>909</v>
      </c>
      <c r="E1093">
        <v>76.98</v>
      </c>
      <c r="F1093" t="s">
        <v>88</v>
      </c>
      <c r="G1093" t="s">
        <v>910</v>
      </c>
      <c r="H1093" t="s">
        <v>14</v>
      </c>
      <c r="I1093" t="s">
        <v>93</v>
      </c>
      <c r="J1093" s="27">
        <v>45566</v>
      </c>
      <c r="K1093">
        <v>2024</v>
      </c>
      <c r="L1093" s="27">
        <v>45568</v>
      </c>
      <c r="M1093">
        <v>884.27999999999247</v>
      </c>
      <c r="N1093">
        <v>1</v>
      </c>
      <c r="O1093" t="s">
        <v>90</v>
      </c>
      <c r="P1093">
        <f t="shared" si="17"/>
        <v>0</v>
      </c>
    </row>
    <row r="1094" spans="1:16" hidden="1" x14ac:dyDescent="0.25">
      <c r="A1094" s="8">
        <v>1089</v>
      </c>
      <c r="B1094">
        <v>698</v>
      </c>
      <c r="C1094" s="27">
        <v>45569</v>
      </c>
      <c r="D1094" t="s">
        <v>189</v>
      </c>
      <c r="E1094">
        <v>41.92</v>
      </c>
      <c r="F1094" t="s">
        <v>106</v>
      </c>
      <c r="G1094" t="s">
        <v>137</v>
      </c>
      <c r="H1094" t="s">
        <v>14</v>
      </c>
      <c r="I1094" t="s">
        <v>118</v>
      </c>
      <c r="J1094" s="27">
        <v>45566</v>
      </c>
      <c r="K1094">
        <v>2024</v>
      </c>
      <c r="L1094" s="27">
        <v>45569</v>
      </c>
      <c r="M1094">
        <v>926.19999999999243</v>
      </c>
      <c r="N1094">
        <v>34</v>
      </c>
      <c r="O1094" t="s">
        <v>90</v>
      </c>
      <c r="P1094">
        <f t="shared" si="17"/>
        <v>0</v>
      </c>
    </row>
    <row r="1095" spans="1:16" hidden="1" x14ac:dyDescent="0.25">
      <c r="A1095" s="8">
        <v>1090</v>
      </c>
      <c r="B1095">
        <v>699</v>
      </c>
      <c r="C1095" s="27">
        <v>45570</v>
      </c>
      <c r="D1095" t="s">
        <v>911</v>
      </c>
      <c r="E1095">
        <v>29.55</v>
      </c>
      <c r="F1095" t="s">
        <v>116</v>
      </c>
      <c r="G1095" t="s">
        <v>141</v>
      </c>
      <c r="H1095" t="s">
        <v>14</v>
      </c>
      <c r="I1095" t="s">
        <v>118</v>
      </c>
      <c r="J1095" s="27">
        <v>45566</v>
      </c>
      <c r="K1095">
        <v>2024</v>
      </c>
      <c r="L1095" s="27">
        <v>45570</v>
      </c>
      <c r="M1095">
        <v>955.74999999999238</v>
      </c>
      <c r="N1095">
        <v>30</v>
      </c>
      <c r="O1095" t="s">
        <v>90</v>
      </c>
      <c r="P1095">
        <f t="shared" si="17"/>
        <v>0</v>
      </c>
    </row>
    <row r="1096" spans="1:16" hidden="1" x14ac:dyDescent="0.25">
      <c r="A1096" s="8">
        <v>1091</v>
      </c>
      <c r="B1096">
        <v>700</v>
      </c>
      <c r="C1096" s="27">
        <v>45571</v>
      </c>
      <c r="D1096" t="s">
        <v>619</v>
      </c>
      <c r="E1096">
        <v>9.99</v>
      </c>
      <c r="F1096" t="s">
        <v>88</v>
      </c>
      <c r="G1096" t="s">
        <v>114</v>
      </c>
      <c r="H1096" t="s">
        <v>14</v>
      </c>
      <c r="I1096" t="s">
        <v>93</v>
      </c>
      <c r="J1096" s="27">
        <v>45566</v>
      </c>
      <c r="K1096">
        <v>2024</v>
      </c>
      <c r="L1096" s="27">
        <v>45571</v>
      </c>
      <c r="M1096">
        <v>965.73999999999239</v>
      </c>
      <c r="N1096">
        <v>73</v>
      </c>
      <c r="O1096" t="s">
        <v>90</v>
      </c>
      <c r="P1096">
        <f t="shared" si="17"/>
        <v>0</v>
      </c>
    </row>
    <row r="1097" spans="1:16" hidden="1" x14ac:dyDescent="0.25">
      <c r="A1097" s="8">
        <v>1092</v>
      </c>
      <c r="B1097">
        <v>701</v>
      </c>
      <c r="C1097" s="27">
        <v>45572</v>
      </c>
      <c r="D1097" t="s">
        <v>912</v>
      </c>
      <c r="E1097">
        <v>40.700000000000003</v>
      </c>
      <c r="F1097" t="s">
        <v>116</v>
      </c>
      <c r="G1097" t="s">
        <v>141</v>
      </c>
      <c r="H1097" t="s">
        <v>14</v>
      </c>
      <c r="I1097" t="s">
        <v>118</v>
      </c>
      <c r="J1097" s="27">
        <v>45566</v>
      </c>
      <c r="K1097">
        <v>2024</v>
      </c>
      <c r="L1097" s="27">
        <v>45572</v>
      </c>
      <c r="M1097">
        <v>1006.439999999992</v>
      </c>
      <c r="N1097">
        <v>31</v>
      </c>
      <c r="O1097" t="s">
        <v>90</v>
      </c>
      <c r="P1097">
        <f t="shared" ref="P1097:P1124" si="18">IF(J1097&lt;&gt;J1098, 1, 0)</f>
        <v>0</v>
      </c>
    </row>
    <row r="1098" spans="1:16" hidden="1" x14ac:dyDescent="0.25">
      <c r="A1098" s="8">
        <v>1093</v>
      </c>
      <c r="B1098">
        <v>702</v>
      </c>
      <c r="C1098" s="27">
        <v>45573</v>
      </c>
      <c r="D1098" t="s">
        <v>105</v>
      </c>
      <c r="E1098">
        <v>128.41999999999999</v>
      </c>
      <c r="F1098" t="s">
        <v>106</v>
      </c>
      <c r="G1098" t="s">
        <v>107</v>
      </c>
      <c r="H1098" t="s">
        <v>14</v>
      </c>
      <c r="I1098" t="s">
        <v>69</v>
      </c>
      <c r="J1098" s="27">
        <v>45566</v>
      </c>
      <c r="K1098">
        <v>2024</v>
      </c>
      <c r="L1098" s="27">
        <v>45573</v>
      </c>
      <c r="M1098">
        <v>1134.8599999999919</v>
      </c>
      <c r="N1098">
        <v>58</v>
      </c>
      <c r="O1098" t="s">
        <v>90</v>
      </c>
      <c r="P1098">
        <f t="shared" si="18"/>
        <v>0</v>
      </c>
    </row>
    <row r="1099" spans="1:16" hidden="1" x14ac:dyDescent="0.25">
      <c r="A1099" s="8">
        <v>1094</v>
      </c>
      <c r="B1099">
        <v>703</v>
      </c>
      <c r="C1099" s="27">
        <v>45573</v>
      </c>
      <c r="D1099" t="s">
        <v>850</v>
      </c>
      <c r="E1099">
        <v>19.43</v>
      </c>
      <c r="F1099" t="s">
        <v>95</v>
      </c>
      <c r="G1099" t="s">
        <v>797</v>
      </c>
      <c r="H1099" t="s">
        <v>14</v>
      </c>
      <c r="I1099" t="s">
        <v>25</v>
      </c>
      <c r="J1099" s="27">
        <v>45566</v>
      </c>
      <c r="K1099">
        <v>2024</v>
      </c>
      <c r="L1099" s="27">
        <v>45573</v>
      </c>
      <c r="M1099">
        <v>1154.289999999992</v>
      </c>
      <c r="N1099">
        <v>3</v>
      </c>
      <c r="O1099" t="s">
        <v>90</v>
      </c>
      <c r="P1099">
        <f t="shared" si="18"/>
        <v>0</v>
      </c>
    </row>
    <row r="1100" spans="1:16" hidden="1" x14ac:dyDescent="0.25">
      <c r="A1100" s="8">
        <v>1095</v>
      </c>
      <c r="B1100">
        <v>704</v>
      </c>
      <c r="C1100" s="27">
        <v>45573</v>
      </c>
      <c r="D1100" t="s">
        <v>619</v>
      </c>
      <c r="E1100">
        <v>12</v>
      </c>
      <c r="F1100" t="s">
        <v>88</v>
      </c>
      <c r="G1100" t="s">
        <v>114</v>
      </c>
      <c r="H1100" t="s">
        <v>14</v>
      </c>
      <c r="I1100" t="s">
        <v>93</v>
      </c>
      <c r="J1100" s="27">
        <v>45566</v>
      </c>
      <c r="K1100">
        <v>2024</v>
      </c>
      <c r="L1100" s="27">
        <v>45573</v>
      </c>
      <c r="M1100">
        <v>1166.289999999992</v>
      </c>
      <c r="N1100">
        <v>74</v>
      </c>
      <c r="O1100" t="s">
        <v>90</v>
      </c>
      <c r="P1100">
        <f t="shared" si="18"/>
        <v>0</v>
      </c>
    </row>
    <row r="1101" spans="1:16" hidden="1" x14ac:dyDescent="0.25">
      <c r="A1101" s="8">
        <v>1096</v>
      </c>
      <c r="B1101">
        <v>705</v>
      </c>
      <c r="C1101" s="27">
        <v>45573</v>
      </c>
      <c r="D1101" t="s">
        <v>619</v>
      </c>
      <c r="E1101">
        <v>9.99</v>
      </c>
      <c r="F1101" t="s">
        <v>88</v>
      </c>
      <c r="G1101" t="s">
        <v>114</v>
      </c>
      <c r="H1101" t="s">
        <v>14</v>
      </c>
      <c r="I1101" t="s">
        <v>93</v>
      </c>
      <c r="J1101" s="27">
        <v>45566</v>
      </c>
      <c r="K1101">
        <v>2024</v>
      </c>
      <c r="L1101" s="27">
        <v>45573</v>
      </c>
      <c r="M1101">
        <v>1176.279999999992</v>
      </c>
      <c r="N1101">
        <v>75</v>
      </c>
      <c r="O1101" t="s">
        <v>90</v>
      </c>
      <c r="P1101">
        <f t="shared" si="18"/>
        <v>0</v>
      </c>
    </row>
    <row r="1102" spans="1:16" hidden="1" x14ac:dyDescent="0.25">
      <c r="A1102" s="8">
        <v>1097</v>
      </c>
      <c r="B1102">
        <v>706</v>
      </c>
      <c r="C1102" s="27">
        <v>45573</v>
      </c>
      <c r="D1102" t="s">
        <v>619</v>
      </c>
      <c r="E1102">
        <v>11.99</v>
      </c>
      <c r="F1102" t="s">
        <v>88</v>
      </c>
      <c r="G1102" t="s">
        <v>114</v>
      </c>
      <c r="H1102" t="s">
        <v>14</v>
      </c>
      <c r="I1102" t="s">
        <v>93</v>
      </c>
      <c r="J1102" s="27">
        <v>45566</v>
      </c>
      <c r="K1102">
        <v>2024</v>
      </c>
      <c r="L1102" s="27">
        <v>45573</v>
      </c>
      <c r="M1102">
        <v>1188.269999999992</v>
      </c>
      <c r="N1102">
        <v>76</v>
      </c>
      <c r="O1102" t="s">
        <v>90</v>
      </c>
      <c r="P1102">
        <f t="shared" si="18"/>
        <v>0</v>
      </c>
    </row>
    <row r="1103" spans="1:16" hidden="1" x14ac:dyDescent="0.25">
      <c r="A1103" s="8">
        <v>1098</v>
      </c>
      <c r="B1103">
        <v>707</v>
      </c>
      <c r="C1103" s="27">
        <v>45573</v>
      </c>
      <c r="D1103" t="s">
        <v>620</v>
      </c>
      <c r="E1103">
        <v>15</v>
      </c>
      <c r="F1103" t="s">
        <v>88</v>
      </c>
      <c r="G1103" t="s">
        <v>114</v>
      </c>
      <c r="H1103" t="s">
        <v>14</v>
      </c>
      <c r="I1103" t="s">
        <v>93</v>
      </c>
      <c r="J1103" s="27">
        <v>45566</v>
      </c>
      <c r="K1103">
        <v>2024</v>
      </c>
      <c r="L1103" s="27">
        <v>45573</v>
      </c>
      <c r="M1103">
        <v>1203.269999999992</v>
      </c>
      <c r="N1103">
        <v>77</v>
      </c>
      <c r="O1103" t="s">
        <v>90</v>
      </c>
      <c r="P1103">
        <f t="shared" si="18"/>
        <v>0</v>
      </c>
    </row>
    <row r="1104" spans="1:16" hidden="1" x14ac:dyDescent="0.25">
      <c r="A1104" s="8">
        <v>1099</v>
      </c>
      <c r="B1104">
        <v>708</v>
      </c>
      <c r="C1104" s="27">
        <v>45573</v>
      </c>
      <c r="D1104" t="s">
        <v>913</v>
      </c>
      <c r="E1104">
        <v>100</v>
      </c>
      <c r="F1104" t="s">
        <v>95</v>
      </c>
      <c r="G1104" t="s">
        <v>729</v>
      </c>
      <c r="H1104" t="s">
        <v>14</v>
      </c>
      <c r="I1104" t="s">
        <v>69</v>
      </c>
      <c r="J1104" s="27">
        <v>45566</v>
      </c>
      <c r="K1104">
        <v>2024</v>
      </c>
      <c r="L1104" s="27">
        <v>45573</v>
      </c>
      <c r="M1104">
        <v>1303.269999999992</v>
      </c>
      <c r="N1104">
        <v>4</v>
      </c>
      <c r="O1104" t="s">
        <v>90</v>
      </c>
      <c r="P1104">
        <f t="shared" si="18"/>
        <v>0</v>
      </c>
    </row>
    <row r="1105" spans="1:16" hidden="1" x14ac:dyDescent="0.25">
      <c r="A1105" s="8">
        <v>1100</v>
      </c>
      <c r="B1105">
        <v>709</v>
      </c>
      <c r="C1105" s="27">
        <v>45573</v>
      </c>
      <c r="D1105" t="s">
        <v>914</v>
      </c>
      <c r="E1105">
        <v>5.15</v>
      </c>
      <c r="F1105" t="s">
        <v>95</v>
      </c>
      <c r="G1105" t="s">
        <v>278</v>
      </c>
      <c r="H1105" t="s">
        <v>14</v>
      </c>
      <c r="I1105" t="s">
        <v>44</v>
      </c>
      <c r="J1105" s="27">
        <v>45566</v>
      </c>
      <c r="K1105">
        <v>2024</v>
      </c>
      <c r="L1105" s="27">
        <v>45573</v>
      </c>
      <c r="M1105">
        <v>1308.419999999993</v>
      </c>
      <c r="N1105">
        <v>3</v>
      </c>
      <c r="O1105" t="s">
        <v>90</v>
      </c>
      <c r="P1105">
        <f t="shared" si="18"/>
        <v>0</v>
      </c>
    </row>
    <row r="1106" spans="1:16" hidden="1" x14ac:dyDescent="0.25">
      <c r="A1106" s="8">
        <v>1101</v>
      </c>
      <c r="B1106">
        <v>710</v>
      </c>
      <c r="C1106" s="27">
        <v>45573</v>
      </c>
      <c r="D1106" t="s">
        <v>914</v>
      </c>
      <c r="E1106">
        <v>5.15</v>
      </c>
      <c r="F1106" t="s">
        <v>95</v>
      </c>
      <c r="G1106" t="s">
        <v>278</v>
      </c>
      <c r="H1106" t="s">
        <v>14</v>
      </c>
      <c r="I1106" t="s">
        <v>44</v>
      </c>
      <c r="J1106" s="27">
        <v>45566</v>
      </c>
      <c r="K1106">
        <v>2024</v>
      </c>
      <c r="L1106" s="27">
        <v>45573</v>
      </c>
      <c r="M1106">
        <v>1313.5699999999929</v>
      </c>
      <c r="N1106">
        <v>4</v>
      </c>
      <c r="O1106" t="s">
        <v>90</v>
      </c>
      <c r="P1106">
        <f t="shared" si="18"/>
        <v>0</v>
      </c>
    </row>
    <row r="1107" spans="1:16" hidden="1" x14ac:dyDescent="0.25">
      <c r="A1107" s="8">
        <v>1102</v>
      </c>
      <c r="B1107">
        <v>711</v>
      </c>
      <c r="C1107" s="27">
        <v>45573</v>
      </c>
      <c r="D1107" t="s">
        <v>619</v>
      </c>
      <c r="E1107">
        <v>6.99</v>
      </c>
      <c r="F1107" t="s">
        <v>88</v>
      </c>
      <c r="G1107" t="s">
        <v>114</v>
      </c>
      <c r="H1107" t="s">
        <v>14</v>
      </c>
      <c r="I1107" t="s">
        <v>93</v>
      </c>
      <c r="J1107" s="27">
        <v>45566</v>
      </c>
      <c r="K1107">
        <v>2024</v>
      </c>
      <c r="L1107" s="27">
        <v>45573</v>
      </c>
      <c r="M1107">
        <v>1320.5599999999929</v>
      </c>
      <c r="N1107">
        <v>78</v>
      </c>
      <c r="O1107" t="s">
        <v>90</v>
      </c>
      <c r="P1107">
        <f t="shared" si="18"/>
        <v>0</v>
      </c>
    </row>
    <row r="1108" spans="1:16" hidden="1" x14ac:dyDescent="0.25">
      <c r="A1108" s="8">
        <v>1103</v>
      </c>
      <c r="B1108">
        <v>712</v>
      </c>
      <c r="C1108" s="27">
        <v>45574</v>
      </c>
      <c r="D1108" t="s">
        <v>915</v>
      </c>
      <c r="E1108">
        <v>197.27</v>
      </c>
      <c r="F1108" t="s">
        <v>88</v>
      </c>
      <c r="G1108" t="s">
        <v>107</v>
      </c>
      <c r="H1108" t="s">
        <v>14</v>
      </c>
      <c r="I1108" t="s">
        <v>69</v>
      </c>
      <c r="J1108" s="27">
        <v>45566</v>
      </c>
      <c r="K1108">
        <v>2024</v>
      </c>
      <c r="L1108" s="27">
        <v>45574</v>
      </c>
      <c r="M1108">
        <v>1517.8299999999931</v>
      </c>
      <c r="N1108">
        <v>59</v>
      </c>
      <c r="O1108" t="s">
        <v>90</v>
      </c>
      <c r="P1108">
        <f t="shared" si="18"/>
        <v>0</v>
      </c>
    </row>
    <row r="1109" spans="1:16" hidden="1" x14ac:dyDescent="0.25">
      <c r="A1109" s="8">
        <v>1104</v>
      </c>
      <c r="B1109">
        <v>713</v>
      </c>
      <c r="C1109" s="27">
        <v>45574</v>
      </c>
      <c r="D1109" t="s">
        <v>154</v>
      </c>
      <c r="E1109">
        <v>49.5</v>
      </c>
      <c r="F1109" t="s">
        <v>88</v>
      </c>
      <c r="G1109" t="s">
        <v>155</v>
      </c>
      <c r="H1109" t="s">
        <v>28</v>
      </c>
      <c r="I1109" t="s">
        <v>69</v>
      </c>
      <c r="J1109" s="27">
        <v>45566</v>
      </c>
      <c r="K1109">
        <v>2024</v>
      </c>
      <c r="L1109" s="27">
        <v>45574</v>
      </c>
      <c r="M1109">
        <v>1567.3299999999931</v>
      </c>
      <c r="N1109">
        <v>4</v>
      </c>
      <c r="O1109" t="s">
        <v>90</v>
      </c>
      <c r="P1109">
        <f t="shared" si="18"/>
        <v>0</v>
      </c>
    </row>
    <row r="1110" spans="1:16" hidden="1" x14ac:dyDescent="0.25">
      <c r="A1110" s="8">
        <v>1105</v>
      </c>
      <c r="B1110">
        <v>714</v>
      </c>
      <c r="C1110" s="27">
        <v>45574</v>
      </c>
      <c r="D1110" t="s">
        <v>916</v>
      </c>
      <c r="E1110">
        <v>367</v>
      </c>
      <c r="F1110" t="s">
        <v>624</v>
      </c>
      <c r="G1110" t="s">
        <v>917</v>
      </c>
      <c r="H1110" t="s">
        <v>14</v>
      </c>
      <c r="I1110" t="s">
        <v>29</v>
      </c>
      <c r="J1110" s="27">
        <v>45566</v>
      </c>
      <c r="K1110">
        <v>2024</v>
      </c>
      <c r="L1110" s="27">
        <v>45574</v>
      </c>
      <c r="M1110">
        <v>1934.3299999999931</v>
      </c>
      <c r="N1110">
        <v>1</v>
      </c>
      <c r="O1110" t="s">
        <v>90</v>
      </c>
      <c r="P1110">
        <f t="shared" si="18"/>
        <v>0</v>
      </c>
    </row>
    <row r="1111" spans="1:16" hidden="1" x14ac:dyDescent="0.25">
      <c r="A1111" s="8">
        <v>1106</v>
      </c>
      <c r="B1111">
        <v>715</v>
      </c>
      <c r="C1111" s="27">
        <v>45574</v>
      </c>
      <c r="D1111" t="s">
        <v>918</v>
      </c>
      <c r="E1111">
        <v>25.07</v>
      </c>
      <c r="F1111" t="s">
        <v>88</v>
      </c>
      <c r="G1111" t="s">
        <v>141</v>
      </c>
      <c r="H1111" t="s">
        <v>14</v>
      </c>
      <c r="I1111" t="s">
        <v>118</v>
      </c>
      <c r="J1111" s="27">
        <v>45566</v>
      </c>
      <c r="K1111">
        <v>2024</v>
      </c>
      <c r="L1111" s="27">
        <v>45574</v>
      </c>
      <c r="M1111">
        <v>1959.399999999993</v>
      </c>
      <c r="N1111">
        <v>32</v>
      </c>
      <c r="O1111" t="s">
        <v>90</v>
      </c>
      <c r="P1111">
        <f t="shared" si="18"/>
        <v>0</v>
      </c>
    </row>
    <row r="1112" spans="1:16" hidden="1" x14ac:dyDescent="0.25">
      <c r="A1112" s="8">
        <v>1107</v>
      </c>
      <c r="B1112">
        <v>716</v>
      </c>
      <c r="C1112" s="27">
        <v>45576</v>
      </c>
      <c r="D1112" t="s">
        <v>919</v>
      </c>
      <c r="E1112">
        <v>42.67</v>
      </c>
      <c r="F1112" t="s">
        <v>88</v>
      </c>
      <c r="G1112" t="s">
        <v>141</v>
      </c>
      <c r="H1112" t="s">
        <v>14</v>
      </c>
      <c r="I1112" t="s">
        <v>118</v>
      </c>
      <c r="J1112" s="27">
        <v>45566</v>
      </c>
      <c r="K1112">
        <v>2024</v>
      </c>
      <c r="L1112" s="27">
        <v>45576</v>
      </c>
      <c r="M1112">
        <v>2002.0699999999929</v>
      </c>
      <c r="N1112">
        <v>33</v>
      </c>
      <c r="O1112" t="s">
        <v>90</v>
      </c>
      <c r="P1112">
        <f t="shared" si="18"/>
        <v>0</v>
      </c>
    </row>
    <row r="1113" spans="1:16" hidden="1" x14ac:dyDescent="0.25">
      <c r="A1113" s="8">
        <v>1108</v>
      </c>
      <c r="B1113">
        <v>717</v>
      </c>
      <c r="C1113" s="27">
        <v>45576</v>
      </c>
      <c r="D1113" t="s">
        <v>920</v>
      </c>
      <c r="E1113">
        <v>55.19</v>
      </c>
      <c r="F1113" t="s">
        <v>88</v>
      </c>
      <c r="G1113" t="s">
        <v>137</v>
      </c>
      <c r="H1113" t="s">
        <v>14</v>
      </c>
      <c r="I1113" t="s">
        <v>118</v>
      </c>
      <c r="J1113" s="27">
        <v>45566</v>
      </c>
      <c r="K1113">
        <v>2024</v>
      </c>
      <c r="L1113" s="27">
        <v>45576</v>
      </c>
      <c r="M1113">
        <v>2057.259999999992</v>
      </c>
      <c r="N1113">
        <v>35</v>
      </c>
      <c r="O1113" t="s">
        <v>90</v>
      </c>
      <c r="P1113">
        <f t="shared" si="18"/>
        <v>0</v>
      </c>
    </row>
    <row r="1114" spans="1:16" hidden="1" x14ac:dyDescent="0.25">
      <c r="A1114" s="8">
        <v>1109</v>
      </c>
      <c r="B1114">
        <v>718</v>
      </c>
      <c r="C1114" s="27">
        <v>45577</v>
      </c>
      <c r="D1114" t="s">
        <v>921</v>
      </c>
      <c r="E1114">
        <v>15.83</v>
      </c>
      <c r="F1114" t="s">
        <v>88</v>
      </c>
      <c r="G1114" t="s">
        <v>688</v>
      </c>
      <c r="H1114" t="s">
        <v>14</v>
      </c>
      <c r="I1114" t="s">
        <v>93</v>
      </c>
      <c r="J1114" s="27">
        <v>45566</v>
      </c>
      <c r="K1114">
        <v>2024</v>
      </c>
      <c r="L1114" s="27">
        <v>45577</v>
      </c>
      <c r="M1114">
        <v>2073.089999999992</v>
      </c>
      <c r="N1114">
        <v>3</v>
      </c>
      <c r="O1114" t="s">
        <v>90</v>
      </c>
      <c r="P1114">
        <f t="shared" si="18"/>
        <v>0</v>
      </c>
    </row>
    <row r="1115" spans="1:16" hidden="1" x14ac:dyDescent="0.25">
      <c r="A1115" s="8">
        <v>1110</v>
      </c>
      <c r="B1115">
        <v>719</v>
      </c>
      <c r="C1115" s="27">
        <v>45577</v>
      </c>
      <c r="D1115" t="s">
        <v>922</v>
      </c>
      <c r="E1115">
        <v>2.11</v>
      </c>
      <c r="F1115" t="s">
        <v>88</v>
      </c>
      <c r="G1115" t="s">
        <v>748</v>
      </c>
      <c r="H1115" t="s">
        <v>28</v>
      </c>
      <c r="I1115" t="s">
        <v>69</v>
      </c>
      <c r="J1115" s="27">
        <v>45566</v>
      </c>
      <c r="K1115">
        <v>2024</v>
      </c>
      <c r="L1115" s="27">
        <v>45577</v>
      </c>
      <c r="M1115">
        <v>2075.199999999993</v>
      </c>
      <c r="N1115">
        <v>3</v>
      </c>
      <c r="O1115" t="s">
        <v>90</v>
      </c>
      <c r="P1115">
        <f t="shared" si="18"/>
        <v>0</v>
      </c>
    </row>
    <row r="1116" spans="1:16" hidden="1" x14ac:dyDescent="0.25">
      <c r="A1116" s="8">
        <v>1111</v>
      </c>
      <c r="B1116">
        <v>720</v>
      </c>
      <c r="C1116" s="27">
        <v>45577</v>
      </c>
      <c r="D1116" t="s">
        <v>162</v>
      </c>
      <c r="E1116">
        <v>-1961.34</v>
      </c>
      <c r="F1116" t="s">
        <v>163</v>
      </c>
      <c r="G1116" t="s">
        <v>164</v>
      </c>
      <c r="H1116" t="s">
        <v>14</v>
      </c>
      <c r="I1116" t="s">
        <v>80</v>
      </c>
      <c r="J1116" s="27">
        <v>45566</v>
      </c>
      <c r="K1116">
        <v>2024</v>
      </c>
      <c r="L1116" s="27">
        <v>45577</v>
      </c>
      <c r="M1116">
        <v>113.8599999999926</v>
      </c>
      <c r="N1116">
        <v>16</v>
      </c>
      <c r="O1116" t="s">
        <v>90</v>
      </c>
      <c r="P1116">
        <f t="shared" si="18"/>
        <v>0</v>
      </c>
    </row>
    <row r="1117" spans="1:16" hidden="1" x14ac:dyDescent="0.25">
      <c r="A1117" s="8">
        <v>1112</v>
      </c>
      <c r="B1117">
        <v>721</v>
      </c>
      <c r="C1117" s="27">
        <v>45578</v>
      </c>
      <c r="D1117" t="s">
        <v>923</v>
      </c>
      <c r="E1117">
        <v>112.5</v>
      </c>
      <c r="F1117" t="s">
        <v>88</v>
      </c>
      <c r="G1117" t="s">
        <v>149</v>
      </c>
      <c r="H1117" t="s">
        <v>14</v>
      </c>
      <c r="I1117" t="s">
        <v>93</v>
      </c>
      <c r="J1117" s="27">
        <v>45566</v>
      </c>
      <c r="K1117">
        <v>2024</v>
      </c>
      <c r="L1117" s="27">
        <v>45578</v>
      </c>
      <c r="M1117">
        <v>226.3599999999926</v>
      </c>
      <c r="N1117">
        <v>4</v>
      </c>
      <c r="O1117" t="s">
        <v>90</v>
      </c>
      <c r="P1117">
        <f t="shared" si="18"/>
        <v>0</v>
      </c>
    </row>
    <row r="1118" spans="1:16" hidden="1" x14ac:dyDescent="0.25">
      <c r="A1118" s="8">
        <v>1113</v>
      </c>
      <c r="B1118">
        <v>722</v>
      </c>
      <c r="C1118" s="27">
        <v>45578</v>
      </c>
      <c r="D1118" t="s">
        <v>924</v>
      </c>
      <c r="E1118">
        <v>18.16</v>
      </c>
      <c r="F1118" t="s">
        <v>88</v>
      </c>
      <c r="G1118" t="s">
        <v>141</v>
      </c>
      <c r="H1118" t="s">
        <v>14</v>
      </c>
      <c r="I1118" t="s">
        <v>118</v>
      </c>
      <c r="J1118" s="27">
        <v>45566</v>
      </c>
      <c r="K1118">
        <v>2024</v>
      </c>
      <c r="L1118" s="27">
        <v>45578</v>
      </c>
      <c r="M1118">
        <v>244.51999999999259</v>
      </c>
      <c r="N1118">
        <v>34</v>
      </c>
      <c r="O1118" t="s">
        <v>90</v>
      </c>
      <c r="P1118">
        <f t="shared" si="18"/>
        <v>0</v>
      </c>
    </row>
    <row r="1119" spans="1:16" hidden="1" x14ac:dyDescent="0.25">
      <c r="A1119" s="8">
        <v>1114</v>
      </c>
      <c r="B1119">
        <v>723</v>
      </c>
      <c r="C1119" s="27">
        <v>45578</v>
      </c>
      <c r="D1119" t="s">
        <v>925</v>
      </c>
      <c r="E1119">
        <v>-5.15</v>
      </c>
      <c r="F1119" t="s">
        <v>163</v>
      </c>
      <c r="G1119" t="s">
        <v>278</v>
      </c>
      <c r="H1119" t="s">
        <v>14</v>
      </c>
      <c r="I1119" t="s">
        <v>44</v>
      </c>
      <c r="J1119" s="27">
        <v>45566</v>
      </c>
      <c r="K1119">
        <v>2024</v>
      </c>
      <c r="L1119" s="27">
        <v>45578</v>
      </c>
      <c r="M1119">
        <v>239.36999999999259</v>
      </c>
      <c r="N1119">
        <v>5</v>
      </c>
      <c r="O1119" t="s">
        <v>90</v>
      </c>
      <c r="P1119">
        <f t="shared" si="18"/>
        <v>0</v>
      </c>
    </row>
    <row r="1120" spans="1:16" hidden="1" x14ac:dyDescent="0.25">
      <c r="A1120" s="8">
        <v>1115</v>
      </c>
      <c r="B1120">
        <v>724</v>
      </c>
      <c r="C1120" s="27">
        <v>45578</v>
      </c>
      <c r="D1120" t="s">
        <v>925</v>
      </c>
      <c r="E1120">
        <v>-5.15</v>
      </c>
      <c r="F1120" t="s">
        <v>163</v>
      </c>
      <c r="G1120" t="s">
        <v>278</v>
      </c>
      <c r="H1120" t="s">
        <v>14</v>
      </c>
      <c r="I1120" t="s">
        <v>44</v>
      </c>
      <c r="J1120" s="27">
        <v>45566</v>
      </c>
      <c r="K1120">
        <v>2024</v>
      </c>
      <c r="L1120" s="27">
        <v>45578</v>
      </c>
      <c r="M1120">
        <v>234.21999999999261</v>
      </c>
      <c r="N1120">
        <v>6</v>
      </c>
      <c r="O1120" t="s">
        <v>90</v>
      </c>
      <c r="P1120">
        <f t="shared" si="18"/>
        <v>0</v>
      </c>
    </row>
    <row r="1121" spans="1:16" hidden="1" x14ac:dyDescent="0.25">
      <c r="A1121" s="8">
        <v>1116</v>
      </c>
      <c r="B1121">
        <v>725</v>
      </c>
      <c r="C1121" s="27">
        <v>45578</v>
      </c>
      <c r="D1121" t="s">
        <v>926</v>
      </c>
      <c r="E1121">
        <v>124.99</v>
      </c>
      <c r="F1121" t="s">
        <v>88</v>
      </c>
      <c r="G1121" t="s">
        <v>688</v>
      </c>
      <c r="H1121" t="s">
        <v>14</v>
      </c>
      <c r="I1121" t="s">
        <v>93</v>
      </c>
      <c r="J1121" s="27">
        <v>45566</v>
      </c>
      <c r="K1121">
        <v>2024</v>
      </c>
      <c r="L1121" s="27">
        <v>45578</v>
      </c>
      <c r="M1121">
        <v>359.20999999999259</v>
      </c>
      <c r="N1121">
        <v>4</v>
      </c>
      <c r="O1121" t="s">
        <v>90</v>
      </c>
      <c r="P1121">
        <f t="shared" si="18"/>
        <v>0</v>
      </c>
    </row>
    <row r="1122" spans="1:16" hidden="1" x14ac:dyDescent="0.25">
      <c r="A1122" s="8">
        <v>1117</v>
      </c>
      <c r="B1122">
        <v>726</v>
      </c>
      <c r="C1122" s="27">
        <v>45579</v>
      </c>
      <c r="D1122" t="s">
        <v>927</v>
      </c>
      <c r="E1122">
        <v>137.02000000000001</v>
      </c>
      <c r="F1122" t="s">
        <v>88</v>
      </c>
      <c r="G1122" t="s">
        <v>107</v>
      </c>
      <c r="H1122" t="s">
        <v>14</v>
      </c>
      <c r="I1122" t="s">
        <v>69</v>
      </c>
      <c r="J1122" s="27">
        <v>45566</v>
      </c>
      <c r="K1122">
        <v>2024</v>
      </c>
      <c r="L1122" s="27">
        <v>45579</v>
      </c>
      <c r="M1122">
        <v>496.22999999999257</v>
      </c>
      <c r="N1122">
        <v>60</v>
      </c>
      <c r="O1122" t="s">
        <v>90</v>
      </c>
      <c r="P1122">
        <f t="shared" si="18"/>
        <v>0</v>
      </c>
    </row>
    <row r="1123" spans="1:16" hidden="1" x14ac:dyDescent="0.25">
      <c r="A1123" s="8">
        <v>1118</v>
      </c>
      <c r="B1123">
        <v>727</v>
      </c>
      <c r="C1123" s="27">
        <v>45579</v>
      </c>
      <c r="D1123" t="s">
        <v>928</v>
      </c>
      <c r="E1123">
        <v>9.8800000000000008</v>
      </c>
      <c r="F1123" t="s">
        <v>88</v>
      </c>
      <c r="G1123" t="s">
        <v>688</v>
      </c>
      <c r="H1123" t="s">
        <v>14</v>
      </c>
      <c r="I1123" t="s">
        <v>93</v>
      </c>
      <c r="J1123" s="27">
        <v>45566</v>
      </c>
      <c r="K1123">
        <v>2024</v>
      </c>
      <c r="L1123" s="27">
        <v>45579</v>
      </c>
      <c r="M1123">
        <v>506.10999999999262</v>
      </c>
      <c r="N1123">
        <v>5</v>
      </c>
      <c r="O1123" t="s">
        <v>90</v>
      </c>
      <c r="P1123">
        <f t="shared" si="18"/>
        <v>0</v>
      </c>
    </row>
    <row r="1124" spans="1:16" hidden="1" x14ac:dyDescent="0.25">
      <c r="A1124" s="8">
        <v>1119</v>
      </c>
      <c r="B1124">
        <v>728</v>
      </c>
      <c r="C1124" s="27">
        <v>45579</v>
      </c>
      <c r="D1124" t="s">
        <v>929</v>
      </c>
      <c r="E1124">
        <v>5</v>
      </c>
      <c r="F1124" t="s">
        <v>88</v>
      </c>
      <c r="G1124" t="s">
        <v>114</v>
      </c>
      <c r="H1124" t="s">
        <v>14</v>
      </c>
      <c r="I1124" t="s">
        <v>93</v>
      </c>
      <c r="J1124" s="27">
        <v>45566</v>
      </c>
      <c r="K1124">
        <v>2024</v>
      </c>
      <c r="L1124" s="27">
        <v>45579</v>
      </c>
      <c r="M1124">
        <v>511.10999999999262</v>
      </c>
      <c r="N1124">
        <v>79</v>
      </c>
      <c r="O1124" t="s">
        <v>90</v>
      </c>
      <c r="P1124">
        <f t="shared" si="18"/>
        <v>0</v>
      </c>
    </row>
    <row r="1125" spans="1:16" hidden="1" x14ac:dyDescent="0.25">
      <c r="A1125" s="8">
        <v>1120</v>
      </c>
      <c r="B1125">
        <v>729</v>
      </c>
      <c r="C1125" s="27">
        <v>45579</v>
      </c>
      <c r="D1125" t="s">
        <v>930</v>
      </c>
      <c r="E1125">
        <v>21.21</v>
      </c>
      <c r="F1125" t="s">
        <v>88</v>
      </c>
      <c r="G1125" t="s">
        <v>278</v>
      </c>
      <c r="H1125" t="s">
        <v>14</v>
      </c>
      <c r="I1125" t="s">
        <v>44</v>
      </c>
      <c r="J1125" s="27">
        <v>45566</v>
      </c>
      <c r="K1125">
        <v>2024</v>
      </c>
      <c r="L1125" s="27">
        <v>45579</v>
      </c>
      <c r="M1125">
        <v>532.31999999999266</v>
      </c>
      <c r="N1125">
        <v>7</v>
      </c>
      <c r="O1125" t="s">
        <v>90</v>
      </c>
      <c r="P1125">
        <f>IF(J1125&lt;&gt;J1575, 1, 0)</f>
        <v>1</v>
      </c>
    </row>
    <row r="1126" spans="1:16" hidden="1" x14ac:dyDescent="0.25">
      <c r="A1126" s="8">
        <v>1121</v>
      </c>
      <c r="B1126">
        <v>730</v>
      </c>
      <c r="C1126" s="27">
        <v>45579</v>
      </c>
      <c r="D1126" t="s">
        <v>931</v>
      </c>
      <c r="E1126">
        <v>4.3600000000000003</v>
      </c>
      <c r="F1126" t="s">
        <v>88</v>
      </c>
      <c r="G1126" t="s">
        <v>284</v>
      </c>
      <c r="H1126" t="s">
        <v>14</v>
      </c>
      <c r="I1126" t="s">
        <v>285</v>
      </c>
      <c r="J1126" s="27">
        <v>45566</v>
      </c>
      <c r="K1126">
        <v>2024</v>
      </c>
      <c r="L1126" s="27">
        <v>45579</v>
      </c>
      <c r="M1126">
        <v>536.67999999999267</v>
      </c>
      <c r="N1126">
        <v>3</v>
      </c>
      <c r="O1126" t="s">
        <v>90</v>
      </c>
      <c r="P1126">
        <f t="shared" ref="P1126:P1189" si="19">IF(J1126&lt;&gt;J1127, 1, 0)</f>
        <v>0</v>
      </c>
    </row>
    <row r="1127" spans="1:16" hidden="1" x14ac:dyDescent="0.25">
      <c r="A1127" s="8">
        <v>1122</v>
      </c>
      <c r="B1127">
        <v>731</v>
      </c>
      <c r="C1127" s="27">
        <v>45582</v>
      </c>
      <c r="D1127" t="s">
        <v>932</v>
      </c>
      <c r="E1127">
        <v>52.15</v>
      </c>
      <c r="F1127" t="s">
        <v>88</v>
      </c>
      <c r="G1127" t="s">
        <v>117</v>
      </c>
      <c r="H1127" t="s">
        <v>14</v>
      </c>
      <c r="I1127" t="s">
        <v>118</v>
      </c>
      <c r="J1127" s="27">
        <v>45566</v>
      </c>
      <c r="K1127">
        <v>2024</v>
      </c>
      <c r="L1127" s="27">
        <v>45582</v>
      </c>
      <c r="M1127">
        <v>588.82999999999265</v>
      </c>
      <c r="N1127">
        <v>64</v>
      </c>
      <c r="O1127" t="s">
        <v>90</v>
      </c>
      <c r="P1127">
        <f t="shared" si="19"/>
        <v>0</v>
      </c>
    </row>
    <row r="1128" spans="1:16" hidden="1" x14ac:dyDescent="0.25">
      <c r="A1128" s="8">
        <v>1123</v>
      </c>
      <c r="B1128">
        <v>732</v>
      </c>
      <c r="C1128" s="27">
        <v>45583</v>
      </c>
      <c r="D1128" t="s">
        <v>933</v>
      </c>
      <c r="E1128">
        <v>124.2</v>
      </c>
      <c r="F1128" t="s">
        <v>136</v>
      </c>
      <c r="G1128" t="s">
        <v>139</v>
      </c>
      <c r="H1128" t="s">
        <v>14</v>
      </c>
      <c r="I1128" t="s">
        <v>93</v>
      </c>
      <c r="J1128" s="27">
        <v>45566</v>
      </c>
      <c r="K1128">
        <v>2024</v>
      </c>
      <c r="L1128" s="27">
        <v>45583</v>
      </c>
      <c r="M1128">
        <v>713.0299999999927</v>
      </c>
      <c r="N1128">
        <v>8</v>
      </c>
      <c r="O1128" t="s">
        <v>90</v>
      </c>
      <c r="P1128">
        <f t="shared" si="19"/>
        <v>0</v>
      </c>
    </row>
    <row r="1129" spans="1:16" hidden="1" x14ac:dyDescent="0.25">
      <c r="A1129" s="8">
        <v>1124</v>
      </c>
      <c r="B1129">
        <v>733</v>
      </c>
      <c r="C1129" s="27">
        <v>45583</v>
      </c>
      <c r="D1129" t="s">
        <v>934</v>
      </c>
      <c r="E1129">
        <v>109.78</v>
      </c>
      <c r="F1129" t="s">
        <v>88</v>
      </c>
      <c r="G1129" t="s">
        <v>385</v>
      </c>
      <c r="H1129" t="s">
        <v>14</v>
      </c>
      <c r="I1129" t="s">
        <v>395</v>
      </c>
      <c r="J1129" s="27">
        <v>45566</v>
      </c>
      <c r="K1129">
        <v>2024</v>
      </c>
      <c r="L1129" s="27">
        <v>45583</v>
      </c>
      <c r="M1129">
        <v>822.80999999999267</v>
      </c>
      <c r="N1129">
        <v>52</v>
      </c>
      <c r="O1129" t="s">
        <v>90</v>
      </c>
      <c r="P1129">
        <f t="shared" si="19"/>
        <v>0</v>
      </c>
    </row>
    <row r="1130" spans="1:16" hidden="1" x14ac:dyDescent="0.25">
      <c r="A1130" s="8">
        <v>1125</v>
      </c>
      <c r="B1130">
        <v>734</v>
      </c>
      <c r="C1130" s="27">
        <v>45584</v>
      </c>
      <c r="D1130" t="s">
        <v>929</v>
      </c>
      <c r="E1130">
        <v>20</v>
      </c>
      <c r="F1130" t="s">
        <v>88</v>
      </c>
      <c r="G1130" t="s">
        <v>114</v>
      </c>
      <c r="H1130" t="s">
        <v>14</v>
      </c>
      <c r="I1130" t="s">
        <v>93</v>
      </c>
      <c r="J1130" s="27">
        <v>45566</v>
      </c>
      <c r="K1130">
        <v>2024</v>
      </c>
      <c r="L1130" s="27">
        <v>45584</v>
      </c>
      <c r="M1130">
        <v>842.80999999999267</v>
      </c>
      <c r="N1130">
        <v>80</v>
      </c>
      <c r="O1130" t="s">
        <v>90</v>
      </c>
      <c r="P1130">
        <f t="shared" si="19"/>
        <v>0</v>
      </c>
    </row>
    <row r="1131" spans="1:16" hidden="1" x14ac:dyDescent="0.25">
      <c r="A1131" s="8">
        <v>1126</v>
      </c>
      <c r="B1131">
        <v>735</v>
      </c>
      <c r="C1131" s="27">
        <v>45584</v>
      </c>
      <c r="D1131" t="s">
        <v>935</v>
      </c>
      <c r="E1131">
        <v>49.06</v>
      </c>
      <c r="F1131" t="s">
        <v>88</v>
      </c>
      <c r="G1131" t="s">
        <v>134</v>
      </c>
      <c r="H1131" t="s">
        <v>14</v>
      </c>
      <c r="I1131" t="s">
        <v>15</v>
      </c>
      <c r="J1131" s="27">
        <v>45566</v>
      </c>
      <c r="K1131">
        <v>2024</v>
      </c>
      <c r="L1131" s="27">
        <v>45584</v>
      </c>
      <c r="M1131">
        <v>891.86999999999261</v>
      </c>
      <c r="N1131">
        <v>13</v>
      </c>
      <c r="O1131" t="s">
        <v>90</v>
      </c>
      <c r="P1131">
        <f t="shared" si="19"/>
        <v>0</v>
      </c>
    </row>
    <row r="1132" spans="1:16" hidden="1" x14ac:dyDescent="0.25">
      <c r="A1132" s="8">
        <v>1127</v>
      </c>
      <c r="B1132">
        <v>736</v>
      </c>
      <c r="C1132" s="27">
        <v>45584</v>
      </c>
      <c r="D1132" t="s">
        <v>936</v>
      </c>
      <c r="E1132">
        <v>22.59</v>
      </c>
      <c r="F1132" t="s">
        <v>88</v>
      </c>
      <c r="G1132" t="s">
        <v>141</v>
      </c>
      <c r="H1132" t="s">
        <v>14</v>
      </c>
      <c r="I1132" t="s">
        <v>118</v>
      </c>
      <c r="J1132" s="27">
        <v>45566</v>
      </c>
      <c r="K1132">
        <v>2024</v>
      </c>
      <c r="L1132" s="27">
        <v>45584</v>
      </c>
      <c r="M1132">
        <v>914.45999999999265</v>
      </c>
      <c r="N1132">
        <v>35</v>
      </c>
      <c r="O1132" t="s">
        <v>90</v>
      </c>
      <c r="P1132">
        <f t="shared" si="19"/>
        <v>0</v>
      </c>
    </row>
    <row r="1133" spans="1:16" hidden="1" x14ac:dyDescent="0.25">
      <c r="A1133" s="8">
        <v>1128</v>
      </c>
      <c r="B1133">
        <v>737</v>
      </c>
      <c r="C1133" s="27">
        <v>45585</v>
      </c>
      <c r="D1133" t="s">
        <v>937</v>
      </c>
      <c r="E1133">
        <v>19</v>
      </c>
      <c r="F1133" t="s">
        <v>136</v>
      </c>
      <c r="G1133" t="s">
        <v>278</v>
      </c>
      <c r="H1133" t="s">
        <v>14</v>
      </c>
      <c r="I1133" t="s">
        <v>44</v>
      </c>
      <c r="J1133" s="27">
        <v>45566</v>
      </c>
      <c r="K1133">
        <v>2024</v>
      </c>
      <c r="L1133" s="27">
        <v>45585</v>
      </c>
      <c r="M1133">
        <v>933.45999999999265</v>
      </c>
      <c r="N1133">
        <v>8</v>
      </c>
      <c r="O1133" t="s">
        <v>90</v>
      </c>
      <c r="P1133">
        <f t="shared" si="19"/>
        <v>0</v>
      </c>
    </row>
    <row r="1134" spans="1:16" hidden="1" x14ac:dyDescent="0.25">
      <c r="A1134" s="8">
        <v>1129</v>
      </c>
      <c r="B1134">
        <v>738</v>
      </c>
      <c r="C1134" s="27">
        <v>45585</v>
      </c>
      <c r="D1134" t="s">
        <v>938</v>
      </c>
      <c r="E1134">
        <v>17.399999999999999</v>
      </c>
      <c r="F1134" t="s">
        <v>88</v>
      </c>
      <c r="G1134" t="s">
        <v>141</v>
      </c>
      <c r="H1134" t="s">
        <v>14</v>
      </c>
      <c r="I1134" t="s">
        <v>118</v>
      </c>
      <c r="J1134" s="27">
        <v>45566</v>
      </c>
      <c r="K1134">
        <v>2024</v>
      </c>
      <c r="L1134" s="27">
        <v>45585</v>
      </c>
      <c r="M1134">
        <v>950.85999999999262</v>
      </c>
      <c r="N1134">
        <v>36</v>
      </c>
      <c r="O1134" t="s">
        <v>90</v>
      </c>
      <c r="P1134">
        <f t="shared" si="19"/>
        <v>0</v>
      </c>
    </row>
    <row r="1135" spans="1:16" hidden="1" x14ac:dyDescent="0.25">
      <c r="A1135" s="8">
        <v>1130</v>
      </c>
      <c r="B1135">
        <v>739</v>
      </c>
      <c r="C1135" s="27">
        <v>45586</v>
      </c>
      <c r="D1135" t="s">
        <v>939</v>
      </c>
      <c r="E1135">
        <v>30</v>
      </c>
      <c r="F1135" t="s">
        <v>192</v>
      </c>
      <c r="G1135" t="s">
        <v>940</v>
      </c>
      <c r="H1135" t="s">
        <v>28</v>
      </c>
      <c r="I1135" t="s">
        <v>40</v>
      </c>
      <c r="J1135" s="27">
        <v>45566</v>
      </c>
      <c r="K1135">
        <v>2024</v>
      </c>
      <c r="L1135" s="27">
        <v>45586</v>
      </c>
      <c r="M1135">
        <v>980.85999999999262</v>
      </c>
      <c r="N1135">
        <v>1</v>
      </c>
      <c r="O1135" t="s">
        <v>90</v>
      </c>
      <c r="P1135">
        <f t="shared" si="19"/>
        <v>0</v>
      </c>
    </row>
    <row r="1136" spans="1:16" hidden="1" x14ac:dyDescent="0.25">
      <c r="A1136" s="8">
        <v>1131</v>
      </c>
      <c r="B1136">
        <v>740</v>
      </c>
      <c r="C1136" s="27">
        <v>45586</v>
      </c>
      <c r="D1136" t="s">
        <v>267</v>
      </c>
      <c r="E1136">
        <v>54.7</v>
      </c>
      <c r="F1136" t="s">
        <v>88</v>
      </c>
      <c r="G1136" t="s">
        <v>168</v>
      </c>
      <c r="H1136" t="s">
        <v>14</v>
      </c>
      <c r="I1136" t="s">
        <v>69</v>
      </c>
      <c r="J1136" s="27">
        <v>45566</v>
      </c>
      <c r="K1136">
        <v>2024</v>
      </c>
      <c r="L1136" s="27">
        <v>45586</v>
      </c>
      <c r="M1136">
        <v>1035.5599999999929</v>
      </c>
      <c r="N1136">
        <v>24</v>
      </c>
      <c r="O1136" t="s">
        <v>90</v>
      </c>
      <c r="P1136">
        <f t="shared" si="19"/>
        <v>0</v>
      </c>
    </row>
    <row r="1137" spans="1:16" hidden="1" x14ac:dyDescent="0.25">
      <c r="A1137" s="8">
        <v>1132</v>
      </c>
      <c r="B1137">
        <v>741</v>
      </c>
      <c r="C1137" s="27">
        <v>45587</v>
      </c>
      <c r="D1137" t="s">
        <v>941</v>
      </c>
      <c r="E1137">
        <v>18.89</v>
      </c>
      <c r="F1137" t="s">
        <v>88</v>
      </c>
      <c r="G1137" t="s">
        <v>107</v>
      </c>
      <c r="H1137" t="s">
        <v>14</v>
      </c>
      <c r="I1137" t="s">
        <v>69</v>
      </c>
      <c r="J1137" s="27">
        <v>45566</v>
      </c>
      <c r="K1137">
        <v>2024</v>
      </c>
      <c r="L1137" s="27">
        <v>45587</v>
      </c>
      <c r="M1137">
        <v>1054.449999999993</v>
      </c>
      <c r="N1137">
        <v>61</v>
      </c>
      <c r="O1137" t="s">
        <v>90</v>
      </c>
      <c r="P1137">
        <f t="shared" si="19"/>
        <v>0</v>
      </c>
    </row>
    <row r="1138" spans="1:16" hidden="1" x14ac:dyDescent="0.25">
      <c r="A1138" s="8">
        <v>1133</v>
      </c>
      <c r="B1138">
        <v>742</v>
      </c>
      <c r="C1138" s="27">
        <v>45587</v>
      </c>
      <c r="D1138" t="s">
        <v>942</v>
      </c>
      <c r="E1138">
        <v>7.62</v>
      </c>
      <c r="F1138" t="s">
        <v>192</v>
      </c>
      <c r="G1138" t="s">
        <v>193</v>
      </c>
      <c r="H1138" t="s">
        <v>14</v>
      </c>
      <c r="I1138" t="s">
        <v>40</v>
      </c>
      <c r="J1138" s="27">
        <v>45566</v>
      </c>
      <c r="K1138">
        <v>2024</v>
      </c>
      <c r="L1138" s="27">
        <v>45587</v>
      </c>
      <c r="M1138">
        <v>1062.0699999999929</v>
      </c>
      <c r="N1138">
        <v>4</v>
      </c>
      <c r="O1138" t="s">
        <v>90</v>
      </c>
      <c r="P1138">
        <f t="shared" si="19"/>
        <v>0</v>
      </c>
    </row>
    <row r="1139" spans="1:16" hidden="1" x14ac:dyDescent="0.25">
      <c r="A1139" s="8">
        <v>1134</v>
      </c>
      <c r="B1139">
        <v>743</v>
      </c>
      <c r="C1139" s="27">
        <v>45587</v>
      </c>
      <c r="D1139" t="s">
        <v>943</v>
      </c>
      <c r="E1139">
        <v>98.97</v>
      </c>
      <c r="F1139" t="s">
        <v>192</v>
      </c>
      <c r="G1139" t="s">
        <v>193</v>
      </c>
      <c r="H1139" t="s">
        <v>14</v>
      </c>
      <c r="I1139" t="s">
        <v>40</v>
      </c>
      <c r="J1139" s="27">
        <v>45566</v>
      </c>
      <c r="K1139">
        <v>2024</v>
      </c>
      <c r="L1139" s="27">
        <v>45587</v>
      </c>
      <c r="M1139">
        <v>1161.0399999999929</v>
      </c>
      <c r="N1139">
        <v>5</v>
      </c>
      <c r="O1139" t="s">
        <v>90</v>
      </c>
      <c r="P1139">
        <f t="shared" si="19"/>
        <v>0</v>
      </c>
    </row>
    <row r="1140" spans="1:16" hidden="1" x14ac:dyDescent="0.25">
      <c r="A1140" s="8">
        <v>1135</v>
      </c>
      <c r="B1140">
        <v>744</v>
      </c>
      <c r="C1140" s="27">
        <v>45587</v>
      </c>
      <c r="D1140" t="s">
        <v>189</v>
      </c>
      <c r="E1140">
        <v>76.680000000000007</v>
      </c>
      <c r="F1140" t="s">
        <v>106</v>
      </c>
      <c r="G1140" t="s">
        <v>137</v>
      </c>
      <c r="H1140" t="s">
        <v>14</v>
      </c>
      <c r="I1140" t="s">
        <v>118</v>
      </c>
      <c r="J1140" s="27">
        <v>45566</v>
      </c>
      <c r="K1140">
        <v>2024</v>
      </c>
      <c r="L1140" s="27">
        <v>45587</v>
      </c>
      <c r="M1140">
        <v>1237.719999999993</v>
      </c>
      <c r="N1140">
        <v>36</v>
      </c>
      <c r="O1140" t="s">
        <v>90</v>
      </c>
      <c r="P1140">
        <f t="shared" si="19"/>
        <v>0</v>
      </c>
    </row>
    <row r="1141" spans="1:16" hidden="1" x14ac:dyDescent="0.25">
      <c r="A1141" s="8">
        <v>1136</v>
      </c>
      <c r="B1141">
        <v>745</v>
      </c>
      <c r="C1141" s="27">
        <v>45588</v>
      </c>
      <c r="D1141" t="s">
        <v>944</v>
      </c>
      <c r="E1141">
        <v>36.15</v>
      </c>
      <c r="F1141" t="s">
        <v>88</v>
      </c>
      <c r="G1141" t="s">
        <v>168</v>
      </c>
      <c r="H1141" t="s">
        <v>14</v>
      </c>
      <c r="I1141" t="s">
        <v>69</v>
      </c>
      <c r="J1141" s="27">
        <v>45566</v>
      </c>
      <c r="K1141">
        <v>2024</v>
      </c>
      <c r="L1141" s="27">
        <v>45588</v>
      </c>
      <c r="M1141">
        <v>1273.8699999999931</v>
      </c>
      <c r="N1141">
        <v>25</v>
      </c>
      <c r="O1141" t="s">
        <v>90</v>
      </c>
      <c r="P1141">
        <f t="shared" si="19"/>
        <v>0</v>
      </c>
    </row>
    <row r="1142" spans="1:16" hidden="1" x14ac:dyDescent="0.25">
      <c r="A1142" s="8">
        <v>1137</v>
      </c>
      <c r="B1142">
        <v>746</v>
      </c>
      <c r="C1142" s="27">
        <v>45588</v>
      </c>
      <c r="D1142" t="s">
        <v>945</v>
      </c>
      <c r="E1142">
        <v>14.2</v>
      </c>
      <c r="F1142" t="s">
        <v>88</v>
      </c>
      <c r="G1142" t="s">
        <v>244</v>
      </c>
      <c r="H1142" t="s">
        <v>14</v>
      </c>
      <c r="I1142" t="s">
        <v>69</v>
      </c>
      <c r="J1142" s="27">
        <v>45566</v>
      </c>
      <c r="K1142">
        <v>2024</v>
      </c>
      <c r="L1142" s="27">
        <v>45588</v>
      </c>
      <c r="M1142">
        <v>1288.0699999999929</v>
      </c>
      <c r="N1142">
        <v>12</v>
      </c>
      <c r="O1142" t="s">
        <v>90</v>
      </c>
      <c r="P1142">
        <f t="shared" si="19"/>
        <v>0</v>
      </c>
    </row>
    <row r="1143" spans="1:16" hidden="1" x14ac:dyDescent="0.25">
      <c r="A1143" s="8">
        <v>1138</v>
      </c>
      <c r="B1143">
        <v>747</v>
      </c>
      <c r="C1143" s="27">
        <v>45590</v>
      </c>
      <c r="D1143" t="s">
        <v>946</v>
      </c>
      <c r="E1143">
        <v>6.62</v>
      </c>
      <c r="F1143" t="s">
        <v>106</v>
      </c>
      <c r="G1143" t="s">
        <v>385</v>
      </c>
      <c r="H1143" t="s">
        <v>14</v>
      </c>
      <c r="I1143" t="s">
        <v>395</v>
      </c>
      <c r="J1143" s="27">
        <v>45566</v>
      </c>
      <c r="K1143">
        <v>2024</v>
      </c>
      <c r="L1143" s="27">
        <v>45590</v>
      </c>
      <c r="M1143">
        <v>1294.689999999993</v>
      </c>
      <c r="N1143">
        <v>53</v>
      </c>
      <c r="O1143" t="s">
        <v>90</v>
      </c>
      <c r="P1143">
        <f t="shared" si="19"/>
        <v>0</v>
      </c>
    </row>
    <row r="1144" spans="1:16" hidden="1" x14ac:dyDescent="0.25">
      <c r="A1144" s="8">
        <v>1139</v>
      </c>
      <c r="B1144">
        <v>748</v>
      </c>
      <c r="C1144" s="27">
        <v>45590</v>
      </c>
      <c r="D1144" t="s">
        <v>725</v>
      </c>
      <c r="E1144">
        <v>22.43</v>
      </c>
      <c r="F1144" t="s">
        <v>106</v>
      </c>
      <c r="G1144" t="s">
        <v>137</v>
      </c>
      <c r="H1144" t="s">
        <v>14</v>
      </c>
      <c r="I1144" t="s">
        <v>118</v>
      </c>
      <c r="J1144" s="27">
        <v>45566</v>
      </c>
      <c r="K1144">
        <v>2024</v>
      </c>
      <c r="L1144" s="27">
        <v>45590</v>
      </c>
      <c r="M1144">
        <v>1317.1199999999931</v>
      </c>
      <c r="N1144">
        <v>37</v>
      </c>
      <c r="O1144" t="s">
        <v>90</v>
      </c>
      <c r="P1144">
        <f t="shared" si="19"/>
        <v>0</v>
      </c>
    </row>
    <row r="1145" spans="1:16" hidden="1" x14ac:dyDescent="0.25">
      <c r="A1145" s="8">
        <v>1140</v>
      </c>
      <c r="B1145">
        <v>749</v>
      </c>
      <c r="C1145" s="27">
        <v>45590</v>
      </c>
      <c r="D1145" t="s">
        <v>947</v>
      </c>
      <c r="E1145">
        <v>13.22</v>
      </c>
      <c r="F1145" t="s">
        <v>106</v>
      </c>
      <c r="G1145" t="s">
        <v>385</v>
      </c>
      <c r="H1145" t="s">
        <v>14</v>
      </c>
      <c r="I1145" t="s">
        <v>395</v>
      </c>
      <c r="J1145" s="27">
        <v>45566</v>
      </c>
      <c r="K1145">
        <v>2024</v>
      </c>
      <c r="L1145" s="27">
        <v>45590</v>
      </c>
      <c r="M1145">
        <v>1330.3399999999931</v>
      </c>
      <c r="N1145">
        <v>54</v>
      </c>
      <c r="O1145" t="s">
        <v>90</v>
      </c>
      <c r="P1145">
        <f t="shared" si="19"/>
        <v>0</v>
      </c>
    </row>
    <row r="1146" spans="1:16" hidden="1" x14ac:dyDescent="0.25">
      <c r="A1146" s="8">
        <v>1141</v>
      </c>
      <c r="B1146">
        <v>750</v>
      </c>
      <c r="C1146" s="27">
        <v>45590</v>
      </c>
      <c r="D1146" t="s">
        <v>948</v>
      </c>
      <c r="E1146">
        <v>21.91</v>
      </c>
      <c r="F1146" t="s">
        <v>88</v>
      </c>
      <c r="G1146" t="s">
        <v>107</v>
      </c>
      <c r="H1146" t="s">
        <v>14</v>
      </c>
      <c r="I1146" t="s">
        <v>69</v>
      </c>
      <c r="J1146" s="27">
        <v>45566</v>
      </c>
      <c r="K1146">
        <v>2024</v>
      </c>
      <c r="L1146" s="27">
        <v>45590</v>
      </c>
      <c r="M1146">
        <v>1352.249999999993</v>
      </c>
      <c r="N1146">
        <v>62</v>
      </c>
      <c r="O1146" t="s">
        <v>90</v>
      </c>
      <c r="P1146">
        <f t="shared" si="19"/>
        <v>0</v>
      </c>
    </row>
    <row r="1147" spans="1:16" hidden="1" x14ac:dyDescent="0.25">
      <c r="A1147" s="8">
        <v>1142</v>
      </c>
      <c r="B1147">
        <v>751</v>
      </c>
      <c r="C1147" s="27">
        <v>45590</v>
      </c>
      <c r="D1147" t="s">
        <v>949</v>
      </c>
      <c r="E1147">
        <v>22.23</v>
      </c>
      <c r="F1147" t="s">
        <v>88</v>
      </c>
      <c r="G1147" t="s">
        <v>168</v>
      </c>
      <c r="H1147" t="s">
        <v>14</v>
      </c>
      <c r="I1147" t="s">
        <v>69</v>
      </c>
      <c r="J1147" s="27">
        <v>45566</v>
      </c>
      <c r="K1147">
        <v>2024</v>
      </c>
      <c r="L1147" s="27">
        <v>45590</v>
      </c>
      <c r="M1147">
        <v>1374.479999999993</v>
      </c>
      <c r="N1147">
        <v>26</v>
      </c>
      <c r="O1147" t="s">
        <v>90</v>
      </c>
      <c r="P1147">
        <f t="shared" si="19"/>
        <v>0</v>
      </c>
    </row>
    <row r="1148" spans="1:16" hidden="1" x14ac:dyDescent="0.25">
      <c r="A1148" s="8">
        <v>1143</v>
      </c>
      <c r="B1148">
        <v>752</v>
      </c>
      <c r="C1148" s="27">
        <v>45591</v>
      </c>
      <c r="D1148" t="s">
        <v>950</v>
      </c>
      <c r="E1148">
        <v>30.53</v>
      </c>
      <c r="F1148" t="s">
        <v>116</v>
      </c>
      <c r="G1148" t="s">
        <v>117</v>
      </c>
      <c r="H1148" t="s">
        <v>14</v>
      </c>
      <c r="I1148" t="s">
        <v>118</v>
      </c>
      <c r="J1148" s="27">
        <v>45566</v>
      </c>
      <c r="K1148">
        <v>2024</v>
      </c>
      <c r="L1148" s="27">
        <v>45591</v>
      </c>
      <c r="M1148">
        <v>1405.0099999999929</v>
      </c>
      <c r="N1148">
        <v>65</v>
      </c>
      <c r="O1148" t="s">
        <v>90</v>
      </c>
      <c r="P1148">
        <f t="shared" si="19"/>
        <v>0</v>
      </c>
    </row>
    <row r="1149" spans="1:16" hidden="1" x14ac:dyDescent="0.25">
      <c r="A1149" s="8">
        <v>1144</v>
      </c>
      <c r="B1149">
        <v>753</v>
      </c>
      <c r="C1149" s="27">
        <v>45591</v>
      </c>
      <c r="D1149" t="s">
        <v>951</v>
      </c>
      <c r="E1149">
        <v>25</v>
      </c>
      <c r="F1149" t="s">
        <v>88</v>
      </c>
      <c r="G1149" t="s">
        <v>172</v>
      </c>
      <c r="H1149" t="s">
        <v>14</v>
      </c>
      <c r="I1149" t="s">
        <v>15</v>
      </c>
      <c r="J1149" s="27">
        <v>45566</v>
      </c>
      <c r="K1149">
        <v>2024</v>
      </c>
      <c r="L1149" s="27">
        <v>45591</v>
      </c>
      <c r="M1149">
        <v>1430.0099999999929</v>
      </c>
      <c r="N1149">
        <v>9</v>
      </c>
      <c r="O1149" t="s">
        <v>90</v>
      </c>
      <c r="P1149">
        <f t="shared" si="19"/>
        <v>0</v>
      </c>
    </row>
    <row r="1150" spans="1:16" hidden="1" x14ac:dyDescent="0.25">
      <c r="A1150" s="8">
        <v>1145</v>
      </c>
      <c r="B1150">
        <v>754</v>
      </c>
      <c r="C1150" s="27">
        <v>45591</v>
      </c>
      <c r="D1150" t="s">
        <v>952</v>
      </c>
      <c r="E1150">
        <v>23.34</v>
      </c>
      <c r="F1150" t="s">
        <v>106</v>
      </c>
      <c r="G1150" t="s">
        <v>239</v>
      </c>
      <c r="H1150" t="s">
        <v>14</v>
      </c>
      <c r="I1150" t="s">
        <v>69</v>
      </c>
      <c r="J1150" s="27">
        <v>45566</v>
      </c>
      <c r="K1150">
        <v>2024</v>
      </c>
      <c r="L1150" s="27">
        <v>45591</v>
      </c>
      <c r="M1150">
        <v>1453.3499999999931</v>
      </c>
      <c r="N1150">
        <v>11</v>
      </c>
      <c r="O1150" t="s">
        <v>90</v>
      </c>
      <c r="P1150">
        <f t="shared" si="19"/>
        <v>0</v>
      </c>
    </row>
    <row r="1151" spans="1:16" hidden="1" x14ac:dyDescent="0.25">
      <c r="A1151" s="8">
        <v>1146</v>
      </c>
      <c r="B1151">
        <v>755</v>
      </c>
      <c r="C1151" s="27">
        <v>45591</v>
      </c>
      <c r="D1151" t="s">
        <v>953</v>
      </c>
      <c r="E1151">
        <v>20</v>
      </c>
      <c r="F1151" t="s">
        <v>136</v>
      </c>
      <c r="G1151" t="s">
        <v>670</v>
      </c>
      <c r="H1151" t="s">
        <v>28</v>
      </c>
      <c r="I1151" t="s">
        <v>93</v>
      </c>
      <c r="J1151" s="27">
        <v>45566</v>
      </c>
      <c r="K1151">
        <v>2024</v>
      </c>
      <c r="L1151" s="27">
        <v>45591</v>
      </c>
      <c r="M1151">
        <v>1473.3499999999931</v>
      </c>
      <c r="N1151">
        <v>4</v>
      </c>
      <c r="O1151" t="s">
        <v>90</v>
      </c>
      <c r="P1151">
        <f t="shared" si="19"/>
        <v>0</v>
      </c>
    </row>
    <row r="1152" spans="1:16" hidden="1" x14ac:dyDescent="0.25">
      <c r="A1152" s="8">
        <v>1147</v>
      </c>
      <c r="B1152">
        <v>756</v>
      </c>
      <c r="C1152" s="27">
        <v>45591</v>
      </c>
      <c r="D1152" t="s">
        <v>954</v>
      </c>
      <c r="E1152">
        <v>8.57</v>
      </c>
      <c r="F1152" t="s">
        <v>116</v>
      </c>
      <c r="G1152" t="s">
        <v>143</v>
      </c>
      <c r="H1152" t="s">
        <v>14</v>
      </c>
      <c r="I1152" t="s">
        <v>118</v>
      </c>
      <c r="J1152" s="27">
        <v>45566</v>
      </c>
      <c r="K1152">
        <v>2024</v>
      </c>
      <c r="L1152" s="27">
        <v>45591</v>
      </c>
      <c r="M1152">
        <v>1481.919999999993</v>
      </c>
      <c r="N1152">
        <v>8</v>
      </c>
      <c r="O1152" t="s">
        <v>90</v>
      </c>
      <c r="P1152">
        <f t="shared" si="19"/>
        <v>0</v>
      </c>
    </row>
    <row r="1153" spans="1:16" hidden="1" x14ac:dyDescent="0.25">
      <c r="A1153" s="8">
        <v>1148</v>
      </c>
      <c r="B1153">
        <v>757</v>
      </c>
      <c r="C1153" s="27">
        <v>45592</v>
      </c>
      <c r="D1153" t="s">
        <v>955</v>
      </c>
      <c r="E1153">
        <v>29.99</v>
      </c>
      <c r="F1153" t="s">
        <v>88</v>
      </c>
      <c r="G1153" t="s">
        <v>214</v>
      </c>
      <c r="H1153" t="s">
        <v>28</v>
      </c>
      <c r="I1153" t="s">
        <v>69</v>
      </c>
      <c r="J1153" s="27">
        <v>45566</v>
      </c>
      <c r="K1153">
        <v>2024</v>
      </c>
      <c r="L1153" s="27">
        <v>45592</v>
      </c>
      <c r="M1153">
        <v>1511.909999999993</v>
      </c>
      <c r="N1153">
        <v>10</v>
      </c>
      <c r="O1153" t="s">
        <v>90</v>
      </c>
      <c r="P1153">
        <f t="shared" si="19"/>
        <v>0</v>
      </c>
    </row>
    <row r="1154" spans="1:16" hidden="1" x14ac:dyDescent="0.25">
      <c r="A1154" s="8">
        <v>1149</v>
      </c>
      <c r="B1154">
        <v>758</v>
      </c>
      <c r="C1154" s="27">
        <v>45592</v>
      </c>
      <c r="D1154" t="s">
        <v>956</v>
      </c>
      <c r="E1154">
        <v>17.649999999999999</v>
      </c>
      <c r="F1154" t="s">
        <v>116</v>
      </c>
      <c r="G1154" t="s">
        <v>117</v>
      </c>
      <c r="H1154" t="s">
        <v>14</v>
      </c>
      <c r="I1154" t="s">
        <v>118</v>
      </c>
      <c r="J1154" s="27">
        <v>45566</v>
      </c>
      <c r="K1154">
        <v>2024</v>
      </c>
      <c r="L1154" s="27">
        <v>45592</v>
      </c>
      <c r="M1154">
        <v>1529.5599999999929</v>
      </c>
      <c r="N1154">
        <v>66</v>
      </c>
      <c r="O1154" t="s">
        <v>90</v>
      </c>
      <c r="P1154">
        <f t="shared" si="19"/>
        <v>0</v>
      </c>
    </row>
    <row r="1155" spans="1:16" hidden="1" x14ac:dyDescent="0.25">
      <c r="A1155" s="8">
        <v>1150</v>
      </c>
      <c r="B1155">
        <v>759</v>
      </c>
      <c r="C1155" s="27">
        <v>45592</v>
      </c>
      <c r="D1155" t="s">
        <v>929</v>
      </c>
      <c r="E1155">
        <v>9.99</v>
      </c>
      <c r="F1155" t="s">
        <v>88</v>
      </c>
      <c r="G1155" t="s">
        <v>114</v>
      </c>
      <c r="H1155" t="s">
        <v>14</v>
      </c>
      <c r="I1155" t="s">
        <v>93</v>
      </c>
      <c r="J1155" s="27">
        <v>45566</v>
      </c>
      <c r="K1155">
        <v>2024</v>
      </c>
      <c r="L1155" s="27">
        <v>45592</v>
      </c>
      <c r="M1155">
        <v>1539.5499999999929</v>
      </c>
      <c r="N1155">
        <v>81</v>
      </c>
      <c r="O1155" t="s">
        <v>90</v>
      </c>
      <c r="P1155">
        <f t="shared" si="19"/>
        <v>0</v>
      </c>
    </row>
    <row r="1156" spans="1:16" hidden="1" x14ac:dyDescent="0.25">
      <c r="A1156" s="8">
        <v>1151</v>
      </c>
      <c r="B1156">
        <v>760</v>
      </c>
      <c r="C1156" s="27">
        <v>45592</v>
      </c>
      <c r="D1156" t="s">
        <v>957</v>
      </c>
      <c r="E1156">
        <v>43.7</v>
      </c>
      <c r="F1156" t="s">
        <v>95</v>
      </c>
      <c r="G1156" t="s">
        <v>278</v>
      </c>
      <c r="H1156" t="s">
        <v>14</v>
      </c>
      <c r="I1156" t="s">
        <v>44</v>
      </c>
      <c r="J1156" s="27">
        <v>45566</v>
      </c>
      <c r="K1156">
        <v>2024</v>
      </c>
      <c r="L1156" s="27">
        <v>45592</v>
      </c>
      <c r="M1156">
        <v>1583.249999999993</v>
      </c>
      <c r="N1156">
        <v>9</v>
      </c>
      <c r="O1156" t="s">
        <v>90</v>
      </c>
      <c r="P1156">
        <f t="shared" si="19"/>
        <v>0</v>
      </c>
    </row>
    <row r="1157" spans="1:16" hidden="1" x14ac:dyDescent="0.25">
      <c r="A1157" s="8">
        <v>1152</v>
      </c>
      <c r="B1157">
        <v>761</v>
      </c>
      <c r="C1157" s="27">
        <v>45592</v>
      </c>
      <c r="D1157" t="s">
        <v>958</v>
      </c>
      <c r="E1157">
        <v>4.99</v>
      </c>
      <c r="F1157" t="s">
        <v>88</v>
      </c>
      <c r="G1157" t="s">
        <v>385</v>
      </c>
      <c r="H1157" t="s">
        <v>14</v>
      </c>
      <c r="I1157" t="s">
        <v>395</v>
      </c>
      <c r="J1157" s="27">
        <v>45566</v>
      </c>
      <c r="K1157">
        <v>2024</v>
      </c>
      <c r="L1157" s="27">
        <v>45592</v>
      </c>
      <c r="M1157">
        <v>1588.239999999993</v>
      </c>
      <c r="N1157">
        <v>55</v>
      </c>
      <c r="O1157" t="s">
        <v>90</v>
      </c>
      <c r="P1157">
        <f t="shared" si="19"/>
        <v>0</v>
      </c>
    </row>
    <row r="1158" spans="1:16" hidden="1" x14ac:dyDescent="0.25">
      <c r="A1158" s="8">
        <v>1153</v>
      </c>
      <c r="B1158">
        <v>762</v>
      </c>
      <c r="C1158" s="27">
        <v>45594</v>
      </c>
      <c r="D1158" t="s">
        <v>189</v>
      </c>
      <c r="E1158">
        <v>9.86</v>
      </c>
      <c r="F1158" t="s">
        <v>106</v>
      </c>
      <c r="G1158" t="s">
        <v>137</v>
      </c>
      <c r="H1158" t="s">
        <v>14</v>
      </c>
      <c r="I1158" t="s">
        <v>118</v>
      </c>
      <c r="J1158" s="27">
        <v>45566</v>
      </c>
      <c r="K1158">
        <v>2024</v>
      </c>
      <c r="L1158" s="27">
        <v>45594</v>
      </c>
      <c r="M1158">
        <v>1598.0999999999931</v>
      </c>
      <c r="N1158">
        <v>38</v>
      </c>
      <c r="O1158" t="s">
        <v>90</v>
      </c>
      <c r="P1158">
        <f t="shared" si="19"/>
        <v>0</v>
      </c>
    </row>
    <row r="1159" spans="1:16" hidden="1" x14ac:dyDescent="0.25">
      <c r="A1159" s="8">
        <v>1154</v>
      </c>
      <c r="B1159">
        <v>763</v>
      </c>
      <c r="C1159" s="27">
        <v>45595</v>
      </c>
      <c r="D1159" t="s">
        <v>959</v>
      </c>
      <c r="E1159">
        <v>25</v>
      </c>
      <c r="F1159" t="s">
        <v>95</v>
      </c>
      <c r="G1159" t="s">
        <v>13</v>
      </c>
      <c r="H1159" t="s">
        <v>14</v>
      </c>
      <c r="I1159" t="s">
        <v>15</v>
      </c>
      <c r="J1159" s="27">
        <v>45566</v>
      </c>
      <c r="K1159">
        <v>2024</v>
      </c>
      <c r="L1159" s="27">
        <v>45595</v>
      </c>
      <c r="M1159">
        <v>1623.0999999999931</v>
      </c>
      <c r="N1159">
        <v>5</v>
      </c>
      <c r="O1159" t="s">
        <v>90</v>
      </c>
      <c r="P1159">
        <f t="shared" si="19"/>
        <v>0</v>
      </c>
    </row>
    <row r="1160" spans="1:16" hidden="1" x14ac:dyDescent="0.25">
      <c r="A1160" s="8">
        <v>1155</v>
      </c>
      <c r="B1160">
        <v>764</v>
      </c>
      <c r="C1160" s="27">
        <v>45595</v>
      </c>
      <c r="D1160" t="s">
        <v>929</v>
      </c>
      <c r="E1160">
        <v>8.31</v>
      </c>
      <c r="F1160" t="s">
        <v>88</v>
      </c>
      <c r="G1160" t="s">
        <v>114</v>
      </c>
      <c r="H1160" t="s">
        <v>14</v>
      </c>
      <c r="I1160" t="s">
        <v>93</v>
      </c>
      <c r="J1160" s="27">
        <v>45566</v>
      </c>
      <c r="K1160">
        <v>2024</v>
      </c>
      <c r="L1160" s="27">
        <v>45595</v>
      </c>
      <c r="M1160">
        <v>1631.409999999993</v>
      </c>
      <c r="N1160">
        <v>82</v>
      </c>
      <c r="O1160" t="s">
        <v>90</v>
      </c>
      <c r="P1160">
        <f t="shared" si="19"/>
        <v>0</v>
      </c>
    </row>
    <row r="1161" spans="1:16" hidden="1" x14ac:dyDescent="0.25">
      <c r="A1161" s="8">
        <v>1156</v>
      </c>
      <c r="B1161">
        <v>765</v>
      </c>
      <c r="C1161" s="27">
        <v>45595</v>
      </c>
      <c r="D1161" t="s">
        <v>919</v>
      </c>
      <c r="E1161">
        <v>42.42</v>
      </c>
      <c r="F1161" t="s">
        <v>88</v>
      </c>
      <c r="G1161" t="s">
        <v>141</v>
      </c>
      <c r="H1161" t="s">
        <v>14</v>
      </c>
      <c r="I1161" t="s">
        <v>118</v>
      </c>
      <c r="J1161" s="27">
        <v>45566</v>
      </c>
      <c r="K1161">
        <v>2024</v>
      </c>
      <c r="L1161" s="27">
        <v>45595</v>
      </c>
      <c r="M1161">
        <v>1673.8299999999931</v>
      </c>
      <c r="N1161">
        <v>37</v>
      </c>
      <c r="O1161" t="s">
        <v>90</v>
      </c>
      <c r="P1161">
        <f t="shared" si="19"/>
        <v>0</v>
      </c>
    </row>
    <row r="1162" spans="1:16" hidden="1" x14ac:dyDescent="0.25">
      <c r="A1162" s="8">
        <v>1157</v>
      </c>
      <c r="B1162">
        <v>766</v>
      </c>
      <c r="C1162" s="27">
        <v>45595</v>
      </c>
      <c r="D1162" t="s">
        <v>960</v>
      </c>
      <c r="E1162">
        <v>21.25</v>
      </c>
      <c r="F1162" t="s">
        <v>116</v>
      </c>
      <c r="G1162" t="s">
        <v>141</v>
      </c>
      <c r="H1162" t="s">
        <v>14</v>
      </c>
      <c r="I1162" t="s">
        <v>118</v>
      </c>
      <c r="J1162" s="27">
        <v>45566</v>
      </c>
      <c r="K1162">
        <v>2024</v>
      </c>
      <c r="L1162" s="27">
        <v>45595</v>
      </c>
      <c r="M1162">
        <v>1695.0799999999931</v>
      </c>
      <c r="N1162">
        <v>38</v>
      </c>
      <c r="O1162" t="s">
        <v>90</v>
      </c>
      <c r="P1162">
        <f t="shared" si="19"/>
        <v>0</v>
      </c>
    </row>
    <row r="1163" spans="1:16" hidden="1" x14ac:dyDescent="0.25">
      <c r="A1163" s="8">
        <v>1158</v>
      </c>
      <c r="B1163">
        <v>767</v>
      </c>
      <c r="C1163" s="27">
        <v>45596</v>
      </c>
      <c r="D1163" t="s">
        <v>961</v>
      </c>
      <c r="E1163">
        <v>15.89</v>
      </c>
      <c r="F1163" t="s">
        <v>88</v>
      </c>
      <c r="G1163" t="s">
        <v>962</v>
      </c>
      <c r="H1163" t="s">
        <v>14</v>
      </c>
      <c r="I1163" t="s">
        <v>93</v>
      </c>
      <c r="J1163" s="27">
        <v>45566</v>
      </c>
      <c r="K1163">
        <v>2024</v>
      </c>
      <c r="L1163" s="27">
        <v>45596</v>
      </c>
      <c r="M1163">
        <v>1710.969999999993</v>
      </c>
      <c r="N1163">
        <v>1</v>
      </c>
      <c r="O1163" t="s">
        <v>90</v>
      </c>
      <c r="P1163">
        <f t="shared" si="19"/>
        <v>0</v>
      </c>
    </row>
    <row r="1164" spans="1:16" hidden="1" x14ac:dyDescent="0.25">
      <c r="A1164" s="8">
        <v>1159</v>
      </c>
      <c r="B1164">
        <v>768</v>
      </c>
      <c r="C1164" s="27">
        <v>45596</v>
      </c>
      <c r="D1164" t="s">
        <v>963</v>
      </c>
      <c r="E1164">
        <v>12.99</v>
      </c>
      <c r="F1164" t="s">
        <v>88</v>
      </c>
      <c r="G1164" t="s">
        <v>114</v>
      </c>
      <c r="H1164" t="s">
        <v>14</v>
      </c>
      <c r="I1164" t="s">
        <v>93</v>
      </c>
      <c r="J1164" s="27">
        <v>45566</v>
      </c>
      <c r="K1164">
        <v>2024</v>
      </c>
      <c r="L1164" s="27">
        <v>45596</v>
      </c>
      <c r="M1164">
        <v>1723.959999999993</v>
      </c>
      <c r="N1164">
        <v>83</v>
      </c>
      <c r="O1164" t="s">
        <v>90</v>
      </c>
      <c r="P1164">
        <f t="shared" si="19"/>
        <v>0</v>
      </c>
    </row>
    <row r="1165" spans="1:16" hidden="1" x14ac:dyDescent="0.25">
      <c r="A1165" s="8">
        <v>1160</v>
      </c>
      <c r="B1165">
        <v>769</v>
      </c>
      <c r="C1165" s="27">
        <v>45596</v>
      </c>
      <c r="D1165" t="s">
        <v>189</v>
      </c>
      <c r="E1165">
        <v>36.590000000000003</v>
      </c>
      <c r="F1165" t="s">
        <v>106</v>
      </c>
      <c r="G1165" t="s">
        <v>137</v>
      </c>
      <c r="H1165" t="s">
        <v>14</v>
      </c>
      <c r="I1165" t="s">
        <v>118</v>
      </c>
      <c r="J1165" s="27">
        <v>45566</v>
      </c>
      <c r="K1165">
        <v>2024</v>
      </c>
      <c r="L1165" s="27">
        <v>45596</v>
      </c>
      <c r="M1165">
        <v>1760.5499999999929</v>
      </c>
      <c r="N1165">
        <v>39</v>
      </c>
      <c r="O1165" t="s">
        <v>90</v>
      </c>
      <c r="P1165">
        <f t="shared" si="19"/>
        <v>1</v>
      </c>
    </row>
    <row r="1166" spans="1:16" hidden="1" x14ac:dyDescent="0.25">
      <c r="A1166" s="8">
        <v>1161</v>
      </c>
      <c r="B1166">
        <v>770</v>
      </c>
      <c r="C1166" s="27">
        <v>45597</v>
      </c>
      <c r="D1166" t="s">
        <v>162</v>
      </c>
      <c r="E1166">
        <v>-1646.36</v>
      </c>
      <c r="F1166" t="s">
        <v>163</v>
      </c>
      <c r="G1166" t="s">
        <v>164</v>
      </c>
      <c r="H1166" t="s">
        <v>14</v>
      </c>
      <c r="I1166" t="s">
        <v>80</v>
      </c>
      <c r="J1166" s="27">
        <v>45597</v>
      </c>
      <c r="K1166">
        <v>2024</v>
      </c>
      <c r="L1166" s="27">
        <v>45597</v>
      </c>
      <c r="M1166">
        <v>114.18999999999301</v>
      </c>
      <c r="N1166">
        <v>17</v>
      </c>
      <c r="O1166" t="s">
        <v>90</v>
      </c>
      <c r="P1166">
        <f t="shared" si="19"/>
        <v>0</v>
      </c>
    </row>
    <row r="1167" spans="1:16" hidden="1" x14ac:dyDescent="0.25">
      <c r="A1167" s="8">
        <v>1162</v>
      </c>
      <c r="B1167">
        <v>771</v>
      </c>
      <c r="C1167" s="27">
        <v>45597</v>
      </c>
      <c r="D1167" t="s">
        <v>964</v>
      </c>
      <c r="E1167">
        <v>25.94</v>
      </c>
      <c r="F1167" t="s">
        <v>88</v>
      </c>
      <c r="G1167" t="s">
        <v>107</v>
      </c>
      <c r="H1167" t="s">
        <v>14</v>
      </c>
      <c r="I1167" t="s">
        <v>69</v>
      </c>
      <c r="J1167" s="27">
        <v>45597</v>
      </c>
      <c r="K1167">
        <v>2024</v>
      </c>
      <c r="L1167" s="27">
        <v>45597</v>
      </c>
      <c r="M1167">
        <v>140.129999999993</v>
      </c>
      <c r="N1167">
        <v>63</v>
      </c>
      <c r="O1167" t="s">
        <v>90</v>
      </c>
      <c r="P1167">
        <f t="shared" si="19"/>
        <v>0</v>
      </c>
    </row>
    <row r="1168" spans="1:16" hidden="1" x14ac:dyDescent="0.25">
      <c r="A1168" s="8">
        <v>1163</v>
      </c>
      <c r="B1168">
        <v>772</v>
      </c>
      <c r="C1168" s="27">
        <v>45597</v>
      </c>
      <c r="D1168" t="s">
        <v>919</v>
      </c>
      <c r="E1168">
        <v>36.4</v>
      </c>
      <c r="F1168" t="s">
        <v>88</v>
      </c>
      <c r="G1168" t="s">
        <v>141</v>
      </c>
      <c r="H1168" t="s">
        <v>14</v>
      </c>
      <c r="I1168" t="s">
        <v>118</v>
      </c>
      <c r="J1168" s="27">
        <v>45597</v>
      </c>
      <c r="K1168">
        <v>2024</v>
      </c>
      <c r="L1168" s="27">
        <v>45597</v>
      </c>
      <c r="M1168">
        <v>176.52999999999301</v>
      </c>
      <c r="N1168">
        <v>39</v>
      </c>
      <c r="O1168" t="s">
        <v>90</v>
      </c>
      <c r="P1168">
        <f t="shared" si="19"/>
        <v>0</v>
      </c>
    </row>
    <row r="1169" spans="1:16" hidden="1" x14ac:dyDescent="0.25">
      <c r="A1169" s="8">
        <v>1164</v>
      </c>
      <c r="B1169">
        <v>773</v>
      </c>
      <c r="C1169" s="27">
        <v>45597</v>
      </c>
      <c r="D1169" t="s">
        <v>965</v>
      </c>
      <c r="E1169">
        <v>13.41</v>
      </c>
      <c r="F1169" t="s">
        <v>116</v>
      </c>
      <c r="G1169" t="s">
        <v>141</v>
      </c>
      <c r="H1169" t="s">
        <v>14</v>
      </c>
      <c r="I1169" t="s">
        <v>118</v>
      </c>
      <c r="J1169" s="27">
        <v>45597</v>
      </c>
      <c r="K1169">
        <v>2024</v>
      </c>
      <c r="L1169" s="27">
        <v>45597</v>
      </c>
      <c r="M1169">
        <v>189.93999999999301</v>
      </c>
      <c r="N1169">
        <v>40</v>
      </c>
      <c r="O1169" t="s">
        <v>90</v>
      </c>
      <c r="P1169">
        <f t="shared" si="19"/>
        <v>0</v>
      </c>
    </row>
    <row r="1170" spans="1:16" hidden="1" x14ac:dyDescent="0.25">
      <c r="A1170" s="8">
        <v>1165</v>
      </c>
      <c r="B1170">
        <v>774</v>
      </c>
      <c r="C1170" s="27">
        <v>45597</v>
      </c>
      <c r="D1170" t="s">
        <v>966</v>
      </c>
      <c r="E1170">
        <v>20</v>
      </c>
      <c r="F1170" t="s">
        <v>88</v>
      </c>
      <c r="G1170" t="s">
        <v>89</v>
      </c>
      <c r="H1170" t="s">
        <v>28</v>
      </c>
      <c r="I1170" t="s">
        <v>69</v>
      </c>
      <c r="J1170" s="27">
        <v>45597</v>
      </c>
      <c r="K1170">
        <v>2024</v>
      </c>
      <c r="L1170" s="27">
        <v>45597</v>
      </c>
      <c r="M1170">
        <v>209.93999999999301</v>
      </c>
      <c r="N1170">
        <v>11</v>
      </c>
      <c r="O1170" t="s">
        <v>90</v>
      </c>
      <c r="P1170">
        <f t="shared" si="19"/>
        <v>0</v>
      </c>
    </row>
    <row r="1171" spans="1:16" hidden="1" x14ac:dyDescent="0.25">
      <c r="A1171" s="8">
        <v>1166</v>
      </c>
      <c r="B1171">
        <v>775</v>
      </c>
      <c r="C1171" s="27">
        <v>45597</v>
      </c>
      <c r="D1171" t="s">
        <v>959</v>
      </c>
      <c r="E1171">
        <v>25</v>
      </c>
      <c r="F1171" t="s">
        <v>95</v>
      </c>
      <c r="G1171" t="s">
        <v>13</v>
      </c>
      <c r="H1171" t="s">
        <v>14</v>
      </c>
      <c r="I1171" t="s">
        <v>15</v>
      </c>
      <c r="J1171" s="27">
        <v>45597</v>
      </c>
      <c r="K1171">
        <v>2024</v>
      </c>
      <c r="L1171" s="27">
        <v>45597</v>
      </c>
      <c r="M1171">
        <v>234.93999999999301</v>
      </c>
      <c r="N1171">
        <v>6</v>
      </c>
      <c r="O1171" t="s">
        <v>90</v>
      </c>
      <c r="P1171">
        <f t="shared" si="19"/>
        <v>0</v>
      </c>
    </row>
    <row r="1172" spans="1:16" hidden="1" x14ac:dyDescent="0.25">
      <c r="A1172" s="8">
        <v>1167</v>
      </c>
      <c r="B1172">
        <v>776</v>
      </c>
      <c r="C1172" s="27">
        <v>45597</v>
      </c>
      <c r="D1172" t="s">
        <v>967</v>
      </c>
      <c r="E1172">
        <v>5</v>
      </c>
      <c r="F1172" t="s">
        <v>88</v>
      </c>
      <c r="G1172" t="s">
        <v>96</v>
      </c>
      <c r="H1172" t="s">
        <v>28</v>
      </c>
      <c r="I1172" t="s">
        <v>69</v>
      </c>
      <c r="J1172" s="27">
        <v>45597</v>
      </c>
      <c r="K1172">
        <v>2024</v>
      </c>
      <c r="L1172" s="27">
        <v>45597</v>
      </c>
      <c r="M1172">
        <v>239.93999999999301</v>
      </c>
      <c r="N1172">
        <v>11</v>
      </c>
      <c r="O1172" t="s">
        <v>90</v>
      </c>
      <c r="P1172">
        <f t="shared" si="19"/>
        <v>0</v>
      </c>
    </row>
    <row r="1173" spans="1:16" hidden="1" x14ac:dyDescent="0.25">
      <c r="A1173" s="8">
        <v>1168</v>
      </c>
      <c r="B1173">
        <v>777</v>
      </c>
      <c r="C1173" s="27">
        <v>45597</v>
      </c>
      <c r="D1173" t="s">
        <v>968</v>
      </c>
      <c r="E1173">
        <v>5.99</v>
      </c>
      <c r="F1173" t="s">
        <v>88</v>
      </c>
      <c r="G1173" t="s">
        <v>98</v>
      </c>
      <c r="H1173" t="s">
        <v>28</v>
      </c>
      <c r="I1173" t="s">
        <v>93</v>
      </c>
      <c r="J1173" s="27">
        <v>45597</v>
      </c>
      <c r="K1173">
        <v>2024</v>
      </c>
      <c r="L1173" s="27">
        <v>45597</v>
      </c>
      <c r="M1173">
        <v>245.92999999999299</v>
      </c>
      <c r="N1173">
        <v>11</v>
      </c>
      <c r="O1173" t="s">
        <v>90</v>
      </c>
      <c r="P1173">
        <f t="shared" si="19"/>
        <v>0</v>
      </c>
    </row>
    <row r="1174" spans="1:16" hidden="1" x14ac:dyDescent="0.25">
      <c r="A1174" s="8">
        <v>1169</v>
      </c>
      <c r="B1174">
        <v>778</v>
      </c>
      <c r="C1174" s="27">
        <v>45598</v>
      </c>
      <c r="D1174" t="s">
        <v>969</v>
      </c>
      <c r="E1174">
        <v>145.44999999999999</v>
      </c>
      <c r="F1174" t="s">
        <v>88</v>
      </c>
      <c r="G1174" t="s">
        <v>168</v>
      </c>
      <c r="H1174" t="s">
        <v>14</v>
      </c>
      <c r="I1174" t="s">
        <v>69</v>
      </c>
      <c r="J1174" s="27">
        <v>45597</v>
      </c>
      <c r="K1174">
        <v>2024</v>
      </c>
      <c r="L1174" s="27">
        <v>45598</v>
      </c>
      <c r="M1174">
        <v>391.379999999993</v>
      </c>
      <c r="N1174">
        <v>27</v>
      </c>
      <c r="O1174" t="s">
        <v>90</v>
      </c>
      <c r="P1174">
        <f t="shared" si="19"/>
        <v>0</v>
      </c>
    </row>
    <row r="1175" spans="1:16" hidden="1" x14ac:dyDescent="0.25">
      <c r="A1175" s="8">
        <v>1170</v>
      </c>
      <c r="B1175">
        <v>779</v>
      </c>
      <c r="C1175" s="27">
        <v>45598</v>
      </c>
      <c r="D1175" t="s">
        <v>929</v>
      </c>
      <c r="E1175">
        <v>9.99</v>
      </c>
      <c r="F1175" t="s">
        <v>88</v>
      </c>
      <c r="G1175" t="s">
        <v>114</v>
      </c>
      <c r="H1175" t="s">
        <v>14</v>
      </c>
      <c r="I1175" t="s">
        <v>93</v>
      </c>
      <c r="J1175" s="27">
        <v>45597</v>
      </c>
      <c r="K1175">
        <v>2024</v>
      </c>
      <c r="L1175" s="27">
        <v>45598</v>
      </c>
      <c r="M1175">
        <v>401.36999999999301</v>
      </c>
      <c r="N1175">
        <v>84</v>
      </c>
      <c r="O1175" t="s">
        <v>90</v>
      </c>
      <c r="P1175">
        <f t="shared" si="19"/>
        <v>0</v>
      </c>
    </row>
    <row r="1176" spans="1:16" hidden="1" x14ac:dyDescent="0.25">
      <c r="A1176" s="8">
        <v>1171</v>
      </c>
      <c r="B1176">
        <v>780</v>
      </c>
      <c r="C1176" s="27">
        <v>45598</v>
      </c>
      <c r="D1176" t="s">
        <v>951</v>
      </c>
      <c r="E1176">
        <v>25</v>
      </c>
      <c r="F1176" t="s">
        <v>88</v>
      </c>
      <c r="G1176" t="s">
        <v>172</v>
      </c>
      <c r="H1176" t="s">
        <v>14</v>
      </c>
      <c r="I1176" t="s">
        <v>15</v>
      </c>
      <c r="J1176" s="27">
        <v>45597</v>
      </c>
      <c r="K1176">
        <v>2024</v>
      </c>
      <c r="L1176" s="27">
        <v>45598</v>
      </c>
      <c r="M1176">
        <v>426.36999999999301</v>
      </c>
      <c r="N1176">
        <v>10</v>
      </c>
      <c r="O1176" t="s">
        <v>90</v>
      </c>
      <c r="P1176">
        <f t="shared" si="19"/>
        <v>0</v>
      </c>
    </row>
    <row r="1177" spans="1:16" hidden="1" x14ac:dyDescent="0.25">
      <c r="A1177" s="8">
        <v>1172</v>
      </c>
      <c r="B1177">
        <v>781</v>
      </c>
      <c r="C1177" s="27">
        <v>45598</v>
      </c>
      <c r="D1177" t="s">
        <v>970</v>
      </c>
      <c r="E1177">
        <v>219.25</v>
      </c>
      <c r="F1177" t="s">
        <v>88</v>
      </c>
      <c r="G1177" t="s">
        <v>153</v>
      </c>
      <c r="H1177" t="s">
        <v>14</v>
      </c>
      <c r="I1177" t="s">
        <v>69</v>
      </c>
      <c r="J1177" s="27">
        <v>45597</v>
      </c>
      <c r="K1177">
        <v>2024</v>
      </c>
      <c r="L1177" s="27">
        <v>45598</v>
      </c>
      <c r="M1177">
        <v>645.61999999999307</v>
      </c>
      <c r="N1177">
        <v>3</v>
      </c>
      <c r="O1177" t="s">
        <v>90</v>
      </c>
      <c r="P1177">
        <f t="shared" si="19"/>
        <v>0</v>
      </c>
    </row>
    <row r="1178" spans="1:16" hidden="1" x14ac:dyDescent="0.25">
      <c r="A1178" s="8">
        <v>1173</v>
      </c>
      <c r="B1178">
        <v>782</v>
      </c>
      <c r="C1178" s="27">
        <v>45598</v>
      </c>
      <c r="D1178" t="s">
        <v>971</v>
      </c>
      <c r="E1178">
        <v>273.60000000000002</v>
      </c>
      <c r="F1178" t="s">
        <v>88</v>
      </c>
      <c r="G1178" t="s">
        <v>100</v>
      </c>
      <c r="H1178" t="s">
        <v>28</v>
      </c>
      <c r="I1178" t="s">
        <v>69</v>
      </c>
      <c r="J1178" s="27">
        <v>45597</v>
      </c>
      <c r="K1178">
        <v>2024</v>
      </c>
      <c r="L1178" s="27">
        <v>45598</v>
      </c>
      <c r="M1178">
        <v>919.21999999999309</v>
      </c>
      <c r="N1178">
        <v>13</v>
      </c>
      <c r="O1178" t="s">
        <v>90</v>
      </c>
      <c r="P1178">
        <f t="shared" si="19"/>
        <v>0</v>
      </c>
    </row>
    <row r="1179" spans="1:16" hidden="1" x14ac:dyDescent="0.25">
      <c r="A1179" s="8">
        <v>1174</v>
      </c>
      <c r="B1179">
        <v>783</v>
      </c>
      <c r="C1179" s="27">
        <v>45599</v>
      </c>
      <c r="D1179" t="s">
        <v>972</v>
      </c>
      <c r="E1179">
        <v>64.42</v>
      </c>
      <c r="F1179" t="s">
        <v>116</v>
      </c>
      <c r="G1179" t="s">
        <v>117</v>
      </c>
      <c r="H1179" t="s">
        <v>14</v>
      </c>
      <c r="I1179" t="s">
        <v>118</v>
      </c>
      <c r="J1179" s="27">
        <v>45597</v>
      </c>
      <c r="K1179">
        <v>2024</v>
      </c>
      <c r="L1179" s="27">
        <v>45599</v>
      </c>
      <c r="M1179">
        <v>983.63999999999305</v>
      </c>
      <c r="N1179">
        <v>67</v>
      </c>
      <c r="O1179" t="s">
        <v>90</v>
      </c>
      <c r="P1179">
        <f t="shared" si="19"/>
        <v>0</v>
      </c>
    </row>
    <row r="1180" spans="1:16" hidden="1" x14ac:dyDescent="0.25">
      <c r="A1180" s="8">
        <v>1175</v>
      </c>
      <c r="B1180">
        <v>784</v>
      </c>
      <c r="C1180" s="27">
        <v>45600</v>
      </c>
      <c r="D1180" t="s">
        <v>110</v>
      </c>
      <c r="E1180">
        <v>-51.88</v>
      </c>
      <c r="F1180" t="s">
        <v>111</v>
      </c>
      <c r="G1180" t="s">
        <v>112</v>
      </c>
      <c r="H1180" t="s">
        <v>14</v>
      </c>
      <c r="I1180" t="s">
        <v>80</v>
      </c>
      <c r="J1180" s="27">
        <v>45597</v>
      </c>
      <c r="K1180">
        <v>2024</v>
      </c>
      <c r="L1180" s="27">
        <v>45600</v>
      </c>
      <c r="M1180">
        <v>931.75999999999306</v>
      </c>
      <c r="N1180">
        <v>11</v>
      </c>
      <c r="O1180" t="s">
        <v>90</v>
      </c>
      <c r="P1180">
        <f t="shared" si="19"/>
        <v>0</v>
      </c>
    </row>
    <row r="1181" spans="1:16" hidden="1" x14ac:dyDescent="0.25">
      <c r="A1181" s="8">
        <v>1176</v>
      </c>
      <c r="B1181">
        <v>785</v>
      </c>
      <c r="C1181" s="27">
        <v>45600</v>
      </c>
      <c r="D1181" t="s">
        <v>973</v>
      </c>
      <c r="E1181">
        <v>4.68</v>
      </c>
      <c r="F1181" t="s">
        <v>624</v>
      </c>
      <c r="G1181" t="s">
        <v>628</v>
      </c>
      <c r="H1181" t="s">
        <v>14</v>
      </c>
      <c r="I1181" t="s">
        <v>19</v>
      </c>
      <c r="J1181" s="27">
        <v>45597</v>
      </c>
      <c r="K1181">
        <v>2024</v>
      </c>
      <c r="L1181" s="27">
        <v>45600</v>
      </c>
      <c r="M1181">
        <v>936.43999999999301</v>
      </c>
      <c r="N1181">
        <v>4</v>
      </c>
      <c r="O1181" t="s">
        <v>90</v>
      </c>
      <c r="P1181">
        <f t="shared" si="19"/>
        <v>0</v>
      </c>
    </row>
    <row r="1182" spans="1:16" hidden="1" x14ac:dyDescent="0.25">
      <c r="A1182" s="8">
        <v>1177</v>
      </c>
      <c r="B1182">
        <v>786</v>
      </c>
      <c r="C1182" s="27">
        <v>45600</v>
      </c>
      <c r="D1182" t="s">
        <v>974</v>
      </c>
      <c r="E1182">
        <v>15.09</v>
      </c>
      <c r="F1182" t="s">
        <v>116</v>
      </c>
      <c r="G1182" t="s">
        <v>141</v>
      </c>
      <c r="H1182" t="s">
        <v>14</v>
      </c>
      <c r="I1182" t="s">
        <v>118</v>
      </c>
      <c r="J1182" s="27">
        <v>45597</v>
      </c>
      <c r="K1182">
        <v>2024</v>
      </c>
      <c r="L1182" s="27">
        <v>45600</v>
      </c>
      <c r="M1182">
        <v>951.52999999999304</v>
      </c>
      <c r="N1182">
        <v>41</v>
      </c>
      <c r="O1182" t="s">
        <v>90</v>
      </c>
      <c r="P1182">
        <f t="shared" si="19"/>
        <v>0</v>
      </c>
    </row>
    <row r="1183" spans="1:16" hidden="1" x14ac:dyDescent="0.25">
      <c r="A1183" s="8">
        <v>1178</v>
      </c>
      <c r="B1183">
        <v>787</v>
      </c>
      <c r="C1183" s="27">
        <v>45600</v>
      </c>
      <c r="D1183" t="s">
        <v>959</v>
      </c>
      <c r="E1183">
        <v>25</v>
      </c>
      <c r="F1183" t="s">
        <v>95</v>
      </c>
      <c r="G1183" t="s">
        <v>13</v>
      </c>
      <c r="H1183" t="s">
        <v>14</v>
      </c>
      <c r="I1183" t="s">
        <v>15</v>
      </c>
      <c r="J1183" s="27">
        <v>45597</v>
      </c>
      <c r="K1183">
        <v>2024</v>
      </c>
      <c r="L1183" s="27">
        <v>45600</v>
      </c>
      <c r="M1183">
        <v>976.52999999999304</v>
      </c>
      <c r="N1183">
        <v>7</v>
      </c>
      <c r="O1183" t="s">
        <v>90</v>
      </c>
      <c r="P1183">
        <f t="shared" si="19"/>
        <v>0</v>
      </c>
    </row>
    <row r="1184" spans="1:16" hidden="1" x14ac:dyDescent="0.25">
      <c r="A1184" s="8">
        <v>1179</v>
      </c>
      <c r="B1184">
        <v>788</v>
      </c>
      <c r="C1184" s="27">
        <v>45600</v>
      </c>
      <c r="D1184" t="s">
        <v>975</v>
      </c>
      <c r="E1184">
        <v>240</v>
      </c>
      <c r="F1184" t="s">
        <v>624</v>
      </c>
      <c r="G1184" t="s">
        <v>628</v>
      </c>
      <c r="H1184" t="s">
        <v>14</v>
      </c>
      <c r="I1184" t="s">
        <v>19</v>
      </c>
      <c r="J1184" s="27">
        <v>45597</v>
      </c>
      <c r="K1184">
        <v>2024</v>
      </c>
      <c r="L1184" s="27">
        <v>45600</v>
      </c>
      <c r="M1184">
        <v>1216.5299999999929</v>
      </c>
      <c r="N1184">
        <v>5</v>
      </c>
      <c r="O1184" t="s">
        <v>90</v>
      </c>
      <c r="P1184">
        <f t="shared" si="19"/>
        <v>0</v>
      </c>
    </row>
    <row r="1185" spans="1:16" hidden="1" x14ac:dyDescent="0.25">
      <c r="A1185" s="8">
        <v>1180</v>
      </c>
      <c r="B1185">
        <v>789</v>
      </c>
      <c r="C1185" s="27">
        <v>45601</v>
      </c>
      <c r="D1185" t="s">
        <v>976</v>
      </c>
      <c r="E1185">
        <v>10</v>
      </c>
      <c r="F1185" t="s">
        <v>88</v>
      </c>
      <c r="G1185" t="s">
        <v>102</v>
      </c>
      <c r="H1185" t="s">
        <v>28</v>
      </c>
      <c r="I1185" t="s">
        <v>93</v>
      </c>
      <c r="J1185" s="27">
        <v>45597</v>
      </c>
      <c r="K1185">
        <v>2024</v>
      </c>
      <c r="L1185" s="27">
        <v>45601</v>
      </c>
      <c r="M1185">
        <v>1226.5299999999929</v>
      </c>
      <c r="N1185">
        <v>11</v>
      </c>
      <c r="O1185" t="s">
        <v>90</v>
      </c>
      <c r="P1185">
        <f t="shared" si="19"/>
        <v>0</v>
      </c>
    </row>
    <row r="1186" spans="1:16" hidden="1" x14ac:dyDescent="0.25">
      <c r="A1186" s="8">
        <v>1181</v>
      </c>
      <c r="B1186">
        <v>790</v>
      </c>
      <c r="C1186" s="27">
        <v>45601</v>
      </c>
      <c r="D1186" t="s">
        <v>977</v>
      </c>
      <c r="E1186">
        <v>76.73</v>
      </c>
      <c r="F1186" t="s">
        <v>116</v>
      </c>
      <c r="G1186" t="s">
        <v>117</v>
      </c>
      <c r="H1186" t="s">
        <v>14</v>
      </c>
      <c r="I1186" t="s">
        <v>118</v>
      </c>
      <c r="J1186" s="27">
        <v>45597</v>
      </c>
      <c r="K1186">
        <v>2024</v>
      </c>
      <c r="L1186" s="27">
        <v>45601</v>
      </c>
      <c r="M1186">
        <v>1303.2599999999929</v>
      </c>
      <c r="N1186">
        <v>68</v>
      </c>
      <c r="O1186" t="s">
        <v>90</v>
      </c>
      <c r="P1186">
        <f t="shared" si="19"/>
        <v>0</v>
      </c>
    </row>
    <row r="1187" spans="1:16" hidden="1" x14ac:dyDescent="0.25">
      <c r="A1187" s="8">
        <v>1182</v>
      </c>
      <c r="B1187">
        <v>791</v>
      </c>
      <c r="C1187" s="27">
        <v>45602</v>
      </c>
      <c r="D1187" t="s">
        <v>978</v>
      </c>
      <c r="E1187">
        <v>19.010000000000002</v>
      </c>
      <c r="F1187" t="s">
        <v>116</v>
      </c>
      <c r="G1187" t="s">
        <v>141</v>
      </c>
      <c r="H1187" t="s">
        <v>14</v>
      </c>
      <c r="I1187" t="s">
        <v>118</v>
      </c>
      <c r="J1187" s="27">
        <v>45597</v>
      </c>
      <c r="K1187">
        <v>2024</v>
      </c>
      <c r="L1187" s="27">
        <v>45602</v>
      </c>
      <c r="M1187">
        <v>1322.2699999999929</v>
      </c>
      <c r="N1187">
        <v>42</v>
      </c>
      <c r="O1187" t="s">
        <v>90</v>
      </c>
      <c r="P1187">
        <f t="shared" si="19"/>
        <v>0</v>
      </c>
    </row>
    <row r="1188" spans="1:16" hidden="1" x14ac:dyDescent="0.25">
      <c r="A1188" s="8">
        <v>1183</v>
      </c>
      <c r="B1188">
        <v>792</v>
      </c>
      <c r="C1188" s="27">
        <v>45604</v>
      </c>
      <c r="D1188" t="s">
        <v>979</v>
      </c>
      <c r="E1188">
        <v>42.66</v>
      </c>
      <c r="F1188" t="s">
        <v>116</v>
      </c>
      <c r="G1188" t="s">
        <v>141</v>
      </c>
      <c r="H1188" t="s">
        <v>14</v>
      </c>
      <c r="I1188" t="s">
        <v>118</v>
      </c>
      <c r="J1188" s="27">
        <v>45597</v>
      </c>
      <c r="K1188">
        <v>2024</v>
      </c>
      <c r="L1188" s="27">
        <v>45604</v>
      </c>
      <c r="M1188">
        <v>1364.929999999993</v>
      </c>
      <c r="N1188">
        <v>43</v>
      </c>
      <c r="O1188" t="s">
        <v>90</v>
      </c>
      <c r="P1188">
        <f t="shared" si="19"/>
        <v>0</v>
      </c>
    </row>
    <row r="1189" spans="1:16" hidden="1" x14ac:dyDescent="0.25">
      <c r="A1189" s="8">
        <v>1184</v>
      </c>
      <c r="B1189">
        <v>793</v>
      </c>
      <c r="C1189" s="27">
        <v>45604</v>
      </c>
      <c r="D1189" t="s">
        <v>980</v>
      </c>
      <c r="E1189">
        <v>3</v>
      </c>
      <c r="F1189" t="s">
        <v>95</v>
      </c>
      <c r="G1189" t="s">
        <v>278</v>
      </c>
      <c r="H1189" t="s">
        <v>14</v>
      </c>
      <c r="I1189" t="s">
        <v>44</v>
      </c>
      <c r="J1189" s="27">
        <v>45597</v>
      </c>
      <c r="K1189">
        <v>2024</v>
      </c>
      <c r="L1189" s="27">
        <v>45604</v>
      </c>
      <c r="M1189">
        <v>1367.929999999993</v>
      </c>
      <c r="N1189">
        <v>10</v>
      </c>
      <c r="O1189" t="s">
        <v>90</v>
      </c>
      <c r="P1189">
        <f t="shared" si="19"/>
        <v>0</v>
      </c>
    </row>
    <row r="1190" spans="1:16" hidden="1" x14ac:dyDescent="0.25">
      <c r="A1190" s="8">
        <v>1185</v>
      </c>
      <c r="B1190">
        <v>794</v>
      </c>
      <c r="C1190" s="27">
        <v>45604</v>
      </c>
      <c r="D1190" t="s">
        <v>981</v>
      </c>
      <c r="E1190">
        <v>117</v>
      </c>
      <c r="F1190" t="s">
        <v>88</v>
      </c>
      <c r="G1190" t="s">
        <v>910</v>
      </c>
      <c r="H1190" t="s">
        <v>14</v>
      </c>
      <c r="I1190" t="s">
        <v>93</v>
      </c>
      <c r="J1190" s="27">
        <v>45597</v>
      </c>
      <c r="K1190">
        <v>2024</v>
      </c>
      <c r="L1190" s="27">
        <v>45604</v>
      </c>
      <c r="M1190">
        <v>1484.929999999993</v>
      </c>
      <c r="N1190">
        <v>2</v>
      </c>
      <c r="O1190" t="s">
        <v>90</v>
      </c>
      <c r="P1190">
        <f t="shared" ref="P1190:P1253" si="20">IF(J1190&lt;&gt;J1191, 1, 0)</f>
        <v>0</v>
      </c>
    </row>
    <row r="1191" spans="1:16" hidden="1" x14ac:dyDescent="0.25">
      <c r="A1191" s="8">
        <v>1186</v>
      </c>
      <c r="B1191">
        <v>795</v>
      </c>
      <c r="C1191" s="27">
        <v>45604</v>
      </c>
      <c r="D1191" t="s">
        <v>982</v>
      </c>
      <c r="E1191">
        <v>26.28</v>
      </c>
      <c r="F1191" t="s">
        <v>116</v>
      </c>
      <c r="G1191" t="s">
        <v>141</v>
      </c>
      <c r="H1191" t="s">
        <v>14</v>
      </c>
      <c r="I1191" t="s">
        <v>118</v>
      </c>
      <c r="J1191" s="27">
        <v>45597</v>
      </c>
      <c r="K1191">
        <v>2024</v>
      </c>
      <c r="L1191" s="27">
        <v>45604</v>
      </c>
      <c r="M1191">
        <v>1511.209999999993</v>
      </c>
      <c r="N1191">
        <v>44</v>
      </c>
      <c r="O1191" t="s">
        <v>90</v>
      </c>
      <c r="P1191">
        <f t="shared" si="20"/>
        <v>0</v>
      </c>
    </row>
    <row r="1192" spans="1:16" hidden="1" x14ac:dyDescent="0.25">
      <c r="A1192" s="8">
        <v>1187</v>
      </c>
      <c r="B1192">
        <v>796</v>
      </c>
      <c r="C1192" s="27">
        <v>45605</v>
      </c>
      <c r="D1192" t="s">
        <v>237</v>
      </c>
      <c r="E1192">
        <v>2.4900000000000002</v>
      </c>
      <c r="F1192" t="s">
        <v>106</v>
      </c>
      <c r="G1192" t="s">
        <v>137</v>
      </c>
      <c r="H1192" t="s">
        <v>14</v>
      </c>
      <c r="I1192" t="s">
        <v>118</v>
      </c>
      <c r="J1192" s="27">
        <v>45597</v>
      </c>
      <c r="K1192">
        <v>2024</v>
      </c>
      <c r="L1192" s="27">
        <v>45605</v>
      </c>
      <c r="M1192">
        <v>1513.699999999993</v>
      </c>
      <c r="N1192">
        <v>40</v>
      </c>
      <c r="O1192" t="s">
        <v>90</v>
      </c>
      <c r="P1192">
        <f t="shared" si="20"/>
        <v>0</v>
      </c>
    </row>
    <row r="1193" spans="1:16" hidden="1" x14ac:dyDescent="0.25">
      <c r="A1193" s="8">
        <v>1188</v>
      </c>
      <c r="B1193">
        <v>797</v>
      </c>
      <c r="C1193" s="27">
        <v>45605</v>
      </c>
      <c r="D1193" t="s">
        <v>983</v>
      </c>
      <c r="E1193">
        <v>49.5</v>
      </c>
      <c r="F1193" t="s">
        <v>88</v>
      </c>
      <c r="G1193" t="s">
        <v>155</v>
      </c>
      <c r="H1193" t="s">
        <v>28</v>
      </c>
      <c r="I1193" t="s">
        <v>69</v>
      </c>
      <c r="J1193" s="27">
        <v>45597</v>
      </c>
      <c r="K1193">
        <v>2024</v>
      </c>
      <c r="L1193" s="27">
        <v>45605</v>
      </c>
      <c r="M1193">
        <v>1563.199999999993</v>
      </c>
      <c r="N1193">
        <v>5</v>
      </c>
      <c r="O1193" t="s">
        <v>90</v>
      </c>
      <c r="P1193">
        <f t="shared" si="20"/>
        <v>0</v>
      </c>
    </row>
    <row r="1194" spans="1:16" hidden="1" x14ac:dyDescent="0.25">
      <c r="A1194" s="8">
        <v>1189</v>
      </c>
      <c r="B1194">
        <v>798</v>
      </c>
      <c r="C1194" s="27">
        <v>45605</v>
      </c>
      <c r="D1194" t="s">
        <v>984</v>
      </c>
      <c r="E1194">
        <v>36.01</v>
      </c>
      <c r="F1194" t="s">
        <v>116</v>
      </c>
      <c r="G1194" t="s">
        <v>141</v>
      </c>
      <c r="H1194" t="s">
        <v>14</v>
      </c>
      <c r="I1194" t="s">
        <v>118</v>
      </c>
      <c r="J1194" s="27">
        <v>45597</v>
      </c>
      <c r="K1194">
        <v>2024</v>
      </c>
      <c r="L1194" s="27">
        <v>45605</v>
      </c>
      <c r="M1194">
        <v>1599.209999999993</v>
      </c>
      <c r="N1194">
        <v>45</v>
      </c>
      <c r="O1194" t="s">
        <v>90</v>
      </c>
      <c r="P1194">
        <f t="shared" si="20"/>
        <v>0</v>
      </c>
    </row>
    <row r="1195" spans="1:16" hidden="1" x14ac:dyDescent="0.25">
      <c r="A1195" s="8">
        <v>1190</v>
      </c>
      <c r="B1195">
        <v>799</v>
      </c>
      <c r="C1195" s="27">
        <v>45606</v>
      </c>
      <c r="D1195" t="s">
        <v>985</v>
      </c>
      <c r="E1195">
        <v>6.63</v>
      </c>
      <c r="F1195" t="s">
        <v>136</v>
      </c>
      <c r="G1195" t="s">
        <v>239</v>
      </c>
      <c r="H1195" t="s">
        <v>14</v>
      </c>
      <c r="I1195" t="s">
        <v>69</v>
      </c>
      <c r="J1195" s="27">
        <v>45597</v>
      </c>
      <c r="K1195">
        <v>2024</v>
      </c>
      <c r="L1195" s="27">
        <v>45606</v>
      </c>
      <c r="M1195">
        <v>1605.8399999999931</v>
      </c>
      <c r="N1195">
        <v>12</v>
      </c>
      <c r="O1195" t="s">
        <v>90</v>
      </c>
      <c r="P1195">
        <f t="shared" si="20"/>
        <v>0</v>
      </c>
    </row>
    <row r="1196" spans="1:16" hidden="1" x14ac:dyDescent="0.25">
      <c r="A1196" s="8">
        <v>1191</v>
      </c>
      <c r="B1196">
        <v>800</v>
      </c>
      <c r="C1196" s="27">
        <v>45606</v>
      </c>
      <c r="D1196" t="s">
        <v>951</v>
      </c>
      <c r="E1196">
        <v>25</v>
      </c>
      <c r="F1196" t="s">
        <v>88</v>
      </c>
      <c r="G1196" t="s">
        <v>172</v>
      </c>
      <c r="H1196" t="s">
        <v>14</v>
      </c>
      <c r="I1196" t="s">
        <v>15</v>
      </c>
      <c r="J1196" s="27">
        <v>45597</v>
      </c>
      <c r="K1196">
        <v>2024</v>
      </c>
      <c r="L1196" s="27">
        <v>45606</v>
      </c>
      <c r="M1196">
        <v>1630.8399999999931</v>
      </c>
      <c r="N1196">
        <v>11</v>
      </c>
      <c r="O1196" t="s">
        <v>90</v>
      </c>
      <c r="P1196">
        <f t="shared" si="20"/>
        <v>0</v>
      </c>
    </row>
    <row r="1197" spans="1:16" hidden="1" x14ac:dyDescent="0.25">
      <c r="A1197" s="8">
        <v>1192</v>
      </c>
      <c r="B1197">
        <v>801</v>
      </c>
      <c r="C1197" s="27">
        <v>45606</v>
      </c>
      <c r="D1197" t="s">
        <v>929</v>
      </c>
      <c r="E1197">
        <v>15</v>
      </c>
      <c r="F1197" t="s">
        <v>88</v>
      </c>
      <c r="G1197" t="s">
        <v>114</v>
      </c>
      <c r="H1197" t="s">
        <v>14</v>
      </c>
      <c r="I1197" t="s">
        <v>93</v>
      </c>
      <c r="J1197" s="27">
        <v>45597</v>
      </c>
      <c r="K1197">
        <v>2024</v>
      </c>
      <c r="L1197" s="27">
        <v>45606</v>
      </c>
      <c r="M1197">
        <v>1645.8399999999931</v>
      </c>
      <c r="N1197">
        <v>85</v>
      </c>
      <c r="O1197" t="s">
        <v>90</v>
      </c>
      <c r="P1197">
        <f t="shared" si="20"/>
        <v>0</v>
      </c>
    </row>
    <row r="1198" spans="1:16" hidden="1" x14ac:dyDescent="0.25">
      <c r="A1198" s="8">
        <v>1193</v>
      </c>
      <c r="B1198">
        <v>802</v>
      </c>
      <c r="C1198" s="27">
        <v>45606</v>
      </c>
      <c r="D1198" t="s">
        <v>986</v>
      </c>
      <c r="E1198">
        <v>27.04</v>
      </c>
      <c r="F1198" t="s">
        <v>116</v>
      </c>
      <c r="G1198" t="s">
        <v>141</v>
      </c>
      <c r="H1198" t="s">
        <v>14</v>
      </c>
      <c r="I1198" t="s">
        <v>118</v>
      </c>
      <c r="J1198" s="27">
        <v>45597</v>
      </c>
      <c r="K1198">
        <v>2024</v>
      </c>
      <c r="L1198" s="27">
        <v>45606</v>
      </c>
      <c r="M1198">
        <v>1672.8799999999931</v>
      </c>
      <c r="N1198">
        <v>46</v>
      </c>
      <c r="O1198" t="s">
        <v>90</v>
      </c>
      <c r="P1198">
        <f t="shared" si="20"/>
        <v>0</v>
      </c>
    </row>
    <row r="1199" spans="1:16" hidden="1" x14ac:dyDescent="0.25">
      <c r="A1199" s="8">
        <v>1194</v>
      </c>
      <c r="B1199">
        <v>803</v>
      </c>
      <c r="C1199" s="27">
        <v>45606</v>
      </c>
      <c r="D1199" t="s">
        <v>987</v>
      </c>
      <c r="E1199">
        <v>55.22</v>
      </c>
      <c r="F1199" t="s">
        <v>106</v>
      </c>
      <c r="G1199" t="s">
        <v>107</v>
      </c>
      <c r="H1199" t="s">
        <v>14</v>
      </c>
      <c r="I1199" t="s">
        <v>69</v>
      </c>
      <c r="J1199" s="27">
        <v>45597</v>
      </c>
      <c r="K1199">
        <v>2024</v>
      </c>
      <c r="L1199" s="27">
        <v>45606</v>
      </c>
      <c r="M1199">
        <v>1728.0999999999931</v>
      </c>
      <c r="N1199">
        <v>64</v>
      </c>
      <c r="O1199" t="s">
        <v>90</v>
      </c>
      <c r="P1199">
        <f t="shared" si="20"/>
        <v>0</v>
      </c>
    </row>
    <row r="1200" spans="1:16" hidden="1" x14ac:dyDescent="0.25">
      <c r="A1200" s="8">
        <v>1195</v>
      </c>
      <c r="B1200">
        <v>804</v>
      </c>
      <c r="C1200" s="27">
        <v>45606</v>
      </c>
      <c r="D1200" t="s">
        <v>988</v>
      </c>
      <c r="E1200">
        <v>14.95</v>
      </c>
      <c r="F1200" t="s">
        <v>722</v>
      </c>
      <c r="G1200" t="s">
        <v>917</v>
      </c>
      <c r="H1200" t="s">
        <v>14</v>
      </c>
      <c r="I1200" t="s">
        <v>29</v>
      </c>
      <c r="J1200" s="27">
        <v>45597</v>
      </c>
      <c r="K1200">
        <v>2024</v>
      </c>
      <c r="L1200" s="27">
        <v>45606</v>
      </c>
      <c r="M1200">
        <v>1743.0499999999929</v>
      </c>
      <c r="N1200">
        <v>2</v>
      </c>
      <c r="O1200" t="s">
        <v>90</v>
      </c>
      <c r="P1200">
        <f t="shared" si="20"/>
        <v>0</v>
      </c>
    </row>
    <row r="1201" spans="1:16" hidden="1" x14ac:dyDescent="0.25">
      <c r="A1201" s="8">
        <v>1196</v>
      </c>
      <c r="B1201">
        <v>805</v>
      </c>
      <c r="C1201" s="27">
        <v>45607</v>
      </c>
      <c r="D1201" t="s">
        <v>984</v>
      </c>
      <c r="E1201">
        <v>30.96</v>
      </c>
      <c r="F1201" t="s">
        <v>116</v>
      </c>
      <c r="G1201" t="s">
        <v>141</v>
      </c>
      <c r="H1201" t="s">
        <v>14</v>
      </c>
      <c r="I1201" t="s">
        <v>118</v>
      </c>
      <c r="J1201" s="27">
        <v>45597</v>
      </c>
      <c r="K1201">
        <v>2024</v>
      </c>
      <c r="L1201" s="27">
        <v>45607</v>
      </c>
      <c r="M1201">
        <v>1774.0099999999929</v>
      </c>
      <c r="N1201">
        <v>47</v>
      </c>
      <c r="O1201" t="s">
        <v>90</v>
      </c>
      <c r="P1201">
        <f t="shared" si="20"/>
        <v>0</v>
      </c>
    </row>
    <row r="1202" spans="1:16" hidden="1" x14ac:dyDescent="0.25">
      <c r="A1202" s="8">
        <v>1197</v>
      </c>
      <c r="B1202">
        <v>806</v>
      </c>
      <c r="C1202" s="27">
        <v>45608</v>
      </c>
      <c r="D1202" t="s">
        <v>989</v>
      </c>
      <c r="E1202">
        <v>2.11</v>
      </c>
      <c r="F1202" t="s">
        <v>88</v>
      </c>
      <c r="G1202" t="s">
        <v>748</v>
      </c>
      <c r="H1202" t="s">
        <v>28</v>
      </c>
      <c r="I1202" t="s">
        <v>69</v>
      </c>
      <c r="J1202" s="27">
        <v>45597</v>
      </c>
      <c r="K1202">
        <v>2024</v>
      </c>
      <c r="L1202" s="27">
        <v>45608</v>
      </c>
      <c r="M1202">
        <v>1776.1199999999931</v>
      </c>
      <c r="N1202">
        <v>4</v>
      </c>
      <c r="O1202" t="s">
        <v>90</v>
      </c>
      <c r="P1202">
        <f t="shared" si="20"/>
        <v>0</v>
      </c>
    </row>
    <row r="1203" spans="1:16" hidden="1" x14ac:dyDescent="0.25">
      <c r="A1203" s="8">
        <v>1198</v>
      </c>
      <c r="B1203">
        <v>807</v>
      </c>
      <c r="C1203" s="27">
        <v>45608</v>
      </c>
      <c r="D1203" t="s">
        <v>990</v>
      </c>
      <c r="E1203">
        <v>14.59</v>
      </c>
      <c r="F1203" t="s">
        <v>116</v>
      </c>
      <c r="G1203" t="s">
        <v>141</v>
      </c>
      <c r="H1203" t="s">
        <v>14</v>
      </c>
      <c r="I1203" t="s">
        <v>118</v>
      </c>
      <c r="J1203" s="27">
        <v>45597</v>
      </c>
      <c r="K1203">
        <v>2024</v>
      </c>
      <c r="L1203" s="27">
        <v>45608</v>
      </c>
      <c r="M1203">
        <v>1790.709999999993</v>
      </c>
      <c r="N1203">
        <v>48</v>
      </c>
      <c r="O1203" t="s">
        <v>90</v>
      </c>
      <c r="P1203">
        <f t="shared" si="20"/>
        <v>0</v>
      </c>
    </row>
    <row r="1204" spans="1:16" hidden="1" x14ac:dyDescent="0.25">
      <c r="A1204" s="8">
        <v>1199</v>
      </c>
      <c r="B1204">
        <v>808</v>
      </c>
      <c r="C1204" s="27">
        <v>45609</v>
      </c>
      <c r="D1204" t="s">
        <v>991</v>
      </c>
      <c r="E1204">
        <v>6.34</v>
      </c>
      <c r="F1204" t="s">
        <v>116</v>
      </c>
      <c r="G1204" t="s">
        <v>139</v>
      </c>
      <c r="H1204" t="s">
        <v>14</v>
      </c>
      <c r="I1204" t="s">
        <v>93</v>
      </c>
      <c r="J1204" s="27">
        <v>45597</v>
      </c>
      <c r="K1204">
        <v>2024</v>
      </c>
      <c r="L1204" s="27">
        <v>45609</v>
      </c>
      <c r="M1204">
        <v>1797.0499999999929</v>
      </c>
      <c r="N1204">
        <v>9</v>
      </c>
      <c r="O1204" t="s">
        <v>90</v>
      </c>
      <c r="P1204">
        <f t="shared" si="20"/>
        <v>0</v>
      </c>
    </row>
    <row r="1205" spans="1:16" hidden="1" x14ac:dyDescent="0.25">
      <c r="A1205" s="8">
        <v>1200</v>
      </c>
      <c r="B1205">
        <v>809</v>
      </c>
      <c r="C1205" s="27">
        <v>45609</v>
      </c>
      <c r="D1205" t="s">
        <v>992</v>
      </c>
      <c r="E1205">
        <v>20.3</v>
      </c>
      <c r="F1205" t="s">
        <v>88</v>
      </c>
      <c r="G1205" t="s">
        <v>13</v>
      </c>
      <c r="H1205" t="s">
        <v>14</v>
      </c>
      <c r="I1205" t="s">
        <v>15</v>
      </c>
      <c r="J1205" s="27">
        <v>45597</v>
      </c>
      <c r="K1205">
        <v>2024</v>
      </c>
      <c r="L1205" s="27">
        <v>45609</v>
      </c>
      <c r="M1205">
        <v>1817.3499999999931</v>
      </c>
      <c r="N1205">
        <v>8</v>
      </c>
      <c r="O1205" t="s">
        <v>90</v>
      </c>
      <c r="P1205">
        <f t="shared" si="20"/>
        <v>0</v>
      </c>
    </row>
    <row r="1206" spans="1:16" hidden="1" x14ac:dyDescent="0.25">
      <c r="A1206" s="8">
        <v>1201</v>
      </c>
      <c r="B1206">
        <v>810</v>
      </c>
      <c r="C1206" s="27">
        <v>45611</v>
      </c>
      <c r="D1206" t="s">
        <v>993</v>
      </c>
      <c r="E1206">
        <v>24.14</v>
      </c>
      <c r="F1206" t="s">
        <v>116</v>
      </c>
      <c r="G1206" t="s">
        <v>117</v>
      </c>
      <c r="H1206" t="s">
        <v>14</v>
      </c>
      <c r="I1206" t="s">
        <v>118</v>
      </c>
      <c r="J1206" s="27">
        <v>45597</v>
      </c>
      <c r="K1206">
        <v>2024</v>
      </c>
      <c r="L1206" s="27">
        <v>45611</v>
      </c>
      <c r="M1206">
        <v>1841.489999999993</v>
      </c>
      <c r="N1206">
        <v>69</v>
      </c>
      <c r="O1206" t="s">
        <v>90</v>
      </c>
      <c r="P1206">
        <f t="shared" si="20"/>
        <v>0</v>
      </c>
    </row>
    <row r="1207" spans="1:16" hidden="1" x14ac:dyDescent="0.25">
      <c r="A1207" s="8">
        <v>1202</v>
      </c>
      <c r="B1207">
        <v>811</v>
      </c>
      <c r="C1207" s="27">
        <v>45611</v>
      </c>
      <c r="D1207" t="s">
        <v>994</v>
      </c>
      <c r="E1207">
        <v>20.13</v>
      </c>
      <c r="F1207" t="s">
        <v>116</v>
      </c>
      <c r="G1207" t="s">
        <v>141</v>
      </c>
      <c r="H1207" t="s">
        <v>14</v>
      </c>
      <c r="I1207" t="s">
        <v>118</v>
      </c>
      <c r="J1207" s="27">
        <v>45597</v>
      </c>
      <c r="K1207">
        <v>2024</v>
      </c>
      <c r="L1207" s="27">
        <v>45611</v>
      </c>
      <c r="M1207">
        <v>1861.6199999999931</v>
      </c>
      <c r="N1207">
        <v>49</v>
      </c>
      <c r="O1207" t="s">
        <v>90</v>
      </c>
      <c r="P1207">
        <f t="shared" si="20"/>
        <v>0</v>
      </c>
    </row>
    <row r="1208" spans="1:16" hidden="1" x14ac:dyDescent="0.25">
      <c r="A1208" s="8">
        <v>1203</v>
      </c>
      <c r="B1208">
        <v>812</v>
      </c>
      <c r="C1208" s="27">
        <v>45611</v>
      </c>
      <c r="D1208" t="s">
        <v>995</v>
      </c>
      <c r="E1208">
        <v>22.37</v>
      </c>
      <c r="F1208" t="s">
        <v>116</v>
      </c>
      <c r="G1208" t="s">
        <v>141</v>
      </c>
      <c r="H1208" t="s">
        <v>14</v>
      </c>
      <c r="I1208" t="s">
        <v>118</v>
      </c>
      <c r="J1208" s="27">
        <v>45597</v>
      </c>
      <c r="K1208">
        <v>2024</v>
      </c>
      <c r="L1208" s="27">
        <v>45611</v>
      </c>
      <c r="M1208">
        <v>1883.989999999993</v>
      </c>
      <c r="N1208">
        <v>50</v>
      </c>
      <c r="O1208" t="s">
        <v>90</v>
      </c>
      <c r="P1208">
        <f t="shared" si="20"/>
        <v>0</v>
      </c>
    </row>
    <row r="1209" spans="1:16" hidden="1" x14ac:dyDescent="0.25">
      <c r="A1209" s="8">
        <v>1204</v>
      </c>
      <c r="B1209">
        <v>813</v>
      </c>
      <c r="C1209" s="27">
        <v>45611</v>
      </c>
      <c r="D1209" t="s">
        <v>996</v>
      </c>
      <c r="E1209">
        <v>25</v>
      </c>
      <c r="F1209" t="s">
        <v>136</v>
      </c>
      <c r="G1209" t="s">
        <v>670</v>
      </c>
      <c r="H1209" t="s">
        <v>28</v>
      </c>
      <c r="I1209" t="s">
        <v>93</v>
      </c>
      <c r="J1209" s="27">
        <v>45597</v>
      </c>
      <c r="K1209">
        <v>2024</v>
      </c>
      <c r="L1209" s="27">
        <v>45611</v>
      </c>
      <c r="M1209">
        <v>1908.989999999993</v>
      </c>
      <c r="N1209">
        <v>5</v>
      </c>
      <c r="O1209" t="s">
        <v>90</v>
      </c>
      <c r="P1209">
        <f t="shared" si="20"/>
        <v>0</v>
      </c>
    </row>
    <row r="1210" spans="1:16" hidden="1" x14ac:dyDescent="0.25">
      <c r="A1210" s="8">
        <v>1205</v>
      </c>
      <c r="B1210">
        <v>814</v>
      </c>
      <c r="C1210" s="27">
        <v>45611</v>
      </c>
      <c r="D1210" t="s">
        <v>997</v>
      </c>
      <c r="E1210">
        <v>17.170000000000002</v>
      </c>
      <c r="F1210" t="s">
        <v>116</v>
      </c>
      <c r="G1210" t="s">
        <v>141</v>
      </c>
      <c r="H1210" t="s">
        <v>14</v>
      </c>
      <c r="I1210" t="s">
        <v>118</v>
      </c>
      <c r="J1210" s="27">
        <v>45597</v>
      </c>
      <c r="K1210">
        <v>2024</v>
      </c>
      <c r="L1210" s="27">
        <v>45611</v>
      </c>
      <c r="M1210">
        <v>1926.159999999993</v>
      </c>
      <c r="N1210">
        <v>51</v>
      </c>
      <c r="O1210" t="s">
        <v>90</v>
      </c>
      <c r="P1210">
        <f t="shared" si="20"/>
        <v>0</v>
      </c>
    </row>
    <row r="1211" spans="1:16" hidden="1" x14ac:dyDescent="0.25">
      <c r="A1211" s="8">
        <v>1206</v>
      </c>
      <c r="B1211">
        <v>815</v>
      </c>
      <c r="C1211" s="27">
        <v>45612</v>
      </c>
      <c r="D1211" t="s">
        <v>998</v>
      </c>
      <c r="E1211">
        <v>27.17</v>
      </c>
      <c r="F1211" t="s">
        <v>88</v>
      </c>
      <c r="G1211" t="s">
        <v>107</v>
      </c>
      <c r="H1211" t="s">
        <v>14</v>
      </c>
      <c r="I1211" t="s">
        <v>69</v>
      </c>
      <c r="J1211" s="27">
        <v>45597</v>
      </c>
      <c r="K1211">
        <v>2024</v>
      </c>
      <c r="L1211" s="27">
        <v>45612</v>
      </c>
      <c r="M1211">
        <v>1953.3299999999931</v>
      </c>
      <c r="N1211">
        <v>65</v>
      </c>
      <c r="O1211" t="s">
        <v>90</v>
      </c>
      <c r="P1211">
        <f t="shared" si="20"/>
        <v>0</v>
      </c>
    </row>
    <row r="1212" spans="1:16" hidden="1" x14ac:dyDescent="0.25">
      <c r="A1212" s="8">
        <v>1207</v>
      </c>
      <c r="B1212">
        <v>816</v>
      </c>
      <c r="C1212" s="27">
        <v>45612</v>
      </c>
      <c r="D1212" t="s">
        <v>951</v>
      </c>
      <c r="E1212">
        <v>25</v>
      </c>
      <c r="F1212" t="s">
        <v>88</v>
      </c>
      <c r="G1212" t="s">
        <v>172</v>
      </c>
      <c r="H1212" t="s">
        <v>14</v>
      </c>
      <c r="I1212" t="s">
        <v>15</v>
      </c>
      <c r="J1212" s="27">
        <v>45597</v>
      </c>
      <c r="K1212">
        <v>2024</v>
      </c>
      <c r="L1212" s="27">
        <v>45612</v>
      </c>
      <c r="M1212">
        <v>1978.3299999999931</v>
      </c>
      <c r="N1212">
        <v>12</v>
      </c>
      <c r="O1212" t="s">
        <v>90</v>
      </c>
      <c r="P1212">
        <f t="shared" si="20"/>
        <v>0</v>
      </c>
    </row>
    <row r="1213" spans="1:16" hidden="1" x14ac:dyDescent="0.25">
      <c r="A1213" s="8">
        <v>1208</v>
      </c>
      <c r="B1213">
        <v>817</v>
      </c>
      <c r="C1213" s="27">
        <v>45614</v>
      </c>
      <c r="D1213" t="s">
        <v>963</v>
      </c>
      <c r="E1213">
        <v>4.99</v>
      </c>
      <c r="F1213" t="s">
        <v>88</v>
      </c>
      <c r="G1213" t="s">
        <v>114</v>
      </c>
      <c r="H1213" t="s">
        <v>14</v>
      </c>
      <c r="I1213" t="s">
        <v>93</v>
      </c>
      <c r="J1213" s="27">
        <v>45597</v>
      </c>
      <c r="K1213">
        <v>2024</v>
      </c>
      <c r="L1213" s="27">
        <v>45614</v>
      </c>
      <c r="M1213">
        <v>1983.3199999999929</v>
      </c>
      <c r="N1213">
        <v>86</v>
      </c>
      <c r="O1213" t="s">
        <v>90</v>
      </c>
      <c r="P1213">
        <f t="shared" si="20"/>
        <v>0</v>
      </c>
    </row>
    <row r="1214" spans="1:16" hidden="1" x14ac:dyDescent="0.25">
      <c r="A1214" s="8">
        <v>1209</v>
      </c>
      <c r="B1214">
        <v>818</v>
      </c>
      <c r="C1214" s="27">
        <v>45614</v>
      </c>
      <c r="D1214" t="s">
        <v>999</v>
      </c>
      <c r="E1214">
        <v>17.899999999999999</v>
      </c>
      <c r="F1214" t="s">
        <v>116</v>
      </c>
      <c r="G1214" t="s">
        <v>141</v>
      </c>
      <c r="H1214" t="s">
        <v>14</v>
      </c>
      <c r="I1214" t="s">
        <v>118</v>
      </c>
      <c r="J1214" s="27">
        <v>45597</v>
      </c>
      <c r="K1214">
        <v>2024</v>
      </c>
      <c r="L1214" s="27">
        <v>45614</v>
      </c>
      <c r="M1214">
        <v>2001.219999999993</v>
      </c>
      <c r="N1214">
        <v>52</v>
      </c>
      <c r="O1214" t="s">
        <v>90</v>
      </c>
      <c r="P1214">
        <f t="shared" si="20"/>
        <v>0</v>
      </c>
    </row>
    <row r="1215" spans="1:16" hidden="1" x14ac:dyDescent="0.25">
      <c r="A1215" s="8">
        <v>1210</v>
      </c>
      <c r="B1215">
        <v>819</v>
      </c>
      <c r="C1215" s="27">
        <v>45614</v>
      </c>
      <c r="D1215" t="s">
        <v>1000</v>
      </c>
      <c r="E1215">
        <v>13.41</v>
      </c>
      <c r="F1215" t="s">
        <v>116</v>
      </c>
      <c r="G1215" t="s">
        <v>141</v>
      </c>
      <c r="H1215" t="s">
        <v>14</v>
      </c>
      <c r="I1215" t="s">
        <v>118</v>
      </c>
      <c r="J1215" s="27">
        <v>45597</v>
      </c>
      <c r="K1215">
        <v>2024</v>
      </c>
      <c r="L1215" s="27">
        <v>45614</v>
      </c>
      <c r="M1215">
        <v>2014.6299999999931</v>
      </c>
      <c r="N1215">
        <v>53</v>
      </c>
      <c r="O1215" t="s">
        <v>90</v>
      </c>
      <c r="P1215">
        <f t="shared" si="20"/>
        <v>0</v>
      </c>
    </row>
    <row r="1216" spans="1:16" hidden="1" x14ac:dyDescent="0.25">
      <c r="A1216" s="8">
        <v>1211</v>
      </c>
      <c r="B1216">
        <v>820</v>
      </c>
      <c r="C1216" s="27">
        <v>45614</v>
      </c>
      <c r="D1216" t="s">
        <v>959</v>
      </c>
      <c r="E1216">
        <v>25</v>
      </c>
      <c r="F1216" t="s">
        <v>95</v>
      </c>
      <c r="G1216" t="s">
        <v>13</v>
      </c>
      <c r="H1216" t="s">
        <v>14</v>
      </c>
      <c r="I1216" t="s">
        <v>15</v>
      </c>
      <c r="J1216" s="27">
        <v>45597</v>
      </c>
      <c r="K1216">
        <v>2024</v>
      </c>
      <c r="L1216" s="27">
        <v>45614</v>
      </c>
      <c r="M1216">
        <v>2039.6299999999931</v>
      </c>
      <c r="N1216">
        <v>9</v>
      </c>
      <c r="O1216" t="s">
        <v>90</v>
      </c>
      <c r="P1216">
        <f t="shared" si="20"/>
        <v>0</v>
      </c>
    </row>
    <row r="1217" spans="1:16" hidden="1" x14ac:dyDescent="0.25">
      <c r="A1217" s="8">
        <v>1212</v>
      </c>
      <c r="B1217">
        <v>821</v>
      </c>
      <c r="C1217" s="27">
        <v>45614</v>
      </c>
      <c r="D1217" t="s">
        <v>1001</v>
      </c>
      <c r="E1217">
        <v>4.46</v>
      </c>
      <c r="F1217" t="s">
        <v>116</v>
      </c>
      <c r="G1217" t="s">
        <v>141</v>
      </c>
      <c r="H1217" t="s">
        <v>14</v>
      </c>
      <c r="I1217" t="s">
        <v>118</v>
      </c>
      <c r="J1217" s="27">
        <v>45597</v>
      </c>
      <c r="K1217">
        <v>2024</v>
      </c>
      <c r="L1217" s="27">
        <v>45614</v>
      </c>
      <c r="M1217">
        <v>2044.0899999999931</v>
      </c>
      <c r="N1217">
        <v>54</v>
      </c>
      <c r="O1217" t="s">
        <v>90</v>
      </c>
      <c r="P1217">
        <f t="shared" si="20"/>
        <v>0</v>
      </c>
    </row>
    <row r="1218" spans="1:16" hidden="1" x14ac:dyDescent="0.25">
      <c r="A1218" s="8">
        <v>1213</v>
      </c>
      <c r="B1218">
        <v>822</v>
      </c>
      <c r="C1218" s="27">
        <v>45614</v>
      </c>
      <c r="D1218" t="s">
        <v>1002</v>
      </c>
      <c r="E1218">
        <v>3.35</v>
      </c>
      <c r="F1218" t="s">
        <v>116</v>
      </c>
      <c r="G1218" t="s">
        <v>141</v>
      </c>
      <c r="H1218" t="s">
        <v>14</v>
      </c>
      <c r="I1218" t="s">
        <v>118</v>
      </c>
      <c r="J1218" s="27">
        <v>45597</v>
      </c>
      <c r="K1218">
        <v>2024</v>
      </c>
      <c r="L1218" s="27">
        <v>45614</v>
      </c>
      <c r="M1218">
        <v>2047.439999999993</v>
      </c>
      <c r="N1218">
        <v>55</v>
      </c>
      <c r="O1218" t="s">
        <v>90</v>
      </c>
      <c r="P1218">
        <f t="shared" si="20"/>
        <v>0</v>
      </c>
    </row>
    <row r="1219" spans="1:16" hidden="1" x14ac:dyDescent="0.25">
      <c r="A1219" s="8">
        <v>1214</v>
      </c>
      <c r="B1219">
        <v>823</v>
      </c>
      <c r="C1219" s="27">
        <v>45614</v>
      </c>
      <c r="D1219" t="s">
        <v>1003</v>
      </c>
      <c r="E1219">
        <v>4.46</v>
      </c>
      <c r="F1219" t="s">
        <v>116</v>
      </c>
      <c r="G1219" t="s">
        <v>141</v>
      </c>
      <c r="H1219" t="s">
        <v>14</v>
      </c>
      <c r="I1219" t="s">
        <v>118</v>
      </c>
      <c r="J1219" s="27">
        <v>45597</v>
      </c>
      <c r="K1219">
        <v>2024</v>
      </c>
      <c r="L1219" s="27">
        <v>45614</v>
      </c>
      <c r="M1219">
        <v>2051.8999999999928</v>
      </c>
      <c r="N1219">
        <v>56</v>
      </c>
      <c r="O1219" t="s">
        <v>90</v>
      </c>
      <c r="P1219">
        <f t="shared" si="20"/>
        <v>0</v>
      </c>
    </row>
    <row r="1220" spans="1:16" hidden="1" x14ac:dyDescent="0.25">
      <c r="A1220" s="8">
        <v>1215</v>
      </c>
      <c r="B1220">
        <v>824</v>
      </c>
      <c r="C1220" s="27">
        <v>45615</v>
      </c>
      <c r="D1220" t="s">
        <v>782</v>
      </c>
      <c r="E1220">
        <v>43.36</v>
      </c>
      <c r="F1220" t="s">
        <v>116</v>
      </c>
      <c r="G1220" t="s">
        <v>117</v>
      </c>
      <c r="H1220" t="s">
        <v>14</v>
      </c>
      <c r="I1220" t="s">
        <v>118</v>
      </c>
      <c r="J1220" s="27">
        <v>45597</v>
      </c>
      <c r="K1220">
        <v>2024</v>
      </c>
      <c r="L1220" s="27">
        <v>45615</v>
      </c>
      <c r="M1220">
        <v>2095.2599999999929</v>
      </c>
      <c r="N1220">
        <v>70</v>
      </c>
      <c r="O1220" t="s">
        <v>90</v>
      </c>
      <c r="P1220">
        <f t="shared" si="20"/>
        <v>0</v>
      </c>
    </row>
    <row r="1221" spans="1:16" hidden="1" x14ac:dyDescent="0.25">
      <c r="A1221" s="8">
        <v>1216</v>
      </c>
      <c r="B1221">
        <v>825</v>
      </c>
      <c r="C1221" s="27">
        <v>45615</v>
      </c>
      <c r="D1221" t="s">
        <v>1004</v>
      </c>
      <c r="E1221">
        <v>29.39</v>
      </c>
      <c r="F1221" t="s">
        <v>88</v>
      </c>
      <c r="G1221" t="s">
        <v>385</v>
      </c>
      <c r="H1221" t="s">
        <v>14</v>
      </c>
      <c r="I1221" t="s">
        <v>395</v>
      </c>
      <c r="J1221" s="27">
        <v>45597</v>
      </c>
      <c r="K1221">
        <v>2024</v>
      </c>
      <c r="L1221" s="27">
        <v>45615</v>
      </c>
      <c r="M1221">
        <v>2124.6499999999928</v>
      </c>
      <c r="N1221">
        <v>56</v>
      </c>
      <c r="O1221" t="s">
        <v>90</v>
      </c>
      <c r="P1221">
        <f t="shared" si="20"/>
        <v>0</v>
      </c>
    </row>
    <row r="1222" spans="1:16" hidden="1" x14ac:dyDescent="0.25">
      <c r="A1222" s="8">
        <v>1217</v>
      </c>
      <c r="B1222">
        <v>826</v>
      </c>
      <c r="C1222" s="27">
        <v>45615</v>
      </c>
      <c r="D1222" t="s">
        <v>1005</v>
      </c>
      <c r="E1222">
        <v>132.07</v>
      </c>
      <c r="F1222" t="s">
        <v>106</v>
      </c>
      <c r="G1222" t="s">
        <v>239</v>
      </c>
      <c r="H1222" t="s">
        <v>14</v>
      </c>
      <c r="I1222" t="s">
        <v>69</v>
      </c>
      <c r="J1222" s="27">
        <v>45597</v>
      </c>
      <c r="K1222">
        <v>2024</v>
      </c>
      <c r="L1222" s="27">
        <v>45615</v>
      </c>
      <c r="M1222">
        <v>2256.719999999993</v>
      </c>
      <c r="N1222">
        <v>13</v>
      </c>
      <c r="O1222" t="s">
        <v>90</v>
      </c>
      <c r="P1222">
        <f t="shared" si="20"/>
        <v>0</v>
      </c>
    </row>
    <row r="1223" spans="1:16" hidden="1" x14ac:dyDescent="0.25">
      <c r="A1223" s="8">
        <v>1218</v>
      </c>
      <c r="B1223">
        <v>827</v>
      </c>
      <c r="C1223" s="27">
        <v>45616</v>
      </c>
      <c r="D1223" t="s">
        <v>189</v>
      </c>
      <c r="E1223">
        <v>95.3</v>
      </c>
      <c r="F1223" t="s">
        <v>106</v>
      </c>
      <c r="G1223" t="s">
        <v>137</v>
      </c>
      <c r="H1223" t="s">
        <v>14</v>
      </c>
      <c r="I1223" t="s">
        <v>118</v>
      </c>
      <c r="J1223" s="27">
        <v>45597</v>
      </c>
      <c r="K1223">
        <v>2024</v>
      </c>
      <c r="L1223" s="27">
        <v>45616</v>
      </c>
      <c r="M1223">
        <v>2352.0199999999941</v>
      </c>
      <c r="N1223">
        <v>41</v>
      </c>
      <c r="O1223" t="s">
        <v>90</v>
      </c>
      <c r="P1223">
        <f t="shared" si="20"/>
        <v>0</v>
      </c>
    </row>
    <row r="1224" spans="1:16" hidden="1" x14ac:dyDescent="0.25">
      <c r="A1224" s="8">
        <v>1219</v>
      </c>
      <c r="B1224">
        <v>828</v>
      </c>
      <c r="C1224" s="27">
        <v>45616</v>
      </c>
      <c r="D1224" t="s">
        <v>105</v>
      </c>
      <c r="E1224">
        <v>74.510000000000005</v>
      </c>
      <c r="F1224" t="s">
        <v>106</v>
      </c>
      <c r="G1224" t="s">
        <v>107</v>
      </c>
      <c r="H1224" t="s">
        <v>14</v>
      </c>
      <c r="I1224" t="s">
        <v>69</v>
      </c>
      <c r="J1224" s="27">
        <v>45597</v>
      </c>
      <c r="K1224">
        <v>2024</v>
      </c>
      <c r="L1224" s="27">
        <v>45616</v>
      </c>
      <c r="M1224">
        <v>2426.5299999999938</v>
      </c>
      <c r="N1224">
        <v>66</v>
      </c>
      <c r="O1224" t="s">
        <v>90</v>
      </c>
      <c r="P1224">
        <f t="shared" si="20"/>
        <v>0</v>
      </c>
    </row>
    <row r="1225" spans="1:16" hidden="1" x14ac:dyDescent="0.25">
      <c r="A1225" s="8">
        <v>1220</v>
      </c>
      <c r="B1225">
        <v>829</v>
      </c>
      <c r="C1225" s="27">
        <v>45618</v>
      </c>
      <c r="D1225" t="s">
        <v>105</v>
      </c>
      <c r="E1225">
        <v>55.91</v>
      </c>
      <c r="F1225" t="s">
        <v>106</v>
      </c>
      <c r="G1225" t="s">
        <v>107</v>
      </c>
      <c r="H1225" t="s">
        <v>14</v>
      </c>
      <c r="I1225" t="s">
        <v>69</v>
      </c>
      <c r="J1225" s="27">
        <v>45597</v>
      </c>
      <c r="K1225">
        <v>2024</v>
      </c>
      <c r="L1225" s="27">
        <v>45618</v>
      </c>
      <c r="M1225">
        <v>2482.4399999999941</v>
      </c>
      <c r="N1225">
        <v>67</v>
      </c>
      <c r="O1225" t="s">
        <v>90</v>
      </c>
      <c r="P1225">
        <f t="shared" si="20"/>
        <v>0</v>
      </c>
    </row>
    <row r="1226" spans="1:16" hidden="1" x14ac:dyDescent="0.25">
      <c r="A1226" s="8">
        <v>1221</v>
      </c>
      <c r="B1226">
        <v>830</v>
      </c>
      <c r="C1226" s="27">
        <v>45618</v>
      </c>
      <c r="D1226" t="s">
        <v>1006</v>
      </c>
      <c r="E1226">
        <v>820.34</v>
      </c>
      <c r="F1226" t="s">
        <v>88</v>
      </c>
      <c r="G1226" t="s">
        <v>34</v>
      </c>
      <c r="H1226" t="s">
        <v>28</v>
      </c>
      <c r="I1226" t="s">
        <v>19</v>
      </c>
      <c r="J1226" s="27">
        <v>45597</v>
      </c>
      <c r="K1226">
        <v>2024</v>
      </c>
      <c r="L1226" s="27">
        <v>45618</v>
      </c>
      <c r="M1226">
        <v>3302.7799999999938</v>
      </c>
      <c r="N1226">
        <v>2</v>
      </c>
      <c r="O1226" t="s">
        <v>90</v>
      </c>
      <c r="P1226">
        <f t="shared" si="20"/>
        <v>0</v>
      </c>
    </row>
    <row r="1227" spans="1:16" hidden="1" x14ac:dyDescent="0.25">
      <c r="A1227" s="8">
        <v>1222</v>
      </c>
      <c r="B1227">
        <v>831</v>
      </c>
      <c r="C1227" s="27">
        <v>45618</v>
      </c>
      <c r="D1227" t="s">
        <v>745</v>
      </c>
      <c r="E1227">
        <v>32.75</v>
      </c>
      <c r="F1227" t="s">
        <v>116</v>
      </c>
      <c r="G1227" t="s">
        <v>143</v>
      </c>
      <c r="H1227" t="s">
        <v>14</v>
      </c>
      <c r="I1227" t="s">
        <v>118</v>
      </c>
      <c r="J1227" s="27">
        <v>45597</v>
      </c>
      <c r="K1227">
        <v>2024</v>
      </c>
      <c r="L1227" s="27">
        <v>45618</v>
      </c>
      <c r="M1227">
        <v>3335.5299999999938</v>
      </c>
      <c r="N1227">
        <v>9</v>
      </c>
      <c r="O1227" t="s">
        <v>90</v>
      </c>
      <c r="P1227">
        <f t="shared" si="20"/>
        <v>0</v>
      </c>
    </row>
    <row r="1228" spans="1:16" hidden="1" x14ac:dyDescent="0.25">
      <c r="A1228" s="8">
        <v>1223</v>
      </c>
      <c r="B1228">
        <v>832</v>
      </c>
      <c r="C1228" s="27">
        <v>45619</v>
      </c>
      <c r="D1228" t="s">
        <v>1007</v>
      </c>
      <c r="E1228">
        <v>14.05</v>
      </c>
      <c r="F1228" t="s">
        <v>116</v>
      </c>
      <c r="G1228" t="s">
        <v>141</v>
      </c>
      <c r="H1228" t="s">
        <v>14</v>
      </c>
      <c r="I1228" t="s">
        <v>118</v>
      </c>
      <c r="J1228" s="27">
        <v>45597</v>
      </c>
      <c r="K1228">
        <v>2024</v>
      </c>
      <c r="L1228" s="27">
        <v>45619</v>
      </c>
      <c r="M1228">
        <v>3349.579999999994</v>
      </c>
      <c r="N1228">
        <v>57</v>
      </c>
      <c r="O1228" t="s">
        <v>90</v>
      </c>
      <c r="P1228">
        <f t="shared" si="20"/>
        <v>0</v>
      </c>
    </row>
    <row r="1229" spans="1:16" hidden="1" x14ac:dyDescent="0.25">
      <c r="A1229" s="8">
        <v>1224</v>
      </c>
      <c r="B1229">
        <v>833</v>
      </c>
      <c r="C1229" s="27">
        <v>45619</v>
      </c>
      <c r="D1229" t="s">
        <v>1008</v>
      </c>
      <c r="E1229">
        <v>67.08</v>
      </c>
      <c r="F1229" t="s">
        <v>88</v>
      </c>
      <c r="G1229" t="s">
        <v>107</v>
      </c>
      <c r="H1229" t="s">
        <v>14</v>
      </c>
      <c r="I1229" t="s">
        <v>69</v>
      </c>
      <c r="J1229" s="27">
        <v>45597</v>
      </c>
      <c r="K1229">
        <v>2024</v>
      </c>
      <c r="L1229" s="27">
        <v>45619</v>
      </c>
      <c r="M1229">
        <v>3416.6599999999939</v>
      </c>
      <c r="N1229">
        <v>68</v>
      </c>
      <c r="O1229" t="s">
        <v>90</v>
      </c>
      <c r="P1229">
        <f t="shared" si="20"/>
        <v>0</v>
      </c>
    </row>
    <row r="1230" spans="1:16" hidden="1" x14ac:dyDescent="0.25">
      <c r="A1230" s="8">
        <v>1225</v>
      </c>
      <c r="B1230">
        <v>834</v>
      </c>
      <c r="C1230" s="27">
        <v>45619</v>
      </c>
      <c r="D1230" t="s">
        <v>1009</v>
      </c>
      <c r="E1230">
        <v>20</v>
      </c>
      <c r="F1230" t="s">
        <v>88</v>
      </c>
      <c r="G1230" t="s">
        <v>195</v>
      </c>
      <c r="H1230" t="s">
        <v>14</v>
      </c>
      <c r="I1230" t="s">
        <v>395</v>
      </c>
      <c r="J1230" s="27">
        <v>45597</v>
      </c>
      <c r="K1230">
        <v>2024</v>
      </c>
      <c r="L1230" s="27">
        <v>45619</v>
      </c>
      <c r="M1230">
        <v>3436.6599999999939</v>
      </c>
      <c r="N1230">
        <v>5</v>
      </c>
      <c r="O1230" t="s">
        <v>90</v>
      </c>
      <c r="P1230">
        <f t="shared" si="20"/>
        <v>0</v>
      </c>
    </row>
    <row r="1231" spans="1:16" hidden="1" x14ac:dyDescent="0.25">
      <c r="A1231" s="8">
        <v>1226</v>
      </c>
      <c r="B1231">
        <v>835</v>
      </c>
      <c r="C1231" s="27">
        <v>45619</v>
      </c>
      <c r="D1231" t="s">
        <v>1010</v>
      </c>
      <c r="E1231">
        <v>25</v>
      </c>
      <c r="F1231" t="s">
        <v>136</v>
      </c>
      <c r="G1231" t="s">
        <v>670</v>
      </c>
      <c r="H1231" t="s">
        <v>28</v>
      </c>
      <c r="I1231" t="s">
        <v>93</v>
      </c>
      <c r="J1231" s="27">
        <v>45597</v>
      </c>
      <c r="K1231">
        <v>2024</v>
      </c>
      <c r="L1231" s="27">
        <v>45619</v>
      </c>
      <c r="M1231">
        <v>3461.6599999999939</v>
      </c>
      <c r="N1231">
        <v>6</v>
      </c>
      <c r="O1231" t="s">
        <v>90</v>
      </c>
      <c r="P1231">
        <f t="shared" si="20"/>
        <v>0</v>
      </c>
    </row>
    <row r="1232" spans="1:16" hidden="1" x14ac:dyDescent="0.25">
      <c r="A1232" s="8">
        <v>1227</v>
      </c>
      <c r="B1232">
        <v>836</v>
      </c>
      <c r="C1232" s="27">
        <v>45619</v>
      </c>
      <c r="D1232" t="s">
        <v>929</v>
      </c>
      <c r="E1232">
        <v>7.19</v>
      </c>
      <c r="F1232" t="s">
        <v>88</v>
      </c>
      <c r="G1232" t="s">
        <v>114</v>
      </c>
      <c r="H1232" t="s">
        <v>14</v>
      </c>
      <c r="I1232" t="s">
        <v>93</v>
      </c>
      <c r="J1232" s="27">
        <v>45597</v>
      </c>
      <c r="K1232">
        <v>2024</v>
      </c>
      <c r="L1232" s="27">
        <v>45619</v>
      </c>
      <c r="M1232">
        <v>3468.849999999994</v>
      </c>
      <c r="N1232">
        <v>87</v>
      </c>
      <c r="O1232" t="s">
        <v>90</v>
      </c>
      <c r="P1232">
        <f t="shared" si="20"/>
        <v>0</v>
      </c>
    </row>
    <row r="1233" spans="1:16" hidden="1" x14ac:dyDescent="0.25">
      <c r="A1233" s="8">
        <v>1228</v>
      </c>
      <c r="B1233">
        <v>837</v>
      </c>
      <c r="C1233" s="27">
        <v>45619</v>
      </c>
      <c r="D1233" t="s">
        <v>1011</v>
      </c>
      <c r="E1233">
        <v>14.2</v>
      </c>
      <c r="F1233" t="s">
        <v>88</v>
      </c>
      <c r="G1233" t="s">
        <v>244</v>
      </c>
      <c r="H1233" t="s">
        <v>14</v>
      </c>
      <c r="I1233" t="s">
        <v>69</v>
      </c>
      <c r="J1233" s="27">
        <v>45597</v>
      </c>
      <c r="K1233">
        <v>2024</v>
      </c>
      <c r="L1233" s="27">
        <v>45619</v>
      </c>
      <c r="M1233">
        <v>3483.0499999999938</v>
      </c>
      <c r="N1233">
        <v>13</v>
      </c>
      <c r="O1233" t="s">
        <v>90</v>
      </c>
      <c r="P1233">
        <f t="shared" si="20"/>
        <v>0</v>
      </c>
    </row>
    <row r="1234" spans="1:16" hidden="1" x14ac:dyDescent="0.25">
      <c r="A1234" s="8">
        <v>1229</v>
      </c>
      <c r="B1234">
        <v>838</v>
      </c>
      <c r="C1234" s="27">
        <v>45620</v>
      </c>
      <c r="D1234" t="s">
        <v>267</v>
      </c>
      <c r="E1234">
        <v>21.82</v>
      </c>
      <c r="F1234" t="s">
        <v>88</v>
      </c>
      <c r="G1234" t="s">
        <v>168</v>
      </c>
      <c r="H1234" t="s">
        <v>14</v>
      </c>
      <c r="I1234" t="s">
        <v>69</v>
      </c>
      <c r="J1234" s="27">
        <v>45597</v>
      </c>
      <c r="K1234">
        <v>2024</v>
      </c>
      <c r="L1234" s="27">
        <v>45620</v>
      </c>
      <c r="M1234">
        <v>3504.869999999994</v>
      </c>
      <c r="N1234">
        <v>28</v>
      </c>
      <c r="O1234" t="s">
        <v>90</v>
      </c>
      <c r="P1234">
        <f t="shared" si="20"/>
        <v>0</v>
      </c>
    </row>
    <row r="1235" spans="1:16" hidden="1" x14ac:dyDescent="0.25">
      <c r="A1235" s="8">
        <v>1230</v>
      </c>
      <c r="B1235">
        <v>839</v>
      </c>
      <c r="C1235" s="27">
        <v>45620</v>
      </c>
      <c r="D1235" t="s">
        <v>189</v>
      </c>
      <c r="E1235">
        <v>158.26</v>
      </c>
      <c r="F1235" t="s">
        <v>106</v>
      </c>
      <c r="G1235" t="s">
        <v>137</v>
      </c>
      <c r="H1235" t="s">
        <v>14</v>
      </c>
      <c r="I1235" t="s">
        <v>118</v>
      </c>
      <c r="J1235" s="27">
        <v>45597</v>
      </c>
      <c r="K1235">
        <v>2024</v>
      </c>
      <c r="L1235" s="27">
        <v>45620</v>
      </c>
      <c r="M1235">
        <v>3663.1299999999942</v>
      </c>
      <c r="N1235">
        <v>42</v>
      </c>
      <c r="O1235" t="s">
        <v>90</v>
      </c>
      <c r="P1235">
        <f t="shared" si="20"/>
        <v>0</v>
      </c>
    </row>
    <row r="1236" spans="1:16" hidden="1" x14ac:dyDescent="0.25">
      <c r="A1236" s="8">
        <v>1231</v>
      </c>
      <c r="B1236">
        <v>840</v>
      </c>
      <c r="C1236" s="27">
        <v>45621</v>
      </c>
      <c r="D1236" t="s">
        <v>162</v>
      </c>
      <c r="E1236">
        <v>-3468.67</v>
      </c>
      <c r="F1236" t="s">
        <v>163</v>
      </c>
      <c r="G1236" t="s">
        <v>164</v>
      </c>
      <c r="H1236" t="s">
        <v>14</v>
      </c>
      <c r="I1236" t="s">
        <v>80</v>
      </c>
      <c r="J1236" s="27">
        <v>45597</v>
      </c>
      <c r="K1236">
        <v>2024</v>
      </c>
      <c r="L1236" s="27">
        <v>45621</v>
      </c>
      <c r="M1236">
        <v>194.4599999999937</v>
      </c>
      <c r="N1236">
        <v>18</v>
      </c>
      <c r="O1236" t="s">
        <v>90</v>
      </c>
      <c r="P1236">
        <f t="shared" si="20"/>
        <v>0</v>
      </c>
    </row>
    <row r="1237" spans="1:16" hidden="1" x14ac:dyDescent="0.25">
      <c r="A1237" s="8">
        <v>1232</v>
      </c>
      <c r="B1237">
        <v>841</v>
      </c>
      <c r="C1237" s="27">
        <v>45621</v>
      </c>
      <c r="D1237" t="s">
        <v>1012</v>
      </c>
      <c r="E1237">
        <v>124.58</v>
      </c>
      <c r="F1237" t="s">
        <v>627</v>
      </c>
      <c r="G1237" t="s">
        <v>628</v>
      </c>
      <c r="H1237" t="s">
        <v>14</v>
      </c>
      <c r="I1237" t="s">
        <v>19</v>
      </c>
      <c r="J1237" s="27">
        <v>45597</v>
      </c>
      <c r="K1237">
        <v>2024</v>
      </c>
      <c r="L1237" s="27">
        <v>45621</v>
      </c>
      <c r="M1237">
        <v>319.03999999999371</v>
      </c>
      <c r="N1237">
        <v>6</v>
      </c>
      <c r="O1237" t="s">
        <v>90</v>
      </c>
      <c r="P1237">
        <f t="shared" si="20"/>
        <v>0</v>
      </c>
    </row>
    <row r="1238" spans="1:16" hidden="1" x14ac:dyDescent="0.25">
      <c r="A1238" s="8">
        <v>1233</v>
      </c>
      <c r="B1238">
        <v>842</v>
      </c>
      <c r="C1238" s="27">
        <v>45621</v>
      </c>
      <c r="D1238" t="s">
        <v>1013</v>
      </c>
      <c r="E1238">
        <v>16.77</v>
      </c>
      <c r="F1238" t="s">
        <v>116</v>
      </c>
      <c r="G1238" t="s">
        <v>141</v>
      </c>
      <c r="H1238" t="s">
        <v>14</v>
      </c>
      <c r="I1238" t="s">
        <v>118</v>
      </c>
      <c r="J1238" s="27">
        <v>45597</v>
      </c>
      <c r="K1238">
        <v>2024</v>
      </c>
      <c r="L1238" s="27">
        <v>45621</v>
      </c>
      <c r="M1238">
        <v>335.80999999999358</v>
      </c>
      <c r="N1238">
        <v>58</v>
      </c>
      <c r="O1238" t="s">
        <v>90</v>
      </c>
      <c r="P1238">
        <f t="shared" si="20"/>
        <v>0</v>
      </c>
    </row>
    <row r="1239" spans="1:16" hidden="1" x14ac:dyDescent="0.25">
      <c r="A1239" s="8">
        <v>1234</v>
      </c>
      <c r="B1239">
        <v>843</v>
      </c>
      <c r="C1239" s="27">
        <v>45621</v>
      </c>
      <c r="D1239" t="s">
        <v>929</v>
      </c>
      <c r="E1239">
        <v>10</v>
      </c>
      <c r="F1239" t="s">
        <v>88</v>
      </c>
      <c r="G1239" t="s">
        <v>114</v>
      </c>
      <c r="H1239" t="s">
        <v>14</v>
      </c>
      <c r="I1239" t="s">
        <v>93</v>
      </c>
      <c r="J1239" s="27">
        <v>45597</v>
      </c>
      <c r="K1239">
        <v>2024</v>
      </c>
      <c r="L1239" s="27">
        <v>45621</v>
      </c>
      <c r="M1239">
        <v>345.80999999999358</v>
      </c>
      <c r="N1239">
        <v>88</v>
      </c>
      <c r="O1239" t="s">
        <v>90</v>
      </c>
      <c r="P1239">
        <f t="shared" si="20"/>
        <v>0</v>
      </c>
    </row>
    <row r="1240" spans="1:16" hidden="1" x14ac:dyDescent="0.25">
      <c r="A1240" s="8">
        <v>1235</v>
      </c>
      <c r="B1240">
        <v>844</v>
      </c>
      <c r="C1240" s="27">
        <v>45621</v>
      </c>
      <c r="D1240" t="s">
        <v>717</v>
      </c>
      <c r="E1240">
        <v>22.02</v>
      </c>
      <c r="F1240" t="s">
        <v>88</v>
      </c>
      <c r="G1240" t="s">
        <v>244</v>
      </c>
      <c r="H1240" t="s">
        <v>14</v>
      </c>
      <c r="I1240" t="s">
        <v>69</v>
      </c>
      <c r="J1240" s="27">
        <v>45597</v>
      </c>
      <c r="K1240">
        <v>2024</v>
      </c>
      <c r="L1240" s="27">
        <v>45621</v>
      </c>
      <c r="M1240">
        <v>367.82999999999362</v>
      </c>
      <c r="N1240">
        <v>14</v>
      </c>
      <c r="O1240" t="s">
        <v>90</v>
      </c>
      <c r="P1240">
        <f t="shared" si="20"/>
        <v>0</v>
      </c>
    </row>
    <row r="1241" spans="1:16" hidden="1" x14ac:dyDescent="0.25">
      <c r="A1241" s="8">
        <v>1236</v>
      </c>
      <c r="B1241">
        <v>845</v>
      </c>
      <c r="C1241" s="27">
        <v>45622</v>
      </c>
      <c r="D1241" t="s">
        <v>951</v>
      </c>
      <c r="E1241">
        <v>25</v>
      </c>
      <c r="F1241" t="s">
        <v>88</v>
      </c>
      <c r="G1241" t="s">
        <v>172</v>
      </c>
      <c r="H1241" t="s">
        <v>14</v>
      </c>
      <c r="I1241" t="s">
        <v>15</v>
      </c>
      <c r="J1241" s="27">
        <v>45597</v>
      </c>
      <c r="K1241">
        <v>2024</v>
      </c>
      <c r="L1241" s="27">
        <v>45622</v>
      </c>
      <c r="M1241">
        <v>392.82999999999362</v>
      </c>
      <c r="N1241">
        <v>13</v>
      </c>
      <c r="O1241" t="s">
        <v>90</v>
      </c>
      <c r="P1241">
        <f t="shared" si="20"/>
        <v>0</v>
      </c>
    </row>
    <row r="1242" spans="1:16" hidden="1" x14ac:dyDescent="0.25">
      <c r="A1242" s="8">
        <v>1237</v>
      </c>
      <c r="B1242">
        <v>846</v>
      </c>
      <c r="C1242" s="27">
        <v>45622</v>
      </c>
      <c r="D1242" t="s">
        <v>1014</v>
      </c>
      <c r="E1242">
        <v>32.72</v>
      </c>
      <c r="F1242" t="s">
        <v>116</v>
      </c>
      <c r="G1242" t="s">
        <v>117</v>
      </c>
      <c r="H1242" t="s">
        <v>14</v>
      </c>
      <c r="I1242" t="s">
        <v>118</v>
      </c>
      <c r="J1242" s="27">
        <v>45597</v>
      </c>
      <c r="K1242">
        <v>2024</v>
      </c>
      <c r="L1242" s="27">
        <v>45622</v>
      </c>
      <c r="M1242">
        <v>425.54999999999359</v>
      </c>
      <c r="N1242">
        <v>71</v>
      </c>
      <c r="O1242" t="s">
        <v>90</v>
      </c>
      <c r="P1242">
        <f t="shared" si="20"/>
        <v>0</v>
      </c>
    </row>
    <row r="1243" spans="1:16" hidden="1" x14ac:dyDescent="0.25">
      <c r="A1243" s="8">
        <v>1238</v>
      </c>
      <c r="B1243">
        <v>847</v>
      </c>
      <c r="C1243" s="27">
        <v>45622</v>
      </c>
      <c r="D1243" t="s">
        <v>1015</v>
      </c>
      <c r="E1243">
        <v>89.88</v>
      </c>
      <c r="F1243" t="s">
        <v>88</v>
      </c>
      <c r="G1243" t="s">
        <v>284</v>
      </c>
      <c r="H1243" t="s">
        <v>14</v>
      </c>
      <c r="I1243" t="s">
        <v>285</v>
      </c>
      <c r="J1243" s="27">
        <v>45597</v>
      </c>
      <c r="K1243">
        <v>2024</v>
      </c>
      <c r="L1243" s="27">
        <v>45622</v>
      </c>
      <c r="M1243">
        <v>515.42999999999358</v>
      </c>
      <c r="N1243">
        <v>4</v>
      </c>
      <c r="O1243" t="s">
        <v>90</v>
      </c>
      <c r="P1243">
        <f t="shared" si="20"/>
        <v>0</v>
      </c>
    </row>
    <row r="1244" spans="1:16" hidden="1" x14ac:dyDescent="0.25">
      <c r="A1244" s="8">
        <v>1239</v>
      </c>
      <c r="B1244">
        <v>848</v>
      </c>
      <c r="C1244" s="27">
        <v>45622</v>
      </c>
      <c r="D1244" t="s">
        <v>140</v>
      </c>
      <c r="E1244">
        <v>5.4</v>
      </c>
      <c r="F1244" t="s">
        <v>116</v>
      </c>
      <c r="G1244" t="s">
        <v>117</v>
      </c>
      <c r="H1244" t="s">
        <v>14</v>
      </c>
      <c r="I1244" t="s">
        <v>118</v>
      </c>
      <c r="J1244" s="27">
        <v>45597</v>
      </c>
      <c r="K1244">
        <v>2024</v>
      </c>
      <c r="L1244" s="27">
        <v>45622</v>
      </c>
      <c r="M1244">
        <v>520.82999999999356</v>
      </c>
      <c r="N1244">
        <v>72</v>
      </c>
      <c r="O1244" t="s">
        <v>90</v>
      </c>
      <c r="P1244">
        <f t="shared" si="20"/>
        <v>0</v>
      </c>
    </row>
    <row r="1245" spans="1:16" hidden="1" x14ac:dyDescent="0.25">
      <c r="A1245" s="8">
        <v>1240</v>
      </c>
      <c r="B1245">
        <v>849</v>
      </c>
      <c r="C1245" s="27">
        <v>45622</v>
      </c>
      <c r="D1245" t="s">
        <v>1016</v>
      </c>
      <c r="E1245">
        <v>48.55</v>
      </c>
      <c r="F1245" t="s">
        <v>116</v>
      </c>
      <c r="G1245" t="s">
        <v>117</v>
      </c>
      <c r="H1245" t="s">
        <v>14</v>
      </c>
      <c r="I1245" t="s">
        <v>118</v>
      </c>
      <c r="J1245" s="27">
        <v>45597</v>
      </c>
      <c r="K1245">
        <v>2024</v>
      </c>
      <c r="L1245" s="27">
        <v>45622</v>
      </c>
      <c r="M1245">
        <v>569.37999999999352</v>
      </c>
      <c r="N1245">
        <v>73</v>
      </c>
      <c r="O1245" t="s">
        <v>90</v>
      </c>
      <c r="P1245">
        <f t="shared" si="20"/>
        <v>0</v>
      </c>
    </row>
    <row r="1246" spans="1:16" hidden="1" x14ac:dyDescent="0.25">
      <c r="A1246" s="8">
        <v>1241</v>
      </c>
      <c r="B1246">
        <v>850</v>
      </c>
      <c r="C1246" s="27">
        <v>45623</v>
      </c>
      <c r="D1246" t="s">
        <v>1017</v>
      </c>
      <c r="E1246">
        <v>30.96</v>
      </c>
      <c r="F1246" t="s">
        <v>106</v>
      </c>
      <c r="G1246" t="s">
        <v>137</v>
      </c>
      <c r="H1246" t="s">
        <v>14</v>
      </c>
      <c r="I1246" t="s">
        <v>118</v>
      </c>
      <c r="J1246" s="27">
        <v>45597</v>
      </c>
      <c r="K1246">
        <v>2024</v>
      </c>
      <c r="L1246" s="27">
        <v>45623</v>
      </c>
      <c r="M1246">
        <v>600.33999999999355</v>
      </c>
      <c r="N1246">
        <v>43</v>
      </c>
      <c r="O1246" t="s">
        <v>90</v>
      </c>
      <c r="P1246">
        <f t="shared" si="20"/>
        <v>0</v>
      </c>
    </row>
    <row r="1247" spans="1:16" hidden="1" x14ac:dyDescent="0.25">
      <c r="A1247" s="8">
        <v>1242</v>
      </c>
      <c r="B1247">
        <v>851</v>
      </c>
      <c r="C1247" s="27">
        <v>45623</v>
      </c>
      <c r="D1247" t="s">
        <v>105</v>
      </c>
      <c r="E1247">
        <v>33.85</v>
      </c>
      <c r="F1247" t="s">
        <v>106</v>
      </c>
      <c r="G1247" t="s">
        <v>107</v>
      </c>
      <c r="H1247" t="s">
        <v>14</v>
      </c>
      <c r="I1247" t="s">
        <v>69</v>
      </c>
      <c r="J1247" s="27">
        <v>45597</v>
      </c>
      <c r="K1247">
        <v>2024</v>
      </c>
      <c r="L1247" s="27">
        <v>45623</v>
      </c>
      <c r="M1247">
        <v>634.18999999999357</v>
      </c>
      <c r="N1247">
        <v>69</v>
      </c>
      <c r="O1247" t="s">
        <v>90</v>
      </c>
      <c r="P1247">
        <f t="shared" si="20"/>
        <v>0</v>
      </c>
    </row>
    <row r="1248" spans="1:16" hidden="1" x14ac:dyDescent="0.25">
      <c r="A1248" s="8">
        <v>1243</v>
      </c>
      <c r="B1248">
        <v>852</v>
      </c>
      <c r="C1248" s="27">
        <v>45623</v>
      </c>
      <c r="D1248" t="s">
        <v>929</v>
      </c>
      <c r="E1248">
        <v>13</v>
      </c>
      <c r="F1248" t="s">
        <v>88</v>
      </c>
      <c r="G1248" t="s">
        <v>114</v>
      </c>
      <c r="H1248" t="s">
        <v>14</v>
      </c>
      <c r="I1248" t="s">
        <v>93</v>
      </c>
      <c r="J1248" s="27">
        <v>45597</v>
      </c>
      <c r="K1248">
        <v>2024</v>
      </c>
      <c r="L1248" s="27">
        <v>45623</v>
      </c>
      <c r="M1248">
        <v>647.18999999999357</v>
      </c>
      <c r="N1248">
        <v>89</v>
      </c>
      <c r="O1248" t="s">
        <v>90</v>
      </c>
      <c r="P1248">
        <f t="shared" si="20"/>
        <v>0</v>
      </c>
    </row>
    <row r="1249" spans="1:16" hidden="1" x14ac:dyDescent="0.25">
      <c r="A1249" s="8">
        <v>1244</v>
      </c>
      <c r="B1249">
        <v>853</v>
      </c>
      <c r="C1249" s="27">
        <v>45623</v>
      </c>
      <c r="D1249" t="s">
        <v>724</v>
      </c>
      <c r="E1249">
        <v>32.46</v>
      </c>
      <c r="F1249" t="s">
        <v>133</v>
      </c>
      <c r="G1249" t="s">
        <v>199</v>
      </c>
      <c r="H1249" t="s">
        <v>14</v>
      </c>
      <c r="I1249" t="s">
        <v>395</v>
      </c>
      <c r="J1249" s="27">
        <v>45597</v>
      </c>
      <c r="K1249">
        <v>2024</v>
      </c>
      <c r="L1249" s="27">
        <v>45623</v>
      </c>
      <c r="M1249">
        <v>679.64999999999361</v>
      </c>
      <c r="N1249">
        <v>5</v>
      </c>
      <c r="O1249" t="s">
        <v>90</v>
      </c>
      <c r="P1249">
        <f t="shared" si="20"/>
        <v>0</v>
      </c>
    </row>
    <row r="1250" spans="1:16" hidden="1" x14ac:dyDescent="0.25">
      <c r="A1250" s="8">
        <v>1245</v>
      </c>
      <c r="B1250">
        <v>854</v>
      </c>
      <c r="C1250" s="27">
        <v>45623</v>
      </c>
      <c r="D1250" t="s">
        <v>955</v>
      </c>
      <c r="E1250">
        <v>29.99</v>
      </c>
      <c r="F1250" t="s">
        <v>88</v>
      </c>
      <c r="G1250" t="s">
        <v>214</v>
      </c>
      <c r="H1250" t="s">
        <v>28</v>
      </c>
      <c r="I1250" t="s">
        <v>69</v>
      </c>
      <c r="J1250" s="27">
        <v>45597</v>
      </c>
      <c r="K1250">
        <v>2024</v>
      </c>
      <c r="L1250" s="27">
        <v>45623</v>
      </c>
      <c r="M1250">
        <v>709.63999999999362</v>
      </c>
      <c r="N1250">
        <v>11</v>
      </c>
      <c r="O1250" t="s">
        <v>90</v>
      </c>
      <c r="P1250">
        <f t="shared" si="20"/>
        <v>0</v>
      </c>
    </row>
    <row r="1251" spans="1:16" hidden="1" x14ac:dyDescent="0.25">
      <c r="A1251" s="8">
        <v>1246</v>
      </c>
      <c r="B1251">
        <v>855</v>
      </c>
      <c r="C1251" s="27">
        <v>45625</v>
      </c>
      <c r="D1251" t="s">
        <v>1018</v>
      </c>
      <c r="E1251">
        <v>25.64</v>
      </c>
      <c r="F1251" t="s">
        <v>88</v>
      </c>
      <c r="G1251" t="s">
        <v>141</v>
      </c>
      <c r="H1251" t="s">
        <v>14</v>
      </c>
      <c r="I1251" t="s">
        <v>118</v>
      </c>
      <c r="J1251" s="27">
        <v>45597</v>
      </c>
      <c r="K1251">
        <v>2024</v>
      </c>
      <c r="L1251" s="27">
        <v>45625</v>
      </c>
      <c r="M1251">
        <v>735.27999999999361</v>
      </c>
      <c r="N1251">
        <v>59</v>
      </c>
      <c r="O1251" t="s">
        <v>90</v>
      </c>
      <c r="P1251">
        <f t="shared" si="20"/>
        <v>0</v>
      </c>
    </row>
    <row r="1252" spans="1:16" hidden="1" x14ac:dyDescent="0.25">
      <c r="A1252" s="8">
        <v>1247</v>
      </c>
      <c r="B1252">
        <v>856</v>
      </c>
      <c r="C1252" s="27">
        <v>45625</v>
      </c>
      <c r="D1252" t="s">
        <v>1019</v>
      </c>
      <c r="E1252">
        <v>26</v>
      </c>
      <c r="F1252" t="s">
        <v>116</v>
      </c>
      <c r="G1252" t="s">
        <v>385</v>
      </c>
      <c r="H1252" t="s">
        <v>14</v>
      </c>
      <c r="I1252" t="s">
        <v>395</v>
      </c>
      <c r="J1252" s="27">
        <v>45597</v>
      </c>
      <c r="K1252">
        <v>2024</v>
      </c>
      <c r="L1252" s="27">
        <v>45625</v>
      </c>
      <c r="M1252">
        <v>761.27999999999361</v>
      </c>
      <c r="N1252">
        <v>57</v>
      </c>
      <c r="O1252" t="s">
        <v>90</v>
      </c>
      <c r="P1252">
        <f t="shared" si="20"/>
        <v>0</v>
      </c>
    </row>
    <row r="1253" spans="1:16" hidden="1" x14ac:dyDescent="0.25">
      <c r="A1253" s="8">
        <v>1248</v>
      </c>
      <c r="B1253">
        <v>857</v>
      </c>
      <c r="C1253" s="27">
        <v>45625</v>
      </c>
      <c r="D1253" t="s">
        <v>606</v>
      </c>
      <c r="E1253">
        <v>192.93</v>
      </c>
      <c r="F1253" t="s">
        <v>192</v>
      </c>
      <c r="G1253" t="s">
        <v>205</v>
      </c>
      <c r="H1253" t="s">
        <v>14</v>
      </c>
      <c r="I1253" t="s">
        <v>40</v>
      </c>
      <c r="J1253" s="27">
        <v>45597</v>
      </c>
      <c r="K1253">
        <v>2024</v>
      </c>
      <c r="L1253" s="27">
        <v>45625</v>
      </c>
      <c r="M1253">
        <v>954.20999999999367</v>
      </c>
      <c r="N1253">
        <v>3</v>
      </c>
      <c r="O1253" t="s">
        <v>90</v>
      </c>
      <c r="P1253">
        <f t="shared" si="20"/>
        <v>0</v>
      </c>
    </row>
    <row r="1254" spans="1:16" hidden="1" x14ac:dyDescent="0.25">
      <c r="A1254" s="8">
        <v>1249</v>
      </c>
      <c r="B1254">
        <v>858</v>
      </c>
      <c r="C1254" s="27">
        <v>45625</v>
      </c>
      <c r="D1254" t="s">
        <v>1020</v>
      </c>
      <c r="E1254">
        <v>16.43</v>
      </c>
      <c r="F1254" t="s">
        <v>116</v>
      </c>
      <c r="G1254" t="s">
        <v>141</v>
      </c>
      <c r="H1254" t="s">
        <v>14</v>
      </c>
      <c r="I1254" t="s">
        <v>118</v>
      </c>
      <c r="J1254" s="27">
        <v>45597</v>
      </c>
      <c r="K1254">
        <v>2024</v>
      </c>
      <c r="L1254" s="27">
        <v>45625</v>
      </c>
      <c r="M1254">
        <v>970.63999999999362</v>
      </c>
      <c r="N1254">
        <v>60</v>
      </c>
      <c r="O1254" t="s">
        <v>90</v>
      </c>
      <c r="P1254">
        <f t="shared" ref="P1254:P1317" si="21">IF(J1254&lt;&gt;J1255, 1, 0)</f>
        <v>0</v>
      </c>
    </row>
    <row r="1255" spans="1:16" hidden="1" x14ac:dyDescent="0.25">
      <c r="A1255" s="8">
        <v>1250</v>
      </c>
      <c r="B1255">
        <v>859</v>
      </c>
      <c r="C1255" s="27">
        <v>45625</v>
      </c>
      <c r="D1255" t="s">
        <v>1021</v>
      </c>
      <c r="E1255">
        <v>21.88</v>
      </c>
      <c r="F1255" t="s">
        <v>88</v>
      </c>
      <c r="G1255" t="s">
        <v>278</v>
      </c>
      <c r="H1255" t="s">
        <v>14</v>
      </c>
      <c r="I1255" t="s">
        <v>44</v>
      </c>
      <c r="J1255" s="27">
        <v>45597</v>
      </c>
      <c r="K1255">
        <v>2024</v>
      </c>
      <c r="L1255" s="27">
        <v>45625</v>
      </c>
      <c r="M1255">
        <v>992.51999999999362</v>
      </c>
      <c r="N1255">
        <v>11</v>
      </c>
      <c r="O1255" t="s">
        <v>90</v>
      </c>
      <c r="P1255">
        <f t="shared" si="21"/>
        <v>0</v>
      </c>
    </row>
    <row r="1256" spans="1:16" hidden="1" x14ac:dyDescent="0.25">
      <c r="A1256" s="8">
        <v>1251</v>
      </c>
      <c r="B1256">
        <v>860</v>
      </c>
      <c r="C1256" s="27">
        <v>45626</v>
      </c>
      <c r="D1256" t="s">
        <v>1022</v>
      </c>
      <c r="E1256">
        <v>15.89</v>
      </c>
      <c r="F1256" t="s">
        <v>88</v>
      </c>
      <c r="G1256" t="s">
        <v>962</v>
      </c>
      <c r="H1256" t="s">
        <v>14</v>
      </c>
      <c r="I1256" t="s">
        <v>93</v>
      </c>
      <c r="J1256" s="27">
        <v>45597</v>
      </c>
      <c r="K1256">
        <v>2024</v>
      </c>
      <c r="L1256" s="27">
        <v>45626</v>
      </c>
      <c r="M1256">
        <v>1008.4099999999941</v>
      </c>
      <c r="N1256">
        <v>2</v>
      </c>
      <c r="O1256" t="s">
        <v>90</v>
      </c>
      <c r="P1256">
        <f t="shared" si="21"/>
        <v>0</v>
      </c>
    </row>
    <row r="1257" spans="1:16" hidden="1" x14ac:dyDescent="0.25">
      <c r="A1257" s="8">
        <v>1252</v>
      </c>
      <c r="B1257">
        <v>861</v>
      </c>
      <c r="C1257" s="27">
        <v>45626</v>
      </c>
      <c r="D1257" t="s">
        <v>105</v>
      </c>
      <c r="E1257">
        <v>30.4</v>
      </c>
      <c r="F1257" t="s">
        <v>106</v>
      </c>
      <c r="G1257" t="s">
        <v>107</v>
      </c>
      <c r="H1257" t="s">
        <v>14</v>
      </c>
      <c r="I1257" t="s">
        <v>69</v>
      </c>
      <c r="J1257" s="27">
        <v>45597</v>
      </c>
      <c r="K1257">
        <v>2024</v>
      </c>
      <c r="L1257" s="27">
        <v>45626</v>
      </c>
      <c r="M1257">
        <v>1038.809999999994</v>
      </c>
      <c r="N1257">
        <v>70</v>
      </c>
      <c r="O1257" t="s">
        <v>90</v>
      </c>
      <c r="P1257">
        <f t="shared" si="21"/>
        <v>1</v>
      </c>
    </row>
    <row r="1258" spans="1:16" hidden="1" x14ac:dyDescent="0.25">
      <c r="A1258" s="8">
        <v>1253</v>
      </c>
      <c r="B1258">
        <v>862</v>
      </c>
      <c r="C1258" s="27">
        <v>45627</v>
      </c>
      <c r="D1258" t="s">
        <v>1023</v>
      </c>
      <c r="E1258">
        <v>16.43</v>
      </c>
      <c r="F1258" t="s">
        <v>88</v>
      </c>
      <c r="G1258" t="s">
        <v>107</v>
      </c>
      <c r="H1258" t="s">
        <v>14</v>
      </c>
      <c r="I1258" t="s">
        <v>69</v>
      </c>
      <c r="J1258" s="27">
        <v>45627</v>
      </c>
      <c r="K1258">
        <v>2024</v>
      </c>
      <c r="L1258" s="27">
        <v>45627</v>
      </c>
      <c r="M1258">
        <v>1055.2399999999941</v>
      </c>
      <c r="N1258">
        <v>71</v>
      </c>
      <c r="O1258" t="s">
        <v>90</v>
      </c>
      <c r="P1258">
        <f t="shared" si="21"/>
        <v>0</v>
      </c>
    </row>
    <row r="1259" spans="1:16" hidden="1" x14ac:dyDescent="0.25">
      <c r="A1259" s="8">
        <v>1254</v>
      </c>
      <c r="B1259">
        <v>863</v>
      </c>
      <c r="C1259" s="27">
        <v>45627</v>
      </c>
      <c r="D1259" t="s">
        <v>966</v>
      </c>
      <c r="E1259">
        <v>20</v>
      </c>
      <c r="F1259" t="s">
        <v>88</v>
      </c>
      <c r="G1259" t="s">
        <v>89</v>
      </c>
      <c r="H1259" t="s">
        <v>28</v>
      </c>
      <c r="I1259" t="s">
        <v>69</v>
      </c>
      <c r="J1259" s="27">
        <v>45627</v>
      </c>
      <c r="K1259">
        <v>2024</v>
      </c>
      <c r="L1259" s="27">
        <v>45627</v>
      </c>
      <c r="M1259">
        <v>1075.2399999999941</v>
      </c>
      <c r="N1259">
        <v>12</v>
      </c>
      <c r="O1259" t="s">
        <v>90</v>
      </c>
      <c r="P1259">
        <f t="shared" si="21"/>
        <v>0</v>
      </c>
    </row>
    <row r="1260" spans="1:16" hidden="1" x14ac:dyDescent="0.25">
      <c r="A1260" s="8">
        <v>1255</v>
      </c>
      <c r="B1260">
        <v>864</v>
      </c>
      <c r="C1260" s="27">
        <v>45627</v>
      </c>
      <c r="D1260" t="s">
        <v>967</v>
      </c>
      <c r="E1260">
        <v>5</v>
      </c>
      <c r="F1260" t="s">
        <v>88</v>
      </c>
      <c r="G1260" t="s">
        <v>96</v>
      </c>
      <c r="H1260" t="s">
        <v>28</v>
      </c>
      <c r="I1260" t="s">
        <v>69</v>
      </c>
      <c r="J1260" s="27">
        <v>45627</v>
      </c>
      <c r="K1260">
        <v>2024</v>
      </c>
      <c r="L1260" s="27">
        <v>45627</v>
      </c>
      <c r="M1260">
        <v>1080.2399999999941</v>
      </c>
      <c r="N1260">
        <v>12</v>
      </c>
      <c r="O1260" t="s">
        <v>90</v>
      </c>
      <c r="P1260">
        <f t="shared" si="21"/>
        <v>0</v>
      </c>
    </row>
    <row r="1261" spans="1:16" hidden="1" x14ac:dyDescent="0.25">
      <c r="A1261" s="8">
        <v>1256</v>
      </c>
      <c r="B1261">
        <v>865</v>
      </c>
      <c r="C1261" s="27">
        <v>45627</v>
      </c>
      <c r="D1261" t="s">
        <v>1024</v>
      </c>
      <c r="E1261">
        <v>11.99</v>
      </c>
      <c r="F1261" t="s">
        <v>88</v>
      </c>
      <c r="G1261" t="s">
        <v>98</v>
      </c>
      <c r="H1261" t="s">
        <v>28</v>
      </c>
      <c r="I1261" t="s">
        <v>93</v>
      </c>
      <c r="J1261" s="27">
        <v>45627</v>
      </c>
      <c r="K1261">
        <v>2024</v>
      </c>
      <c r="L1261" s="27">
        <v>45627</v>
      </c>
      <c r="M1261">
        <v>1092.2299999999941</v>
      </c>
      <c r="N1261">
        <v>12</v>
      </c>
      <c r="O1261" t="s">
        <v>90</v>
      </c>
      <c r="P1261">
        <f t="shared" si="21"/>
        <v>0</v>
      </c>
    </row>
    <row r="1262" spans="1:16" hidden="1" x14ac:dyDescent="0.25">
      <c r="A1262" s="8">
        <v>1257</v>
      </c>
      <c r="B1262">
        <v>866</v>
      </c>
      <c r="C1262" s="27">
        <v>45628</v>
      </c>
      <c r="D1262" t="s">
        <v>1025</v>
      </c>
      <c r="E1262">
        <v>48</v>
      </c>
      <c r="F1262" t="s">
        <v>136</v>
      </c>
      <c r="G1262" t="s">
        <v>212</v>
      </c>
      <c r="H1262" t="s">
        <v>14</v>
      </c>
      <c r="I1262" t="s">
        <v>69</v>
      </c>
      <c r="J1262" s="27">
        <v>45627</v>
      </c>
      <c r="K1262">
        <v>2024</v>
      </c>
      <c r="L1262" s="27">
        <v>45628</v>
      </c>
      <c r="M1262">
        <v>1140.2299999999941</v>
      </c>
      <c r="N1262">
        <v>13</v>
      </c>
      <c r="O1262" t="s">
        <v>90</v>
      </c>
      <c r="P1262">
        <f t="shared" si="21"/>
        <v>0</v>
      </c>
    </row>
    <row r="1263" spans="1:16" hidden="1" x14ac:dyDescent="0.25">
      <c r="A1263" s="8">
        <v>1258</v>
      </c>
      <c r="B1263">
        <v>867</v>
      </c>
      <c r="C1263" s="27">
        <v>45628</v>
      </c>
      <c r="D1263" t="s">
        <v>105</v>
      </c>
      <c r="E1263">
        <v>154.96</v>
      </c>
      <c r="F1263" t="s">
        <v>106</v>
      </c>
      <c r="G1263" t="s">
        <v>107</v>
      </c>
      <c r="H1263" t="s">
        <v>14</v>
      </c>
      <c r="I1263" t="s">
        <v>69</v>
      </c>
      <c r="J1263" s="27">
        <v>45627</v>
      </c>
      <c r="K1263">
        <v>2024</v>
      </c>
      <c r="L1263" s="27">
        <v>45628</v>
      </c>
      <c r="M1263">
        <v>1295.1899999999939</v>
      </c>
      <c r="N1263">
        <v>72</v>
      </c>
      <c r="O1263" t="s">
        <v>90</v>
      </c>
      <c r="P1263">
        <f t="shared" si="21"/>
        <v>0</v>
      </c>
    </row>
    <row r="1264" spans="1:16" hidden="1" x14ac:dyDescent="0.25">
      <c r="A1264" s="8">
        <v>1259</v>
      </c>
      <c r="B1264">
        <v>868</v>
      </c>
      <c r="C1264" s="27">
        <v>45628</v>
      </c>
      <c r="D1264" t="s">
        <v>971</v>
      </c>
      <c r="E1264">
        <v>273.60000000000002</v>
      </c>
      <c r="F1264" t="s">
        <v>88</v>
      </c>
      <c r="G1264" t="s">
        <v>100</v>
      </c>
      <c r="H1264" t="s">
        <v>28</v>
      </c>
      <c r="I1264" t="s">
        <v>69</v>
      </c>
      <c r="J1264" s="27">
        <v>45627</v>
      </c>
      <c r="K1264">
        <v>2024</v>
      </c>
      <c r="L1264" s="27">
        <v>45628</v>
      </c>
      <c r="M1264">
        <v>1568.7899999999941</v>
      </c>
      <c r="N1264">
        <v>14</v>
      </c>
      <c r="O1264" t="s">
        <v>90</v>
      </c>
      <c r="P1264">
        <f t="shared" si="21"/>
        <v>0</v>
      </c>
    </row>
    <row r="1265" spans="1:16" hidden="1" x14ac:dyDescent="0.25">
      <c r="A1265" s="8">
        <v>1260</v>
      </c>
      <c r="B1265">
        <v>869</v>
      </c>
      <c r="C1265" s="27">
        <v>45628</v>
      </c>
      <c r="D1265" t="s">
        <v>1026</v>
      </c>
      <c r="E1265">
        <v>30</v>
      </c>
      <c r="F1265" t="s">
        <v>192</v>
      </c>
      <c r="G1265" t="s">
        <v>193</v>
      </c>
      <c r="H1265" t="s">
        <v>14</v>
      </c>
      <c r="I1265" t="s">
        <v>40</v>
      </c>
      <c r="J1265" s="27">
        <v>45627</v>
      </c>
      <c r="K1265">
        <v>2024</v>
      </c>
      <c r="L1265" s="27">
        <v>45628</v>
      </c>
      <c r="M1265">
        <v>1598.7899999999941</v>
      </c>
      <c r="N1265">
        <v>6</v>
      </c>
      <c r="O1265" t="s">
        <v>90</v>
      </c>
      <c r="P1265">
        <f t="shared" si="21"/>
        <v>0</v>
      </c>
    </row>
    <row r="1266" spans="1:16" hidden="1" x14ac:dyDescent="0.25">
      <c r="A1266" s="8">
        <v>1261</v>
      </c>
      <c r="B1266">
        <v>870</v>
      </c>
      <c r="C1266" s="27">
        <v>45628</v>
      </c>
      <c r="D1266" t="s">
        <v>1027</v>
      </c>
      <c r="E1266">
        <v>30.21</v>
      </c>
      <c r="F1266" t="s">
        <v>116</v>
      </c>
      <c r="G1266" t="s">
        <v>141</v>
      </c>
      <c r="H1266" t="s">
        <v>14</v>
      </c>
      <c r="I1266" t="s">
        <v>118</v>
      </c>
      <c r="J1266" s="27">
        <v>45627</v>
      </c>
      <c r="K1266">
        <v>2024</v>
      </c>
      <c r="L1266" s="27">
        <v>45628</v>
      </c>
      <c r="M1266">
        <v>1628.9999999999941</v>
      </c>
      <c r="N1266">
        <v>61</v>
      </c>
      <c r="O1266" t="s">
        <v>90</v>
      </c>
      <c r="P1266">
        <f t="shared" si="21"/>
        <v>0</v>
      </c>
    </row>
    <row r="1267" spans="1:16" hidden="1" x14ac:dyDescent="0.25">
      <c r="A1267" s="8">
        <v>1262</v>
      </c>
      <c r="B1267">
        <v>871</v>
      </c>
      <c r="C1267" s="27">
        <v>45628</v>
      </c>
      <c r="D1267" t="s">
        <v>976</v>
      </c>
      <c r="E1267">
        <v>10</v>
      </c>
      <c r="F1267" t="s">
        <v>88</v>
      </c>
      <c r="G1267" t="s">
        <v>102</v>
      </c>
      <c r="H1267" t="s">
        <v>28</v>
      </c>
      <c r="I1267" t="s">
        <v>93</v>
      </c>
      <c r="J1267" s="27">
        <v>45627</v>
      </c>
      <c r="K1267">
        <v>2024</v>
      </c>
      <c r="L1267" s="27">
        <v>45628</v>
      </c>
      <c r="M1267">
        <v>1638.9999999999941</v>
      </c>
      <c r="N1267">
        <v>12</v>
      </c>
      <c r="O1267" t="s">
        <v>90</v>
      </c>
      <c r="P1267">
        <f t="shared" si="21"/>
        <v>0</v>
      </c>
    </row>
    <row r="1268" spans="1:16" hidden="1" x14ac:dyDescent="0.25">
      <c r="A1268" s="8">
        <v>1263</v>
      </c>
      <c r="B1268">
        <v>872</v>
      </c>
      <c r="C1268" s="27">
        <v>45628</v>
      </c>
      <c r="D1268" t="s">
        <v>1028</v>
      </c>
      <c r="E1268">
        <v>25</v>
      </c>
      <c r="F1268" t="s">
        <v>136</v>
      </c>
      <c r="G1268" t="s">
        <v>670</v>
      </c>
      <c r="H1268" t="s">
        <v>28</v>
      </c>
      <c r="I1268" t="s">
        <v>93</v>
      </c>
      <c r="J1268" s="27">
        <v>45627</v>
      </c>
      <c r="K1268">
        <v>2024</v>
      </c>
      <c r="L1268" s="27">
        <v>45628</v>
      </c>
      <c r="M1268">
        <v>1663.9999999999941</v>
      </c>
      <c r="N1268">
        <v>7</v>
      </c>
      <c r="O1268" t="s">
        <v>90</v>
      </c>
      <c r="P1268">
        <f t="shared" si="21"/>
        <v>0</v>
      </c>
    </row>
    <row r="1269" spans="1:16" hidden="1" x14ac:dyDescent="0.25">
      <c r="A1269" s="8">
        <v>1264</v>
      </c>
      <c r="B1269">
        <v>873</v>
      </c>
      <c r="C1269" s="27">
        <v>45629</v>
      </c>
      <c r="D1269" t="s">
        <v>110</v>
      </c>
      <c r="E1269">
        <v>-55.25</v>
      </c>
      <c r="F1269" t="s">
        <v>111</v>
      </c>
      <c r="G1269" t="s">
        <v>112</v>
      </c>
      <c r="H1269" t="s">
        <v>14</v>
      </c>
      <c r="I1269" t="s">
        <v>80</v>
      </c>
      <c r="J1269" s="27">
        <v>45627</v>
      </c>
      <c r="K1269">
        <v>2024</v>
      </c>
      <c r="L1269" s="27">
        <v>45629</v>
      </c>
      <c r="M1269">
        <v>1608.7499999999941</v>
      </c>
      <c r="N1269">
        <v>12</v>
      </c>
      <c r="O1269" t="s">
        <v>90</v>
      </c>
      <c r="P1269">
        <f t="shared" si="21"/>
        <v>0</v>
      </c>
    </row>
    <row r="1270" spans="1:16" hidden="1" x14ac:dyDescent="0.25">
      <c r="A1270" s="8">
        <v>1265</v>
      </c>
      <c r="B1270">
        <v>874</v>
      </c>
      <c r="C1270" s="27">
        <v>45629</v>
      </c>
      <c r="D1270" t="s">
        <v>951</v>
      </c>
      <c r="E1270">
        <v>50</v>
      </c>
      <c r="F1270" t="s">
        <v>88</v>
      </c>
      <c r="G1270" t="s">
        <v>172</v>
      </c>
      <c r="H1270" t="s">
        <v>14</v>
      </c>
      <c r="I1270" t="s">
        <v>15</v>
      </c>
      <c r="J1270" s="27">
        <v>45627</v>
      </c>
      <c r="K1270">
        <v>2024</v>
      </c>
      <c r="L1270" s="27">
        <v>45629</v>
      </c>
      <c r="M1270">
        <v>1658.7499999999941</v>
      </c>
      <c r="N1270">
        <v>14</v>
      </c>
      <c r="O1270" t="s">
        <v>90</v>
      </c>
      <c r="P1270">
        <f t="shared" si="21"/>
        <v>0</v>
      </c>
    </row>
    <row r="1271" spans="1:16" hidden="1" x14ac:dyDescent="0.25">
      <c r="A1271" s="8">
        <v>1266</v>
      </c>
      <c r="B1271">
        <v>875</v>
      </c>
      <c r="C1271" s="27">
        <v>45629</v>
      </c>
      <c r="D1271" t="s">
        <v>198</v>
      </c>
      <c r="E1271">
        <v>59</v>
      </c>
      <c r="F1271" t="s">
        <v>136</v>
      </c>
      <c r="G1271" t="s">
        <v>199</v>
      </c>
      <c r="H1271" t="s">
        <v>14</v>
      </c>
      <c r="I1271" t="s">
        <v>395</v>
      </c>
      <c r="J1271" s="27">
        <v>45627</v>
      </c>
      <c r="K1271">
        <v>2024</v>
      </c>
      <c r="L1271" s="27">
        <v>45629</v>
      </c>
      <c r="M1271">
        <v>1717.7499999999941</v>
      </c>
      <c r="N1271">
        <v>6</v>
      </c>
      <c r="O1271" t="s">
        <v>90</v>
      </c>
      <c r="P1271">
        <f t="shared" si="21"/>
        <v>0</v>
      </c>
    </row>
    <row r="1272" spans="1:16" hidden="1" x14ac:dyDescent="0.25">
      <c r="A1272" s="8">
        <v>1267</v>
      </c>
      <c r="B1272">
        <v>876</v>
      </c>
      <c r="C1272" s="27">
        <v>45630</v>
      </c>
      <c r="D1272" t="s">
        <v>1029</v>
      </c>
      <c r="E1272">
        <v>15.5</v>
      </c>
      <c r="F1272" t="s">
        <v>116</v>
      </c>
      <c r="G1272" t="s">
        <v>117</v>
      </c>
      <c r="H1272" t="s">
        <v>14</v>
      </c>
      <c r="I1272" t="s">
        <v>118</v>
      </c>
      <c r="J1272" s="27">
        <v>45627</v>
      </c>
      <c r="K1272">
        <v>2024</v>
      </c>
      <c r="L1272" s="27">
        <v>45630</v>
      </c>
      <c r="M1272">
        <v>1733.2499999999941</v>
      </c>
      <c r="N1272">
        <v>74</v>
      </c>
      <c r="O1272" t="s">
        <v>90</v>
      </c>
      <c r="P1272">
        <f t="shared" si="21"/>
        <v>0</v>
      </c>
    </row>
    <row r="1273" spans="1:16" hidden="1" x14ac:dyDescent="0.25">
      <c r="A1273" s="8">
        <v>1268</v>
      </c>
      <c r="B1273">
        <v>877</v>
      </c>
      <c r="C1273" s="27">
        <v>45630</v>
      </c>
      <c r="D1273" t="s">
        <v>1030</v>
      </c>
      <c r="E1273">
        <v>8.75</v>
      </c>
      <c r="F1273" t="s">
        <v>116</v>
      </c>
      <c r="G1273" t="s">
        <v>199</v>
      </c>
      <c r="H1273" t="s">
        <v>14</v>
      </c>
      <c r="I1273" t="s">
        <v>395</v>
      </c>
      <c r="J1273" s="27">
        <v>45627</v>
      </c>
      <c r="K1273">
        <v>2024</v>
      </c>
      <c r="L1273" s="27">
        <v>45630</v>
      </c>
      <c r="M1273">
        <v>1741.9999999999941</v>
      </c>
      <c r="N1273">
        <v>7</v>
      </c>
      <c r="O1273" t="s">
        <v>90</v>
      </c>
      <c r="P1273">
        <f t="shared" si="21"/>
        <v>0</v>
      </c>
    </row>
    <row r="1274" spans="1:16" hidden="1" x14ac:dyDescent="0.25">
      <c r="A1274" s="8">
        <v>1269</v>
      </c>
      <c r="B1274">
        <v>878</v>
      </c>
      <c r="C1274" s="27">
        <v>45631</v>
      </c>
      <c r="D1274" t="s">
        <v>1031</v>
      </c>
      <c r="E1274">
        <v>83.5</v>
      </c>
      <c r="F1274" t="s">
        <v>95</v>
      </c>
      <c r="G1274" t="s">
        <v>13</v>
      </c>
      <c r="H1274" t="s">
        <v>14</v>
      </c>
      <c r="I1274" t="s">
        <v>15</v>
      </c>
      <c r="J1274" s="27">
        <v>45627</v>
      </c>
      <c r="K1274">
        <v>2024</v>
      </c>
      <c r="L1274" s="27">
        <v>45631</v>
      </c>
      <c r="M1274">
        <v>1825.4999999999941</v>
      </c>
      <c r="N1274">
        <v>10</v>
      </c>
      <c r="O1274" t="s">
        <v>90</v>
      </c>
      <c r="P1274">
        <f t="shared" si="21"/>
        <v>0</v>
      </c>
    </row>
    <row r="1275" spans="1:16" hidden="1" x14ac:dyDescent="0.25">
      <c r="A1275" s="8">
        <v>1270</v>
      </c>
      <c r="B1275">
        <v>879</v>
      </c>
      <c r="C1275" s="27">
        <v>45631</v>
      </c>
      <c r="D1275" t="s">
        <v>1032</v>
      </c>
      <c r="E1275">
        <v>27.95</v>
      </c>
      <c r="F1275" t="s">
        <v>116</v>
      </c>
      <c r="G1275" t="s">
        <v>385</v>
      </c>
      <c r="H1275" t="s">
        <v>14</v>
      </c>
      <c r="I1275" t="s">
        <v>395</v>
      </c>
      <c r="J1275" s="27">
        <v>45627</v>
      </c>
      <c r="K1275">
        <v>2024</v>
      </c>
      <c r="L1275" s="27">
        <v>45631</v>
      </c>
      <c r="M1275">
        <v>1853.4499999999939</v>
      </c>
      <c r="N1275">
        <v>58</v>
      </c>
      <c r="O1275" t="s">
        <v>90</v>
      </c>
      <c r="P1275">
        <f t="shared" si="21"/>
        <v>0</v>
      </c>
    </row>
    <row r="1276" spans="1:16" hidden="1" x14ac:dyDescent="0.25">
      <c r="A1276" s="8">
        <v>1271</v>
      </c>
      <c r="B1276">
        <v>880</v>
      </c>
      <c r="C1276" s="27">
        <v>45631</v>
      </c>
      <c r="D1276" t="s">
        <v>929</v>
      </c>
      <c r="E1276">
        <v>6.79</v>
      </c>
      <c r="F1276" t="s">
        <v>88</v>
      </c>
      <c r="G1276" t="s">
        <v>114</v>
      </c>
      <c r="H1276" t="s">
        <v>14</v>
      </c>
      <c r="I1276" t="s">
        <v>93</v>
      </c>
      <c r="J1276" s="27">
        <v>45627</v>
      </c>
      <c r="K1276">
        <v>2024</v>
      </c>
      <c r="L1276" s="27">
        <v>45631</v>
      </c>
      <c r="M1276">
        <v>1860.2399999999941</v>
      </c>
      <c r="N1276">
        <v>90</v>
      </c>
      <c r="O1276" t="s">
        <v>90</v>
      </c>
      <c r="P1276">
        <f t="shared" si="21"/>
        <v>0</v>
      </c>
    </row>
    <row r="1277" spans="1:16" hidden="1" x14ac:dyDescent="0.25">
      <c r="A1277" s="8">
        <v>1272</v>
      </c>
      <c r="B1277">
        <v>881</v>
      </c>
      <c r="C1277" s="27">
        <v>45631</v>
      </c>
      <c r="D1277" t="s">
        <v>1033</v>
      </c>
      <c r="E1277">
        <v>3.75</v>
      </c>
      <c r="F1277" t="s">
        <v>88</v>
      </c>
      <c r="G1277" t="s">
        <v>278</v>
      </c>
      <c r="H1277" t="s">
        <v>14</v>
      </c>
      <c r="I1277" t="s">
        <v>44</v>
      </c>
      <c r="J1277" s="27">
        <v>45627</v>
      </c>
      <c r="K1277">
        <v>2024</v>
      </c>
      <c r="L1277" s="27">
        <v>45631</v>
      </c>
      <c r="M1277">
        <v>1863.9899999999941</v>
      </c>
      <c r="N1277">
        <v>12</v>
      </c>
      <c r="O1277" t="s">
        <v>90</v>
      </c>
      <c r="P1277">
        <f t="shared" si="21"/>
        <v>0</v>
      </c>
    </row>
    <row r="1278" spans="1:16" hidden="1" x14ac:dyDescent="0.25">
      <c r="A1278" s="8">
        <v>1273</v>
      </c>
      <c r="B1278">
        <v>882</v>
      </c>
      <c r="C1278" s="27">
        <v>45631</v>
      </c>
      <c r="D1278" t="s">
        <v>1034</v>
      </c>
      <c r="E1278">
        <v>10.18</v>
      </c>
      <c r="F1278" t="s">
        <v>88</v>
      </c>
      <c r="G1278" t="s">
        <v>117</v>
      </c>
      <c r="H1278" t="s">
        <v>14</v>
      </c>
      <c r="I1278" t="s">
        <v>118</v>
      </c>
      <c r="J1278" s="27">
        <v>45627</v>
      </c>
      <c r="K1278">
        <v>2024</v>
      </c>
      <c r="L1278" s="27">
        <v>45631</v>
      </c>
      <c r="M1278">
        <v>1874.1699999999939</v>
      </c>
      <c r="N1278">
        <v>75</v>
      </c>
      <c r="O1278" t="s">
        <v>90</v>
      </c>
      <c r="P1278">
        <f t="shared" si="21"/>
        <v>0</v>
      </c>
    </row>
    <row r="1279" spans="1:16" hidden="1" x14ac:dyDescent="0.25">
      <c r="A1279" s="8">
        <v>1274</v>
      </c>
      <c r="B1279">
        <v>883</v>
      </c>
      <c r="C1279" s="27">
        <v>45632</v>
      </c>
      <c r="D1279" t="s">
        <v>1035</v>
      </c>
      <c r="E1279">
        <v>12.1</v>
      </c>
      <c r="F1279" t="s">
        <v>116</v>
      </c>
      <c r="G1279" t="s">
        <v>385</v>
      </c>
      <c r="H1279" t="s">
        <v>14</v>
      </c>
      <c r="I1279" t="s">
        <v>395</v>
      </c>
      <c r="J1279" s="27">
        <v>45627</v>
      </c>
      <c r="K1279">
        <v>2024</v>
      </c>
      <c r="L1279" s="27">
        <v>45632</v>
      </c>
      <c r="M1279">
        <v>1886.2699999999941</v>
      </c>
      <c r="N1279">
        <v>59</v>
      </c>
      <c r="O1279" t="s">
        <v>90</v>
      </c>
      <c r="P1279">
        <f t="shared" si="21"/>
        <v>0</v>
      </c>
    </row>
    <row r="1280" spans="1:16" hidden="1" x14ac:dyDescent="0.25">
      <c r="A1280" s="8">
        <v>1275</v>
      </c>
      <c r="B1280">
        <v>884</v>
      </c>
      <c r="C1280" s="27">
        <v>45633</v>
      </c>
      <c r="D1280" t="s">
        <v>963</v>
      </c>
      <c r="E1280">
        <v>15</v>
      </c>
      <c r="F1280" t="s">
        <v>88</v>
      </c>
      <c r="G1280" t="s">
        <v>114</v>
      </c>
      <c r="H1280" t="s">
        <v>14</v>
      </c>
      <c r="I1280" t="s">
        <v>93</v>
      </c>
      <c r="J1280" s="27">
        <v>45627</v>
      </c>
      <c r="K1280">
        <v>2024</v>
      </c>
      <c r="L1280" s="27">
        <v>45633</v>
      </c>
      <c r="M1280">
        <v>1901.2699999999941</v>
      </c>
      <c r="N1280">
        <v>91</v>
      </c>
      <c r="O1280" t="s">
        <v>90</v>
      </c>
      <c r="P1280">
        <f t="shared" si="21"/>
        <v>0</v>
      </c>
    </row>
    <row r="1281" spans="1:16" hidden="1" x14ac:dyDescent="0.25">
      <c r="A1281" s="8">
        <v>1276</v>
      </c>
      <c r="B1281">
        <v>885</v>
      </c>
      <c r="C1281" s="27">
        <v>45633</v>
      </c>
      <c r="D1281" t="s">
        <v>1036</v>
      </c>
      <c r="E1281">
        <v>450</v>
      </c>
      <c r="F1281" t="s">
        <v>88</v>
      </c>
      <c r="G1281" t="s">
        <v>107</v>
      </c>
      <c r="H1281" t="s">
        <v>14</v>
      </c>
      <c r="I1281" t="s">
        <v>69</v>
      </c>
      <c r="J1281" s="27">
        <v>45627</v>
      </c>
      <c r="K1281">
        <v>2024</v>
      </c>
      <c r="L1281" s="27">
        <v>45633</v>
      </c>
      <c r="M1281">
        <v>2351.2699999999941</v>
      </c>
      <c r="N1281">
        <v>73</v>
      </c>
      <c r="O1281" t="s">
        <v>90</v>
      </c>
      <c r="P1281">
        <f t="shared" si="21"/>
        <v>0</v>
      </c>
    </row>
    <row r="1282" spans="1:16" hidden="1" x14ac:dyDescent="0.25">
      <c r="A1282" s="8">
        <v>1277</v>
      </c>
      <c r="B1282">
        <v>886</v>
      </c>
      <c r="C1282" s="27">
        <v>45636</v>
      </c>
      <c r="D1282" t="s">
        <v>963</v>
      </c>
      <c r="E1282">
        <v>7.99</v>
      </c>
      <c r="F1282" t="s">
        <v>88</v>
      </c>
      <c r="G1282" t="s">
        <v>114</v>
      </c>
      <c r="H1282" t="s">
        <v>14</v>
      </c>
      <c r="I1282" t="s">
        <v>93</v>
      </c>
      <c r="J1282" s="27">
        <v>45627</v>
      </c>
      <c r="K1282">
        <v>2024</v>
      </c>
      <c r="L1282" s="27">
        <v>45636</v>
      </c>
      <c r="M1282">
        <v>2359.2599999999929</v>
      </c>
      <c r="N1282">
        <v>92</v>
      </c>
      <c r="O1282" t="s">
        <v>90</v>
      </c>
      <c r="P1282">
        <f t="shared" si="21"/>
        <v>0</v>
      </c>
    </row>
    <row r="1283" spans="1:16" hidden="1" x14ac:dyDescent="0.25">
      <c r="A1283" s="8">
        <v>1278</v>
      </c>
      <c r="B1283">
        <v>887</v>
      </c>
      <c r="C1283" s="27">
        <v>45637</v>
      </c>
      <c r="D1283" t="s">
        <v>189</v>
      </c>
      <c r="E1283">
        <v>34.6</v>
      </c>
      <c r="F1283" t="s">
        <v>106</v>
      </c>
      <c r="G1283" t="s">
        <v>137</v>
      </c>
      <c r="H1283" t="s">
        <v>14</v>
      </c>
      <c r="I1283" t="s">
        <v>118</v>
      </c>
      <c r="J1283" s="27">
        <v>45627</v>
      </c>
      <c r="K1283">
        <v>2024</v>
      </c>
      <c r="L1283" s="27">
        <v>45637</v>
      </c>
      <c r="M1283">
        <v>2393.8599999999929</v>
      </c>
      <c r="N1283">
        <v>44</v>
      </c>
      <c r="O1283" t="s">
        <v>90</v>
      </c>
      <c r="P1283">
        <f t="shared" si="21"/>
        <v>0</v>
      </c>
    </row>
    <row r="1284" spans="1:16" hidden="1" x14ac:dyDescent="0.25">
      <c r="A1284" s="8">
        <v>1279</v>
      </c>
      <c r="B1284">
        <v>888</v>
      </c>
      <c r="C1284" s="27">
        <v>45637</v>
      </c>
      <c r="D1284" t="s">
        <v>1037</v>
      </c>
      <c r="E1284">
        <v>18.36</v>
      </c>
      <c r="F1284" t="s">
        <v>116</v>
      </c>
      <c r="G1284" t="s">
        <v>141</v>
      </c>
      <c r="H1284" t="s">
        <v>14</v>
      </c>
      <c r="I1284" t="s">
        <v>118</v>
      </c>
      <c r="J1284" s="27">
        <v>45627</v>
      </c>
      <c r="K1284">
        <v>2024</v>
      </c>
      <c r="L1284" s="27">
        <v>45637</v>
      </c>
      <c r="M1284">
        <v>2412.219999999993</v>
      </c>
      <c r="N1284">
        <v>62</v>
      </c>
      <c r="O1284" t="s">
        <v>90</v>
      </c>
      <c r="P1284">
        <f t="shared" si="21"/>
        <v>0</v>
      </c>
    </row>
    <row r="1285" spans="1:16" hidden="1" x14ac:dyDescent="0.25">
      <c r="A1285" s="8">
        <v>1280</v>
      </c>
      <c r="B1285">
        <v>889</v>
      </c>
      <c r="C1285" s="27">
        <v>45638</v>
      </c>
      <c r="D1285" t="s">
        <v>989</v>
      </c>
      <c r="E1285">
        <v>2.11</v>
      </c>
      <c r="F1285" t="s">
        <v>88</v>
      </c>
      <c r="G1285" t="s">
        <v>748</v>
      </c>
      <c r="H1285" t="s">
        <v>28</v>
      </c>
      <c r="I1285" t="s">
        <v>69</v>
      </c>
      <c r="J1285" s="27">
        <v>45627</v>
      </c>
      <c r="K1285">
        <v>2024</v>
      </c>
      <c r="L1285" s="27">
        <v>45638</v>
      </c>
      <c r="M1285">
        <v>2414.329999999994</v>
      </c>
      <c r="N1285">
        <v>5</v>
      </c>
      <c r="O1285" t="s">
        <v>90</v>
      </c>
      <c r="P1285">
        <f t="shared" si="21"/>
        <v>0</v>
      </c>
    </row>
    <row r="1286" spans="1:16" hidden="1" x14ac:dyDescent="0.25">
      <c r="A1286" s="8">
        <v>1281</v>
      </c>
      <c r="B1286">
        <v>890</v>
      </c>
      <c r="C1286" s="27">
        <v>45639</v>
      </c>
      <c r="D1286" t="s">
        <v>1038</v>
      </c>
      <c r="E1286">
        <v>29.76</v>
      </c>
      <c r="F1286" t="s">
        <v>116</v>
      </c>
      <c r="G1286" t="s">
        <v>141</v>
      </c>
      <c r="H1286" t="s">
        <v>14</v>
      </c>
      <c r="I1286" t="s">
        <v>118</v>
      </c>
      <c r="J1286" s="27">
        <v>45627</v>
      </c>
      <c r="K1286">
        <v>2024</v>
      </c>
      <c r="L1286" s="27">
        <v>45639</v>
      </c>
      <c r="M1286">
        <v>2444.0899999999938</v>
      </c>
      <c r="N1286">
        <v>63</v>
      </c>
      <c r="O1286" t="s">
        <v>90</v>
      </c>
      <c r="P1286">
        <f t="shared" si="21"/>
        <v>0</v>
      </c>
    </row>
    <row r="1287" spans="1:16" hidden="1" x14ac:dyDescent="0.25">
      <c r="A1287" s="8">
        <v>1282</v>
      </c>
      <c r="B1287">
        <v>891</v>
      </c>
      <c r="C1287" s="27">
        <v>45639</v>
      </c>
      <c r="D1287" t="s">
        <v>162</v>
      </c>
      <c r="E1287">
        <v>-2386.27</v>
      </c>
      <c r="F1287" t="s">
        <v>163</v>
      </c>
      <c r="G1287" t="s">
        <v>164</v>
      </c>
      <c r="H1287" t="s">
        <v>14</v>
      </c>
      <c r="I1287" t="s">
        <v>80</v>
      </c>
      <c r="J1287" s="27">
        <v>45627</v>
      </c>
      <c r="K1287">
        <v>2024</v>
      </c>
      <c r="L1287" s="27">
        <v>45639</v>
      </c>
      <c r="M1287">
        <v>57.819999999993797</v>
      </c>
      <c r="N1287">
        <v>19</v>
      </c>
      <c r="O1287" t="s">
        <v>90</v>
      </c>
      <c r="P1287">
        <f t="shared" si="21"/>
        <v>0</v>
      </c>
    </row>
    <row r="1288" spans="1:16" hidden="1" x14ac:dyDescent="0.25">
      <c r="A1288" s="8">
        <v>1283</v>
      </c>
      <c r="B1288">
        <v>892</v>
      </c>
      <c r="C1288" s="27">
        <v>45639</v>
      </c>
      <c r="D1288" t="s">
        <v>1039</v>
      </c>
      <c r="E1288">
        <v>75.59</v>
      </c>
      <c r="F1288" t="s">
        <v>88</v>
      </c>
      <c r="G1288" t="s">
        <v>278</v>
      </c>
      <c r="H1288" t="s">
        <v>14</v>
      </c>
      <c r="I1288" t="s">
        <v>44</v>
      </c>
      <c r="J1288" s="27">
        <v>45627</v>
      </c>
      <c r="K1288">
        <v>2024</v>
      </c>
      <c r="L1288" s="27">
        <v>45639</v>
      </c>
      <c r="M1288">
        <v>133.4099999999938</v>
      </c>
      <c r="N1288">
        <v>13</v>
      </c>
      <c r="O1288" t="s">
        <v>90</v>
      </c>
      <c r="P1288">
        <f t="shared" si="21"/>
        <v>0</v>
      </c>
    </row>
    <row r="1289" spans="1:16" hidden="1" x14ac:dyDescent="0.25">
      <c r="A1289" s="8">
        <v>1284</v>
      </c>
      <c r="B1289">
        <v>893</v>
      </c>
      <c r="C1289" s="27">
        <v>45640</v>
      </c>
      <c r="D1289" t="s">
        <v>1040</v>
      </c>
      <c r="E1289">
        <v>16.66</v>
      </c>
      <c r="F1289" t="s">
        <v>116</v>
      </c>
      <c r="G1289" t="s">
        <v>141</v>
      </c>
      <c r="H1289" t="s">
        <v>14</v>
      </c>
      <c r="I1289" t="s">
        <v>118</v>
      </c>
      <c r="J1289" s="27">
        <v>45627</v>
      </c>
      <c r="K1289">
        <v>2024</v>
      </c>
      <c r="L1289" s="27">
        <v>45640</v>
      </c>
      <c r="M1289">
        <v>150.0699999999938</v>
      </c>
      <c r="N1289">
        <v>64</v>
      </c>
      <c r="O1289" t="s">
        <v>90</v>
      </c>
      <c r="P1289">
        <f t="shared" si="21"/>
        <v>0</v>
      </c>
    </row>
    <row r="1290" spans="1:16" hidden="1" x14ac:dyDescent="0.25">
      <c r="A1290" s="8">
        <v>1285</v>
      </c>
      <c r="B1290">
        <v>894</v>
      </c>
      <c r="C1290" s="27">
        <v>45640</v>
      </c>
      <c r="D1290" t="s">
        <v>1041</v>
      </c>
      <c r="E1290">
        <v>11</v>
      </c>
      <c r="F1290" t="s">
        <v>88</v>
      </c>
      <c r="G1290" t="s">
        <v>117</v>
      </c>
      <c r="H1290" t="s">
        <v>14</v>
      </c>
      <c r="I1290" t="s">
        <v>118</v>
      </c>
      <c r="J1290" s="27">
        <v>45627</v>
      </c>
      <c r="K1290">
        <v>2024</v>
      </c>
      <c r="L1290" s="27">
        <v>45640</v>
      </c>
      <c r="M1290">
        <v>161.0699999999938</v>
      </c>
      <c r="N1290">
        <v>76</v>
      </c>
      <c r="O1290" t="s">
        <v>90</v>
      </c>
      <c r="P1290">
        <f t="shared" si="21"/>
        <v>0</v>
      </c>
    </row>
    <row r="1291" spans="1:16" hidden="1" x14ac:dyDescent="0.25">
      <c r="A1291" s="8">
        <v>1286</v>
      </c>
      <c r="B1291">
        <v>895</v>
      </c>
      <c r="C1291" s="27">
        <v>45640</v>
      </c>
      <c r="D1291" t="s">
        <v>1042</v>
      </c>
      <c r="E1291">
        <v>49</v>
      </c>
      <c r="F1291" t="s">
        <v>116</v>
      </c>
      <c r="G1291" t="s">
        <v>141</v>
      </c>
      <c r="H1291" t="s">
        <v>14</v>
      </c>
      <c r="I1291" t="s">
        <v>118</v>
      </c>
      <c r="J1291" s="27">
        <v>45627</v>
      </c>
      <c r="K1291">
        <v>2024</v>
      </c>
      <c r="L1291" s="27">
        <v>45640</v>
      </c>
      <c r="M1291">
        <v>210.0699999999938</v>
      </c>
      <c r="N1291">
        <v>65</v>
      </c>
      <c r="O1291" t="s">
        <v>90</v>
      </c>
      <c r="P1291">
        <f t="shared" si="21"/>
        <v>0</v>
      </c>
    </row>
    <row r="1292" spans="1:16" hidden="1" x14ac:dyDescent="0.25">
      <c r="A1292" s="8">
        <v>1287</v>
      </c>
      <c r="B1292">
        <v>896</v>
      </c>
      <c r="C1292" s="27">
        <v>45641</v>
      </c>
      <c r="D1292" t="s">
        <v>1043</v>
      </c>
      <c r="E1292">
        <v>13.98</v>
      </c>
      <c r="F1292" t="s">
        <v>136</v>
      </c>
      <c r="G1292" t="s">
        <v>92</v>
      </c>
      <c r="H1292" t="s">
        <v>14</v>
      </c>
      <c r="I1292" t="s">
        <v>93</v>
      </c>
      <c r="J1292" s="27">
        <v>45627</v>
      </c>
      <c r="K1292">
        <v>2024</v>
      </c>
      <c r="L1292" s="27">
        <v>45641</v>
      </c>
      <c r="M1292">
        <v>224.04999999999379</v>
      </c>
      <c r="N1292">
        <v>28</v>
      </c>
      <c r="O1292" t="s">
        <v>90</v>
      </c>
      <c r="P1292">
        <f t="shared" si="21"/>
        <v>0</v>
      </c>
    </row>
    <row r="1293" spans="1:16" hidden="1" x14ac:dyDescent="0.25">
      <c r="A1293" s="8">
        <v>1288</v>
      </c>
      <c r="B1293">
        <v>897</v>
      </c>
      <c r="C1293" s="27">
        <v>45642</v>
      </c>
      <c r="D1293" t="s">
        <v>929</v>
      </c>
      <c r="E1293">
        <v>3.5</v>
      </c>
      <c r="F1293" t="s">
        <v>88</v>
      </c>
      <c r="G1293" t="s">
        <v>114</v>
      </c>
      <c r="H1293" t="s">
        <v>14</v>
      </c>
      <c r="I1293" t="s">
        <v>93</v>
      </c>
      <c r="J1293" s="27">
        <v>45627</v>
      </c>
      <c r="K1293">
        <v>2024</v>
      </c>
      <c r="L1293" s="27">
        <v>45642</v>
      </c>
      <c r="M1293">
        <v>227.54999999999379</v>
      </c>
      <c r="N1293">
        <v>93</v>
      </c>
      <c r="O1293" t="s">
        <v>90</v>
      </c>
      <c r="P1293">
        <f t="shared" si="21"/>
        <v>0</v>
      </c>
    </row>
    <row r="1294" spans="1:16" hidden="1" x14ac:dyDescent="0.25">
      <c r="A1294" s="8">
        <v>1289</v>
      </c>
      <c r="B1294">
        <v>898</v>
      </c>
      <c r="C1294" s="27">
        <v>45642</v>
      </c>
      <c r="D1294" t="s">
        <v>929</v>
      </c>
      <c r="E1294">
        <v>7.99</v>
      </c>
      <c r="F1294" t="s">
        <v>88</v>
      </c>
      <c r="G1294" t="s">
        <v>114</v>
      </c>
      <c r="H1294" t="s">
        <v>14</v>
      </c>
      <c r="I1294" t="s">
        <v>93</v>
      </c>
      <c r="J1294" s="27">
        <v>45627</v>
      </c>
      <c r="K1294">
        <v>2024</v>
      </c>
      <c r="L1294" s="27">
        <v>45642</v>
      </c>
      <c r="M1294">
        <v>235.5399999999938</v>
      </c>
      <c r="N1294">
        <v>94</v>
      </c>
      <c r="O1294" t="s">
        <v>90</v>
      </c>
      <c r="P1294">
        <f t="shared" si="21"/>
        <v>0</v>
      </c>
    </row>
    <row r="1295" spans="1:16" hidden="1" x14ac:dyDescent="0.25">
      <c r="A1295" s="8">
        <v>1290</v>
      </c>
      <c r="B1295">
        <v>899</v>
      </c>
      <c r="C1295" s="27">
        <v>45642</v>
      </c>
      <c r="D1295" t="s">
        <v>929</v>
      </c>
      <c r="E1295">
        <v>9.99</v>
      </c>
      <c r="F1295" t="s">
        <v>88</v>
      </c>
      <c r="G1295" t="s">
        <v>114</v>
      </c>
      <c r="H1295" t="s">
        <v>14</v>
      </c>
      <c r="I1295" t="s">
        <v>93</v>
      </c>
      <c r="J1295" s="27">
        <v>45627</v>
      </c>
      <c r="K1295">
        <v>2024</v>
      </c>
      <c r="L1295" s="27">
        <v>45642</v>
      </c>
      <c r="M1295">
        <v>245.52999999999381</v>
      </c>
      <c r="N1295">
        <v>95</v>
      </c>
      <c r="O1295" t="s">
        <v>90</v>
      </c>
      <c r="P1295">
        <f t="shared" si="21"/>
        <v>0</v>
      </c>
    </row>
    <row r="1296" spans="1:16" hidden="1" x14ac:dyDescent="0.25">
      <c r="A1296" s="8">
        <v>1291</v>
      </c>
      <c r="B1296">
        <v>900</v>
      </c>
      <c r="C1296" s="27">
        <v>45642</v>
      </c>
      <c r="D1296" t="s">
        <v>189</v>
      </c>
      <c r="E1296">
        <v>52.67</v>
      </c>
      <c r="F1296" t="s">
        <v>106</v>
      </c>
      <c r="G1296" t="s">
        <v>137</v>
      </c>
      <c r="H1296" t="s">
        <v>14</v>
      </c>
      <c r="I1296" t="s">
        <v>118</v>
      </c>
      <c r="J1296" s="27">
        <v>45627</v>
      </c>
      <c r="K1296">
        <v>2024</v>
      </c>
      <c r="L1296" s="27">
        <v>45642</v>
      </c>
      <c r="M1296">
        <v>298.19999999999379</v>
      </c>
      <c r="N1296">
        <v>45</v>
      </c>
      <c r="O1296" t="s">
        <v>90</v>
      </c>
      <c r="P1296">
        <f t="shared" si="21"/>
        <v>0</v>
      </c>
    </row>
    <row r="1297" spans="1:16" hidden="1" x14ac:dyDescent="0.25">
      <c r="A1297" s="8">
        <v>1292</v>
      </c>
      <c r="B1297">
        <v>901</v>
      </c>
      <c r="C1297" s="27">
        <v>45642</v>
      </c>
      <c r="D1297" t="s">
        <v>1044</v>
      </c>
      <c r="E1297">
        <v>19.43</v>
      </c>
      <c r="F1297" t="s">
        <v>88</v>
      </c>
      <c r="G1297" t="s">
        <v>1045</v>
      </c>
      <c r="H1297" t="s">
        <v>14</v>
      </c>
      <c r="I1297" t="s">
        <v>93</v>
      </c>
      <c r="J1297" s="27">
        <v>45627</v>
      </c>
      <c r="K1297">
        <v>2024</v>
      </c>
      <c r="L1297" s="27">
        <v>45642</v>
      </c>
      <c r="M1297">
        <v>317.6299999999938</v>
      </c>
      <c r="N1297">
        <v>1</v>
      </c>
      <c r="O1297" t="s">
        <v>90</v>
      </c>
      <c r="P1297">
        <f t="shared" si="21"/>
        <v>0</v>
      </c>
    </row>
    <row r="1298" spans="1:16" hidden="1" x14ac:dyDescent="0.25">
      <c r="A1298" s="8">
        <v>1293</v>
      </c>
      <c r="B1298">
        <v>902</v>
      </c>
      <c r="C1298" s="27">
        <v>45643</v>
      </c>
      <c r="D1298" t="s">
        <v>1046</v>
      </c>
      <c r="E1298">
        <v>57.22</v>
      </c>
      <c r="F1298" t="s">
        <v>116</v>
      </c>
      <c r="G1298" t="s">
        <v>141</v>
      </c>
      <c r="H1298" t="s">
        <v>14</v>
      </c>
      <c r="I1298" t="s">
        <v>118</v>
      </c>
      <c r="J1298" s="27">
        <v>45627</v>
      </c>
      <c r="K1298">
        <v>2024</v>
      </c>
      <c r="L1298" s="27">
        <v>45643</v>
      </c>
      <c r="M1298">
        <v>374.84999999999383</v>
      </c>
      <c r="N1298">
        <v>66</v>
      </c>
      <c r="O1298" t="s">
        <v>90</v>
      </c>
      <c r="P1298">
        <f t="shared" si="21"/>
        <v>0</v>
      </c>
    </row>
    <row r="1299" spans="1:16" hidden="1" x14ac:dyDescent="0.25">
      <c r="A1299" s="8">
        <v>1294</v>
      </c>
      <c r="B1299">
        <v>903</v>
      </c>
      <c r="C1299" s="27">
        <v>45644</v>
      </c>
      <c r="D1299" t="s">
        <v>1047</v>
      </c>
      <c r="E1299">
        <v>180</v>
      </c>
      <c r="F1299" t="s">
        <v>88</v>
      </c>
      <c r="G1299" t="s">
        <v>385</v>
      </c>
      <c r="H1299" t="s">
        <v>14</v>
      </c>
      <c r="I1299" t="s">
        <v>395</v>
      </c>
      <c r="J1299" s="27">
        <v>45627</v>
      </c>
      <c r="K1299">
        <v>2024</v>
      </c>
      <c r="L1299" s="27">
        <v>45644</v>
      </c>
      <c r="M1299">
        <v>554.84999999999377</v>
      </c>
      <c r="N1299">
        <v>60</v>
      </c>
      <c r="O1299" t="s">
        <v>90</v>
      </c>
      <c r="P1299">
        <f t="shared" si="21"/>
        <v>0</v>
      </c>
    </row>
    <row r="1300" spans="1:16" hidden="1" x14ac:dyDescent="0.25">
      <c r="A1300" s="8">
        <v>1295</v>
      </c>
      <c r="B1300">
        <v>904</v>
      </c>
      <c r="C1300" s="27">
        <v>45645</v>
      </c>
      <c r="D1300" t="s">
        <v>1048</v>
      </c>
      <c r="E1300">
        <v>48.18</v>
      </c>
      <c r="F1300" t="s">
        <v>116</v>
      </c>
      <c r="G1300" t="s">
        <v>141</v>
      </c>
      <c r="H1300" t="s">
        <v>14</v>
      </c>
      <c r="I1300" t="s">
        <v>118</v>
      </c>
      <c r="J1300" s="27">
        <v>45627</v>
      </c>
      <c r="K1300">
        <v>2024</v>
      </c>
      <c r="L1300" s="27">
        <v>45645</v>
      </c>
      <c r="M1300">
        <v>603.02999999999372</v>
      </c>
      <c r="N1300">
        <v>67</v>
      </c>
      <c r="O1300" t="s">
        <v>90</v>
      </c>
      <c r="P1300">
        <f t="shared" si="21"/>
        <v>0</v>
      </c>
    </row>
    <row r="1301" spans="1:16" hidden="1" x14ac:dyDescent="0.25">
      <c r="A1301" s="8">
        <v>1296</v>
      </c>
      <c r="B1301">
        <v>905</v>
      </c>
      <c r="C1301" s="27">
        <v>45646</v>
      </c>
      <c r="D1301" t="s">
        <v>1049</v>
      </c>
      <c r="E1301">
        <v>15.4</v>
      </c>
      <c r="F1301" t="s">
        <v>106</v>
      </c>
      <c r="G1301" t="s">
        <v>137</v>
      </c>
      <c r="H1301" t="s">
        <v>14</v>
      </c>
      <c r="I1301" t="s">
        <v>118</v>
      </c>
      <c r="J1301" s="27">
        <v>45627</v>
      </c>
      <c r="K1301">
        <v>2024</v>
      </c>
      <c r="L1301" s="27">
        <v>45646</v>
      </c>
      <c r="M1301">
        <v>618.4299999999937</v>
      </c>
      <c r="N1301">
        <v>46</v>
      </c>
      <c r="O1301" t="s">
        <v>90</v>
      </c>
      <c r="P1301">
        <f t="shared" si="21"/>
        <v>0</v>
      </c>
    </row>
    <row r="1302" spans="1:16" hidden="1" x14ac:dyDescent="0.25">
      <c r="A1302" s="8">
        <v>1297</v>
      </c>
      <c r="B1302">
        <v>906</v>
      </c>
      <c r="C1302" s="27">
        <v>45646</v>
      </c>
      <c r="D1302" t="s">
        <v>1050</v>
      </c>
      <c r="E1302">
        <v>-500</v>
      </c>
      <c r="F1302" t="s">
        <v>163</v>
      </c>
      <c r="G1302" t="s">
        <v>164</v>
      </c>
      <c r="H1302" t="s">
        <v>14</v>
      </c>
      <c r="I1302" t="s">
        <v>80</v>
      </c>
      <c r="J1302" s="27">
        <v>45627</v>
      </c>
      <c r="K1302">
        <v>2024</v>
      </c>
      <c r="L1302" s="27">
        <v>45646</v>
      </c>
      <c r="M1302">
        <v>118.4299999999937</v>
      </c>
      <c r="N1302">
        <v>20</v>
      </c>
      <c r="O1302" t="s">
        <v>90</v>
      </c>
      <c r="P1302">
        <f t="shared" si="21"/>
        <v>0</v>
      </c>
    </row>
    <row r="1303" spans="1:16" hidden="1" x14ac:dyDescent="0.25">
      <c r="A1303" s="8">
        <v>1298</v>
      </c>
      <c r="B1303">
        <v>907</v>
      </c>
      <c r="C1303" s="27">
        <v>45647</v>
      </c>
      <c r="D1303" t="s">
        <v>1051</v>
      </c>
      <c r="E1303">
        <v>32.729999999999997</v>
      </c>
      <c r="F1303" t="s">
        <v>88</v>
      </c>
      <c r="G1303" t="s">
        <v>34</v>
      </c>
      <c r="H1303" t="s">
        <v>28</v>
      </c>
      <c r="I1303" t="s">
        <v>19</v>
      </c>
      <c r="J1303" s="27">
        <v>45627</v>
      </c>
      <c r="K1303">
        <v>2024</v>
      </c>
      <c r="L1303" s="27">
        <v>45647</v>
      </c>
      <c r="M1303">
        <v>151.15999999999369</v>
      </c>
      <c r="N1303">
        <v>3</v>
      </c>
      <c r="O1303" t="s">
        <v>90</v>
      </c>
      <c r="P1303">
        <f t="shared" si="21"/>
        <v>0</v>
      </c>
    </row>
    <row r="1304" spans="1:16" hidden="1" x14ac:dyDescent="0.25">
      <c r="A1304" s="8">
        <v>1299</v>
      </c>
      <c r="B1304">
        <v>908</v>
      </c>
      <c r="C1304" s="27">
        <v>45647</v>
      </c>
      <c r="D1304" t="s">
        <v>1051</v>
      </c>
      <c r="E1304">
        <v>206.25</v>
      </c>
      <c r="F1304" t="s">
        <v>88</v>
      </c>
      <c r="G1304" t="s">
        <v>34</v>
      </c>
      <c r="H1304" t="s">
        <v>28</v>
      </c>
      <c r="I1304" t="s">
        <v>19</v>
      </c>
      <c r="J1304" s="27">
        <v>45627</v>
      </c>
      <c r="K1304">
        <v>2024</v>
      </c>
      <c r="L1304" s="27">
        <v>45647</v>
      </c>
      <c r="M1304">
        <v>357.40999999999372</v>
      </c>
      <c r="N1304">
        <v>4</v>
      </c>
      <c r="O1304" t="s">
        <v>90</v>
      </c>
      <c r="P1304">
        <f t="shared" si="21"/>
        <v>0</v>
      </c>
    </row>
    <row r="1305" spans="1:16" hidden="1" x14ac:dyDescent="0.25">
      <c r="A1305" s="8">
        <v>1300</v>
      </c>
      <c r="B1305">
        <v>909</v>
      </c>
      <c r="C1305" s="27">
        <v>45648</v>
      </c>
      <c r="D1305" t="s">
        <v>1052</v>
      </c>
      <c r="E1305">
        <v>34.57</v>
      </c>
      <c r="F1305" t="s">
        <v>88</v>
      </c>
      <c r="G1305" t="s">
        <v>141</v>
      </c>
      <c r="H1305" t="s">
        <v>14</v>
      </c>
      <c r="I1305" t="s">
        <v>118</v>
      </c>
      <c r="J1305" s="27">
        <v>45627</v>
      </c>
      <c r="K1305">
        <v>2024</v>
      </c>
      <c r="L1305" s="27">
        <v>45648</v>
      </c>
      <c r="M1305">
        <v>391.97999999999371</v>
      </c>
      <c r="N1305">
        <v>68</v>
      </c>
      <c r="O1305" t="s">
        <v>90</v>
      </c>
      <c r="P1305">
        <f t="shared" si="21"/>
        <v>0</v>
      </c>
    </row>
    <row r="1306" spans="1:16" hidden="1" x14ac:dyDescent="0.25">
      <c r="A1306" s="8">
        <v>1301</v>
      </c>
      <c r="B1306">
        <v>910</v>
      </c>
      <c r="C1306" s="27">
        <v>45649</v>
      </c>
      <c r="D1306" t="s">
        <v>1053</v>
      </c>
      <c r="E1306">
        <v>14.2</v>
      </c>
      <c r="F1306" t="s">
        <v>88</v>
      </c>
      <c r="G1306" t="s">
        <v>244</v>
      </c>
      <c r="H1306" t="s">
        <v>14</v>
      </c>
      <c r="I1306" t="s">
        <v>69</v>
      </c>
      <c r="J1306" s="27">
        <v>45627</v>
      </c>
      <c r="K1306">
        <v>2024</v>
      </c>
      <c r="L1306" s="27">
        <v>45649</v>
      </c>
      <c r="M1306">
        <v>406.1799999999937</v>
      </c>
      <c r="N1306">
        <v>15</v>
      </c>
      <c r="O1306" t="s">
        <v>90</v>
      </c>
      <c r="P1306">
        <f t="shared" si="21"/>
        <v>0</v>
      </c>
    </row>
    <row r="1307" spans="1:16" hidden="1" x14ac:dyDescent="0.25">
      <c r="A1307" s="8">
        <v>1302</v>
      </c>
      <c r="B1307">
        <v>911</v>
      </c>
      <c r="C1307" s="27">
        <v>45649</v>
      </c>
      <c r="D1307" t="s">
        <v>1054</v>
      </c>
      <c r="E1307">
        <v>19.059999999999999</v>
      </c>
      <c r="F1307" t="s">
        <v>88</v>
      </c>
      <c r="G1307" t="s">
        <v>107</v>
      </c>
      <c r="H1307" t="s">
        <v>14</v>
      </c>
      <c r="I1307" t="s">
        <v>69</v>
      </c>
      <c r="J1307" s="27">
        <v>45627</v>
      </c>
      <c r="K1307">
        <v>2024</v>
      </c>
      <c r="L1307" s="27">
        <v>45649</v>
      </c>
      <c r="M1307">
        <v>425.2399999999937</v>
      </c>
      <c r="N1307">
        <v>74</v>
      </c>
      <c r="O1307" t="s">
        <v>90</v>
      </c>
      <c r="P1307">
        <f t="shared" si="21"/>
        <v>0</v>
      </c>
    </row>
    <row r="1308" spans="1:16" hidden="1" x14ac:dyDescent="0.25">
      <c r="A1308" s="8">
        <v>1303</v>
      </c>
      <c r="B1308">
        <v>912</v>
      </c>
      <c r="C1308" s="27">
        <v>45649</v>
      </c>
      <c r="D1308" t="s">
        <v>963</v>
      </c>
      <c r="E1308">
        <v>6.99</v>
      </c>
      <c r="F1308" t="s">
        <v>88</v>
      </c>
      <c r="G1308" t="s">
        <v>114</v>
      </c>
      <c r="H1308" t="s">
        <v>14</v>
      </c>
      <c r="I1308" t="s">
        <v>93</v>
      </c>
      <c r="J1308" s="27">
        <v>45627</v>
      </c>
      <c r="K1308">
        <v>2024</v>
      </c>
      <c r="L1308" s="27">
        <v>45649</v>
      </c>
      <c r="M1308">
        <v>432.22999999999371</v>
      </c>
      <c r="N1308">
        <v>96</v>
      </c>
      <c r="O1308" t="s">
        <v>90</v>
      </c>
      <c r="P1308">
        <f t="shared" si="21"/>
        <v>0</v>
      </c>
    </row>
    <row r="1309" spans="1:16" hidden="1" x14ac:dyDescent="0.25">
      <c r="A1309" s="8">
        <v>1304</v>
      </c>
      <c r="B1309">
        <v>913</v>
      </c>
      <c r="C1309" s="27">
        <v>45650</v>
      </c>
      <c r="D1309" t="s">
        <v>1055</v>
      </c>
      <c r="E1309">
        <v>21.91</v>
      </c>
      <c r="F1309" t="s">
        <v>88</v>
      </c>
      <c r="G1309" t="s">
        <v>107</v>
      </c>
      <c r="H1309" t="s">
        <v>14</v>
      </c>
      <c r="I1309" t="s">
        <v>69</v>
      </c>
      <c r="J1309" s="27">
        <v>45627</v>
      </c>
      <c r="K1309">
        <v>2024</v>
      </c>
      <c r="L1309" s="27">
        <v>45650</v>
      </c>
      <c r="M1309">
        <v>454.13999999999368</v>
      </c>
      <c r="N1309">
        <v>75</v>
      </c>
      <c r="O1309" t="s">
        <v>90</v>
      </c>
      <c r="P1309">
        <f t="shared" si="21"/>
        <v>0</v>
      </c>
    </row>
    <row r="1310" spans="1:16" hidden="1" x14ac:dyDescent="0.25">
      <c r="A1310" s="8">
        <v>1305</v>
      </c>
      <c r="B1310">
        <v>914</v>
      </c>
      <c r="C1310" s="27">
        <v>45652</v>
      </c>
      <c r="D1310" t="s">
        <v>1056</v>
      </c>
      <c r="E1310">
        <v>15.34</v>
      </c>
      <c r="F1310" t="s">
        <v>88</v>
      </c>
      <c r="G1310" t="s">
        <v>107</v>
      </c>
      <c r="H1310" t="s">
        <v>14</v>
      </c>
      <c r="I1310" t="s">
        <v>69</v>
      </c>
      <c r="J1310" s="27">
        <v>45627</v>
      </c>
      <c r="K1310">
        <v>2024</v>
      </c>
      <c r="L1310" s="27">
        <v>45652</v>
      </c>
      <c r="M1310">
        <v>469.47999999999371</v>
      </c>
      <c r="N1310">
        <v>76</v>
      </c>
      <c r="O1310" t="s">
        <v>90</v>
      </c>
      <c r="P1310">
        <f t="shared" si="21"/>
        <v>0</v>
      </c>
    </row>
    <row r="1311" spans="1:16" hidden="1" x14ac:dyDescent="0.25">
      <c r="A1311" s="8">
        <v>1306</v>
      </c>
      <c r="B1311">
        <v>915</v>
      </c>
      <c r="C1311" s="27">
        <v>45652</v>
      </c>
      <c r="D1311" t="s">
        <v>1057</v>
      </c>
      <c r="E1311">
        <v>38.36</v>
      </c>
      <c r="F1311" t="s">
        <v>88</v>
      </c>
      <c r="G1311" t="s">
        <v>107</v>
      </c>
      <c r="H1311" t="s">
        <v>14</v>
      </c>
      <c r="I1311" t="s">
        <v>69</v>
      </c>
      <c r="J1311" s="27">
        <v>45627</v>
      </c>
      <c r="K1311">
        <v>2024</v>
      </c>
      <c r="L1311" s="27">
        <v>45652</v>
      </c>
      <c r="M1311">
        <v>507.83999999999372</v>
      </c>
      <c r="N1311">
        <v>77</v>
      </c>
      <c r="O1311" t="s">
        <v>90</v>
      </c>
      <c r="P1311">
        <f t="shared" si="21"/>
        <v>0</v>
      </c>
    </row>
    <row r="1312" spans="1:16" hidden="1" x14ac:dyDescent="0.25">
      <c r="A1312" s="8">
        <v>1307</v>
      </c>
      <c r="B1312">
        <v>916</v>
      </c>
      <c r="C1312" s="27">
        <v>45652</v>
      </c>
      <c r="D1312" t="s">
        <v>1058</v>
      </c>
      <c r="E1312">
        <v>43.84</v>
      </c>
      <c r="F1312" t="s">
        <v>88</v>
      </c>
      <c r="G1312" t="s">
        <v>107</v>
      </c>
      <c r="H1312" t="s">
        <v>14</v>
      </c>
      <c r="I1312" t="s">
        <v>69</v>
      </c>
      <c r="J1312" s="27">
        <v>45627</v>
      </c>
      <c r="K1312">
        <v>2024</v>
      </c>
      <c r="L1312" s="27">
        <v>45652</v>
      </c>
      <c r="M1312">
        <v>551.6799999999937</v>
      </c>
      <c r="N1312">
        <v>78</v>
      </c>
      <c r="O1312" t="s">
        <v>90</v>
      </c>
      <c r="P1312">
        <f t="shared" si="21"/>
        <v>0</v>
      </c>
    </row>
    <row r="1313" spans="1:16" hidden="1" x14ac:dyDescent="0.25">
      <c r="A1313" s="8">
        <v>1308</v>
      </c>
      <c r="B1313">
        <v>917</v>
      </c>
      <c r="C1313" s="27">
        <v>45652</v>
      </c>
      <c r="D1313" t="s">
        <v>1059</v>
      </c>
      <c r="E1313">
        <v>13.53</v>
      </c>
      <c r="F1313" t="s">
        <v>88</v>
      </c>
      <c r="G1313" t="s">
        <v>107</v>
      </c>
      <c r="H1313" t="s">
        <v>14</v>
      </c>
      <c r="I1313" t="s">
        <v>69</v>
      </c>
      <c r="J1313" s="27">
        <v>45627</v>
      </c>
      <c r="K1313">
        <v>2024</v>
      </c>
      <c r="L1313" s="27">
        <v>45652</v>
      </c>
      <c r="M1313">
        <v>565.20999999999367</v>
      </c>
      <c r="N1313">
        <v>79</v>
      </c>
      <c r="O1313" t="s">
        <v>90</v>
      </c>
      <c r="P1313">
        <f t="shared" si="21"/>
        <v>0</v>
      </c>
    </row>
    <row r="1314" spans="1:16" hidden="1" x14ac:dyDescent="0.25">
      <c r="A1314" s="8">
        <v>1309</v>
      </c>
      <c r="B1314">
        <v>918</v>
      </c>
      <c r="C1314" s="27">
        <v>45652</v>
      </c>
      <c r="D1314" t="s">
        <v>1060</v>
      </c>
      <c r="E1314">
        <v>14.24</v>
      </c>
      <c r="F1314" t="s">
        <v>88</v>
      </c>
      <c r="G1314" t="s">
        <v>107</v>
      </c>
      <c r="H1314" t="s">
        <v>14</v>
      </c>
      <c r="I1314" t="s">
        <v>69</v>
      </c>
      <c r="J1314" s="27">
        <v>45627</v>
      </c>
      <c r="K1314">
        <v>2024</v>
      </c>
      <c r="L1314" s="27">
        <v>45652</v>
      </c>
      <c r="M1314">
        <v>579.44999999999368</v>
      </c>
      <c r="N1314">
        <v>80</v>
      </c>
      <c r="O1314" t="s">
        <v>90</v>
      </c>
      <c r="P1314">
        <f t="shared" si="21"/>
        <v>0</v>
      </c>
    </row>
    <row r="1315" spans="1:16" hidden="1" x14ac:dyDescent="0.25">
      <c r="A1315" s="8">
        <v>1310</v>
      </c>
      <c r="B1315">
        <v>919</v>
      </c>
      <c r="C1315" s="27">
        <v>45653</v>
      </c>
      <c r="D1315" t="s">
        <v>929</v>
      </c>
      <c r="E1315">
        <v>8.5</v>
      </c>
      <c r="F1315" t="s">
        <v>88</v>
      </c>
      <c r="G1315" t="s">
        <v>114</v>
      </c>
      <c r="H1315" t="s">
        <v>14</v>
      </c>
      <c r="I1315" t="s">
        <v>93</v>
      </c>
      <c r="J1315" s="27">
        <v>45627</v>
      </c>
      <c r="K1315">
        <v>2024</v>
      </c>
      <c r="L1315" s="27">
        <v>45653</v>
      </c>
      <c r="M1315">
        <v>587.94999999999368</v>
      </c>
      <c r="N1315">
        <v>97</v>
      </c>
      <c r="O1315" t="s">
        <v>90</v>
      </c>
      <c r="P1315">
        <f t="shared" si="21"/>
        <v>0</v>
      </c>
    </row>
    <row r="1316" spans="1:16" hidden="1" x14ac:dyDescent="0.25">
      <c r="A1316" s="8">
        <v>1311</v>
      </c>
      <c r="B1316">
        <v>920</v>
      </c>
      <c r="C1316" s="27">
        <v>45653</v>
      </c>
      <c r="D1316" t="s">
        <v>955</v>
      </c>
      <c r="E1316">
        <v>59.99</v>
      </c>
      <c r="F1316" t="s">
        <v>88</v>
      </c>
      <c r="G1316" t="s">
        <v>214</v>
      </c>
      <c r="H1316" t="s">
        <v>28</v>
      </c>
      <c r="I1316" t="s">
        <v>69</v>
      </c>
      <c r="J1316" s="27">
        <v>45627</v>
      </c>
      <c r="K1316">
        <v>2024</v>
      </c>
      <c r="L1316" s="27">
        <v>45653</v>
      </c>
      <c r="M1316">
        <v>647.93999999999369</v>
      </c>
      <c r="N1316">
        <v>12</v>
      </c>
      <c r="O1316" t="s">
        <v>90</v>
      </c>
      <c r="P1316">
        <f t="shared" si="21"/>
        <v>0</v>
      </c>
    </row>
    <row r="1317" spans="1:16" hidden="1" x14ac:dyDescent="0.25">
      <c r="A1317" s="8">
        <v>1312</v>
      </c>
      <c r="B1317">
        <v>921</v>
      </c>
      <c r="C1317" s="27">
        <v>45653</v>
      </c>
      <c r="D1317" t="s">
        <v>1061</v>
      </c>
      <c r="E1317">
        <v>43.84</v>
      </c>
      <c r="F1317" t="s">
        <v>88</v>
      </c>
      <c r="G1317" t="s">
        <v>107</v>
      </c>
      <c r="H1317" t="s">
        <v>14</v>
      </c>
      <c r="I1317" t="s">
        <v>69</v>
      </c>
      <c r="J1317" s="27">
        <v>45627</v>
      </c>
      <c r="K1317">
        <v>2024</v>
      </c>
      <c r="L1317" s="27">
        <v>45653</v>
      </c>
      <c r="M1317">
        <v>691.77999999999372</v>
      </c>
      <c r="N1317">
        <v>81</v>
      </c>
      <c r="O1317" t="s">
        <v>90</v>
      </c>
      <c r="P1317">
        <f t="shared" si="21"/>
        <v>0</v>
      </c>
    </row>
    <row r="1318" spans="1:16" hidden="1" x14ac:dyDescent="0.25">
      <c r="A1318" s="8">
        <v>1313</v>
      </c>
      <c r="B1318">
        <v>922</v>
      </c>
      <c r="C1318" s="27">
        <v>45653</v>
      </c>
      <c r="D1318" t="s">
        <v>963</v>
      </c>
      <c r="E1318">
        <v>11.9</v>
      </c>
      <c r="F1318" t="s">
        <v>88</v>
      </c>
      <c r="G1318" t="s">
        <v>114</v>
      </c>
      <c r="H1318" t="s">
        <v>14</v>
      </c>
      <c r="I1318" t="s">
        <v>93</v>
      </c>
      <c r="J1318" s="27">
        <v>45627</v>
      </c>
      <c r="K1318">
        <v>2024</v>
      </c>
      <c r="L1318" s="27">
        <v>45653</v>
      </c>
      <c r="M1318">
        <v>703.6799999999937</v>
      </c>
      <c r="N1318">
        <v>98</v>
      </c>
      <c r="O1318" t="s">
        <v>90</v>
      </c>
      <c r="P1318">
        <f t="shared" ref="P1318:P1381" si="22">IF(J1318&lt;&gt;J1319, 1, 0)</f>
        <v>0</v>
      </c>
    </row>
    <row r="1319" spans="1:16" hidden="1" x14ac:dyDescent="0.25">
      <c r="A1319" s="8">
        <v>1314</v>
      </c>
      <c r="B1319">
        <v>923</v>
      </c>
      <c r="C1319" s="27">
        <v>45653</v>
      </c>
      <c r="D1319" t="s">
        <v>623</v>
      </c>
      <c r="E1319">
        <v>44.65</v>
      </c>
      <c r="F1319" t="s">
        <v>624</v>
      </c>
      <c r="G1319" t="s">
        <v>247</v>
      </c>
      <c r="H1319" t="s">
        <v>14</v>
      </c>
      <c r="I1319" t="s">
        <v>44</v>
      </c>
      <c r="J1319" s="27">
        <v>45627</v>
      </c>
      <c r="K1319">
        <v>2024</v>
      </c>
      <c r="L1319" s="27">
        <v>45653</v>
      </c>
      <c r="M1319">
        <v>748.32999999999367</v>
      </c>
      <c r="N1319">
        <v>5</v>
      </c>
      <c r="O1319" t="s">
        <v>90</v>
      </c>
      <c r="P1319">
        <f t="shared" si="22"/>
        <v>0</v>
      </c>
    </row>
    <row r="1320" spans="1:16" hidden="1" x14ac:dyDescent="0.25">
      <c r="A1320" s="8">
        <v>1315</v>
      </c>
      <c r="B1320">
        <v>924</v>
      </c>
      <c r="C1320" s="27">
        <v>45654</v>
      </c>
      <c r="D1320" t="s">
        <v>951</v>
      </c>
      <c r="E1320">
        <v>50</v>
      </c>
      <c r="F1320" t="s">
        <v>88</v>
      </c>
      <c r="G1320" t="s">
        <v>172</v>
      </c>
      <c r="H1320" t="s">
        <v>14</v>
      </c>
      <c r="I1320" t="s">
        <v>15</v>
      </c>
      <c r="J1320" s="27">
        <v>45627</v>
      </c>
      <c r="K1320">
        <v>2024</v>
      </c>
      <c r="L1320" s="27">
        <v>45654</v>
      </c>
      <c r="M1320">
        <v>798.32999999999367</v>
      </c>
      <c r="N1320">
        <v>15</v>
      </c>
      <c r="O1320" t="s">
        <v>90</v>
      </c>
      <c r="P1320">
        <f t="shared" si="22"/>
        <v>0</v>
      </c>
    </row>
    <row r="1321" spans="1:16" hidden="1" x14ac:dyDescent="0.25">
      <c r="A1321" s="8">
        <v>1316</v>
      </c>
      <c r="B1321">
        <v>925</v>
      </c>
      <c r="C1321" s="27">
        <v>45654</v>
      </c>
      <c r="D1321" t="s">
        <v>929</v>
      </c>
      <c r="E1321">
        <v>5</v>
      </c>
      <c r="F1321" t="s">
        <v>88</v>
      </c>
      <c r="G1321" t="s">
        <v>114</v>
      </c>
      <c r="H1321" t="s">
        <v>14</v>
      </c>
      <c r="I1321" t="s">
        <v>93</v>
      </c>
      <c r="J1321" s="27">
        <v>45627</v>
      </c>
      <c r="K1321">
        <v>2024</v>
      </c>
      <c r="L1321" s="27">
        <v>45654</v>
      </c>
      <c r="M1321">
        <v>803.32999999999367</v>
      </c>
      <c r="N1321">
        <v>99</v>
      </c>
      <c r="O1321" t="s">
        <v>90</v>
      </c>
      <c r="P1321">
        <f t="shared" si="22"/>
        <v>0</v>
      </c>
    </row>
    <row r="1322" spans="1:16" hidden="1" x14ac:dyDescent="0.25">
      <c r="A1322" s="8">
        <v>1317</v>
      </c>
      <c r="B1322">
        <v>926</v>
      </c>
      <c r="C1322" s="27">
        <v>45655</v>
      </c>
      <c r="D1322" t="s">
        <v>189</v>
      </c>
      <c r="E1322">
        <v>63.28</v>
      </c>
      <c r="F1322" t="s">
        <v>106</v>
      </c>
      <c r="G1322" t="s">
        <v>137</v>
      </c>
      <c r="H1322" t="s">
        <v>14</v>
      </c>
      <c r="I1322" t="s">
        <v>118</v>
      </c>
      <c r="J1322" s="27">
        <v>45627</v>
      </c>
      <c r="K1322">
        <v>2024</v>
      </c>
      <c r="L1322" s="27">
        <v>45655</v>
      </c>
      <c r="M1322">
        <v>866.60999999999365</v>
      </c>
      <c r="N1322">
        <v>47</v>
      </c>
      <c r="O1322" t="s">
        <v>90</v>
      </c>
      <c r="P1322">
        <f t="shared" si="22"/>
        <v>0</v>
      </c>
    </row>
    <row r="1323" spans="1:16" hidden="1" x14ac:dyDescent="0.25">
      <c r="A1323" s="8">
        <v>1318</v>
      </c>
      <c r="B1323">
        <v>927</v>
      </c>
      <c r="C1323" s="27">
        <v>45656</v>
      </c>
      <c r="D1323" t="s">
        <v>1022</v>
      </c>
      <c r="E1323">
        <v>15.89</v>
      </c>
      <c r="F1323" t="s">
        <v>88</v>
      </c>
      <c r="G1323" t="s">
        <v>962</v>
      </c>
      <c r="H1323" t="s">
        <v>14</v>
      </c>
      <c r="I1323" t="s">
        <v>93</v>
      </c>
      <c r="J1323" s="27">
        <v>45627</v>
      </c>
      <c r="K1323">
        <v>2024</v>
      </c>
      <c r="L1323" s="27">
        <v>45656</v>
      </c>
      <c r="M1323">
        <v>882.49999999999363</v>
      </c>
      <c r="N1323">
        <v>3</v>
      </c>
      <c r="O1323" t="s">
        <v>90</v>
      </c>
      <c r="P1323">
        <f t="shared" si="22"/>
        <v>1</v>
      </c>
    </row>
    <row r="1324" spans="1:16" hidden="1" x14ac:dyDescent="0.25">
      <c r="A1324" s="8">
        <v>1319</v>
      </c>
      <c r="B1324">
        <v>0</v>
      </c>
      <c r="C1324" s="27">
        <v>45293</v>
      </c>
      <c r="D1324" t="s">
        <v>334</v>
      </c>
      <c r="E1324">
        <v>-1568.14</v>
      </c>
      <c r="G1324" t="s">
        <v>46</v>
      </c>
      <c r="H1324" t="s">
        <v>14</v>
      </c>
      <c r="J1324" s="27">
        <v>45292</v>
      </c>
      <c r="K1324">
        <v>2024</v>
      </c>
      <c r="L1324" s="27">
        <v>45293</v>
      </c>
      <c r="M1324">
        <v>1883.61</v>
      </c>
      <c r="N1324">
        <v>1</v>
      </c>
      <c r="O1324" t="s">
        <v>335</v>
      </c>
      <c r="P1324">
        <f t="shared" si="22"/>
        <v>0</v>
      </c>
    </row>
    <row r="1325" spans="1:16" hidden="1" x14ac:dyDescent="0.25">
      <c r="A1325" s="8">
        <v>1320</v>
      </c>
      <c r="B1325">
        <v>1</v>
      </c>
      <c r="C1325" s="27">
        <v>45300</v>
      </c>
      <c r="D1325" t="s">
        <v>336</v>
      </c>
      <c r="E1325">
        <v>2845.53</v>
      </c>
      <c r="G1325" t="s">
        <v>337</v>
      </c>
      <c r="H1325" t="s">
        <v>14</v>
      </c>
      <c r="I1325" t="s">
        <v>338</v>
      </c>
      <c r="J1325" s="27">
        <v>45292</v>
      </c>
      <c r="K1325">
        <v>2024</v>
      </c>
      <c r="L1325" s="27">
        <v>45300</v>
      </c>
      <c r="M1325">
        <v>4729.1400000000003</v>
      </c>
      <c r="N1325">
        <v>1</v>
      </c>
      <c r="O1325" t="s">
        <v>335</v>
      </c>
      <c r="P1325">
        <f t="shared" si="22"/>
        <v>0</v>
      </c>
    </row>
    <row r="1326" spans="1:16" hidden="1" x14ac:dyDescent="0.25">
      <c r="A1326" s="8">
        <v>1321</v>
      </c>
      <c r="B1326">
        <v>2</v>
      </c>
      <c r="C1326" s="27">
        <v>45302</v>
      </c>
      <c r="D1326" t="s">
        <v>334</v>
      </c>
      <c r="E1326">
        <v>-1382.28</v>
      </c>
      <c r="G1326" t="s">
        <v>46</v>
      </c>
      <c r="H1326" t="s">
        <v>14</v>
      </c>
      <c r="J1326" s="27">
        <v>45292</v>
      </c>
      <c r="K1326">
        <v>2024</v>
      </c>
      <c r="L1326" s="27">
        <v>45302</v>
      </c>
      <c r="M1326">
        <v>3346.86</v>
      </c>
      <c r="N1326">
        <v>2</v>
      </c>
      <c r="O1326" t="s">
        <v>335</v>
      </c>
      <c r="P1326">
        <f t="shared" si="22"/>
        <v>0</v>
      </c>
    </row>
    <row r="1327" spans="1:16" hidden="1" x14ac:dyDescent="0.25">
      <c r="A1327" s="8">
        <v>1322</v>
      </c>
      <c r="B1327">
        <v>3</v>
      </c>
      <c r="C1327" s="27">
        <v>45307</v>
      </c>
      <c r="D1327" t="s">
        <v>339</v>
      </c>
      <c r="E1327">
        <v>-932</v>
      </c>
      <c r="G1327" t="s">
        <v>340</v>
      </c>
      <c r="H1327" t="s">
        <v>14</v>
      </c>
      <c r="I1327" t="s">
        <v>69</v>
      </c>
      <c r="J1327" s="27">
        <v>45292</v>
      </c>
      <c r="K1327">
        <v>2024</v>
      </c>
      <c r="L1327" s="27">
        <v>45307</v>
      </c>
      <c r="M1327">
        <v>2414.86</v>
      </c>
      <c r="N1327">
        <v>1</v>
      </c>
      <c r="O1327" t="s">
        <v>335</v>
      </c>
      <c r="P1327">
        <f t="shared" si="22"/>
        <v>0</v>
      </c>
    </row>
    <row r="1328" spans="1:16" hidden="1" x14ac:dyDescent="0.25">
      <c r="A1328" s="8">
        <v>1323</v>
      </c>
      <c r="B1328">
        <v>4</v>
      </c>
      <c r="C1328" s="27">
        <v>45314</v>
      </c>
      <c r="D1328" t="s">
        <v>336</v>
      </c>
      <c r="E1328">
        <v>2845.53</v>
      </c>
      <c r="G1328" t="s">
        <v>337</v>
      </c>
      <c r="H1328" t="s">
        <v>14</v>
      </c>
      <c r="I1328" t="s">
        <v>338</v>
      </c>
      <c r="J1328" s="27">
        <v>45292</v>
      </c>
      <c r="K1328">
        <v>2024</v>
      </c>
      <c r="L1328" s="27">
        <v>45314</v>
      </c>
      <c r="M1328">
        <v>5105.3900000000003</v>
      </c>
      <c r="N1328">
        <v>2</v>
      </c>
      <c r="O1328" t="s">
        <v>335</v>
      </c>
      <c r="P1328">
        <f t="shared" si="22"/>
        <v>0</v>
      </c>
    </row>
    <row r="1329" spans="1:16" hidden="1" x14ac:dyDescent="0.25">
      <c r="A1329" s="8">
        <v>1324</v>
      </c>
      <c r="B1329">
        <v>5</v>
      </c>
      <c r="C1329" s="27">
        <v>45314</v>
      </c>
      <c r="D1329" t="s">
        <v>341</v>
      </c>
      <c r="E1329">
        <v>-155</v>
      </c>
      <c r="G1329" t="s">
        <v>46</v>
      </c>
      <c r="H1329" t="s">
        <v>14</v>
      </c>
      <c r="J1329" s="27">
        <v>45292</v>
      </c>
      <c r="K1329">
        <v>2024</v>
      </c>
      <c r="L1329" s="27">
        <v>45314</v>
      </c>
      <c r="M1329">
        <v>2259.86</v>
      </c>
      <c r="N1329">
        <v>3</v>
      </c>
      <c r="O1329" t="s">
        <v>335</v>
      </c>
      <c r="P1329">
        <f t="shared" si="22"/>
        <v>0</v>
      </c>
    </row>
    <row r="1330" spans="1:16" hidden="1" x14ac:dyDescent="0.25">
      <c r="A1330" s="8">
        <v>1325</v>
      </c>
      <c r="B1330">
        <v>6</v>
      </c>
      <c r="C1330" s="27">
        <v>45315</v>
      </c>
      <c r="D1330" t="s">
        <v>341</v>
      </c>
      <c r="E1330">
        <v>-1804</v>
      </c>
      <c r="G1330" t="s">
        <v>46</v>
      </c>
      <c r="H1330" t="s">
        <v>14</v>
      </c>
      <c r="J1330" s="27">
        <v>45292</v>
      </c>
      <c r="K1330">
        <v>2024</v>
      </c>
      <c r="L1330" s="27">
        <v>45315</v>
      </c>
      <c r="M1330">
        <v>3301.39</v>
      </c>
      <c r="N1330">
        <v>4</v>
      </c>
      <c r="O1330" t="s">
        <v>335</v>
      </c>
      <c r="P1330">
        <f t="shared" si="22"/>
        <v>0</v>
      </c>
    </row>
    <row r="1331" spans="1:16" hidden="1" x14ac:dyDescent="0.25">
      <c r="A1331" s="8">
        <v>1326</v>
      </c>
      <c r="B1331">
        <v>7</v>
      </c>
      <c r="C1331" s="27">
        <v>45316</v>
      </c>
      <c r="D1331" t="s">
        <v>342</v>
      </c>
      <c r="E1331">
        <v>500</v>
      </c>
      <c r="G1331" t="s">
        <v>46</v>
      </c>
      <c r="H1331" t="s">
        <v>14</v>
      </c>
      <c r="J1331" s="27">
        <v>45292</v>
      </c>
      <c r="K1331">
        <v>2024</v>
      </c>
      <c r="L1331" s="27">
        <v>45316</v>
      </c>
      <c r="M1331">
        <v>3801.39</v>
      </c>
      <c r="N1331">
        <v>5</v>
      </c>
      <c r="O1331" t="s">
        <v>335</v>
      </c>
      <c r="P1331">
        <f t="shared" si="22"/>
        <v>0</v>
      </c>
    </row>
    <row r="1332" spans="1:16" hidden="1" x14ac:dyDescent="0.25">
      <c r="A1332" s="8">
        <v>1327</v>
      </c>
      <c r="B1332">
        <v>8</v>
      </c>
      <c r="C1332" s="27">
        <v>45317</v>
      </c>
      <c r="D1332" t="s">
        <v>334</v>
      </c>
      <c r="E1332">
        <v>-2068.37</v>
      </c>
      <c r="G1332" t="s">
        <v>46</v>
      </c>
      <c r="H1332" t="s">
        <v>14</v>
      </c>
      <c r="J1332" s="27">
        <v>45292</v>
      </c>
      <c r="K1332">
        <v>2024</v>
      </c>
      <c r="L1332" s="27">
        <v>45317</v>
      </c>
      <c r="M1332">
        <v>1733.02</v>
      </c>
      <c r="N1332">
        <v>6</v>
      </c>
      <c r="O1332" t="s">
        <v>335</v>
      </c>
      <c r="P1332">
        <f t="shared" si="22"/>
        <v>0</v>
      </c>
    </row>
    <row r="1333" spans="1:16" hidden="1" x14ac:dyDescent="0.25">
      <c r="A1333" s="8">
        <v>1328</v>
      </c>
      <c r="B1333">
        <v>9</v>
      </c>
      <c r="C1333" s="27">
        <v>45322</v>
      </c>
      <c r="D1333" t="s">
        <v>343</v>
      </c>
      <c r="E1333">
        <v>10.14</v>
      </c>
      <c r="G1333" t="s">
        <v>344</v>
      </c>
      <c r="H1333" t="s">
        <v>14</v>
      </c>
      <c r="I1333" t="s">
        <v>80</v>
      </c>
      <c r="J1333" s="27">
        <v>45292</v>
      </c>
      <c r="K1333">
        <v>2024</v>
      </c>
      <c r="L1333" s="27">
        <v>45322</v>
      </c>
      <c r="M1333">
        <v>1743.16</v>
      </c>
      <c r="N1333">
        <v>1</v>
      </c>
      <c r="O1333" t="s">
        <v>335</v>
      </c>
      <c r="P1333">
        <f t="shared" si="22"/>
        <v>1</v>
      </c>
    </row>
    <row r="1334" spans="1:16" hidden="1" x14ac:dyDescent="0.25">
      <c r="A1334" s="8">
        <v>1329</v>
      </c>
      <c r="B1334">
        <v>10</v>
      </c>
      <c r="C1334" s="27">
        <v>45323</v>
      </c>
      <c r="D1334" t="s">
        <v>341</v>
      </c>
      <c r="E1334">
        <v>-450</v>
      </c>
      <c r="G1334" t="s">
        <v>46</v>
      </c>
      <c r="H1334" t="s">
        <v>14</v>
      </c>
      <c r="J1334" s="27">
        <v>45323</v>
      </c>
      <c r="K1334">
        <v>2024</v>
      </c>
      <c r="L1334" s="27">
        <v>45323</v>
      </c>
      <c r="M1334">
        <v>1293.1600000000001</v>
      </c>
      <c r="N1334">
        <v>7</v>
      </c>
      <c r="O1334" t="s">
        <v>335</v>
      </c>
      <c r="P1334">
        <f t="shared" si="22"/>
        <v>0</v>
      </c>
    </row>
    <row r="1335" spans="1:16" hidden="1" x14ac:dyDescent="0.25">
      <c r="A1335" s="8">
        <v>1330</v>
      </c>
      <c r="B1335">
        <v>11</v>
      </c>
      <c r="C1335" s="27">
        <v>45328</v>
      </c>
      <c r="D1335" t="s">
        <v>336</v>
      </c>
      <c r="E1335">
        <v>4832.5600000000004</v>
      </c>
      <c r="G1335" t="s">
        <v>337</v>
      </c>
      <c r="H1335" t="s">
        <v>14</v>
      </c>
      <c r="I1335" t="s">
        <v>338</v>
      </c>
      <c r="J1335" s="27">
        <v>45323</v>
      </c>
      <c r="K1335">
        <v>2024</v>
      </c>
      <c r="L1335" s="27">
        <v>45328</v>
      </c>
      <c r="M1335">
        <v>6125.72</v>
      </c>
      <c r="N1335">
        <v>3</v>
      </c>
      <c r="O1335" t="s">
        <v>335</v>
      </c>
      <c r="P1335">
        <f t="shared" si="22"/>
        <v>0</v>
      </c>
    </row>
    <row r="1336" spans="1:16" hidden="1" x14ac:dyDescent="0.25">
      <c r="A1336" s="8">
        <v>1331</v>
      </c>
      <c r="B1336">
        <v>12</v>
      </c>
      <c r="C1336" s="27">
        <v>45329</v>
      </c>
      <c r="D1336" t="s">
        <v>341</v>
      </c>
      <c r="E1336">
        <v>-3610</v>
      </c>
      <c r="G1336" t="s">
        <v>46</v>
      </c>
      <c r="H1336" t="s">
        <v>14</v>
      </c>
      <c r="J1336" s="27">
        <v>45323</v>
      </c>
      <c r="K1336">
        <v>2024</v>
      </c>
      <c r="L1336" s="27">
        <v>45329</v>
      </c>
      <c r="M1336">
        <v>2515.7199999999998</v>
      </c>
      <c r="N1336">
        <v>8</v>
      </c>
      <c r="O1336" t="s">
        <v>335</v>
      </c>
      <c r="P1336">
        <f t="shared" si="22"/>
        <v>0</v>
      </c>
    </row>
    <row r="1337" spans="1:16" hidden="1" x14ac:dyDescent="0.25">
      <c r="A1337" s="8">
        <v>1332</v>
      </c>
      <c r="B1337">
        <v>13</v>
      </c>
      <c r="C1337" s="27">
        <v>45330</v>
      </c>
      <c r="D1337" t="s">
        <v>334</v>
      </c>
      <c r="E1337">
        <v>-1166.54</v>
      </c>
      <c r="G1337" t="s">
        <v>46</v>
      </c>
      <c r="H1337" t="s">
        <v>14</v>
      </c>
      <c r="J1337" s="27">
        <v>45323</v>
      </c>
      <c r="K1337">
        <v>2024</v>
      </c>
      <c r="L1337" s="27">
        <v>45330</v>
      </c>
      <c r="M1337">
        <v>1349.18</v>
      </c>
      <c r="N1337">
        <v>9</v>
      </c>
      <c r="O1337" t="s">
        <v>335</v>
      </c>
      <c r="P1337">
        <f t="shared" si="22"/>
        <v>0</v>
      </c>
    </row>
    <row r="1338" spans="1:16" hidden="1" x14ac:dyDescent="0.25">
      <c r="A1338" s="8">
        <v>1333</v>
      </c>
      <c r="B1338">
        <v>14</v>
      </c>
      <c r="C1338" s="27">
        <v>45330</v>
      </c>
      <c r="D1338" t="s">
        <v>341</v>
      </c>
      <c r="E1338">
        <v>-820</v>
      </c>
      <c r="G1338" t="s">
        <v>46</v>
      </c>
      <c r="H1338" t="s">
        <v>14</v>
      </c>
      <c r="J1338" s="27">
        <v>45323</v>
      </c>
      <c r="K1338">
        <v>2024</v>
      </c>
      <c r="L1338" s="27">
        <v>45330</v>
      </c>
      <c r="M1338">
        <v>529.17999999999995</v>
      </c>
      <c r="N1338">
        <v>10</v>
      </c>
      <c r="O1338" t="s">
        <v>335</v>
      </c>
      <c r="P1338">
        <f t="shared" si="22"/>
        <v>0</v>
      </c>
    </row>
    <row r="1339" spans="1:16" hidden="1" x14ac:dyDescent="0.25">
      <c r="A1339" s="8">
        <v>1334</v>
      </c>
      <c r="B1339">
        <v>15</v>
      </c>
      <c r="C1339" s="27">
        <v>45335</v>
      </c>
      <c r="D1339" t="s">
        <v>341</v>
      </c>
      <c r="E1339">
        <v>-155</v>
      </c>
      <c r="G1339" t="s">
        <v>46</v>
      </c>
      <c r="H1339" t="s">
        <v>14</v>
      </c>
      <c r="J1339" s="27">
        <v>45323</v>
      </c>
      <c r="K1339">
        <v>2024</v>
      </c>
      <c r="L1339" s="27">
        <v>45335</v>
      </c>
      <c r="M1339">
        <v>374.18</v>
      </c>
      <c r="N1339">
        <v>11</v>
      </c>
      <c r="O1339" t="s">
        <v>335</v>
      </c>
      <c r="P1339">
        <f t="shared" si="22"/>
        <v>0</v>
      </c>
    </row>
    <row r="1340" spans="1:16" hidden="1" x14ac:dyDescent="0.25">
      <c r="A1340" s="8">
        <v>1335</v>
      </c>
      <c r="B1340">
        <v>16</v>
      </c>
      <c r="C1340" s="27">
        <v>45335</v>
      </c>
      <c r="D1340" t="s">
        <v>345</v>
      </c>
      <c r="E1340">
        <v>75</v>
      </c>
      <c r="G1340" t="s">
        <v>337</v>
      </c>
      <c r="H1340" t="s">
        <v>14</v>
      </c>
      <c r="I1340" t="s">
        <v>338</v>
      </c>
      <c r="J1340" s="27">
        <v>45323</v>
      </c>
      <c r="K1340">
        <v>2024</v>
      </c>
      <c r="L1340" s="27">
        <v>45335</v>
      </c>
      <c r="M1340">
        <v>449.18</v>
      </c>
      <c r="N1340">
        <v>4</v>
      </c>
      <c r="O1340" t="s">
        <v>335</v>
      </c>
      <c r="P1340">
        <f t="shared" si="22"/>
        <v>0</v>
      </c>
    </row>
    <row r="1341" spans="1:16" hidden="1" x14ac:dyDescent="0.25">
      <c r="A1341" s="8">
        <v>1336</v>
      </c>
      <c r="B1341">
        <v>17</v>
      </c>
      <c r="C1341" s="27">
        <v>45339</v>
      </c>
      <c r="D1341" t="s">
        <v>341</v>
      </c>
      <c r="E1341">
        <v>-50</v>
      </c>
      <c r="G1341" t="s">
        <v>46</v>
      </c>
      <c r="H1341" t="s">
        <v>14</v>
      </c>
      <c r="J1341" s="27">
        <v>45323</v>
      </c>
      <c r="K1341">
        <v>2024</v>
      </c>
      <c r="L1341" s="27">
        <v>45339</v>
      </c>
      <c r="M1341">
        <v>399.18</v>
      </c>
      <c r="N1341">
        <v>12</v>
      </c>
      <c r="O1341" t="s">
        <v>335</v>
      </c>
      <c r="P1341">
        <f t="shared" si="22"/>
        <v>0</v>
      </c>
    </row>
    <row r="1342" spans="1:16" hidden="1" x14ac:dyDescent="0.25">
      <c r="A1342" s="8">
        <v>1337</v>
      </c>
      <c r="B1342">
        <v>18</v>
      </c>
      <c r="C1342" s="27">
        <v>45340</v>
      </c>
      <c r="D1342" t="s">
        <v>341</v>
      </c>
      <c r="E1342">
        <v>-50</v>
      </c>
      <c r="G1342" t="s">
        <v>46</v>
      </c>
      <c r="H1342" t="s">
        <v>14</v>
      </c>
      <c r="J1342" s="27">
        <v>45323</v>
      </c>
      <c r="K1342">
        <v>2024</v>
      </c>
      <c r="L1342" s="27">
        <v>45340</v>
      </c>
      <c r="M1342">
        <v>349.18</v>
      </c>
      <c r="N1342">
        <v>13</v>
      </c>
      <c r="O1342" t="s">
        <v>335</v>
      </c>
      <c r="P1342">
        <f t="shared" si="22"/>
        <v>0</v>
      </c>
    </row>
    <row r="1343" spans="1:16" hidden="1" x14ac:dyDescent="0.25">
      <c r="A1343" s="8">
        <v>1338</v>
      </c>
      <c r="B1343">
        <v>19</v>
      </c>
      <c r="C1343" s="27">
        <v>45342</v>
      </c>
      <c r="D1343" t="s">
        <v>336</v>
      </c>
      <c r="E1343">
        <v>2845.53</v>
      </c>
      <c r="G1343" t="s">
        <v>337</v>
      </c>
      <c r="H1343" t="s">
        <v>14</v>
      </c>
      <c r="I1343" t="s">
        <v>338</v>
      </c>
      <c r="J1343" s="27">
        <v>45323</v>
      </c>
      <c r="K1343">
        <v>2024</v>
      </c>
      <c r="L1343" s="27">
        <v>45342</v>
      </c>
      <c r="M1343">
        <v>3194.71</v>
      </c>
      <c r="N1343">
        <v>5</v>
      </c>
      <c r="O1343" t="s">
        <v>335</v>
      </c>
      <c r="P1343">
        <f t="shared" si="22"/>
        <v>0</v>
      </c>
    </row>
    <row r="1344" spans="1:16" hidden="1" x14ac:dyDescent="0.25">
      <c r="A1344" s="8">
        <v>1339</v>
      </c>
      <c r="B1344">
        <v>20</v>
      </c>
      <c r="C1344" s="27">
        <v>45344</v>
      </c>
      <c r="D1344" t="s">
        <v>334</v>
      </c>
      <c r="E1344">
        <v>-1263.1400000000001</v>
      </c>
      <c r="G1344" t="s">
        <v>46</v>
      </c>
      <c r="H1344" t="s">
        <v>14</v>
      </c>
      <c r="J1344" s="27">
        <v>45323</v>
      </c>
      <c r="K1344">
        <v>2024</v>
      </c>
      <c r="L1344" s="27">
        <v>45344</v>
      </c>
      <c r="M1344">
        <v>1931.57</v>
      </c>
      <c r="N1344">
        <v>14</v>
      </c>
      <c r="O1344" t="s">
        <v>335</v>
      </c>
      <c r="P1344">
        <f t="shared" si="22"/>
        <v>0</v>
      </c>
    </row>
    <row r="1345" spans="1:16" hidden="1" x14ac:dyDescent="0.25">
      <c r="A1345" s="8">
        <v>1340</v>
      </c>
      <c r="B1345">
        <v>21</v>
      </c>
      <c r="C1345" s="27">
        <v>45344</v>
      </c>
      <c r="D1345" t="s">
        <v>341</v>
      </c>
      <c r="E1345">
        <v>-900</v>
      </c>
      <c r="G1345" t="s">
        <v>46</v>
      </c>
      <c r="H1345" t="s">
        <v>14</v>
      </c>
      <c r="J1345" s="27">
        <v>45323</v>
      </c>
      <c r="K1345">
        <v>2024</v>
      </c>
      <c r="L1345" s="27">
        <v>45344</v>
      </c>
      <c r="M1345">
        <v>1031.57</v>
      </c>
      <c r="N1345">
        <v>15</v>
      </c>
      <c r="O1345" t="s">
        <v>335</v>
      </c>
      <c r="P1345">
        <f t="shared" si="22"/>
        <v>0</v>
      </c>
    </row>
    <row r="1346" spans="1:16" hidden="1" x14ac:dyDescent="0.25">
      <c r="A1346" s="8">
        <v>1341</v>
      </c>
      <c r="B1346">
        <v>22</v>
      </c>
      <c r="C1346" s="27">
        <v>45351</v>
      </c>
      <c r="D1346" t="s">
        <v>343</v>
      </c>
      <c r="E1346">
        <v>4.34</v>
      </c>
      <c r="G1346" t="s">
        <v>344</v>
      </c>
      <c r="H1346" t="s">
        <v>14</v>
      </c>
      <c r="I1346" t="s">
        <v>80</v>
      </c>
      <c r="J1346" s="27">
        <v>45323</v>
      </c>
      <c r="K1346">
        <v>2024</v>
      </c>
      <c r="L1346" s="27">
        <v>45351</v>
      </c>
      <c r="M1346">
        <v>1035.9100000000001</v>
      </c>
      <c r="N1346">
        <v>2</v>
      </c>
      <c r="O1346" t="s">
        <v>335</v>
      </c>
      <c r="P1346">
        <f t="shared" si="22"/>
        <v>1</v>
      </c>
    </row>
    <row r="1347" spans="1:16" hidden="1" x14ac:dyDescent="0.25">
      <c r="A1347" s="8">
        <v>1342</v>
      </c>
      <c r="B1347">
        <v>23</v>
      </c>
      <c r="C1347" s="27">
        <v>45352</v>
      </c>
      <c r="D1347" t="s">
        <v>341</v>
      </c>
      <c r="E1347">
        <v>-450</v>
      </c>
      <c r="G1347" t="s">
        <v>46</v>
      </c>
      <c r="H1347" t="s">
        <v>14</v>
      </c>
      <c r="J1347" s="27">
        <v>45352</v>
      </c>
      <c r="K1347">
        <v>2024</v>
      </c>
      <c r="L1347" s="27">
        <v>45352</v>
      </c>
      <c r="M1347">
        <v>585.91</v>
      </c>
      <c r="N1347">
        <v>16</v>
      </c>
      <c r="O1347" t="s">
        <v>335</v>
      </c>
      <c r="P1347">
        <f t="shared" si="22"/>
        <v>0</v>
      </c>
    </row>
    <row r="1348" spans="1:16" hidden="1" x14ac:dyDescent="0.25">
      <c r="A1348" s="8">
        <v>1343</v>
      </c>
      <c r="B1348">
        <v>24</v>
      </c>
      <c r="C1348" s="27">
        <v>45356</v>
      </c>
      <c r="D1348" t="s">
        <v>336</v>
      </c>
      <c r="E1348">
        <v>4149.3</v>
      </c>
      <c r="G1348" t="s">
        <v>337</v>
      </c>
      <c r="H1348" t="s">
        <v>14</v>
      </c>
      <c r="I1348" t="s">
        <v>338</v>
      </c>
      <c r="J1348" s="27">
        <v>45352</v>
      </c>
      <c r="K1348">
        <v>2024</v>
      </c>
      <c r="L1348" s="27">
        <v>45356</v>
      </c>
      <c r="M1348">
        <v>4735.21</v>
      </c>
      <c r="N1348">
        <v>6</v>
      </c>
      <c r="O1348" t="s">
        <v>335</v>
      </c>
      <c r="P1348">
        <f t="shared" si="22"/>
        <v>0</v>
      </c>
    </row>
    <row r="1349" spans="1:16" hidden="1" x14ac:dyDescent="0.25">
      <c r="A1349" s="8">
        <v>1344</v>
      </c>
      <c r="B1349">
        <v>25</v>
      </c>
      <c r="C1349" s="27">
        <v>45356</v>
      </c>
      <c r="D1349" t="s">
        <v>341</v>
      </c>
      <c r="E1349">
        <v>-1803.4</v>
      </c>
      <c r="G1349" t="s">
        <v>46</v>
      </c>
      <c r="H1349" t="s">
        <v>14</v>
      </c>
      <c r="J1349" s="27">
        <v>45352</v>
      </c>
      <c r="K1349">
        <v>2024</v>
      </c>
      <c r="L1349" s="27">
        <v>45356</v>
      </c>
      <c r="M1349">
        <v>2931.81</v>
      </c>
      <c r="N1349">
        <v>17</v>
      </c>
      <c r="O1349" t="s">
        <v>335</v>
      </c>
      <c r="P1349">
        <f t="shared" si="22"/>
        <v>0</v>
      </c>
    </row>
    <row r="1350" spans="1:16" hidden="1" x14ac:dyDescent="0.25">
      <c r="A1350" s="8">
        <v>1345</v>
      </c>
      <c r="B1350">
        <v>26</v>
      </c>
      <c r="C1350" s="27">
        <v>45356</v>
      </c>
      <c r="D1350" t="s">
        <v>341</v>
      </c>
      <c r="E1350">
        <v>-1473.72</v>
      </c>
      <c r="G1350" t="s">
        <v>46</v>
      </c>
      <c r="H1350" t="s">
        <v>14</v>
      </c>
      <c r="J1350" s="27">
        <v>45352</v>
      </c>
      <c r="K1350">
        <v>2024</v>
      </c>
      <c r="L1350" s="27">
        <v>45356</v>
      </c>
      <c r="M1350">
        <v>1458.09</v>
      </c>
      <c r="N1350">
        <v>18</v>
      </c>
      <c r="O1350" t="s">
        <v>335</v>
      </c>
      <c r="P1350">
        <f t="shared" si="22"/>
        <v>0</v>
      </c>
    </row>
    <row r="1351" spans="1:16" hidden="1" x14ac:dyDescent="0.25">
      <c r="A1351" s="8">
        <v>1346</v>
      </c>
      <c r="B1351">
        <v>27</v>
      </c>
      <c r="C1351" s="27">
        <v>45362</v>
      </c>
      <c r="D1351" t="s">
        <v>334</v>
      </c>
      <c r="E1351">
        <v>-541</v>
      </c>
      <c r="G1351" t="s">
        <v>46</v>
      </c>
      <c r="H1351" t="s">
        <v>14</v>
      </c>
      <c r="J1351" s="27">
        <v>45352</v>
      </c>
      <c r="K1351">
        <v>2024</v>
      </c>
      <c r="L1351" s="27">
        <v>45362</v>
      </c>
      <c r="M1351">
        <v>917.09</v>
      </c>
      <c r="N1351">
        <v>19</v>
      </c>
      <c r="O1351" t="s">
        <v>335</v>
      </c>
      <c r="P1351">
        <f t="shared" si="22"/>
        <v>0</v>
      </c>
    </row>
    <row r="1352" spans="1:16" hidden="1" x14ac:dyDescent="0.25">
      <c r="A1352" s="8">
        <v>1347</v>
      </c>
      <c r="B1352">
        <v>28</v>
      </c>
      <c r="C1352" s="27">
        <v>45362</v>
      </c>
      <c r="D1352" t="s">
        <v>341</v>
      </c>
      <c r="E1352">
        <v>-50</v>
      </c>
      <c r="G1352" t="s">
        <v>46</v>
      </c>
      <c r="H1352" t="s">
        <v>14</v>
      </c>
      <c r="J1352" s="27">
        <v>45352</v>
      </c>
      <c r="K1352">
        <v>2024</v>
      </c>
      <c r="L1352" s="27">
        <v>45362</v>
      </c>
      <c r="M1352">
        <v>867.09</v>
      </c>
      <c r="N1352">
        <v>20</v>
      </c>
      <c r="O1352" t="s">
        <v>335</v>
      </c>
      <c r="P1352">
        <f t="shared" si="22"/>
        <v>0</v>
      </c>
    </row>
    <row r="1353" spans="1:16" hidden="1" x14ac:dyDescent="0.25">
      <c r="A1353" s="8">
        <v>1348</v>
      </c>
      <c r="B1353">
        <v>29</v>
      </c>
      <c r="C1353" s="27">
        <v>45364</v>
      </c>
      <c r="D1353" t="s">
        <v>341</v>
      </c>
      <c r="E1353">
        <v>-155</v>
      </c>
      <c r="G1353" t="s">
        <v>46</v>
      </c>
      <c r="H1353" t="s">
        <v>14</v>
      </c>
      <c r="J1353" s="27">
        <v>45352</v>
      </c>
      <c r="K1353">
        <v>2024</v>
      </c>
      <c r="L1353" s="27">
        <v>45364</v>
      </c>
      <c r="M1353">
        <v>712.09</v>
      </c>
      <c r="N1353">
        <v>21</v>
      </c>
      <c r="O1353" t="s">
        <v>335</v>
      </c>
      <c r="P1353">
        <f t="shared" si="22"/>
        <v>0</v>
      </c>
    </row>
    <row r="1354" spans="1:16" hidden="1" x14ac:dyDescent="0.25">
      <c r="A1354" s="8">
        <v>1349</v>
      </c>
      <c r="B1354">
        <v>30</v>
      </c>
      <c r="C1354" s="27">
        <v>45370</v>
      </c>
      <c r="D1354" t="s">
        <v>336</v>
      </c>
      <c r="E1354">
        <v>2989.48</v>
      </c>
      <c r="G1354" t="s">
        <v>337</v>
      </c>
      <c r="H1354" t="s">
        <v>14</v>
      </c>
      <c r="I1354" t="s">
        <v>338</v>
      </c>
      <c r="J1354" s="27">
        <v>45352</v>
      </c>
      <c r="K1354">
        <v>2024</v>
      </c>
      <c r="L1354" s="27">
        <v>45370</v>
      </c>
      <c r="M1354">
        <v>3701.57</v>
      </c>
      <c r="N1354">
        <v>7</v>
      </c>
      <c r="O1354" t="s">
        <v>335</v>
      </c>
      <c r="P1354">
        <f t="shared" si="22"/>
        <v>0</v>
      </c>
    </row>
    <row r="1355" spans="1:16" hidden="1" x14ac:dyDescent="0.25">
      <c r="A1355" s="8">
        <v>1350</v>
      </c>
      <c r="B1355">
        <v>31</v>
      </c>
      <c r="C1355" s="27">
        <v>45372</v>
      </c>
      <c r="D1355" t="s">
        <v>334</v>
      </c>
      <c r="E1355">
        <v>-2373.8000000000002</v>
      </c>
      <c r="G1355" t="s">
        <v>46</v>
      </c>
      <c r="H1355" t="s">
        <v>14</v>
      </c>
      <c r="J1355" s="27">
        <v>45352</v>
      </c>
      <c r="K1355">
        <v>2024</v>
      </c>
      <c r="L1355" s="27">
        <v>45372</v>
      </c>
      <c r="M1355">
        <v>1327.77</v>
      </c>
      <c r="N1355">
        <v>22</v>
      </c>
      <c r="O1355" t="s">
        <v>335</v>
      </c>
      <c r="P1355">
        <f t="shared" si="22"/>
        <v>0</v>
      </c>
    </row>
    <row r="1356" spans="1:16" hidden="1" x14ac:dyDescent="0.25">
      <c r="A1356" s="8">
        <v>1351</v>
      </c>
      <c r="B1356">
        <v>32</v>
      </c>
      <c r="C1356" s="27">
        <v>45382</v>
      </c>
      <c r="D1356" t="s">
        <v>343</v>
      </c>
      <c r="E1356">
        <v>4.8099999999999996</v>
      </c>
      <c r="G1356" t="s">
        <v>344</v>
      </c>
      <c r="H1356" t="s">
        <v>14</v>
      </c>
      <c r="I1356" t="s">
        <v>80</v>
      </c>
      <c r="J1356" s="27">
        <v>45352</v>
      </c>
      <c r="K1356">
        <v>2024</v>
      </c>
      <c r="L1356" s="27">
        <v>45382</v>
      </c>
      <c r="M1356">
        <v>1332.58</v>
      </c>
      <c r="N1356">
        <v>3</v>
      </c>
      <c r="O1356" t="s">
        <v>335</v>
      </c>
      <c r="P1356">
        <f t="shared" si="22"/>
        <v>1</v>
      </c>
    </row>
    <row r="1357" spans="1:16" hidden="1" x14ac:dyDescent="0.25">
      <c r="A1357" s="8">
        <v>1352</v>
      </c>
      <c r="B1357">
        <v>33</v>
      </c>
      <c r="C1357" s="27">
        <v>45383</v>
      </c>
      <c r="D1357" t="s">
        <v>341</v>
      </c>
      <c r="E1357">
        <v>-450</v>
      </c>
      <c r="G1357" t="s">
        <v>46</v>
      </c>
      <c r="H1357" t="s">
        <v>14</v>
      </c>
      <c r="J1357" s="27">
        <v>45383</v>
      </c>
      <c r="K1357">
        <v>2024</v>
      </c>
      <c r="L1357" s="27">
        <v>45383</v>
      </c>
      <c r="M1357">
        <v>882.58</v>
      </c>
      <c r="N1357">
        <v>23</v>
      </c>
      <c r="O1357" t="s">
        <v>335</v>
      </c>
      <c r="P1357">
        <f t="shared" si="22"/>
        <v>0</v>
      </c>
    </row>
    <row r="1358" spans="1:16" hidden="1" x14ac:dyDescent="0.25">
      <c r="A1358" s="8">
        <v>1353</v>
      </c>
      <c r="B1358">
        <v>34</v>
      </c>
      <c r="C1358" s="27">
        <v>45384</v>
      </c>
      <c r="D1358" t="s">
        <v>336</v>
      </c>
      <c r="E1358">
        <v>2989.48</v>
      </c>
      <c r="G1358" t="s">
        <v>337</v>
      </c>
      <c r="H1358" t="s">
        <v>14</v>
      </c>
      <c r="I1358" t="s">
        <v>338</v>
      </c>
      <c r="J1358" s="27">
        <v>45383</v>
      </c>
      <c r="K1358">
        <v>2024</v>
      </c>
      <c r="L1358" s="27">
        <v>45384</v>
      </c>
      <c r="M1358">
        <v>3872.06</v>
      </c>
      <c r="N1358">
        <v>8</v>
      </c>
      <c r="O1358" t="s">
        <v>335</v>
      </c>
      <c r="P1358">
        <f t="shared" si="22"/>
        <v>0</v>
      </c>
    </row>
    <row r="1359" spans="1:16" hidden="1" x14ac:dyDescent="0.25">
      <c r="A1359" s="8">
        <v>1354</v>
      </c>
      <c r="B1359">
        <v>35</v>
      </c>
      <c r="C1359" s="27">
        <v>45385</v>
      </c>
      <c r="D1359" t="s">
        <v>346</v>
      </c>
      <c r="E1359">
        <v>-2100</v>
      </c>
      <c r="G1359" t="s">
        <v>24</v>
      </c>
      <c r="H1359" t="s">
        <v>14</v>
      </c>
      <c r="I1359" t="s">
        <v>25</v>
      </c>
      <c r="J1359" s="27">
        <v>45383</v>
      </c>
      <c r="K1359">
        <v>2024</v>
      </c>
      <c r="L1359" s="27">
        <v>45385</v>
      </c>
      <c r="M1359">
        <v>1772.06</v>
      </c>
      <c r="N1359">
        <v>1</v>
      </c>
      <c r="O1359" t="s">
        <v>335</v>
      </c>
      <c r="P1359">
        <f t="shared" si="22"/>
        <v>0</v>
      </c>
    </row>
    <row r="1360" spans="1:16" hidden="1" x14ac:dyDescent="0.25">
      <c r="A1360" s="8">
        <v>1355</v>
      </c>
      <c r="B1360">
        <v>36</v>
      </c>
      <c r="C1360" s="27">
        <v>45386</v>
      </c>
      <c r="D1360" t="s">
        <v>347</v>
      </c>
      <c r="E1360">
        <v>1281</v>
      </c>
      <c r="G1360" t="s">
        <v>337</v>
      </c>
      <c r="H1360" t="s">
        <v>14</v>
      </c>
      <c r="I1360" t="s">
        <v>338</v>
      </c>
      <c r="J1360" s="27">
        <v>45383</v>
      </c>
      <c r="K1360">
        <v>2024</v>
      </c>
      <c r="L1360" s="27">
        <v>45386</v>
      </c>
      <c r="M1360">
        <v>3053.06</v>
      </c>
      <c r="N1360">
        <v>9</v>
      </c>
      <c r="O1360" t="s">
        <v>335</v>
      </c>
      <c r="P1360">
        <f t="shared" si="22"/>
        <v>0</v>
      </c>
    </row>
    <row r="1361" spans="1:16" hidden="1" x14ac:dyDescent="0.25">
      <c r="A1361" s="8">
        <v>1356</v>
      </c>
      <c r="B1361">
        <v>37</v>
      </c>
      <c r="C1361" s="27">
        <v>45387</v>
      </c>
      <c r="D1361" t="s">
        <v>334</v>
      </c>
      <c r="E1361">
        <v>-1420.5</v>
      </c>
      <c r="G1361" t="s">
        <v>46</v>
      </c>
      <c r="H1361" t="s">
        <v>14</v>
      </c>
      <c r="J1361" s="27">
        <v>45383</v>
      </c>
      <c r="K1361">
        <v>2024</v>
      </c>
      <c r="L1361" s="27">
        <v>45387</v>
      </c>
      <c r="M1361">
        <v>1632.56</v>
      </c>
      <c r="N1361">
        <v>24</v>
      </c>
      <c r="O1361" t="s">
        <v>335</v>
      </c>
      <c r="P1361">
        <f t="shared" si="22"/>
        <v>0</v>
      </c>
    </row>
    <row r="1362" spans="1:16" hidden="1" x14ac:dyDescent="0.25">
      <c r="A1362" s="8">
        <v>1357</v>
      </c>
      <c r="B1362">
        <v>38</v>
      </c>
      <c r="C1362" s="27">
        <v>45387</v>
      </c>
      <c r="D1362" t="s">
        <v>346</v>
      </c>
      <c r="E1362">
        <v>-200</v>
      </c>
      <c r="G1362" t="s">
        <v>46</v>
      </c>
      <c r="H1362" t="s">
        <v>14</v>
      </c>
      <c r="J1362" s="27">
        <v>45383</v>
      </c>
      <c r="K1362">
        <v>2024</v>
      </c>
      <c r="L1362" s="27">
        <v>45387</v>
      </c>
      <c r="M1362">
        <v>1432.56</v>
      </c>
      <c r="N1362">
        <v>25</v>
      </c>
      <c r="O1362" t="s">
        <v>335</v>
      </c>
      <c r="P1362">
        <f t="shared" si="22"/>
        <v>0</v>
      </c>
    </row>
    <row r="1363" spans="1:16" hidden="1" x14ac:dyDescent="0.25">
      <c r="A1363" s="8">
        <v>1358</v>
      </c>
      <c r="B1363">
        <v>39</v>
      </c>
      <c r="C1363" s="27">
        <v>45394</v>
      </c>
      <c r="D1363" t="s">
        <v>346</v>
      </c>
      <c r="E1363">
        <v>-200</v>
      </c>
      <c r="G1363" t="s">
        <v>46</v>
      </c>
      <c r="H1363" t="s">
        <v>14</v>
      </c>
      <c r="J1363" s="27">
        <v>45383</v>
      </c>
      <c r="K1363">
        <v>2024</v>
      </c>
      <c r="L1363" s="27">
        <v>45394</v>
      </c>
      <c r="M1363">
        <v>1232.56</v>
      </c>
      <c r="N1363">
        <v>26</v>
      </c>
      <c r="O1363" t="s">
        <v>335</v>
      </c>
      <c r="P1363">
        <f t="shared" si="22"/>
        <v>0</v>
      </c>
    </row>
    <row r="1364" spans="1:16" hidden="1" x14ac:dyDescent="0.25">
      <c r="A1364" s="8">
        <v>1359</v>
      </c>
      <c r="B1364">
        <v>40</v>
      </c>
      <c r="C1364" s="27">
        <v>45395</v>
      </c>
      <c r="D1364" t="s">
        <v>341</v>
      </c>
      <c r="E1364">
        <v>-155</v>
      </c>
      <c r="G1364" t="s">
        <v>46</v>
      </c>
      <c r="H1364" t="s">
        <v>14</v>
      </c>
      <c r="J1364" s="27">
        <v>45383</v>
      </c>
      <c r="K1364">
        <v>2024</v>
      </c>
      <c r="L1364" s="27">
        <v>45395</v>
      </c>
      <c r="M1364">
        <v>1077.56</v>
      </c>
      <c r="N1364">
        <v>27</v>
      </c>
      <c r="O1364" t="s">
        <v>335</v>
      </c>
      <c r="P1364">
        <f t="shared" si="22"/>
        <v>0</v>
      </c>
    </row>
    <row r="1365" spans="1:16" hidden="1" x14ac:dyDescent="0.25">
      <c r="A1365" s="8">
        <v>1360</v>
      </c>
      <c r="B1365">
        <v>41</v>
      </c>
      <c r="C1365" s="27">
        <v>45398</v>
      </c>
      <c r="D1365" t="s">
        <v>336</v>
      </c>
      <c r="E1365">
        <v>2989.48</v>
      </c>
      <c r="G1365" t="s">
        <v>337</v>
      </c>
      <c r="H1365" t="s">
        <v>14</v>
      </c>
      <c r="I1365" t="s">
        <v>338</v>
      </c>
      <c r="J1365" s="27">
        <v>45383</v>
      </c>
      <c r="K1365">
        <v>2024</v>
      </c>
      <c r="L1365" s="27">
        <v>45398</v>
      </c>
      <c r="M1365">
        <v>4067.04</v>
      </c>
      <c r="N1365">
        <v>10</v>
      </c>
      <c r="O1365" t="s">
        <v>335</v>
      </c>
      <c r="P1365">
        <f t="shared" si="22"/>
        <v>0</v>
      </c>
    </row>
    <row r="1366" spans="1:16" hidden="1" x14ac:dyDescent="0.25">
      <c r="A1366" s="8">
        <v>1361</v>
      </c>
      <c r="B1366">
        <v>42</v>
      </c>
      <c r="C1366" s="27">
        <v>45401</v>
      </c>
      <c r="D1366" t="s">
        <v>334</v>
      </c>
      <c r="E1366">
        <v>-2026.51</v>
      </c>
      <c r="G1366" t="s">
        <v>46</v>
      </c>
      <c r="H1366" t="s">
        <v>14</v>
      </c>
      <c r="J1366" s="27">
        <v>45383</v>
      </c>
      <c r="K1366">
        <v>2024</v>
      </c>
      <c r="L1366" s="27">
        <v>45401</v>
      </c>
      <c r="M1366">
        <v>2040.53</v>
      </c>
      <c r="N1366">
        <v>28</v>
      </c>
      <c r="O1366" t="s">
        <v>335</v>
      </c>
      <c r="P1366">
        <f t="shared" si="22"/>
        <v>0</v>
      </c>
    </row>
    <row r="1367" spans="1:16" hidden="1" x14ac:dyDescent="0.25">
      <c r="A1367" s="8">
        <v>1362</v>
      </c>
      <c r="B1367">
        <v>43</v>
      </c>
      <c r="C1367" s="27">
        <v>45404</v>
      </c>
      <c r="D1367" t="s">
        <v>342</v>
      </c>
      <c r="E1367">
        <v>-1020</v>
      </c>
      <c r="G1367" t="s">
        <v>46</v>
      </c>
      <c r="H1367" t="s">
        <v>14</v>
      </c>
      <c r="J1367" s="27">
        <v>45383</v>
      </c>
      <c r="K1367">
        <v>2024</v>
      </c>
      <c r="L1367" s="27">
        <v>45404</v>
      </c>
      <c r="M1367">
        <v>1020.53</v>
      </c>
      <c r="N1367">
        <v>29</v>
      </c>
      <c r="O1367" t="s">
        <v>335</v>
      </c>
      <c r="P1367">
        <f t="shared" si="22"/>
        <v>0</v>
      </c>
    </row>
    <row r="1368" spans="1:16" hidden="1" x14ac:dyDescent="0.25">
      <c r="A1368" s="8">
        <v>1363</v>
      </c>
      <c r="B1368">
        <v>44</v>
      </c>
      <c r="C1368" s="27">
        <v>45412</v>
      </c>
      <c r="D1368" t="s">
        <v>336</v>
      </c>
      <c r="E1368">
        <v>2989.48</v>
      </c>
      <c r="G1368" t="s">
        <v>337</v>
      </c>
      <c r="H1368" t="s">
        <v>14</v>
      </c>
      <c r="I1368" t="s">
        <v>338</v>
      </c>
      <c r="J1368" s="27">
        <v>45383</v>
      </c>
      <c r="K1368">
        <v>2024</v>
      </c>
      <c r="L1368" s="27">
        <v>45412</v>
      </c>
      <c r="M1368">
        <v>4010.01</v>
      </c>
      <c r="N1368">
        <v>11</v>
      </c>
      <c r="O1368" t="s">
        <v>335</v>
      </c>
      <c r="P1368">
        <f t="shared" si="22"/>
        <v>0</v>
      </c>
    </row>
    <row r="1369" spans="1:16" hidden="1" x14ac:dyDescent="0.25">
      <c r="A1369" s="8">
        <v>1364</v>
      </c>
      <c r="B1369">
        <v>45</v>
      </c>
      <c r="C1369" s="27">
        <v>45412</v>
      </c>
      <c r="D1369" t="s">
        <v>343</v>
      </c>
      <c r="E1369">
        <v>6.72</v>
      </c>
      <c r="G1369" t="s">
        <v>344</v>
      </c>
      <c r="H1369" t="s">
        <v>14</v>
      </c>
      <c r="I1369" t="s">
        <v>80</v>
      </c>
      <c r="J1369" s="27">
        <v>45383</v>
      </c>
      <c r="K1369">
        <v>2024</v>
      </c>
      <c r="L1369" s="27">
        <v>45412</v>
      </c>
      <c r="M1369">
        <v>4016.73</v>
      </c>
      <c r="N1369">
        <v>4</v>
      </c>
      <c r="O1369" t="s">
        <v>335</v>
      </c>
      <c r="P1369">
        <f t="shared" si="22"/>
        <v>1</v>
      </c>
    </row>
    <row r="1370" spans="1:16" hidden="1" x14ac:dyDescent="0.25">
      <c r="A1370" s="8">
        <v>1365</v>
      </c>
      <c r="B1370">
        <v>46</v>
      </c>
      <c r="C1370" s="27">
        <v>45413</v>
      </c>
      <c r="D1370" t="s">
        <v>341</v>
      </c>
      <c r="E1370">
        <v>-450</v>
      </c>
      <c r="G1370" t="s">
        <v>46</v>
      </c>
      <c r="H1370" t="s">
        <v>14</v>
      </c>
      <c r="J1370" s="27">
        <v>45413</v>
      </c>
      <c r="K1370">
        <v>2024</v>
      </c>
      <c r="L1370" s="27">
        <v>45413</v>
      </c>
      <c r="M1370">
        <v>3566.73</v>
      </c>
      <c r="N1370">
        <v>30</v>
      </c>
      <c r="O1370" t="s">
        <v>335</v>
      </c>
      <c r="P1370">
        <f t="shared" si="22"/>
        <v>0</v>
      </c>
    </row>
    <row r="1371" spans="1:16" hidden="1" x14ac:dyDescent="0.25">
      <c r="A1371" s="8">
        <v>1366</v>
      </c>
      <c r="B1371">
        <v>47</v>
      </c>
      <c r="C1371" s="27">
        <v>45418</v>
      </c>
      <c r="D1371" t="s">
        <v>334</v>
      </c>
      <c r="E1371">
        <v>-1229.23</v>
      </c>
      <c r="G1371" t="s">
        <v>46</v>
      </c>
      <c r="H1371" t="s">
        <v>14</v>
      </c>
      <c r="J1371" s="27">
        <v>45413</v>
      </c>
      <c r="K1371">
        <v>2024</v>
      </c>
      <c r="L1371" s="27">
        <v>45418</v>
      </c>
      <c r="M1371">
        <v>2337.5</v>
      </c>
      <c r="N1371">
        <v>31</v>
      </c>
      <c r="O1371" t="s">
        <v>335</v>
      </c>
      <c r="P1371">
        <f t="shared" si="22"/>
        <v>0</v>
      </c>
    </row>
    <row r="1372" spans="1:16" hidden="1" x14ac:dyDescent="0.25">
      <c r="A1372" s="8">
        <v>1367</v>
      </c>
      <c r="B1372">
        <v>48</v>
      </c>
      <c r="C1372" s="27">
        <v>45425</v>
      </c>
      <c r="D1372" t="s">
        <v>341</v>
      </c>
      <c r="E1372">
        <v>-155</v>
      </c>
      <c r="G1372" t="s">
        <v>46</v>
      </c>
      <c r="H1372" t="s">
        <v>14</v>
      </c>
      <c r="J1372" s="27">
        <v>45413</v>
      </c>
      <c r="K1372">
        <v>2024</v>
      </c>
      <c r="L1372" s="27">
        <v>45425</v>
      </c>
      <c r="M1372">
        <v>2182.5</v>
      </c>
      <c r="N1372">
        <v>32</v>
      </c>
      <c r="O1372" t="s">
        <v>335</v>
      </c>
      <c r="P1372">
        <f t="shared" si="22"/>
        <v>0</v>
      </c>
    </row>
    <row r="1373" spans="1:16" hidden="1" x14ac:dyDescent="0.25">
      <c r="A1373" s="8">
        <v>1368</v>
      </c>
      <c r="B1373">
        <v>49</v>
      </c>
      <c r="C1373" s="27">
        <v>45426</v>
      </c>
      <c r="D1373" t="s">
        <v>336</v>
      </c>
      <c r="E1373">
        <v>2989.48</v>
      </c>
      <c r="G1373" t="s">
        <v>337</v>
      </c>
      <c r="H1373" t="s">
        <v>14</v>
      </c>
      <c r="I1373" t="s">
        <v>338</v>
      </c>
      <c r="J1373" s="27">
        <v>45413</v>
      </c>
      <c r="K1373">
        <v>2024</v>
      </c>
      <c r="L1373" s="27">
        <v>45426</v>
      </c>
      <c r="M1373">
        <v>5171.9799999999996</v>
      </c>
      <c r="N1373">
        <v>12</v>
      </c>
      <c r="O1373" t="s">
        <v>335</v>
      </c>
      <c r="P1373">
        <f t="shared" si="22"/>
        <v>0</v>
      </c>
    </row>
    <row r="1374" spans="1:16" hidden="1" x14ac:dyDescent="0.25">
      <c r="A1374" s="8">
        <v>1369</v>
      </c>
      <c r="B1374">
        <v>50</v>
      </c>
      <c r="C1374" s="27">
        <v>45430</v>
      </c>
      <c r="D1374" t="s">
        <v>341</v>
      </c>
      <c r="E1374">
        <v>-1640</v>
      </c>
      <c r="G1374" t="s">
        <v>46</v>
      </c>
      <c r="H1374" t="s">
        <v>14</v>
      </c>
      <c r="J1374" s="27">
        <v>45413</v>
      </c>
      <c r="K1374">
        <v>2024</v>
      </c>
      <c r="L1374" s="27">
        <v>45430</v>
      </c>
      <c r="M1374">
        <v>3531.98</v>
      </c>
      <c r="N1374">
        <v>33</v>
      </c>
      <c r="O1374" t="s">
        <v>335</v>
      </c>
      <c r="P1374">
        <f t="shared" si="22"/>
        <v>0</v>
      </c>
    </row>
    <row r="1375" spans="1:16" hidden="1" x14ac:dyDescent="0.25">
      <c r="A1375" s="8">
        <v>1370</v>
      </c>
      <c r="B1375">
        <v>51</v>
      </c>
      <c r="C1375" s="27">
        <v>45432</v>
      </c>
      <c r="D1375" t="s">
        <v>334</v>
      </c>
      <c r="E1375">
        <v>-1365.39</v>
      </c>
      <c r="G1375" t="s">
        <v>46</v>
      </c>
      <c r="H1375" t="s">
        <v>14</v>
      </c>
      <c r="J1375" s="27">
        <v>45413</v>
      </c>
      <c r="K1375">
        <v>2024</v>
      </c>
      <c r="L1375" s="27">
        <v>45432</v>
      </c>
      <c r="M1375">
        <v>2166.59</v>
      </c>
      <c r="N1375">
        <v>34</v>
      </c>
      <c r="O1375" t="s">
        <v>335</v>
      </c>
      <c r="P1375">
        <f t="shared" si="22"/>
        <v>0</v>
      </c>
    </row>
    <row r="1376" spans="1:16" hidden="1" x14ac:dyDescent="0.25">
      <c r="A1376" s="8">
        <v>1371</v>
      </c>
      <c r="B1376">
        <v>52</v>
      </c>
      <c r="C1376" s="27">
        <v>45440</v>
      </c>
      <c r="D1376" t="s">
        <v>336</v>
      </c>
      <c r="E1376">
        <v>2989.48</v>
      </c>
      <c r="G1376" t="s">
        <v>337</v>
      </c>
      <c r="H1376" t="s">
        <v>14</v>
      </c>
      <c r="I1376" t="s">
        <v>338</v>
      </c>
      <c r="J1376" s="27">
        <v>45413</v>
      </c>
      <c r="K1376">
        <v>2024</v>
      </c>
      <c r="L1376" s="27">
        <v>45440</v>
      </c>
      <c r="M1376">
        <v>5156.07</v>
      </c>
      <c r="N1376">
        <v>13</v>
      </c>
      <c r="O1376" t="s">
        <v>335</v>
      </c>
      <c r="P1376">
        <f t="shared" si="22"/>
        <v>0</v>
      </c>
    </row>
    <row r="1377" spans="1:16" hidden="1" x14ac:dyDescent="0.25">
      <c r="A1377" s="8">
        <v>1372</v>
      </c>
      <c r="B1377">
        <v>53</v>
      </c>
      <c r="C1377" s="27">
        <v>45443</v>
      </c>
      <c r="D1377" t="s">
        <v>343</v>
      </c>
      <c r="E1377">
        <v>12.57</v>
      </c>
      <c r="G1377" t="s">
        <v>344</v>
      </c>
      <c r="H1377" t="s">
        <v>14</v>
      </c>
      <c r="I1377" t="s">
        <v>80</v>
      </c>
      <c r="J1377" s="27">
        <v>45413</v>
      </c>
      <c r="K1377">
        <v>2024</v>
      </c>
      <c r="L1377" s="27">
        <v>45443</v>
      </c>
      <c r="M1377">
        <v>5168.6400000000003</v>
      </c>
      <c r="N1377">
        <v>5</v>
      </c>
      <c r="O1377" t="s">
        <v>335</v>
      </c>
      <c r="P1377">
        <f t="shared" si="22"/>
        <v>1</v>
      </c>
    </row>
    <row r="1378" spans="1:16" hidden="1" x14ac:dyDescent="0.25">
      <c r="A1378" s="8">
        <v>1373</v>
      </c>
      <c r="B1378">
        <v>54</v>
      </c>
      <c r="C1378" s="27">
        <v>45444</v>
      </c>
      <c r="D1378" t="s">
        <v>341</v>
      </c>
      <c r="E1378">
        <v>-450</v>
      </c>
      <c r="G1378" t="s">
        <v>46</v>
      </c>
      <c r="H1378" t="s">
        <v>14</v>
      </c>
      <c r="J1378" s="27">
        <v>45444</v>
      </c>
      <c r="K1378">
        <v>2024</v>
      </c>
      <c r="L1378" s="27">
        <v>45444</v>
      </c>
      <c r="M1378">
        <v>4718.6400000000003</v>
      </c>
      <c r="N1378">
        <v>35</v>
      </c>
      <c r="O1378" t="s">
        <v>335</v>
      </c>
      <c r="P1378">
        <f t="shared" si="22"/>
        <v>0</v>
      </c>
    </row>
    <row r="1379" spans="1:16" hidden="1" x14ac:dyDescent="0.25">
      <c r="A1379" s="8">
        <v>1374</v>
      </c>
      <c r="B1379">
        <v>55</v>
      </c>
      <c r="C1379" s="27">
        <v>45448</v>
      </c>
      <c r="D1379" t="s">
        <v>342</v>
      </c>
      <c r="E1379">
        <v>-600</v>
      </c>
      <c r="G1379" t="s">
        <v>46</v>
      </c>
      <c r="H1379" t="s">
        <v>14</v>
      </c>
      <c r="J1379" s="27">
        <v>45444</v>
      </c>
      <c r="K1379">
        <v>2024</v>
      </c>
      <c r="L1379" s="27">
        <v>45448</v>
      </c>
      <c r="M1379">
        <v>4118.6400000000003</v>
      </c>
      <c r="N1379">
        <v>36</v>
      </c>
      <c r="O1379" t="s">
        <v>335</v>
      </c>
      <c r="P1379">
        <f t="shared" si="22"/>
        <v>0</v>
      </c>
    </row>
    <row r="1380" spans="1:16" hidden="1" x14ac:dyDescent="0.25">
      <c r="A1380" s="8">
        <v>1375</v>
      </c>
      <c r="B1380">
        <v>56</v>
      </c>
      <c r="C1380" s="27">
        <v>45454</v>
      </c>
      <c r="D1380" t="s">
        <v>336</v>
      </c>
      <c r="E1380">
        <v>2989.49</v>
      </c>
      <c r="G1380" t="s">
        <v>337</v>
      </c>
      <c r="H1380" t="s">
        <v>14</v>
      </c>
      <c r="I1380" t="s">
        <v>338</v>
      </c>
      <c r="J1380" s="27">
        <v>45444</v>
      </c>
      <c r="K1380">
        <v>2024</v>
      </c>
      <c r="L1380" s="27">
        <v>45454</v>
      </c>
      <c r="M1380">
        <v>7108.13</v>
      </c>
      <c r="N1380">
        <v>14</v>
      </c>
      <c r="O1380" t="s">
        <v>335</v>
      </c>
      <c r="P1380">
        <f t="shared" si="22"/>
        <v>0</v>
      </c>
    </row>
    <row r="1381" spans="1:16" hidden="1" x14ac:dyDescent="0.25">
      <c r="A1381" s="8">
        <v>1376</v>
      </c>
      <c r="B1381">
        <v>57</v>
      </c>
      <c r="C1381" s="27">
        <v>45456</v>
      </c>
      <c r="D1381" t="s">
        <v>334</v>
      </c>
      <c r="E1381">
        <v>-920.18</v>
      </c>
      <c r="G1381" t="s">
        <v>46</v>
      </c>
      <c r="H1381" t="s">
        <v>14</v>
      </c>
      <c r="J1381" s="27">
        <v>45444</v>
      </c>
      <c r="K1381">
        <v>2024</v>
      </c>
      <c r="L1381" s="27">
        <v>45456</v>
      </c>
      <c r="M1381">
        <v>6187.95</v>
      </c>
      <c r="N1381">
        <v>37</v>
      </c>
      <c r="O1381" t="s">
        <v>335</v>
      </c>
      <c r="P1381">
        <f t="shared" si="22"/>
        <v>0</v>
      </c>
    </row>
    <row r="1382" spans="1:16" hidden="1" x14ac:dyDescent="0.25">
      <c r="A1382" s="8">
        <v>1377</v>
      </c>
      <c r="B1382">
        <v>58</v>
      </c>
      <c r="C1382" s="27">
        <v>45456</v>
      </c>
      <c r="D1382" t="s">
        <v>341</v>
      </c>
      <c r="E1382">
        <v>-155</v>
      </c>
      <c r="G1382" t="s">
        <v>46</v>
      </c>
      <c r="H1382" t="s">
        <v>14</v>
      </c>
      <c r="J1382" s="27">
        <v>45444</v>
      </c>
      <c r="K1382">
        <v>2024</v>
      </c>
      <c r="L1382" s="27">
        <v>45456</v>
      </c>
      <c r="M1382">
        <v>6032.95</v>
      </c>
      <c r="N1382">
        <v>38</v>
      </c>
      <c r="O1382" t="s">
        <v>335</v>
      </c>
      <c r="P1382">
        <f t="shared" ref="P1382:P1445" si="23">IF(J1382&lt;&gt;J1383, 1, 0)</f>
        <v>0</v>
      </c>
    </row>
    <row r="1383" spans="1:16" hidden="1" x14ac:dyDescent="0.25">
      <c r="A1383" s="8">
        <v>1378</v>
      </c>
      <c r="B1383">
        <v>59</v>
      </c>
      <c r="C1383" s="27">
        <v>45459</v>
      </c>
      <c r="D1383" t="s">
        <v>341</v>
      </c>
      <c r="E1383">
        <v>-460</v>
      </c>
      <c r="G1383" t="s">
        <v>46</v>
      </c>
      <c r="H1383" t="s">
        <v>14</v>
      </c>
      <c r="J1383" s="27">
        <v>45444</v>
      </c>
      <c r="K1383">
        <v>2024</v>
      </c>
      <c r="L1383" s="27">
        <v>45459</v>
      </c>
      <c r="M1383">
        <v>5572.95</v>
      </c>
      <c r="N1383">
        <v>39</v>
      </c>
      <c r="O1383" t="s">
        <v>335</v>
      </c>
      <c r="P1383">
        <f t="shared" si="23"/>
        <v>0</v>
      </c>
    </row>
    <row r="1384" spans="1:16" hidden="1" x14ac:dyDescent="0.25">
      <c r="A1384" s="8">
        <v>1379</v>
      </c>
      <c r="B1384">
        <v>60</v>
      </c>
      <c r="C1384" s="27">
        <v>45459</v>
      </c>
      <c r="D1384" t="s">
        <v>341</v>
      </c>
      <c r="E1384">
        <v>-500</v>
      </c>
      <c r="G1384" t="s">
        <v>46</v>
      </c>
      <c r="H1384" t="s">
        <v>14</v>
      </c>
      <c r="J1384" s="27">
        <v>45444</v>
      </c>
      <c r="K1384">
        <v>2024</v>
      </c>
      <c r="L1384" s="27">
        <v>45459</v>
      </c>
      <c r="M1384">
        <v>5072.95</v>
      </c>
      <c r="N1384">
        <v>40</v>
      </c>
      <c r="O1384" t="s">
        <v>335</v>
      </c>
      <c r="P1384">
        <f t="shared" si="23"/>
        <v>0</v>
      </c>
    </row>
    <row r="1385" spans="1:16" hidden="1" x14ac:dyDescent="0.25">
      <c r="A1385" s="8">
        <v>1380</v>
      </c>
      <c r="B1385">
        <v>61</v>
      </c>
      <c r="C1385" s="27">
        <v>45459</v>
      </c>
      <c r="D1385" t="s">
        <v>341</v>
      </c>
      <c r="E1385">
        <v>-200</v>
      </c>
      <c r="G1385" t="s">
        <v>46</v>
      </c>
      <c r="H1385" t="s">
        <v>14</v>
      </c>
      <c r="J1385" s="27">
        <v>45444</v>
      </c>
      <c r="K1385">
        <v>2024</v>
      </c>
      <c r="L1385" s="27">
        <v>45459</v>
      </c>
      <c r="M1385">
        <v>4872.95</v>
      </c>
      <c r="N1385">
        <v>41</v>
      </c>
      <c r="O1385" t="s">
        <v>335</v>
      </c>
      <c r="P1385">
        <f t="shared" si="23"/>
        <v>0</v>
      </c>
    </row>
    <row r="1386" spans="1:16" hidden="1" x14ac:dyDescent="0.25">
      <c r="A1386" s="8">
        <v>1381</v>
      </c>
      <c r="B1386">
        <v>62</v>
      </c>
      <c r="C1386" s="27">
        <v>45461</v>
      </c>
      <c r="D1386" t="s">
        <v>342</v>
      </c>
      <c r="E1386">
        <v>-200</v>
      </c>
      <c r="G1386" t="s">
        <v>46</v>
      </c>
      <c r="H1386" t="s">
        <v>14</v>
      </c>
      <c r="J1386" s="27">
        <v>45444</v>
      </c>
      <c r="K1386">
        <v>2024</v>
      </c>
      <c r="L1386" s="27">
        <v>45461</v>
      </c>
      <c r="M1386">
        <v>4672.95</v>
      </c>
      <c r="N1386">
        <v>42</v>
      </c>
      <c r="O1386" t="s">
        <v>335</v>
      </c>
      <c r="P1386">
        <f t="shared" si="23"/>
        <v>0</v>
      </c>
    </row>
    <row r="1387" spans="1:16" hidden="1" x14ac:dyDescent="0.25">
      <c r="A1387" s="8">
        <v>1382</v>
      </c>
      <c r="B1387">
        <v>63</v>
      </c>
      <c r="C1387" s="27">
        <v>45467</v>
      </c>
      <c r="D1387" t="s">
        <v>346</v>
      </c>
      <c r="E1387">
        <v>-1000</v>
      </c>
      <c r="G1387" t="s">
        <v>46</v>
      </c>
      <c r="H1387" t="s">
        <v>14</v>
      </c>
      <c r="J1387" s="27">
        <v>45444</v>
      </c>
      <c r="K1387">
        <v>2024</v>
      </c>
      <c r="L1387" s="27">
        <v>45467</v>
      </c>
      <c r="M1387">
        <v>3672.95</v>
      </c>
      <c r="N1387">
        <v>43</v>
      </c>
      <c r="O1387" t="s">
        <v>335</v>
      </c>
      <c r="P1387">
        <f t="shared" si="23"/>
        <v>0</v>
      </c>
    </row>
    <row r="1388" spans="1:16" hidden="1" x14ac:dyDescent="0.25">
      <c r="A1388" s="8">
        <v>1383</v>
      </c>
      <c r="B1388">
        <v>64</v>
      </c>
      <c r="C1388" s="27">
        <v>45468</v>
      </c>
      <c r="D1388" t="s">
        <v>342</v>
      </c>
      <c r="E1388">
        <v>-500</v>
      </c>
      <c r="G1388" t="s">
        <v>46</v>
      </c>
      <c r="H1388" t="s">
        <v>14</v>
      </c>
      <c r="J1388" s="27">
        <v>45444</v>
      </c>
      <c r="K1388">
        <v>2024</v>
      </c>
      <c r="L1388" s="27">
        <v>45468</v>
      </c>
      <c r="M1388">
        <v>3172.95</v>
      </c>
      <c r="N1388">
        <v>44</v>
      </c>
      <c r="O1388" t="s">
        <v>335</v>
      </c>
      <c r="P1388">
        <f t="shared" si="23"/>
        <v>0</v>
      </c>
    </row>
    <row r="1389" spans="1:16" hidden="1" x14ac:dyDescent="0.25">
      <c r="A1389" s="8">
        <v>1384</v>
      </c>
      <c r="B1389">
        <v>65</v>
      </c>
      <c r="C1389" s="27">
        <v>45468</v>
      </c>
      <c r="D1389" t="s">
        <v>336</v>
      </c>
      <c r="E1389">
        <v>3781.68</v>
      </c>
      <c r="G1389" t="s">
        <v>337</v>
      </c>
      <c r="H1389" t="s">
        <v>14</v>
      </c>
      <c r="I1389" t="s">
        <v>338</v>
      </c>
      <c r="J1389" s="27">
        <v>45444</v>
      </c>
      <c r="K1389">
        <v>2024</v>
      </c>
      <c r="L1389" s="27">
        <v>45468</v>
      </c>
      <c r="M1389">
        <v>6954.63</v>
      </c>
      <c r="N1389">
        <v>15</v>
      </c>
      <c r="O1389" t="s">
        <v>335</v>
      </c>
      <c r="P1389">
        <f t="shared" si="23"/>
        <v>0</v>
      </c>
    </row>
    <row r="1390" spans="1:16" hidden="1" x14ac:dyDescent="0.25">
      <c r="A1390" s="8">
        <v>1385</v>
      </c>
      <c r="B1390">
        <v>66</v>
      </c>
      <c r="C1390" s="27">
        <v>45473</v>
      </c>
      <c r="D1390" t="s">
        <v>343</v>
      </c>
      <c r="E1390">
        <v>19.579999999999998</v>
      </c>
      <c r="G1390" t="s">
        <v>344</v>
      </c>
      <c r="H1390" t="s">
        <v>14</v>
      </c>
      <c r="I1390" t="s">
        <v>80</v>
      </c>
      <c r="J1390" s="27">
        <v>45444</v>
      </c>
      <c r="K1390">
        <v>2024</v>
      </c>
      <c r="L1390" s="27">
        <v>45473</v>
      </c>
      <c r="M1390">
        <v>6974.21</v>
      </c>
      <c r="N1390">
        <v>6</v>
      </c>
      <c r="O1390" t="s">
        <v>335</v>
      </c>
      <c r="P1390">
        <f t="shared" si="23"/>
        <v>1</v>
      </c>
    </row>
    <row r="1391" spans="1:16" hidden="1" x14ac:dyDescent="0.25">
      <c r="A1391" s="8">
        <v>1386</v>
      </c>
      <c r="B1391">
        <v>67</v>
      </c>
      <c r="C1391" s="27">
        <v>45474</v>
      </c>
      <c r="D1391" t="s">
        <v>346</v>
      </c>
      <c r="E1391">
        <v>-250</v>
      </c>
      <c r="G1391" t="s">
        <v>46</v>
      </c>
      <c r="H1391" t="s">
        <v>14</v>
      </c>
      <c r="J1391" s="27">
        <v>45474</v>
      </c>
      <c r="K1391">
        <v>2024</v>
      </c>
      <c r="L1391" s="27">
        <v>45474</v>
      </c>
      <c r="M1391">
        <v>6274.21</v>
      </c>
      <c r="N1391">
        <v>45</v>
      </c>
      <c r="O1391" t="s">
        <v>335</v>
      </c>
      <c r="P1391">
        <f t="shared" si="23"/>
        <v>0</v>
      </c>
    </row>
    <row r="1392" spans="1:16" hidden="1" x14ac:dyDescent="0.25">
      <c r="A1392" s="8">
        <v>1387</v>
      </c>
      <c r="B1392">
        <v>68</v>
      </c>
      <c r="C1392" s="27">
        <v>45474</v>
      </c>
      <c r="D1392" t="s">
        <v>341</v>
      </c>
      <c r="E1392">
        <v>-450</v>
      </c>
      <c r="G1392" t="s">
        <v>46</v>
      </c>
      <c r="H1392" t="s">
        <v>14</v>
      </c>
      <c r="J1392" s="27">
        <v>45474</v>
      </c>
      <c r="K1392">
        <v>2024</v>
      </c>
      <c r="L1392" s="27">
        <v>45474</v>
      </c>
      <c r="M1392">
        <v>6524.21</v>
      </c>
      <c r="N1392">
        <v>46</v>
      </c>
      <c r="O1392" t="s">
        <v>335</v>
      </c>
      <c r="P1392">
        <f t="shared" si="23"/>
        <v>0</v>
      </c>
    </row>
    <row r="1393" spans="1:16" hidden="1" x14ac:dyDescent="0.25">
      <c r="A1393" s="8">
        <v>1388</v>
      </c>
      <c r="B1393">
        <v>69</v>
      </c>
      <c r="C1393" s="27">
        <v>45481</v>
      </c>
      <c r="D1393" t="s">
        <v>334</v>
      </c>
      <c r="E1393">
        <v>-2378.13</v>
      </c>
      <c r="G1393" t="s">
        <v>46</v>
      </c>
      <c r="H1393" t="s">
        <v>14</v>
      </c>
      <c r="J1393" s="27">
        <v>45474</v>
      </c>
      <c r="K1393">
        <v>2024</v>
      </c>
      <c r="L1393" s="27">
        <v>45481</v>
      </c>
      <c r="M1393">
        <v>3896.08</v>
      </c>
      <c r="N1393">
        <v>47</v>
      </c>
      <c r="O1393" t="s">
        <v>335</v>
      </c>
      <c r="P1393">
        <f t="shared" si="23"/>
        <v>0</v>
      </c>
    </row>
    <row r="1394" spans="1:16" hidden="1" x14ac:dyDescent="0.25">
      <c r="A1394" s="8">
        <v>1389</v>
      </c>
      <c r="B1394">
        <v>70</v>
      </c>
      <c r="C1394" s="27">
        <v>45481</v>
      </c>
      <c r="D1394" t="s">
        <v>341</v>
      </c>
      <c r="E1394">
        <v>-1633.74</v>
      </c>
      <c r="G1394" t="s">
        <v>46</v>
      </c>
      <c r="H1394" t="s">
        <v>14</v>
      </c>
      <c r="J1394" s="27">
        <v>45474</v>
      </c>
      <c r="K1394">
        <v>2024</v>
      </c>
      <c r="L1394" s="27">
        <v>45481</v>
      </c>
      <c r="M1394">
        <v>2262.34</v>
      </c>
      <c r="N1394">
        <v>48</v>
      </c>
      <c r="O1394" t="s">
        <v>335</v>
      </c>
      <c r="P1394">
        <f t="shared" si="23"/>
        <v>0</v>
      </c>
    </row>
    <row r="1395" spans="1:16" hidden="1" x14ac:dyDescent="0.25">
      <c r="A1395" s="8">
        <v>1390</v>
      </c>
      <c r="B1395">
        <v>71</v>
      </c>
      <c r="C1395" s="27">
        <v>45481</v>
      </c>
      <c r="D1395" t="s">
        <v>346</v>
      </c>
      <c r="E1395">
        <v>-150</v>
      </c>
      <c r="G1395" t="s">
        <v>46</v>
      </c>
      <c r="H1395" t="s">
        <v>14</v>
      </c>
      <c r="J1395" s="27">
        <v>45474</v>
      </c>
      <c r="K1395">
        <v>2024</v>
      </c>
      <c r="L1395" s="27">
        <v>45481</v>
      </c>
      <c r="M1395">
        <v>2112.34</v>
      </c>
      <c r="N1395">
        <v>49</v>
      </c>
      <c r="O1395" t="s">
        <v>335</v>
      </c>
      <c r="P1395">
        <f t="shared" si="23"/>
        <v>0</v>
      </c>
    </row>
    <row r="1396" spans="1:16" hidden="1" x14ac:dyDescent="0.25">
      <c r="A1396" s="8">
        <v>1391</v>
      </c>
      <c r="B1396">
        <v>72</v>
      </c>
      <c r="C1396" s="27">
        <v>45482</v>
      </c>
      <c r="D1396" t="s">
        <v>336</v>
      </c>
      <c r="E1396">
        <v>2989.48</v>
      </c>
      <c r="G1396" t="s">
        <v>337</v>
      </c>
      <c r="H1396" t="s">
        <v>14</v>
      </c>
      <c r="I1396" t="s">
        <v>338</v>
      </c>
      <c r="J1396" s="27">
        <v>45474</v>
      </c>
      <c r="K1396">
        <v>2024</v>
      </c>
      <c r="L1396" s="27">
        <v>45482</v>
      </c>
      <c r="M1396">
        <v>5101.82</v>
      </c>
      <c r="N1396">
        <v>16</v>
      </c>
      <c r="O1396" t="s">
        <v>335</v>
      </c>
      <c r="P1396">
        <f t="shared" si="23"/>
        <v>0</v>
      </c>
    </row>
    <row r="1397" spans="1:16" hidden="1" x14ac:dyDescent="0.25">
      <c r="A1397" s="8">
        <v>1392</v>
      </c>
      <c r="B1397">
        <v>73</v>
      </c>
      <c r="C1397" s="27">
        <v>45486</v>
      </c>
      <c r="D1397" t="s">
        <v>341</v>
      </c>
      <c r="E1397">
        <v>-155</v>
      </c>
      <c r="G1397" t="s">
        <v>46</v>
      </c>
      <c r="H1397" t="s">
        <v>14</v>
      </c>
      <c r="J1397" s="27">
        <v>45474</v>
      </c>
      <c r="K1397">
        <v>2024</v>
      </c>
      <c r="L1397" s="27">
        <v>45486</v>
      </c>
      <c r="M1397">
        <v>4946.82</v>
      </c>
      <c r="N1397">
        <v>50</v>
      </c>
      <c r="O1397" t="s">
        <v>335</v>
      </c>
      <c r="P1397">
        <f t="shared" si="23"/>
        <v>0</v>
      </c>
    </row>
    <row r="1398" spans="1:16" hidden="1" x14ac:dyDescent="0.25">
      <c r="A1398" s="8">
        <v>1393</v>
      </c>
      <c r="B1398">
        <v>74</v>
      </c>
      <c r="C1398" s="27">
        <v>45487</v>
      </c>
      <c r="D1398" t="s">
        <v>341</v>
      </c>
      <c r="E1398">
        <v>-500</v>
      </c>
      <c r="G1398" t="s">
        <v>46</v>
      </c>
      <c r="H1398" t="s">
        <v>14</v>
      </c>
      <c r="J1398" s="27">
        <v>45474</v>
      </c>
      <c r="K1398">
        <v>2024</v>
      </c>
      <c r="L1398" s="27">
        <v>45487</v>
      </c>
      <c r="M1398">
        <v>4446.82</v>
      </c>
      <c r="N1398">
        <v>51</v>
      </c>
      <c r="O1398" t="s">
        <v>335</v>
      </c>
      <c r="P1398">
        <f t="shared" si="23"/>
        <v>0</v>
      </c>
    </row>
    <row r="1399" spans="1:16" hidden="1" x14ac:dyDescent="0.25">
      <c r="A1399" s="8">
        <v>1394</v>
      </c>
      <c r="B1399">
        <v>75</v>
      </c>
      <c r="C1399" s="27">
        <v>45494</v>
      </c>
      <c r="D1399" t="s">
        <v>341</v>
      </c>
      <c r="E1399">
        <v>-2000</v>
      </c>
      <c r="G1399" t="s">
        <v>46</v>
      </c>
      <c r="H1399" t="s">
        <v>14</v>
      </c>
      <c r="J1399" s="27">
        <v>45474</v>
      </c>
      <c r="K1399">
        <v>2024</v>
      </c>
      <c r="L1399" s="27">
        <v>45494</v>
      </c>
      <c r="M1399">
        <v>2446.8200000000002</v>
      </c>
      <c r="N1399">
        <v>52</v>
      </c>
      <c r="O1399" t="s">
        <v>335</v>
      </c>
      <c r="P1399">
        <f t="shared" si="23"/>
        <v>0</v>
      </c>
    </row>
    <row r="1400" spans="1:16" hidden="1" x14ac:dyDescent="0.25">
      <c r="A1400" s="8">
        <v>1395</v>
      </c>
      <c r="B1400">
        <v>76</v>
      </c>
      <c r="C1400" s="27">
        <v>45494</v>
      </c>
      <c r="D1400" t="s">
        <v>789</v>
      </c>
      <c r="E1400">
        <v>0.09</v>
      </c>
      <c r="G1400" t="s">
        <v>46</v>
      </c>
      <c r="H1400" t="s">
        <v>14</v>
      </c>
      <c r="J1400" s="27">
        <v>45474</v>
      </c>
      <c r="K1400">
        <v>2024</v>
      </c>
      <c r="L1400" s="27">
        <v>45494</v>
      </c>
      <c r="M1400">
        <v>2446.91</v>
      </c>
      <c r="N1400">
        <v>53</v>
      </c>
      <c r="O1400" t="s">
        <v>335</v>
      </c>
      <c r="P1400">
        <f t="shared" si="23"/>
        <v>0</v>
      </c>
    </row>
    <row r="1401" spans="1:16" hidden="1" x14ac:dyDescent="0.25">
      <c r="A1401" s="8">
        <v>1396</v>
      </c>
      <c r="B1401">
        <v>77</v>
      </c>
      <c r="C1401" s="27">
        <v>45494</v>
      </c>
      <c r="D1401" t="s">
        <v>789</v>
      </c>
      <c r="E1401">
        <v>0.22</v>
      </c>
      <c r="G1401" t="s">
        <v>46</v>
      </c>
      <c r="H1401" t="s">
        <v>14</v>
      </c>
      <c r="J1401" s="27">
        <v>45474</v>
      </c>
      <c r="K1401">
        <v>2024</v>
      </c>
      <c r="L1401" s="27">
        <v>45494</v>
      </c>
      <c r="M1401">
        <v>2447.13</v>
      </c>
      <c r="N1401">
        <v>54</v>
      </c>
      <c r="O1401" t="s">
        <v>335</v>
      </c>
      <c r="P1401">
        <f t="shared" si="23"/>
        <v>0</v>
      </c>
    </row>
    <row r="1402" spans="1:16" hidden="1" x14ac:dyDescent="0.25">
      <c r="A1402" s="8">
        <v>1397</v>
      </c>
      <c r="B1402">
        <v>78</v>
      </c>
      <c r="C1402" s="27">
        <v>45495</v>
      </c>
      <c r="D1402" t="s">
        <v>789</v>
      </c>
      <c r="E1402">
        <v>-0.31</v>
      </c>
      <c r="G1402" t="s">
        <v>46</v>
      </c>
      <c r="H1402" t="s">
        <v>14</v>
      </c>
      <c r="J1402" s="27">
        <v>45474</v>
      </c>
      <c r="K1402">
        <v>2024</v>
      </c>
      <c r="L1402" s="27">
        <v>45495</v>
      </c>
      <c r="M1402">
        <v>2446.8200000000002</v>
      </c>
      <c r="N1402">
        <v>55</v>
      </c>
      <c r="O1402" t="s">
        <v>335</v>
      </c>
      <c r="P1402">
        <f t="shared" si="23"/>
        <v>0</v>
      </c>
    </row>
    <row r="1403" spans="1:16" hidden="1" x14ac:dyDescent="0.25">
      <c r="A1403" s="8">
        <v>1398</v>
      </c>
      <c r="B1403">
        <v>79</v>
      </c>
      <c r="C1403" s="27">
        <v>45496</v>
      </c>
      <c r="D1403" t="s">
        <v>336</v>
      </c>
      <c r="E1403">
        <v>2989.48</v>
      </c>
      <c r="G1403" t="s">
        <v>337</v>
      </c>
      <c r="H1403" t="s">
        <v>14</v>
      </c>
      <c r="I1403" t="s">
        <v>338</v>
      </c>
      <c r="J1403" s="27">
        <v>45474</v>
      </c>
      <c r="K1403">
        <v>2024</v>
      </c>
      <c r="L1403" s="27">
        <v>45496</v>
      </c>
      <c r="M1403">
        <v>5436.3</v>
      </c>
      <c r="N1403">
        <v>17</v>
      </c>
      <c r="O1403" t="s">
        <v>335</v>
      </c>
      <c r="P1403">
        <f t="shared" si="23"/>
        <v>0</v>
      </c>
    </row>
    <row r="1404" spans="1:16" hidden="1" x14ac:dyDescent="0.25">
      <c r="A1404" s="8">
        <v>1399</v>
      </c>
      <c r="B1404">
        <v>80</v>
      </c>
      <c r="C1404" s="27">
        <v>45496</v>
      </c>
      <c r="D1404" t="s">
        <v>341</v>
      </c>
      <c r="E1404">
        <v>-1600</v>
      </c>
      <c r="G1404" t="s">
        <v>46</v>
      </c>
      <c r="H1404" t="s">
        <v>14</v>
      </c>
      <c r="J1404" s="27">
        <v>45474</v>
      </c>
      <c r="K1404">
        <v>2024</v>
      </c>
      <c r="L1404" s="27">
        <v>45496</v>
      </c>
      <c r="M1404">
        <v>3836.3</v>
      </c>
      <c r="N1404">
        <v>56</v>
      </c>
      <c r="O1404" t="s">
        <v>335</v>
      </c>
      <c r="P1404">
        <f t="shared" si="23"/>
        <v>0</v>
      </c>
    </row>
    <row r="1405" spans="1:16" hidden="1" x14ac:dyDescent="0.25">
      <c r="A1405" s="8">
        <v>1400</v>
      </c>
      <c r="B1405">
        <v>81</v>
      </c>
      <c r="C1405" s="27">
        <v>45498</v>
      </c>
      <c r="D1405" t="s">
        <v>341</v>
      </c>
      <c r="E1405">
        <v>-900</v>
      </c>
      <c r="G1405" t="s">
        <v>46</v>
      </c>
      <c r="H1405" t="s">
        <v>14</v>
      </c>
      <c r="J1405" s="27">
        <v>45474</v>
      </c>
      <c r="K1405">
        <v>2024</v>
      </c>
      <c r="L1405" s="27">
        <v>45498</v>
      </c>
      <c r="M1405">
        <v>2636.3</v>
      </c>
      <c r="N1405">
        <v>57</v>
      </c>
      <c r="O1405" t="s">
        <v>335</v>
      </c>
      <c r="P1405">
        <f t="shared" si="23"/>
        <v>0</v>
      </c>
    </row>
    <row r="1406" spans="1:16" hidden="1" x14ac:dyDescent="0.25">
      <c r="A1406" s="8">
        <v>1401</v>
      </c>
      <c r="B1406">
        <v>82</v>
      </c>
      <c r="C1406" s="27">
        <v>45498</v>
      </c>
      <c r="D1406" t="s">
        <v>346</v>
      </c>
      <c r="E1406">
        <v>-300</v>
      </c>
      <c r="G1406" t="s">
        <v>46</v>
      </c>
      <c r="H1406" t="s">
        <v>14</v>
      </c>
      <c r="J1406" s="27">
        <v>45474</v>
      </c>
      <c r="K1406">
        <v>2024</v>
      </c>
      <c r="L1406" s="27">
        <v>45498</v>
      </c>
      <c r="M1406">
        <v>3536.3</v>
      </c>
      <c r="N1406">
        <v>58</v>
      </c>
      <c r="O1406" t="s">
        <v>335</v>
      </c>
      <c r="P1406">
        <f t="shared" si="23"/>
        <v>0</v>
      </c>
    </row>
    <row r="1407" spans="1:16" hidden="1" x14ac:dyDescent="0.25">
      <c r="A1407" s="8">
        <v>1402</v>
      </c>
      <c r="B1407">
        <v>83</v>
      </c>
      <c r="C1407" s="27">
        <v>45499</v>
      </c>
      <c r="D1407" t="s">
        <v>346</v>
      </c>
      <c r="E1407">
        <v>-433.6</v>
      </c>
      <c r="G1407" t="s">
        <v>46</v>
      </c>
      <c r="H1407" t="s">
        <v>14</v>
      </c>
      <c r="J1407" s="27">
        <v>45474</v>
      </c>
      <c r="K1407">
        <v>2024</v>
      </c>
      <c r="L1407" s="27">
        <v>45499</v>
      </c>
      <c r="M1407">
        <v>2202.6999999999998</v>
      </c>
      <c r="N1407">
        <v>59</v>
      </c>
      <c r="O1407" t="s">
        <v>335</v>
      </c>
      <c r="P1407">
        <f t="shared" si="23"/>
        <v>0</v>
      </c>
    </row>
    <row r="1408" spans="1:16" hidden="1" x14ac:dyDescent="0.25">
      <c r="A1408" s="8">
        <v>1403</v>
      </c>
      <c r="B1408">
        <v>84</v>
      </c>
      <c r="C1408" s="27">
        <v>45499</v>
      </c>
      <c r="D1408" t="s">
        <v>790</v>
      </c>
      <c r="E1408">
        <v>-248.63</v>
      </c>
      <c r="G1408" t="s">
        <v>392</v>
      </c>
      <c r="H1408" t="s">
        <v>14</v>
      </c>
      <c r="J1408" s="27">
        <v>45474</v>
      </c>
      <c r="K1408">
        <v>2024</v>
      </c>
      <c r="L1408" s="27">
        <v>45499</v>
      </c>
      <c r="M1408">
        <v>1954.07</v>
      </c>
      <c r="N1408">
        <v>1</v>
      </c>
      <c r="O1408" t="s">
        <v>335</v>
      </c>
      <c r="P1408">
        <f t="shared" si="23"/>
        <v>0</v>
      </c>
    </row>
    <row r="1409" spans="1:16" hidden="1" x14ac:dyDescent="0.25">
      <c r="A1409" s="8">
        <v>1404</v>
      </c>
      <c r="B1409">
        <v>85</v>
      </c>
      <c r="C1409" s="27">
        <v>45501</v>
      </c>
      <c r="D1409" t="s">
        <v>789</v>
      </c>
      <c r="E1409">
        <v>3500</v>
      </c>
      <c r="G1409" t="s">
        <v>46</v>
      </c>
      <c r="H1409" t="s">
        <v>14</v>
      </c>
      <c r="J1409" s="27">
        <v>45474</v>
      </c>
      <c r="K1409">
        <v>2024</v>
      </c>
      <c r="L1409" s="27">
        <v>45501</v>
      </c>
      <c r="M1409">
        <v>5454.07</v>
      </c>
      <c r="N1409">
        <v>60</v>
      </c>
      <c r="O1409" t="s">
        <v>335</v>
      </c>
      <c r="P1409">
        <f t="shared" si="23"/>
        <v>0</v>
      </c>
    </row>
    <row r="1410" spans="1:16" hidden="1" x14ac:dyDescent="0.25">
      <c r="A1410" s="8">
        <v>1405</v>
      </c>
      <c r="B1410">
        <v>86</v>
      </c>
      <c r="C1410" s="27">
        <v>45504</v>
      </c>
      <c r="D1410" t="s">
        <v>343</v>
      </c>
      <c r="E1410">
        <v>17.66</v>
      </c>
      <c r="G1410" t="s">
        <v>344</v>
      </c>
      <c r="H1410" t="s">
        <v>14</v>
      </c>
      <c r="I1410" t="s">
        <v>80</v>
      </c>
      <c r="J1410" s="27">
        <v>45474</v>
      </c>
      <c r="K1410">
        <v>2024</v>
      </c>
      <c r="L1410" s="27">
        <v>45504</v>
      </c>
      <c r="M1410">
        <v>5471.73</v>
      </c>
      <c r="N1410">
        <v>7</v>
      </c>
      <c r="O1410" t="s">
        <v>335</v>
      </c>
      <c r="P1410">
        <f t="shared" si="23"/>
        <v>1</v>
      </c>
    </row>
    <row r="1411" spans="1:16" hidden="1" x14ac:dyDescent="0.25">
      <c r="A1411" s="8">
        <v>1406</v>
      </c>
      <c r="B1411">
        <v>87</v>
      </c>
      <c r="C1411" s="27">
        <v>45505</v>
      </c>
      <c r="D1411" t="s">
        <v>341</v>
      </c>
      <c r="E1411">
        <v>-450</v>
      </c>
      <c r="G1411" t="s">
        <v>46</v>
      </c>
      <c r="H1411" t="s">
        <v>14</v>
      </c>
      <c r="J1411" s="27">
        <v>45505</v>
      </c>
      <c r="K1411">
        <v>2024</v>
      </c>
      <c r="L1411" s="27">
        <v>45505</v>
      </c>
      <c r="M1411">
        <v>5021.7299999999996</v>
      </c>
      <c r="N1411">
        <v>61</v>
      </c>
      <c r="O1411" t="s">
        <v>335</v>
      </c>
      <c r="P1411">
        <f t="shared" si="23"/>
        <v>0</v>
      </c>
    </row>
    <row r="1412" spans="1:16" hidden="1" x14ac:dyDescent="0.25">
      <c r="A1412" s="8">
        <v>1407</v>
      </c>
      <c r="B1412">
        <v>88</v>
      </c>
      <c r="C1412" s="27">
        <v>45509</v>
      </c>
      <c r="D1412" t="s">
        <v>334</v>
      </c>
      <c r="E1412">
        <v>-2511.3000000000002</v>
      </c>
      <c r="G1412" t="s">
        <v>46</v>
      </c>
      <c r="H1412" t="s">
        <v>14</v>
      </c>
      <c r="J1412" s="27">
        <v>45505</v>
      </c>
      <c r="K1412">
        <v>2024</v>
      </c>
      <c r="L1412" s="27">
        <v>45509</v>
      </c>
      <c r="M1412">
        <v>2510.4299999999998</v>
      </c>
      <c r="N1412">
        <v>62</v>
      </c>
      <c r="O1412" t="s">
        <v>335</v>
      </c>
      <c r="P1412">
        <f t="shared" si="23"/>
        <v>0</v>
      </c>
    </row>
    <row r="1413" spans="1:16" hidden="1" x14ac:dyDescent="0.25">
      <c r="A1413" s="8">
        <v>1408</v>
      </c>
      <c r="B1413">
        <v>89</v>
      </c>
      <c r="C1413" s="27">
        <v>45510</v>
      </c>
      <c r="D1413" t="s">
        <v>336</v>
      </c>
      <c r="E1413">
        <v>2989.48</v>
      </c>
      <c r="G1413" t="s">
        <v>337</v>
      </c>
      <c r="H1413" t="s">
        <v>14</v>
      </c>
      <c r="I1413" t="s">
        <v>338</v>
      </c>
      <c r="J1413" s="27">
        <v>45505</v>
      </c>
      <c r="K1413">
        <v>2024</v>
      </c>
      <c r="L1413" s="27">
        <v>45510</v>
      </c>
      <c r="M1413">
        <v>5499.91</v>
      </c>
      <c r="N1413">
        <v>18</v>
      </c>
      <c r="O1413" t="s">
        <v>335</v>
      </c>
      <c r="P1413">
        <f t="shared" si="23"/>
        <v>0</v>
      </c>
    </row>
    <row r="1414" spans="1:16" hidden="1" x14ac:dyDescent="0.25">
      <c r="A1414" s="8">
        <v>1409</v>
      </c>
      <c r="B1414">
        <v>90</v>
      </c>
      <c r="C1414" s="27">
        <v>45511</v>
      </c>
      <c r="D1414" t="s">
        <v>346</v>
      </c>
      <c r="E1414">
        <v>-200</v>
      </c>
      <c r="G1414" t="s">
        <v>46</v>
      </c>
      <c r="H1414" t="s">
        <v>14</v>
      </c>
      <c r="J1414" s="27">
        <v>45505</v>
      </c>
      <c r="K1414">
        <v>2024</v>
      </c>
      <c r="L1414" s="27">
        <v>45511</v>
      </c>
      <c r="M1414">
        <v>5299.91</v>
      </c>
      <c r="N1414">
        <v>63</v>
      </c>
      <c r="O1414" t="s">
        <v>335</v>
      </c>
      <c r="P1414">
        <f t="shared" si="23"/>
        <v>0</v>
      </c>
    </row>
    <row r="1415" spans="1:16" hidden="1" x14ac:dyDescent="0.25">
      <c r="A1415" s="8">
        <v>1410</v>
      </c>
      <c r="B1415">
        <v>91</v>
      </c>
      <c r="C1415" s="27">
        <v>45517</v>
      </c>
      <c r="D1415" t="s">
        <v>341</v>
      </c>
      <c r="E1415">
        <v>-155</v>
      </c>
      <c r="G1415" t="s">
        <v>46</v>
      </c>
      <c r="H1415" t="s">
        <v>14</v>
      </c>
      <c r="J1415" s="27">
        <v>45505</v>
      </c>
      <c r="K1415">
        <v>2024</v>
      </c>
      <c r="L1415" s="27">
        <v>45517</v>
      </c>
      <c r="M1415">
        <v>5144.91</v>
      </c>
      <c r="N1415">
        <v>64</v>
      </c>
      <c r="O1415" t="s">
        <v>335</v>
      </c>
      <c r="P1415">
        <f t="shared" si="23"/>
        <v>0</v>
      </c>
    </row>
    <row r="1416" spans="1:16" hidden="1" x14ac:dyDescent="0.25">
      <c r="A1416" s="8">
        <v>1411</v>
      </c>
      <c r="B1416">
        <v>92</v>
      </c>
      <c r="C1416" s="27">
        <v>45524</v>
      </c>
      <c r="D1416" t="s">
        <v>336</v>
      </c>
      <c r="E1416">
        <v>2989.48</v>
      </c>
      <c r="G1416" t="s">
        <v>337</v>
      </c>
      <c r="H1416" t="s">
        <v>14</v>
      </c>
      <c r="I1416" t="s">
        <v>338</v>
      </c>
      <c r="J1416" s="27">
        <v>45505</v>
      </c>
      <c r="K1416">
        <v>2024</v>
      </c>
      <c r="L1416" s="27">
        <v>45524</v>
      </c>
      <c r="M1416">
        <v>8134.39</v>
      </c>
      <c r="N1416">
        <v>19</v>
      </c>
      <c r="O1416" t="s">
        <v>335</v>
      </c>
      <c r="P1416">
        <f t="shared" si="23"/>
        <v>0</v>
      </c>
    </row>
    <row r="1417" spans="1:16" hidden="1" x14ac:dyDescent="0.25">
      <c r="A1417" s="8">
        <v>1412</v>
      </c>
      <c r="B1417">
        <v>93</v>
      </c>
      <c r="C1417" s="27">
        <v>45530</v>
      </c>
      <c r="D1417" t="s">
        <v>339</v>
      </c>
      <c r="E1417">
        <v>-1889</v>
      </c>
      <c r="G1417" t="s">
        <v>340</v>
      </c>
      <c r="H1417" t="s">
        <v>14</v>
      </c>
      <c r="I1417" t="s">
        <v>69</v>
      </c>
      <c r="J1417" s="27">
        <v>45505</v>
      </c>
      <c r="K1417">
        <v>2024</v>
      </c>
      <c r="L1417" s="27">
        <v>45530</v>
      </c>
      <c r="M1417">
        <v>6245.39</v>
      </c>
      <c r="N1417">
        <v>2</v>
      </c>
      <c r="O1417" t="s">
        <v>335</v>
      </c>
      <c r="P1417">
        <f t="shared" si="23"/>
        <v>0</v>
      </c>
    </row>
    <row r="1418" spans="1:16" hidden="1" x14ac:dyDescent="0.25">
      <c r="A1418" s="8">
        <v>1413</v>
      </c>
      <c r="B1418">
        <v>94</v>
      </c>
      <c r="C1418" s="27">
        <v>45535</v>
      </c>
      <c r="D1418" t="s">
        <v>343</v>
      </c>
      <c r="E1418">
        <v>22.35</v>
      </c>
      <c r="G1418" t="s">
        <v>344</v>
      </c>
      <c r="H1418" t="s">
        <v>14</v>
      </c>
      <c r="I1418" t="s">
        <v>80</v>
      </c>
      <c r="J1418" s="27">
        <v>45505</v>
      </c>
      <c r="K1418">
        <v>2024</v>
      </c>
      <c r="L1418" s="27">
        <v>45535</v>
      </c>
      <c r="M1418">
        <v>6267.74</v>
      </c>
      <c r="N1418">
        <v>8</v>
      </c>
      <c r="O1418" t="s">
        <v>335</v>
      </c>
      <c r="P1418">
        <f t="shared" si="23"/>
        <v>1</v>
      </c>
    </row>
    <row r="1419" spans="1:16" hidden="1" x14ac:dyDescent="0.25">
      <c r="A1419" s="8">
        <v>1414</v>
      </c>
      <c r="B1419">
        <v>95</v>
      </c>
      <c r="C1419" s="27">
        <v>45536</v>
      </c>
      <c r="D1419" t="s">
        <v>341</v>
      </c>
      <c r="E1419">
        <v>-450</v>
      </c>
      <c r="G1419" t="s">
        <v>46</v>
      </c>
      <c r="H1419" t="s">
        <v>14</v>
      </c>
      <c r="J1419" s="27">
        <v>45536</v>
      </c>
      <c r="K1419">
        <v>2024</v>
      </c>
      <c r="L1419" s="27">
        <v>45536</v>
      </c>
      <c r="M1419">
        <v>5817.74</v>
      </c>
      <c r="N1419">
        <v>65</v>
      </c>
      <c r="O1419" t="s">
        <v>335</v>
      </c>
      <c r="P1419">
        <f t="shared" si="23"/>
        <v>0</v>
      </c>
    </row>
    <row r="1420" spans="1:16" hidden="1" x14ac:dyDescent="0.25">
      <c r="A1420" s="8">
        <v>1415</v>
      </c>
      <c r="B1420">
        <v>96</v>
      </c>
      <c r="C1420" s="27">
        <v>45538</v>
      </c>
      <c r="D1420" t="s">
        <v>336</v>
      </c>
      <c r="E1420">
        <v>2989.48</v>
      </c>
      <c r="G1420" t="s">
        <v>337</v>
      </c>
      <c r="H1420" t="s">
        <v>14</v>
      </c>
      <c r="I1420" t="s">
        <v>338</v>
      </c>
      <c r="J1420" s="27">
        <v>45536</v>
      </c>
      <c r="K1420">
        <v>2024</v>
      </c>
      <c r="L1420" s="27">
        <v>45538</v>
      </c>
      <c r="M1420">
        <v>5670.39</v>
      </c>
      <c r="N1420">
        <v>20</v>
      </c>
      <c r="O1420" t="s">
        <v>335</v>
      </c>
      <c r="P1420">
        <f t="shared" si="23"/>
        <v>0</v>
      </c>
    </row>
    <row r="1421" spans="1:16" hidden="1" x14ac:dyDescent="0.25">
      <c r="A1421" s="8">
        <v>1416</v>
      </c>
      <c r="B1421">
        <v>97</v>
      </c>
      <c r="C1421" s="27">
        <v>45538</v>
      </c>
      <c r="D1421" t="s">
        <v>334</v>
      </c>
      <c r="E1421">
        <v>-3136.83</v>
      </c>
      <c r="G1421" t="s">
        <v>46</v>
      </c>
      <c r="H1421" t="s">
        <v>14</v>
      </c>
      <c r="J1421" s="27">
        <v>45536</v>
      </c>
      <c r="K1421">
        <v>2024</v>
      </c>
      <c r="L1421" s="27">
        <v>45538</v>
      </c>
      <c r="M1421">
        <v>2680.91</v>
      </c>
      <c r="N1421">
        <v>66</v>
      </c>
      <c r="O1421" t="s">
        <v>335</v>
      </c>
      <c r="P1421">
        <f t="shared" si="23"/>
        <v>0</v>
      </c>
    </row>
    <row r="1422" spans="1:16" hidden="1" x14ac:dyDescent="0.25">
      <c r="A1422" s="8">
        <v>1417</v>
      </c>
      <c r="B1422">
        <v>98</v>
      </c>
      <c r="C1422" s="27">
        <v>45542</v>
      </c>
      <c r="D1422" t="s">
        <v>341</v>
      </c>
      <c r="E1422">
        <v>-1633.74</v>
      </c>
      <c r="G1422" t="s">
        <v>46</v>
      </c>
      <c r="H1422" t="s">
        <v>14</v>
      </c>
      <c r="J1422" s="27">
        <v>45536</v>
      </c>
      <c r="K1422">
        <v>2024</v>
      </c>
      <c r="L1422" s="27">
        <v>45542</v>
      </c>
      <c r="M1422">
        <v>4036.65</v>
      </c>
      <c r="N1422">
        <v>67</v>
      </c>
      <c r="O1422" t="s">
        <v>335</v>
      </c>
      <c r="P1422">
        <f t="shared" si="23"/>
        <v>0</v>
      </c>
    </row>
    <row r="1423" spans="1:16" hidden="1" x14ac:dyDescent="0.25">
      <c r="A1423" s="8">
        <v>1418</v>
      </c>
      <c r="B1423">
        <v>99</v>
      </c>
      <c r="C1423" s="27">
        <v>45548</v>
      </c>
      <c r="D1423" t="s">
        <v>341</v>
      </c>
      <c r="E1423">
        <v>-155</v>
      </c>
      <c r="G1423" t="s">
        <v>46</v>
      </c>
      <c r="H1423" t="s">
        <v>14</v>
      </c>
      <c r="J1423" s="27">
        <v>45536</v>
      </c>
      <c r="K1423">
        <v>2024</v>
      </c>
      <c r="L1423" s="27">
        <v>45548</v>
      </c>
      <c r="M1423">
        <v>3881.65</v>
      </c>
      <c r="N1423">
        <v>68</v>
      </c>
      <c r="O1423" t="s">
        <v>335</v>
      </c>
      <c r="P1423">
        <f t="shared" si="23"/>
        <v>0</v>
      </c>
    </row>
    <row r="1424" spans="1:16" hidden="1" x14ac:dyDescent="0.25">
      <c r="A1424" s="8">
        <v>1419</v>
      </c>
      <c r="B1424">
        <v>100</v>
      </c>
      <c r="C1424" s="27">
        <v>45551</v>
      </c>
      <c r="D1424" t="s">
        <v>346</v>
      </c>
      <c r="E1424">
        <v>-500</v>
      </c>
      <c r="G1424" t="s">
        <v>46</v>
      </c>
      <c r="H1424" t="s">
        <v>14</v>
      </c>
      <c r="J1424" s="27">
        <v>45536</v>
      </c>
      <c r="K1424">
        <v>2024</v>
      </c>
      <c r="L1424" s="27">
        <v>45551</v>
      </c>
      <c r="M1424">
        <v>3381.65</v>
      </c>
      <c r="N1424">
        <v>69</v>
      </c>
      <c r="O1424" t="s">
        <v>335</v>
      </c>
      <c r="P1424">
        <f t="shared" si="23"/>
        <v>0</v>
      </c>
    </row>
    <row r="1425" spans="1:16" hidden="1" x14ac:dyDescent="0.25">
      <c r="A1425" s="8">
        <v>1420</v>
      </c>
      <c r="B1425">
        <v>101</v>
      </c>
      <c r="C1425" s="27">
        <v>45552</v>
      </c>
      <c r="D1425" t="s">
        <v>336</v>
      </c>
      <c r="E1425">
        <v>2989.48</v>
      </c>
      <c r="G1425" t="s">
        <v>337</v>
      </c>
      <c r="H1425" t="s">
        <v>14</v>
      </c>
      <c r="I1425" t="s">
        <v>338</v>
      </c>
      <c r="J1425" s="27">
        <v>45536</v>
      </c>
      <c r="K1425">
        <v>2024</v>
      </c>
      <c r="L1425" s="27">
        <v>45552</v>
      </c>
      <c r="M1425">
        <v>6371.13</v>
      </c>
      <c r="N1425">
        <v>21</v>
      </c>
      <c r="O1425" t="s">
        <v>335</v>
      </c>
      <c r="P1425">
        <f t="shared" si="23"/>
        <v>0</v>
      </c>
    </row>
    <row r="1426" spans="1:16" hidden="1" x14ac:dyDescent="0.25">
      <c r="A1426" s="8">
        <v>1421</v>
      </c>
      <c r="B1426">
        <v>102</v>
      </c>
      <c r="C1426" s="27">
        <v>45565</v>
      </c>
      <c r="D1426" t="s">
        <v>334</v>
      </c>
      <c r="E1426">
        <v>-4363.2</v>
      </c>
      <c r="G1426" t="s">
        <v>46</v>
      </c>
      <c r="H1426" t="s">
        <v>14</v>
      </c>
      <c r="J1426" s="27">
        <v>45536</v>
      </c>
      <c r="K1426">
        <v>2024</v>
      </c>
      <c r="L1426" s="27">
        <v>45565</v>
      </c>
      <c r="M1426">
        <v>2007.93</v>
      </c>
      <c r="N1426">
        <v>70</v>
      </c>
      <c r="O1426" t="s">
        <v>335</v>
      </c>
      <c r="P1426">
        <f t="shared" si="23"/>
        <v>0</v>
      </c>
    </row>
    <row r="1427" spans="1:16" hidden="1" x14ac:dyDescent="0.25">
      <c r="A1427" s="8">
        <v>1422</v>
      </c>
      <c r="B1427">
        <v>103</v>
      </c>
      <c r="C1427" s="27">
        <v>45565</v>
      </c>
      <c r="D1427" t="s">
        <v>343</v>
      </c>
      <c r="E1427">
        <v>19.079999999999998</v>
      </c>
      <c r="G1427" t="s">
        <v>344</v>
      </c>
      <c r="H1427" t="s">
        <v>14</v>
      </c>
      <c r="I1427" t="s">
        <v>80</v>
      </c>
      <c r="J1427" s="27">
        <v>45536</v>
      </c>
      <c r="K1427">
        <v>2024</v>
      </c>
      <c r="L1427" s="27">
        <v>45565</v>
      </c>
      <c r="M1427">
        <v>2027.01</v>
      </c>
      <c r="N1427">
        <v>9</v>
      </c>
      <c r="O1427" t="s">
        <v>335</v>
      </c>
      <c r="P1427">
        <f t="shared" si="23"/>
        <v>1</v>
      </c>
    </row>
    <row r="1428" spans="1:16" hidden="1" x14ac:dyDescent="0.25">
      <c r="A1428" s="8">
        <v>1423</v>
      </c>
      <c r="B1428">
        <v>104</v>
      </c>
      <c r="C1428" s="27">
        <v>45566</v>
      </c>
      <c r="D1428" t="s">
        <v>341</v>
      </c>
      <c r="E1428">
        <v>-450</v>
      </c>
      <c r="G1428" t="s">
        <v>46</v>
      </c>
      <c r="H1428" t="s">
        <v>14</v>
      </c>
      <c r="J1428" s="27">
        <v>45566</v>
      </c>
      <c r="K1428">
        <v>2024</v>
      </c>
      <c r="L1428" s="27">
        <v>45566</v>
      </c>
      <c r="M1428">
        <v>1577.01</v>
      </c>
      <c r="N1428">
        <v>71</v>
      </c>
      <c r="O1428" t="s">
        <v>335</v>
      </c>
      <c r="P1428">
        <f t="shared" si="23"/>
        <v>0</v>
      </c>
    </row>
    <row r="1429" spans="1:16" hidden="1" x14ac:dyDescent="0.25">
      <c r="A1429" s="8">
        <v>1424</v>
      </c>
      <c r="B1429">
        <v>105</v>
      </c>
      <c r="C1429" s="27">
        <v>45566</v>
      </c>
      <c r="D1429" t="s">
        <v>336</v>
      </c>
      <c r="E1429">
        <v>2989.48</v>
      </c>
      <c r="G1429" t="s">
        <v>337</v>
      </c>
      <c r="H1429" t="s">
        <v>14</v>
      </c>
      <c r="I1429" t="s">
        <v>338</v>
      </c>
      <c r="J1429" s="27">
        <v>45566</v>
      </c>
      <c r="K1429">
        <v>2024</v>
      </c>
      <c r="L1429" s="27">
        <v>45566</v>
      </c>
      <c r="M1429">
        <v>4566.49</v>
      </c>
      <c r="N1429">
        <v>22</v>
      </c>
      <c r="O1429" t="s">
        <v>335</v>
      </c>
      <c r="P1429">
        <f t="shared" si="23"/>
        <v>0</v>
      </c>
    </row>
    <row r="1430" spans="1:16" hidden="1" x14ac:dyDescent="0.25">
      <c r="A1430" s="8">
        <v>1425</v>
      </c>
      <c r="B1430">
        <v>106</v>
      </c>
      <c r="C1430" s="27">
        <v>45578</v>
      </c>
      <c r="D1430" t="s">
        <v>341</v>
      </c>
      <c r="E1430">
        <v>-155</v>
      </c>
      <c r="G1430" t="s">
        <v>46</v>
      </c>
      <c r="H1430" t="s">
        <v>14</v>
      </c>
      <c r="J1430" s="27">
        <v>45566</v>
      </c>
      <c r="K1430">
        <v>2024</v>
      </c>
      <c r="L1430" s="27">
        <v>45578</v>
      </c>
      <c r="M1430">
        <v>4411.49</v>
      </c>
      <c r="N1430">
        <v>72</v>
      </c>
      <c r="O1430" t="s">
        <v>335</v>
      </c>
      <c r="P1430">
        <f t="shared" si="23"/>
        <v>0</v>
      </c>
    </row>
    <row r="1431" spans="1:16" hidden="1" x14ac:dyDescent="0.25">
      <c r="A1431" s="8">
        <v>1426</v>
      </c>
      <c r="B1431">
        <v>107</v>
      </c>
      <c r="C1431" s="27">
        <v>45580</v>
      </c>
      <c r="D1431" t="s">
        <v>334</v>
      </c>
      <c r="E1431">
        <v>-1961.34</v>
      </c>
      <c r="G1431" t="s">
        <v>46</v>
      </c>
      <c r="H1431" t="s">
        <v>14</v>
      </c>
      <c r="J1431" s="27">
        <v>45566</v>
      </c>
      <c r="K1431">
        <v>2024</v>
      </c>
      <c r="L1431" s="27">
        <v>45580</v>
      </c>
      <c r="M1431">
        <v>2450.15</v>
      </c>
      <c r="N1431">
        <v>73</v>
      </c>
      <c r="O1431" t="s">
        <v>335</v>
      </c>
      <c r="P1431">
        <f t="shared" si="23"/>
        <v>0</v>
      </c>
    </row>
    <row r="1432" spans="1:16" hidden="1" x14ac:dyDescent="0.25">
      <c r="A1432" s="8">
        <v>1427</v>
      </c>
      <c r="B1432">
        <v>108</v>
      </c>
      <c r="C1432" s="27">
        <v>45580</v>
      </c>
      <c r="D1432" t="s">
        <v>336</v>
      </c>
      <c r="E1432">
        <v>2989.48</v>
      </c>
      <c r="G1432" t="s">
        <v>337</v>
      </c>
      <c r="H1432" t="s">
        <v>14</v>
      </c>
      <c r="I1432" t="s">
        <v>338</v>
      </c>
      <c r="J1432" s="27">
        <v>45566</v>
      </c>
      <c r="K1432">
        <v>2024</v>
      </c>
      <c r="L1432" s="27">
        <v>45580</v>
      </c>
      <c r="M1432">
        <v>5439.63</v>
      </c>
      <c r="N1432">
        <v>23</v>
      </c>
      <c r="O1432" t="s">
        <v>335</v>
      </c>
      <c r="P1432">
        <f t="shared" si="23"/>
        <v>0</v>
      </c>
    </row>
    <row r="1433" spans="1:16" hidden="1" x14ac:dyDescent="0.25">
      <c r="A1433" s="8">
        <v>1428</v>
      </c>
      <c r="B1433">
        <v>109</v>
      </c>
      <c r="C1433" s="27">
        <v>45594</v>
      </c>
      <c r="D1433" t="s">
        <v>336</v>
      </c>
      <c r="E1433">
        <v>2989.48</v>
      </c>
      <c r="G1433" t="s">
        <v>337</v>
      </c>
      <c r="H1433" t="s">
        <v>14</v>
      </c>
      <c r="I1433" t="s">
        <v>338</v>
      </c>
      <c r="J1433" s="27">
        <v>45566</v>
      </c>
      <c r="K1433">
        <v>2024</v>
      </c>
      <c r="L1433" s="27">
        <v>45594</v>
      </c>
      <c r="M1433">
        <v>8429.11</v>
      </c>
      <c r="N1433">
        <v>24</v>
      </c>
      <c r="O1433" t="s">
        <v>335</v>
      </c>
      <c r="P1433">
        <f t="shared" si="23"/>
        <v>0</v>
      </c>
    </row>
    <row r="1434" spans="1:16" hidden="1" x14ac:dyDescent="0.25">
      <c r="A1434" s="8">
        <v>1429</v>
      </c>
      <c r="B1434">
        <v>110</v>
      </c>
      <c r="C1434" s="27">
        <v>45596</v>
      </c>
      <c r="D1434" t="s">
        <v>343</v>
      </c>
      <c r="E1434">
        <v>19.170000000000002</v>
      </c>
      <c r="G1434" t="s">
        <v>344</v>
      </c>
      <c r="H1434" t="s">
        <v>14</v>
      </c>
      <c r="I1434" t="s">
        <v>80</v>
      </c>
      <c r="J1434" s="27">
        <v>45566</v>
      </c>
      <c r="K1434">
        <v>2024</v>
      </c>
      <c r="L1434" s="27">
        <v>45596</v>
      </c>
      <c r="M1434">
        <v>8448.2800000000007</v>
      </c>
      <c r="N1434">
        <v>10</v>
      </c>
      <c r="O1434" t="s">
        <v>335</v>
      </c>
      <c r="P1434">
        <f t="shared" si="23"/>
        <v>1</v>
      </c>
    </row>
    <row r="1435" spans="1:16" hidden="1" x14ac:dyDescent="0.25">
      <c r="A1435" s="8">
        <v>1430</v>
      </c>
      <c r="B1435">
        <v>111</v>
      </c>
      <c r="C1435" s="27">
        <v>45597</v>
      </c>
      <c r="D1435" t="s">
        <v>341</v>
      </c>
      <c r="E1435">
        <v>-450</v>
      </c>
      <c r="G1435" t="s">
        <v>46</v>
      </c>
      <c r="H1435" t="s">
        <v>14</v>
      </c>
      <c r="J1435" s="27">
        <v>45597</v>
      </c>
      <c r="K1435">
        <v>2024</v>
      </c>
      <c r="L1435" s="27">
        <v>45597</v>
      </c>
      <c r="M1435">
        <v>7998.28</v>
      </c>
      <c r="N1435">
        <v>74</v>
      </c>
      <c r="O1435" t="s">
        <v>335</v>
      </c>
      <c r="P1435">
        <f t="shared" si="23"/>
        <v>0</v>
      </c>
    </row>
    <row r="1436" spans="1:16" hidden="1" x14ac:dyDescent="0.25">
      <c r="A1436" s="8">
        <v>1431</v>
      </c>
      <c r="B1436">
        <v>112</v>
      </c>
      <c r="C1436" s="27">
        <v>45600</v>
      </c>
      <c r="D1436" t="s">
        <v>334</v>
      </c>
      <c r="E1436">
        <v>-1646.36</v>
      </c>
      <c r="G1436" t="s">
        <v>46</v>
      </c>
      <c r="H1436" t="s">
        <v>14</v>
      </c>
      <c r="J1436" s="27">
        <v>45597</v>
      </c>
      <c r="K1436">
        <v>2024</v>
      </c>
      <c r="L1436" s="27">
        <v>45600</v>
      </c>
      <c r="M1436">
        <v>6351.92</v>
      </c>
      <c r="N1436">
        <v>75</v>
      </c>
      <c r="O1436" t="s">
        <v>335</v>
      </c>
      <c r="P1436">
        <f t="shared" si="23"/>
        <v>0</v>
      </c>
    </row>
    <row r="1437" spans="1:16" hidden="1" x14ac:dyDescent="0.25">
      <c r="A1437" s="8">
        <v>1432</v>
      </c>
      <c r="B1437">
        <v>113</v>
      </c>
      <c r="C1437" s="27">
        <v>45608</v>
      </c>
      <c r="D1437" t="s">
        <v>336</v>
      </c>
      <c r="E1437">
        <v>2989.48</v>
      </c>
      <c r="G1437" t="s">
        <v>337</v>
      </c>
      <c r="H1437" t="s">
        <v>14</v>
      </c>
      <c r="I1437" t="s">
        <v>338</v>
      </c>
      <c r="J1437" s="27">
        <v>45597</v>
      </c>
      <c r="K1437">
        <v>2024</v>
      </c>
      <c r="L1437" s="27">
        <v>45608</v>
      </c>
      <c r="M1437">
        <v>9341.4</v>
      </c>
      <c r="N1437">
        <v>25</v>
      </c>
      <c r="O1437" t="s">
        <v>335</v>
      </c>
      <c r="P1437">
        <f t="shared" si="23"/>
        <v>0</v>
      </c>
    </row>
    <row r="1438" spans="1:16" hidden="1" x14ac:dyDescent="0.25">
      <c r="A1438" s="8">
        <v>1433</v>
      </c>
      <c r="B1438">
        <v>114</v>
      </c>
      <c r="C1438" s="27">
        <v>45609</v>
      </c>
      <c r="D1438" t="s">
        <v>341</v>
      </c>
      <c r="E1438">
        <v>-155</v>
      </c>
      <c r="G1438" t="s">
        <v>46</v>
      </c>
      <c r="H1438" t="s">
        <v>14</v>
      </c>
      <c r="J1438" s="27">
        <v>45597</v>
      </c>
      <c r="K1438">
        <v>2024</v>
      </c>
      <c r="L1438" s="27">
        <v>45609</v>
      </c>
      <c r="M1438">
        <v>9186.4</v>
      </c>
      <c r="N1438">
        <v>76</v>
      </c>
      <c r="O1438" t="s">
        <v>335</v>
      </c>
      <c r="P1438">
        <f t="shared" si="23"/>
        <v>0</v>
      </c>
    </row>
    <row r="1439" spans="1:16" hidden="1" x14ac:dyDescent="0.25">
      <c r="A1439" s="8">
        <v>1434</v>
      </c>
      <c r="B1439">
        <v>115</v>
      </c>
      <c r="C1439" s="27">
        <v>45612</v>
      </c>
      <c r="D1439" t="s">
        <v>341</v>
      </c>
      <c r="E1439">
        <v>-1634</v>
      </c>
      <c r="G1439" t="s">
        <v>46</v>
      </c>
      <c r="H1439" t="s">
        <v>14</v>
      </c>
      <c r="J1439" s="27">
        <v>45597</v>
      </c>
      <c r="K1439">
        <v>2024</v>
      </c>
      <c r="L1439" s="27">
        <v>45612</v>
      </c>
      <c r="M1439">
        <v>7552.4</v>
      </c>
      <c r="N1439">
        <v>77</v>
      </c>
      <c r="O1439" t="s">
        <v>335</v>
      </c>
      <c r="P1439">
        <f t="shared" si="23"/>
        <v>0</v>
      </c>
    </row>
    <row r="1440" spans="1:16" hidden="1" x14ac:dyDescent="0.25">
      <c r="A1440" s="8">
        <v>1435</v>
      </c>
      <c r="B1440">
        <v>116</v>
      </c>
      <c r="C1440" s="27">
        <v>45612</v>
      </c>
      <c r="D1440" t="s">
        <v>341</v>
      </c>
      <c r="E1440">
        <v>-3000</v>
      </c>
      <c r="G1440" t="s">
        <v>46</v>
      </c>
      <c r="H1440" t="s">
        <v>14</v>
      </c>
      <c r="J1440" s="27">
        <v>45597</v>
      </c>
      <c r="K1440">
        <v>2024</v>
      </c>
      <c r="L1440" s="27">
        <v>45612</v>
      </c>
      <c r="M1440">
        <v>4552.3999999999996</v>
      </c>
      <c r="N1440">
        <v>78</v>
      </c>
      <c r="O1440" t="s">
        <v>335</v>
      </c>
      <c r="P1440">
        <f t="shared" si="23"/>
        <v>0</v>
      </c>
    </row>
    <row r="1441" spans="1:16" hidden="1" x14ac:dyDescent="0.25">
      <c r="A1441" s="8">
        <v>1436</v>
      </c>
      <c r="B1441">
        <v>117</v>
      </c>
      <c r="C1441" s="27">
        <v>45615</v>
      </c>
      <c r="D1441" t="s">
        <v>341</v>
      </c>
      <c r="E1441">
        <v>-800</v>
      </c>
      <c r="G1441" t="s">
        <v>46</v>
      </c>
      <c r="H1441" t="s">
        <v>14</v>
      </c>
      <c r="J1441" s="27">
        <v>45597</v>
      </c>
      <c r="K1441">
        <v>2024</v>
      </c>
      <c r="L1441" s="27">
        <v>45615</v>
      </c>
      <c r="M1441">
        <v>3752.4</v>
      </c>
      <c r="N1441">
        <v>79</v>
      </c>
      <c r="O1441" t="s">
        <v>335</v>
      </c>
      <c r="P1441">
        <f t="shared" si="23"/>
        <v>0</v>
      </c>
    </row>
    <row r="1442" spans="1:16" hidden="1" x14ac:dyDescent="0.25">
      <c r="A1442" s="8">
        <v>1437</v>
      </c>
      <c r="B1442">
        <v>118</v>
      </c>
      <c r="C1442" s="27">
        <v>45621</v>
      </c>
      <c r="D1442" t="s">
        <v>336</v>
      </c>
      <c r="E1442">
        <v>2904.49</v>
      </c>
      <c r="G1442" t="s">
        <v>337</v>
      </c>
      <c r="H1442" t="s">
        <v>14</v>
      </c>
      <c r="I1442" t="s">
        <v>338</v>
      </c>
      <c r="J1442" s="27">
        <v>45597</v>
      </c>
      <c r="K1442">
        <v>2024</v>
      </c>
      <c r="L1442" s="27">
        <v>45621</v>
      </c>
      <c r="M1442">
        <v>6656.89</v>
      </c>
      <c r="N1442">
        <v>26</v>
      </c>
      <c r="O1442" t="s">
        <v>335</v>
      </c>
      <c r="P1442">
        <f t="shared" si="23"/>
        <v>0</v>
      </c>
    </row>
    <row r="1443" spans="1:16" hidden="1" x14ac:dyDescent="0.25">
      <c r="A1443" s="8">
        <v>1438</v>
      </c>
      <c r="B1443">
        <v>119</v>
      </c>
      <c r="C1443" s="27">
        <v>45622</v>
      </c>
      <c r="D1443" t="s">
        <v>334</v>
      </c>
      <c r="E1443">
        <v>-3468.67</v>
      </c>
      <c r="G1443" t="s">
        <v>46</v>
      </c>
      <c r="H1443" t="s">
        <v>14</v>
      </c>
      <c r="J1443" s="27">
        <v>45597</v>
      </c>
      <c r="K1443">
        <v>2024</v>
      </c>
      <c r="L1443" s="27">
        <v>45622</v>
      </c>
      <c r="M1443">
        <v>3188.22</v>
      </c>
      <c r="N1443">
        <v>80</v>
      </c>
      <c r="O1443" t="s">
        <v>335</v>
      </c>
      <c r="P1443">
        <f t="shared" si="23"/>
        <v>0</v>
      </c>
    </row>
    <row r="1444" spans="1:16" hidden="1" x14ac:dyDescent="0.25">
      <c r="A1444" s="8">
        <v>1439</v>
      </c>
      <c r="B1444">
        <v>120</v>
      </c>
      <c r="C1444" s="27">
        <v>45626</v>
      </c>
      <c r="D1444" t="s">
        <v>343</v>
      </c>
      <c r="E1444">
        <v>19.2</v>
      </c>
      <c r="G1444" t="s">
        <v>344</v>
      </c>
      <c r="H1444" t="s">
        <v>14</v>
      </c>
      <c r="I1444" t="s">
        <v>80</v>
      </c>
      <c r="J1444" s="27">
        <v>45597</v>
      </c>
      <c r="K1444">
        <v>2024</v>
      </c>
      <c r="L1444" s="27">
        <v>45626</v>
      </c>
      <c r="M1444">
        <v>3207.42</v>
      </c>
      <c r="N1444">
        <v>11</v>
      </c>
      <c r="O1444" t="s">
        <v>335</v>
      </c>
      <c r="P1444">
        <f t="shared" si="23"/>
        <v>1</v>
      </c>
    </row>
    <row r="1445" spans="1:16" hidden="1" x14ac:dyDescent="0.25">
      <c r="A1445" s="8">
        <v>1440</v>
      </c>
      <c r="B1445">
        <v>121</v>
      </c>
      <c r="C1445" s="27">
        <v>45627</v>
      </c>
      <c r="D1445" t="s">
        <v>341</v>
      </c>
      <c r="E1445">
        <v>-450</v>
      </c>
      <c r="G1445" t="s">
        <v>46</v>
      </c>
      <c r="H1445" t="s">
        <v>14</v>
      </c>
      <c r="J1445" s="27">
        <v>45627</v>
      </c>
      <c r="K1445">
        <v>2024</v>
      </c>
      <c r="L1445" s="27">
        <v>45627</v>
      </c>
      <c r="M1445">
        <v>2757.42</v>
      </c>
      <c r="N1445">
        <v>81</v>
      </c>
      <c r="O1445" t="s">
        <v>335</v>
      </c>
      <c r="P1445">
        <f t="shared" si="23"/>
        <v>0</v>
      </c>
    </row>
    <row r="1446" spans="1:16" hidden="1" x14ac:dyDescent="0.25">
      <c r="A1446" s="8">
        <v>1441</v>
      </c>
      <c r="B1446">
        <v>122</v>
      </c>
      <c r="C1446" s="27">
        <v>45636</v>
      </c>
      <c r="D1446" t="s">
        <v>336</v>
      </c>
      <c r="E1446">
        <v>2989.48</v>
      </c>
      <c r="G1446" t="s">
        <v>337</v>
      </c>
      <c r="H1446" t="s">
        <v>14</v>
      </c>
      <c r="I1446" t="s">
        <v>338</v>
      </c>
      <c r="J1446" s="27">
        <v>45627</v>
      </c>
      <c r="K1446">
        <v>2024</v>
      </c>
      <c r="L1446" s="27">
        <v>45636</v>
      </c>
      <c r="M1446">
        <v>5746.9</v>
      </c>
      <c r="N1446">
        <v>27</v>
      </c>
      <c r="O1446" t="s">
        <v>335</v>
      </c>
      <c r="P1446">
        <f t="shared" ref="P1446:P1509" si="24">IF(J1446&lt;&gt;J1447, 1, 0)</f>
        <v>0</v>
      </c>
    </row>
    <row r="1447" spans="1:16" hidden="1" x14ac:dyDescent="0.25">
      <c r="A1447" s="8">
        <v>1442</v>
      </c>
      <c r="B1447">
        <v>123</v>
      </c>
      <c r="C1447" s="27">
        <v>45639</v>
      </c>
      <c r="D1447" t="s">
        <v>341</v>
      </c>
      <c r="E1447">
        <v>-155</v>
      </c>
      <c r="G1447" t="s">
        <v>46</v>
      </c>
      <c r="H1447" t="s">
        <v>14</v>
      </c>
      <c r="J1447" s="27">
        <v>45627</v>
      </c>
      <c r="K1447">
        <v>2024</v>
      </c>
      <c r="L1447" s="27">
        <v>45639</v>
      </c>
      <c r="M1447">
        <v>5591.9</v>
      </c>
      <c r="N1447">
        <v>82</v>
      </c>
      <c r="O1447" t="s">
        <v>335</v>
      </c>
      <c r="P1447">
        <f t="shared" si="24"/>
        <v>0</v>
      </c>
    </row>
    <row r="1448" spans="1:16" hidden="1" x14ac:dyDescent="0.25">
      <c r="A1448" s="8">
        <v>1443</v>
      </c>
      <c r="B1448">
        <v>124</v>
      </c>
      <c r="C1448" s="27">
        <v>45639</v>
      </c>
      <c r="D1448" t="s">
        <v>341</v>
      </c>
      <c r="E1448">
        <v>-1132</v>
      </c>
      <c r="G1448" t="s">
        <v>46</v>
      </c>
      <c r="H1448" t="s">
        <v>14</v>
      </c>
      <c r="J1448" s="27">
        <v>45627</v>
      </c>
      <c r="K1448">
        <v>2024</v>
      </c>
      <c r="L1448" s="27">
        <v>45639</v>
      </c>
      <c r="M1448">
        <v>4459.8999999999996</v>
      </c>
      <c r="N1448">
        <v>83</v>
      </c>
      <c r="O1448" t="s">
        <v>335</v>
      </c>
      <c r="P1448">
        <f t="shared" si="24"/>
        <v>0</v>
      </c>
    </row>
    <row r="1449" spans="1:16" hidden="1" x14ac:dyDescent="0.25">
      <c r="A1449" s="8">
        <v>1444</v>
      </c>
      <c r="B1449">
        <v>125</v>
      </c>
      <c r="C1449" s="27">
        <v>45642</v>
      </c>
      <c r="D1449" t="s">
        <v>334</v>
      </c>
      <c r="E1449">
        <v>-2386.27</v>
      </c>
      <c r="G1449" t="s">
        <v>46</v>
      </c>
      <c r="H1449" t="s">
        <v>14</v>
      </c>
      <c r="J1449" s="27">
        <v>45627</v>
      </c>
      <c r="K1449">
        <v>2024</v>
      </c>
      <c r="L1449" s="27">
        <v>45642</v>
      </c>
      <c r="M1449">
        <v>2073.63</v>
      </c>
      <c r="N1449">
        <v>84</v>
      </c>
      <c r="O1449" t="s">
        <v>335</v>
      </c>
      <c r="P1449">
        <f t="shared" si="24"/>
        <v>0</v>
      </c>
    </row>
    <row r="1450" spans="1:16" hidden="1" x14ac:dyDescent="0.25">
      <c r="A1450" s="8">
        <v>1445</v>
      </c>
      <c r="B1450">
        <v>126</v>
      </c>
      <c r="C1450" s="27">
        <v>45649</v>
      </c>
      <c r="D1450" t="s">
        <v>336</v>
      </c>
      <c r="E1450">
        <v>2989.48</v>
      </c>
      <c r="G1450" t="s">
        <v>337</v>
      </c>
      <c r="H1450" t="s">
        <v>14</v>
      </c>
      <c r="I1450" t="s">
        <v>338</v>
      </c>
      <c r="J1450" s="27">
        <v>45627</v>
      </c>
      <c r="K1450">
        <v>2024</v>
      </c>
      <c r="L1450" s="27">
        <v>45649</v>
      </c>
      <c r="M1450">
        <v>5063.1099999999997</v>
      </c>
      <c r="N1450">
        <v>28</v>
      </c>
      <c r="O1450" t="s">
        <v>335</v>
      </c>
      <c r="P1450">
        <f t="shared" si="24"/>
        <v>0</v>
      </c>
    </row>
    <row r="1451" spans="1:16" hidden="1" x14ac:dyDescent="0.25">
      <c r="A1451" s="8">
        <v>1446</v>
      </c>
      <c r="B1451">
        <v>127</v>
      </c>
      <c r="C1451" s="27">
        <v>45657</v>
      </c>
      <c r="D1451" t="s">
        <v>343</v>
      </c>
      <c r="E1451">
        <v>12.43</v>
      </c>
      <c r="G1451" t="s">
        <v>344</v>
      </c>
      <c r="H1451" t="s">
        <v>14</v>
      </c>
      <c r="I1451" t="s">
        <v>80</v>
      </c>
      <c r="J1451" s="27">
        <v>45627</v>
      </c>
      <c r="K1451">
        <v>2024</v>
      </c>
      <c r="L1451" s="27">
        <v>45657</v>
      </c>
      <c r="M1451">
        <v>5075.54</v>
      </c>
      <c r="N1451">
        <v>12</v>
      </c>
      <c r="O1451" t="s">
        <v>335</v>
      </c>
      <c r="P1451">
        <f t="shared" si="24"/>
        <v>1</v>
      </c>
    </row>
    <row r="1452" spans="1:16" hidden="1" x14ac:dyDescent="0.25">
      <c r="A1452" s="8">
        <v>1447</v>
      </c>
      <c r="B1452">
        <v>0</v>
      </c>
      <c r="C1452" s="27">
        <v>45314</v>
      </c>
      <c r="D1452" t="s">
        <v>348</v>
      </c>
      <c r="E1452">
        <v>155</v>
      </c>
      <c r="G1452" t="s">
        <v>46</v>
      </c>
      <c r="H1452" t="s">
        <v>14</v>
      </c>
      <c r="J1452" s="27">
        <v>45292</v>
      </c>
      <c r="K1452">
        <v>2024</v>
      </c>
      <c r="L1452" s="27">
        <v>45314</v>
      </c>
      <c r="M1452">
        <v>187.58</v>
      </c>
      <c r="N1452">
        <v>1</v>
      </c>
      <c r="O1452" t="s">
        <v>358</v>
      </c>
      <c r="P1452">
        <f t="shared" si="24"/>
        <v>0</v>
      </c>
    </row>
    <row r="1453" spans="1:16" hidden="1" x14ac:dyDescent="0.25">
      <c r="A1453" s="8">
        <v>1448</v>
      </c>
      <c r="B1453">
        <v>1</v>
      </c>
      <c r="C1453" s="27">
        <v>45315</v>
      </c>
      <c r="D1453" t="s">
        <v>349</v>
      </c>
      <c r="E1453">
        <v>-155</v>
      </c>
      <c r="G1453" t="s">
        <v>350</v>
      </c>
      <c r="H1453" t="s">
        <v>28</v>
      </c>
      <c r="I1453" t="s">
        <v>69</v>
      </c>
      <c r="J1453" s="27">
        <v>45292</v>
      </c>
      <c r="K1453">
        <v>2024</v>
      </c>
      <c r="L1453" s="27">
        <v>45315</v>
      </c>
      <c r="M1453">
        <v>32.58</v>
      </c>
      <c r="N1453">
        <v>1</v>
      </c>
      <c r="O1453" t="s">
        <v>358</v>
      </c>
      <c r="P1453">
        <f t="shared" si="24"/>
        <v>0</v>
      </c>
    </row>
    <row r="1454" spans="1:16" hidden="1" x14ac:dyDescent="0.25">
      <c r="A1454" s="8">
        <v>1449</v>
      </c>
      <c r="B1454">
        <v>2</v>
      </c>
      <c r="C1454" s="27">
        <v>45315</v>
      </c>
      <c r="D1454" t="s">
        <v>348</v>
      </c>
      <c r="E1454">
        <v>1804</v>
      </c>
      <c r="G1454" t="s">
        <v>46</v>
      </c>
      <c r="H1454" t="s">
        <v>14</v>
      </c>
      <c r="J1454" s="27">
        <v>45292</v>
      </c>
      <c r="K1454">
        <v>2024</v>
      </c>
      <c r="L1454" s="27">
        <v>45315</v>
      </c>
      <c r="M1454">
        <v>1836.58</v>
      </c>
      <c r="N1454">
        <v>2</v>
      </c>
      <c r="O1454" t="s">
        <v>358</v>
      </c>
      <c r="P1454">
        <f t="shared" si="24"/>
        <v>0</v>
      </c>
    </row>
    <row r="1455" spans="1:16" hidden="1" x14ac:dyDescent="0.25">
      <c r="A1455" s="8">
        <v>1450</v>
      </c>
      <c r="B1455">
        <v>3</v>
      </c>
      <c r="C1455" s="27">
        <v>45316</v>
      </c>
      <c r="D1455" t="s">
        <v>351</v>
      </c>
      <c r="E1455">
        <v>-1803.4</v>
      </c>
      <c r="G1455" t="s">
        <v>352</v>
      </c>
      <c r="H1455" t="s">
        <v>28</v>
      </c>
      <c r="I1455" t="s">
        <v>25</v>
      </c>
      <c r="J1455" s="27">
        <v>45292</v>
      </c>
      <c r="K1455">
        <v>2024</v>
      </c>
      <c r="L1455" s="27">
        <v>45316</v>
      </c>
      <c r="M1455">
        <v>33.18</v>
      </c>
      <c r="N1455">
        <v>1</v>
      </c>
      <c r="O1455" t="s">
        <v>358</v>
      </c>
      <c r="P1455">
        <f t="shared" si="24"/>
        <v>0</v>
      </c>
    </row>
    <row r="1456" spans="1:16" hidden="1" x14ac:dyDescent="0.25">
      <c r="A1456" s="8">
        <v>1451</v>
      </c>
      <c r="B1456">
        <v>4</v>
      </c>
      <c r="C1456" s="27">
        <v>45322</v>
      </c>
      <c r="D1456" t="s">
        <v>343</v>
      </c>
      <c r="E1456">
        <v>0.04</v>
      </c>
      <c r="G1456" t="s">
        <v>344</v>
      </c>
      <c r="H1456" t="s">
        <v>28</v>
      </c>
      <c r="I1456" t="s">
        <v>80</v>
      </c>
      <c r="J1456" s="27">
        <v>45292</v>
      </c>
      <c r="K1456">
        <v>2024</v>
      </c>
      <c r="L1456" s="27">
        <v>45322</v>
      </c>
      <c r="M1456">
        <v>33.22</v>
      </c>
      <c r="N1456">
        <v>1</v>
      </c>
      <c r="O1456" t="s">
        <v>358</v>
      </c>
      <c r="P1456">
        <f t="shared" si="24"/>
        <v>1</v>
      </c>
    </row>
    <row r="1457" spans="1:16" hidden="1" x14ac:dyDescent="0.25">
      <c r="A1457" s="8">
        <v>1452</v>
      </c>
      <c r="B1457">
        <v>5</v>
      </c>
      <c r="C1457" s="27">
        <v>45323</v>
      </c>
      <c r="D1457" t="s">
        <v>348</v>
      </c>
      <c r="E1457">
        <v>450</v>
      </c>
      <c r="G1457" t="s">
        <v>46</v>
      </c>
      <c r="H1457" t="s">
        <v>14</v>
      </c>
      <c r="J1457" s="27">
        <v>45323</v>
      </c>
      <c r="K1457">
        <v>2024</v>
      </c>
      <c r="L1457" s="27">
        <v>45323</v>
      </c>
      <c r="M1457">
        <v>483.22</v>
      </c>
      <c r="N1457">
        <v>3</v>
      </c>
      <c r="O1457" t="s">
        <v>358</v>
      </c>
      <c r="P1457">
        <f t="shared" si="24"/>
        <v>0</v>
      </c>
    </row>
    <row r="1458" spans="1:16" hidden="1" x14ac:dyDescent="0.25">
      <c r="A1458" s="8">
        <v>1453</v>
      </c>
      <c r="B1458">
        <v>6</v>
      </c>
      <c r="C1458" s="27">
        <v>45327</v>
      </c>
      <c r="D1458" t="s">
        <v>351</v>
      </c>
      <c r="E1458">
        <v>-30</v>
      </c>
      <c r="G1458" t="s">
        <v>353</v>
      </c>
      <c r="H1458" t="s">
        <v>14</v>
      </c>
      <c r="I1458" t="s">
        <v>25</v>
      </c>
      <c r="J1458" s="27">
        <v>45323</v>
      </c>
      <c r="K1458">
        <v>2024</v>
      </c>
      <c r="L1458" s="27">
        <v>45327</v>
      </c>
      <c r="M1458">
        <v>453.22</v>
      </c>
      <c r="N1458">
        <v>1</v>
      </c>
      <c r="O1458" t="s">
        <v>358</v>
      </c>
      <c r="P1458">
        <f t="shared" si="24"/>
        <v>0</v>
      </c>
    </row>
    <row r="1459" spans="1:16" hidden="1" x14ac:dyDescent="0.25">
      <c r="A1459" s="8">
        <v>1454</v>
      </c>
      <c r="B1459">
        <v>7</v>
      </c>
      <c r="C1459" s="27">
        <v>45329</v>
      </c>
      <c r="D1459" t="s">
        <v>348</v>
      </c>
      <c r="E1459">
        <v>3610</v>
      </c>
      <c r="G1459" t="s">
        <v>46</v>
      </c>
      <c r="H1459" t="s">
        <v>14</v>
      </c>
      <c r="J1459" s="27">
        <v>45323</v>
      </c>
      <c r="K1459">
        <v>2024</v>
      </c>
      <c r="L1459" s="27">
        <v>45329</v>
      </c>
      <c r="M1459">
        <v>4063.22</v>
      </c>
      <c r="N1459">
        <v>4</v>
      </c>
      <c r="O1459" t="s">
        <v>358</v>
      </c>
      <c r="P1459">
        <f t="shared" si="24"/>
        <v>0</v>
      </c>
    </row>
    <row r="1460" spans="1:16" hidden="1" x14ac:dyDescent="0.25">
      <c r="A1460" s="8">
        <v>1455</v>
      </c>
      <c r="B1460">
        <v>8</v>
      </c>
      <c r="C1460" s="27">
        <v>45330</v>
      </c>
      <c r="D1460" t="s">
        <v>351</v>
      </c>
      <c r="E1460">
        <v>-3606.8</v>
      </c>
      <c r="G1460" t="s">
        <v>352</v>
      </c>
      <c r="H1460" t="s">
        <v>28</v>
      </c>
      <c r="I1460" t="s">
        <v>25</v>
      </c>
      <c r="J1460" s="27">
        <v>45323</v>
      </c>
      <c r="K1460">
        <v>2024</v>
      </c>
      <c r="L1460" s="27">
        <v>45330</v>
      </c>
      <c r="M1460">
        <v>456.42</v>
      </c>
      <c r="N1460">
        <v>2</v>
      </c>
      <c r="O1460" t="s">
        <v>358</v>
      </c>
      <c r="P1460">
        <f t="shared" si="24"/>
        <v>0</v>
      </c>
    </row>
    <row r="1461" spans="1:16" hidden="1" x14ac:dyDescent="0.25">
      <c r="A1461" s="8">
        <v>1456</v>
      </c>
      <c r="B1461">
        <v>9</v>
      </c>
      <c r="C1461" s="27">
        <v>45330</v>
      </c>
      <c r="D1461" t="s">
        <v>348</v>
      </c>
      <c r="E1461">
        <v>820</v>
      </c>
      <c r="G1461" t="s">
        <v>46</v>
      </c>
      <c r="H1461" t="s">
        <v>14</v>
      </c>
      <c r="J1461" s="27">
        <v>45323</v>
      </c>
      <c r="K1461">
        <v>2024</v>
      </c>
      <c r="L1461" s="27">
        <v>45330</v>
      </c>
      <c r="M1461">
        <v>1276.42</v>
      </c>
      <c r="N1461">
        <v>5</v>
      </c>
      <c r="O1461" t="s">
        <v>358</v>
      </c>
      <c r="P1461">
        <f t="shared" si="24"/>
        <v>0</v>
      </c>
    </row>
    <row r="1462" spans="1:16" hidden="1" x14ac:dyDescent="0.25">
      <c r="A1462" s="8">
        <v>1457</v>
      </c>
      <c r="B1462">
        <v>10</v>
      </c>
      <c r="C1462" s="27">
        <v>45331</v>
      </c>
      <c r="D1462" t="s">
        <v>354</v>
      </c>
      <c r="E1462">
        <v>-442.73</v>
      </c>
      <c r="G1462" t="s">
        <v>27</v>
      </c>
      <c r="H1462" t="s">
        <v>28</v>
      </c>
      <c r="I1462" t="s">
        <v>29</v>
      </c>
      <c r="J1462" s="27">
        <v>45323</v>
      </c>
      <c r="K1462">
        <v>2024</v>
      </c>
      <c r="L1462" s="27">
        <v>45331</v>
      </c>
      <c r="M1462">
        <v>833.69</v>
      </c>
      <c r="N1462">
        <v>1</v>
      </c>
      <c r="O1462" t="s">
        <v>358</v>
      </c>
      <c r="P1462">
        <f t="shared" si="24"/>
        <v>0</v>
      </c>
    </row>
    <row r="1463" spans="1:16" hidden="1" x14ac:dyDescent="0.25">
      <c r="A1463" s="8">
        <v>1458</v>
      </c>
      <c r="B1463">
        <v>11</v>
      </c>
      <c r="C1463" s="27">
        <v>45331</v>
      </c>
      <c r="D1463" t="s">
        <v>342</v>
      </c>
      <c r="E1463">
        <v>820</v>
      </c>
      <c r="G1463" t="s">
        <v>46</v>
      </c>
      <c r="H1463" t="s">
        <v>14</v>
      </c>
      <c r="J1463" s="27">
        <v>45323</v>
      </c>
      <c r="K1463">
        <v>2024</v>
      </c>
      <c r="L1463" s="27">
        <v>45331</v>
      </c>
      <c r="M1463">
        <v>1653.69</v>
      </c>
      <c r="N1463">
        <v>6</v>
      </c>
      <c r="O1463" t="s">
        <v>358</v>
      </c>
      <c r="P1463">
        <f t="shared" si="24"/>
        <v>0</v>
      </c>
    </row>
    <row r="1464" spans="1:16" hidden="1" x14ac:dyDescent="0.25">
      <c r="A1464" s="8">
        <v>1459</v>
      </c>
      <c r="B1464">
        <v>12</v>
      </c>
      <c r="C1464" s="27">
        <v>45334</v>
      </c>
      <c r="D1464" t="s">
        <v>351</v>
      </c>
      <c r="E1464">
        <v>-816.87</v>
      </c>
      <c r="G1464" t="s">
        <v>355</v>
      </c>
      <c r="H1464" t="s">
        <v>28</v>
      </c>
      <c r="I1464" t="s">
        <v>285</v>
      </c>
      <c r="J1464" s="27">
        <v>45323</v>
      </c>
      <c r="K1464">
        <v>2024</v>
      </c>
      <c r="L1464" s="27">
        <v>45334</v>
      </c>
      <c r="M1464">
        <v>836.82</v>
      </c>
      <c r="N1464">
        <v>1</v>
      </c>
      <c r="O1464" t="s">
        <v>358</v>
      </c>
      <c r="P1464">
        <f t="shared" si="24"/>
        <v>0</v>
      </c>
    </row>
    <row r="1465" spans="1:16" hidden="1" x14ac:dyDescent="0.25">
      <c r="A1465" s="8">
        <v>1460</v>
      </c>
      <c r="B1465">
        <v>13</v>
      </c>
      <c r="C1465" s="27">
        <v>45334</v>
      </c>
      <c r="D1465" t="s">
        <v>351</v>
      </c>
      <c r="E1465">
        <v>-816.87</v>
      </c>
      <c r="G1465" t="s">
        <v>355</v>
      </c>
      <c r="H1465" t="s">
        <v>28</v>
      </c>
      <c r="I1465" t="s">
        <v>285</v>
      </c>
      <c r="J1465" s="27">
        <v>45323</v>
      </c>
      <c r="K1465">
        <v>2024</v>
      </c>
      <c r="L1465" s="27">
        <v>45334</v>
      </c>
      <c r="M1465">
        <v>19.95</v>
      </c>
      <c r="N1465">
        <v>2</v>
      </c>
      <c r="O1465" t="s">
        <v>358</v>
      </c>
      <c r="P1465">
        <f t="shared" si="24"/>
        <v>0</v>
      </c>
    </row>
    <row r="1466" spans="1:16" hidden="1" x14ac:dyDescent="0.25">
      <c r="A1466" s="8">
        <v>1461</v>
      </c>
      <c r="B1466">
        <v>14</v>
      </c>
      <c r="C1466" s="27">
        <v>45335</v>
      </c>
      <c r="D1466" t="s">
        <v>348</v>
      </c>
      <c r="E1466">
        <v>155</v>
      </c>
      <c r="G1466" t="s">
        <v>46</v>
      </c>
      <c r="H1466" t="s">
        <v>14</v>
      </c>
      <c r="J1466" s="27">
        <v>45323</v>
      </c>
      <c r="K1466">
        <v>2024</v>
      </c>
      <c r="L1466" s="27">
        <v>45335</v>
      </c>
      <c r="M1466">
        <v>174.95</v>
      </c>
      <c r="N1466">
        <v>7</v>
      </c>
      <c r="O1466" t="s">
        <v>358</v>
      </c>
      <c r="P1466">
        <f t="shared" si="24"/>
        <v>0</v>
      </c>
    </row>
    <row r="1467" spans="1:16" hidden="1" x14ac:dyDescent="0.25">
      <c r="A1467" s="8">
        <v>1462</v>
      </c>
      <c r="B1467">
        <v>15</v>
      </c>
      <c r="C1467" s="27">
        <v>45337</v>
      </c>
      <c r="D1467" t="s">
        <v>349</v>
      </c>
      <c r="E1467">
        <v>-155</v>
      </c>
      <c r="G1467" t="s">
        <v>350</v>
      </c>
      <c r="H1467" t="s">
        <v>28</v>
      </c>
      <c r="I1467" t="s">
        <v>69</v>
      </c>
      <c r="J1467" s="27">
        <v>45323</v>
      </c>
      <c r="K1467">
        <v>2024</v>
      </c>
      <c r="L1467" s="27">
        <v>45337</v>
      </c>
      <c r="M1467">
        <v>19.95</v>
      </c>
      <c r="N1467">
        <v>2</v>
      </c>
      <c r="O1467" t="s">
        <v>358</v>
      </c>
      <c r="P1467">
        <f t="shared" si="24"/>
        <v>0</v>
      </c>
    </row>
    <row r="1468" spans="1:16" hidden="1" x14ac:dyDescent="0.25">
      <c r="A1468" s="8">
        <v>1463</v>
      </c>
      <c r="B1468">
        <v>16</v>
      </c>
      <c r="C1468" s="27">
        <v>45339</v>
      </c>
      <c r="D1468" t="s">
        <v>348</v>
      </c>
      <c r="E1468">
        <v>50</v>
      </c>
      <c r="G1468" t="s">
        <v>46</v>
      </c>
      <c r="H1468" t="s">
        <v>14</v>
      </c>
      <c r="J1468" s="27">
        <v>45323</v>
      </c>
      <c r="K1468">
        <v>2024</v>
      </c>
      <c r="L1468" s="27">
        <v>45339</v>
      </c>
      <c r="M1468">
        <v>69.95</v>
      </c>
      <c r="N1468">
        <v>8</v>
      </c>
      <c r="O1468" t="s">
        <v>358</v>
      </c>
      <c r="P1468">
        <f t="shared" si="24"/>
        <v>0</v>
      </c>
    </row>
    <row r="1469" spans="1:16" hidden="1" x14ac:dyDescent="0.25">
      <c r="A1469" s="8">
        <v>1464</v>
      </c>
      <c r="B1469">
        <v>17</v>
      </c>
      <c r="C1469" s="27">
        <v>45340</v>
      </c>
      <c r="D1469" t="s">
        <v>348</v>
      </c>
      <c r="E1469">
        <v>50</v>
      </c>
      <c r="G1469" t="s">
        <v>46</v>
      </c>
      <c r="H1469" t="s">
        <v>14</v>
      </c>
      <c r="J1469" s="27">
        <v>45323</v>
      </c>
      <c r="K1469">
        <v>2024</v>
      </c>
      <c r="L1469" s="27">
        <v>45340</v>
      </c>
      <c r="M1469">
        <v>119.95</v>
      </c>
      <c r="N1469">
        <v>9</v>
      </c>
      <c r="O1469" t="s">
        <v>358</v>
      </c>
      <c r="P1469">
        <f t="shared" si="24"/>
        <v>0</v>
      </c>
    </row>
    <row r="1470" spans="1:16" hidden="1" x14ac:dyDescent="0.25">
      <c r="A1470" s="8">
        <v>1465</v>
      </c>
      <c r="B1470">
        <v>18</v>
      </c>
      <c r="C1470" s="27">
        <v>45341</v>
      </c>
      <c r="D1470" t="s">
        <v>356</v>
      </c>
      <c r="E1470">
        <v>-43</v>
      </c>
      <c r="G1470" t="s">
        <v>168</v>
      </c>
      <c r="H1470" t="s">
        <v>14</v>
      </c>
      <c r="I1470" t="s">
        <v>69</v>
      </c>
      <c r="J1470" s="27">
        <v>45323</v>
      </c>
      <c r="K1470">
        <v>2024</v>
      </c>
      <c r="L1470" s="27">
        <v>45341</v>
      </c>
      <c r="M1470">
        <v>76.95</v>
      </c>
      <c r="N1470">
        <v>1</v>
      </c>
      <c r="O1470" t="s">
        <v>358</v>
      </c>
      <c r="P1470">
        <f t="shared" si="24"/>
        <v>0</v>
      </c>
    </row>
    <row r="1471" spans="1:16" hidden="1" x14ac:dyDescent="0.25">
      <c r="A1471" s="8">
        <v>1466</v>
      </c>
      <c r="B1471">
        <v>19</v>
      </c>
      <c r="C1471" s="27">
        <v>45342</v>
      </c>
      <c r="D1471" t="s">
        <v>351</v>
      </c>
      <c r="E1471">
        <v>-50</v>
      </c>
      <c r="G1471" t="s">
        <v>357</v>
      </c>
      <c r="H1471" t="s">
        <v>14</v>
      </c>
      <c r="I1471" t="s">
        <v>25</v>
      </c>
      <c r="J1471" s="27">
        <v>45323</v>
      </c>
      <c r="K1471">
        <v>2024</v>
      </c>
      <c r="L1471" s="27">
        <v>45342</v>
      </c>
      <c r="M1471">
        <v>26.95</v>
      </c>
      <c r="N1471">
        <v>1</v>
      </c>
      <c r="O1471" t="s">
        <v>358</v>
      </c>
      <c r="P1471">
        <f t="shared" si="24"/>
        <v>0</v>
      </c>
    </row>
    <row r="1472" spans="1:16" hidden="1" x14ac:dyDescent="0.25">
      <c r="A1472" s="8">
        <v>1467</v>
      </c>
      <c r="B1472">
        <v>20</v>
      </c>
      <c r="C1472" s="27">
        <v>45344</v>
      </c>
      <c r="D1472" t="s">
        <v>348</v>
      </c>
      <c r="E1472">
        <v>900</v>
      </c>
      <c r="G1472" t="s">
        <v>46</v>
      </c>
      <c r="H1472" t="s">
        <v>14</v>
      </c>
      <c r="J1472" s="27">
        <v>45323</v>
      </c>
      <c r="K1472">
        <v>2024</v>
      </c>
      <c r="L1472" s="27">
        <v>45344</v>
      </c>
      <c r="M1472">
        <v>926.95</v>
      </c>
      <c r="N1472">
        <v>10</v>
      </c>
      <c r="O1472" t="s">
        <v>358</v>
      </c>
      <c r="P1472">
        <f t="shared" si="24"/>
        <v>0</v>
      </c>
    </row>
    <row r="1473" spans="1:16" hidden="1" x14ac:dyDescent="0.25">
      <c r="A1473" s="8">
        <v>1468</v>
      </c>
      <c r="B1473">
        <v>21</v>
      </c>
      <c r="C1473" s="27">
        <v>45345</v>
      </c>
      <c r="D1473" t="s">
        <v>351</v>
      </c>
      <c r="E1473">
        <v>-816.87</v>
      </c>
      <c r="G1473" t="s">
        <v>355</v>
      </c>
      <c r="H1473" t="s">
        <v>28</v>
      </c>
      <c r="I1473" t="s">
        <v>285</v>
      </c>
      <c r="J1473" s="27">
        <v>45323</v>
      </c>
      <c r="K1473">
        <v>2024</v>
      </c>
      <c r="L1473" s="27">
        <v>45345</v>
      </c>
      <c r="M1473">
        <v>110.08</v>
      </c>
      <c r="N1473">
        <v>3</v>
      </c>
      <c r="O1473" t="s">
        <v>358</v>
      </c>
      <c r="P1473">
        <f t="shared" si="24"/>
        <v>0</v>
      </c>
    </row>
    <row r="1474" spans="1:16" hidden="1" x14ac:dyDescent="0.25">
      <c r="A1474" s="8">
        <v>1469</v>
      </c>
      <c r="B1474">
        <v>22</v>
      </c>
      <c r="C1474" s="27">
        <v>45351</v>
      </c>
      <c r="D1474" t="s">
        <v>343</v>
      </c>
      <c r="E1474">
        <v>0.21</v>
      </c>
      <c r="G1474" t="s">
        <v>344</v>
      </c>
      <c r="H1474" t="s">
        <v>28</v>
      </c>
      <c r="I1474" t="s">
        <v>80</v>
      </c>
      <c r="J1474" s="27">
        <v>45323</v>
      </c>
      <c r="K1474">
        <v>2024</v>
      </c>
      <c r="L1474" s="27">
        <v>45351</v>
      </c>
      <c r="M1474">
        <v>110.29</v>
      </c>
      <c r="N1474">
        <v>2</v>
      </c>
      <c r="O1474" t="s">
        <v>358</v>
      </c>
      <c r="P1474">
        <f t="shared" si="24"/>
        <v>1</v>
      </c>
    </row>
    <row r="1475" spans="1:16" hidden="1" x14ac:dyDescent="0.25">
      <c r="A1475" s="8">
        <v>1470</v>
      </c>
      <c r="B1475">
        <v>23</v>
      </c>
      <c r="C1475" s="27">
        <v>45352</v>
      </c>
      <c r="D1475" t="s">
        <v>348</v>
      </c>
      <c r="E1475">
        <v>450</v>
      </c>
      <c r="G1475" t="s">
        <v>46</v>
      </c>
      <c r="H1475" t="s">
        <v>14</v>
      </c>
      <c r="J1475" s="27">
        <v>45352</v>
      </c>
      <c r="K1475">
        <v>2024</v>
      </c>
      <c r="L1475" s="27">
        <v>45352</v>
      </c>
      <c r="M1475">
        <v>560.29</v>
      </c>
      <c r="N1475">
        <v>11</v>
      </c>
      <c r="O1475" t="s">
        <v>358</v>
      </c>
      <c r="P1475">
        <f t="shared" si="24"/>
        <v>0</v>
      </c>
    </row>
    <row r="1476" spans="1:16" hidden="1" x14ac:dyDescent="0.25">
      <c r="A1476" s="8">
        <v>1471</v>
      </c>
      <c r="B1476">
        <v>24</v>
      </c>
      <c r="C1476" s="27">
        <v>45356</v>
      </c>
      <c r="D1476" t="s">
        <v>348</v>
      </c>
      <c r="E1476">
        <v>1803.4</v>
      </c>
      <c r="G1476" t="s">
        <v>46</v>
      </c>
      <c r="H1476" t="s">
        <v>14</v>
      </c>
      <c r="J1476" s="27">
        <v>45352</v>
      </c>
      <c r="K1476">
        <v>2024</v>
      </c>
      <c r="L1476" s="27">
        <v>45356</v>
      </c>
      <c r="M1476">
        <v>2363.69</v>
      </c>
      <c r="N1476">
        <v>12</v>
      </c>
      <c r="O1476" t="s">
        <v>358</v>
      </c>
      <c r="P1476">
        <f t="shared" si="24"/>
        <v>0</v>
      </c>
    </row>
    <row r="1477" spans="1:16" hidden="1" x14ac:dyDescent="0.25">
      <c r="A1477" s="8">
        <v>1472</v>
      </c>
      <c r="B1477">
        <v>25</v>
      </c>
      <c r="C1477" s="27">
        <v>45356</v>
      </c>
      <c r="D1477" t="s">
        <v>348</v>
      </c>
      <c r="E1477">
        <v>1473.72</v>
      </c>
      <c r="G1477" t="s">
        <v>46</v>
      </c>
      <c r="H1477" t="s">
        <v>14</v>
      </c>
      <c r="J1477" s="27">
        <v>45352</v>
      </c>
      <c r="K1477">
        <v>2024</v>
      </c>
      <c r="L1477" s="27">
        <v>45356</v>
      </c>
      <c r="M1477">
        <v>3837.41</v>
      </c>
      <c r="N1477">
        <v>13</v>
      </c>
      <c r="O1477" t="s">
        <v>358</v>
      </c>
      <c r="P1477">
        <f t="shared" si="24"/>
        <v>0</v>
      </c>
    </row>
    <row r="1478" spans="1:16" hidden="1" x14ac:dyDescent="0.25">
      <c r="A1478" s="8">
        <v>1473</v>
      </c>
      <c r="B1478">
        <v>26</v>
      </c>
      <c r="C1478" s="27">
        <v>45357</v>
      </c>
      <c r="D1478" t="s">
        <v>351</v>
      </c>
      <c r="E1478">
        <v>-1803.4</v>
      </c>
      <c r="G1478" t="s">
        <v>352</v>
      </c>
      <c r="H1478" t="s">
        <v>28</v>
      </c>
      <c r="I1478" t="s">
        <v>25</v>
      </c>
      <c r="J1478" s="27">
        <v>45352</v>
      </c>
      <c r="K1478">
        <v>2024</v>
      </c>
      <c r="L1478" s="27">
        <v>45357</v>
      </c>
      <c r="M1478">
        <v>2034.01</v>
      </c>
      <c r="N1478">
        <v>3</v>
      </c>
      <c r="O1478" t="s">
        <v>358</v>
      </c>
      <c r="P1478">
        <f t="shared" si="24"/>
        <v>0</v>
      </c>
    </row>
    <row r="1479" spans="1:16" hidden="1" x14ac:dyDescent="0.25">
      <c r="A1479" s="8">
        <v>1474</v>
      </c>
      <c r="B1479">
        <v>27</v>
      </c>
      <c r="C1479" s="27">
        <v>45357</v>
      </c>
      <c r="D1479" t="s">
        <v>351</v>
      </c>
      <c r="E1479">
        <v>-1473.72</v>
      </c>
      <c r="G1479" t="s">
        <v>352</v>
      </c>
      <c r="H1479" t="s">
        <v>28</v>
      </c>
      <c r="I1479" t="s">
        <v>25</v>
      </c>
      <c r="J1479" s="27">
        <v>45352</v>
      </c>
      <c r="K1479">
        <v>2024</v>
      </c>
      <c r="L1479" s="27">
        <v>45357</v>
      </c>
      <c r="M1479">
        <v>560.29</v>
      </c>
      <c r="N1479">
        <v>4</v>
      </c>
      <c r="O1479" t="s">
        <v>358</v>
      </c>
      <c r="P1479">
        <f t="shared" si="24"/>
        <v>0</v>
      </c>
    </row>
    <row r="1480" spans="1:16" hidden="1" x14ac:dyDescent="0.25">
      <c r="A1480" s="8">
        <v>1475</v>
      </c>
      <c r="B1480">
        <v>28</v>
      </c>
      <c r="C1480" s="27">
        <v>45362</v>
      </c>
      <c r="D1480" t="s">
        <v>354</v>
      </c>
      <c r="E1480">
        <v>-442.73</v>
      </c>
      <c r="G1480" t="s">
        <v>27</v>
      </c>
      <c r="H1480" t="s">
        <v>28</v>
      </c>
      <c r="I1480" t="s">
        <v>29</v>
      </c>
      <c r="J1480" s="27">
        <v>45352</v>
      </c>
      <c r="K1480">
        <v>2024</v>
      </c>
      <c r="L1480" s="27">
        <v>45362</v>
      </c>
      <c r="M1480">
        <v>117.56</v>
      </c>
      <c r="N1480">
        <v>2</v>
      </c>
      <c r="O1480" t="s">
        <v>358</v>
      </c>
      <c r="P1480">
        <f t="shared" si="24"/>
        <v>0</v>
      </c>
    </row>
    <row r="1481" spans="1:16" hidden="1" x14ac:dyDescent="0.25">
      <c r="A1481" s="8">
        <v>1476</v>
      </c>
      <c r="B1481">
        <v>29</v>
      </c>
      <c r="C1481" s="27">
        <v>45362</v>
      </c>
      <c r="D1481" t="s">
        <v>348</v>
      </c>
      <c r="E1481">
        <v>50</v>
      </c>
      <c r="G1481" t="s">
        <v>46</v>
      </c>
      <c r="H1481" t="s">
        <v>14</v>
      </c>
      <c r="J1481" s="27">
        <v>45352</v>
      </c>
      <c r="K1481">
        <v>2024</v>
      </c>
      <c r="L1481" s="27">
        <v>45362</v>
      </c>
      <c r="M1481">
        <v>167.56</v>
      </c>
      <c r="N1481">
        <v>14</v>
      </c>
      <c r="O1481" t="s">
        <v>358</v>
      </c>
      <c r="P1481">
        <f t="shared" si="24"/>
        <v>0</v>
      </c>
    </row>
    <row r="1482" spans="1:16" hidden="1" x14ac:dyDescent="0.25">
      <c r="A1482" s="8">
        <v>1477</v>
      </c>
      <c r="B1482">
        <v>30</v>
      </c>
      <c r="C1482" s="27">
        <v>45364</v>
      </c>
      <c r="D1482" t="s">
        <v>348</v>
      </c>
      <c r="E1482">
        <v>155</v>
      </c>
      <c r="G1482" t="s">
        <v>46</v>
      </c>
      <c r="H1482" t="s">
        <v>14</v>
      </c>
      <c r="J1482" s="27">
        <v>45352</v>
      </c>
      <c r="K1482">
        <v>2024</v>
      </c>
      <c r="L1482" s="27">
        <v>45364</v>
      </c>
      <c r="M1482">
        <v>322.56</v>
      </c>
      <c r="N1482">
        <v>15</v>
      </c>
      <c r="O1482" t="s">
        <v>358</v>
      </c>
      <c r="P1482">
        <f t="shared" si="24"/>
        <v>0</v>
      </c>
    </row>
    <row r="1483" spans="1:16" hidden="1" x14ac:dyDescent="0.25">
      <c r="A1483" s="8">
        <v>1478</v>
      </c>
      <c r="B1483">
        <v>31</v>
      </c>
      <c r="C1483" s="27">
        <v>45366</v>
      </c>
      <c r="D1483" t="s">
        <v>349</v>
      </c>
      <c r="E1483">
        <v>-155</v>
      </c>
      <c r="G1483" t="s">
        <v>350</v>
      </c>
      <c r="H1483" t="s">
        <v>28</v>
      </c>
      <c r="I1483" t="s">
        <v>69</v>
      </c>
      <c r="J1483" s="27">
        <v>45352</v>
      </c>
      <c r="K1483">
        <v>2024</v>
      </c>
      <c r="L1483" s="27">
        <v>45366</v>
      </c>
      <c r="M1483">
        <v>167.56</v>
      </c>
      <c r="N1483">
        <v>3</v>
      </c>
      <c r="O1483" t="s">
        <v>358</v>
      </c>
      <c r="P1483">
        <f t="shared" si="24"/>
        <v>0</v>
      </c>
    </row>
    <row r="1484" spans="1:16" hidden="1" x14ac:dyDescent="0.25">
      <c r="A1484" s="8">
        <v>1479</v>
      </c>
      <c r="B1484">
        <v>32</v>
      </c>
      <c r="C1484" s="27">
        <v>45382</v>
      </c>
      <c r="D1484" t="s">
        <v>343</v>
      </c>
      <c r="E1484">
        <v>0.17</v>
      </c>
      <c r="G1484" t="s">
        <v>344</v>
      </c>
      <c r="H1484" t="s">
        <v>28</v>
      </c>
      <c r="I1484" t="s">
        <v>80</v>
      </c>
      <c r="J1484" s="27">
        <v>45352</v>
      </c>
      <c r="K1484">
        <v>2024</v>
      </c>
      <c r="L1484" s="27">
        <v>45382</v>
      </c>
      <c r="M1484">
        <v>167.73</v>
      </c>
      <c r="N1484">
        <v>3</v>
      </c>
      <c r="O1484" t="s">
        <v>358</v>
      </c>
      <c r="P1484">
        <f t="shared" si="24"/>
        <v>1</v>
      </c>
    </row>
    <row r="1485" spans="1:16" hidden="1" x14ac:dyDescent="0.25">
      <c r="A1485" s="8">
        <v>1480</v>
      </c>
      <c r="B1485">
        <v>33</v>
      </c>
      <c r="C1485" s="27">
        <v>45383</v>
      </c>
      <c r="D1485" t="s">
        <v>348</v>
      </c>
      <c r="E1485">
        <v>450</v>
      </c>
      <c r="G1485" t="s">
        <v>46</v>
      </c>
      <c r="H1485" t="s">
        <v>14</v>
      </c>
      <c r="J1485" s="27">
        <v>45383</v>
      </c>
      <c r="K1485">
        <v>2024</v>
      </c>
      <c r="L1485" s="27">
        <v>45383</v>
      </c>
      <c r="M1485">
        <v>617.73</v>
      </c>
      <c r="N1485">
        <v>16</v>
      </c>
      <c r="O1485" t="s">
        <v>358</v>
      </c>
      <c r="P1485">
        <f t="shared" si="24"/>
        <v>0</v>
      </c>
    </row>
    <row r="1486" spans="1:16" hidden="1" x14ac:dyDescent="0.25">
      <c r="A1486" s="8">
        <v>1481</v>
      </c>
      <c r="B1486">
        <v>34</v>
      </c>
      <c r="C1486" s="27">
        <v>45391</v>
      </c>
      <c r="D1486" t="s">
        <v>354</v>
      </c>
      <c r="E1486">
        <v>-442.73</v>
      </c>
      <c r="G1486" t="s">
        <v>27</v>
      </c>
      <c r="H1486" t="s">
        <v>28</v>
      </c>
      <c r="I1486" t="s">
        <v>29</v>
      </c>
      <c r="J1486" s="27">
        <v>45383</v>
      </c>
      <c r="K1486">
        <v>2024</v>
      </c>
      <c r="L1486" s="27">
        <v>45391</v>
      </c>
      <c r="M1486">
        <v>175</v>
      </c>
      <c r="N1486">
        <v>3</v>
      </c>
      <c r="O1486" t="s">
        <v>358</v>
      </c>
      <c r="P1486">
        <f t="shared" si="24"/>
        <v>0</v>
      </c>
    </row>
    <row r="1487" spans="1:16" hidden="1" x14ac:dyDescent="0.25">
      <c r="A1487" s="8">
        <v>1482</v>
      </c>
      <c r="B1487">
        <v>35</v>
      </c>
      <c r="C1487" s="27">
        <v>45395</v>
      </c>
      <c r="D1487" t="s">
        <v>348</v>
      </c>
      <c r="E1487">
        <v>155</v>
      </c>
      <c r="G1487" t="s">
        <v>46</v>
      </c>
      <c r="H1487" t="s">
        <v>14</v>
      </c>
      <c r="J1487" s="27">
        <v>45383</v>
      </c>
      <c r="K1487">
        <v>2024</v>
      </c>
      <c r="L1487" s="27">
        <v>45395</v>
      </c>
      <c r="M1487">
        <v>330</v>
      </c>
      <c r="N1487">
        <v>17</v>
      </c>
      <c r="O1487" t="s">
        <v>358</v>
      </c>
      <c r="P1487">
        <f t="shared" si="24"/>
        <v>0</v>
      </c>
    </row>
    <row r="1488" spans="1:16" hidden="1" x14ac:dyDescent="0.25">
      <c r="A1488" s="8">
        <v>1483</v>
      </c>
      <c r="B1488">
        <v>36</v>
      </c>
      <c r="C1488" s="27">
        <v>45397</v>
      </c>
      <c r="D1488" t="s">
        <v>349</v>
      </c>
      <c r="E1488">
        <v>-155</v>
      </c>
      <c r="G1488" t="s">
        <v>350</v>
      </c>
      <c r="H1488" t="s">
        <v>28</v>
      </c>
      <c r="I1488" t="s">
        <v>69</v>
      </c>
      <c r="J1488" s="27">
        <v>45383</v>
      </c>
      <c r="K1488">
        <v>2024</v>
      </c>
      <c r="L1488" s="27">
        <v>45397</v>
      </c>
      <c r="M1488">
        <v>175</v>
      </c>
      <c r="N1488">
        <v>4</v>
      </c>
      <c r="O1488" t="s">
        <v>358</v>
      </c>
      <c r="P1488">
        <f t="shared" si="24"/>
        <v>0</v>
      </c>
    </row>
    <row r="1489" spans="1:16" hidden="1" x14ac:dyDescent="0.25">
      <c r="A1489" s="8">
        <v>1484</v>
      </c>
      <c r="B1489">
        <v>37</v>
      </c>
      <c r="C1489" s="27">
        <v>45412</v>
      </c>
      <c r="D1489" t="s">
        <v>343</v>
      </c>
      <c r="E1489">
        <v>0.12</v>
      </c>
      <c r="G1489" t="s">
        <v>344</v>
      </c>
      <c r="H1489" t="s">
        <v>28</v>
      </c>
      <c r="I1489" t="s">
        <v>80</v>
      </c>
      <c r="J1489" s="27">
        <v>45383</v>
      </c>
      <c r="K1489">
        <v>2024</v>
      </c>
      <c r="L1489" s="27">
        <v>45412</v>
      </c>
      <c r="M1489">
        <v>175.12</v>
      </c>
      <c r="N1489">
        <v>4</v>
      </c>
      <c r="O1489" t="s">
        <v>358</v>
      </c>
      <c r="P1489">
        <f t="shared" si="24"/>
        <v>1</v>
      </c>
    </row>
    <row r="1490" spans="1:16" hidden="1" x14ac:dyDescent="0.25">
      <c r="A1490" s="8">
        <v>1485</v>
      </c>
      <c r="B1490">
        <v>38</v>
      </c>
      <c r="C1490" s="27">
        <v>45413</v>
      </c>
      <c r="D1490" t="s">
        <v>348</v>
      </c>
      <c r="E1490">
        <v>450</v>
      </c>
      <c r="G1490" t="s">
        <v>46</v>
      </c>
      <c r="H1490" t="s">
        <v>14</v>
      </c>
      <c r="J1490" s="27">
        <v>45413</v>
      </c>
      <c r="K1490">
        <v>2024</v>
      </c>
      <c r="L1490" s="27">
        <v>45413</v>
      </c>
      <c r="M1490">
        <v>625.12</v>
      </c>
      <c r="N1490">
        <v>18</v>
      </c>
      <c r="O1490" t="s">
        <v>358</v>
      </c>
      <c r="P1490">
        <f t="shared" si="24"/>
        <v>0</v>
      </c>
    </row>
    <row r="1491" spans="1:16" hidden="1" x14ac:dyDescent="0.25">
      <c r="A1491" s="8">
        <v>1486</v>
      </c>
      <c r="B1491">
        <v>39</v>
      </c>
      <c r="C1491" s="27">
        <v>45421</v>
      </c>
      <c r="D1491" t="s">
        <v>354</v>
      </c>
      <c r="E1491">
        <v>-442.73</v>
      </c>
      <c r="G1491" t="s">
        <v>27</v>
      </c>
      <c r="H1491" t="s">
        <v>28</v>
      </c>
      <c r="I1491" t="s">
        <v>29</v>
      </c>
      <c r="J1491" s="27">
        <v>45413</v>
      </c>
      <c r="K1491">
        <v>2024</v>
      </c>
      <c r="L1491" s="27">
        <v>45421</v>
      </c>
      <c r="M1491">
        <v>182.39</v>
      </c>
      <c r="N1491">
        <v>4</v>
      </c>
      <c r="O1491" t="s">
        <v>358</v>
      </c>
      <c r="P1491">
        <f t="shared" si="24"/>
        <v>0</v>
      </c>
    </row>
    <row r="1492" spans="1:16" hidden="1" x14ac:dyDescent="0.25">
      <c r="A1492" s="8">
        <v>1487</v>
      </c>
      <c r="B1492">
        <v>40</v>
      </c>
      <c r="C1492" s="27">
        <v>45425</v>
      </c>
      <c r="D1492" t="s">
        <v>348</v>
      </c>
      <c r="E1492">
        <v>155</v>
      </c>
      <c r="G1492" t="s">
        <v>46</v>
      </c>
      <c r="H1492" t="s">
        <v>14</v>
      </c>
      <c r="J1492" s="27">
        <v>45413</v>
      </c>
      <c r="K1492">
        <v>2024</v>
      </c>
      <c r="L1492" s="27">
        <v>45425</v>
      </c>
      <c r="M1492">
        <v>337.39</v>
      </c>
      <c r="N1492">
        <v>19</v>
      </c>
      <c r="O1492" t="s">
        <v>358</v>
      </c>
      <c r="P1492">
        <f t="shared" si="24"/>
        <v>0</v>
      </c>
    </row>
    <row r="1493" spans="1:16" hidden="1" x14ac:dyDescent="0.25">
      <c r="A1493" s="8">
        <v>1488</v>
      </c>
      <c r="B1493">
        <v>41</v>
      </c>
      <c r="C1493" s="27">
        <v>45427</v>
      </c>
      <c r="D1493" t="s">
        <v>349</v>
      </c>
      <c r="E1493">
        <v>-155</v>
      </c>
      <c r="G1493" t="s">
        <v>350</v>
      </c>
      <c r="H1493" t="s">
        <v>28</v>
      </c>
      <c r="I1493" t="s">
        <v>69</v>
      </c>
      <c r="J1493" s="27">
        <v>45413</v>
      </c>
      <c r="K1493">
        <v>2024</v>
      </c>
      <c r="L1493" s="27">
        <v>45427</v>
      </c>
      <c r="M1493">
        <v>182.39</v>
      </c>
      <c r="N1493">
        <v>5</v>
      </c>
      <c r="O1493" t="s">
        <v>358</v>
      </c>
      <c r="P1493">
        <f t="shared" si="24"/>
        <v>0</v>
      </c>
    </row>
    <row r="1494" spans="1:16" hidden="1" x14ac:dyDescent="0.25">
      <c r="A1494" s="8">
        <v>1489</v>
      </c>
      <c r="B1494">
        <v>42</v>
      </c>
      <c r="C1494" s="27">
        <v>45430</v>
      </c>
      <c r="D1494" t="s">
        <v>348</v>
      </c>
      <c r="E1494">
        <v>1640</v>
      </c>
      <c r="G1494" t="s">
        <v>46</v>
      </c>
      <c r="H1494" t="s">
        <v>14</v>
      </c>
      <c r="J1494" s="27">
        <v>45413</v>
      </c>
      <c r="K1494">
        <v>2024</v>
      </c>
      <c r="L1494" s="27">
        <v>45430</v>
      </c>
      <c r="M1494">
        <v>1822.39</v>
      </c>
      <c r="N1494">
        <v>20</v>
      </c>
      <c r="O1494" t="s">
        <v>358</v>
      </c>
      <c r="P1494">
        <f t="shared" si="24"/>
        <v>0</v>
      </c>
    </row>
    <row r="1495" spans="1:16" hidden="1" x14ac:dyDescent="0.25">
      <c r="A1495" s="8">
        <v>1490</v>
      </c>
      <c r="B1495">
        <v>43</v>
      </c>
      <c r="C1495" s="27">
        <v>45432</v>
      </c>
      <c r="D1495" t="s">
        <v>351</v>
      </c>
      <c r="E1495">
        <v>-1633.74</v>
      </c>
      <c r="G1495" t="s">
        <v>46</v>
      </c>
      <c r="H1495" t="s">
        <v>14</v>
      </c>
      <c r="J1495" s="27">
        <v>45413</v>
      </c>
      <c r="K1495">
        <v>2024</v>
      </c>
      <c r="L1495" s="27">
        <v>45432</v>
      </c>
      <c r="M1495">
        <v>188.65</v>
      </c>
      <c r="N1495">
        <v>21</v>
      </c>
      <c r="O1495" t="s">
        <v>358</v>
      </c>
      <c r="P1495">
        <f t="shared" si="24"/>
        <v>0</v>
      </c>
    </row>
    <row r="1496" spans="1:16" hidden="1" x14ac:dyDescent="0.25">
      <c r="A1496" s="8">
        <v>1491</v>
      </c>
      <c r="B1496">
        <v>44</v>
      </c>
      <c r="C1496" s="27">
        <v>45443</v>
      </c>
      <c r="D1496" t="s">
        <v>343</v>
      </c>
      <c r="E1496">
        <v>0.18</v>
      </c>
      <c r="G1496" t="s">
        <v>344</v>
      </c>
      <c r="H1496" t="s">
        <v>28</v>
      </c>
      <c r="I1496" t="s">
        <v>80</v>
      </c>
      <c r="J1496" s="27">
        <v>45413</v>
      </c>
      <c r="K1496">
        <v>2024</v>
      </c>
      <c r="L1496" s="27">
        <v>45443</v>
      </c>
      <c r="M1496">
        <v>188.83</v>
      </c>
      <c r="N1496">
        <v>5</v>
      </c>
      <c r="O1496" t="s">
        <v>358</v>
      </c>
      <c r="P1496">
        <f t="shared" si="24"/>
        <v>1</v>
      </c>
    </row>
    <row r="1497" spans="1:16" hidden="1" x14ac:dyDescent="0.25">
      <c r="A1497" s="8">
        <v>1492</v>
      </c>
      <c r="B1497">
        <v>45</v>
      </c>
      <c r="C1497" s="27">
        <v>45444</v>
      </c>
      <c r="D1497" t="s">
        <v>348</v>
      </c>
      <c r="E1497">
        <v>450</v>
      </c>
      <c r="G1497" t="s">
        <v>46</v>
      </c>
      <c r="H1497" t="s">
        <v>14</v>
      </c>
      <c r="J1497" s="27">
        <v>45444</v>
      </c>
      <c r="K1497">
        <v>2024</v>
      </c>
      <c r="L1497" s="27">
        <v>45444</v>
      </c>
      <c r="M1497">
        <v>638.83000000000004</v>
      </c>
      <c r="N1497">
        <v>22</v>
      </c>
      <c r="O1497" t="s">
        <v>358</v>
      </c>
      <c r="P1497">
        <f t="shared" si="24"/>
        <v>0</v>
      </c>
    </row>
    <row r="1498" spans="1:16" hidden="1" x14ac:dyDescent="0.25">
      <c r="A1498" s="8">
        <v>1493</v>
      </c>
      <c r="B1498">
        <v>46</v>
      </c>
      <c r="C1498" s="27">
        <v>45454</v>
      </c>
      <c r="D1498" t="s">
        <v>354</v>
      </c>
      <c r="E1498">
        <v>-442.73</v>
      </c>
      <c r="G1498" t="s">
        <v>27</v>
      </c>
      <c r="H1498" t="s">
        <v>28</v>
      </c>
      <c r="I1498" t="s">
        <v>29</v>
      </c>
      <c r="J1498" s="27">
        <v>45444</v>
      </c>
      <c r="K1498">
        <v>2024</v>
      </c>
      <c r="L1498" s="27">
        <v>45454</v>
      </c>
      <c r="M1498">
        <v>196.1</v>
      </c>
      <c r="N1498">
        <v>5</v>
      </c>
      <c r="O1498" t="s">
        <v>358</v>
      </c>
      <c r="P1498">
        <f t="shared" si="24"/>
        <v>0</v>
      </c>
    </row>
    <row r="1499" spans="1:16" hidden="1" x14ac:dyDescent="0.25">
      <c r="A1499" s="8">
        <v>1494</v>
      </c>
      <c r="B1499">
        <v>47</v>
      </c>
      <c r="C1499" s="27">
        <v>45456</v>
      </c>
      <c r="D1499" t="s">
        <v>348</v>
      </c>
      <c r="E1499">
        <v>155</v>
      </c>
      <c r="G1499" t="s">
        <v>46</v>
      </c>
      <c r="H1499" t="s">
        <v>14</v>
      </c>
      <c r="J1499" s="27">
        <v>45444</v>
      </c>
      <c r="K1499">
        <v>2024</v>
      </c>
      <c r="L1499" s="27">
        <v>45456</v>
      </c>
      <c r="M1499">
        <v>351.1</v>
      </c>
      <c r="N1499">
        <v>23</v>
      </c>
      <c r="O1499" t="s">
        <v>358</v>
      </c>
      <c r="P1499">
        <f t="shared" si="24"/>
        <v>0</v>
      </c>
    </row>
    <row r="1500" spans="1:16" hidden="1" x14ac:dyDescent="0.25">
      <c r="A1500" s="8">
        <v>1495</v>
      </c>
      <c r="B1500">
        <v>48</v>
      </c>
      <c r="C1500" s="27">
        <v>45459</v>
      </c>
      <c r="D1500" t="s">
        <v>348</v>
      </c>
      <c r="E1500">
        <v>500</v>
      </c>
      <c r="G1500" t="s">
        <v>46</v>
      </c>
      <c r="H1500" t="s">
        <v>14</v>
      </c>
      <c r="J1500" s="27">
        <v>45444</v>
      </c>
      <c r="K1500">
        <v>2024</v>
      </c>
      <c r="L1500" s="27">
        <v>45459</v>
      </c>
      <c r="M1500">
        <v>1311.1</v>
      </c>
      <c r="N1500">
        <v>24</v>
      </c>
      <c r="O1500" t="s">
        <v>358</v>
      </c>
      <c r="P1500">
        <f t="shared" si="24"/>
        <v>0</v>
      </c>
    </row>
    <row r="1501" spans="1:16" hidden="1" x14ac:dyDescent="0.25">
      <c r="A1501" s="8">
        <v>1496</v>
      </c>
      <c r="B1501">
        <v>49</v>
      </c>
      <c r="C1501" s="27">
        <v>45459</v>
      </c>
      <c r="D1501" t="s">
        <v>348</v>
      </c>
      <c r="E1501">
        <v>200</v>
      </c>
      <c r="G1501" t="s">
        <v>46</v>
      </c>
      <c r="H1501" t="s">
        <v>14</v>
      </c>
      <c r="J1501" s="27">
        <v>45444</v>
      </c>
      <c r="K1501">
        <v>2024</v>
      </c>
      <c r="L1501" s="27">
        <v>45459</v>
      </c>
      <c r="M1501">
        <v>1511.1</v>
      </c>
      <c r="N1501">
        <v>25</v>
      </c>
      <c r="O1501" t="s">
        <v>358</v>
      </c>
      <c r="P1501">
        <f t="shared" si="24"/>
        <v>0</v>
      </c>
    </row>
    <row r="1502" spans="1:16" hidden="1" x14ac:dyDescent="0.25">
      <c r="A1502" s="8">
        <v>1497</v>
      </c>
      <c r="B1502">
        <v>50</v>
      </c>
      <c r="C1502" s="27">
        <v>45459</v>
      </c>
      <c r="D1502" t="s">
        <v>348</v>
      </c>
      <c r="E1502">
        <v>460</v>
      </c>
      <c r="G1502" t="s">
        <v>46</v>
      </c>
      <c r="H1502" t="s">
        <v>14</v>
      </c>
      <c r="J1502" s="27">
        <v>45444</v>
      </c>
      <c r="K1502">
        <v>2024</v>
      </c>
      <c r="L1502" s="27">
        <v>45459</v>
      </c>
      <c r="M1502">
        <v>811.1</v>
      </c>
      <c r="N1502">
        <v>26</v>
      </c>
      <c r="O1502" t="s">
        <v>358</v>
      </c>
      <c r="P1502">
        <f t="shared" si="24"/>
        <v>0</v>
      </c>
    </row>
    <row r="1503" spans="1:16" hidden="1" x14ac:dyDescent="0.25">
      <c r="A1503" s="8">
        <v>1498</v>
      </c>
      <c r="B1503">
        <v>51</v>
      </c>
      <c r="C1503" s="27">
        <v>45460</v>
      </c>
      <c r="D1503" t="s">
        <v>349</v>
      </c>
      <c r="E1503">
        <v>-155</v>
      </c>
      <c r="G1503" t="s">
        <v>350</v>
      </c>
      <c r="H1503" t="s">
        <v>28</v>
      </c>
      <c r="I1503" t="s">
        <v>69</v>
      </c>
      <c r="J1503" s="27">
        <v>45444</v>
      </c>
      <c r="K1503">
        <v>2024</v>
      </c>
      <c r="L1503" s="27">
        <v>45460</v>
      </c>
      <c r="M1503">
        <v>1356.1</v>
      </c>
      <c r="N1503">
        <v>6</v>
      </c>
      <c r="O1503" t="s">
        <v>358</v>
      </c>
      <c r="P1503">
        <f t="shared" si="24"/>
        <v>0</v>
      </c>
    </row>
    <row r="1504" spans="1:16" hidden="1" x14ac:dyDescent="0.25">
      <c r="A1504" s="8">
        <v>1499</v>
      </c>
      <c r="B1504">
        <v>52</v>
      </c>
      <c r="C1504" s="27">
        <v>45460</v>
      </c>
      <c r="D1504" t="s">
        <v>349</v>
      </c>
      <c r="E1504">
        <v>-479.69</v>
      </c>
      <c r="G1504" t="s">
        <v>350</v>
      </c>
      <c r="H1504" t="s">
        <v>28</v>
      </c>
      <c r="I1504" t="s">
        <v>69</v>
      </c>
      <c r="J1504" s="27">
        <v>45444</v>
      </c>
      <c r="K1504">
        <v>2024</v>
      </c>
      <c r="L1504" s="27">
        <v>45460</v>
      </c>
      <c r="M1504">
        <v>876.41</v>
      </c>
      <c r="N1504">
        <v>7</v>
      </c>
      <c r="O1504" t="s">
        <v>358</v>
      </c>
      <c r="P1504">
        <f t="shared" si="24"/>
        <v>0</v>
      </c>
    </row>
    <row r="1505" spans="1:16" hidden="1" x14ac:dyDescent="0.25">
      <c r="A1505" s="8">
        <v>1500</v>
      </c>
      <c r="B1505">
        <v>53</v>
      </c>
      <c r="C1505" s="27">
        <v>45461</v>
      </c>
      <c r="D1505" t="s">
        <v>791</v>
      </c>
      <c r="E1505">
        <v>-460</v>
      </c>
      <c r="G1505" t="s">
        <v>39</v>
      </c>
      <c r="H1505" t="s">
        <v>14</v>
      </c>
      <c r="J1505" s="27">
        <v>45444</v>
      </c>
      <c r="K1505">
        <v>2024</v>
      </c>
      <c r="L1505" s="27">
        <v>45461</v>
      </c>
      <c r="M1505">
        <v>416.41</v>
      </c>
      <c r="N1505">
        <v>1</v>
      </c>
      <c r="O1505" t="s">
        <v>358</v>
      </c>
      <c r="P1505">
        <f t="shared" si="24"/>
        <v>0</v>
      </c>
    </row>
    <row r="1506" spans="1:16" hidden="1" x14ac:dyDescent="0.25">
      <c r="A1506" s="8">
        <v>1501</v>
      </c>
      <c r="B1506">
        <v>54</v>
      </c>
      <c r="C1506" s="27">
        <v>45473</v>
      </c>
      <c r="D1506" t="s">
        <v>343</v>
      </c>
      <c r="E1506">
        <v>0.21</v>
      </c>
      <c r="G1506" t="s">
        <v>344</v>
      </c>
      <c r="H1506" t="s">
        <v>28</v>
      </c>
      <c r="I1506" t="s">
        <v>80</v>
      </c>
      <c r="J1506" s="27">
        <v>45444</v>
      </c>
      <c r="K1506">
        <v>2024</v>
      </c>
      <c r="L1506" s="27">
        <v>45473</v>
      </c>
      <c r="M1506">
        <v>416.62</v>
      </c>
      <c r="N1506">
        <v>6</v>
      </c>
      <c r="O1506" t="s">
        <v>358</v>
      </c>
      <c r="P1506">
        <f t="shared" si="24"/>
        <v>1</v>
      </c>
    </row>
    <row r="1507" spans="1:16" hidden="1" x14ac:dyDescent="0.25">
      <c r="A1507" s="8">
        <v>1502</v>
      </c>
      <c r="B1507">
        <v>55</v>
      </c>
      <c r="C1507" s="27">
        <v>45474</v>
      </c>
      <c r="D1507" t="s">
        <v>348</v>
      </c>
      <c r="E1507">
        <v>450</v>
      </c>
      <c r="G1507" t="s">
        <v>46</v>
      </c>
      <c r="H1507" t="s">
        <v>14</v>
      </c>
      <c r="J1507" s="27">
        <v>45474</v>
      </c>
      <c r="K1507">
        <v>2024</v>
      </c>
      <c r="L1507" s="27">
        <v>45474</v>
      </c>
      <c r="M1507">
        <v>866.62</v>
      </c>
      <c r="N1507">
        <v>27</v>
      </c>
      <c r="O1507" t="s">
        <v>358</v>
      </c>
      <c r="P1507">
        <f t="shared" si="24"/>
        <v>0</v>
      </c>
    </row>
    <row r="1508" spans="1:16" hidden="1" x14ac:dyDescent="0.25">
      <c r="A1508" s="8">
        <v>1503</v>
      </c>
      <c r="B1508">
        <v>56</v>
      </c>
      <c r="C1508" s="27">
        <v>45481</v>
      </c>
      <c r="D1508" t="s">
        <v>348</v>
      </c>
      <c r="E1508">
        <v>1633.74</v>
      </c>
      <c r="G1508" t="s">
        <v>46</v>
      </c>
      <c r="H1508" t="s">
        <v>14</v>
      </c>
      <c r="J1508" s="27">
        <v>45474</v>
      </c>
      <c r="K1508">
        <v>2024</v>
      </c>
      <c r="L1508" s="27">
        <v>45481</v>
      </c>
      <c r="M1508">
        <v>2500.36</v>
      </c>
      <c r="N1508">
        <v>28</v>
      </c>
      <c r="O1508" t="s">
        <v>358</v>
      </c>
      <c r="P1508">
        <f t="shared" si="24"/>
        <v>0</v>
      </c>
    </row>
    <row r="1509" spans="1:16" hidden="1" x14ac:dyDescent="0.25">
      <c r="A1509" s="8">
        <v>1504</v>
      </c>
      <c r="B1509">
        <v>57</v>
      </c>
      <c r="C1509" s="27">
        <v>45482</v>
      </c>
      <c r="D1509" t="s">
        <v>351</v>
      </c>
      <c r="E1509">
        <v>-1633.74</v>
      </c>
      <c r="G1509" t="s">
        <v>46</v>
      </c>
      <c r="H1509" t="s">
        <v>14</v>
      </c>
      <c r="J1509" s="27">
        <v>45474</v>
      </c>
      <c r="K1509">
        <v>2024</v>
      </c>
      <c r="L1509" s="27">
        <v>45482</v>
      </c>
      <c r="M1509">
        <v>866.62</v>
      </c>
      <c r="N1509">
        <v>29</v>
      </c>
      <c r="O1509" t="s">
        <v>358</v>
      </c>
      <c r="P1509">
        <f t="shared" si="24"/>
        <v>0</v>
      </c>
    </row>
    <row r="1510" spans="1:16" hidden="1" x14ac:dyDescent="0.25">
      <c r="A1510" s="8">
        <v>1505</v>
      </c>
      <c r="B1510">
        <v>58</v>
      </c>
      <c r="C1510" s="27">
        <v>45486</v>
      </c>
      <c r="D1510" t="s">
        <v>348</v>
      </c>
      <c r="E1510">
        <v>155</v>
      </c>
      <c r="G1510" t="s">
        <v>46</v>
      </c>
      <c r="H1510" t="s">
        <v>14</v>
      </c>
      <c r="J1510" s="27">
        <v>45474</v>
      </c>
      <c r="K1510">
        <v>2024</v>
      </c>
      <c r="L1510" s="27">
        <v>45486</v>
      </c>
      <c r="M1510">
        <v>1021.62</v>
      </c>
      <c r="N1510">
        <v>30</v>
      </c>
      <c r="O1510" t="s">
        <v>358</v>
      </c>
      <c r="P1510">
        <f t="shared" ref="P1510:P1574" si="25">IF(J1510&lt;&gt;J1511, 1, 0)</f>
        <v>0</v>
      </c>
    </row>
    <row r="1511" spans="1:16" hidden="1" x14ac:dyDescent="0.25">
      <c r="A1511" s="8">
        <v>1506</v>
      </c>
      <c r="B1511">
        <v>59</v>
      </c>
      <c r="C1511" s="27">
        <v>45487</v>
      </c>
      <c r="D1511" t="s">
        <v>348</v>
      </c>
      <c r="E1511">
        <v>500</v>
      </c>
      <c r="G1511" t="s">
        <v>46</v>
      </c>
      <c r="H1511" t="s">
        <v>14</v>
      </c>
      <c r="J1511" s="27">
        <v>45474</v>
      </c>
      <c r="K1511">
        <v>2024</v>
      </c>
      <c r="L1511" s="27">
        <v>45487</v>
      </c>
      <c r="M1511">
        <v>1521.62</v>
      </c>
      <c r="N1511">
        <v>31</v>
      </c>
      <c r="O1511" t="s">
        <v>358</v>
      </c>
      <c r="P1511">
        <f t="shared" si="25"/>
        <v>0</v>
      </c>
    </row>
    <row r="1512" spans="1:16" hidden="1" x14ac:dyDescent="0.25">
      <c r="A1512" s="8">
        <v>1507</v>
      </c>
      <c r="B1512">
        <v>60</v>
      </c>
      <c r="C1512" s="27">
        <v>45488</v>
      </c>
      <c r="D1512" t="s">
        <v>791</v>
      </c>
      <c r="E1512">
        <v>-460</v>
      </c>
      <c r="G1512" t="s">
        <v>39</v>
      </c>
      <c r="H1512" t="s">
        <v>14</v>
      </c>
      <c r="J1512" s="27">
        <v>45474</v>
      </c>
      <c r="K1512">
        <v>2024</v>
      </c>
      <c r="L1512" s="27">
        <v>45488</v>
      </c>
      <c r="M1512">
        <v>1061.6199999999999</v>
      </c>
      <c r="N1512">
        <v>2</v>
      </c>
      <c r="O1512" t="s">
        <v>358</v>
      </c>
      <c r="P1512">
        <f t="shared" si="25"/>
        <v>0</v>
      </c>
    </row>
    <row r="1513" spans="1:16" hidden="1" x14ac:dyDescent="0.25">
      <c r="A1513" s="8">
        <v>1508</v>
      </c>
      <c r="B1513">
        <v>61</v>
      </c>
      <c r="C1513" s="27">
        <v>45490</v>
      </c>
      <c r="D1513" t="s">
        <v>792</v>
      </c>
      <c r="E1513">
        <v>-2.4900000000000002</v>
      </c>
      <c r="G1513" t="s">
        <v>278</v>
      </c>
      <c r="H1513" t="s">
        <v>14</v>
      </c>
      <c r="J1513" s="27">
        <v>45474</v>
      </c>
      <c r="K1513">
        <v>2024</v>
      </c>
      <c r="L1513" s="27">
        <v>45490</v>
      </c>
      <c r="M1513">
        <v>1059.1300000000001</v>
      </c>
      <c r="N1513">
        <v>1</v>
      </c>
      <c r="O1513" t="s">
        <v>358</v>
      </c>
      <c r="P1513">
        <f t="shared" si="25"/>
        <v>0</v>
      </c>
    </row>
    <row r="1514" spans="1:16" hidden="1" x14ac:dyDescent="0.25">
      <c r="A1514" s="8">
        <v>1509</v>
      </c>
      <c r="B1514">
        <v>62</v>
      </c>
      <c r="C1514" s="27">
        <v>45490</v>
      </c>
      <c r="D1514" t="s">
        <v>793</v>
      </c>
      <c r="E1514">
        <v>-833.75</v>
      </c>
      <c r="G1514" t="s">
        <v>720</v>
      </c>
      <c r="H1514" t="s">
        <v>14</v>
      </c>
      <c r="J1514" s="27">
        <v>45474</v>
      </c>
      <c r="K1514">
        <v>2024</v>
      </c>
      <c r="L1514" s="27">
        <v>45490</v>
      </c>
      <c r="M1514">
        <v>225.38</v>
      </c>
      <c r="N1514">
        <v>1</v>
      </c>
      <c r="O1514" t="s">
        <v>358</v>
      </c>
      <c r="P1514">
        <f t="shared" si="25"/>
        <v>0</v>
      </c>
    </row>
    <row r="1515" spans="1:16" hidden="1" x14ac:dyDescent="0.25">
      <c r="A1515" s="8">
        <v>1510</v>
      </c>
      <c r="B1515">
        <v>63</v>
      </c>
      <c r="C1515" s="27">
        <v>45494</v>
      </c>
      <c r="D1515" t="s">
        <v>348</v>
      </c>
      <c r="E1515">
        <v>2000</v>
      </c>
      <c r="G1515" t="s">
        <v>46</v>
      </c>
      <c r="H1515" t="s">
        <v>14</v>
      </c>
      <c r="J1515" s="27">
        <v>45474</v>
      </c>
      <c r="K1515">
        <v>2024</v>
      </c>
      <c r="L1515" s="27">
        <v>45494</v>
      </c>
      <c r="M1515">
        <v>2225.38</v>
      </c>
      <c r="N1515">
        <v>32</v>
      </c>
      <c r="O1515" t="s">
        <v>358</v>
      </c>
      <c r="P1515">
        <f t="shared" si="25"/>
        <v>0</v>
      </c>
    </row>
    <row r="1516" spans="1:16" hidden="1" x14ac:dyDescent="0.25">
      <c r="A1516" s="8">
        <v>1511</v>
      </c>
      <c r="B1516">
        <v>64</v>
      </c>
      <c r="C1516" s="27">
        <v>45495</v>
      </c>
      <c r="D1516" t="s">
        <v>351</v>
      </c>
      <c r="E1516">
        <v>-2000</v>
      </c>
      <c r="G1516" t="s">
        <v>46</v>
      </c>
      <c r="H1516" t="s">
        <v>14</v>
      </c>
      <c r="J1516" s="27">
        <v>45474</v>
      </c>
      <c r="K1516">
        <v>2024</v>
      </c>
      <c r="L1516" s="27">
        <v>45495</v>
      </c>
      <c r="M1516">
        <v>225.38</v>
      </c>
      <c r="N1516">
        <v>33</v>
      </c>
      <c r="O1516" t="s">
        <v>358</v>
      </c>
      <c r="P1516">
        <f t="shared" si="25"/>
        <v>0</v>
      </c>
    </row>
    <row r="1517" spans="1:16" hidden="1" x14ac:dyDescent="0.25">
      <c r="A1517" s="8">
        <v>1512</v>
      </c>
      <c r="B1517">
        <v>65</v>
      </c>
      <c r="C1517" s="27">
        <v>45496</v>
      </c>
      <c r="D1517" t="s">
        <v>348</v>
      </c>
      <c r="E1517">
        <v>1600</v>
      </c>
      <c r="G1517" t="s">
        <v>46</v>
      </c>
      <c r="H1517" t="s">
        <v>14</v>
      </c>
      <c r="J1517" s="27">
        <v>45474</v>
      </c>
      <c r="K1517">
        <v>2024</v>
      </c>
      <c r="L1517" s="27">
        <v>45496</v>
      </c>
      <c r="M1517">
        <v>1825.38</v>
      </c>
      <c r="N1517">
        <v>34</v>
      </c>
      <c r="O1517" t="s">
        <v>358</v>
      </c>
      <c r="P1517">
        <f t="shared" si="25"/>
        <v>0</v>
      </c>
    </row>
    <row r="1518" spans="1:16" hidden="1" x14ac:dyDescent="0.25">
      <c r="A1518" s="8">
        <v>1513</v>
      </c>
      <c r="B1518">
        <v>66</v>
      </c>
      <c r="C1518" s="27">
        <v>45497</v>
      </c>
      <c r="D1518" t="s">
        <v>346</v>
      </c>
      <c r="E1518">
        <v>-1600</v>
      </c>
      <c r="G1518" t="s">
        <v>46</v>
      </c>
      <c r="H1518" t="s">
        <v>14</v>
      </c>
      <c r="J1518" s="27">
        <v>45474</v>
      </c>
      <c r="K1518">
        <v>2024</v>
      </c>
      <c r="L1518" s="27">
        <v>45497</v>
      </c>
      <c r="M1518">
        <v>225.38</v>
      </c>
      <c r="N1518">
        <v>35</v>
      </c>
      <c r="O1518" t="s">
        <v>358</v>
      </c>
      <c r="P1518">
        <f t="shared" si="25"/>
        <v>0</v>
      </c>
    </row>
    <row r="1519" spans="1:16" hidden="1" x14ac:dyDescent="0.25">
      <c r="A1519" s="8">
        <v>1514</v>
      </c>
      <c r="B1519">
        <v>67</v>
      </c>
      <c r="C1519" s="27">
        <v>45498</v>
      </c>
      <c r="D1519" t="s">
        <v>795</v>
      </c>
      <c r="E1519">
        <v>5</v>
      </c>
      <c r="G1519" t="s">
        <v>46</v>
      </c>
      <c r="H1519" t="s">
        <v>14</v>
      </c>
      <c r="J1519" s="27">
        <v>45474</v>
      </c>
      <c r="K1519">
        <v>2024</v>
      </c>
      <c r="L1519" s="27">
        <v>45498</v>
      </c>
      <c r="M1519">
        <v>230.38</v>
      </c>
      <c r="N1519">
        <v>36</v>
      </c>
      <c r="O1519" t="s">
        <v>358</v>
      </c>
      <c r="P1519">
        <f t="shared" si="25"/>
        <v>0</v>
      </c>
    </row>
    <row r="1520" spans="1:16" hidden="1" x14ac:dyDescent="0.25">
      <c r="A1520" s="8">
        <v>1515</v>
      </c>
      <c r="B1520">
        <v>68</v>
      </c>
      <c r="C1520" s="27">
        <v>45498</v>
      </c>
      <c r="D1520" t="s">
        <v>348</v>
      </c>
      <c r="E1520">
        <v>900</v>
      </c>
      <c r="G1520" t="s">
        <v>46</v>
      </c>
      <c r="H1520" t="s">
        <v>14</v>
      </c>
      <c r="J1520" s="27">
        <v>45474</v>
      </c>
      <c r="K1520">
        <v>2024</v>
      </c>
      <c r="L1520" s="27">
        <v>45498</v>
      </c>
      <c r="M1520">
        <v>1130.3800000000001</v>
      </c>
      <c r="N1520">
        <v>37</v>
      </c>
      <c r="O1520" t="s">
        <v>358</v>
      </c>
      <c r="P1520">
        <f t="shared" si="25"/>
        <v>0</v>
      </c>
    </row>
    <row r="1521" spans="1:16" hidden="1" x14ac:dyDescent="0.25">
      <c r="A1521" s="8">
        <v>1516</v>
      </c>
      <c r="B1521">
        <v>69</v>
      </c>
      <c r="C1521" s="27">
        <v>45498</v>
      </c>
      <c r="D1521" t="s">
        <v>794</v>
      </c>
      <c r="E1521">
        <v>-827.86</v>
      </c>
      <c r="G1521" t="s">
        <v>392</v>
      </c>
      <c r="H1521" t="s">
        <v>14</v>
      </c>
      <c r="J1521" s="27">
        <v>45474</v>
      </c>
      <c r="K1521">
        <v>2024</v>
      </c>
      <c r="L1521" s="27">
        <v>45498</v>
      </c>
      <c r="M1521">
        <v>302.52</v>
      </c>
      <c r="N1521">
        <v>1</v>
      </c>
      <c r="O1521" t="s">
        <v>358</v>
      </c>
      <c r="P1521">
        <f t="shared" si="25"/>
        <v>0</v>
      </c>
    </row>
    <row r="1522" spans="1:16" hidden="1" x14ac:dyDescent="0.25">
      <c r="A1522" s="8">
        <v>1517</v>
      </c>
      <c r="B1522">
        <v>70</v>
      </c>
      <c r="C1522" s="27">
        <v>45504</v>
      </c>
      <c r="D1522" t="s">
        <v>343</v>
      </c>
      <c r="E1522">
        <v>0.33</v>
      </c>
      <c r="G1522" t="s">
        <v>344</v>
      </c>
      <c r="H1522" t="s">
        <v>28</v>
      </c>
      <c r="I1522" t="s">
        <v>80</v>
      </c>
      <c r="J1522" s="27">
        <v>45474</v>
      </c>
      <c r="K1522">
        <v>2024</v>
      </c>
      <c r="L1522" s="27">
        <v>45504</v>
      </c>
      <c r="M1522">
        <v>302.85000000000002</v>
      </c>
      <c r="N1522">
        <v>7</v>
      </c>
      <c r="O1522" t="s">
        <v>358</v>
      </c>
      <c r="P1522">
        <f t="shared" si="25"/>
        <v>1</v>
      </c>
    </row>
    <row r="1523" spans="1:16" hidden="1" x14ac:dyDescent="0.25">
      <c r="A1523" s="8">
        <v>1518</v>
      </c>
      <c r="B1523">
        <v>71</v>
      </c>
      <c r="C1523" s="27">
        <v>45505</v>
      </c>
      <c r="D1523" t="s">
        <v>348</v>
      </c>
      <c r="E1523">
        <v>450</v>
      </c>
      <c r="G1523" t="s">
        <v>46</v>
      </c>
      <c r="H1523" t="s">
        <v>14</v>
      </c>
      <c r="J1523" s="27">
        <v>45505</v>
      </c>
      <c r="K1523">
        <v>2024</v>
      </c>
      <c r="L1523" s="27">
        <v>45505</v>
      </c>
      <c r="M1523">
        <v>752.85</v>
      </c>
      <c r="N1523">
        <v>38</v>
      </c>
      <c r="O1523" t="s">
        <v>358</v>
      </c>
      <c r="P1523">
        <f t="shared" si="25"/>
        <v>0</v>
      </c>
    </row>
    <row r="1524" spans="1:16" hidden="1" x14ac:dyDescent="0.25">
      <c r="A1524" s="8">
        <v>1519</v>
      </c>
      <c r="B1524">
        <v>72</v>
      </c>
      <c r="C1524" s="27">
        <v>45517</v>
      </c>
      <c r="D1524" t="s">
        <v>348</v>
      </c>
      <c r="E1524">
        <v>155</v>
      </c>
      <c r="G1524" t="s">
        <v>46</v>
      </c>
      <c r="H1524" t="s">
        <v>14</v>
      </c>
      <c r="J1524" s="27">
        <v>45505</v>
      </c>
      <c r="K1524">
        <v>2024</v>
      </c>
      <c r="L1524" s="27">
        <v>45517</v>
      </c>
      <c r="M1524">
        <v>907.85</v>
      </c>
      <c r="N1524">
        <v>39</v>
      </c>
      <c r="O1524" t="s">
        <v>358</v>
      </c>
      <c r="P1524">
        <f t="shared" si="25"/>
        <v>0</v>
      </c>
    </row>
    <row r="1525" spans="1:16" hidden="1" x14ac:dyDescent="0.25">
      <c r="A1525" s="8">
        <v>1520</v>
      </c>
      <c r="B1525">
        <v>73</v>
      </c>
      <c r="C1525" s="27">
        <v>45517</v>
      </c>
      <c r="D1525" t="s">
        <v>796</v>
      </c>
      <c r="E1525">
        <v>50</v>
      </c>
      <c r="G1525" t="s">
        <v>797</v>
      </c>
      <c r="H1525" t="s">
        <v>14</v>
      </c>
      <c r="J1525" s="27">
        <v>45505</v>
      </c>
      <c r="K1525">
        <v>2024</v>
      </c>
      <c r="L1525" s="27">
        <v>45517</v>
      </c>
      <c r="M1525">
        <v>957.85</v>
      </c>
      <c r="N1525">
        <v>1</v>
      </c>
      <c r="O1525" t="s">
        <v>358</v>
      </c>
      <c r="P1525">
        <f t="shared" si="25"/>
        <v>0</v>
      </c>
    </row>
    <row r="1526" spans="1:16" hidden="1" x14ac:dyDescent="0.25">
      <c r="A1526" s="8">
        <v>1521</v>
      </c>
      <c r="B1526">
        <v>74</v>
      </c>
      <c r="C1526" s="27">
        <v>45523</v>
      </c>
      <c r="D1526" t="s">
        <v>791</v>
      </c>
      <c r="E1526">
        <v>-460</v>
      </c>
      <c r="G1526" t="s">
        <v>39</v>
      </c>
      <c r="H1526" t="s">
        <v>14</v>
      </c>
      <c r="J1526" s="27">
        <v>45505</v>
      </c>
      <c r="K1526">
        <v>2024</v>
      </c>
      <c r="L1526" s="27">
        <v>45523</v>
      </c>
      <c r="M1526">
        <v>497.85</v>
      </c>
      <c r="N1526">
        <v>3</v>
      </c>
      <c r="O1526" t="s">
        <v>358</v>
      </c>
      <c r="P1526">
        <f t="shared" si="25"/>
        <v>0</v>
      </c>
    </row>
    <row r="1527" spans="1:16" hidden="1" x14ac:dyDescent="0.25">
      <c r="A1527" s="8">
        <v>1522</v>
      </c>
      <c r="B1527">
        <v>75</v>
      </c>
      <c r="C1527" s="27">
        <v>45523</v>
      </c>
      <c r="D1527" t="s">
        <v>351</v>
      </c>
      <c r="E1527">
        <v>440.82</v>
      </c>
      <c r="G1527" t="s">
        <v>46</v>
      </c>
      <c r="H1527" t="s">
        <v>14</v>
      </c>
      <c r="J1527" s="27">
        <v>45505</v>
      </c>
      <c r="K1527">
        <v>2024</v>
      </c>
      <c r="L1527" s="27">
        <v>45523</v>
      </c>
      <c r="M1527">
        <v>938.67</v>
      </c>
      <c r="N1527">
        <v>40</v>
      </c>
      <c r="O1527" t="s">
        <v>358</v>
      </c>
      <c r="P1527">
        <f t="shared" si="25"/>
        <v>0</v>
      </c>
    </row>
    <row r="1528" spans="1:16" hidden="1" x14ac:dyDescent="0.25">
      <c r="A1528" s="8">
        <v>1523</v>
      </c>
      <c r="B1528">
        <v>76</v>
      </c>
      <c r="C1528" s="27">
        <v>45535</v>
      </c>
      <c r="D1528" t="s">
        <v>343</v>
      </c>
      <c r="E1528">
        <v>0.37</v>
      </c>
      <c r="G1528" t="s">
        <v>344</v>
      </c>
      <c r="H1528" t="s">
        <v>28</v>
      </c>
      <c r="I1528" t="s">
        <v>80</v>
      </c>
      <c r="J1528" s="27">
        <v>45505</v>
      </c>
      <c r="K1528">
        <v>2024</v>
      </c>
      <c r="L1528" s="27">
        <v>45535</v>
      </c>
      <c r="M1528">
        <v>939.04</v>
      </c>
      <c r="N1528">
        <v>8</v>
      </c>
      <c r="O1528" t="s">
        <v>358</v>
      </c>
      <c r="P1528">
        <f t="shared" si="25"/>
        <v>1</v>
      </c>
    </row>
    <row r="1529" spans="1:16" hidden="1" x14ac:dyDescent="0.25">
      <c r="A1529" s="8">
        <v>1524</v>
      </c>
      <c r="B1529">
        <v>77</v>
      </c>
      <c r="C1529" s="27">
        <v>45536</v>
      </c>
      <c r="D1529" t="s">
        <v>348</v>
      </c>
      <c r="E1529">
        <v>450</v>
      </c>
      <c r="G1529" t="s">
        <v>46</v>
      </c>
      <c r="H1529" t="s">
        <v>14</v>
      </c>
      <c r="J1529" s="27">
        <v>45536</v>
      </c>
      <c r="K1529">
        <v>2024</v>
      </c>
      <c r="L1529" s="27">
        <v>45536</v>
      </c>
      <c r="M1529">
        <v>1389.04</v>
      </c>
      <c r="N1529">
        <v>41</v>
      </c>
      <c r="O1529" t="s">
        <v>358</v>
      </c>
      <c r="P1529">
        <f t="shared" si="25"/>
        <v>0</v>
      </c>
    </row>
    <row r="1530" spans="1:16" hidden="1" x14ac:dyDescent="0.25">
      <c r="A1530" s="8">
        <v>1525</v>
      </c>
      <c r="B1530">
        <v>78</v>
      </c>
      <c r="C1530" s="27">
        <v>45542</v>
      </c>
      <c r="D1530" t="s">
        <v>348</v>
      </c>
      <c r="E1530">
        <v>1633.74</v>
      </c>
      <c r="G1530" t="s">
        <v>46</v>
      </c>
      <c r="H1530" t="s">
        <v>14</v>
      </c>
      <c r="J1530" s="27">
        <v>45536</v>
      </c>
      <c r="K1530">
        <v>2024</v>
      </c>
      <c r="L1530" s="27">
        <v>45542</v>
      </c>
      <c r="M1530">
        <v>3022.78</v>
      </c>
      <c r="N1530">
        <v>42</v>
      </c>
      <c r="O1530" t="s">
        <v>358</v>
      </c>
      <c r="P1530">
        <f t="shared" si="25"/>
        <v>0</v>
      </c>
    </row>
    <row r="1531" spans="1:16" hidden="1" x14ac:dyDescent="0.25">
      <c r="A1531" s="8">
        <v>1526</v>
      </c>
      <c r="B1531">
        <v>79</v>
      </c>
      <c r="C1531" s="27">
        <v>45544</v>
      </c>
      <c r="D1531" t="s">
        <v>351</v>
      </c>
      <c r="E1531">
        <v>-1633.74</v>
      </c>
      <c r="G1531" t="s">
        <v>46</v>
      </c>
      <c r="H1531" t="s">
        <v>14</v>
      </c>
      <c r="J1531" s="27">
        <v>45536</v>
      </c>
      <c r="K1531">
        <v>2024</v>
      </c>
      <c r="L1531" s="27">
        <v>45544</v>
      </c>
      <c r="M1531">
        <v>1389.04</v>
      </c>
      <c r="N1531">
        <v>43</v>
      </c>
      <c r="O1531" t="s">
        <v>358</v>
      </c>
      <c r="P1531">
        <f t="shared" si="25"/>
        <v>0</v>
      </c>
    </row>
    <row r="1532" spans="1:16" hidden="1" x14ac:dyDescent="0.25">
      <c r="A1532" s="8">
        <v>1527</v>
      </c>
      <c r="B1532">
        <v>80</v>
      </c>
      <c r="C1532" s="27">
        <v>45548</v>
      </c>
      <c r="D1532" t="s">
        <v>348</v>
      </c>
      <c r="E1532">
        <v>155</v>
      </c>
      <c r="G1532" t="s">
        <v>46</v>
      </c>
      <c r="H1532" t="s">
        <v>14</v>
      </c>
      <c r="J1532" s="27">
        <v>45536</v>
      </c>
      <c r="K1532">
        <v>2024</v>
      </c>
      <c r="L1532" s="27">
        <v>45548</v>
      </c>
      <c r="M1532">
        <v>1544.04</v>
      </c>
      <c r="N1532">
        <v>44</v>
      </c>
      <c r="O1532" t="s">
        <v>358</v>
      </c>
      <c r="P1532">
        <f t="shared" si="25"/>
        <v>0</v>
      </c>
    </row>
    <row r="1533" spans="1:16" hidden="1" x14ac:dyDescent="0.25">
      <c r="A1533" s="8">
        <v>1528</v>
      </c>
      <c r="B1533">
        <v>81</v>
      </c>
      <c r="C1533" s="27">
        <v>45558</v>
      </c>
      <c r="D1533" t="s">
        <v>351</v>
      </c>
      <c r="E1533">
        <v>-20</v>
      </c>
      <c r="G1533" t="s">
        <v>46</v>
      </c>
      <c r="H1533" t="s">
        <v>14</v>
      </c>
      <c r="J1533" s="27">
        <v>45536</v>
      </c>
      <c r="K1533">
        <v>2024</v>
      </c>
      <c r="L1533" s="27">
        <v>45558</v>
      </c>
      <c r="M1533">
        <v>1524.04</v>
      </c>
      <c r="N1533">
        <v>45</v>
      </c>
      <c r="O1533" t="s">
        <v>358</v>
      </c>
      <c r="P1533">
        <f t="shared" si="25"/>
        <v>0</v>
      </c>
    </row>
    <row r="1534" spans="1:16" hidden="1" x14ac:dyDescent="0.25">
      <c r="A1534" s="8">
        <v>1529</v>
      </c>
      <c r="B1534">
        <v>82</v>
      </c>
      <c r="C1534" s="27">
        <v>45565</v>
      </c>
      <c r="D1534" t="s">
        <v>343</v>
      </c>
      <c r="E1534">
        <v>0.65</v>
      </c>
      <c r="G1534" t="s">
        <v>344</v>
      </c>
      <c r="H1534" t="s">
        <v>28</v>
      </c>
      <c r="I1534" t="s">
        <v>80</v>
      </c>
      <c r="J1534" s="27">
        <v>45536</v>
      </c>
      <c r="K1534">
        <v>2024</v>
      </c>
      <c r="L1534" s="27">
        <v>45565</v>
      </c>
      <c r="M1534">
        <v>1524.69</v>
      </c>
      <c r="N1534">
        <v>9</v>
      </c>
      <c r="O1534" t="s">
        <v>358</v>
      </c>
      <c r="P1534">
        <f t="shared" si="25"/>
        <v>1</v>
      </c>
    </row>
    <row r="1535" spans="1:16" hidden="1" x14ac:dyDescent="0.25">
      <c r="A1535" s="8">
        <v>1530</v>
      </c>
      <c r="B1535">
        <v>83</v>
      </c>
      <c r="C1535" s="27">
        <v>45566</v>
      </c>
      <c r="D1535" t="s">
        <v>351</v>
      </c>
      <c r="E1535">
        <v>-100</v>
      </c>
      <c r="G1535" t="s">
        <v>46</v>
      </c>
      <c r="H1535" t="s">
        <v>14</v>
      </c>
      <c r="J1535" s="27">
        <v>45566</v>
      </c>
      <c r="K1535">
        <v>2024</v>
      </c>
      <c r="L1535" s="27">
        <v>45566</v>
      </c>
      <c r="M1535">
        <v>1424.69</v>
      </c>
      <c r="N1535">
        <v>46</v>
      </c>
      <c r="O1535" t="s">
        <v>358</v>
      </c>
      <c r="P1535">
        <f t="shared" si="25"/>
        <v>0</v>
      </c>
    </row>
    <row r="1536" spans="1:16" hidden="1" x14ac:dyDescent="0.25">
      <c r="A1536" s="8">
        <v>1531</v>
      </c>
      <c r="B1536">
        <v>84</v>
      </c>
      <c r="C1536" s="27">
        <v>45566</v>
      </c>
      <c r="D1536" t="s">
        <v>348</v>
      </c>
      <c r="E1536">
        <v>450</v>
      </c>
      <c r="G1536" t="s">
        <v>46</v>
      </c>
      <c r="H1536" t="s">
        <v>14</v>
      </c>
      <c r="J1536" s="27">
        <v>45566</v>
      </c>
      <c r="K1536">
        <v>2024</v>
      </c>
      <c r="L1536" s="27">
        <v>45566</v>
      </c>
      <c r="M1536">
        <v>1874.69</v>
      </c>
      <c r="N1536">
        <v>47</v>
      </c>
      <c r="O1536" t="s">
        <v>358</v>
      </c>
      <c r="P1536">
        <f t="shared" si="25"/>
        <v>0</v>
      </c>
    </row>
    <row r="1537" spans="1:16" hidden="1" x14ac:dyDescent="0.25">
      <c r="A1537" s="8">
        <v>1532</v>
      </c>
      <c r="B1537">
        <v>85</v>
      </c>
      <c r="C1537" s="27">
        <v>45568</v>
      </c>
      <c r="D1537" t="s">
        <v>1062</v>
      </c>
      <c r="E1537">
        <v>-460</v>
      </c>
      <c r="G1537" t="s">
        <v>39</v>
      </c>
      <c r="H1537" t="s">
        <v>14</v>
      </c>
      <c r="J1537" s="27">
        <v>45566</v>
      </c>
      <c r="K1537">
        <v>2024</v>
      </c>
      <c r="L1537" s="27">
        <v>45568</v>
      </c>
      <c r="M1537">
        <v>1414.69</v>
      </c>
      <c r="N1537">
        <v>4</v>
      </c>
      <c r="O1537" t="s">
        <v>358</v>
      </c>
      <c r="P1537">
        <f t="shared" si="25"/>
        <v>0</v>
      </c>
    </row>
    <row r="1538" spans="1:16" hidden="1" x14ac:dyDescent="0.25">
      <c r="A1538" s="8">
        <v>1533</v>
      </c>
      <c r="B1538">
        <v>86</v>
      </c>
      <c r="C1538" s="27">
        <v>45568</v>
      </c>
      <c r="D1538" t="s">
        <v>1063</v>
      </c>
      <c r="E1538">
        <v>-1.18</v>
      </c>
      <c r="G1538" t="s">
        <v>13</v>
      </c>
      <c r="H1538" t="s">
        <v>14</v>
      </c>
      <c r="J1538" s="27">
        <v>45566</v>
      </c>
      <c r="K1538">
        <v>2024</v>
      </c>
      <c r="L1538" s="27">
        <v>45568</v>
      </c>
      <c r="M1538">
        <v>1413.51</v>
      </c>
      <c r="N1538">
        <v>1</v>
      </c>
      <c r="O1538" t="s">
        <v>358</v>
      </c>
      <c r="P1538">
        <f t="shared" si="25"/>
        <v>0</v>
      </c>
    </row>
    <row r="1539" spans="1:16" hidden="1" x14ac:dyDescent="0.25">
      <c r="A1539" s="8">
        <v>1534</v>
      </c>
      <c r="B1539">
        <v>87</v>
      </c>
      <c r="C1539" s="27">
        <v>45568</v>
      </c>
      <c r="D1539" t="s">
        <v>1064</v>
      </c>
      <c r="E1539">
        <v>-0.82</v>
      </c>
      <c r="G1539" t="s">
        <v>13</v>
      </c>
      <c r="H1539" t="s">
        <v>14</v>
      </c>
      <c r="J1539" s="27">
        <v>45566</v>
      </c>
      <c r="K1539">
        <v>2024</v>
      </c>
      <c r="L1539" s="27">
        <v>45568</v>
      </c>
      <c r="M1539">
        <v>1412.69</v>
      </c>
      <c r="N1539">
        <v>2</v>
      </c>
      <c r="O1539" t="s">
        <v>358</v>
      </c>
      <c r="P1539">
        <f t="shared" si="25"/>
        <v>0</v>
      </c>
    </row>
    <row r="1540" spans="1:16" hidden="1" x14ac:dyDescent="0.25">
      <c r="A1540" s="8">
        <v>1535</v>
      </c>
      <c r="B1540">
        <v>88</v>
      </c>
      <c r="C1540" s="27">
        <v>45578</v>
      </c>
      <c r="D1540" t="s">
        <v>348</v>
      </c>
      <c r="E1540">
        <v>155</v>
      </c>
      <c r="G1540" t="s">
        <v>46</v>
      </c>
      <c r="H1540" t="s">
        <v>14</v>
      </c>
      <c r="J1540" s="27">
        <v>45566</v>
      </c>
      <c r="K1540">
        <v>2024</v>
      </c>
      <c r="L1540" s="27">
        <v>45578</v>
      </c>
      <c r="M1540">
        <v>1567.69</v>
      </c>
      <c r="N1540">
        <v>48</v>
      </c>
      <c r="O1540" t="s">
        <v>358</v>
      </c>
      <c r="P1540">
        <f t="shared" si="25"/>
        <v>0</v>
      </c>
    </row>
    <row r="1541" spans="1:16" hidden="1" x14ac:dyDescent="0.25">
      <c r="A1541" s="8">
        <v>1536</v>
      </c>
      <c r="B1541">
        <v>89</v>
      </c>
      <c r="C1541" s="27">
        <v>45581</v>
      </c>
      <c r="D1541" t="s">
        <v>354</v>
      </c>
      <c r="E1541">
        <v>-442.73</v>
      </c>
      <c r="G1541" t="s">
        <v>27</v>
      </c>
      <c r="H1541" t="s">
        <v>28</v>
      </c>
      <c r="I1541" t="s">
        <v>29</v>
      </c>
      <c r="J1541" s="27">
        <v>45566</v>
      </c>
      <c r="K1541">
        <v>2024</v>
      </c>
      <c r="L1541" s="27">
        <v>45581</v>
      </c>
      <c r="M1541">
        <v>1124.96</v>
      </c>
      <c r="N1541">
        <v>6</v>
      </c>
      <c r="O1541" t="s">
        <v>358</v>
      </c>
      <c r="P1541">
        <f t="shared" si="25"/>
        <v>0</v>
      </c>
    </row>
    <row r="1542" spans="1:16" hidden="1" x14ac:dyDescent="0.25">
      <c r="A1542" s="8">
        <v>1537</v>
      </c>
      <c r="B1542">
        <v>90</v>
      </c>
      <c r="C1542" s="27">
        <v>45588</v>
      </c>
      <c r="D1542" t="s">
        <v>1065</v>
      </c>
      <c r="E1542">
        <v>-11.5</v>
      </c>
      <c r="G1542" t="s">
        <v>141</v>
      </c>
      <c r="H1542" t="s">
        <v>14</v>
      </c>
      <c r="J1542" s="27">
        <v>45566</v>
      </c>
      <c r="K1542">
        <v>2024</v>
      </c>
      <c r="L1542" s="27">
        <v>45588</v>
      </c>
      <c r="M1542">
        <v>1113.46</v>
      </c>
      <c r="N1542">
        <v>1</v>
      </c>
      <c r="O1542" t="s">
        <v>358</v>
      </c>
      <c r="P1542">
        <f t="shared" si="25"/>
        <v>0</v>
      </c>
    </row>
    <row r="1543" spans="1:16" hidden="1" x14ac:dyDescent="0.25">
      <c r="A1543" s="8">
        <v>1538</v>
      </c>
      <c r="B1543">
        <v>91</v>
      </c>
      <c r="C1543" s="27">
        <v>45588</v>
      </c>
      <c r="D1543" t="s">
        <v>1066</v>
      </c>
      <c r="E1543">
        <v>-0.5</v>
      </c>
      <c r="G1543" t="s">
        <v>141</v>
      </c>
      <c r="H1543" t="s">
        <v>14</v>
      </c>
      <c r="J1543" s="27">
        <v>45566</v>
      </c>
      <c r="K1543">
        <v>2024</v>
      </c>
      <c r="L1543" s="27">
        <v>45588</v>
      </c>
      <c r="M1543">
        <v>1112.96</v>
      </c>
      <c r="N1543">
        <v>2</v>
      </c>
      <c r="O1543" t="s">
        <v>358</v>
      </c>
      <c r="P1543">
        <f t="shared" si="25"/>
        <v>0</v>
      </c>
    </row>
    <row r="1544" spans="1:16" hidden="1" x14ac:dyDescent="0.25">
      <c r="A1544" s="8">
        <v>1539</v>
      </c>
      <c r="B1544">
        <v>92</v>
      </c>
      <c r="C1544" s="27">
        <v>45589</v>
      </c>
      <c r="D1544" t="s">
        <v>1067</v>
      </c>
      <c r="E1544">
        <v>-108.56</v>
      </c>
      <c r="G1544" t="s">
        <v>186</v>
      </c>
      <c r="H1544" t="s">
        <v>14</v>
      </c>
      <c r="J1544" s="27">
        <v>45566</v>
      </c>
      <c r="K1544">
        <v>2024</v>
      </c>
      <c r="L1544" s="27">
        <v>45589</v>
      </c>
      <c r="M1544">
        <v>1004.4</v>
      </c>
      <c r="N1544">
        <v>1</v>
      </c>
      <c r="O1544" t="s">
        <v>358</v>
      </c>
      <c r="P1544">
        <f t="shared" si="25"/>
        <v>0</v>
      </c>
    </row>
    <row r="1545" spans="1:16" hidden="1" x14ac:dyDescent="0.25">
      <c r="A1545" s="8">
        <v>1540</v>
      </c>
      <c r="B1545">
        <v>93</v>
      </c>
      <c r="C1545" s="27">
        <v>45590</v>
      </c>
      <c r="D1545" t="s">
        <v>1068</v>
      </c>
      <c r="E1545">
        <v>-84.38</v>
      </c>
      <c r="G1545" t="s">
        <v>107</v>
      </c>
      <c r="H1545" t="s">
        <v>14</v>
      </c>
      <c r="J1545" s="27">
        <v>45566</v>
      </c>
      <c r="K1545">
        <v>2024</v>
      </c>
      <c r="L1545" s="27">
        <v>45590</v>
      </c>
      <c r="M1545">
        <v>920.02</v>
      </c>
      <c r="N1545">
        <v>1</v>
      </c>
      <c r="O1545" t="s">
        <v>358</v>
      </c>
      <c r="P1545">
        <f t="shared" si="25"/>
        <v>0</v>
      </c>
    </row>
    <row r="1546" spans="1:16" hidden="1" x14ac:dyDescent="0.25">
      <c r="A1546" s="8">
        <v>1541</v>
      </c>
      <c r="B1546">
        <v>94</v>
      </c>
      <c r="C1546" s="27">
        <v>45590</v>
      </c>
      <c r="D1546" t="s">
        <v>1069</v>
      </c>
      <c r="E1546">
        <v>-0.62</v>
      </c>
      <c r="G1546" t="s">
        <v>107</v>
      </c>
      <c r="H1546" t="s">
        <v>14</v>
      </c>
      <c r="J1546" s="27">
        <v>45566</v>
      </c>
      <c r="K1546">
        <v>2024</v>
      </c>
      <c r="L1546" s="27">
        <v>45590</v>
      </c>
      <c r="M1546">
        <v>919.4</v>
      </c>
      <c r="N1546">
        <v>2</v>
      </c>
      <c r="O1546" t="s">
        <v>358</v>
      </c>
      <c r="P1546">
        <f t="shared" si="25"/>
        <v>0</v>
      </c>
    </row>
    <row r="1547" spans="1:16" hidden="1" x14ac:dyDescent="0.25">
      <c r="A1547" s="8">
        <v>1542</v>
      </c>
      <c r="B1547">
        <v>95</v>
      </c>
      <c r="C1547" s="27">
        <v>45596</v>
      </c>
      <c r="D1547" t="s">
        <v>1070</v>
      </c>
      <c r="E1547">
        <v>-66.73</v>
      </c>
      <c r="G1547" t="s">
        <v>137</v>
      </c>
      <c r="H1547" t="s">
        <v>14</v>
      </c>
      <c r="J1547" s="27">
        <v>45566</v>
      </c>
      <c r="K1547">
        <v>2024</v>
      </c>
      <c r="L1547" s="27">
        <v>45596</v>
      </c>
      <c r="M1547">
        <v>852.67</v>
      </c>
      <c r="N1547">
        <v>1</v>
      </c>
      <c r="O1547" t="s">
        <v>358</v>
      </c>
      <c r="P1547">
        <f t="shared" si="25"/>
        <v>0</v>
      </c>
    </row>
    <row r="1548" spans="1:16" hidden="1" x14ac:dyDescent="0.25">
      <c r="A1548" s="8">
        <v>1543</v>
      </c>
      <c r="B1548">
        <v>96</v>
      </c>
      <c r="C1548" s="27">
        <v>45596</v>
      </c>
      <c r="D1548" t="s">
        <v>1071</v>
      </c>
      <c r="E1548">
        <v>-0.27</v>
      </c>
      <c r="G1548" t="s">
        <v>137</v>
      </c>
      <c r="H1548" t="s">
        <v>14</v>
      </c>
      <c r="J1548" s="27">
        <v>45566</v>
      </c>
      <c r="K1548">
        <v>2024</v>
      </c>
      <c r="L1548" s="27">
        <v>45596</v>
      </c>
      <c r="M1548">
        <v>852.4</v>
      </c>
      <c r="N1548">
        <v>2</v>
      </c>
      <c r="O1548" t="s">
        <v>358</v>
      </c>
      <c r="P1548">
        <f t="shared" si="25"/>
        <v>0</v>
      </c>
    </row>
    <row r="1549" spans="1:16" hidden="1" x14ac:dyDescent="0.25">
      <c r="A1549" s="8">
        <v>1544</v>
      </c>
      <c r="B1549">
        <v>97</v>
      </c>
      <c r="C1549" s="27">
        <v>45596</v>
      </c>
      <c r="D1549" t="s">
        <v>343</v>
      </c>
      <c r="E1549">
        <v>0.53</v>
      </c>
      <c r="G1549" t="s">
        <v>344</v>
      </c>
      <c r="H1549" t="s">
        <v>28</v>
      </c>
      <c r="I1549" t="s">
        <v>80</v>
      </c>
      <c r="J1549" s="27">
        <v>45566</v>
      </c>
      <c r="K1549">
        <v>2024</v>
      </c>
      <c r="L1549" s="27">
        <v>45596</v>
      </c>
      <c r="M1549">
        <v>852.93</v>
      </c>
      <c r="N1549">
        <v>10</v>
      </c>
      <c r="O1549" t="s">
        <v>358</v>
      </c>
      <c r="P1549">
        <f t="shared" si="25"/>
        <v>1</v>
      </c>
    </row>
    <row r="1550" spans="1:16" hidden="1" x14ac:dyDescent="0.25">
      <c r="A1550" s="8">
        <v>1545</v>
      </c>
      <c r="B1550">
        <v>98</v>
      </c>
      <c r="C1550" s="27">
        <v>45597</v>
      </c>
      <c r="D1550" t="s">
        <v>348</v>
      </c>
      <c r="E1550">
        <v>450</v>
      </c>
      <c r="G1550" t="s">
        <v>46</v>
      </c>
      <c r="H1550" t="s">
        <v>14</v>
      </c>
      <c r="J1550" s="27">
        <v>45597</v>
      </c>
      <c r="K1550">
        <v>2024</v>
      </c>
      <c r="L1550" s="27">
        <v>45597</v>
      </c>
      <c r="M1550">
        <v>1302.93</v>
      </c>
      <c r="N1550">
        <v>49</v>
      </c>
      <c r="O1550" t="s">
        <v>358</v>
      </c>
      <c r="P1550">
        <f t="shared" si="25"/>
        <v>0</v>
      </c>
    </row>
    <row r="1551" spans="1:16" hidden="1" x14ac:dyDescent="0.25">
      <c r="A1551" s="8">
        <v>1546</v>
      </c>
      <c r="B1551">
        <v>99</v>
      </c>
      <c r="C1551" s="27">
        <v>45600</v>
      </c>
      <c r="D1551" t="s">
        <v>1062</v>
      </c>
      <c r="E1551">
        <v>-460</v>
      </c>
      <c r="G1551" t="s">
        <v>39</v>
      </c>
      <c r="H1551" t="s">
        <v>14</v>
      </c>
      <c r="J1551" s="27">
        <v>45597</v>
      </c>
      <c r="K1551">
        <v>2024</v>
      </c>
      <c r="L1551" s="27">
        <v>45600</v>
      </c>
      <c r="M1551">
        <v>842.93</v>
      </c>
      <c r="N1551">
        <v>5</v>
      </c>
      <c r="O1551" t="s">
        <v>358</v>
      </c>
      <c r="P1551">
        <f t="shared" si="25"/>
        <v>0</v>
      </c>
    </row>
    <row r="1552" spans="1:16" hidden="1" x14ac:dyDescent="0.25">
      <c r="A1552" s="8">
        <v>1547</v>
      </c>
      <c r="B1552">
        <v>100</v>
      </c>
      <c r="C1552" s="27">
        <v>45602</v>
      </c>
      <c r="D1552" t="s">
        <v>1072</v>
      </c>
      <c r="E1552">
        <v>-29.48</v>
      </c>
      <c r="G1552" t="s">
        <v>141</v>
      </c>
      <c r="H1552" t="s">
        <v>14</v>
      </c>
      <c r="J1552" s="27">
        <v>45597</v>
      </c>
      <c r="K1552">
        <v>2024</v>
      </c>
      <c r="L1552" s="27">
        <v>45602</v>
      </c>
      <c r="M1552">
        <v>813.45</v>
      </c>
      <c r="N1552">
        <v>3</v>
      </c>
      <c r="O1552" t="s">
        <v>358</v>
      </c>
      <c r="P1552">
        <f t="shared" si="25"/>
        <v>0</v>
      </c>
    </row>
    <row r="1553" spans="1:16" hidden="1" x14ac:dyDescent="0.25">
      <c r="A1553" s="8">
        <v>1548</v>
      </c>
      <c r="B1553">
        <v>101</v>
      </c>
      <c r="C1553" s="27">
        <v>45602</v>
      </c>
      <c r="D1553" t="s">
        <v>1073</v>
      </c>
      <c r="E1553">
        <v>-0.52</v>
      </c>
      <c r="G1553" t="s">
        <v>141</v>
      </c>
      <c r="H1553" t="s">
        <v>14</v>
      </c>
      <c r="J1553" s="27">
        <v>45597</v>
      </c>
      <c r="K1553">
        <v>2024</v>
      </c>
      <c r="L1553" s="27">
        <v>45602</v>
      </c>
      <c r="M1553">
        <v>812.93</v>
      </c>
      <c r="N1553">
        <v>4</v>
      </c>
      <c r="O1553" t="s">
        <v>358</v>
      </c>
      <c r="P1553">
        <f t="shared" si="25"/>
        <v>0</v>
      </c>
    </row>
    <row r="1554" spans="1:16" hidden="1" x14ac:dyDescent="0.25">
      <c r="A1554" s="8">
        <v>1549</v>
      </c>
      <c r="B1554">
        <v>102</v>
      </c>
      <c r="C1554" s="27">
        <v>45609</v>
      </c>
      <c r="D1554" t="s">
        <v>348</v>
      </c>
      <c r="E1554">
        <v>155</v>
      </c>
      <c r="G1554" t="s">
        <v>46</v>
      </c>
      <c r="H1554" t="s">
        <v>14</v>
      </c>
      <c r="J1554" s="27">
        <v>45597</v>
      </c>
      <c r="K1554">
        <v>2024</v>
      </c>
      <c r="L1554" s="27">
        <v>45609</v>
      </c>
      <c r="M1554">
        <v>967.93</v>
      </c>
      <c r="N1554">
        <v>50</v>
      </c>
      <c r="O1554" t="s">
        <v>358</v>
      </c>
      <c r="P1554">
        <f t="shared" si="25"/>
        <v>0</v>
      </c>
    </row>
    <row r="1555" spans="1:16" hidden="1" x14ac:dyDescent="0.25">
      <c r="A1555" s="8">
        <v>1550</v>
      </c>
      <c r="B1555">
        <v>103</v>
      </c>
      <c r="C1555" s="27">
        <v>45610</v>
      </c>
      <c r="D1555" t="s">
        <v>1072</v>
      </c>
      <c r="E1555">
        <v>-14.73</v>
      </c>
      <c r="G1555" t="s">
        <v>141</v>
      </c>
      <c r="H1555" t="s">
        <v>14</v>
      </c>
      <c r="J1555" s="27">
        <v>45597</v>
      </c>
      <c r="K1555">
        <v>2024</v>
      </c>
      <c r="L1555" s="27">
        <v>45610</v>
      </c>
      <c r="M1555">
        <v>953.2</v>
      </c>
      <c r="N1555">
        <v>5</v>
      </c>
      <c r="O1555" t="s">
        <v>358</v>
      </c>
      <c r="P1555">
        <f t="shared" si="25"/>
        <v>0</v>
      </c>
    </row>
    <row r="1556" spans="1:16" hidden="1" x14ac:dyDescent="0.25">
      <c r="A1556" s="8">
        <v>1551</v>
      </c>
      <c r="B1556">
        <v>104</v>
      </c>
      <c r="C1556" s="27">
        <v>45610</v>
      </c>
      <c r="D1556" t="s">
        <v>1073</v>
      </c>
      <c r="E1556">
        <v>-0.27</v>
      </c>
      <c r="G1556" t="s">
        <v>141</v>
      </c>
      <c r="H1556" t="s">
        <v>14</v>
      </c>
      <c r="J1556" s="27">
        <v>45597</v>
      </c>
      <c r="K1556">
        <v>2024</v>
      </c>
      <c r="L1556" s="27">
        <v>45610</v>
      </c>
      <c r="M1556">
        <v>952.93</v>
      </c>
      <c r="N1556">
        <v>6</v>
      </c>
      <c r="O1556" t="s">
        <v>358</v>
      </c>
      <c r="P1556">
        <f t="shared" si="25"/>
        <v>0</v>
      </c>
    </row>
    <row r="1557" spans="1:16" hidden="1" x14ac:dyDescent="0.25">
      <c r="A1557" s="8">
        <v>1552</v>
      </c>
      <c r="B1557">
        <v>105</v>
      </c>
      <c r="C1557" s="27">
        <v>45611</v>
      </c>
      <c r="D1557" t="s">
        <v>1074</v>
      </c>
      <c r="E1557">
        <v>-108.56</v>
      </c>
      <c r="G1557" t="s">
        <v>186</v>
      </c>
      <c r="H1557" t="s">
        <v>14</v>
      </c>
      <c r="J1557" s="27">
        <v>45597</v>
      </c>
      <c r="K1557">
        <v>2024</v>
      </c>
      <c r="L1557" s="27">
        <v>45611</v>
      </c>
      <c r="M1557">
        <v>844.37</v>
      </c>
      <c r="N1557">
        <v>2</v>
      </c>
      <c r="O1557" t="s">
        <v>358</v>
      </c>
      <c r="P1557">
        <f t="shared" si="25"/>
        <v>0</v>
      </c>
    </row>
    <row r="1558" spans="1:16" hidden="1" x14ac:dyDescent="0.25">
      <c r="A1558" s="8">
        <v>1553</v>
      </c>
      <c r="B1558">
        <v>106</v>
      </c>
      <c r="C1558" s="27">
        <v>45612</v>
      </c>
      <c r="D1558" t="s">
        <v>348</v>
      </c>
      <c r="E1558">
        <v>1634</v>
      </c>
      <c r="G1558" t="s">
        <v>46</v>
      </c>
      <c r="H1558" t="s">
        <v>14</v>
      </c>
      <c r="J1558" s="27">
        <v>45597</v>
      </c>
      <c r="K1558">
        <v>2024</v>
      </c>
      <c r="L1558" s="27">
        <v>45612</v>
      </c>
      <c r="M1558">
        <v>2478.37</v>
      </c>
      <c r="N1558">
        <v>51</v>
      </c>
      <c r="O1558" t="s">
        <v>358</v>
      </c>
      <c r="P1558">
        <f t="shared" si="25"/>
        <v>0</v>
      </c>
    </row>
    <row r="1559" spans="1:16" hidden="1" x14ac:dyDescent="0.25">
      <c r="A1559" s="8">
        <v>1554</v>
      </c>
      <c r="B1559">
        <v>107</v>
      </c>
      <c r="C1559" s="27">
        <v>45612</v>
      </c>
      <c r="D1559" t="s">
        <v>348</v>
      </c>
      <c r="E1559">
        <v>3000</v>
      </c>
      <c r="G1559" t="s">
        <v>46</v>
      </c>
      <c r="H1559" t="s">
        <v>14</v>
      </c>
      <c r="J1559" s="27">
        <v>45597</v>
      </c>
      <c r="K1559">
        <v>2024</v>
      </c>
      <c r="L1559" s="27">
        <v>45612</v>
      </c>
      <c r="M1559">
        <v>5478.37</v>
      </c>
      <c r="N1559">
        <v>52</v>
      </c>
      <c r="O1559" t="s">
        <v>358</v>
      </c>
      <c r="P1559">
        <f t="shared" si="25"/>
        <v>0</v>
      </c>
    </row>
    <row r="1560" spans="1:16" hidden="1" x14ac:dyDescent="0.25">
      <c r="A1560" s="8">
        <v>1555</v>
      </c>
      <c r="B1560">
        <v>108</v>
      </c>
      <c r="C1560" s="27">
        <v>45613</v>
      </c>
      <c r="D1560" t="s">
        <v>1073</v>
      </c>
      <c r="E1560">
        <v>-0.75</v>
      </c>
      <c r="G1560" t="s">
        <v>141</v>
      </c>
      <c r="H1560" t="s">
        <v>14</v>
      </c>
      <c r="J1560" s="27">
        <v>45597</v>
      </c>
      <c r="K1560">
        <v>2024</v>
      </c>
      <c r="L1560" s="27">
        <v>45613</v>
      </c>
      <c r="M1560">
        <v>5468.37</v>
      </c>
      <c r="N1560">
        <v>7</v>
      </c>
      <c r="O1560" t="s">
        <v>358</v>
      </c>
      <c r="P1560">
        <f t="shared" si="25"/>
        <v>0</v>
      </c>
    </row>
    <row r="1561" spans="1:16" hidden="1" x14ac:dyDescent="0.25">
      <c r="A1561" s="8">
        <v>1556</v>
      </c>
      <c r="B1561">
        <v>109</v>
      </c>
      <c r="C1561" s="27">
        <v>45613</v>
      </c>
      <c r="D1561" t="s">
        <v>1072</v>
      </c>
      <c r="E1561">
        <v>-9.25</v>
      </c>
      <c r="G1561" t="s">
        <v>141</v>
      </c>
      <c r="H1561" t="s">
        <v>14</v>
      </c>
      <c r="J1561" s="27">
        <v>45597</v>
      </c>
      <c r="K1561">
        <v>2024</v>
      </c>
      <c r="L1561" s="27">
        <v>45613</v>
      </c>
      <c r="M1561">
        <v>5469.12</v>
      </c>
      <c r="N1561">
        <v>8</v>
      </c>
      <c r="O1561" t="s">
        <v>358</v>
      </c>
      <c r="P1561">
        <f t="shared" si="25"/>
        <v>0</v>
      </c>
    </row>
    <row r="1562" spans="1:16" hidden="1" x14ac:dyDescent="0.25">
      <c r="A1562" s="8">
        <v>1557</v>
      </c>
      <c r="B1562">
        <v>110</v>
      </c>
      <c r="C1562" s="27">
        <v>45614</v>
      </c>
      <c r="D1562" t="s">
        <v>351</v>
      </c>
      <c r="E1562">
        <v>-1633.74</v>
      </c>
      <c r="G1562" t="s">
        <v>46</v>
      </c>
      <c r="H1562" t="s">
        <v>14</v>
      </c>
      <c r="J1562" s="27">
        <v>45597</v>
      </c>
      <c r="K1562">
        <v>2024</v>
      </c>
      <c r="L1562" s="27">
        <v>45614</v>
      </c>
      <c r="M1562">
        <v>3834.63</v>
      </c>
      <c r="N1562">
        <v>53</v>
      </c>
      <c r="O1562" t="s">
        <v>358</v>
      </c>
      <c r="P1562">
        <f t="shared" si="25"/>
        <v>0</v>
      </c>
    </row>
    <row r="1563" spans="1:16" hidden="1" x14ac:dyDescent="0.25">
      <c r="A1563" s="8">
        <v>1558</v>
      </c>
      <c r="B1563">
        <v>111</v>
      </c>
      <c r="C1563" s="27">
        <v>45614</v>
      </c>
      <c r="D1563" t="s">
        <v>351</v>
      </c>
      <c r="E1563">
        <v>-3000</v>
      </c>
      <c r="G1563" t="s">
        <v>46</v>
      </c>
      <c r="H1563" t="s">
        <v>14</v>
      </c>
      <c r="J1563" s="27">
        <v>45597</v>
      </c>
      <c r="K1563">
        <v>2024</v>
      </c>
      <c r="L1563" s="27">
        <v>45614</v>
      </c>
      <c r="M1563">
        <v>834.63</v>
      </c>
      <c r="N1563">
        <v>54</v>
      </c>
      <c r="O1563" t="s">
        <v>358</v>
      </c>
      <c r="P1563">
        <f t="shared" si="25"/>
        <v>0</v>
      </c>
    </row>
    <row r="1564" spans="1:16" hidden="1" x14ac:dyDescent="0.25">
      <c r="A1564" s="8">
        <v>1559</v>
      </c>
      <c r="B1564">
        <v>112</v>
      </c>
      <c r="C1564" s="27">
        <v>45615</v>
      </c>
      <c r="D1564" t="s">
        <v>348</v>
      </c>
      <c r="E1564">
        <v>800</v>
      </c>
      <c r="G1564" t="s">
        <v>46</v>
      </c>
      <c r="H1564" t="s">
        <v>14</v>
      </c>
      <c r="J1564" s="27">
        <v>45597</v>
      </c>
      <c r="K1564">
        <v>2024</v>
      </c>
      <c r="L1564" s="27">
        <v>45615</v>
      </c>
      <c r="M1564">
        <v>1634.63</v>
      </c>
      <c r="N1564">
        <v>55</v>
      </c>
      <c r="O1564" t="s">
        <v>358</v>
      </c>
      <c r="P1564">
        <f t="shared" si="25"/>
        <v>0</v>
      </c>
    </row>
    <row r="1565" spans="1:16" hidden="1" x14ac:dyDescent="0.25">
      <c r="A1565" s="8">
        <v>1560</v>
      </c>
      <c r="B1565">
        <v>113</v>
      </c>
      <c r="C1565" s="27">
        <v>45626</v>
      </c>
      <c r="D1565" t="s">
        <v>343</v>
      </c>
      <c r="E1565">
        <v>0.62</v>
      </c>
      <c r="G1565" t="s">
        <v>344</v>
      </c>
      <c r="H1565" t="s">
        <v>28</v>
      </c>
      <c r="I1565" t="s">
        <v>80</v>
      </c>
      <c r="J1565" s="27">
        <v>45597</v>
      </c>
      <c r="K1565">
        <v>2024</v>
      </c>
      <c r="L1565" s="27">
        <v>45626</v>
      </c>
      <c r="M1565">
        <v>1635.25</v>
      </c>
      <c r="N1565">
        <v>11</v>
      </c>
      <c r="O1565" t="s">
        <v>358</v>
      </c>
      <c r="P1565">
        <f t="shared" si="25"/>
        <v>1</v>
      </c>
    </row>
    <row r="1566" spans="1:16" hidden="1" x14ac:dyDescent="0.25">
      <c r="A1566" s="8">
        <v>1561</v>
      </c>
      <c r="B1566">
        <v>114</v>
      </c>
      <c r="C1566" s="27">
        <v>45627</v>
      </c>
      <c r="D1566" t="s">
        <v>348</v>
      </c>
      <c r="E1566">
        <v>450</v>
      </c>
      <c r="G1566" t="s">
        <v>46</v>
      </c>
      <c r="H1566" t="s">
        <v>14</v>
      </c>
      <c r="J1566" s="27">
        <v>45627</v>
      </c>
      <c r="K1566">
        <v>2024</v>
      </c>
      <c r="L1566" s="27">
        <v>45627</v>
      </c>
      <c r="M1566">
        <v>2085.25</v>
      </c>
      <c r="N1566">
        <v>56</v>
      </c>
      <c r="O1566" t="s">
        <v>358</v>
      </c>
      <c r="P1566">
        <f t="shared" si="25"/>
        <v>0</v>
      </c>
    </row>
    <row r="1567" spans="1:16" hidden="1" x14ac:dyDescent="0.25">
      <c r="A1567" s="8">
        <v>1562</v>
      </c>
      <c r="B1567">
        <v>115</v>
      </c>
      <c r="C1567" s="27">
        <v>45629</v>
      </c>
      <c r="D1567" t="s">
        <v>1062</v>
      </c>
      <c r="E1567">
        <v>-460</v>
      </c>
      <c r="G1567" t="s">
        <v>39</v>
      </c>
      <c r="H1567" t="s">
        <v>14</v>
      </c>
      <c r="J1567" s="27">
        <v>45627</v>
      </c>
      <c r="K1567">
        <v>2024</v>
      </c>
      <c r="L1567" s="27">
        <v>45629</v>
      </c>
      <c r="M1567">
        <v>1625.25</v>
      </c>
      <c r="N1567">
        <v>6</v>
      </c>
      <c r="O1567" t="s">
        <v>358</v>
      </c>
      <c r="P1567">
        <f t="shared" si="25"/>
        <v>0</v>
      </c>
    </row>
    <row r="1568" spans="1:16" hidden="1" x14ac:dyDescent="0.25">
      <c r="A1568" s="8">
        <v>1563</v>
      </c>
      <c r="B1568">
        <v>116</v>
      </c>
      <c r="C1568" s="27">
        <v>45639</v>
      </c>
      <c r="D1568" t="s">
        <v>348</v>
      </c>
      <c r="E1568">
        <v>155</v>
      </c>
      <c r="G1568" t="s">
        <v>46</v>
      </c>
      <c r="H1568" t="s">
        <v>14</v>
      </c>
      <c r="J1568" s="27">
        <v>45627</v>
      </c>
      <c r="K1568">
        <v>2024</v>
      </c>
      <c r="L1568" s="27">
        <v>45639</v>
      </c>
      <c r="M1568">
        <v>1780.25</v>
      </c>
      <c r="N1568">
        <v>57</v>
      </c>
      <c r="O1568" t="s">
        <v>358</v>
      </c>
      <c r="P1568">
        <f t="shared" si="25"/>
        <v>0</v>
      </c>
    </row>
    <row r="1569" spans="1:16" hidden="1" x14ac:dyDescent="0.25">
      <c r="A1569" s="8">
        <v>1564</v>
      </c>
      <c r="B1569">
        <v>117</v>
      </c>
      <c r="C1569" s="27">
        <v>45639</v>
      </c>
      <c r="D1569" t="s">
        <v>348</v>
      </c>
      <c r="E1569">
        <v>1132</v>
      </c>
      <c r="G1569" t="s">
        <v>46</v>
      </c>
      <c r="H1569" t="s">
        <v>14</v>
      </c>
      <c r="J1569" s="27">
        <v>45627</v>
      </c>
      <c r="K1569">
        <v>2024</v>
      </c>
      <c r="L1569" s="27">
        <v>45639</v>
      </c>
      <c r="M1569">
        <v>2912.25</v>
      </c>
      <c r="N1569">
        <v>58</v>
      </c>
      <c r="O1569" t="s">
        <v>358</v>
      </c>
      <c r="P1569">
        <f t="shared" si="25"/>
        <v>0</v>
      </c>
    </row>
    <row r="1570" spans="1:16" hidden="1" x14ac:dyDescent="0.25">
      <c r="A1570" s="8">
        <v>1565</v>
      </c>
      <c r="B1570">
        <v>118</v>
      </c>
      <c r="C1570" s="27">
        <v>45642</v>
      </c>
      <c r="D1570" t="s">
        <v>791</v>
      </c>
      <c r="E1570">
        <v>-1131.94</v>
      </c>
      <c r="G1570" t="s">
        <v>39</v>
      </c>
      <c r="H1570" t="s">
        <v>14</v>
      </c>
      <c r="J1570" s="27">
        <v>45627</v>
      </c>
      <c r="K1570">
        <v>2024</v>
      </c>
      <c r="L1570" s="27">
        <v>45642</v>
      </c>
      <c r="M1570">
        <v>1780.31</v>
      </c>
      <c r="N1570">
        <v>7</v>
      </c>
      <c r="O1570" t="s">
        <v>358</v>
      </c>
      <c r="P1570">
        <f t="shared" si="25"/>
        <v>0</v>
      </c>
    </row>
    <row r="1571" spans="1:16" hidden="1" x14ac:dyDescent="0.25">
      <c r="A1571" s="8">
        <v>1566</v>
      </c>
      <c r="B1571">
        <v>119</v>
      </c>
      <c r="C1571" s="27">
        <v>45643</v>
      </c>
      <c r="D1571" t="s">
        <v>1074</v>
      </c>
      <c r="E1571">
        <v>-108.56</v>
      </c>
      <c r="G1571" t="s">
        <v>186</v>
      </c>
      <c r="H1571" t="s">
        <v>14</v>
      </c>
      <c r="J1571" s="27">
        <v>45627</v>
      </c>
      <c r="K1571">
        <v>2024</v>
      </c>
      <c r="L1571" s="27">
        <v>45643</v>
      </c>
      <c r="M1571">
        <v>1671.75</v>
      </c>
      <c r="N1571">
        <v>3</v>
      </c>
      <c r="O1571" t="s">
        <v>358</v>
      </c>
      <c r="P1571">
        <f t="shared" si="25"/>
        <v>0</v>
      </c>
    </row>
    <row r="1572" spans="1:16" hidden="1" x14ac:dyDescent="0.25">
      <c r="A1572" s="8">
        <v>1567</v>
      </c>
      <c r="B1572">
        <v>120</v>
      </c>
      <c r="C1572" s="27">
        <v>45646</v>
      </c>
      <c r="D1572" t="s">
        <v>1075</v>
      </c>
      <c r="E1572">
        <v>-500</v>
      </c>
      <c r="G1572" t="s">
        <v>46</v>
      </c>
      <c r="H1572" t="s">
        <v>14</v>
      </c>
      <c r="J1572" s="27">
        <v>45627</v>
      </c>
      <c r="K1572">
        <v>2024</v>
      </c>
      <c r="L1572" s="27">
        <v>45646</v>
      </c>
      <c r="M1572">
        <v>1171.75</v>
      </c>
      <c r="N1572">
        <v>59</v>
      </c>
      <c r="O1572" t="s">
        <v>358</v>
      </c>
      <c r="P1572">
        <f t="shared" si="25"/>
        <v>0</v>
      </c>
    </row>
    <row r="1573" spans="1:16" hidden="1" x14ac:dyDescent="0.25">
      <c r="A1573" s="8">
        <v>1568</v>
      </c>
      <c r="B1573">
        <v>121</v>
      </c>
      <c r="C1573" s="27">
        <v>45653</v>
      </c>
      <c r="D1573" t="s">
        <v>1076</v>
      </c>
      <c r="E1573">
        <v>30</v>
      </c>
      <c r="G1573" t="s">
        <v>1077</v>
      </c>
      <c r="H1573" t="s">
        <v>14</v>
      </c>
      <c r="J1573" s="27">
        <v>45627</v>
      </c>
      <c r="K1573">
        <v>2024</v>
      </c>
      <c r="L1573" s="27">
        <v>45653</v>
      </c>
      <c r="M1573">
        <v>1201.75</v>
      </c>
      <c r="N1573">
        <v>1</v>
      </c>
      <c r="O1573" t="s">
        <v>358</v>
      </c>
      <c r="P1573">
        <f t="shared" si="25"/>
        <v>0</v>
      </c>
    </row>
    <row r="1574" spans="1:16" hidden="1" x14ac:dyDescent="0.25">
      <c r="A1574" s="8">
        <v>1569</v>
      </c>
      <c r="B1574">
        <v>122</v>
      </c>
      <c r="C1574" s="27">
        <v>45657</v>
      </c>
      <c r="D1574" t="s">
        <v>343</v>
      </c>
      <c r="E1574">
        <v>0.68</v>
      </c>
      <c r="G1574" t="s">
        <v>344</v>
      </c>
      <c r="H1574" t="s">
        <v>28</v>
      </c>
      <c r="I1574" t="s">
        <v>80</v>
      </c>
      <c r="J1574" s="27">
        <v>45627</v>
      </c>
      <c r="K1574">
        <v>2024</v>
      </c>
      <c r="L1574" s="27">
        <v>45657</v>
      </c>
      <c r="M1574">
        <v>1202.43</v>
      </c>
      <c r="N1574">
        <v>12</v>
      </c>
      <c r="O1574" t="s">
        <v>358</v>
      </c>
      <c r="P1574">
        <f t="shared" si="25"/>
        <v>1</v>
      </c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99A77-A46B-4E31-A034-C5F316BBA623}">
  <dimension ref="A1:N31"/>
  <sheetViews>
    <sheetView topLeftCell="A4" workbookViewId="0">
      <selection activeCell="J24" sqref="J24"/>
    </sheetView>
  </sheetViews>
  <sheetFormatPr defaultRowHeight="15" x14ac:dyDescent="0.25"/>
  <cols>
    <col min="1" max="1" width="16.42578125" bestFit="1" customWidth="1"/>
    <col min="2" max="2" width="16.85546875" bestFit="1" customWidth="1"/>
    <col min="3" max="10" width="8.42578125" bestFit="1" customWidth="1"/>
    <col min="11" max="13" width="9.42578125" bestFit="1" customWidth="1"/>
    <col min="14" max="14" width="11.28515625" bestFit="1" customWidth="1"/>
  </cols>
  <sheetData>
    <row r="1" spans="1:14" x14ac:dyDescent="0.25">
      <c r="A1" s="5" t="s">
        <v>4</v>
      </c>
      <c r="B1" t="s">
        <v>28</v>
      </c>
    </row>
    <row r="3" spans="1:14" x14ac:dyDescent="0.25">
      <c r="A3" s="5" t="s">
        <v>364</v>
      </c>
      <c r="B3" s="5" t="s">
        <v>365</v>
      </c>
    </row>
    <row r="4" spans="1:14" x14ac:dyDescent="0.25">
      <c r="A4" s="5" t="s">
        <v>367</v>
      </c>
      <c r="B4" s="1">
        <v>45292</v>
      </c>
      <c r="C4" s="1">
        <v>45323</v>
      </c>
      <c r="D4" s="1">
        <v>45352</v>
      </c>
      <c r="E4" s="1">
        <v>45383</v>
      </c>
      <c r="F4" s="1">
        <v>45413</v>
      </c>
      <c r="G4" s="1">
        <v>45444</v>
      </c>
      <c r="H4" s="1">
        <v>45474</v>
      </c>
      <c r="I4" s="1">
        <v>45505</v>
      </c>
      <c r="J4" s="1">
        <v>45536</v>
      </c>
      <c r="K4" s="1">
        <v>45566</v>
      </c>
      <c r="L4" s="1">
        <v>45597</v>
      </c>
      <c r="M4" s="1">
        <v>45627</v>
      </c>
      <c r="N4" s="1" t="s">
        <v>366</v>
      </c>
    </row>
    <row r="5" spans="1:14" x14ac:dyDescent="0.25">
      <c r="A5" s="6" t="s">
        <v>214</v>
      </c>
      <c r="B5" s="28">
        <v>29.99</v>
      </c>
      <c r="C5" s="28">
        <v>29.99</v>
      </c>
      <c r="D5" s="28">
        <v>29.99</v>
      </c>
      <c r="E5" s="28">
        <v>29.99</v>
      </c>
      <c r="F5" s="28">
        <v>29.99</v>
      </c>
      <c r="G5" s="28">
        <v>29.99</v>
      </c>
      <c r="H5" s="28">
        <v>29.99</v>
      </c>
      <c r="I5" s="28">
        <v>29.99</v>
      </c>
      <c r="J5" s="28">
        <v>29.99</v>
      </c>
      <c r="K5" s="28">
        <v>29.99</v>
      </c>
      <c r="L5" s="28">
        <v>29.99</v>
      </c>
      <c r="M5" s="28">
        <v>59.99</v>
      </c>
      <c r="N5" s="28">
        <v>389.88000000000005</v>
      </c>
    </row>
    <row r="6" spans="1:14" x14ac:dyDescent="0.25">
      <c r="A6" s="6" t="s">
        <v>131</v>
      </c>
      <c r="B6" s="28">
        <v>9.99</v>
      </c>
      <c r="C6" s="28">
        <v>9.99</v>
      </c>
      <c r="D6" s="28">
        <v>9.99</v>
      </c>
      <c r="E6" s="28">
        <v>9.99</v>
      </c>
      <c r="F6" s="28"/>
      <c r="G6" s="28"/>
      <c r="H6" s="28"/>
      <c r="I6" s="28"/>
      <c r="J6" s="28"/>
      <c r="K6" s="28"/>
      <c r="L6" s="28"/>
      <c r="M6" s="28"/>
      <c r="N6" s="28">
        <v>39.96</v>
      </c>
    </row>
    <row r="7" spans="1:14" x14ac:dyDescent="0.25">
      <c r="A7" s="6" t="s">
        <v>102</v>
      </c>
      <c r="B7" s="28">
        <v>10</v>
      </c>
      <c r="C7" s="28">
        <v>10</v>
      </c>
      <c r="D7" s="28">
        <v>10</v>
      </c>
      <c r="E7" s="28">
        <v>10</v>
      </c>
      <c r="F7" s="28">
        <v>10</v>
      </c>
      <c r="G7" s="28">
        <v>10</v>
      </c>
      <c r="H7" s="28">
        <v>10</v>
      </c>
      <c r="I7" s="28">
        <v>10</v>
      </c>
      <c r="J7" s="28">
        <v>10</v>
      </c>
      <c r="K7" s="28">
        <v>10</v>
      </c>
      <c r="L7" s="28">
        <v>10</v>
      </c>
      <c r="M7" s="28">
        <v>10</v>
      </c>
      <c r="N7" s="28">
        <v>120</v>
      </c>
    </row>
    <row r="8" spans="1:14" x14ac:dyDescent="0.25">
      <c r="A8" s="6" t="s">
        <v>39</v>
      </c>
      <c r="B8" s="28">
        <v>-417.29</v>
      </c>
      <c r="C8" s="28">
        <v>-237.29</v>
      </c>
      <c r="D8" s="28">
        <v>-458.96</v>
      </c>
      <c r="E8" s="28">
        <v>-3000</v>
      </c>
      <c r="F8" s="28">
        <v>-458.96</v>
      </c>
      <c r="G8" s="28"/>
      <c r="H8" s="28"/>
      <c r="I8" s="28"/>
      <c r="J8" s="28">
        <v>-460</v>
      </c>
      <c r="K8" s="28"/>
      <c r="L8" s="28"/>
      <c r="M8" s="28"/>
      <c r="N8" s="28">
        <v>-5032.5</v>
      </c>
    </row>
    <row r="9" spans="1:14" x14ac:dyDescent="0.25">
      <c r="A9" s="6" t="s">
        <v>34</v>
      </c>
      <c r="B9" s="28"/>
      <c r="C9" s="28">
        <v>-366.21</v>
      </c>
      <c r="D9" s="28">
        <v>91.98</v>
      </c>
      <c r="E9" s="28"/>
      <c r="F9" s="28"/>
      <c r="G9" s="28"/>
      <c r="H9" s="28"/>
      <c r="I9" s="28"/>
      <c r="J9" s="28"/>
      <c r="K9" s="28"/>
      <c r="L9" s="28">
        <v>820.34</v>
      </c>
      <c r="M9" s="28">
        <v>238.98</v>
      </c>
      <c r="N9" s="28">
        <v>785.09000000000015</v>
      </c>
    </row>
    <row r="10" spans="1:14" x14ac:dyDescent="0.25">
      <c r="A10" s="6" t="s">
        <v>89</v>
      </c>
      <c r="B10" s="28">
        <v>20</v>
      </c>
      <c r="C10" s="28">
        <v>20</v>
      </c>
      <c r="D10" s="28">
        <v>20</v>
      </c>
      <c r="E10" s="28">
        <v>20</v>
      </c>
      <c r="F10" s="28">
        <v>20</v>
      </c>
      <c r="G10" s="28">
        <v>20</v>
      </c>
      <c r="H10" s="28">
        <v>20</v>
      </c>
      <c r="I10" s="28">
        <v>20</v>
      </c>
      <c r="J10" s="28">
        <v>20</v>
      </c>
      <c r="K10" s="28">
        <v>20</v>
      </c>
      <c r="L10" s="28">
        <v>20</v>
      </c>
      <c r="M10" s="28">
        <v>20</v>
      </c>
      <c r="N10" s="28">
        <v>240</v>
      </c>
    </row>
    <row r="11" spans="1:14" x14ac:dyDescent="0.25">
      <c r="A11" s="6" t="s">
        <v>124</v>
      </c>
      <c r="B11" s="28">
        <v>5</v>
      </c>
      <c r="C11" s="28">
        <v>0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>
        <v>5</v>
      </c>
    </row>
    <row r="12" spans="1:14" x14ac:dyDescent="0.25">
      <c r="A12" s="6" t="s">
        <v>307</v>
      </c>
      <c r="B12" s="28"/>
      <c r="C12" s="28"/>
      <c r="D12" s="28">
        <v>10.59</v>
      </c>
      <c r="E12" s="28"/>
      <c r="F12" s="28"/>
      <c r="G12" s="28"/>
      <c r="H12" s="28"/>
      <c r="I12" s="28"/>
      <c r="J12" s="28"/>
      <c r="K12" s="28"/>
      <c r="L12" s="28"/>
      <c r="M12" s="28"/>
      <c r="N12" s="28">
        <v>10.59</v>
      </c>
    </row>
    <row r="13" spans="1:14" x14ac:dyDescent="0.25">
      <c r="A13" s="6" t="s">
        <v>155</v>
      </c>
      <c r="B13" s="28">
        <v>269.5</v>
      </c>
      <c r="C13" s="28">
        <v>220</v>
      </c>
      <c r="D13" s="28"/>
      <c r="E13" s="28"/>
      <c r="F13" s="28"/>
      <c r="G13" s="28"/>
      <c r="H13" s="28"/>
      <c r="I13" s="28"/>
      <c r="J13" s="28"/>
      <c r="K13" s="28">
        <v>49.5</v>
      </c>
      <c r="L13" s="28">
        <v>49.5</v>
      </c>
      <c r="M13" s="28"/>
      <c r="N13" s="28">
        <v>588.5</v>
      </c>
    </row>
    <row r="14" spans="1:14" x14ac:dyDescent="0.25">
      <c r="A14" s="6" t="s">
        <v>122</v>
      </c>
      <c r="B14" s="28">
        <v>15.89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>
        <v>15.89</v>
      </c>
    </row>
    <row r="15" spans="1:14" x14ac:dyDescent="0.25">
      <c r="A15" s="6" t="s">
        <v>344</v>
      </c>
      <c r="B15" s="28">
        <v>0.04</v>
      </c>
      <c r="C15" s="28">
        <v>0.21</v>
      </c>
      <c r="D15" s="28">
        <v>0.17</v>
      </c>
      <c r="E15" s="28">
        <v>0.12</v>
      </c>
      <c r="F15" s="28">
        <v>0.18</v>
      </c>
      <c r="G15" s="28">
        <v>0.21</v>
      </c>
      <c r="H15" s="28">
        <v>0.33</v>
      </c>
      <c r="I15" s="28">
        <v>0.37</v>
      </c>
      <c r="J15" s="28">
        <v>0.65</v>
      </c>
      <c r="K15" s="28">
        <v>0.53</v>
      </c>
      <c r="L15" s="28">
        <v>0.62</v>
      </c>
      <c r="M15" s="28">
        <v>0.68</v>
      </c>
      <c r="N15" s="28">
        <v>4.1099999999999994</v>
      </c>
    </row>
    <row r="16" spans="1:14" x14ac:dyDescent="0.25">
      <c r="A16" s="6" t="s">
        <v>68</v>
      </c>
      <c r="B16" s="28"/>
      <c r="C16" s="28"/>
      <c r="D16" s="28">
        <v>-220</v>
      </c>
      <c r="E16" s="28">
        <v>-220</v>
      </c>
      <c r="F16" s="28">
        <v>-220</v>
      </c>
      <c r="G16" s="28">
        <v>-220</v>
      </c>
      <c r="H16" s="28">
        <v>440</v>
      </c>
      <c r="I16" s="28"/>
      <c r="J16" s="28"/>
      <c r="K16" s="28"/>
      <c r="L16" s="28"/>
      <c r="M16" s="28"/>
      <c r="N16" s="28">
        <v>-440</v>
      </c>
    </row>
    <row r="17" spans="1:14" x14ac:dyDescent="0.25">
      <c r="A17" s="6" t="s">
        <v>350</v>
      </c>
      <c r="B17" s="28">
        <v>-155</v>
      </c>
      <c r="C17" s="28">
        <v>-155</v>
      </c>
      <c r="D17" s="28">
        <v>-155</v>
      </c>
      <c r="E17" s="28">
        <v>-155</v>
      </c>
      <c r="F17" s="28">
        <v>-155</v>
      </c>
      <c r="G17" s="28">
        <v>-634.69000000000005</v>
      </c>
      <c r="H17" s="28"/>
      <c r="I17" s="28"/>
      <c r="J17" s="28"/>
      <c r="K17" s="28"/>
      <c r="L17" s="28"/>
      <c r="M17" s="28"/>
      <c r="N17" s="28">
        <v>-1409.69</v>
      </c>
    </row>
    <row r="18" spans="1:14" x14ac:dyDescent="0.25">
      <c r="A18" s="6" t="s">
        <v>159</v>
      </c>
      <c r="B18" s="28">
        <v>15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>
        <v>15</v>
      </c>
    </row>
    <row r="19" spans="1:14" x14ac:dyDescent="0.25">
      <c r="A19" s="6" t="s">
        <v>100</v>
      </c>
      <c r="B19" s="28">
        <v>273.60000000000002</v>
      </c>
      <c r="C19" s="28">
        <v>273.60000000000002</v>
      </c>
      <c r="D19" s="28">
        <v>273.60000000000002</v>
      </c>
      <c r="E19" s="28">
        <v>273.60000000000002</v>
      </c>
      <c r="F19" s="28">
        <v>273.60000000000002</v>
      </c>
      <c r="G19" s="28">
        <v>273.60000000000002</v>
      </c>
      <c r="H19" s="28">
        <v>273.60000000000002</v>
      </c>
      <c r="I19" s="28">
        <v>273.60000000000002</v>
      </c>
      <c r="J19" s="28">
        <v>273.60000000000002</v>
      </c>
      <c r="K19" s="28">
        <v>273.60000000000002</v>
      </c>
      <c r="L19" s="28">
        <v>273.60000000000002</v>
      </c>
      <c r="M19" s="28">
        <v>273.60000000000002</v>
      </c>
      <c r="N19" s="28">
        <v>3283.1999999999994</v>
      </c>
    </row>
    <row r="20" spans="1:14" x14ac:dyDescent="0.25">
      <c r="A20" s="6" t="s">
        <v>96</v>
      </c>
      <c r="B20" s="28">
        <v>5</v>
      </c>
      <c r="C20" s="28">
        <v>5</v>
      </c>
      <c r="D20" s="28">
        <v>5</v>
      </c>
      <c r="E20" s="28">
        <v>5</v>
      </c>
      <c r="F20" s="28">
        <v>5</v>
      </c>
      <c r="G20" s="28">
        <v>5</v>
      </c>
      <c r="H20" s="28">
        <v>5</v>
      </c>
      <c r="I20" s="28">
        <v>5</v>
      </c>
      <c r="J20" s="28">
        <v>5</v>
      </c>
      <c r="K20" s="28">
        <v>5</v>
      </c>
      <c r="L20" s="28">
        <v>5</v>
      </c>
      <c r="M20" s="28">
        <v>5</v>
      </c>
      <c r="N20" s="28">
        <v>60</v>
      </c>
    </row>
    <row r="21" spans="1:14" x14ac:dyDescent="0.25">
      <c r="A21" s="6" t="s">
        <v>104</v>
      </c>
      <c r="B21" s="28">
        <v>29.99</v>
      </c>
      <c r="C21" s="28">
        <v>29.99</v>
      </c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>
        <v>59.98</v>
      </c>
    </row>
    <row r="22" spans="1:14" x14ac:dyDescent="0.25">
      <c r="A22" s="6" t="s">
        <v>355</v>
      </c>
      <c r="B22" s="28"/>
      <c r="C22" s="28">
        <v>-2450.61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>
        <v>-2450.61</v>
      </c>
    </row>
    <row r="23" spans="1:14" x14ac:dyDescent="0.25">
      <c r="A23" s="6" t="s">
        <v>98</v>
      </c>
      <c r="B23" s="28">
        <v>5.99</v>
      </c>
      <c r="C23" s="28">
        <v>5.99</v>
      </c>
      <c r="D23" s="28">
        <v>5.99</v>
      </c>
      <c r="E23" s="28">
        <v>5.99</v>
      </c>
      <c r="F23" s="28">
        <v>5.99</v>
      </c>
      <c r="G23" s="28">
        <v>5.99</v>
      </c>
      <c r="H23" s="28">
        <v>5.99</v>
      </c>
      <c r="I23" s="28">
        <v>5.99</v>
      </c>
      <c r="J23" s="28">
        <v>5.99</v>
      </c>
      <c r="K23" s="28">
        <v>5.99</v>
      </c>
      <c r="L23" s="28">
        <v>5.99</v>
      </c>
      <c r="M23" s="28">
        <v>11.99</v>
      </c>
      <c r="N23" s="28">
        <v>77.88000000000001</v>
      </c>
    </row>
    <row r="24" spans="1:14" x14ac:dyDescent="0.25">
      <c r="A24" s="6" t="s">
        <v>186</v>
      </c>
      <c r="B24" s="28">
        <v>90.83</v>
      </c>
      <c r="C24" s="28">
        <v>90.54</v>
      </c>
      <c r="D24" s="28">
        <v>90.54</v>
      </c>
      <c r="E24" s="28">
        <v>90.54</v>
      </c>
      <c r="F24" s="28">
        <v>90.54</v>
      </c>
      <c r="G24" s="28">
        <v>90.54</v>
      </c>
      <c r="H24" s="28">
        <v>90.54</v>
      </c>
      <c r="I24" s="28">
        <v>108.56</v>
      </c>
      <c r="J24" s="28">
        <v>108.56</v>
      </c>
      <c r="K24" s="28"/>
      <c r="L24" s="28"/>
      <c r="M24" s="28"/>
      <c r="N24" s="28">
        <v>851.19</v>
      </c>
    </row>
    <row r="25" spans="1:14" x14ac:dyDescent="0.25">
      <c r="A25" s="6" t="s">
        <v>27</v>
      </c>
      <c r="B25" s="28">
        <v>-426.16</v>
      </c>
      <c r="C25" s="28">
        <v>-442.73</v>
      </c>
      <c r="D25" s="28">
        <v>-442.73</v>
      </c>
      <c r="E25" s="28">
        <v>-442.73</v>
      </c>
      <c r="F25" s="28">
        <v>-442.73</v>
      </c>
      <c r="G25" s="28">
        <v>-442.73</v>
      </c>
      <c r="H25" s="28">
        <v>-442.73</v>
      </c>
      <c r="I25" s="28">
        <v>-442.73</v>
      </c>
      <c r="J25" s="28">
        <v>-442.73</v>
      </c>
      <c r="K25" s="28">
        <v>-442.73</v>
      </c>
      <c r="L25" s="28">
        <v>-442.73</v>
      </c>
      <c r="M25" s="28">
        <v>-442.73</v>
      </c>
      <c r="N25" s="28">
        <v>-5296.1899999999987</v>
      </c>
    </row>
    <row r="26" spans="1:14" x14ac:dyDescent="0.25">
      <c r="A26" s="6" t="s">
        <v>352</v>
      </c>
      <c r="B26" s="28">
        <v>-1803.4</v>
      </c>
      <c r="C26" s="28">
        <v>-3606.8</v>
      </c>
      <c r="D26" s="28">
        <v>-3277.12</v>
      </c>
      <c r="E26" s="28"/>
      <c r="F26" s="28"/>
      <c r="G26" s="28"/>
      <c r="H26" s="28"/>
      <c r="I26" s="28"/>
      <c r="J26" s="28"/>
      <c r="K26" s="28"/>
      <c r="L26" s="28"/>
      <c r="M26" s="28"/>
      <c r="N26" s="28">
        <v>-8687.32</v>
      </c>
    </row>
    <row r="27" spans="1:14" x14ac:dyDescent="0.25">
      <c r="A27" s="6" t="s">
        <v>595</v>
      </c>
      <c r="B27" s="28"/>
      <c r="C27" s="28"/>
      <c r="D27" s="28"/>
      <c r="E27" s="28">
        <v>69.989999999999995</v>
      </c>
      <c r="F27" s="28"/>
      <c r="G27" s="28"/>
      <c r="H27" s="28"/>
      <c r="I27" s="28"/>
      <c r="J27" s="28"/>
      <c r="K27" s="28"/>
      <c r="L27" s="28"/>
      <c r="M27" s="28"/>
      <c r="N27" s="28">
        <v>69.989999999999995</v>
      </c>
    </row>
    <row r="28" spans="1:14" x14ac:dyDescent="0.25">
      <c r="A28" s="6" t="s">
        <v>670</v>
      </c>
      <c r="B28" s="28"/>
      <c r="C28" s="28"/>
      <c r="D28" s="28"/>
      <c r="E28" s="28"/>
      <c r="F28" s="28">
        <v>24.37</v>
      </c>
      <c r="G28" s="28">
        <v>24.37</v>
      </c>
      <c r="H28" s="28">
        <v>24.37</v>
      </c>
      <c r="I28" s="28"/>
      <c r="J28" s="28"/>
      <c r="K28" s="28">
        <v>20</v>
      </c>
      <c r="L28" s="28">
        <v>50</v>
      </c>
      <c r="M28" s="28">
        <v>25</v>
      </c>
      <c r="N28" s="28">
        <v>168.11</v>
      </c>
    </row>
    <row r="29" spans="1:14" x14ac:dyDescent="0.25">
      <c r="A29" s="6" t="s">
        <v>748</v>
      </c>
      <c r="B29" s="28"/>
      <c r="C29" s="28"/>
      <c r="D29" s="28"/>
      <c r="E29" s="28"/>
      <c r="F29" s="28"/>
      <c r="G29" s="28"/>
      <c r="H29" s="28"/>
      <c r="I29" s="28">
        <v>2.11</v>
      </c>
      <c r="J29" s="28">
        <v>2.11</v>
      </c>
      <c r="K29" s="28">
        <v>2.11</v>
      </c>
      <c r="L29" s="28">
        <v>2.11</v>
      </c>
      <c r="M29" s="28">
        <v>2.11</v>
      </c>
      <c r="N29" s="28">
        <v>10.549999999999999</v>
      </c>
    </row>
    <row r="30" spans="1:14" x14ac:dyDescent="0.25">
      <c r="A30" s="6" t="s">
        <v>940</v>
      </c>
      <c r="B30" s="28"/>
      <c r="C30" s="28"/>
      <c r="D30" s="28"/>
      <c r="E30" s="28"/>
      <c r="F30" s="28"/>
      <c r="G30" s="28"/>
      <c r="H30" s="28"/>
      <c r="I30" s="28"/>
      <c r="J30" s="28"/>
      <c r="K30" s="28">
        <v>30</v>
      </c>
      <c r="L30" s="28"/>
      <c r="M30" s="28"/>
      <c r="N30" s="28">
        <v>30</v>
      </c>
    </row>
    <row r="31" spans="1:14" x14ac:dyDescent="0.25">
      <c r="A31" s="6" t="s">
        <v>366</v>
      </c>
      <c r="B31" s="28">
        <v>-2021.0300000000002</v>
      </c>
      <c r="C31" s="28">
        <v>-6563.33</v>
      </c>
      <c r="D31" s="28">
        <v>-4005.96</v>
      </c>
      <c r="E31" s="28">
        <v>-3302.5100000000007</v>
      </c>
      <c r="F31" s="28">
        <v>-817.01999999999987</v>
      </c>
      <c r="G31" s="28">
        <v>-837.71999999999991</v>
      </c>
      <c r="H31" s="28">
        <v>457.09000000000003</v>
      </c>
      <c r="I31" s="28">
        <v>12.890000000000029</v>
      </c>
      <c r="J31" s="28">
        <v>-446.83</v>
      </c>
      <c r="K31" s="28">
        <v>3.9899999999999949</v>
      </c>
      <c r="L31" s="28">
        <v>824.42000000000019</v>
      </c>
      <c r="M31" s="28">
        <v>204.62</v>
      </c>
      <c r="N31" s="28">
        <v>-16491.39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D27C6-D8D2-4BB2-A786-CFF53C04434B}">
  <dimension ref="A2:R51"/>
  <sheetViews>
    <sheetView topLeftCell="A13" workbookViewId="0">
      <selection activeCell="J53" sqref="J53"/>
    </sheetView>
  </sheetViews>
  <sheetFormatPr defaultRowHeight="15" x14ac:dyDescent="0.25"/>
  <cols>
    <col min="1" max="1" width="14.5703125" bestFit="1" customWidth="1"/>
    <col min="2" max="2" width="24.140625" bestFit="1" customWidth="1"/>
    <col min="3" max="14" width="15.7109375" customWidth="1"/>
    <col min="15" max="15" width="12.5703125" bestFit="1" customWidth="1"/>
    <col min="16" max="16" width="11.5703125" bestFit="1" customWidth="1"/>
  </cols>
  <sheetData>
    <row r="2" spans="2:14" x14ac:dyDescent="0.25">
      <c r="B2" s="23" t="s">
        <v>386</v>
      </c>
      <c r="C2" s="29">
        <v>45292</v>
      </c>
      <c r="D2" s="29">
        <f>EOMONTH(C2,0)+1</f>
        <v>45323</v>
      </c>
      <c r="E2" s="29">
        <f t="shared" ref="E2:N2" si="0">EOMONTH(D2,0)+1</f>
        <v>45352</v>
      </c>
      <c r="F2" s="29">
        <f t="shared" si="0"/>
        <v>45383</v>
      </c>
      <c r="G2" s="29">
        <f t="shared" si="0"/>
        <v>45413</v>
      </c>
      <c r="H2" s="29">
        <f t="shared" si="0"/>
        <v>45444</v>
      </c>
      <c r="I2" s="29">
        <f t="shared" si="0"/>
        <v>45474</v>
      </c>
      <c r="J2" s="29">
        <f t="shared" si="0"/>
        <v>45505</v>
      </c>
      <c r="K2" s="29">
        <f t="shared" si="0"/>
        <v>45536</v>
      </c>
      <c r="L2" s="29">
        <f t="shared" si="0"/>
        <v>45566</v>
      </c>
      <c r="M2" s="29">
        <f t="shared" si="0"/>
        <v>45597</v>
      </c>
      <c r="N2" s="29">
        <f t="shared" si="0"/>
        <v>45627</v>
      </c>
    </row>
    <row r="3" spans="2:14" x14ac:dyDescent="0.25">
      <c r="B3" t="s">
        <v>337</v>
      </c>
      <c r="C3" s="2">
        <f>SUMIFS(Combined_Accounts[Amount],Combined_Accounts[Date],C$2,Combined_Accounts[Short_Desc],$B3)</f>
        <v>6695.3600000000006</v>
      </c>
      <c r="D3" s="2">
        <f>SUMIFS(Combined_Accounts[Amount],Combined_Accounts[Date],D$2,Combined_Accounts[Short_Desc],$B3)</f>
        <v>9108.0500000000011</v>
      </c>
      <c r="E3" s="2">
        <f>SUMIFS(Combined_Accounts[Amount],Combined_Accounts[Date],E$2,Combined_Accounts[Short_Desc],$B3)</f>
        <v>8398.56</v>
      </c>
      <c r="F3" s="2">
        <f>SUMIFS(Combined_Accounts[Amount],Combined_Accounts[Date],F$2,Combined_Accounts[Short_Desc],$B3)</f>
        <v>11304.56</v>
      </c>
      <c r="G3" s="2">
        <f>SUMIFS(Combined_Accounts[Amount],Combined_Accounts[Date],G$2,Combined_Accounts[Short_Desc],$B3)</f>
        <v>7561.6399999999994</v>
      </c>
      <c r="H3" s="2">
        <f>SUMIFS(Combined_Accounts[Amount],Combined_Accounts[Date],H$2,Combined_Accounts[Short_Desc],$B3)</f>
        <v>7966.08</v>
      </c>
      <c r="I3" s="2">
        <f>SUMIFS(Combined_Accounts[Amount],Combined_Accounts[Date],I$2,Combined_Accounts[Short_Desc],$B3)</f>
        <v>7034.08</v>
      </c>
      <c r="J3" s="2">
        <f>SUMIFS(Combined_Accounts[Amount],Combined_Accounts[Date],J$2,Combined_Accounts[Short_Desc],$B3)</f>
        <v>7034.08</v>
      </c>
      <c r="K3" s="2">
        <f>SUMIFS(Combined_Accounts[Amount],Combined_Accounts[Date],K$2,Combined_Accounts[Short_Desc],$B3)</f>
        <v>7034.08</v>
      </c>
      <c r="L3" s="2">
        <f>SUMIFS(Combined_Accounts[Amount],Combined_Accounts[Date],L$2,Combined_Accounts[Short_Desc],$B3)</f>
        <v>10551.119999999999</v>
      </c>
      <c r="M3" s="2">
        <f>SUMIFS(Combined_Accounts[Amount],Combined_Accounts[Date],M$2,Combined_Accounts[Short_Desc],$B3)</f>
        <v>6934.09</v>
      </c>
      <c r="N3" s="2">
        <f>SUMIFS(Combined_Accounts[Amount],Combined_Accounts[Date],N$2,Combined_Accounts[Short_Desc],$B3)</f>
        <v>7034.08</v>
      </c>
    </row>
    <row r="4" spans="2:14" x14ac:dyDescent="0.25">
      <c r="B4" s="4" t="s">
        <v>360</v>
      </c>
      <c r="C4" s="2">
        <f>SUMIFS(Combined_Accounts[Amount],Combined_Accounts[Date],C$2,Combined_Accounts[Category_2],$B4)</f>
        <v>5691.06</v>
      </c>
      <c r="D4" s="2">
        <f>SUMIFS(Combined_Accounts[Amount],Combined_Accounts[Date],D$2,Combined_Accounts[Category_2],$B4)</f>
        <v>7753.09</v>
      </c>
      <c r="E4" s="2">
        <f>SUMIFS(Combined_Accounts[Amount],Combined_Accounts[Date],E$2,Combined_Accounts[Category_2],$B4)</f>
        <v>7138.7800000000007</v>
      </c>
      <c r="F4" s="2">
        <f>SUMIFS(Combined_Accounts[Amount],Combined_Accounts[Date],F$2,Combined_Accounts[Category_2],$B4)</f>
        <v>10249.439999999999</v>
      </c>
      <c r="G4" s="2">
        <f>SUMIFS(Combined_Accounts[Amount],Combined_Accounts[Date],G$2,Combined_Accounts[Category_2],$B4)</f>
        <v>5978.96</v>
      </c>
      <c r="H4" s="2">
        <f>SUMIFS(Combined_Accounts[Amount],Combined_Accounts[Date],H$2,Combined_Accounts[Category_2],$B4)</f>
        <v>6771.17</v>
      </c>
      <c r="I4" s="2">
        <f>SUMIFS(Combined_Accounts[Amount],Combined_Accounts[Date],I$2,Combined_Accounts[Category_2],$B4)</f>
        <v>5978.96</v>
      </c>
      <c r="J4" s="2">
        <f>SUMIFS(Combined_Accounts[Amount],Combined_Accounts[Date],J$2,Combined_Accounts[Category_2],$B4)</f>
        <v>5978.96</v>
      </c>
      <c r="K4" s="2">
        <f>SUMIFS(Combined_Accounts[Amount],Combined_Accounts[Date],K$2,Combined_Accounts[Category_2],$B4)</f>
        <v>5978.96</v>
      </c>
      <c r="L4" s="2">
        <f>SUMIFS(Combined_Accounts[Amount],Combined_Accounts[Date],L$2,Combined_Accounts[Category_2],$B4)</f>
        <v>8968.44</v>
      </c>
      <c r="M4" s="2">
        <f>SUMIFS(Combined_Accounts[Amount],Combined_Accounts[Date],M$2,Combined_Accounts[Category_2],$B4)</f>
        <v>5893.9699999999993</v>
      </c>
      <c r="N4" s="2">
        <f>SUMIFS(Combined_Accounts[Amount],Combined_Accounts[Date],N$2,Combined_Accounts[Category_2],$B4)</f>
        <v>5978.96</v>
      </c>
    </row>
    <row r="5" spans="2:14" x14ac:dyDescent="0.25">
      <c r="B5" s="4" t="s">
        <v>368</v>
      </c>
      <c r="C5" s="3">
        <f>C3-C4</f>
        <v>1004.3000000000002</v>
      </c>
      <c r="D5" s="3">
        <f t="shared" ref="D5:E5" si="1">D3-D4</f>
        <v>1354.9600000000009</v>
      </c>
      <c r="E5" s="3">
        <f t="shared" si="1"/>
        <v>1259.7799999999988</v>
      </c>
      <c r="F5" s="3">
        <f t="shared" ref="F5:K5" si="2">F3-F4</f>
        <v>1055.1200000000008</v>
      </c>
      <c r="G5" s="3">
        <f t="shared" si="2"/>
        <v>1582.6799999999994</v>
      </c>
      <c r="H5" s="3">
        <f t="shared" si="2"/>
        <v>1194.9099999999999</v>
      </c>
      <c r="I5" s="3">
        <f t="shared" si="2"/>
        <v>1055.1199999999999</v>
      </c>
      <c r="J5" s="3">
        <f t="shared" si="2"/>
        <v>1055.1199999999999</v>
      </c>
      <c r="K5" s="3">
        <f t="shared" si="2"/>
        <v>1055.1199999999999</v>
      </c>
      <c r="L5" s="3">
        <f t="shared" ref="L5:N5" si="3">L3-L4</f>
        <v>1582.6799999999985</v>
      </c>
      <c r="M5" s="3">
        <f t="shared" si="3"/>
        <v>1040.1200000000008</v>
      </c>
      <c r="N5" s="3">
        <f t="shared" si="3"/>
        <v>1055.1199999999999</v>
      </c>
    </row>
    <row r="6" spans="2:14" x14ac:dyDescent="0.25">
      <c r="B6" t="s">
        <v>387</v>
      </c>
      <c r="C6" s="3"/>
      <c r="D6" s="3"/>
      <c r="E6" s="3"/>
      <c r="F6" s="3">
        <v>400</v>
      </c>
      <c r="G6" s="3">
        <v>400</v>
      </c>
      <c r="H6" s="3">
        <v>400</v>
      </c>
      <c r="I6" s="3">
        <v>400</v>
      </c>
      <c r="J6" s="3">
        <v>400</v>
      </c>
      <c r="K6" s="3">
        <v>400</v>
      </c>
      <c r="L6" s="3">
        <v>400</v>
      </c>
      <c r="M6" s="3">
        <v>400</v>
      </c>
      <c r="N6" s="3">
        <v>400</v>
      </c>
    </row>
    <row r="7" spans="2:14" x14ac:dyDescent="0.25">
      <c r="B7" t="s">
        <v>388</v>
      </c>
      <c r="C7" s="3"/>
      <c r="D7" s="3"/>
      <c r="E7" s="3"/>
      <c r="F7" s="3"/>
      <c r="G7" s="17"/>
      <c r="H7" s="17"/>
      <c r="I7" s="17"/>
      <c r="J7" s="17"/>
      <c r="K7" s="17"/>
      <c r="L7" s="17"/>
      <c r="M7" s="17"/>
      <c r="N7" s="17"/>
    </row>
    <row r="8" spans="2:14" x14ac:dyDescent="0.25">
      <c r="B8" s="26" t="s">
        <v>377</v>
      </c>
      <c r="C8" s="25">
        <f>SUM(C6:C7)+C3</f>
        <v>6695.3600000000006</v>
      </c>
      <c r="D8" s="25">
        <f t="shared" ref="D8:N8" si="4">SUM(D6:D7)+D3</f>
        <v>9108.0500000000011</v>
      </c>
      <c r="E8" s="25">
        <f t="shared" si="4"/>
        <v>8398.56</v>
      </c>
      <c r="F8" s="25">
        <f t="shared" si="4"/>
        <v>11704.56</v>
      </c>
      <c r="G8" s="25">
        <f t="shared" si="4"/>
        <v>7961.6399999999994</v>
      </c>
      <c r="H8" s="25">
        <f t="shared" si="4"/>
        <v>8366.08</v>
      </c>
      <c r="I8" s="25">
        <f t="shared" si="4"/>
        <v>7434.08</v>
      </c>
      <c r="J8" s="25">
        <f t="shared" si="4"/>
        <v>7434.08</v>
      </c>
      <c r="K8" s="25">
        <f t="shared" si="4"/>
        <v>7434.08</v>
      </c>
      <c r="L8" s="25">
        <f t="shared" si="4"/>
        <v>10951.119999999999</v>
      </c>
      <c r="M8" s="25">
        <f t="shared" si="4"/>
        <v>7334.09</v>
      </c>
      <c r="N8" s="25">
        <f t="shared" si="4"/>
        <v>7434.08</v>
      </c>
    </row>
    <row r="10" spans="2:14" x14ac:dyDescent="0.25">
      <c r="B10" s="23" t="s">
        <v>359</v>
      </c>
      <c r="C10" s="29">
        <v>45292</v>
      </c>
      <c r="D10" s="29">
        <f>EOMONTH(C10,0)+1</f>
        <v>45323</v>
      </c>
      <c r="E10" s="29">
        <f t="shared" ref="E10:N10" si="5">EOMONTH(D10,0)+1</f>
        <v>45352</v>
      </c>
      <c r="F10" s="29">
        <f t="shared" si="5"/>
        <v>45383</v>
      </c>
      <c r="G10" s="29">
        <f t="shared" si="5"/>
        <v>45413</v>
      </c>
      <c r="H10" s="29">
        <f t="shared" si="5"/>
        <v>45444</v>
      </c>
      <c r="I10" s="29">
        <f t="shared" si="5"/>
        <v>45474</v>
      </c>
      <c r="J10" s="29">
        <f t="shared" si="5"/>
        <v>45505</v>
      </c>
      <c r="K10" s="29">
        <f t="shared" si="5"/>
        <v>45536</v>
      </c>
      <c r="L10" s="29">
        <f t="shared" si="5"/>
        <v>45566</v>
      </c>
      <c r="M10" s="29">
        <f t="shared" si="5"/>
        <v>45597</v>
      </c>
      <c r="N10" s="29">
        <f t="shared" si="5"/>
        <v>45627</v>
      </c>
    </row>
    <row r="11" spans="2:14" x14ac:dyDescent="0.25">
      <c r="B11" s="4" t="s">
        <v>355</v>
      </c>
      <c r="C11" s="2">
        <f>SUMIFS(Combined_Accounts[Amount],Combined_Accounts[Date],C$2,Combined_Accounts[Short_Desc],$B11,Combined_Accounts[Account],"discover") + SUMIFS(Combined_Accounts[Amount],Combined_Accounts[Date],C$2,Combined_Accounts[Short_Desc],$B11,Combined_Accounts[Account],"&lt;&gt;" &amp; "discover")*-1</f>
        <v>0</v>
      </c>
      <c r="D11" s="2">
        <f>SUMIFS(Combined_Accounts[Amount],Combined_Accounts[Date],D$2,Combined_Accounts[Short_Desc],$B11,Combined_Accounts[Account],"discover") + SUMIFS(Combined_Accounts[Amount],Combined_Accounts[Date],D$2,Combined_Accounts[Short_Desc],$B11,Combined_Accounts[Account],"&lt;&gt;" &amp; "discover")*-1</f>
        <v>2450.61</v>
      </c>
      <c r="E11" s="2">
        <f>SUMIFS(Combined_Accounts[Amount],Combined_Accounts[Date],E$2,Combined_Accounts[Short_Desc],$B11,Combined_Accounts[Account],"discover") + SUMIFS(Combined_Accounts[Amount],Combined_Accounts[Date],E$2,Combined_Accounts[Short_Desc],$B11,Combined_Accounts[Account],"&lt;&gt;" &amp; "discover")*-1</f>
        <v>0</v>
      </c>
      <c r="F11" s="2">
        <f>SUMIFS(Combined_Accounts[Amount],Combined_Accounts[Date],F$2,Combined_Accounts[Short_Desc],$B11,Combined_Accounts[Account],"discover") + SUMIFS(Combined_Accounts[Amount],Combined_Accounts[Date],F$2,Combined_Accounts[Short_Desc],$B11,Combined_Accounts[Account],"&lt;&gt;" &amp; "discover")*-1</f>
        <v>0</v>
      </c>
      <c r="G11" s="2">
        <f>SUMIFS(Combined_Accounts[Amount],Combined_Accounts[Date],G$2,Combined_Accounts[Short_Desc],$B11,Combined_Accounts[Account],"discover") + SUMIFS(Combined_Accounts[Amount],Combined_Accounts[Date],G$2,Combined_Accounts[Short_Desc],$B11,Combined_Accounts[Account],"&lt;&gt;" &amp; "discover")*-1</f>
        <v>0</v>
      </c>
      <c r="H11" s="2">
        <f>SUMIFS(Combined_Accounts[Amount],Combined_Accounts[Date],H$2,Combined_Accounts[Short_Desc],$B11,Combined_Accounts[Account],"discover") + SUMIFS(Combined_Accounts[Amount],Combined_Accounts[Date],H$2,Combined_Accounts[Short_Desc],$B11,Combined_Accounts[Account],"&lt;&gt;" &amp; "discover")*-1</f>
        <v>0</v>
      </c>
      <c r="I11" s="2">
        <f>SUMIFS(Combined_Accounts[Amount],Combined_Accounts[Date],I$2,Combined_Accounts[Short_Desc],$B11,Combined_Accounts[Account],"discover") + SUMIFS(Combined_Accounts[Amount],Combined_Accounts[Date],I$2,Combined_Accounts[Short_Desc],$B11,Combined_Accounts[Account],"&lt;&gt;" &amp; "discover")*-1</f>
        <v>0</v>
      </c>
      <c r="J11" s="2">
        <f>SUMIFS(Combined_Accounts[Amount],Combined_Accounts[Date],J$2,Combined_Accounts[Short_Desc],$B11,Combined_Accounts[Account],"discover") + SUMIFS(Combined_Accounts[Amount],Combined_Accounts[Date],J$2,Combined_Accounts[Short_Desc],$B11,Combined_Accounts[Account],"&lt;&gt;" &amp; "discover")*-1</f>
        <v>0</v>
      </c>
      <c r="K11" s="2">
        <v>1633.74</v>
      </c>
      <c r="L11" s="2">
        <v>1633.74</v>
      </c>
      <c r="M11" s="2">
        <v>1633.74</v>
      </c>
      <c r="N11" s="2">
        <v>1633.74</v>
      </c>
    </row>
    <row r="12" spans="2:14" x14ac:dyDescent="0.25">
      <c r="B12" s="4" t="s">
        <v>352</v>
      </c>
      <c r="C12" s="2">
        <f>SUMIFS(Combined_Accounts[Amount],Combined_Accounts[Date],C$2,Combined_Accounts[Short_Desc],$B12,Combined_Accounts[Account],"discover") + SUMIFS(Combined_Accounts[Amount],Combined_Accounts[Date],C$2,Combined_Accounts[Short_Desc],$B12,Combined_Accounts[Account],"&lt;&gt;" &amp; "discover")*-1</f>
        <v>1803.4</v>
      </c>
      <c r="D12" s="2">
        <f>SUMIFS(Combined_Accounts[Amount],Combined_Accounts[Date],D$2,Combined_Accounts[Short_Desc],$B12,Combined_Accounts[Account],"discover") + SUMIFS(Combined_Accounts[Amount],Combined_Accounts[Date],D$2,Combined_Accounts[Short_Desc],$B12,Combined_Accounts[Account],"&lt;&gt;" &amp; "discover")*-1</f>
        <v>3606.8</v>
      </c>
      <c r="E12" s="19">
        <f>SUMIFS(Combined_Accounts[Amount],Combined_Accounts[Date],E$2,Combined_Accounts[Short_Desc],$B12)*-1</f>
        <v>3277.12</v>
      </c>
      <c r="F12" s="19">
        <f>SUMIFS(Combined_Accounts[Amount],Combined_Accounts[Date],F$2,Combined_Accounts[Short_Desc],$B12)*-1</f>
        <v>0</v>
      </c>
      <c r="G12" s="19">
        <f>SUMIFS(Combined_Accounts[Amount],Combined_Accounts[Date],G$2,Combined_Accounts[Short_Desc],$B12)*-1</f>
        <v>0</v>
      </c>
      <c r="H12" s="19">
        <f>SUMIFS(Combined_Accounts[Amount],Combined_Accounts[Date],H$2,Combined_Accounts[Short_Desc],$B12)*-1</f>
        <v>0</v>
      </c>
      <c r="I12" s="19">
        <f>SUMIFS(Combined_Accounts[Amount],Combined_Accounts[Date],I$2,Combined_Accounts[Short_Desc],$B12)*-1</f>
        <v>0</v>
      </c>
      <c r="J12" s="19">
        <f>SUMIFS(Combined_Accounts[Amount],Combined_Accounts[Date],J$2,Combined_Accounts[Short_Desc],$B12)*-1</f>
        <v>0</v>
      </c>
      <c r="K12" s="19">
        <f>SUMIFS(Combined_Accounts[Amount],Combined_Accounts[Date],K$2,Combined_Accounts[Short_Desc],$B12)*-1</f>
        <v>0</v>
      </c>
      <c r="L12" s="19">
        <f>SUMIFS(Combined_Accounts[Amount],Combined_Accounts[Date],L$2,Combined_Accounts[Short_Desc],$B12)*-1</f>
        <v>0</v>
      </c>
      <c r="M12" s="19">
        <f>SUMIFS(Combined_Accounts[Amount],Combined_Accounts[Date],M$2,Combined_Accounts[Short_Desc],$B12)*-1</f>
        <v>0</v>
      </c>
      <c r="N12" s="19">
        <f>SUMIFS(Combined_Accounts[Amount],Combined_Accounts[Date],N$2,Combined_Accounts[Short_Desc],$B12)*-1</f>
        <v>0</v>
      </c>
    </row>
    <row r="13" spans="2:14" x14ac:dyDescent="0.25">
      <c r="B13" s="4" t="s">
        <v>350</v>
      </c>
      <c r="C13" s="2">
        <f>SUMIFS(Combined_Accounts[Amount],Combined_Accounts[Date],C$2,Combined_Accounts[Short_Desc],$B13,Combined_Accounts[Account],"discover") + SUMIFS(Combined_Accounts[Amount],Combined_Accounts[Date],C$2,Combined_Accounts[Short_Desc],$B13,Combined_Accounts[Account],"&lt;&gt;" &amp; "discover")*-1</f>
        <v>155</v>
      </c>
      <c r="D13" s="2">
        <f>SUMIFS(Combined_Accounts[Amount],Combined_Accounts[Date],D$2,Combined_Accounts[Short_Desc],$B13,Combined_Accounts[Account],"discover") + SUMIFS(Combined_Accounts[Amount],Combined_Accounts[Date],D$2,Combined_Accounts[Short_Desc],$B13,Combined_Accounts[Account],"&lt;&gt;" &amp; "discover")*-1</f>
        <v>155</v>
      </c>
      <c r="E13" s="2">
        <f>SUMIFS(Combined_Accounts[Amount],Combined_Accounts[Date],E$2,Combined_Accounts[Short_Desc],$B13,Combined_Accounts[Account],"discover") + SUMIFS(Combined_Accounts[Amount],Combined_Accounts[Date],E$2,Combined_Accounts[Short_Desc],$B13,Combined_Accounts[Account],"&lt;&gt;" &amp; "discover")*-1</f>
        <v>155</v>
      </c>
      <c r="F13" s="2">
        <f>SUMIFS(Combined_Accounts[Amount],Combined_Accounts[Date],F$2,Combined_Accounts[Short_Desc],$B13,Combined_Accounts[Account],"discover") + SUMIFS(Combined_Accounts[Amount],Combined_Accounts[Date],F$2,Combined_Accounts[Short_Desc],$B13,Combined_Accounts[Account],"&lt;&gt;" &amp; "discover")*-1</f>
        <v>155</v>
      </c>
      <c r="G13" s="2">
        <f>SUMIFS(Combined_Accounts[Amount],Combined_Accounts[Date],G$2,Combined_Accounts[Short_Desc],$B13,Combined_Accounts[Account],"discover") + SUMIFS(Combined_Accounts[Amount],Combined_Accounts[Date],G$2,Combined_Accounts[Short_Desc],$B13,Combined_Accounts[Account],"&lt;&gt;" &amp; "discover")*-1</f>
        <v>155</v>
      </c>
      <c r="H13" s="2">
        <f>SUMIFS(Combined_Accounts[Amount],Combined_Accounts[Date],H$2,Combined_Accounts[Short_Desc],$B13,Combined_Accounts[Account],"discover") + SUMIFS(Combined_Accounts[Amount],Combined_Accounts[Date],H$2,Combined_Accounts[Short_Desc],$B13,Combined_Accounts[Account],"&lt;&gt;" &amp; "discover")*-1</f>
        <v>634.69000000000005</v>
      </c>
      <c r="I13" s="19">
        <f>SUMIFS(Combined_Accounts[Amount],Combined_Accounts[Date],I$2,Combined_Accounts[Short_Desc],$B13,Combined_Accounts[Account],"discover") + SUMIFS(Combined_Accounts[Amount],Combined_Accounts[Date],I$2,Combined_Accounts[Short_Desc],$B13,Combined_Accounts[Account],"&lt;&gt;" &amp; "discover")*-1</f>
        <v>0</v>
      </c>
      <c r="J13" s="19">
        <f>SUMIFS(Combined_Accounts[Amount],Combined_Accounts[Date],J$2,Combined_Accounts[Short_Desc],$B13,Combined_Accounts[Account],"discover") + SUMIFS(Combined_Accounts[Amount],Combined_Accounts[Date],J$2,Combined_Accounts[Short_Desc],$B13,Combined_Accounts[Account],"&lt;&gt;" &amp; "discover")*-1</f>
        <v>0</v>
      </c>
      <c r="K13" s="19">
        <f>SUMIFS(Combined_Accounts[Amount],Combined_Accounts[Date],K$2,Combined_Accounts[Short_Desc],$B13,Combined_Accounts[Account],"discover") + SUMIFS(Combined_Accounts[Amount],Combined_Accounts[Date],K$2,Combined_Accounts[Short_Desc],$B13,Combined_Accounts[Account],"&lt;&gt;" &amp; "discover")*-1</f>
        <v>0</v>
      </c>
      <c r="L13" s="19">
        <f>SUMIFS(Combined_Accounts[Amount],Combined_Accounts[Date],L$2,Combined_Accounts[Short_Desc],$B13,Combined_Accounts[Account],"discover") + SUMIFS(Combined_Accounts[Amount],Combined_Accounts[Date],L$2,Combined_Accounts[Short_Desc],$B13,Combined_Accounts[Account],"&lt;&gt;" &amp; "discover")*-1</f>
        <v>0</v>
      </c>
      <c r="M13" s="19">
        <f>SUMIFS(Combined_Accounts[Amount],Combined_Accounts[Date],M$2,Combined_Accounts[Short_Desc],$B13,Combined_Accounts[Account],"discover") + SUMIFS(Combined_Accounts[Amount],Combined_Accounts[Date],M$2,Combined_Accounts[Short_Desc],$B13,Combined_Accounts[Account],"&lt;&gt;" &amp; "discover")*-1</f>
        <v>0</v>
      </c>
      <c r="N13" s="19">
        <f>SUMIFS(Combined_Accounts[Amount],Combined_Accounts[Date],N$2,Combined_Accounts[Short_Desc],$B13,Combined_Accounts[Account],"discover") + SUMIFS(Combined_Accounts[Amount],Combined_Accounts[Date],N$2,Combined_Accounts[Short_Desc],$B13,Combined_Accounts[Account],"&lt;&gt;" &amp; "discover")*-1</f>
        <v>0</v>
      </c>
    </row>
    <row r="14" spans="2:14" x14ac:dyDescent="0.25">
      <c r="B14" s="4" t="s">
        <v>39</v>
      </c>
      <c r="C14" s="2">
        <f>SUMIFS(Combined_Accounts[Amount],Combined_Accounts[Date],C$2,Combined_Accounts[Short_Desc],$B14,Combined_Accounts[Account],"discover") + SUMIFS(Combined_Accounts[Amount],Combined_Accounts[Date],C$2,Combined_Accounts[Short_Desc],$B14,Combined_Accounts[Account],"&lt;&gt;" &amp; "discover")*-1</f>
        <v>417.29</v>
      </c>
      <c r="D14" s="2">
        <f>SUMIFS(Combined_Accounts[Amount],Combined_Accounts[Date],D$2,Combined_Accounts[Short_Desc],$B14,Combined_Accounts[Account],"discover") + SUMIFS(Combined_Accounts[Amount],Combined_Accounts[Date],D$2,Combined_Accounts[Short_Desc],$B14,Combined_Accounts[Account],"&lt;&gt;" &amp; "discover")*-1</f>
        <v>237.29</v>
      </c>
      <c r="E14" s="2">
        <f>SUMIFS(Combined_Accounts[Amount],Combined_Accounts[Date],E$2,Combined_Accounts[Short_Desc],$B14,Combined_Accounts[Account],"discover") + SUMIFS(Combined_Accounts[Amount],Combined_Accounts[Date],E$2,Combined_Accounts[Short_Desc],$B14,Combined_Accounts[Account],"&lt;&gt;" &amp; "discover")*-1</f>
        <v>458.96</v>
      </c>
      <c r="F14" s="2">
        <f>SUMIFS(Combined_Accounts[Amount],Combined_Accounts[Date],F$2,Combined_Accounts[Short_Desc],$B14,Combined_Accounts[Account],"discover") + SUMIFS(Combined_Accounts[Amount],Combined_Accounts[Date],F$2,Combined_Accounts[Short_Desc],$B14,Combined_Accounts[Account],"&lt;&gt;" &amp; "discover")*-1</f>
        <v>3000</v>
      </c>
      <c r="G14" s="2">
        <f>SUMIFS(Combined_Accounts[Amount],Combined_Accounts[Date],G$2,Combined_Accounts[Short_Desc],$B14,Combined_Accounts[Account],"discover") + SUMIFS(Combined_Accounts[Amount],Combined_Accounts[Date],G$2,Combined_Accounts[Short_Desc],$B14,Combined_Accounts[Account],"&lt;&gt;" &amp; "discover")*-1</f>
        <v>458.96</v>
      </c>
      <c r="H14" s="2">
        <f>SUMIFS(Combined_Accounts[Amount],Combined_Accounts[Date],H$2,Combined_Accounts[Short_Desc],$B14,Combined_Accounts[Account],"discover") + SUMIFS(Combined_Accounts[Amount],Combined_Accounts[Date],H$2,Combined_Accounts[Short_Desc],$B14,Combined_Accounts[Account],"&lt;&gt;" &amp; "discover")*-1</f>
        <v>460</v>
      </c>
      <c r="I14" s="2">
        <f>SUMIFS(Combined_Accounts[Amount],Combined_Accounts[Date],I$2,Combined_Accounts[Short_Desc],$B14,Combined_Accounts[Account],"discover") + SUMIFS(Combined_Accounts[Amount],Combined_Accounts[Date],I$2,Combined_Accounts[Short_Desc],$B14,Combined_Accounts[Account],"&lt;&gt;" &amp; "discover")*-1</f>
        <v>460</v>
      </c>
      <c r="J14" s="2">
        <f>SUMIFS(Combined_Accounts[Amount],Combined_Accounts[Date],J$2,Combined_Accounts[Short_Desc],$B14,Combined_Accounts[Account],"discover") + SUMIFS(Combined_Accounts[Amount],Combined_Accounts[Date],J$2,Combined_Accounts[Short_Desc],$B14,Combined_Accounts[Account],"&lt;&gt;" &amp; "discover")*-1</f>
        <v>460</v>
      </c>
      <c r="K14" s="2">
        <v>460</v>
      </c>
      <c r="L14" s="2">
        <v>460</v>
      </c>
      <c r="M14" s="2">
        <v>460</v>
      </c>
      <c r="N14" s="2">
        <v>460</v>
      </c>
    </row>
    <row r="15" spans="2:14" x14ac:dyDescent="0.25">
      <c r="B15" s="4" t="s">
        <v>100</v>
      </c>
      <c r="C15" s="2">
        <f>SUMIFS(Combined_Accounts[Amount],Combined_Accounts[Date],C$2,Combined_Accounts[Short_Desc],$B15,Combined_Accounts[Account],"discover") + SUMIFS(Combined_Accounts[Amount],Combined_Accounts[Date],C$2,Combined_Accounts[Short_Desc],$B15,Combined_Accounts[Account],"&lt;&gt;" &amp; "discover")*-1</f>
        <v>273.60000000000002</v>
      </c>
      <c r="D15" s="2">
        <f>SUMIFS(Combined_Accounts[Amount],Combined_Accounts[Date],D$2,Combined_Accounts[Short_Desc],$B15,Combined_Accounts[Account],"discover") + SUMIFS(Combined_Accounts[Amount],Combined_Accounts[Date],D$2,Combined_Accounts[Short_Desc],$B15,Combined_Accounts[Account],"&lt;&gt;" &amp; "discover")*-1</f>
        <v>273.60000000000002</v>
      </c>
      <c r="E15" s="2">
        <f>SUMIFS(Combined_Accounts[Amount],Combined_Accounts[Date],E$2,Combined_Accounts[Short_Desc],$B15,Combined_Accounts[Account],"discover") + SUMIFS(Combined_Accounts[Amount],Combined_Accounts[Date],E$2,Combined_Accounts[Short_Desc],$B15,Combined_Accounts[Account],"&lt;&gt;" &amp; "discover")*-1</f>
        <v>273.60000000000002</v>
      </c>
      <c r="F15" s="2">
        <f>SUMIFS(Combined_Accounts[Amount],Combined_Accounts[Date],F$2,Combined_Accounts[Short_Desc],$B15,Combined_Accounts[Account],"discover") + SUMIFS(Combined_Accounts[Amount],Combined_Accounts[Date],F$2,Combined_Accounts[Short_Desc],$B15,Combined_Accounts[Account],"&lt;&gt;" &amp; "discover")*-1</f>
        <v>273.60000000000002</v>
      </c>
      <c r="G15" s="2">
        <f>SUMIFS(Combined_Accounts[Amount],Combined_Accounts[Date],G$2,Combined_Accounts[Short_Desc],$B15,Combined_Accounts[Account],"discover") + SUMIFS(Combined_Accounts[Amount],Combined_Accounts[Date],G$2,Combined_Accounts[Short_Desc],$B15,Combined_Accounts[Account],"&lt;&gt;" &amp; "discover")*-1</f>
        <v>273.60000000000002</v>
      </c>
      <c r="H15" s="2">
        <f>SUMIFS(Combined_Accounts[Amount],Combined_Accounts[Date],H$2,Combined_Accounts[Short_Desc],$B15,Combined_Accounts[Account],"discover") + SUMIFS(Combined_Accounts[Amount],Combined_Accounts[Date],H$2,Combined_Accounts[Short_Desc],$B15,Combined_Accounts[Account],"&lt;&gt;" &amp; "discover")*-1</f>
        <v>273.60000000000002</v>
      </c>
      <c r="I15" s="2">
        <f>SUMIFS(Combined_Accounts[Amount],Combined_Accounts[Date],I$2,Combined_Accounts[Short_Desc],$B15,Combined_Accounts[Account],"discover") + SUMIFS(Combined_Accounts[Amount],Combined_Accounts[Date],I$2,Combined_Accounts[Short_Desc],$B15,Combined_Accounts[Account],"&lt;&gt;" &amp; "discover")*-1</f>
        <v>273.60000000000002</v>
      </c>
      <c r="J15" s="2">
        <f>SUMIFS(Combined_Accounts[Amount],Combined_Accounts[Date],J$2,Combined_Accounts[Short_Desc],$B15,Combined_Accounts[Account],"discover") + SUMIFS(Combined_Accounts[Amount],Combined_Accounts[Date],J$2,Combined_Accounts[Short_Desc],$B15,Combined_Accounts[Account],"&lt;&gt;" &amp; "discover")*-1</f>
        <v>273.60000000000002</v>
      </c>
      <c r="K15" s="2">
        <f>SUMIFS(Combined_Accounts[Amount],Combined_Accounts[Date],K$2,Combined_Accounts[Short_Desc],$B15,Combined_Accounts[Account],"discover") + SUMIFS(Combined_Accounts[Amount],Combined_Accounts[Date],K$2,Combined_Accounts[Short_Desc],$B15,Combined_Accounts[Account],"&lt;&gt;" &amp; "discover")*-1</f>
        <v>273.60000000000002</v>
      </c>
      <c r="L15" s="2">
        <f>SUMIFS(Combined_Accounts[Amount],Combined_Accounts[Date],L$2,Combined_Accounts[Short_Desc],$B15,Combined_Accounts[Account],"discover") + SUMIFS(Combined_Accounts[Amount],Combined_Accounts[Date],L$2,Combined_Accounts[Short_Desc],$B15,Combined_Accounts[Account],"&lt;&gt;" &amp; "discover")*-1</f>
        <v>273.60000000000002</v>
      </c>
      <c r="M15" s="2">
        <f>SUMIFS(Combined_Accounts[Amount],Combined_Accounts[Date],M$2,Combined_Accounts[Short_Desc],$B15,Combined_Accounts[Account],"discover") + SUMIFS(Combined_Accounts[Amount],Combined_Accounts[Date],M$2,Combined_Accounts[Short_Desc],$B15,Combined_Accounts[Account],"&lt;&gt;" &amp; "discover")*-1</f>
        <v>273.60000000000002</v>
      </c>
      <c r="N15" s="2">
        <f>SUMIFS(Combined_Accounts[Amount],Combined_Accounts[Date],N$2,Combined_Accounts[Short_Desc],$B15,Combined_Accounts[Account],"discover") + SUMIFS(Combined_Accounts[Amount],Combined_Accounts[Date],N$2,Combined_Accounts[Short_Desc],$B15,Combined_Accounts[Account],"&lt;&gt;" &amp; "discover")*-1</f>
        <v>273.60000000000002</v>
      </c>
    </row>
    <row r="16" spans="2:14" x14ac:dyDescent="0.25">
      <c r="B16" s="4" t="s">
        <v>186</v>
      </c>
      <c r="C16" s="2">
        <f>SUMIFS(Combined_Accounts[Amount],Combined_Accounts[Date],C$2,Combined_Accounts[Short_Desc],$B16,Combined_Accounts[Account],"discover") + SUMIFS(Combined_Accounts[Amount],Combined_Accounts[Date],C$2,Combined_Accounts[Short_Desc],$B16,Combined_Accounts[Account],"&lt;&gt;" &amp; "discover")*-1</f>
        <v>90.83</v>
      </c>
      <c r="D16" s="2">
        <f>SUMIFS(Combined_Accounts[Amount],Combined_Accounts[Date],D$2,Combined_Accounts[Short_Desc],$B16,Combined_Accounts[Account],"discover") + SUMIFS(Combined_Accounts[Amount],Combined_Accounts[Date],D$2,Combined_Accounts[Short_Desc],$B16,Combined_Accounts[Account],"&lt;&gt;" &amp; "discover")*-1</f>
        <v>90.54</v>
      </c>
      <c r="E16" s="2">
        <f>SUMIFS(Combined_Accounts[Amount],Combined_Accounts[Date],E$2,Combined_Accounts[Short_Desc],$B16,Combined_Accounts[Account],"discover") + SUMIFS(Combined_Accounts[Amount],Combined_Accounts[Date],E$2,Combined_Accounts[Short_Desc],$B16,Combined_Accounts[Account],"&lt;&gt;" &amp; "discover")*-1</f>
        <v>90.54</v>
      </c>
      <c r="F16" s="2">
        <f>SUMIFS(Combined_Accounts[Amount],Combined_Accounts[Date],F$2,Combined_Accounts[Short_Desc],$B16,Combined_Accounts[Account],"discover") + SUMIFS(Combined_Accounts[Amount],Combined_Accounts[Date],F$2,Combined_Accounts[Short_Desc],$B16,Combined_Accounts[Account],"&lt;&gt;" &amp; "discover")*-1</f>
        <v>90.54</v>
      </c>
      <c r="G16" s="2">
        <f>SUMIFS(Combined_Accounts[Amount],Combined_Accounts[Date],G$2,Combined_Accounts[Short_Desc],$B16,Combined_Accounts[Account],"discover") + SUMIFS(Combined_Accounts[Amount],Combined_Accounts[Date],G$2,Combined_Accounts[Short_Desc],$B16,Combined_Accounts[Account],"&lt;&gt;" &amp; "discover")*-1</f>
        <v>90.54</v>
      </c>
      <c r="H16" s="2">
        <f>SUMIFS(Combined_Accounts[Amount],Combined_Accounts[Date],H$2,Combined_Accounts[Short_Desc],$B16,Combined_Accounts[Account],"discover") + SUMIFS(Combined_Accounts[Amount],Combined_Accounts[Date],H$2,Combined_Accounts[Short_Desc],$B16,Combined_Accounts[Account],"&lt;&gt;" &amp; "discover")*-1</f>
        <v>90.54</v>
      </c>
      <c r="I16" s="2">
        <f>SUMIFS(Combined_Accounts[Amount],Combined_Accounts[Date],I$2,Combined_Accounts[Short_Desc],$B16,Combined_Accounts[Account],"discover") + SUMIFS(Combined_Accounts[Amount],Combined_Accounts[Date],I$2,Combined_Accounts[Short_Desc],$B16,Combined_Accounts[Account],"&lt;&gt;" &amp; "discover")*-1</f>
        <v>90.54</v>
      </c>
      <c r="J16" s="2">
        <f>SUMIFS(Combined_Accounts[Amount],Combined_Accounts[Date],J$2,Combined_Accounts[Short_Desc],$B16,Combined_Accounts[Account],"discover") + SUMIFS(Combined_Accounts[Amount],Combined_Accounts[Date],J$2,Combined_Accounts[Short_Desc],$B16,Combined_Accounts[Account],"&lt;&gt;" &amp; "discover")*-1</f>
        <v>108.56</v>
      </c>
      <c r="K16" s="2">
        <v>108.56</v>
      </c>
      <c r="L16" s="2">
        <v>108.56</v>
      </c>
      <c r="M16" s="2">
        <v>108.56</v>
      </c>
      <c r="N16" s="2">
        <v>108.56</v>
      </c>
    </row>
    <row r="17" spans="2:18" x14ac:dyDescent="0.25">
      <c r="B17" s="4" t="s">
        <v>34</v>
      </c>
      <c r="C17" s="2">
        <f>SUMIFS(Combined_Accounts[Amount],Combined_Accounts[Date],C$2,Combined_Accounts[Short_Desc],$B17,Combined_Accounts[Account],"discover") + SUMIFS(Combined_Accounts[Amount],Combined_Accounts[Date],C$2,Combined_Accounts[Short_Desc],$B17,Combined_Accounts[Account],"&lt;&gt;" &amp; "discover")*-1</f>
        <v>0</v>
      </c>
      <c r="D17" s="2">
        <f>SUMIFS(Combined_Accounts[Amount],Combined_Accounts[Date],D$2,Combined_Accounts[Short_Desc],$B17,Combined_Accounts[Account],"discover") + SUMIFS(Combined_Accounts[Amount],Combined_Accounts[Date],D$2,Combined_Accounts[Short_Desc],$B17,Combined_Accounts[Account],"&lt;&gt;" &amp; "discover")*-1</f>
        <v>366.21</v>
      </c>
      <c r="E17" s="2">
        <f>SUMIFS(Combined_Accounts[Amount],Combined_Accounts[Date],E$2,Combined_Accounts[Short_Desc],$B17,Combined_Accounts[Account],"discover") + SUMIFS(Combined_Accounts[Amount],Combined_Accounts[Date],E$2,Combined_Accounts[Short_Desc],$B17,Combined_Accounts[Account],"&lt;&gt;" &amp; "discover")*-1</f>
        <v>91.98</v>
      </c>
      <c r="F17" s="2">
        <f>SUMIFS(Combined_Accounts[Amount],Combined_Accounts[Date],F$2,Combined_Accounts[Short_Desc],$B17,Combined_Accounts[Account],"discover") + SUMIFS(Combined_Accounts[Amount],Combined_Accounts[Date],F$2,Combined_Accounts[Short_Desc],$B17,Combined_Accounts[Account],"&lt;&gt;" &amp; "discover")*-1</f>
        <v>0</v>
      </c>
      <c r="G17" s="2">
        <f>SUMIFS(Combined_Accounts[Amount],Combined_Accounts[Date],G$2,Combined_Accounts[Short_Desc],$B17,Combined_Accounts[Account],"discover") + SUMIFS(Combined_Accounts[Amount],Combined_Accounts[Date],G$2,Combined_Accounts[Short_Desc],$B17,Combined_Accounts[Account],"&lt;&gt;" &amp; "discover")*-1</f>
        <v>0</v>
      </c>
      <c r="H17" s="2">
        <f>SUMIFS(Combined_Accounts[Amount],Combined_Accounts[Date],H$2,Combined_Accounts[Short_Desc],$B17,Combined_Accounts[Account],"discover") + SUMIFS(Combined_Accounts[Amount],Combined_Accounts[Date],H$2,Combined_Accounts[Short_Desc],$B17,Combined_Accounts[Account],"&lt;&gt;" &amp; "discover")*-1</f>
        <v>0</v>
      </c>
      <c r="I17" s="2">
        <f>SUMIFS(Combined_Accounts[Amount],Combined_Accounts[Date],I$2,Combined_Accounts[Short_Desc],$B17,Combined_Accounts[Account],"discover") + SUMIFS(Combined_Accounts[Amount],Combined_Accounts[Date],I$2,Combined_Accounts[Short_Desc],$B17,Combined_Accounts[Account],"&lt;&gt;" &amp; "discover")*-1</f>
        <v>0</v>
      </c>
      <c r="J17" s="2">
        <f>SUMIFS(Combined_Accounts[Amount],Combined_Accounts[Date],J$2,Combined_Accounts[Short_Desc],$B17,Combined_Accounts[Account],"discover") + SUMIFS(Combined_Accounts[Amount],Combined_Accounts[Date],J$2,Combined_Accounts[Short_Desc],$B17,Combined_Accounts[Account],"&lt;&gt;" &amp; "discover")*-1</f>
        <v>0</v>
      </c>
      <c r="K17" s="2">
        <v>65.83</v>
      </c>
      <c r="L17" s="2">
        <v>65.83</v>
      </c>
      <c r="M17" s="2">
        <v>65.83</v>
      </c>
      <c r="N17" s="2">
        <v>65.83</v>
      </c>
    </row>
    <row r="18" spans="2:18" x14ac:dyDescent="0.25">
      <c r="B18" s="7" t="s">
        <v>27</v>
      </c>
      <c r="C18" s="2">
        <f>SUMIFS(Combined_Accounts[Amount],Combined_Accounts[Date],C$2,Combined_Accounts[Short_Desc],$B18,Combined_Accounts[Account],"discover") + SUMIFS(Combined_Accounts[Amount],Combined_Accounts[Date],C$2,Combined_Accounts[Short_Desc],$B18,Combined_Accounts[Account],"&lt;&gt;" &amp; "discover")*-1</f>
        <v>426.16</v>
      </c>
      <c r="D18" s="2">
        <f>SUMIFS(Combined_Accounts[Amount],Combined_Accounts[Date],D$2,Combined_Accounts[Short_Desc],$B18,Combined_Accounts[Account],"discover") + SUMIFS(Combined_Accounts[Amount],Combined_Accounts[Date],D$2,Combined_Accounts[Short_Desc],$B18,Combined_Accounts[Account],"&lt;&gt;" &amp; "discover")*-1</f>
        <v>442.73</v>
      </c>
      <c r="E18" s="2">
        <f>SUMIFS(Combined_Accounts[Amount],Combined_Accounts[Date],E$2,Combined_Accounts[Short_Desc],$B18,Combined_Accounts[Account],"discover") + SUMIFS(Combined_Accounts[Amount],Combined_Accounts[Date],E$2,Combined_Accounts[Short_Desc],$B18,Combined_Accounts[Account],"&lt;&gt;" &amp; "discover")*-1</f>
        <v>442.73</v>
      </c>
      <c r="F18" s="2">
        <f>SUMIFS(Combined_Accounts[Amount],Combined_Accounts[Date],F$2,Combined_Accounts[Short_Desc],$B18,Combined_Accounts[Account],"discover") + SUMIFS(Combined_Accounts[Amount],Combined_Accounts[Date],F$2,Combined_Accounts[Short_Desc],$B18,Combined_Accounts[Account],"&lt;&gt;" &amp; "discover")*-1</f>
        <v>442.73</v>
      </c>
      <c r="G18" s="2">
        <f>SUMIFS(Combined_Accounts[Amount],Combined_Accounts[Date],G$2,Combined_Accounts[Short_Desc],$B18,Combined_Accounts[Account],"discover") + SUMIFS(Combined_Accounts[Amount],Combined_Accounts[Date],G$2,Combined_Accounts[Short_Desc],$B18,Combined_Accounts[Account],"&lt;&gt;" &amp; "discover")*-1</f>
        <v>442.73</v>
      </c>
      <c r="H18" s="2">
        <f>SUMIFS(Combined_Accounts[Amount],Combined_Accounts[Date],H$2,Combined_Accounts[Short_Desc],$B18,Combined_Accounts[Account],"discover") + SUMIFS(Combined_Accounts[Amount],Combined_Accounts[Date],H$2,Combined_Accounts[Short_Desc],$B18,Combined_Accounts[Account],"&lt;&gt;" &amp; "discover")*-1</f>
        <v>442.73</v>
      </c>
      <c r="I18" s="2">
        <f>SUMIFS(Combined_Accounts[Amount],Combined_Accounts[Date],I$2,Combined_Accounts[Short_Desc],$B18,Combined_Accounts[Account],"discover") + SUMIFS(Combined_Accounts[Amount],Combined_Accounts[Date],I$2,Combined_Accounts[Short_Desc],$B18,Combined_Accounts[Account],"&lt;&gt;" &amp; "discover")*-1</f>
        <v>442.73</v>
      </c>
      <c r="J18" s="2">
        <f>SUMIFS(Combined_Accounts[Amount],Combined_Accounts[Date],J$2,Combined_Accounts[Short_Desc],$B18,Combined_Accounts[Account],"discover") + SUMIFS(Combined_Accounts[Amount],Combined_Accounts[Date],J$2,Combined_Accounts[Short_Desc],$B18,Combined_Accounts[Account],"&lt;&gt;" &amp; "discover")*-1</f>
        <v>442.73</v>
      </c>
      <c r="K18" s="2">
        <v>442.73</v>
      </c>
      <c r="L18" s="2">
        <v>442.73</v>
      </c>
      <c r="M18" s="2">
        <v>442.73</v>
      </c>
      <c r="N18" s="2">
        <v>442.73</v>
      </c>
      <c r="O18" s="3">
        <f>SUM(C18:N18)</f>
        <v>5296.1899999999987</v>
      </c>
      <c r="P18" s="3">
        <f>'Loan Schedule'!B5-Summary!O18</f>
        <v>15473.500000000004</v>
      </c>
      <c r="Q18" s="3"/>
      <c r="R18" s="3"/>
    </row>
    <row r="19" spans="2:18" x14ac:dyDescent="0.25">
      <c r="B19" s="4" t="s">
        <v>214</v>
      </c>
      <c r="C19" s="2">
        <f>SUMIFS(Combined_Accounts[Amount],Combined_Accounts[Date],C$2,Combined_Accounts[Short_Desc],$B19,Combined_Accounts[Account],"discover") + SUMIFS(Combined_Accounts[Amount],Combined_Accounts[Date],C$2,Combined_Accounts[Short_Desc],$B19,Combined_Accounts[Account],"&lt;&gt;" &amp; "discover")*-1</f>
        <v>29.99</v>
      </c>
      <c r="D19" s="2">
        <f>SUMIFS(Combined_Accounts[Amount],Combined_Accounts[Date],D$2,Combined_Accounts[Short_Desc],$B19,Combined_Accounts[Account],"discover") + SUMIFS(Combined_Accounts[Amount],Combined_Accounts[Date],D$2,Combined_Accounts[Short_Desc],$B19,Combined_Accounts[Account],"&lt;&gt;" &amp; "discover")*-1</f>
        <v>29.99</v>
      </c>
      <c r="E19" s="2">
        <f>SUMIFS(Combined_Accounts[Amount],Combined_Accounts[Date],E$2,Combined_Accounts[Short_Desc],$B19,Combined_Accounts[Account],"discover") + SUMIFS(Combined_Accounts[Amount],Combined_Accounts[Date],E$2,Combined_Accounts[Short_Desc],$B19,Combined_Accounts[Account],"&lt;&gt;" &amp; "discover")*-1</f>
        <v>29.99</v>
      </c>
      <c r="F19" s="2">
        <f>SUMIFS(Combined_Accounts[Amount],Combined_Accounts[Date],F$2,Combined_Accounts[Short_Desc],$B19,Combined_Accounts[Account],"discover") + SUMIFS(Combined_Accounts[Amount],Combined_Accounts[Date],F$2,Combined_Accounts[Short_Desc],$B19,Combined_Accounts[Account],"&lt;&gt;" &amp; "discover")*-1</f>
        <v>29.99</v>
      </c>
      <c r="G19" s="2">
        <f>SUMIFS(Combined_Accounts[Amount],Combined_Accounts[Date],G$2,Combined_Accounts[Short_Desc],$B19,Combined_Accounts[Account],"discover") + SUMIFS(Combined_Accounts[Amount],Combined_Accounts[Date],G$2,Combined_Accounts[Short_Desc],$B19,Combined_Accounts[Account],"&lt;&gt;" &amp; "discover")*-1</f>
        <v>29.99</v>
      </c>
      <c r="H19" s="2">
        <f>SUMIFS(Combined_Accounts[Amount],Combined_Accounts[Date],H$2,Combined_Accounts[Short_Desc],$B19,Combined_Accounts[Account],"discover") + SUMIFS(Combined_Accounts[Amount],Combined_Accounts[Date],H$2,Combined_Accounts[Short_Desc],$B19,Combined_Accounts[Account],"&lt;&gt;" &amp; "discover")*-1</f>
        <v>29.99</v>
      </c>
      <c r="I19" s="2">
        <f>SUMIFS(Combined_Accounts[Amount],Combined_Accounts[Date],I$2,Combined_Accounts[Short_Desc],$B19,Combined_Accounts[Account],"discover") + SUMIFS(Combined_Accounts[Amount],Combined_Accounts[Date],I$2,Combined_Accounts[Short_Desc],$B19,Combined_Accounts[Account],"&lt;&gt;" &amp; "discover")*-1</f>
        <v>29.99</v>
      </c>
      <c r="J19" s="2">
        <f>SUMIFS(Combined_Accounts[Amount],Combined_Accounts[Date],J$2,Combined_Accounts[Short_Desc],$B19,Combined_Accounts[Account],"discover") + SUMIFS(Combined_Accounts[Amount],Combined_Accounts[Date],J$2,Combined_Accounts[Short_Desc],$B19,Combined_Accounts[Account],"&lt;&gt;" &amp; "discover")*-1</f>
        <v>29.99</v>
      </c>
      <c r="K19" s="2">
        <v>29.99</v>
      </c>
      <c r="L19" s="2">
        <v>29.99</v>
      </c>
      <c r="M19" s="2">
        <v>29.99</v>
      </c>
      <c r="N19" s="2">
        <v>29.99</v>
      </c>
    </row>
    <row r="20" spans="2:18" x14ac:dyDescent="0.25">
      <c r="B20" s="4" t="s">
        <v>131</v>
      </c>
      <c r="C20" s="2">
        <f>SUMIFS(Combined_Accounts[Amount],Combined_Accounts[Date],C$2,Combined_Accounts[Short_Desc],$B20,Combined_Accounts[Account],"discover") + SUMIFS(Combined_Accounts[Amount],Combined_Accounts[Date],C$2,Combined_Accounts[Short_Desc],$B20,Combined_Accounts[Account],"&lt;&gt;" &amp; "discover")*-1</f>
        <v>9.99</v>
      </c>
      <c r="D20" s="2">
        <f>SUMIFS(Combined_Accounts[Amount],Combined_Accounts[Date],D$2,Combined_Accounts[Short_Desc],$B20,Combined_Accounts[Account],"discover") + SUMIFS(Combined_Accounts[Amount],Combined_Accounts[Date],D$2,Combined_Accounts[Short_Desc],$B20,Combined_Accounts[Account],"&lt;&gt;" &amp; "discover")*-1</f>
        <v>9.99</v>
      </c>
      <c r="E20" s="2">
        <f>SUMIFS(Combined_Accounts[Amount],Combined_Accounts[Date],E$2,Combined_Accounts[Short_Desc],$B20,Combined_Accounts[Account],"discover") + SUMIFS(Combined_Accounts[Amount],Combined_Accounts[Date],E$2,Combined_Accounts[Short_Desc],$B20,Combined_Accounts[Account],"&lt;&gt;" &amp; "discover")*-1</f>
        <v>9.99</v>
      </c>
      <c r="F20" s="2">
        <f>SUMIFS(Combined_Accounts[Amount],Combined_Accounts[Date],F$2,Combined_Accounts[Short_Desc],$B20,Combined_Accounts[Account],"discover") + SUMIFS(Combined_Accounts[Amount],Combined_Accounts[Date],F$2,Combined_Accounts[Short_Desc],$B20,Combined_Accounts[Account],"&lt;&gt;" &amp; "discover")*-1</f>
        <v>9.99</v>
      </c>
      <c r="G20" s="19">
        <f>SUMIFS(Combined_Accounts[Amount],Combined_Accounts[Date],G$2,Combined_Accounts[Short_Desc],$B20,Combined_Accounts[Account],"discover") + SUMIFS(Combined_Accounts[Amount],Combined_Accounts[Date],G$2,Combined_Accounts[Short_Desc],$B20,Combined_Accounts[Account],"&lt;&gt;" &amp; "discover")*-1</f>
        <v>0</v>
      </c>
      <c r="H20" s="19">
        <f>SUMIFS(Combined_Accounts[Amount],Combined_Accounts[Date],H$2,Combined_Accounts[Short_Desc],$B20,Combined_Accounts[Account],"discover") + SUMIFS(Combined_Accounts[Amount],Combined_Accounts[Date],H$2,Combined_Accounts[Short_Desc],$B20,Combined_Accounts[Account],"&lt;&gt;" &amp; "discover")*-1</f>
        <v>0</v>
      </c>
      <c r="I20" s="19">
        <f>SUMIFS(Combined_Accounts[Amount],Combined_Accounts[Date],I$2,Combined_Accounts[Short_Desc],$B20,Combined_Accounts[Account],"discover") + SUMIFS(Combined_Accounts[Amount],Combined_Accounts[Date],I$2,Combined_Accounts[Short_Desc],$B20,Combined_Accounts[Account],"&lt;&gt;" &amp; "discover")*-1</f>
        <v>0</v>
      </c>
      <c r="J20" s="19">
        <f>SUMIFS(Combined_Accounts[Amount],Combined_Accounts[Date],J$2,Combined_Accounts[Short_Desc],$B20,Combined_Accounts[Account],"discover") + SUMIFS(Combined_Accounts[Amount],Combined_Accounts[Date],J$2,Combined_Accounts[Short_Desc],$B20,Combined_Accounts[Account],"&lt;&gt;" &amp; "discover")*-1</f>
        <v>0</v>
      </c>
      <c r="K20" s="19">
        <f>SUMIFS(Combined_Accounts[Amount],Combined_Accounts[Date],K$2,Combined_Accounts[Short_Desc],$B20,Combined_Accounts[Account],"discover") + SUMIFS(Combined_Accounts[Amount],Combined_Accounts[Date],K$2,Combined_Accounts[Short_Desc],$B20,Combined_Accounts[Account],"&lt;&gt;" &amp; "discover")*-1</f>
        <v>0</v>
      </c>
      <c r="L20" s="19">
        <f>SUMIFS(Combined_Accounts[Amount],Combined_Accounts[Date],L$2,Combined_Accounts[Short_Desc],$B20,Combined_Accounts[Account],"discover") + SUMIFS(Combined_Accounts[Amount],Combined_Accounts[Date],L$2,Combined_Accounts[Short_Desc],$B20,Combined_Accounts[Account],"&lt;&gt;" &amp; "discover")*-1</f>
        <v>0</v>
      </c>
      <c r="M20" s="19">
        <f>SUMIFS(Combined_Accounts[Amount],Combined_Accounts[Date],M$2,Combined_Accounts[Short_Desc],$B20,Combined_Accounts[Account],"discover") + SUMIFS(Combined_Accounts[Amount],Combined_Accounts[Date],M$2,Combined_Accounts[Short_Desc],$B20,Combined_Accounts[Account],"&lt;&gt;" &amp; "discover")*-1</f>
        <v>0</v>
      </c>
      <c r="N20" s="19">
        <f>SUMIFS(Combined_Accounts[Amount],Combined_Accounts[Date],N$2,Combined_Accounts[Short_Desc],$B20,Combined_Accounts[Account],"discover") + SUMIFS(Combined_Accounts[Amount],Combined_Accounts[Date],N$2,Combined_Accounts[Short_Desc],$B20,Combined_Accounts[Account],"&lt;&gt;" &amp; "discover")*-1</f>
        <v>0</v>
      </c>
    </row>
    <row r="21" spans="2:18" x14ac:dyDescent="0.25">
      <c r="B21" s="4" t="s">
        <v>102</v>
      </c>
      <c r="C21" s="2">
        <f>SUMIFS(Combined_Accounts[Amount],Combined_Accounts[Date],C$2,Combined_Accounts[Short_Desc],$B21,Combined_Accounts[Account],"discover") + SUMIFS(Combined_Accounts[Amount],Combined_Accounts[Date],C$2,Combined_Accounts[Short_Desc],$B21,Combined_Accounts[Account],"&lt;&gt;" &amp; "discover")*-1</f>
        <v>10</v>
      </c>
      <c r="D21" s="2">
        <f>SUMIFS(Combined_Accounts[Amount],Combined_Accounts[Date],D$2,Combined_Accounts[Short_Desc],$B21,Combined_Accounts[Account],"discover") + SUMIFS(Combined_Accounts[Amount],Combined_Accounts[Date],D$2,Combined_Accounts[Short_Desc],$B21,Combined_Accounts[Account],"&lt;&gt;" &amp; "discover")*-1</f>
        <v>10</v>
      </c>
      <c r="E21" s="2">
        <f>SUMIFS(Combined_Accounts[Amount],Combined_Accounts[Date],E$2,Combined_Accounts[Short_Desc],$B21,Combined_Accounts[Account],"discover") + SUMIFS(Combined_Accounts[Amount],Combined_Accounts[Date],E$2,Combined_Accounts[Short_Desc],$B21,Combined_Accounts[Account],"&lt;&gt;" &amp; "discover")*-1</f>
        <v>10</v>
      </c>
      <c r="F21" s="2">
        <f>SUMIFS(Combined_Accounts[Amount],Combined_Accounts[Date],F$2,Combined_Accounts[Short_Desc],$B21,Combined_Accounts[Account],"discover") + SUMIFS(Combined_Accounts[Amount],Combined_Accounts[Date],F$2,Combined_Accounts[Short_Desc],$B21,Combined_Accounts[Account],"&lt;&gt;" &amp; "discover")*-1</f>
        <v>10</v>
      </c>
      <c r="G21" s="2">
        <f>SUMIFS(Combined_Accounts[Amount],Combined_Accounts[Date],G$2,Combined_Accounts[Short_Desc],$B21,Combined_Accounts[Account],"discover") + SUMIFS(Combined_Accounts[Amount],Combined_Accounts[Date],G$2,Combined_Accounts[Short_Desc],$B21,Combined_Accounts[Account],"&lt;&gt;" &amp; "discover")*-1</f>
        <v>10</v>
      </c>
      <c r="H21" s="2">
        <f>SUMIFS(Combined_Accounts[Amount],Combined_Accounts[Date],H$2,Combined_Accounts[Short_Desc],$B21,Combined_Accounts[Account],"discover") + SUMIFS(Combined_Accounts[Amount],Combined_Accounts[Date],H$2,Combined_Accounts[Short_Desc],$B21,Combined_Accounts[Account],"&lt;&gt;" &amp; "discover")*-1</f>
        <v>10</v>
      </c>
      <c r="I21" s="2">
        <f>SUMIFS(Combined_Accounts[Amount],Combined_Accounts[Date],I$2,Combined_Accounts[Short_Desc],$B21,Combined_Accounts[Account],"discover") + SUMIFS(Combined_Accounts[Amount],Combined_Accounts[Date],I$2,Combined_Accounts[Short_Desc],$B21,Combined_Accounts[Account],"&lt;&gt;" &amp; "discover")*-1</f>
        <v>10</v>
      </c>
      <c r="J21" s="2">
        <f>SUMIFS(Combined_Accounts[Amount],Combined_Accounts[Date],J$2,Combined_Accounts[Short_Desc],$B21,Combined_Accounts[Account],"discover") + SUMIFS(Combined_Accounts[Amount],Combined_Accounts[Date],J$2,Combined_Accounts[Short_Desc],$B21,Combined_Accounts[Account],"&lt;&gt;" &amp; "discover")*-1</f>
        <v>10</v>
      </c>
      <c r="K21" s="2">
        <f>SUMIFS(Combined_Accounts[Amount],Combined_Accounts[Date],K$2,Combined_Accounts[Short_Desc],$B21,Combined_Accounts[Account],"discover") + SUMIFS(Combined_Accounts[Amount],Combined_Accounts[Date],K$2,Combined_Accounts[Short_Desc],$B21,Combined_Accounts[Account],"&lt;&gt;" &amp; "discover")*-1</f>
        <v>10</v>
      </c>
      <c r="L21" s="2">
        <f>SUMIFS(Combined_Accounts[Amount],Combined_Accounts[Date],L$2,Combined_Accounts[Short_Desc],$B21,Combined_Accounts[Account],"discover") + SUMIFS(Combined_Accounts[Amount],Combined_Accounts[Date],L$2,Combined_Accounts[Short_Desc],$B21,Combined_Accounts[Account],"&lt;&gt;" &amp; "discover")*-1</f>
        <v>10</v>
      </c>
      <c r="M21" s="2">
        <f>SUMIFS(Combined_Accounts[Amount],Combined_Accounts[Date],M$2,Combined_Accounts[Short_Desc],$B21,Combined_Accounts[Account],"discover") + SUMIFS(Combined_Accounts[Amount],Combined_Accounts[Date],M$2,Combined_Accounts[Short_Desc],$B21,Combined_Accounts[Account],"&lt;&gt;" &amp; "discover")*-1</f>
        <v>10</v>
      </c>
      <c r="N21" s="2">
        <f>SUMIFS(Combined_Accounts[Amount],Combined_Accounts[Date],N$2,Combined_Accounts[Short_Desc],$B21,Combined_Accounts[Account],"discover") + SUMIFS(Combined_Accounts[Amount],Combined_Accounts[Date],N$2,Combined_Accounts[Short_Desc],$B21,Combined_Accounts[Account],"&lt;&gt;" &amp; "discover")*-1</f>
        <v>10</v>
      </c>
    </row>
    <row r="22" spans="2:18" x14ac:dyDescent="0.25">
      <c r="B22" s="4" t="s">
        <v>98</v>
      </c>
      <c r="C22" s="2">
        <f>SUMIFS(Combined_Accounts[Amount],Combined_Accounts[Date],C$2,Combined_Accounts[Short_Desc],$B22,Combined_Accounts[Account],"discover") + SUMIFS(Combined_Accounts[Amount],Combined_Accounts[Date],C$2,Combined_Accounts[Short_Desc],$B22,Combined_Accounts[Account],"&lt;&gt;" &amp; "discover")*-1</f>
        <v>5.99</v>
      </c>
      <c r="D22" s="2">
        <f>SUMIFS(Combined_Accounts[Amount],Combined_Accounts[Date],D$2,Combined_Accounts[Short_Desc],$B22,Combined_Accounts[Account],"discover") + SUMIFS(Combined_Accounts[Amount],Combined_Accounts[Date],D$2,Combined_Accounts[Short_Desc],$B22,Combined_Accounts[Account],"&lt;&gt;" &amp; "discover")*-1</f>
        <v>5.99</v>
      </c>
      <c r="E22" s="2">
        <f>SUMIFS(Combined_Accounts[Amount],Combined_Accounts[Date],E$2,Combined_Accounts[Short_Desc],$B22,Combined_Accounts[Account],"discover") + SUMIFS(Combined_Accounts[Amount],Combined_Accounts[Date],E$2,Combined_Accounts[Short_Desc],$B22,Combined_Accounts[Account],"&lt;&gt;" &amp; "discover")*-1</f>
        <v>5.99</v>
      </c>
      <c r="F22" s="2">
        <f>SUMIFS(Combined_Accounts[Amount],Combined_Accounts[Date],F$2,Combined_Accounts[Short_Desc],$B22,Combined_Accounts[Account],"discover") + SUMIFS(Combined_Accounts[Amount],Combined_Accounts[Date],F$2,Combined_Accounts[Short_Desc],$B22,Combined_Accounts[Account],"&lt;&gt;" &amp; "discover")*-1</f>
        <v>5.99</v>
      </c>
      <c r="G22" s="2">
        <f>SUMIFS(Combined_Accounts[Amount],Combined_Accounts[Date],G$2,Combined_Accounts[Short_Desc],$B22,Combined_Accounts[Account],"discover") + SUMIFS(Combined_Accounts[Amount],Combined_Accounts[Date],G$2,Combined_Accounts[Short_Desc],$B22,Combined_Accounts[Account],"&lt;&gt;" &amp; "discover")*-1</f>
        <v>5.99</v>
      </c>
      <c r="H22" s="2">
        <f>SUMIFS(Combined_Accounts[Amount],Combined_Accounts[Date],H$2,Combined_Accounts[Short_Desc],$B22,Combined_Accounts[Account],"discover") + SUMIFS(Combined_Accounts[Amount],Combined_Accounts[Date],H$2,Combined_Accounts[Short_Desc],$B22,Combined_Accounts[Account],"&lt;&gt;" &amp; "discover")*-1</f>
        <v>5.99</v>
      </c>
      <c r="I22" s="2">
        <f>SUMIFS(Combined_Accounts[Amount],Combined_Accounts[Date],I$2,Combined_Accounts[Short_Desc],$B22,Combined_Accounts[Account],"discover") + SUMIFS(Combined_Accounts[Amount],Combined_Accounts[Date],I$2,Combined_Accounts[Short_Desc],$B22,Combined_Accounts[Account],"&lt;&gt;" &amp; "discover")*-1</f>
        <v>5.99</v>
      </c>
      <c r="J22" s="2">
        <f>SUMIFS(Combined_Accounts[Amount],Combined_Accounts[Date],J$2,Combined_Accounts[Short_Desc],$B22,Combined_Accounts[Account],"discover") + SUMIFS(Combined_Accounts[Amount],Combined_Accounts[Date],J$2,Combined_Accounts[Short_Desc],$B22,Combined_Accounts[Account],"&lt;&gt;" &amp; "discover")*-1</f>
        <v>5.99</v>
      </c>
      <c r="K22" s="2">
        <f>SUMIFS(Combined_Accounts[Amount],Combined_Accounts[Date],K$2,Combined_Accounts[Short_Desc],$B22,Combined_Accounts[Account],"discover") + SUMIFS(Combined_Accounts[Amount],Combined_Accounts[Date],K$2,Combined_Accounts[Short_Desc],$B22,Combined_Accounts[Account],"&lt;&gt;" &amp; "discover")*-1</f>
        <v>5.99</v>
      </c>
      <c r="L22" s="2">
        <f>SUMIFS(Combined_Accounts[Amount],Combined_Accounts[Date],L$2,Combined_Accounts[Short_Desc],$B22,Combined_Accounts[Account],"discover") + SUMIFS(Combined_Accounts[Amount],Combined_Accounts[Date],L$2,Combined_Accounts[Short_Desc],$B22,Combined_Accounts[Account],"&lt;&gt;" &amp; "discover")*-1</f>
        <v>5.99</v>
      </c>
      <c r="M22" s="2">
        <f>SUMIFS(Combined_Accounts[Amount],Combined_Accounts[Date],M$2,Combined_Accounts[Short_Desc],$B22,Combined_Accounts[Account],"discover") + SUMIFS(Combined_Accounts[Amount],Combined_Accounts[Date],M$2,Combined_Accounts[Short_Desc],$B22,Combined_Accounts[Account],"&lt;&gt;" &amp; "discover")*-1</f>
        <v>5.99</v>
      </c>
      <c r="N22" s="2">
        <f>SUMIFS(Combined_Accounts[Amount],Combined_Accounts[Date],N$2,Combined_Accounts[Short_Desc],$B22,Combined_Accounts[Account],"discover") + SUMIFS(Combined_Accounts[Amount],Combined_Accounts[Date],N$2,Combined_Accounts[Short_Desc],$B22,Combined_Accounts[Account],"&lt;&gt;" &amp; "discover")*-1</f>
        <v>11.99</v>
      </c>
    </row>
    <row r="23" spans="2:18" x14ac:dyDescent="0.25">
      <c r="B23" s="4" t="s">
        <v>114</v>
      </c>
      <c r="C23" s="2">
        <f>SUMIFS(Combined_Accounts[Amount],Combined_Accounts[Date],C$2,Combined_Accounts[Short_Desc],$B23,Combined_Accounts[Account],"discover") + SUMIFS(Combined_Accounts[Amount],Combined_Accounts[Date],C$2,Combined_Accounts[Short_Desc],$B23,Combined_Accounts[Account],"&lt;&gt;" &amp; "discover")*-1</f>
        <v>63.31</v>
      </c>
      <c r="D23" s="2">
        <f>SUMIFS(Combined_Accounts[Amount],Combined_Accounts[Date],D$2,Combined_Accounts[Short_Desc],$B23,Combined_Accounts[Account],"discover") + SUMIFS(Combined_Accounts[Amount],Combined_Accounts[Date],D$2,Combined_Accounts[Short_Desc],$B23,Combined_Accounts[Account],"&lt;&gt;" &amp; "discover")*-1</f>
        <v>29.979999999999997</v>
      </c>
      <c r="E23" s="2">
        <f>SUMIFS(Combined_Accounts[Amount],Combined_Accounts[Date],E$2,Combined_Accounts[Short_Desc],$B23,Combined_Accounts[Account],"discover") + SUMIFS(Combined_Accounts[Amount],Combined_Accounts[Date],E$2,Combined_Accounts[Short_Desc],$B23,Combined_Accounts[Account],"&lt;&gt;" &amp; "discover")*-1</f>
        <v>142.37</v>
      </c>
      <c r="F23" s="2">
        <f>SUMIFS(Combined_Accounts[Amount],Combined_Accounts[Date],F$2,Combined_Accounts[Short_Desc],$B23,Combined_Accounts[Account],"discover") + SUMIFS(Combined_Accounts[Amount],Combined_Accounts[Date],F$2,Combined_Accounts[Short_Desc],$B23,Combined_Accounts[Account],"&lt;&gt;" &amp; "discover")*-1</f>
        <v>158.02000000000004</v>
      </c>
      <c r="G23" s="2">
        <f>SUMIFS(Combined_Accounts[Amount],Combined_Accounts[Date],G$2,Combined_Accounts[Short_Desc],$B23,Combined_Accounts[Account],"discover") + SUMIFS(Combined_Accounts[Amount],Combined_Accounts[Date],G$2,Combined_Accounts[Short_Desc],$B23,Combined_Accounts[Account],"&lt;&gt;" &amp; "discover")*-1</f>
        <v>102.50999999999999</v>
      </c>
      <c r="H23" s="2">
        <f>SUMIFS(Combined_Accounts[Amount],Combined_Accounts[Date],H$2,Combined_Accounts[Short_Desc],$B23,Combined_Accounts[Account],"discover") + SUMIFS(Combined_Accounts[Amount],Combined_Accounts[Date],H$2,Combined_Accounts[Short_Desc],$B23,Combined_Accounts[Account],"&lt;&gt;" &amp; "discover")*-1</f>
        <v>46.370000000000005</v>
      </c>
      <c r="I23" s="2">
        <f>SUMIFS(Combined_Accounts[Amount],Combined_Accounts[Date],I$2,Combined_Accounts[Short_Desc],$B23,Combined_Accounts[Account],"discover") + SUMIFS(Combined_Accounts[Amount],Combined_Accounts[Date],I$2,Combined_Accounts[Short_Desc],$B23,Combined_Accounts[Account],"&lt;&gt;" &amp; "discover")*-1</f>
        <v>47.99</v>
      </c>
      <c r="J23" s="2">
        <f>SUMIFS(Combined_Accounts[Amount],Combined_Accounts[Date],J$2,Combined_Accounts[Short_Desc],$B23,Combined_Accounts[Account],"discover") + SUMIFS(Combined_Accounts[Amount],Combined_Accounts[Date],J$2,Combined_Accounts[Short_Desc],$B23,Combined_Accounts[Account],"&lt;&gt;" &amp; "discover")*-1</f>
        <v>98.99</v>
      </c>
      <c r="K23" s="2">
        <f>SUMIFS(Combined_Accounts[Amount],Combined_Accounts[Date],K$2,Combined_Accounts[Short_Desc],$B23,Combined_Accounts[Account],"discover") + SUMIFS(Combined_Accounts[Amount],Combined_Accounts[Date],K$2,Combined_Accounts[Short_Desc],$B23,Combined_Accounts[Account],"&lt;&gt;" &amp; "discover")*-1</f>
        <v>68.349999999999994</v>
      </c>
      <c r="L23" s="2">
        <f>SUMIFS(Combined_Accounts[Amount],Combined_Accounts[Date],L$2,Combined_Accounts[Short_Desc],$B23,Combined_Accounts[Account],"discover") + SUMIFS(Combined_Accounts[Amount],Combined_Accounts[Date],L$2,Combined_Accounts[Short_Desc],$B23,Combined_Accounts[Account],"&lt;&gt;" &amp; "discover")*-1</f>
        <v>122.25</v>
      </c>
      <c r="M23" s="2">
        <f>SUMIFS(Combined_Accounts[Amount],Combined_Accounts[Date],M$2,Combined_Accounts[Short_Desc],$B23,Combined_Accounts[Account],"discover") + SUMIFS(Combined_Accounts[Amount],Combined_Accounts[Date],M$2,Combined_Accounts[Short_Desc],$B23,Combined_Accounts[Account],"&lt;&gt;" &amp; "discover")*-1</f>
        <v>60.17</v>
      </c>
      <c r="N23" s="2">
        <f>SUMIFS(Combined_Accounts[Amount],Combined_Accounts[Date],N$2,Combined_Accounts[Short_Desc],$B23,Combined_Accounts[Account],"discover") + SUMIFS(Combined_Accounts[Amount],Combined_Accounts[Date],N$2,Combined_Accounts[Short_Desc],$B23,Combined_Accounts[Account],"&lt;&gt;" &amp; "discover")*-1</f>
        <v>83.65</v>
      </c>
    </row>
    <row r="24" spans="2:18" x14ac:dyDescent="0.25">
      <c r="B24" s="4" t="s">
        <v>1080</v>
      </c>
      <c r="C24" s="2" cm="1">
        <f t="array" ref="C24">SUMPRODUCT(
    --(Data!$J:$J = Summary!C$10),
    --IF(ISNUMBER(MATCH(Data!$G:$G, $B$11:$B$23, 0)),0,1),
    --IF(ISNUMBER(MATCH(Data!$G:$G, Categories!$A:$A, 0)),0,1),
     --IF(ISNUMBER(MATCH(Data!$G:$G, Categories!$E:$E, 0)),0,1),
     --IF(ISNUMBER(MATCH(Data!$G:$G, Categories!$G:$G, 0)),0,1),
    --IF(ISNUMBER(MATCH(Data!$G:$G, Categories!$C:$C, 0)),1,0),
    --IF(ISNUMBER(MATCH(Data!$O:$O, {"wells_fargo_checking","sofi_savings","sofi_checking"}, 0)),-1,1),
    IFERROR(Data!$E:$E, 0)
)</f>
        <v>1361.26</v>
      </c>
      <c r="D24" s="2" cm="1">
        <f t="array" ref="D24">SUMPRODUCT(
    --(Data!$J:$J = Summary!D$10),
    --IF(ISNUMBER(MATCH(Data!$G:$G, $B$11:$B$23, 0)),0,1),
    --IF(ISNUMBER(MATCH(Data!$G:$G, Categories!$A:$A, 0)),0,1),
     --IF(ISNUMBER(MATCH(Data!$G:$G, Categories!$E:$E, 0)),0,1),
     --IF(ISNUMBER(MATCH(Data!$G:$G, Categories!$G:$G, 0)),0,1),
    --IF(ISNUMBER(MATCH(Data!$G:$G, Categories!$C:$C, 0)),1,0),
    --IF(ISNUMBER(MATCH(Data!$O:$O, {"wells_fargo_checking","sofi_savings","sofi_checking"}, 0)),-1,1),
    IFERROR(Data!$E:$E, 0)
)</f>
        <v>482.95</v>
      </c>
      <c r="E24" s="2" cm="1">
        <f t="array" ref="E24">SUMPRODUCT(
    --(Data!$J:$J = Summary!E$10),
    --IF(ISNUMBER(MATCH(Data!$G:$G, $B$11:$B$23, 0)),0,1),
    --IF(ISNUMBER(MATCH(Data!$G:$G, Categories!$A:$A, 0)),0,1),
     --IF(ISNUMBER(MATCH(Data!$G:$G, Categories!$E:$E, 0)),0,1),
     --IF(ISNUMBER(MATCH(Data!$G:$G, Categories!$G:$G, 0)),0,1),
    --IF(ISNUMBER(MATCH(Data!$G:$G, Categories!$C:$C, 0)),1,0),
    --IF(ISNUMBER(MATCH(Data!$O:$O, {"wells_fargo_checking","sofi_savings","sofi_checking"}, 0)),-1,1),
    IFERROR(Data!$E:$E, 0)
)</f>
        <v>344.69</v>
      </c>
      <c r="F24" s="2" cm="1">
        <f t="array" ref="F24">SUMPRODUCT(
    --(Data!$J:$J = Summary!F$10),
    --IF(ISNUMBER(MATCH(Data!$G:$G, $B$11:$B$23, 0)),0,1),
    --IF(ISNUMBER(MATCH(Data!$G:$G, Categories!$A:$A, 0)),0,1),
     --IF(ISNUMBER(MATCH(Data!$G:$G, Categories!$E:$E, 0)),0,1),
     --IF(ISNUMBER(MATCH(Data!$G:$G, Categories!$G:$G, 0)),0,1),
    --IF(ISNUMBER(MATCH(Data!$G:$G, Categories!$C:$C, 0)),1,0),
    --IF(ISNUMBER(MATCH(Data!$O:$O, {"wells_fargo_checking","sofi_savings","sofi_checking"}, 0)),-1,1),
    IFERROR(Data!$E:$E, 0)
)</f>
        <v>460.63</v>
      </c>
      <c r="G24" s="2" cm="1">
        <f t="array" ref="G24">SUMPRODUCT(
    --(Data!$J:$J = Summary!G$10),
    --IF(ISNUMBER(MATCH(Data!$G:$G, $B$11:$B$23, 0)),0,1),
    --IF(ISNUMBER(MATCH(Data!$G:$G, Categories!$A:$A, 0)),0,1),
     --IF(ISNUMBER(MATCH(Data!$G:$G, Categories!$E:$E, 0)),0,1),
     --IF(ISNUMBER(MATCH(Data!$G:$G, Categories!$G:$G, 0)),0,1),
    --IF(ISNUMBER(MATCH(Data!$G:$G, Categories!$C:$C, 0)),1,0),
    --IF(ISNUMBER(MATCH(Data!$O:$O, {"wells_fargo_checking","sofi_savings","sofi_checking"}, 0)),-1,1),
    IFERROR(Data!$E:$E, 0)
)</f>
        <v>317.40999999999997</v>
      </c>
      <c r="H24" s="2" cm="1">
        <f t="array" ref="H24">SUMPRODUCT(
    --(Data!$J:$J = Summary!H$10),
    --IF(ISNUMBER(MATCH(Data!$G:$G, $B$11:$B$23, 0)),0,1),
    --IF(ISNUMBER(MATCH(Data!$G:$G, Categories!$A:$A, 0)),0,1),
     --IF(ISNUMBER(MATCH(Data!$G:$G, Categories!$E:$E, 0)),0,1),
     --IF(ISNUMBER(MATCH(Data!$G:$G, Categories!$G:$G, 0)),0,1),
    --IF(ISNUMBER(MATCH(Data!$G:$G, Categories!$C:$C, 0)),1,0),
    --IF(ISNUMBER(MATCH(Data!$O:$O, {"wells_fargo_checking","sofi_savings","sofi_checking"}, 0)),-1,1),
    IFERROR(Data!$E:$E, 0)
)</f>
        <v>297.37</v>
      </c>
      <c r="I24" s="2" cm="1">
        <f t="array" ref="I24">SUMPRODUCT(
    --(Data!$J:$J = Summary!I$10),
    --IF(ISNUMBER(MATCH(Data!$G:$G, $B$11:$B$23, 0)),0,1),
    --IF(ISNUMBER(MATCH(Data!$G:$G, Categories!$A:$A, 0)),0,1),
     --IF(ISNUMBER(MATCH(Data!$G:$G, Categories!$E:$E, 0)),0,1),
     --IF(ISNUMBER(MATCH(Data!$G:$G, Categories!$G:$G, 0)),0,1),
    --IF(ISNUMBER(MATCH(Data!$G:$G, Categories!$C:$C, 0)),1,0),
    --IF(ISNUMBER(MATCH(Data!$O:$O, {"wells_fargo_checking","sofi_savings","sofi_checking"}, 0)),-1,1),
    IFERROR(Data!$E:$E, 0)
)</f>
        <v>150.25</v>
      </c>
      <c r="J24" s="2" cm="1">
        <f t="array" ref="J24">SUMPRODUCT(
    --(Data!$J:$J = Summary!J$10),
    --IF(ISNUMBER(MATCH(Data!$G:$G, $B$11:$B$23, 0)),0,1),
    --IF(ISNUMBER(MATCH(Data!$G:$G, Categories!$A:$A, 0)),0,1),
     --IF(ISNUMBER(MATCH(Data!$G:$G, Categories!$E:$E, 0)),0,1),
     --IF(ISNUMBER(MATCH(Data!$G:$G, Categories!$G:$G, 0)),0,1),
    --IF(ISNUMBER(MATCH(Data!$G:$G, Categories!$C:$C, 0)),1,0),
    --IF(ISNUMBER(MATCH(Data!$O:$O, {"wells_fargo_checking","sofi_savings","sofi_checking"}, 0)),-1,1),
    IFERROR(Data!$E:$E, 0)
)</f>
        <v>2091.5</v>
      </c>
      <c r="K24" s="2" cm="1">
        <f t="array" ref="K24">SUMPRODUCT(
    --(Data!$J:$J = Summary!K$10),
    --IF(ISNUMBER(MATCH(Data!$G:$G, $B$11:$B$23, 0)),0,1),
    --IF(ISNUMBER(MATCH(Data!$G:$G, Categories!$A:$A, 0)),0,1),
     --IF(ISNUMBER(MATCH(Data!$G:$G, Categories!$E:$E, 0)),0,1),
     --IF(ISNUMBER(MATCH(Data!$G:$G, Categories!$G:$G, 0)),0,1),
    --IF(ISNUMBER(MATCH(Data!$G:$G, Categories!$C:$C, 0)),1,0),
    --IF(ISNUMBER(MATCH(Data!$O:$O, {"wells_fargo_checking","sofi_savings","sofi_checking"}, 0)),-1,1),
    IFERROR(Data!$E:$E, 0)
)</f>
        <v>332.17</v>
      </c>
      <c r="L24" s="2" cm="1">
        <f t="array" ref="L24">SUMPRODUCT(
    --(Data!$J:$J = Summary!L$10),
    --IF(ISNUMBER(MATCH(Data!$G:$G, $B$11:$B$23, 0)),0,1),
    --IF(ISNUMBER(MATCH(Data!$G:$G, Categories!$A:$A, 0)),0,1),
     --IF(ISNUMBER(MATCH(Data!$G:$G, Categories!$E:$E, 0)),0,1),
     --IF(ISNUMBER(MATCH(Data!$G:$G, Categories!$G:$G, 0)),0,1),
    --IF(ISNUMBER(MATCH(Data!$G:$G, Categories!$C:$C, 0)),1,0),
    --IF(ISNUMBER(MATCH(Data!$O:$O, {"wells_fargo_checking","sofi_savings","sofi_checking"}, 0)),-1,1),
    IFERROR(Data!$E:$E, 0)
)</f>
        <v>339.74</v>
      </c>
      <c r="M24" s="2" cm="1">
        <f t="array" ref="M24">SUMPRODUCT(
    --(Data!$J:$J = Summary!M$10),
    --IF(ISNUMBER(MATCH(Data!$G:$G, $B$11:$B$23, 0)),0,1),
    --IF(ISNUMBER(MATCH(Data!$G:$G, Categories!$A:$A, 0)),0,1),
     --IF(ISNUMBER(MATCH(Data!$G:$G, Categories!$E:$E, 0)),0,1),
     --IF(ISNUMBER(MATCH(Data!$G:$G, Categories!$G:$G, 0)),0,1),
    --IF(ISNUMBER(MATCH(Data!$G:$G, Categories!$C:$C, 0)),1,0),
    --IF(ISNUMBER(MATCH(Data!$O:$O, {"wells_fargo_checking","sofi_savings","sofi_checking"}, 0)),-1,1),
    IFERROR(Data!$E:$E, 0)
)</f>
        <v>1106.5899999999999</v>
      </c>
      <c r="N24" s="2" cm="1">
        <f t="array" ref="N24">SUMPRODUCT(
    --(Data!$J:$J = Summary!N$10),
    --IF(ISNUMBER(MATCH(Data!$G:$G, $B$11:$B$23, 0)),0,1),
    --IF(ISNUMBER(MATCH(Data!$G:$G, Categories!$A:$A, 0)),0,1),
     --IF(ISNUMBER(MATCH(Data!$G:$G, Categories!$E:$E, 0)),0,1),
     --IF(ISNUMBER(MATCH(Data!$G:$G, Categories!$G:$G, 0)),0,1),
    --IF(ISNUMBER(MATCH(Data!$G:$G, Categories!$C:$C, 0)),1,0),
    --IF(ISNUMBER(MATCH(Data!$O:$O, {"wells_fargo_checking","sofi_savings","sofi_checking"}, 0)),-1,1),
    IFERROR(Data!$E:$E, 0)
)</f>
        <v>271.41000000000003</v>
      </c>
    </row>
    <row r="25" spans="2:18" x14ac:dyDescent="0.25">
      <c r="B25" s="26" t="s">
        <v>377</v>
      </c>
      <c r="C25" s="24">
        <f>SUM(C11:C24)</f>
        <v>4646.8199999999988</v>
      </c>
      <c r="D25" s="24">
        <f t="shared" ref="D25:N25" si="6">SUM(D11:D24)</f>
        <v>8191.6799999999994</v>
      </c>
      <c r="E25" s="24">
        <f t="shared" si="6"/>
        <v>5332.9599999999991</v>
      </c>
      <c r="F25" s="24">
        <f t="shared" si="6"/>
        <v>4636.49</v>
      </c>
      <c r="G25" s="24">
        <f t="shared" si="6"/>
        <v>1886.73</v>
      </c>
      <c r="H25" s="24">
        <f t="shared" si="6"/>
        <v>2291.2799999999997</v>
      </c>
      <c r="I25" s="24">
        <f t="shared" si="6"/>
        <v>1511.09</v>
      </c>
      <c r="J25" s="24">
        <f t="shared" si="6"/>
        <v>3521.36</v>
      </c>
      <c r="K25" s="24">
        <f t="shared" si="6"/>
        <v>3430.9599999999991</v>
      </c>
      <c r="L25" s="24">
        <f t="shared" si="6"/>
        <v>3492.4299999999994</v>
      </c>
      <c r="M25" s="24">
        <f t="shared" si="6"/>
        <v>4197.1999999999989</v>
      </c>
      <c r="N25" s="24">
        <f t="shared" si="6"/>
        <v>3391.4999999999991</v>
      </c>
    </row>
    <row r="27" spans="2:18" x14ac:dyDescent="0.25">
      <c r="B27" s="23" t="s">
        <v>363</v>
      </c>
      <c r="C27" s="29">
        <v>45292</v>
      </c>
      <c r="D27" s="29">
        <f>EOMONTH(C27,0)+1</f>
        <v>45323</v>
      </c>
      <c r="E27" s="29">
        <f t="shared" ref="E27:N27" si="7">EOMONTH(D27,0)+1</f>
        <v>45352</v>
      </c>
      <c r="F27" s="29">
        <f t="shared" si="7"/>
        <v>45383</v>
      </c>
      <c r="G27" s="29">
        <f t="shared" si="7"/>
        <v>45413</v>
      </c>
      <c r="H27" s="29">
        <f t="shared" si="7"/>
        <v>45444</v>
      </c>
      <c r="I27" s="29">
        <f t="shared" si="7"/>
        <v>45474</v>
      </c>
      <c r="J27" s="29">
        <f t="shared" si="7"/>
        <v>45505</v>
      </c>
      <c r="K27" s="29">
        <f t="shared" si="7"/>
        <v>45536</v>
      </c>
      <c r="L27" s="29">
        <f t="shared" si="7"/>
        <v>45566</v>
      </c>
      <c r="M27" s="29">
        <f t="shared" si="7"/>
        <v>45597</v>
      </c>
      <c r="N27" s="29">
        <f t="shared" si="7"/>
        <v>45627</v>
      </c>
    </row>
    <row r="28" spans="2:18" x14ac:dyDescent="0.25">
      <c r="B28" s="4" t="s">
        <v>24</v>
      </c>
      <c r="C28" s="2">
        <f>SUMIFS(Combined_Accounts[Amount],Combined_Accounts[Date],C$2,Combined_Accounts[Short_Desc],$B28, Combined_Accounts[Account],"discover") +SUMIFS(Combined_Accounts[Amount],Combined_Accounts[Date],C$2,Combined_Accounts[Short_Desc],$B28)*-1</f>
        <v>-250</v>
      </c>
      <c r="D28" s="2">
        <f>SUMIFS(Combined_Accounts[Amount],Combined_Accounts[Date],D$2,Combined_Accounts[Short_Desc],$B28, Combined_Accounts[Account],"discover") +SUMIFS(Combined_Accounts[Amount],Combined_Accounts[Date],D$2,Combined_Accounts[Short_Desc],$B28)*-1</f>
        <v>-50</v>
      </c>
      <c r="E28" s="2">
        <f>SUMIFS(Combined_Accounts[Amount],Combined_Accounts[Date],E$2,Combined_Accounts[Short_Desc],$B28, Combined_Accounts[Account],"discover") +SUMIFS(Combined_Accounts[Amount],Combined_Accounts[Date],E$2,Combined_Accounts[Short_Desc],$B28)*-1</f>
        <v>0</v>
      </c>
      <c r="F28" s="2">
        <f>SUMIFS(Combined_Accounts[Amount],Combined_Accounts[Date],F$2,Combined_Accounts[Short_Desc],$B28, Combined_Accounts[Account],"discover") +SUMIFS(Combined_Accounts[Amount],Combined_Accounts[Date],F$2,Combined_Accounts[Short_Desc],$B28)*-1</f>
        <v>2600</v>
      </c>
      <c r="G28" s="2">
        <f>SUMIFS(Combined_Accounts[Amount],Combined_Accounts[Date],G$2,Combined_Accounts[Short_Desc],$B28, Combined_Accounts[Account],"discover") +SUMIFS(Combined_Accounts[Amount],Combined_Accounts[Date],G$2,Combined_Accounts[Short_Desc],$B28)*-1</f>
        <v>-200</v>
      </c>
      <c r="H28" s="2">
        <f>SUMIFS(Combined_Accounts[Amount],Combined_Accounts[Date],H$2,Combined_Accounts[Short_Desc],$B28, Combined_Accounts[Account],"discover") +SUMIFS(Combined_Accounts[Amount],Combined_Accounts[Date],H$2,Combined_Accounts[Short_Desc],$B28)*-1</f>
        <v>0</v>
      </c>
      <c r="I28" s="2">
        <f>SUMIFS(Combined_Accounts[Amount],Combined_Accounts[Date],I$2,Combined_Accounts[Short_Desc],$B28, Combined_Accounts[Account],"discover") +SUMIFS(Combined_Accounts[Amount],Combined_Accounts[Date],I$2,Combined_Accounts[Short_Desc],$B28)*-1</f>
        <v>0</v>
      </c>
      <c r="J28" s="2">
        <f>SUMIFS(Combined_Accounts[Amount],Combined_Accounts[Date],J$2,Combined_Accounts[Short_Desc],$B28, Combined_Accounts[Account],"discover") +SUMIFS(Combined_Accounts[Amount],Combined_Accounts[Date],J$2,Combined_Accounts[Short_Desc],$B28)*-1</f>
        <v>50</v>
      </c>
      <c r="K28" s="2">
        <f>SUMIFS(Combined_Accounts[Amount],Combined_Accounts[Date],K$2,Combined_Accounts[Short_Desc],$B28, Combined_Accounts[Account],"discover") +SUMIFS(Combined_Accounts[Amount],Combined_Accounts[Date],K$2,Combined_Accounts[Short_Desc],$B28)*-1</f>
        <v>-10</v>
      </c>
      <c r="L28" s="2">
        <f>SUMIFS(Combined_Accounts[Amount],Combined_Accounts[Date],L$2,Combined_Accounts[Short_Desc],$B28, Combined_Accounts[Account],"discover") +SUMIFS(Combined_Accounts[Amount],Combined_Accounts[Date],L$2,Combined_Accounts[Short_Desc],$B28)*-1</f>
        <v>0</v>
      </c>
      <c r="M28" s="2">
        <f>SUMIFS(Combined_Accounts[Amount],Combined_Accounts[Date],M$2,Combined_Accounts[Short_Desc],$B28, Combined_Accounts[Account],"discover") +SUMIFS(Combined_Accounts[Amount],Combined_Accounts[Date],M$2,Combined_Accounts[Short_Desc],$B28)*-1</f>
        <v>500</v>
      </c>
      <c r="N28" s="2">
        <f>SUMIFS(Combined_Accounts[Amount],Combined_Accounts[Date],N$2,Combined_Accounts[Short_Desc],$B28, Combined_Accounts[Account],"discover") +SUMIFS(Combined_Accounts[Amount],Combined_Accounts[Date],N$2,Combined_Accounts[Short_Desc],$B28)*-1</f>
        <v>0</v>
      </c>
      <c r="O28" s="3">
        <f>SUM(C28:N28)</f>
        <v>2640</v>
      </c>
    </row>
    <row r="29" spans="2:18" x14ac:dyDescent="0.25">
      <c r="B29" s="4" t="s">
        <v>392</v>
      </c>
      <c r="C29" s="2">
        <f>SUMIFS(Combined_Accounts[Amount],Combined_Accounts[Date],C$2,Combined_Accounts[Short_Desc],$B29, Combined_Accounts[Account],"discover") +SUMIFS(Combined_Accounts[Amount],Combined_Accounts[Date],C$2,Combined_Accounts[Short_Desc],$B29)*-1</f>
        <v>111.63</v>
      </c>
      <c r="D29" s="2">
        <f>SUMIFS(Combined_Accounts[Amount],Combined_Accounts[Date],D$2,Combined_Accounts[Short_Desc],$B29, Combined_Accounts[Account],"discover") +SUMIFS(Combined_Accounts[Amount],Combined_Accounts[Date],D$2,Combined_Accounts[Short_Desc],$B29)*-1</f>
        <v>111.63</v>
      </c>
      <c r="E29" s="2">
        <f>SUMIFS(Combined_Accounts[Amount],Combined_Accounts[Date],E$2,Combined_Accounts[Short_Desc],$B29, Combined_Accounts[Account],"discover") +SUMIFS(Combined_Accounts[Amount],Combined_Accounts[Date],E$2,Combined_Accounts[Short_Desc],$B29)*-1</f>
        <v>65.83</v>
      </c>
      <c r="F29" s="2">
        <f>SUMIFS(Combined_Accounts[Amount],Combined_Accounts[Date],F$2,Combined_Accounts[Short_Desc],$B29, Combined_Accounts[Account],"discover") +SUMIFS(Combined_Accounts[Amount],Combined_Accounts[Date],F$2,Combined_Accounts[Short_Desc],$B29)*-1</f>
        <v>65.83</v>
      </c>
      <c r="G29" s="2">
        <f>SUMIFS(Combined_Accounts[Amount],Combined_Accounts[Date],G$2,Combined_Accounts[Short_Desc],$B29, Combined_Accounts[Account],"discover") +SUMIFS(Combined_Accounts[Amount],Combined_Accounts[Date],G$2,Combined_Accounts[Short_Desc],$B29)*-1</f>
        <v>76.61</v>
      </c>
      <c r="H29" s="2">
        <f>SUMIFS(Combined_Accounts[Amount],Combined_Accounts[Date],H$2,Combined_Accounts[Short_Desc],$B29, Combined_Accounts[Account],"discover") +SUMIFS(Combined_Accounts[Amount],Combined_Accounts[Date],H$2,Combined_Accounts[Short_Desc],$B29)*-1</f>
        <v>1581.33</v>
      </c>
      <c r="I29" s="2">
        <f>SUMIFS(Combined_Accounts[Amount],Combined_Accounts[Date],I$2,Combined_Accounts[Short_Desc],$B29, Combined_Accounts[Account],"discover") +SUMIFS(Combined_Accounts[Amount],Combined_Accounts[Date],I$2,Combined_Accounts[Short_Desc],$B29)*-1</f>
        <v>1142.32</v>
      </c>
      <c r="J29" s="2">
        <f>SUMIFS(Combined_Accounts[Amount],Combined_Accounts[Date],J$2,Combined_Accounts[Short_Desc],$B29, Combined_Accounts[Account],"discover") +SUMIFS(Combined_Accounts[Amount],Combined_Accounts[Date],J$2,Combined_Accounts[Short_Desc],$B29)*-1</f>
        <v>65.83</v>
      </c>
      <c r="K29" s="2">
        <f>SUMIFS(Combined_Accounts[Amount],Combined_Accounts[Date],K$2,Combined_Accounts[Short_Desc],$B29, Combined_Accounts[Account],"discover") +SUMIFS(Combined_Accounts[Amount],Combined_Accounts[Date],K$2,Combined_Accounts[Short_Desc],$B29)*-1</f>
        <v>65.83</v>
      </c>
      <c r="L29" s="2">
        <f>SUMIFS(Combined_Accounts[Amount],Combined_Accounts[Date],L$2,Combined_Accounts[Short_Desc],$B29, Combined_Accounts[Account],"discover") +SUMIFS(Combined_Accounts[Amount],Combined_Accounts[Date],L$2,Combined_Accounts[Short_Desc],$B29)*-1</f>
        <v>65.91</v>
      </c>
      <c r="M29" s="2">
        <f>SUMIFS(Combined_Accounts[Amount],Combined_Accounts[Date],M$2,Combined_Accounts[Short_Desc],$B29, Combined_Accounts[Account],"discover") +SUMIFS(Combined_Accounts[Amount],Combined_Accounts[Date],M$2,Combined_Accounts[Short_Desc],$B29)*-1</f>
        <v>70</v>
      </c>
      <c r="N29" s="2">
        <f>SUMIFS(Combined_Accounts[Amount],Combined_Accounts[Date],N$2,Combined_Accounts[Short_Desc],$B29, Combined_Accounts[Account],"discover") +SUMIFS(Combined_Accounts[Amount],Combined_Accounts[Date],N$2,Combined_Accounts[Short_Desc],$B29)*-1</f>
        <v>70</v>
      </c>
      <c r="O29" s="3">
        <f>SUM(C29:N29)</f>
        <v>3492.7499999999995</v>
      </c>
    </row>
    <row r="30" spans="2:18" x14ac:dyDescent="0.25">
      <c r="B30" s="4" t="s">
        <v>1080</v>
      </c>
      <c r="C30" s="2" cm="1">
        <f t="array" ref="C30">SUMPRODUCT(
    --(Data!$J:$J = Summary!C$10),
    --IF(ISNUMBER(MATCH(Data!$G:$G, B28:$B$29, 0)),0,1),
    --IF(ISNUMBER(MATCH(Data!$G:$G, Categories!$A:$A, 0)),0,1),
     --IF(ISNUMBER(MATCH(Data!$G:$G, Categories!$E:$E, 0)),1,0),
     --IF(ISNUMBER(MATCH(Data!$G:$G, Categories!$G:$G, 0)),0,1),
    --IF(ISNUMBER(MATCH(Data!$G:$G, Categories!$C:$C, 0)),0,1),
    --IF(ISNUMBER(MATCH(Data!$O:$O, {"wells_fargo_checking","sofi_savings","sofi_checking"}, 0)),-1,1),
    IFERROR(Data!$E:$E, 0)
)</f>
        <v>2881.1399999999994</v>
      </c>
      <c r="D30" s="2" cm="1">
        <f t="array" ref="D30">SUMPRODUCT(
    --(Data!$J:$J = Summary!D$10),
    --IF(ISNUMBER(MATCH(Data!$G:$G, $B28:C$29, 0)),0,1),
    --IF(ISNUMBER(MATCH(Data!$G:$G, Categories!$A:$A, 0)),0,1),
     --IF(ISNUMBER(MATCH(Data!$G:$G, Categories!$E:$E, 0)),1,0),
     --IF(ISNUMBER(MATCH(Data!$G:$G, Categories!$G:$G, 0)),0,1),
    --IF(ISNUMBER(MATCH(Data!$G:$G, Categories!$C:$C, 0)),0,1),
    --IF(ISNUMBER(MATCH(Data!$O:$O, {"wells_fargo_checking","sofi_savings","sofi_checking"}, 0)),-1,1),
    IFERROR(Data!$E:$E, 0)
)</f>
        <v>3156.4499999999994</v>
      </c>
      <c r="E30" s="2" cm="1">
        <f t="array" ref="E30">SUMPRODUCT(
    --(Data!$J:$J = Summary!E$10),
    --IF(ISNUMBER(MATCH(Data!$G:$G, $B28:D$29, 0)),0,1),
    --IF(ISNUMBER(MATCH(Data!$G:$G, Categories!$A:$A, 0)),0,1),
     --IF(ISNUMBER(MATCH(Data!$G:$G, Categories!$E:$E, 0)),1,0),
     --IF(ISNUMBER(MATCH(Data!$G:$G, Categories!$G:$G, 0)),0,1),
    --IF(ISNUMBER(MATCH(Data!$G:$G, Categories!$C:$C, 0)),0,1),
    --IF(ISNUMBER(MATCH(Data!$O:$O, {"wells_fargo_checking","sofi_savings","sofi_checking"}, 0)),-1,1),
    IFERROR(Data!$E:$E, 0)
)</f>
        <v>2484.2299999999987</v>
      </c>
      <c r="F30" s="2" cm="1">
        <f t="array" ref="F30">SUMPRODUCT(
    --(Data!$J:$J = Summary!F$10),
    --IF(ISNUMBER(MATCH(Data!$G:$G, $B28:E$29, 0)),0,1),
    --IF(ISNUMBER(MATCH(Data!$G:$G, Categories!$A:$A, 0)),0,1),
     --IF(ISNUMBER(MATCH(Data!$G:$G, Categories!$E:$E, 0)),1,0),
     --IF(ISNUMBER(MATCH(Data!$G:$G, Categories!$G:$G, 0)),0,1),
    --IF(ISNUMBER(MATCH(Data!$G:$G, Categories!$C:$C, 0)),0,1),
    --IF(ISNUMBER(MATCH(Data!$O:$O, {"wells_fargo_checking","sofi_savings","sofi_checking"}, 0)),-1,1),
    IFERROR(Data!$E:$E, 0)
)</f>
        <v>4596.9799999999977</v>
      </c>
      <c r="G30" s="2" cm="1">
        <f t="array" ref="G30">SUMPRODUCT(
    --(Data!$J:$J = Summary!G$10),
    --IF(ISNUMBER(MATCH(Data!$G:$G, $B28:F$29, 0)),0,1),
    --IF(ISNUMBER(MATCH(Data!$G:$G, Categories!$A:$A, 0)),0,1),
     --IF(ISNUMBER(MATCH(Data!$G:$G, Categories!$E:$E, 0)),1,0),
     --IF(ISNUMBER(MATCH(Data!$G:$G, Categories!$G:$G, 0)),0,1),
    --IF(ISNUMBER(MATCH(Data!$G:$G, Categories!$C:$C, 0)),0,1),
    --IF(ISNUMBER(MATCH(Data!$O:$O, {"wells_fargo_checking","sofi_savings","sofi_checking"}, 0)),-1,1),
    IFERROR(Data!$E:$E, 0)
)</f>
        <v>51.539999999999957</v>
      </c>
      <c r="H30" s="2" cm="1">
        <f t="array" ref="H30">SUMPRODUCT(
    --(Data!$J:$J = Summary!H$10),
    --IF(ISNUMBER(MATCH(Data!$G:$G, $B28:G$29, 0)),0,1),
    --IF(ISNUMBER(MATCH(Data!$G:$G, Categories!$A:$A, 0)),0,1),
     --IF(ISNUMBER(MATCH(Data!$G:$G, Categories!$E:$E, 0)),1,0),
     --IF(ISNUMBER(MATCH(Data!$G:$G, Categories!$G:$G, 0)),0,1),
    --IF(ISNUMBER(MATCH(Data!$G:$G, Categories!$C:$C, 0)),0,1),
    --IF(ISNUMBER(MATCH(Data!$O:$O, {"wells_fargo_checking","sofi_savings","sofi_checking"}, 0)),-1,1),
    IFERROR(Data!$E:$E, 0)
)</f>
        <v>2003.2999999999997</v>
      </c>
      <c r="I30" s="2" cm="1">
        <f t="array" ref="I30">SUMPRODUCT(
    --(Data!$J:$J = Summary!I$10),
    --IF(ISNUMBER(MATCH(Data!$G:$G, $B28:H$29, 0)),0,1),
    --IF(ISNUMBER(MATCH(Data!$G:$G, Categories!$A:$A, 0)),0,1),
     --IF(ISNUMBER(MATCH(Data!$G:$G, Categories!$E:$E, 0)),1,0),
     --IF(ISNUMBER(MATCH(Data!$G:$G, Categories!$G:$G, 0)),0,1),
    --IF(ISNUMBER(MATCH(Data!$G:$G, Categories!$C:$C, 0)),0,1),
    --IF(ISNUMBER(MATCH(Data!$O:$O, {"wells_fargo_checking","sofi_savings","sofi_checking"}, 0)),-1,1),
    IFERROR(Data!$E:$E, 0)
)</f>
        <v>1202.8699999999999</v>
      </c>
      <c r="J30" s="2" cm="1">
        <f t="array" ref="J30">SUMPRODUCT(
    --(Data!$J:$J = Summary!J$10),
    --IF(ISNUMBER(MATCH(Data!$G:$G, $B28:I$29, 0)),0,1),
    --IF(ISNUMBER(MATCH(Data!$G:$G, Categories!$A:$A, 0)),0,1),
     --IF(ISNUMBER(MATCH(Data!$G:$G, Categories!$E:$E, 0)),1,0),
     --IF(ISNUMBER(MATCH(Data!$G:$G, Categories!$G:$G, 0)),0,1),
    --IF(ISNUMBER(MATCH(Data!$G:$G, Categories!$C:$C, 0)),0,1),
    --IF(ISNUMBER(MATCH(Data!$O:$O, {"wells_fargo_checking","sofi_savings","sofi_checking"}, 0)),-1,1),
    IFERROR(Data!$E:$E, 0)
)</f>
        <v>3647.7299999999991</v>
      </c>
      <c r="K30" s="2" cm="1">
        <f t="array" ref="K30">SUMPRODUCT(
    --(Data!$J:$J = Summary!K$10),
    --IF(ISNUMBER(MATCH(Data!$G:$G, $B28:J$29, 0)),0,1),
    --IF(ISNUMBER(MATCH(Data!$G:$G, Categories!$A:$A, 0)),0,1),
     --IF(ISNUMBER(MATCH(Data!$G:$G, Categories!$E:$E, 0)),1,0),
     --IF(ISNUMBER(MATCH(Data!$G:$G, Categories!$G:$G, 0)),0,1),
    --IF(ISNUMBER(MATCH(Data!$G:$G, Categories!$C:$C, 0)),0,1),
    --IF(ISNUMBER(MATCH(Data!$O:$O, {"wells_fargo_checking","sofi_savings","sofi_checking"}, 0)),-1,1),
    IFERROR(Data!$E:$E, 0)
)</f>
        <v>4112.78</v>
      </c>
      <c r="L30" s="2" cm="1">
        <f t="array" ref="L30">SUMPRODUCT(
    --(Data!$J:$J = Summary!L$10),
    --IF(ISNUMBER(MATCH(Data!$G:$G, $B28:K$29, 0)),0,1),
    --IF(ISNUMBER(MATCH(Data!$G:$G, Categories!$A:$A, 0)),0,1),
     --IF(ISNUMBER(MATCH(Data!$G:$G, Categories!$E:$E, 0)),1,0),
     --IF(ISNUMBER(MATCH(Data!$G:$G, Categories!$G:$G, 0)),0,1),
    --IF(ISNUMBER(MATCH(Data!$G:$G, Categories!$C:$C, 0)),0,1),
    --IF(ISNUMBER(MATCH(Data!$O:$O, {"wells_fargo_checking","sofi_savings","sofi_checking"}, 0)),-1,1),
    IFERROR(Data!$E:$E, 0)
)</f>
        <v>3693.6699999999987</v>
      </c>
      <c r="M30" s="2" cm="1">
        <f t="array" ref="M30">SUMPRODUCT(
    --(Data!$J:$J = Summary!M$10),
    --IF(ISNUMBER(MATCH(Data!$G:$G, $B28:L$29, 0)),0,1),
    --IF(ISNUMBER(MATCH(Data!$G:$G, Categories!$A:$A, 0)),0,1),
     --IF(ISNUMBER(MATCH(Data!$G:$G, Categories!$E:$E, 0)),1,0),
     --IF(ISNUMBER(MATCH(Data!$G:$G, Categories!$G:$G, 0)),0,1),
    --IF(ISNUMBER(MATCH(Data!$G:$G, Categories!$C:$C, 0)),0,1),
    --IF(ISNUMBER(MATCH(Data!$O:$O, {"wells_fargo_checking","sofi_savings","sofi_checking"}, 0)),-1,1),
    IFERROR(Data!$E:$E, 0)
)</f>
        <v>2928.5299999999997</v>
      </c>
      <c r="N30" s="2" cm="1">
        <f t="array" ref="N30">SUMPRODUCT(
    --(Data!$J:$J = Summary!N$10),
    --IF(ISNUMBER(MATCH(Data!$G:$G, $B28:M$29, 0)),0,1),
    --IF(ISNUMBER(MATCH(Data!$G:$G, Categories!$A:$A, 0)),0,1),
     --IF(ISNUMBER(MATCH(Data!$G:$G, Categories!$E:$E, 0)),1,0),
     --IF(ISNUMBER(MATCH(Data!$G:$G, Categories!$G:$G, 0)),0,1),
    --IF(ISNUMBER(MATCH(Data!$G:$G, Categories!$C:$C, 0)),0,1),
    --IF(ISNUMBER(MATCH(Data!$O:$O, {"wells_fargo_checking","sofi_savings","sofi_checking"}, 0)),-1,1),
    IFERROR(Data!$E:$E, 0)
)</f>
        <v>1712.2400000000002</v>
      </c>
      <c r="O30" s="3"/>
    </row>
    <row r="31" spans="2:18" x14ac:dyDescent="0.25">
      <c r="B31" s="26" t="s">
        <v>377</v>
      </c>
      <c r="C31" s="24">
        <f>SUM(C28:C30)</f>
        <v>2742.7699999999995</v>
      </c>
      <c r="D31" s="24">
        <f t="shared" ref="D31:N31" si="8">SUM(D28:D30)</f>
        <v>3218.0799999999995</v>
      </c>
      <c r="E31" s="24">
        <f t="shared" si="8"/>
        <v>2550.0599999999986</v>
      </c>
      <c r="F31" s="24">
        <f t="shared" si="8"/>
        <v>7262.8099999999977</v>
      </c>
      <c r="G31" s="24">
        <f t="shared" si="8"/>
        <v>-71.850000000000051</v>
      </c>
      <c r="H31" s="24">
        <f t="shared" si="8"/>
        <v>3584.6299999999997</v>
      </c>
      <c r="I31" s="24">
        <f t="shared" si="8"/>
        <v>2345.1899999999996</v>
      </c>
      <c r="J31" s="24">
        <f t="shared" si="8"/>
        <v>3763.559999999999</v>
      </c>
      <c r="K31" s="24">
        <f t="shared" si="8"/>
        <v>4168.6099999999997</v>
      </c>
      <c r="L31" s="24">
        <f t="shared" si="8"/>
        <v>3759.5799999999986</v>
      </c>
      <c r="M31" s="24">
        <f t="shared" si="8"/>
        <v>3498.5299999999997</v>
      </c>
      <c r="N31" s="24">
        <f t="shared" si="8"/>
        <v>1782.2400000000002</v>
      </c>
    </row>
    <row r="32" spans="2:18" x14ac:dyDescent="0.25">
      <c r="B32" s="4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5" x14ac:dyDescent="0.25">
      <c r="B33" s="23" t="s">
        <v>391</v>
      </c>
      <c r="C33" s="29">
        <v>45292</v>
      </c>
      <c r="D33" s="29">
        <f>EOMONTH(C33,0)+1</f>
        <v>45323</v>
      </c>
      <c r="E33" s="29">
        <f t="shared" ref="E33:N33" si="9">EOMONTH(D33,0)+1</f>
        <v>45352</v>
      </c>
      <c r="F33" s="29">
        <f t="shared" si="9"/>
        <v>45383</v>
      </c>
      <c r="G33" s="29">
        <f t="shared" si="9"/>
        <v>45413</v>
      </c>
      <c r="H33" s="29">
        <f t="shared" si="9"/>
        <v>45444</v>
      </c>
      <c r="I33" s="29">
        <f t="shared" si="9"/>
        <v>45474</v>
      </c>
      <c r="J33" s="29">
        <f t="shared" si="9"/>
        <v>45505</v>
      </c>
      <c r="K33" s="29">
        <f t="shared" si="9"/>
        <v>45536</v>
      </c>
      <c r="L33" s="29">
        <f t="shared" si="9"/>
        <v>45566</v>
      </c>
      <c r="M33" s="29">
        <f t="shared" si="9"/>
        <v>45597</v>
      </c>
      <c r="N33" s="29">
        <f t="shared" si="9"/>
        <v>45627</v>
      </c>
    </row>
    <row r="34" spans="1:15" x14ac:dyDescent="0.25">
      <c r="B34" s="4" t="s">
        <v>409</v>
      </c>
      <c r="C34" s="2">
        <f>SUMIFS(Combined_Accounts[Amount],Combined_Accounts[Date],C$2,Combined_Accounts[Short_Desc],$B34, Combined_Accounts[Account],"discover")
+ SUMIFS(Combined_Accounts[Amount],Combined_Accounts[Date],C$2,Combined_Accounts[Short_Desc],$B34, Combined_Accounts[Account],"wells_fargo_checking") *-1</f>
        <v>0</v>
      </c>
      <c r="D34" s="2">
        <f>SUMIFS(Combined_Accounts[Amount],Combined_Accounts[Date],D$2,Combined_Accounts[Short_Desc],$B34, Combined_Accounts[Account],"discover")
+ SUMIFS(Combined_Accounts[Amount],Combined_Accounts[Date],D$2,Combined_Accounts[Short_Desc],$B34, Combined_Accounts[Account],"wells_fargo_checking") *-1</f>
        <v>0</v>
      </c>
      <c r="E34" s="2">
        <f>SUMIFS(Combined_Accounts[Amount],Combined_Accounts[Date],E$2,Combined_Accounts[Short_Desc],$B34, Combined_Accounts[Account],"discover")
+ SUMIFS(Combined_Accounts[Amount],Combined_Accounts[Date],E$2,Combined_Accounts[Short_Desc],$B34, Combined_Accounts[Account],"wells_fargo_checking") *-1</f>
        <v>0</v>
      </c>
      <c r="F34" s="2">
        <f>SUMIFS(Combined_Accounts[Amount],Combined_Accounts[Date],F$2,Combined_Accounts[Short_Desc],$B34, Combined_Accounts[Account],"discover")
+ SUMIFS(Combined_Accounts[Amount],Combined_Accounts[Date],F$2,Combined_Accounts[Short_Desc],$B34, Combined_Accounts[Account],"wells_fargo_checking") *-1</f>
        <v>356.15999999999997</v>
      </c>
      <c r="G34" s="2">
        <f>SUMIFS(Combined_Accounts[Amount],Combined_Accounts[Date],G$2,Combined_Accounts[Short_Desc],$B34, Combined_Accounts[Account],"discover")
+ SUMIFS(Combined_Accounts[Amount],Combined_Accounts[Date],G$2,Combined_Accounts[Short_Desc],$B34, Combined_Accounts[Account],"wells_fargo_checking") *-1</f>
        <v>7.24</v>
      </c>
      <c r="H34" s="2">
        <f>SUMIFS(Combined_Accounts[Amount],Combined_Accounts[Date],H$2,Combined_Accounts[Short_Desc],$B34, Combined_Accounts[Account],"discover")
+ SUMIFS(Combined_Accounts[Amount],Combined_Accounts[Date],H$2,Combined_Accounts[Short_Desc],$B34, Combined_Accounts[Account],"wells_fargo_checking") *-1</f>
        <v>0</v>
      </c>
      <c r="I34" s="2">
        <f>SUMIFS(Combined_Accounts[Amount],Combined_Accounts[Date],I$2,Combined_Accounts[Short_Desc],$B34, Combined_Accounts[Account],"discover")
+ SUMIFS(Combined_Accounts[Amount],Combined_Accounts[Date],I$2,Combined_Accounts[Short_Desc],$B34, Combined_Accounts[Account],"wells_fargo_checking") *-1</f>
        <v>0</v>
      </c>
      <c r="J34" s="2">
        <f>SUMIFS(Combined_Accounts[Amount],Combined_Accounts[Date],J$2,Combined_Accounts[Short_Desc],$B34, Combined_Accounts[Account],"discover")
+ SUMIFS(Combined_Accounts[Amount],Combined_Accounts[Date],J$2,Combined_Accounts[Short_Desc],$B34, Combined_Accounts[Account],"wells_fargo_checking") *-1</f>
        <v>0</v>
      </c>
      <c r="K34" s="2">
        <f>SUMIFS(Combined_Accounts[Amount],Combined_Accounts[Date],K$2,Combined_Accounts[Short_Desc],$B34, Combined_Accounts[Account],"discover")
+ SUMIFS(Combined_Accounts[Amount],Combined_Accounts[Date],K$2,Combined_Accounts[Short_Desc],$B34, Combined_Accounts[Account],"wells_fargo_checking") *-1</f>
        <v>0</v>
      </c>
      <c r="L34" s="2">
        <f>SUMIFS(Combined_Accounts[Amount],Combined_Accounts[Date],L$2,Combined_Accounts[Short_Desc],$B34, Combined_Accounts[Account],"discover")
+ SUMIFS(Combined_Accounts[Amount],Combined_Accounts[Date],L$2,Combined_Accounts[Short_Desc],$B34, Combined_Accounts[Account],"wells_fargo_checking") *-1</f>
        <v>0</v>
      </c>
      <c r="M34" s="2">
        <f>SUMIFS(Combined_Accounts[Amount],Combined_Accounts[Date],M$2,Combined_Accounts[Short_Desc],$B34, Combined_Accounts[Account],"discover")
+ SUMIFS(Combined_Accounts[Amount],Combined_Accounts[Date],M$2,Combined_Accounts[Short_Desc],$B34, Combined_Accounts[Account],"wells_fargo_checking") *-1</f>
        <v>0</v>
      </c>
      <c r="N34" s="2">
        <f>SUMIFS(Combined_Accounts[Amount],Combined_Accounts[Date],N$2,Combined_Accounts[Short_Desc],$B34, Combined_Accounts[Account],"discover")
+ SUMIFS(Combined_Accounts[Amount],Combined_Accounts[Date],N$2,Combined_Accounts[Short_Desc],$B34, Combined_Accounts[Account],"wells_fargo_checking") *-1</f>
        <v>0</v>
      </c>
      <c r="O34" s="3">
        <f>SUM(C34:N34)</f>
        <v>363.4</v>
      </c>
    </row>
    <row r="35" spans="1:15" x14ac:dyDescent="0.25">
      <c r="B35" s="4" t="s">
        <v>385</v>
      </c>
      <c r="C35" s="2">
        <f>SUMIFS(Combined_Accounts[Amount],Combined_Accounts[Date],C$2,Combined_Accounts[Short_Desc],$B35, Combined_Accounts[Account],"discover")
+ SUMIFS(Combined_Accounts[Amount],Combined_Accounts[Date],C$2,Combined_Accounts[Short_Desc],$B35, Combined_Accounts[Account],"wells_fargo_checking") *-1</f>
        <v>199.76</v>
      </c>
      <c r="D35" s="2">
        <f>SUMIFS(Combined_Accounts[Amount],Combined_Accounts[Date],D$2,Combined_Accounts[Short_Desc],$B35, Combined_Accounts[Account],"discover")
+ SUMIFS(Combined_Accounts[Amount],Combined_Accounts[Date],D$2,Combined_Accounts[Short_Desc],$B35, Combined_Accounts[Account],"wells_fargo_checking") *-1</f>
        <v>0</v>
      </c>
      <c r="E35" s="2">
        <f>SUMIFS(Combined_Accounts[Amount],Combined_Accounts[Date],E$2,Combined_Accounts[Short_Desc],$B35, Combined_Accounts[Account],"discover")
+ SUMIFS(Combined_Accounts[Amount],Combined_Accounts[Date],E$2,Combined_Accounts[Short_Desc],$B35, Combined_Accounts[Account],"wells_fargo_checking") *-1</f>
        <v>191.23</v>
      </c>
      <c r="F35" s="2">
        <f>SUMIFS(Combined_Accounts[Amount],Combined_Accounts[Date],F$2,Combined_Accounts[Short_Desc],$B35, Combined_Accounts[Account],"discover")
+ SUMIFS(Combined_Accounts[Amount],Combined_Accounts[Date],F$2,Combined_Accounts[Short_Desc],$B35, Combined_Accounts[Account],"wells_fargo_checking") *-1</f>
        <v>188.25</v>
      </c>
      <c r="G35" s="2">
        <f>SUMIFS(Combined_Accounts[Amount],Combined_Accounts[Date],G$2,Combined_Accounts[Short_Desc],$B35, Combined_Accounts[Account],"discover")
+ SUMIFS(Combined_Accounts[Amount],Combined_Accounts[Date],G$2,Combined_Accounts[Short_Desc],$B35, Combined_Accounts[Account],"wells_fargo_checking") *-1</f>
        <v>976.57</v>
      </c>
      <c r="H35" s="2">
        <f>SUMIFS(Combined_Accounts[Amount],Combined_Accounts[Date],H$2,Combined_Accounts[Short_Desc],$B35, Combined_Accounts[Account],"discover")
+ SUMIFS(Combined_Accounts[Amount],Combined_Accounts[Date],H$2,Combined_Accounts[Short_Desc],$B35, Combined_Accounts[Account],"wells_fargo_checking") *-1</f>
        <v>271.18</v>
      </c>
      <c r="I35" s="2">
        <f>SUMIFS(Combined_Accounts[Amount],Combined_Accounts[Date],I$2,Combined_Accounts[Short_Desc],$B35, Combined_Accounts[Account],"discover")
+ SUMIFS(Combined_Accounts[Amount],Combined_Accounts[Date],I$2,Combined_Accounts[Short_Desc],$B35, Combined_Accounts[Account],"wells_fargo_checking") *-1</f>
        <v>0</v>
      </c>
      <c r="J35" s="2">
        <f>SUMIFS(Combined_Accounts[Amount],Combined_Accounts[Date],J$2,Combined_Accounts[Short_Desc],$B35, Combined_Accounts[Account],"discover")
+ SUMIFS(Combined_Accounts[Amount],Combined_Accounts[Date],J$2,Combined_Accounts[Short_Desc],$B35, Combined_Accounts[Account],"wells_fargo_checking") *-1</f>
        <v>15</v>
      </c>
      <c r="K35" s="2">
        <f>SUMIFS(Combined_Accounts[Amount],Combined_Accounts[Date],K$2,Combined_Accounts[Short_Desc],$B35, Combined_Accounts[Account],"discover")
+ SUMIFS(Combined_Accounts[Amount],Combined_Accounts[Date],K$2,Combined_Accounts[Short_Desc],$B35, Combined_Accounts[Account],"wells_fargo_checking") *-1</f>
        <v>121.5</v>
      </c>
      <c r="L35" s="2">
        <f>SUMIFS(Combined_Accounts[Amount],Combined_Accounts[Date],L$2,Combined_Accounts[Short_Desc],$B35, Combined_Accounts[Account],"discover")
+ SUMIFS(Combined_Accounts[Amount],Combined_Accounts[Date],L$2,Combined_Accounts[Short_Desc],$B35, Combined_Accounts[Account],"wells_fargo_checking") *-1</f>
        <v>134.61000000000001</v>
      </c>
      <c r="M35" s="2">
        <f>SUMIFS(Combined_Accounts[Amount],Combined_Accounts[Date],M$2,Combined_Accounts[Short_Desc],$B35, Combined_Accounts[Account],"discover")
+ SUMIFS(Combined_Accounts[Amount],Combined_Accounts[Date],M$2,Combined_Accounts[Short_Desc],$B35, Combined_Accounts[Account],"wells_fargo_checking") *-1</f>
        <v>55.39</v>
      </c>
      <c r="N35" s="2">
        <f>SUMIFS(Combined_Accounts[Amount],Combined_Accounts[Date],N$2,Combined_Accounts[Short_Desc],$B35, Combined_Accounts[Account],"discover")
+ SUMIFS(Combined_Accounts[Amount],Combined_Accounts[Date],N$2,Combined_Accounts[Short_Desc],$B35, Combined_Accounts[Account],"wells_fargo_checking") *-1</f>
        <v>220.05</v>
      </c>
      <c r="O35" s="3">
        <f>SUM(C35:N35)</f>
        <v>2373.54</v>
      </c>
    </row>
    <row r="36" spans="1:15" x14ac:dyDescent="0.25">
      <c r="B36" s="4" t="s">
        <v>394</v>
      </c>
      <c r="C36" s="2">
        <f>SUMIFS(Combined_Accounts[Amount],Combined_Accounts[Date],C$2,Combined_Accounts[Short_Desc],$B36, Combined_Accounts[Account],"discover")
+ SUMIFS(Combined_Accounts[Amount],Combined_Accounts[Date],C$2,Combined_Accounts[Short_Desc],$B36, Combined_Accounts[Account],"wells_fargo_checking") *-1</f>
        <v>0</v>
      </c>
      <c r="D36" s="2">
        <f>SUMIFS(Combined_Accounts[Amount],Combined_Accounts[Date],D$2,Combined_Accounts[Short_Desc],$B36, Combined_Accounts[Account],"discover")
+ SUMIFS(Combined_Accounts[Amount],Combined_Accounts[Date],D$2,Combined_Accounts[Short_Desc],$B36, Combined_Accounts[Account],"wells_fargo_checking") *-1</f>
        <v>0</v>
      </c>
      <c r="E36" s="2">
        <f>SUMIFS(Combined_Accounts[Amount],Combined_Accounts[Date],E$2,Combined_Accounts[Short_Desc],$B36, Combined_Accounts[Account],"discover")
+ SUMIFS(Combined_Accounts[Amount],Combined_Accounts[Date],E$2,Combined_Accounts[Short_Desc],$B36, Combined_Accounts[Account],"wells_fargo_checking") *-1</f>
        <v>13.1</v>
      </c>
      <c r="F36" s="2">
        <f>SUMIFS(Combined_Accounts[Amount],Combined_Accounts[Date],F$2,Combined_Accounts[Short_Desc],$B36, Combined_Accounts[Account],"discover")
+ SUMIFS(Combined_Accounts[Amount],Combined_Accounts[Date],F$2,Combined_Accounts[Short_Desc],$B36, Combined_Accounts[Account],"wells_fargo_checking") *-1</f>
        <v>0</v>
      </c>
      <c r="G36" s="2">
        <f>SUMIFS(Combined_Accounts[Amount],Combined_Accounts[Date],G$2,Combined_Accounts[Short_Desc],$B36, Combined_Accounts[Account],"discover")
+ SUMIFS(Combined_Accounts[Amount],Combined_Accounts[Date],G$2,Combined_Accounts[Short_Desc],$B36, Combined_Accounts[Account],"wells_fargo_checking") *-1</f>
        <v>1307.73</v>
      </c>
      <c r="H36" s="2">
        <f>SUMIFS(Combined_Accounts[Amount],Combined_Accounts[Date],H$2,Combined_Accounts[Short_Desc],$B36, Combined_Accounts[Account],"discover")
+ SUMIFS(Combined_Accounts[Amount],Combined_Accounts[Date],H$2,Combined_Accounts[Short_Desc],$B36, Combined_Accounts[Account],"wells_fargo_checking") *-1</f>
        <v>580.97</v>
      </c>
      <c r="I36" s="2">
        <f>SUMIFS(Combined_Accounts[Amount],Combined_Accounts[Date],I$2,Combined_Accounts[Short_Desc],$B36, Combined_Accounts[Account],"discover")
+ SUMIFS(Combined_Accounts[Amount],Combined_Accounts[Date],I$2,Combined_Accounts[Short_Desc],$B36, Combined_Accounts[Account],"wells_fargo_checking") *-1</f>
        <v>50.08</v>
      </c>
      <c r="J36" s="2">
        <f>SUMIFS(Combined_Accounts[Amount],Combined_Accounts[Date],J$2,Combined_Accounts[Short_Desc],$B36, Combined_Accounts[Account],"discover")
+ SUMIFS(Combined_Accounts[Amount],Combined_Accounts[Date],J$2,Combined_Accounts[Short_Desc],$B36, Combined_Accounts[Account],"wells_fargo_checking") *-1</f>
        <v>49.39</v>
      </c>
      <c r="K36" s="2">
        <f>SUMIFS(Combined_Accounts[Amount],Combined_Accounts[Date],K$2,Combined_Accounts[Short_Desc],$B36, Combined_Accounts[Account],"discover")
+ SUMIFS(Combined_Accounts[Amount],Combined_Accounts[Date],K$2,Combined_Accounts[Short_Desc],$B36, Combined_Accounts[Account],"wells_fargo_checking") *-1</f>
        <v>6.77</v>
      </c>
      <c r="L36" s="2">
        <f>SUMIFS(Combined_Accounts[Amount],Combined_Accounts[Date],L$2,Combined_Accounts[Short_Desc],$B36, Combined_Accounts[Account],"discover")
+ SUMIFS(Combined_Accounts[Amount],Combined_Accounts[Date],L$2,Combined_Accounts[Short_Desc],$B36, Combined_Accounts[Account],"wells_fargo_checking") *-1</f>
        <v>0</v>
      </c>
      <c r="M36" s="2">
        <f>SUMIFS(Combined_Accounts[Amount],Combined_Accounts[Date],M$2,Combined_Accounts[Short_Desc],$B36, Combined_Accounts[Account],"discover")
+ SUMIFS(Combined_Accounts[Amount],Combined_Accounts[Date],M$2,Combined_Accounts[Short_Desc],$B36, Combined_Accounts[Account],"wells_fargo_checking") *-1</f>
        <v>0</v>
      </c>
      <c r="N36" s="2">
        <f>SUMIFS(Combined_Accounts[Amount],Combined_Accounts[Date],N$2,Combined_Accounts[Short_Desc],$B36, Combined_Accounts[Account],"discover")
+ SUMIFS(Combined_Accounts[Amount],Combined_Accounts[Date],N$2,Combined_Accounts[Short_Desc],$B36, Combined_Accounts[Account],"wells_fargo_checking") *-1</f>
        <v>0</v>
      </c>
      <c r="O36" s="3">
        <f>SUM(C36:N36)</f>
        <v>2008.04</v>
      </c>
    </row>
    <row r="37" spans="1:15" x14ac:dyDescent="0.25">
      <c r="B37" s="4" t="s">
        <v>315</v>
      </c>
      <c r="C37" s="2">
        <f>SUMIFS(Combined_Accounts[Amount],Combined_Accounts[Date],C$2,Combined_Accounts[Short_Desc],$B37, Combined_Accounts[Account],"discover")
+ SUMIFS(Combined_Accounts[Amount],Combined_Accounts[Date],C$2,Combined_Accounts[Short_Desc],$B37, Combined_Accounts[Account],"wells_fargo_checking") *-1</f>
        <v>0</v>
      </c>
      <c r="D37" s="2">
        <f>SUMIFS(Combined_Accounts[Amount],Combined_Accounts[Date],D$2,Combined_Accounts[Short_Desc],$B37, Combined_Accounts[Account],"discover")
+ SUMIFS(Combined_Accounts[Amount],Combined_Accounts[Date],D$2,Combined_Accounts[Short_Desc],$B37, Combined_Accounts[Account],"wells_fargo_checking") *-1</f>
        <v>0</v>
      </c>
      <c r="E37" s="2">
        <f>SUMIFS(Combined_Accounts[Amount],Combined_Accounts[Date],E$2,Combined_Accounts[Short_Desc],$B37, Combined_Accounts[Account],"discover")
+ SUMIFS(Combined_Accounts[Amount],Combined_Accounts[Date],E$2,Combined_Accounts[Short_Desc],$B37, Combined_Accounts[Account],"wells_fargo_checking") *-1</f>
        <v>199.82</v>
      </c>
      <c r="F37" s="2">
        <f>SUMIFS(Combined_Accounts[Amount],Combined_Accounts[Date],F$2,Combined_Accounts[Short_Desc],$B37, Combined_Accounts[Account],"discover")
+ SUMIFS(Combined_Accounts[Amount],Combined_Accounts[Date],F$2,Combined_Accounts[Short_Desc],$B37, Combined_Accounts[Account],"wells_fargo_checking") *-1</f>
        <v>0</v>
      </c>
      <c r="G37" s="2">
        <f>SUMIFS(Combined_Accounts[Amount],Combined_Accounts[Date],G$2,Combined_Accounts[Short_Desc],$B37, Combined_Accounts[Account],"discover")
+ SUMIFS(Combined_Accounts[Amount],Combined_Accounts[Date],G$2,Combined_Accounts[Short_Desc],$B37, Combined_Accounts[Account],"wells_fargo_checking") *-1</f>
        <v>0</v>
      </c>
      <c r="H37" s="2">
        <f>SUMIFS(Combined_Accounts[Amount],Combined_Accounts[Date],H$2,Combined_Accounts[Short_Desc],$B37, Combined_Accounts[Account],"discover")
+ SUMIFS(Combined_Accounts[Amount],Combined_Accounts[Date],H$2,Combined_Accounts[Short_Desc],$B37, Combined_Accounts[Account],"wells_fargo_checking") *-1</f>
        <v>487.4</v>
      </c>
      <c r="I37" s="2">
        <f>SUMIFS(Combined_Accounts[Amount],Combined_Accounts[Date],I$2,Combined_Accounts[Short_Desc],$B37, Combined_Accounts[Account],"discover")
+ SUMIFS(Combined_Accounts[Amount],Combined_Accounts[Date],I$2,Combined_Accounts[Short_Desc],$B37, Combined_Accounts[Account],"wells_fargo_checking") *-1</f>
        <v>454.49999999999994</v>
      </c>
      <c r="J37" s="2">
        <f>SUMIFS(Combined_Accounts[Amount],Combined_Accounts[Date],J$2,Combined_Accounts[Short_Desc],$B37, Combined_Accounts[Account],"discover")
+ SUMIFS(Combined_Accounts[Amount],Combined_Accounts[Date],J$2,Combined_Accounts[Short_Desc],$B37, Combined_Accounts[Account],"wells_fargo_checking") *-1</f>
        <v>-43.88</v>
      </c>
      <c r="K37" s="2">
        <f>SUMIFS(Combined_Accounts[Amount],Combined_Accounts[Date],K$2,Combined_Accounts[Short_Desc],$B37, Combined_Accounts[Account],"discover")
+ SUMIFS(Combined_Accounts[Amount],Combined_Accounts[Date],K$2,Combined_Accounts[Short_Desc],$B37, Combined_Accounts[Account],"wells_fargo_checking") *-1</f>
        <v>0</v>
      </c>
      <c r="L37" s="2">
        <f>SUMIFS(Combined_Accounts[Amount],Combined_Accounts[Date],L$2,Combined_Accounts[Short_Desc],$B37, Combined_Accounts[Account],"discover")
+ SUMIFS(Combined_Accounts[Amount],Combined_Accounts[Date],L$2,Combined_Accounts[Short_Desc],$B37, Combined_Accounts[Account],"wells_fargo_checking") *-1</f>
        <v>0</v>
      </c>
      <c r="M37" s="2">
        <f>SUMIFS(Combined_Accounts[Amount],Combined_Accounts[Date],M$2,Combined_Accounts[Short_Desc],$B37, Combined_Accounts[Account],"discover")
+ SUMIFS(Combined_Accounts[Amount],Combined_Accounts[Date],M$2,Combined_Accounts[Short_Desc],$B37, Combined_Accounts[Account],"wells_fargo_checking") *-1</f>
        <v>0</v>
      </c>
      <c r="N37" s="2">
        <f>SUMIFS(Combined_Accounts[Amount],Combined_Accounts[Date],N$2,Combined_Accounts[Short_Desc],$B37, Combined_Accounts[Account],"discover")
+ SUMIFS(Combined_Accounts[Amount],Combined_Accounts[Date],N$2,Combined_Accounts[Short_Desc],$B37, Combined_Accounts[Account],"wells_fargo_checking") *-1</f>
        <v>0</v>
      </c>
      <c r="O37" s="3">
        <f>SUM(C37:N37)</f>
        <v>1097.8399999999999</v>
      </c>
    </row>
    <row r="38" spans="1:15" x14ac:dyDescent="0.25">
      <c r="B38" s="4" t="s">
        <v>1080</v>
      </c>
      <c r="C38" s="2" cm="1">
        <f t="array" ref="C38">SUMPRODUCT(
    --(Data!$J:$J = Summary!C$10),
    --IF(ISNUMBER(MATCH(Data!$G:$G, $B$34:$B$37, 0)),0,1),
    --IF(ISNUMBER(MATCH(Data!$G:$G, Categories!$A:$A, 0)),0,1),
     --IF(ISNUMBER(MATCH(Data!$G:$G, Categories!$E:$E, 0)),0,1),
     --IF(ISNUMBER(MATCH(Data!$G:$G, Categories!$G:$G, 0)),1,0),
    --IF(ISNUMBER(MATCH(Data!$G:$G, Categories!$C:$C, 0)),0,1),
    --IF(ISNUMBER(MATCH(Data!$O:$O, {"wells_fargo_checking","sofi_savings","sofi_checking"}, 0)),-1,1),
    IFERROR(Data!$E:$E, 0)
)</f>
        <v>110.43999999999998</v>
      </c>
      <c r="D38" s="2" cm="1">
        <f t="array" ref="D38">SUMPRODUCT(
    --(Data!$J:$J = Summary!D$10),
    --IF(ISNUMBER(MATCH(Data!$G:$G, $B$34:$B$37, 0)),0,1),
    --IF(ISNUMBER(MATCH(Data!$G:$G, Categories!$A:$A, 0)),0,1),
     --IF(ISNUMBER(MATCH(Data!$G:$G, Categories!$E:$E, 0)),0,1),
     --IF(ISNUMBER(MATCH(Data!$G:$G, Categories!$G:$G, 0)),1,0),
    --IF(ISNUMBER(MATCH(Data!$G:$G, Categories!$C:$C, 0)),0,1),
    --IF(ISNUMBER(MATCH(Data!$O:$O, {"wells_fargo_checking","sofi_savings","sofi_checking"}, 0)),-1,1),
    IFERROR(Data!$E:$E, 0)
)</f>
        <v>0</v>
      </c>
      <c r="E38" s="2" cm="1">
        <f t="array" ref="E38">SUMPRODUCT(
    --(Data!$J:$J = Summary!E$10),
    --IF(ISNUMBER(MATCH(Data!$G:$G, $B$34:$B$37, 0)),0,1),
    --IF(ISNUMBER(MATCH(Data!$G:$G, Categories!$A:$A, 0)),0,1),
     --IF(ISNUMBER(MATCH(Data!$G:$G, Categories!$E:$E, 0)),0,1),
     --IF(ISNUMBER(MATCH(Data!$G:$G, Categories!$G:$G, 0)),1,0),
    --IF(ISNUMBER(MATCH(Data!$G:$G, Categories!$C:$C, 0)),0,1),
    --IF(ISNUMBER(MATCH(Data!$O:$O, {"wells_fargo_checking","sofi_savings","sofi_checking"}, 0)),-1,1),
    IFERROR(Data!$E:$E, 0)
)</f>
        <v>0</v>
      </c>
      <c r="F38" s="2" cm="1">
        <f t="array" ref="F38">SUMPRODUCT(
    --(Data!$J:$J = Summary!F$10),
    --IF(ISNUMBER(MATCH(Data!$G:$G, $B$34:$B$37, 0)),0,1),
    --IF(ISNUMBER(MATCH(Data!$G:$G, Categories!$A:$A, 0)),0,1),
     --IF(ISNUMBER(MATCH(Data!$G:$G, Categories!$E:$E, 0)),0,1),
     --IF(ISNUMBER(MATCH(Data!$G:$G, Categories!$G:$G, 0)),1,0),
    --IF(ISNUMBER(MATCH(Data!$G:$G, Categories!$C:$C, 0)),0,1),
    --IF(ISNUMBER(MATCH(Data!$O:$O, {"wells_fargo_checking","sofi_savings","sofi_checking"}, 0)),-1,1),
    IFERROR(Data!$E:$E, 0)
)</f>
        <v>0</v>
      </c>
      <c r="G38" s="2" cm="1">
        <f t="array" ref="G38">SUMPRODUCT(
    --(Data!$J:$J = Summary!G$10),
    --IF(ISNUMBER(MATCH(Data!$G:$G, $B$34:$B$37, 0)),0,1),
    --IF(ISNUMBER(MATCH(Data!$G:$G, Categories!$A:$A, 0)),0,1),
     --IF(ISNUMBER(MATCH(Data!$G:$G, Categories!$E:$E, 0)),0,1),
     --IF(ISNUMBER(MATCH(Data!$G:$G, Categories!$G:$G, 0)),1,0),
    --IF(ISNUMBER(MATCH(Data!$G:$G, Categories!$C:$C, 0)),0,1),
    --IF(ISNUMBER(MATCH(Data!$O:$O, {"wells_fargo_checking","sofi_savings","sofi_checking"}, 0)),-1,1),
    IFERROR(Data!$E:$E, 0)
)</f>
        <v>100</v>
      </c>
      <c r="H38" s="2" cm="1">
        <f t="array" ref="H38">SUMPRODUCT(
    --(Data!$J:$J = Summary!H$10),
    --IF(ISNUMBER(MATCH(Data!$G:$G, $B$34:$B$37, 0)),0,1),
    --IF(ISNUMBER(MATCH(Data!$G:$G, Categories!$A:$A, 0)),0,1),
     --IF(ISNUMBER(MATCH(Data!$G:$G, Categories!$E:$E, 0)),0,1),
     --IF(ISNUMBER(MATCH(Data!$G:$G, Categories!$G:$G, 0)),1,0),
    --IF(ISNUMBER(MATCH(Data!$G:$G, Categories!$C:$C, 0)),0,1),
    --IF(ISNUMBER(MATCH(Data!$O:$O, {"wells_fargo_checking","sofi_savings","sofi_checking"}, 0)),-1,1),
    IFERROR(Data!$E:$E, 0)
)</f>
        <v>0</v>
      </c>
      <c r="I38" s="2" cm="1">
        <f t="array" ref="I38">SUMPRODUCT(
    --(Data!$J:$J = Summary!I$10),
    --IF(ISNUMBER(MATCH(Data!$G:$G, $B$34:$B$37, 0)),0,1),
    --IF(ISNUMBER(MATCH(Data!$G:$G, Categories!$A:$A, 0)),0,1),
     --IF(ISNUMBER(MATCH(Data!$G:$G, Categories!$E:$E, 0)),0,1),
     --IF(ISNUMBER(MATCH(Data!$G:$G, Categories!$G:$G, 0)),1,0),
    --IF(ISNUMBER(MATCH(Data!$G:$G, Categories!$C:$C, 0)),0,1),
    --IF(ISNUMBER(MATCH(Data!$O:$O, {"wells_fargo_checking","sofi_savings","sofi_checking"}, 0)),-1,1),
    IFERROR(Data!$E:$E, 0)
)</f>
        <v>55.26</v>
      </c>
      <c r="J38" s="2" cm="1">
        <f t="array" ref="J38">SUMPRODUCT(
    --(Data!$J:$J = Summary!J$10),
    --IF(ISNUMBER(MATCH(Data!$G:$G, $B$34:$B$37, 0)),0,1),
    --IF(ISNUMBER(MATCH(Data!$G:$G, Categories!$A:$A, 0)),0,1),
     --IF(ISNUMBER(MATCH(Data!$G:$G, Categories!$E:$E, 0)),0,1),
     --IF(ISNUMBER(MATCH(Data!$G:$G, Categories!$G:$G, 0)),1,0),
    --IF(ISNUMBER(MATCH(Data!$G:$G, Categories!$C:$C, 0)),0,1),
    --IF(ISNUMBER(MATCH(Data!$O:$O, {"wells_fargo_checking","sofi_savings","sofi_checking"}, 0)),-1,1),
    IFERROR(Data!$E:$E, 0)
)</f>
        <v>0</v>
      </c>
      <c r="K38" s="2" cm="1">
        <f t="array" ref="K38">SUMPRODUCT(
    --(Data!$J:$J = Summary!K$10),
    --IF(ISNUMBER(MATCH(Data!$G:$G, $B$34:$B$37, 0)),0,1),
    --IF(ISNUMBER(MATCH(Data!$G:$G, Categories!$A:$A, 0)),0,1),
     --IF(ISNUMBER(MATCH(Data!$G:$G, Categories!$E:$E, 0)),0,1),
     --IF(ISNUMBER(MATCH(Data!$G:$G, Categories!$G:$G, 0)),1,0),
    --IF(ISNUMBER(MATCH(Data!$G:$G, Categories!$C:$C, 0)),0,1),
    --IF(ISNUMBER(MATCH(Data!$O:$O, {"wells_fargo_checking","sofi_savings","sofi_checking"}, 0)),-1,1),
    IFERROR(Data!$E:$E, 0)
)</f>
        <v>75.239999999999995</v>
      </c>
      <c r="L38" s="2" cm="1">
        <f t="array" ref="L38">SUMPRODUCT(
    --(Data!$J:$J = Summary!L$10),
    --IF(ISNUMBER(MATCH(Data!$G:$G, $B$34:$B$37, 0)),0,1),
    --IF(ISNUMBER(MATCH(Data!$G:$G, Categories!$A:$A, 0)),0,1),
     --IF(ISNUMBER(MATCH(Data!$G:$G, Categories!$E:$E, 0)),0,1),
     --IF(ISNUMBER(MATCH(Data!$G:$G, Categories!$G:$G, 0)),1,0),
    --IF(ISNUMBER(MATCH(Data!$G:$G, Categories!$C:$C, 0)),0,1),
    --IF(ISNUMBER(MATCH(Data!$O:$O, {"wells_fargo_checking","sofi_savings","sofi_checking"}, 0)),-1,1),
    IFERROR(Data!$E:$E, 0)
)</f>
        <v>0</v>
      </c>
      <c r="M38" s="2" cm="1">
        <f t="array" ref="M38">SUMPRODUCT(
    --(Data!$J:$J = Summary!M$10),
    --IF(ISNUMBER(MATCH(Data!$G:$G, $B$34:$B$37, 0)),0,1),
    --IF(ISNUMBER(MATCH(Data!$G:$G, Categories!$A:$A, 0)),0,1),
     --IF(ISNUMBER(MATCH(Data!$G:$G, Categories!$E:$E, 0)),0,1),
     --IF(ISNUMBER(MATCH(Data!$G:$G, Categories!$G:$G, 0)),1,0),
    --IF(ISNUMBER(MATCH(Data!$G:$G, Categories!$C:$C, 0)),0,1),
    --IF(ISNUMBER(MATCH(Data!$O:$O, {"wells_fargo_checking","sofi_savings","sofi_checking"}, 0)),-1,1),
    IFERROR(Data!$E:$E, 0)
)</f>
        <v>52.46</v>
      </c>
      <c r="N38" s="2" cm="1">
        <f t="array" ref="N38">SUMPRODUCT(
    --(Data!$J:$J = Summary!N$10),
    --IF(ISNUMBER(MATCH(Data!$G:$G, $B$34:$B$37, 0)),0,1),
    --IF(ISNUMBER(MATCH(Data!$G:$G, Categories!$A:$A, 0)),0,1),
     --IF(ISNUMBER(MATCH(Data!$G:$G, Categories!$E:$E, 0)),0,1),
     --IF(ISNUMBER(MATCH(Data!$G:$G, Categories!$G:$G, 0)),1,0),
    --IF(ISNUMBER(MATCH(Data!$G:$G, Categories!$C:$C, 0)),0,1),
    --IF(ISNUMBER(MATCH(Data!$O:$O, {"wells_fargo_checking","sofi_savings","sofi_checking"}, 0)),-1,1),
    IFERROR(Data!$E:$E, 0)
)</f>
        <v>67.75</v>
      </c>
      <c r="O38" s="3"/>
    </row>
    <row r="39" spans="1:15" x14ac:dyDescent="0.25">
      <c r="B39" s="26" t="s">
        <v>377</v>
      </c>
      <c r="C39" s="24">
        <f>SUM(C34:C38)</f>
        <v>310.2</v>
      </c>
      <c r="D39" s="24">
        <f t="shared" ref="D39:N39" si="10">SUM(D34:D37)</f>
        <v>0</v>
      </c>
      <c r="E39" s="24">
        <f>SUM(E34:E37)-E35-E36</f>
        <v>199.82</v>
      </c>
      <c r="F39" s="24">
        <f>SUM(F34:F37)-F34-F37</f>
        <v>188.25</v>
      </c>
      <c r="G39" s="24">
        <f>SUM(G34:G37)-G34-G35-G36</f>
        <v>0</v>
      </c>
      <c r="H39" s="24">
        <f>SUM(H34:H37)-H37</f>
        <v>852.1500000000002</v>
      </c>
      <c r="I39" s="24">
        <f>SUM(I34:I37)-I37</f>
        <v>50.079999999999984</v>
      </c>
      <c r="J39" s="24">
        <f t="shared" si="10"/>
        <v>20.509999999999998</v>
      </c>
      <c r="K39" s="24">
        <f t="shared" si="10"/>
        <v>128.27000000000001</v>
      </c>
      <c r="L39" s="24">
        <f t="shared" si="10"/>
        <v>134.61000000000001</v>
      </c>
      <c r="M39" s="24">
        <f t="shared" si="10"/>
        <v>55.39</v>
      </c>
      <c r="N39" s="24">
        <f t="shared" si="10"/>
        <v>220.05</v>
      </c>
      <c r="O39" s="3">
        <f>SUM(C39:N39)</f>
        <v>2159.33</v>
      </c>
    </row>
    <row r="40" spans="1:15" x14ac:dyDescent="0.25">
      <c r="B40" s="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3">
        <f>SUM(O34:O39)</f>
        <v>8002.15</v>
      </c>
    </row>
    <row r="42" spans="1:15" x14ac:dyDescent="0.25">
      <c r="B42" s="23" t="s">
        <v>362</v>
      </c>
      <c r="C42" s="29">
        <v>45292</v>
      </c>
      <c r="D42" s="29">
        <f>EOMONTH(C42,0)+1</f>
        <v>45323</v>
      </c>
      <c r="E42" s="29">
        <f t="shared" ref="E42" si="11">EOMONTH(D42,0)+1</f>
        <v>45352</v>
      </c>
      <c r="F42" s="29">
        <f t="shared" ref="F42" si="12">EOMONTH(E42,0)+1</f>
        <v>45383</v>
      </c>
      <c r="G42" s="29">
        <f t="shared" ref="G42" si="13">EOMONTH(F42,0)+1</f>
        <v>45413</v>
      </c>
      <c r="H42" s="29">
        <f t="shared" ref="H42" si="14">EOMONTH(G42,0)+1</f>
        <v>45444</v>
      </c>
      <c r="I42" s="29">
        <f t="shared" ref="I42" si="15">EOMONTH(H42,0)+1</f>
        <v>45474</v>
      </c>
      <c r="J42" s="29">
        <f t="shared" ref="J42" si="16">EOMONTH(I42,0)+1</f>
        <v>45505</v>
      </c>
      <c r="K42" s="29">
        <f t="shared" ref="K42" si="17">EOMONTH(J42,0)+1</f>
        <v>45536</v>
      </c>
      <c r="L42" s="29">
        <f t="shared" ref="L42" si="18">EOMONTH(K42,0)+1</f>
        <v>45566</v>
      </c>
      <c r="M42" s="29">
        <f t="shared" ref="M42" si="19">EOMONTH(L42,0)+1</f>
        <v>45597</v>
      </c>
      <c r="N42" s="29">
        <f t="shared" ref="N42" si="20">EOMONTH(M42,0)+1</f>
        <v>45627</v>
      </c>
    </row>
    <row r="43" spans="1:15" x14ac:dyDescent="0.25">
      <c r="A43" s="13">
        <v>0.2</v>
      </c>
      <c r="B43" s="4" t="s">
        <v>16</v>
      </c>
      <c r="C43" s="2">
        <f>SUMIFS(Combined_Accounts[CumAmount],Combined_Accounts[Date],C$2,Combined_Accounts[Account],$B43,Combined_Accounts[Last_balance],1)</f>
        <v>734.32999999999993</v>
      </c>
      <c r="D43" s="2">
        <f>SUMIFS(Combined_Accounts[CumAmount],Combined_Accounts[Date],D$2,Combined_Accounts[Account],$B43,Combined_Accounts[Last_balance],1)</f>
        <v>52.949999999999903</v>
      </c>
      <c r="E43" s="2">
        <f>SUMIFS(Combined_Accounts[CumAmount],Combined_Accounts[Date],E$2,Combined_Accounts[Account],$B43,Combined_Accounts[Last_balance],1)</f>
        <v>668.68</v>
      </c>
      <c r="F43" s="2">
        <f>SUMIFS(Combined_Accounts[CumAmount],Combined_Accounts[Date],F$2,Combined_Accounts[Account],$B43,Combined_Accounts[Last_balance],1)</f>
        <v>1314.06</v>
      </c>
      <c r="G43" s="2">
        <f>SUMIFS(Combined_Accounts[CumAmount],Combined_Accounts[Date],G$2,Combined_Accounts[Account],$B43,Combined_Accounts[Last_balance],1)</f>
        <v>1185.6600000000001</v>
      </c>
      <c r="H43" s="2">
        <f>SUMIFS(Combined_Accounts[CumAmount],Combined_Accounts[Date],H$2,Combined_Accounts[Account],$B43,Combined_Accounts[Last_balance],1)</f>
        <v>1051.6199999999999</v>
      </c>
      <c r="I43" s="2">
        <f>SUMIFS(Combined_Accounts[CumAmount],Combined_Accounts[Date],I$2,Combined_Accounts[Account],$B43,Combined_Accounts[Last_balance],1)</f>
        <v>450.03000000000031</v>
      </c>
      <c r="J43" s="2">
        <f>SUMIFS(Combined_Accounts[CumAmount],Combined_Accounts[Date],J$2,Combined_Accounts[Account],$B43,Combined_Accounts[Last_balance],1)</f>
        <v>635.80000000000018</v>
      </c>
      <c r="K43" s="2">
        <f>SUMIFS(Combined_Accounts[CumAmount],Combined_Accounts[Date],K$2,Combined_Accounts[Account],$B43,Combined_Accounts[Last_balance],1)</f>
        <v>279.2600000000001</v>
      </c>
      <c r="L43" s="2">
        <f>SUMIFS(Combined_Accounts[CumAmount],Combined_Accounts[Date],L$2,Combined_Accounts[Account],$B43,Combined_Accounts[Last_balance],1)</f>
        <v>970.92</v>
      </c>
      <c r="M43" s="2">
        <f>SUMIFS(Combined_Accounts[CumAmount],Combined_Accounts[Date],M$2,Combined_Accounts[Account],$B43,Combined_Accounts[Last_balance],1)</f>
        <v>785.58999999999969</v>
      </c>
      <c r="N43" s="2">
        <f>SUMIFS(Combined_Accounts[CumAmount],Combined_Accounts[Date],N$2,Combined_Accounts[Account],$B43,Combined_Accounts[Last_balance],1)</f>
        <v>1449.98</v>
      </c>
    </row>
    <row r="44" spans="1:15" x14ac:dyDescent="0.25">
      <c r="A44" s="13">
        <v>0.6</v>
      </c>
      <c r="B44" s="4" t="s">
        <v>335</v>
      </c>
      <c r="C44" s="2">
        <f>SUMIFS(Combined_Accounts[CumAmount],Combined_Accounts[Date],C$2,Combined_Accounts[Account],$B44,Combined_Accounts[Last_balance],1)</f>
        <v>1743.16</v>
      </c>
      <c r="D44" s="2">
        <f>SUMIFS(Combined_Accounts[CumAmount],Combined_Accounts[Date],D$2,Combined_Accounts[Account],$B44,Combined_Accounts[Last_balance],1)</f>
        <v>1035.9100000000001</v>
      </c>
      <c r="E44" s="2">
        <f>SUMIFS(Combined_Accounts[CumAmount],Combined_Accounts[Date],E$2,Combined_Accounts[Account],$B44,Combined_Accounts[Last_balance],1)</f>
        <v>1332.58</v>
      </c>
      <c r="F44" s="2">
        <f>SUMIFS(Combined_Accounts[CumAmount],Combined_Accounts[Date],F$2,Combined_Accounts[Account],$B44,Combined_Accounts[Last_balance],1)</f>
        <v>4016.73</v>
      </c>
      <c r="G44" s="2">
        <f>SUMIFS(Combined_Accounts[CumAmount],Combined_Accounts[Date],G$2,Combined_Accounts[Account],$B44,Combined_Accounts[Last_balance],1)</f>
        <v>5168.6400000000003</v>
      </c>
      <c r="H44" s="2">
        <f>SUMIFS(Combined_Accounts[CumAmount],Combined_Accounts[Date],H$2,Combined_Accounts[Account],$B44,Combined_Accounts[Last_balance],1)</f>
        <v>6974.21</v>
      </c>
      <c r="I44" s="2">
        <f>SUMIFS(Combined_Accounts[CumAmount],Combined_Accounts[Date],I$2,Combined_Accounts[Account],$B44,Combined_Accounts[Last_balance],1)</f>
        <v>5471.73</v>
      </c>
      <c r="J44" s="2">
        <f>SUMIFS(Combined_Accounts[CumAmount],Combined_Accounts[Date],J$2,Combined_Accounts[Account],$B44,Combined_Accounts[Last_balance],1)</f>
        <v>6267.74</v>
      </c>
      <c r="K44" s="2">
        <f>SUMIFS(Combined_Accounts[CumAmount],Combined_Accounts[Date],K$2,Combined_Accounts[Account],$B44,Combined_Accounts[Last_balance],1)</f>
        <v>2027.01</v>
      </c>
      <c r="L44" s="2">
        <f>SUMIFS(Combined_Accounts[CumAmount],Combined_Accounts[Date],L$2,Combined_Accounts[Account],$B44,Combined_Accounts[Last_balance],1)</f>
        <v>8448.2800000000007</v>
      </c>
      <c r="M44" s="2">
        <f>SUMIFS(Combined_Accounts[CumAmount],Combined_Accounts[Date],M$2,Combined_Accounts[Account],$B44,Combined_Accounts[Last_balance],1)</f>
        <v>3207.42</v>
      </c>
      <c r="N44" s="2">
        <f>SUMIFS(Combined_Accounts[CumAmount],Combined_Accounts[Date],N$2,Combined_Accounts[Account],$B44,Combined_Accounts[Last_balance],1)</f>
        <v>5075.54</v>
      </c>
    </row>
    <row r="45" spans="1:15" x14ac:dyDescent="0.25">
      <c r="A45" s="13">
        <v>0.1</v>
      </c>
      <c r="B45" s="4" t="s">
        <v>358</v>
      </c>
      <c r="C45" s="2">
        <f>SUMIFS(Combined_Accounts[CumAmount],Combined_Accounts[Date],C$2,Combined_Accounts[Account],$B45,Combined_Accounts[Last_balance],1)</f>
        <v>33.22</v>
      </c>
      <c r="D45" s="2">
        <f>SUMIFS(Combined_Accounts[CumAmount],Combined_Accounts[Date],D$2,Combined_Accounts[Account],$B45,Combined_Accounts[Last_balance],1)</f>
        <v>110.29</v>
      </c>
      <c r="E45" s="2">
        <f>SUMIFS(Combined_Accounts[CumAmount],Combined_Accounts[Date],E$2,Combined_Accounts[Account],$B45,Combined_Accounts[Last_balance],1)</f>
        <v>167.73</v>
      </c>
      <c r="F45" s="2">
        <f>SUMIFS(Combined_Accounts[CumAmount],Combined_Accounts[Date],F$2,Combined_Accounts[Account],$B45,Combined_Accounts[Last_balance],1)</f>
        <v>175.12</v>
      </c>
      <c r="G45" s="2">
        <f>SUMIFS(Combined_Accounts[CumAmount],Combined_Accounts[Date],G$2,Combined_Accounts[Account],$B45,Combined_Accounts[Last_balance],1)</f>
        <v>188.83</v>
      </c>
      <c r="H45" s="2">
        <f>SUMIFS(Combined_Accounts[CumAmount],Combined_Accounts[Date],H$2,Combined_Accounts[Account],$B45,Combined_Accounts[Last_balance],1)</f>
        <v>416.62</v>
      </c>
      <c r="I45" s="2">
        <f>SUMIFS(Combined_Accounts[CumAmount],Combined_Accounts[Date],I$2,Combined_Accounts[Account],$B45,Combined_Accounts[Last_balance],1)</f>
        <v>302.85000000000002</v>
      </c>
      <c r="J45" s="2">
        <f>SUMIFS(Combined_Accounts[CumAmount],Combined_Accounts[Date],J$2,Combined_Accounts[Account],$B45,Combined_Accounts[Last_balance],1)</f>
        <v>939.04</v>
      </c>
      <c r="K45" s="2">
        <f>SUMIFS(Combined_Accounts[CumAmount],Combined_Accounts[Date],K$2,Combined_Accounts[Account],$B45,Combined_Accounts[Last_balance],1)</f>
        <v>1524.69</v>
      </c>
      <c r="L45" s="2">
        <f>SUMIFS(Combined_Accounts[CumAmount],Combined_Accounts[Date],L$2,Combined_Accounts[Account],$B45,Combined_Accounts[Last_balance],1)</f>
        <v>852.93</v>
      </c>
      <c r="M45" s="2">
        <f>SUMIFS(Combined_Accounts[CumAmount],Combined_Accounts[Date],M$2,Combined_Accounts[Account],$B45,Combined_Accounts[Last_balance],1)</f>
        <v>1635.25</v>
      </c>
      <c r="N45" s="2">
        <f>SUMIFS(Combined_Accounts[CumAmount],Combined_Accounts[Date],N$2,Combined_Accounts[Account],$B45,Combined_Accounts[Last_balance],1)</f>
        <v>1202.43</v>
      </c>
    </row>
    <row r="46" spans="1:15" x14ac:dyDescent="0.25">
      <c r="B46" s="4"/>
      <c r="C46" s="4"/>
      <c r="D46" s="4"/>
      <c r="E46" s="4"/>
      <c r="F46" s="4"/>
      <c r="G46" s="2"/>
      <c r="H46" s="2"/>
      <c r="I46" s="2"/>
      <c r="J46" s="2"/>
      <c r="K46" s="2"/>
      <c r="L46" s="2"/>
      <c r="M46" s="2"/>
      <c r="N46" s="2"/>
    </row>
    <row r="47" spans="1:15" x14ac:dyDescent="0.25">
      <c r="B47" s="4" t="s">
        <v>344</v>
      </c>
      <c r="C47" s="2">
        <f>SUMIFS(Combined_Accounts[Amount],Combined_Accounts[Date],C$2,Combined_Accounts[Short_Desc],$B47)</f>
        <v>10.18</v>
      </c>
      <c r="D47" s="2">
        <f>SUMIFS(Combined_Accounts[Amount],Combined_Accounts[Date],D$2,Combined_Accounts[Short_Desc],$B47)</f>
        <v>4.55</v>
      </c>
      <c r="E47" s="2">
        <f>SUMIFS(Combined_Accounts[Amount],Combined_Accounts[Date],E$2,Combined_Accounts[Short_Desc],$B47)</f>
        <v>4.9799999999999995</v>
      </c>
      <c r="F47" s="2">
        <f>SUMIFS(Combined_Accounts[Amount],Combined_Accounts[Date],F$2,Combined_Accounts[Short_Desc],$B47)</f>
        <v>6.84</v>
      </c>
      <c r="G47" s="2">
        <f>SUMIFS(Combined_Accounts[Amount],Combined_Accounts[Date],G$2,Combined_Accounts[Short_Desc],$B47)</f>
        <v>12.75</v>
      </c>
      <c r="H47" s="2">
        <f>SUMIFS(Combined_Accounts[Amount],Combined_Accounts[Date],H$2,Combined_Accounts[Short_Desc],$B47)</f>
        <v>19.79</v>
      </c>
      <c r="I47" s="2">
        <f>SUMIFS(Combined_Accounts[Amount],Combined_Accounts[Date],I$2,Combined_Accounts[Short_Desc],$B47)</f>
        <v>17.989999999999998</v>
      </c>
      <c r="J47" s="2">
        <f>SUMIFS(Combined_Accounts[Amount],Combined_Accounts[Date],J$2,Combined_Accounts[Short_Desc],$B47)</f>
        <v>22.720000000000002</v>
      </c>
      <c r="K47" s="2">
        <f>SUMIFS(Combined_Accounts[Amount],Combined_Accounts[Date],K$2,Combined_Accounts[Short_Desc],$B47)</f>
        <v>19.729999999999997</v>
      </c>
      <c r="L47" s="2">
        <f>SUMIFS(Combined_Accounts[Amount],Combined_Accounts[Date],L$2,Combined_Accounts[Short_Desc],$B47)</f>
        <v>19.700000000000003</v>
      </c>
      <c r="M47" s="2">
        <f>SUMIFS(Combined_Accounts[Amount],Combined_Accounts[Date],M$2,Combined_Accounts[Short_Desc],$B47)</f>
        <v>19.82</v>
      </c>
      <c r="N47" s="2">
        <f>SUMIFS(Combined_Accounts[Amount],Combined_Accounts[Date],N$2,Combined_Accounts[Short_Desc],$B47)</f>
        <v>13.11</v>
      </c>
    </row>
    <row r="49" spans="2:14" x14ac:dyDescent="0.25">
      <c r="B49" s="22" t="s">
        <v>389</v>
      </c>
      <c r="C49" s="29">
        <v>45292</v>
      </c>
      <c r="D49" s="29">
        <f>EOMONTH(C49,0)+1</f>
        <v>45323</v>
      </c>
      <c r="E49" s="29">
        <f t="shared" ref="E49" si="21">EOMONTH(D49,0)+1</f>
        <v>45352</v>
      </c>
      <c r="F49" s="29">
        <f t="shared" ref="F49" si="22">EOMONTH(E49,0)+1</f>
        <v>45383</v>
      </c>
      <c r="G49" s="29">
        <f t="shared" ref="G49" si="23">EOMONTH(F49,0)+1</f>
        <v>45413</v>
      </c>
      <c r="H49" s="29">
        <f t="shared" ref="H49" si="24">EOMONTH(G49,0)+1</f>
        <v>45444</v>
      </c>
      <c r="I49" s="29">
        <f t="shared" ref="I49" si="25">EOMONTH(H49,0)+1</f>
        <v>45474</v>
      </c>
      <c r="J49" s="29">
        <f t="shared" ref="J49" si="26">EOMONTH(I49,0)+1</f>
        <v>45505</v>
      </c>
      <c r="K49" s="29">
        <f t="shared" ref="K49" si="27">EOMONTH(J49,0)+1</f>
        <v>45536</v>
      </c>
      <c r="L49" s="29">
        <f t="shared" ref="L49" si="28">EOMONTH(K49,0)+1</f>
        <v>45566</v>
      </c>
      <c r="M49" s="29">
        <f t="shared" ref="M49" si="29">EOMONTH(L49,0)+1</f>
        <v>45597</v>
      </c>
      <c r="N49" s="29">
        <f t="shared" ref="N49" si="30">EOMONTH(M49,0)+1</f>
        <v>45627</v>
      </c>
    </row>
    <row r="50" spans="2:14" x14ac:dyDescent="0.25">
      <c r="B50" s="4" t="s">
        <v>390</v>
      </c>
      <c r="C50" s="3">
        <f t="shared" ref="C50:K50" si="31">SUM(C43:C45)</f>
        <v>2510.7099999999996</v>
      </c>
      <c r="D50" s="3">
        <f t="shared" si="31"/>
        <v>1199.1499999999999</v>
      </c>
      <c r="E50" s="3">
        <f t="shared" si="31"/>
        <v>2168.9899999999998</v>
      </c>
      <c r="F50" s="3">
        <f t="shared" si="31"/>
        <v>5505.91</v>
      </c>
      <c r="G50" s="3">
        <f t="shared" si="31"/>
        <v>6543.13</v>
      </c>
      <c r="H50" s="3">
        <f t="shared" si="31"/>
        <v>8442.4500000000007</v>
      </c>
      <c r="I50" s="3">
        <f t="shared" si="31"/>
        <v>6224.6100000000006</v>
      </c>
      <c r="J50" s="3">
        <f t="shared" si="31"/>
        <v>7842.58</v>
      </c>
      <c r="K50" s="3">
        <f t="shared" si="31"/>
        <v>3830.96</v>
      </c>
      <c r="L50" s="3">
        <f t="shared" ref="L50:N50" si="32">SUM(L43:L45)</f>
        <v>10272.130000000001</v>
      </c>
      <c r="M50" s="3">
        <f t="shared" si="32"/>
        <v>5628.26</v>
      </c>
      <c r="N50" s="3">
        <f t="shared" si="32"/>
        <v>7727.9500000000007</v>
      </c>
    </row>
    <row r="51" spans="2:14" x14ac:dyDescent="0.25">
      <c r="B51" s="4" t="s">
        <v>800</v>
      </c>
      <c r="C51" s="3">
        <f>C3-C25-C31-C39</f>
        <v>-1004.4299999999978</v>
      </c>
      <c r="D51" s="3">
        <f t="shared" ref="D51:N51" si="33">D3-D25-D31-D39</f>
        <v>-2301.7099999999978</v>
      </c>
      <c r="E51" s="3">
        <f t="shared" si="33"/>
        <v>315.72000000000179</v>
      </c>
      <c r="F51" s="3">
        <f t="shared" si="33"/>
        <v>-782.98999999999796</v>
      </c>
      <c r="G51" s="3">
        <f t="shared" si="33"/>
        <v>5746.76</v>
      </c>
      <c r="H51" s="3">
        <f t="shared" si="33"/>
        <v>1238.0200000000004</v>
      </c>
      <c r="I51" s="3">
        <f t="shared" si="33"/>
        <v>3127.7200000000003</v>
      </c>
      <c r="J51" s="3">
        <f t="shared" si="33"/>
        <v>-271.34999999999923</v>
      </c>
      <c r="K51" s="3">
        <f t="shared" si="33"/>
        <v>-693.75999999999885</v>
      </c>
      <c r="L51" s="3">
        <f t="shared" si="33"/>
        <v>3164.5000000000009</v>
      </c>
      <c r="M51" s="3">
        <f t="shared" si="33"/>
        <v>-817.02999999999849</v>
      </c>
      <c r="N51" s="3">
        <f t="shared" si="33"/>
        <v>1640.2900000000006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E2F92-3D29-4BC8-A0B7-D29F02E57393}">
  <dimension ref="A3:I74"/>
  <sheetViews>
    <sheetView workbookViewId="0">
      <selection activeCell="C11" sqref="C11:C29"/>
    </sheetView>
  </sheetViews>
  <sheetFormatPr defaultRowHeight="15" x14ac:dyDescent="0.25"/>
  <cols>
    <col min="1" max="1" width="16.42578125" bestFit="1" customWidth="1"/>
    <col min="3" max="3" width="16.42578125" bestFit="1" customWidth="1"/>
    <col min="5" max="5" width="17.28515625" bestFit="1" customWidth="1"/>
    <col min="7" max="7" width="15" bestFit="1" customWidth="1"/>
    <col min="12" max="12" width="15.28515625" bestFit="1" customWidth="1"/>
    <col min="15" max="15" width="11.42578125" bestFit="1" customWidth="1"/>
  </cols>
  <sheetData>
    <row r="3" spans="1:9" x14ac:dyDescent="0.25">
      <c r="A3" t="s">
        <v>1078</v>
      </c>
      <c r="C3" t="s">
        <v>359</v>
      </c>
      <c r="E3" t="s">
        <v>363</v>
      </c>
      <c r="G3" t="s">
        <v>391</v>
      </c>
      <c r="I3" t="s">
        <v>1079</v>
      </c>
    </row>
    <row r="4" spans="1:9" x14ac:dyDescent="0.25">
      <c r="A4" t="s">
        <v>3</v>
      </c>
      <c r="C4" t="s">
        <v>18</v>
      </c>
      <c r="E4" t="s">
        <v>24</v>
      </c>
      <c r="G4" t="s">
        <v>394</v>
      </c>
      <c r="I4" s="4" t="s">
        <v>355</v>
      </c>
    </row>
    <row r="5" spans="1:9" x14ac:dyDescent="0.25">
      <c r="A5" t="s">
        <v>86</v>
      </c>
      <c r="C5" t="s">
        <v>13</v>
      </c>
      <c r="E5" t="s">
        <v>392</v>
      </c>
      <c r="G5" t="s">
        <v>409</v>
      </c>
      <c r="I5" s="4" t="s">
        <v>352</v>
      </c>
    </row>
    <row r="6" spans="1:9" x14ac:dyDescent="0.25">
      <c r="A6" t="s">
        <v>337</v>
      </c>
      <c r="C6" t="s">
        <v>27</v>
      </c>
      <c r="E6" t="s">
        <v>36</v>
      </c>
      <c r="G6" t="s">
        <v>315</v>
      </c>
      <c r="I6" s="4" t="s">
        <v>350</v>
      </c>
    </row>
    <row r="7" spans="1:9" x14ac:dyDescent="0.25">
      <c r="A7" t="s">
        <v>31</v>
      </c>
      <c r="C7" t="s">
        <v>39</v>
      </c>
      <c r="E7" t="s">
        <v>278</v>
      </c>
      <c r="G7" t="s">
        <v>385</v>
      </c>
      <c r="I7" s="4" t="s">
        <v>39</v>
      </c>
    </row>
    <row r="8" spans="1:9" x14ac:dyDescent="0.25">
      <c r="A8" t="s">
        <v>46</v>
      </c>
      <c r="C8" t="s">
        <v>34</v>
      </c>
      <c r="E8" t="s">
        <v>53</v>
      </c>
      <c r="G8" t="s">
        <v>199</v>
      </c>
      <c r="I8" s="4" t="s">
        <v>100</v>
      </c>
    </row>
    <row r="9" spans="1:9" x14ac:dyDescent="0.25">
      <c r="A9" t="s">
        <v>826</v>
      </c>
      <c r="C9" t="s">
        <v>66</v>
      </c>
      <c r="E9" t="s">
        <v>74</v>
      </c>
      <c r="G9" t="s">
        <v>195</v>
      </c>
      <c r="I9" s="4" t="s">
        <v>186</v>
      </c>
    </row>
    <row r="10" spans="1:9" x14ac:dyDescent="0.25">
      <c r="A10" t="s">
        <v>112</v>
      </c>
      <c r="C10" t="s">
        <v>68</v>
      </c>
      <c r="E10" t="s">
        <v>79</v>
      </c>
      <c r="I10" s="4" t="s">
        <v>34</v>
      </c>
    </row>
    <row r="11" spans="1:9" x14ac:dyDescent="0.25">
      <c r="A11" t="s">
        <v>164</v>
      </c>
      <c r="C11" t="s">
        <v>89</v>
      </c>
      <c r="E11" t="s">
        <v>128</v>
      </c>
      <c r="I11" s="7" t="s">
        <v>27</v>
      </c>
    </row>
    <row r="12" spans="1:9" x14ac:dyDescent="0.25">
      <c r="A12" t="s">
        <v>344</v>
      </c>
      <c r="C12" t="s">
        <v>98</v>
      </c>
      <c r="E12" t="s">
        <v>588</v>
      </c>
      <c r="I12" s="4" t="s">
        <v>214</v>
      </c>
    </row>
    <row r="13" spans="1:9" x14ac:dyDescent="0.25">
      <c r="A13" t="s">
        <v>406</v>
      </c>
      <c r="C13" t="s">
        <v>100</v>
      </c>
      <c r="E13" t="s">
        <v>393</v>
      </c>
      <c r="I13" s="4" t="s">
        <v>131</v>
      </c>
    </row>
    <row r="14" spans="1:9" x14ac:dyDescent="0.25">
      <c r="C14" t="s">
        <v>102</v>
      </c>
      <c r="E14" t="s">
        <v>92</v>
      </c>
      <c r="I14" s="4" t="s">
        <v>102</v>
      </c>
    </row>
    <row r="15" spans="1:9" x14ac:dyDescent="0.25">
      <c r="C15" t="s">
        <v>122</v>
      </c>
      <c r="E15" t="s">
        <v>819</v>
      </c>
      <c r="I15" s="4" t="s">
        <v>98</v>
      </c>
    </row>
    <row r="16" spans="1:9" x14ac:dyDescent="0.25">
      <c r="C16" t="s">
        <v>131</v>
      </c>
      <c r="E16" t="s">
        <v>96</v>
      </c>
      <c r="I16" s="4" t="s">
        <v>114</v>
      </c>
    </row>
    <row r="17" spans="3:5" x14ac:dyDescent="0.25">
      <c r="C17" t="s">
        <v>155</v>
      </c>
      <c r="E17" t="s">
        <v>104</v>
      </c>
    </row>
    <row r="18" spans="3:5" x14ac:dyDescent="0.25">
      <c r="C18" t="s">
        <v>172</v>
      </c>
      <c r="E18" t="s">
        <v>107</v>
      </c>
    </row>
    <row r="19" spans="3:5" x14ac:dyDescent="0.25">
      <c r="C19" t="s">
        <v>186</v>
      </c>
      <c r="E19" t="s">
        <v>109</v>
      </c>
    </row>
    <row r="20" spans="3:5" x14ac:dyDescent="0.25">
      <c r="C20" t="s">
        <v>214</v>
      </c>
      <c r="E20" t="s">
        <v>114</v>
      </c>
    </row>
    <row r="21" spans="3:5" x14ac:dyDescent="0.25">
      <c r="C21" t="s">
        <v>239</v>
      </c>
      <c r="E21" t="s">
        <v>117</v>
      </c>
    </row>
    <row r="22" spans="3:5" x14ac:dyDescent="0.25">
      <c r="C22" t="s">
        <v>595</v>
      </c>
      <c r="E22" t="s">
        <v>124</v>
      </c>
    </row>
    <row r="23" spans="3:5" x14ac:dyDescent="0.25">
      <c r="C23" t="s">
        <v>628</v>
      </c>
      <c r="E23" t="s">
        <v>126</v>
      </c>
    </row>
    <row r="24" spans="3:5" x14ac:dyDescent="0.25">
      <c r="C24" t="s">
        <v>670</v>
      </c>
      <c r="E24" t="s">
        <v>143</v>
      </c>
    </row>
    <row r="25" spans="3:5" x14ac:dyDescent="0.25">
      <c r="C25" t="s">
        <v>748</v>
      </c>
      <c r="E25" t="s">
        <v>139</v>
      </c>
    </row>
    <row r="26" spans="3:5" x14ac:dyDescent="0.25">
      <c r="C26" t="s">
        <v>340</v>
      </c>
      <c r="E26" t="s">
        <v>134</v>
      </c>
    </row>
    <row r="27" spans="3:5" x14ac:dyDescent="0.25">
      <c r="C27" t="s">
        <v>350</v>
      </c>
      <c r="E27" t="s">
        <v>153</v>
      </c>
    </row>
    <row r="28" spans="3:5" x14ac:dyDescent="0.25">
      <c r="C28" t="s">
        <v>352</v>
      </c>
      <c r="E28" t="s">
        <v>141</v>
      </c>
    </row>
    <row r="29" spans="3:5" x14ac:dyDescent="0.25">
      <c r="C29" t="s">
        <v>355</v>
      </c>
      <c r="E29" t="s">
        <v>151</v>
      </c>
    </row>
    <row r="30" spans="3:5" x14ac:dyDescent="0.25">
      <c r="E30" t="s">
        <v>147</v>
      </c>
    </row>
    <row r="31" spans="3:5" x14ac:dyDescent="0.25">
      <c r="E31" t="s">
        <v>149</v>
      </c>
    </row>
    <row r="32" spans="3:5" x14ac:dyDescent="0.25">
      <c r="E32" t="s">
        <v>159</v>
      </c>
    </row>
    <row r="33" spans="5:5" x14ac:dyDescent="0.25">
      <c r="E33" t="s">
        <v>168</v>
      </c>
    </row>
    <row r="34" spans="5:5" x14ac:dyDescent="0.25">
      <c r="E34" t="s">
        <v>176</v>
      </c>
    </row>
    <row r="35" spans="5:5" x14ac:dyDescent="0.25">
      <c r="E35" t="s">
        <v>179</v>
      </c>
    </row>
    <row r="36" spans="5:5" x14ac:dyDescent="0.25">
      <c r="E36" t="s">
        <v>193</v>
      </c>
    </row>
    <row r="37" spans="5:5" x14ac:dyDescent="0.25">
      <c r="E37" t="s">
        <v>212</v>
      </c>
    </row>
    <row r="38" spans="5:5" x14ac:dyDescent="0.25">
      <c r="E38" t="s">
        <v>216</v>
      </c>
    </row>
    <row r="39" spans="5:5" x14ac:dyDescent="0.25">
      <c r="E39" t="s">
        <v>224</v>
      </c>
    </row>
    <row r="40" spans="5:5" x14ac:dyDescent="0.25">
      <c r="E40" t="s">
        <v>228</v>
      </c>
    </row>
    <row r="41" spans="5:5" x14ac:dyDescent="0.25">
      <c r="E41" t="s">
        <v>244</v>
      </c>
    </row>
    <row r="42" spans="5:5" x14ac:dyDescent="0.25">
      <c r="E42" t="s">
        <v>247</v>
      </c>
    </row>
    <row r="43" spans="5:5" x14ac:dyDescent="0.25">
      <c r="E43" t="s">
        <v>254</v>
      </c>
    </row>
    <row r="44" spans="5:5" x14ac:dyDescent="0.25">
      <c r="E44" t="s">
        <v>257</v>
      </c>
    </row>
    <row r="45" spans="5:5" x14ac:dyDescent="0.25">
      <c r="E45" t="s">
        <v>261</v>
      </c>
    </row>
    <row r="46" spans="5:5" x14ac:dyDescent="0.25">
      <c r="E46" t="s">
        <v>280</v>
      </c>
    </row>
    <row r="47" spans="5:5" x14ac:dyDescent="0.25">
      <c r="E47" t="s">
        <v>275</v>
      </c>
    </row>
    <row r="48" spans="5:5" x14ac:dyDescent="0.25">
      <c r="E48" t="s">
        <v>284</v>
      </c>
    </row>
    <row r="49" spans="5:5" x14ac:dyDescent="0.25">
      <c r="E49" t="s">
        <v>291</v>
      </c>
    </row>
    <row r="50" spans="5:5" x14ac:dyDescent="0.25">
      <c r="E50" t="s">
        <v>307</v>
      </c>
    </row>
    <row r="51" spans="5:5" x14ac:dyDescent="0.25">
      <c r="E51" t="s">
        <v>312</v>
      </c>
    </row>
    <row r="52" spans="5:5" x14ac:dyDescent="0.25">
      <c r="E52" t="s">
        <v>688</v>
      </c>
    </row>
    <row r="53" spans="5:5" x14ac:dyDescent="0.25">
      <c r="E53" t="s">
        <v>698</v>
      </c>
    </row>
    <row r="54" spans="5:5" x14ac:dyDescent="0.25">
      <c r="E54" t="s">
        <v>700</v>
      </c>
    </row>
    <row r="55" spans="5:5" x14ac:dyDescent="0.25">
      <c r="E55" t="s">
        <v>720</v>
      </c>
    </row>
    <row r="56" spans="5:5" x14ac:dyDescent="0.25">
      <c r="E56" t="s">
        <v>729</v>
      </c>
    </row>
    <row r="57" spans="5:5" x14ac:dyDescent="0.25">
      <c r="E57" t="s">
        <v>762</v>
      </c>
    </row>
    <row r="58" spans="5:5" x14ac:dyDescent="0.25">
      <c r="E58" t="s">
        <v>849</v>
      </c>
    </row>
    <row r="59" spans="5:5" x14ac:dyDescent="0.25">
      <c r="E59" t="s">
        <v>797</v>
      </c>
    </row>
    <row r="60" spans="5:5" x14ac:dyDescent="0.25">
      <c r="E60" t="s">
        <v>858</v>
      </c>
    </row>
    <row r="61" spans="5:5" x14ac:dyDescent="0.25">
      <c r="E61" t="s">
        <v>865</v>
      </c>
    </row>
    <row r="62" spans="5:5" x14ac:dyDescent="0.25">
      <c r="E62" t="s">
        <v>872</v>
      </c>
    </row>
    <row r="63" spans="5:5" x14ac:dyDescent="0.25">
      <c r="E63" t="s">
        <v>882</v>
      </c>
    </row>
    <row r="64" spans="5:5" x14ac:dyDescent="0.25">
      <c r="E64" t="s">
        <v>910</v>
      </c>
    </row>
    <row r="65" spans="5:5" x14ac:dyDescent="0.25">
      <c r="E65" t="s">
        <v>917</v>
      </c>
    </row>
    <row r="66" spans="5:5" x14ac:dyDescent="0.25">
      <c r="E66" t="s">
        <v>962</v>
      </c>
    </row>
    <row r="67" spans="5:5" x14ac:dyDescent="0.25">
      <c r="E67" t="s">
        <v>1045</v>
      </c>
    </row>
    <row r="68" spans="5:5" x14ac:dyDescent="0.25">
      <c r="E68" t="s">
        <v>353</v>
      </c>
    </row>
    <row r="69" spans="5:5" x14ac:dyDescent="0.25">
      <c r="E69" t="s">
        <v>357</v>
      </c>
    </row>
    <row r="70" spans="5:5" x14ac:dyDescent="0.25">
      <c r="E70" t="s">
        <v>1077</v>
      </c>
    </row>
    <row r="71" spans="5:5" x14ac:dyDescent="0.25">
      <c r="E71" t="s">
        <v>137</v>
      </c>
    </row>
    <row r="72" spans="5:5" x14ac:dyDescent="0.25">
      <c r="E72" t="s">
        <v>205</v>
      </c>
    </row>
    <row r="73" spans="5:5" x14ac:dyDescent="0.25">
      <c r="E73" t="s">
        <v>57</v>
      </c>
    </row>
    <row r="74" spans="5:5" x14ac:dyDescent="0.25">
      <c r="E74" t="s">
        <v>940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2918-BE76-4BC5-B9C6-AEF87C3C4488}">
  <sheetPr filterMode="1"/>
  <dimension ref="A2:D156"/>
  <sheetViews>
    <sheetView tabSelected="1" workbookViewId="0">
      <selection activeCell="B12" sqref="B12"/>
    </sheetView>
  </sheetViews>
  <sheetFormatPr defaultRowHeight="15" x14ac:dyDescent="0.25"/>
  <cols>
    <col min="1" max="1" width="16.42578125" bestFit="1" customWidth="1"/>
    <col min="2" max="2" width="15.28515625" customWidth="1"/>
    <col min="3" max="3" width="20" bestFit="1" customWidth="1"/>
    <col min="4" max="4" width="11.42578125" bestFit="1" customWidth="1"/>
  </cols>
  <sheetData>
    <row r="2" spans="1:4" x14ac:dyDescent="0.25">
      <c r="A2" s="31" t="s">
        <v>18</v>
      </c>
      <c r="B2" s="31">
        <v>-48.61</v>
      </c>
      <c r="C2" s="31" t="s">
        <v>16</v>
      </c>
      <c r="D2" t="str">
        <f>IF(ISNUMBER(MATCH(A2, Categories!$I$4:$I$16, 0)), "Blocklist_A",
IF(ISNUMBER(MATCH(A2, Categories!$A:$A, 0)), "Blocklist_B",
IF(ISNUMBER(MATCH(A2, Categories!$E:$E, 0)), "Blocklist_C",
IF(ISNUMBER(MATCH(A2, Categories!$G:$G, 0)), "Blocklist_D",
IF(ISNUMBER(MATCH(A2, Categories!$C:$C, 0)), "Include_List",
"Unclassified")))))</f>
        <v>Include_List</v>
      </c>
    </row>
    <row r="3" spans="1:4" hidden="1" x14ac:dyDescent="0.25">
      <c r="A3" s="31" t="s">
        <v>337</v>
      </c>
      <c r="B3" s="31">
        <v>527.55999999999995</v>
      </c>
      <c r="C3" s="31" t="s">
        <v>16</v>
      </c>
      <c r="D3" t="str">
        <f>IF(ISNUMBER(MATCH(A3, Categories!$I$4:$I$16, 0)), "Blocklist_A",
IF(ISNUMBER(MATCH(A3, Categories!$A:$A, 0)), "Blocklist_B",
IF(ISNUMBER(MATCH(A3, Categories!$E:$E, 0)), "Blocklist_C",
IF(ISNUMBER(MATCH(A3, Categories!$G:$G, 0)), "Blocklist_D",
IF(ISNUMBER(MATCH(A3, Categories!$C:$C, 0)), "Include_List",
"Unclassified")))))</f>
        <v>Blocklist_B</v>
      </c>
    </row>
    <row r="4" spans="1:4" x14ac:dyDescent="0.25">
      <c r="A4" s="31" t="s">
        <v>18</v>
      </c>
      <c r="B4" s="31">
        <v>-43.78</v>
      </c>
      <c r="C4" s="31" t="s">
        <v>16</v>
      </c>
      <c r="D4" t="str">
        <f>IF(ISNUMBER(MATCH(A4, Categories!$I$4:$I$16, 0)), "Blocklist_A",
IF(ISNUMBER(MATCH(A4, Categories!$A:$A, 0)), "Blocklist_B",
IF(ISNUMBER(MATCH(A4, Categories!$E:$E, 0)), "Blocklist_C",
IF(ISNUMBER(MATCH(A4, Categories!$G:$G, 0)), "Blocklist_D",
IF(ISNUMBER(MATCH(A4, Categories!$C:$C, 0)), "Include_List",
"Unclassified")))))</f>
        <v>Include_List</v>
      </c>
    </row>
    <row r="5" spans="1:4" hidden="1" x14ac:dyDescent="0.25">
      <c r="A5" s="31" t="s">
        <v>819</v>
      </c>
      <c r="B5" s="31">
        <v>-108.16</v>
      </c>
      <c r="C5" s="31" t="s">
        <v>16</v>
      </c>
      <c r="D5" t="str">
        <f>IF(ISNUMBER(MATCH(A5, Categories!$I$4:$I$16, 0)), "Blocklist_A",
IF(ISNUMBER(MATCH(A5, Categories!$A:$A, 0)), "Blocklist_B",
IF(ISNUMBER(MATCH(A5, Categories!$E:$E, 0)), "Blocklist_C",
IF(ISNUMBER(MATCH(A5, Categories!$G:$G, 0)), "Blocklist_D",
IF(ISNUMBER(MATCH(A5, Categories!$C:$C, 0)), "Include_List",
"Unclassified")))))</f>
        <v>Blocklist_C</v>
      </c>
    </row>
    <row r="6" spans="1:4" hidden="1" x14ac:dyDescent="0.25">
      <c r="A6" s="31" t="s">
        <v>819</v>
      </c>
      <c r="B6" s="31">
        <v>-223.9</v>
      </c>
      <c r="C6" s="31" t="s">
        <v>16</v>
      </c>
      <c r="D6" t="str">
        <f>IF(ISNUMBER(MATCH(A6, Categories!$I$4:$I$16, 0)), "Blocklist_A",
IF(ISNUMBER(MATCH(A6, Categories!$A:$A, 0)), "Blocklist_B",
IF(ISNUMBER(MATCH(A6, Categories!$E:$E, 0)), "Blocklist_C",
IF(ISNUMBER(MATCH(A6, Categories!$G:$G, 0)), "Blocklist_D",
IF(ISNUMBER(MATCH(A6, Categories!$C:$C, 0)), "Include_List",
"Unclassified")))))</f>
        <v>Blocklist_C</v>
      </c>
    </row>
    <row r="7" spans="1:4" hidden="1" x14ac:dyDescent="0.25">
      <c r="A7" s="31" t="s">
        <v>819</v>
      </c>
      <c r="B7" s="31">
        <v>-326.68</v>
      </c>
      <c r="C7" s="31" t="s">
        <v>16</v>
      </c>
      <c r="D7" t="str">
        <f>IF(ISNUMBER(MATCH(A7, Categories!$I$4:$I$16, 0)), "Blocklist_A",
IF(ISNUMBER(MATCH(A7, Categories!$A:$A, 0)), "Blocklist_B",
IF(ISNUMBER(MATCH(A7, Categories!$E:$E, 0)), "Blocklist_C",
IF(ISNUMBER(MATCH(A7, Categories!$G:$G, 0)), "Blocklist_D",
IF(ISNUMBER(MATCH(A7, Categories!$C:$C, 0)), "Include_List",
"Unclassified")))))</f>
        <v>Blocklist_C</v>
      </c>
    </row>
    <row r="8" spans="1:4" hidden="1" x14ac:dyDescent="0.25">
      <c r="A8" s="31" t="s">
        <v>337</v>
      </c>
      <c r="B8" s="31">
        <v>527.55999999999995</v>
      </c>
      <c r="C8" s="31" t="s">
        <v>16</v>
      </c>
      <c r="D8" t="str">
        <f>IF(ISNUMBER(MATCH(A8, Categories!$I$4:$I$16, 0)), "Blocklist_A",
IF(ISNUMBER(MATCH(A8, Categories!$A:$A, 0)), "Blocklist_B",
IF(ISNUMBER(MATCH(A8, Categories!$E:$E, 0)), "Blocklist_C",
IF(ISNUMBER(MATCH(A8, Categories!$G:$G, 0)), "Blocklist_D",
IF(ISNUMBER(MATCH(A8, Categories!$C:$C, 0)), "Include_List",
"Unclassified")))))</f>
        <v>Blocklist_B</v>
      </c>
    </row>
    <row r="9" spans="1:4" hidden="1" x14ac:dyDescent="0.25">
      <c r="A9" s="31" t="s">
        <v>392</v>
      </c>
      <c r="B9" s="31">
        <v>-65.91</v>
      </c>
      <c r="C9" s="31" t="s">
        <v>16</v>
      </c>
      <c r="D9" t="str">
        <f>IF(ISNUMBER(MATCH(A9, Categories!$I$4:$I$16, 0)), "Blocklist_A",
IF(ISNUMBER(MATCH(A9, Categories!$A:$A, 0)), "Blocklist_B",
IF(ISNUMBER(MATCH(A9, Categories!$E:$E, 0)), "Blocklist_C",
IF(ISNUMBER(MATCH(A9, Categories!$G:$G, 0)), "Blocklist_D",
IF(ISNUMBER(MATCH(A9, Categories!$C:$C, 0)), "Include_List",
"Unclassified")))))</f>
        <v>Blocklist_C</v>
      </c>
    </row>
    <row r="10" spans="1:4" x14ac:dyDescent="0.25">
      <c r="A10" s="31" t="s">
        <v>18</v>
      </c>
      <c r="B10" s="31">
        <v>-43.98</v>
      </c>
      <c r="C10" s="31" t="s">
        <v>16</v>
      </c>
      <c r="D10" t="str">
        <f>IF(ISNUMBER(MATCH(A10, Categories!$I$4:$I$16, 0)), "Blocklist_A",
IF(ISNUMBER(MATCH(A10, Categories!$A:$A, 0)), "Blocklist_B",
IF(ISNUMBER(MATCH(A10, Categories!$E:$E, 0)), "Blocklist_C",
IF(ISNUMBER(MATCH(A10, Categories!$G:$G, 0)), "Blocklist_D",
IF(ISNUMBER(MATCH(A10, Categories!$C:$C, 0)), "Include_List",
"Unclassified")))))</f>
        <v>Include_List</v>
      </c>
    </row>
    <row r="11" spans="1:4" hidden="1" x14ac:dyDescent="0.25">
      <c r="A11" s="31" t="s">
        <v>826</v>
      </c>
      <c r="B11" s="31">
        <v>-30</v>
      </c>
      <c r="C11" s="31" t="s">
        <v>16</v>
      </c>
      <c r="D11" t="str">
        <f>IF(ISNUMBER(MATCH(A11, Categories!$I$4:$I$16, 0)), "Blocklist_A",
IF(ISNUMBER(MATCH(A11, Categories!$A:$A, 0)), "Blocklist_B",
IF(ISNUMBER(MATCH(A11, Categories!$E:$E, 0)), "Blocklist_C",
IF(ISNUMBER(MATCH(A11, Categories!$G:$G, 0)), "Blocklist_D",
IF(ISNUMBER(MATCH(A11, Categories!$C:$C, 0)), "Include_List",
"Unclassified")))))</f>
        <v>Blocklist_B</v>
      </c>
    </row>
    <row r="12" spans="1:4" x14ac:dyDescent="0.25">
      <c r="A12" s="31" t="s">
        <v>18</v>
      </c>
      <c r="B12" s="31">
        <v>527.55999999999995</v>
      </c>
      <c r="C12" s="31" t="s">
        <v>16</v>
      </c>
      <c r="D12" t="str">
        <f>IF(ISNUMBER(MATCH(A12, Categories!$I$4:$I$16, 0)), "Blocklist_A",
IF(ISNUMBER(MATCH(A12, Categories!$A:$A, 0)), "Blocklist_B",
IF(ISNUMBER(MATCH(A12, Categories!$E:$E, 0)), "Blocklist_C",
IF(ISNUMBER(MATCH(A12, Categories!$G:$G, 0)), "Blocklist_D",
IF(ISNUMBER(MATCH(A12, Categories!$C:$C, 0)), "Include_List",
"Unclassified")))))</f>
        <v>Include_List</v>
      </c>
    </row>
    <row r="13" spans="1:4" hidden="1" x14ac:dyDescent="0.25">
      <c r="A13" s="31" t="s">
        <v>96</v>
      </c>
      <c r="B13" s="31">
        <v>5</v>
      </c>
      <c r="C13" s="31" t="s">
        <v>90</v>
      </c>
      <c r="D13" t="str">
        <f>IF(ISNUMBER(MATCH(A13, Categories!$I$4:$I$16, 0)), "Blocklist_A",
IF(ISNUMBER(MATCH(A13, Categories!$A:$A, 0)), "Blocklist_B",
IF(ISNUMBER(MATCH(A13, Categories!$E:$E, 0)), "Blocklist_C",
IF(ISNUMBER(MATCH(A13, Categories!$G:$G, 0)), "Blocklist_D",
IF(ISNUMBER(MATCH(A13, Categories!$C:$C, 0)), "Include_List",
"Unclassified")))))</f>
        <v>Blocklist_C</v>
      </c>
    </row>
    <row r="14" spans="1:4" hidden="1" x14ac:dyDescent="0.25">
      <c r="A14" s="31" t="s">
        <v>107</v>
      </c>
      <c r="B14" s="31">
        <v>-13.55</v>
      </c>
      <c r="C14" s="31" t="s">
        <v>90</v>
      </c>
      <c r="D14" t="str">
        <f>IF(ISNUMBER(MATCH(A14, Categories!$I$4:$I$16, 0)), "Blocklist_A",
IF(ISNUMBER(MATCH(A14, Categories!$A:$A, 0)), "Blocklist_B",
IF(ISNUMBER(MATCH(A14, Categories!$E:$E, 0)), "Blocklist_C",
IF(ISNUMBER(MATCH(A14, Categories!$G:$G, 0)), "Blocklist_D",
IF(ISNUMBER(MATCH(A14, Categories!$C:$C, 0)), "Include_List",
"Unclassified")))))</f>
        <v>Blocklist_C</v>
      </c>
    </row>
    <row r="15" spans="1:4" hidden="1" x14ac:dyDescent="0.25">
      <c r="A15" s="31" t="s">
        <v>98</v>
      </c>
      <c r="B15" s="31">
        <v>5.99</v>
      </c>
      <c r="C15" s="31" t="s">
        <v>90</v>
      </c>
      <c r="D15" t="str">
        <f>IF(ISNUMBER(MATCH(A15, Categories!$I$4:$I$16, 0)), "Blocklist_A",
IF(ISNUMBER(MATCH(A15, Categories!$A:$A, 0)), "Blocklist_B",
IF(ISNUMBER(MATCH(A15, Categories!$E:$E, 0)), "Blocklist_C",
IF(ISNUMBER(MATCH(A15, Categories!$G:$G, 0)), "Blocklist_D",
IF(ISNUMBER(MATCH(A15, Categories!$C:$C, 0)), "Include_List",
"Unclassified")))))</f>
        <v>Blocklist_A</v>
      </c>
    </row>
    <row r="16" spans="1:4" hidden="1" x14ac:dyDescent="0.25">
      <c r="A16" s="31" t="s">
        <v>117</v>
      </c>
      <c r="B16" s="31">
        <v>35</v>
      </c>
      <c r="C16" s="31" t="s">
        <v>90</v>
      </c>
      <c r="D16" t="str">
        <f>IF(ISNUMBER(MATCH(A16, Categories!$I$4:$I$16, 0)), "Blocklist_A",
IF(ISNUMBER(MATCH(A16, Categories!$A:$A, 0)), "Blocklist_B",
IF(ISNUMBER(MATCH(A16, Categories!$E:$E, 0)), "Blocklist_C",
IF(ISNUMBER(MATCH(A16, Categories!$G:$G, 0)), "Blocklist_D",
IF(ISNUMBER(MATCH(A16, Categories!$C:$C, 0)), "Include_List",
"Unclassified")))))</f>
        <v>Blocklist_C</v>
      </c>
    </row>
    <row r="17" spans="1:4" x14ac:dyDescent="0.25">
      <c r="A17" s="31" t="s">
        <v>89</v>
      </c>
      <c r="B17" s="31">
        <v>20</v>
      </c>
      <c r="C17" s="31" t="s">
        <v>90</v>
      </c>
      <c r="D17" t="str">
        <f>IF(ISNUMBER(MATCH(A17, Categories!$I$4:$I$16, 0)), "Blocklist_A",
IF(ISNUMBER(MATCH(A17, Categories!$A:$A, 0)), "Blocklist_B",
IF(ISNUMBER(MATCH(A17, Categories!$E:$E, 0)), "Blocklist_C",
IF(ISNUMBER(MATCH(A17, Categories!$G:$G, 0)), "Blocklist_D",
IF(ISNUMBER(MATCH(A17, Categories!$C:$C, 0)), "Include_List",
"Unclassified")))))</f>
        <v>Include_List</v>
      </c>
    </row>
    <row r="18" spans="1:4" hidden="1" x14ac:dyDescent="0.25">
      <c r="A18" s="31" t="s">
        <v>312</v>
      </c>
      <c r="B18" s="31">
        <v>13.96</v>
      </c>
      <c r="C18" s="31" t="s">
        <v>90</v>
      </c>
      <c r="D18" t="str">
        <f>IF(ISNUMBER(MATCH(A18, Categories!$I$4:$I$16, 0)), "Blocklist_A",
IF(ISNUMBER(MATCH(A18, Categories!$A:$A, 0)), "Blocklist_B",
IF(ISNUMBER(MATCH(A18, Categories!$E:$E, 0)), "Blocklist_C",
IF(ISNUMBER(MATCH(A18, Categories!$G:$G, 0)), "Blocklist_D",
IF(ISNUMBER(MATCH(A18, Categories!$C:$C, 0)), "Include_List",
"Unclassified")))))</f>
        <v>Blocklist_C</v>
      </c>
    </row>
    <row r="19" spans="1:4" hidden="1" x14ac:dyDescent="0.25">
      <c r="A19" s="31" t="s">
        <v>107</v>
      </c>
      <c r="B19" s="31">
        <v>80.03</v>
      </c>
      <c r="C19" s="31" t="s">
        <v>90</v>
      </c>
      <c r="D19" t="str">
        <f>IF(ISNUMBER(MATCH(A19, Categories!$I$4:$I$16, 0)), "Blocklist_A",
IF(ISNUMBER(MATCH(A19, Categories!$A:$A, 0)), "Blocklist_B",
IF(ISNUMBER(MATCH(A19, Categories!$E:$E, 0)), "Blocklist_C",
IF(ISNUMBER(MATCH(A19, Categories!$G:$G, 0)), "Blocklist_D",
IF(ISNUMBER(MATCH(A19, Categories!$C:$C, 0)), "Include_List",
"Unclassified")))))</f>
        <v>Blocklist_C</v>
      </c>
    </row>
    <row r="20" spans="1:4" hidden="1" x14ac:dyDescent="0.25">
      <c r="A20" s="31" t="s">
        <v>107</v>
      </c>
      <c r="B20" s="31">
        <v>29.54</v>
      </c>
      <c r="C20" s="31" t="s">
        <v>90</v>
      </c>
      <c r="D20" t="str">
        <f>IF(ISNUMBER(MATCH(A20, Categories!$I$4:$I$16, 0)), "Blocklist_A",
IF(ISNUMBER(MATCH(A20, Categories!$A:$A, 0)), "Blocklist_B",
IF(ISNUMBER(MATCH(A20, Categories!$E:$E, 0)), "Blocklist_C",
IF(ISNUMBER(MATCH(A20, Categories!$G:$G, 0)), "Blocklist_D",
IF(ISNUMBER(MATCH(A20, Categories!$C:$C, 0)), "Include_List",
"Unclassified")))))</f>
        <v>Blocklist_C</v>
      </c>
    </row>
    <row r="21" spans="1:4" hidden="1" x14ac:dyDescent="0.25">
      <c r="A21" s="31" t="s">
        <v>729</v>
      </c>
      <c r="B21" s="31">
        <v>50</v>
      </c>
      <c r="C21" s="31" t="s">
        <v>90</v>
      </c>
      <c r="D21" t="str">
        <f>IF(ISNUMBER(MATCH(A21, Categories!$I$4:$I$16, 0)), "Blocklist_A",
IF(ISNUMBER(MATCH(A21, Categories!$A:$A, 0)), "Blocklist_B",
IF(ISNUMBER(MATCH(A21, Categories!$E:$E, 0)), "Blocklist_C",
IF(ISNUMBER(MATCH(A21, Categories!$G:$G, 0)), "Blocklist_D",
IF(ISNUMBER(MATCH(A21, Categories!$C:$C, 0)), "Include_List",
"Unclassified")))))</f>
        <v>Blocklist_C</v>
      </c>
    </row>
    <row r="22" spans="1:4" x14ac:dyDescent="0.25">
      <c r="A22" s="31" t="s">
        <v>239</v>
      </c>
      <c r="B22" s="31">
        <v>36.42</v>
      </c>
      <c r="C22" s="31" t="s">
        <v>90</v>
      </c>
      <c r="D22" t="str">
        <f>IF(ISNUMBER(MATCH(A22, Categories!$I$4:$I$16, 0)), "Blocklist_A",
IF(ISNUMBER(MATCH(A22, Categories!$A:$A, 0)), "Blocklist_B",
IF(ISNUMBER(MATCH(A22, Categories!$E:$E, 0)), "Blocklist_C",
IF(ISNUMBER(MATCH(A22, Categories!$G:$G, 0)), "Blocklist_D",
IF(ISNUMBER(MATCH(A22, Categories!$C:$C, 0)), "Include_List",
"Unclassified")))))</f>
        <v>Include_List</v>
      </c>
    </row>
    <row r="23" spans="1:4" hidden="1" x14ac:dyDescent="0.25">
      <c r="A23" s="31" t="s">
        <v>102</v>
      </c>
      <c r="B23" s="31">
        <v>10</v>
      </c>
      <c r="C23" s="31" t="s">
        <v>90</v>
      </c>
      <c r="D23" t="str">
        <f>IF(ISNUMBER(MATCH(A23, Categories!$I$4:$I$16, 0)), "Blocklist_A",
IF(ISNUMBER(MATCH(A23, Categories!$A:$A, 0)), "Blocklist_B",
IF(ISNUMBER(MATCH(A23, Categories!$E:$E, 0)), "Blocklist_C",
IF(ISNUMBER(MATCH(A23, Categories!$G:$G, 0)), "Blocklist_D",
IF(ISNUMBER(MATCH(A23, Categories!$C:$C, 0)), "Include_List",
"Unclassified")))))</f>
        <v>Blocklist_A</v>
      </c>
    </row>
    <row r="24" spans="1:4" hidden="1" x14ac:dyDescent="0.25">
      <c r="A24" s="31" t="s">
        <v>100</v>
      </c>
      <c r="B24" s="31">
        <v>273.60000000000002</v>
      </c>
      <c r="C24" s="31" t="s">
        <v>90</v>
      </c>
      <c r="D24" t="str">
        <f>IF(ISNUMBER(MATCH(A24, Categories!$I$4:$I$16, 0)), "Blocklist_A",
IF(ISNUMBER(MATCH(A24, Categories!$A:$A, 0)), "Blocklist_B",
IF(ISNUMBER(MATCH(A24, Categories!$E:$E, 0)), "Blocklist_C",
IF(ISNUMBER(MATCH(A24, Categories!$G:$G, 0)), "Blocklist_D",
IF(ISNUMBER(MATCH(A24, Categories!$C:$C, 0)), "Include_List",
"Unclassified")))))</f>
        <v>Blocklist_A</v>
      </c>
    </row>
    <row r="25" spans="1:4" hidden="1" x14ac:dyDescent="0.25">
      <c r="A25" s="31" t="s">
        <v>112</v>
      </c>
      <c r="B25" s="31">
        <v>-46.21</v>
      </c>
      <c r="C25" s="31" t="s">
        <v>90</v>
      </c>
      <c r="D25" t="str">
        <f>IF(ISNUMBER(MATCH(A25, Categories!$I$4:$I$16, 0)), "Blocklist_A",
IF(ISNUMBER(MATCH(A25, Categories!$A:$A, 0)), "Blocklist_B",
IF(ISNUMBER(MATCH(A25, Categories!$E:$E, 0)), "Blocklist_C",
IF(ISNUMBER(MATCH(A25, Categories!$G:$G, 0)), "Blocklist_D",
IF(ISNUMBER(MATCH(A25, Categories!$C:$C, 0)), "Include_List",
"Unclassified")))))</f>
        <v>Blocklist_B</v>
      </c>
    </row>
    <row r="26" spans="1:4" hidden="1" x14ac:dyDescent="0.25">
      <c r="A26" s="31" t="s">
        <v>910</v>
      </c>
      <c r="B26" s="31">
        <v>76.98</v>
      </c>
      <c r="C26" s="31" t="s">
        <v>90</v>
      </c>
      <c r="D26" t="str">
        <f>IF(ISNUMBER(MATCH(A26, Categories!$I$4:$I$16, 0)), "Blocklist_A",
IF(ISNUMBER(MATCH(A26, Categories!$A:$A, 0)), "Blocklist_B",
IF(ISNUMBER(MATCH(A26, Categories!$E:$E, 0)), "Blocklist_C",
IF(ISNUMBER(MATCH(A26, Categories!$G:$G, 0)), "Blocklist_D",
IF(ISNUMBER(MATCH(A26, Categories!$C:$C, 0)), "Include_List",
"Unclassified")))))</f>
        <v>Blocklist_C</v>
      </c>
    </row>
    <row r="27" spans="1:4" hidden="1" x14ac:dyDescent="0.25">
      <c r="A27" s="31" t="s">
        <v>137</v>
      </c>
      <c r="B27" s="31">
        <v>41.92</v>
      </c>
      <c r="C27" s="31" t="s">
        <v>90</v>
      </c>
      <c r="D27" t="str">
        <f>IF(ISNUMBER(MATCH(A27, Categories!$I$4:$I$16, 0)), "Blocklist_A",
IF(ISNUMBER(MATCH(A27, Categories!$A:$A, 0)), "Blocklist_B",
IF(ISNUMBER(MATCH(A27, Categories!$E:$E, 0)), "Blocklist_C",
IF(ISNUMBER(MATCH(A27, Categories!$G:$G, 0)), "Blocklist_D",
IF(ISNUMBER(MATCH(A27, Categories!$C:$C, 0)), "Include_List",
"Unclassified")))))</f>
        <v>Blocklist_C</v>
      </c>
    </row>
    <row r="28" spans="1:4" hidden="1" x14ac:dyDescent="0.25">
      <c r="A28" s="31" t="s">
        <v>141</v>
      </c>
      <c r="B28" s="31">
        <v>29.55</v>
      </c>
      <c r="C28" s="31" t="s">
        <v>90</v>
      </c>
      <c r="D28" t="str">
        <f>IF(ISNUMBER(MATCH(A28, Categories!$I$4:$I$16, 0)), "Blocklist_A",
IF(ISNUMBER(MATCH(A28, Categories!$A:$A, 0)), "Blocklist_B",
IF(ISNUMBER(MATCH(A28, Categories!$E:$E, 0)), "Blocklist_C",
IF(ISNUMBER(MATCH(A28, Categories!$G:$G, 0)), "Blocklist_D",
IF(ISNUMBER(MATCH(A28, Categories!$C:$C, 0)), "Include_List",
"Unclassified")))))</f>
        <v>Blocklist_C</v>
      </c>
    </row>
    <row r="29" spans="1:4" hidden="1" x14ac:dyDescent="0.25">
      <c r="A29" s="31" t="s">
        <v>114</v>
      </c>
      <c r="B29" s="31">
        <v>9.99</v>
      </c>
      <c r="C29" s="31" t="s">
        <v>90</v>
      </c>
      <c r="D29" t="str">
        <f>IF(ISNUMBER(MATCH(A29, Categories!$I$4:$I$16, 0)), "Blocklist_A",
IF(ISNUMBER(MATCH(A29, Categories!$A:$A, 0)), "Blocklist_B",
IF(ISNUMBER(MATCH(A29, Categories!$E:$E, 0)), "Blocklist_C",
IF(ISNUMBER(MATCH(A29, Categories!$G:$G, 0)), "Blocklist_D",
IF(ISNUMBER(MATCH(A29, Categories!$C:$C, 0)), "Include_List",
"Unclassified")))))</f>
        <v>Blocklist_A</v>
      </c>
    </row>
    <row r="30" spans="1:4" hidden="1" x14ac:dyDescent="0.25">
      <c r="A30" s="31" t="s">
        <v>141</v>
      </c>
      <c r="B30" s="31">
        <v>40.700000000000003</v>
      </c>
      <c r="C30" s="31" t="s">
        <v>90</v>
      </c>
      <c r="D30" t="str">
        <f>IF(ISNUMBER(MATCH(A30, Categories!$I$4:$I$16, 0)), "Blocklist_A",
IF(ISNUMBER(MATCH(A30, Categories!$A:$A, 0)), "Blocklist_B",
IF(ISNUMBER(MATCH(A30, Categories!$E:$E, 0)), "Blocklist_C",
IF(ISNUMBER(MATCH(A30, Categories!$G:$G, 0)), "Blocklist_D",
IF(ISNUMBER(MATCH(A30, Categories!$C:$C, 0)), "Include_List",
"Unclassified")))))</f>
        <v>Blocklist_C</v>
      </c>
    </row>
    <row r="31" spans="1:4" hidden="1" x14ac:dyDescent="0.25">
      <c r="A31" s="31" t="s">
        <v>107</v>
      </c>
      <c r="B31" s="31">
        <v>128.41999999999999</v>
      </c>
      <c r="C31" s="31" t="s">
        <v>90</v>
      </c>
      <c r="D31" t="str">
        <f>IF(ISNUMBER(MATCH(A31, Categories!$I$4:$I$16, 0)), "Blocklist_A",
IF(ISNUMBER(MATCH(A31, Categories!$A:$A, 0)), "Blocklist_B",
IF(ISNUMBER(MATCH(A31, Categories!$E:$E, 0)), "Blocklist_C",
IF(ISNUMBER(MATCH(A31, Categories!$G:$G, 0)), "Blocklist_D",
IF(ISNUMBER(MATCH(A31, Categories!$C:$C, 0)), "Include_List",
"Unclassified")))))</f>
        <v>Blocklist_C</v>
      </c>
    </row>
    <row r="32" spans="1:4" hidden="1" x14ac:dyDescent="0.25">
      <c r="A32" s="31" t="s">
        <v>797</v>
      </c>
      <c r="B32" s="31">
        <v>19.43</v>
      </c>
      <c r="C32" s="31" t="s">
        <v>90</v>
      </c>
      <c r="D32" t="str">
        <f>IF(ISNUMBER(MATCH(A32, Categories!$I$4:$I$16, 0)), "Blocklist_A",
IF(ISNUMBER(MATCH(A32, Categories!$A:$A, 0)), "Blocklist_B",
IF(ISNUMBER(MATCH(A32, Categories!$E:$E, 0)), "Blocklist_C",
IF(ISNUMBER(MATCH(A32, Categories!$G:$G, 0)), "Blocklist_D",
IF(ISNUMBER(MATCH(A32, Categories!$C:$C, 0)), "Include_List",
"Unclassified")))))</f>
        <v>Blocklist_C</v>
      </c>
    </row>
    <row r="33" spans="1:4" hidden="1" x14ac:dyDescent="0.25">
      <c r="A33" s="31" t="s">
        <v>114</v>
      </c>
      <c r="B33" s="31">
        <v>12</v>
      </c>
      <c r="C33" s="31" t="s">
        <v>90</v>
      </c>
      <c r="D33" t="str">
        <f>IF(ISNUMBER(MATCH(A33, Categories!$I$4:$I$16, 0)), "Blocklist_A",
IF(ISNUMBER(MATCH(A33, Categories!$A:$A, 0)), "Blocklist_B",
IF(ISNUMBER(MATCH(A33, Categories!$E:$E, 0)), "Blocklist_C",
IF(ISNUMBER(MATCH(A33, Categories!$G:$G, 0)), "Blocklist_D",
IF(ISNUMBER(MATCH(A33, Categories!$C:$C, 0)), "Include_List",
"Unclassified")))))</f>
        <v>Blocklist_A</v>
      </c>
    </row>
    <row r="34" spans="1:4" hidden="1" x14ac:dyDescent="0.25">
      <c r="A34" s="31" t="s">
        <v>114</v>
      </c>
      <c r="B34" s="31">
        <v>9.99</v>
      </c>
      <c r="C34" s="31" t="s">
        <v>90</v>
      </c>
      <c r="D34" t="str">
        <f>IF(ISNUMBER(MATCH(A34, Categories!$I$4:$I$16, 0)), "Blocklist_A",
IF(ISNUMBER(MATCH(A34, Categories!$A:$A, 0)), "Blocklist_B",
IF(ISNUMBER(MATCH(A34, Categories!$E:$E, 0)), "Blocklist_C",
IF(ISNUMBER(MATCH(A34, Categories!$G:$G, 0)), "Blocklist_D",
IF(ISNUMBER(MATCH(A34, Categories!$C:$C, 0)), "Include_List",
"Unclassified")))))</f>
        <v>Blocklist_A</v>
      </c>
    </row>
    <row r="35" spans="1:4" hidden="1" x14ac:dyDescent="0.25">
      <c r="A35" s="31" t="s">
        <v>114</v>
      </c>
      <c r="B35" s="31">
        <v>11.99</v>
      </c>
      <c r="C35" s="31" t="s">
        <v>90</v>
      </c>
      <c r="D35" t="str">
        <f>IF(ISNUMBER(MATCH(A35, Categories!$I$4:$I$16, 0)), "Blocklist_A",
IF(ISNUMBER(MATCH(A35, Categories!$A:$A, 0)), "Blocklist_B",
IF(ISNUMBER(MATCH(A35, Categories!$E:$E, 0)), "Blocklist_C",
IF(ISNUMBER(MATCH(A35, Categories!$G:$G, 0)), "Blocklist_D",
IF(ISNUMBER(MATCH(A35, Categories!$C:$C, 0)), "Include_List",
"Unclassified")))))</f>
        <v>Blocklist_A</v>
      </c>
    </row>
    <row r="36" spans="1:4" hidden="1" x14ac:dyDescent="0.25">
      <c r="A36" s="31" t="s">
        <v>114</v>
      </c>
      <c r="B36" s="31">
        <v>15</v>
      </c>
      <c r="C36" s="31" t="s">
        <v>90</v>
      </c>
      <c r="D36" t="str">
        <f>IF(ISNUMBER(MATCH(A36, Categories!$I$4:$I$16, 0)), "Blocklist_A",
IF(ISNUMBER(MATCH(A36, Categories!$A:$A, 0)), "Blocklist_B",
IF(ISNUMBER(MATCH(A36, Categories!$E:$E, 0)), "Blocklist_C",
IF(ISNUMBER(MATCH(A36, Categories!$G:$G, 0)), "Blocklist_D",
IF(ISNUMBER(MATCH(A36, Categories!$C:$C, 0)), "Include_List",
"Unclassified")))))</f>
        <v>Blocklist_A</v>
      </c>
    </row>
    <row r="37" spans="1:4" hidden="1" x14ac:dyDescent="0.25">
      <c r="A37" s="31" t="s">
        <v>729</v>
      </c>
      <c r="B37" s="31">
        <v>100</v>
      </c>
      <c r="C37" s="31" t="s">
        <v>90</v>
      </c>
      <c r="D37" t="str">
        <f>IF(ISNUMBER(MATCH(A37, Categories!$I$4:$I$16, 0)), "Blocklist_A",
IF(ISNUMBER(MATCH(A37, Categories!$A:$A, 0)), "Blocklist_B",
IF(ISNUMBER(MATCH(A37, Categories!$E:$E, 0)), "Blocklist_C",
IF(ISNUMBER(MATCH(A37, Categories!$G:$G, 0)), "Blocklist_D",
IF(ISNUMBER(MATCH(A37, Categories!$C:$C, 0)), "Include_List",
"Unclassified")))))</f>
        <v>Blocklist_C</v>
      </c>
    </row>
    <row r="38" spans="1:4" hidden="1" x14ac:dyDescent="0.25">
      <c r="A38" s="31" t="s">
        <v>278</v>
      </c>
      <c r="B38" s="31">
        <v>5.15</v>
      </c>
      <c r="C38" s="31" t="s">
        <v>90</v>
      </c>
      <c r="D38" t="str">
        <f>IF(ISNUMBER(MATCH(A38, Categories!$I$4:$I$16, 0)), "Blocklist_A",
IF(ISNUMBER(MATCH(A38, Categories!$A:$A, 0)), "Blocklist_B",
IF(ISNUMBER(MATCH(A38, Categories!$E:$E, 0)), "Blocklist_C",
IF(ISNUMBER(MATCH(A38, Categories!$G:$G, 0)), "Blocklist_D",
IF(ISNUMBER(MATCH(A38, Categories!$C:$C, 0)), "Include_List",
"Unclassified")))))</f>
        <v>Blocklist_C</v>
      </c>
    </row>
    <row r="39" spans="1:4" hidden="1" x14ac:dyDescent="0.25">
      <c r="A39" s="31" t="s">
        <v>278</v>
      </c>
      <c r="B39" s="31">
        <v>5.15</v>
      </c>
      <c r="C39" s="31" t="s">
        <v>90</v>
      </c>
      <c r="D39" t="str">
        <f>IF(ISNUMBER(MATCH(A39, Categories!$I$4:$I$16, 0)), "Blocklist_A",
IF(ISNUMBER(MATCH(A39, Categories!$A:$A, 0)), "Blocklist_B",
IF(ISNUMBER(MATCH(A39, Categories!$E:$E, 0)), "Blocklist_C",
IF(ISNUMBER(MATCH(A39, Categories!$G:$G, 0)), "Blocklist_D",
IF(ISNUMBER(MATCH(A39, Categories!$C:$C, 0)), "Include_List",
"Unclassified")))))</f>
        <v>Blocklist_C</v>
      </c>
    </row>
    <row r="40" spans="1:4" hidden="1" x14ac:dyDescent="0.25">
      <c r="A40" s="31" t="s">
        <v>114</v>
      </c>
      <c r="B40" s="31">
        <v>6.99</v>
      </c>
      <c r="C40" s="31" t="s">
        <v>90</v>
      </c>
      <c r="D40" t="str">
        <f>IF(ISNUMBER(MATCH(A40, Categories!$I$4:$I$16, 0)), "Blocklist_A",
IF(ISNUMBER(MATCH(A40, Categories!$A:$A, 0)), "Blocklist_B",
IF(ISNUMBER(MATCH(A40, Categories!$E:$E, 0)), "Blocklist_C",
IF(ISNUMBER(MATCH(A40, Categories!$G:$G, 0)), "Blocklist_D",
IF(ISNUMBER(MATCH(A40, Categories!$C:$C, 0)), "Include_List",
"Unclassified")))))</f>
        <v>Blocklist_A</v>
      </c>
    </row>
    <row r="41" spans="1:4" hidden="1" x14ac:dyDescent="0.25">
      <c r="A41" s="31" t="s">
        <v>107</v>
      </c>
      <c r="B41" s="31">
        <v>197.27</v>
      </c>
      <c r="C41" s="31" t="s">
        <v>90</v>
      </c>
      <c r="D41" t="str">
        <f>IF(ISNUMBER(MATCH(A41, Categories!$I$4:$I$16, 0)), "Blocklist_A",
IF(ISNUMBER(MATCH(A41, Categories!$A:$A, 0)), "Blocklist_B",
IF(ISNUMBER(MATCH(A41, Categories!$E:$E, 0)), "Blocklist_C",
IF(ISNUMBER(MATCH(A41, Categories!$G:$G, 0)), "Blocklist_D",
IF(ISNUMBER(MATCH(A41, Categories!$C:$C, 0)), "Include_List",
"Unclassified")))))</f>
        <v>Blocklist_C</v>
      </c>
    </row>
    <row r="42" spans="1:4" x14ac:dyDescent="0.25">
      <c r="A42" s="31" t="s">
        <v>155</v>
      </c>
      <c r="B42" s="31">
        <v>49.5</v>
      </c>
      <c r="C42" s="31" t="s">
        <v>90</v>
      </c>
      <c r="D42" t="str">
        <f>IF(ISNUMBER(MATCH(A42, Categories!$I$4:$I$16, 0)), "Blocklist_A",
IF(ISNUMBER(MATCH(A42, Categories!$A:$A, 0)), "Blocklist_B",
IF(ISNUMBER(MATCH(A42, Categories!$E:$E, 0)), "Blocklist_C",
IF(ISNUMBER(MATCH(A42, Categories!$G:$G, 0)), "Blocklist_D",
IF(ISNUMBER(MATCH(A42, Categories!$C:$C, 0)), "Include_List",
"Unclassified")))))</f>
        <v>Include_List</v>
      </c>
    </row>
    <row r="43" spans="1:4" hidden="1" x14ac:dyDescent="0.25">
      <c r="A43" s="31" t="s">
        <v>917</v>
      </c>
      <c r="B43" s="31">
        <v>367</v>
      </c>
      <c r="C43" s="31" t="s">
        <v>90</v>
      </c>
      <c r="D43" t="str">
        <f>IF(ISNUMBER(MATCH(A43, Categories!$I$4:$I$16, 0)), "Blocklist_A",
IF(ISNUMBER(MATCH(A43, Categories!$A:$A, 0)), "Blocklist_B",
IF(ISNUMBER(MATCH(A43, Categories!$E:$E, 0)), "Blocklist_C",
IF(ISNUMBER(MATCH(A43, Categories!$G:$G, 0)), "Blocklist_D",
IF(ISNUMBER(MATCH(A43, Categories!$C:$C, 0)), "Include_List",
"Unclassified")))))</f>
        <v>Blocklist_C</v>
      </c>
    </row>
    <row r="44" spans="1:4" hidden="1" x14ac:dyDescent="0.25">
      <c r="A44" s="31" t="s">
        <v>141</v>
      </c>
      <c r="B44" s="31">
        <v>25.07</v>
      </c>
      <c r="C44" s="31" t="s">
        <v>90</v>
      </c>
      <c r="D44" t="str">
        <f>IF(ISNUMBER(MATCH(A44, Categories!$I$4:$I$16, 0)), "Blocklist_A",
IF(ISNUMBER(MATCH(A44, Categories!$A:$A, 0)), "Blocklist_B",
IF(ISNUMBER(MATCH(A44, Categories!$E:$E, 0)), "Blocklist_C",
IF(ISNUMBER(MATCH(A44, Categories!$G:$G, 0)), "Blocklist_D",
IF(ISNUMBER(MATCH(A44, Categories!$C:$C, 0)), "Include_List",
"Unclassified")))))</f>
        <v>Blocklist_C</v>
      </c>
    </row>
    <row r="45" spans="1:4" hidden="1" x14ac:dyDescent="0.25">
      <c r="A45" s="31" t="s">
        <v>141</v>
      </c>
      <c r="B45" s="31">
        <v>42.67</v>
      </c>
      <c r="C45" s="31" t="s">
        <v>90</v>
      </c>
      <c r="D45" t="str">
        <f>IF(ISNUMBER(MATCH(A45, Categories!$I$4:$I$16, 0)), "Blocklist_A",
IF(ISNUMBER(MATCH(A45, Categories!$A:$A, 0)), "Blocklist_B",
IF(ISNUMBER(MATCH(A45, Categories!$E:$E, 0)), "Blocklist_C",
IF(ISNUMBER(MATCH(A45, Categories!$G:$G, 0)), "Blocklist_D",
IF(ISNUMBER(MATCH(A45, Categories!$C:$C, 0)), "Include_List",
"Unclassified")))))</f>
        <v>Blocklist_C</v>
      </c>
    </row>
    <row r="46" spans="1:4" hidden="1" x14ac:dyDescent="0.25">
      <c r="A46" s="31" t="s">
        <v>137</v>
      </c>
      <c r="B46" s="31">
        <v>55.19</v>
      </c>
      <c r="C46" s="31" t="s">
        <v>90</v>
      </c>
      <c r="D46" t="str">
        <f>IF(ISNUMBER(MATCH(A46, Categories!$I$4:$I$16, 0)), "Blocklist_A",
IF(ISNUMBER(MATCH(A46, Categories!$A:$A, 0)), "Blocklist_B",
IF(ISNUMBER(MATCH(A46, Categories!$E:$E, 0)), "Blocklist_C",
IF(ISNUMBER(MATCH(A46, Categories!$G:$G, 0)), "Blocklist_D",
IF(ISNUMBER(MATCH(A46, Categories!$C:$C, 0)), "Include_List",
"Unclassified")))))</f>
        <v>Blocklist_C</v>
      </c>
    </row>
    <row r="47" spans="1:4" hidden="1" x14ac:dyDescent="0.25">
      <c r="A47" s="31" t="s">
        <v>688</v>
      </c>
      <c r="B47" s="31">
        <v>15.83</v>
      </c>
      <c r="C47" s="31" t="s">
        <v>90</v>
      </c>
      <c r="D47" t="str">
        <f>IF(ISNUMBER(MATCH(A47, Categories!$I$4:$I$16, 0)), "Blocklist_A",
IF(ISNUMBER(MATCH(A47, Categories!$A:$A, 0)), "Blocklist_B",
IF(ISNUMBER(MATCH(A47, Categories!$E:$E, 0)), "Blocklist_C",
IF(ISNUMBER(MATCH(A47, Categories!$G:$G, 0)), "Blocklist_D",
IF(ISNUMBER(MATCH(A47, Categories!$C:$C, 0)), "Include_List",
"Unclassified")))))</f>
        <v>Blocklist_C</v>
      </c>
    </row>
    <row r="48" spans="1:4" x14ac:dyDescent="0.25">
      <c r="A48" s="31" t="s">
        <v>748</v>
      </c>
      <c r="B48" s="31">
        <v>2.11</v>
      </c>
      <c r="C48" s="31" t="s">
        <v>90</v>
      </c>
      <c r="D48" t="str">
        <f>IF(ISNUMBER(MATCH(A48, Categories!$I$4:$I$16, 0)), "Blocklist_A",
IF(ISNUMBER(MATCH(A48, Categories!$A:$A, 0)), "Blocklist_B",
IF(ISNUMBER(MATCH(A48, Categories!$E:$E, 0)), "Blocklist_C",
IF(ISNUMBER(MATCH(A48, Categories!$G:$G, 0)), "Blocklist_D",
IF(ISNUMBER(MATCH(A48, Categories!$C:$C, 0)), "Include_List",
"Unclassified")))))</f>
        <v>Include_List</v>
      </c>
    </row>
    <row r="49" spans="1:4" hidden="1" x14ac:dyDescent="0.25">
      <c r="A49" s="31" t="s">
        <v>164</v>
      </c>
      <c r="B49" s="31">
        <v>-1961.34</v>
      </c>
      <c r="C49" s="31" t="s">
        <v>90</v>
      </c>
      <c r="D49" t="str">
        <f>IF(ISNUMBER(MATCH(A49, Categories!$I$4:$I$16, 0)), "Blocklist_A",
IF(ISNUMBER(MATCH(A49, Categories!$A:$A, 0)), "Blocklist_B",
IF(ISNUMBER(MATCH(A49, Categories!$E:$E, 0)), "Blocklist_C",
IF(ISNUMBER(MATCH(A49, Categories!$G:$G, 0)), "Blocklist_D",
IF(ISNUMBER(MATCH(A49, Categories!$C:$C, 0)), "Include_List",
"Unclassified")))))</f>
        <v>Blocklist_B</v>
      </c>
    </row>
    <row r="50" spans="1:4" hidden="1" x14ac:dyDescent="0.25">
      <c r="A50" s="31" t="s">
        <v>149</v>
      </c>
      <c r="B50" s="31">
        <v>112.5</v>
      </c>
      <c r="C50" s="31" t="s">
        <v>90</v>
      </c>
      <c r="D50" t="str">
        <f>IF(ISNUMBER(MATCH(A50, Categories!$I$4:$I$16, 0)), "Blocklist_A",
IF(ISNUMBER(MATCH(A50, Categories!$A:$A, 0)), "Blocklist_B",
IF(ISNUMBER(MATCH(A50, Categories!$E:$E, 0)), "Blocklist_C",
IF(ISNUMBER(MATCH(A50, Categories!$G:$G, 0)), "Blocklist_D",
IF(ISNUMBER(MATCH(A50, Categories!$C:$C, 0)), "Include_List",
"Unclassified")))))</f>
        <v>Blocklist_C</v>
      </c>
    </row>
    <row r="51" spans="1:4" hidden="1" x14ac:dyDescent="0.25">
      <c r="A51" s="31" t="s">
        <v>141</v>
      </c>
      <c r="B51" s="31">
        <v>18.16</v>
      </c>
      <c r="C51" s="31" t="s">
        <v>90</v>
      </c>
      <c r="D51" t="str">
        <f>IF(ISNUMBER(MATCH(A51, Categories!$I$4:$I$16, 0)), "Blocklist_A",
IF(ISNUMBER(MATCH(A51, Categories!$A:$A, 0)), "Blocklist_B",
IF(ISNUMBER(MATCH(A51, Categories!$E:$E, 0)), "Blocklist_C",
IF(ISNUMBER(MATCH(A51, Categories!$G:$G, 0)), "Blocklist_D",
IF(ISNUMBER(MATCH(A51, Categories!$C:$C, 0)), "Include_List",
"Unclassified")))))</f>
        <v>Blocklist_C</v>
      </c>
    </row>
    <row r="52" spans="1:4" hidden="1" x14ac:dyDescent="0.25">
      <c r="A52" s="31" t="s">
        <v>278</v>
      </c>
      <c r="B52" s="31">
        <v>-5.15</v>
      </c>
      <c r="C52" s="31" t="s">
        <v>90</v>
      </c>
      <c r="D52" t="str">
        <f>IF(ISNUMBER(MATCH(A52, Categories!$I$4:$I$16, 0)), "Blocklist_A",
IF(ISNUMBER(MATCH(A52, Categories!$A:$A, 0)), "Blocklist_B",
IF(ISNUMBER(MATCH(A52, Categories!$E:$E, 0)), "Blocklist_C",
IF(ISNUMBER(MATCH(A52, Categories!$G:$G, 0)), "Blocklist_D",
IF(ISNUMBER(MATCH(A52, Categories!$C:$C, 0)), "Include_List",
"Unclassified")))))</f>
        <v>Blocklist_C</v>
      </c>
    </row>
    <row r="53" spans="1:4" hidden="1" x14ac:dyDescent="0.25">
      <c r="A53" s="31" t="s">
        <v>278</v>
      </c>
      <c r="B53" s="31">
        <v>-5.15</v>
      </c>
      <c r="C53" s="31" t="s">
        <v>90</v>
      </c>
      <c r="D53" t="str">
        <f>IF(ISNUMBER(MATCH(A53, Categories!$I$4:$I$16, 0)), "Blocklist_A",
IF(ISNUMBER(MATCH(A53, Categories!$A:$A, 0)), "Blocklist_B",
IF(ISNUMBER(MATCH(A53, Categories!$E:$E, 0)), "Blocklist_C",
IF(ISNUMBER(MATCH(A53, Categories!$G:$G, 0)), "Blocklist_D",
IF(ISNUMBER(MATCH(A53, Categories!$C:$C, 0)), "Include_List",
"Unclassified")))))</f>
        <v>Blocklist_C</v>
      </c>
    </row>
    <row r="54" spans="1:4" hidden="1" x14ac:dyDescent="0.25">
      <c r="A54" s="31" t="s">
        <v>688</v>
      </c>
      <c r="B54" s="31">
        <v>124.99</v>
      </c>
      <c r="C54" s="31" t="s">
        <v>90</v>
      </c>
      <c r="D54" t="str">
        <f>IF(ISNUMBER(MATCH(A54, Categories!$I$4:$I$16, 0)), "Blocklist_A",
IF(ISNUMBER(MATCH(A54, Categories!$A:$A, 0)), "Blocklist_B",
IF(ISNUMBER(MATCH(A54, Categories!$E:$E, 0)), "Blocklist_C",
IF(ISNUMBER(MATCH(A54, Categories!$G:$G, 0)), "Blocklist_D",
IF(ISNUMBER(MATCH(A54, Categories!$C:$C, 0)), "Include_List",
"Unclassified")))))</f>
        <v>Blocklist_C</v>
      </c>
    </row>
    <row r="55" spans="1:4" hidden="1" x14ac:dyDescent="0.25">
      <c r="A55" s="31" t="s">
        <v>107</v>
      </c>
      <c r="B55" s="31">
        <v>137.02000000000001</v>
      </c>
      <c r="C55" s="31" t="s">
        <v>90</v>
      </c>
      <c r="D55" t="str">
        <f>IF(ISNUMBER(MATCH(A55, Categories!$I$4:$I$16, 0)), "Blocklist_A",
IF(ISNUMBER(MATCH(A55, Categories!$A:$A, 0)), "Blocklist_B",
IF(ISNUMBER(MATCH(A55, Categories!$E:$E, 0)), "Blocklist_C",
IF(ISNUMBER(MATCH(A55, Categories!$G:$G, 0)), "Blocklist_D",
IF(ISNUMBER(MATCH(A55, Categories!$C:$C, 0)), "Include_List",
"Unclassified")))))</f>
        <v>Blocklist_C</v>
      </c>
    </row>
    <row r="56" spans="1:4" hidden="1" x14ac:dyDescent="0.25">
      <c r="A56" s="31" t="s">
        <v>688</v>
      </c>
      <c r="B56" s="31">
        <v>9.8800000000000008</v>
      </c>
      <c r="C56" s="31" t="s">
        <v>90</v>
      </c>
      <c r="D56" t="str">
        <f>IF(ISNUMBER(MATCH(A56, Categories!$I$4:$I$16, 0)), "Blocklist_A",
IF(ISNUMBER(MATCH(A56, Categories!$A:$A, 0)), "Blocklist_B",
IF(ISNUMBER(MATCH(A56, Categories!$E:$E, 0)), "Blocklist_C",
IF(ISNUMBER(MATCH(A56, Categories!$G:$G, 0)), "Blocklist_D",
IF(ISNUMBER(MATCH(A56, Categories!$C:$C, 0)), "Include_List",
"Unclassified")))))</f>
        <v>Blocklist_C</v>
      </c>
    </row>
    <row r="57" spans="1:4" hidden="1" x14ac:dyDescent="0.25">
      <c r="A57" s="31" t="s">
        <v>114</v>
      </c>
      <c r="B57" s="31">
        <v>5</v>
      </c>
      <c r="C57" s="31" t="s">
        <v>90</v>
      </c>
      <c r="D57" t="str">
        <f>IF(ISNUMBER(MATCH(A57, Categories!$I$4:$I$16, 0)), "Blocklist_A",
IF(ISNUMBER(MATCH(A57, Categories!$A:$A, 0)), "Blocklist_B",
IF(ISNUMBER(MATCH(A57, Categories!$E:$E, 0)), "Blocklist_C",
IF(ISNUMBER(MATCH(A57, Categories!$G:$G, 0)), "Blocklist_D",
IF(ISNUMBER(MATCH(A57, Categories!$C:$C, 0)), "Include_List",
"Unclassified")))))</f>
        <v>Blocklist_A</v>
      </c>
    </row>
    <row r="58" spans="1:4" hidden="1" x14ac:dyDescent="0.25">
      <c r="A58" s="31" t="s">
        <v>278</v>
      </c>
      <c r="B58" s="31">
        <v>21.21</v>
      </c>
      <c r="C58" s="31" t="s">
        <v>90</v>
      </c>
      <c r="D58" t="str">
        <f>IF(ISNUMBER(MATCH(A58, Categories!$I$4:$I$16, 0)), "Blocklist_A",
IF(ISNUMBER(MATCH(A58, Categories!$A:$A, 0)), "Blocklist_B",
IF(ISNUMBER(MATCH(A58, Categories!$E:$E, 0)), "Blocklist_C",
IF(ISNUMBER(MATCH(A58, Categories!$G:$G, 0)), "Blocklist_D",
IF(ISNUMBER(MATCH(A58, Categories!$C:$C, 0)), "Include_List",
"Unclassified")))))</f>
        <v>Blocklist_C</v>
      </c>
    </row>
    <row r="59" spans="1:4" hidden="1" x14ac:dyDescent="0.25">
      <c r="A59" s="31" t="s">
        <v>284</v>
      </c>
      <c r="B59" s="31">
        <v>4.3600000000000003</v>
      </c>
      <c r="C59" s="31" t="s">
        <v>90</v>
      </c>
      <c r="D59" t="str">
        <f>IF(ISNUMBER(MATCH(A59, Categories!$I$4:$I$16, 0)), "Blocklist_A",
IF(ISNUMBER(MATCH(A59, Categories!$A:$A, 0)), "Blocklist_B",
IF(ISNUMBER(MATCH(A59, Categories!$E:$E, 0)), "Blocklist_C",
IF(ISNUMBER(MATCH(A59, Categories!$G:$G, 0)), "Blocklist_D",
IF(ISNUMBER(MATCH(A59, Categories!$C:$C, 0)), "Include_List",
"Unclassified")))))</f>
        <v>Blocklist_C</v>
      </c>
    </row>
    <row r="60" spans="1:4" hidden="1" x14ac:dyDescent="0.25">
      <c r="A60" s="31" t="s">
        <v>117</v>
      </c>
      <c r="B60" s="31">
        <v>52.15</v>
      </c>
      <c r="C60" s="31" t="s">
        <v>90</v>
      </c>
      <c r="D60" t="str">
        <f>IF(ISNUMBER(MATCH(A60, Categories!$I$4:$I$16, 0)), "Blocklist_A",
IF(ISNUMBER(MATCH(A60, Categories!$A:$A, 0)), "Blocklist_B",
IF(ISNUMBER(MATCH(A60, Categories!$E:$E, 0)), "Blocklist_C",
IF(ISNUMBER(MATCH(A60, Categories!$G:$G, 0)), "Blocklist_D",
IF(ISNUMBER(MATCH(A60, Categories!$C:$C, 0)), "Include_List",
"Unclassified")))))</f>
        <v>Blocklist_C</v>
      </c>
    </row>
    <row r="61" spans="1:4" hidden="1" x14ac:dyDescent="0.25">
      <c r="A61" s="31" t="s">
        <v>139</v>
      </c>
      <c r="B61" s="31">
        <v>124.2</v>
      </c>
      <c r="C61" s="31" t="s">
        <v>90</v>
      </c>
      <c r="D61" t="str">
        <f>IF(ISNUMBER(MATCH(A61, Categories!$I$4:$I$16, 0)), "Blocklist_A",
IF(ISNUMBER(MATCH(A61, Categories!$A:$A, 0)), "Blocklist_B",
IF(ISNUMBER(MATCH(A61, Categories!$E:$E, 0)), "Blocklist_C",
IF(ISNUMBER(MATCH(A61, Categories!$G:$G, 0)), "Blocklist_D",
IF(ISNUMBER(MATCH(A61, Categories!$C:$C, 0)), "Include_List",
"Unclassified")))))</f>
        <v>Blocklist_C</v>
      </c>
    </row>
    <row r="62" spans="1:4" hidden="1" x14ac:dyDescent="0.25">
      <c r="A62" s="31" t="s">
        <v>385</v>
      </c>
      <c r="B62" s="31">
        <v>109.78</v>
      </c>
      <c r="C62" s="31" t="s">
        <v>90</v>
      </c>
      <c r="D62" t="str">
        <f>IF(ISNUMBER(MATCH(A62, Categories!$I$4:$I$16, 0)), "Blocklist_A",
IF(ISNUMBER(MATCH(A62, Categories!$A:$A, 0)), "Blocklist_B",
IF(ISNUMBER(MATCH(A62, Categories!$E:$E, 0)), "Blocklist_C",
IF(ISNUMBER(MATCH(A62, Categories!$G:$G, 0)), "Blocklist_D",
IF(ISNUMBER(MATCH(A62, Categories!$C:$C, 0)), "Include_List",
"Unclassified")))))</f>
        <v>Blocklist_D</v>
      </c>
    </row>
    <row r="63" spans="1:4" hidden="1" x14ac:dyDescent="0.25">
      <c r="A63" s="31" t="s">
        <v>114</v>
      </c>
      <c r="B63" s="31">
        <v>20</v>
      </c>
      <c r="C63" s="31" t="s">
        <v>90</v>
      </c>
      <c r="D63" t="str">
        <f>IF(ISNUMBER(MATCH(A63, Categories!$I$4:$I$16, 0)), "Blocklist_A",
IF(ISNUMBER(MATCH(A63, Categories!$A:$A, 0)), "Blocklist_B",
IF(ISNUMBER(MATCH(A63, Categories!$E:$E, 0)), "Blocklist_C",
IF(ISNUMBER(MATCH(A63, Categories!$G:$G, 0)), "Blocklist_D",
IF(ISNUMBER(MATCH(A63, Categories!$C:$C, 0)), "Include_List",
"Unclassified")))))</f>
        <v>Blocklist_A</v>
      </c>
    </row>
    <row r="64" spans="1:4" hidden="1" x14ac:dyDescent="0.25">
      <c r="A64" s="31" t="s">
        <v>134</v>
      </c>
      <c r="B64" s="31">
        <v>49.06</v>
      </c>
      <c r="C64" s="31" t="s">
        <v>90</v>
      </c>
      <c r="D64" t="str">
        <f>IF(ISNUMBER(MATCH(A64, Categories!$I$4:$I$16, 0)), "Blocklist_A",
IF(ISNUMBER(MATCH(A64, Categories!$A:$A, 0)), "Blocklist_B",
IF(ISNUMBER(MATCH(A64, Categories!$E:$E, 0)), "Blocklist_C",
IF(ISNUMBER(MATCH(A64, Categories!$G:$G, 0)), "Blocklist_D",
IF(ISNUMBER(MATCH(A64, Categories!$C:$C, 0)), "Include_List",
"Unclassified")))))</f>
        <v>Blocklist_C</v>
      </c>
    </row>
    <row r="65" spans="1:4" hidden="1" x14ac:dyDescent="0.25">
      <c r="A65" s="31" t="s">
        <v>141</v>
      </c>
      <c r="B65" s="31">
        <v>22.59</v>
      </c>
      <c r="C65" s="31" t="s">
        <v>90</v>
      </c>
      <c r="D65" t="str">
        <f>IF(ISNUMBER(MATCH(A65, Categories!$I$4:$I$16, 0)), "Blocklist_A",
IF(ISNUMBER(MATCH(A65, Categories!$A:$A, 0)), "Blocklist_B",
IF(ISNUMBER(MATCH(A65, Categories!$E:$E, 0)), "Blocklist_C",
IF(ISNUMBER(MATCH(A65, Categories!$G:$G, 0)), "Blocklist_D",
IF(ISNUMBER(MATCH(A65, Categories!$C:$C, 0)), "Include_List",
"Unclassified")))))</f>
        <v>Blocklist_C</v>
      </c>
    </row>
    <row r="66" spans="1:4" hidden="1" x14ac:dyDescent="0.25">
      <c r="A66" s="31" t="s">
        <v>278</v>
      </c>
      <c r="B66" s="31">
        <v>19</v>
      </c>
      <c r="C66" s="31" t="s">
        <v>90</v>
      </c>
      <c r="D66" t="str">
        <f>IF(ISNUMBER(MATCH(A66, Categories!$I$4:$I$16, 0)), "Blocklist_A",
IF(ISNUMBER(MATCH(A66, Categories!$A:$A, 0)), "Blocklist_B",
IF(ISNUMBER(MATCH(A66, Categories!$E:$E, 0)), "Blocklist_C",
IF(ISNUMBER(MATCH(A66, Categories!$G:$G, 0)), "Blocklist_D",
IF(ISNUMBER(MATCH(A66, Categories!$C:$C, 0)), "Include_List",
"Unclassified")))))</f>
        <v>Blocklist_C</v>
      </c>
    </row>
    <row r="67" spans="1:4" hidden="1" x14ac:dyDescent="0.25">
      <c r="A67" s="31" t="s">
        <v>141</v>
      </c>
      <c r="B67" s="31">
        <v>17.399999999999999</v>
      </c>
      <c r="C67" s="31" t="s">
        <v>90</v>
      </c>
      <c r="D67" t="str">
        <f>IF(ISNUMBER(MATCH(A67, Categories!$I$4:$I$16, 0)), "Blocklist_A",
IF(ISNUMBER(MATCH(A67, Categories!$A:$A, 0)), "Blocklist_B",
IF(ISNUMBER(MATCH(A67, Categories!$E:$E, 0)), "Blocklist_C",
IF(ISNUMBER(MATCH(A67, Categories!$G:$G, 0)), "Blocklist_D",
IF(ISNUMBER(MATCH(A67, Categories!$C:$C, 0)), "Include_List",
"Unclassified")))))</f>
        <v>Blocklist_C</v>
      </c>
    </row>
    <row r="68" spans="1:4" hidden="1" x14ac:dyDescent="0.25">
      <c r="A68" s="31" t="s">
        <v>940</v>
      </c>
      <c r="B68" s="31">
        <v>30</v>
      </c>
      <c r="C68" s="31" t="s">
        <v>90</v>
      </c>
      <c r="D68" t="str">
        <f>IF(ISNUMBER(MATCH(A68, Categories!$I$4:$I$16, 0)), "Blocklist_A",
IF(ISNUMBER(MATCH(A68, Categories!$A:$A, 0)), "Blocklist_B",
IF(ISNUMBER(MATCH(A68, Categories!$E:$E, 0)), "Blocklist_C",
IF(ISNUMBER(MATCH(A68, Categories!$G:$G, 0)), "Blocklist_D",
IF(ISNUMBER(MATCH(A68, Categories!$C:$C, 0)), "Include_List",
"Unclassified")))))</f>
        <v>Blocklist_C</v>
      </c>
    </row>
    <row r="69" spans="1:4" hidden="1" x14ac:dyDescent="0.25">
      <c r="A69" s="31" t="s">
        <v>168</v>
      </c>
      <c r="B69" s="31">
        <v>54.7</v>
      </c>
      <c r="C69" s="31" t="s">
        <v>90</v>
      </c>
      <c r="D69" t="str">
        <f>IF(ISNUMBER(MATCH(A69, Categories!$I$4:$I$16, 0)), "Blocklist_A",
IF(ISNUMBER(MATCH(A69, Categories!$A:$A, 0)), "Blocklist_B",
IF(ISNUMBER(MATCH(A69, Categories!$E:$E, 0)), "Blocklist_C",
IF(ISNUMBER(MATCH(A69, Categories!$G:$G, 0)), "Blocklist_D",
IF(ISNUMBER(MATCH(A69, Categories!$C:$C, 0)), "Include_List",
"Unclassified")))))</f>
        <v>Blocklist_C</v>
      </c>
    </row>
    <row r="70" spans="1:4" hidden="1" x14ac:dyDescent="0.25">
      <c r="A70" s="31" t="s">
        <v>107</v>
      </c>
      <c r="B70" s="31">
        <v>18.89</v>
      </c>
      <c r="C70" s="31" t="s">
        <v>90</v>
      </c>
      <c r="D70" t="str">
        <f>IF(ISNUMBER(MATCH(A70, Categories!$I$4:$I$16, 0)), "Blocklist_A",
IF(ISNUMBER(MATCH(A70, Categories!$A:$A, 0)), "Blocklist_B",
IF(ISNUMBER(MATCH(A70, Categories!$E:$E, 0)), "Blocklist_C",
IF(ISNUMBER(MATCH(A70, Categories!$G:$G, 0)), "Blocklist_D",
IF(ISNUMBER(MATCH(A70, Categories!$C:$C, 0)), "Include_List",
"Unclassified")))))</f>
        <v>Blocklist_C</v>
      </c>
    </row>
    <row r="71" spans="1:4" hidden="1" x14ac:dyDescent="0.25">
      <c r="A71" s="31" t="s">
        <v>193</v>
      </c>
      <c r="B71" s="31">
        <v>7.62</v>
      </c>
      <c r="C71" s="31" t="s">
        <v>90</v>
      </c>
      <c r="D71" t="str">
        <f>IF(ISNUMBER(MATCH(A71, Categories!$I$4:$I$16, 0)), "Blocklist_A",
IF(ISNUMBER(MATCH(A71, Categories!$A:$A, 0)), "Blocklist_B",
IF(ISNUMBER(MATCH(A71, Categories!$E:$E, 0)), "Blocklist_C",
IF(ISNUMBER(MATCH(A71, Categories!$G:$G, 0)), "Blocklist_D",
IF(ISNUMBER(MATCH(A71, Categories!$C:$C, 0)), "Include_List",
"Unclassified")))))</f>
        <v>Blocklist_C</v>
      </c>
    </row>
    <row r="72" spans="1:4" hidden="1" x14ac:dyDescent="0.25">
      <c r="A72" s="31" t="s">
        <v>193</v>
      </c>
      <c r="B72" s="31">
        <v>98.97</v>
      </c>
      <c r="C72" s="31" t="s">
        <v>90</v>
      </c>
      <c r="D72" t="str">
        <f>IF(ISNUMBER(MATCH(A72, Categories!$I$4:$I$16, 0)), "Blocklist_A",
IF(ISNUMBER(MATCH(A72, Categories!$A:$A, 0)), "Blocklist_B",
IF(ISNUMBER(MATCH(A72, Categories!$E:$E, 0)), "Blocklist_C",
IF(ISNUMBER(MATCH(A72, Categories!$G:$G, 0)), "Blocklist_D",
IF(ISNUMBER(MATCH(A72, Categories!$C:$C, 0)), "Include_List",
"Unclassified")))))</f>
        <v>Blocklist_C</v>
      </c>
    </row>
    <row r="73" spans="1:4" hidden="1" x14ac:dyDescent="0.25">
      <c r="A73" s="31" t="s">
        <v>137</v>
      </c>
      <c r="B73" s="31">
        <v>76.680000000000007</v>
      </c>
      <c r="C73" s="31" t="s">
        <v>90</v>
      </c>
      <c r="D73" t="str">
        <f>IF(ISNUMBER(MATCH(A73, Categories!$I$4:$I$16, 0)), "Blocklist_A",
IF(ISNUMBER(MATCH(A73, Categories!$A:$A, 0)), "Blocklist_B",
IF(ISNUMBER(MATCH(A73, Categories!$E:$E, 0)), "Blocklist_C",
IF(ISNUMBER(MATCH(A73, Categories!$G:$G, 0)), "Blocklist_D",
IF(ISNUMBER(MATCH(A73, Categories!$C:$C, 0)), "Include_List",
"Unclassified")))))</f>
        <v>Blocklist_C</v>
      </c>
    </row>
    <row r="74" spans="1:4" hidden="1" x14ac:dyDescent="0.25">
      <c r="A74" s="31" t="s">
        <v>168</v>
      </c>
      <c r="B74" s="31">
        <v>36.15</v>
      </c>
      <c r="C74" s="31" t="s">
        <v>90</v>
      </c>
      <c r="D74" t="str">
        <f>IF(ISNUMBER(MATCH(A74, Categories!$I$4:$I$16, 0)), "Blocklist_A",
IF(ISNUMBER(MATCH(A74, Categories!$A:$A, 0)), "Blocklist_B",
IF(ISNUMBER(MATCH(A74, Categories!$E:$E, 0)), "Blocklist_C",
IF(ISNUMBER(MATCH(A74, Categories!$G:$G, 0)), "Blocklist_D",
IF(ISNUMBER(MATCH(A74, Categories!$C:$C, 0)), "Include_List",
"Unclassified")))))</f>
        <v>Blocklist_C</v>
      </c>
    </row>
    <row r="75" spans="1:4" hidden="1" x14ac:dyDescent="0.25">
      <c r="A75" s="31" t="s">
        <v>244</v>
      </c>
      <c r="B75" s="31">
        <v>14.2</v>
      </c>
      <c r="C75" s="31" t="s">
        <v>90</v>
      </c>
      <c r="D75" t="str">
        <f>IF(ISNUMBER(MATCH(A75, Categories!$I$4:$I$16, 0)), "Blocklist_A",
IF(ISNUMBER(MATCH(A75, Categories!$A:$A, 0)), "Blocklist_B",
IF(ISNUMBER(MATCH(A75, Categories!$E:$E, 0)), "Blocklist_C",
IF(ISNUMBER(MATCH(A75, Categories!$G:$G, 0)), "Blocklist_D",
IF(ISNUMBER(MATCH(A75, Categories!$C:$C, 0)), "Include_List",
"Unclassified")))))</f>
        <v>Blocklist_C</v>
      </c>
    </row>
    <row r="76" spans="1:4" hidden="1" x14ac:dyDescent="0.25">
      <c r="A76" s="31" t="s">
        <v>385</v>
      </c>
      <c r="B76" s="31">
        <v>6.62</v>
      </c>
      <c r="C76" s="31" t="s">
        <v>90</v>
      </c>
      <c r="D76" t="str">
        <f>IF(ISNUMBER(MATCH(A76, Categories!$I$4:$I$16, 0)), "Blocklist_A",
IF(ISNUMBER(MATCH(A76, Categories!$A:$A, 0)), "Blocklist_B",
IF(ISNUMBER(MATCH(A76, Categories!$E:$E, 0)), "Blocklist_C",
IF(ISNUMBER(MATCH(A76, Categories!$G:$G, 0)), "Blocklist_D",
IF(ISNUMBER(MATCH(A76, Categories!$C:$C, 0)), "Include_List",
"Unclassified")))))</f>
        <v>Blocklist_D</v>
      </c>
    </row>
    <row r="77" spans="1:4" hidden="1" x14ac:dyDescent="0.25">
      <c r="A77" s="31" t="s">
        <v>137</v>
      </c>
      <c r="B77" s="31">
        <v>22.43</v>
      </c>
      <c r="C77" s="31" t="s">
        <v>90</v>
      </c>
      <c r="D77" t="str">
        <f>IF(ISNUMBER(MATCH(A77, Categories!$I$4:$I$16, 0)), "Blocklist_A",
IF(ISNUMBER(MATCH(A77, Categories!$A:$A, 0)), "Blocklist_B",
IF(ISNUMBER(MATCH(A77, Categories!$E:$E, 0)), "Blocklist_C",
IF(ISNUMBER(MATCH(A77, Categories!$G:$G, 0)), "Blocklist_D",
IF(ISNUMBER(MATCH(A77, Categories!$C:$C, 0)), "Include_List",
"Unclassified")))))</f>
        <v>Blocklist_C</v>
      </c>
    </row>
    <row r="78" spans="1:4" hidden="1" x14ac:dyDescent="0.25">
      <c r="A78" s="31" t="s">
        <v>385</v>
      </c>
      <c r="B78" s="31">
        <v>13.22</v>
      </c>
      <c r="C78" s="31" t="s">
        <v>90</v>
      </c>
      <c r="D78" t="str">
        <f>IF(ISNUMBER(MATCH(A78, Categories!$I$4:$I$16, 0)), "Blocklist_A",
IF(ISNUMBER(MATCH(A78, Categories!$A:$A, 0)), "Blocklist_B",
IF(ISNUMBER(MATCH(A78, Categories!$E:$E, 0)), "Blocklist_C",
IF(ISNUMBER(MATCH(A78, Categories!$G:$G, 0)), "Blocklist_D",
IF(ISNUMBER(MATCH(A78, Categories!$C:$C, 0)), "Include_List",
"Unclassified")))))</f>
        <v>Blocklist_D</v>
      </c>
    </row>
    <row r="79" spans="1:4" hidden="1" x14ac:dyDescent="0.25">
      <c r="A79" s="31" t="s">
        <v>107</v>
      </c>
      <c r="B79" s="31">
        <v>21.91</v>
      </c>
      <c r="C79" s="31" t="s">
        <v>90</v>
      </c>
      <c r="D79" t="str">
        <f>IF(ISNUMBER(MATCH(A79, Categories!$I$4:$I$16, 0)), "Blocklist_A",
IF(ISNUMBER(MATCH(A79, Categories!$A:$A, 0)), "Blocklist_B",
IF(ISNUMBER(MATCH(A79, Categories!$E:$E, 0)), "Blocklist_C",
IF(ISNUMBER(MATCH(A79, Categories!$G:$G, 0)), "Blocklist_D",
IF(ISNUMBER(MATCH(A79, Categories!$C:$C, 0)), "Include_List",
"Unclassified")))))</f>
        <v>Blocklist_C</v>
      </c>
    </row>
    <row r="80" spans="1:4" hidden="1" x14ac:dyDescent="0.25">
      <c r="A80" s="31" t="s">
        <v>168</v>
      </c>
      <c r="B80" s="31">
        <v>22.23</v>
      </c>
      <c r="C80" s="31" t="s">
        <v>90</v>
      </c>
      <c r="D80" t="str">
        <f>IF(ISNUMBER(MATCH(A80, Categories!$I$4:$I$16, 0)), "Blocklist_A",
IF(ISNUMBER(MATCH(A80, Categories!$A:$A, 0)), "Blocklist_B",
IF(ISNUMBER(MATCH(A80, Categories!$E:$E, 0)), "Blocklist_C",
IF(ISNUMBER(MATCH(A80, Categories!$G:$G, 0)), "Blocklist_D",
IF(ISNUMBER(MATCH(A80, Categories!$C:$C, 0)), "Include_List",
"Unclassified")))))</f>
        <v>Blocklist_C</v>
      </c>
    </row>
    <row r="81" spans="1:4" hidden="1" x14ac:dyDescent="0.25">
      <c r="A81" s="31" t="s">
        <v>117</v>
      </c>
      <c r="B81" s="31">
        <v>30.53</v>
      </c>
      <c r="C81" s="31" t="s">
        <v>90</v>
      </c>
      <c r="D81" t="str">
        <f>IF(ISNUMBER(MATCH(A81, Categories!$I$4:$I$16, 0)), "Blocklist_A",
IF(ISNUMBER(MATCH(A81, Categories!$A:$A, 0)), "Blocklist_B",
IF(ISNUMBER(MATCH(A81, Categories!$E:$E, 0)), "Blocklist_C",
IF(ISNUMBER(MATCH(A81, Categories!$G:$G, 0)), "Blocklist_D",
IF(ISNUMBER(MATCH(A81, Categories!$C:$C, 0)), "Include_List",
"Unclassified")))))</f>
        <v>Blocklist_C</v>
      </c>
    </row>
    <row r="82" spans="1:4" x14ac:dyDescent="0.25">
      <c r="A82" s="31" t="s">
        <v>172</v>
      </c>
      <c r="B82" s="31">
        <v>25</v>
      </c>
      <c r="C82" s="31" t="s">
        <v>90</v>
      </c>
      <c r="D82" t="str">
        <f>IF(ISNUMBER(MATCH(A82, Categories!$I$4:$I$16, 0)), "Blocklist_A",
IF(ISNUMBER(MATCH(A82, Categories!$A:$A, 0)), "Blocklist_B",
IF(ISNUMBER(MATCH(A82, Categories!$E:$E, 0)), "Blocklist_C",
IF(ISNUMBER(MATCH(A82, Categories!$G:$G, 0)), "Blocklist_D",
IF(ISNUMBER(MATCH(A82, Categories!$C:$C, 0)), "Include_List",
"Unclassified")))))</f>
        <v>Include_List</v>
      </c>
    </row>
    <row r="83" spans="1:4" x14ac:dyDescent="0.25">
      <c r="A83" s="31" t="s">
        <v>239</v>
      </c>
      <c r="B83" s="31">
        <v>23.34</v>
      </c>
      <c r="C83" s="31" t="s">
        <v>90</v>
      </c>
      <c r="D83" t="str">
        <f>IF(ISNUMBER(MATCH(A83, Categories!$I$4:$I$16, 0)), "Blocklist_A",
IF(ISNUMBER(MATCH(A83, Categories!$A:$A, 0)), "Blocklist_B",
IF(ISNUMBER(MATCH(A83, Categories!$E:$E, 0)), "Blocklist_C",
IF(ISNUMBER(MATCH(A83, Categories!$G:$G, 0)), "Blocklist_D",
IF(ISNUMBER(MATCH(A83, Categories!$C:$C, 0)), "Include_List",
"Unclassified")))))</f>
        <v>Include_List</v>
      </c>
    </row>
    <row r="84" spans="1:4" x14ac:dyDescent="0.25">
      <c r="A84" s="31" t="s">
        <v>670</v>
      </c>
      <c r="B84" s="31">
        <v>20</v>
      </c>
      <c r="C84" s="31" t="s">
        <v>90</v>
      </c>
      <c r="D84" t="str">
        <f>IF(ISNUMBER(MATCH(A84, Categories!$I$4:$I$16, 0)), "Blocklist_A",
IF(ISNUMBER(MATCH(A84, Categories!$A:$A, 0)), "Blocklist_B",
IF(ISNUMBER(MATCH(A84, Categories!$E:$E, 0)), "Blocklist_C",
IF(ISNUMBER(MATCH(A84, Categories!$G:$G, 0)), "Blocklist_D",
IF(ISNUMBER(MATCH(A84, Categories!$C:$C, 0)), "Include_List",
"Unclassified")))))</f>
        <v>Include_List</v>
      </c>
    </row>
    <row r="85" spans="1:4" hidden="1" x14ac:dyDescent="0.25">
      <c r="A85" s="31" t="s">
        <v>143</v>
      </c>
      <c r="B85" s="31">
        <v>8.57</v>
      </c>
      <c r="C85" s="31" t="s">
        <v>90</v>
      </c>
      <c r="D85" t="str">
        <f>IF(ISNUMBER(MATCH(A85, Categories!$I$4:$I$16, 0)), "Blocklist_A",
IF(ISNUMBER(MATCH(A85, Categories!$A:$A, 0)), "Blocklist_B",
IF(ISNUMBER(MATCH(A85, Categories!$E:$E, 0)), "Blocklist_C",
IF(ISNUMBER(MATCH(A85, Categories!$G:$G, 0)), "Blocklist_D",
IF(ISNUMBER(MATCH(A85, Categories!$C:$C, 0)), "Include_List",
"Unclassified")))))</f>
        <v>Blocklist_C</v>
      </c>
    </row>
    <row r="86" spans="1:4" hidden="1" x14ac:dyDescent="0.25">
      <c r="A86" s="31" t="s">
        <v>214</v>
      </c>
      <c r="B86" s="31">
        <v>29.99</v>
      </c>
      <c r="C86" s="31" t="s">
        <v>90</v>
      </c>
      <c r="D86" t="str">
        <f>IF(ISNUMBER(MATCH(A86, Categories!$I$4:$I$16, 0)), "Blocklist_A",
IF(ISNUMBER(MATCH(A86, Categories!$A:$A, 0)), "Blocklist_B",
IF(ISNUMBER(MATCH(A86, Categories!$E:$E, 0)), "Blocklist_C",
IF(ISNUMBER(MATCH(A86, Categories!$G:$G, 0)), "Blocklist_D",
IF(ISNUMBER(MATCH(A86, Categories!$C:$C, 0)), "Include_List",
"Unclassified")))))</f>
        <v>Blocklist_A</v>
      </c>
    </row>
    <row r="87" spans="1:4" hidden="1" x14ac:dyDescent="0.25">
      <c r="A87" s="31" t="s">
        <v>117</v>
      </c>
      <c r="B87" s="31">
        <v>17.649999999999999</v>
      </c>
      <c r="C87" s="31" t="s">
        <v>90</v>
      </c>
      <c r="D87" t="str">
        <f>IF(ISNUMBER(MATCH(A87, Categories!$I$4:$I$16, 0)), "Blocklist_A",
IF(ISNUMBER(MATCH(A87, Categories!$A:$A, 0)), "Blocklist_B",
IF(ISNUMBER(MATCH(A87, Categories!$E:$E, 0)), "Blocklist_C",
IF(ISNUMBER(MATCH(A87, Categories!$G:$G, 0)), "Blocklist_D",
IF(ISNUMBER(MATCH(A87, Categories!$C:$C, 0)), "Include_List",
"Unclassified")))))</f>
        <v>Blocklist_C</v>
      </c>
    </row>
    <row r="88" spans="1:4" hidden="1" x14ac:dyDescent="0.25">
      <c r="A88" s="31" t="s">
        <v>114</v>
      </c>
      <c r="B88" s="31">
        <v>9.99</v>
      </c>
      <c r="C88" s="31" t="s">
        <v>90</v>
      </c>
      <c r="D88" t="str">
        <f>IF(ISNUMBER(MATCH(A88, Categories!$I$4:$I$16, 0)), "Blocklist_A",
IF(ISNUMBER(MATCH(A88, Categories!$A:$A, 0)), "Blocklist_B",
IF(ISNUMBER(MATCH(A88, Categories!$E:$E, 0)), "Blocklist_C",
IF(ISNUMBER(MATCH(A88, Categories!$G:$G, 0)), "Blocklist_D",
IF(ISNUMBER(MATCH(A88, Categories!$C:$C, 0)), "Include_List",
"Unclassified")))))</f>
        <v>Blocklist_A</v>
      </c>
    </row>
    <row r="89" spans="1:4" hidden="1" x14ac:dyDescent="0.25">
      <c r="A89" s="31" t="s">
        <v>278</v>
      </c>
      <c r="B89" s="31">
        <v>43.7</v>
      </c>
      <c r="C89" s="31" t="s">
        <v>90</v>
      </c>
      <c r="D89" t="str">
        <f>IF(ISNUMBER(MATCH(A89, Categories!$I$4:$I$16, 0)), "Blocklist_A",
IF(ISNUMBER(MATCH(A89, Categories!$A:$A, 0)), "Blocklist_B",
IF(ISNUMBER(MATCH(A89, Categories!$E:$E, 0)), "Blocklist_C",
IF(ISNUMBER(MATCH(A89, Categories!$G:$G, 0)), "Blocklist_D",
IF(ISNUMBER(MATCH(A89, Categories!$C:$C, 0)), "Include_List",
"Unclassified")))))</f>
        <v>Blocklist_C</v>
      </c>
    </row>
    <row r="90" spans="1:4" hidden="1" x14ac:dyDescent="0.25">
      <c r="A90" s="31" t="s">
        <v>385</v>
      </c>
      <c r="B90" s="31">
        <v>4.99</v>
      </c>
      <c r="C90" s="31" t="s">
        <v>90</v>
      </c>
      <c r="D90" t="str">
        <f>IF(ISNUMBER(MATCH(A90, Categories!$I$4:$I$16, 0)), "Blocklist_A",
IF(ISNUMBER(MATCH(A90, Categories!$A:$A, 0)), "Blocklist_B",
IF(ISNUMBER(MATCH(A90, Categories!$E:$E, 0)), "Blocklist_C",
IF(ISNUMBER(MATCH(A90, Categories!$G:$G, 0)), "Blocklist_D",
IF(ISNUMBER(MATCH(A90, Categories!$C:$C, 0)), "Include_List",
"Unclassified")))))</f>
        <v>Blocklist_D</v>
      </c>
    </row>
    <row r="91" spans="1:4" hidden="1" x14ac:dyDescent="0.25">
      <c r="A91" s="31" t="s">
        <v>137</v>
      </c>
      <c r="B91" s="31">
        <v>9.86</v>
      </c>
      <c r="C91" s="31" t="s">
        <v>90</v>
      </c>
      <c r="D91" t="str">
        <f>IF(ISNUMBER(MATCH(A91, Categories!$I$4:$I$16, 0)), "Blocklist_A",
IF(ISNUMBER(MATCH(A91, Categories!$A:$A, 0)), "Blocklist_B",
IF(ISNUMBER(MATCH(A91, Categories!$E:$E, 0)), "Blocklist_C",
IF(ISNUMBER(MATCH(A91, Categories!$G:$G, 0)), "Blocklist_D",
IF(ISNUMBER(MATCH(A91, Categories!$C:$C, 0)), "Include_List",
"Unclassified")))))</f>
        <v>Blocklist_C</v>
      </c>
    </row>
    <row r="92" spans="1:4" x14ac:dyDescent="0.25">
      <c r="A92" s="31" t="s">
        <v>13</v>
      </c>
      <c r="B92" s="31">
        <v>25</v>
      </c>
      <c r="C92" s="31" t="s">
        <v>90</v>
      </c>
      <c r="D92" t="str">
        <f>IF(ISNUMBER(MATCH(A92, Categories!$I$4:$I$16, 0)), "Blocklist_A",
IF(ISNUMBER(MATCH(A92, Categories!$A:$A, 0)), "Blocklist_B",
IF(ISNUMBER(MATCH(A92, Categories!$E:$E, 0)), "Blocklist_C",
IF(ISNUMBER(MATCH(A92, Categories!$G:$G, 0)), "Blocklist_D",
IF(ISNUMBER(MATCH(A92, Categories!$C:$C, 0)), "Include_List",
"Unclassified")))))</f>
        <v>Include_List</v>
      </c>
    </row>
    <row r="93" spans="1:4" hidden="1" x14ac:dyDescent="0.25">
      <c r="A93" s="31" t="s">
        <v>114</v>
      </c>
      <c r="B93" s="31">
        <v>8.31</v>
      </c>
      <c r="C93" s="31" t="s">
        <v>90</v>
      </c>
      <c r="D93" t="str">
        <f>IF(ISNUMBER(MATCH(A93, Categories!$I$4:$I$16, 0)), "Blocklist_A",
IF(ISNUMBER(MATCH(A93, Categories!$A:$A, 0)), "Blocklist_B",
IF(ISNUMBER(MATCH(A93, Categories!$E:$E, 0)), "Blocklist_C",
IF(ISNUMBER(MATCH(A93, Categories!$G:$G, 0)), "Blocklist_D",
IF(ISNUMBER(MATCH(A93, Categories!$C:$C, 0)), "Include_List",
"Unclassified")))))</f>
        <v>Blocklist_A</v>
      </c>
    </row>
    <row r="94" spans="1:4" hidden="1" x14ac:dyDescent="0.25">
      <c r="A94" s="31" t="s">
        <v>141</v>
      </c>
      <c r="B94" s="31">
        <v>42.42</v>
      </c>
      <c r="C94" s="31" t="s">
        <v>90</v>
      </c>
      <c r="D94" t="str">
        <f>IF(ISNUMBER(MATCH(A94, Categories!$I$4:$I$16, 0)), "Blocklist_A",
IF(ISNUMBER(MATCH(A94, Categories!$A:$A, 0)), "Blocklist_B",
IF(ISNUMBER(MATCH(A94, Categories!$E:$E, 0)), "Blocklist_C",
IF(ISNUMBER(MATCH(A94, Categories!$G:$G, 0)), "Blocklist_D",
IF(ISNUMBER(MATCH(A94, Categories!$C:$C, 0)), "Include_List",
"Unclassified")))))</f>
        <v>Blocklist_C</v>
      </c>
    </row>
    <row r="95" spans="1:4" hidden="1" x14ac:dyDescent="0.25">
      <c r="A95" s="31" t="s">
        <v>141</v>
      </c>
      <c r="B95" s="31">
        <v>21.25</v>
      </c>
      <c r="C95" s="31" t="s">
        <v>90</v>
      </c>
      <c r="D95" t="str">
        <f>IF(ISNUMBER(MATCH(A95, Categories!$I$4:$I$16, 0)), "Blocklist_A",
IF(ISNUMBER(MATCH(A95, Categories!$A:$A, 0)), "Blocklist_B",
IF(ISNUMBER(MATCH(A95, Categories!$E:$E, 0)), "Blocklist_C",
IF(ISNUMBER(MATCH(A95, Categories!$G:$G, 0)), "Blocklist_D",
IF(ISNUMBER(MATCH(A95, Categories!$C:$C, 0)), "Include_List",
"Unclassified")))))</f>
        <v>Blocklist_C</v>
      </c>
    </row>
    <row r="96" spans="1:4" hidden="1" x14ac:dyDescent="0.25">
      <c r="A96" s="31" t="s">
        <v>962</v>
      </c>
      <c r="B96" s="31">
        <v>15.89</v>
      </c>
      <c r="C96" s="31" t="s">
        <v>90</v>
      </c>
      <c r="D96" t="str">
        <f>IF(ISNUMBER(MATCH(A96, Categories!$I$4:$I$16, 0)), "Blocklist_A",
IF(ISNUMBER(MATCH(A96, Categories!$A:$A, 0)), "Blocklist_B",
IF(ISNUMBER(MATCH(A96, Categories!$E:$E, 0)), "Blocklist_C",
IF(ISNUMBER(MATCH(A96, Categories!$G:$G, 0)), "Blocklist_D",
IF(ISNUMBER(MATCH(A96, Categories!$C:$C, 0)), "Include_List",
"Unclassified")))))</f>
        <v>Blocklist_C</v>
      </c>
    </row>
    <row r="97" spans="1:4" hidden="1" x14ac:dyDescent="0.25">
      <c r="A97" s="31" t="s">
        <v>114</v>
      </c>
      <c r="B97" s="31">
        <v>12.99</v>
      </c>
      <c r="C97" s="31" t="s">
        <v>90</v>
      </c>
      <c r="D97" t="str">
        <f>IF(ISNUMBER(MATCH(A97, Categories!$I$4:$I$16, 0)), "Blocklist_A",
IF(ISNUMBER(MATCH(A97, Categories!$A:$A, 0)), "Blocklist_B",
IF(ISNUMBER(MATCH(A97, Categories!$E:$E, 0)), "Blocklist_C",
IF(ISNUMBER(MATCH(A97, Categories!$G:$G, 0)), "Blocklist_D",
IF(ISNUMBER(MATCH(A97, Categories!$C:$C, 0)), "Include_List",
"Unclassified")))))</f>
        <v>Blocklist_A</v>
      </c>
    </row>
    <row r="98" spans="1:4" hidden="1" x14ac:dyDescent="0.25">
      <c r="A98" s="31" t="s">
        <v>137</v>
      </c>
      <c r="B98" s="31">
        <v>36.590000000000003</v>
      </c>
      <c r="C98" s="31" t="s">
        <v>90</v>
      </c>
      <c r="D98" t="str">
        <f>IF(ISNUMBER(MATCH(A98, Categories!$I$4:$I$16, 0)), "Blocklist_A",
IF(ISNUMBER(MATCH(A98, Categories!$A:$A, 0)), "Blocklist_B",
IF(ISNUMBER(MATCH(A98, Categories!$E:$E, 0)), "Blocklist_C",
IF(ISNUMBER(MATCH(A98, Categories!$G:$G, 0)), "Blocklist_D",
IF(ISNUMBER(MATCH(A98, Categories!$C:$C, 0)), "Include_List",
"Unclassified")))))</f>
        <v>Blocklist_C</v>
      </c>
    </row>
    <row r="99" spans="1:4" hidden="1" x14ac:dyDescent="0.25">
      <c r="A99" s="31" t="s">
        <v>46</v>
      </c>
      <c r="B99" s="31">
        <v>-450</v>
      </c>
      <c r="C99" s="31" t="s">
        <v>335</v>
      </c>
      <c r="D99" t="str">
        <f>IF(ISNUMBER(MATCH(A99, Categories!$I$4:$I$16, 0)), "Blocklist_A",
IF(ISNUMBER(MATCH(A99, Categories!$A:$A, 0)), "Blocklist_B",
IF(ISNUMBER(MATCH(A99, Categories!$E:$E, 0)), "Blocklist_C",
IF(ISNUMBER(MATCH(A99, Categories!$G:$G, 0)), "Blocklist_D",
IF(ISNUMBER(MATCH(A99, Categories!$C:$C, 0)), "Include_List",
"Unclassified")))))</f>
        <v>Blocklist_B</v>
      </c>
    </row>
    <row r="100" spans="1:4" hidden="1" x14ac:dyDescent="0.25">
      <c r="A100" s="31" t="s">
        <v>337</v>
      </c>
      <c r="B100" s="31">
        <v>2989.48</v>
      </c>
      <c r="C100" s="31" t="s">
        <v>335</v>
      </c>
      <c r="D100" t="str">
        <f>IF(ISNUMBER(MATCH(A100, Categories!$I$4:$I$16, 0)), "Blocklist_A",
IF(ISNUMBER(MATCH(A100, Categories!$A:$A, 0)), "Blocklist_B",
IF(ISNUMBER(MATCH(A100, Categories!$E:$E, 0)), "Blocklist_C",
IF(ISNUMBER(MATCH(A100, Categories!$G:$G, 0)), "Blocklist_D",
IF(ISNUMBER(MATCH(A100, Categories!$C:$C, 0)), "Include_List",
"Unclassified")))))</f>
        <v>Blocklist_B</v>
      </c>
    </row>
    <row r="101" spans="1:4" hidden="1" x14ac:dyDescent="0.25">
      <c r="A101" s="31" t="s">
        <v>46</v>
      </c>
      <c r="B101" s="31">
        <v>-155</v>
      </c>
      <c r="C101" s="31" t="s">
        <v>335</v>
      </c>
      <c r="D101" t="str">
        <f>IF(ISNUMBER(MATCH(A101, Categories!$I$4:$I$16, 0)), "Blocklist_A",
IF(ISNUMBER(MATCH(A101, Categories!$A:$A, 0)), "Blocklist_B",
IF(ISNUMBER(MATCH(A101, Categories!$E:$E, 0)), "Blocklist_C",
IF(ISNUMBER(MATCH(A101, Categories!$G:$G, 0)), "Blocklist_D",
IF(ISNUMBER(MATCH(A101, Categories!$C:$C, 0)), "Include_List",
"Unclassified")))))</f>
        <v>Blocklist_B</v>
      </c>
    </row>
    <row r="102" spans="1:4" hidden="1" x14ac:dyDescent="0.25">
      <c r="A102" s="31" t="s">
        <v>46</v>
      </c>
      <c r="B102" s="31">
        <v>-1961.34</v>
      </c>
      <c r="C102" s="31" t="s">
        <v>335</v>
      </c>
      <c r="D102" t="str">
        <f>IF(ISNUMBER(MATCH(A102, Categories!$I$4:$I$16, 0)), "Blocklist_A",
IF(ISNUMBER(MATCH(A102, Categories!$A:$A, 0)), "Blocklist_B",
IF(ISNUMBER(MATCH(A102, Categories!$E:$E, 0)), "Blocklist_C",
IF(ISNUMBER(MATCH(A102, Categories!$G:$G, 0)), "Blocklist_D",
IF(ISNUMBER(MATCH(A102, Categories!$C:$C, 0)), "Include_List",
"Unclassified")))))</f>
        <v>Blocklist_B</v>
      </c>
    </row>
    <row r="103" spans="1:4" hidden="1" x14ac:dyDescent="0.25">
      <c r="A103" s="31" t="s">
        <v>337</v>
      </c>
      <c r="B103" s="31">
        <v>2989.48</v>
      </c>
      <c r="C103" s="31" t="s">
        <v>335</v>
      </c>
      <c r="D103" t="str">
        <f>IF(ISNUMBER(MATCH(A103, Categories!$I$4:$I$16, 0)), "Blocklist_A",
IF(ISNUMBER(MATCH(A103, Categories!$A:$A, 0)), "Blocklist_B",
IF(ISNUMBER(MATCH(A103, Categories!$E:$E, 0)), "Blocklist_C",
IF(ISNUMBER(MATCH(A103, Categories!$G:$G, 0)), "Blocklist_D",
IF(ISNUMBER(MATCH(A103, Categories!$C:$C, 0)), "Include_List",
"Unclassified")))))</f>
        <v>Blocklist_B</v>
      </c>
    </row>
    <row r="104" spans="1:4" hidden="1" x14ac:dyDescent="0.25">
      <c r="A104" s="31" t="s">
        <v>337</v>
      </c>
      <c r="B104" s="31">
        <v>2989.48</v>
      </c>
      <c r="C104" s="31" t="s">
        <v>335</v>
      </c>
      <c r="D104" t="str">
        <f>IF(ISNUMBER(MATCH(A104, Categories!$I$4:$I$16, 0)), "Blocklist_A",
IF(ISNUMBER(MATCH(A104, Categories!$A:$A, 0)), "Blocklist_B",
IF(ISNUMBER(MATCH(A104, Categories!$E:$E, 0)), "Blocklist_C",
IF(ISNUMBER(MATCH(A104, Categories!$G:$G, 0)), "Blocklist_D",
IF(ISNUMBER(MATCH(A104, Categories!$C:$C, 0)), "Include_List",
"Unclassified")))))</f>
        <v>Blocklist_B</v>
      </c>
    </row>
    <row r="105" spans="1:4" hidden="1" x14ac:dyDescent="0.25">
      <c r="A105" s="31" t="s">
        <v>344</v>
      </c>
      <c r="B105" s="31">
        <v>19.170000000000002</v>
      </c>
      <c r="C105" s="31" t="s">
        <v>335</v>
      </c>
      <c r="D105" t="str">
        <f>IF(ISNUMBER(MATCH(A105, Categories!$I$4:$I$16, 0)), "Blocklist_A",
IF(ISNUMBER(MATCH(A105, Categories!$A:$A, 0)), "Blocklist_B",
IF(ISNUMBER(MATCH(A105, Categories!$E:$E, 0)), "Blocklist_C",
IF(ISNUMBER(MATCH(A105, Categories!$G:$G, 0)), "Blocklist_D",
IF(ISNUMBER(MATCH(A105, Categories!$C:$C, 0)), "Include_List",
"Unclassified")))))</f>
        <v>Blocklist_B</v>
      </c>
    </row>
    <row r="106" spans="1:4" hidden="1" x14ac:dyDescent="0.25">
      <c r="A106" s="31" t="s">
        <v>46</v>
      </c>
      <c r="B106" s="31">
        <v>-100</v>
      </c>
      <c r="C106" s="31" t="s">
        <v>358</v>
      </c>
      <c r="D106" t="str">
        <f>IF(ISNUMBER(MATCH(A106, Categories!$I$4:$I$16, 0)), "Blocklist_A",
IF(ISNUMBER(MATCH(A106, Categories!$A:$A, 0)), "Blocklist_B",
IF(ISNUMBER(MATCH(A106, Categories!$E:$E, 0)), "Blocklist_C",
IF(ISNUMBER(MATCH(A106, Categories!$G:$G, 0)), "Blocklist_D",
IF(ISNUMBER(MATCH(A106, Categories!$C:$C, 0)), "Include_List",
"Unclassified")))))</f>
        <v>Blocklist_B</v>
      </c>
    </row>
    <row r="107" spans="1:4" hidden="1" x14ac:dyDescent="0.25">
      <c r="A107" s="31" t="s">
        <v>46</v>
      </c>
      <c r="B107" s="31">
        <v>450</v>
      </c>
      <c r="C107" s="31" t="s">
        <v>358</v>
      </c>
      <c r="D107" t="str">
        <f>IF(ISNUMBER(MATCH(A107, Categories!$I$4:$I$16, 0)), "Blocklist_A",
IF(ISNUMBER(MATCH(A107, Categories!$A:$A, 0)), "Blocklist_B",
IF(ISNUMBER(MATCH(A107, Categories!$E:$E, 0)), "Blocklist_C",
IF(ISNUMBER(MATCH(A107, Categories!$G:$G, 0)), "Blocklist_D",
IF(ISNUMBER(MATCH(A107, Categories!$C:$C, 0)), "Include_List",
"Unclassified")))))</f>
        <v>Blocklist_B</v>
      </c>
    </row>
    <row r="108" spans="1:4" hidden="1" x14ac:dyDescent="0.25">
      <c r="A108" s="31" t="s">
        <v>39</v>
      </c>
      <c r="B108" s="31">
        <v>-460</v>
      </c>
      <c r="C108" s="31" t="s">
        <v>358</v>
      </c>
      <c r="D108" t="str">
        <f>IF(ISNUMBER(MATCH(A108, Categories!$I$4:$I$16, 0)), "Blocklist_A",
IF(ISNUMBER(MATCH(A108, Categories!$A:$A, 0)), "Blocklist_B",
IF(ISNUMBER(MATCH(A108, Categories!$E:$E, 0)), "Blocklist_C",
IF(ISNUMBER(MATCH(A108, Categories!$G:$G, 0)), "Blocklist_D",
IF(ISNUMBER(MATCH(A108, Categories!$C:$C, 0)), "Include_List",
"Unclassified")))))</f>
        <v>Blocklist_A</v>
      </c>
    </row>
    <row r="109" spans="1:4" x14ac:dyDescent="0.25">
      <c r="A109" s="31" t="s">
        <v>13</v>
      </c>
      <c r="B109" s="31">
        <v>-1.18</v>
      </c>
      <c r="C109" s="31" t="s">
        <v>358</v>
      </c>
      <c r="D109" t="str">
        <f>IF(ISNUMBER(MATCH(A109, Categories!$I$4:$I$16, 0)), "Blocklist_A",
IF(ISNUMBER(MATCH(A109, Categories!$A:$A, 0)), "Blocklist_B",
IF(ISNUMBER(MATCH(A109, Categories!$E:$E, 0)), "Blocklist_C",
IF(ISNUMBER(MATCH(A109, Categories!$G:$G, 0)), "Blocklist_D",
IF(ISNUMBER(MATCH(A109, Categories!$C:$C, 0)), "Include_List",
"Unclassified")))))</f>
        <v>Include_List</v>
      </c>
    </row>
    <row r="110" spans="1:4" x14ac:dyDescent="0.25">
      <c r="A110" s="31" t="s">
        <v>13</v>
      </c>
      <c r="B110" s="31">
        <v>-0.82</v>
      </c>
      <c r="C110" s="31" t="s">
        <v>358</v>
      </c>
      <c r="D110" t="str">
        <f>IF(ISNUMBER(MATCH(A110, Categories!$I$4:$I$16, 0)), "Blocklist_A",
IF(ISNUMBER(MATCH(A110, Categories!$A:$A, 0)), "Blocklist_B",
IF(ISNUMBER(MATCH(A110, Categories!$E:$E, 0)), "Blocklist_C",
IF(ISNUMBER(MATCH(A110, Categories!$G:$G, 0)), "Blocklist_D",
IF(ISNUMBER(MATCH(A110, Categories!$C:$C, 0)), "Include_List",
"Unclassified")))))</f>
        <v>Include_List</v>
      </c>
    </row>
    <row r="111" spans="1:4" hidden="1" x14ac:dyDescent="0.25">
      <c r="A111" s="31" t="s">
        <v>46</v>
      </c>
      <c r="B111" s="31">
        <v>155</v>
      </c>
      <c r="C111" s="31" t="s">
        <v>358</v>
      </c>
      <c r="D111" t="str">
        <f>IF(ISNUMBER(MATCH(A111, Categories!$I$4:$I$16, 0)), "Blocklist_A",
IF(ISNUMBER(MATCH(A111, Categories!$A:$A, 0)), "Blocklist_B",
IF(ISNUMBER(MATCH(A111, Categories!$E:$E, 0)), "Blocklist_C",
IF(ISNUMBER(MATCH(A111, Categories!$G:$G, 0)), "Blocklist_D",
IF(ISNUMBER(MATCH(A111, Categories!$C:$C, 0)), "Include_List",
"Unclassified")))))</f>
        <v>Blocklist_B</v>
      </c>
    </row>
    <row r="112" spans="1:4" hidden="1" x14ac:dyDescent="0.25">
      <c r="A112" s="31" t="s">
        <v>27</v>
      </c>
      <c r="B112" s="31">
        <v>-442.73</v>
      </c>
      <c r="C112" s="31" t="s">
        <v>358</v>
      </c>
      <c r="D112" t="str">
        <f>IF(ISNUMBER(MATCH(A112, Categories!$I$4:$I$16, 0)), "Blocklist_A",
IF(ISNUMBER(MATCH(A112, Categories!$A:$A, 0)), "Blocklist_B",
IF(ISNUMBER(MATCH(A112, Categories!$E:$E, 0)), "Blocklist_C",
IF(ISNUMBER(MATCH(A112, Categories!$G:$G, 0)), "Blocklist_D",
IF(ISNUMBER(MATCH(A112, Categories!$C:$C, 0)), "Include_List",
"Unclassified")))))</f>
        <v>Blocklist_A</v>
      </c>
    </row>
    <row r="113" spans="1:4" hidden="1" x14ac:dyDescent="0.25">
      <c r="A113" s="31" t="s">
        <v>141</v>
      </c>
      <c r="B113" s="31">
        <v>-11.5</v>
      </c>
      <c r="C113" s="31" t="s">
        <v>358</v>
      </c>
      <c r="D113" t="str">
        <f>IF(ISNUMBER(MATCH(A113, Categories!$I$4:$I$16, 0)), "Blocklist_A",
IF(ISNUMBER(MATCH(A113, Categories!$A:$A, 0)), "Blocklist_B",
IF(ISNUMBER(MATCH(A113, Categories!$E:$E, 0)), "Blocklist_C",
IF(ISNUMBER(MATCH(A113, Categories!$G:$G, 0)), "Blocklist_D",
IF(ISNUMBER(MATCH(A113, Categories!$C:$C, 0)), "Include_List",
"Unclassified")))))</f>
        <v>Blocklist_C</v>
      </c>
    </row>
    <row r="114" spans="1:4" hidden="1" x14ac:dyDescent="0.25">
      <c r="A114" s="31" t="s">
        <v>141</v>
      </c>
      <c r="B114" s="31">
        <v>-0.5</v>
      </c>
      <c r="C114" s="31" t="s">
        <v>358</v>
      </c>
      <c r="D114" t="str">
        <f>IF(ISNUMBER(MATCH(A114, Categories!$I$4:$I$16, 0)), "Blocklist_A",
IF(ISNUMBER(MATCH(A114, Categories!$A:$A, 0)), "Blocklist_B",
IF(ISNUMBER(MATCH(A114, Categories!$E:$E, 0)), "Blocklist_C",
IF(ISNUMBER(MATCH(A114, Categories!$G:$G, 0)), "Blocklist_D",
IF(ISNUMBER(MATCH(A114, Categories!$C:$C, 0)), "Include_List",
"Unclassified")))))</f>
        <v>Blocklist_C</v>
      </c>
    </row>
    <row r="115" spans="1:4" hidden="1" x14ac:dyDescent="0.25">
      <c r="A115" s="31" t="s">
        <v>186</v>
      </c>
      <c r="B115" s="31">
        <v>-108.56</v>
      </c>
      <c r="C115" s="31" t="s">
        <v>358</v>
      </c>
      <c r="D115" t="str">
        <f>IF(ISNUMBER(MATCH(A115, Categories!$I$4:$I$16, 0)), "Blocklist_A",
IF(ISNUMBER(MATCH(A115, Categories!$A:$A, 0)), "Blocklist_B",
IF(ISNUMBER(MATCH(A115, Categories!$E:$E, 0)), "Blocklist_C",
IF(ISNUMBER(MATCH(A115, Categories!$G:$G, 0)), "Blocklist_D",
IF(ISNUMBER(MATCH(A115, Categories!$C:$C, 0)), "Include_List",
"Unclassified")))))</f>
        <v>Blocklist_A</v>
      </c>
    </row>
    <row r="116" spans="1:4" hidden="1" x14ac:dyDescent="0.25">
      <c r="A116" s="31" t="s">
        <v>107</v>
      </c>
      <c r="B116" s="31">
        <v>-84.38</v>
      </c>
      <c r="C116" s="31" t="s">
        <v>358</v>
      </c>
      <c r="D116" t="str">
        <f>IF(ISNUMBER(MATCH(A116, Categories!$I$4:$I$16, 0)), "Blocklist_A",
IF(ISNUMBER(MATCH(A116, Categories!$A:$A, 0)), "Blocklist_B",
IF(ISNUMBER(MATCH(A116, Categories!$E:$E, 0)), "Blocklist_C",
IF(ISNUMBER(MATCH(A116, Categories!$G:$G, 0)), "Blocklist_D",
IF(ISNUMBER(MATCH(A116, Categories!$C:$C, 0)), "Include_List",
"Unclassified")))))</f>
        <v>Blocklist_C</v>
      </c>
    </row>
    <row r="117" spans="1:4" hidden="1" x14ac:dyDescent="0.25">
      <c r="A117" s="31" t="s">
        <v>107</v>
      </c>
      <c r="B117" s="31">
        <v>-0.62</v>
      </c>
      <c r="C117" s="31" t="s">
        <v>358</v>
      </c>
      <c r="D117" t="str">
        <f>IF(ISNUMBER(MATCH(A117, Categories!$I$4:$I$16, 0)), "Blocklist_A",
IF(ISNUMBER(MATCH(A117, Categories!$A:$A, 0)), "Blocklist_B",
IF(ISNUMBER(MATCH(A117, Categories!$E:$E, 0)), "Blocklist_C",
IF(ISNUMBER(MATCH(A117, Categories!$G:$G, 0)), "Blocklist_D",
IF(ISNUMBER(MATCH(A117, Categories!$C:$C, 0)), "Include_List",
"Unclassified")))))</f>
        <v>Blocklist_C</v>
      </c>
    </row>
    <row r="118" spans="1:4" hidden="1" x14ac:dyDescent="0.25">
      <c r="A118" s="31" t="s">
        <v>137</v>
      </c>
      <c r="B118" s="31">
        <v>-66.73</v>
      </c>
      <c r="C118" s="31" t="s">
        <v>358</v>
      </c>
      <c r="D118" t="str">
        <f>IF(ISNUMBER(MATCH(A118, Categories!$I$4:$I$16, 0)), "Blocklist_A",
IF(ISNUMBER(MATCH(A118, Categories!$A:$A, 0)), "Blocklist_B",
IF(ISNUMBER(MATCH(A118, Categories!$E:$E, 0)), "Blocklist_C",
IF(ISNUMBER(MATCH(A118, Categories!$G:$G, 0)), "Blocklist_D",
IF(ISNUMBER(MATCH(A118, Categories!$C:$C, 0)), "Include_List",
"Unclassified")))))</f>
        <v>Blocklist_C</v>
      </c>
    </row>
    <row r="119" spans="1:4" hidden="1" x14ac:dyDescent="0.25">
      <c r="A119" s="31" t="s">
        <v>137</v>
      </c>
      <c r="B119" s="31">
        <v>-0.27</v>
      </c>
      <c r="C119" s="31" t="s">
        <v>358</v>
      </c>
      <c r="D119" t="str">
        <f>IF(ISNUMBER(MATCH(A119, Categories!$I$4:$I$16, 0)), "Blocklist_A",
IF(ISNUMBER(MATCH(A119, Categories!$A:$A, 0)), "Blocklist_B",
IF(ISNUMBER(MATCH(A119, Categories!$E:$E, 0)), "Blocklist_C",
IF(ISNUMBER(MATCH(A119, Categories!$G:$G, 0)), "Blocklist_D",
IF(ISNUMBER(MATCH(A119, Categories!$C:$C, 0)), "Include_List",
"Unclassified")))))</f>
        <v>Blocklist_C</v>
      </c>
    </row>
    <row r="120" spans="1:4" hidden="1" x14ac:dyDescent="0.25">
      <c r="A120" s="31" t="s">
        <v>344</v>
      </c>
      <c r="B120" s="31">
        <v>0.53</v>
      </c>
      <c r="C120" s="31" t="s">
        <v>358</v>
      </c>
      <c r="D120" t="str">
        <f>IF(ISNUMBER(MATCH(A120, Categories!$I$4:$I$16, 0)), "Blocklist_A",
IF(ISNUMBER(MATCH(A120, Categories!$A:$A, 0)), "Blocklist_B",
IF(ISNUMBER(MATCH(A120, Categories!$E:$E, 0)), "Blocklist_C",
IF(ISNUMBER(MATCH(A120, Categories!$G:$G, 0)), "Blocklist_D",
IF(ISNUMBER(MATCH(A120, Categories!$C:$C, 0)), "Include_List",
"Unclassified")))))</f>
        <v>Blocklist_B</v>
      </c>
    </row>
    <row r="121" spans="1:4" hidden="1" x14ac:dyDescent="0.25">
      <c r="A121" s="31"/>
      <c r="B121" s="31"/>
      <c r="C121" s="31"/>
      <c r="D121" t="str">
        <f>IF(ISNUMBER(MATCH(A121, Categories!$I$4:$I$16, 0)), "Blocklist_A",
IF(ISNUMBER(MATCH(A121, Categories!$A:$A, 0)), "Blocklist_B",
IF(ISNUMBER(MATCH(A121, Categories!$E:$E, 0)), "Blocklist_C",
IF(ISNUMBER(MATCH(A121, Categories!$G:$G, 0)), "Blocklist_D",
IF(ISNUMBER(MATCH(A121, Categories!$C:$C, 0)), "Include_List",
"Unclassified")))))</f>
        <v>Unclassified</v>
      </c>
    </row>
    <row r="122" spans="1:4" hidden="1" x14ac:dyDescent="0.25">
      <c r="A122" s="31"/>
      <c r="B122" s="31"/>
      <c r="C122" s="31"/>
      <c r="D122" t="str">
        <f>IF(ISNUMBER(MATCH(A122, Categories!$I$4:$I$16, 0)), "Blocklist_A",
IF(ISNUMBER(MATCH(A122, Categories!$A:$A, 0)), "Blocklist_B",
IF(ISNUMBER(MATCH(A122, Categories!$E:$E, 0)), "Blocklist_C",
IF(ISNUMBER(MATCH(A122, Categories!$G:$G, 0)), "Blocklist_D",
IF(ISNUMBER(MATCH(A122, Categories!$C:$C, 0)), "Include_List",
"Unclassified")))))</f>
        <v>Unclassified</v>
      </c>
    </row>
    <row r="123" spans="1:4" hidden="1" x14ac:dyDescent="0.25">
      <c r="A123" s="31"/>
      <c r="B123" s="31"/>
      <c r="C123" s="31"/>
      <c r="D123" t="str">
        <f>IF(ISNUMBER(MATCH(A123, Categories!$I$4:$I$16, 0)), "Blocklist_A",
IF(ISNUMBER(MATCH(A123, Categories!$A:$A, 0)), "Blocklist_B",
IF(ISNUMBER(MATCH(A123, Categories!$E:$E, 0)), "Blocklist_C",
IF(ISNUMBER(MATCH(A123, Categories!$G:$G, 0)), "Blocklist_D",
IF(ISNUMBER(MATCH(A123, Categories!$C:$C, 0)), "Include_List",
"Unclassified")))))</f>
        <v>Unclassified</v>
      </c>
    </row>
    <row r="124" spans="1:4" hidden="1" x14ac:dyDescent="0.25">
      <c r="A124" s="31"/>
      <c r="B124" s="31"/>
      <c r="C124" s="31"/>
      <c r="D124" t="str">
        <f>IF(ISNUMBER(MATCH(A124, Categories!$I$4:$I$16, 0)), "Blocklist_A",
IF(ISNUMBER(MATCH(A124, Categories!$A:$A, 0)), "Blocklist_B",
IF(ISNUMBER(MATCH(A124, Categories!$E:$E, 0)), "Blocklist_C",
IF(ISNUMBER(MATCH(A124, Categories!$G:$G, 0)), "Blocklist_D",
IF(ISNUMBER(MATCH(A124, Categories!$C:$C, 0)), "Include_List",
"Unclassified")))))</f>
        <v>Unclassified</v>
      </c>
    </row>
    <row r="125" spans="1:4" hidden="1" x14ac:dyDescent="0.25">
      <c r="A125" s="31"/>
      <c r="B125" s="31"/>
      <c r="C125" s="31"/>
      <c r="D125" t="str">
        <f>IF(ISNUMBER(MATCH(A125, Categories!$I$4:$I$16, 0)), "Blocklist_A",
IF(ISNUMBER(MATCH(A125, Categories!$A:$A, 0)), "Blocklist_B",
IF(ISNUMBER(MATCH(A125, Categories!$E:$E, 0)), "Blocklist_C",
IF(ISNUMBER(MATCH(A125, Categories!$G:$G, 0)), "Blocklist_D",
IF(ISNUMBER(MATCH(A125, Categories!$C:$C, 0)), "Include_List",
"Unclassified")))))</f>
        <v>Unclassified</v>
      </c>
    </row>
    <row r="126" spans="1:4" hidden="1" x14ac:dyDescent="0.25">
      <c r="A126" s="31"/>
      <c r="B126" s="31"/>
      <c r="C126" s="31"/>
      <c r="D126" t="str">
        <f>IF(ISNUMBER(MATCH(A126, Categories!$I$4:$I$16, 0)), "Blocklist_A",
IF(ISNUMBER(MATCH(A126, Categories!$A:$A, 0)), "Blocklist_B",
IF(ISNUMBER(MATCH(A126, Categories!$E:$E, 0)), "Blocklist_C",
IF(ISNUMBER(MATCH(A126, Categories!$G:$G, 0)), "Blocklist_D",
IF(ISNUMBER(MATCH(A126, Categories!$C:$C, 0)), "Include_List",
"Unclassified")))))</f>
        <v>Unclassified</v>
      </c>
    </row>
    <row r="127" spans="1:4" hidden="1" x14ac:dyDescent="0.25">
      <c r="A127" s="31"/>
      <c r="B127" s="31"/>
      <c r="C127" s="31"/>
      <c r="D127" t="str">
        <f>IF(ISNUMBER(MATCH(A127, Categories!$I$4:$I$16, 0)), "Blocklist_A",
IF(ISNUMBER(MATCH(A127, Categories!$A:$A, 0)), "Blocklist_B",
IF(ISNUMBER(MATCH(A127, Categories!$E:$E, 0)), "Blocklist_C",
IF(ISNUMBER(MATCH(A127, Categories!$G:$G, 0)), "Blocklist_D",
IF(ISNUMBER(MATCH(A127, Categories!$C:$C, 0)), "Include_List",
"Unclassified")))))</f>
        <v>Unclassified</v>
      </c>
    </row>
    <row r="128" spans="1:4" hidden="1" x14ac:dyDescent="0.25">
      <c r="A128" s="31"/>
      <c r="B128" s="31"/>
      <c r="C128" s="31"/>
      <c r="D128" t="str">
        <f>IF(ISNUMBER(MATCH(A128, Categories!$I$4:$I$16, 0)), "Blocklist_A",
IF(ISNUMBER(MATCH(A128, Categories!$A:$A, 0)), "Blocklist_B",
IF(ISNUMBER(MATCH(A128, Categories!$E:$E, 0)), "Blocklist_C",
IF(ISNUMBER(MATCH(A128, Categories!$G:$G, 0)), "Blocklist_D",
IF(ISNUMBER(MATCH(A128, Categories!$C:$C, 0)), "Include_List",
"Unclassified")))))</f>
        <v>Unclassified</v>
      </c>
    </row>
    <row r="129" spans="1:4" hidden="1" x14ac:dyDescent="0.25">
      <c r="A129" s="31"/>
      <c r="B129" s="31"/>
      <c r="C129" s="31"/>
      <c r="D129" t="str">
        <f>IF(ISNUMBER(MATCH(A129, Categories!$I$4:$I$16, 0)), "Blocklist_A",
IF(ISNUMBER(MATCH(A129, Categories!$A:$A, 0)), "Blocklist_B",
IF(ISNUMBER(MATCH(A129, Categories!$E:$E, 0)), "Blocklist_C",
IF(ISNUMBER(MATCH(A129, Categories!$G:$G, 0)), "Blocklist_D",
IF(ISNUMBER(MATCH(A129, Categories!$C:$C, 0)), "Include_List",
"Unclassified")))))</f>
        <v>Unclassified</v>
      </c>
    </row>
    <row r="130" spans="1:4" hidden="1" x14ac:dyDescent="0.25">
      <c r="A130" s="31"/>
      <c r="B130" s="31"/>
      <c r="C130" s="31"/>
      <c r="D130" t="str">
        <f>IF(ISNUMBER(MATCH(A130, Categories!$I$4:$I$16, 0)), "Blocklist_A",
IF(ISNUMBER(MATCH(A130, Categories!$A:$A, 0)), "Blocklist_B",
IF(ISNUMBER(MATCH(A130, Categories!$E:$E, 0)), "Blocklist_C",
IF(ISNUMBER(MATCH(A130, Categories!$G:$G, 0)), "Blocklist_D",
IF(ISNUMBER(MATCH(A130, Categories!$C:$C, 0)), "Include_List",
"Unclassified")))))</f>
        <v>Unclassified</v>
      </c>
    </row>
    <row r="131" spans="1:4" hidden="1" x14ac:dyDescent="0.25">
      <c r="A131" s="31"/>
      <c r="B131" s="31"/>
      <c r="C131" s="31"/>
      <c r="D131" t="str">
        <f>IF(ISNUMBER(MATCH(A131, Categories!$I$4:$I$16, 0)), "Blocklist_A",
IF(ISNUMBER(MATCH(A131, Categories!$A:$A, 0)), "Blocklist_B",
IF(ISNUMBER(MATCH(A131, Categories!$E:$E, 0)), "Blocklist_C",
IF(ISNUMBER(MATCH(A131, Categories!$G:$G, 0)), "Blocklist_D",
IF(ISNUMBER(MATCH(A131, Categories!$C:$C, 0)), "Include_List",
"Unclassified")))))</f>
        <v>Unclassified</v>
      </c>
    </row>
    <row r="132" spans="1:4" hidden="1" x14ac:dyDescent="0.25">
      <c r="A132" s="31"/>
      <c r="B132" s="31"/>
      <c r="C132" s="31"/>
      <c r="D132" t="str">
        <f>IF(ISNUMBER(MATCH(A132, Categories!$I$4:$I$16, 0)), "Blocklist_A",
IF(ISNUMBER(MATCH(A132, Categories!$A:$A, 0)), "Blocklist_B",
IF(ISNUMBER(MATCH(A132, Categories!$E:$E, 0)), "Blocklist_C",
IF(ISNUMBER(MATCH(A132, Categories!$G:$G, 0)), "Blocklist_D",
IF(ISNUMBER(MATCH(A132, Categories!$C:$C, 0)), "Include_List",
"Unclassified")))))</f>
        <v>Unclassified</v>
      </c>
    </row>
    <row r="133" spans="1:4" hidden="1" x14ac:dyDescent="0.25">
      <c r="A133" s="31"/>
      <c r="B133" s="31"/>
      <c r="C133" s="31"/>
      <c r="D133" t="str">
        <f>IF(ISNUMBER(MATCH(A133, Categories!$I$4:$I$16, 0)), "Blocklist_A",
IF(ISNUMBER(MATCH(A133, Categories!$A:$A, 0)), "Blocklist_B",
IF(ISNUMBER(MATCH(A133, Categories!$E:$E, 0)), "Blocklist_C",
IF(ISNUMBER(MATCH(A133, Categories!$G:$G, 0)), "Blocklist_D",
IF(ISNUMBER(MATCH(A133, Categories!$C:$C, 0)), "Include_List",
"Unclassified")))))</f>
        <v>Unclassified</v>
      </c>
    </row>
    <row r="134" spans="1:4" hidden="1" x14ac:dyDescent="0.25">
      <c r="A134" s="31"/>
      <c r="B134" s="31"/>
      <c r="C134" s="31"/>
      <c r="D134" t="str">
        <f>IF(ISNUMBER(MATCH(A134, Categories!$I$4:$I$16, 0)), "Blocklist_A",
IF(ISNUMBER(MATCH(A134, Categories!$A:$A, 0)), "Blocklist_B",
IF(ISNUMBER(MATCH(A134, Categories!$E:$E, 0)), "Blocklist_C",
IF(ISNUMBER(MATCH(A134, Categories!$G:$G, 0)), "Blocklist_D",
IF(ISNUMBER(MATCH(A134, Categories!$C:$C, 0)), "Include_List",
"Unclassified")))))</f>
        <v>Unclassified</v>
      </c>
    </row>
    <row r="135" spans="1:4" hidden="1" x14ac:dyDescent="0.25">
      <c r="A135" s="31"/>
      <c r="B135" s="31"/>
      <c r="C135" s="31"/>
      <c r="D135" t="str">
        <f>IF(ISNUMBER(MATCH(A135, Categories!$I$4:$I$16, 0)), "Blocklist_A",
IF(ISNUMBER(MATCH(A135, Categories!$A:$A, 0)), "Blocklist_B",
IF(ISNUMBER(MATCH(A135, Categories!$E:$E, 0)), "Blocklist_C",
IF(ISNUMBER(MATCH(A135, Categories!$G:$G, 0)), "Blocklist_D",
IF(ISNUMBER(MATCH(A135, Categories!$C:$C, 0)), "Include_List",
"Unclassified")))))</f>
        <v>Unclassified</v>
      </c>
    </row>
    <row r="136" spans="1:4" hidden="1" x14ac:dyDescent="0.25">
      <c r="A136" s="31"/>
      <c r="B136" s="31"/>
      <c r="C136" s="31"/>
      <c r="D136" t="str">
        <f>IF(ISNUMBER(MATCH(A136, Categories!$I$4:$I$16, 0)), "Blocklist_A",
IF(ISNUMBER(MATCH(A136, Categories!$A:$A, 0)), "Blocklist_B",
IF(ISNUMBER(MATCH(A136, Categories!$E:$E, 0)), "Blocklist_C",
IF(ISNUMBER(MATCH(A136, Categories!$G:$G, 0)), "Blocklist_D",
IF(ISNUMBER(MATCH(A136, Categories!$C:$C, 0)), "Include_List",
"Unclassified")))))</f>
        <v>Unclassified</v>
      </c>
    </row>
    <row r="137" spans="1:4" hidden="1" x14ac:dyDescent="0.25">
      <c r="A137" s="31"/>
      <c r="B137" s="31"/>
      <c r="C137" s="31"/>
      <c r="D137" t="str">
        <f>IF(ISNUMBER(MATCH(A137, Categories!$I$4:$I$16, 0)), "Blocklist_A",
IF(ISNUMBER(MATCH(A137, Categories!$A:$A, 0)), "Blocklist_B",
IF(ISNUMBER(MATCH(A137, Categories!$E:$E, 0)), "Blocklist_C",
IF(ISNUMBER(MATCH(A137, Categories!$G:$G, 0)), "Blocklist_D",
IF(ISNUMBER(MATCH(A137, Categories!$C:$C, 0)), "Include_List",
"Unclassified")))))</f>
        <v>Unclassified</v>
      </c>
    </row>
    <row r="138" spans="1:4" hidden="1" x14ac:dyDescent="0.25">
      <c r="A138" s="31"/>
      <c r="B138" s="31"/>
      <c r="C138" s="31"/>
      <c r="D138" t="str">
        <f>IF(ISNUMBER(MATCH(A138, Categories!$I$4:$I$16, 0)), "Blocklist_A",
IF(ISNUMBER(MATCH(A138, Categories!$A:$A, 0)), "Blocklist_B",
IF(ISNUMBER(MATCH(A138, Categories!$E:$E, 0)), "Blocklist_C",
IF(ISNUMBER(MATCH(A138, Categories!$G:$G, 0)), "Blocklist_D",
IF(ISNUMBER(MATCH(A138, Categories!$C:$C, 0)), "Include_List",
"Unclassified")))))</f>
        <v>Unclassified</v>
      </c>
    </row>
    <row r="139" spans="1:4" hidden="1" x14ac:dyDescent="0.25">
      <c r="A139" s="31"/>
      <c r="B139" s="31"/>
      <c r="C139" s="31"/>
      <c r="D139" t="str">
        <f>IF(ISNUMBER(MATCH(A139, Categories!$I$4:$I$16, 0)), "Blocklist_A",
IF(ISNUMBER(MATCH(A139, Categories!$A:$A, 0)), "Blocklist_B",
IF(ISNUMBER(MATCH(A139, Categories!$E:$E, 0)), "Blocklist_C",
IF(ISNUMBER(MATCH(A139, Categories!$G:$G, 0)), "Blocklist_D",
IF(ISNUMBER(MATCH(A139, Categories!$C:$C, 0)), "Include_List",
"Unclassified")))))</f>
        <v>Unclassified</v>
      </c>
    </row>
    <row r="140" spans="1:4" hidden="1" x14ac:dyDescent="0.25">
      <c r="A140" s="31"/>
      <c r="B140" s="31"/>
      <c r="C140" s="31"/>
      <c r="D140" t="str">
        <f>IF(ISNUMBER(MATCH(A140, Categories!$I$4:$I$16, 0)), "Blocklist_A",
IF(ISNUMBER(MATCH(A140, Categories!$A:$A, 0)), "Blocklist_B",
IF(ISNUMBER(MATCH(A140, Categories!$E:$E, 0)), "Blocklist_C",
IF(ISNUMBER(MATCH(A140, Categories!$G:$G, 0)), "Blocklist_D",
IF(ISNUMBER(MATCH(A140, Categories!$C:$C, 0)), "Include_List",
"Unclassified")))))</f>
        <v>Unclassified</v>
      </c>
    </row>
    <row r="141" spans="1:4" hidden="1" x14ac:dyDescent="0.25">
      <c r="A141" s="31"/>
      <c r="B141" s="31"/>
      <c r="C141" s="31"/>
      <c r="D141" t="str">
        <f>IF(ISNUMBER(MATCH(A141, Categories!$I$4:$I$16, 0)), "Blocklist_A",
IF(ISNUMBER(MATCH(A141, Categories!$A:$A, 0)), "Blocklist_B",
IF(ISNUMBER(MATCH(A141, Categories!$E:$E, 0)), "Blocklist_C",
IF(ISNUMBER(MATCH(A141, Categories!$G:$G, 0)), "Blocklist_D",
IF(ISNUMBER(MATCH(A141, Categories!$C:$C, 0)), "Include_List",
"Unclassified")))))</f>
        <v>Unclassified</v>
      </c>
    </row>
    <row r="142" spans="1:4" hidden="1" x14ac:dyDescent="0.25">
      <c r="A142" s="31"/>
      <c r="B142" s="31"/>
      <c r="C142" s="31"/>
      <c r="D142" t="str">
        <f>IF(ISNUMBER(MATCH(A142, Categories!$I$4:$I$16, 0)), "Blocklist_A",
IF(ISNUMBER(MATCH(A142, Categories!$A:$A, 0)), "Blocklist_B",
IF(ISNUMBER(MATCH(A142, Categories!$E:$E, 0)), "Blocklist_C",
IF(ISNUMBER(MATCH(A142, Categories!$G:$G, 0)), "Blocklist_D",
IF(ISNUMBER(MATCH(A142, Categories!$C:$C, 0)), "Include_List",
"Unclassified")))))</f>
        <v>Unclassified</v>
      </c>
    </row>
    <row r="143" spans="1:4" hidden="1" x14ac:dyDescent="0.25">
      <c r="A143" s="31"/>
      <c r="B143" s="31"/>
      <c r="C143" s="31"/>
      <c r="D143" t="str">
        <f>IF(ISNUMBER(MATCH(A143, Categories!$I$4:$I$16, 0)), "Blocklist_A",
IF(ISNUMBER(MATCH(A143, Categories!$A:$A, 0)), "Blocklist_B",
IF(ISNUMBER(MATCH(A143, Categories!$E:$E, 0)), "Blocklist_C",
IF(ISNUMBER(MATCH(A143, Categories!$G:$G, 0)), "Blocklist_D",
IF(ISNUMBER(MATCH(A143, Categories!$C:$C, 0)), "Include_List",
"Unclassified")))))</f>
        <v>Unclassified</v>
      </c>
    </row>
    <row r="144" spans="1:4" hidden="1" x14ac:dyDescent="0.25">
      <c r="A144" s="31"/>
      <c r="B144" s="31"/>
      <c r="C144" s="31"/>
      <c r="D144" t="str">
        <f>IF(ISNUMBER(MATCH(A144, Categories!$I$4:$I$16, 0)), "Blocklist_A",
IF(ISNUMBER(MATCH(A144, Categories!$A:$A, 0)), "Blocklist_B",
IF(ISNUMBER(MATCH(A144, Categories!$E:$E, 0)), "Blocklist_C",
IF(ISNUMBER(MATCH(A144, Categories!$G:$G, 0)), "Blocklist_D",
IF(ISNUMBER(MATCH(A144, Categories!$C:$C, 0)), "Include_List",
"Unclassified")))))</f>
        <v>Unclassified</v>
      </c>
    </row>
    <row r="145" spans="1:4" hidden="1" x14ac:dyDescent="0.25">
      <c r="A145" s="31"/>
      <c r="B145" s="31"/>
      <c r="C145" s="31"/>
      <c r="D145" t="str">
        <f>IF(ISNUMBER(MATCH(A145, Categories!$I$4:$I$16, 0)), "Blocklist_A",
IF(ISNUMBER(MATCH(A145, Categories!$A:$A, 0)), "Blocklist_B",
IF(ISNUMBER(MATCH(A145, Categories!$E:$E, 0)), "Blocklist_C",
IF(ISNUMBER(MATCH(A145, Categories!$G:$G, 0)), "Blocklist_D",
IF(ISNUMBER(MATCH(A145, Categories!$C:$C, 0)), "Include_List",
"Unclassified")))))</f>
        <v>Unclassified</v>
      </c>
    </row>
    <row r="146" spans="1:4" hidden="1" x14ac:dyDescent="0.25">
      <c r="A146" s="31"/>
      <c r="B146" s="31"/>
      <c r="C146" s="31"/>
      <c r="D146" t="str">
        <f>IF(ISNUMBER(MATCH(A146, Categories!$I$4:$I$16, 0)), "Blocklist_A",
IF(ISNUMBER(MATCH(A146, Categories!$A:$A, 0)), "Blocklist_B",
IF(ISNUMBER(MATCH(A146, Categories!$E:$E, 0)), "Blocklist_C",
IF(ISNUMBER(MATCH(A146, Categories!$G:$G, 0)), "Blocklist_D",
IF(ISNUMBER(MATCH(A146, Categories!$C:$C, 0)), "Include_List",
"Unclassified")))))</f>
        <v>Unclassified</v>
      </c>
    </row>
    <row r="147" spans="1:4" hidden="1" x14ac:dyDescent="0.25">
      <c r="A147" s="31"/>
      <c r="B147" s="31"/>
      <c r="C147" s="31"/>
      <c r="D147" t="str">
        <f>IF(ISNUMBER(MATCH(A147, Categories!$I$4:$I$16, 0)), "Blocklist_A",
IF(ISNUMBER(MATCH(A147, Categories!$A:$A, 0)), "Blocklist_B",
IF(ISNUMBER(MATCH(A147, Categories!$E:$E, 0)), "Blocklist_C",
IF(ISNUMBER(MATCH(A147, Categories!$G:$G, 0)), "Blocklist_D",
IF(ISNUMBER(MATCH(A147, Categories!$C:$C, 0)), "Include_List",
"Unclassified")))))</f>
        <v>Unclassified</v>
      </c>
    </row>
    <row r="148" spans="1:4" hidden="1" x14ac:dyDescent="0.25">
      <c r="A148" s="31"/>
      <c r="B148" s="31"/>
      <c r="C148" s="31"/>
      <c r="D148" t="str">
        <f>IF(ISNUMBER(MATCH(A148, Categories!$I$4:$I$16, 0)), "Blocklist_A",
IF(ISNUMBER(MATCH(A148, Categories!$A:$A, 0)), "Blocklist_B",
IF(ISNUMBER(MATCH(A148, Categories!$E:$E, 0)), "Blocklist_C",
IF(ISNUMBER(MATCH(A148, Categories!$G:$G, 0)), "Blocklist_D",
IF(ISNUMBER(MATCH(A148, Categories!$C:$C, 0)), "Include_List",
"Unclassified")))))</f>
        <v>Unclassified</v>
      </c>
    </row>
    <row r="149" spans="1:4" hidden="1" x14ac:dyDescent="0.25">
      <c r="A149" s="31"/>
      <c r="B149" s="31"/>
      <c r="C149" s="31"/>
      <c r="D149" t="str">
        <f>IF(ISNUMBER(MATCH(A149, Categories!$I$4:$I$16, 0)), "Blocklist_A",
IF(ISNUMBER(MATCH(A149, Categories!$A:$A, 0)), "Blocklist_B",
IF(ISNUMBER(MATCH(A149, Categories!$E:$E, 0)), "Blocklist_C",
IF(ISNUMBER(MATCH(A149, Categories!$G:$G, 0)), "Blocklist_D",
IF(ISNUMBER(MATCH(A149, Categories!$C:$C, 0)), "Include_List",
"Unclassified")))))</f>
        <v>Unclassified</v>
      </c>
    </row>
    <row r="150" spans="1:4" hidden="1" x14ac:dyDescent="0.25">
      <c r="A150" s="31"/>
      <c r="B150" s="31"/>
      <c r="C150" s="31"/>
      <c r="D150" t="str">
        <f>IF(ISNUMBER(MATCH(A150, Categories!$I$4:$I$16, 0)), "Blocklist_A",
IF(ISNUMBER(MATCH(A150, Categories!$A:$A, 0)), "Blocklist_B",
IF(ISNUMBER(MATCH(A150, Categories!$E:$E, 0)), "Blocklist_C",
IF(ISNUMBER(MATCH(A150, Categories!$G:$G, 0)), "Blocklist_D",
IF(ISNUMBER(MATCH(A150, Categories!$C:$C, 0)), "Include_List",
"Unclassified")))))</f>
        <v>Unclassified</v>
      </c>
    </row>
    <row r="151" spans="1:4" hidden="1" x14ac:dyDescent="0.25">
      <c r="A151" s="31"/>
      <c r="B151" s="31"/>
      <c r="C151" s="31"/>
      <c r="D151" t="str">
        <f>IF(ISNUMBER(MATCH(A151, Categories!$I$4:$I$16, 0)), "Blocklist_A",
IF(ISNUMBER(MATCH(A151, Categories!$A:$A, 0)), "Blocklist_B",
IF(ISNUMBER(MATCH(A151, Categories!$E:$E, 0)), "Blocklist_C",
IF(ISNUMBER(MATCH(A151, Categories!$G:$G, 0)), "Blocklist_D",
IF(ISNUMBER(MATCH(A151, Categories!$C:$C, 0)), "Include_List",
"Unclassified")))))</f>
        <v>Unclassified</v>
      </c>
    </row>
    <row r="152" spans="1:4" hidden="1" x14ac:dyDescent="0.25">
      <c r="A152" s="31"/>
      <c r="B152" s="31"/>
      <c r="C152" s="31"/>
      <c r="D152" t="str">
        <f>IF(ISNUMBER(MATCH(A152, Categories!$I$4:$I$16, 0)), "Blocklist_A",
IF(ISNUMBER(MATCH(A152, Categories!$A:$A, 0)), "Blocklist_B",
IF(ISNUMBER(MATCH(A152, Categories!$E:$E, 0)), "Blocklist_C",
IF(ISNUMBER(MATCH(A152, Categories!$G:$G, 0)), "Blocklist_D",
IF(ISNUMBER(MATCH(A152, Categories!$C:$C, 0)), "Include_List",
"Unclassified")))))</f>
        <v>Unclassified</v>
      </c>
    </row>
    <row r="153" spans="1:4" hidden="1" x14ac:dyDescent="0.25">
      <c r="A153" s="31"/>
      <c r="B153" s="31"/>
      <c r="C153" s="31"/>
      <c r="D153" t="str">
        <f>IF(ISNUMBER(MATCH(A153, Categories!$I$4:$I$16, 0)), "Blocklist_A",
IF(ISNUMBER(MATCH(A153, Categories!$A:$A, 0)), "Blocklist_B",
IF(ISNUMBER(MATCH(A153, Categories!$E:$E, 0)), "Blocklist_C",
IF(ISNUMBER(MATCH(A153, Categories!$G:$G, 0)), "Blocklist_D",
IF(ISNUMBER(MATCH(A153, Categories!$C:$C, 0)), "Include_List",
"Unclassified")))))</f>
        <v>Unclassified</v>
      </c>
    </row>
    <row r="154" spans="1:4" hidden="1" x14ac:dyDescent="0.25">
      <c r="A154" s="31"/>
      <c r="B154" s="31"/>
      <c r="C154" s="31"/>
      <c r="D154" t="str">
        <f>IF(ISNUMBER(MATCH(A154, Categories!$I$4:$I$16, 0)), "Blocklist_A",
IF(ISNUMBER(MATCH(A154, Categories!$A:$A, 0)), "Blocklist_B",
IF(ISNUMBER(MATCH(A154, Categories!$E:$E, 0)), "Blocklist_C",
IF(ISNUMBER(MATCH(A154, Categories!$G:$G, 0)), "Blocklist_D",
IF(ISNUMBER(MATCH(A154, Categories!$C:$C, 0)), "Include_List",
"Unclassified")))))</f>
        <v>Unclassified</v>
      </c>
    </row>
    <row r="155" spans="1:4" hidden="1" x14ac:dyDescent="0.25">
      <c r="A155" s="31"/>
      <c r="B155" s="31"/>
      <c r="C155" s="31"/>
      <c r="D155" t="str">
        <f>IF(ISNUMBER(MATCH(A155, Categories!$I$4:$I$16, 0)), "Blocklist_A",
IF(ISNUMBER(MATCH(A155, Categories!$A:$A, 0)), "Blocklist_B",
IF(ISNUMBER(MATCH(A155, Categories!$E:$E, 0)), "Blocklist_C",
IF(ISNUMBER(MATCH(A155, Categories!$G:$G, 0)), "Blocklist_D",
IF(ISNUMBER(MATCH(A155, Categories!$C:$C, 0)), "Include_List",
"Unclassified")))))</f>
        <v>Unclassified</v>
      </c>
    </row>
    <row r="156" spans="1:4" hidden="1" x14ac:dyDescent="0.25">
      <c r="A156" s="31"/>
      <c r="B156" s="31"/>
      <c r="C156" s="31"/>
      <c r="D156" t="str">
        <f>IF(ISNUMBER(MATCH(A156, Categories!$I$4:$I$16, 0)), "Blocklist_A",
IF(ISNUMBER(MATCH(A156, Categories!$A:$A, 0)), "Blocklist_B",
IF(ISNUMBER(MATCH(A156, Categories!$E:$E, 0)), "Blocklist_C",
IF(ISNUMBER(MATCH(A156, Categories!$G:$G, 0)), "Blocklist_D",
IF(ISNUMBER(MATCH(A156, Categories!$C:$C, 0)), "Include_List",
"Unclassified")))))</f>
        <v>Unclassified</v>
      </c>
    </row>
  </sheetData>
  <autoFilter ref="A1:D156" xr:uid="{A74E2918-BE76-4BC5-B9C6-AEF87C3C4488}">
    <filterColumn colId="3">
      <filters>
        <filter val="Include_List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0CCAB-2A31-41BE-9FAF-BE3932CB0F3D}">
  <dimension ref="A1:XFD1048575"/>
  <sheetViews>
    <sheetView workbookViewId="0">
      <selection activeCell="B5" sqref="B5"/>
    </sheetView>
  </sheetViews>
  <sheetFormatPr defaultColWidth="8.85546875" defaultRowHeight="15" x14ac:dyDescent="0.25"/>
  <cols>
    <col min="1" max="1" width="9.42578125" bestFit="1" customWidth="1"/>
    <col min="2" max="2" width="14" bestFit="1" customWidth="1"/>
    <col min="3" max="4" width="15" bestFit="1" customWidth="1"/>
    <col min="5" max="5" width="15.28515625" bestFit="1" customWidth="1"/>
    <col min="6" max="6" width="9" customWidth="1"/>
    <col min="7" max="7" width="14" bestFit="1" customWidth="1"/>
    <col min="8" max="8" width="15" bestFit="1" customWidth="1"/>
    <col min="9" max="9" width="12" bestFit="1" customWidth="1"/>
    <col min="10" max="10" width="15.28515625" bestFit="1" customWidth="1"/>
    <col min="11" max="11" width="9" customWidth="1"/>
    <col min="12" max="12" width="14" bestFit="1" customWidth="1"/>
    <col min="13" max="13" width="15" bestFit="1" customWidth="1"/>
    <col min="14" max="14" width="12" bestFit="1" customWidth="1"/>
    <col min="15" max="15" width="15.28515625" bestFit="1" customWidth="1"/>
    <col min="17" max="18" width="11.140625" bestFit="1" customWidth="1"/>
    <col min="19" max="19" width="10.5703125" bestFit="1" customWidth="1"/>
  </cols>
  <sheetData>
    <row r="1" spans="1:22" x14ac:dyDescent="0.25">
      <c r="A1" s="8" t="s">
        <v>369</v>
      </c>
      <c r="B1" s="8" t="s">
        <v>370</v>
      </c>
      <c r="C1" s="8" t="s">
        <v>371</v>
      </c>
      <c r="D1" s="8" t="s">
        <v>372</v>
      </c>
      <c r="E1">
        <v>365</v>
      </c>
      <c r="H1" s="2">
        <v>1800</v>
      </c>
      <c r="I1" s="3">
        <f>H1-D5</f>
        <v>1357.27</v>
      </c>
      <c r="J1" t="s">
        <v>373</v>
      </c>
      <c r="K1" s="3">
        <f>SUM(R8:R21)</f>
        <v>531.96708383224222</v>
      </c>
      <c r="M1" s="3">
        <f>H1-SUM(D2:D3)</f>
        <v>1590.1100000000001</v>
      </c>
    </row>
    <row r="2" spans="1:22" x14ac:dyDescent="0.25">
      <c r="A2" t="s">
        <v>374</v>
      </c>
      <c r="B2" s="2">
        <v>5413.04</v>
      </c>
      <c r="C2">
        <v>3.15E-2</v>
      </c>
      <c r="D2">
        <v>113.8</v>
      </c>
      <c r="E2" s="9">
        <f>D2/$D$5</f>
        <v>0.25704153773180038</v>
      </c>
      <c r="G2" s="3">
        <f>E8</f>
        <v>5513.07</v>
      </c>
      <c r="H2" s="9">
        <f>H3</f>
        <v>0.2</v>
      </c>
      <c r="I2" s="2">
        <f>H2*$I$1+D2</f>
        <v>385.25400000000002</v>
      </c>
      <c r="L2" s="10">
        <v>0.5</v>
      </c>
      <c r="M2" s="3">
        <f>L2*$M$1</f>
        <v>795.05500000000006</v>
      </c>
    </row>
    <row r="3" spans="1:22" x14ac:dyDescent="0.25">
      <c r="A3" t="s">
        <v>375</v>
      </c>
      <c r="B3" s="2">
        <v>4570.9799999999996</v>
      </c>
      <c r="C3">
        <v>3.15E-2</v>
      </c>
      <c r="D3">
        <v>96.09</v>
      </c>
      <c r="E3" s="9">
        <f t="shared" ref="E3:E4" si="0">D3/$D$5</f>
        <v>0.21703973076141214</v>
      </c>
      <c r="G3" s="3">
        <f>J8</f>
        <v>4655.45</v>
      </c>
      <c r="H3" s="9">
        <f>(1/2)*(H5-H4)</f>
        <v>0.2</v>
      </c>
      <c r="I3" s="2">
        <f>H3*$I$1+D3</f>
        <v>367.54399999999998</v>
      </c>
      <c r="L3" s="10">
        <v>0.5</v>
      </c>
      <c r="M3" s="3">
        <f>L3*$M$1</f>
        <v>795.05500000000006</v>
      </c>
    </row>
    <row r="4" spans="1:22" x14ac:dyDescent="0.25">
      <c r="A4" t="s">
        <v>376</v>
      </c>
      <c r="B4" s="2">
        <v>10785.67</v>
      </c>
      <c r="C4">
        <v>5.16E-2</v>
      </c>
      <c r="D4">
        <v>232.84</v>
      </c>
      <c r="E4" s="9">
        <f t="shared" si="0"/>
        <v>0.52591873150678747</v>
      </c>
      <c r="G4" s="3">
        <f>O8</f>
        <v>10973.66</v>
      </c>
      <c r="H4" s="9">
        <v>0.6</v>
      </c>
      <c r="I4" s="2">
        <f>H4*$I$1+D4</f>
        <v>1047.202</v>
      </c>
    </row>
    <row r="5" spans="1:22" x14ac:dyDescent="0.25">
      <c r="B5" s="2">
        <f>SUM(B2:B4)</f>
        <v>20769.690000000002</v>
      </c>
      <c r="D5">
        <f>SUM(D2:D4)</f>
        <v>442.73</v>
      </c>
      <c r="G5" s="3">
        <f>SUM(G2:G4)</f>
        <v>21142.18</v>
      </c>
      <c r="H5" s="11">
        <v>1</v>
      </c>
    </row>
    <row r="6" spans="1:22" x14ac:dyDescent="0.25">
      <c r="Q6" s="30" t="s">
        <v>377</v>
      </c>
      <c r="R6" s="30"/>
      <c r="S6" s="30"/>
      <c r="U6" s="11"/>
      <c r="V6" s="3">
        <f>K1</f>
        <v>531.96708383224222</v>
      </c>
    </row>
    <row r="7" spans="1:22" x14ac:dyDescent="0.25">
      <c r="A7" t="s">
        <v>378</v>
      </c>
      <c r="B7" t="s">
        <v>379</v>
      </c>
      <c r="C7" t="s">
        <v>380</v>
      </c>
      <c r="D7" t="s">
        <v>381</v>
      </c>
      <c r="E7" t="s">
        <v>382</v>
      </c>
      <c r="G7" t="s">
        <v>379</v>
      </c>
      <c r="H7" t="s">
        <v>380</v>
      </c>
      <c r="I7" t="s">
        <v>381</v>
      </c>
      <c r="J7" t="s">
        <v>382</v>
      </c>
      <c r="L7" t="s">
        <v>379</v>
      </c>
      <c r="M7" t="s">
        <v>380</v>
      </c>
      <c r="N7" t="s">
        <v>381</v>
      </c>
      <c r="O7" t="s">
        <v>382</v>
      </c>
      <c r="Q7" t="s">
        <v>86</v>
      </c>
      <c r="R7" t="s">
        <v>383</v>
      </c>
      <c r="S7" t="s">
        <v>384</v>
      </c>
      <c r="U7" s="10">
        <v>0.55000000000000004</v>
      </c>
      <c r="V7" s="2">
        <f t="dataTable" ref="V7:V17" dt2D="0" dtr="0" r1="H4"/>
        <v>536.73888371675264</v>
      </c>
    </row>
    <row r="8" spans="1:22" x14ac:dyDescent="0.25">
      <c r="A8" s="1">
        <v>45359</v>
      </c>
      <c r="B8" s="2">
        <v>13.77</v>
      </c>
      <c r="C8" s="2">
        <v>100.03</v>
      </c>
      <c r="D8" s="2">
        <f>C8+B8</f>
        <v>113.8</v>
      </c>
      <c r="E8" s="3">
        <f>B2+C8</f>
        <v>5513.07</v>
      </c>
      <c r="F8" s="9"/>
      <c r="G8" s="2">
        <v>11.62</v>
      </c>
      <c r="H8" s="2">
        <v>84.47</v>
      </c>
      <c r="I8" s="2">
        <f>D3</f>
        <v>96.09</v>
      </c>
      <c r="J8" s="3">
        <f>B3+H8</f>
        <v>4655.45</v>
      </c>
      <c r="K8" s="9"/>
      <c r="L8" s="2">
        <v>44.85</v>
      </c>
      <c r="M8" s="2">
        <v>187.99</v>
      </c>
      <c r="N8" s="2">
        <v>232.84</v>
      </c>
      <c r="O8" s="3">
        <f>M8+B4</f>
        <v>10973.66</v>
      </c>
      <c r="P8" s="13"/>
      <c r="Q8" s="3">
        <f t="shared" ref="Q8:Q21" si="1">SUM(O8,J8,E8)</f>
        <v>21142.18</v>
      </c>
      <c r="R8" s="3">
        <f t="shared" ref="R8:R21" si="2">SUM(L8,G8,B8)</f>
        <v>70.239999999999995</v>
      </c>
      <c r="S8" s="3">
        <f>N8+I8+D8</f>
        <v>442.73</v>
      </c>
      <c r="U8" s="11">
        <f>U7+1%</f>
        <v>0.56000000000000005</v>
      </c>
      <c r="V8" s="2">
        <v>535.41557224742758</v>
      </c>
    </row>
    <row r="9" spans="1:22" x14ac:dyDescent="0.25">
      <c r="A9" s="14">
        <v>45390</v>
      </c>
      <c r="B9" s="2">
        <f>IF(E8=D9,0,$C$2/$E$1*E9*(A9-A8))</f>
        <v>14.481735780821918</v>
      </c>
      <c r="C9" s="2">
        <f>D9-B9</f>
        <v>370.77226421917811</v>
      </c>
      <c r="D9" s="3">
        <f t="shared" ref="D9:D19" si="3">IF(E9&lt;$I$2, E9,$I$2)</f>
        <v>385.25400000000002</v>
      </c>
      <c r="E9" s="2">
        <f>E8-C8</f>
        <v>5413.04</v>
      </c>
      <c r="F9" s="9"/>
      <c r="G9" s="2">
        <f t="shared" ref="G9:G21" si="4">$C$3/$E$1*J9*(A9-A8)</f>
        <v>12.228936904109586</v>
      </c>
      <c r="H9" s="2">
        <f>I9-G9</f>
        <v>355.31506309589042</v>
      </c>
      <c r="I9" s="3">
        <f>IF(J9&lt;$I$3,J9,$I$3)</f>
        <v>367.54399999999998</v>
      </c>
      <c r="J9" s="2">
        <f>J8-H8</f>
        <v>4570.9799999999996</v>
      </c>
      <c r="K9" s="9"/>
      <c r="L9" s="3">
        <f t="shared" ref="L9:L21" si="5">$C$4/$E$1*O9*(A9-A8)</f>
        <v>47.267829402739729</v>
      </c>
      <c r="M9" s="3">
        <f t="shared" ref="M9:M21" si="6">N9-L9</f>
        <v>999.93417059726028</v>
      </c>
      <c r="N9" s="3">
        <f t="shared" ref="N9:N18" si="7">IF(O9&lt;$I$4,O9,$I$4)</f>
        <v>1047.202</v>
      </c>
      <c r="O9" s="3">
        <f>O8-M8</f>
        <v>10785.67</v>
      </c>
      <c r="P9" s="13"/>
      <c r="Q9" s="3">
        <f t="shared" si="1"/>
        <v>20769.689999999999</v>
      </c>
      <c r="R9" s="3">
        <f t="shared" si="2"/>
        <v>73.978502087671231</v>
      </c>
      <c r="S9" s="3">
        <f t="shared" ref="S9:S21" si="8">N9+I9+D9</f>
        <v>1800</v>
      </c>
      <c r="U9" s="11">
        <f t="shared" ref="U9:U17" si="9">U8+1%</f>
        <v>0.57000000000000006</v>
      </c>
      <c r="V9" s="2">
        <v>534.1244249484929</v>
      </c>
    </row>
    <row r="10" spans="1:22" x14ac:dyDescent="0.25">
      <c r="A10" s="14">
        <f>EOMONTH(A9,0)+8</f>
        <v>45420</v>
      </c>
      <c r="B10" s="2">
        <f t="shared" ref="B10:B20" si="10">IF(E9=D10,0,$C$2/$E$1*E10*(A10-A9))</f>
        <v>13.054638384418839</v>
      </c>
      <c r="C10" s="15">
        <f>D10-B10</f>
        <v>372.19936161558115</v>
      </c>
      <c r="D10" s="3">
        <f t="shared" si="3"/>
        <v>385.25400000000002</v>
      </c>
      <c r="E10" s="16">
        <f>E9-C9</f>
        <v>5042.2677357808216</v>
      </c>
      <c r="F10" s="9"/>
      <c r="G10" s="2">
        <f t="shared" si="4"/>
        <v>10.914529768148995</v>
      </c>
      <c r="H10" s="2">
        <f t="shared" ref="H10:H21" si="11">I10-G10</f>
        <v>356.62947023185097</v>
      </c>
      <c r="I10" s="3">
        <f t="shared" ref="I10:I21" si="12">IF(J10&lt;$I$3,J10,$I$3)</f>
        <v>367.54399999999998</v>
      </c>
      <c r="J10" s="2">
        <f t="shared" ref="J10:J21" si="13">J9-H9</f>
        <v>4215.6649369041088</v>
      </c>
      <c r="K10" s="9"/>
      <c r="L10" s="3">
        <f t="shared" si="5"/>
        <v>41.502244010727239</v>
      </c>
      <c r="M10" s="3">
        <f t="shared" si="6"/>
        <v>1005.6997559892727</v>
      </c>
      <c r="N10" s="3">
        <f t="shared" si="7"/>
        <v>1047.202</v>
      </c>
      <c r="O10" s="3">
        <f t="shared" ref="O10:O21" si="14">O9-M9</f>
        <v>9785.7358294027399</v>
      </c>
      <c r="P10" s="13"/>
      <c r="Q10" s="3">
        <f t="shared" si="1"/>
        <v>19043.668502087668</v>
      </c>
      <c r="R10" s="3">
        <f t="shared" si="2"/>
        <v>65.471412163295071</v>
      </c>
      <c r="S10" s="3">
        <f t="shared" si="8"/>
        <v>1800</v>
      </c>
      <c r="U10" s="11">
        <f t="shared" si="9"/>
        <v>0.58000000000000007</v>
      </c>
      <c r="V10" s="2">
        <v>533.40531124307597</v>
      </c>
    </row>
    <row r="11" spans="1:22" x14ac:dyDescent="0.25">
      <c r="A11" s="14">
        <f t="shared" ref="A11:A21" si="15">EOMONTH(A10,0)+8</f>
        <v>45451</v>
      </c>
      <c r="B11" s="2">
        <f t="shared" si="10"/>
        <v>12.49403223937632</v>
      </c>
      <c r="C11" s="2">
        <f t="shared" ref="C11:C20" si="16">D11-B11</f>
        <v>372.75996776062368</v>
      </c>
      <c r="D11" s="3">
        <f t="shared" si="3"/>
        <v>385.25400000000002</v>
      </c>
      <c r="E11" s="3">
        <f t="shared" ref="E11:E19" si="17">E10-C10</f>
        <v>4670.0683741652401</v>
      </c>
      <c r="F11" s="9"/>
      <c r="G11" s="2">
        <f t="shared" si="4"/>
        <v>10.324241460836875</v>
      </c>
      <c r="H11" s="2">
        <f t="shared" si="11"/>
        <v>357.21975853916308</v>
      </c>
      <c r="I11" s="3">
        <f t="shared" si="12"/>
        <v>367.54399999999998</v>
      </c>
      <c r="J11" s="2">
        <f t="shared" si="13"/>
        <v>3859.0354666722578</v>
      </c>
      <c r="K11" s="9"/>
      <c r="L11" s="3">
        <f t="shared" si="5"/>
        <v>38.478207405567623</v>
      </c>
      <c r="M11" s="3">
        <f t="shared" si="6"/>
        <v>1008.7237925944323</v>
      </c>
      <c r="N11" s="3">
        <f t="shared" si="7"/>
        <v>1047.202</v>
      </c>
      <c r="O11" s="3">
        <f t="shared" si="14"/>
        <v>8780.0360734134665</v>
      </c>
      <c r="P11" s="13"/>
      <c r="Q11" s="3">
        <f t="shared" si="1"/>
        <v>17309.139914250965</v>
      </c>
      <c r="R11" s="3">
        <f t="shared" si="2"/>
        <v>61.296481105780813</v>
      </c>
      <c r="S11" s="3">
        <f t="shared" si="8"/>
        <v>1800</v>
      </c>
      <c r="U11" s="11">
        <f t="shared" si="9"/>
        <v>0.59000000000000008</v>
      </c>
      <c r="V11" s="2">
        <v>532.68619753765915</v>
      </c>
    </row>
    <row r="12" spans="1:22" x14ac:dyDescent="0.25">
      <c r="A12" s="14">
        <f t="shared" si="15"/>
        <v>45481</v>
      </c>
      <c r="B12" s="2">
        <f t="shared" si="10"/>
        <v>11.125908065896882</v>
      </c>
      <c r="C12" s="2">
        <f t="shared" si="16"/>
        <v>374.12809193410311</v>
      </c>
      <c r="D12" s="3">
        <f t="shared" si="3"/>
        <v>385.25400000000002</v>
      </c>
      <c r="E12" s="3">
        <f t="shared" si="17"/>
        <v>4297.3084064046161</v>
      </c>
      <c r="F12" s="9"/>
      <c r="G12" s="2">
        <f t="shared" si="4"/>
        <v>9.0663447785911622</v>
      </c>
      <c r="H12" s="2">
        <f t="shared" si="11"/>
        <v>358.47765522140884</v>
      </c>
      <c r="I12" s="3">
        <f t="shared" si="12"/>
        <v>367.54399999999998</v>
      </c>
      <c r="J12" s="2">
        <f t="shared" si="13"/>
        <v>3501.8157081330946</v>
      </c>
      <c r="K12" s="9"/>
      <c r="L12" s="3">
        <f t="shared" si="5"/>
        <v>32.958880577281825</v>
      </c>
      <c r="M12" s="3">
        <f t="shared" si="6"/>
        <v>1014.2431194227182</v>
      </c>
      <c r="N12" s="3">
        <f t="shared" si="7"/>
        <v>1047.202</v>
      </c>
      <c r="O12" s="3">
        <f t="shared" si="14"/>
        <v>7771.3122808190346</v>
      </c>
      <c r="P12" s="13"/>
      <c r="Q12" s="3">
        <f t="shared" si="1"/>
        <v>15570.436395356744</v>
      </c>
      <c r="R12" s="3">
        <f t="shared" si="2"/>
        <v>53.15113342176987</v>
      </c>
      <c r="S12" s="3">
        <f t="shared" si="8"/>
        <v>1800</v>
      </c>
      <c r="U12" s="11">
        <f t="shared" si="9"/>
        <v>0.60000000000000009</v>
      </c>
      <c r="V12" s="2">
        <v>531.96708383224222</v>
      </c>
    </row>
    <row r="13" spans="1:22" x14ac:dyDescent="0.25">
      <c r="A13" s="14">
        <f t="shared" si="15"/>
        <v>45512</v>
      </c>
      <c r="B13" s="2">
        <f t="shared" si="10"/>
        <v>10.495850896110838</v>
      </c>
      <c r="C13" s="2">
        <f t="shared" si="16"/>
        <v>374.7581491038892</v>
      </c>
      <c r="D13" s="3">
        <f t="shared" si="3"/>
        <v>385.25400000000002</v>
      </c>
      <c r="E13" s="3">
        <f t="shared" si="17"/>
        <v>3923.1803144705132</v>
      </c>
      <c r="F13" s="9"/>
      <c r="G13" s="2">
        <f t="shared" si="4"/>
        <v>8.409505777173317</v>
      </c>
      <c r="H13" s="2">
        <f t="shared" si="11"/>
        <v>359.13449422282667</v>
      </c>
      <c r="I13" s="3">
        <f t="shared" si="12"/>
        <v>367.54399999999998</v>
      </c>
      <c r="J13" s="2">
        <f t="shared" si="13"/>
        <v>3143.3380529116857</v>
      </c>
      <c r="K13" s="9"/>
      <c r="L13" s="3">
        <f t="shared" si="5"/>
        <v>29.61262419334123</v>
      </c>
      <c r="M13" s="3">
        <f t="shared" si="6"/>
        <v>1017.5893758066587</v>
      </c>
      <c r="N13" s="3">
        <f t="shared" si="7"/>
        <v>1047.202</v>
      </c>
      <c r="O13" s="3">
        <f t="shared" si="14"/>
        <v>6757.0691613963163</v>
      </c>
      <c r="P13" s="13"/>
      <c r="Q13" s="3">
        <f t="shared" si="1"/>
        <v>13823.587528778515</v>
      </c>
      <c r="R13" s="3">
        <f t="shared" si="2"/>
        <v>48.517980866625386</v>
      </c>
      <c r="S13" s="3">
        <f t="shared" si="8"/>
        <v>1800</v>
      </c>
      <c r="U13" s="11">
        <f t="shared" si="9"/>
        <v>0.6100000000000001</v>
      </c>
      <c r="V13" s="2">
        <v>531.24797012682529</v>
      </c>
    </row>
    <row r="14" spans="1:22" x14ac:dyDescent="0.25">
      <c r="A14" s="14">
        <f t="shared" si="15"/>
        <v>45543</v>
      </c>
      <c r="B14" s="2">
        <f t="shared" si="10"/>
        <v>9.4932445054260501</v>
      </c>
      <c r="C14" s="2">
        <f t="shared" si="16"/>
        <v>375.76075549457397</v>
      </c>
      <c r="D14" s="3">
        <f t="shared" si="3"/>
        <v>385.25400000000002</v>
      </c>
      <c r="E14" s="3">
        <f t="shared" si="17"/>
        <v>3548.4221653666241</v>
      </c>
      <c r="F14" s="9"/>
      <c r="G14" s="2">
        <f t="shared" si="4"/>
        <v>7.4486980138621117</v>
      </c>
      <c r="H14" s="2">
        <f t="shared" si="11"/>
        <v>360.09530198613788</v>
      </c>
      <c r="I14" s="3">
        <f t="shared" si="12"/>
        <v>367.54399999999998</v>
      </c>
      <c r="J14" s="2">
        <f t="shared" si="13"/>
        <v>2784.2035586888592</v>
      </c>
      <c r="K14" s="9"/>
      <c r="L14" s="3">
        <f t="shared" si="5"/>
        <v>25.15307360281977</v>
      </c>
      <c r="M14" s="3">
        <f t="shared" si="6"/>
        <v>1022.0489263971803</v>
      </c>
      <c r="N14" s="3">
        <f t="shared" si="7"/>
        <v>1047.202</v>
      </c>
      <c r="O14" s="3">
        <f t="shared" si="14"/>
        <v>5739.4797855896577</v>
      </c>
      <c r="P14" s="13"/>
      <c r="Q14" s="3">
        <f t="shared" si="1"/>
        <v>12072.105509645142</v>
      </c>
      <c r="R14" s="3">
        <f t="shared" si="2"/>
        <v>42.095016122107928</v>
      </c>
      <c r="S14" s="3">
        <f t="shared" si="8"/>
        <v>1800</v>
      </c>
      <c r="U14" s="11">
        <f t="shared" si="9"/>
        <v>0.62000000000000011</v>
      </c>
      <c r="V14" s="2">
        <v>530.52885642140859</v>
      </c>
    </row>
    <row r="15" spans="1:22" x14ac:dyDescent="0.25">
      <c r="A15" s="14">
        <f t="shared" si="15"/>
        <v>45573</v>
      </c>
      <c r="B15" s="2">
        <f t="shared" si="10"/>
        <v>8.2141507735043504</v>
      </c>
      <c r="C15" s="2">
        <f t="shared" si="16"/>
        <v>377.03984922649568</v>
      </c>
      <c r="D15" s="3">
        <f t="shared" si="3"/>
        <v>385.25400000000002</v>
      </c>
      <c r="E15" s="3">
        <f t="shared" si="17"/>
        <v>3172.6614098720502</v>
      </c>
      <c r="F15" s="9"/>
      <c r="G15" s="2">
        <f t="shared" si="4"/>
        <v>6.2761158974906079</v>
      </c>
      <c r="H15" s="2">
        <f t="shared" si="11"/>
        <v>361.26788410250936</v>
      </c>
      <c r="I15" s="3">
        <f t="shared" si="12"/>
        <v>367.54399999999998</v>
      </c>
      <c r="J15" s="2">
        <f t="shared" si="13"/>
        <v>2424.1082567027215</v>
      </c>
      <c r="K15" s="9"/>
      <c r="L15" s="3">
        <f t="shared" si="5"/>
        <v>20.007076630219053</v>
      </c>
      <c r="M15" s="3">
        <f t="shared" si="6"/>
        <v>1027.194923369781</v>
      </c>
      <c r="N15" s="3">
        <f t="shared" si="7"/>
        <v>1047.202</v>
      </c>
      <c r="O15" s="3">
        <f t="shared" si="14"/>
        <v>4717.4308591924773</v>
      </c>
      <c r="P15" s="13"/>
      <c r="Q15" s="3">
        <f t="shared" si="1"/>
        <v>10314.20052576725</v>
      </c>
      <c r="R15" s="3">
        <f t="shared" si="2"/>
        <v>34.497343301214016</v>
      </c>
      <c r="S15" s="3">
        <f t="shared" si="8"/>
        <v>1800</v>
      </c>
      <c r="U15" s="11">
        <f t="shared" si="9"/>
        <v>0.63000000000000012</v>
      </c>
      <c r="V15" s="2">
        <v>529.91850250125572</v>
      </c>
    </row>
    <row r="16" spans="1:22" x14ac:dyDescent="0.25">
      <c r="A16" s="14">
        <f t="shared" si="15"/>
        <v>45604</v>
      </c>
      <c r="B16" s="2">
        <f t="shared" si="10"/>
        <v>7.479245079370914</v>
      </c>
      <c r="C16" s="2">
        <f t="shared" si="16"/>
        <v>377.77475492062911</v>
      </c>
      <c r="D16" s="3">
        <f t="shared" si="3"/>
        <v>385.25400000000002</v>
      </c>
      <c r="E16" s="3">
        <f t="shared" si="17"/>
        <v>2795.6215606455544</v>
      </c>
      <c r="F16" s="9"/>
      <c r="G16" s="2">
        <f t="shared" si="4"/>
        <v>5.5188044488879644</v>
      </c>
      <c r="H16" s="2">
        <f t="shared" si="11"/>
        <v>362.02519555111201</v>
      </c>
      <c r="I16" s="3">
        <f t="shared" si="12"/>
        <v>367.54399999999998</v>
      </c>
      <c r="J16" s="2">
        <f t="shared" si="13"/>
        <v>2062.840372600212</v>
      </c>
      <c r="K16" s="9"/>
      <c r="L16" s="3">
        <f t="shared" si="5"/>
        <v>16.172332610799959</v>
      </c>
      <c r="M16" s="3">
        <f t="shared" si="6"/>
        <v>1031.0296673892001</v>
      </c>
      <c r="N16" s="3">
        <f t="shared" si="7"/>
        <v>1047.202</v>
      </c>
      <c r="O16" s="3">
        <f t="shared" si="14"/>
        <v>3690.2359358226963</v>
      </c>
      <c r="P16" s="13"/>
      <c r="Q16" s="3">
        <f t="shared" si="1"/>
        <v>8548.6978690684628</v>
      </c>
      <c r="R16" s="3">
        <f t="shared" si="2"/>
        <v>29.170382139058837</v>
      </c>
      <c r="S16" s="3">
        <f t="shared" si="8"/>
        <v>1800</v>
      </c>
      <c r="U16" s="11">
        <f t="shared" si="9"/>
        <v>0.64000000000000012</v>
      </c>
      <c r="V16">
        <v>529.40176709008836</v>
      </c>
    </row>
    <row r="17" spans="1:22" x14ac:dyDescent="0.25">
      <c r="A17" s="14">
        <f t="shared" si="15"/>
        <v>45634</v>
      </c>
      <c r="B17" s="2">
        <f t="shared" si="10"/>
        <v>6.2599047435891899</v>
      </c>
      <c r="C17" s="2">
        <f t="shared" si="16"/>
        <v>378.99409525641084</v>
      </c>
      <c r="D17" s="3">
        <f t="shared" si="3"/>
        <v>385.25400000000002</v>
      </c>
      <c r="E17" s="3">
        <f t="shared" si="17"/>
        <v>2417.8468057249252</v>
      </c>
      <c r="F17" s="9"/>
      <c r="G17" s="2">
        <f t="shared" si="4"/>
        <v>4.403480389894245</v>
      </c>
      <c r="H17" s="2">
        <f t="shared" si="11"/>
        <v>363.14051961010574</v>
      </c>
      <c r="I17" s="3">
        <f t="shared" si="12"/>
        <v>367.54399999999998</v>
      </c>
      <c r="J17" s="2">
        <f t="shared" si="13"/>
        <v>1700.8151770490999</v>
      </c>
      <c r="K17" s="9"/>
      <c r="L17" s="3">
        <f t="shared" si="5"/>
        <v>11.277948776808362</v>
      </c>
      <c r="M17" s="3">
        <f t="shared" si="6"/>
        <v>1035.9240512231916</v>
      </c>
      <c r="N17" s="3">
        <f t="shared" si="7"/>
        <v>1047.202</v>
      </c>
      <c r="O17" s="3">
        <f t="shared" si="14"/>
        <v>2659.206268433496</v>
      </c>
      <c r="P17" s="13"/>
      <c r="Q17" s="3">
        <f t="shared" si="1"/>
        <v>6777.8682512075211</v>
      </c>
      <c r="R17" s="3">
        <f t="shared" si="2"/>
        <v>21.941333910291796</v>
      </c>
      <c r="S17" s="3">
        <f t="shared" si="8"/>
        <v>1800</v>
      </c>
      <c r="U17" s="11">
        <f t="shared" si="9"/>
        <v>0.65000000000000013</v>
      </c>
      <c r="V17">
        <v>529.38110780651584</v>
      </c>
    </row>
    <row r="18" spans="1:22" x14ac:dyDescent="0.25">
      <c r="A18" s="14">
        <f t="shared" si="15"/>
        <v>45665</v>
      </c>
      <c r="B18" s="2">
        <f t="shared" si="10"/>
        <v>5.4546292377328882</v>
      </c>
      <c r="C18" s="2">
        <f t="shared" si="16"/>
        <v>379.79937076226713</v>
      </c>
      <c r="D18" s="3">
        <f t="shared" si="3"/>
        <v>385.25400000000002</v>
      </c>
      <c r="E18" s="3">
        <f t="shared" si="17"/>
        <v>2038.8527104685143</v>
      </c>
      <c r="F18" s="9"/>
      <c r="G18" s="2">
        <f t="shared" si="4"/>
        <v>3.5787378164087063</v>
      </c>
      <c r="H18" s="2">
        <f t="shared" si="11"/>
        <v>363.96526218359128</v>
      </c>
      <c r="I18" s="3">
        <f t="shared" si="12"/>
        <v>367.54399999999998</v>
      </c>
      <c r="J18" s="2">
        <f t="shared" si="13"/>
        <v>1337.6746574389942</v>
      </c>
      <c r="K18" s="9"/>
      <c r="L18" s="3">
        <f t="shared" si="5"/>
        <v>7.1139787250674065</v>
      </c>
      <c r="M18" s="3">
        <f t="shared" si="6"/>
        <v>1040.0880212749325</v>
      </c>
      <c r="N18" s="3">
        <f t="shared" si="7"/>
        <v>1047.202</v>
      </c>
      <c r="O18" s="3">
        <f t="shared" si="14"/>
        <v>1623.2822172103045</v>
      </c>
      <c r="P18" s="13"/>
      <c r="Q18" s="3">
        <f t="shared" si="1"/>
        <v>4999.8095851178132</v>
      </c>
      <c r="R18" s="3">
        <f t="shared" si="2"/>
        <v>16.147345779209001</v>
      </c>
      <c r="S18" s="3">
        <f t="shared" si="8"/>
        <v>1800</v>
      </c>
      <c r="U18" s="11"/>
    </row>
    <row r="19" spans="1:22" x14ac:dyDescent="0.25">
      <c r="A19" s="14">
        <f t="shared" si="15"/>
        <v>45696</v>
      </c>
      <c r="B19" s="2">
        <f t="shared" si="10"/>
        <v>4.4385358526661651</v>
      </c>
      <c r="C19" s="2">
        <f t="shared" si="16"/>
        <v>380.81546414733384</v>
      </c>
      <c r="D19" s="3">
        <f t="shared" si="3"/>
        <v>385.25400000000002</v>
      </c>
      <c r="E19" s="3">
        <f t="shared" si="17"/>
        <v>1659.0533397062472</v>
      </c>
      <c r="F19" s="9"/>
      <c r="G19" s="2">
        <f t="shared" si="4"/>
        <v>2.6050060944298661</v>
      </c>
      <c r="H19" s="2">
        <f t="shared" si="11"/>
        <v>364.9389939055701</v>
      </c>
      <c r="I19" s="3">
        <f t="shared" si="12"/>
        <v>367.54399999999998</v>
      </c>
      <c r="J19" s="2">
        <f t="shared" si="13"/>
        <v>973.70939525540302</v>
      </c>
      <c r="K19" s="9"/>
      <c r="L19" s="3">
        <f t="shared" si="5"/>
        <v>2.5558285912827974</v>
      </c>
      <c r="M19" s="3">
        <f t="shared" si="6"/>
        <v>583.19419593537191</v>
      </c>
      <c r="N19" s="16">
        <f>IF(O19&lt;$I$4,O19,$I$4)+($C$4/$E$1*O19*(A19-A18))</f>
        <v>585.75002452665467</v>
      </c>
      <c r="O19" s="3">
        <f t="shared" si="14"/>
        <v>583.19419593537191</v>
      </c>
      <c r="P19" s="13"/>
      <c r="Q19" s="3">
        <f t="shared" si="1"/>
        <v>3215.9569308970222</v>
      </c>
      <c r="R19" s="3">
        <f t="shared" si="2"/>
        <v>9.5993705383788281</v>
      </c>
      <c r="S19" s="3">
        <f t="shared" si="8"/>
        <v>1338.5480245266547</v>
      </c>
      <c r="U19" s="11"/>
    </row>
    <row r="20" spans="1:22" x14ac:dyDescent="0.25">
      <c r="A20" s="14">
        <f t="shared" si="15"/>
        <v>45724</v>
      </c>
      <c r="B20" s="2">
        <f t="shared" si="10"/>
        <v>3.0887830308026345</v>
      </c>
      <c r="C20" s="2">
        <f t="shared" si="16"/>
        <v>791.96621696919738</v>
      </c>
      <c r="D20" s="3">
        <f>IF(E20&lt;$M$2, E20,$M$2)</f>
        <v>795.05500000000006</v>
      </c>
      <c r="E20" s="3">
        <f>E19-C19</f>
        <v>1278.2378755589134</v>
      </c>
      <c r="F20" s="9"/>
      <c r="G20" s="2">
        <f t="shared" si="4"/>
        <v>1.4710561479193223</v>
      </c>
      <c r="H20" s="2">
        <f t="shared" si="11"/>
        <v>608.77040134983292</v>
      </c>
      <c r="I20" s="16">
        <f>IF(J20&lt;$M$3,J20,$M$3)+($C$3/$E$1*J20*(A20-A19))</f>
        <v>610.24145749775221</v>
      </c>
      <c r="J20" s="2">
        <f t="shared" si="13"/>
        <v>608.77040134983292</v>
      </c>
      <c r="K20" s="9"/>
      <c r="L20" s="3">
        <f t="shared" si="5"/>
        <v>0</v>
      </c>
      <c r="M20" s="3">
        <f t="shared" si="6"/>
        <v>0</v>
      </c>
      <c r="N20" s="3">
        <f>IF(O20&lt;$I$4,O20,$I$4)</f>
        <v>0</v>
      </c>
      <c r="O20" s="3">
        <f t="shared" si="14"/>
        <v>0</v>
      </c>
      <c r="P20" s="13"/>
      <c r="Q20" s="3">
        <f t="shared" si="1"/>
        <v>1887.0082769087462</v>
      </c>
      <c r="R20" s="3">
        <f t="shared" si="2"/>
        <v>4.5598391787219565</v>
      </c>
      <c r="S20" s="3">
        <f t="shared" si="8"/>
        <v>1405.2964574977523</v>
      </c>
      <c r="U20" s="11"/>
    </row>
    <row r="21" spans="1:22" x14ac:dyDescent="0.25">
      <c r="A21" s="14">
        <f t="shared" si="15"/>
        <v>45755</v>
      </c>
      <c r="B21" s="2">
        <f>IF(E20=D21,0,$C$2/$E$1*E21*(A21-A20))</f>
        <v>1.3009432181174183</v>
      </c>
      <c r="C21" s="2">
        <f>D21-B21</f>
        <v>486.27165858971603</v>
      </c>
      <c r="D21" s="16">
        <f>IF(E21&lt;$M$2, E21,$M$2)+($C$2/$E$1*E21*(A21-A20))</f>
        <v>487.57260180783345</v>
      </c>
      <c r="E21" s="3">
        <f>E20-C20</f>
        <v>486.27165858971603</v>
      </c>
      <c r="F21" s="9"/>
      <c r="G21" s="2">
        <f t="shared" si="4"/>
        <v>0</v>
      </c>
      <c r="H21" s="2">
        <f t="shared" si="11"/>
        <v>0</v>
      </c>
      <c r="I21" s="3">
        <f t="shared" si="12"/>
        <v>0</v>
      </c>
      <c r="J21" s="2">
        <f t="shared" si="13"/>
        <v>0</v>
      </c>
      <c r="K21" s="9"/>
      <c r="L21" s="3">
        <f t="shared" si="5"/>
        <v>0</v>
      </c>
      <c r="M21" s="3">
        <f t="shared" si="6"/>
        <v>0</v>
      </c>
      <c r="N21" s="3">
        <f>IF(O21&lt;$I$4,O21,$I$4)</f>
        <v>0</v>
      </c>
      <c r="O21" s="3">
        <f t="shared" si="14"/>
        <v>0</v>
      </c>
      <c r="P21" s="13"/>
      <c r="Q21" s="3">
        <f t="shared" si="1"/>
        <v>486.27165858971603</v>
      </c>
      <c r="R21" s="3">
        <f t="shared" si="2"/>
        <v>1.3009432181174183</v>
      </c>
      <c r="S21" s="3">
        <f t="shared" si="8"/>
        <v>487.57260180783345</v>
      </c>
      <c r="U21" s="11"/>
    </row>
    <row r="22" spans="1:22" x14ac:dyDescent="0.25">
      <c r="U22" s="11"/>
    </row>
    <row r="23" spans="1:22" x14ac:dyDescent="0.25">
      <c r="U23" s="11"/>
    </row>
    <row r="24" spans="1:22" x14ac:dyDescent="0.25">
      <c r="U24" s="11"/>
    </row>
    <row r="25" spans="1:22" x14ac:dyDescent="0.25">
      <c r="U25" s="11"/>
    </row>
    <row r="26" spans="1:22" x14ac:dyDescent="0.25">
      <c r="J26" s="3">
        <v>1800</v>
      </c>
      <c r="U26" s="11"/>
    </row>
    <row r="27" spans="1:22" x14ac:dyDescent="0.25">
      <c r="J27" s="3">
        <v>1800</v>
      </c>
      <c r="U27" s="11"/>
    </row>
    <row r="28" spans="1:22" x14ac:dyDescent="0.25">
      <c r="J28" s="3">
        <v>1800</v>
      </c>
    </row>
    <row r="29" spans="1:22" x14ac:dyDescent="0.25">
      <c r="J29" s="3">
        <v>1800</v>
      </c>
    </row>
    <row r="30" spans="1:22" x14ac:dyDescent="0.25">
      <c r="J30" s="3">
        <v>1800</v>
      </c>
    </row>
    <row r="31" spans="1:22" x14ac:dyDescent="0.25">
      <c r="J31" s="3">
        <v>1800</v>
      </c>
    </row>
    <row r="32" spans="1:22" x14ac:dyDescent="0.25">
      <c r="J32" s="3">
        <v>1800</v>
      </c>
    </row>
    <row r="33" spans="10:10" x14ac:dyDescent="0.25">
      <c r="J33" s="3">
        <v>1800</v>
      </c>
    </row>
    <row r="34" spans="10:10" x14ac:dyDescent="0.25">
      <c r="J34" s="3">
        <v>1800</v>
      </c>
    </row>
    <row r="35" spans="10:10" x14ac:dyDescent="0.25">
      <c r="J35" s="3">
        <v>1800</v>
      </c>
    </row>
    <row r="36" spans="10:10" x14ac:dyDescent="0.25">
      <c r="J36" s="3">
        <v>1338.5480245266547</v>
      </c>
    </row>
    <row r="37" spans="10:10" x14ac:dyDescent="0.25">
      <c r="J37" s="3">
        <v>1405.2964574977523</v>
      </c>
    </row>
    <row r="38" spans="10:10" x14ac:dyDescent="0.25">
      <c r="J38" s="3">
        <v>487.57260180783345</v>
      </c>
    </row>
    <row r="1048550" spans="16384:16384" x14ac:dyDescent="0.25">
      <c r="XFD1048550" t="e" cm="1">
        <f t="array" ref="XFD1048550">solver_pre</f>
        <v>#NAME?</v>
      </c>
    </row>
    <row r="1048551" spans="16384:16384" x14ac:dyDescent="0.25">
      <c r="XFD1048551" t="e" cm="1">
        <f t="array" ref="XFD1048551">solver_scl</f>
        <v>#NAME?</v>
      </c>
    </row>
    <row r="1048552" spans="16384:16384" x14ac:dyDescent="0.25">
      <c r="XFD1048552" t="e" cm="1">
        <f t="array" ref="XFD1048552">solver_rlx</f>
        <v>#NAME?</v>
      </c>
    </row>
    <row r="1048553" spans="16384:16384" x14ac:dyDescent="0.25">
      <c r="XFD1048553" t="e" cm="1">
        <f t="array" ref="XFD1048553">solver_tol</f>
        <v>#NAME?</v>
      </c>
    </row>
    <row r="1048554" spans="16384:16384" x14ac:dyDescent="0.25">
      <c r="XFD1048554" t="e" cm="1">
        <f t="array" ref="XFD1048554">solver_cvg</f>
        <v>#NAME?</v>
      </c>
    </row>
    <row r="1048555" spans="16384:16384" x14ac:dyDescent="0.25">
      <c r="XFD1048555" t="e" cm="1">
        <f t="array" ref="XFD1048555">AREAS(solver_adj1)</f>
        <v>#NAME?</v>
      </c>
    </row>
    <row r="1048556" spans="16384:16384" x14ac:dyDescent="0.25">
      <c r="XFD1048556" t="e" cm="1">
        <f t="array" ref="XFD1048556">solver_ssz</f>
        <v>#NAME?</v>
      </c>
    </row>
    <row r="1048557" spans="16384:16384" x14ac:dyDescent="0.25">
      <c r="XFD1048557" t="e" cm="1">
        <f t="array" ref="XFD1048557">solver_rsd</f>
        <v>#NAME?</v>
      </c>
    </row>
    <row r="1048558" spans="16384:16384" x14ac:dyDescent="0.25">
      <c r="XFD1048558" t="e" cm="1">
        <f t="array" ref="XFD1048558">solver_mrt</f>
        <v>#NAME?</v>
      </c>
    </row>
    <row r="1048559" spans="16384:16384" x14ac:dyDescent="0.25">
      <c r="XFD1048559" t="e" cm="1">
        <f t="array" ref="XFD1048559">solver_mni</f>
        <v>#NAME?</v>
      </c>
    </row>
    <row r="1048560" spans="16384:16384" x14ac:dyDescent="0.25">
      <c r="XFD1048560" t="e" cm="1">
        <f t="array" ref="XFD1048560">solver_rbv</f>
        <v>#NAME?</v>
      </c>
    </row>
    <row r="1048561" spans="16384:16384" x14ac:dyDescent="0.25">
      <c r="XFD1048561" t="e" cm="1">
        <f t="array" ref="XFD1048561">solver_neg</f>
        <v>#NAME?</v>
      </c>
    </row>
    <row r="1048562" spans="16384:16384" x14ac:dyDescent="0.25">
      <c r="XFD1048562" t="e" cm="1">
        <f t="array" ref="XFD1048562">solver_ntr</f>
        <v>#NAME?</v>
      </c>
    </row>
    <row r="1048563" spans="16384:16384" x14ac:dyDescent="0.25">
      <c r="XFD1048563" t="e" cm="1">
        <f t="array" ref="XFD1048563">solver_acc</f>
        <v>#NAME?</v>
      </c>
    </row>
    <row r="1048564" spans="16384:16384" x14ac:dyDescent="0.25">
      <c r="XFD1048564" t="e" cm="1">
        <f t="array" ref="XFD1048564">solver_res</f>
        <v>#NAME?</v>
      </c>
    </row>
    <row r="1048565" spans="16384:16384" x14ac:dyDescent="0.25">
      <c r="XFD1048565" t="e" cm="1">
        <f t="array" ref="XFD1048565">solver_ars</f>
        <v>#NAME?</v>
      </c>
    </row>
    <row r="1048566" spans="16384:16384" x14ac:dyDescent="0.25">
      <c r="XFD1048566" t="e" cm="1">
        <f t="array" ref="XFD1048566">solver_sta</f>
        <v>#NAME?</v>
      </c>
    </row>
    <row r="1048567" spans="16384:16384" x14ac:dyDescent="0.25">
      <c r="XFD1048567" t="e" cm="1">
        <f t="array" ref="XFD1048567">solver_met</f>
        <v>#NAME?</v>
      </c>
    </row>
    <row r="1048568" spans="16384:16384" x14ac:dyDescent="0.25">
      <c r="XFD1048568" t="e" cm="1">
        <f t="array" ref="XFD1048568">solver_soc</f>
        <v>#NAME?</v>
      </c>
    </row>
    <row r="1048569" spans="16384:16384" x14ac:dyDescent="0.25">
      <c r="XFD1048569" t="e" cm="1">
        <f t="array" ref="XFD1048569">solver_lpt</f>
        <v>#NAME?</v>
      </c>
    </row>
    <row r="1048570" spans="16384:16384" x14ac:dyDescent="0.25">
      <c r="XFD1048570" t="e" cm="1">
        <f t="array" ref="XFD1048570">solver_lpp</f>
        <v>#NAME?</v>
      </c>
    </row>
    <row r="1048571" spans="16384:16384" x14ac:dyDescent="0.25">
      <c r="XFD1048571" t="e" cm="1">
        <f t="array" ref="XFD1048571">solver_gap</f>
        <v>#NAME?</v>
      </c>
    </row>
    <row r="1048572" spans="16384:16384" x14ac:dyDescent="0.25">
      <c r="XFD1048572" t="e" cm="1">
        <f t="array" ref="XFD1048572">solver_ips</f>
        <v>#NAME?</v>
      </c>
    </row>
    <row r="1048573" spans="16384:16384" x14ac:dyDescent="0.25">
      <c r="XFD1048573" t="e" cm="1">
        <f t="array" ref="XFD1048573">solver_fea</f>
        <v>#NAME?</v>
      </c>
    </row>
    <row r="1048574" spans="16384:16384" x14ac:dyDescent="0.25">
      <c r="XFD1048574" t="e" cm="1">
        <f t="array" ref="XFD1048574">solver_ipi</f>
        <v>#NAME?</v>
      </c>
    </row>
    <row r="1048575" spans="16384:16384" x14ac:dyDescent="0.25">
      <c r="XFD1048575" t="e" cm="1">
        <f t="array" ref="XFD1048575">solver_ipd</f>
        <v>#NAME?</v>
      </c>
    </row>
  </sheetData>
  <mergeCells count="1">
    <mergeCell ref="Q6:S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4770C-400C-4D8D-A6FE-DA161070B0A0}">
  <sheetPr>
    <tabColor theme="4"/>
  </sheetPr>
  <dimension ref="A2:D29"/>
  <sheetViews>
    <sheetView workbookViewId="0">
      <selection activeCell="F8" sqref="F8"/>
    </sheetView>
  </sheetViews>
  <sheetFormatPr defaultRowHeight="15" x14ac:dyDescent="0.25"/>
  <cols>
    <col min="1" max="1" width="10.7109375" bestFit="1" customWidth="1"/>
    <col min="3" max="3" width="10.5703125" bestFit="1" customWidth="1"/>
    <col min="4" max="4" width="9.140625" style="12"/>
  </cols>
  <sheetData>
    <row r="2" spans="1:4" x14ac:dyDescent="0.25">
      <c r="B2">
        <v>5535.28</v>
      </c>
    </row>
    <row r="3" spans="1:4" x14ac:dyDescent="0.25">
      <c r="A3" s="1">
        <v>45090</v>
      </c>
      <c r="B3" s="18"/>
      <c r="C3" s="18"/>
    </row>
    <row r="4" spans="1:4" x14ac:dyDescent="0.25">
      <c r="A4" s="1">
        <f>EOMONTH(A3,0)+10</f>
        <v>45117</v>
      </c>
      <c r="B4" s="18">
        <f>$B$2/20</f>
        <v>276.76400000000001</v>
      </c>
      <c r="C4" s="18">
        <f>B2-B4</f>
        <v>5258.5159999999996</v>
      </c>
      <c r="D4" s="12">
        <v>1</v>
      </c>
    </row>
    <row r="5" spans="1:4" x14ac:dyDescent="0.25">
      <c r="A5" s="1">
        <f t="shared" ref="A5:A27" si="0">EOMONTH(A4,0)+10</f>
        <v>45148</v>
      </c>
      <c r="B5" s="18">
        <f t="shared" ref="B5:B28" si="1">$B$2/20</f>
        <v>276.76400000000001</v>
      </c>
      <c r="C5" s="18">
        <f t="shared" ref="C5:C28" si="2">C4-B5</f>
        <v>4981.7519999999995</v>
      </c>
      <c r="D5" s="12">
        <v>1</v>
      </c>
    </row>
    <row r="6" spans="1:4" x14ac:dyDescent="0.25">
      <c r="A6" s="1">
        <f t="shared" si="0"/>
        <v>45179</v>
      </c>
      <c r="B6" s="18">
        <f t="shared" si="1"/>
        <v>276.76400000000001</v>
      </c>
      <c r="C6" s="18">
        <f t="shared" si="2"/>
        <v>4704.9879999999994</v>
      </c>
      <c r="D6" s="12">
        <v>1</v>
      </c>
    </row>
    <row r="7" spans="1:4" x14ac:dyDescent="0.25">
      <c r="A7" s="1">
        <f t="shared" si="0"/>
        <v>45209</v>
      </c>
      <c r="B7" s="18">
        <f t="shared" si="1"/>
        <v>276.76400000000001</v>
      </c>
      <c r="C7" s="18">
        <f t="shared" si="2"/>
        <v>4428.2239999999993</v>
      </c>
      <c r="D7" s="12">
        <v>1</v>
      </c>
    </row>
    <row r="8" spans="1:4" x14ac:dyDescent="0.25">
      <c r="A8" s="1">
        <f t="shared" si="0"/>
        <v>45240</v>
      </c>
      <c r="B8" s="18">
        <f t="shared" si="1"/>
        <v>276.76400000000001</v>
      </c>
      <c r="C8" s="18">
        <f t="shared" si="2"/>
        <v>4151.4599999999991</v>
      </c>
      <c r="D8" s="12">
        <v>1</v>
      </c>
    </row>
    <row r="9" spans="1:4" x14ac:dyDescent="0.25">
      <c r="A9" s="1">
        <f t="shared" si="0"/>
        <v>45270</v>
      </c>
      <c r="B9" s="18">
        <f t="shared" si="1"/>
        <v>276.76400000000001</v>
      </c>
      <c r="C9" s="18">
        <f t="shared" si="2"/>
        <v>3874.695999999999</v>
      </c>
      <c r="D9" s="12">
        <v>1</v>
      </c>
    </row>
    <row r="10" spans="1:4" x14ac:dyDescent="0.25">
      <c r="A10" s="1">
        <f t="shared" si="0"/>
        <v>45301</v>
      </c>
      <c r="B10" s="18">
        <f t="shared" si="1"/>
        <v>276.76400000000001</v>
      </c>
      <c r="C10" s="18">
        <f t="shared" si="2"/>
        <v>3597.9319999999989</v>
      </c>
      <c r="D10" s="12">
        <v>1</v>
      </c>
    </row>
    <row r="11" spans="1:4" x14ac:dyDescent="0.25">
      <c r="A11" s="1">
        <f t="shared" si="0"/>
        <v>45332</v>
      </c>
      <c r="B11" s="18">
        <f t="shared" si="1"/>
        <v>276.76400000000001</v>
      </c>
      <c r="C11" s="18">
        <f t="shared" si="2"/>
        <v>3321.1679999999988</v>
      </c>
      <c r="D11" s="12">
        <v>1</v>
      </c>
    </row>
    <row r="12" spans="1:4" x14ac:dyDescent="0.25">
      <c r="A12" s="1">
        <f t="shared" si="0"/>
        <v>45361</v>
      </c>
      <c r="B12" s="18">
        <f t="shared" si="1"/>
        <v>276.76400000000001</v>
      </c>
      <c r="C12" s="18">
        <f t="shared" si="2"/>
        <v>3044.4039999999986</v>
      </c>
      <c r="D12" s="12">
        <v>1</v>
      </c>
    </row>
    <row r="13" spans="1:4" x14ac:dyDescent="0.25">
      <c r="A13" s="1">
        <f t="shared" si="0"/>
        <v>45392</v>
      </c>
      <c r="B13" s="18">
        <f t="shared" si="1"/>
        <v>276.76400000000001</v>
      </c>
      <c r="C13" s="18">
        <f t="shared" si="2"/>
        <v>2767.6399999999985</v>
      </c>
    </row>
    <row r="14" spans="1:4" x14ac:dyDescent="0.25">
      <c r="A14" s="1">
        <f t="shared" si="0"/>
        <v>45422</v>
      </c>
      <c r="B14" s="18">
        <f t="shared" si="1"/>
        <v>276.76400000000001</v>
      </c>
      <c r="C14" s="18">
        <f t="shared" si="2"/>
        <v>2490.8759999999984</v>
      </c>
    </row>
    <row r="15" spans="1:4" x14ac:dyDescent="0.25">
      <c r="A15" s="1">
        <f t="shared" si="0"/>
        <v>45453</v>
      </c>
      <c r="B15" s="18">
        <f t="shared" si="1"/>
        <v>276.76400000000001</v>
      </c>
      <c r="C15" s="18">
        <f t="shared" si="2"/>
        <v>2214.1119999999983</v>
      </c>
    </row>
    <row r="16" spans="1:4" x14ac:dyDescent="0.25">
      <c r="A16" s="1">
        <f t="shared" si="0"/>
        <v>45483</v>
      </c>
      <c r="B16" s="18">
        <f t="shared" si="1"/>
        <v>276.76400000000001</v>
      </c>
      <c r="C16" s="18">
        <f t="shared" si="2"/>
        <v>1937.3479999999981</v>
      </c>
    </row>
    <row r="17" spans="1:3" x14ac:dyDescent="0.25">
      <c r="A17" s="1">
        <f t="shared" si="0"/>
        <v>45514</v>
      </c>
      <c r="B17" s="18">
        <f t="shared" si="1"/>
        <v>276.76400000000001</v>
      </c>
      <c r="C17" s="18">
        <f t="shared" si="2"/>
        <v>1660.583999999998</v>
      </c>
    </row>
    <row r="18" spans="1:3" x14ac:dyDescent="0.25">
      <c r="A18" s="1">
        <f t="shared" si="0"/>
        <v>45545</v>
      </c>
      <c r="B18" s="18">
        <f t="shared" si="1"/>
        <v>276.76400000000001</v>
      </c>
      <c r="C18" s="18">
        <f t="shared" si="2"/>
        <v>1383.8199999999979</v>
      </c>
    </row>
    <row r="19" spans="1:3" x14ac:dyDescent="0.25">
      <c r="A19" s="1">
        <f t="shared" si="0"/>
        <v>45575</v>
      </c>
      <c r="B19" s="18">
        <f t="shared" si="1"/>
        <v>276.76400000000001</v>
      </c>
      <c r="C19" s="18">
        <f t="shared" si="2"/>
        <v>1107.0559999999978</v>
      </c>
    </row>
    <row r="20" spans="1:3" x14ac:dyDescent="0.25">
      <c r="A20" s="1">
        <f t="shared" si="0"/>
        <v>45606</v>
      </c>
      <c r="B20" s="18">
        <f t="shared" si="1"/>
        <v>276.76400000000001</v>
      </c>
      <c r="C20" s="18">
        <f t="shared" si="2"/>
        <v>830.29199999999776</v>
      </c>
    </row>
    <row r="21" spans="1:3" x14ac:dyDescent="0.25">
      <c r="A21" s="1">
        <f t="shared" si="0"/>
        <v>45636</v>
      </c>
      <c r="B21" s="18">
        <f t="shared" si="1"/>
        <v>276.76400000000001</v>
      </c>
      <c r="C21" s="18">
        <f t="shared" si="2"/>
        <v>553.52799999999775</v>
      </c>
    </row>
    <row r="22" spans="1:3" x14ac:dyDescent="0.25">
      <c r="A22" s="1">
        <f t="shared" si="0"/>
        <v>45667</v>
      </c>
      <c r="B22" s="18">
        <f t="shared" si="1"/>
        <v>276.76400000000001</v>
      </c>
      <c r="C22" s="18">
        <f t="shared" si="2"/>
        <v>276.76399999999774</v>
      </c>
    </row>
    <row r="23" spans="1:3" x14ac:dyDescent="0.25">
      <c r="A23" s="1">
        <f t="shared" si="0"/>
        <v>45698</v>
      </c>
      <c r="B23" s="18">
        <f t="shared" si="1"/>
        <v>276.76400000000001</v>
      </c>
      <c r="C23" s="18">
        <f t="shared" si="2"/>
        <v>-2.2737367544323206E-12</v>
      </c>
    </row>
    <row r="24" spans="1:3" x14ac:dyDescent="0.25">
      <c r="A24" s="1">
        <f t="shared" si="0"/>
        <v>45726</v>
      </c>
      <c r="B24" s="18">
        <f t="shared" si="1"/>
        <v>276.76400000000001</v>
      </c>
      <c r="C24" s="18">
        <f t="shared" si="2"/>
        <v>-276.76400000000228</v>
      </c>
    </row>
    <row r="25" spans="1:3" x14ac:dyDescent="0.25">
      <c r="A25" s="1">
        <f t="shared" si="0"/>
        <v>45757</v>
      </c>
      <c r="B25" s="18">
        <f t="shared" si="1"/>
        <v>276.76400000000001</v>
      </c>
      <c r="C25" s="18">
        <f t="shared" si="2"/>
        <v>-553.52800000000229</v>
      </c>
    </row>
    <row r="26" spans="1:3" x14ac:dyDescent="0.25">
      <c r="A26" s="1">
        <f t="shared" si="0"/>
        <v>45787</v>
      </c>
      <c r="B26" s="18">
        <f t="shared" si="1"/>
        <v>276.76400000000001</v>
      </c>
      <c r="C26" s="18">
        <f t="shared" si="2"/>
        <v>-830.2920000000023</v>
      </c>
    </row>
    <row r="27" spans="1:3" x14ac:dyDescent="0.25">
      <c r="A27" s="1">
        <f t="shared" si="0"/>
        <v>45818</v>
      </c>
      <c r="B27" s="18">
        <f t="shared" si="1"/>
        <v>276.76400000000001</v>
      </c>
      <c r="C27" s="18">
        <f t="shared" si="2"/>
        <v>-1107.0560000000023</v>
      </c>
    </row>
    <row r="28" spans="1:3" x14ac:dyDescent="0.25">
      <c r="A28" s="1">
        <f>EOMONTH(A27,0)+10</f>
        <v>45848</v>
      </c>
      <c r="B28" s="18">
        <f t="shared" si="1"/>
        <v>276.76400000000001</v>
      </c>
      <c r="C28" s="18">
        <f t="shared" si="2"/>
        <v>-1383.8200000000024</v>
      </c>
    </row>
    <row r="29" spans="1:3" x14ac:dyDescent="0.25">
      <c r="B29" s="18"/>
      <c r="C29" s="18"/>
    </row>
  </sheetData>
  <conditionalFormatting sqref="D4:D28">
    <cfRule type="iconSet" priority="1">
      <iconSet iconSet="3Symbols2" showValue="0">
        <cfvo type="percent" val="0"/>
        <cfvo type="num" val="0" gte="0"/>
        <cfvo type="num" val="1"/>
      </iconSet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F0ALAAiAHAAcgBvAGoAZQBjAHQATgBhAG0AZQBzACIAOgBb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0ARA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=</AFEJSONBlob>
</file>

<file path=customXml/itemProps1.xml><?xml version="1.0" encoding="utf-8"?>
<ds:datastoreItem xmlns:ds="http://schemas.openxmlformats.org/officeDocument/2006/customXml" ds:itemID="{B8C1B28E-89B7-4D64-87C8-14F05F9F942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29AE4E8-9828-499B-8FA5-9D253D15818B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Reoccurring</vt:lpstr>
      <vt:lpstr>Summary</vt:lpstr>
      <vt:lpstr>Categories</vt:lpstr>
      <vt:lpstr>Check</vt:lpstr>
      <vt:lpstr>Loan Schedule</vt:lpstr>
      <vt:lpstr>Lasik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Lewis</dc:creator>
  <cp:lastModifiedBy>Lewis, Sean</cp:lastModifiedBy>
  <dcterms:created xsi:type="dcterms:W3CDTF">2024-04-06T23:26:32Z</dcterms:created>
  <dcterms:modified xsi:type="dcterms:W3CDTF">2025-11-01T17:29:24Z</dcterms:modified>
</cp:coreProperties>
</file>