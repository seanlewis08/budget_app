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66925"/>
  <mc:AlternateContent xmlns:mc="http://schemas.openxmlformats.org/markup-compatibility/2006">
    <mc:Choice Requires="x15">
      <x15ac:absPath xmlns:x15ac="http://schemas.microsoft.com/office/spreadsheetml/2010/11/ac" url="https://d.docs.live.net/353e58ec19cdc2f8/Documents/Budget/"/>
    </mc:Choice>
  </mc:AlternateContent>
  <xr:revisionPtr revIDLastSave="79" documentId="8_{02FEB8F9-DAB2-4375-B437-D02E39E83FC8}" xr6:coauthVersionLast="47" xr6:coauthVersionMax="47" xr10:uidLastSave="{5743DC97-6662-45B4-B12C-5EBCDF806A10}"/>
  <bookViews>
    <workbookView xWindow="-120" yWindow="-120" windowWidth="38640" windowHeight="15840" firstSheet="1" activeTab="1" xr2:uid="{00000000-000D-0000-FFFF-FFFF00000000}"/>
  </bookViews>
  <sheets>
    <sheet name="Compare Periods" sheetId="1" state="hidden" r:id="rId1"/>
    <sheet name="Earnings Projection" sheetId="3" r:id="rId2"/>
    <sheet name="Retirement" sheetId="2" state="hidden" r:id="rId3"/>
    <sheet name="401k - Vincent" sheetId="4" r:id="rId4"/>
    <sheet name="401k - Sean" sheetId="5" r:id="rId5"/>
    <sheet name="Mortgage Calculator" sheetId="6" r:id="rId6"/>
    <sheet name="Amortization Table" sheetId="7" r:id="rId7"/>
  </sheets>
  <definedNames>
    <definedName name="_401k_Pre_Tax">'Earnings Projection'!$B$22:$C$22</definedName>
    <definedName name="_401k_Roth">'Earnings Projection'!$B$23:$C$23</definedName>
    <definedName name="Assumptions">'Earnings Projection'!$B$5:$C$23</definedName>
    <definedName name="Bonus_Level">'Earnings Projection'!$B$9:$C$9</definedName>
    <definedName name="ColumnTitle2">Amortization[[#Headers],['#]]</definedName>
    <definedName name="Company_401K_Match">'Earnings Projection'!$B$12:$C$12</definedName>
    <definedName name="Dental">'Earnings Projection'!$B$14:$C$14</definedName>
    <definedName name="DurationOfLoan">'Mortgage Calculator'!$C$6</definedName>
    <definedName name="Federal_Tax_Rate">'Earnings Projection'!$B$17:$C$17</definedName>
    <definedName name="HeaderRow">ROW('Amortization Table'!$B$3:$J$3)</definedName>
    <definedName name="HSA">'Earnings Projection'!$B$21:$C$21</definedName>
    <definedName name="interest">'Amortization Table'!$E$4:$E$363</definedName>
    <definedName name="InterestRate">'Mortgage Calculator'!$C$5</definedName>
    <definedName name="LastRow" localSheetId="6">COUNTIF('Amortization Table'!$C$4:$C$363,"&gt;1")+HeaderRow</definedName>
    <definedName name="LastRow">COUNTIF('Amortization Table'!$C$4:$C$363,"&gt;1")+HeaderRow</definedName>
    <definedName name="LoanAmount">'Mortgage Calculator'!$C$7</definedName>
    <definedName name="LoanIsGood">('Mortgage Calculator'!$C$5*'Mortgage Calculator'!$C$6*'Mortgage Calculator'!$C$7)&gt;0</definedName>
    <definedName name="LoanStart">'Mortgage Calculator'!$C$8</definedName>
    <definedName name="Medical">'Earnings Projection'!$B$13:$C$13</definedName>
    <definedName name="Medicare">'Earnings Projection'!$B$20:$C$20</definedName>
    <definedName name="MonthlyLoanPayment">'Mortgage Calculator'!$E$4</definedName>
    <definedName name="NoPaymentsRemaining">'Amortization Table'!$J$4:$J$363</definedName>
    <definedName name="nper" localSheetId="4">'401k - Sean'!$E$18</definedName>
    <definedName name="nper">'401k - Vincent'!$E$18</definedName>
    <definedName name="OASDI">'Earnings Projection'!$B$19:$C$19</definedName>
    <definedName name="Pay_Schedule">'Earnings Projection'!$B$10:$C$10</definedName>
    <definedName name="PaymentDurationIncreaseDecrease" localSheetId="6">INT(NPER(InterestRate/12,-MonthlyLoanPayment*VLOOKUP(PaymentPercentage,PaymentScenarios,2,FALSE),LoanAmount))</definedName>
    <definedName name="PaymentDurationIncreaseDecrease">INT(NPER(InterestRate/12,-MonthlyLoanPayment*VLOOKUP(PaymentPercentage,PaymentScenarios,2,FALSE),LoanAmount))</definedName>
    <definedName name="PercentageIncreaseDecrease" localSheetId="6">1-'Amortization Table'!PaymentDurationIncreaseDecrease/DurationOfLoan</definedName>
    <definedName name="PercentageIncreaseDecrease">1-PaymentDurationIncreaseDecrease/DurationOfLoan</definedName>
    <definedName name="_xlnm.Print_Area" localSheetId="4">OFFSET('401k - Sean'!$A$1,0,0,ROW('401k - Sean'!$A$32)+1+'401k - Sean'!$H$5,8)</definedName>
    <definedName name="_xlnm.Print_Area" localSheetId="3">OFFSET('401k - Vincent'!$A$1,0,0,ROW('401k - Vincent'!$A$32)+1+'401k - Vincent'!$H$5,8)</definedName>
    <definedName name="_xlnm.Print_Titles" localSheetId="4">'401k - Sean'!$32:$32</definedName>
    <definedName name="_xlnm.Print_Titles" localSheetId="3">'401k - Vincent'!$32:$32</definedName>
    <definedName name="_xlnm.Print_Titles" localSheetId="6">'Amortization Table'!$3:$3</definedName>
    <definedName name="PropertyTaxAmount">'Mortgage Calculator'!$E$8</definedName>
    <definedName name="randrate" localSheetId="4">'401k - Sean'!$H$21</definedName>
    <definedName name="randrate">'401k - Vincent'!$H$21</definedName>
    <definedName name="Sean">'Earnings Projection'!$B$5:$B$23</definedName>
    <definedName name="solver_adj" localSheetId="4" hidden="1">'401k - Sean'!$E$17,'401k - Sean'!$E$11,'401k - Sean'!$E$8</definedName>
    <definedName name="solver_adj" localSheetId="3" hidden="1">'401k - Vincent'!$E$17,'401k - Vincent'!$E$11,'401k - Vincent'!$E$8</definedName>
    <definedName name="solver_cvg" localSheetId="4" hidden="1">0.0001</definedName>
    <definedName name="solver_cvg" localSheetId="3" hidden="1">0.0001</definedName>
    <definedName name="solver_drv" localSheetId="4" hidden="1">1</definedName>
    <definedName name="solver_drv" localSheetId="3" hidden="1">1</definedName>
    <definedName name="solver_est" localSheetId="4" hidden="1">1</definedName>
    <definedName name="solver_est" localSheetId="3" hidden="1">1</definedName>
    <definedName name="solver_itr" localSheetId="4" hidden="1">100</definedName>
    <definedName name="solver_itr" localSheetId="3" hidden="1">100</definedName>
    <definedName name="solver_lin" localSheetId="4" hidden="1">2</definedName>
    <definedName name="solver_lin" localSheetId="3" hidden="1">2</definedName>
    <definedName name="solver_neg" localSheetId="4" hidden="1">2</definedName>
    <definedName name="solver_neg" localSheetId="3" hidden="1">2</definedName>
    <definedName name="solver_num" localSheetId="4" hidden="1">0</definedName>
    <definedName name="solver_num" localSheetId="3" hidden="1">0</definedName>
    <definedName name="solver_nwt" localSheetId="4" hidden="1">1</definedName>
    <definedName name="solver_nwt" localSheetId="3" hidden="1">1</definedName>
    <definedName name="solver_opt" localSheetId="4" hidden="1">'401k - Sean'!#REF!</definedName>
    <definedName name="solver_opt" localSheetId="3" hidden="1">'401k - Vincent'!#REF!</definedName>
    <definedName name="solver_pre" localSheetId="4" hidden="1">0.000001</definedName>
    <definedName name="solver_pre" localSheetId="3" hidden="1">0.000001</definedName>
    <definedName name="solver_scl" localSheetId="4" hidden="1">2</definedName>
    <definedName name="solver_scl" localSheetId="3" hidden="1">2</definedName>
    <definedName name="solver_sho" localSheetId="4" hidden="1">2</definedName>
    <definedName name="solver_sho" localSheetId="3" hidden="1">2</definedName>
    <definedName name="solver_tim" localSheetId="4" hidden="1">100</definedName>
    <definedName name="solver_tim" localSheetId="3" hidden="1">100</definedName>
    <definedName name="solver_tol" localSheetId="4" hidden="1">0.05</definedName>
    <definedName name="solver_tol" localSheetId="3" hidden="1">0.05</definedName>
    <definedName name="solver_typ" localSheetId="4" hidden="1">2</definedName>
    <definedName name="solver_typ" localSheetId="3" hidden="1">2</definedName>
    <definedName name="solver_val" localSheetId="4" hidden="1">1000</definedName>
    <definedName name="solver_val" localSheetId="3" hidden="1">1000</definedName>
    <definedName name="Starting_401K_Contribution_Base">'Earnings Projection'!$B$16:$C$16</definedName>
    <definedName name="Starting_Equity">'Earnings Projection'!$B$8:$C$8</definedName>
    <definedName name="Starting_Level">'Earnings Projection'!$B$5:$C$5</definedName>
    <definedName name="Starting_Salary">'Earnings Projection'!$B$7:$C$7</definedName>
    <definedName name="State">'Earnings Projection'!$B$11:$C$11</definedName>
    <definedName name="State_Tax_Rate">'Earnings Projection'!$B$18:$C$18</definedName>
    <definedName name="TitleRegion1..C8">'Mortgage Calculator'!$B$3</definedName>
    <definedName name="TitleRegion2..E8">'Mortgage Calculator'!$D$3</definedName>
    <definedName name="total_interest_paid">'Mortgage Calculator'!$E$7</definedName>
    <definedName name="total_loan_payment">'Amortization Table'!$E$4:$F$363</definedName>
    <definedName name="total_payments">'Amortization Table'!$H$4:$H$363</definedName>
    <definedName name="ValueOfHome">'Mortgage Calculator'!$C$4</definedName>
    <definedName name="ValuesEntered" localSheetId="6">IF(LoanAmount*(LEN(InterestRate)&gt;0)*DurationOfLoan*LoanStart*(LEN(PropertyTaxAmount)&gt;0)&gt;0,1,0)</definedName>
    <definedName name="ValuesEntered">IF(LoanAmount*(LEN(InterestRate)&gt;0)*DurationOfLoan*LoanStart*(LEN(PropertyTaxAmount)&gt;0)&gt;0,1,0)</definedName>
    <definedName name="valuevx">42.314159</definedName>
    <definedName name="vertex42_copyright" hidden="1">"© 2008-2018 Vertex42 LLC"</definedName>
    <definedName name="vertex42_id" hidden="1">"401k-calculator.xlsx"</definedName>
    <definedName name="vertex42_title" hidden="1">"401k Savings Calculator"</definedName>
    <definedName name="Vincent">'Earnings Projection'!$C$5:$C$23</definedName>
    <definedName name="Vision">'Earnings Projection'!$B$15:$C$15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 i="6" l="1"/>
  <c r="G50" i="3"/>
  <c r="G51" i="3"/>
  <c r="H101" i="3"/>
  <c r="I101" i="3" s="1"/>
  <c r="J101" i="3" s="1"/>
  <c r="K101" i="3" s="1"/>
  <c r="L101" i="3" s="1"/>
  <c r="M101" i="3" s="1"/>
  <c r="N101" i="3" s="1"/>
  <c r="O101" i="3" s="1"/>
  <c r="P101" i="3" s="1"/>
  <c r="Q101" i="3" s="1"/>
  <c r="G87" i="3"/>
  <c r="E2" i="6"/>
  <c r="C7" i="6"/>
  <c r="B4" i="7"/>
  <c r="D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E4" i="6"/>
  <c r="D2" i="6" s="1"/>
  <c r="C4" i="7" l="1"/>
  <c r="F4" i="7" s="1"/>
  <c r="E4" i="7"/>
  <c r="O78" i="3"/>
  <c r="P78" i="3"/>
  <c r="Q78" i="3"/>
  <c r="I84" i="3"/>
  <c r="J84" i="3" s="1"/>
  <c r="H94" i="3"/>
  <c r="I94" i="3" s="1"/>
  <c r="J94" i="3" s="1"/>
  <c r="K94" i="3" s="1"/>
  <c r="L94" i="3" s="1"/>
  <c r="M94" i="3" s="1"/>
  <c r="N94" i="3" s="1"/>
  <c r="O94" i="3" s="1"/>
  <c r="P94" i="3" s="1"/>
  <c r="Q94" i="3" s="1"/>
  <c r="H77" i="3"/>
  <c r="I77" i="3" s="1"/>
  <c r="J77" i="3" s="1"/>
  <c r="K77" i="3" s="1"/>
  <c r="L77" i="3" s="1"/>
  <c r="M77" i="3" s="1"/>
  <c r="N77" i="3" s="1"/>
  <c r="O77" i="3" s="1"/>
  <c r="P77" i="3" s="1"/>
  <c r="Q77" i="3" s="1"/>
  <c r="J78" i="3" l="1"/>
  <c r="K84" i="3"/>
  <c r="G4" i="7"/>
  <c r="H4" i="7" s="1"/>
  <c r="I4" i="7"/>
  <c r="K78" i="3" l="1"/>
  <c r="L84" i="3"/>
  <c r="C5" i="7"/>
  <c r="L78" i="3" l="1"/>
  <c r="M84" i="3"/>
  <c r="D5" i="7"/>
  <c r="G5" i="7"/>
  <c r="F5" i="7"/>
  <c r="M78" i="3" l="1"/>
  <c r="N84" i="3"/>
  <c r="I5" i="7"/>
  <c r="C6" i="7" s="1"/>
  <c r="N78" i="3" l="1"/>
  <c r="D84" i="3"/>
  <c r="D6" i="7"/>
  <c r="F6" i="7" s="1"/>
  <c r="I6" i="7" s="1"/>
  <c r="G6" i="7"/>
  <c r="C7" i="7" l="1"/>
  <c r="G7" i="7" l="1"/>
  <c r="D7" i="7"/>
  <c r="F7" i="7" l="1"/>
  <c r="I7" i="7" s="1"/>
  <c r="C8" i="7" l="1"/>
  <c r="D8" i="7" l="1"/>
  <c r="F8" i="7" s="1"/>
  <c r="I8" i="7" s="1"/>
  <c r="G8" i="7"/>
  <c r="C9" i="7" l="1"/>
  <c r="G9" i="7" l="1"/>
  <c r="D9" i="7"/>
  <c r="F9" i="7" s="1"/>
  <c r="I9" i="7" l="1"/>
  <c r="C10" i="7"/>
  <c r="D10" i="7" l="1"/>
  <c r="F10" i="7" s="1"/>
  <c r="I10" i="7" s="1"/>
  <c r="G10" i="7"/>
  <c r="C11" i="7" l="1"/>
  <c r="D11" i="7" l="1"/>
  <c r="F11" i="7" s="1"/>
  <c r="I11" i="7" s="1"/>
  <c r="G11" i="7"/>
  <c r="C12" i="7" l="1"/>
  <c r="D12" i="7" l="1"/>
  <c r="F12" i="7" s="1"/>
  <c r="I12" i="7" s="1"/>
  <c r="G12" i="7"/>
  <c r="C13" i="7" l="1"/>
  <c r="D13" i="7" l="1"/>
  <c r="F13" i="7" s="1"/>
  <c r="I13" i="7" s="1"/>
  <c r="G13" i="7"/>
  <c r="C14" i="7" l="1"/>
  <c r="D14" i="7" l="1"/>
  <c r="F14" i="7" s="1"/>
  <c r="G14" i="7"/>
  <c r="I14" i="7" l="1"/>
  <c r="C15" i="7" s="1"/>
  <c r="D15" i="7" l="1"/>
  <c r="F15" i="7" s="1"/>
  <c r="I15" i="7" s="1"/>
  <c r="G15" i="7"/>
  <c r="C16" i="7" l="1"/>
  <c r="G16" i="7" l="1"/>
  <c r="D16" i="7"/>
  <c r="F16" i="7" s="1"/>
  <c r="I16" i="7" l="1"/>
  <c r="C17" i="7" s="1"/>
  <c r="D17" i="7" l="1"/>
  <c r="F17" i="7" s="1"/>
  <c r="I17" i="7" s="1"/>
  <c r="G17" i="7"/>
  <c r="C18" i="7" l="1"/>
  <c r="D18" i="7" l="1"/>
  <c r="F18" i="7" s="1"/>
  <c r="I18" i="7" s="1"/>
  <c r="G18" i="7"/>
  <c r="C19" i="7" l="1"/>
  <c r="D19" i="7" l="1"/>
  <c r="G19" i="7"/>
  <c r="F19" i="7"/>
  <c r="I19" i="7" s="1"/>
  <c r="C20" i="7" l="1"/>
  <c r="D20" i="7" l="1"/>
  <c r="F20" i="7" s="1"/>
  <c r="I20" i="7" s="1"/>
  <c r="G20" i="7"/>
  <c r="C21" i="7" l="1"/>
  <c r="D21" i="7" l="1"/>
  <c r="G21" i="7"/>
  <c r="F21" i="7"/>
  <c r="I21" i="7" l="1"/>
  <c r="C22" i="7"/>
  <c r="D22" i="7" l="1"/>
  <c r="F22" i="7" s="1"/>
  <c r="I22" i="7" s="1"/>
  <c r="G22" i="7"/>
  <c r="C23" i="7" l="1"/>
  <c r="G23" i="7" l="1"/>
  <c r="D23" i="7"/>
  <c r="F23" i="7" s="1"/>
  <c r="G30" i="3"/>
  <c r="G10" i="3"/>
  <c r="I23" i="7" l="1"/>
  <c r="C24" i="7" s="1"/>
  <c r="M32" i="3"/>
  <c r="M36" i="3" s="1"/>
  <c r="N32" i="3"/>
  <c r="O32" i="3"/>
  <c r="P32" i="3"/>
  <c r="Q32" i="3"/>
  <c r="Q36" i="3" s="1"/>
  <c r="N36" i="3"/>
  <c r="O36" i="3"/>
  <c r="P36" i="3"/>
  <c r="M58" i="3"/>
  <c r="N58" i="3"/>
  <c r="N63" i="3" s="1"/>
  <c r="O58" i="3"/>
  <c r="O63" i="3" s="1"/>
  <c r="P58" i="3"/>
  <c r="Q58" i="3"/>
  <c r="M59" i="3"/>
  <c r="N59" i="3"/>
  <c r="O59" i="3"/>
  <c r="P59" i="3"/>
  <c r="Q59" i="3"/>
  <c r="M60" i="3"/>
  <c r="N60" i="3"/>
  <c r="O60" i="3"/>
  <c r="P60" i="3"/>
  <c r="Q60" i="3"/>
  <c r="M61" i="3"/>
  <c r="N61" i="3"/>
  <c r="O61" i="3"/>
  <c r="P61" i="3"/>
  <c r="Q61" i="3"/>
  <c r="M70" i="3"/>
  <c r="N70" i="3"/>
  <c r="O70" i="3"/>
  <c r="P70" i="3"/>
  <c r="Q70" i="3"/>
  <c r="M90" i="3"/>
  <c r="N90" i="3"/>
  <c r="O90" i="3"/>
  <c r="P90" i="3"/>
  <c r="Q90" i="3"/>
  <c r="G16" i="3"/>
  <c r="H120" i="3"/>
  <c r="G120" i="3"/>
  <c r="J112" i="3"/>
  <c r="K112" i="3" s="1"/>
  <c r="L112" i="3" s="1"/>
  <c r="M112" i="3" s="1"/>
  <c r="N112" i="3" s="1"/>
  <c r="O112" i="3" s="1"/>
  <c r="P112" i="3" s="1"/>
  <c r="Q112" i="3" s="1"/>
  <c r="R112" i="3" s="1"/>
  <c r="S112" i="3" s="1"/>
  <c r="T112" i="3" s="1"/>
  <c r="U112" i="3" s="1"/>
  <c r="V112" i="3" s="1"/>
  <c r="W112" i="3" s="1"/>
  <c r="X112" i="3" s="1"/>
  <c r="Y112" i="3" s="1"/>
  <c r="Z112" i="3" s="1"/>
  <c r="AA112" i="3" s="1"/>
  <c r="AB112" i="3" s="1"/>
  <c r="AC112" i="3" s="1"/>
  <c r="AD112" i="3" s="1"/>
  <c r="AE112" i="3" s="1"/>
  <c r="AF112" i="3" s="1"/>
  <c r="AG112" i="3" s="1"/>
  <c r="AH112" i="3" s="1"/>
  <c r="AI112" i="3" s="1"/>
  <c r="AJ112" i="3" s="1"/>
  <c r="AK112" i="3" s="1"/>
  <c r="AL112" i="3" s="1"/>
  <c r="AM112" i="3" s="1"/>
  <c r="AN112" i="3" s="1"/>
  <c r="AO112" i="3" s="1"/>
  <c r="AP112" i="3" s="1"/>
  <c r="AQ112" i="3" s="1"/>
  <c r="AR112" i="3" s="1"/>
  <c r="AS112" i="3" s="1"/>
  <c r="AT112" i="3" s="1"/>
  <c r="AU112" i="3" s="1"/>
  <c r="H33" i="5"/>
  <c r="J22" i="5"/>
  <c r="H21" i="5"/>
  <c r="H5" i="5"/>
  <c r="H2" i="5"/>
  <c r="A35" i="4"/>
  <c r="A36" i="4" s="1"/>
  <c r="D34" i="4"/>
  <c r="A34" i="4"/>
  <c r="H33" i="4"/>
  <c r="J22" i="4"/>
  <c r="H21" i="4"/>
  <c r="E12" i="4"/>
  <c r="H5" i="4"/>
  <c r="H2" i="4"/>
  <c r="D34" i="3"/>
  <c r="M63" i="3" l="1"/>
  <c r="D24" i="7"/>
  <c r="F24" i="7" s="1"/>
  <c r="I24" i="7" s="1"/>
  <c r="G24" i="7"/>
  <c r="Q63" i="3"/>
  <c r="P63" i="3"/>
  <c r="G8" i="5"/>
  <c r="A34" i="5"/>
  <c r="B36" i="4"/>
  <c r="C36" i="4"/>
  <c r="A37" i="4"/>
  <c r="B35" i="4"/>
  <c r="C35" i="4"/>
  <c r="B34" i="4"/>
  <c r="J35" i="4"/>
  <c r="G8" i="4"/>
  <c r="D35" i="4"/>
  <c r="D36" i="4" s="1"/>
  <c r="E36" i="4" s="1"/>
  <c r="E35" i="4"/>
  <c r="F35" i="4"/>
  <c r="C34" i="4"/>
  <c r="E34" i="4"/>
  <c r="C25" i="7" l="1"/>
  <c r="C34" i="5"/>
  <c r="B34" i="5"/>
  <c r="A35" i="5"/>
  <c r="F36" i="4"/>
  <c r="J34" i="4"/>
  <c r="E15" i="4"/>
  <c r="J36" i="4"/>
  <c r="F34" i="4"/>
  <c r="C37" i="4"/>
  <c r="B37" i="4"/>
  <c r="D37" i="4"/>
  <c r="E37" i="4" s="1"/>
  <c r="A38" i="4"/>
  <c r="G25" i="7" l="1"/>
  <c r="D25" i="7"/>
  <c r="F25" i="7" s="1"/>
  <c r="A36" i="5"/>
  <c r="C35" i="5"/>
  <c r="B35" i="5"/>
  <c r="F37" i="4"/>
  <c r="J37" i="4"/>
  <c r="K37" i="4"/>
  <c r="G34" i="4"/>
  <c r="H34" i="4" s="1"/>
  <c r="K36" i="4"/>
  <c r="K35" i="4"/>
  <c r="C38" i="4"/>
  <c r="B38" i="4"/>
  <c r="D38" i="4"/>
  <c r="E38" i="4" s="1"/>
  <c r="A39" i="4"/>
  <c r="K34" i="4"/>
  <c r="I25" i="7" l="1"/>
  <c r="C26" i="7"/>
  <c r="C36" i="5"/>
  <c r="B36" i="5"/>
  <c r="A37" i="5"/>
  <c r="J38" i="4"/>
  <c r="F38" i="4"/>
  <c r="G35" i="4"/>
  <c r="H35" i="4" s="1"/>
  <c r="I117" i="3" s="1"/>
  <c r="C39" i="4"/>
  <c r="A40" i="4"/>
  <c r="D39" i="4"/>
  <c r="E39" i="4" s="1"/>
  <c r="B39" i="4"/>
  <c r="K38" i="4"/>
  <c r="D26" i="7" l="1"/>
  <c r="G26" i="7"/>
  <c r="F26" i="7"/>
  <c r="I26" i="7" s="1"/>
  <c r="A38" i="5"/>
  <c r="C37" i="5"/>
  <c r="B37" i="5"/>
  <c r="J39" i="4"/>
  <c r="F39" i="4"/>
  <c r="K39" i="4"/>
  <c r="G36" i="4"/>
  <c r="H36" i="4" s="1"/>
  <c r="J117" i="3" s="1"/>
  <c r="A41" i="4"/>
  <c r="C40" i="4"/>
  <c r="D40" i="4"/>
  <c r="E40" i="4" s="1"/>
  <c r="B40" i="4"/>
  <c r="C27" i="7" l="1"/>
  <c r="B38" i="5"/>
  <c r="C38" i="5"/>
  <c r="A39" i="5"/>
  <c r="F40" i="4"/>
  <c r="J40" i="4"/>
  <c r="G37" i="4"/>
  <c r="H37" i="4" s="1"/>
  <c r="K117" i="3" s="1"/>
  <c r="B41" i="4"/>
  <c r="A42" i="4"/>
  <c r="C41" i="4"/>
  <c r="E41" i="4"/>
  <c r="D41" i="4"/>
  <c r="D27" i="7" l="1"/>
  <c r="F27" i="7" s="1"/>
  <c r="I27" i="7" s="1"/>
  <c r="G27" i="7"/>
  <c r="A40" i="5"/>
  <c r="C39" i="5"/>
  <c r="B39" i="5"/>
  <c r="G38" i="4"/>
  <c r="H38" i="4" s="1"/>
  <c r="L117" i="3" s="1"/>
  <c r="F41" i="4"/>
  <c r="J41" i="4"/>
  <c r="D42" i="4"/>
  <c r="E42" i="4" s="1"/>
  <c r="C42" i="4"/>
  <c r="B42" i="4"/>
  <c r="A43" i="4"/>
  <c r="K40" i="4"/>
  <c r="C28" i="7" l="1"/>
  <c r="A41" i="5"/>
  <c r="C40" i="5"/>
  <c r="B40" i="5"/>
  <c r="F42" i="4"/>
  <c r="J42" i="4"/>
  <c r="K42" i="4"/>
  <c r="G39" i="4"/>
  <c r="H39" i="4" s="1"/>
  <c r="M117" i="3" s="1"/>
  <c r="D43" i="4"/>
  <c r="A44" i="4"/>
  <c r="C43" i="4"/>
  <c r="E43" i="4"/>
  <c r="J43" i="4" s="1"/>
  <c r="B43" i="4"/>
  <c r="K41" i="4"/>
  <c r="D28" i="7" l="1"/>
  <c r="G28" i="7"/>
  <c r="F28" i="7"/>
  <c r="I28" i="7" s="1"/>
  <c r="B41" i="5"/>
  <c r="A42" i="5"/>
  <c r="C41" i="5"/>
  <c r="G40" i="4"/>
  <c r="H40" i="4" s="1"/>
  <c r="N117" i="3" s="1"/>
  <c r="K43" i="4"/>
  <c r="F43" i="4"/>
  <c r="D44" i="4"/>
  <c r="C44" i="4"/>
  <c r="B44" i="4"/>
  <c r="E44" i="4"/>
  <c r="A45" i="4"/>
  <c r="J44" i="4"/>
  <c r="F44" i="4"/>
  <c r="K44" i="4" s="1"/>
  <c r="C29" i="7" l="1"/>
  <c r="C42" i="5"/>
  <c r="B42" i="5"/>
  <c r="A43" i="5"/>
  <c r="G41" i="4"/>
  <c r="H41" i="4" s="1"/>
  <c r="O117" i="3" s="1"/>
  <c r="A46" i="4"/>
  <c r="E45" i="4"/>
  <c r="J45" i="4" s="1"/>
  <c r="D45" i="4"/>
  <c r="C45" i="4"/>
  <c r="B45" i="4"/>
  <c r="D29" i="7" l="1"/>
  <c r="G29" i="7"/>
  <c r="F29" i="7"/>
  <c r="I29" i="7" s="1"/>
  <c r="A44" i="5"/>
  <c r="B43" i="5"/>
  <c r="C43" i="5"/>
  <c r="G42" i="4"/>
  <c r="H42" i="4" s="1"/>
  <c r="P117" i="3" s="1"/>
  <c r="F45" i="4"/>
  <c r="D46" i="4"/>
  <c r="B46" i="4"/>
  <c r="A47" i="4"/>
  <c r="E46" i="4"/>
  <c r="C46" i="4"/>
  <c r="K45" i="4"/>
  <c r="C30" i="7" l="1"/>
  <c r="C44" i="5"/>
  <c r="B44" i="5"/>
  <c r="A45" i="5"/>
  <c r="G43" i="4"/>
  <c r="H43" i="4" s="1"/>
  <c r="Q117" i="3" s="1"/>
  <c r="J46" i="4"/>
  <c r="F46" i="4"/>
  <c r="D47" i="4"/>
  <c r="E47" i="4" s="1"/>
  <c r="C47" i="4"/>
  <c r="B47" i="4"/>
  <c r="A48" i="4"/>
  <c r="D30" i="7" l="1"/>
  <c r="G30" i="7"/>
  <c r="F30" i="7"/>
  <c r="C45" i="5"/>
  <c r="B45" i="5"/>
  <c r="A46" i="5"/>
  <c r="J47" i="4"/>
  <c r="F47" i="4"/>
  <c r="K47" i="4" s="1"/>
  <c r="G44" i="4"/>
  <c r="H44" i="4" s="1"/>
  <c r="R117" i="3" s="1"/>
  <c r="A49" i="4"/>
  <c r="D48" i="4"/>
  <c r="E48" i="4" s="1"/>
  <c r="C48" i="4"/>
  <c r="B48" i="4"/>
  <c r="K46" i="4"/>
  <c r="I30" i="7" l="1"/>
  <c r="C31" i="7"/>
  <c r="C46" i="5"/>
  <c r="A47" i="5"/>
  <c r="B46" i="5"/>
  <c r="J48" i="4"/>
  <c r="F48" i="4"/>
  <c r="K48" i="4" s="1"/>
  <c r="G45" i="4"/>
  <c r="H45" i="4" s="1"/>
  <c r="S117" i="3" s="1"/>
  <c r="B49" i="4"/>
  <c r="A50" i="4"/>
  <c r="C49" i="4"/>
  <c r="D49" i="4"/>
  <c r="E49" i="4" s="1"/>
  <c r="D31" i="7" l="1"/>
  <c r="F31" i="7" s="1"/>
  <c r="I31" i="7" s="1"/>
  <c r="G31" i="7"/>
  <c r="C47" i="5"/>
  <c r="B47" i="5"/>
  <c r="A48" i="5"/>
  <c r="F49" i="4"/>
  <c r="J49" i="4"/>
  <c r="K49" i="4"/>
  <c r="G46" i="4"/>
  <c r="H46" i="4" s="1"/>
  <c r="T117" i="3" s="1"/>
  <c r="D50" i="4"/>
  <c r="E50" i="4" s="1"/>
  <c r="C50" i="4"/>
  <c r="B50" i="4"/>
  <c r="A51" i="4"/>
  <c r="C32" i="7" l="1"/>
  <c r="A49" i="5"/>
  <c r="C48" i="5"/>
  <c r="B48" i="5"/>
  <c r="J50" i="4"/>
  <c r="F50" i="4"/>
  <c r="K50" i="4"/>
  <c r="G47" i="4"/>
  <c r="H47" i="4" s="1"/>
  <c r="U117" i="3" s="1"/>
  <c r="A52" i="4"/>
  <c r="D51" i="4"/>
  <c r="E51" i="4"/>
  <c r="F51" i="4" s="1"/>
  <c r="C51" i="4"/>
  <c r="B51" i="4"/>
  <c r="G32" i="7" l="1"/>
  <c r="D32" i="7"/>
  <c r="F32" i="7" s="1"/>
  <c r="B49" i="5"/>
  <c r="C49" i="5"/>
  <c r="A50" i="5"/>
  <c r="G48" i="4"/>
  <c r="H48" i="4" s="1"/>
  <c r="V117" i="3" s="1"/>
  <c r="J51" i="4"/>
  <c r="K51" i="4"/>
  <c r="D52" i="4"/>
  <c r="C52" i="4"/>
  <c r="B52" i="4"/>
  <c r="E52" i="4"/>
  <c r="A53" i="4"/>
  <c r="J52" i="4"/>
  <c r="F52" i="4"/>
  <c r="K52" i="4" s="1"/>
  <c r="I32" i="7" l="1"/>
  <c r="C33" i="7"/>
  <c r="C50" i="5"/>
  <c r="B50" i="5"/>
  <c r="A51" i="5"/>
  <c r="G49" i="4"/>
  <c r="H49" i="4" s="1"/>
  <c r="W117" i="3" s="1"/>
  <c r="D53" i="4"/>
  <c r="E53" i="4" s="1"/>
  <c r="C53" i="4"/>
  <c r="A54" i="4"/>
  <c r="B53" i="4"/>
  <c r="D33" i="7" l="1"/>
  <c r="F33" i="7" s="1"/>
  <c r="I33" i="7" s="1"/>
  <c r="G33" i="7"/>
  <c r="A52" i="5"/>
  <c r="C51" i="5"/>
  <c r="B51" i="5"/>
  <c r="J53" i="4"/>
  <c r="F53" i="4"/>
  <c r="A55" i="4"/>
  <c r="B54" i="4"/>
  <c r="D54" i="4"/>
  <c r="E54" i="4" s="1"/>
  <c r="C54" i="4"/>
  <c r="G50" i="4"/>
  <c r="H50" i="4" s="1"/>
  <c r="X117" i="3" s="1"/>
  <c r="C34" i="7" l="1"/>
  <c r="C52" i="5"/>
  <c r="B52" i="5"/>
  <c r="A53" i="5"/>
  <c r="F54" i="4"/>
  <c r="J54" i="4"/>
  <c r="G51" i="4"/>
  <c r="H51" i="4" s="1"/>
  <c r="Y117" i="3" s="1"/>
  <c r="D55" i="4"/>
  <c r="E55" i="4" s="1"/>
  <c r="C55" i="4"/>
  <c r="B55" i="4"/>
  <c r="A56" i="4"/>
  <c r="K53" i="4"/>
  <c r="D34" i="7" l="1"/>
  <c r="G34" i="7"/>
  <c r="F34" i="7"/>
  <c r="I34" i="7" s="1"/>
  <c r="A54" i="5"/>
  <c r="C53" i="5"/>
  <c r="B53" i="5"/>
  <c r="G52" i="4"/>
  <c r="H52" i="4" s="1"/>
  <c r="Z117" i="3" s="1"/>
  <c r="J55" i="4"/>
  <c r="F55" i="4"/>
  <c r="K55" i="4"/>
  <c r="A57" i="4"/>
  <c r="D56" i="4"/>
  <c r="E56" i="4" s="1"/>
  <c r="C56" i="4"/>
  <c r="B56" i="4"/>
  <c r="K54" i="4"/>
  <c r="C35" i="7" l="1"/>
  <c r="A55" i="5"/>
  <c r="C54" i="5"/>
  <c r="B54" i="5"/>
  <c r="J56" i="4"/>
  <c r="F56" i="4"/>
  <c r="K56" i="4" s="1"/>
  <c r="G53" i="4"/>
  <c r="H53" i="4" s="1"/>
  <c r="AA117" i="3" s="1"/>
  <c r="B57" i="4"/>
  <c r="C57" i="4"/>
  <c r="A58" i="4"/>
  <c r="E57" i="4"/>
  <c r="D57" i="4"/>
  <c r="D35" i="7" l="1"/>
  <c r="G35" i="7"/>
  <c r="F35" i="7"/>
  <c r="I35" i="7" s="1"/>
  <c r="C55" i="5"/>
  <c r="B55" i="5"/>
  <c r="A56" i="5"/>
  <c r="G54" i="4"/>
  <c r="H54" i="4" s="1"/>
  <c r="AB117" i="3" s="1"/>
  <c r="J57" i="4"/>
  <c r="F57" i="4"/>
  <c r="D58" i="4"/>
  <c r="E58" i="4" s="1"/>
  <c r="C58" i="4"/>
  <c r="B58" i="4"/>
  <c r="A59" i="4"/>
  <c r="C36" i="7" l="1"/>
  <c r="A57" i="5"/>
  <c r="C56" i="5"/>
  <c r="B56" i="5"/>
  <c r="F58" i="4"/>
  <c r="K58" i="4"/>
  <c r="J58" i="4"/>
  <c r="G55" i="4"/>
  <c r="H55" i="4" s="1"/>
  <c r="AC117" i="3" s="1"/>
  <c r="A60" i="4"/>
  <c r="D59" i="4"/>
  <c r="E59" i="4" s="1"/>
  <c r="C59" i="4"/>
  <c r="B59" i="4"/>
  <c r="K57" i="4"/>
  <c r="D36" i="7" l="1"/>
  <c r="G36" i="7"/>
  <c r="F36" i="7"/>
  <c r="I36" i="7" s="1"/>
  <c r="B57" i="5"/>
  <c r="A58" i="5"/>
  <c r="C57" i="5"/>
  <c r="F59" i="4"/>
  <c r="J59" i="4"/>
  <c r="K59" i="4"/>
  <c r="G56" i="4"/>
  <c r="H56" i="4" s="1"/>
  <c r="AD117" i="3" s="1"/>
  <c r="D60" i="4"/>
  <c r="C60" i="4"/>
  <c r="B60" i="4"/>
  <c r="E60" i="4"/>
  <c r="A61" i="4"/>
  <c r="J60" i="4"/>
  <c r="F60" i="4"/>
  <c r="C37" i="7" l="1"/>
  <c r="C58" i="5"/>
  <c r="B58" i="5"/>
  <c r="A59" i="5"/>
  <c r="G57" i="4"/>
  <c r="H57" i="4" s="1"/>
  <c r="AE117" i="3" s="1"/>
  <c r="K60" i="4"/>
  <c r="A62" i="4"/>
  <c r="D61" i="4"/>
  <c r="E61" i="4" s="1"/>
  <c r="C61" i="4"/>
  <c r="B61" i="4"/>
  <c r="D37" i="7" l="1"/>
  <c r="G37" i="7"/>
  <c r="F37" i="7"/>
  <c r="A60" i="5"/>
  <c r="C59" i="5"/>
  <c r="B59" i="5"/>
  <c r="J61" i="4"/>
  <c r="F61" i="4"/>
  <c r="K61" i="4" s="1"/>
  <c r="G58" i="4"/>
  <c r="H58" i="4" s="1"/>
  <c r="AF117" i="3" s="1"/>
  <c r="A63" i="4"/>
  <c r="D62" i="4"/>
  <c r="E62" i="4" s="1"/>
  <c r="C62" i="4"/>
  <c r="B62" i="4"/>
  <c r="I37" i="7" l="1"/>
  <c r="C38" i="7"/>
  <c r="C60" i="5"/>
  <c r="B60" i="5"/>
  <c r="A61" i="5"/>
  <c r="F62" i="4"/>
  <c r="K62" i="4" s="1"/>
  <c r="J62" i="4"/>
  <c r="G59" i="4"/>
  <c r="H59" i="4" s="1"/>
  <c r="AG117" i="3" s="1"/>
  <c r="D63" i="4"/>
  <c r="E63" i="4" s="1"/>
  <c r="C63" i="4"/>
  <c r="B63" i="4"/>
  <c r="A64" i="4"/>
  <c r="D38" i="7" l="1"/>
  <c r="F38" i="7" s="1"/>
  <c r="I38" i="7" s="1"/>
  <c r="G38" i="7"/>
  <c r="C61" i="5"/>
  <c r="B61" i="5"/>
  <c r="A62" i="5"/>
  <c r="G60" i="4"/>
  <c r="H60" i="4" s="1"/>
  <c r="AH117" i="3" s="1"/>
  <c r="J63" i="4"/>
  <c r="F63" i="4"/>
  <c r="K63" i="4"/>
  <c r="A65" i="4"/>
  <c r="E64" i="4"/>
  <c r="F64" i="4" s="1"/>
  <c r="D64" i="4"/>
  <c r="C64" i="4"/>
  <c r="B64" i="4"/>
  <c r="C39" i="7" l="1"/>
  <c r="A63" i="5"/>
  <c r="C62" i="5"/>
  <c r="B62" i="5"/>
  <c r="G61" i="4"/>
  <c r="H61" i="4" s="1"/>
  <c r="AI117" i="3" s="1"/>
  <c r="J64" i="4"/>
  <c r="B65" i="4"/>
  <c r="A66" i="4"/>
  <c r="C65" i="4"/>
  <c r="D65" i="4"/>
  <c r="E65" i="4" s="1"/>
  <c r="K64" i="4"/>
  <c r="G39" i="7" l="1"/>
  <c r="D39" i="7"/>
  <c r="F39" i="7" s="1"/>
  <c r="C63" i="5"/>
  <c r="B63" i="5"/>
  <c r="A64" i="5"/>
  <c r="J65" i="4"/>
  <c r="F65" i="4"/>
  <c r="K65" i="4"/>
  <c r="G62" i="4"/>
  <c r="H62" i="4" s="1"/>
  <c r="AJ117" i="3" s="1"/>
  <c r="D66" i="4"/>
  <c r="E66" i="4" s="1"/>
  <c r="C66" i="4"/>
  <c r="B66" i="4"/>
  <c r="A67" i="4"/>
  <c r="I39" i="7" l="1"/>
  <c r="C40" i="7" s="1"/>
  <c r="A65" i="5"/>
  <c r="C64" i="5"/>
  <c r="B64" i="5"/>
  <c r="F66" i="4"/>
  <c r="K66" i="4"/>
  <c r="J66" i="4"/>
  <c r="G63" i="4"/>
  <c r="H63" i="4" s="1"/>
  <c r="AK117" i="3" s="1"/>
  <c r="A68" i="4"/>
  <c r="D67" i="4"/>
  <c r="E67" i="4" s="1"/>
  <c r="C67" i="4"/>
  <c r="B67" i="4"/>
  <c r="D40" i="7" l="1"/>
  <c r="G40" i="7"/>
  <c r="F40" i="7"/>
  <c r="I40" i="7" s="1"/>
  <c r="B65" i="5"/>
  <c r="C65" i="5"/>
  <c r="A66" i="5"/>
  <c r="J67" i="4"/>
  <c r="F67" i="4"/>
  <c r="K67" i="4"/>
  <c r="G64" i="4"/>
  <c r="H64" i="4" s="1"/>
  <c r="AL117" i="3" s="1"/>
  <c r="D68" i="4"/>
  <c r="C68" i="4"/>
  <c r="B68" i="4"/>
  <c r="A69" i="4"/>
  <c r="E68" i="4"/>
  <c r="J68" i="4" s="1"/>
  <c r="C41" i="7" l="1"/>
  <c r="C66" i="5"/>
  <c r="B66" i="5"/>
  <c r="A67" i="5"/>
  <c r="G65" i="4"/>
  <c r="H65" i="4" s="1"/>
  <c r="AM117" i="3" s="1"/>
  <c r="F68" i="4"/>
  <c r="K68" i="4" s="1"/>
  <c r="E69" i="4"/>
  <c r="D69" i="4"/>
  <c r="C69" i="4"/>
  <c r="B69" i="4"/>
  <c r="A70" i="4"/>
  <c r="G41" i="7" l="1"/>
  <c r="D41" i="7"/>
  <c r="F41" i="7" s="1"/>
  <c r="A68" i="5"/>
  <c r="C67" i="5"/>
  <c r="B67" i="5"/>
  <c r="G66" i="4"/>
  <c r="H66" i="4" s="1"/>
  <c r="AN117" i="3" s="1"/>
  <c r="F69" i="4"/>
  <c r="A71" i="4"/>
  <c r="D70" i="4"/>
  <c r="E70" i="4" s="1"/>
  <c r="C70" i="4"/>
  <c r="B70" i="4"/>
  <c r="J69" i="4"/>
  <c r="I41" i="7" l="1"/>
  <c r="C42" i="7"/>
  <c r="C68" i="5"/>
  <c r="B68" i="5"/>
  <c r="A69" i="5"/>
  <c r="F70" i="4"/>
  <c r="J70" i="4"/>
  <c r="G67" i="4"/>
  <c r="H67" i="4" s="1"/>
  <c r="AO117" i="3" s="1"/>
  <c r="D71" i="4"/>
  <c r="H9" i="4" s="1"/>
  <c r="C71" i="4"/>
  <c r="H25" i="4" s="1"/>
  <c r="B71" i="4"/>
  <c r="A72" i="4"/>
  <c r="K69" i="4"/>
  <c r="D42" i="7" l="1"/>
  <c r="G42" i="7"/>
  <c r="F42" i="7"/>
  <c r="I42" i="7" s="1"/>
  <c r="C69" i="5"/>
  <c r="B69" i="5"/>
  <c r="A70" i="5"/>
  <c r="G68" i="4"/>
  <c r="H68" i="4" s="1"/>
  <c r="AP117" i="3" s="1"/>
  <c r="E71" i="4"/>
  <c r="A73" i="4"/>
  <c r="K72" i="4"/>
  <c r="J72" i="4"/>
  <c r="H72" i="4"/>
  <c r="G72" i="4"/>
  <c r="F72" i="4"/>
  <c r="E72" i="4"/>
  <c r="D72" i="4"/>
  <c r="C72" i="4"/>
  <c r="B72" i="4"/>
  <c r="K70" i="4"/>
  <c r="C43" i="7" l="1"/>
  <c r="A71" i="5"/>
  <c r="C70" i="5"/>
  <c r="B70" i="5"/>
  <c r="G69" i="4"/>
  <c r="H69" i="4" s="1"/>
  <c r="AQ117" i="3" s="1"/>
  <c r="H12" i="4"/>
  <c r="F71" i="4"/>
  <c r="K71" i="4"/>
  <c r="J71" i="4"/>
  <c r="B73" i="4"/>
  <c r="A74" i="4"/>
  <c r="C73" i="4"/>
  <c r="K73" i="4"/>
  <c r="J73" i="4"/>
  <c r="H73" i="4"/>
  <c r="G73" i="4"/>
  <c r="F73" i="4"/>
  <c r="E73" i="4"/>
  <c r="D73" i="4"/>
  <c r="D43" i="7" l="1"/>
  <c r="G43" i="7"/>
  <c r="F43" i="7"/>
  <c r="I43" i="7" s="1"/>
  <c r="C71" i="5"/>
  <c r="B71" i="5"/>
  <c r="A72" i="5"/>
  <c r="G70" i="4"/>
  <c r="H70" i="4" s="1"/>
  <c r="AR117" i="3" s="1"/>
  <c r="H74" i="4"/>
  <c r="J74" i="4"/>
  <c r="G74" i="4"/>
  <c r="F74" i="4"/>
  <c r="E74" i="4"/>
  <c r="D74" i="4"/>
  <c r="C74" i="4"/>
  <c r="B74" i="4"/>
  <c r="A75" i="4"/>
  <c r="K74" i="4"/>
  <c r="H13" i="4"/>
  <c r="H14" i="4" s="1"/>
  <c r="C44" i="7" l="1"/>
  <c r="A73" i="5"/>
  <c r="C72" i="5"/>
  <c r="H25" i="5" s="1"/>
  <c r="B72" i="5"/>
  <c r="G71" i="4"/>
  <c r="H71" i="4" s="1"/>
  <c r="A76" i="4"/>
  <c r="K75" i="4"/>
  <c r="J75" i="4"/>
  <c r="H75" i="4"/>
  <c r="G75" i="4"/>
  <c r="F75" i="4"/>
  <c r="E75" i="4"/>
  <c r="D75" i="4"/>
  <c r="C75" i="4"/>
  <c r="B75" i="4"/>
  <c r="D44" i="7" l="1"/>
  <c r="G44" i="7"/>
  <c r="F44" i="7"/>
  <c r="I44" i="7" s="1"/>
  <c r="H8" i="4"/>
  <c r="AS117" i="3"/>
  <c r="B73" i="5"/>
  <c r="A74" i="5"/>
  <c r="C73" i="5"/>
  <c r="K73" i="5"/>
  <c r="J73" i="5"/>
  <c r="H73" i="5"/>
  <c r="G73" i="5"/>
  <c r="F73" i="5"/>
  <c r="E73" i="5"/>
  <c r="D73" i="5"/>
  <c r="D76" i="4"/>
  <c r="C76" i="4"/>
  <c r="B76" i="4"/>
  <c r="E76" i="4"/>
  <c r="A77" i="4"/>
  <c r="K76" i="4"/>
  <c r="J76" i="4"/>
  <c r="H76" i="4"/>
  <c r="G76" i="4"/>
  <c r="F76" i="4"/>
  <c r="C45" i="7" l="1"/>
  <c r="H74" i="5"/>
  <c r="G74" i="5"/>
  <c r="F74" i="5"/>
  <c r="E74" i="5"/>
  <c r="D74" i="5"/>
  <c r="C74" i="5"/>
  <c r="B74" i="5"/>
  <c r="J74" i="5"/>
  <c r="A75" i="5"/>
  <c r="K74" i="5"/>
  <c r="K77" i="4"/>
  <c r="J77" i="4"/>
  <c r="H77" i="4"/>
  <c r="G77" i="4"/>
  <c r="F77" i="4"/>
  <c r="E77" i="4"/>
  <c r="D77" i="4"/>
  <c r="C77" i="4"/>
  <c r="A78" i="4"/>
  <c r="B77" i="4"/>
  <c r="D45" i="7" l="1"/>
  <c r="G45" i="7"/>
  <c r="F45" i="7"/>
  <c r="I45" i="7" s="1"/>
  <c r="A76" i="5"/>
  <c r="K75" i="5"/>
  <c r="J75" i="5"/>
  <c r="H75" i="5"/>
  <c r="G75" i="5"/>
  <c r="F75" i="5"/>
  <c r="E75" i="5"/>
  <c r="D75" i="5"/>
  <c r="C75" i="5"/>
  <c r="B75" i="5"/>
  <c r="A79" i="4"/>
  <c r="K78" i="4"/>
  <c r="J78" i="4"/>
  <c r="H78" i="4"/>
  <c r="G78" i="4"/>
  <c r="F78" i="4"/>
  <c r="E78" i="4"/>
  <c r="D78" i="4"/>
  <c r="C78" i="4"/>
  <c r="B78" i="4"/>
  <c r="C46" i="7" l="1"/>
  <c r="D76" i="5"/>
  <c r="C76" i="5"/>
  <c r="B76" i="5"/>
  <c r="E76" i="5"/>
  <c r="A77" i="5"/>
  <c r="K76" i="5"/>
  <c r="J76" i="5"/>
  <c r="H76" i="5"/>
  <c r="G76" i="5"/>
  <c r="F76" i="5"/>
  <c r="F79" i="4"/>
  <c r="E79" i="4"/>
  <c r="D79" i="4"/>
  <c r="C79" i="4"/>
  <c r="B79" i="4"/>
  <c r="A80" i="4"/>
  <c r="K79" i="4"/>
  <c r="G79" i="4"/>
  <c r="J79" i="4"/>
  <c r="H79" i="4"/>
  <c r="D46" i="7" l="1"/>
  <c r="F46" i="7" s="1"/>
  <c r="G46" i="7"/>
  <c r="K77" i="5"/>
  <c r="J77" i="5"/>
  <c r="H77" i="5"/>
  <c r="G77" i="5"/>
  <c r="F77" i="5"/>
  <c r="E77" i="5"/>
  <c r="D77" i="5"/>
  <c r="C77" i="5"/>
  <c r="B77" i="5"/>
  <c r="A78" i="5"/>
  <c r="A81" i="4"/>
  <c r="K80" i="4"/>
  <c r="J80" i="4"/>
  <c r="H80" i="4"/>
  <c r="G80" i="4"/>
  <c r="F80" i="4"/>
  <c r="E80" i="4"/>
  <c r="D80" i="4"/>
  <c r="C80" i="4"/>
  <c r="B80" i="4"/>
  <c r="I46" i="7" l="1"/>
  <c r="C47" i="7"/>
  <c r="A79" i="5"/>
  <c r="K78" i="5"/>
  <c r="J78" i="5"/>
  <c r="H78" i="5"/>
  <c r="G78" i="5"/>
  <c r="F78" i="5"/>
  <c r="E78" i="5"/>
  <c r="D78" i="5"/>
  <c r="C78" i="5"/>
  <c r="B78" i="5"/>
  <c r="B81" i="4"/>
  <c r="C81" i="4"/>
  <c r="A82" i="4"/>
  <c r="K81" i="4"/>
  <c r="J81" i="4"/>
  <c r="H81" i="4"/>
  <c r="G81" i="4"/>
  <c r="F81" i="4"/>
  <c r="E81" i="4"/>
  <c r="D81" i="4"/>
  <c r="D47" i="7" l="1"/>
  <c r="G47" i="7"/>
  <c r="F47" i="7"/>
  <c r="I47" i="7" s="1"/>
  <c r="F79" i="5"/>
  <c r="E79" i="5"/>
  <c r="D79" i="5"/>
  <c r="C79" i="5"/>
  <c r="G79" i="5"/>
  <c r="B79" i="5"/>
  <c r="A80" i="5"/>
  <c r="K79" i="5"/>
  <c r="J79" i="5"/>
  <c r="H79" i="5"/>
  <c r="H82" i="4"/>
  <c r="G82" i="4"/>
  <c r="F82" i="4"/>
  <c r="E82" i="4"/>
  <c r="D82" i="4"/>
  <c r="C82" i="4"/>
  <c r="B82" i="4"/>
  <c r="J82" i="4"/>
  <c r="A83" i="4"/>
  <c r="K82" i="4"/>
  <c r="C48" i="7" l="1"/>
  <c r="A81" i="5"/>
  <c r="K80" i="5"/>
  <c r="J80" i="5"/>
  <c r="H80" i="5"/>
  <c r="G80" i="5"/>
  <c r="F80" i="5"/>
  <c r="E80" i="5"/>
  <c r="D80" i="5"/>
  <c r="C80" i="5"/>
  <c r="B80" i="5"/>
  <c r="A84" i="4"/>
  <c r="K83" i="4"/>
  <c r="J83" i="4"/>
  <c r="H83" i="4"/>
  <c r="G83" i="4"/>
  <c r="F83" i="4"/>
  <c r="E83" i="4"/>
  <c r="D83" i="4"/>
  <c r="C83" i="4"/>
  <c r="B83" i="4"/>
  <c r="G48" i="7" l="1"/>
  <c r="D48" i="7"/>
  <c r="F48" i="7" s="1"/>
  <c r="B81" i="5"/>
  <c r="A82" i="5"/>
  <c r="C81" i="5"/>
  <c r="K81" i="5"/>
  <c r="J81" i="5"/>
  <c r="H81" i="5"/>
  <c r="G81" i="5"/>
  <c r="F81" i="5"/>
  <c r="E81" i="5"/>
  <c r="D81" i="5"/>
  <c r="D84" i="4"/>
  <c r="C84" i="4"/>
  <c r="B84" i="4"/>
  <c r="A85" i="4"/>
  <c r="K84" i="4"/>
  <c r="J84" i="4"/>
  <c r="H84" i="4"/>
  <c r="G84" i="4"/>
  <c r="F84" i="4"/>
  <c r="E84" i="4"/>
  <c r="I48" i="7" l="1"/>
  <c r="C49" i="7"/>
  <c r="H82" i="5"/>
  <c r="G82" i="5"/>
  <c r="J82" i="5"/>
  <c r="F82" i="5"/>
  <c r="E82" i="5"/>
  <c r="D82" i="5"/>
  <c r="C82" i="5"/>
  <c r="B82" i="5"/>
  <c r="A83" i="5"/>
  <c r="K82" i="5"/>
  <c r="K85" i="4"/>
  <c r="J85" i="4"/>
  <c r="H85" i="4"/>
  <c r="G85" i="4"/>
  <c r="F85" i="4"/>
  <c r="A86" i="4"/>
  <c r="E85" i="4"/>
  <c r="D85" i="4"/>
  <c r="C85" i="4"/>
  <c r="B85" i="4"/>
  <c r="D49" i="7" l="1"/>
  <c r="G49" i="7"/>
  <c r="F49" i="7"/>
  <c r="I49" i="7" s="1"/>
  <c r="A84" i="5"/>
  <c r="K83" i="5"/>
  <c r="J83" i="5"/>
  <c r="H83" i="5"/>
  <c r="G83" i="5"/>
  <c r="F83" i="5"/>
  <c r="E83" i="5"/>
  <c r="D83" i="5"/>
  <c r="C83" i="5"/>
  <c r="B83" i="5"/>
  <c r="A87" i="4"/>
  <c r="K86" i="4"/>
  <c r="J86" i="4"/>
  <c r="H86" i="4"/>
  <c r="G86" i="4"/>
  <c r="F86" i="4"/>
  <c r="E86" i="4"/>
  <c r="D86" i="4"/>
  <c r="C86" i="4"/>
  <c r="B86" i="4"/>
  <c r="C50" i="7" l="1"/>
  <c r="D84" i="5"/>
  <c r="C84" i="5"/>
  <c r="B84" i="5"/>
  <c r="A85" i="5"/>
  <c r="K84" i="5"/>
  <c r="J84" i="5"/>
  <c r="H84" i="5"/>
  <c r="E84" i="5"/>
  <c r="G84" i="5"/>
  <c r="F84" i="5"/>
  <c r="F87" i="4"/>
  <c r="E87" i="4"/>
  <c r="D87" i="4"/>
  <c r="C87" i="4"/>
  <c r="B87" i="4"/>
  <c r="A88" i="4"/>
  <c r="K87" i="4"/>
  <c r="J87" i="4"/>
  <c r="G87" i="4"/>
  <c r="H87" i="4"/>
  <c r="D50" i="7" l="1"/>
  <c r="F50" i="7" s="1"/>
  <c r="I50" i="7" s="1"/>
  <c r="G50" i="7"/>
  <c r="K85" i="5"/>
  <c r="J85" i="5"/>
  <c r="H85" i="5"/>
  <c r="A86" i="5"/>
  <c r="G85" i="5"/>
  <c r="F85" i="5"/>
  <c r="E85" i="5"/>
  <c r="D85" i="5"/>
  <c r="C85" i="5"/>
  <c r="B85" i="5"/>
  <c r="A89" i="4"/>
  <c r="K88" i="4"/>
  <c r="J88" i="4"/>
  <c r="H88" i="4"/>
  <c r="G88" i="4"/>
  <c r="F88" i="4"/>
  <c r="E88" i="4"/>
  <c r="D88" i="4"/>
  <c r="C88" i="4"/>
  <c r="B88" i="4"/>
  <c r="C51" i="7" l="1"/>
  <c r="A87" i="5"/>
  <c r="K86" i="5"/>
  <c r="J86" i="5"/>
  <c r="H86" i="5"/>
  <c r="G86" i="5"/>
  <c r="F86" i="5"/>
  <c r="E86" i="5"/>
  <c r="D86" i="5"/>
  <c r="C86" i="5"/>
  <c r="B86" i="5"/>
  <c r="B89" i="4"/>
  <c r="C89" i="4"/>
  <c r="A90" i="4"/>
  <c r="K89" i="4"/>
  <c r="J89" i="4"/>
  <c r="H89" i="4"/>
  <c r="G89" i="4"/>
  <c r="F89" i="4"/>
  <c r="E89" i="4"/>
  <c r="D89" i="4"/>
  <c r="D51" i="7" l="1"/>
  <c r="F51" i="7" s="1"/>
  <c r="I51" i="7" s="1"/>
  <c r="G51" i="7"/>
  <c r="F87" i="5"/>
  <c r="E87" i="5"/>
  <c r="D87" i="5"/>
  <c r="C87" i="5"/>
  <c r="B87" i="5"/>
  <c r="G87" i="5"/>
  <c r="A88" i="5"/>
  <c r="K87" i="5"/>
  <c r="J87" i="5"/>
  <c r="H87" i="5"/>
  <c r="H90" i="4"/>
  <c r="G90" i="4"/>
  <c r="F90" i="4"/>
  <c r="E90" i="4"/>
  <c r="D90" i="4"/>
  <c r="C90" i="4"/>
  <c r="B90" i="4"/>
  <c r="J90" i="4"/>
  <c r="A91" i="4"/>
  <c r="K90" i="4"/>
  <c r="C52" i="7" l="1"/>
  <c r="A89" i="5"/>
  <c r="K88" i="5"/>
  <c r="J88" i="5"/>
  <c r="H88" i="5"/>
  <c r="G88" i="5"/>
  <c r="F88" i="5"/>
  <c r="E88" i="5"/>
  <c r="D88" i="5"/>
  <c r="C88" i="5"/>
  <c r="B88" i="5"/>
  <c r="A92" i="4"/>
  <c r="K91" i="4"/>
  <c r="J91" i="4"/>
  <c r="H91" i="4"/>
  <c r="G91" i="4"/>
  <c r="F91" i="4"/>
  <c r="E91" i="4"/>
  <c r="D91" i="4"/>
  <c r="C91" i="4"/>
  <c r="B91" i="4"/>
  <c r="D52" i="7" l="1"/>
  <c r="F52" i="7" s="1"/>
  <c r="I52" i="7" s="1"/>
  <c r="G52" i="7"/>
  <c r="B89" i="5"/>
  <c r="A90" i="5"/>
  <c r="K89" i="5"/>
  <c r="J89" i="5"/>
  <c r="H89" i="5"/>
  <c r="G89" i="5"/>
  <c r="C89" i="5"/>
  <c r="F89" i="5"/>
  <c r="E89" i="5"/>
  <c r="D89" i="5"/>
  <c r="D92" i="4"/>
  <c r="C92" i="4"/>
  <c r="B92" i="4"/>
  <c r="A93" i="4"/>
  <c r="K92" i="4"/>
  <c r="E92" i="4"/>
  <c r="J92" i="4"/>
  <c r="H92" i="4"/>
  <c r="G92" i="4"/>
  <c r="F92" i="4"/>
  <c r="C53" i="7" l="1"/>
  <c r="H90" i="5"/>
  <c r="G90" i="5"/>
  <c r="F90" i="5"/>
  <c r="E90" i="5"/>
  <c r="D90" i="5"/>
  <c r="C90" i="5"/>
  <c r="B90" i="5"/>
  <c r="J90" i="5"/>
  <c r="A91" i="5"/>
  <c r="K90" i="5"/>
  <c r="K93" i="4"/>
  <c r="J93" i="4"/>
  <c r="H93" i="4"/>
  <c r="G93" i="4"/>
  <c r="F93" i="4"/>
  <c r="E93" i="4"/>
  <c r="D93" i="4"/>
  <c r="C93" i="4"/>
  <c r="B93" i="4"/>
  <c r="D53" i="7" l="1"/>
  <c r="G53" i="7"/>
  <c r="F53" i="7"/>
  <c r="A92" i="5"/>
  <c r="K91" i="5"/>
  <c r="J91" i="5"/>
  <c r="H91" i="5"/>
  <c r="G91" i="5"/>
  <c r="F91" i="5"/>
  <c r="E91" i="5"/>
  <c r="D91" i="5"/>
  <c r="C91" i="5"/>
  <c r="B91" i="5"/>
  <c r="I53" i="7" l="1"/>
  <c r="C54" i="7" s="1"/>
  <c r="D92" i="5"/>
  <c r="C92" i="5"/>
  <c r="B92" i="5"/>
  <c r="A93" i="5"/>
  <c r="K92" i="5"/>
  <c r="J92" i="5"/>
  <c r="H92" i="5"/>
  <c r="G92" i="5"/>
  <c r="E92" i="5"/>
  <c r="F92" i="5"/>
  <c r="D54" i="7" l="1"/>
  <c r="F54" i="7" s="1"/>
  <c r="I54" i="7" s="1"/>
  <c r="G54" i="7"/>
  <c r="K93" i="5"/>
  <c r="J93" i="5"/>
  <c r="H93" i="5"/>
  <c r="G93" i="5"/>
  <c r="F93" i="5"/>
  <c r="E93" i="5"/>
  <c r="D93" i="5"/>
  <c r="C93" i="5"/>
  <c r="B93" i="5"/>
  <c r="C55" i="7" l="1"/>
  <c r="H109" i="3"/>
  <c r="G109" i="3"/>
  <c r="G55" i="3"/>
  <c r="K90" i="3"/>
  <c r="L90" i="3"/>
  <c r="J90" i="3"/>
  <c r="I90" i="3"/>
  <c r="I87" i="3" s="1"/>
  <c r="J32" i="3"/>
  <c r="J36" i="3" s="1"/>
  <c r="K32" i="3"/>
  <c r="K36" i="3" s="1"/>
  <c r="L32" i="3"/>
  <c r="L36" i="3" s="1"/>
  <c r="J88" i="3"/>
  <c r="K88" i="3" s="1"/>
  <c r="L88" i="3" s="1"/>
  <c r="J70" i="3"/>
  <c r="K70" i="3"/>
  <c r="L70" i="3"/>
  <c r="I70" i="3"/>
  <c r="I32" i="3"/>
  <c r="I36" i="3" s="1"/>
  <c r="H106" i="3"/>
  <c r="I106" i="3" s="1"/>
  <c r="J106" i="3" s="1"/>
  <c r="K106" i="3" s="1"/>
  <c r="L106" i="3" s="1"/>
  <c r="M106" i="3" s="1"/>
  <c r="N106" i="3" s="1"/>
  <c r="O106" i="3" s="1"/>
  <c r="P106" i="3" s="1"/>
  <c r="Q106" i="3" s="1"/>
  <c r="H53" i="3"/>
  <c r="I53" i="3" s="1"/>
  <c r="J53" i="3" s="1"/>
  <c r="K53" i="3" s="1"/>
  <c r="L53" i="3" s="1"/>
  <c r="M53" i="3" s="1"/>
  <c r="N53" i="3" s="1"/>
  <c r="O53" i="3" s="1"/>
  <c r="P53" i="3" s="1"/>
  <c r="Q53" i="3" s="1"/>
  <c r="H52" i="3"/>
  <c r="I52" i="3" s="1"/>
  <c r="J52" i="3" s="1"/>
  <c r="K52" i="3" s="1"/>
  <c r="L52" i="3" s="1"/>
  <c r="M52" i="3" s="1"/>
  <c r="N52" i="3" s="1"/>
  <c r="O52" i="3" s="1"/>
  <c r="P52" i="3" s="1"/>
  <c r="Q52" i="3" s="1"/>
  <c r="H51" i="3"/>
  <c r="I51" i="3" s="1"/>
  <c r="J51" i="3" s="1"/>
  <c r="K51" i="3" s="1"/>
  <c r="L51" i="3" s="1"/>
  <c r="M51" i="3" s="1"/>
  <c r="N51" i="3" s="1"/>
  <c r="O51" i="3" s="1"/>
  <c r="P51" i="3" s="1"/>
  <c r="Q51" i="3" s="1"/>
  <c r="H50" i="3"/>
  <c r="I50" i="3" s="1"/>
  <c r="H33" i="3"/>
  <c r="H36" i="3" s="1"/>
  <c r="I14" i="3"/>
  <c r="I13" i="3"/>
  <c r="J13" i="3" s="1"/>
  <c r="K13" i="3" s="1"/>
  <c r="L13" i="3" s="1"/>
  <c r="M13" i="3" s="1"/>
  <c r="N13" i="3" s="1"/>
  <c r="O13" i="3" s="1"/>
  <c r="P13" i="3" s="1"/>
  <c r="Q13" i="3" s="1"/>
  <c r="H12" i="3"/>
  <c r="G92" i="3"/>
  <c r="H87" i="3"/>
  <c r="G18" i="3"/>
  <c r="G39" i="3"/>
  <c r="D48" i="3" s="1"/>
  <c r="G33" i="3"/>
  <c r="G36" i="3" s="1"/>
  <c r="G55" i="7" l="1"/>
  <c r="D55" i="7"/>
  <c r="F55" i="7" s="1"/>
  <c r="M88" i="3"/>
  <c r="L87" i="3"/>
  <c r="J50" i="3"/>
  <c r="I55" i="3"/>
  <c r="K87" i="3"/>
  <c r="J87" i="3"/>
  <c r="H55" i="3"/>
  <c r="G40" i="3"/>
  <c r="G74" i="3" s="1"/>
  <c r="I55" i="7" l="1"/>
  <c r="C56" i="7"/>
  <c r="N88" i="3"/>
  <c r="M87" i="3"/>
  <c r="M92" i="3" s="1"/>
  <c r="G96" i="3"/>
  <c r="G97" i="3" s="1"/>
  <c r="G75" i="3"/>
  <c r="K50" i="3"/>
  <c r="J55" i="3"/>
  <c r="K92" i="3"/>
  <c r="L92" i="3"/>
  <c r="I83" i="3"/>
  <c r="H78" i="3"/>
  <c r="H92" i="3" s="1"/>
  <c r="I82" i="3"/>
  <c r="I78" i="3" s="1"/>
  <c r="I58" i="3"/>
  <c r="J58" i="3"/>
  <c r="K58" i="3"/>
  <c r="L58" i="3"/>
  <c r="H58" i="3"/>
  <c r="I59" i="3"/>
  <c r="J59" i="3"/>
  <c r="K59" i="3"/>
  <c r="L59" i="3"/>
  <c r="I60" i="3"/>
  <c r="J60" i="3"/>
  <c r="K60" i="3"/>
  <c r="L60" i="3"/>
  <c r="I61" i="3"/>
  <c r="J61" i="3"/>
  <c r="K61" i="3"/>
  <c r="L61" i="3"/>
  <c r="I23" i="3"/>
  <c r="J23" i="3"/>
  <c r="K23" i="3"/>
  <c r="L23" i="3"/>
  <c r="M23" i="3"/>
  <c r="N23" i="3"/>
  <c r="O23" i="3"/>
  <c r="P23" i="3"/>
  <c r="Q23" i="3"/>
  <c r="H23" i="3"/>
  <c r="I24" i="3"/>
  <c r="J24" i="3"/>
  <c r="K24" i="3"/>
  <c r="L24" i="3"/>
  <c r="M24" i="3"/>
  <c r="N24" i="3"/>
  <c r="O24" i="3"/>
  <c r="P24" i="3"/>
  <c r="Q24" i="3"/>
  <c r="D56" i="7" l="1"/>
  <c r="F56" i="7" s="1"/>
  <c r="I56" i="7" s="1"/>
  <c r="G56" i="7"/>
  <c r="N30" i="3"/>
  <c r="M30" i="3"/>
  <c r="Q30" i="3"/>
  <c r="P30" i="3"/>
  <c r="O30" i="3"/>
  <c r="O88" i="3"/>
  <c r="N87" i="3"/>
  <c r="N92" i="3" s="1"/>
  <c r="I92" i="3"/>
  <c r="L50" i="3"/>
  <c r="K55" i="3"/>
  <c r="J92" i="3"/>
  <c r="L30" i="3"/>
  <c r="J30" i="3"/>
  <c r="I30" i="3"/>
  <c r="K30" i="3"/>
  <c r="K63" i="3"/>
  <c r="L63" i="3"/>
  <c r="J63" i="3"/>
  <c r="I63" i="3"/>
  <c r="C57" i="7" l="1"/>
  <c r="L55" i="3"/>
  <c r="M50" i="3"/>
  <c r="O87" i="3"/>
  <c r="O92" i="3" s="1"/>
  <c r="P88" i="3"/>
  <c r="H61" i="3"/>
  <c r="H60" i="3"/>
  <c r="H59" i="3"/>
  <c r="B24" i="3"/>
  <c r="H24" i="3"/>
  <c r="H10" i="3"/>
  <c r="E9" i="5" s="1"/>
  <c r="D34" i="5" s="1"/>
  <c r="H16" i="3"/>
  <c r="H40" i="3" s="1"/>
  <c r="B12" i="3"/>
  <c r="I7" i="3"/>
  <c r="I6" i="3"/>
  <c r="I10" i="3" s="1"/>
  <c r="I39" i="3" s="1"/>
  <c r="C19" i="3"/>
  <c r="B19" i="3"/>
  <c r="I12" i="3"/>
  <c r="H2" i="3"/>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AL2" i="3" s="1"/>
  <c r="AM2" i="3" s="1"/>
  <c r="AN2" i="3" s="1"/>
  <c r="AO2" i="3" s="1"/>
  <c r="AP2" i="3" s="1"/>
  <c r="AQ2" i="3" s="1"/>
  <c r="AR2" i="3" s="1"/>
  <c r="AS2" i="3" s="1"/>
  <c r="AT2" i="3" s="1"/>
  <c r="AU2" i="3" s="1"/>
  <c r="H1" i="3"/>
  <c r="I1" i="3" s="1"/>
  <c r="J1" i="3" s="1"/>
  <c r="K1" i="3" s="1"/>
  <c r="L1" i="3" s="1"/>
  <c r="M1" i="3" s="1"/>
  <c r="N1" i="3" s="1"/>
  <c r="O1" i="3" s="1"/>
  <c r="P1" i="3" s="1"/>
  <c r="Q1" i="3" s="1"/>
  <c r="R1" i="3" s="1"/>
  <c r="S1" i="3" s="1"/>
  <c r="T1" i="3" s="1"/>
  <c r="U1" i="3" s="1"/>
  <c r="V1" i="3" s="1"/>
  <c r="W1" i="3" s="1"/>
  <c r="X1" i="3" s="1"/>
  <c r="Y1" i="3" s="1"/>
  <c r="Z1" i="3" s="1"/>
  <c r="AA1" i="3" s="1"/>
  <c r="AB1" i="3" s="1"/>
  <c r="AC1" i="3" s="1"/>
  <c r="AD1" i="3" s="1"/>
  <c r="AE1" i="3" s="1"/>
  <c r="AF1" i="3" s="1"/>
  <c r="AG1" i="3" s="1"/>
  <c r="AH1" i="3" s="1"/>
  <c r="AI1" i="3" s="1"/>
  <c r="AJ1" i="3" s="1"/>
  <c r="AK1" i="3" s="1"/>
  <c r="AL1" i="3" s="1"/>
  <c r="AM1" i="3" s="1"/>
  <c r="AN1" i="3" s="1"/>
  <c r="AO1" i="3" s="1"/>
  <c r="AP1" i="3" s="1"/>
  <c r="AQ1" i="3" s="1"/>
  <c r="AR1" i="3" s="1"/>
  <c r="AS1" i="3" s="1"/>
  <c r="AT1" i="3" s="1"/>
  <c r="AU1" i="3" s="1"/>
  <c r="H4" i="3"/>
  <c r="I4" i="3" s="1"/>
  <c r="J4" i="3" s="1"/>
  <c r="K4" i="3" s="1"/>
  <c r="L4" i="3" s="1"/>
  <c r="M4" i="3" s="1"/>
  <c r="N4" i="3" s="1"/>
  <c r="O4" i="3" s="1"/>
  <c r="P4" i="3" s="1"/>
  <c r="Q4" i="3" s="1"/>
  <c r="R4" i="3" s="1"/>
  <c r="S4" i="3" s="1"/>
  <c r="T4" i="3" s="1"/>
  <c r="U4" i="3" s="1"/>
  <c r="V4" i="3" s="1"/>
  <c r="W4" i="3" s="1"/>
  <c r="X4" i="3" s="1"/>
  <c r="Y4" i="3" s="1"/>
  <c r="Z4" i="3" s="1"/>
  <c r="AA4" i="3" s="1"/>
  <c r="AB4" i="3" s="1"/>
  <c r="AC4" i="3" s="1"/>
  <c r="B4" i="1"/>
  <c r="B22" i="1"/>
  <c r="G6" i="2"/>
  <c r="I6" i="2"/>
  <c r="D7" i="2"/>
  <c r="K15" i="1"/>
  <c r="K27" i="1"/>
  <c r="K28" i="1"/>
  <c r="K29" i="1"/>
  <c r="K30" i="1"/>
  <c r="K31" i="1"/>
  <c r="K32" i="1"/>
  <c r="K33" i="1"/>
  <c r="K34" i="1"/>
  <c r="K35" i="1"/>
  <c r="K36" i="1"/>
  <c r="K37" i="1"/>
  <c r="K38" i="1"/>
  <c r="K23" i="1"/>
  <c r="K25" i="1" s="1"/>
  <c r="K22" i="1"/>
  <c r="O2" i="2"/>
  <c r="W3" i="2"/>
  <c r="V6"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7" i="2"/>
  <c r="H6" i="2"/>
  <c r="H2" i="2" s="1"/>
  <c r="D6" i="2"/>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B7" i="2"/>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D1" i="1"/>
  <c r="E1" i="1"/>
  <c r="F1" i="1"/>
  <c r="G1" i="1"/>
  <c r="H1" i="1"/>
  <c r="I1" i="1"/>
  <c r="J1" i="1"/>
  <c r="K1" i="1"/>
  <c r="L1" i="1"/>
  <c r="M1" i="1"/>
  <c r="N1" i="1"/>
  <c r="O1" i="1"/>
  <c r="P1" i="1"/>
  <c r="Q1" i="1"/>
  <c r="C1" i="1"/>
  <c r="D2" i="1"/>
  <c r="E2" i="1" s="1"/>
  <c r="F2" i="1" s="1"/>
  <c r="G2" i="1" s="1"/>
  <c r="H2" i="1" s="1"/>
  <c r="I2" i="1" s="1"/>
  <c r="J2" i="1" s="1"/>
  <c r="K2" i="1" s="1"/>
  <c r="L2" i="1" s="1"/>
  <c r="M2" i="1" s="1"/>
  <c r="N2" i="1" s="1"/>
  <c r="O2" i="1" s="1"/>
  <c r="P2" i="1" s="1"/>
  <c r="Q2" i="1" s="1"/>
  <c r="R2" i="1" s="1"/>
  <c r="S2" i="1" s="1"/>
  <c r="L15" i="1"/>
  <c r="M15" i="1"/>
  <c r="N15" i="1"/>
  <c r="O15" i="1"/>
  <c r="P15" i="1"/>
  <c r="Q15" i="1"/>
  <c r="R15" i="1"/>
  <c r="B15" i="1"/>
  <c r="B7" i="1"/>
  <c r="B40" i="1"/>
  <c r="B41" i="1" s="1"/>
  <c r="J22" i="1"/>
  <c r="J28" i="1" s="1"/>
  <c r="J23" i="1"/>
  <c r="J25" i="1" s="1"/>
  <c r="D31" i="1"/>
  <c r="E34" i="1"/>
  <c r="B10" i="1"/>
  <c r="B11" i="1"/>
  <c r="B12" i="1"/>
  <c r="B13" i="1"/>
  <c r="B14" i="1"/>
  <c r="B16" i="1"/>
  <c r="B17" i="1"/>
  <c r="B18" i="1"/>
  <c r="B19" i="1"/>
  <c r="B20" i="1"/>
  <c r="B9" i="1"/>
  <c r="B5" i="1"/>
  <c r="B6" i="1"/>
  <c r="G23" i="1"/>
  <c r="G22" i="1"/>
  <c r="G34" i="1" s="1"/>
  <c r="I23" i="1"/>
  <c r="F23" i="1"/>
  <c r="E23" i="1"/>
  <c r="D23" i="1"/>
  <c r="C23" i="1"/>
  <c r="H23" i="1"/>
  <c r="I22" i="1"/>
  <c r="I31" i="1" s="1"/>
  <c r="F22" i="1"/>
  <c r="F31" i="1" s="1"/>
  <c r="E22" i="1"/>
  <c r="E35" i="1" s="1"/>
  <c r="D22" i="1"/>
  <c r="D36" i="1" s="1"/>
  <c r="C22" i="1"/>
  <c r="C32" i="1" s="1"/>
  <c r="H22" i="1"/>
  <c r="H34" i="1" s="1"/>
  <c r="G57" i="7" l="1"/>
  <c r="D57" i="7"/>
  <c r="F57" i="7" s="1"/>
  <c r="P87" i="3"/>
  <c r="P92" i="3" s="1"/>
  <c r="Q88" i="3"/>
  <c r="Q87" i="3" s="1"/>
  <c r="Q92" i="3" s="1"/>
  <c r="N50" i="3"/>
  <c r="M55" i="3"/>
  <c r="I45" i="3"/>
  <c r="E34" i="5"/>
  <c r="D35" i="5"/>
  <c r="D51" i="3"/>
  <c r="D50" i="3"/>
  <c r="D52" i="3"/>
  <c r="J12" i="3"/>
  <c r="K12" i="3" s="1"/>
  <c r="L12" i="3" s="1"/>
  <c r="H74" i="3"/>
  <c r="I44" i="3"/>
  <c r="I43" i="3"/>
  <c r="I46" i="3"/>
  <c r="H63" i="3"/>
  <c r="J6" i="3"/>
  <c r="H30" i="3"/>
  <c r="H39" i="3" s="1"/>
  <c r="H43" i="3" s="1"/>
  <c r="D43" i="3" s="1"/>
  <c r="I16" i="3"/>
  <c r="H18" i="3"/>
  <c r="W6" i="2"/>
  <c r="B31" i="1"/>
  <c r="D8" i="2"/>
  <c r="G8" i="2" s="1"/>
  <c r="I8" i="2" s="1"/>
  <c r="G7" i="2"/>
  <c r="Y13" i="2"/>
  <c r="Y11" i="2"/>
  <c r="Y14" i="2"/>
  <c r="Y7" i="2"/>
  <c r="Y10" i="2"/>
  <c r="Y6" i="2"/>
  <c r="Y9" i="2"/>
  <c r="Y12" i="2"/>
  <c r="Y8" i="2"/>
  <c r="A42" i="2"/>
  <c r="Y42" i="2" s="1"/>
  <c r="Y41" i="2"/>
  <c r="Y29" i="2"/>
  <c r="Y28" i="2"/>
  <c r="Y27" i="2"/>
  <c r="Y26" i="2"/>
  <c r="Y25" i="2"/>
  <c r="Y40" i="2"/>
  <c r="Y24" i="2"/>
  <c r="Y39" i="2"/>
  <c r="Y23" i="2"/>
  <c r="Y38" i="2"/>
  <c r="Y22" i="2"/>
  <c r="Y37" i="2"/>
  <c r="Y21" i="2"/>
  <c r="Y36" i="2"/>
  <c r="Y20" i="2"/>
  <c r="Y35" i="2"/>
  <c r="Y19" i="2"/>
  <c r="Y34" i="2"/>
  <c r="Y18" i="2"/>
  <c r="Y33" i="2"/>
  <c r="Y17" i="2"/>
  <c r="Y32" i="2"/>
  <c r="Y16" i="2"/>
  <c r="Y30" i="2"/>
  <c r="Y31" i="2"/>
  <c r="Y15" i="2"/>
  <c r="O7" i="2"/>
  <c r="J27" i="1"/>
  <c r="I38" i="1"/>
  <c r="E38" i="1"/>
  <c r="B2" i="1"/>
  <c r="D35" i="1"/>
  <c r="H37" i="1"/>
  <c r="H31" i="1"/>
  <c r="J37" i="1"/>
  <c r="E30" i="1"/>
  <c r="H29" i="1"/>
  <c r="J35" i="1"/>
  <c r="E36" i="1"/>
  <c r="I28" i="1"/>
  <c r="J34" i="1"/>
  <c r="E28" i="1"/>
  <c r="J33" i="1"/>
  <c r="J36" i="1"/>
  <c r="H27" i="1"/>
  <c r="J32" i="1"/>
  <c r="H33" i="1"/>
  <c r="J31" i="1"/>
  <c r="I32" i="1"/>
  <c r="C27" i="1"/>
  <c r="G33" i="1"/>
  <c r="J30" i="1"/>
  <c r="D37" i="1"/>
  <c r="D34" i="1"/>
  <c r="J29" i="1"/>
  <c r="I36" i="1"/>
  <c r="J38" i="1"/>
  <c r="D25" i="1"/>
  <c r="D30" i="1"/>
  <c r="I34" i="1"/>
  <c r="B42" i="1"/>
  <c r="D32" i="1"/>
  <c r="F36" i="1"/>
  <c r="H32" i="1"/>
  <c r="E31" i="1"/>
  <c r="I29" i="1"/>
  <c r="I33" i="1"/>
  <c r="F34" i="1"/>
  <c r="C25" i="1"/>
  <c r="C36" i="1"/>
  <c r="D29" i="1"/>
  <c r="I37" i="1"/>
  <c r="F32" i="1"/>
  <c r="H30" i="1"/>
  <c r="E29" i="1"/>
  <c r="I27" i="1"/>
  <c r="F33" i="1"/>
  <c r="B23" i="1"/>
  <c r="H25" i="1"/>
  <c r="C35" i="1"/>
  <c r="D28" i="1"/>
  <c r="F37" i="1"/>
  <c r="H35" i="1"/>
  <c r="E32" i="1"/>
  <c r="I30" i="1"/>
  <c r="F27" i="1"/>
  <c r="E33" i="1"/>
  <c r="C34" i="1"/>
  <c r="F29" i="1"/>
  <c r="I25" i="1"/>
  <c r="H38" i="1"/>
  <c r="E37" i="1"/>
  <c r="I35" i="1"/>
  <c r="F30" i="1"/>
  <c r="H28" i="1"/>
  <c r="E27" i="1"/>
  <c r="D27" i="1"/>
  <c r="F25" i="1"/>
  <c r="F35" i="1"/>
  <c r="E25" i="1"/>
  <c r="D38" i="1"/>
  <c r="F38" i="1"/>
  <c r="H36" i="1"/>
  <c r="F28" i="1"/>
  <c r="D33" i="1"/>
  <c r="G32" i="1"/>
  <c r="G28" i="1"/>
  <c r="G37" i="1"/>
  <c r="G27" i="1"/>
  <c r="B34" i="1"/>
  <c r="G38" i="1"/>
  <c r="G35" i="1"/>
  <c r="G29" i="1"/>
  <c r="G25" i="1"/>
  <c r="G31" i="1"/>
  <c r="G36" i="1"/>
  <c r="G30" i="1"/>
  <c r="I57" i="7" l="1"/>
  <c r="C58" i="7" s="1"/>
  <c r="N55" i="3"/>
  <c r="O50" i="3"/>
  <c r="J16" i="3"/>
  <c r="J40" i="3" s="1"/>
  <c r="J74" i="3" s="1"/>
  <c r="J96" i="3" s="1"/>
  <c r="L16" i="3"/>
  <c r="L40" i="3" s="1"/>
  <c r="L74" i="3" s="1"/>
  <c r="L96" i="3" s="1"/>
  <c r="M12" i="3"/>
  <c r="K16" i="3"/>
  <c r="K40" i="3" s="1"/>
  <c r="K74" i="3" s="1"/>
  <c r="K96" i="3" s="1"/>
  <c r="H96" i="3"/>
  <c r="I108" i="3" s="1"/>
  <c r="E35" i="5"/>
  <c r="D36" i="5"/>
  <c r="J34" i="5"/>
  <c r="E15" i="5"/>
  <c r="F34" i="5"/>
  <c r="G34" i="5" s="1"/>
  <c r="H34" i="5" s="1"/>
  <c r="I113" i="3" s="1"/>
  <c r="I120" i="3" s="1"/>
  <c r="J35" i="5"/>
  <c r="I48" i="3"/>
  <c r="I73" i="3" s="1"/>
  <c r="I95" i="3" s="1"/>
  <c r="I18" i="3"/>
  <c r="I40" i="3"/>
  <c r="I74" i="3" s="1"/>
  <c r="I96" i="3" s="1"/>
  <c r="H46" i="3"/>
  <c r="H44" i="3"/>
  <c r="D44" i="3" s="1"/>
  <c r="H45" i="3"/>
  <c r="K6" i="3"/>
  <c r="J10" i="3"/>
  <c r="M8" i="2"/>
  <c r="I7" i="2"/>
  <c r="M7" i="2"/>
  <c r="A4" i="2"/>
  <c r="Q7" i="2"/>
  <c r="R7" i="2" s="1"/>
  <c r="H7" i="2"/>
  <c r="D9" i="2"/>
  <c r="G9" i="2" s="1"/>
  <c r="O8" i="2"/>
  <c r="B32" i="1"/>
  <c r="B33" i="1"/>
  <c r="B35" i="1"/>
  <c r="B37" i="1"/>
  <c r="B28" i="1"/>
  <c r="B30" i="1"/>
  <c r="B29" i="1"/>
  <c r="B38" i="1"/>
  <c r="B36" i="1"/>
  <c r="B27" i="1"/>
  <c r="B25" i="1"/>
  <c r="B45" i="1" s="1"/>
  <c r="D58" i="7" l="1"/>
  <c r="F58" i="7" s="1"/>
  <c r="I58" i="7" s="1"/>
  <c r="G58" i="7"/>
  <c r="N12" i="3"/>
  <c r="M16" i="3"/>
  <c r="O55" i="3"/>
  <c r="P50" i="3"/>
  <c r="J108" i="3"/>
  <c r="K108" i="3" s="1"/>
  <c r="I75" i="3"/>
  <c r="K34" i="5"/>
  <c r="I97" i="3"/>
  <c r="E36" i="5"/>
  <c r="D37" i="5"/>
  <c r="F35" i="5"/>
  <c r="J18" i="3"/>
  <c r="J39" i="3"/>
  <c r="H48" i="3"/>
  <c r="H73" i="3" s="1"/>
  <c r="L6" i="3"/>
  <c r="K10" i="3"/>
  <c r="Q2" i="2"/>
  <c r="I9" i="2"/>
  <c r="M9" i="2"/>
  <c r="J7" i="2"/>
  <c r="K7" i="2" s="1"/>
  <c r="S7" i="2"/>
  <c r="T7" i="2" s="1"/>
  <c r="V7" i="2" s="1"/>
  <c r="Q8" i="2"/>
  <c r="R8" i="2" s="1"/>
  <c r="H8" i="2"/>
  <c r="Q3" i="2"/>
  <c r="D10" i="2"/>
  <c r="O9" i="2"/>
  <c r="C59" i="7" l="1"/>
  <c r="P55" i="3"/>
  <c r="Q50" i="3"/>
  <c r="Q55" i="3" s="1"/>
  <c r="M40" i="3"/>
  <c r="M74" i="3" s="1"/>
  <c r="M96" i="3" s="1"/>
  <c r="L10" i="3"/>
  <c r="L18" i="3" s="1"/>
  <c r="M6" i="3"/>
  <c r="N16" i="3"/>
  <c r="O12" i="3"/>
  <c r="H95" i="3"/>
  <c r="I107" i="3" s="1"/>
  <c r="H75" i="3"/>
  <c r="G35" i="5"/>
  <c r="H35" i="5" s="1"/>
  <c r="J113" i="3" s="1"/>
  <c r="J120" i="3" s="1"/>
  <c r="E37" i="5"/>
  <c r="J37" i="5" s="1"/>
  <c r="D38" i="5"/>
  <c r="K35" i="5"/>
  <c r="J36" i="5"/>
  <c r="F36" i="5"/>
  <c r="K36" i="5" s="1"/>
  <c r="L108" i="3"/>
  <c r="M108" i="3" s="1"/>
  <c r="N108" i="3" s="1"/>
  <c r="K18" i="3"/>
  <c r="K39" i="3"/>
  <c r="J43" i="3"/>
  <c r="J45" i="3"/>
  <c r="J46" i="3"/>
  <c r="J44" i="3"/>
  <c r="W7" i="2"/>
  <c r="L7" i="2"/>
  <c r="N7" i="2" s="1"/>
  <c r="J8" i="2"/>
  <c r="K8" i="2" s="1"/>
  <c r="L8" i="2" s="1"/>
  <c r="N8" i="2" s="1"/>
  <c r="S8" i="2"/>
  <c r="T8" i="2" s="1"/>
  <c r="V8" i="2" s="1"/>
  <c r="G10" i="2"/>
  <c r="F10" i="2"/>
  <c r="Q9" i="2"/>
  <c r="R9" i="2" s="1"/>
  <c r="H9" i="2"/>
  <c r="D11" i="2"/>
  <c r="G11" i="2" s="1"/>
  <c r="O10" i="2"/>
  <c r="D59" i="7" l="1"/>
  <c r="F59" i="7" s="1"/>
  <c r="I59" i="7" s="1"/>
  <c r="G59" i="7"/>
  <c r="L39" i="3"/>
  <c r="L43" i="3" s="1"/>
  <c r="O16" i="3"/>
  <c r="P12" i="3"/>
  <c r="N6" i="3"/>
  <c r="M10" i="3"/>
  <c r="N40" i="3"/>
  <c r="N74" i="3" s="1"/>
  <c r="N96" i="3" s="1"/>
  <c r="O108" i="3" s="1"/>
  <c r="H97" i="3"/>
  <c r="G36" i="5"/>
  <c r="H36" i="5" s="1"/>
  <c r="K113" i="3" s="1"/>
  <c r="K120" i="3" s="1"/>
  <c r="E38" i="5"/>
  <c r="D39" i="5"/>
  <c r="F37" i="5"/>
  <c r="J48" i="3"/>
  <c r="J73" i="3" s="1"/>
  <c r="L46" i="3"/>
  <c r="L44" i="3"/>
  <c r="K44" i="3"/>
  <c r="K45" i="3"/>
  <c r="K46" i="3"/>
  <c r="K43" i="3"/>
  <c r="W8" i="2"/>
  <c r="I11" i="2"/>
  <c r="M11" i="2"/>
  <c r="I10" i="2"/>
  <c r="M10" i="2"/>
  <c r="J9" i="2"/>
  <c r="K9" i="2" s="1"/>
  <c r="L9" i="2" s="1"/>
  <c r="N9" i="2" s="1"/>
  <c r="S9" i="2"/>
  <c r="T9" i="2" s="1"/>
  <c r="V9" i="2" s="1"/>
  <c r="Q10" i="2"/>
  <c r="R10" i="2" s="1"/>
  <c r="H10" i="2"/>
  <c r="D12" i="2"/>
  <c r="G12" i="2" s="1"/>
  <c r="O11" i="2"/>
  <c r="L45" i="3" l="1"/>
  <c r="C60" i="7"/>
  <c r="O6" i="3"/>
  <c r="N10" i="3"/>
  <c r="M39" i="3"/>
  <c r="M18" i="3"/>
  <c r="Q12" i="3"/>
  <c r="Q16" i="3" s="1"/>
  <c r="P16" i="3"/>
  <c r="O40" i="3"/>
  <c r="O74" i="3" s="1"/>
  <c r="O96" i="3" s="1"/>
  <c r="P108" i="3" s="1"/>
  <c r="J107" i="3"/>
  <c r="I109" i="3"/>
  <c r="J95" i="3"/>
  <c r="J97" i="3" s="1"/>
  <c r="J75" i="3"/>
  <c r="E39" i="5"/>
  <c r="J39" i="5" s="1"/>
  <c r="D40" i="5"/>
  <c r="K37" i="5"/>
  <c r="G37" i="5"/>
  <c r="H37" i="5" s="1"/>
  <c r="L113" i="3" s="1"/>
  <c r="L120" i="3" s="1"/>
  <c r="F38" i="5"/>
  <c r="J38" i="5"/>
  <c r="L48" i="3"/>
  <c r="L73" i="3" s="1"/>
  <c r="K48" i="3"/>
  <c r="K73" i="3" s="1"/>
  <c r="W9" i="2"/>
  <c r="I12" i="2"/>
  <c r="M12" i="2"/>
  <c r="J10" i="2"/>
  <c r="K10" i="2" s="1"/>
  <c r="L10" i="2" s="1"/>
  <c r="N10" i="2" s="1"/>
  <c r="S10" i="2"/>
  <c r="T10" i="2" s="1"/>
  <c r="Q11" i="2"/>
  <c r="R11" i="2" s="1"/>
  <c r="H11" i="2"/>
  <c r="D13" i="2"/>
  <c r="G13" i="2" s="1"/>
  <c r="O12" i="2"/>
  <c r="D60" i="7" l="1"/>
  <c r="F60" i="7" s="1"/>
  <c r="I60" i="7" s="1"/>
  <c r="G60" i="7"/>
  <c r="M45" i="3"/>
  <c r="M46" i="3"/>
  <c r="M44" i="3"/>
  <c r="M43" i="3"/>
  <c r="P40" i="3"/>
  <c r="P74" i="3" s="1"/>
  <c r="P96" i="3" s="1"/>
  <c r="Q108" i="3" s="1"/>
  <c r="N39" i="3"/>
  <c r="N18" i="3"/>
  <c r="Q40" i="3"/>
  <c r="Q74" i="3" s="1"/>
  <c r="Q96" i="3" s="1"/>
  <c r="P6" i="3"/>
  <c r="O10" i="3"/>
  <c r="K107" i="3"/>
  <c r="J109" i="3"/>
  <c r="L95" i="3"/>
  <c r="L97" i="3" s="1"/>
  <c r="L75" i="3"/>
  <c r="K95" i="3"/>
  <c r="K97" i="3" s="1"/>
  <c r="K75" i="3"/>
  <c r="E40" i="5"/>
  <c r="D41" i="5"/>
  <c r="F39" i="5"/>
  <c r="K39" i="5" s="1"/>
  <c r="K38" i="5"/>
  <c r="G38" i="5"/>
  <c r="H38" i="5" s="1"/>
  <c r="M113" i="3" s="1"/>
  <c r="M120" i="3" s="1"/>
  <c r="V10" i="2"/>
  <c r="I13" i="2"/>
  <c r="M13" i="2"/>
  <c r="J11" i="2"/>
  <c r="K11" i="2" s="1"/>
  <c r="L11" i="2" s="1"/>
  <c r="N11" i="2" s="1"/>
  <c r="S11" i="2"/>
  <c r="T11" i="2" s="1"/>
  <c r="Q12" i="2"/>
  <c r="R12" i="2" s="1"/>
  <c r="H12" i="2"/>
  <c r="D14" i="2"/>
  <c r="G14" i="2" s="1"/>
  <c r="O13" i="2"/>
  <c r="M48" i="3" l="1"/>
  <c r="M73" i="3" s="1"/>
  <c r="C61" i="7"/>
  <c r="Q6" i="3"/>
  <c r="Q10" i="3" s="1"/>
  <c r="P10" i="3"/>
  <c r="N46" i="3"/>
  <c r="N44" i="3"/>
  <c r="N43" i="3"/>
  <c r="N45" i="3"/>
  <c r="M95" i="3"/>
  <c r="M97" i="3" s="1"/>
  <c r="M75" i="3"/>
  <c r="O39" i="3"/>
  <c r="O18" i="3"/>
  <c r="L107" i="3"/>
  <c r="K109" i="3"/>
  <c r="E41" i="5"/>
  <c r="J41" i="5" s="1"/>
  <c r="D42" i="5"/>
  <c r="F40" i="5"/>
  <c r="K40" i="5" s="1"/>
  <c r="J40" i="5"/>
  <c r="G39" i="5"/>
  <c r="H39" i="5" s="1"/>
  <c r="N113" i="3" s="1"/>
  <c r="N120" i="3" s="1"/>
  <c r="W10" i="2"/>
  <c r="V11" i="2"/>
  <c r="I14" i="2"/>
  <c r="M14" i="2"/>
  <c r="J12" i="2"/>
  <c r="K12" i="2" s="1"/>
  <c r="L12" i="2" s="1"/>
  <c r="N12" i="2" s="1"/>
  <c r="S12" i="2"/>
  <c r="T12" i="2" s="1"/>
  <c r="V12" i="2" s="1"/>
  <c r="Q13" i="2"/>
  <c r="S13" i="2" s="1"/>
  <c r="H13" i="2"/>
  <c r="D15" i="2"/>
  <c r="O14" i="2"/>
  <c r="D61" i="7" l="1"/>
  <c r="G61" i="7"/>
  <c r="F61" i="7"/>
  <c r="I61" i="7" s="1"/>
  <c r="N48" i="3"/>
  <c r="N73" i="3" s="1"/>
  <c r="L109" i="3"/>
  <c r="M107" i="3"/>
  <c r="Q39" i="3"/>
  <c r="Q18" i="3"/>
  <c r="O43" i="3"/>
  <c r="O46" i="3"/>
  <c r="O44" i="3"/>
  <c r="O45" i="3"/>
  <c r="N95" i="3"/>
  <c r="N97" i="3" s="1"/>
  <c r="N75" i="3"/>
  <c r="P39" i="3"/>
  <c r="P18" i="3"/>
  <c r="E42" i="5"/>
  <c r="J42" i="5" s="1"/>
  <c r="D43" i="5"/>
  <c r="F41" i="5"/>
  <c r="K41" i="5" s="1"/>
  <c r="G40" i="5"/>
  <c r="H40" i="5" s="1"/>
  <c r="W11" i="2"/>
  <c r="W12" i="2" s="1"/>
  <c r="X10" i="2"/>
  <c r="G15" i="2"/>
  <c r="F15" i="2"/>
  <c r="T13" i="2"/>
  <c r="J13" i="2"/>
  <c r="K13" i="2" s="1"/>
  <c r="L13" i="2" s="1"/>
  <c r="N13" i="2" s="1"/>
  <c r="R13" i="2"/>
  <c r="Q14" i="2"/>
  <c r="R14" i="2" s="1"/>
  <c r="H14" i="2"/>
  <c r="D16" i="2"/>
  <c r="G16" i="2" s="1"/>
  <c r="O15" i="2"/>
  <c r="C62" i="7" l="1"/>
  <c r="P44" i="3"/>
  <c r="P46" i="3"/>
  <c r="P43" i="3"/>
  <c r="P45" i="3"/>
  <c r="O48" i="3"/>
  <c r="O73" i="3" s="1"/>
  <c r="N107" i="3"/>
  <c r="M109" i="3"/>
  <c r="Q44" i="3"/>
  <c r="Q46" i="3"/>
  <c r="Q43" i="3"/>
  <c r="Q45" i="3"/>
  <c r="G41" i="5"/>
  <c r="H41" i="5" s="1"/>
  <c r="O113" i="3"/>
  <c r="O120" i="3" s="1"/>
  <c r="E43" i="5"/>
  <c r="J43" i="5" s="1"/>
  <c r="D44" i="5"/>
  <c r="F42" i="5"/>
  <c r="K42" i="5" s="1"/>
  <c r="V13" i="2"/>
  <c r="I16" i="2"/>
  <c r="M16" i="2"/>
  <c r="I15" i="2"/>
  <c r="M15" i="2"/>
  <c r="J14" i="2"/>
  <c r="K14" i="2" s="1"/>
  <c r="L14" i="2" s="1"/>
  <c r="N14" i="2" s="1"/>
  <c r="S14" i="2"/>
  <c r="T14" i="2" s="1"/>
  <c r="V14" i="2" s="1"/>
  <c r="Q15" i="2"/>
  <c r="R15" i="2" s="1"/>
  <c r="H15" i="2"/>
  <c r="D17" i="2"/>
  <c r="G17" i="2" s="1"/>
  <c r="O16" i="2"/>
  <c r="D62" i="7" l="1"/>
  <c r="G62" i="7"/>
  <c r="F62" i="7"/>
  <c r="Q48" i="3"/>
  <c r="Q73" i="3" s="1"/>
  <c r="P48" i="3"/>
  <c r="P73" i="3" s="1"/>
  <c r="P95" i="3" s="1"/>
  <c r="P97" i="3" s="1"/>
  <c r="O75" i="3"/>
  <c r="O95" i="3"/>
  <c r="O97" i="3" s="1"/>
  <c r="Q95" i="3"/>
  <c r="Q97" i="3" s="1"/>
  <c r="Q75" i="3"/>
  <c r="O107" i="3"/>
  <c r="N109" i="3"/>
  <c r="P113" i="3"/>
  <c r="P120" i="3" s="1"/>
  <c r="G42" i="5"/>
  <c r="H42" i="5" s="1"/>
  <c r="Q113" i="3" s="1"/>
  <c r="Q120" i="3" s="1"/>
  <c r="E44" i="5"/>
  <c r="D45" i="5"/>
  <c r="F43" i="5"/>
  <c r="K43" i="5" s="1"/>
  <c r="W13" i="2"/>
  <c r="W14" i="2" s="1"/>
  <c r="I17" i="2"/>
  <c r="M17" i="2"/>
  <c r="J15" i="2"/>
  <c r="K15" i="2" s="1"/>
  <c r="L15" i="2" s="1"/>
  <c r="N15" i="2" s="1"/>
  <c r="S15" i="2"/>
  <c r="T15" i="2" s="1"/>
  <c r="V15" i="2" s="1"/>
  <c r="Q16" i="2"/>
  <c r="R16" i="2" s="1"/>
  <c r="H16" i="2"/>
  <c r="D18" i="2"/>
  <c r="G18" i="2" s="1"/>
  <c r="O17" i="2"/>
  <c r="H17" i="2" s="1"/>
  <c r="I62" i="7" l="1"/>
  <c r="C63" i="7" s="1"/>
  <c r="P75" i="3"/>
  <c r="P107" i="3"/>
  <c r="O109" i="3"/>
  <c r="G43" i="5"/>
  <c r="H43" i="5" s="1"/>
  <c r="R113" i="3" s="1"/>
  <c r="R120" i="3" s="1"/>
  <c r="E45" i="5"/>
  <c r="D46" i="5"/>
  <c r="F44" i="5"/>
  <c r="K44" i="5" s="1"/>
  <c r="J44" i="5"/>
  <c r="W15" i="2"/>
  <c r="X15" i="2" s="1"/>
  <c r="I18" i="2"/>
  <c r="M18" i="2"/>
  <c r="J16" i="2"/>
  <c r="K16" i="2" s="1"/>
  <c r="L16" i="2" s="1"/>
  <c r="N16" i="2" s="1"/>
  <c r="S16" i="2"/>
  <c r="T16" i="2" s="1"/>
  <c r="V16" i="2" s="1"/>
  <c r="Q17" i="2"/>
  <c r="R17" i="2" s="1"/>
  <c r="D19" i="2"/>
  <c r="G19" i="2" s="1"/>
  <c r="O18" i="2"/>
  <c r="D63" i="7" l="1"/>
  <c r="G63" i="7"/>
  <c r="F63" i="7"/>
  <c r="I63" i="7" s="1"/>
  <c r="Q107" i="3"/>
  <c r="Q109" i="3" s="1"/>
  <c r="P109" i="3"/>
  <c r="G44" i="5"/>
  <c r="H44" i="5" s="1"/>
  <c r="S113" i="3" s="1"/>
  <c r="S120" i="3" s="1"/>
  <c r="E46" i="5"/>
  <c r="D47" i="5"/>
  <c r="F45" i="5"/>
  <c r="K45" i="5" s="1"/>
  <c r="J45" i="5"/>
  <c r="W16" i="2"/>
  <c r="I19" i="2"/>
  <c r="M19" i="2"/>
  <c r="J17" i="2"/>
  <c r="K17" i="2" s="1"/>
  <c r="L17" i="2" s="1"/>
  <c r="N17" i="2" s="1"/>
  <c r="S17" i="2"/>
  <c r="T17" i="2" s="1"/>
  <c r="V17" i="2" s="1"/>
  <c r="Q18" i="2"/>
  <c r="R18" i="2" s="1"/>
  <c r="H18" i="2"/>
  <c r="D2" i="2"/>
  <c r="O3" i="2"/>
  <c r="S3" i="2" s="1"/>
  <c r="S2" i="2"/>
  <c r="D20" i="2"/>
  <c r="O19" i="2"/>
  <c r="C64" i="7" l="1"/>
  <c r="G45" i="5"/>
  <c r="H45" i="5" s="1"/>
  <c r="T113" i="3" s="1"/>
  <c r="T120" i="3" s="1"/>
  <c r="E47" i="5"/>
  <c r="D48" i="5"/>
  <c r="F46" i="5"/>
  <c r="K46" i="5" s="1"/>
  <c r="J46" i="5"/>
  <c r="W17" i="2"/>
  <c r="J18" i="2"/>
  <c r="K18" i="2" s="1"/>
  <c r="L18" i="2" s="1"/>
  <c r="N18" i="2" s="1"/>
  <c r="S18" i="2"/>
  <c r="T18" i="2" s="1"/>
  <c r="V18" i="2" s="1"/>
  <c r="G20" i="2"/>
  <c r="F20" i="2"/>
  <c r="Q19" i="2"/>
  <c r="R19" i="2" s="1"/>
  <c r="H19" i="2"/>
  <c r="D3" i="2"/>
  <c r="D21" i="2"/>
  <c r="G21" i="2" s="1"/>
  <c r="O20" i="2"/>
  <c r="G64" i="7" l="1"/>
  <c r="D64" i="7"/>
  <c r="F64" i="7" s="1"/>
  <c r="G46" i="5"/>
  <c r="H46" i="5" s="1"/>
  <c r="U113" i="3" s="1"/>
  <c r="U120" i="3" s="1"/>
  <c r="E48" i="5"/>
  <c r="D49" i="5"/>
  <c r="F47" i="5"/>
  <c r="K47" i="5" s="1"/>
  <c r="J47" i="5"/>
  <c r="W18" i="2"/>
  <c r="I21" i="2"/>
  <c r="M21" i="2"/>
  <c r="I20" i="2"/>
  <c r="M20" i="2"/>
  <c r="J19" i="2"/>
  <c r="K19" i="2" s="1"/>
  <c r="L19" i="2" s="1"/>
  <c r="N19" i="2" s="1"/>
  <c r="S19" i="2"/>
  <c r="T19" i="2" s="1"/>
  <c r="V19" i="2" s="1"/>
  <c r="Q20" i="2"/>
  <c r="R20" i="2" s="1"/>
  <c r="H20" i="2"/>
  <c r="D22" i="2"/>
  <c r="G22" i="2" s="1"/>
  <c r="O21" i="2"/>
  <c r="I64" i="7" l="1"/>
  <c r="C65" i="7"/>
  <c r="G47" i="5"/>
  <c r="H47" i="5" s="1"/>
  <c r="V113" i="3" s="1"/>
  <c r="V120" i="3" s="1"/>
  <c r="E49" i="5"/>
  <c r="D50" i="5"/>
  <c r="F48" i="5"/>
  <c r="K48" i="5" s="1"/>
  <c r="J48" i="5"/>
  <c r="W19" i="2"/>
  <c r="I22" i="2"/>
  <c r="M22" i="2"/>
  <c r="J20" i="2"/>
  <c r="K20" i="2" s="1"/>
  <c r="L20" i="2" s="1"/>
  <c r="N20" i="2" s="1"/>
  <c r="S20" i="2"/>
  <c r="T20" i="2" s="1"/>
  <c r="V20" i="2" s="1"/>
  <c r="Q21" i="2"/>
  <c r="R21" i="2" s="1"/>
  <c r="H21" i="2"/>
  <c r="D23" i="2"/>
  <c r="G23" i="2" s="1"/>
  <c r="O22" i="2"/>
  <c r="D65" i="7" l="1"/>
  <c r="G65" i="7"/>
  <c r="F65" i="7"/>
  <c r="I65" i="7" s="1"/>
  <c r="E50" i="5"/>
  <c r="D51" i="5"/>
  <c r="G48" i="5"/>
  <c r="H48" i="5" s="1"/>
  <c r="W113" i="3" s="1"/>
  <c r="W120" i="3" s="1"/>
  <c r="F49" i="5"/>
  <c r="K49" i="5" s="1"/>
  <c r="J49" i="5"/>
  <c r="W20" i="2"/>
  <c r="X20" i="2" s="1"/>
  <c r="I23" i="2"/>
  <c r="M23" i="2"/>
  <c r="J21" i="2"/>
  <c r="K21" i="2" s="1"/>
  <c r="L21" i="2" s="1"/>
  <c r="N21" i="2" s="1"/>
  <c r="S21" i="2"/>
  <c r="T21" i="2" s="1"/>
  <c r="V21" i="2" s="1"/>
  <c r="Q22" i="2"/>
  <c r="R22" i="2" s="1"/>
  <c r="H22" i="2"/>
  <c r="D24" i="2"/>
  <c r="G24" i="2" s="1"/>
  <c r="O23" i="2"/>
  <c r="C66" i="7" l="1"/>
  <c r="G49" i="5"/>
  <c r="H49" i="5" s="1"/>
  <c r="X113" i="3" s="1"/>
  <c r="X120" i="3" s="1"/>
  <c r="E51" i="5"/>
  <c r="D52" i="5"/>
  <c r="F50" i="5"/>
  <c r="K50" i="5" s="1"/>
  <c r="J50" i="5"/>
  <c r="W21" i="2"/>
  <c r="I24" i="2"/>
  <c r="M24" i="2"/>
  <c r="J22" i="2"/>
  <c r="K22" i="2" s="1"/>
  <c r="L22" i="2" s="1"/>
  <c r="N22" i="2" s="1"/>
  <c r="S22" i="2"/>
  <c r="T22" i="2" s="1"/>
  <c r="V22" i="2" s="1"/>
  <c r="Q23" i="2"/>
  <c r="R23" i="2" s="1"/>
  <c r="H23" i="2"/>
  <c r="D25" i="2"/>
  <c r="O24" i="2"/>
  <c r="D66" i="7" l="1"/>
  <c r="G66" i="7"/>
  <c r="F66" i="7"/>
  <c r="I66" i="7" s="1"/>
  <c r="G50" i="5"/>
  <c r="H50" i="5" s="1"/>
  <c r="Y113" i="3" s="1"/>
  <c r="Y120" i="3" s="1"/>
  <c r="E52" i="5"/>
  <c r="D53" i="5"/>
  <c r="F51" i="5"/>
  <c r="K51" i="5" s="1"/>
  <c r="J51" i="5"/>
  <c r="W22" i="2"/>
  <c r="J23" i="2"/>
  <c r="K23" i="2" s="1"/>
  <c r="L23" i="2" s="1"/>
  <c r="N23" i="2" s="1"/>
  <c r="S23" i="2"/>
  <c r="T23" i="2" s="1"/>
  <c r="V23" i="2" s="1"/>
  <c r="G25" i="2"/>
  <c r="F25" i="2"/>
  <c r="Q24" i="2"/>
  <c r="R24" i="2" s="1"/>
  <c r="H24" i="2"/>
  <c r="D26" i="2"/>
  <c r="G26" i="2" s="1"/>
  <c r="O25" i="2"/>
  <c r="C67" i="7" l="1"/>
  <c r="G51" i="5"/>
  <c r="H51" i="5" s="1"/>
  <c r="Z113" i="3" s="1"/>
  <c r="Z120" i="3" s="1"/>
  <c r="E53" i="5"/>
  <c r="D54" i="5"/>
  <c r="F52" i="5"/>
  <c r="K52" i="5" s="1"/>
  <c r="J52" i="5"/>
  <c r="W23" i="2"/>
  <c r="I26" i="2"/>
  <c r="M26" i="2"/>
  <c r="I25" i="2"/>
  <c r="M25" i="2"/>
  <c r="J24" i="2"/>
  <c r="K24" i="2" s="1"/>
  <c r="L24" i="2" s="1"/>
  <c r="N24" i="2" s="1"/>
  <c r="S24" i="2"/>
  <c r="T24" i="2" s="1"/>
  <c r="V24" i="2" s="1"/>
  <c r="Q25" i="2"/>
  <c r="R25" i="2" s="1"/>
  <c r="H25" i="2"/>
  <c r="D27" i="2"/>
  <c r="G27" i="2" s="1"/>
  <c r="O26" i="2"/>
  <c r="D67" i="7" l="1"/>
  <c r="G67" i="7"/>
  <c r="F67" i="7"/>
  <c r="I67" i="7" s="1"/>
  <c r="G52" i="5"/>
  <c r="H52" i="5" s="1"/>
  <c r="AA113" i="3" s="1"/>
  <c r="AA120" i="3" s="1"/>
  <c r="E54" i="5"/>
  <c r="D55" i="5"/>
  <c r="F53" i="5"/>
  <c r="K53" i="5" s="1"/>
  <c r="J53" i="5"/>
  <c r="W24" i="2"/>
  <c r="I27" i="2"/>
  <c r="M27" i="2"/>
  <c r="J25" i="2"/>
  <c r="K25" i="2" s="1"/>
  <c r="L25" i="2" s="1"/>
  <c r="N25" i="2" s="1"/>
  <c r="S25" i="2"/>
  <c r="T25" i="2" s="1"/>
  <c r="Q26" i="2"/>
  <c r="R26" i="2" s="1"/>
  <c r="H26" i="2"/>
  <c r="D28" i="2"/>
  <c r="G28" i="2" s="1"/>
  <c r="O27" i="2"/>
  <c r="C68" i="7" l="1"/>
  <c r="G53" i="5"/>
  <c r="H53" i="5" s="1"/>
  <c r="AB113" i="3" s="1"/>
  <c r="AB120" i="3" s="1"/>
  <c r="E55" i="5"/>
  <c r="D56" i="5"/>
  <c r="F54" i="5"/>
  <c r="K54" i="5" s="1"/>
  <c r="J54" i="5"/>
  <c r="V25" i="2"/>
  <c r="I28" i="2"/>
  <c r="M28" i="2"/>
  <c r="J26" i="2"/>
  <c r="K26" i="2" s="1"/>
  <c r="L26" i="2" s="1"/>
  <c r="N26" i="2" s="1"/>
  <c r="S26" i="2"/>
  <c r="T26" i="2" s="1"/>
  <c r="Q27" i="2"/>
  <c r="R27" i="2" s="1"/>
  <c r="H27" i="2"/>
  <c r="D29" i="2"/>
  <c r="G29" i="2" s="1"/>
  <c r="O28" i="2"/>
  <c r="D68" i="7" l="1"/>
  <c r="G68" i="7"/>
  <c r="F68" i="7"/>
  <c r="I68" i="7" s="1"/>
  <c r="G54" i="5"/>
  <c r="H54" i="5" s="1"/>
  <c r="AC113" i="3" s="1"/>
  <c r="AC120" i="3" s="1"/>
  <c r="E56" i="5"/>
  <c r="D57" i="5"/>
  <c r="F55" i="5"/>
  <c r="K55" i="5" s="1"/>
  <c r="J55" i="5"/>
  <c r="W25" i="2"/>
  <c r="X25" i="2" s="1"/>
  <c r="V26" i="2"/>
  <c r="I29" i="2"/>
  <c r="M29" i="2"/>
  <c r="J27" i="2"/>
  <c r="K27" i="2" s="1"/>
  <c r="L27" i="2" s="1"/>
  <c r="N27" i="2" s="1"/>
  <c r="S27" i="2"/>
  <c r="T27" i="2" s="1"/>
  <c r="Q28" i="2"/>
  <c r="R28" i="2" s="1"/>
  <c r="H28" i="2"/>
  <c r="D30" i="2"/>
  <c r="O29" i="2"/>
  <c r="C69" i="7" l="1"/>
  <c r="G55" i="5"/>
  <c r="H55" i="5" s="1"/>
  <c r="AD113" i="3" s="1"/>
  <c r="AD120" i="3" s="1"/>
  <c r="E57" i="5"/>
  <c r="D58" i="5"/>
  <c r="F56" i="5"/>
  <c r="K56" i="5" s="1"/>
  <c r="J56" i="5"/>
  <c r="W26" i="2"/>
  <c r="V27" i="2"/>
  <c r="J28" i="2"/>
  <c r="K28" i="2" s="1"/>
  <c r="L28" i="2" s="1"/>
  <c r="N28" i="2" s="1"/>
  <c r="S28" i="2"/>
  <c r="T28" i="2" s="1"/>
  <c r="G30" i="2"/>
  <c r="F30" i="2"/>
  <c r="Q29" i="2"/>
  <c r="R29" i="2" s="1"/>
  <c r="H29" i="2"/>
  <c r="D31" i="2"/>
  <c r="G31" i="2" s="1"/>
  <c r="O30" i="2"/>
  <c r="D69" i="7" l="1"/>
  <c r="F69" i="7" s="1"/>
  <c r="G69" i="7"/>
  <c r="G56" i="5"/>
  <c r="H56" i="5" s="1"/>
  <c r="AE113" i="3" s="1"/>
  <c r="AE120" i="3" s="1"/>
  <c r="E58" i="5"/>
  <c r="D59" i="5"/>
  <c r="F57" i="5"/>
  <c r="K57" i="5" s="1"/>
  <c r="J57" i="5"/>
  <c r="W27" i="2"/>
  <c r="V28" i="2"/>
  <c r="I31" i="2"/>
  <c r="M31" i="2"/>
  <c r="I30" i="2"/>
  <c r="M30" i="2"/>
  <c r="J29" i="2"/>
  <c r="K29" i="2" s="1"/>
  <c r="L29" i="2" s="1"/>
  <c r="N29" i="2" s="1"/>
  <c r="S29" i="2"/>
  <c r="T29" i="2" s="1"/>
  <c r="Q30" i="2"/>
  <c r="R30" i="2" s="1"/>
  <c r="H30" i="2"/>
  <c r="D32" i="2"/>
  <c r="G32" i="2" s="1"/>
  <c r="O31" i="2"/>
  <c r="I69" i="7" l="1"/>
  <c r="C70" i="7" s="1"/>
  <c r="G57" i="5"/>
  <c r="H57" i="5" s="1"/>
  <c r="AF113" i="3" s="1"/>
  <c r="AF120" i="3" s="1"/>
  <c r="E59" i="5"/>
  <c r="D60" i="5"/>
  <c r="F58" i="5"/>
  <c r="K58" i="5" s="1"/>
  <c r="J58" i="5"/>
  <c r="V29" i="2"/>
  <c r="W28" i="2"/>
  <c r="I32" i="2"/>
  <c r="M32" i="2"/>
  <c r="J30" i="2"/>
  <c r="K30" i="2" s="1"/>
  <c r="L30" i="2" s="1"/>
  <c r="N30" i="2" s="1"/>
  <c r="S30" i="2"/>
  <c r="T30" i="2" s="1"/>
  <c r="Q31" i="2"/>
  <c r="R31" i="2" s="1"/>
  <c r="H31" i="2"/>
  <c r="D33" i="2"/>
  <c r="G33" i="2" s="1"/>
  <c r="O32" i="2"/>
  <c r="D70" i="7" l="1"/>
  <c r="G70" i="7"/>
  <c r="F70" i="7"/>
  <c r="I70" i="7" s="1"/>
  <c r="G58" i="5"/>
  <c r="H58" i="5" s="1"/>
  <c r="AG113" i="3" s="1"/>
  <c r="AG120" i="3" s="1"/>
  <c r="E60" i="5"/>
  <c r="D61" i="5"/>
  <c r="J59" i="5"/>
  <c r="F59" i="5"/>
  <c r="K59" i="5" s="1"/>
  <c r="V30" i="2"/>
  <c r="W29" i="2"/>
  <c r="I33" i="2"/>
  <c r="M33" i="2"/>
  <c r="J31" i="2"/>
  <c r="K31" i="2" s="1"/>
  <c r="L31" i="2" s="1"/>
  <c r="N31" i="2" s="1"/>
  <c r="S31" i="2"/>
  <c r="T31" i="2" s="1"/>
  <c r="Q32" i="2"/>
  <c r="H32" i="2"/>
  <c r="D34" i="2"/>
  <c r="G34" i="2" s="1"/>
  <c r="O33" i="2"/>
  <c r="C71" i="7" l="1"/>
  <c r="G59" i="5"/>
  <c r="H59" i="5" s="1"/>
  <c r="AH113" i="3" s="1"/>
  <c r="AH120" i="3" s="1"/>
  <c r="E61" i="5"/>
  <c r="D62" i="5"/>
  <c r="F60" i="5"/>
  <c r="K60" i="5" s="1"/>
  <c r="J60" i="5"/>
  <c r="V31" i="2"/>
  <c r="W30" i="2"/>
  <c r="X30" i="2" s="1"/>
  <c r="I34" i="2"/>
  <c r="M34" i="2"/>
  <c r="J32" i="2"/>
  <c r="K32" i="2" s="1"/>
  <c r="L32" i="2" s="1"/>
  <c r="N32" i="2" s="1"/>
  <c r="S32" i="2"/>
  <c r="T32" i="2" s="1"/>
  <c r="R32" i="2"/>
  <c r="Q33" i="2"/>
  <c r="R33" i="2" s="1"/>
  <c r="H33" i="2"/>
  <c r="D35" i="2"/>
  <c r="O34" i="2"/>
  <c r="G71" i="7" l="1"/>
  <c r="D71" i="7"/>
  <c r="F71" i="7" s="1"/>
  <c r="G60" i="5"/>
  <c r="H60" i="5" s="1"/>
  <c r="AI113" i="3" s="1"/>
  <c r="AI120" i="3" s="1"/>
  <c r="E62" i="5"/>
  <c r="D63" i="5"/>
  <c r="F61" i="5"/>
  <c r="K61" i="5" s="1"/>
  <c r="J61" i="5"/>
  <c r="W31" i="2"/>
  <c r="V32" i="2"/>
  <c r="J33" i="2"/>
  <c r="K33" i="2" s="1"/>
  <c r="L33" i="2" s="1"/>
  <c r="N33" i="2" s="1"/>
  <c r="S33" i="2"/>
  <c r="T33" i="2" s="1"/>
  <c r="G35" i="2"/>
  <c r="F35" i="2"/>
  <c r="Q34" i="2"/>
  <c r="H34" i="2"/>
  <c r="D36" i="2"/>
  <c r="G36" i="2" s="1"/>
  <c r="O35" i="2"/>
  <c r="I71" i="7" l="1"/>
  <c r="C72" i="7" s="1"/>
  <c r="G61" i="5"/>
  <c r="H61" i="5" s="1"/>
  <c r="AJ113" i="3" s="1"/>
  <c r="AJ120" i="3" s="1"/>
  <c r="E63" i="5"/>
  <c r="D64" i="5"/>
  <c r="F62" i="5"/>
  <c r="K62" i="5" s="1"/>
  <c r="J62" i="5"/>
  <c r="W32" i="2"/>
  <c r="V33" i="2"/>
  <c r="I36" i="2"/>
  <c r="M36" i="2"/>
  <c r="I35" i="2"/>
  <c r="M35" i="2"/>
  <c r="J34" i="2"/>
  <c r="K34" i="2" s="1"/>
  <c r="L34" i="2" s="1"/>
  <c r="N34" i="2" s="1"/>
  <c r="S34" i="2"/>
  <c r="T34" i="2" s="1"/>
  <c r="R34" i="2"/>
  <c r="Q35" i="2"/>
  <c r="R35" i="2" s="1"/>
  <c r="H35" i="2"/>
  <c r="D37" i="2"/>
  <c r="G37" i="2" s="1"/>
  <c r="O36" i="2"/>
  <c r="D72" i="7" l="1"/>
  <c r="F72" i="7" s="1"/>
  <c r="I72" i="7" s="1"/>
  <c r="G72" i="7"/>
  <c r="G62" i="5"/>
  <c r="H62" i="5" s="1"/>
  <c r="AK113" i="3" s="1"/>
  <c r="AK120" i="3" s="1"/>
  <c r="E64" i="5"/>
  <c r="D65" i="5"/>
  <c r="F63" i="5"/>
  <c r="K63" i="5" s="1"/>
  <c r="J63" i="5"/>
  <c r="V34" i="2"/>
  <c r="W33" i="2"/>
  <c r="I37" i="2"/>
  <c r="M37" i="2"/>
  <c r="J35" i="2"/>
  <c r="K35" i="2" s="1"/>
  <c r="L35" i="2" s="1"/>
  <c r="N35" i="2" s="1"/>
  <c r="S35" i="2"/>
  <c r="T35" i="2" s="1"/>
  <c r="Q36" i="2"/>
  <c r="R36" i="2" s="1"/>
  <c r="H36" i="2"/>
  <c r="D38" i="2"/>
  <c r="G38" i="2" s="1"/>
  <c r="O37" i="2"/>
  <c r="C73" i="7" l="1"/>
  <c r="G63" i="5"/>
  <c r="H63" i="5" s="1"/>
  <c r="AL113" i="3" s="1"/>
  <c r="AL120" i="3" s="1"/>
  <c r="E65" i="5"/>
  <c r="D66" i="5"/>
  <c r="F64" i="5"/>
  <c r="K64" i="5" s="1"/>
  <c r="J64" i="5"/>
  <c r="V35" i="2"/>
  <c r="W34" i="2"/>
  <c r="I38" i="2"/>
  <c r="M38" i="2"/>
  <c r="J36" i="2"/>
  <c r="K36" i="2" s="1"/>
  <c r="L36" i="2" s="1"/>
  <c r="N36" i="2" s="1"/>
  <c r="S36" i="2"/>
  <c r="T36" i="2" s="1"/>
  <c r="Q37" i="2"/>
  <c r="R37" i="2" s="1"/>
  <c r="H37" i="2"/>
  <c r="D39" i="2"/>
  <c r="G39" i="2" s="1"/>
  <c r="O38" i="2"/>
  <c r="G73" i="7" l="1"/>
  <c r="D73" i="7"/>
  <c r="G64" i="5"/>
  <c r="H64" i="5" s="1"/>
  <c r="AM113" i="3" s="1"/>
  <c r="AM120" i="3" s="1"/>
  <c r="E66" i="5"/>
  <c r="D67" i="5"/>
  <c r="F65" i="5"/>
  <c r="K65" i="5" s="1"/>
  <c r="J65" i="5"/>
  <c r="W35" i="2"/>
  <c r="X35" i="2" s="1"/>
  <c r="V36" i="2"/>
  <c r="I39" i="2"/>
  <c r="M39" i="2"/>
  <c r="J37" i="2"/>
  <c r="K37" i="2" s="1"/>
  <c r="L37" i="2" s="1"/>
  <c r="N37" i="2" s="1"/>
  <c r="S37" i="2"/>
  <c r="T37" i="2" s="1"/>
  <c r="Q38" i="2"/>
  <c r="S38" i="2" s="1"/>
  <c r="H38" i="2"/>
  <c r="D40" i="2"/>
  <c r="O39" i="2"/>
  <c r="F73" i="7" l="1"/>
  <c r="I73" i="7" s="1"/>
  <c r="G65" i="5"/>
  <c r="H65" i="5" s="1"/>
  <c r="AN113" i="3" s="1"/>
  <c r="AN120" i="3" s="1"/>
  <c r="E67" i="5"/>
  <c r="D68" i="5"/>
  <c r="F66" i="5"/>
  <c r="K66" i="5" s="1"/>
  <c r="J66" i="5"/>
  <c r="V37" i="2"/>
  <c r="W36" i="2"/>
  <c r="G40" i="2"/>
  <c r="F40" i="2"/>
  <c r="T38" i="2"/>
  <c r="J38" i="2"/>
  <c r="K38" i="2" s="1"/>
  <c r="L38" i="2" s="1"/>
  <c r="N38" i="2" s="1"/>
  <c r="Q39" i="2"/>
  <c r="R39" i="2" s="1"/>
  <c r="H39" i="2"/>
  <c r="R38" i="2"/>
  <c r="O40" i="2"/>
  <c r="D41" i="2"/>
  <c r="G41" i="2" s="1"/>
  <c r="C74" i="7" l="1"/>
  <c r="G66" i="5"/>
  <c r="H66" i="5" s="1"/>
  <c r="AO113" i="3" s="1"/>
  <c r="AO120" i="3" s="1"/>
  <c r="E68" i="5"/>
  <c r="D69" i="5"/>
  <c r="D70" i="5" s="1"/>
  <c r="F67" i="5"/>
  <c r="K67" i="5" s="1"/>
  <c r="J67" i="5"/>
  <c r="W37" i="2"/>
  <c r="V38" i="2"/>
  <c r="I41" i="2"/>
  <c r="M41" i="2"/>
  <c r="I40" i="2"/>
  <c r="M40" i="2"/>
  <c r="J39" i="2"/>
  <c r="K39" i="2" s="1"/>
  <c r="L39" i="2" s="1"/>
  <c r="N39" i="2" s="1"/>
  <c r="S39" i="2"/>
  <c r="T39" i="2" s="1"/>
  <c r="Q40" i="2"/>
  <c r="R40" i="2" s="1"/>
  <c r="H40" i="2"/>
  <c r="O41" i="2"/>
  <c r="D42" i="2"/>
  <c r="D43" i="2" s="1"/>
  <c r="D74" i="7" l="1"/>
  <c r="F74" i="7" s="1"/>
  <c r="I74" i="7" s="1"/>
  <c r="G74" i="7"/>
  <c r="E70" i="5"/>
  <c r="D71" i="5"/>
  <c r="E69" i="5"/>
  <c r="G67" i="5"/>
  <c r="H67" i="5" s="1"/>
  <c r="F68" i="5"/>
  <c r="K68" i="5" s="1"/>
  <c r="J68" i="5"/>
  <c r="V39" i="2"/>
  <c r="W38" i="2"/>
  <c r="W39" i="2" s="1"/>
  <c r="G43" i="2"/>
  <c r="I43" i="2" s="1"/>
  <c r="F43" i="2"/>
  <c r="O43" i="2"/>
  <c r="H43" i="2" s="1"/>
  <c r="J40" i="2"/>
  <c r="K40" i="2" s="1"/>
  <c r="L40" i="2" s="1"/>
  <c r="N40" i="2" s="1"/>
  <c r="S40" i="2"/>
  <c r="T40" i="2" s="1"/>
  <c r="Q41" i="2"/>
  <c r="R41" i="2" s="1"/>
  <c r="H41" i="2"/>
  <c r="O42" i="2"/>
  <c r="G42" i="2"/>
  <c r="C75" i="7" l="1"/>
  <c r="E71" i="5"/>
  <c r="D72" i="5"/>
  <c r="F70" i="5"/>
  <c r="J70" i="5"/>
  <c r="G68" i="5"/>
  <c r="H68" i="5" s="1"/>
  <c r="AQ113" i="3" s="1"/>
  <c r="AQ120" i="3" s="1"/>
  <c r="AP113" i="3"/>
  <c r="AP120" i="3" s="1"/>
  <c r="F69" i="5"/>
  <c r="J69" i="5"/>
  <c r="V40" i="2"/>
  <c r="I42" i="2"/>
  <c r="M42" i="2"/>
  <c r="J41" i="2"/>
  <c r="K41" i="2" s="1"/>
  <c r="L41" i="2" s="1"/>
  <c r="N41" i="2" s="1"/>
  <c r="S41" i="2"/>
  <c r="T41" i="2" s="1"/>
  <c r="Q42" i="2"/>
  <c r="H42" i="2"/>
  <c r="D75" i="7" l="1"/>
  <c r="F75" i="7" s="1"/>
  <c r="I75" i="7" s="1"/>
  <c r="G75" i="7"/>
  <c r="G69" i="5"/>
  <c r="H69" i="5" s="1"/>
  <c r="E72" i="5"/>
  <c r="H9" i="5"/>
  <c r="K70" i="5"/>
  <c r="F71" i="5"/>
  <c r="K71" i="5" s="1"/>
  <c r="J71" i="5"/>
  <c r="G70" i="5"/>
  <c r="K69" i="5"/>
  <c r="V41" i="2"/>
  <c r="W40" i="2"/>
  <c r="X40" i="2" s="1"/>
  <c r="J42" i="2"/>
  <c r="K42" i="2" s="1"/>
  <c r="S42" i="2"/>
  <c r="T42" i="2" s="1"/>
  <c r="R42" i="2"/>
  <c r="C76" i="7" l="1"/>
  <c r="F72" i="5"/>
  <c r="J72" i="5"/>
  <c r="H12" i="5"/>
  <c r="AR113" i="3"/>
  <c r="H70" i="5"/>
  <c r="V42" i="2"/>
  <c r="W41" i="2"/>
  <c r="L42" i="2"/>
  <c r="N42" i="2" s="1"/>
  <c r="N43" i="2" s="1"/>
  <c r="K43" i="2"/>
  <c r="L43" i="2" s="1"/>
  <c r="D76" i="7" l="1"/>
  <c r="G76" i="7"/>
  <c r="F76" i="7"/>
  <c r="I76" i="7" s="1"/>
  <c r="AR120" i="3"/>
  <c r="AS113" i="3"/>
  <c r="AS120" i="3" s="1"/>
  <c r="K72" i="5"/>
  <c r="H13" i="5"/>
  <c r="H14" i="5" s="1"/>
  <c r="G71" i="5"/>
  <c r="H71" i="5" s="1"/>
  <c r="W42" i="2"/>
  <c r="W43" i="2" s="1"/>
  <c r="X43" i="2" s="1"/>
  <c r="V47" i="2"/>
  <c r="C77" i="7" l="1"/>
  <c r="G72" i="5"/>
  <c r="H72" i="5" s="1"/>
  <c r="D77" i="7" l="1"/>
  <c r="F77" i="7" s="1"/>
  <c r="I77" i="7" s="1"/>
  <c r="G77" i="7"/>
  <c r="H8" i="5"/>
  <c r="C78" i="7" l="1"/>
  <c r="D78" i="7" l="1"/>
  <c r="F78" i="7" s="1"/>
  <c r="G78" i="7"/>
  <c r="I78" i="7" l="1"/>
  <c r="C79" i="7"/>
  <c r="D79" i="7" l="1"/>
  <c r="F79" i="7" s="1"/>
  <c r="I79" i="7" s="1"/>
  <c r="G79" i="7"/>
  <c r="C80" i="7" l="1"/>
  <c r="G80" i="7" l="1"/>
  <c r="D80" i="7"/>
  <c r="F80" i="7" s="1"/>
  <c r="I80" i="7" l="1"/>
  <c r="C81" i="7"/>
  <c r="D81" i="7" l="1"/>
  <c r="F81" i="7" s="1"/>
  <c r="I81" i="7" s="1"/>
  <c r="G81" i="7"/>
  <c r="C82" i="7" l="1"/>
  <c r="D82" i="7" l="1"/>
  <c r="G82" i="7"/>
  <c r="F82" i="7"/>
  <c r="I82" i="7" l="1"/>
  <c r="C83" i="7"/>
  <c r="D83" i="7" l="1"/>
  <c r="F83" i="7" s="1"/>
  <c r="I83" i="7" s="1"/>
  <c r="G83" i="7"/>
  <c r="C84" i="7" l="1"/>
  <c r="D84" i="7" l="1"/>
  <c r="F84" i="7" s="1"/>
  <c r="I84" i="7" s="1"/>
  <c r="G84" i="7"/>
  <c r="C85" i="7" l="1"/>
  <c r="D85" i="7" l="1"/>
  <c r="F85" i="7" s="1"/>
  <c r="G85" i="7"/>
  <c r="I85" i="7" l="1"/>
  <c r="C86" i="7"/>
  <c r="D86" i="7" l="1"/>
  <c r="F86" i="7" s="1"/>
  <c r="I86" i="7" s="1"/>
  <c r="G86" i="7"/>
  <c r="C87" i="7" l="1"/>
  <c r="G87" i="7" l="1"/>
  <c r="D87" i="7"/>
  <c r="F87" i="7" s="1"/>
  <c r="I87" i="7" l="1"/>
  <c r="C88" i="7"/>
  <c r="D88" i="7" l="1"/>
  <c r="F88" i="7" s="1"/>
  <c r="I88" i="7" s="1"/>
  <c r="G88" i="7"/>
  <c r="C89" i="7" l="1"/>
  <c r="G89" i="7" l="1"/>
  <c r="D89" i="7"/>
  <c r="F89" i="7" s="1"/>
  <c r="I89" i="7" l="1"/>
  <c r="C90" i="7"/>
  <c r="D90" i="7" l="1"/>
  <c r="F90" i="7" s="1"/>
  <c r="I90" i="7" s="1"/>
  <c r="G90" i="7"/>
  <c r="C91" i="7" l="1"/>
  <c r="D91" i="7" l="1"/>
  <c r="G91" i="7"/>
  <c r="F91" i="7"/>
  <c r="I91" i="7" s="1"/>
  <c r="C92" i="7" l="1"/>
  <c r="D92" i="7" l="1"/>
  <c r="F92" i="7" s="1"/>
  <c r="G92" i="7"/>
  <c r="I92" i="7" l="1"/>
  <c r="C93" i="7"/>
  <c r="D93" i="7" l="1"/>
  <c r="F93" i="7" s="1"/>
  <c r="I93" i="7" s="1"/>
  <c r="G93" i="7"/>
  <c r="C94" i="7" l="1"/>
  <c r="D94" i="7" l="1"/>
  <c r="F94" i="7" s="1"/>
  <c r="G94" i="7"/>
  <c r="I94" i="7" l="1"/>
  <c r="C95" i="7"/>
  <c r="D95" i="7" l="1"/>
  <c r="F95" i="7" s="1"/>
  <c r="I95" i="7" s="1"/>
  <c r="G95" i="7"/>
  <c r="C96" i="7" l="1"/>
  <c r="G96" i="7" l="1"/>
  <c r="D96" i="7"/>
  <c r="F96" i="7" s="1"/>
  <c r="I96" i="7" l="1"/>
  <c r="C97" i="7"/>
  <c r="D97" i="7" l="1"/>
  <c r="G97" i="7"/>
  <c r="F97" i="7"/>
  <c r="I97" i="7" s="1"/>
  <c r="C98" i="7" l="1"/>
  <c r="D98" i="7" l="1"/>
  <c r="G98" i="7"/>
  <c r="F98" i="7"/>
  <c r="I98" i="7" l="1"/>
  <c r="C99" i="7"/>
  <c r="D99" i="7" l="1"/>
  <c r="G99" i="7"/>
  <c r="F99" i="7"/>
  <c r="I99" i="7" s="1"/>
  <c r="C100" i="7" l="1"/>
  <c r="D100" i="7" l="1"/>
  <c r="F100" i="7" s="1"/>
  <c r="I100" i="7" s="1"/>
  <c r="G100" i="7"/>
  <c r="C101" i="7" l="1"/>
  <c r="D101" i="7" l="1"/>
  <c r="G101" i="7"/>
  <c r="F101" i="7"/>
  <c r="I101" i="7" l="1"/>
  <c r="C102" i="7"/>
  <c r="D102" i="7" l="1"/>
  <c r="G102" i="7"/>
  <c r="F102" i="7"/>
  <c r="I102" i="7" s="1"/>
  <c r="C103" i="7" l="1"/>
  <c r="G103" i="7" l="1"/>
  <c r="D103" i="7"/>
  <c r="F103" i="7"/>
  <c r="I103" i="7" l="1"/>
  <c r="C104" i="7"/>
  <c r="D104" i="7" l="1"/>
  <c r="G104" i="7"/>
  <c r="F104" i="7"/>
  <c r="I104" i="7" s="1"/>
  <c r="C105" i="7" l="1"/>
  <c r="G105" i="7" l="1"/>
  <c r="D105" i="7"/>
  <c r="F105" i="7"/>
  <c r="I105" i="7" l="1"/>
  <c r="C106" i="7"/>
  <c r="D106" i="7" l="1"/>
  <c r="G106" i="7"/>
  <c r="F106" i="7"/>
  <c r="I106" i="7" l="1"/>
  <c r="C107" i="7"/>
  <c r="D107" i="7" l="1"/>
  <c r="G107" i="7"/>
  <c r="F107" i="7"/>
  <c r="I107" i="7" l="1"/>
  <c r="C108" i="7"/>
  <c r="D108" i="7" l="1"/>
  <c r="G108" i="7"/>
  <c r="F108" i="7"/>
  <c r="I108" i="7" s="1"/>
  <c r="C109" i="7" l="1"/>
  <c r="D109" i="7" l="1"/>
  <c r="G109" i="7"/>
  <c r="F109" i="7"/>
  <c r="I109" i="7" s="1"/>
  <c r="C110" i="7" l="1"/>
  <c r="D110" i="7" l="1"/>
  <c r="G110" i="7"/>
  <c r="F110" i="7"/>
  <c r="I110" i="7" l="1"/>
  <c r="C111" i="7"/>
  <c r="D111" i="7" l="1"/>
  <c r="G111" i="7"/>
  <c r="F111" i="7"/>
  <c r="I111" i="7" s="1"/>
  <c r="C112" i="7" l="1"/>
  <c r="G112" i="7" l="1"/>
  <c r="D112" i="7"/>
  <c r="F112" i="7" s="1"/>
  <c r="I112" i="7" l="1"/>
  <c r="C113" i="7"/>
  <c r="D113" i="7" l="1"/>
  <c r="F113" i="7" s="1"/>
  <c r="I113" i="7" s="1"/>
  <c r="G113" i="7"/>
  <c r="C114" i="7" l="1"/>
  <c r="D114" i="7" l="1"/>
  <c r="G114" i="7"/>
  <c r="F114" i="7"/>
  <c r="I114" i="7" s="1"/>
  <c r="C115" i="7" l="1"/>
  <c r="D115" i="7" l="1"/>
  <c r="G115" i="7"/>
  <c r="F115" i="7"/>
  <c r="I115" i="7" s="1"/>
  <c r="C116" i="7" l="1"/>
  <c r="D116" i="7" l="1"/>
  <c r="G116" i="7"/>
  <c r="F116" i="7"/>
  <c r="I116" i="7" s="1"/>
  <c r="C117" i="7" l="1"/>
  <c r="D117" i="7" l="1"/>
  <c r="G117" i="7"/>
  <c r="F117" i="7"/>
  <c r="I117" i="7" l="1"/>
  <c r="C118" i="7"/>
  <c r="D118" i="7" l="1"/>
  <c r="F118" i="7" s="1"/>
  <c r="I118" i="7" s="1"/>
  <c r="G118" i="7"/>
  <c r="C119" i="7" l="1"/>
  <c r="G119" i="7" l="1"/>
  <c r="D119" i="7"/>
  <c r="F119" i="7" s="1"/>
  <c r="I119" i="7" l="1"/>
  <c r="C120" i="7"/>
  <c r="D120" i="7" l="1"/>
  <c r="G120" i="7"/>
  <c r="F120" i="7"/>
  <c r="I120" i="7" l="1"/>
  <c r="C121" i="7"/>
  <c r="G121" i="7" l="1"/>
  <c r="D121" i="7"/>
  <c r="F121" i="7" s="1"/>
  <c r="I121" i="7" l="1"/>
  <c r="C122" i="7"/>
  <c r="D122" i="7" l="1"/>
  <c r="G122" i="7"/>
  <c r="F122" i="7"/>
  <c r="I122" i="7" l="1"/>
  <c r="C123" i="7"/>
  <c r="D123" i="7" l="1"/>
  <c r="G123" i="7"/>
  <c r="F123" i="7"/>
  <c r="I123" i="7" s="1"/>
  <c r="C124" i="7" l="1"/>
  <c r="D124" i="7" l="1"/>
  <c r="F124" i="7" s="1"/>
  <c r="I124" i="7" s="1"/>
  <c r="G124" i="7"/>
  <c r="C125" i="7" l="1"/>
  <c r="D125" i="7" l="1"/>
  <c r="G125" i="7"/>
  <c r="F125" i="7"/>
  <c r="I125" i="7" s="1"/>
  <c r="C126" i="7" l="1"/>
  <c r="D126" i="7" l="1"/>
  <c r="G126" i="7"/>
  <c r="F126" i="7"/>
  <c r="I126" i="7" l="1"/>
  <c r="C127" i="7"/>
  <c r="D127" i="7" l="1"/>
  <c r="G127" i="7"/>
  <c r="F127" i="7"/>
  <c r="I127" i="7" s="1"/>
  <c r="C128" i="7" l="1"/>
  <c r="G128" i="7" l="1"/>
  <c r="D128" i="7"/>
  <c r="F128" i="7"/>
  <c r="I128" i="7" l="1"/>
  <c r="C129" i="7"/>
  <c r="D129" i="7" l="1"/>
  <c r="G129" i="7"/>
  <c r="F129" i="7"/>
  <c r="I129" i="7" s="1"/>
  <c r="C130" i="7" l="1"/>
  <c r="D130" i="7" l="1"/>
  <c r="F130" i="7" s="1"/>
  <c r="I130" i="7" s="1"/>
  <c r="G130" i="7"/>
  <c r="C131" i="7" l="1"/>
  <c r="D131" i="7" l="1"/>
  <c r="G131" i="7"/>
  <c r="F131" i="7"/>
  <c r="I131" i="7" l="1"/>
  <c r="C132" i="7"/>
  <c r="D132" i="7" l="1"/>
  <c r="G132" i="7"/>
  <c r="F132" i="7"/>
  <c r="I132" i="7" l="1"/>
  <c r="C133" i="7"/>
  <c r="G133" i="7" l="1"/>
  <c r="D133" i="7"/>
  <c r="F133" i="7" s="1"/>
  <c r="I133" i="7" l="1"/>
  <c r="C134" i="7"/>
  <c r="D134" i="7" l="1"/>
  <c r="G134" i="7"/>
  <c r="F134" i="7"/>
  <c r="I134" i="7" l="1"/>
  <c r="C135" i="7"/>
  <c r="G135" i="7" l="1"/>
  <c r="D135" i="7"/>
  <c r="F135" i="7"/>
  <c r="I135" i="7" l="1"/>
  <c r="C136" i="7"/>
  <c r="G136" i="7" l="1"/>
  <c r="D136" i="7"/>
  <c r="F136" i="7" s="1"/>
  <c r="I136" i="7" l="1"/>
  <c r="C137" i="7"/>
  <c r="G137" i="7" l="1"/>
  <c r="D137" i="7"/>
  <c r="F137" i="7"/>
  <c r="I137" i="7" l="1"/>
  <c r="C138" i="7"/>
  <c r="D138" i="7" l="1"/>
  <c r="F138" i="7" s="1"/>
  <c r="G138" i="7"/>
  <c r="I138" i="7" l="1"/>
  <c r="C139" i="7"/>
  <c r="D139" i="7" l="1"/>
  <c r="G139" i="7"/>
  <c r="F139" i="7"/>
  <c r="I139" i="7" s="1"/>
  <c r="C140" i="7" l="1"/>
  <c r="G140" i="7" l="1"/>
  <c r="D140" i="7"/>
  <c r="F140" i="7" s="1"/>
  <c r="I140" i="7" l="1"/>
  <c r="C141" i="7"/>
  <c r="D141" i="7" l="1"/>
  <c r="G141" i="7"/>
  <c r="F141" i="7"/>
  <c r="I141" i="7" l="1"/>
  <c r="C142" i="7"/>
  <c r="D142" i="7" l="1"/>
  <c r="G142" i="7"/>
  <c r="F142" i="7"/>
  <c r="I142" i="7" l="1"/>
  <c r="C143" i="7"/>
  <c r="G143" i="7" l="1"/>
  <c r="D143" i="7"/>
  <c r="F143" i="7" s="1"/>
  <c r="I143" i="7" l="1"/>
  <c r="C144" i="7"/>
  <c r="G144" i="7" l="1"/>
  <c r="D144" i="7"/>
  <c r="F144" i="7" s="1"/>
  <c r="I144" i="7" l="1"/>
  <c r="C145" i="7"/>
  <c r="D145" i="7" l="1"/>
  <c r="G145" i="7"/>
  <c r="F145" i="7"/>
  <c r="I145" i="7" l="1"/>
  <c r="C146" i="7"/>
  <c r="G146" i="7" l="1"/>
  <c r="D146" i="7"/>
  <c r="F146" i="7"/>
  <c r="I146" i="7" l="1"/>
  <c r="C147" i="7"/>
  <c r="D147" i="7" l="1"/>
  <c r="G147" i="7"/>
  <c r="F147" i="7"/>
  <c r="I147" i="7" l="1"/>
  <c r="C148" i="7"/>
  <c r="D148" i="7" l="1"/>
  <c r="G148" i="7"/>
  <c r="F148" i="7"/>
  <c r="I148" i="7" l="1"/>
  <c r="C149" i="7"/>
  <c r="G149" i="7" l="1"/>
  <c r="D149" i="7"/>
  <c r="F149" i="7" s="1"/>
  <c r="I149" i="7" l="1"/>
  <c r="C150" i="7"/>
  <c r="D150" i="7" l="1"/>
  <c r="F150" i="7" s="1"/>
  <c r="G150" i="7"/>
  <c r="I150" i="7" l="1"/>
  <c r="C151" i="7"/>
  <c r="D151" i="7" l="1"/>
  <c r="G151" i="7"/>
  <c r="F151" i="7"/>
  <c r="I151" i="7" l="1"/>
  <c r="C152" i="7"/>
  <c r="G152" i="7" l="1"/>
  <c r="D152" i="7"/>
  <c r="F152" i="7" l="1"/>
  <c r="I152" i="7" s="1"/>
  <c r="C153" i="7" s="1"/>
  <c r="G153" i="7" l="1"/>
  <c r="D153" i="7"/>
  <c r="F153" i="7" s="1"/>
  <c r="I153" i="7" l="1"/>
  <c r="C154" i="7"/>
  <c r="D154" i="7" l="1"/>
  <c r="F154" i="7" s="1"/>
  <c r="I154" i="7" s="1"/>
  <c r="G154" i="7"/>
  <c r="C155" i="7" l="1"/>
  <c r="D155" i="7" l="1"/>
  <c r="G155" i="7"/>
  <c r="F155" i="7"/>
  <c r="I155" i="7" l="1"/>
  <c r="C156" i="7"/>
  <c r="D156" i="7" l="1"/>
  <c r="G156" i="7"/>
  <c r="F156" i="7"/>
  <c r="I156" i="7" s="1"/>
  <c r="C157" i="7" l="1"/>
  <c r="D157" i="7" l="1"/>
  <c r="F157" i="7" s="1"/>
  <c r="G157" i="7"/>
  <c r="I157" i="7" l="1"/>
  <c r="C158" i="7"/>
  <c r="D158" i="7" l="1"/>
  <c r="G158" i="7"/>
  <c r="F158" i="7"/>
  <c r="I158" i="7" l="1"/>
  <c r="C159" i="7"/>
  <c r="G159" i="7" l="1"/>
  <c r="D159" i="7"/>
  <c r="F159" i="7" s="1"/>
  <c r="I159" i="7" l="1"/>
  <c r="C160" i="7"/>
  <c r="G160" i="7" l="1"/>
  <c r="D160" i="7"/>
  <c r="F160" i="7"/>
  <c r="I160" i="7" l="1"/>
  <c r="C161" i="7"/>
  <c r="D161" i="7" l="1"/>
  <c r="G161" i="7"/>
  <c r="F161" i="7"/>
  <c r="I161" i="7" l="1"/>
  <c r="C162" i="7"/>
  <c r="G162" i="7" l="1"/>
  <c r="D162" i="7"/>
  <c r="F162" i="7"/>
  <c r="I162" i="7" l="1"/>
  <c r="C163" i="7"/>
  <c r="D163" i="7" l="1"/>
  <c r="G163" i="7"/>
  <c r="F163" i="7"/>
  <c r="I163" i="7" s="1"/>
  <c r="C164" i="7" l="1"/>
  <c r="D164" i="7" l="1"/>
  <c r="G164" i="7"/>
  <c r="F164" i="7"/>
  <c r="I164" i="7" l="1"/>
  <c r="C165" i="7"/>
  <c r="D165" i="7" l="1"/>
  <c r="F165" i="7" s="1"/>
  <c r="G165" i="7"/>
  <c r="I165" i="7" l="1"/>
  <c r="C166" i="7"/>
  <c r="D166" i="7" l="1"/>
  <c r="G166" i="7"/>
  <c r="F166" i="7"/>
  <c r="I166" i="7" l="1"/>
  <c r="C167" i="7"/>
  <c r="D167" i="7" l="1"/>
  <c r="G167" i="7"/>
  <c r="F167" i="7"/>
  <c r="I167" i="7" s="1"/>
  <c r="C168" i="7" l="1"/>
  <c r="G168" i="7" l="1"/>
  <c r="D168" i="7"/>
  <c r="F168" i="7" s="1"/>
  <c r="I168" i="7" s="1"/>
  <c r="C169" i="7" l="1"/>
  <c r="G169" i="7" l="1"/>
  <c r="D169" i="7"/>
  <c r="F169" i="7" s="1"/>
  <c r="I169" i="7" l="1"/>
  <c r="C170" i="7"/>
  <c r="D170" i="7" l="1"/>
  <c r="G170" i="7"/>
  <c r="F170" i="7"/>
  <c r="I170" i="7" l="1"/>
  <c r="C171" i="7"/>
  <c r="D171" i="7" l="1"/>
  <c r="G171" i="7"/>
  <c r="F171" i="7"/>
  <c r="I171" i="7" l="1"/>
  <c r="C172" i="7" s="1"/>
  <c r="D172" i="7" l="1"/>
  <c r="F172" i="7" s="1"/>
  <c r="I172" i="7" s="1"/>
  <c r="G172" i="7"/>
  <c r="C173" i="7" l="1"/>
  <c r="D173" i="7" l="1"/>
  <c r="F173" i="7" s="1"/>
  <c r="G173" i="7"/>
  <c r="I173" i="7" l="1"/>
  <c r="C174" i="7"/>
  <c r="D174" i="7" l="1"/>
  <c r="G174" i="7"/>
  <c r="F174" i="7"/>
  <c r="I174" i="7" l="1"/>
  <c r="C175" i="7"/>
  <c r="G175" i="7" l="1"/>
  <c r="D175" i="7"/>
  <c r="F175" i="7" l="1"/>
  <c r="I175" i="7" s="1"/>
  <c r="C176" i="7" s="1"/>
  <c r="D176" i="7" l="1"/>
  <c r="G176" i="7"/>
  <c r="F176" i="7"/>
  <c r="I176" i="7" s="1"/>
  <c r="C177" i="7" l="1"/>
  <c r="D177" i="7" l="1"/>
  <c r="G177" i="7"/>
  <c r="F177" i="7"/>
  <c r="I177" i="7" s="1"/>
  <c r="C178" i="7" l="1"/>
  <c r="D178" i="7" l="1"/>
  <c r="G178" i="7"/>
  <c r="F178" i="7"/>
  <c r="I178" i="7" l="1"/>
  <c r="C179" i="7"/>
  <c r="D179" i="7" l="1"/>
  <c r="G179" i="7"/>
  <c r="F179" i="7"/>
  <c r="I179" i="7" l="1"/>
  <c r="C180" i="7"/>
  <c r="D180" i="7" l="1"/>
  <c r="G180" i="7"/>
  <c r="F180" i="7"/>
  <c r="I180" i="7" l="1"/>
  <c r="C181" i="7"/>
  <c r="D181" i="7" l="1"/>
  <c r="G181" i="7"/>
  <c r="F181" i="7"/>
  <c r="I181" i="7" s="1"/>
  <c r="C182" i="7" l="1"/>
  <c r="G182" i="7" l="1"/>
  <c r="D182" i="7"/>
  <c r="F182" i="7" s="1"/>
  <c r="I182" i="7" l="1"/>
  <c r="C183" i="7"/>
  <c r="D183" i="7" l="1"/>
  <c r="G183" i="7"/>
  <c r="F183" i="7"/>
  <c r="I183" i="7" s="1"/>
  <c r="C184" i="7" l="1"/>
  <c r="G184" i="7" l="1"/>
  <c r="D184" i="7"/>
  <c r="F184" i="7" s="1"/>
  <c r="I184" i="7" l="1"/>
  <c r="C185" i="7"/>
  <c r="D185" i="7" l="1"/>
  <c r="F185" i="7" s="1"/>
  <c r="I185" i="7" s="1"/>
  <c r="G185" i="7"/>
  <c r="C186" i="7" l="1"/>
  <c r="D186" i="7" l="1"/>
  <c r="G186" i="7"/>
  <c r="F186" i="7"/>
  <c r="I186" i="7" s="1"/>
  <c r="C187" i="7" l="1"/>
  <c r="D187" i="7" l="1"/>
  <c r="F187" i="7" s="1"/>
  <c r="I187" i="7" s="1"/>
  <c r="G187" i="7"/>
  <c r="C188" i="7" l="1"/>
  <c r="D188" i="7" l="1"/>
  <c r="G188" i="7"/>
  <c r="F188" i="7"/>
  <c r="I188" i="7" l="1"/>
  <c r="C189" i="7"/>
  <c r="D189" i="7" l="1"/>
  <c r="F189" i="7" s="1"/>
  <c r="G189" i="7"/>
  <c r="I189" i="7" l="1"/>
  <c r="C190" i="7"/>
  <c r="D190" i="7" l="1"/>
  <c r="G190" i="7"/>
  <c r="F190" i="7"/>
  <c r="I190" i="7" s="1"/>
  <c r="C191" i="7" l="1"/>
  <c r="G191" i="7" l="1"/>
  <c r="D191" i="7"/>
  <c r="F191" i="7" s="1"/>
  <c r="I191" i="7" l="1"/>
  <c r="C192" i="7"/>
  <c r="D192" i="7" l="1"/>
  <c r="G192" i="7"/>
  <c r="F192" i="7"/>
  <c r="I192" i="7" s="1"/>
  <c r="C193" i="7" l="1"/>
  <c r="D193" i="7" l="1"/>
  <c r="F193" i="7" s="1"/>
  <c r="I193" i="7" s="1"/>
  <c r="G193" i="7"/>
  <c r="C194" i="7" l="1"/>
  <c r="D194" i="7" l="1"/>
  <c r="G194" i="7"/>
  <c r="F194" i="7"/>
  <c r="I194" i="7" s="1"/>
  <c r="C195" i="7" l="1"/>
  <c r="D195" i="7" l="1"/>
  <c r="F195" i="7" s="1"/>
  <c r="I195" i="7" s="1"/>
  <c r="G195" i="7"/>
  <c r="C196" i="7" l="1"/>
  <c r="D196" i="7" l="1"/>
  <c r="G196" i="7"/>
  <c r="F196" i="7" l="1"/>
  <c r="I196" i="7" s="1"/>
  <c r="C197" i="7" s="1"/>
  <c r="D197" i="7" l="1"/>
  <c r="G197" i="7"/>
  <c r="F197" i="7"/>
  <c r="I197" i="7" l="1"/>
  <c r="C198" i="7"/>
  <c r="G198" i="7" l="1"/>
  <c r="D198" i="7"/>
  <c r="F198" i="7"/>
  <c r="I198" i="7" l="1"/>
  <c r="C199" i="7"/>
  <c r="D199" i="7" l="1"/>
  <c r="G199" i="7"/>
  <c r="F199" i="7"/>
  <c r="I199" i="7" s="1"/>
  <c r="C200" i="7" l="1"/>
  <c r="G200" i="7" l="1"/>
  <c r="D200" i="7"/>
  <c r="F200" i="7" s="1"/>
  <c r="I200" i="7" l="1"/>
  <c r="C201" i="7"/>
  <c r="D201" i="7" l="1"/>
  <c r="F201" i="7" s="1"/>
  <c r="I201" i="7" s="1"/>
  <c r="G201" i="7"/>
  <c r="C202" i="7" l="1"/>
  <c r="D202" i="7" l="1"/>
  <c r="G202" i="7"/>
  <c r="F202" i="7"/>
  <c r="I202" i="7" s="1"/>
  <c r="C203" i="7" l="1"/>
  <c r="D203" i="7" l="1"/>
  <c r="G203" i="7"/>
  <c r="F203" i="7"/>
  <c r="I203" i="7" l="1"/>
  <c r="C204" i="7"/>
  <c r="D204" i="7" l="1"/>
  <c r="G204" i="7"/>
  <c r="F204" i="7"/>
  <c r="I204" i="7" s="1"/>
  <c r="C205" i="7" l="1"/>
  <c r="D205" i="7" l="1"/>
  <c r="G205" i="7"/>
  <c r="F205" i="7"/>
  <c r="I205" i="7" l="1"/>
  <c r="C206" i="7"/>
  <c r="D206" i="7" l="1"/>
  <c r="G206" i="7"/>
  <c r="F206" i="7"/>
  <c r="I206" i="7" s="1"/>
  <c r="C207" i="7" l="1"/>
  <c r="G207" i="7" l="1"/>
  <c r="D207" i="7"/>
  <c r="F207" i="7" l="1"/>
  <c r="I207" i="7" s="1"/>
  <c r="C208" i="7" l="1"/>
  <c r="D208" i="7" l="1"/>
  <c r="G208" i="7"/>
  <c r="F208" i="7"/>
  <c r="I208" i="7" s="1"/>
  <c r="C209" i="7" l="1"/>
  <c r="D209" i="7" l="1"/>
  <c r="G209" i="7"/>
  <c r="F209" i="7"/>
  <c r="I209" i="7" s="1"/>
  <c r="C210" i="7" l="1"/>
  <c r="D210" i="7" l="1"/>
  <c r="G210" i="7"/>
  <c r="F210" i="7"/>
  <c r="I210" i="7" l="1"/>
  <c r="C211" i="7"/>
  <c r="D211" i="7" l="1"/>
  <c r="G211" i="7"/>
  <c r="F211" i="7"/>
  <c r="I211" i="7" s="1"/>
  <c r="C212" i="7" l="1"/>
  <c r="D212" i="7" l="1"/>
  <c r="G212" i="7"/>
  <c r="F212" i="7"/>
  <c r="I212" i="7" l="1"/>
  <c r="C213" i="7"/>
  <c r="D213" i="7" l="1"/>
  <c r="F213" i="7" s="1"/>
  <c r="I213" i="7" s="1"/>
  <c r="G213" i="7"/>
  <c r="C214" i="7" l="1"/>
  <c r="G214" i="7" l="1"/>
  <c r="D214" i="7"/>
  <c r="F214" i="7" s="1"/>
  <c r="I214" i="7" l="1"/>
  <c r="C215" i="7"/>
  <c r="D215" i="7" l="1"/>
  <c r="G215" i="7"/>
  <c r="F215" i="7"/>
  <c r="I215" i="7" l="1"/>
  <c r="C216" i="7"/>
  <c r="G216" i="7" l="1"/>
  <c r="D216" i="7"/>
  <c r="F216" i="7" s="1"/>
  <c r="I216" i="7" l="1"/>
  <c r="C217" i="7"/>
  <c r="D217" i="7" l="1"/>
  <c r="G217" i="7"/>
  <c r="F217" i="7"/>
  <c r="I217" i="7" l="1"/>
  <c r="C218" i="7"/>
  <c r="D218" i="7" l="1"/>
  <c r="F218" i="7" s="1"/>
  <c r="I218" i="7" s="1"/>
  <c r="G218" i="7"/>
  <c r="C219" i="7" l="1"/>
  <c r="D219" i="7" l="1"/>
  <c r="F219" i="7" s="1"/>
  <c r="G219" i="7"/>
  <c r="I219" i="7" l="1"/>
  <c r="C220" i="7"/>
  <c r="D220" i="7" l="1"/>
  <c r="F220" i="7" s="1"/>
  <c r="I220" i="7" s="1"/>
  <c r="G220" i="7"/>
  <c r="C221" i="7" l="1"/>
  <c r="D221" i="7" l="1"/>
  <c r="G221" i="7"/>
  <c r="F221" i="7"/>
  <c r="I221" i="7" l="1"/>
  <c r="C222" i="7"/>
  <c r="D222" i="7" l="1"/>
  <c r="G222" i="7"/>
  <c r="F222" i="7"/>
  <c r="I222" i="7" l="1"/>
  <c r="C223" i="7"/>
  <c r="G223" i="7" l="1"/>
  <c r="D223" i="7"/>
  <c r="F223" i="7" s="1"/>
  <c r="I223" i="7" l="1"/>
  <c r="C224" i="7"/>
  <c r="D224" i="7" l="1"/>
  <c r="G224" i="7"/>
  <c r="F224" i="7"/>
  <c r="I224" i="7" l="1"/>
  <c r="C225" i="7"/>
  <c r="D225" i="7" l="1"/>
  <c r="G225" i="7"/>
  <c r="F225" i="7"/>
  <c r="I225" i="7" s="1"/>
  <c r="C226" i="7" l="1"/>
  <c r="D226" i="7" l="1"/>
  <c r="F226" i="7" s="1"/>
  <c r="I226" i="7" s="1"/>
  <c r="G226" i="7"/>
  <c r="C227" i="7" l="1"/>
  <c r="D227" i="7" l="1"/>
  <c r="G227" i="7"/>
  <c r="F227" i="7"/>
  <c r="I227" i="7" l="1"/>
  <c r="C228" i="7"/>
  <c r="D228" i="7" l="1"/>
  <c r="G228" i="7"/>
  <c r="F228" i="7"/>
  <c r="I228" i="7" l="1"/>
  <c r="C229" i="7"/>
  <c r="D229" i="7" l="1"/>
  <c r="G229" i="7"/>
  <c r="F229" i="7"/>
  <c r="I229" i="7" l="1"/>
  <c r="C230" i="7"/>
  <c r="G230" i="7" l="1"/>
  <c r="D230" i="7"/>
  <c r="F230" i="7" l="1"/>
  <c r="I230" i="7" s="1"/>
  <c r="C231" i="7" s="1"/>
  <c r="G231" i="7" l="1"/>
  <c r="D231" i="7"/>
  <c r="F231" i="7" s="1"/>
  <c r="I231" i="7" l="1"/>
  <c r="C232" i="7"/>
  <c r="G232" i="7" l="1"/>
  <c r="D232" i="7"/>
  <c r="F232" i="7"/>
  <c r="I232" i="7" l="1"/>
  <c r="C233" i="7"/>
  <c r="D233" i="7" l="1"/>
  <c r="G233" i="7"/>
  <c r="F233" i="7"/>
  <c r="I233" i="7" s="1"/>
  <c r="C234" i="7" l="1"/>
  <c r="D234" i="7" l="1"/>
  <c r="F234" i="7" s="1"/>
  <c r="G234" i="7"/>
  <c r="I234" i="7" l="1"/>
  <c r="C235" i="7"/>
  <c r="D235" i="7" l="1"/>
  <c r="F235" i="7" s="1"/>
  <c r="I235" i="7" s="1"/>
  <c r="G235" i="7"/>
  <c r="C236" i="7" l="1"/>
  <c r="D236" i="7" l="1"/>
  <c r="G236" i="7"/>
  <c r="F236" i="7"/>
  <c r="I236" i="7" l="1"/>
  <c r="C237" i="7"/>
  <c r="D237" i="7" l="1"/>
  <c r="G237" i="7"/>
  <c r="F237" i="7"/>
  <c r="I237" i="7" l="1"/>
  <c r="C238" i="7"/>
  <c r="D238" i="7" l="1"/>
  <c r="G238" i="7"/>
  <c r="F238" i="7"/>
  <c r="I238" i="7" l="1"/>
  <c r="C239" i="7"/>
  <c r="G239" i="7" l="1"/>
  <c r="D239" i="7"/>
  <c r="F239" i="7" s="1"/>
  <c r="I239" i="7" l="1"/>
  <c r="C240" i="7"/>
  <c r="D240" i="7" l="1"/>
  <c r="F240" i="7" s="1"/>
  <c r="G240" i="7"/>
  <c r="I240" i="7" l="1"/>
  <c r="C241" i="7"/>
  <c r="D241" i="7" l="1"/>
  <c r="G241" i="7"/>
  <c r="F241" i="7"/>
  <c r="I241" i="7" s="1"/>
  <c r="C242" i="7" l="1"/>
  <c r="D242" i="7" l="1"/>
  <c r="F242" i="7" s="1"/>
  <c r="I242" i="7" s="1"/>
  <c r="G242" i="7"/>
  <c r="C243" i="7" l="1"/>
  <c r="D243" i="7" l="1"/>
  <c r="F243" i="7" s="1"/>
  <c r="I243" i="7" s="1"/>
  <c r="G243" i="7"/>
  <c r="C244" i="7" l="1"/>
  <c r="D244" i="7" l="1"/>
  <c r="F244" i="7" s="1"/>
  <c r="G244" i="7"/>
  <c r="I244" i="7" l="1"/>
  <c r="C245" i="7"/>
  <c r="D245" i="7" l="1"/>
  <c r="G245" i="7"/>
  <c r="F245" i="7"/>
  <c r="I245" i="7" l="1"/>
  <c r="C246" i="7"/>
  <c r="G246" i="7" l="1"/>
  <c r="D246" i="7"/>
  <c r="F246" i="7"/>
  <c r="I246" i="7" l="1"/>
  <c r="C247" i="7"/>
  <c r="G247" i="7" l="1"/>
  <c r="D247" i="7"/>
  <c r="F247" i="7" s="1"/>
  <c r="I247" i="7" l="1"/>
  <c r="C248" i="7"/>
  <c r="G248" i="7" l="1"/>
  <c r="D248" i="7"/>
  <c r="F248" i="7" s="1"/>
  <c r="I248" i="7" l="1"/>
  <c r="C249" i="7"/>
  <c r="D249" i="7" l="1"/>
  <c r="F249" i="7" s="1"/>
  <c r="G249" i="7"/>
  <c r="I249" i="7" l="1"/>
  <c r="C250" i="7"/>
  <c r="D250" i="7" l="1"/>
  <c r="F250" i="7" s="1"/>
  <c r="G250" i="7"/>
  <c r="I250" i="7" l="1"/>
  <c r="C251" i="7"/>
  <c r="D251" i="7" l="1"/>
  <c r="G251" i="7"/>
  <c r="F251" i="7"/>
  <c r="I251" i="7" s="1"/>
  <c r="C252" i="7" l="1"/>
  <c r="D252" i="7" l="1"/>
  <c r="G252" i="7"/>
  <c r="F252" i="7"/>
  <c r="I252" i="7" l="1"/>
  <c r="C253" i="7"/>
  <c r="D253" i="7" l="1"/>
  <c r="G253" i="7"/>
  <c r="F253" i="7"/>
  <c r="I253" i="7" l="1"/>
  <c r="C254" i="7"/>
  <c r="G254" i="7" l="1"/>
  <c r="D254" i="7"/>
  <c r="F254" i="7"/>
  <c r="I254" i="7" l="1"/>
  <c r="C255" i="7"/>
  <c r="G255" i="7" l="1"/>
  <c r="D255" i="7"/>
  <c r="F255" i="7" s="1"/>
  <c r="I255" i="7" l="1"/>
  <c r="C256" i="7"/>
  <c r="D256" i="7" l="1"/>
  <c r="G256" i="7"/>
  <c r="F256" i="7"/>
  <c r="I256" i="7" s="1"/>
  <c r="C257" i="7" l="1"/>
  <c r="D257" i="7" l="1"/>
  <c r="G257" i="7"/>
  <c r="F257" i="7"/>
  <c r="I257" i="7" s="1"/>
  <c r="C258" i="7" l="1"/>
  <c r="G258" i="7" l="1"/>
  <c r="D258" i="7"/>
  <c r="F258" i="7"/>
  <c r="I258" i="7" l="1"/>
  <c r="C259" i="7"/>
  <c r="D259" i="7" l="1"/>
  <c r="G259" i="7"/>
  <c r="F259" i="7"/>
  <c r="I259" i="7" l="1"/>
  <c r="C260" i="7"/>
  <c r="D260" i="7" l="1"/>
  <c r="G260" i="7"/>
  <c r="F260" i="7"/>
  <c r="I260" i="7" l="1"/>
  <c r="C261" i="7"/>
  <c r="D261" i="7" l="1"/>
  <c r="G261" i="7"/>
  <c r="F261" i="7"/>
  <c r="I261" i="7" s="1"/>
  <c r="C262" i="7" l="1"/>
  <c r="G262" i="7" l="1"/>
  <c r="D262" i="7"/>
  <c r="F262" i="7" s="1"/>
  <c r="I262" i="7" l="1"/>
  <c r="C263" i="7"/>
  <c r="D263" i="7" l="1"/>
  <c r="G263" i="7"/>
  <c r="F263" i="7"/>
  <c r="I263" i="7" s="1"/>
  <c r="C264" i="7" l="1"/>
  <c r="G264" i="7" l="1"/>
  <c r="D264" i="7"/>
  <c r="F264" i="7" s="1"/>
  <c r="I264" i="7" l="1"/>
  <c r="C265" i="7" s="1"/>
  <c r="D265" i="7" l="1"/>
  <c r="F265" i="7" s="1"/>
  <c r="G265" i="7"/>
  <c r="I265" i="7" l="1"/>
  <c r="C266" i="7"/>
  <c r="D266" i="7" l="1"/>
  <c r="G266" i="7"/>
  <c r="F266" i="7"/>
  <c r="I266" i="7" l="1"/>
  <c r="C267" i="7"/>
  <c r="D267" i="7" l="1"/>
  <c r="F267" i="7" s="1"/>
  <c r="I267" i="7" s="1"/>
  <c r="G267" i="7"/>
  <c r="C268" i="7" l="1"/>
  <c r="G268" i="7" l="1"/>
  <c r="D268" i="7"/>
  <c r="F268" i="7"/>
  <c r="I268" i="7" l="1"/>
  <c r="C269" i="7"/>
  <c r="D269" i="7" l="1"/>
  <c r="F269" i="7" s="1"/>
  <c r="G269" i="7"/>
  <c r="I269" i="7" l="1"/>
  <c r="C270" i="7"/>
  <c r="G270" i="7" l="1"/>
  <c r="D270" i="7"/>
  <c r="F270" i="7" s="1"/>
  <c r="I270" i="7" l="1"/>
  <c r="C271" i="7"/>
  <c r="D271" i="7" l="1"/>
  <c r="G271" i="7"/>
  <c r="F271" i="7"/>
  <c r="I271" i="7" l="1"/>
  <c r="C272" i="7"/>
  <c r="D272" i="7" l="1"/>
  <c r="G272" i="7"/>
  <c r="F272" i="7"/>
  <c r="I272" i="7" l="1"/>
  <c r="C273" i="7"/>
  <c r="D273" i="7" l="1"/>
  <c r="F273" i="7" s="1"/>
  <c r="I273" i="7" s="1"/>
  <c r="G273" i="7"/>
  <c r="C274" i="7" l="1"/>
  <c r="D274" i="7" l="1"/>
  <c r="G274" i="7"/>
  <c r="F274" i="7"/>
  <c r="I274" i="7" s="1"/>
  <c r="C275" i="7" l="1"/>
  <c r="D275" i="7" l="1"/>
  <c r="F275" i="7" s="1"/>
  <c r="I275" i="7" s="1"/>
  <c r="G275" i="7"/>
  <c r="C276" i="7" l="1"/>
  <c r="D276" i="7" l="1"/>
  <c r="F276" i="7" s="1"/>
  <c r="G276" i="7"/>
  <c r="I276" i="7" l="1"/>
  <c r="C277" i="7"/>
  <c r="G277" i="7" l="1"/>
  <c r="D277" i="7"/>
  <c r="F277" i="7" s="1"/>
  <c r="I277" i="7" l="1"/>
  <c r="C278" i="7"/>
  <c r="G278" i="7" l="1"/>
  <c r="D278" i="7"/>
  <c r="F278" i="7" l="1"/>
  <c r="I278" i="7" s="1"/>
  <c r="C279" i="7" l="1"/>
  <c r="D279" i="7" l="1"/>
  <c r="G279" i="7"/>
  <c r="F279" i="7"/>
  <c r="I279" i="7" l="1"/>
  <c r="C280" i="7"/>
  <c r="G280" i="7" l="1"/>
  <c r="D280" i="7"/>
  <c r="F280" i="7" s="1"/>
  <c r="I280" i="7" l="1"/>
  <c r="C281" i="7"/>
  <c r="D281" i="7" l="1"/>
  <c r="F281" i="7" s="1"/>
  <c r="G281" i="7"/>
  <c r="I281" i="7" l="1"/>
  <c r="C282" i="7"/>
  <c r="D282" i="7" l="1"/>
  <c r="F282" i="7" s="1"/>
  <c r="I282" i="7" s="1"/>
  <c r="G282" i="7"/>
  <c r="C283" i="7" l="1"/>
  <c r="G283" i="7" l="1"/>
  <c r="D283" i="7"/>
  <c r="F283" i="7" s="1"/>
  <c r="I283" i="7" l="1"/>
  <c r="C284" i="7"/>
  <c r="D284" i="7" l="1"/>
  <c r="G284" i="7"/>
  <c r="F284" i="7"/>
  <c r="I284" i="7" l="1"/>
  <c r="C285" i="7"/>
  <c r="D285" i="7" l="1"/>
  <c r="G285" i="7"/>
  <c r="F285" i="7"/>
  <c r="I285" i="7" l="1"/>
  <c r="C286" i="7"/>
  <c r="G286" i="7" l="1"/>
  <c r="D286" i="7"/>
  <c r="F286" i="7" s="1"/>
  <c r="I286" i="7" l="1"/>
  <c r="C287" i="7"/>
  <c r="D287" i="7" l="1"/>
  <c r="F287" i="7" s="1"/>
  <c r="G287" i="7"/>
  <c r="I287" i="7" l="1"/>
  <c r="C288" i="7"/>
  <c r="G288" i="7" l="1"/>
  <c r="D288" i="7"/>
  <c r="F288" i="7" s="1"/>
  <c r="I288" i="7" l="1"/>
  <c r="C289" i="7" l="1"/>
  <c r="D289" i="7" l="1"/>
  <c r="F289" i="7" s="1"/>
  <c r="G289" i="7"/>
  <c r="I289" i="7" l="1"/>
  <c r="C290" i="7"/>
  <c r="G290" i="7" l="1"/>
  <c r="D290" i="7"/>
  <c r="F290" i="7" s="1"/>
  <c r="I290" i="7" l="1"/>
  <c r="C291" i="7"/>
  <c r="D291" i="7" l="1"/>
  <c r="G291" i="7"/>
  <c r="F291" i="7"/>
  <c r="I291" i="7" l="1"/>
  <c r="C292" i="7"/>
  <c r="G292" i="7" l="1"/>
  <c r="D292" i="7"/>
  <c r="F292" i="7"/>
  <c r="I292" i="7" l="1"/>
  <c r="C293" i="7"/>
  <c r="D293" i="7" l="1"/>
  <c r="G293" i="7"/>
  <c r="F293" i="7"/>
  <c r="I293" i="7" l="1"/>
  <c r="C294" i="7"/>
  <c r="G294" i="7" l="1"/>
  <c r="D294" i="7"/>
  <c r="F294" i="7" s="1"/>
  <c r="I294" i="7" l="1"/>
  <c r="C295" i="7"/>
  <c r="D295" i="7" l="1"/>
  <c r="G295" i="7"/>
  <c r="F295" i="7"/>
  <c r="I295" i="7" s="1"/>
  <c r="C296" i="7" l="1"/>
  <c r="G296" i="7" l="1"/>
  <c r="D296" i="7"/>
  <c r="F296" i="7" s="1"/>
  <c r="I296" i="7" l="1"/>
  <c r="C297" i="7"/>
  <c r="D297" i="7" l="1"/>
  <c r="G297" i="7"/>
  <c r="F297" i="7"/>
  <c r="I297" i="7" s="1"/>
  <c r="C298" i="7" l="1"/>
  <c r="G298" i="7" l="1"/>
  <c r="D298" i="7"/>
  <c r="F298" i="7" l="1"/>
  <c r="I298" i="7" s="1"/>
  <c r="C299" i="7" l="1"/>
  <c r="D299" i="7" l="1"/>
  <c r="G299" i="7"/>
  <c r="F299" i="7"/>
  <c r="I299" i="7" s="1"/>
  <c r="C300" i="7" l="1"/>
  <c r="D300" i="7" l="1"/>
  <c r="G300" i="7"/>
  <c r="F300" i="7"/>
  <c r="I300" i="7" s="1"/>
  <c r="C301" i="7" l="1"/>
  <c r="D301" i="7" l="1"/>
  <c r="G301" i="7"/>
  <c r="F301" i="7"/>
  <c r="I301" i="7" s="1"/>
  <c r="C302" i="7" l="1"/>
  <c r="D302" i="7" l="1"/>
  <c r="G302" i="7"/>
  <c r="F302" i="7"/>
  <c r="I302" i="7" s="1"/>
  <c r="C303" i="7" l="1"/>
  <c r="G303" i="7" l="1"/>
  <c r="D303" i="7"/>
  <c r="F303" i="7" s="1"/>
  <c r="I303" i="7" l="1"/>
  <c r="C304" i="7"/>
  <c r="D304" i="7" l="1"/>
  <c r="F304" i="7" s="1"/>
  <c r="G304" i="7"/>
  <c r="I304" i="7" l="1"/>
  <c r="C305" i="7"/>
  <c r="G305" i="7" l="1"/>
  <c r="D305" i="7"/>
  <c r="F305" i="7" s="1"/>
  <c r="I305" i="7" l="1"/>
  <c r="C306" i="7"/>
  <c r="D306" i="7" l="1"/>
  <c r="G306" i="7"/>
  <c r="F306" i="7"/>
  <c r="I306" i="7" s="1"/>
  <c r="C307" i="7" l="1"/>
  <c r="G307" i="7" l="1"/>
  <c r="D307" i="7"/>
  <c r="F307" i="7" s="1"/>
  <c r="I307" i="7" l="1"/>
  <c r="C308" i="7"/>
  <c r="D308" i="7" l="1"/>
  <c r="G308" i="7"/>
  <c r="F308" i="7"/>
  <c r="I308" i="7" l="1"/>
  <c r="C309" i="7"/>
  <c r="D309" i="7" l="1"/>
  <c r="F309" i="7" s="1"/>
  <c r="I309" i="7" s="1"/>
  <c r="G309" i="7"/>
  <c r="C310" i="7" l="1"/>
  <c r="D310" i="7" l="1"/>
  <c r="G310" i="7"/>
  <c r="F310" i="7"/>
  <c r="I310" i="7" s="1"/>
  <c r="C311" i="7" l="1"/>
  <c r="D311" i="7" l="1"/>
  <c r="G311" i="7"/>
  <c r="F311" i="7"/>
  <c r="I311" i="7" l="1"/>
  <c r="C312" i="7"/>
  <c r="D312" i="7" l="1"/>
  <c r="G312" i="7"/>
  <c r="F312" i="7" l="1"/>
  <c r="I312" i="7" s="1"/>
  <c r="C313" i="7" s="1"/>
  <c r="D313" i="7" l="1"/>
  <c r="G313" i="7"/>
  <c r="F313" i="7"/>
  <c r="I313" i="7" s="1"/>
  <c r="C314" i="7" l="1"/>
  <c r="G314" i="7" l="1"/>
  <c r="D314" i="7"/>
  <c r="F314" i="7" s="1"/>
  <c r="I314" i="7" l="1"/>
  <c r="C315" i="7"/>
  <c r="D315" i="7" l="1"/>
  <c r="G315" i="7"/>
  <c r="F315" i="7"/>
  <c r="I315" i="7" l="1"/>
  <c r="C316" i="7"/>
  <c r="G316" i="7" l="1"/>
  <c r="D316" i="7"/>
  <c r="F316" i="7" s="1"/>
  <c r="I316" i="7" l="1"/>
  <c r="C317" i="7"/>
  <c r="D317" i="7" l="1"/>
  <c r="G317" i="7"/>
  <c r="F317" i="7"/>
  <c r="I317" i="7" l="1"/>
  <c r="C318" i="7"/>
  <c r="D318" i="7" l="1"/>
  <c r="G318" i="7"/>
  <c r="F318" i="7"/>
  <c r="I318" i="7" s="1"/>
  <c r="C319" i="7" l="1"/>
  <c r="G319" i="7" l="1"/>
  <c r="D319" i="7"/>
  <c r="F319" i="7" s="1"/>
  <c r="I319" i="7" l="1"/>
  <c r="C320" i="7"/>
  <c r="D320" i="7" l="1"/>
  <c r="G320" i="7"/>
  <c r="F320" i="7"/>
  <c r="I320" i="7" s="1"/>
  <c r="C321" i="7" l="1"/>
  <c r="G321" i="7" l="1"/>
  <c r="D321" i="7"/>
  <c r="F321" i="7"/>
  <c r="I321" i="7" l="1"/>
  <c r="C322" i="7"/>
  <c r="D322" i="7" l="1"/>
  <c r="G322" i="7"/>
  <c r="F322" i="7"/>
  <c r="I322" i="7" s="1"/>
  <c r="C323" i="7" l="1"/>
  <c r="G323" i="7" l="1"/>
  <c r="D323" i="7"/>
  <c r="F323" i="7" s="1"/>
  <c r="I323" i="7" l="1"/>
  <c r="C324" i="7"/>
  <c r="D324" i="7" l="1"/>
  <c r="G324" i="7"/>
  <c r="F324" i="7"/>
  <c r="I324" i="7" s="1"/>
  <c r="C325" i="7" l="1"/>
  <c r="D325" i="7" l="1"/>
  <c r="G325" i="7"/>
  <c r="F325" i="7"/>
  <c r="I325" i="7" s="1"/>
  <c r="C326" i="7" l="1"/>
  <c r="D326" i="7" l="1"/>
  <c r="G326" i="7"/>
  <c r="F326" i="7"/>
  <c r="I326" i="7" s="1"/>
  <c r="C327" i="7" l="1"/>
  <c r="D327" i="7" l="1"/>
  <c r="G327" i="7"/>
  <c r="F327" i="7"/>
  <c r="I327" i="7" l="1"/>
  <c r="C328" i="7"/>
  <c r="D328" i="7" l="1"/>
  <c r="G328" i="7"/>
  <c r="F328" i="7" l="1"/>
  <c r="I328" i="7" s="1"/>
  <c r="C329" i="7" s="1"/>
  <c r="D329" i="7" l="1"/>
  <c r="G329" i="7"/>
  <c r="F329" i="7"/>
  <c r="I329" i="7" l="1"/>
  <c r="C330" i="7"/>
  <c r="G330" i="7" l="1"/>
  <c r="D330" i="7"/>
  <c r="F330" i="7" s="1"/>
  <c r="I330" i="7" l="1"/>
  <c r="C331" i="7"/>
  <c r="D331" i="7" l="1"/>
  <c r="F331" i="7" s="1"/>
  <c r="G331" i="7"/>
  <c r="I331" i="7" l="1"/>
  <c r="C332" i="7"/>
  <c r="G332" i="7" l="1"/>
  <c r="D332" i="7"/>
  <c r="F332" i="7" s="1"/>
  <c r="I332" i="7" l="1"/>
  <c r="C333" i="7"/>
  <c r="D333" i="7" l="1"/>
  <c r="G333" i="7"/>
  <c r="F333" i="7"/>
  <c r="I333" i="7" l="1"/>
  <c r="C334" i="7"/>
  <c r="D334" i="7" l="1"/>
  <c r="F334" i="7" s="1"/>
  <c r="I334" i="7" s="1"/>
  <c r="G334" i="7"/>
  <c r="C335" i="7" l="1"/>
  <c r="G335" i="7" l="1"/>
  <c r="D335" i="7"/>
  <c r="F335" i="7" s="1"/>
  <c r="I335" i="7" l="1"/>
  <c r="C336" i="7"/>
  <c r="D336" i="7" l="1"/>
  <c r="G336" i="7"/>
  <c r="F336" i="7"/>
  <c r="I336" i="7" s="1"/>
  <c r="C337" i="7" l="1"/>
  <c r="G337" i="7" l="1"/>
  <c r="D337" i="7"/>
  <c r="F337" i="7" s="1"/>
  <c r="I337" i="7" l="1"/>
  <c r="C338" i="7" l="1"/>
  <c r="D338" i="7" l="1"/>
  <c r="G338" i="7"/>
  <c r="F338" i="7"/>
  <c r="I338" i="7" s="1"/>
  <c r="C339" i="7" l="1"/>
  <c r="G339" i="7" l="1"/>
  <c r="D339" i="7"/>
  <c r="F339" i="7"/>
  <c r="I339" i="7" l="1"/>
  <c r="C340" i="7"/>
  <c r="D340" i="7" l="1"/>
  <c r="G340" i="7"/>
  <c r="F340" i="7"/>
  <c r="I340" i="7" s="1"/>
  <c r="C341" i="7" l="1"/>
  <c r="D341" i="7" l="1"/>
  <c r="G341" i="7"/>
  <c r="F341" i="7"/>
  <c r="I341" i="7" l="1"/>
  <c r="C342" i="7"/>
  <c r="D342" i="7" l="1"/>
  <c r="G342" i="7"/>
  <c r="F342" i="7"/>
  <c r="I342" i="7" s="1"/>
  <c r="C343" i="7" l="1"/>
  <c r="D343" i="7" l="1"/>
  <c r="G343" i="7"/>
  <c r="F343" i="7"/>
  <c r="I343" i="7" l="1"/>
  <c r="C344" i="7"/>
  <c r="D344" i="7" l="1"/>
  <c r="F344" i="7" s="1"/>
  <c r="I344" i="7" s="1"/>
  <c r="G344" i="7"/>
  <c r="C345" i="7" l="1"/>
  <c r="G345" i="7" l="1"/>
  <c r="D345" i="7"/>
  <c r="F345" i="7" s="1"/>
  <c r="I345" i="7" l="1"/>
  <c r="C346" i="7" l="1"/>
  <c r="G346" i="7" l="1"/>
  <c r="D346" i="7"/>
  <c r="F346" i="7" l="1"/>
  <c r="I346" i="7" s="1"/>
  <c r="C347" i="7" l="1"/>
  <c r="D347" i="7" l="1"/>
  <c r="G347" i="7"/>
  <c r="F347" i="7"/>
  <c r="I347" i="7" l="1"/>
  <c r="C348" i="7"/>
  <c r="G348" i="7" l="1"/>
  <c r="D348" i="7"/>
  <c r="F348" i="7"/>
  <c r="I348" i="7" l="1"/>
  <c r="C349" i="7"/>
  <c r="D349" i="7" l="1"/>
  <c r="G349" i="7"/>
  <c r="F349" i="7"/>
  <c r="I349" i="7" s="1"/>
  <c r="C350" i="7" l="1"/>
  <c r="D350" i="7" l="1"/>
  <c r="G350" i="7"/>
  <c r="F350" i="7"/>
  <c r="I350" i="7" s="1"/>
  <c r="C351" i="7" l="1"/>
  <c r="D351" i="7" l="1"/>
  <c r="G351" i="7"/>
  <c r="F351" i="7"/>
  <c r="I351" i="7" s="1"/>
  <c r="C352" i="7" l="1"/>
  <c r="D352" i="7" l="1"/>
  <c r="G352" i="7"/>
  <c r="F352" i="7"/>
  <c r="I352" i="7" l="1"/>
  <c r="C353" i="7"/>
  <c r="G353" i="7" l="1"/>
  <c r="D353" i="7"/>
  <c r="F353" i="7" s="1"/>
  <c r="I353" i="7" l="1"/>
  <c r="C354" i="7"/>
  <c r="D354" i="7" l="1"/>
  <c r="G354" i="7"/>
  <c r="F354" i="7"/>
  <c r="I354" i="7" l="1"/>
  <c r="C355" i="7"/>
  <c r="G355" i="7" l="1"/>
  <c r="D355" i="7"/>
  <c r="F355" i="7"/>
  <c r="I355" i="7" l="1"/>
  <c r="C356" i="7"/>
  <c r="D356" i="7" l="1"/>
  <c r="G356" i="7"/>
  <c r="F356" i="7"/>
  <c r="I356" i="7" l="1"/>
  <c r="C357" i="7"/>
  <c r="D357" i="7" l="1"/>
  <c r="G357" i="7"/>
  <c r="F357" i="7"/>
  <c r="I357" i="7" l="1"/>
  <c r="C358" i="7"/>
  <c r="D358" i="7" l="1"/>
  <c r="G358" i="7"/>
  <c r="F358" i="7"/>
  <c r="I358" i="7" s="1"/>
  <c r="C359" i="7" l="1"/>
  <c r="D359" i="7" l="1"/>
  <c r="G359" i="7"/>
  <c r="F359" i="7"/>
  <c r="I359" i="7" s="1"/>
  <c r="C360" i="7" l="1"/>
  <c r="D360" i="7" l="1"/>
  <c r="F360" i="7"/>
  <c r="G360" i="7"/>
  <c r="I360" i="7" l="1"/>
  <c r="C361" i="7"/>
  <c r="D361" i="7" l="1"/>
  <c r="G361" i="7"/>
  <c r="F361" i="7"/>
  <c r="I361" i="7" s="1"/>
  <c r="C362" i="7" l="1"/>
  <c r="G362" i="7" l="1"/>
  <c r="D362" i="7"/>
  <c r="F362" i="7"/>
  <c r="I362" i="7" l="1"/>
  <c r="J362" i="7"/>
  <c r="C363" i="7"/>
  <c r="D363" i="7" l="1"/>
  <c r="G363" i="7"/>
  <c r="F363" i="7"/>
  <c r="J5" i="7"/>
  <c r="E5" i="7" s="1"/>
  <c r="J4" i="7"/>
  <c r="J6" i="7"/>
  <c r="E6" i="7" s="1"/>
  <c r="H6" i="7" s="1"/>
  <c r="J7" i="7"/>
  <c r="E7" i="7" s="1"/>
  <c r="H7" i="7" s="1"/>
  <c r="J8" i="7"/>
  <c r="E8" i="7" s="1"/>
  <c r="H8" i="7" s="1"/>
  <c r="J9" i="7"/>
  <c r="E9" i="7" s="1"/>
  <c r="H9" i="7" s="1"/>
  <c r="J10" i="7"/>
  <c r="E10" i="7" s="1"/>
  <c r="H10" i="7" s="1"/>
  <c r="J11" i="7"/>
  <c r="E11" i="7" s="1"/>
  <c r="H11" i="7" s="1"/>
  <c r="J12" i="7"/>
  <c r="E12" i="7" s="1"/>
  <c r="H12" i="7" s="1"/>
  <c r="J13" i="7"/>
  <c r="E13" i="7" s="1"/>
  <c r="H13" i="7" s="1"/>
  <c r="J14" i="7"/>
  <c r="E14" i="7" s="1"/>
  <c r="H14" i="7" s="1"/>
  <c r="J15" i="7"/>
  <c r="E15" i="7" s="1"/>
  <c r="H15" i="7" s="1"/>
  <c r="J16" i="7"/>
  <c r="E16" i="7" s="1"/>
  <c r="H16" i="7" s="1"/>
  <c r="J17" i="7"/>
  <c r="E17" i="7" s="1"/>
  <c r="H17" i="7" s="1"/>
  <c r="J18" i="7"/>
  <c r="E18" i="7" s="1"/>
  <c r="H18" i="7" s="1"/>
  <c r="J19" i="7"/>
  <c r="E19" i="7" s="1"/>
  <c r="H19" i="7" s="1"/>
  <c r="J20" i="7"/>
  <c r="E20" i="7" s="1"/>
  <c r="H20" i="7" s="1"/>
  <c r="J21" i="7"/>
  <c r="E21" i="7" s="1"/>
  <c r="H21" i="7" s="1"/>
  <c r="J22" i="7"/>
  <c r="E22" i="7" s="1"/>
  <c r="H22" i="7" s="1"/>
  <c r="J23" i="7"/>
  <c r="E23" i="7" s="1"/>
  <c r="H23" i="7" s="1"/>
  <c r="J24" i="7"/>
  <c r="E24" i="7" s="1"/>
  <c r="H24" i="7" s="1"/>
  <c r="J25" i="7"/>
  <c r="E25" i="7" s="1"/>
  <c r="H25" i="7" s="1"/>
  <c r="J26" i="7"/>
  <c r="E26" i="7" s="1"/>
  <c r="H26" i="7" s="1"/>
  <c r="J27" i="7"/>
  <c r="E27" i="7" s="1"/>
  <c r="H27" i="7" s="1"/>
  <c r="J28" i="7"/>
  <c r="E28" i="7" s="1"/>
  <c r="H28" i="7" s="1"/>
  <c r="J29" i="7"/>
  <c r="E29" i="7" s="1"/>
  <c r="H29" i="7" s="1"/>
  <c r="J30" i="7"/>
  <c r="E30" i="7" s="1"/>
  <c r="H30" i="7" s="1"/>
  <c r="J31" i="7"/>
  <c r="E31" i="7" s="1"/>
  <c r="H31" i="7" s="1"/>
  <c r="J32" i="7"/>
  <c r="E32" i="7" s="1"/>
  <c r="H32" i="7" s="1"/>
  <c r="J33" i="7"/>
  <c r="E33" i="7" s="1"/>
  <c r="H33" i="7" s="1"/>
  <c r="J34" i="7"/>
  <c r="E34" i="7" s="1"/>
  <c r="H34" i="7" s="1"/>
  <c r="J35" i="7"/>
  <c r="E35" i="7" s="1"/>
  <c r="H35" i="7" s="1"/>
  <c r="J36" i="7"/>
  <c r="E36" i="7" s="1"/>
  <c r="H36" i="7" s="1"/>
  <c r="J37" i="7"/>
  <c r="E37" i="7" s="1"/>
  <c r="H37" i="7" s="1"/>
  <c r="J38" i="7"/>
  <c r="E38" i="7" s="1"/>
  <c r="H38" i="7" s="1"/>
  <c r="J39" i="7"/>
  <c r="E39" i="7" s="1"/>
  <c r="H39" i="7" s="1"/>
  <c r="J40" i="7"/>
  <c r="E40" i="7" s="1"/>
  <c r="H40" i="7" s="1"/>
  <c r="J41" i="7"/>
  <c r="E41" i="7" s="1"/>
  <c r="H41" i="7" s="1"/>
  <c r="J42" i="7"/>
  <c r="E42" i="7" s="1"/>
  <c r="H42" i="7" s="1"/>
  <c r="J43" i="7"/>
  <c r="E43" i="7" s="1"/>
  <c r="H43" i="7" s="1"/>
  <c r="J44" i="7"/>
  <c r="E44" i="7" s="1"/>
  <c r="H44" i="7" s="1"/>
  <c r="J45" i="7"/>
  <c r="E45" i="7" s="1"/>
  <c r="H45" i="7" s="1"/>
  <c r="J46" i="7"/>
  <c r="E46" i="7" s="1"/>
  <c r="H46" i="7" s="1"/>
  <c r="J47" i="7"/>
  <c r="E47" i="7" s="1"/>
  <c r="H47" i="7" s="1"/>
  <c r="J48" i="7"/>
  <c r="E48" i="7" s="1"/>
  <c r="H48" i="7" s="1"/>
  <c r="J49" i="7"/>
  <c r="E49" i="7" s="1"/>
  <c r="H49" i="7" s="1"/>
  <c r="J50" i="7"/>
  <c r="E50" i="7" s="1"/>
  <c r="H50" i="7" s="1"/>
  <c r="J51" i="7"/>
  <c r="E51" i="7" s="1"/>
  <c r="H51" i="7" s="1"/>
  <c r="J52" i="7"/>
  <c r="E52" i="7" s="1"/>
  <c r="H52" i="7" s="1"/>
  <c r="J53" i="7"/>
  <c r="E53" i="7" s="1"/>
  <c r="H53" i="7" s="1"/>
  <c r="J54" i="7"/>
  <c r="E54" i="7" s="1"/>
  <c r="H54" i="7" s="1"/>
  <c r="J55" i="7"/>
  <c r="E55" i="7" s="1"/>
  <c r="H55" i="7" s="1"/>
  <c r="J56" i="7"/>
  <c r="E56" i="7" s="1"/>
  <c r="H56" i="7" s="1"/>
  <c r="J57" i="7"/>
  <c r="E57" i="7" s="1"/>
  <c r="H57" i="7" s="1"/>
  <c r="J58" i="7"/>
  <c r="E58" i="7" s="1"/>
  <c r="H58" i="7" s="1"/>
  <c r="J59" i="7"/>
  <c r="E59" i="7" s="1"/>
  <c r="H59" i="7" s="1"/>
  <c r="J60" i="7"/>
  <c r="E60" i="7" s="1"/>
  <c r="H60" i="7" s="1"/>
  <c r="J61" i="7"/>
  <c r="E61" i="7" s="1"/>
  <c r="H61" i="7" s="1"/>
  <c r="J62" i="7"/>
  <c r="E62" i="7" s="1"/>
  <c r="H62" i="7" s="1"/>
  <c r="J63" i="7"/>
  <c r="E63" i="7" s="1"/>
  <c r="H63" i="7" s="1"/>
  <c r="J64" i="7"/>
  <c r="E64" i="7" s="1"/>
  <c r="H64" i="7" s="1"/>
  <c r="J65" i="7"/>
  <c r="E65" i="7" s="1"/>
  <c r="H65" i="7" s="1"/>
  <c r="J66" i="7"/>
  <c r="E66" i="7" s="1"/>
  <c r="H66" i="7" s="1"/>
  <c r="J67" i="7"/>
  <c r="E67" i="7" s="1"/>
  <c r="H67" i="7" s="1"/>
  <c r="J68" i="7"/>
  <c r="E68" i="7" s="1"/>
  <c r="H68" i="7" s="1"/>
  <c r="J69" i="7"/>
  <c r="E69" i="7" s="1"/>
  <c r="H69" i="7" s="1"/>
  <c r="J70" i="7"/>
  <c r="E70" i="7" s="1"/>
  <c r="H70" i="7" s="1"/>
  <c r="J71" i="7"/>
  <c r="E71" i="7" s="1"/>
  <c r="H71" i="7" s="1"/>
  <c r="J72" i="7"/>
  <c r="E72" i="7" s="1"/>
  <c r="H72" i="7" s="1"/>
  <c r="J73" i="7"/>
  <c r="E73" i="7" s="1"/>
  <c r="H73" i="7" s="1"/>
  <c r="J74" i="7"/>
  <c r="E74" i="7" s="1"/>
  <c r="H74" i="7" s="1"/>
  <c r="J75" i="7"/>
  <c r="E75" i="7" s="1"/>
  <c r="H75" i="7" s="1"/>
  <c r="J76" i="7"/>
  <c r="E76" i="7" s="1"/>
  <c r="H76" i="7" s="1"/>
  <c r="J77" i="7"/>
  <c r="E77" i="7" s="1"/>
  <c r="H77" i="7" s="1"/>
  <c r="J78" i="7"/>
  <c r="E78" i="7" s="1"/>
  <c r="H78" i="7" s="1"/>
  <c r="J79" i="7"/>
  <c r="E79" i="7" s="1"/>
  <c r="H79" i="7" s="1"/>
  <c r="J80" i="7"/>
  <c r="E80" i="7" s="1"/>
  <c r="H80" i="7" s="1"/>
  <c r="J81" i="7"/>
  <c r="E81" i="7" s="1"/>
  <c r="H81" i="7" s="1"/>
  <c r="J82" i="7"/>
  <c r="E82" i="7" s="1"/>
  <c r="H82" i="7" s="1"/>
  <c r="J83" i="7"/>
  <c r="E83" i="7" s="1"/>
  <c r="H83" i="7" s="1"/>
  <c r="J84" i="7"/>
  <c r="E84" i="7" s="1"/>
  <c r="H84" i="7" s="1"/>
  <c r="J85" i="7"/>
  <c r="E85" i="7" s="1"/>
  <c r="H85" i="7" s="1"/>
  <c r="J86" i="7"/>
  <c r="E86" i="7" s="1"/>
  <c r="H86" i="7" s="1"/>
  <c r="J87" i="7"/>
  <c r="E87" i="7" s="1"/>
  <c r="H87" i="7" s="1"/>
  <c r="J88" i="7"/>
  <c r="E88" i="7" s="1"/>
  <c r="H88" i="7" s="1"/>
  <c r="J89" i="7"/>
  <c r="E89" i="7" s="1"/>
  <c r="H89" i="7" s="1"/>
  <c r="J90" i="7"/>
  <c r="E90" i="7" s="1"/>
  <c r="H90" i="7" s="1"/>
  <c r="J91" i="7"/>
  <c r="E91" i="7" s="1"/>
  <c r="H91" i="7" s="1"/>
  <c r="J92" i="7"/>
  <c r="E92" i="7" s="1"/>
  <c r="H92" i="7" s="1"/>
  <c r="J93" i="7"/>
  <c r="E93" i="7" s="1"/>
  <c r="H93" i="7" s="1"/>
  <c r="J94" i="7"/>
  <c r="E94" i="7" s="1"/>
  <c r="H94" i="7" s="1"/>
  <c r="J95" i="7"/>
  <c r="E95" i="7" s="1"/>
  <c r="H95" i="7" s="1"/>
  <c r="J96" i="7"/>
  <c r="E96" i="7" s="1"/>
  <c r="H96" i="7" s="1"/>
  <c r="J97" i="7"/>
  <c r="E97" i="7" s="1"/>
  <c r="H97" i="7" s="1"/>
  <c r="J98" i="7"/>
  <c r="E98" i="7" s="1"/>
  <c r="H98" i="7" s="1"/>
  <c r="J99" i="7"/>
  <c r="E99" i="7" s="1"/>
  <c r="H99" i="7" s="1"/>
  <c r="J100" i="7"/>
  <c r="E100" i="7" s="1"/>
  <c r="H100" i="7" s="1"/>
  <c r="J101" i="7"/>
  <c r="E101" i="7" s="1"/>
  <c r="H101" i="7" s="1"/>
  <c r="J102" i="7"/>
  <c r="E102" i="7" s="1"/>
  <c r="H102" i="7" s="1"/>
  <c r="J103" i="7"/>
  <c r="E103" i="7" s="1"/>
  <c r="H103" i="7" s="1"/>
  <c r="J104" i="7"/>
  <c r="E104" i="7" s="1"/>
  <c r="H104" i="7" s="1"/>
  <c r="J105" i="7"/>
  <c r="E105" i="7" s="1"/>
  <c r="H105" i="7" s="1"/>
  <c r="J106" i="7"/>
  <c r="E106" i="7" s="1"/>
  <c r="H106" i="7" s="1"/>
  <c r="J107" i="7"/>
  <c r="E107" i="7" s="1"/>
  <c r="H107" i="7" s="1"/>
  <c r="J108" i="7"/>
  <c r="E108" i="7" s="1"/>
  <c r="H108" i="7" s="1"/>
  <c r="J109" i="7"/>
  <c r="E109" i="7" s="1"/>
  <c r="H109" i="7" s="1"/>
  <c r="J110" i="7"/>
  <c r="E110" i="7" s="1"/>
  <c r="H110" i="7" s="1"/>
  <c r="J111" i="7"/>
  <c r="E111" i="7" s="1"/>
  <c r="H111" i="7" s="1"/>
  <c r="J112" i="7"/>
  <c r="E112" i="7" s="1"/>
  <c r="H112" i="7" s="1"/>
  <c r="J113" i="7"/>
  <c r="E113" i="7" s="1"/>
  <c r="H113" i="7" s="1"/>
  <c r="J114" i="7"/>
  <c r="E114" i="7" s="1"/>
  <c r="H114" i="7" s="1"/>
  <c r="J115" i="7"/>
  <c r="E115" i="7" s="1"/>
  <c r="H115" i="7" s="1"/>
  <c r="J116" i="7"/>
  <c r="E116" i="7" s="1"/>
  <c r="H116" i="7" s="1"/>
  <c r="J117" i="7"/>
  <c r="E117" i="7" s="1"/>
  <c r="H117" i="7" s="1"/>
  <c r="J118" i="7"/>
  <c r="E118" i="7" s="1"/>
  <c r="H118" i="7" s="1"/>
  <c r="J119" i="7"/>
  <c r="E119" i="7" s="1"/>
  <c r="H119" i="7" s="1"/>
  <c r="J120" i="7"/>
  <c r="E120" i="7" s="1"/>
  <c r="H120" i="7" s="1"/>
  <c r="J121" i="7"/>
  <c r="E121" i="7" s="1"/>
  <c r="H121" i="7" s="1"/>
  <c r="J122" i="7"/>
  <c r="E122" i="7" s="1"/>
  <c r="H122" i="7" s="1"/>
  <c r="J123" i="7"/>
  <c r="E123" i="7" s="1"/>
  <c r="H123" i="7" s="1"/>
  <c r="J124" i="7"/>
  <c r="E124" i="7" s="1"/>
  <c r="H124" i="7" s="1"/>
  <c r="J125" i="7"/>
  <c r="E125" i="7" s="1"/>
  <c r="H125" i="7" s="1"/>
  <c r="J126" i="7"/>
  <c r="E126" i="7" s="1"/>
  <c r="H126" i="7" s="1"/>
  <c r="J127" i="7"/>
  <c r="E127" i="7" s="1"/>
  <c r="H127" i="7" s="1"/>
  <c r="J128" i="7"/>
  <c r="E128" i="7" s="1"/>
  <c r="H128" i="7" s="1"/>
  <c r="J129" i="7"/>
  <c r="E129" i="7" s="1"/>
  <c r="H129" i="7" s="1"/>
  <c r="J130" i="7"/>
  <c r="E130" i="7" s="1"/>
  <c r="H130" i="7" s="1"/>
  <c r="J131" i="7"/>
  <c r="E131" i="7" s="1"/>
  <c r="H131" i="7" s="1"/>
  <c r="J132" i="7"/>
  <c r="E132" i="7" s="1"/>
  <c r="H132" i="7" s="1"/>
  <c r="J133" i="7"/>
  <c r="E133" i="7" s="1"/>
  <c r="H133" i="7" s="1"/>
  <c r="J134" i="7"/>
  <c r="E134" i="7" s="1"/>
  <c r="H134" i="7" s="1"/>
  <c r="J135" i="7"/>
  <c r="E135" i="7" s="1"/>
  <c r="H135" i="7" s="1"/>
  <c r="J136" i="7"/>
  <c r="E136" i="7" s="1"/>
  <c r="H136" i="7" s="1"/>
  <c r="J137" i="7"/>
  <c r="E137" i="7" s="1"/>
  <c r="H137" i="7" s="1"/>
  <c r="J138" i="7"/>
  <c r="E138" i="7" s="1"/>
  <c r="H138" i="7" s="1"/>
  <c r="J139" i="7"/>
  <c r="E139" i="7" s="1"/>
  <c r="H139" i="7" s="1"/>
  <c r="J140" i="7"/>
  <c r="E140" i="7" s="1"/>
  <c r="H140" i="7" s="1"/>
  <c r="J141" i="7"/>
  <c r="E141" i="7" s="1"/>
  <c r="H141" i="7" s="1"/>
  <c r="J142" i="7"/>
  <c r="E142" i="7" s="1"/>
  <c r="H142" i="7" s="1"/>
  <c r="J143" i="7"/>
  <c r="E143" i="7" s="1"/>
  <c r="H143" i="7" s="1"/>
  <c r="J144" i="7"/>
  <c r="E144" i="7" s="1"/>
  <c r="H144" i="7" s="1"/>
  <c r="J145" i="7"/>
  <c r="E145" i="7" s="1"/>
  <c r="H145" i="7" s="1"/>
  <c r="J146" i="7"/>
  <c r="E146" i="7" s="1"/>
  <c r="H146" i="7" s="1"/>
  <c r="J147" i="7"/>
  <c r="E147" i="7" s="1"/>
  <c r="H147" i="7" s="1"/>
  <c r="J148" i="7"/>
  <c r="E148" i="7" s="1"/>
  <c r="H148" i="7" s="1"/>
  <c r="J149" i="7"/>
  <c r="E149" i="7" s="1"/>
  <c r="H149" i="7" s="1"/>
  <c r="J150" i="7"/>
  <c r="E150" i="7" s="1"/>
  <c r="H150" i="7" s="1"/>
  <c r="J151" i="7"/>
  <c r="E151" i="7" s="1"/>
  <c r="H151" i="7" s="1"/>
  <c r="J152" i="7"/>
  <c r="E152" i="7" s="1"/>
  <c r="H152" i="7" s="1"/>
  <c r="J153" i="7"/>
  <c r="E153" i="7" s="1"/>
  <c r="H153" i="7" s="1"/>
  <c r="J154" i="7"/>
  <c r="E154" i="7" s="1"/>
  <c r="H154" i="7" s="1"/>
  <c r="J155" i="7"/>
  <c r="E155" i="7" s="1"/>
  <c r="H155" i="7" s="1"/>
  <c r="J156" i="7"/>
  <c r="E156" i="7" s="1"/>
  <c r="H156" i="7" s="1"/>
  <c r="J157" i="7"/>
  <c r="E157" i="7" s="1"/>
  <c r="H157" i="7" s="1"/>
  <c r="J158" i="7"/>
  <c r="E158" i="7" s="1"/>
  <c r="H158" i="7" s="1"/>
  <c r="J159" i="7"/>
  <c r="E159" i="7" s="1"/>
  <c r="H159" i="7" s="1"/>
  <c r="J160" i="7"/>
  <c r="E160" i="7" s="1"/>
  <c r="H160" i="7" s="1"/>
  <c r="J161" i="7"/>
  <c r="E161" i="7" s="1"/>
  <c r="H161" i="7" s="1"/>
  <c r="J162" i="7"/>
  <c r="E162" i="7" s="1"/>
  <c r="H162" i="7" s="1"/>
  <c r="J163" i="7"/>
  <c r="E163" i="7" s="1"/>
  <c r="H163" i="7" s="1"/>
  <c r="J164" i="7"/>
  <c r="E164" i="7" s="1"/>
  <c r="H164" i="7" s="1"/>
  <c r="J165" i="7"/>
  <c r="E165" i="7" s="1"/>
  <c r="H165" i="7" s="1"/>
  <c r="J166" i="7"/>
  <c r="E166" i="7" s="1"/>
  <c r="H166" i="7" s="1"/>
  <c r="J167" i="7"/>
  <c r="E167" i="7" s="1"/>
  <c r="H167" i="7" s="1"/>
  <c r="J168" i="7"/>
  <c r="E168" i="7" s="1"/>
  <c r="H168" i="7" s="1"/>
  <c r="J169" i="7"/>
  <c r="E169" i="7" s="1"/>
  <c r="H169" i="7" s="1"/>
  <c r="J170" i="7"/>
  <c r="E170" i="7" s="1"/>
  <c r="H170" i="7" s="1"/>
  <c r="J171" i="7"/>
  <c r="E171" i="7" s="1"/>
  <c r="H171" i="7" s="1"/>
  <c r="J172" i="7"/>
  <c r="E172" i="7" s="1"/>
  <c r="H172" i="7" s="1"/>
  <c r="J173" i="7"/>
  <c r="E173" i="7" s="1"/>
  <c r="H173" i="7" s="1"/>
  <c r="J174" i="7"/>
  <c r="E174" i="7" s="1"/>
  <c r="H174" i="7" s="1"/>
  <c r="J175" i="7"/>
  <c r="E175" i="7" s="1"/>
  <c r="H175" i="7" s="1"/>
  <c r="J176" i="7"/>
  <c r="E176" i="7" s="1"/>
  <c r="H176" i="7" s="1"/>
  <c r="J177" i="7"/>
  <c r="E177" i="7" s="1"/>
  <c r="H177" i="7" s="1"/>
  <c r="J178" i="7"/>
  <c r="E178" i="7" s="1"/>
  <c r="H178" i="7" s="1"/>
  <c r="J180" i="7"/>
  <c r="E180" i="7" s="1"/>
  <c r="H180" i="7" s="1"/>
  <c r="J179" i="7"/>
  <c r="E179" i="7" s="1"/>
  <c r="H179" i="7" s="1"/>
  <c r="J181" i="7"/>
  <c r="E181" i="7" s="1"/>
  <c r="H181" i="7" s="1"/>
  <c r="J182" i="7"/>
  <c r="E182" i="7" s="1"/>
  <c r="H182" i="7" s="1"/>
  <c r="J183" i="7"/>
  <c r="E183" i="7" s="1"/>
  <c r="H183" i="7" s="1"/>
  <c r="J184" i="7"/>
  <c r="E184" i="7" s="1"/>
  <c r="H184" i="7" s="1"/>
  <c r="J185" i="7"/>
  <c r="E185" i="7" s="1"/>
  <c r="H185" i="7" s="1"/>
  <c r="J186" i="7"/>
  <c r="E186" i="7" s="1"/>
  <c r="H186" i="7" s="1"/>
  <c r="J187" i="7"/>
  <c r="E187" i="7" s="1"/>
  <c r="H187" i="7" s="1"/>
  <c r="J188" i="7"/>
  <c r="E188" i="7" s="1"/>
  <c r="H188" i="7" s="1"/>
  <c r="J189" i="7"/>
  <c r="E189" i="7" s="1"/>
  <c r="H189" i="7" s="1"/>
  <c r="J190" i="7"/>
  <c r="E190" i="7" s="1"/>
  <c r="H190" i="7" s="1"/>
  <c r="J191" i="7"/>
  <c r="E191" i="7" s="1"/>
  <c r="H191" i="7" s="1"/>
  <c r="J193" i="7"/>
  <c r="E193" i="7" s="1"/>
  <c r="H193" i="7" s="1"/>
  <c r="J192" i="7"/>
  <c r="E192" i="7" s="1"/>
  <c r="H192" i="7" s="1"/>
  <c r="J194" i="7"/>
  <c r="E194" i="7" s="1"/>
  <c r="H194" i="7" s="1"/>
  <c r="J195" i="7"/>
  <c r="E195" i="7" s="1"/>
  <c r="H195" i="7" s="1"/>
  <c r="J196" i="7"/>
  <c r="E196" i="7" s="1"/>
  <c r="H196" i="7" s="1"/>
  <c r="J198" i="7"/>
  <c r="E198" i="7" s="1"/>
  <c r="H198" i="7" s="1"/>
  <c r="J197" i="7"/>
  <c r="E197" i="7" s="1"/>
  <c r="H197" i="7" s="1"/>
  <c r="J199" i="7"/>
  <c r="E199" i="7" s="1"/>
  <c r="H199" i="7" s="1"/>
  <c r="J201" i="7"/>
  <c r="E201" i="7" s="1"/>
  <c r="H201" i="7" s="1"/>
  <c r="J200" i="7"/>
  <c r="E200" i="7" s="1"/>
  <c r="H200" i="7" s="1"/>
  <c r="J202" i="7"/>
  <c r="E202" i="7" s="1"/>
  <c r="H202" i="7" s="1"/>
  <c r="J203" i="7"/>
  <c r="E203" i="7" s="1"/>
  <c r="H203" i="7" s="1"/>
  <c r="J204" i="7"/>
  <c r="E204" i="7" s="1"/>
  <c r="H204" i="7" s="1"/>
  <c r="J205" i="7"/>
  <c r="E205" i="7" s="1"/>
  <c r="H205" i="7" s="1"/>
  <c r="J206" i="7"/>
  <c r="E206" i="7" s="1"/>
  <c r="H206" i="7" s="1"/>
  <c r="J207" i="7"/>
  <c r="E207" i="7" s="1"/>
  <c r="H207" i="7" s="1"/>
  <c r="J208" i="7"/>
  <c r="E208" i="7" s="1"/>
  <c r="H208" i="7" s="1"/>
  <c r="J210" i="7"/>
  <c r="E210" i="7" s="1"/>
  <c r="H210" i="7" s="1"/>
  <c r="J209" i="7"/>
  <c r="E209" i="7" s="1"/>
  <c r="H209" i="7" s="1"/>
  <c r="J211" i="7"/>
  <c r="E211" i="7" s="1"/>
  <c r="H211" i="7" s="1"/>
  <c r="J212" i="7"/>
  <c r="E212" i="7" s="1"/>
  <c r="H212" i="7" s="1"/>
  <c r="J213" i="7"/>
  <c r="E213" i="7" s="1"/>
  <c r="H213" i="7" s="1"/>
  <c r="J214" i="7"/>
  <c r="E214" i="7" s="1"/>
  <c r="H214" i="7" s="1"/>
  <c r="J216" i="7"/>
  <c r="E216" i="7" s="1"/>
  <c r="H216" i="7" s="1"/>
  <c r="J215" i="7"/>
  <c r="E215" i="7" s="1"/>
  <c r="H215" i="7" s="1"/>
  <c r="J217" i="7"/>
  <c r="E217" i="7" s="1"/>
  <c r="H217" i="7" s="1"/>
  <c r="J218" i="7"/>
  <c r="E218" i="7" s="1"/>
  <c r="H218" i="7" s="1"/>
  <c r="J219" i="7"/>
  <c r="E219" i="7" s="1"/>
  <c r="H219" i="7" s="1"/>
  <c r="J220" i="7"/>
  <c r="E220" i="7" s="1"/>
  <c r="H220" i="7" s="1"/>
  <c r="J221" i="7"/>
  <c r="E221" i="7" s="1"/>
  <c r="H221" i="7" s="1"/>
  <c r="J222" i="7"/>
  <c r="E222" i="7" s="1"/>
  <c r="H222" i="7" s="1"/>
  <c r="J223" i="7"/>
  <c r="E223" i="7" s="1"/>
  <c r="H223" i="7" s="1"/>
  <c r="J224" i="7"/>
  <c r="E224" i="7" s="1"/>
  <c r="H224" i="7" s="1"/>
  <c r="J225" i="7"/>
  <c r="E225" i="7" s="1"/>
  <c r="H225" i="7" s="1"/>
  <c r="J226" i="7"/>
  <c r="E226" i="7" s="1"/>
  <c r="H226" i="7" s="1"/>
  <c r="J227" i="7"/>
  <c r="E227" i="7" s="1"/>
  <c r="H227" i="7" s="1"/>
  <c r="J228" i="7"/>
  <c r="E228" i="7" s="1"/>
  <c r="H228" i="7" s="1"/>
  <c r="J229" i="7"/>
  <c r="E229" i="7" s="1"/>
  <c r="H229" i="7" s="1"/>
  <c r="J230" i="7"/>
  <c r="E230" i="7" s="1"/>
  <c r="H230" i="7" s="1"/>
  <c r="J231" i="7"/>
  <c r="E231" i="7" s="1"/>
  <c r="H231" i="7" s="1"/>
  <c r="J232" i="7"/>
  <c r="E232" i="7" s="1"/>
  <c r="H232" i="7" s="1"/>
  <c r="J233" i="7"/>
  <c r="E233" i="7" s="1"/>
  <c r="H233" i="7" s="1"/>
  <c r="J234" i="7"/>
  <c r="E234" i="7" s="1"/>
  <c r="H234" i="7" s="1"/>
  <c r="J235" i="7"/>
  <c r="E235" i="7" s="1"/>
  <c r="H235" i="7" s="1"/>
  <c r="J237" i="7"/>
  <c r="E237" i="7" s="1"/>
  <c r="H237" i="7" s="1"/>
  <c r="J236" i="7"/>
  <c r="E236" i="7" s="1"/>
  <c r="H236" i="7" s="1"/>
  <c r="J238" i="7"/>
  <c r="E238" i="7" s="1"/>
  <c r="H238" i="7" s="1"/>
  <c r="J239" i="7"/>
  <c r="E239" i="7" s="1"/>
  <c r="H239" i="7" s="1"/>
  <c r="J240" i="7"/>
  <c r="E240" i="7" s="1"/>
  <c r="H240" i="7" s="1"/>
  <c r="J241" i="7"/>
  <c r="E241" i="7" s="1"/>
  <c r="H241" i="7" s="1"/>
  <c r="J242" i="7"/>
  <c r="E242" i="7" s="1"/>
  <c r="H242" i="7" s="1"/>
  <c r="J243" i="7"/>
  <c r="E243" i="7" s="1"/>
  <c r="H243" i="7" s="1"/>
  <c r="J244" i="7"/>
  <c r="E244" i="7" s="1"/>
  <c r="H244" i="7" s="1"/>
  <c r="J245" i="7"/>
  <c r="E245" i="7" s="1"/>
  <c r="H245" i="7" s="1"/>
  <c r="J246" i="7"/>
  <c r="E246" i="7" s="1"/>
  <c r="H246" i="7" s="1"/>
  <c r="J247" i="7"/>
  <c r="E247" i="7" s="1"/>
  <c r="H247" i="7" s="1"/>
  <c r="J248" i="7"/>
  <c r="E248" i="7" s="1"/>
  <c r="H248" i="7" s="1"/>
  <c r="J250" i="7"/>
  <c r="E250" i="7" s="1"/>
  <c r="H250" i="7" s="1"/>
  <c r="J249" i="7"/>
  <c r="E249" i="7" s="1"/>
  <c r="H249" i="7" s="1"/>
  <c r="J251" i="7"/>
  <c r="E251" i="7" s="1"/>
  <c r="H251" i="7" s="1"/>
  <c r="J253" i="7"/>
  <c r="E253" i="7" s="1"/>
  <c r="H253" i="7" s="1"/>
  <c r="J252" i="7"/>
  <c r="E252" i="7" s="1"/>
  <c r="H252" i="7" s="1"/>
  <c r="J254" i="7"/>
  <c r="E254" i="7" s="1"/>
  <c r="H254" i="7" s="1"/>
  <c r="J255" i="7"/>
  <c r="E255" i="7" s="1"/>
  <c r="H255" i="7" s="1"/>
  <c r="J256" i="7"/>
  <c r="E256" i="7" s="1"/>
  <c r="H256" i="7" s="1"/>
  <c r="J257" i="7"/>
  <c r="E257" i="7" s="1"/>
  <c r="H257" i="7" s="1"/>
  <c r="J258" i="7"/>
  <c r="E258" i="7" s="1"/>
  <c r="H258" i="7" s="1"/>
  <c r="J259" i="7"/>
  <c r="E259" i="7" s="1"/>
  <c r="H259" i="7" s="1"/>
  <c r="J260" i="7"/>
  <c r="E260" i="7" s="1"/>
  <c r="H260" i="7" s="1"/>
  <c r="J261" i="7"/>
  <c r="E261" i="7" s="1"/>
  <c r="H261" i="7" s="1"/>
  <c r="J262" i="7"/>
  <c r="E262" i="7" s="1"/>
  <c r="H262" i="7" s="1"/>
  <c r="J263" i="7"/>
  <c r="E263" i="7" s="1"/>
  <c r="H263" i="7" s="1"/>
  <c r="J264" i="7"/>
  <c r="E264" i="7" s="1"/>
  <c r="H264" i="7" s="1"/>
  <c r="J265" i="7"/>
  <c r="E265" i="7" s="1"/>
  <c r="H265" i="7" s="1"/>
  <c r="J266" i="7"/>
  <c r="E266" i="7" s="1"/>
  <c r="H266" i="7" s="1"/>
  <c r="J267" i="7"/>
  <c r="E267" i="7" s="1"/>
  <c r="H267" i="7" s="1"/>
  <c r="J268" i="7"/>
  <c r="E268" i="7" s="1"/>
  <c r="H268" i="7" s="1"/>
  <c r="J269" i="7"/>
  <c r="E269" i="7" s="1"/>
  <c r="H269" i="7" s="1"/>
  <c r="J270" i="7"/>
  <c r="E270" i="7" s="1"/>
  <c r="H270" i="7" s="1"/>
  <c r="J271" i="7"/>
  <c r="E271" i="7" s="1"/>
  <c r="H271" i="7" s="1"/>
  <c r="J272" i="7"/>
  <c r="E272" i="7" s="1"/>
  <c r="H272" i="7" s="1"/>
  <c r="J274" i="7"/>
  <c r="E274" i="7" s="1"/>
  <c r="H274" i="7" s="1"/>
  <c r="J273" i="7"/>
  <c r="E273" i="7" s="1"/>
  <c r="H273" i="7" s="1"/>
  <c r="J275" i="7"/>
  <c r="E275" i="7" s="1"/>
  <c r="H275" i="7" s="1"/>
  <c r="J276" i="7"/>
  <c r="E276" i="7" s="1"/>
  <c r="H276" i="7" s="1"/>
  <c r="J277" i="7"/>
  <c r="E277" i="7" s="1"/>
  <c r="H277" i="7" s="1"/>
  <c r="J278" i="7"/>
  <c r="E278" i="7" s="1"/>
  <c r="H278" i="7" s="1"/>
  <c r="J279" i="7"/>
  <c r="E279" i="7" s="1"/>
  <c r="H279" i="7" s="1"/>
  <c r="J280" i="7"/>
  <c r="E280" i="7" s="1"/>
  <c r="H280" i="7" s="1"/>
  <c r="J281" i="7"/>
  <c r="E281" i="7" s="1"/>
  <c r="H281" i="7" s="1"/>
  <c r="J282" i="7"/>
  <c r="E282" i="7" s="1"/>
  <c r="H282" i="7" s="1"/>
  <c r="J283" i="7"/>
  <c r="E283" i="7" s="1"/>
  <c r="H283" i="7" s="1"/>
  <c r="J284" i="7"/>
  <c r="E284" i="7" s="1"/>
  <c r="H284" i="7" s="1"/>
  <c r="J285" i="7"/>
  <c r="E285" i="7" s="1"/>
  <c r="H285" i="7" s="1"/>
  <c r="J287" i="7"/>
  <c r="E287" i="7" s="1"/>
  <c r="H287" i="7" s="1"/>
  <c r="J286" i="7"/>
  <c r="E286" i="7" s="1"/>
  <c r="H286" i="7" s="1"/>
  <c r="J288" i="7"/>
  <c r="E288" i="7" s="1"/>
  <c r="H288" i="7" s="1"/>
  <c r="J289" i="7"/>
  <c r="E289" i="7" s="1"/>
  <c r="H289" i="7" s="1"/>
  <c r="J290" i="7"/>
  <c r="E290" i="7" s="1"/>
  <c r="H290" i="7" s="1"/>
  <c r="J291" i="7"/>
  <c r="E291" i="7" s="1"/>
  <c r="H291" i="7" s="1"/>
  <c r="J292" i="7"/>
  <c r="E292" i="7" s="1"/>
  <c r="H292" i="7" s="1"/>
  <c r="J293" i="7"/>
  <c r="E293" i="7" s="1"/>
  <c r="H293" i="7" s="1"/>
  <c r="J295" i="7"/>
  <c r="E295" i="7" s="1"/>
  <c r="H295" i="7" s="1"/>
  <c r="J294" i="7"/>
  <c r="E294" i="7" s="1"/>
  <c r="H294" i="7" s="1"/>
  <c r="J296" i="7"/>
  <c r="E296" i="7" s="1"/>
  <c r="H296" i="7" s="1"/>
  <c r="J297" i="7"/>
  <c r="E297" i="7" s="1"/>
  <c r="H297" i="7" s="1"/>
  <c r="J298" i="7"/>
  <c r="E298" i="7" s="1"/>
  <c r="H298" i="7" s="1"/>
  <c r="J299" i="7"/>
  <c r="E299" i="7" s="1"/>
  <c r="H299" i="7" s="1"/>
  <c r="J301" i="7"/>
  <c r="E301" i="7" s="1"/>
  <c r="H301" i="7" s="1"/>
  <c r="J300" i="7"/>
  <c r="E300" i="7" s="1"/>
  <c r="H300" i="7" s="1"/>
  <c r="J302" i="7"/>
  <c r="E302" i="7" s="1"/>
  <c r="H302" i="7" s="1"/>
  <c r="J303" i="7"/>
  <c r="E303" i="7" s="1"/>
  <c r="H303" i="7" s="1"/>
  <c r="J304" i="7"/>
  <c r="E304" i="7" s="1"/>
  <c r="H304" i="7" s="1"/>
  <c r="J305" i="7"/>
  <c r="E305" i="7" s="1"/>
  <c r="H305" i="7" s="1"/>
  <c r="J306" i="7"/>
  <c r="E306" i="7" s="1"/>
  <c r="H306" i="7" s="1"/>
  <c r="J308" i="7"/>
  <c r="E308" i="7" s="1"/>
  <c r="H308" i="7" s="1"/>
  <c r="J307" i="7"/>
  <c r="E307" i="7" s="1"/>
  <c r="H307" i="7" s="1"/>
  <c r="J309" i="7"/>
  <c r="E309" i="7" s="1"/>
  <c r="H309" i="7" s="1"/>
  <c r="J310" i="7"/>
  <c r="E310" i="7" s="1"/>
  <c r="H310" i="7" s="1"/>
  <c r="J311" i="7"/>
  <c r="E311" i="7" s="1"/>
  <c r="H311" i="7" s="1"/>
  <c r="J312" i="7"/>
  <c r="E312" i="7" s="1"/>
  <c r="H312" i="7" s="1"/>
  <c r="J313" i="7"/>
  <c r="E313" i="7" s="1"/>
  <c r="H313" i="7" s="1"/>
  <c r="J314" i="7"/>
  <c r="E314" i="7" s="1"/>
  <c r="H314" i="7" s="1"/>
  <c r="J315" i="7"/>
  <c r="E315" i="7" s="1"/>
  <c r="H315" i="7" s="1"/>
  <c r="J316" i="7"/>
  <c r="E316" i="7" s="1"/>
  <c r="H316" i="7" s="1"/>
  <c r="J317" i="7"/>
  <c r="E317" i="7" s="1"/>
  <c r="H317" i="7" s="1"/>
  <c r="J318" i="7"/>
  <c r="E318" i="7" s="1"/>
  <c r="H318" i="7" s="1"/>
  <c r="J319" i="7"/>
  <c r="E319" i="7" s="1"/>
  <c r="H319" i="7" s="1"/>
  <c r="J320" i="7"/>
  <c r="E320" i="7" s="1"/>
  <c r="H320" i="7" s="1"/>
  <c r="J321" i="7"/>
  <c r="E321" i="7" s="1"/>
  <c r="H321" i="7" s="1"/>
  <c r="J323" i="7"/>
  <c r="E323" i="7" s="1"/>
  <c r="H323" i="7" s="1"/>
  <c r="J322" i="7"/>
  <c r="E322" i="7" s="1"/>
  <c r="H322" i="7" s="1"/>
  <c r="J324" i="7"/>
  <c r="E324" i="7" s="1"/>
  <c r="H324" i="7" s="1"/>
  <c r="J325" i="7"/>
  <c r="E325" i="7" s="1"/>
  <c r="H325" i="7" s="1"/>
  <c r="J326" i="7"/>
  <c r="E326" i="7" s="1"/>
  <c r="H326" i="7" s="1"/>
  <c r="J327" i="7"/>
  <c r="E327" i="7" s="1"/>
  <c r="H327" i="7" s="1"/>
  <c r="J328" i="7"/>
  <c r="E328" i="7" s="1"/>
  <c r="H328" i="7" s="1"/>
  <c r="J329" i="7"/>
  <c r="E329" i="7" s="1"/>
  <c r="H329" i="7" s="1"/>
  <c r="J330" i="7"/>
  <c r="E330" i="7" s="1"/>
  <c r="H330" i="7" s="1"/>
  <c r="J331" i="7"/>
  <c r="E331" i="7" s="1"/>
  <c r="H331" i="7" s="1"/>
  <c r="J332" i="7"/>
  <c r="E332" i="7" s="1"/>
  <c r="H332" i="7" s="1"/>
  <c r="J334" i="7"/>
  <c r="E334" i="7" s="1"/>
  <c r="H334" i="7" s="1"/>
  <c r="J333" i="7"/>
  <c r="E333" i="7" s="1"/>
  <c r="H333" i="7" s="1"/>
  <c r="J335" i="7"/>
  <c r="E335" i="7" s="1"/>
  <c r="H335" i="7" s="1"/>
  <c r="J336" i="7"/>
  <c r="E336" i="7" s="1"/>
  <c r="H336" i="7" s="1"/>
  <c r="J337" i="7"/>
  <c r="E337" i="7" s="1"/>
  <c r="H337" i="7" s="1"/>
  <c r="J339" i="7"/>
  <c r="E339" i="7" s="1"/>
  <c r="H339" i="7" s="1"/>
  <c r="J338" i="7"/>
  <c r="E338" i="7" s="1"/>
  <c r="H338" i="7" s="1"/>
  <c r="J340" i="7"/>
  <c r="E340" i="7" s="1"/>
  <c r="H340" i="7" s="1"/>
  <c r="J341" i="7"/>
  <c r="E341" i="7" s="1"/>
  <c r="H341" i="7" s="1"/>
  <c r="J342" i="7"/>
  <c r="E342" i="7" s="1"/>
  <c r="H342" i="7" s="1"/>
  <c r="J343" i="7"/>
  <c r="E343" i="7" s="1"/>
  <c r="H343" i="7" s="1"/>
  <c r="J344" i="7"/>
  <c r="E344" i="7" s="1"/>
  <c r="H344" i="7" s="1"/>
  <c r="J346" i="7"/>
  <c r="E346" i="7" s="1"/>
  <c r="H346" i="7" s="1"/>
  <c r="J345" i="7"/>
  <c r="E345" i="7" s="1"/>
  <c r="H345" i="7" s="1"/>
  <c r="J348" i="7"/>
  <c r="E348" i="7" s="1"/>
  <c r="H348" i="7" s="1"/>
  <c r="J347" i="7"/>
  <c r="E347" i="7" s="1"/>
  <c r="H347" i="7" s="1"/>
  <c r="J349" i="7"/>
  <c r="E349" i="7" s="1"/>
  <c r="H349" i="7" s="1"/>
  <c r="J350" i="7"/>
  <c r="E350" i="7" s="1"/>
  <c r="H350" i="7" s="1"/>
  <c r="J351" i="7"/>
  <c r="E351" i="7" s="1"/>
  <c r="H351" i="7" s="1"/>
  <c r="J352" i="7"/>
  <c r="E352" i="7" s="1"/>
  <c r="H352" i="7" s="1"/>
  <c r="J353" i="7"/>
  <c r="E353" i="7" s="1"/>
  <c r="H353" i="7" s="1"/>
  <c r="J354" i="7"/>
  <c r="E354" i="7" s="1"/>
  <c r="H354" i="7" s="1"/>
  <c r="J355" i="7"/>
  <c r="E355" i="7" s="1"/>
  <c r="H355" i="7" s="1"/>
  <c r="J356" i="7"/>
  <c r="E356" i="7" s="1"/>
  <c r="H356" i="7" s="1"/>
  <c r="J361" i="7"/>
  <c r="E361" i="7" s="1"/>
  <c r="H361" i="7" s="1"/>
  <c r="J357" i="7"/>
  <c r="E357" i="7" s="1"/>
  <c r="H357" i="7" s="1"/>
  <c r="J358" i="7"/>
  <c r="E358" i="7" s="1"/>
  <c r="H358" i="7" s="1"/>
  <c r="J359" i="7"/>
  <c r="E359" i="7" s="1"/>
  <c r="H359" i="7" s="1"/>
  <c r="J360" i="7"/>
  <c r="E360" i="7" s="1"/>
  <c r="H360" i="7" s="1"/>
  <c r="E362" i="7"/>
  <c r="H362" i="7" s="1"/>
  <c r="I363" i="7" l="1"/>
  <c r="J363" i="7" s="1"/>
  <c r="E363" i="7" s="1"/>
  <c r="H363" i="7" s="1"/>
  <c r="E6" i="6"/>
  <c r="H5" i="7"/>
  <c r="E5" i="6" l="1"/>
  <c r="E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Sean Lewis</author>
  </authors>
  <commentList>
    <comment ref="G7" authorId="0" shapeId="0" xr:uid="{C7089CEF-9B70-4761-B5D6-701D3A49211E}">
      <text>
        <r>
          <rPr>
            <b/>
            <sz val="9"/>
            <color indexed="81"/>
            <rFont val="Tahoma"/>
            <family val="2"/>
          </rPr>
          <t>Sean Lewis:</t>
        </r>
        <r>
          <rPr>
            <sz val="9"/>
            <color indexed="81"/>
            <rFont val="Tahoma"/>
            <family val="2"/>
          </rPr>
          <t xml:space="preserve">
IFM</t>
        </r>
      </text>
    </comment>
    <comment ref="H7" authorId="0" shapeId="0" xr:uid="{77BA46D2-4702-4B74-A274-54D8013D0D1F}">
      <text>
        <r>
          <rPr>
            <b/>
            <sz val="9"/>
            <color indexed="81"/>
            <rFont val="Tahoma"/>
            <family val="2"/>
          </rPr>
          <t>Sean Lewis:</t>
        </r>
        <r>
          <rPr>
            <sz val="9"/>
            <color indexed="81"/>
            <rFont val="Tahoma"/>
            <family val="2"/>
          </rPr>
          <t xml:space="preserve">
IFM</t>
        </r>
      </text>
    </comment>
    <comment ref="I7" authorId="0" shapeId="0" xr:uid="{B417C88C-1874-4C23-9EBB-0D4531C1CED8}">
      <text>
        <r>
          <rPr>
            <b/>
            <sz val="9"/>
            <color indexed="81"/>
            <rFont val="Tahoma"/>
            <family val="2"/>
          </rPr>
          <t>Sean Lewis:</t>
        </r>
        <r>
          <rPr>
            <sz val="9"/>
            <color indexed="81"/>
            <rFont val="Tahoma"/>
            <family val="2"/>
          </rPr>
          <t xml:space="preserve">
MAS 1 &amp; 2</t>
        </r>
      </text>
    </comment>
    <comment ref="J7" authorId="0" shapeId="0" xr:uid="{8482E3AE-6562-4EDC-947A-463AFD8A3B6B}">
      <text>
        <r>
          <rPr>
            <b/>
            <sz val="9"/>
            <color indexed="81"/>
            <rFont val="Tahoma"/>
            <family val="2"/>
          </rPr>
          <t>Sean Lewis:</t>
        </r>
        <r>
          <rPr>
            <sz val="9"/>
            <color indexed="81"/>
            <rFont val="Tahoma"/>
            <family val="2"/>
          </rPr>
          <t xml:space="preserve">
Exam 5
</t>
        </r>
      </text>
    </comment>
    <comment ref="K7" authorId="0" shapeId="0" xr:uid="{01FB88EA-31C9-434F-9782-43C1005100C1}">
      <text>
        <r>
          <rPr>
            <b/>
            <sz val="9"/>
            <color indexed="81"/>
            <rFont val="Tahoma"/>
            <family val="2"/>
          </rPr>
          <t>Sean Lewis:</t>
        </r>
        <r>
          <rPr>
            <sz val="9"/>
            <color indexed="81"/>
            <rFont val="Tahoma"/>
            <family val="2"/>
          </rPr>
          <t xml:space="preserve">
Exam 6
</t>
        </r>
      </text>
    </comment>
    <comment ref="I82" authorId="0" shapeId="0" xr:uid="{342B3940-0AAE-4C27-AE18-8977EAD1F8EA}">
      <text>
        <r>
          <rPr>
            <b/>
            <sz val="9"/>
            <color indexed="81"/>
            <rFont val="Tahoma"/>
            <family val="2"/>
          </rPr>
          <t>Sean Lewis:</t>
        </r>
        <r>
          <rPr>
            <sz val="9"/>
            <color indexed="81"/>
            <rFont val="Tahoma"/>
            <family val="2"/>
          </rPr>
          <t xml:space="preserve">
Lease ends Sep 2022
</t>
        </r>
      </text>
    </comment>
    <comment ref="I83" authorId="0" shapeId="0" xr:uid="{9FCAFEAA-8629-4E04-909D-9782844FB8D5}">
      <text>
        <r>
          <rPr>
            <b/>
            <sz val="9"/>
            <color indexed="81"/>
            <rFont val="Tahoma"/>
            <family val="2"/>
          </rPr>
          <t>Sean Lewis:</t>
        </r>
        <r>
          <rPr>
            <sz val="9"/>
            <color indexed="81"/>
            <rFont val="Tahoma"/>
            <family val="2"/>
          </rPr>
          <t xml:space="preserve">
Move to CA with Vincent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uthor>
    <author>Maria</author>
    <author>Vertex42</author>
  </authors>
  <commentList>
    <comment ref="D5" authorId="0" shapeId="0" xr:uid="{9931BDF5-7B8F-4894-BACE-4994975E3886}">
      <text>
        <r>
          <rPr>
            <b/>
            <sz val="8"/>
            <color indexed="81"/>
            <rFont val="Tahoma"/>
            <family val="2"/>
          </rPr>
          <t>Current Age:</t>
        </r>
        <r>
          <rPr>
            <sz val="8"/>
            <color indexed="81"/>
            <rFont val="Tahoma"/>
            <family val="2"/>
          </rPr>
          <t xml:space="preserve">
This is used to calculate the number of years to invest.</t>
        </r>
      </text>
    </comment>
    <comment ref="G5" authorId="1" shapeId="0" xr:uid="{8E9303DF-9B10-4F4A-9C73-1402CBF81F89}">
      <text>
        <r>
          <rPr>
            <b/>
            <sz val="8"/>
            <color indexed="81"/>
            <rFont val="Tahoma"/>
            <family val="2"/>
          </rPr>
          <t>Years to Invest:</t>
        </r>
        <r>
          <rPr>
            <sz val="8"/>
            <color indexed="81"/>
            <rFont val="Tahoma"/>
            <family val="2"/>
          </rPr>
          <t xml:space="preserve">
Number of years to make contributions to your 401(k). The calculator is currently set up to calculate this value based on your current age and age at retirement, but you can override the formula here to enter a specific value.</t>
        </r>
      </text>
    </comment>
    <comment ref="D6" authorId="0" shapeId="0" xr:uid="{8436732C-4F0B-43F4-A107-030A8B885541}">
      <text>
        <r>
          <rPr>
            <b/>
            <sz val="8"/>
            <color indexed="81"/>
            <rFont val="Tahoma"/>
            <family val="2"/>
          </rPr>
          <t>Age at Retirement:</t>
        </r>
        <r>
          <rPr>
            <sz val="8"/>
            <color indexed="81"/>
            <rFont val="Tahoma"/>
            <family val="2"/>
          </rPr>
          <t xml:space="preserve">
This is used to estimate the number of years to invest.</t>
        </r>
      </text>
    </comment>
    <comment ref="D12" authorId="0" shapeId="0" xr:uid="{F31FBEA3-BA03-4048-9A34-A42145B3B825}">
      <text>
        <r>
          <rPr>
            <b/>
            <sz val="8"/>
            <color indexed="81"/>
            <rFont val="Tahoma"/>
            <family val="2"/>
          </rPr>
          <t>Percent Contribution:</t>
        </r>
        <r>
          <rPr>
            <sz val="8"/>
            <color indexed="81"/>
            <rFont val="Tahoma"/>
            <family val="2"/>
          </rPr>
          <t xml:space="preserve">
The amount that you will contribute is based on the percentage of your salary. It is usually withheld from your paycheck and deposited into your 401(k) automatically</t>
        </r>
        <r>
          <rPr>
            <sz val="8"/>
            <color indexed="81"/>
            <rFont val="Tahoma"/>
            <family val="2"/>
          </rPr>
          <t>. Many companies limit the maximum amount that you can contribute (often 15% max).</t>
        </r>
        <r>
          <rPr>
            <sz val="8"/>
            <color indexed="81"/>
            <rFont val="Tahoma"/>
            <family val="2"/>
          </rPr>
          <t xml:space="preserve">
</t>
        </r>
      </text>
    </comment>
    <comment ref="D13" authorId="2" shapeId="0" xr:uid="{F3B4D926-A23F-4AF9-8016-3437F4FDF5B1}">
      <text>
        <r>
          <rPr>
            <b/>
            <sz val="9"/>
            <color indexed="81"/>
            <rFont val="Tahoma"/>
            <family val="2"/>
          </rPr>
          <t>Employer Match:</t>
        </r>
        <r>
          <rPr>
            <sz val="9"/>
            <color indexed="81"/>
            <rFont val="Tahoma"/>
            <family val="2"/>
          </rPr>
          <t xml:space="preserve">
This is the amount your employer contributes, specified as a percentage of your contribution.
For example, if you contributed $1000 and your company matches 50%, then your company would contribute $500.</t>
        </r>
      </text>
    </comment>
    <comment ref="D14" authorId="2" shapeId="0" xr:uid="{CC005544-453F-4C5E-A447-D9607FF0CA29}">
      <text>
        <r>
          <rPr>
            <b/>
            <sz val="9"/>
            <color indexed="81"/>
            <rFont val="Tahoma"/>
            <family val="2"/>
          </rPr>
          <t>Maximum Employee % Contribution (for Employer Match)</t>
        </r>
        <r>
          <rPr>
            <sz val="9"/>
            <color indexed="81"/>
            <rFont val="Tahoma"/>
            <family val="2"/>
          </rPr>
          <t xml:space="preserve">
There is usually a limit to how much of your contribution your company will match. The maximum employer contribution is often stated as "50% match up to 6% of your salary." For this spreadsheet, this should be interpreted as "</t>
        </r>
        <r>
          <rPr>
            <b/>
            <sz val="9"/>
            <color indexed="81"/>
            <rFont val="Tahoma"/>
            <family val="2"/>
          </rPr>
          <t>50% match up to an employee contribution of 6%.</t>
        </r>
        <r>
          <rPr>
            <sz val="9"/>
            <color indexed="81"/>
            <rFont val="Tahoma"/>
            <family val="2"/>
          </rPr>
          <t>" This means that the company stops matching the rest of your contribution if you contribute more than 6% of your salary.</t>
        </r>
      </text>
    </comment>
    <comment ref="E15" authorId="0" shapeId="0" xr:uid="{1E2B6857-EE63-4FAB-B3F8-4A74872008D2}">
      <text>
        <r>
          <rPr>
            <b/>
            <sz val="8"/>
            <color indexed="81"/>
            <rFont val="Tahoma"/>
            <family val="2"/>
          </rPr>
          <t>Contribution Limit Warning:</t>
        </r>
        <r>
          <rPr>
            <sz val="8"/>
            <color indexed="81"/>
            <rFont val="Tahoma"/>
            <family val="2"/>
          </rPr>
          <t xml:space="preserve">
The calculator allows you to make contributions over the IRS limit, but this cell will warn you whether your first annual contribution is over the limit.</t>
        </r>
      </text>
    </comment>
    <comment ref="D17" authorId="1" shapeId="0" xr:uid="{C2479B8C-7EF3-4A47-AE95-21A499B1DCFD}">
      <text>
        <r>
          <rPr>
            <b/>
            <sz val="8"/>
            <color indexed="81"/>
            <rFont val="Tahoma"/>
            <family val="2"/>
          </rPr>
          <t>Annual Rate of Return:</t>
        </r>
        <r>
          <rPr>
            <sz val="8"/>
            <color indexed="81"/>
            <rFont val="Tahoma"/>
            <family val="2"/>
          </rPr>
          <t xml:space="preserve">
This spreadsheet assumes a </t>
        </r>
        <r>
          <rPr>
            <b/>
            <sz val="8"/>
            <color indexed="81"/>
            <rFont val="Tahoma"/>
            <family val="2"/>
          </rPr>
          <t xml:space="preserve">fixed </t>
        </r>
        <r>
          <rPr>
            <sz val="8"/>
            <color indexed="81"/>
            <rFont val="Tahoma"/>
            <family val="2"/>
          </rPr>
          <t>annual interest rate, unless the "Use Random Rates" box is checked.</t>
        </r>
      </text>
    </comment>
    <comment ref="D18" authorId="0" shapeId="0" xr:uid="{FDB303F4-B91C-44CA-AA75-DE2A824060B1}">
      <text>
        <r>
          <rPr>
            <b/>
            <sz val="8"/>
            <color indexed="81"/>
            <rFont val="Tahoma"/>
            <family val="2"/>
          </rPr>
          <t>Payments Per Year:</t>
        </r>
        <r>
          <rPr>
            <sz val="8"/>
            <color indexed="81"/>
            <rFont val="Tahoma"/>
            <family val="2"/>
          </rPr>
          <t xml:space="preserve">
The number of contributions made per year.
Usually based on how often you receive your paycheck.
12 = Monthly
24 = Semi-Monthly (twice per month)
26 = Bi-Weekly (once every two weeks)
52 = Weekly
13 = Every 4 weeks
4 = Quarterly (four times per year)
2 = Semi-annually
1 = Annually</t>
        </r>
      </text>
    </comment>
    <comment ref="G22" authorId="0" shapeId="0" xr:uid="{A1F49AAB-9E3F-4115-BA1D-7608C660AB37}">
      <text>
        <r>
          <rPr>
            <b/>
            <sz val="8"/>
            <color indexed="81"/>
            <rFont val="Tahoma"/>
            <family val="2"/>
          </rPr>
          <t>Random Rates:</t>
        </r>
        <r>
          <rPr>
            <sz val="8"/>
            <color indexed="81"/>
            <rFont val="Tahoma"/>
            <family val="2"/>
          </rPr>
          <t xml:space="preserve">
If you choose the "On" option, the rate column will calculate the random rate between the Min and Max rates that you specify below. To recalculate the spreadsheet, press F9.</t>
        </r>
      </text>
    </comment>
    <comment ref="G25" authorId="0" shapeId="0" xr:uid="{DB973929-B61C-41EA-ABDC-198D9AAA5F70}">
      <text>
        <r>
          <rPr>
            <b/>
            <sz val="8"/>
            <color indexed="81"/>
            <rFont val="Tahoma"/>
            <family val="2"/>
          </rPr>
          <t>Average Rate:</t>
        </r>
        <r>
          <rPr>
            <sz val="8"/>
            <color indexed="81"/>
            <rFont val="Tahoma"/>
            <family val="2"/>
          </rPr>
          <t xml:space="preserve">
The average rate is calculated as the average of the </t>
        </r>
        <r>
          <rPr>
            <b/>
            <sz val="8"/>
            <color indexed="81"/>
            <rFont val="Tahoma"/>
            <family val="2"/>
          </rPr>
          <t>Rate</t>
        </r>
        <r>
          <rPr>
            <sz val="8"/>
            <color indexed="81"/>
            <rFont val="Tahoma"/>
            <family val="2"/>
          </rPr>
          <t xml:space="preserve"> column for the specified number of years until retirement. This doesn't have any relationship to Internal Rate of Return.</t>
        </r>
      </text>
    </comment>
    <comment ref="C32" authorId="0" shapeId="0" xr:uid="{5298B14F-6BA9-4B8C-A684-05FE861E966C}">
      <text>
        <r>
          <rPr>
            <b/>
            <sz val="8"/>
            <color indexed="81"/>
            <rFont val="Tahoma"/>
            <family val="2"/>
          </rPr>
          <t>Expected Annual Return:</t>
        </r>
        <r>
          <rPr>
            <sz val="8"/>
            <color indexed="81"/>
            <rFont val="Tahoma"/>
            <family val="2"/>
          </rPr>
          <t xml:space="preserve">
To vary the rate over time, delete the formulas in this column and either add your own formulas or enter the rates manually.
</t>
        </r>
        <r>
          <rPr>
            <b/>
            <sz val="8"/>
            <color indexed="81"/>
            <rFont val="Tahoma"/>
            <family val="2"/>
          </rPr>
          <t>Random Rate Formula:</t>
        </r>
        <r>
          <rPr>
            <sz val="8"/>
            <color indexed="81"/>
            <rFont val="Tahoma"/>
            <family val="2"/>
          </rPr>
          <t xml:space="preserve">
Random rate between -2% and 10%
  =min+RAND()*(max-min)
  where min=-0.02 and max=0.10
</t>
        </r>
      </text>
    </comment>
    <comment ref="D32" authorId="0" shapeId="0" xr:uid="{28C8C67D-8768-42C3-8E6D-E011018C5992}">
      <text>
        <r>
          <rPr>
            <b/>
            <sz val="8"/>
            <color indexed="81"/>
            <rFont val="Tahoma"/>
            <family val="2"/>
          </rPr>
          <t>Salary:</t>
        </r>
        <r>
          <rPr>
            <sz val="8"/>
            <color indexed="81"/>
            <rFont val="Tahoma"/>
            <family val="2"/>
          </rPr>
          <t xml:space="preserve">
The contributions for each year are based on the salary in this column. </t>
        </r>
      </text>
    </comment>
    <comment ref="E32" authorId="0" shapeId="0" xr:uid="{92D498F8-8B24-480C-A3CC-D110C103D30E}">
      <text>
        <r>
          <rPr>
            <b/>
            <sz val="8"/>
            <color indexed="81"/>
            <rFont val="Tahoma"/>
            <family val="2"/>
          </rPr>
          <t>Your Annual Contribution:</t>
        </r>
        <r>
          <rPr>
            <sz val="8"/>
            <color indexed="81"/>
            <rFont val="Tahoma"/>
            <family val="2"/>
          </rPr>
          <t xml:space="preserve">
This calculator does not take into account whether your contributions are pre-tax or after tax (i.e. a Roth 401k).</t>
        </r>
      </text>
    </comment>
    <comment ref="F32" authorId="0" shapeId="0" xr:uid="{3C24084F-16F5-4D32-9D20-A165BEDE094B}">
      <text>
        <r>
          <rPr>
            <b/>
            <sz val="8"/>
            <color indexed="81"/>
            <rFont val="Tahoma"/>
            <family val="2"/>
          </rPr>
          <t>Annual Employer Contribution</t>
        </r>
        <r>
          <rPr>
            <sz val="8"/>
            <color indexed="81"/>
            <rFont val="Tahoma"/>
            <family val="2"/>
          </rPr>
          <t xml:space="preserve">
The amount your employer matches during the year.</t>
        </r>
      </text>
    </comment>
    <comment ref="G32" authorId="0" shapeId="0" xr:uid="{2D358D07-D443-47C1-8FC3-1D2898D4ACD8}">
      <text>
        <r>
          <rPr>
            <b/>
            <sz val="8"/>
            <color indexed="81"/>
            <rFont val="Tahoma"/>
            <family val="2"/>
          </rPr>
          <t>Estimated Annual Interest:</t>
        </r>
        <r>
          <rPr>
            <sz val="8"/>
            <color indexed="81"/>
            <rFont val="Tahoma"/>
            <family val="2"/>
          </rPr>
          <t xml:space="preserve">
The interest is calculated using the FV formula to account for the fact that the contributions are made in equal payments each time you receive your paycheck. This actually has a pretty minimal effect compared to fluctuations in annual rates of return.</t>
        </r>
      </text>
    </comment>
    <comment ref="H32" authorId="0" shapeId="0" xr:uid="{D2AD3693-4818-4C3B-BAEA-CB926442E8B0}">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J32" authorId="0" shapeId="0" xr:uid="{04C27432-5E39-48ED-955B-0AA6DA3BC5A6}">
      <text>
        <r>
          <rPr>
            <sz val="8"/>
            <color indexed="81"/>
            <rFont val="Tahoma"/>
            <family val="2"/>
          </rPr>
          <t>This column is used to create the "My Contribution" line in the graph.</t>
        </r>
      </text>
    </comment>
    <comment ref="K32" authorId="0" shapeId="0" xr:uid="{B65D3268-ECF1-43C3-97D6-329BCB65D668}">
      <text>
        <r>
          <rPr>
            <sz val="8"/>
            <color indexed="81"/>
            <rFont val="Tahoma"/>
            <family val="2"/>
          </rPr>
          <t>This column is used to create the "Total Contribution" line on the graph.</t>
        </r>
      </text>
    </comment>
    <comment ref="E33" authorId="0" shapeId="0" xr:uid="{0BC4C8C8-C8E2-4814-8996-DDC8B611B330}">
      <text>
        <r>
          <rPr>
            <b/>
            <sz val="8"/>
            <color indexed="81"/>
            <rFont val="Tahoma"/>
            <family val="2"/>
          </rPr>
          <t>Annual Contributions To-Date:</t>
        </r>
        <r>
          <rPr>
            <sz val="8"/>
            <color indexed="81"/>
            <rFont val="Tahoma"/>
            <family val="2"/>
          </rPr>
          <t xml:space="preserve">
If you have a starting 401(k) balance, look on your last statement to determine how much you have contributed to date, and enter that value here.</t>
        </r>
      </text>
    </comment>
    <comment ref="F33" authorId="0" shapeId="0" xr:uid="{AC445F8D-14AA-4E02-8F98-FCE961938A41}">
      <text>
        <r>
          <rPr>
            <b/>
            <sz val="8"/>
            <color indexed="81"/>
            <rFont val="Tahoma"/>
            <family val="2"/>
          </rPr>
          <t>Employer Contributions To-Date:</t>
        </r>
        <r>
          <rPr>
            <sz val="8"/>
            <color indexed="81"/>
            <rFont val="Tahoma"/>
            <family val="2"/>
          </rPr>
          <t xml:space="preserve">
If you have a starting 401(k) balance, look on your last statement to determine how much </t>
        </r>
        <r>
          <rPr>
            <b/>
            <sz val="8"/>
            <color indexed="81"/>
            <rFont val="Tahoma"/>
            <family val="2"/>
          </rPr>
          <t xml:space="preserve">your employer </t>
        </r>
        <r>
          <rPr>
            <sz val="8"/>
            <color indexed="81"/>
            <rFont val="Tahoma"/>
            <family val="2"/>
          </rPr>
          <t>has contributed to date, and enter that value here.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uthor>
    <author>Maria</author>
    <author>Vertex42</author>
  </authors>
  <commentList>
    <comment ref="D5" authorId="0" shapeId="0" xr:uid="{E64DFDE6-2170-4F1A-B6A5-EF0EBD867A28}">
      <text>
        <r>
          <rPr>
            <b/>
            <sz val="8"/>
            <color indexed="81"/>
            <rFont val="Tahoma"/>
            <family val="2"/>
          </rPr>
          <t>Current Age:</t>
        </r>
        <r>
          <rPr>
            <sz val="8"/>
            <color indexed="81"/>
            <rFont val="Tahoma"/>
            <family val="2"/>
          </rPr>
          <t xml:space="preserve">
This is used to calculate the number of years to invest.</t>
        </r>
      </text>
    </comment>
    <comment ref="G5" authorId="1" shapeId="0" xr:uid="{1FC580DD-4455-4776-BCBC-C6792A843792}">
      <text>
        <r>
          <rPr>
            <b/>
            <sz val="8"/>
            <color indexed="81"/>
            <rFont val="Tahoma"/>
            <family val="2"/>
          </rPr>
          <t>Years to Invest:</t>
        </r>
        <r>
          <rPr>
            <sz val="8"/>
            <color indexed="81"/>
            <rFont val="Tahoma"/>
            <family val="2"/>
          </rPr>
          <t xml:space="preserve">
Number of years to make contributions to your 401(k). The calculator is currently set up to calculate this value based on your current age and age at retirement, but you can override the formula here to enter a specific value.</t>
        </r>
      </text>
    </comment>
    <comment ref="D6" authorId="0" shapeId="0" xr:uid="{FEBA8E8E-60F3-481F-B181-1EAA0920B2B6}">
      <text>
        <r>
          <rPr>
            <b/>
            <sz val="8"/>
            <color indexed="81"/>
            <rFont val="Tahoma"/>
            <family val="2"/>
          </rPr>
          <t>Age at Retirement:</t>
        </r>
        <r>
          <rPr>
            <sz val="8"/>
            <color indexed="81"/>
            <rFont val="Tahoma"/>
            <family val="2"/>
          </rPr>
          <t xml:space="preserve">
This is used to estimate the number of years to invest.</t>
        </r>
      </text>
    </comment>
    <comment ref="D12" authorId="0" shapeId="0" xr:uid="{AEBDFEEE-5566-4F52-949B-7583B9B773EF}">
      <text>
        <r>
          <rPr>
            <b/>
            <sz val="8"/>
            <color indexed="81"/>
            <rFont val="Tahoma"/>
            <family val="2"/>
          </rPr>
          <t>Percent Contribution:</t>
        </r>
        <r>
          <rPr>
            <sz val="8"/>
            <color indexed="81"/>
            <rFont val="Tahoma"/>
            <family val="2"/>
          </rPr>
          <t xml:space="preserve">
The amount that you will contribute is based on the percentage of your salary. It is usually withheld from your paycheck and deposited into your 401(k) automatically</t>
        </r>
        <r>
          <rPr>
            <sz val="8"/>
            <color indexed="81"/>
            <rFont val="Tahoma"/>
            <family val="2"/>
          </rPr>
          <t>. Many companies limit the maximum amount that you can contribute (often 15% max).</t>
        </r>
        <r>
          <rPr>
            <sz val="8"/>
            <color indexed="81"/>
            <rFont val="Tahoma"/>
            <family val="2"/>
          </rPr>
          <t xml:space="preserve">
</t>
        </r>
      </text>
    </comment>
    <comment ref="D13" authorId="2" shapeId="0" xr:uid="{3760E7B1-7083-44CB-BFF7-30DDF4D565FC}">
      <text>
        <r>
          <rPr>
            <b/>
            <sz val="9"/>
            <color indexed="81"/>
            <rFont val="Tahoma"/>
            <family val="2"/>
          </rPr>
          <t>Employer Match:</t>
        </r>
        <r>
          <rPr>
            <sz val="9"/>
            <color indexed="81"/>
            <rFont val="Tahoma"/>
            <family val="2"/>
          </rPr>
          <t xml:space="preserve">
This is the amount your employer contributes, specified as a percentage of your contribution.
For example, if you contributed $1000 and your company matches 50%, then your company would contribute $500.</t>
        </r>
      </text>
    </comment>
    <comment ref="D14" authorId="2" shapeId="0" xr:uid="{EBD270E6-0A58-41BC-9D51-A2F08974A3B6}">
      <text>
        <r>
          <rPr>
            <b/>
            <sz val="9"/>
            <color indexed="81"/>
            <rFont val="Tahoma"/>
            <family val="2"/>
          </rPr>
          <t>Maximum Employee % Contribution (for Employer Match)</t>
        </r>
        <r>
          <rPr>
            <sz val="9"/>
            <color indexed="81"/>
            <rFont val="Tahoma"/>
            <family val="2"/>
          </rPr>
          <t xml:space="preserve">
There is usually a limit to how much of your contribution your company will match. The maximum employer contribution is often stated as "50% match up to 6% of your salary." For this spreadsheet, this should be interpreted as "</t>
        </r>
        <r>
          <rPr>
            <b/>
            <sz val="9"/>
            <color indexed="81"/>
            <rFont val="Tahoma"/>
            <family val="2"/>
          </rPr>
          <t>50% match up to an employee contribution of 6%.</t>
        </r>
        <r>
          <rPr>
            <sz val="9"/>
            <color indexed="81"/>
            <rFont val="Tahoma"/>
            <family val="2"/>
          </rPr>
          <t>" This means that the company stops matching the rest of your contribution if you contribute more than 6% of your salary.</t>
        </r>
      </text>
    </comment>
    <comment ref="E15" authorId="0" shapeId="0" xr:uid="{1F71CDBA-0F7D-4E3B-A4A7-26CDC163003E}">
      <text>
        <r>
          <rPr>
            <b/>
            <sz val="8"/>
            <color indexed="81"/>
            <rFont val="Tahoma"/>
            <family val="2"/>
          </rPr>
          <t>Contribution Limit Warning:</t>
        </r>
        <r>
          <rPr>
            <sz val="8"/>
            <color indexed="81"/>
            <rFont val="Tahoma"/>
            <family val="2"/>
          </rPr>
          <t xml:space="preserve">
The calculator allows you to make contributions over the IRS limit, but this cell will warn you whether your first annual contribution is over the limit.</t>
        </r>
      </text>
    </comment>
    <comment ref="D17" authorId="1" shapeId="0" xr:uid="{972B1932-1603-4E6E-81F2-45C688D0239E}">
      <text>
        <r>
          <rPr>
            <b/>
            <sz val="8"/>
            <color indexed="81"/>
            <rFont val="Tahoma"/>
            <family val="2"/>
          </rPr>
          <t>Annual Rate of Return:</t>
        </r>
        <r>
          <rPr>
            <sz val="8"/>
            <color indexed="81"/>
            <rFont val="Tahoma"/>
            <family val="2"/>
          </rPr>
          <t xml:space="preserve">
This spreadsheet assumes a </t>
        </r>
        <r>
          <rPr>
            <b/>
            <sz val="8"/>
            <color indexed="81"/>
            <rFont val="Tahoma"/>
            <family val="2"/>
          </rPr>
          <t xml:space="preserve">fixed </t>
        </r>
        <r>
          <rPr>
            <sz val="8"/>
            <color indexed="81"/>
            <rFont val="Tahoma"/>
            <family val="2"/>
          </rPr>
          <t>annual interest rate, unless the "Use Random Rates" box is checked.</t>
        </r>
      </text>
    </comment>
    <comment ref="D18" authorId="0" shapeId="0" xr:uid="{F4F1AAF6-BA6B-4F5A-84A5-CA7F6AE8A422}">
      <text>
        <r>
          <rPr>
            <b/>
            <sz val="8"/>
            <color indexed="81"/>
            <rFont val="Tahoma"/>
            <family val="2"/>
          </rPr>
          <t>Payments Per Year:</t>
        </r>
        <r>
          <rPr>
            <sz val="8"/>
            <color indexed="81"/>
            <rFont val="Tahoma"/>
            <family val="2"/>
          </rPr>
          <t xml:space="preserve">
The number of contributions made per year.
Usually based on how often you receive your paycheck.
12 = Monthly
24 = Semi-Monthly (twice per month)
26 = Bi-Weekly (once every two weeks)
52 = Weekly
13 = Every 4 weeks
4 = Quarterly (four times per year)
2 = Semi-annually
1 = Annually</t>
        </r>
      </text>
    </comment>
    <comment ref="G22" authorId="0" shapeId="0" xr:uid="{C3677BCF-1CF0-4776-9A23-EFEA45C37D9D}">
      <text>
        <r>
          <rPr>
            <b/>
            <sz val="8"/>
            <color indexed="81"/>
            <rFont val="Tahoma"/>
            <family val="2"/>
          </rPr>
          <t>Random Rates:</t>
        </r>
        <r>
          <rPr>
            <sz val="8"/>
            <color indexed="81"/>
            <rFont val="Tahoma"/>
            <family val="2"/>
          </rPr>
          <t xml:space="preserve">
If you choose the "On" option, the rate column will calculate the random rate between the Min and Max rates that you specify below. To recalculate the spreadsheet, press F9.</t>
        </r>
      </text>
    </comment>
    <comment ref="G25" authorId="0" shapeId="0" xr:uid="{0D410E14-4459-4E62-9956-686F935060BB}">
      <text>
        <r>
          <rPr>
            <b/>
            <sz val="8"/>
            <color indexed="81"/>
            <rFont val="Tahoma"/>
            <family val="2"/>
          </rPr>
          <t>Average Rate:</t>
        </r>
        <r>
          <rPr>
            <sz val="8"/>
            <color indexed="81"/>
            <rFont val="Tahoma"/>
            <family val="2"/>
          </rPr>
          <t xml:space="preserve">
The average rate is calculated as the average of the </t>
        </r>
        <r>
          <rPr>
            <b/>
            <sz val="8"/>
            <color indexed="81"/>
            <rFont val="Tahoma"/>
            <family val="2"/>
          </rPr>
          <t>Rate</t>
        </r>
        <r>
          <rPr>
            <sz val="8"/>
            <color indexed="81"/>
            <rFont val="Tahoma"/>
            <family val="2"/>
          </rPr>
          <t xml:space="preserve"> column for the specified number of years until retirement. This doesn't have any relationship to Internal Rate of Return.</t>
        </r>
      </text>
    </comment>
    <comment ref="C32" authorId="0" shapeId="0" xr:uid="{0A0A8BD0-1A8B-493A-AE5B-9CD7D646FD03}">
      <text>
        <r>
          <rPr>
            <b/>
            <sz val="8"/>
            <color indexed="81"/>
            <rFont val="Tahoma"/>
            <family val="2"/>
          </rPr>
          <t>Expected Annual Return:</t>
        </r>
        <r>
          <rPr>
            <sz val="8"/>
            <color indexed="81"/>
            <rFont val="Tahoma"/>
            <family val="2"/>
          </rPr>
          <t xml:space="preserve">
To vary the rate over time, delete the formulas in this column and either add your own formulas or enter the rates manually.
</t>
        </r>
        <r>
          <rPr>
            <b/>
            <sz val="8"/>
            <color indexed="81"/>
            <rFont val="Tahoma"/>
            <family val="2"/>
          </rPr>
          <t>Random Rate Formula:</t>
        </r>
        <r>
          <rPr>
            <sz val="8"/>
            <color indexed="81"/>
            <rFont val="Tahoma"/>
            <family val="2"/>
          </rPr>
          <t xml:space="preserve">
Random rate between -2% and 10%
  =min+RAND()*(max-min)
  where min=-0.02 and max=0.10
</t>
        </r>
      </text>
    </comment>
    <comment ref="D32" authorId="0" shapeId="0" xr:uid="{429D0065-9A03-46F3-A2E8-81A948A51D55}">
      <text>
        <r>
          <rPr>
            <b/>
            <sz val="8"/>
            <color indexed="81"/>
            <rFont val="Tahoma"/>
            <family val="2"/>
          </rPr>
          <t>Salary:</t>
        </r>
        <r>
          <rPr>
            <sz val="8"/>
            <color indexed="81"/>
            <rFont val="Tahoma"/>
            <family val="2"/>
          </rPr>
          <t xml:space="preserve">
The contributions for each year are based on the salary in this column. </t>
        </r>
      </text>
    </comment>
    <comment ref="E32" authorId="0" shapeId="0" xr:uid="{AC5443B8-8BAC-4017-8DE2-5E8424810A1E}">
      <text>
        <r>
          <rPr>
            <b/>
            <sz val="8"/>
            <color indexed="81"/>
            <rFont val="Tahoma"/>
            <family val="2"/>
          </rPr>
          <t>Your Annual Contribution:</t>
        </r>
        <r>
          <rPr>
            <sz val="8"/>
            <color indexed="81"/>
            <rFont val="Tahoma"/>
            <family val="2"/>
          </rPr>
          <t xml:space="preserve">
This calculator does not take into account whether your contributions are pre-tax or after tax (i.e. a Roth 401k).</t>
        </r>
      </text>
    </comment>
    <comment ref="F32" authorId="0" shapeId="0" xr:uid="{83E7EB16-3408-4595-A016-1ECC2528F5DE}">
      <text>
        <r>
          <rPr>
            <b/>
            <sz val="8"/>
            <color indexed="81"/>
            <rFont val="Tahoma"/>
            <family val="2"/>
          </rPr>
          <t>Annual Employer Contribution</t>
        </r>
        <r>
          <rPr>
            <sz val="8"/>
            <color indexed="81"/>
            <rFont val="Tahoma"/>
            <family val="2"/>
          </rPr>
          <t xml:space="preserve">
The amount your employer matches during the year.</t>
        </r>
      </text>
    </comment>
    <comment ref="G32" authorId="0" shapeId="0" xr:uid="{DD69B1F6-022B-4634-BCB0-E2F694120E19}">
      <text>
        <r>
          <rPr>
            <b/>
            <sz val="8"/>
            <color indexed="81"/>
            <rFont val="Tahoma"/>
            <family val="2"/>
          </rPr>
          <t>Estimated Annual Interest:</t>
        </r>
        <r>
          <rPr>
            <sz val="8"/>
            <color indexed="81"/>
            <rFont val="Tahoma"/>
            <family val="2"/>
          </rPr>
          <t xml:space="preserve">
The interest is calculated using the FV formula to account for the fact that the contributions are made in equal payments each time you receive your paycheck. This actually has a pretty minimal effect compared to fluctuations in annual rates of return.</t>
        </r>
      </text>
    </comment>
    <comment ref="H32" authorId="0" shapeId="0" xr:uid="{168051BE-5978-42A7-83D3-AF441CE0002E}">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J32" authorId="0" shapeId="0" xr:uid="{A9BB577D-792D-4CAA-B20B-8A0BC543E1D7}">
      <text>
        <r>
          <rPr>
            <sz val="8"/>
            <color indexed="81"/>
            <rFont val="Tahoma"/>
            <family val="2"/>
          </rPr>
          <t>This column is used to create the "My Contribution" line in the graph.</t>
        </r>
      </text>
    </comment>
    <comment ref="K32" authorId="0" shapeId="0" xr:uid="{07018390-D75A-499C-8C3A-D06B9130E7EC}">
      <text>
        <r>
          <rPr>
            <sz val="8"/>
            <color indexed="81"/>
            <rFont val="Tahoma"/>
            <family val="2"/>
          </rPr>
          <t>This column is used to create the "Total Contribution" line on the graph.</t>
        </r>
      </text>
    </comment>
    <comment ref="E33" authorId="0" shapeId="0" xr:uid="{5364B261-3666-4420-AC9C-D0912FCBCA45}">
      <text>
        <r>
          <rPr>
            <b/>
            <sz val="8"/>
            <color indexed="81"/>
            <rFont val="Tahoma"/>
            <family val="2"/>
          </rPr>
          <t>Annual Contributions To-Date:</t>
        </r>
        <r>
          <rPr>
            <sz val="8"/>
            <color indexed="81"/>
            <rFont val="Tahoma"/>
            <family val="2"/>
          </rPr>
          <t xml:space="preserve">
If you have a starting 401(k) balance, look on your last statement to determine how much you have contributed to date, and enter that value here.</t>
        </r>
      </text>
    </comment>
    <comment ref="F33" authorId="0" shapeId="0" xr:uid="{CFBC3621-EA1A-4599-AE41-0CAB0CF698D7}">
      <text>
        <r>
          <rPr>
            <b/>
            <sz val="8"/>
            <color indexed="81"/>
            <rFont val="Tahoma"/>
            <family val="2"/>
          </rPr>
          <t>Employer Contributions To-Date:</t>
        </r>
        <r>
          <rPr>
            <sz val="8"/>
            <color indexed="81"/>
            <rFont val="Tahoma"/>
            <family val="2"/>
          </rPr>
          <t xml:space="preserve">
If you have a starting 401(k) balance, look on your last statement to determine how much </t>
        </r>
        <r>
          <rPr>
            <b/>
            <sz val="8"/>
            <color indexed="81"/>
            <rFont val="Tahoma"/>
            <family val="2"/>
          </rPr>
          <t xml:space="preserve">your employer </t>
        </r>
        <r>
          <rPr>
            <sz val="8"/>
            <color indexed="81"/>
            <rFont val="Tahoma"/>
            <family val="2"/>
          </rPr>
          <t>has contributed to date, and enter that value here.</t>
        </r>
      </text>
    </comment>
  </commentList>
</comments>
</file>

<file path=xl/sharedStrings.xml><?xml version="1.0" encoding="utf-8"?>
<sst xmlns="http://schemas.openxmlformats.org/spreadsheetml/2006/main" count="318" uniqueCount="193">
  <si>
    <t>Earnings</t>
  </si>
  <si>
    <t>LTD Benefit Credit</t>
  </si>
  <si>
    <t>My Health Completion Credit</t>
  </si>
  <si>
    <t>Regular</t>
  </si>
  <si>
    <t>Deductions</t>
  </si>
  <si>
    <t>Federal</t>
  </si>
  <si>
    <t>Health Savings Account</t>
  </si>
  <si>
    <t>Life Insurance Coverage</t>
  </si>
  <si>
    <t>Long Term  Disability Coverage</t>
  </si>
  <si>
    <t>Medical Coverage</t>
  </si>
  <si>
    <t>Medicare</t>
  </si>
  <si>
    <t>OASDI</t>
  </si>
  <si>
    <t>Supplemental Accident Coverage</t>
  </si>
  <si>
    <t>Vision Coverage</t>
  </si>
  <si>
    <t>NSP AfterTax Deduction NonRoth</t>
  </si>
  <si>
    <t>Grossed Up Earnings</t>
  </si>
  <si>
    <t>Gross</t>
  </si>
  <si>
    <t>Net</t>
  </si>
  <si>
    <t>VA State Tax</t>
  </si>
  <si>
    <t>AZ State Tax</t>
  </si>
  <si>
    <t>Annual Salary</t>
  </si>
  <si>
    <t>Bonus/Exams</t>
  </si>
  <si>
    <t>Contribution %</t>
  </si>
  <si>
    <t>Yearly Contributions</t>
  </si>
  <si>
    <t>Yearly Employer Match</t>
  </si>
  <si>
    <t>Weekly Employer Match</t>
  </si>
  <si>
    <t>Age</t>
  </si>
  <si>
    <t>Year</t>
  </si>
  <si>
    <t>Net Annual Salary</t>
  </si>
  <si>
    <t>Bi Weekly Salary</t>
  </si>
  <si>
    <t>Monthly Salary</t>
  </si>
  <si>
    <t>Monthly Net Salary</t>
  </si>
  <si>
    <t>Bi Weekly Contributions</t>
  </si>
  <si>
    <t>Monthly Contributions</t>
  </si>
  <si>
    <t>Leftover</t>
  </si>
  <si>
    <t>of Net Salary</t>
  </si>
  <si>
    <t>Multiplier</t>
  </si>
  <si>
    <t>Total + Match</t>
  </si>
  <si>
    <t>Cumulative</t>
  </si>
  <si>
    <t>Projected rent (.33 Net salary)</t>
  </si>
  <si>
    <t>Monthly Leftover</t>
  </si>
  <si>
    <t>Net Leftover</t>
  </si>
  <si>
    <t>return</t>
  </si>
  <si>
    <t>inflation</t>
  </si>
  <si>
    <t>return net inflation</t>
  </si>
  <si>
    <t>(Assume 2% growth in salary)</t>
  </si>
  <si>
    <t>Assumptions</t>
  </si>
  <si>
    <t>Sean</t>
  </si>
  <si>
    <t>Vincent</t>
  </si>
  <si>
    <t>Starting Level</t>
  </si>
  <si>
    <t>Starting Salary</t>
  </si>
  <si>
    <t>Starting Equity</t>
  </si>
  <si>
    <t>Bonus Level</t>
  </si>
  <si>
    <t>Pay Schedule</t>
  </si>
  <si>
    <t>State</t>
  </si>
  <si>
    <t>Company 401K Match</t>
  </si>
  <si>
    <t>Medical</t>
  </si>
  <si>
    <t>Dental</t>
  </si>
  <si>
    <t>Vision</t>
  </si>
  <si>
    <t>Starting 401K Contribution Base</t>
  </si>
  <si>
    <t>Federal Tax Rate</t>
  </si>
  <si>
    <t>State Tax Rate</t>
  </si>
  <si>
    <t>Vincent Age</t>
  </si>
  <si>
    <t>Sean Age</t>
  </si>
  <si>
    <t>Exam Bonus</t>
  </si>
  <si>
    <t>Bonus</t>
  </si>
  <si>
    <t>Stock Vest</t>
  </si>
  <si>
    <t>Company</t>
  </si>
  <si>
    <t>HSA</t>
  </si>
  <si>
    <t>First Attempt Bonus</t>
  </si>
  <si>
    <t>AZ</t>
  </si>
  <si>
    <t>CA</t>
  </si>
  <si>
    <t>Bi-weekly</t>
  </si>
  <si>
    <t>HDHP</t>
  </si>
  <si>
    <t>Net Household Income</t>
  </si>
  <si>
    <t>401k Pre Tax</t>
  </si>
  <si>
    <t>401k Roth</t>
  </si>
  <si>
    <t>401K</t>
  </si>
  <si>
    <t>Post Tax Deductions</t>
  </si>
  <si>
    <t>Pre Tax Deductions</t>
  </si>
  <si>
    <t>Taxes</t>
  </si>
  <si>
    <t>Roth 401K</t>
  </si>
  <si>
    <t>State Taxes</t>
  </si>
  <si>
    <t>Federal Taxes</t>
  </si>
  <si>
    <t>Charity</t>
  </si>
  <si>
    <t>Life Insurance</t>
  </si>
  <si>
    <t>Long Term Disability</t>
  </si>
  <si>
    <t>Combined Total</t>
  </si>
  <si>
    <t>Gross Total</t>
  </si>
  <si>
    <t>Total - Sean</t>
  </si>
  <si>
    <t>Total - Vincent</t>
  </si>
  <si>
    <t xml:space="preserve">return net inflation </t>
  </si>
  <si>
    <t>Taxable Income</t>
  </si>
  <si>
    <t>Spending</t>
  </si>
  <si>
    <t>Combined</t>
  </si>
  <si>
    <t>Savings</t>
  </si>
  <si>
    <t>Liquid Assets</t>
  </si>
  <si>
    <t>Retirement</t>
  </si>
  <si>
    <t>Rent - 2116 Cedar</t>
  </si>
  <si>
    <t>Rent - New Manchester Flats</t>
  </si>
  <si>
    <t>Rent - Artisan Village</t>
  </si>
  <si>
    <t>Rent - CA</t>
  </si>
  <si>
    <t>Student Loan</t>
  </si>
  <si>
    <t>Vincent Loan</t>
  </si>
  <si>
    <t>401k</t>
  </si>
  <si>
    <t>Start of Year</t>
  </si>
  <si>
    <t>Hard Coded</t>
  </si>
  <si>
    <t>Actual</t>
  </si>
  <si>
    <t>Prediction</t>
  </si>
  <si>
    <t>Summary</t>
  </si>
  <si>
    <t>401(k) Savings Calculator</t>
  </si>
  <si>
    <t>Using This Worksheet</t>
  </si>
  <si>
    <t>401(k) Plan Assumptions</t>
  </si>
  <si>
    <t>Summary of Results</t>
  </si>
  <si>
    <t>Taxes and IRS Contribution Limits are</t>
  </si>
  <si>
    <t>Current Age</t>
  </si>
  <si>
    <t>Years to Invest</t>
  </si>
  <si>
    <t>NOT factored into the calculations. You must</t>
  </si>
  <si>
    <t>Age at Retirement</t>
  </si>
  <si>
    <t>check to ensure that you are not contributing</t>
  </si>
  <si>
    <t>Balance and Salary</t>
  </si>
  <si>
    <t>Future Value</t>
  </si>
  <si>
    <t>more than the 401(k) Limit.</t>
  </si>
  <si>
    <t>Current 401(k) Balance</t>
  </si>
  <si>
    <t>Current Annual Salary</t>
  </si>
  <si>
    <t>Ending Salary</t>
  </si>
  <si>
    <t>Annual Increase in Salary</t>
  </si>
  <si>
    <t>Set Chart Y-Axis to a Fixed Value</t>
  </si>
  <si>
    <t>Contributions</t>
  </si>
  <si>
    <t>Total Contributions</t>
  </si>
  <si>
    <t>When making comparisons using the graph,</t>
  </si>
  <si>
    <t>% of Salary to Contribute</t>
  </si>
  <si>
    <t>Your Contributions</t>
  </si>
  <si>
    <t xml:space="preserve">it helps to set the y-axis on the chart to some </t>
  </si>
  <si>
    <t>Employer Match</t>
  </si>
  <si>
    <t>Employer Contributions</t>
  </si>
  <si>
    <t xml:space="preserve">maximum $ amount. Right-click on the $ axis, select </t>
  </si>
  <si>
    <t>Max Employee % Contribution</t>
  </si>
  <si>
    <t xml:space="preserve">Format Axis, go to the Scale tab, uncheck the box </t>
  </si>
  <si>
    <t>next to Maximum, and set the max value.</t>
  </si>
  <si>
    <t>Return</t>
  </si>
  <si>
    <t>Annual Rate of Return</t>
  </si>
  <si>
    <t>Payments Per Year</t>
  </si>
  <si>
    <t>[42]</t>
  </si>
  <si>
    <t>Random Rates</t>
  </si>
  <si>
    <t>Off</t>
  </si>
  <si>
    <t>Min</t>
  </si>
  <si>
    <t>Max</t>
  </si>
  <si>
    <t>Average</t>
  </si>
  <si>
    <t>(Press F9 to Recalculate)</t>
  </si>
  <si>
    <t>Rate</t>
  </si>
  <si>
    <t>Salary</t>
  </si>
  <si>
    <r>
      <t xml:space="preserve">Annual </t>
    </r>
    <r>
      <rPr>
        <sz val="10"/>
        <rFont val="Calibri"/>
        <family val="2"/>
        <scheme val="minor"/>
      </rPr>
      <t>Contribution</t>
    </r>
  </si>
  <si>
    <r>
      <t xml:space="preserve">Employer </t>
    </r>
    <r>
      <rPr>
        <sz val="10"/>
        <rFont val="Calibri"/>
        <family val="2"/>
        <scheme val="minor"/>
      </rPr>
      <t>Contribution</t>
    </r>
  </si>
  <si>
    <t>Interest</t>
  </si>
  <si>
    <t>Balance</t>
  </si>
  <si>
    <r>
      <t xml:space="preserve">My </t>
    </r>
    <r>
      <rPr>
        <sz val="10"/>
        <rFont val="Calibri"/>
        <family val="2"/>
        <scheme val="minor"/>
      </rPr>
      <t>Contribution</t>
    </r>
  </si>
  <si>
    <r>
      <t xml:space="preserve">Total </t>
    </r>
    <r>
      <rPr>
        <sz val="10"/>
        <rFont val="Calibri"/>
        <family val="2"/>
        <scheme val="minor"/>
      </rPr>
      <t>Contribution</t>
    </r>
  </si>
  <si>
    <t>Legal</t>
  </si>
  <si>
    <t>Group Life</t>
  </si>
  <si>
    <t>Fixed &amp; Variable Expenses</t>
  </si>
  <si>
    <t>To Amortization Table</t>
  </si>
  <si>
    <t>* Total monthly payments = loan payments plus property tax payments</t>
  </si>
  <si>
    <t>Monthly Property Tax Amount</t>
  </si>
  <si>
    <t>Loan Start Date</t>
  </si>
  <si>
    <t>Total Interest Paid</t>
  </si>
  <si>
    <t>Loan Amount</t>
  </si>
  <si>
    <t>Total Loan Payments</t>
  </si>
  <si>
    <t>Duration of Loan (in months)</t>
  </si>
  <si>
    <t>Total Monthly Payments*</t>
  </si>
  <si>
    <t>Interest Rate</t>
  </si>
  <si>
    <t>Monthly Loan Payments</t>
  </si>
  <si>
    <t>Purchase Price</t>
  </si>
  <si>
    <t>TOTALS</t>
  </si>
  <si>
    <t>KEY STATISTICS</t>
  </si>
  <si>
    <t>VALUES</t>
  </si>
  <si>
    <t>LOAN DETAILS</t>
  </si>
  <si>
    <t>CALCULATOR</t>
  </si>
  <si>
    <t>MONTHLY LOAN PAYMENT</t>
  </si>
  <si>
    <t>MORTGAGE LOAN</t>
  </si>
  <si>
    <t>#
remaining</t>
  </si>
  <si>
    <t>closing
balance</t>
  </si>
  <si>
    <t>total
payments</t>
  </si>
  <si>
    <t>property
tax</t>
  </si>
  <si>
    <t>principal</t>
  </si>
  <si>
    <t>interest</t>
  </si>
  <si>
    <t>opening
balance</t>
  </si>
  <si>
    <t>payment
date</t>
  </si>
  <si>
    <t>#</t>
  </si>
  <si>
    <t>TABLE</t>
  </si>
  <si>
    <t>AMORTIZATION</t>
  </si>
  <si>
    <t>Down Payment</t>
  </si>
  <si>
    <t>Tax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</si>
</sst>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0;\(#,##0.00\)"/>
    <numFmt numFmtId="165" formatCode="0.0%"/>
    <numFmt numFmtId="166" formatCode="_(&quot;$&quot;* #,##0_);_(&quot;$&quot;* \(#,##0\);_(&quot;$&quot;* &quot;-&quot;??_);_(@_)"/>
    <numFmt numFmtId="167" formatCode="_(* #,##0.0_);_(* \(#,##0.0\);_(* &quot;-&quot;??_);_(@_)"/>
    <numFmt numFmtId="168" formatCode="&quot;$&quot;* #,##0.00;&quot;$&quot;* \-#,##0.00;&quot;$&quot;* &quot;-&quot;??;@"/>
    <numFmt numFmtId="169" formatCode="_(* #,##0_);_(* \(#,##0\);_(* &quot;-&quot;??_);_(@_)"/>
    <numFmt numFmtId="171" formatCode="&quot;$&quot;#,##0"/>
  </numFmts>
  <fonts count="41" x14ac:knownFonts="1">
    <font>
      <sz val="10"/>
      <name val="Arial"/>
    </font>
    <font>
      <sz val="11"/>
      <color theme="1"/>
      <name val="Calibri"/>
      <family val="2"/>
      <scheme val="minor"/>
    </font>
    <font>
      <b/>
      <i/>
      <sz val="10"/>
      <name val="Arial"/>
      <family val="2"/>
    </font>
    <font>
      <b/>
      <sz val="10"/>
      <name val="Arial"/>
      <family val="2"/>
    </font>
    <font>
      <sz val="10"/>
      <name val="Arial"/>
      <family val="2"/>
    </font>
    <font>
      <b/>
      <sz val="15"/>
      <color theme="3"/>
      <name val="Calibri"/>
      <family val="2"/>
      <scheme val="minor"/>
    </font>
    <font>
      <sz val="10"/>
      <name val="Arial"/>
      <family val="2"/>
    </font>
    <font>
      <sz val="11"/>
      <color rgb="FF3F3F76"/>
      <name val="Calibri"/>
      <family val="2"/>
      <scheme val="minor"/>
    </font>
    <font>
      <sz val="9"/>
      <color indexed="81"/>
      <name val="Tahoma"/>
      <family val="2"/>
    </font>
    <font>
      <b/>
      <sz val="9"/>
      <color indexed="81"/>
      <name val="Tahoma"/>
      <family val="2"/>
    </font>
    <font>
      <sz val="10"/>
      <color rgb="FFFF0000"/>
      <name val="Arial"/>
      <family val="2"/>
    </font>
    <font>
      <sz val="10"/>
      <name val="Tahoma"/>
      <family val="2"/>
    </font>
    <font>
      <b/>
      <sz val="18"/>
      <color theme="0"/>
      <name val="Calibri Light"/>
      <family val="2"/>
      <scheme val="major"/>
    </font>
    <font>
      <sz val="8"/>
      <name val="Arial"/>
      <family val="2"/>
    </font>
    <font>
      <u/>
      <sz val="10"/>
      <color indexed="12"/>
      <name val="Arial"/>
      <family val="2"/>
    </font>
    <font>
      <b/>
      <sz val="10"/>
      <color theme="4" tint="-0.249977111117893"/>
      <name val="Tahoma"/>
      <family val="2"/>
    </font>
    <font>
      <b/>
      <sz val="11"/>
      <color indexed="9"/>
      <name val="Calibri Light"/>
      <family val="2"/>
      <scheme val="major"/>
    </font>
    <font>
      <sz val="10"/>
      <name val="Calibri"/>
      <family val="2"/>
      <scheme val="minor"/>
    </font>
    <font>
      <sz val="11"/>
      <name val="Calibri"/>
      <family val="2"/>
      <scheme val="minor"/>
    </font>
    <font>
      <b/>
      <sz val="12"/>
      <color indexed="9"/>
      <name val="Calibri"/>
      <family val="2"/>
      <scheme val="minor"/>
    </font>
    <font>
      <b/>
      <i/>
      <sz val="10"/>
      <color indexed="23"/>
      <name val="Calibri"/>
      <family val="2"/>
      <scheme val="minor"/>
    </font>
    <font>
      <b/>
      <sz val="10"/>
      <name val="Tahoma"/>
      <family val="2"/>
    </font>
    <font>
      <sz val="10"/>
      <color theme="4" tint="-0.499984740745262"/>
      <name val="Calibri"/>
      <family val="2"/>
      <scheme val="minor"/>
    </font>
    <font>
      <sz val="10"/>
      <color indexed="10"/>
      <name val="Calibri"/>
      <family val="2"/>
      <scheme val="minor"/>
    </font>
    <font>
      <sz val="6"/>
      <color theme="0" tint="-4.9989318521683403E-2"/>
      <name val="Calibri"/>
      <family val="2"/>
      <scheme val="minor"/>
    </font>
    <font>
      <sz val="10"/>
      <color indexed="9"/>
      <name val="Tahoma"/>
      <family val="2"/>
    </font>
    <font>
      <sz val="9"/>
      <name val="Calibri"/>
      <family val="2"/>
      <scheme val="minor"/>
    </font>
    <font>
      <sz val="8"/>
      <name val="Calibri"/>
      <family val="2"/>
      <scheme val="minor"/>
    </font>
    <font>
      <sz val="10"/>
      <color indexed="9"/>
      <name val="Calibri"/>
      <family val="2"/>
      <scheme val="minor"/>
    </font>
    <font>
      <b/>
      <sz val="10"/>
      <name val="Calibri"/>
      <family val="2"/>
      <scheme val="minor"/>
    </font>
    <font>
      <i/>
      <sz val="8"/>
      <name val="Calibri"/>
      <family val="2"/>
      <scheme val="minor"/>
    </font>
    <font>
      <b/>
      <sz val="8"/>
      <color indexed="81"/>
      <name val="Tahoma"/>
      <family val="2"/>
    </font>
    <font>
      <sz val="8"/>
      <color indexed="81"/>
      <name val="Tahoma"/>
      <family val="2"/>
    </font>
    <font>
      <sz val="11"/>
      <color theme="1" tint="0.34998626667073579"/>
      <name val="Calibri"/>
      <family val="2"/>
      <scheme val="minor"/>
    </font>
    <font>
      <sz val="10"/>
      <color theme="1" tint="0.34998626667073579"/>
      <name val="Calibri"/>
      <family val="2"/>
      <scheme val="minor"/>
    </font>
    <font>
      <b/>
      <u/>
      <sz val="11"/>
      <color theme="5" tint="-0.24994659260841701"/>
      <name val="Calibri"/>
      <family val="2"/>
      <scheme val="minor"/>
    </font>
    <font>
      <i/>
      <sz val="11"/>
      <color theme="1" tint="0.34998626667073579"/>
      <name val="Calibri"/>
      <family val="2"/>
      <scheme val="minor"/>
    </font>
    <font>
      <sz val="11"/>
      <color theme="5" tint="-0.24994659260841701"/>
      <name val="Calibri Light"/>
      <family val="2"/>
      <scheme val="major"/>
    </font>
    <font>
      <sz val="12"/>
      <color theme="2"/>
      <name val="Calibri Light"/>
      <family val="2"/>
      <scheme val="major"/>
    </font>
    <font>
      <sz val="20"/>
      <color theme="3" tint="9.9948118533890809E-2"/>
      <name val="Calibri Light"/>
      <family val="2"/>
      <scheme val="major"/>
    </font>
    <font>
      <sz val="20"/>
      <color theme="2"/>
      <name val="Calibri Light"/>
      <family val="2"/>
      <scheme val="major"/>
    </font>
  </fonts>
  <fills count="28">
    <fill>
      <patternFill patternType="none"/>
    </fill>
    <fill>
      <patternFill patternType="gray125"/>
    </fill>
    <fill>
      <patternFill patternType="solid">
        <fgColor rgb="FFCCCCCC"/>
        <bgColor rgb="FFCCCCCC"/>
      </patternFill>
    </fill>
    <fill>
      <patternFill patternType="solid">
        <fgColor rgb="FFFFCC99"/>
      </patternFill>
    </fill>
    <fill>
      <patternFill patternType="solid">
        <fgColor rgb="FFFFFFCC"/>
      </patternFill>
    </fill>
    <fill>
      <patternFill patternType="solid">
        <fgColor theme="4"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indexed="46"/>
        <bgColor indexed="64"/>
      </patternFill>
    </fill>
    <fill>
      <patternFill patternType="solid">
        <fgColor theme="4" tint="0.59999389629810485"/>
        <bgColor indexed="64"/>
      </patternFill>
    </fill>
    <fill>
      <patternFill patternType="solid">
        <fgColor indexed="9"/>
        <bgColor indexed="64"/>
      </patternFill>
    </fill>
    <fill>
      <patternFill patternType="solid">
        <fgColor theme="5" tint="-0.24994659260841701"/>
        <bgColor indexed="64"/>
      </patternFill>
    </fill>
    <fill>
      <patternFill patternType="solid">
        <fgColor theme="4" tint="0.39994506668294322"/>
        <bgColor indexed="64"/>
      </patternFill>
    </fill>
    <fill>
      <patternFill patternType="solid">
        <fgColor theme="4" tint="-0.499984740745262"/>
        <bgColor indexed="64"/>
      </patternFill>
    </fill>
    <fill>
      <patternFill patternType="solid">
        <fgColor theme="0"/>
        <bgColor indexed="64"/>
      </patternFill>
    </fill>
  </fills>
  <borders count="49">
    <border>
      <left/>
      <right/>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top/>
      <bottom style="medium">
        <color indexed="64"/>
      </bottom>
      <diagonal/>
    </border>
    <border>
      <left style="thin">
        <color rgb="FFB2B2B2"/>
      </left>
      <right style="thin">
        <color rgb="FFB2B2B2"/>
      </right>
      <top/>
      <bottom style="thin">
        <color rgb="FFB2B2B2"/>
      </bottom>
      <diagonal/>
    </border>
    <border>
      <left style="thin">
        <color rgb="FFB2B2B2"/>
      </left>
      <right style="thin">
        <color rgb="FFB2B2B2"/>
      </right>
      <top style="thin">
        <color indexed="64"/>
      </top>
      <bottom style="thin">
        <color rgb="FFB2B2B2"/>
      </bottom>
      <diagonal/>
    </border>
    <border>
      <left/>
      <right style="thin">
        <color rgb="FFB2B2B2"/>
      </right>
      <top style="thin">
        <color rgb="FFB2B2B2"/>
      </top>
      <bottom style="thin">
        <color rgb="FFB2B2B2"/>
      </bottom>
      <diagonal/>
    </border>
    <border>
      <left/>
      <right style="thin">
        <color rgb="FFB2B2B2"/>
      </right>
      <top style="thin">
        <color rgb="FFB2B2B2"/>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bottom>
      <diagonal/>
    </border>
    <border>
      <left/>
      <right/>
      <top/>
      <bottom style="medium">
        <color theme="4" tint="0.39994506668294322"/>
      </bottom>
      <diagonal/>
    </border>
    <border>
      <left/>
      <right/>
      <top/>
      <bottom style="medium">
        <color theme="8" tint="0.39994506668294322"/>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right/>
      <top/>
      <bottom style="medium">
        <color theme="4"/>
      </bottom>
      <diagonal/>
    </border>
    <border>
      <left/>
      <right/>
      <top/>
      <bottom style="medium">
        <color theme="8"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ck">
        <color theme="0"/>
      </top>
      <bottom/>
      <diagonal/>
    </border>
    <border>
      <left style="thick">
        <color theme="0"/>
      </left>
      <right/>
      <top style="thick">
        <color theme="0"/>
      </top>
      <bottom/>
      <diagonal/>
    </border>
    <border>
      <left/>
      <right/>
      <top/>
      <bottom style="thick">
        <color theme="0"/>
      </bottom>
      <diagonal/>
    </border>
  </borders>
  <cellStyleXfs count="29">
    <xf numFmtId="0" fontId="0" fillId="0" borderId="0"/>
    <xf numFmtId="44" fontId="4" fillId="0" borderId="0" applyFont="0" applyFill="0" applyBorder="0" applyAlignment="0" applyProtection="0"/>
    <xf numFmtId="9" fontId="4" fillId="0" borderId="0" applyFont="0" applyFill="0" applyBorder="0" applyAlignment="0" applyProtection="0"/>
    <xf numFmtId="0" fontId="5" fillId="0" borderId="1" applyNumberFormat="0" applyFill="0" applyAlignment="0" applyProtection="0"/>
    <xf numFmtId="43" fontId="6" fillId="0" borderId="0" applyFont="0" applyFill="0" applyBorder="0" applyAlignment="0" applyProtection="0"/>
    <xf numFmtId="0" fontId="7" fillId="3" borderId="12" applyNumberFormat="0" applyAlignment="0" applyProtection="0"/>
    <xf numFmtId="0" fontId="6" fillId="4" borderId="13" applyNumberFormat="0" applyFont="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1" fillId="0" borderId="0"/>
    <xf numFmtId="0" fontId="14" fillId="0" borderId="0" applyNumberFormat="0" applyFill="0" applyBorder="0" applyAlignment="0" applyProtection="0">
      <alignment vertical="top"/>
      <protection locked="0"/>
    </xf>
    <xf numFmtId="43" fontId="4" fillId="0" borderId="0" applyFont="0" applyFill="0" applyBorder="0" applyAlignment="0" applyProtection="0"/>
    <xf numFmtId="0" fontId="33" fillId="0" borderId="0">
      <alignment horizontal="left" wrapText="1" indent="1"/>
    </xf>
    <xf numFmtId="0" fontId="35" fillId="0" borderId="0" applyNumberFormat="0" applyFill="0" applyProtection="0">
      <alignment horizontal="right"/>
    </xf>
    <xf numFmtId="0" fontId="36" fillId="0" borderId="0" applyNumberFormat="0" applyFill="0" applyBorder="0" applyProtection="0">
      <alignment wrapText="1"/>
    </xf>
    <xf numFmtId="5" fontId="33" fillId="0" borderId="0" applyFont="0" applyFill="0" applyBorder="0" applyProtection="0">
      <alignment horizontal="right"/>
    </xf>
    <xf numFmtId="14" fontId="33" fillId="0" borderId="0" applyFont="0" applyFill="0" applyBorder="0" applyAlignment="0">
      <alignment horizontal="left" indent="1"/>
    </xf>
    <xf numFmtId="41" fontId="33" fillId="0" borderId="0" applyFont="0" applyFill="0" applyBorder="0" applyProtection="0">
      <alignment horizontal="right" indent="1"/>
    </xf>
    <xf numFmtId="165" fontId="33" fillId="0" borderId="0" applyFont="0" applyFill="0" applyBorder="0" applyProtection="0">
      <alignment horizontal="right" indent="1"/>
    </xf>
    <xf numFmtId="0" fontId="38" fillId="24" borderId="46" applyNumberFormat="0" applyProtection="0">
      <alignment horizontal="left" vertical="center" wrapText="1" indent="1"/>
    </xf>
    <xf numFmtId="0" fontId="33" fillId="0" borderId="47" applyNumberFormat="0" applyFont="0" applyFill="0" applyAlignment="0">
      <alignment wrapText="1"/>
    </xf>
    <xf numFmtId="0" fontId="39" fillId="25" borderId="0" applyNumberFormat="0" applyAlignment="0" applyProtection="0"/>
    <xf numFmtId="171" fontId="40" fillId="26" borderId="0">
      <alignment horizontal="center" vertical="center"/>
    </xf>
    <xf numFmtId="0" fontId="38" fillId="26" borderId="0" applyNumberFormat="0" applyAlignment="0" applyProtection="0"/>
    <xf numFmtId="37" fontId="33" fillId="0" borderId="0" applyFont="0" applyFill="0" applyBorder="0" applyProtection="0">
      <alignment horizontal="center"/>
    </xf>
    <xf numFmtId="0" fontId="38" fillId="24" borderId="0" applyFont="0" applyBorder="0">
      <alignment horizontal="center" wrapText="1"/>
      <protection locked="0"/>
    </xf>
  </cellStyleXfs>
  <cellXfs count="257">
    <xf numFmtId="0" fontId="0" fillId="0" borderId="0" xfId="0"/>
    <xf numFmtId="44" fontId="0" fillId="0" borderId="0" xfId="0" applyNumberFormat="1"/>
    <xf numFmtId="0" fontId="0" fillId="0" borderId="0" xfId="0" applyAlignment="1">
      <alignment horizontal="right" vertical="top"/>
    </xf>
    <xf numFmtId="0" fontId="3" fillId="0" borderId="0" xfId="0" applyFont="1" applyAlignment="1">
      <alignment horizontal="center" vertical="top" wrapText="1"/>
    </xf>
    <xf numFmtId="0" fontId="0" fillId="0" borderId="0" xfId="0" applyAlignment="1">
      <alignment vertical="top"/>
    </xf>
    <xf numFmtId="164" fontId="2" fillId="2" borderId="0" xfId="0" applyNumberFormat="1" applyFont="1" applyFill="1" applyAlignment="1">
      <alignment horizontal="right" vertical="top"/>
    </xf>
    <xf numFmtId="0" fontId="2" fillId="2" borderId="0" xfId="0" applyFont="1" applyFill="1" applyAlignment="1">
      <alignment vertical="top"/>
    </xf>
    <xf numFmtId="0" fontId="0" fillId="0" borderId="0" xfId="0" applyAlignment="1">
      <alignment wrapText="1"/>
    </xf>
    <xf numFmtId="0" fontId="0" fillId="0" borderId="0" xfId="0" applyAlignment="1"/>
    <xf numFmtId="44" fontId="0" fillId="0" borderId="0" xfId="1" applyFont="1" applyAlignment="1">
      <alignment horizontal="right" vertical="top"/>
    </xf>
    <xf numFmtId="44" fontId="0" fillId="0" borderId="0" xfId="1" applyFont="1"/>
    <xf numFmtId="44" fontId="2" fillId="2" borderId="0" xfId="1" applyFont="1" applyFill="1" applyAlignment="1">
      <alignment horizontal="right" vertical="top"/>
    </xf>
    <xf numFmtId="0" fontId="3" fillId="0" borderId="0" xfId="0" applyFont="1" applyAlignment="1">
      <alignment horizontal="right" vertical="top"/>
    </xf>
    <xf numFmtId="0" fontId="5" fillId="0" borderId="0" xfId="3" applyBorder="1" applyAlignment="1">
      <alignment horizontal="center"/>
    </xf>
    <xf numFmtId="0" fontId="2" fillId="2" borderId="3" xfId="0" applyFont="1" applyFill="1" applyBorder="1" applyAlignment="1">
      <alignment vertical="top"/>
    </xf>
    <xf numFmtId="44" fontId="0" fillId="0" borderId="4" xfId="0" applyNumberFormat="1" applyBorder="1" applyAlignment="1">
      <alignment vertical="top"/>
    </xf>
    <xf numFmtId="0" fontId="2" fillId="2" borderId="4" xfId="0" applyFont="1" applyFill="1" applyBorder="1" applyAlignment="1">
      <alignment vertical="top"/>
    </xf>
    <xf numFmtId="44" fontId="0" fillId="0" borderId="5" xfId="0" applyNumberFormat="1" applyBorder="1" applyAlignment="1">
      <alignment vertical="top"/>
    </xf>
    <xf numFmtId="44" fontId="0" fillId="0" borderId="2" xfId="0" applyNumberFormat="1" applyBorder="1" applyAlignment="1">
      <alignment vertical="top"/>
    </xf>
    <xf numFmtId="44" fontId="0" fillId="0" borderId="0" xfId="0" applyNumberFormat="1" applyAlignment="1"/>
    <xf numFmtId="0" fontId="4" fillId="0" borderId="0" xfId="0" applyFont="1" applyAlignment="1">
      <alignment vertical="top"/>
    </xf>
    <xf numFmtId="165" fontId="0" fillId="0" borderId="6" xfId="2" applyNumberFormat="1" applyFont="1" applyBorder="1"/>
    <xf numFmtId="0" fontId="0" fillId="0" borderId="7" xfId="0" applyBorder="1" applyAlignment="1">
      <alignment vertical="top"/>
    </xf>
    <xf numFmtId="0" fontId="4" fillId="0" borderId="7" xfId="0" applyFont="1" applyBorder="1" applyAlignment="1">
      <alignment vertical="top"/>
    </xf>
    <xf numFmtId="165" fontId="0" fillId="0" borderId="8" xfId="2" applyNumberFormat="1" applyFont="1" applyBorder="1"/>
    <xf numFmtId="0" fontId="0" fillId="0" borderId="8" xfId="0" applyBorder="1"/>
    <xf numFmtId="165" fontId="0" fillId="0" borderId="9" xfId="2" applyNumberFormat="1" applyFont="1" applyBorder="1"/>
    <xf numFmtId="165" fontId="0" fillId="0" borderId="10" xfId="2" applyNumberFormat="1" applyFont="1" applyBorder="1"/>
    <xf numFmtId="165" fontId="0" fillId="0" borderId="11" xfId="2" applyNumberFormat="1" applyFont="1" applyBorder="1"/>
    <xf numFmtId="165" fontId="0" fillId="0" borderId="0" xfId="2" applyNumberFormat="1" applyFont="1" applyAlignment="1"/>
    <xf numFmtId="14" fontId="3" fillId="0" borderId="0" xfId="0" applyNumberFormat="1" applyFont="1" applyAlignment="1">
      <alignment horizontal="center" vertical="top" wrapText="1"/>
    </xf>
    <xf numFmtId="166" fontId="0" fillId="0" borderId="0" xfId="1" applyNumberFormat="1" applyFont="1"/>
    <xf numFmtId="0" fontId="4" fillId="0" borderId="0" xfId="0" applyFont="1"/>
    <xf numFmtId="166" fontId="0" fillId="0" borderId="0" xfId="0" applyNumberFormat="1"/>
    <xf numFmtId="43" fontId="0" fillId="0" borderId="0" xfId="4" applyFont="1"/>
    <xf numFmtId="9" fontId="0" fillId="0" borderId="0" xfId="0" applyNumberFormat="1"/>
    <xf numFmtId="9" fontId="0" fillId="0" borderId="0" xfId="2" applyFont="1"/>
    <xf numFmtId="166" fontId="0" fillId="0" borderId="14" xfId="0" applyNumberFormat="1" applyBorder="1"/>
    <xf numFmtId="166" fontId="0" fillId="0" borderId="0" xfId="1" applyNumberFormat="1" applyFont="1" applyBorder="1" applyAlignment="1">
      <alignment horizontal="left" indent="2"/>
    </xf>
    <xf numFmtId="166" fontId="0" fillId="0" borderId="0" xfId="0" applyNumberFormat="1" applyBorder="1"/>
    <xf numFmtId="166" fontId="0" fillId="0" borderId="15" xfId="1" applyNumberFormat="1" applyFont="1" applyBorder="1" applyAlignment="1">
      <alignment horizontal="left" indent="2"/>
    </xf>
    <xf numFmtId="166" fontId="0" fillId="0" borderId="15" xfId="0" applyNumberFormat="1" applyBorder="1"/>
    <xf numFmtId="9" fontId="4" fillId="0" borderId="0" xfId="0" applyNumberFormat="1" applyFont="1"/>
    <xf numFmtId="166" fontId="0" fillId="10" borderId="0" xfId="1" applyNumberFormat="1" applyFont="1" applyFill="1" applyBorder="1" applyAlignment="1">
      <alignment horizontal="left" indent="2"/>
    </xf>
    <xf numFmtId="166" fontId="0" fillId="10" borderId="0" xfId="0" applyNumberFormat="1" applyFill="1" applyBorder="1"/>
    <xf numFmtId="43" fontId="0" fillId="0" borderId="0" xfId="4" applyFont="1" applyBorder="1"/>
    <xf numFmtId="166" fontId="0" fillId="0" borderId="14" xfId="1" applyNumberFormat="1" applyFont="1" applyBorder="1" applyAlignment="1">
      <alignment horizontal="left" indent="2"/>
    </xf>
    <xf numFmtId="166" fontId="4" fillId="0" borderId="0" xfId="0" applyNumberFormat="1" applyFont="1"/>
    <xf numFmtId="43" fontId="0" fillId="0" borderId="14" xfId="4" applyFont="1" applyBorder="1"/>
    <xf numFmtId="43" fontId="0" fillId="0" borderId="15" xfId="4" applyFont="1" applyBorder="1"/>
    <xf numFmtId="9" fontId="0" fillId="10" borderId="0" xfId="2" applyFont="1" applyFill="1" applyBorder="1"/>
    <xf numFmtId="166" fontId="0" fillId="0" borderId="0" xfId="1" applyNumberFormat="1" applyFont="1" applyFill="1" applyBorder="1" applyAlignment="1">
      <alignment horizontal="left" indent="2"/>
    </xf>
    <xf numFmtId="166" fontId="0" fillId="0" borderId="0" xfId="0" applyNumberFormat="1" applyFill="1" applyBorder="1"/>
    <xf numFmtId="166" fontId="1" fillId="9" borderId="14" xfId="11" applyNumberFormat="1" applyBorder="1" applyAlignment="1">
      <alignment horizontal="left" indent="2"/>
    </xf>
    <xf numFmtId="166" fontId="1" fillId="9" borderId="0" xfId="11" applyNumberFormat="1" applyBorder="1" applyAlignment="1">
      <alignment horizontal="left" indent="2"/>
    </xf>
    <xf numFmtId="166" fontId="1" fillId="9" borderId="15" xfId="11" applyNumberFormat="1" applyBorder="1" applyAlignment="1">
      <alignment horizontal="left" indent="2"/>
    </xf>
    <xf numFmtId="166" fontId="1" fillId="7" borderId="14" xfId="9" applyNumberFormat="1" applyBorder="1"/>
    <xf numFmtId="165" fontId="1" fillId="7" borderId="14" xfId="9" applyNumberFormat="1" applyBorder="1"/>
    <xf numFmtId="166" fontId="1" fillId="7" borderId="0" xfId="9" applyNumberFormat="1" applyBorder="1"/>
    <xf numFmtId="165" fontId="1" fillId="7" borderId="0" xfId="9" applyNumberFormat="1" applyBorder="1"/>
    <xf numFmtId="44" fontId="1" fillId="7" borderId="0" xfId="9" applyNumberFormat="1" applyBorder="1"/>
    <xf numFmtId="166" fontId="1" fillId="7" borderId="15" xfId="9" applyNumberFormat="1" applyBorder="1"/>
    <xf numFmtId="165" fontId="1" fillId="7" borderId="15" xfId="9" applyNumberFormat="1" applyBorder="1"/>
    <xf numFmtId="44" fontId="1" fillId="7" borderId="15" xfId="9" applyNumberFormat="1" applyBorder="1"/>
    <xf numFmtId="44" fontId="1" fillId="5" borderId="0" xfId="7" applyNumberFormat="1" applyBorder="1"/>
    <xf numFmtId="166" fontId="1" fillId="6" borderId="14" xfId="8" applyNumberFormat="1" applyBorder="1"/>
    <xf numFmtId="166" fontId="1" fillId="6" borderId="0" xfId="8" applyNumberFormat="1" applyBorder="1"/>
    <xf numFmtId="166" fontId="1" fillId="6" borderId="15" xfId="8" applyNumberFormat="1" applyBorder="1"/>
    <xf numFmtId="44" fontId="1" fillId="5" borderId="14" xfId="7" applyNumberFormat="1" applyBorder="1"/>
    <xf numFmtId="44" fontId="1" fillId="5" borderId="15" xfId="7" applyNumberFormat="1" applyBorder="1"/>
    <xf numFmtId="10" fontId="0" fillId="0" borderId="0" xfId="0" applyNumberFormat="1"/>
    <xf numFmtId="9" fontId="0" fillId="4" borderId="16" xfId="6" applyNumberFormat="1" applyFont="1" applyBorder="1"/>
    <xf numFmtId="166" fontId="0" fillId="4" borderId="17" xfId="6" applyNumberFormat="1" applyFont="1" applyBorder="1"/>
    <xf numFmtId="166" fontId="0" fillId="4" borderId="13" xfId="6" applyNumberFormat="1" applyFont="1" applyBorder="1"/>
    <xf numFmtId="166" fontId="0" fillId="4" borderId="18" xfId="6" applyNumberFormat="1" applyFont="1" applyBorder="1"/>
    <xf numFmtId="166" fontId="0" fillId="4" borderId="19" xfId="6" applyNumberFormat="1" applyFont="1" applyBorder="1"/>
    <xf numFmtId="166" fontId="1" fillId="6" borderId="20" xfId="8" applyNumberFormat="1" applyBorder="1"/>
    <xf numFmtId="166" fontId="1" fillId="6" borderId="21" xfId="8" applyNumberFormat="1" applyBorder="1"/>
    <xf numFmtId="44" fontId="1" fillId="5" borderId="22" xfId="7" applyNumberFormat="1" applyBorder="1"/>
    <xf numFmtId="166" fontId="1" fillId="6" borderId="23" xfId="8" applyNumberFormat="1" applyBorder="1"/>
    <xf numFmtId="44" fontId="1" fillId="5" borderId="24" xfId="7" applyNumberFormat="1" applyBorder="1"/>
    <xf numFmtId="166" fontId="1" fillId="6" borderId="25" xfId="8" applyNumberFormat="1" applyBorder="1"/>
    <xf numFmtId="44" fontId="1" fillId="5" borderId="26" xfId="7" applyNumberFormat="1" applyBorder="1"/>
    <xf numFmtId="0" fontId="1" fillId="8" borderId="14" xfId="10" applyBorder="1"/>
    <xf numFmtId="166" fontId="1" fillId="8" borderId="14" xfId="10" applyNumberFormat="1" applyBorder="1" applyAlignment="1">
      <alignment horizontal="left" indent="2"/>
    </xf>
    <xf numFmtId="167" fontId="1" fillId="8" borderId="14" xfId="10" applyNumberFormat="1" applyBorder="1" applyAlignment="1">
      <alignment horizontal="left" indent="2"/>
    </xf>
    <xf numFmtId="166" fontId="1" fillId="8" borderId="0" xfId="10" applyNumberFormat="1" applyBorder="1" applyAlignment="1">
      <alignment horizontal="left" indent="2"/>
    </xf>
    <xf numFmtId="167" fontId="1" fillId="8" borderId="0" xfId="10" applyNumberFormat="1" applyBorder="1" applyAlignment="1">
      <alignment horizontal="left" indent="2"/>
    </xf>
    <xf numFmtId="166" fontId="1" fillId="8" borderId="15" xfId="10" applyNumberFormat="1" applyBorder="1" applyAlignment="1">
      <alignment horizontal="left" indent="2"/>
    </xf>
    <xf numFmtId="167" fontId="1" fillId="8" borderId="15" xfId="10" applyNumberFormat="1" applyBorder="1" applyAlignment="1">
      <alignment horizontal="left" indent="2"/>
    </xf>
    <xf numFmtId="44" fontId="1" fillId="5" borderId="21" xfId="7" applyNumberFormat="1" applyBorder="1"/>
    <xf numFmtId="166" fontId="1" fillId="8" borderId="0" xfId="1" applyNumberFormat="1" applyFont="1" applyFill="1" applyBorder="1"/>
    <xf numFmtId="166" fontId="1" fillId="8" borderId="15" xfId="1" applyNumberFormat="1" applyFont="1" applyFill="1" applyBorder="1"/>
    <xf numFmtId="165" fontId="7" fillId="3" borderId="12" xfId="5" applyNumberFormat="1"/>
    <xf numFmtId="0" fontId="1" fillId="7" borderId="14" xfId="9" applyBorder="1"/>
    <xf numFmtId="0" fontId="1" fillId="7" borderId="0" xfId="9" applyBorder="1"/>
    <xf numFmtId="0" fontId="1" fillId="7" borderId="15" xfId="9" applyBorder="1"/>
    <xf numFmtId="0" fontId="0" fillId="0" borderId="15" xfId="0" applyBorder="1" applyAlignment="1">
      <alignment vertical="top"/>
    </xf>
    <xf numFmtId="44" fontId="0" fillId="0" borderId="15" xfId="1" applyFont="1" applyBorder="1" applyAlignment="1">
      <alignment horizontal="right" vertical="top"/>
    </xf>
    <xf numFmtId="0" fontId="0" fillId="0" borderId="15" xfId="0" applyBorder="1"/>
    <xf numFmtId="0" fontId="3" fillId="0" borderId="15" xfId="0" applyFont="1" applyBorder="1" applyAlignment="1">
      <alignment horizontal="right" vertical="top"/>
    </xf>
    <xf numFmtId="44" fontId="0" fillId="0" borderId="15" xfId="1" applyFont="1" applyBorder="1"/>
    <xf numFmtId="0" fontId="4" fillId="0" borderId="0" xfId="0" applyFont="1" applyAlignment="1">
      <alignment horizontal="left" indent="1"/>
    </xf>
    <xf numFmtId="0" fontId="2" fillId="2" borderId="6" xfId="0" applyFont="1" applyFill="1" applyBorder="1" applyAlignment="1">
      <alignment vertical="top"/>
    </xf>
    <xf numFmtId="0" fontId="4" fillId="0" borderId="6" xfId="0" applyFont="1" applyBorder="1"/>
    <xf numFmtId="0" fontId="4" fillId="0" borderId="6" xfId="0" applyFont="1" applyBorder="1" applyAlignment="1">
      <alignment horizontal="right"/>
    </xf>
    <xf numFmtId="0" fontId="0" fillId="0" borderId="6" xfId="0" applyBorder="1"/>
    <xf numFmtId="10" fontId="0" fillId="0" borderId="6" xfId="0" applyNumberFormat="1" applyBorder="1"/>
    <xf numFmtId="0" fontId="3" fillId="0" borderId="0" xfId="0" applyFont="1"/>
    <xf numFmtId="0" fontId="4" fillId="0" borderId="6" xfId="0" applyFont="1" applyFill="1" applyBorder="1" applyAlignment="1">
      <alignment horizontal="right"/>
    </xf>
    <xf numFmtId="10" fontId="0" fillId="0" borderId="10" xfId="2" applyNumberFormat="1" applyFont="1" applyBorder="1"/>
    <xf numFmtId="10" fontId="4" fillId="0" borderId="6" xfId="0" applyNumberFormat="1" applyFont="1" applyBorder="1"/>
    <xf numFmtId="165" fontId="4" fillId="0" borderId="6" xfId="2" applyNumberFormat="1" applyFont="1" applyBorder="1"/>
    <xf numFmtId="44" fontId="0" fillId="0" borderId="6" xfId="1" applyFont="1" applyBorder="1"/>
    <xf numFmtId="166" fontId="0" fillId="0" borderId="6" xfId="1" applyNumberFormat="1" applyFont="1" applyBorder="1"/>
    <xf numFmtId="9" fontId="0" fillId="0" borderId="6" xfId="0" applyNumberFormat="1" applyBorder="1"/>
    <xf numFmtId="9" fontId="4" fillId="0" borderId="6" xfId="0" applyNumberFormat="1" applyFont="1" applyFill="1" applyBorder="1" applyAlignment="1">
      <alignment horizontal="right"/>
    </xf>
    <xf numFmtId="8" fontId="0" fillId="0" borderId="0" xfId="0" applyNumberFormat="1"/>
    <xf numFmtId="6" fontId="0" fillId="0" borderId="0" xfId="1" applyNumberFormat="1" applyFont="1"/>
    <xf numFmtId="6" fontId="0" fillId="0" borderId="0" xfId="0" applyNumberFormat="1"/>
    <xf numFmtId="0" fontId="0" fillId="14" borderId="0" xfId="0" applyFill="1"/>
    <xf numFmtId="0" fontId="0" fillId="15" borderId="0" xfId="0" applyFill="1"/>
    <xf numFmtId="0" fontId="0" fillId="16" borderId="0" xfId="0" applyFill="1"/>
    <xf numFmtId="166" fontId="0" fillId="11" borderId="0" xfId="1" applyNumberFormat="1" applyFont="1" applyFill="1"/>
    <xf numFmtId="166" fontId="0" fillId="17" borderId="0" xfId="1" applyNumberFormat="1" applyFont="1" applyFill="1" applyBorder="1"/>
    <xf numFmtId="166" fontId="0" fillId="13" borderId="0" xfId="1" applyNumberFormat="1" applyFont="1" applyFill="1"/>
    <xf numFmtId="166" fontId="0" fillId="12" borderId="0" xfId="1" applyNumberFormat="1" applyFont="1" applyFill="1"/>
    <xf numFmtId="166" fontId="0" fillId="16" borderId="0" xfId="1" applyNumberFormat="1" applyFont="1" applyFill="1"/>
    <xf numFmtId="166" fontId="0" fillId="14" borderId="0" xfId="1" applyNumberFormat="1" applyFont="1" applyFill="1"/>
    <xf numFmtId="166" fontId="0" fillId="15" borderId="0" xfId="1" applyNumberFormat="1" applyFont="1" applyFill="1"/>
    <xf numFmtId="0" fontId="0" fillId="0" borderId="0" xfId="4" applyNumberFormat="1" applyFont="1"/>
    <xf numFmtId="165" fontId="0" fillId="0" borderId="0" xfId="2" applyNumberFormat="1" applyFont="1"/>
    <xf numFmtId="0" fontId="10" fillId="16" borderId="0" xfId="0" applyFont="1" applyFill="1"/>
    <xf numFmtId="0" fontId="12" fillId="18" borderId="0" xfId="12" applyFont="1" applyFill="1" applyAlignment="1">
      <alignment vertical="center"/>
    </xf>
    <xf numFmtId="0" fontId="11" fillId="0" borderId="0" xfId="12"/>
    <xf numFmtId="0" fontId="13" fillId="0" borderId="0" xfId="12" applyFont="1" applyAlignment="1">
      <alignment horizontal="right"/>
    </xf>
    <xf numFmtId="0" fontId="14" fillId="0" borderId="0" xfId="13" applyFill="1" applyAlignment="1" applyProtection="1">
      <alignment horizontal="left"/>
    </xf>
    <xf numFmtId="0" fontId="15" fillId="0" borderId="27" xfId="12" applyFont="1" applyBorder="1"/>
    <xf numFmtId="0" fontId="11" fillId="0" borderId="27" xfId="12" applyBorder="1"/>
    <xf numFmtId="0" fontId="16" fillId="18" borderId="28" xfId="12" applyFont="1" applyFill="1" applyBorder="1" applyAlignment="1">
      <alignment horizontal="centerContinuous" vertical="center"/>
    </xf>
    <xf numFmtId="0" fontId="16" fillId="19" borderId="29" xfId="12" applyFont="1" applyFill="1" applyBorder="1" applyAlignment="1">
      <alignment horizontal="centerContinuous" vertical="center"/>
    </xf>
    <xf numFmtId="0" fontId="17" fillId="20" borderId="0" xfId="12" applyFont="1" applyFill="1"/>
    <xf numFmtId="0" fontId="17" fillId="20" borderId="0" xfId="12" applyFont="1" applyFill="1" applyAlignment="1">
      <alignment horizontal="right" vertical="center" indent="1"/>
    </xf>
    <xf numFmtId="0" fontId="18" fillId="0" borderId="30" xfId="12" applyFont="1" applyBorder="1" applyAlignment="1" applyProtection="1">
      <alignment horizontal="center"/>
      <protection locked="0"/>
    </xf>
    <xf numFmtId="0" fontId="17" fillId="12" borderId="0" xfId="12" applyFont="1" applyFill="1"/>
    <xf numFmtId="0" fontId="17" fillId="12" borderId="0" xfId="12" applyFont="1" applyFill="1" applyAlignment="1">
      <alignment horizontal="right" indent="1"/>
    </xf>
    <xf numFmtId="0" fontId="18" fillId="12" borderId="0" xfId="2" applyNumberFormat="1" applyFont="1" applyFill="1" applyBorder="1" applyAlignment="1" applyProtection="1">
      <alignment horizontal="center"/>
    </xf>
    <xf numFmtId="0" fontId="18" fillId="0" borderId="31" xfId="12" applyFont="1" applyBorder="1" applyAlignment="1" applyProtection="1">
      <alignment horizontal="center"/>
      <protection locked="0"/>
    </xf>
    <xf numFmtId="0" fontId="19" fillId="20" borderId="0" xfId="12" applyFont="1" applyFill="1" applyAlignment="1">
      <alignment horizontal="left" vertical="center" indent="1"/>
    </xf>
    <xf numFmtId="0" fontId="19" fillId="20" borderId="32" xfId="12" applyFont="1" applyFill="1" applyBorder="1" applyAlignment="1">
      <alignment horizontal="left" vertical="center" indent="1"/>
    </xf>
    <xf numFmtId="0" fontId="20" fillId="20" borderId="32" xfId="12" applyFont="1" applyFill="1" applyBorder="1" applyAlignment="1">
      <alignment horizontal="right" vertical="center" indent="1"/>
    </xf>
    <xf numFmtId="0" fontId="17" fillId="12" borderId="33" xfId="12" applyFont="1" applyFill="1" applyBorder="1"/>
    <xf numFmtId="0" fontId="20" fillId="12" borderId="33" xfId="12" applyFont="1" applyFill="1" applyBorder="1" applyAlignment="1">
      <alignment horizontal="right" vertical="center" indent="1"/>
    </xf>
    <xf numFmtId="166" fontId="18" fillId="0" borderId="30" xfId="1" applyNumberFormat="1" applyFont="1" applyFill="1" applyBorder="1" applyAlignment="1" applyProtection="1">
      <alignment horizontal="right" vertical="center"/>
      <protection locked="0"/>
    </xf>
    <xf numFmtId="166" fontId="18" fillId="12" borderId="0" xfId="1" applyNumberFormat="1" applyFont="1" applyFill="1" applyBorder="1" applyAlignment="1" applyProtection="1">
      <alignment horizontal="right" vertical="center"/>
    </xf>
    <xf numFmtId="166" fontId="18" fillId="0" borderId="31" xfId="1" applyNumberFormat="1" applyFont="1" applyFill="1" applyBorder="1" applyAlignment="1" applyProtection="1">
      <alignment horizontal="right" vertical="center"/>
      <protection locked="0"/>
    </xf>
    <xf numFmtId="165" fontId="18" fillId="0" borderId="31" xfId="2" applyNumberFormat="1" applyFont="1" applyFill="1" applyBorder="1" applyAlignment="1" applyProtection="1">
      <alignment horizontal="right"/>
      <protection locked="0"/>
    </xf>
    <xf numFmtId="0" fontId="21" fillId="0" borderId="0" xfId="12" applyFont="1"/>
    <xf numFmtId="10" fontId="18" fillId="0" borderId="30" xfId="2" applyNumberFormat="1" applyFont="1" applyFill="1" applyBorder="1" applyAlignment="1" applyProtection="1">
      <alignment horizontal="right"/>
      <protection locked="0"/>
    </xf>
    <xf numFmtId="0" fontId="22" fillId="20" borderId="0" xfId="12" applyFont="1" applyFill="1" applyAlignment="1">
      <alignment horizontal="right" vertical="center" indent="1"/>
    </xf>
    <xf numFmtId="8" fontId="17" fillId="12" borderId="0" xfId="12" applyNumberFormat="1" applyFont="1" applyFill="1" applyAlignment="1">
      <alignment horizontal="center"/>
    </xf>
    <xf numFmtId="0" fontId="23" fillId="20" borderId="0" xfId="12" applyFont="1" applyFill="1" applyAlignment="1">
      <alignment horizontal="right"/>
    </xf>
    <xf numFmtId="8" fontId="17" fillId="0" borderId="0" xfId="12" applyNumberFormat="1" applyFont="1" applyAlignment="1">
      <alignment horizontal="center"/>
    </xf>
    <xf numFmtId="0" fontId="17" fillId="0" borderId="0" xfId="12" applyFont="1"/>
    <xf numFmtId="4" fontId="24" fillId="0" borderId="0" xfId="12" applyNumberFormat="1" applyFont="1" applyAlignment="1">
      <alignment horizontal="right"/>
    </xf>
    <xf numFmtId="0" fontId="25" fillId="0" borderId="0" xfId="12" applyFont="1"/>
    <xf numFmtId="4" fontId="26" fillId="0" borderId="0" xfId="12" applyNumberFormat="1" applyFont="1" applyAlignment="1">
      <alignment horizontal="right" vertical="center"/>
    </xf>
    <xf numFmtId="0" fontId="17" fillId="0" borderId="34" xfId="12" applyFont="1" applyBorder="1" applyAlignment="1">
      <alignment horizontal="right" vertical="center" indent="1"/>
    </xf>
    <xf numFmtId="10" fontId="18" fillId="0" borderId="31" xfId="2" applyNumberFormat="1" applyFont="1" applyFill="1" applyBorder="1" applyAlignment="1" applyProtection="1">
      <alignment horizontal="right" vertical="center"/>
      <protection locked="0"/>
    </xf>
    <xf numFmtId="10" fontId="18" fillId="21" borderId="31" xfId="2" applyNumberFormat="1" applyFont="1" applyFill="1" applyBorder="1" applyAlignment="1" applyProtection="1">
      <alignment horizontal="right" vertical="center"/>
    </xf>
    <xf numFmtId="8" fontId="27" fillId="0" borderId="0" xfId="12" applyNumberFormat="1" applyFont="1" applyAlignment="1">
      <alignment horizontal="right"/>
    </xf>
    <xf numFmtId="0" fontId="28" fillId="0" borderId="0" xfId="12" applyFont="1"/>
    <xf numFmtId="0" fontId="29" fillId="22" borderId="32" xfId="12" applyFont="1" applyFill="1" applyBorder="1" applyAlignment="1">
      <alignment horizontal="center" vertical="center" wrapText="1"/>
    </xf>
    <xf numFmtId="0" fontId="29" fillId="22" borderId="32" xfId="12" applyFont="1" applyFill="1" applyBorder="1" applyAlignment="1">
      <alignment horizontal="right" vertical="center" wrapText="1"/>
    </xf>
    <xf numFmtId="0" fontId="17" fillId="0" borderId="0" xfId="12" applyFont="1" applyAlignment="1">
      <alignment vertical="center"/>
    </xf>
    <xf numFmtId="0" fontId="27" fillId="20" borderId="0" xfId="12" applyFont="1" applyFill="1" applyAlignment="1">
      <alignment horizontal="center"/>
    </xf>
    <xf numFmtId="44" fontId="27" fillId="20" borderId="0" xfId="1" applyFont="1" applyFill="1" applyAlignment="1" applyProtection="1">
      <alignment horizontal="center"/>
    </xf>
    <xf numFmtId="44" fontId="27" fillId="23" borderId="35" xfId="1" applyFont="1" applyFill="1" applyBorder="1" applyAlignment="1" applyProtection="1">
      <alignment horizontal="center"/>
      <protection locked="0"/>
    </xf>
    <xf numFmtId="168" fontId="27" fillId="20" borderId="0" xfId="1" applyNumberFormat="1" applyFont="1" applyFill="1" applyBorder="1" applyAlignment="1" applyProtection="1">
      <alignment horizontal="center"/>
    </xf>
    <xf numFmtId="44" fontId="27" fillId="20" borderId="0" xfId="12" applyNumberFormat="1" applyFont="1" applyFill="1" applyAlignment="1">
      <alignment horizontal="center"/>
    </xf>
    <xf numFmtId="0" fontId="27" fillId="0" borderId="0" xfId="12" applyFont="1" applyAlignment="1">
      <alignment horizontal="center"/>
    </xf>
    <xf numFmtId="10" fontId="27" fillId="0" borderId="0" xfId="2" applyNumberFormat="1" applyFont="1" applyAlignment="1" applyProtection="1">
      <alignment horizontal="center"/>
    </xf>
    <xf numFmtId="3" fontId="30" fillId="0" borderId="0" xfId="14" applyNumberFormat="1" applyFont="1" applyAlignment="1" applyProtection="1">
      <alignment horizontal="right"/>
    </xf>
    <xf numFmtId="3" fontId="27" fillId="0" borderId="0" xfId="14" applyNumberFormat="1" applyFont="1" applyAlignment="1" applyProtection="1">
      <alignment horizontal="right"/>
    </xf>
    <xf numFmtId="4" fontId="27" fillId="0" borderId="0" xfId="14" applyNumberFormat="1" applyFont="1" applyAlignment="1" applyProtection="1">
      <alignment horizontal="right"/>
    </xf>
    <xf numFmtId="169" fontId="4" fillId="0" borderId="0" xfId="4" applyNumberFormat="1" applyFont="1"/>
    <xf numFmtId="169" fontId="0" fillId="0" borderId="0" xfId="4" applyNumberFormat="1" applyFont="1"/>
    <xf numFmtId="6" fontId="0" fillId="0" borderId="6" xfId="1" applyNumberFormat="1" applyFont="1" applyBorder="1"/>
    <xf numFmtId="6" fontId="0" fillId="0" borderId="6" xfId="0" applyNumberFormat="1" applyBorder="1"/>
    <xf numFmtId="6" fontId="0" fillId="17" borderId="6" xfId="0" applyNumberFormat="1" applyFill="1" applyBorder="1"/>
    <xf numFmtId="6" fontId="0" fillId="11" borderId="6" xfId="0" applyNumberFormat="1" applyFill="1" applyBorder="1"/>
    <xf numFmtId="166" fontId="0" fillId="0" borderId="35" xfId="1" applyNumberFormat="1" applyFont="1" applyBorder="1"/>
    <xf numFmtId="166" fontId="0" fillId="0" borderId="37" xfId="1" applyNumberFormat="1" applyFont="1" applyBorder="1"/>
    <xf numFmtId="166" fontId="0" fillId="0" borderId="38" xfId="1" applyNumberFormat="1" applyFont="1" applyBorder="1"/>
    <xf numFmtId="6" fontId="0" fillId="17" borderId="35" xfId="0" applyNumberFormat="1" applyFill="1" applyBorder="1"/>
    <xf numFmtId="6" fontId="0" fillId="11" borderId="35" xfId="0" applyNumberFormat="1" applyFill="1" applyBorder="1"/>
    <xf numFmtId="6" fontId="0" fillId="0" borderId="35" xfId="0" applyNumberFormat="1" applyBorder="1"/>
    <xf numFmtId="6" fontId="0" fillId="17" borderId="36" xfId="0" applyNumberFormat="1" applyFill="1" applyBorder="1"/>
    <xf numFmtId="6" fontId="0" fillId="11" borderId="37" xfId="0" applyNumberFormat="1" applyFill="1" applyBorder="1"/>
    <xf numFmtId="6" fontId="0" fillId="0" borderId="37" xfId="0" applyNumberFormat="1" applyBorder="1"/>
    <xf numFmtId="6" fontId="0" fillId="0" borderId="38" xfId="0" applyNumberFormat="1" applyBorder="1"/>
    <xf numFmtId="6" fontId="0" fillId="17" borderId="40" xfId="0" applyNumberFormat="1" applyFill="1" applyBorder="1"/>
    <xf numFmtId="6" fontId="0" fillId="11" borderId="41" xfId="0" applyNumberFormat="1" applyFill="1" applyBorder="1"/>
    <xf numFmtId="166" fontId="0" fillId="0" borderId="41" xfId="0" applyNumberFormat="1" applyBorder="1"/>
    <xf numFmtId="166" fontId="0" fillId="0" borderId="42" xfId="0" applyNumberFormat="1" applyBorder="1"/>
    <xf numFmtId="6" fontId="0" fillId="0" borderId="36" xfId="0" applyNumberFormat="1" applyBorder="1"/>
    <xf numFmtId="8" fontId="0" fillId="0" borderId="6" xfId="0" applyNumberFormat="1" applyBorder="1"/>
    <xf numFmtId="166" fontId="0" fillId="17" borderId="6" xfId="1" applyNumberFormat="1" applyFont="1" applyFill="1" applyBorder="1"/>
    <xf numFmtId="166" fontId="0" fillId="11" borderId="6" xfId="1" applyNumberFormat="1" applyFont="1" applyFill="1" applyBorder="1"/>
    <xf numFmtId="166" fontId="0" fillId="17" borderId="39" xfId="1" applyNumberFormat="1" applyFont="1" applyFill="1" applyBorder="1"/>
    <xf numFmtId="166" fontId="0" fillId="11" borderId="39" xfId="1" applyNumberFormat="1" applyFont="1" applyFill="1" applyBorder="1"/>
    <xf numFmtId="166" fontId="0" fillId="0" borderId="39" xfId="1" applyNumberFormat="1" applyFont="1" applyBorder="1"/>
    <xf numFmtId="166" fontId="0" fillId="0" borderId="36" xfId="1" applyNumberFormat="1" applyFont="1" applyBorder="1"/>
    <xf numFmtId="166" fontId="0" fillId="0" borderId="6" xfId="0" applyNumberFormat="1" applyBorder="1"/>
    <xf numFmtId="44" fontId="0" fillId="0" borderId="37" xfId="0" applyNumberFormat="1" applyBorder="1"/>
    <xf numFmtId="44" fontId="0" fillId="0" borderId="38" xfId="0" applyNumberFormat="1" applyBorder="1"/>
    <xf numFmtId="166" fontId="0" fillId="0" borderId="37" xfId="0" applyNumberFormat="1" applyBorder="1"/>
    <xf numFmtId="166" fontId="0" fillId="0" borderId="38" xfId="0" applyNumberFormat="1" applyBorder="1"/>
    <xf numFmtId="8" fontId="0" fillId="0" borderId="6" xfId="1" applyNumberFormat="1" applyFont="1" applyBorder="1"/>
    <xf numFmtId="6" fontId="0" fillId="12" borderId="37" xfId="0" applyNumberFormat="1" applyFill="1" applyBorder="1"/>
    <xf numFmtId="8" fontId="0" fillId="0" borderId="41" xfId="0" applyNumberFormat="1" applyBorder="1"/>
    <xf numFmtId="8" fontId="0" fillId="0" borderId="42" xfId="0" applyNumberFormat="1" applyBorder="1"/>
    <xf numFmtId="6" fontId="0" fillId="0" borderId="43" xfId="0" applyNumberFormat="1" applyBorder="1"/>
    <xf numFmtId="166" fontId="0" fillId="0" borderId="44" xfId="0" applyNumberFormat="1" applyBorder="1"/>
    <xf numFmtId="6" fontId="0" fillId="0" borderId="44" xfId="0" applyNumberFormat="1" applyBorder="1"/>
    <xf numFmtId="6" fontId="0" fillId="0" borderId="45" xfId="0" applyNumberFormat="1" applyBorder="1"/>
    <xf numFmtId="0" fontId="4" fillId="0" borderId="0" xfId="0" applyFont="1" applyFill="1" applyBorder="1"/>
    <xf numFmtId="0" fontId="4" fillId="0" borderId="0" xfId="0" applyFont="1" applyFill="1" applyBorder="1" applyAlignment="1">
      <alignment horizontal="right"/>
    </xf>
    <xf numFmtId="9" fontId="4" fillId="0" borderId="0" xfId="0" applyNumberFormat="1" applyFont="1" applyFill="1" applyBorder="1" applyAlignment="1">
      <alignment horizontal="right"/>
    </xf>
    <xf numFmtId="0" fontId="34" fillId="0" borderId="0" xfId="15" applyFont="1" applyProtection="1">
      <alignment horizontal="left" wrapText="1" indent="1"/>
      <protection locked="0"/>
    </xf>
    <xf numFmtId="0" fontId="33" fillId="0" borderId="0" xfId="15">
      <alignment horizontal="left" wrapText="1" indent="1"/>
    </xf>
    <xf numFmtId="0" fontId="34" fillId="0" borderId="0" xfId="15" applyFont="1" applyAlignment="1" applyProtection="1">
      <alignment horizontal="center"/>
      <protection locked="0"/>
    </xf>
    <xf numFmtId="0" fontId="35" fillId="0" borderId="0" xfId="16">
      <alignment horizontal="right"/>
    </xf>
    <xf numFmtId="171" fontId="35" fillId="0" borderId="0" xfId="16" applyNumberFormat="1" applyFill="1" applyProtection="1">
      <alignment horizontal="right"/>
      <protection locked="0"/>
    </xf>
    <xf numFmtId="0" fontId="36" fillId="0" borderId="0" xfId="17">
      <alignment wrapText="1"/>
    </xf>
    <xf numFmtId="5" fontId="0" fillId="0" borderId="0" xfId="18" applyFont="1">
      <alignment horizontal="right"/>
    </xf>
    <xf numFmtId="14" fontId="37" fillId="0" borderId="0" xfId="19" applyFont="1" applyFill="1" applyBorder="1" applyAlignment="1">
      <alignment horizontal="right" indent="1"/>
    </xf>
    <xf numFmtId="5" fontId="0" fillId="0" borderId="0" xfId="18" applyFont="1" applyFill="1" applyBorder="1">
      <alignment horizontal="right"/>
    </xf>
    <xf numFmtId="41" fontId="0" fillId="0" borderId="0" xfId="20" applyFont="1" applyFill="1" applyBorder="1">
      <alignment horizontal="right" indent="1"/>
    </xf>
    <xf numFmtId="165" fontId="0" fillId="0" borderId="0" xfId="21" applyFont="1" applyFill="1" applyBorder="1">
      <alignment horizontal="right" indent="1"/>
    </xf>
    <xf numFmtId="0" fontId="38" fillId="24" borderId="46" xfId="22">
      <alignment horizontal="left" vertical="center" wrapText="1" indent="1"/>
    </xf>
    <xf numFmtId="0" fontId="38" fillId="24" borderId="47" xfId="23" applyFont="1" applyFill="1" applyAlignment="1">
      <alignment horizontal="left" vertical="center" wrapText="1" indent="1"/>
    </xf>
    <xf numFmtId="0" fontId="39" fillId="25" borderId="0" xfId="24" applyAlignment="1">
      <alignment horizontal="left" wrapText="1" indent="1"/>
    </xf>
    <xf numFmtId="171" fontId="40" fillId="26" borderId="0" xfId="25">
      <alignment horizontal="center" vertical="center"/>
    </xf>
    <xf numFmtId="0" fontId="39" fillId="25" borderId="0" xfId="24" applyAlignment="1">
      <alignment wrapText="1"/>
    </xf>
    <xf numFmtId="0" fontId="38" fillId="26" borderId="0" xfId="26" applyAlignment="1" applyProtection="1">
      <alignment horizontal="center"/>
    </xf>
    <xf numFmtId="0" fontId="33" fillId="0" borderId="0" xfId="15" applyProtection="1">
      <alignment horizontal="left" wrapText="1" indent="1"/>
      <protection locked="0"/>
    </xf>
    <xf numFmtId="37" fontId="0" fillId="0" borderId="0" xfId="27" applyFont="1">
      <alignment horizontal="center"/>
    </xf>
    <xf numFmtId="14" fontId="0" fillId="0" borderId="0" xfId="19" applyFont="1" applyAlignment="1">
      <alignment horizontal="left" wrapText="1" indent="1"/>
    </xf>
    <xf numFmtId="37" fontId="33" fillId="0" borderId="0" xfId="27">
      <alignment horizontal="center"/>
    </xf>
    <xf numFmtId="0" fontId="38" fillId="24" borderId="0" xfId="28">
      <alignment horizontal="center" wrapText="1"/>
      <protection locked="0"/>
    </xf>
    <xf numFmtId="0" fontId="39" fillId="27" borderId="0" xfId="24" applyFill="1" applyProtection="1">
      <protection locked="0"/>
    </xf>
    <xf numFmtId="0" fontId="39" fillId="25" borderId="48" xfId="24" applyNumberFormat="1" applyBorder="1" applyAlignment="1" applyProtection="1">
      <alignment horizontal="left" vertical="top"/>
      <protection locked="0"/>
    </xf>
    <xf numFmtId="0" fontId="33" fillId="0" borderId="0" xfId="15" applyAlignment="1">
      <alignment vertical="top"/>
    </xf>
    <xf numFmtId="0" fontId="39" fillId="25" borderId="0" xfId="24" applyNumberFormat="1" applyAlignment="1" applyProtection="1">
      <protection locked="0"/>
    </xf>
    <xf numFmtId="166" fontId="39" fillId="25" borderId="0" xfId="1" applyNumberFormat="1" applyFont="1" applyFill="1" applyAlignment="1">
      <alignment horizontal="left" wrapText="1" indent="1"/>
    </xf>
    <xf numFmtId="0" fontId="0" fillId="10" borderId="0" xfId="0" applyFill="1"/>
  </cellXfs>
  <cellStyles count="29">
    <cellStyle name="20% - Accent1" xfId="7" builtinId="30"/>
    <cellStyle name="20% - Accent3" xfId="8" builtinId="38"/>
    <cellStyle name="20% - Accent4" xfId="9" builtinId="42"/>
    <cellStyle name="20% - Accent5" xfId="10" builtinId="46"/>
    <cellStyle name="20% - Accent6" xfId="11" builtinId="50"/>
    <cellStyle name="Amortization Table Heading" xfId="28" xr:uid="{48430C3B-801C-4B93-8AC5-0144133BA712}"/>
    <cellStyle name="Comma" xfId="4" builtinId="3"/>
    <cellStyle name="Comma [0] 2" xfId="27" xr:uid="{EEBC6244-5078-4C8C-AD8E-88F91F010441}"/>
    <cellStyle name="Comma 2" xfId="14" xr:uid="{DEE68362-3300-4D40-973F-FE03B39356F0}"/>
    <cellStyle name="Comma 3" xfId="20" xr:uid="{73821F9B-2E14-4CAA-BB04-D8A5CE195F26}"/>
    <cellStyle name="Currency" xfId="1" builtinId="4"/>
    <cellStyle name="Currency 2" xfId="18" xr:uid="{8EC8279D-389A-4EFC-8877-CEDAA528660F}"/>
    <cellStyle name="Date" xfId="19" xr:uid="{4A596A92-E51A-4222-AE6D-C38A8689713F}"/>
    <cellStyle name="Explanatory Text 2" xfId="17" xr:uid="{ABA6BEA0-D041-483C-BEE0-34BD3195CE32}"/>
    <cellStyle name="Heading 1" xfId="3" builtinId="16"/>
    <cellStyle name="Heading 1 2" xfId="22" xr:uid="{665B3444-A0E6-48FF-9339-232DF28EC861}"/>
    <cellStyle name="Heading 2 2" xfId="26" xr:uid="{6FCDC3BF-4012-4D5D-B1D1-B6A831D7D90F}"/>
    <cellStyle name="Hyperlink" xfId="13" builtinId="8"/>
    <cellStyle name="Hyperlink 2" xfId="16" xr:uid="{8BEDE7F7-9BA3-4700-965E-95CBBAAEE97E}"/>
    <cellStyle name="Input" xfId="5" builtinId="20"/>
    <cellStyle name="Key Statistics left border" xfId="23" xr:uid="{31F11D44-5240-4572-B005-4FBE724C854F}"/>
    <cellStyle name="Monthly Loan Payment" xfId="25" xr:uid="{2D45BEC2-8D34-4840-9E3D-79CDDFA643CD}"/>
    <cellStyle name="Normal" xfId="0" builtinId="0"/>
    <cellStyle name="Normal 2" xfId="12" xr:uid="{DA135579-4C0D-4E79-B975-9761C42486A4}"/>
    <cellStyle name="Normal 3" xfId="15" xr:uid="{4DC95245-6E7F-4C05-A3A2-08D9060C7248}"/>
    <cellStyle name="Note" xfId="6" builtinId="10"/>
    <cellStyle name="Percent" xfId="2" builtinId="5"/>
    <cellStyle name="Percent 2" xfId="21" xr:uid="{E27C981C-76CF-477B-84AD-A8A894BF8927}"/>
    <cellStyle name="Title 2" xfId="24" xr:uid="{D950F62D-2EA3-428B-A3B1-2E60111D8B61}"/>
  </cellStyles>
  <dxfs count="20">
    <dxf>
      <font>
        <color theme="0"/>
      </font>
      <fill>
        <patternFill patternType="none">
          <bgColor auto="1"/>
        </patternFill>
      </fill>
      <border>
        <left/>
        <right/>
        <top/>
        <bottom/>
        <vertical/>
        <horizontal/>
      </border>
    </dxf>
    <dxf>
      <fill>
        <patternFill>
          <bgColor indexed="22"/>
        </patternFill>
      </fill>
    </dxf>
    <dxf>
      <font>
        <condense val="0"/>
        <extend val="0"/>
        <color indexed="22"/>
      </font>
    </dxf>
    <dxf>
      <font>
        <condense val="0"/>
        <extend val="0"/>
        <color indexed="55"/>
      </font>
      <fill>
        <patternFill>
          <bgColor indexed="22"/>
        </patternFill>
      </fill>
    </dxf>
    <dxf>
      <font>
        <condense val="0"/>
        <extend val="0"/>
        <color indexed="55"/>
      </font>
      <fill>
        <patternFill>
          <bgColor indexed="22"/>
        </patternFill>
      </fill>
    </dxf>
    <dxf>
      <fill>
        <patternFill>
          <bgColor indexed="22"/>
        </patternFill>
      </fill>
    </dxf>
    <dxf>
      <font>
        <condense val="0"/>
        <extend val="0"/>
        <color indexed="22"/>
      </font>
    </dxf>
    <dxf>
      <font>
        <condense val="0"/>
        <extend val="0"/>
        <color indexed="55"/>
      </font>
      <fill>
        <patternFill>
          <bgColor indexed="22"/>
        </patternFill>
      </fill>
    </dxf>
    <dxf>
      <font>
        <condense val="0"/>
        <extend val="0"/>
        <color indexed="55"/>
      </font>
      <fill>
        <patternFill>
          <bgColor indexed="22"/>
        </patternFill>
      </fill>
    </dxf>
    <dxf>
      <protection locked="1" hidden="0"/>
    </dxf>
    <dxf>
      <font>
        <b val="0"/>
        <i val="0"/>
        <color theme="5" tint="-0.24994659260841701"/>
      </font>
      <border>
        <right style="thick">
          <color theme="0"/>
        </right>
      </border>
    </dxf>
    <dxf>
      <font>
        <b val="0"/>
        <i val="0"/>
        <color theme="5" tint="-0.24994659260841701"/>
      </font>
      <fill>
        <patternFill patternType="solid">
          <bgColor theme="2"/>
        </patternFill>
      </fill>
    </dxf>
    <dxf>
      <font>
        <color theme="0"/>
      </font>
      <fill>
        <patternFill>
          <bgColor theme="5" tint="-0.24994659260841701"/>
        </patternFill>
      </fill>
      <border>
        <left style="thick">
          <color theme="0"/>
        </left>
        <top style="thick">
          <color theme="0"/>
        </top>
      </border>
    </dxf>
    <dxf>
      <font>
        <b val="0"/>
        <i val="0"/>
        <color theme="1" tint="0.14996795556505021"/>
      </font>
      <fill>
        <patternFill patternType="solid">
          <bgColor theme="2"/>
        </patternFill>
      </fill>
      <border diagonalUp="0" diagonalDown="0">
        <left/>
        <right/>
        <top style="thick">
          <color theme="0"/>
        </top>
        <bottom style="thin">
          <color theme="0" tint="-0.14996795556505021"/>
        </bottom>
        <vertical/>
        <horizontal style="thin">
          <color theme="0" tint="-0.14996795556505021"/>
        </horizontal>
      </border>
    </dxf>
    <dxf>
      <protection locked="0" hidden="0"/>
    </dxf>
    <dxf>
      <protection locked="0" hidden="0"/>
    </dxf>
    <dxf>
      <font>
        <b val="0"/>
        <i val="0"/>
        <color theme="5" tint="-0.24994659260841701"/>
      </font>
      <border>
        <right style="thick">
          <color theme="0"/>
        </right>
      </border>
    </dxf>
    <dxf>
      <font>
        <b val="0"/>
        <i val="0"/>
        <color theme="5" tint="-0.24994659260841701"/>
      </font>
      <fill>
        <patternFill patternType="solid">
          <bgColor theme="2"/>
        </patternFill>
      </fill>
    </dxf>
    <dxf>
      <font>
        <color theme="0"/>
      </font>
      <fill>
        <patternFill>
          <bgColor theme="5" tint="-0.24994659260841701"/>
        </patternFill>
      </fill>
      <border>
        <left style="thick">
          <color theme="0"/>
        </left>
        <top style="thick">
          <color theme="0"/>
        </top>
      </border>
    </dxf>
    <dxf>
      <font>
        <b val="0"/>
        <i val="0"/>
        <color theme="1" tint="0.14996795556505021"/>
      </font>
      <fill>
        <patternFill patternType="solid">
          <bgColor theme="2"/>
        </patternFill>
      </fill>
      <border diagonalUp="0" diagonalDown="0">
        <left/>
        <right/>
        <top style="thick">
          <color theme="0"/>
        </top>
        <bottom style="thin">
          <color theme="0" tint="-0.14996795556505021"/>
        </bottom>
        <vertical/>
        <horizontal style="thin">
          <color theme="0" tint="-0.14996795556505021"/>
        </horizontal>
      </border>
    </dxf>
  </dxfs>
  <tableStyles count="2" defaultTableStyle="TableStyleMedium2" defaultPivotStyle="PivotStyleLight16">
    <tableStyle name="Mortgage calculator" pivot="0" count="4" xr9:uid="{499BE9F0-4614-4CF9-9104-2507C2758CD3}">
      <tableStyleElement type="wholeTable" dxfId="19"/>
      <tableStyleElement type="headerRow" dxfId="18"/>
      <tableStyleElement type="lastColumn" dxfId="17"/>
      <tableStyleElement type="secondColumnStripe" dxfId="16"/>
    </tableStyle>
    <tableStyle name="Mortgage calculator 2" pivot="0" count="4" xr9:uid="{12071C13-DEED-4A74-AC42-59E7B9584704}">
      <tableStyleElement type="wholeTable" dxfId="13"/>
      <tableStyleElement type="headerRow" dxfId="12"/>
      <tableStyleElement type="lastColumn" dxfId="11"/>
      <tableStyleElement type="second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853690004307205"/>
          <c:y val="7.6555023923444973E-2"/>
          <c:w val="0.81707479252967907"/>
          <c:h val="0.75598086124401909"/>
        </c:manualLayout>
      </c:layout>
      <c:scatterChart>
        <c:scatterStyle val="lineMarker"/>
        <c:varyColors val="0"/>
        <c:ser>
          <c:idx val="0"/>
          <c:order val="0"/>
          <c:tx>
            <c:strRef>
              <c:f>'401k - Vincent'!$H$32</c:f>
              <c:strCache>
                <c:ptCount val="1"/>
                <c:pt idx="0">
                  <c:v>Balance</c:v>
                </c:pt>
              </c:strCache>
            </c:strRef>
          </c:tx>
          <c:spPr>
            <a:ln w="25400">
              <a:solidFill>
                <a:srgbClr val="000080"/>
              </a:solidFill>
              <a:prstDash val="solid"/>
            </a:ln>
          </c:spPr>
          <c:marker>
            <c:symbol val="none"/>
          </c:marker>
          <c:xVal>
            <c:numRef>
              <c:f>'401k - Vincent'!$B$34:$B$93</c:f>
              <c:numCache>
                <c:formatCode>General</c:formatCode>
                <c:ptCount val="60"/>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Vincent'!$H$34:$H$93</c:f>
              <c:numCache>
                <c:formatCode>#,##0.00</c:formatCode>
                <c:ptCount val="60"/>
                <c:pt idx="0">
                  <c:v>83984.741757316224</c:v>
                </c:pt>
                <c:pt idx="1">
                  <c:v>117115.77414152819</c:v>
                </c:pt>
                <c:pt idx="2">
                  <c:v>152851.96085911407</c:v>
                </c:pt>
                <c:pt idx="3">
                  <c:v>191365.38199657964</c:v>
                </c:pt>
                <c:pt idx="4">
                  <c:v>232838.96939962488</c:v>
                </c:pt>
                <c:pt idx="5">
                  <c:v>277467.18138299644</c:v>
                </c:pt>
                <c:pt idx="6">
                  <c:v>325456.71920196648</c:v>
                </c:pt>
                <c:pt idx="7">
                  <c:v>377027.28786655597</c:v>
                </c:pt>
                <c:pt idx="8">
                  <c:v>432412.40403907391</c:v>
                </c:pt>
                <c:pt idx="9">
                  <c:v>491860.25392484752</c:v>
                </c:pt>
                <c:pt idx="10">
                  <c:v>555634.60424577782</c:v>
                </c:pt>
                <c:pt idx="11">
                  <c:v>624015.76957721903</c:v>
                </c:pt>
                <c:pt idx="12">
                  <c:v>697301.639531333</c:v>
                </c:pt>
                <c:pt idx="13">
                  <c:v>775808.76948523952</c:v>
                </c:pt>
                <c:pt idx="14">
                  <c:v>859873.53878074291</c:v>
                </c:pt>
                <c:pt idx="15">
                  <c:v>949853.38056498824</c:v>
                </c:pt>
                <c:pt idx="16">
                  <c:v>1046128.0876989544</c:v>
                </c:pt>
                <c:pt idx="17">
                  <c:v>1149101.1994341512</c:v>
                </c:pt>
                <c:pt idx="18">
                  <c:v>1259201.4738482453</c:v>
                </c:pt>
                <c:pt idx="19">
                  <c:v>1376884.4513386239</c:v>
                </c:pt>
                <c:pt idx="20">
                  <c:v>1502634.1148002332</c:v>
                </c:pt>
                <c:pt idx="21">
                  <c:v>1636964.65246158</c:v>
                </c:pt>
                <c:pt idx="22">
                  <c:v>1780422.3297217917</c:v>
                </c:pt>
                <c:pt idx="23">
                  <c:v>1933587.4767234402</c:v>
                </c:pt>
                <c:pt idx="24">
                  <c:v>2097076.5988118402</c:v>
                </c:pt>
                <c:pt idx="25">
                  <c:v>2271544.6174732288</c:v>
                </c:pt>
                <c:pt idx="26">
                  <c:v>2457687.2498132219</c:v>
                </c:pt>
                <c:pt idx="27">
                  <c:v>2656243.5351348873</c:v>
                </c:pt>
                <c:pt idx="28">
                  <c:v>2867998.5177044808</c:v>
                </c:pt>
                <c:pt idx="29">
                  <c:v>3093786.0953542516</c:v>
                </c:pt>
                <c:pt idx="30">
                  <c:v>3334492.0441677594</c:v>
                </c:pt>
                <c:pt idx="31">
                  <c:v>3591057.2301259884</c:v>
                </c:pt>
                <c:pt idx="32">
                  <c:v>3864481.0192644768</c:v>
                </c:pt>
                <c:pt idx="33">
                  <c:v>4155824.8986051311</c:v>
                </c:pt>
                <c:pt idx="34">
                  <c:v>4466216.3208838729</c:v>
                </c:pt>
                <c:pt idx="35">
                  <c:v>4796852.7868995722</c:v>
                </c:pt>
                <c:pt idx="36">
                  <c:v>5149006.1801636936</c:v>
                </c:pt>
                <c:pt idx="37">
                  <c:v>5524027.3694367604</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0-1B16-49D9-AD2F-16152E5A35E9}"/>
            </c:ext>
          </c:extLst>
        </c:ser>
        <c:ser>
          <c:idx val="1"/>
          <c:order val="1"/>
          <c:tx>
            <c:v>My Contribution</c:v>
          </c:tx>
          <c:spPr>
            <a:ln w="28575">
              <a:solidFill>
                <a:srgbClr val="FF0000"/>
              </a:solidFill>
              <a:prstDash val="solid"/>
            </a:ln>
          </c:spPr>
          <c:marker>
            <c:symbol val="none"/>
          </c:marker>
          <c:xVal>
            <c:numRef>
              <c:f>'401k - Vincent'!$B$34:$B$93</c:f>
              <c:numCache>
                <c:formatCode>General</c:formatCode>
                <c:ptCount val="60"/>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Vincent'!$J$34:$J$93</c:f>
              <c:numCache>
                <c:formatCode>#,##0</c:formatCode>
                <c:ptCount val="60"/>
                <c:pt idx="0">
                  <c:v>39651</c:v>
                </c:pt>
                <c:pt idx="1">
                  <c:v>60051</c:v>
                </c:pt>
                <c:pt idx="2">
                  <c:v>80859</c:v>
                </c:pt>
                <c:pt idx="3">
                  <c:v>102083.16</c:v>
                </c:pt>
                <c:pt idx="4">
                  <c:v>123731.80320000001</c:v>
                </c:pt>
                <c:pt idx="5">
                  <c:v>145813.41926400003</c:v>
                </c:pt>
                <c:pt idx="6">
                  <c:v>168336.66764928002</c:v>
                </c:pt>
                <c:pt idx="7">
                  <c:v>191310.38100226561</c:v>
                </c:pt>
                <c:pt idx="8">
                  <c:v>214743.56862231094</c:v>
                </c:pt>
                <c:pt idx="9">
                  <c:v>238645.41999475716</c:v>
                </c:pt>
                <c:pt idx="10">
                  <c:v>263025.30839465233</c:v>
                </c:pt>
                <c:pt idx="11">
                  <c:v>287892.79456254537</c:v>
                </c:pt>
                <c:pt idx="12">
                  <c:v>313257.6304537963</c:v>
                </c:pt>
                <c:pt idx="13">
                  <c:v>339129.76306287223</c:v>
                </c:pt>
                <c:pt idx="14">
                  <c:v>365519.3383241297</c:v>
                </c:pt>
                <c:pt idx="15">
                  <c:v>392436.70509061229</c:v>
                </c:pt>
                <c:pt idx="16">
                  <c:v>419892.41919242451</c:v>
                </c:pt>
                <c:pt idx="17">
                  <c:v>447897.24757627299</c:v>
                </c:pt>
                <c:pt idx="18">
                  <c:v>476462.17252779845</c:v>
                </c:pt>
                <c:pt idx="19">
                  <c:v>505598.39597835444</c:v>
                </c:pt>
                <c:pt idx="20">
                  <c:v>535317.3438979215</c:v>
                </c:pt>
                <c:pt idx="21">
                  <c:v>565630.67077587987</c:v>
                </c:pt>
                <c:pt idx="22">
                  <c:v>596550.26419139747</c:v>
                </c:pt>
                <c:pt idx="23">
                  <c:v>628088.24947522546</c:v>
                </c:pt>
                <c:pt idx="24">
                  <c:v>660256.99446472991</c:v>
                </c:pt>
                <c:pt idx="25">
                  <c:v>693069.11435402452</c:v>
                </c:pt>
                <c:pt idx="26">
                  <c:v>726537.47664110502</c:v>
                </c:pt>
                <c:pt idx="27">
                  <c:v>760675.20617392717</c:v>
                </c:pt>
                <c:pt idx="28">
                  <c:v>795495.6902974057</c:v>
                </c:pt>
                <c:pt idx="29">
                  <c:v>831012.58410335379</c:v>
                </c:pt>
                <c:pt idx="30">
                  <c:v>867239.81578542083</c:v>
                </c:pt>
                <c:pt idx="31">
                  <c:v>904191.59210112924</c:v>
                </c:pt>
                <c:pt idx="32">
                  <c:v>941882.40394315182</c:v>
                </c:pt>
                <c:pt idx="33">
                  <c:v>980327.03202201484</c:v>
                </c:pt>
                <c:pt idx="34">
                  <c:v>1019540.5526624551</c:v>
                </c:pt>
                <c:pt idx="35">
                  <c:v>1059538.3437157043</c:v>
                </c:pt>
                <c:pt idx="36">
                  <c:v>1100336.0905900183</c:v>
                </c:pt>
                <c:pt idx="37">
                  <c:v>1141949.7924018188</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1-1B16-49D9-AD2F-16152E5A35E9}"/>
            </c:ext>
          </c:extLst>
        </c:ser>
        <c:ser>
          <c:idx val="2"/>
          <c:order val="2"/>
          <c:tx>
            <c:v>Total Contribution</c:v>
          </c:tx>
          <c:spPr>
            <a:ln w="22225">
              <a:solidFill>
                <a:srgbClr val="0000FF"/>
              </a:solidFill>
              <a:prstDash val="solid"/>
            </a:ln>
          </c:spPr>
          <c:marker>
            <c:symbol val="none"/>
          </c:marker>
          <c:xVal>
            <c:numRef>
              <c:f>'401k - Vincent'!$B$34:$B$93</c:f>
              <c:numCache>
                <c:formatCode>General</c:formatCode>
                <c:ptCount val="60"/>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Vincent'!$K$34:$K$93</c:f>
              <c:numCache>
                <c:formatCode>#,##0</c:formatCode>
                <c:ptCount val="60"/>
                <c:pt idx="0">
                  <c:v>46264.88</c:v>
                </c:pt>
                <c:pt idx="1">
                  <c:v>73411.037600000011</c:v>
                </c:pt>
                <c:pt idx="2">
                  <c:v>101100.118352</c:v>
                </c:pt>
                <c:pt idx="3">
                  <c:v>129342.98071904</c:v>
                </c:pt>
                <c:pt idx="4">
                  <c:v>158150.7003334208</c:v>
                </c:pt>
                <c:pt idx="5">
                  <c:v>187534.57434008922</c:v>
                </c:pt>
                <c:pt idx="6">
                  <c:v>217506.12582689099</c:v>
                </c:pt>
                <c:pt idx="7">
                  <c:v>248077.10834342882</c:v>
                </c:pt>
                <c:pt idx="8">
                  <c:v>279259.51051029743</c:v>
                </c:pt>
                <c:pt idx="9">
                  <c:v>311065.56072050339</c:v>
                </c:pt>
                <c:pt idx="10">
                  <c:v>343507.73193491349</c:v>
                </c:pt>
                <c:pt idx="11">
                  <c:v>376598.74657361174</c:v>
                </c:pt>
                <c:pt idx="12">
                  <c:v>410351.581505084</c:v>
                </c:pt>
                <c:pt idx="13">
                  <c:v>444779.47313518566</c:v>
                </c:pt>
                <c:pt idx="14">
                  <c:v>479895.92259788938</c:v>
                </c:pt>
                <c:pt idx="15">
                  <c:v>515714.70104984718</c:v>
                </c:pt>
                <c:pt idx="16">
                  <c:v>552249.85507084406</c:v>
                </c:pt>
                <c:pt idx="17">
                  <c:v>589515.71217226097</c:v>
                </c:pt>
                <c:pt idx="18">
                  <c:v>627526.88641570613</c:v>
                </c:pt>
                <c:pt idx="19">
                  <c:v>666298.28414402017</c:v>
                </c:pt>
                <c:pt idx="20">
                  <c:v>705845.10982690065</c:v>
                </c:pt>
                <c:pt idx="21">
                  <c:v>746182.87202343857</c:v>
                </c:pt>
                <c:pt idx="22">
                  <c:v>787327.38946390734</c:v>
                </c:pt>
                <c:pt idx="23">
                  <c:v>829294.79725318553</c:v>
                </c:pt>
                <c:pt idx="24">
                  <c:v>872101.5531982492</c:v>
                </c:pt>
                <c:pt idx="25">
                  <c:v>915764.44426221424</c:v>
                </c:pt>
                <c:pt idx="26">
                  <c:v>960300.59314745851</c:v>
                </c:pt>
                <c:pt idx="27">
                  <c:v>1005727.4650104077</c:v>
                </c:pt>
                <c:pt idx="28">
                  <c:v>1052062.8743106159</c:v>
                </c:pt>
                <c:pt idx="29">
                  <c:v>1099324.9917968283</c:v>
                </c:pt>
                <c:pt idx="30">
                  <c:v>1147532.3516327648</c:v>
                </c:pt>
                <c:pt idx="31">
                  <c:v>1196703.85866542</c:v>
                </c:pt>
                <c:pt idx="32">
                  <c:v>1246858.7958387285</c:v>
                </c:pt>
                <c:pt idx="33">
                  <c:v>1298016.8317555031</c:v>
                </c:pt>
                <c:pt idx="34">
                  <c:v>1350198.0283906132</c:v>
                </c:pt>
                <c:pt idx="35">
                  <c:v>1403422.8489584255</c:v>
                </c:pt>
                <c:pt idx="36">
                  <c:v>1457712.1659375939</c:v>
                </c:pt>
                <c:pt idx="37">
                  <c:v>1513087.2692563459</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2-1B16-49D9-AD2F-16152E5A35E9}"/>
            </c:ext>
          </c:extLst>
        </c:ser>
        <c:dLbls>
          <c:showLegendKey val="0"/>
          <c:showVal val="0"/>
          <c:showCatName val="0"/>
          <c:showSerName val="0"/>
          <c:showPercent val="0"/>
          <c:showBubbleSize val="0"/>
        </c:dLbls>
        <c:axId val="170181760"/>
        <c:axId val="170183680"/>
      </c:scatterChart>
      <c:valAx>
        <c:axId val="170181760"/>
        <c:scaling>
          <c:orientation val="minMax"/>
          <c:min val="20"/>
        </c:scaling>
        <c:delete val="0"/>
        <c:axPos val="b"/>
        <c:title>
          <c:tx>
            <c:rich>
              <a:bodyPr/>
              <a:lstStyle/>
              <a:p>
                <a:pPr>
                  <a:defRPr sz="1000" b="1" i="0" u="none" strike="noStrike" baseline="0">
                    <a:solidFill>
                      <a:srgbClr val="000000"/>
                    </a:solidFill>
                    <a:latin typeface="Arial"/>
                    <a:ea typeface="Arial"/>
                    <a:cs typeface="Arial"/>
                  </a:defRPr>
                </a:pPr>
                <a:r>
                  <a:rPr lang="en-US"/>
                  <a:t>Age</a:t>
                </a:r>
              </a:p>
            </c:rich>
          </c:tx>
          <c:layout>
            <c:manualLayout>
              <c:xMode val="edge"/>
              <c:yMode val="edge"/>
              <c:x val="0.54268400399359273"/>
              <c:y val="0.8708133971291865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70183680"/>
        <c:crosses val="autoZero"/>
        <c:crossBetween val="midCat"/>
      </c:valAx>
      <c:valAx>
        <c:axId val="170183680"/>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70181760"/>
        <c:crosses val="autoZero"/>
        <c:crossBetween val="midCat"/>
      </c:valAx>
      <c:spPr>
        <a:noFill/>
        <a:ln w="25400">
          <a:noFill/>
        </a:ln>
      </c:spPr>
    </c:plotArea>
    <c:legend>
      <c:legendPos val="r"/>
      <c:layout>
        <c:manualLayout>
          <c:xMode val="edge"/>
          <c:yMode val="edge"/>
          <c:x val="0.172764570559758"/>
          <c:y val="7.1770334928229665E-2"/>
          <c:w val="0.30691117828851128"/>
          <c:h val="0.30622009569377989"/>
        </c:manualLayout>
      </c:layout>
      <c:overlay val="0"/>
      <c:spPr>
        <a:noFill/>
        <a:ln w="3175">
          <a:solidFill>
            <a:srgbClr val="B2B2B2"/>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853690004307205"/>
          <c:y val="7.6555023923444973E-2"/>
          <c:w val="0.81707479252967907"/>
          <c:h val="0.75598086124401909"/>
        </c:manualLayout>
      </c:layout>
      <c:scatterChart>
        <c:scatterStyle val="lineMarker"/>
        <c:varyColors val="0"/>
        <c:ser>
          <c:idx val="0"/>
          <c:order val="0"/>
          <c:tx>
            <c:strRef>
              <c:f>'401k - Sean'!$H$32</c:f>
              <c:strCache>
                <c:ptCount val="1"/>
                <c:pt idx="0">
                  <c:v>Balance</c:v>
                </c:pt>
              </c:strCache>
            </c:strRef>
          </c:tx>
          <c:spPr>
            <a:ln w="25400">
              <a:solidFill>
                <a:srgbClr val="000080"/>
              </a:solidFill>
              <a:prstDash val="solid"/>
            </a:ln>
          </c:spPr>
          <c:marker>
            <c:symbol val="none"/>
          </c:marker>
          <c:xVal>
            <c:numRef>
              <c:f>'401k - Sean'!$B$34:$B$93</c:f>
              <c:numCache>
                <c:formatCode>General</c:formatCode>
                <c:ptCount val="60"/>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Sean'!$H$34:$H$93</c:f>
              <c:numCache>
                <c:formatCode>#,##0.00</c:formatCode>
                <c:ptCount val="60"/>
                <c:pt idx="0">
                  <c:v>14387.339897689311</c:v>
                </c:pt>
                <c:pt idx="1">
                  <c:v>28917.203743447011</c:v>
                </c:pt>
                <c:pt idx="2">
                  <c:v>44617.302880806332</c:v>
                </c:pt>
                <c:pt idx="3">
                  <c:v>61565.37123044036</c:v>
                </c:pt>
                <c:pt idx="4">
                  <c:v>79844.052934893261</c:v>
                </c:pt>
                <c:pt idx="5">
                  <c:v>99541.207811952321</c:v>
                </c:pt>
                <c:pt idx="6">
                  <c:v>120750.23571743455</c:v>
                </c:pt>
                <c:pt idx="7">
                  <c:v>143570.42098616587</c:v>
                </c:pt>
                <c:pt idx="8">
                  <c:v>168107.29819213579</c:v>
                </c:pt>
                <c:pt idx="9">
                  <c:v>194473.0405454752</c:v>
                </c:pt>
                <c:pt idx="10">
                  <c:v>222786.87232530574</c:v>
                </c:pt>
                <c:pt idx="11">
                  <c:v>253175.50683393618</c:v>
                </c:pt>
                <c:pt idx="12">
                  <c:v>285773.61144964909</c:v>
                </c:pt>
                <c:pt idx="13">
                  <c:v>320724.30145275505</c:v>
                </c:pt>
                <c:pt idx="14">
                  <c:v>358179.66440304503</c:v>
                </c:pt>
                <c:pt idx="15">
                  <c:v>398301.31695661403</c:v>
                </c:pt>
                <c:pt idx="16">
                  <c:v>441260.99612665776</c:v>
                </c:pt>
                <c:pt idx="17">
                  <c:v>487241.18711667426</c:v>
                </c:pt>
                <c:pt idx="18">
                  <c:v>536435.7899859834</c:v>
                </c:pt>
                <c:pt idx="19">
                  <c:v>589050.82754707767</c:v>
                </c:pt>
                <c:pt idx="20">
                  <c:v>645305.19704254041</c:v>
                </c:pt>
                <c:pt idx="21">
                  <c:v>705431.46830664994</c:v>
                </c:pt>
                <c:pt idx="22">
                  <c:v>769676.73128388182</c:v>
                </c:pt>
                <c:pt idx="23">
                  <c:v>838303.49595394847</c:v>
                </c:pt>
                <c:pt idx="24">
                  <c:v>911590.64790138928</c:v>
                </c:pt>
                <c:pt idx="25">
                  <c:v>989834.46296774165</c:v>
                </c:pt>
                <c:pt idx="26">
                  <c:v>1073349.6846366916</c:v>
                </c:pt>
                <c:pt idx="27">
                  <c:v>1162470.6680280867</c:v>
                </c:pt>
                <c:pt idx="28">
                  <c:v>1257552.5946161079</c:v>
                </c:pt>
                <c:pt idx="29">
                  <c:v>1358972.7620410987</c:v>
                </c:pt>
                <c:pt idx="30">
                  <c:v>1467131.9536544448</c:v>
                </c:pt>
                <c:pt idx="31">
                  <c:v>1582455.8927224791</c:v>
                </c:pt>
                <c:pt idx="32">
                  <c:v>1705396.7865196459</c:v>
                </c:pt>
                <c:pt idx="33">
                  <c:v>1836434.9658642348</c:v>
                </c:pt>
                <c:pt idx="34">
                  <c:v>1976080.6259930027</c:v>
                </c:pt>
                <c:pt idx="35">
                  <c:v>2124875.6750352192</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0-EF72-4AEB-8EFD-987547CB8A33}"/>
            </c:ext>
          </c:extLst>
        </c:ser>
        <c:ser>
          <c:idx val="1"/>
          <c:order val="1"/>
          <c:tx>
            <c:v>My Contribution</c:v>
          </c:tx>
          <c:spPr>
            <a:ln w="28575">
              <a:solidFill>
                <a:srgbClr val="FF0000"/>
              </a:solidFill>
              <a:prstDash val="solid"/>
            </a:ln>
          </c:spPr>
          <c:marker>
            <c:symbol val="none"/>
          </c:marker>
          <c:xVal>
            <c:numRef>
              <c:f>'401k - Sean'!$B$34:$B$93</c:f>
              <c:numCache>
                <c:formatCode>General</c:formatCode>
                <c:ptCount val="60"/>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Sean'!$J$34:$J$93</c:f>
              <c:numCache>
                <c:formatCode>#,##0</c:formatCode>
                <c:ptCount val="60"/>
                <c:pt idx="0">
                  <c:v>9744</c:v>
                </c:pt>
                <c:pt idx="1">
                  <c:v>19682.879999999997</c:v>
                </c:pt>
                <c:pt idx="2">
                  <c:v>29820.537599999996</c:v>
                </c:pt>
                <c:pt idx="3">
                  <c:v>40160.948351999992</c:v>
                </c:pt>
                <c:pt idx="4">
                  <c:v>50708.167319039989</c:v>
                </c:pt>
                <c:pt idx="5">
                  <c:v>61466.330665420784</c:v>
                </c:pt>
                <c:pt idx="6">
                  <c:v>72439.657278729195</c:v>
                </c:pt>
                <c:pt idx="7">
                  <c:v>83632.450424303781</c:v>
                </c:pt>
                <c:pt idx="8">
                  <c:v>95049.099432789852</c:v>
                </c:pt>
                <c:pt idx="9">
                  <c:v>106694.08142144565</c:v>
                </c:pt>
                <c:pt idx="10">
                  <c:v>118571.96304987457</c:v>
                </c:pt>
                <c:pt idx="11">
                  <c:v>130687.40231087206</c:v>
                </c:pt>
                <c:pt idx="12">
                  <c:v>143045.1503570895</c:v>
                </c:pt>
                <c:pt idx="13">
                  <c:v>155650.05336423128</c:v>
                </c:pt>
                <c:pt idx="14">
                  <c:v>168507.05443151592</c:v>
                </c:pt>
                <c:pt idx="15">
                  <c:v>181621.19552014623</c:v>
                </c:pt>
                <c:pt idx="16">
                  <c:v>194997.61943054915</c:v>
                </c:pt>
                <c:pt idx="17">
                  <c:v>208641.57181916013</c:v>
                </c:pt>
                <c:pt idx="18">
                  <c:v>222558.40325554335</c:v>
                </c:pt>
                <c:pt idx="19">
                  <c:v>236753.57132065421</c:v>
                </c:pt>
                <c:pt idx="20">
                  <c:v>251232.64274706729</c:v>
                </c:pt>
                <c:pt idx="21">
                  <c:v>266001.29560200864</c:v>
                </c:pt>
                <c:pt idx="22">
                  <c:v>281065.32151404885</c:v>
                </c:pt>
                <c:pt idx="23">
                  <c:v>296430.62794432981</c:v>
                </c:pt>
                <c:pt idx="24">
                  <c:v>312103.2405032164</c:v>
                </c:pt>
                <c:pt idx="25">
                  <c:v>328089.30531328073</c:v>
                </c:pt>
                <c:pt idx="26">
                  <c:v>344395.09141954634</c:v>
                </c:pt>
                <c:pt idx="27">
                  <c:v>361026.99324793729</c:v>
                </c:pt>
                <c:pt idx="28">
                  <c:v>377991.53311289602</c:v>
                </c:pt>
                <c:pt idx="29">
                  <c:v>395295.36377515394</c:v>
                </c:pt>
                <c:pt idx="30">
                  <c:v>412945.27105065703</c:v>
                </c:pt>
                <c:pt idx="31">
                  <c:v>430948.17647167016</c:v>
                </c:pt>
                <c:pt idx="32">
                  <c:v>449311.14000110357</c:v>
                </c:pt>
                <c:pt idx="33">
                  <c:v>468041.36280112568</c:v>
                </c:pt>
                <c:pt idx="34">
                  <c:v>487146.19005714823</c:v>
                </c:pt>
                <c:pt idx="35">
                  <c:v>506633.11385829118</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1-EF72-4AEB-8EFD-987547CB8A33}"/>
            </c:ext>
          </c:extLst>
        </c:ser>
        <c:ser>
          <c:idx val="2"/>
          <c:order val="2"/>
          <c:tx>
            <c:v>Total Contribution</c:v>
          </c:tx>
          <c:spPr>
            <a:ln w="22225">
              <a:solidFill>
                <a:srgbClr val="0000FF"/>
              </a:solidFill>
              <a:prstDash val="solid"/>
            </a:ln>
          </c:spPr>
          <c:marker>
            <c:symbol val="none"/>
          </c:marker>
          <c:xVal>
            <c:numRef>
              <c:f>'401k - Sean'!$B$34:$B$93</c:f>
              <c:numCache>
                <c:formatCode>General</c:formatCode>
                <c:ptCount val="60"/>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pt idx="30">
                  <c:v>61</c:v>
                </c:pt>
                <c:pt idx="31">
                  <c:v>62</c:v>
                </c:pt>
                <c:pt idx="32">
                  <c:v>63</c:v>
                </c:pt>
                <c:pt idx="33">
                  <c:v>64</c:v>
                </c:pt>
                <c:pt idx="34">
                  <c:v>65</c:v>
                </c:pt>
                <c:pt idx="35">
                  <c:v>66</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xVal>
          <c:yVal>
            <c:numRef>
              <c:f>'401k - Sean'!$K$34:$K$93</c:f>
              <c:numCache>
                <c:formatCode>#,##0</c:formatCode>
                <c:ptCount val="60"/>
                <c:pt idx="0">
                  <c:v>12992</c:v>
                </c:pt>
                <c:pt idx="1">
                  <c:v>26243.839999999997</c:v>
                </c:pt>
                <c:pt idx="2">
                  <c:v>39760.716799999995</c:v>
                </c:pt>
                <c:pt idx="3">
                  <c:v>53547.931135999992</c:v>
                </c:pt>
                <c:pt idx="4">
                  <c:v>67610.88975871999</c:v>
                </c:pt>
                <c:pt idx="5">
                  <c:v>81955.107553894384</c:v>
                </c:pt>
                <c:pt idx="6">
                  <c:v>96586.209704972265</c:v>
                </c:pt>
                <c:pt idx="7">
                  <c:v>111509.93389907171</c:v>
                </c:pt>
                <c:pt idx="8">
                  <c:v>126732.13257705314</c:v>
                </c:pt>
                <c:pt idx="9">
                  <c:v>142258.7752285942</c:v>
                </c:pt>
                <c:pt idx="10">
                  <c:v>158095.95073316607</c:v>
                </c:pt>
                <c:pt idx="11">
                  <c:v>174249.86974782939</c:v>
                </c:pt>
                <c:pt idx="12">
                  <c:v>190726.86714278598</c:v>
                </c:pt>
                <c:pt idx="13">
                  <c:v>207533.40448564169</c:v>
                </c:pt>
                <c:pt idx="14">
                  <c:v>224676.07257535454</c:v>
                </c:pt>
                <c:pt idx="15">
                  <c:v>242161.59402686163</c:v>
                </c:pt>
                <c:pt idx="16">
                  <c:v>259996.82590739886</c:v>
                </c:pt>
                <c:pt idx="17">
                  <c:v>278188.76242554688</c:v>
                </c:pt>
                <c:pt idx="18">
                  <c:v>296744.53767405782</c:v>
                </c:pt>
                <c:pt idx="19">
                  <c:v>315671.42842753895</c:v>
                </c:pt>
                <c:pt idx="20">
                  <c:v>334976.85699608974</c:v>
                </c:pt>
                <c:pt idx="21">
                  <c:v>354668.3941360116</c:v>
                </c:pt>
                <c:pt idx="22">
                  <c:v>374753.76201873185</c:v>
                </c:pt>
                <c:pt idx="23">
                  <c:v>395240.83725910645</c:v>
                </c:pt>
                <c:pt idx="24">
                  <c:v>416137.65400428855</c:v>
                </c:pt>
                <c:pt idx="25">
                  <c:v>437452.40708437434</c:v>
                </c:pt>
                <c:pt idx="26">
                  <c:v>459193.45522606181</c:v>
                </c:pt>
                <c:pt idx="27">
                  <c:v>481369.3243305831</c:v>
                </c:pt>
                <c:pt idx="28">
                  <c:v>503988.71081719472</c:v>
                </c:pt>
                <c:pt idx="29">
                  <c:v>527060.48503353866</c:v>
                </c:pt>
                <c:pt idx="30">
                  <c:v>550593.69473420933</c:v>
                </c:pt>
                <c:pt idx="31">
                  <c:v>574597.56862889347</c:v>
                </c:pt>
                <c:pt idx="32">
                  <c:v>599081.52000147128</c:v>
                </c:pt>
                <c:pt idx="33">
                  <c:v>624055.15040150075</c:v>
                </c:pt>
                <c:pt idx="34">
                  <c:v>649528.25340953073</c:v>
                </c:pt>
                <c:pt idx="35">
                  <c:v>675510.8184777213</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yVal>
          <c:smooth val="0"/>
          <c:extLst>
            <c:ext xmlns:c16="http://schemas.microsoft.com/office/drawing/2014/chart" uri="{C3380CC4-5D6E-409C-BE32-E72D297353CC}">
              <c16:uniqueId val="{00000002-EF72-4AEB-8EFD-987547CB8A33}"/>
            </c:ext>
          </c:extLst>
        </c:ser>
        <c:dLbls>
          <c:showLegendKey val="0"/>
          <c:showVal val="0"/>
          <c:showCatName val="0"/>
          <c:showSerName val="0"/>
          <c:showPercent val="0"/>
          <c:showBubbleSize val="0"/>
        </c:dLbls>
        <c:axId val="170181760"/>
        <c:axId val="170183680"/>
      </c:scatterChart>
      <c:valAx>
        <c:axId val="170181760"/>
        <c:scaling>
          <c:orientation val="minMax"/>
          <c:min val="20"/>
        </c:scaling>
        <c:delete val="0"/>
        <c:axPos val="b"/>
        <c:title>
          <c:tx>
            <c:rich>
              <a:bodyPr/>
              <a:lstStyle/>
              <a:p>
                <a:pPr>
                  <a:defRPr sz="1000" b="1" i="0" u="none" strike="noStrike" baseline="0">
                    <a:solidFill>
                      <a:srgbClr val="000000"/>
                    </a:solidFill>
                    <a:latin typeface="Arial"/>
                    <a:ea typeface="Arial"/>
                    <a:cs typeface="Arial"/>
                  </a:defRPr>
                </a:pPr>
                <a:r>
                  <a:rPr lang="en-US"/>
                  <a:t>Age</a:t>
                </a:r>
              </a:p>
            </c:rich>
          </c:tx>
          <c:layout>
            <c:manualLayout>
              <c:xMode val="edge"/>
              <c:yMode val="edge"/>
              <c:x val="0.54268400399359273"/>
              <c:y val="0.8708133971291865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70183680"/>
        <c:crosses val="autoZero"/>
        <c:crossBetween val="midCat"/>
      </c:valAx>
      <c:valAx>
        <c:axId val="170183680"/>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70181760"/>
        <c:crosses val="autoZero"/>
        <c:crossBetween val="midCat"/>
      </c:valAx>
      <c:spPr>
        <a:noFill/>
        <a:ln w="25400">
          <a:noFill/>
        </a:ln>
      </c:spPr>
    </c:plotArea>
    <c:legend>
      <c:legendPos val="r"/>
      <c:layout>
        <c:manualLayout>
          <c:xMode val="edge"/>
          <c:yMode val="edge"/>
          <c:x val="0.172764570559758"/>
          <c:y val="7.1770334928229665E-2"/>
          <c:w val="0.30691117828851128"/>
          <c:h val="0.30622009569377989"/>
        </c:manualLayout>
      </c:layout>
      <c:overlay val="0"/>
      <c:spPr>
        <a:noFill/>
        <a:ln w="3175">
          <a:solidFill>
            <a:srgbClr val="B2B2B2"/>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vertex42.com/"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vertex42.com/" TargetMode="Externa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6</xdr:col>
      <xdr:colOff>228600</xdr:colOff>
      <xdr:row>30</xdr:row>
      <xdr:rowOff>95250</xdr:rowOff>
    </xdr:to>
    <xdr:graphicFrame macro="">
      <xdr:nvGraphicFramePr>
        <xdr:cNvPr id="2" name="Chart 4">
          <a:extLst>
            <a:ext uri="{FF2B5EF4-FFF2-40B4-BE49-F238E27FC236}">
              <a16:creationId xmlns:a16="http://schemas.microsoft.com/office/drawing/2014/main" id="{1665710A-976E-4DBE-B95F-3B57D437C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6</xdr:col>
      <xdr:colOff>733425</xdr:colOff>
      <xdr:row>0</xdr:row>
      <xdr:rowOff>47625</xdr:rowOff>
    </xdr:from>
    <xdr:to>
      <xdr:col>7</xdr:col>
      <xdr:colOff>1098922</xdr:colOff>
      <xdr:row>0</xdr:row>
      <xdr:rowOff>352451</xdr:rowOff>
    </xdr:to>
    <xdr:pic>
      <xdr:nvPicPr>
        <xdr:cNvPr id="3" name="Picture 2">
          <a:hlinkClick xmlns:r="http://schemas.openxmlformats.org/officeDocument/2006/relationships" r:id="rId2"/>
          <a:extLst>
            <a:ext uri="{FF2B5EF4-FFF2-40B4-BE49-F238E27FC236}">
              <a16:creationId xmlns:a16="http://schemas.microsoft.com/office/drawing/2014/main" id="{1635AC19-A70F-43DA-8343-DD879704C1D8}"/>
            </a:ext>
          </a:extLst>
        </xdr:cNvPr>
        <xdr:cNvPicPr>
          <a:picLocks noChangeAspect="1"/>
        </xdr:cNvPicPr>
      </xdr:nvPicPr>
      <xdr:blipFill>
        <a:blip xmlns:r="http://schemas.openxmlformats.org/officeDocument/2006/relationships" r:embed="rId3"/>
        <a:stretch>
          <a:fillRect/>
        </a:stretch>
      </xdr:blipFill>
      <xdr:spPr>
        <a:xfrm>
          <a:off x="5114925" y="47625"/>
          <a:ext cx="1365622" cy="304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6</xdr:col>
      <xdr:colOff>228600</xdr:colOff>
      <xdr:row>30</xdr:row>
      <xdr:rowOff>95250</xdr:rowOff>
    </xdr:to>
    <xdr:graphicFrame macro="">
      <xdr:nvGraphicFramePr>
        <xdr:cNvPr id="2" name="Chart 4">
          <a:extLst>
            <a:ext uri="{FF2B5EF4-FFF2-40B4-BE49-F238E27FC236}">
              <a16:creationId xmlns:a16="http://schemas.microsoft.com/office/drawing/2014/main" id="{ABC4152B-C35E-4F3E-B287-F409EDB6D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6</xdr:col>
      <xdr:colOff>733425</xdr:colOff>
      <xdr:row>0</xdr:row>
      <xdr:rowOff>47625</xdr:rowOff>
    </xdr:from>
    <xdr:to>
      <xdr:col>7</xdr:col>
      <xdr:colOff>1098922</xdr:colOff>
      <xdr:row>0</xdr:row>
      <xdr:rowOff>352451</xdr:rowOff>
    </xdr:to>
    <xdr:pic>
      <xdr:nvPicPr>
        <xdr:cNvPr id="3" name="Picture 2">
          <a:hlinkClick xmlns:r="http://schemas.openxmlformats.org/officeDocument/2006/relationships" r:id="rId2"/>
          <a:extLst>
            <a:ext uri="{FF2B5EF4-FFF2-40B4-BE49-F238E27FC236}">
              <a16:creationId xmlns:a16="http://schemas.microsoft.com/office/drawing/2014/main" id="{E9C615D2-4ED3-43A4-A083-0E053358B573}"/>
            </a:ext>
          </a:extLst>
        </xdr:cNvPr>
        <xdr:cNvPicPr>
          <a:picLocks noChangeAspect="1"/>
        </xdr:cNvPicPr>
      </xdr:nvPicPr>
      <xdr:blipFill>
        <a:blip xmlns:r="http://schemas.openxmlformats.org/officeDocument/2006/relationships" r:embed="rId3"/>
        <a:stretch>
          <a:fillRect/>
        </a:stretch>
      </xdr:blipFill>
      <xdr:spPr>
        <a:xfrm>
          <a:off x="5114925" y="47625"/>
          <a:ext cx="1365622" cy="30482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43465-861B-473C-B1D6-2700991EAB98}" name="LoanDetails" displayName="LoanDetails" ref="B3:E8" totalsRowDxfId="15" headerRowCellStyle="Heading 1">
  <autoFilter ref="B3:E8" xr:uid="{00000000-0009-0000-0100-000005000000}">
    <filterColumn colId="0" hiddenButton="1"/>
    <filterColumn colId="1" hiddenButton="1"/>
    <filterColumn colId="2" hiddenButton="1"/>
    <filterColumn colId="3" hiddenButton="1"/>
  </autoFilter>
  <tableColumns count="4">
    <tableColumn id="1" xr3:uid="{00000000-0010-0000-0000-000001000000}" name="LOAN DETAILS" totalsRowLabel="Total"/>
    <tableColumn id="4" xr3:uid="{00000000-0010-0000-0000-000004000000}" name="VALUES" totalsRowFunction="count"/>
    <tableColumn id="2" xr3:uid="{00000000-0010-0000-0000-000002000000}" name="KEY STATISTICS" totalsRowDxfId="14"/>
    <tableColumn id="3" xr3:uid="{00000000-0010-0000-0000-000003000000}" name="TOTALS" dataCellStyle="Currency"/>
  </tableColumns>
  <tableStyleInfo name="Mortgage calculator" showFirstColumn="0" showLastColumn="1" showRowStripes="1" showColumnStripes="1"/>
  <extLst>
    <ext xmlns:x14="http://schemas.microsoft.com/office/spreadsheetml/2009/9/main" uri="{504A1905-F514-4f6f-8877-14C23A59335A}">
      <x14:table altTextSummary="Enter loan details to generate loan key statistics for monthly loan payments, total monthly payments, total loan payments and total interest pai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39ECB2-DDE0-439F-B041-19A15D5F72E7}" name="Amortization" displayName="Amortization" ref="B3:J363" totalsRowShown="0" dataDxfId="9" headerRowCellStyle="Amortization Table Heading">
  <autoFilter ref="B3:J363" xr:uid="{00000000-0009-0000-0100-000001000000}"/>
  <tableColumns count="9">
    <tableColumn id="1" xr3:uid="{00000000-0010-0000-0100-000001000000}" name="#" dataCellStyle="Comma [0]">
      <calculatedColumnFormula>ROWS($B$4:B4)</calculatedColumnFormula>
    </tableColumn>
    <tableColumn id="2" xr3:uid="{00000000-0010-0000-0100-000002000000}" name="payment_x000a_date" dataCellStyle="Date">
      <calculatedColumnFormula>IF(ValuesEntered,IF(Amortization[[#This Row],['#]]&lt;=DurationOfLoan,IF(ROW()-ROW(Amortization[[#Headers],[payment
date]])=1,LoanStart,IF(I3&gt;0,EDATE(C3,1),"")),""),"")</calculatedColumnFormula>
    </tableColumn>
    <tableColumn id="3" xr3:uid="{00000000-0010-0000-0100-000003000000}" name="opening_x000a_balance" dataCellStyle="Currency">
      <calculatedColumnFormula>IF(ROW()-ROW(Amortization[[#Headers],[opening
balance]])=1,LoanAmount,IF(Amortization[[#This Row],[payment
date]]="",0,INDEX(Amortization[], ROW()-4,8)))</calculatedColumnFormula>
    </tableColumn>
    <tableColumn id="4" xr3:uid="{00000000-0010-0000-0100-000004000000}" name="interest" dataCellStyle="Currency">
      <calculatedColumnFormula>IF(ValuesEntered,IF(ROW()-ROW(Amortization[[#Headers],[interest]])=1,-IPMT(InterestRate/12,1,DurationOfLoan-ROWS($C$4:C4)+1,Amortization[[#This Row],[opening
balance]]),IFERROR(-IPMT(InterestRate/12,1,Amortization[[#This Row],['#
remaining]],D5),0)),0)</calculatedColumnFormula>
    </tableColumn>
    <tableColumn id="5" xr3:uid="{00000000-0010-0000-0100-000005000000}" name="principal" dataCellStyle="Currency">
      <calculatedColumnFormula>IFERROR(IF(AND(ValuesEntered,Amortization[[#This Row],[payment
date]]&lt;&gt;""),-PPMT(InterestRate/12,1,DurationOfLoan-ROWS($C$4:C4)+1,Amortization[[#This Row],[opening
balance]]),""),0)</calculatedColumnFormula>
    </tableColumn>
    <tableColumn id="7" xr3:uid="{00000000-0010-0000-0100-000007000000}" name="property_x000a_tax" dataCellStyle="Currency">
      <calculatedColumnFormula>IF(Amortization[[#This Row],[payment
date]]="",0,PropertyTaxAmount)</calculatedColumnFormula>
    </tableColumn>
    <tableColumn id="9" xr3:uid="{00000000-0010-0000-0100-000009000000}" name="total_x000a_payments" dataCellStyle="Currency">
      <calculatedColumnFormula>IF(Amortization[[#This Row],[payment
date]]="",0,Amortization[[#This Row],[interest]]+Amortization[[#This Row],[principal]]+Amortization[[#This Row],[property
tax]])</calculatedColumnFormula>
    </tableColumn>
    <tableColumn id="10" xr3:uid="{00000000-0010-0000-0100-00000A000000}" name="closing_x000a_balance" dataCellStyle="Currency">
      <calculatedColumnFormula>IF(Amortization[[#This Row],[payment
date]]="",0,Amortization[[#This Row],[opening
balance]]-Amortization[[#This Row],[principal]])</calculatedColumnFormula>
    </tableColumn>
    <tableColumn id="11" xr3:uid="{00000000-0010-0000-0100-00000B000000}" name="#_x000a_remaining" dataCellStyle="Comma [0]">
      <calculatedColumnFormula>IF(Amortization[[#This Row],[closing
balance]]&gt;0,LastRow-ROW(),0)</calculatedColumnFormula>
    </tableColumn>
  </tableColumns>
  <tableStyleInfo name="Mortgage calculator" showFirstColumn="0" showLastColumn="0" showRowStripes="1" showColumnStripes="0"/>
  <extLst>
    <ext xmlns:x14="http://schemas.microsoft.com/office/spreadsheetml/2009/9/main" uri="{504A1905-F514-4f6f-8877-14C23A59335A}">
      <x14:table altTextSummary="Calculations for loan payments over time. Additional payments assumes an extra payment of the same monthly amount. Add a new row &amp; enter payment date. Columns update automatically"/>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
  <sheetViews>
    <sheetView workbookViewId="0">
      <selection activeCell="B27" sqref="B27"/>
    </sheetView>
  </sheetViews>
  <sheetFormatPr defaultColWidth="8" defaultRowHeight="12.75" x14ac:dyDescent="0.2"/>
  <cols>
    <col min="1" max="1" width="29.28515625" style="8" customWidth="1"/>
    <col min="2" max="2" width="15.28515625" style="8" bestFit="1" customWidth="1"/>
    <col min="3" max="29" width="22.85546875" customWidth="1"/>
  </cols>
  <sheetData>
    <row r="1" spans="1:25" x14ac:dyDescent="0.2">
      <c r="C1">
        <f>YEAR(C2)</f>
        <v>2021</v>
      </c>
      <c r="D1">
        <f t="shared" ref="D1:Q1" si="0">YEAR(D2)</f>
        <v>2021</v>
      </c>
      <c r="E1">
        <f t="shared" si="0"/>
        <v>2021</v>
      </c>
      <c r="F1">
        <f t="shared" si="0"/>
        <v>2021</v>
      </c>
      <c r="G1">
        <f t="shared" si="0"/>
        <v>2021</v>
      </c>
      <c r="H1">
        <f t="shared" si="0"/>
        <v>2021</v>
      </c>
      <c r="I1">
        <f t="shared" si="0"/>
        <v>2021</v>
      </c>
      <c r="J1">
        <f t="shared" si="0"/>
        <v>2021</v>
      </c>
      <c r="K1">
        <f t="shared" si="0"/>
        <v>2021</v>
      </c>
      <c r="L1">
        <f t="shared" si="0"/>
        <v>2021</v>
      </c>
      <c r="M1">
        <f t="shared" si="0"/>
        <v>2021</v>
      </c>
      <c r="N1">
        <f t="shared" si="0"/>
        <v>2021</v>
      </c>
      <c r="O1">
        <f t="shared" si="0"/>
        <v>2021</v>
      </c>
      <c r="P1">
        <f t="shared" si="0"/>
        <v>2021</v>
      </c>
      <c r="Q1">
        <f t="shared" si="0"/>
        <v>2021</v>
      </c>
    </row>
    <row r="2" spans="1:25" s="7" customFormat="1" ht="20.25" thickBot="1" x14ac:dyDescent="0.35">
      <c r="B2" s="13" t="str">
        <f>COUNTA(C2:ZZ2) &amp; "/" &amp; "26" &amp;  " Total"</f>
        <v>17/26 Total</v>
      </c>
      <c r="C2" s="30">
        <v>44360</v>
      </c>
      <c r="D2" s="30">
        <f t="shared" ref="D2:S2" si="1">C2+14</f>
        <v>44374</v>
      </c>
      <c r="E2" s="30">
        <f t="shared" si="1"/>
        <v>44388</v>
      </c>
      <c r="F2" s="30">
        <f t="shared" si="1"/>
        <v>44402</v>
      </c>
      <c r="G2" s="30">
        <f t="shared" si="1"/>
        <v>44416</v>
      </c>
      <c r="H2" s="30">
        <f t="shared" si="1"/>
        <v>44430</v>
      </c>
      <c r="I2" s="30">
        <f t="shared" si="1"/>
        <v>44444</v>
      </c>
      <c r="J2" s="30">
        <f t="shared" si="1"/>
        <v>44458</v>
      </c>
      <c r="K2" s="30">
        <f t="shared" si="1"/>
        <v>44472</v>
      </c>
      <c r="L2" s="30">
        <f t="shared" si="1"/>
        <v>44486</v>
      </c>
      <c r="M2" s="30">
        <f t="shared" si="1"/>
        <v>44500</v>
      </c>
      <c r="N2" s="30">
        <f t="shared" si="1"/>
        <v>44514</v>
      </c>
      <c r="O2" s="30">
        <f t="shared" si="1"/>
        <v>44528</v>
      </c>
      <c r="P2" s="30">
        <f t="shared" si="1"/>
        <v>44542</v>
      </c>
      <c r="Q2" s="30">
        <f t="shared" si="1"/>
        <v>44556</v>
      </c>
      <c r="R2" s="30">
        <f t="shared" si="1"/>
        <v>44570</v>
      </c>
      <c r="S2" s="30">
        <f t="shared" si="1"/>
        <v>44584</v>
      </c>
      <c r="T2" s="3"/>
      <c r="U2" s="3"/>
      <c r="V2" s="3"/>
      <c r="W2" s="3"/>
      <c r="X2" s="3"/>
      <c r="Y2" s="3"/>
    </row>
    <row r="3" spans="1:25" x14ac:dyDescent="0.2">
      <c r="A3" s="6" t="s">
        <v>0</v>
      </c>
      <c r="B3" s="14"/>
      <c r="C3" s="5"/>
      <c r="D3" s="5"/>
      <c r="E3" s="5"/>
      <c r="F3" s="5"/>
      <c r="G3" s="5"/>
      <c r="H3" s="5"/>
      <c r="I3" s="5"/>
      <c r="J3" s="5"/>
      <c r="K3" s="5"/>
      <c r="L3" s="5"/>
      <c r="M3" s="5"/>
      <c r="N3" s="5"/>
      <c r="O3" s="5"/>
      <c r="P3" s="5"/>
      <c r="Q3" s="5"/>
      <c r="R3" s="5"/>
      <c r="S3" s="5"/>
      <c r="T3" s="5"/>
      <c r="U3" s="5"/>
      <c r="V3" s="5"/>
      <c r="W3" s="5"/>
      <c r="X3" s="5"/>
      <c r="Y3" s="5"/>
    </row>
    <row r="4" spans="1:25" x14ac:dyDescent="0.2">
      <c r="A4" s="4" t="s">
        <v>15</v>
      </c>
      <c r="B4" s="15">
        <f>SUM(C4:XFD4)</f>
        <v>4098.37</v>
      </c>
      <c r="C4" s="9">
        <v>4098.37</v>
      </c>
      <c r="D4" s="9">
        <v>0</v>
      </c>
      <c r="E4" s="10"/>
      <c r="F4" s="10"/>
      <c r="G4" s="10"/>
      <c r="H4" s="10"/>
      <c r="I4" s="10"/>
      <c r="J4" s="10"/>
      <c r="K4" s="10"/>
      <c r="L4" s="10"/>
      <c r="M4" s="10"/>
      <c r="N4" s="10"/>
      <c r="O4" s="10"/>
      <c r="P4" s="10"/>
      <c r="Q4" s="10"/>
      <c r="R4" s="10"/>
      <c r="S4" s="10"/>
      <c r="T4" s="10"/>
      <c r="U4" s="10"/>
      <c r="V4" s="10"/>
      <c r="W4" s="10"/>
      <c r="X4" s="10"/>
      <c r="Y4" s="10"/>
    </row>
    <row r="5" spans="1:25" x14ac:dyDescent="0.2">
      <c r="A5" s="4" t="s">
        <v>1</v>
      </c>
      <c r="B5" s="15">
        <f>SUM(C5:XFD5)</f>
        <v>38.880000000000003</v>
      </c>
      <c r="C5" s="9">
        <v>0</v>
      </c>
      <c r="D5" s="9">
        <v>4.8600000000000003</v>
      </c>
      <c r="E5" s="9">
        <v>4.8600000000000003</v>
      </c>
      <c r="F5" s="9">
        <v>4.8600000000000003</v>
      </c>
      <c r="G5" s="9">
        <v>4.8600000000000003</v>
      </c>
      <c r="H5" s="9">
        <v>4.8600000000000003</v>
      </c>
      <c r="I5" s="9">
        <v>4.8600000000000003</v>
      </c>
      <c r="J5" s="9">
        <v>4.8600000000000003</v>
      </c>
      <c r="K5" s="9">
        <v>4.8600000000000003</v>
      </c>
      <c r="L5" s="9"/>
      <c r="M5" s="9"/>
      <c r="N5" s="9"/>
      <c r="O5" s="9"/>
      <c r="P5" s="9"/>
      <c r="Q5" s="9"/>
      <c r="R5" s="9"/>
      <c r="S5" s="9"/>
      <c r="T5" s="9"/>
      <c r="U5" s="9"/>
      <c r="V5" s="9"/>
      <c r="W5" s="9"/>
      <c r="X5" s="9"/>
      <c r="Y5" s="9"/>
    </row>
    <row r="6" spans="1:25" x14ac:dyDescent="0.2">
      <c r="A6" s="4" t="s">
        <v>2</v>
      </c>
      <c r="B6" s="15">
        <f>SUM(C6:XFD6)</f>
        <v>160</v>
      </c>
      <c r="C6" s="9">
        <v>0</v>
      </c>
      <c r="D6" s="9">
        <v>20</v>
      </c>
      <c r="E6" s="9">
        <v>20</v>
      </c>
      <c r="F6" s="9">
        <v>20</v>
      </c>
      <c r="G6" s="9">
        <v>20</v>
      </c>
      <c r="H6" s="9">
        <v>20</v>
      </c>
      <c r="I6" s="9">
        <v>20</v>
      </c>
      <c r="J6" s="9">
        <v>20</v>
      </c>
      <c r="K6" s="9">
        <v>20</v>
      </c>
      <c r="L6" s="9"/>
      <c r="M6" s="9"/>
      <c r="N6" s="9"/>
      <c r="O6" s="9"/>
      <c r="P6" s="9"/>
      <c r="Q6" s="9"/>
      <c r="R6" s="9"/>
      <c r="S6" s="9"/>
      <c r="T6" s="9"/>
      <c r="U6" s="9"/>
      <c r="V6" s="9"/>
      <c r="W6" s="9"/>
      <c r="X6" s="9"/>
      <c r="Y6" s="9"/>
    </row>
    <row r="7" spans="1:25" x14ac:dyDescent="0.2">
      <c r="A7" s="4" t="s">
        <v>3</v>
      </c>
      <c r="B7" s="15">
        <f>SUM(C7:XFD7)</f>
        <v>47700</v>
      </c>
      <c r="C7" s="9">
        <v>2700</v>
      </c>
      <c r="D7" s="9">
        <v>3000</v>
      </c>
      <c r="E7" s="9">
        <v>3000</v>
      </c>
      <c r="F7" s="9">
        <v>3000</v>
      </c>
      <c r="G7" s="9">
        <v>3000</v>
      </c>
      <c r="H7" s="9">
        <v>3000</v>
      </c>
      <c r="I7" s="9">
        <v>3000</v>
      </c>
      <c r="J7" s="9">
        <v>3000</v>
      </c>
      <c r="K7" s="9">
        <v>3000</v>
      </c>
      <c r="L7" s="9">
        <v>3000</v>
      </c>
      <c r="M7" s="9">
        <v>3000</v>
      </c>
      <c r="N7" s="9">
        <v>3000</v>
      </c>
      <c r="O7" s="9">
        <v>3000</v>
      </c>
      <c r="P7" s="9">
        <v>3000</v>
      </c>
      <c r="Q7" s="9">
        <v>3000</v>
      </c>
      <c r="R7" s="9">
        <v>3000</v>
      </c>
      <c r="S7" s="9"/>
      <c r="T7" s="9"/>
      <c r="U7" s="9"/>
      <c r="V7" s="9"/>
      <c r="W7" s="9"/>
      <c r="X7" s="9"/>
      <c r="Y7" s="9"/>
    </row>
    <row r="8" spans="1:25" x14ac:dyDescent="0.2">
      <c r="A8" s="6" t="s">
        <v>4</v>
      </c>
      <c r="B8" s="16"/>
      <c r="C8" s="11"/>
      <c r="D8" s="11"/>
      <c r="E8" s="11"/>
      <c r="F8" s="11"/>
      <c r="G8" s="11"/>
      <c r="H8" s="11"/>
      <c r="I8" s="11"/>
      <c r="J8" s="11"/>
      <c r="K8" s="11"/>
      <c r="L8" s="11"/>
      <c r="M8" s="11"/>
      <c r="N8" s="11"/>
      <c r="O8" s="11"/>
      <c r="P8" s="11"/>
      <c r="Q8" s="11"/>
      <c r="R8" s="11"/>
      <c r="S8" s="11"/>
      <c r="T8" s="11"/>
      <c r="U8" s="11"/>
      <c r="V8" s="11"/>
      <c r="W8" s="11"/>
      <c r="X8" s="11"/>
      <c r="Y8" s="11"/>
    </row>
    <row r="9" spans="1:25" x14ac:dyDescent="0.2">
      <c r="A9" s="4" t="s">
        <v>5</v>
      </c>
      <c r="B9" s="15">
        <f t="shared" ref="B9:B20" si="2">SUM(C9:XFD9)</f>
        <v>4135.13</v>
      </c>
      <c r="C9" s="9">
        <v>1225.93</v>
      </c>
      <c r="D9" s="9">
        <v>363.68</v>
      </c>
      <c r="E9" s="9">
        <v>363.68</v>
      </c>
      <c r="F9" s="9">
        <v>363.64</v>
      </c>
      <c r="G9" s="9">
        <v>363.64</v>
      </c>
      <c r="H9" s="9">
        <v>363.64</v>
      </c>
      <c r="I9" s="9">
        <v>363.64</v>
      </c>
      <c r="J9" s="9">
        <v>363.64</v>
      </c>
      <c r="K9" s="9">
        <v>363.64</v>
      </c>
      <c r="L9" s="9"/>
      <c r="M9" s="9"/>
      <c r="N9" s="9"/>
      <c r="O9" s="9"/>
      <c r="P9" s="9"/>
      <c r="Q9" s="9"/>
      <c r="R9" s="9"/>
      <c r="S9" s="9"/>
      <c r="T9" s="9"/>
      <c r="U9" s="9"/>
      <c r="V9" s="9"/>
      <c r="W9" s="9"/>
      <c r="X9" s="9"/>
      <c r="Y9" s="9"/>
    </row>
    <row r="10" spans="1:25" x14ac:dyDescent="0.2">
      <c r="A10" s="4" t="s">
        <v>6</v>
      </c>
      <c r="B10" s="15">
        <f t="shared" si="2"/>
        <v>438.15999999999997</v>
      </c>
      <c r="C10" s="9">
        <v>0</v>
      </c>
      <c r="D10" s="9">
        <v>54.77</v>
      </c>
      <c r="E10" s="9">
        <v>54.77</v>
      </c>
      <c r="F10" s="9">
        <v>54.77</v>
      </c>
      <c r="G10" s="9">
        <v>54.77</v>
      </c>
      <c r="H10" s="9">
        <v>54.77</v>
      </c>
      <c r="I10" s="9">
        <v>54.77</v>
      </c>
      <c r="J10" s="9">
        <v>54.77</v>
      </c>
      <c r="K10" s="9">
        <v>54.77</v>
      </c>
      <c r="L10" s="9"/>
      <c r="M10" s="9"/>
      <c r="N10" s="9"/>
      <c r="O10" s="9"/>
      <c r="P10" s="9"/>
      <c r="Q10" s="9"/>
      <c r="R10" s="9"/>
      <c r="S10" s="9"/>
      <c r="T10" s="9"/>
      <c r="U10" s="9"/>
      <c r="V10" s="9"/>
      <c r="W10" s="9"/>
      <c r="X10" s="9"/>
      <c r="Y10" s="9"/>
    </row>
    <row r="11" spans="1:25" x14ac:dyDescent="0.2">
      <c r="A11" s="4" t="s">
        <v>7</v>
      </c>
      <c r="B11" s="15">
        <f t="shared" si="2"/>
        <v>9.0399999999999991</v>
      </c>
      <c r="C11" s="9">
        <v>0</v>
      </c>
      <c r="D11" s="9">
        <v>1.1299999999999999</v>
      </c>
      <c r="E11" s="9">
        <v>1.1299999999999999</v>
      </c>
      <c r="F11" s="9">
        <v>1.1299999999999999</v>
      </c>
      <c r="G11" s="9">
        <v>1.1299999999999999</v>
      </c>
      <c r="H11" s="9">
        <v>1.1299999999999999</v>
      </c>
      <c r="I11" s="9">
        <v>1.1299999999999999</v>
      </c>
      <c r="J11" s="9">
        <v>1.1299999999999999</v>
      </c>
      <c r="K11" s="9">
        <v>1.1299999999999999</v>
      </c>
      <c r="L11" s="9"/>
      <c r="M11" s="9"/>
      <c r="N11" s="9"/>
      <c r="O11" s="9"/>
      <c r="P11" s="9"/>
      <c r="Q11" s="9"/>
      <c r="R11" s="9"/>
      <c r="S11" s="9"/>
      <c r="T11" s="9"/>
      <c r="U11" s="9"/>
      <c r="V11" s="9"/>
      <c r="W11" s="9"/>
      <c r="X11" s="9"/>
      <c r="Y11" s="9"/>
    </row>
    <row r="12" spans="1:25" x14ac:dyDescent="0.2">
      <c r="A12" s="4" t="s">
        <v>8</v>
      </c>
      <c r="B12" s="15">
        <f t="shared" si="2"/>
        <v>77.52</v>
      </c>
      <c r="C12" s="9">
        <v>0</v>
      </c>
      <c r="D12" s="9">
        <v>9.69</v>
      </c>
      <c r="E12" s="9">
        <v>9.69</v>
      </c>
      <c r="F12" s="9">
        <v>9.69</v>
      </c>
      <c r="G12" s="9">
        <v>9.69</v>
      </c>
      <c r="H12" s="9">
        <v>9.69</v>
      </c>
      <c r="I12" s="9">
        <v>9.69</v>
      </c>
      <c r="J12" s="9">
        <v>9.69</v>
      </c>
      <c r="K12" s="9">
        <v>9.69</v>
      </c>
      <c r="L12" s="9"/>
      <c r="M12" s="9"/>
      <c r="N12" s="9"/>
      <c r="O12" s="9"/>
      <c r="P12" s="9"/>
      <c r="Q12" s="9"/>
      <c r="R12" s="9"/>
      <c r="S12" s="9"/>
      <c r="T12" s="9"/>
      <c r="U12" s="9"/>
      <c r="V12" s="9"/>
      <c r="W12" s="9"/>
      <c r="X12" s="9"/>
      <c r="Y12" s="9"/>
    </row>
    <row r="13" spans="1:25" x14ac:dyDescent="0.2">
      <c r="A13" s="4" t="s">
        <v>9</v>
      </c>
      <c r="B13" s="15">
        <f t="shared" si="2"/>
        <v>696</v>
      </c>
      <c r="C13" s="9">
        <v>0</v>
      </c>
      <c r="D13" s="9">
        <v>87</v>
      </c>
      <c r="E13" s="9">
        <v>87</v>
      </c>
      <c r="F13" s="9">
        <v>87</v>
      </c>
      <c r="G13" s="9">
        <v>87</v>
      </c>
      <c r="H13" s="9">
        <v>87</v>
      </c>
      <c r="I13" s="9">
        <v>87</v>
      </c>
      <c r="J13" s="9">
        <v>87</v>
      </c>
      <c r="K13" s="9">
        <v>87</v>
      </c>
      <c r="L13" s="9"/>
      <c r="M13" s="9"/>
      <c r="N13" s="9"/>
      <c r="O13" s="9"/>
      <c r="P13" s="9"/>
      <c r="Q13" s="9"/>
      <c r="R13" s="9"/>
      <c r="S13" s="9"/>
      <c r="T13" s="9"/>
      <c r="U13" s="9"/>
      <c r="V13" s="9"/>
      <c r="W13" s="9"/>
      <c r="X13" s="9"/>
      <c r="Y13" s="9"/>
    </row>
    <row r="14" spans="1:25" x14ac:dyDescent="0.2">
      <c r="A14" s="4" t="s">
        <v>10</v>
      </c>
      <c r="B14" s="15">
        <f t="shared" si="2"/>
        <v>432.53000000000003</v>
      </c>
      <c r="C14" s="9">
        <v>98.58</v>
      </c>
      <c r="D14" s="9">
        <v>41.74</v>
      </c>
      <c r="E14" s="9">
        <v>41.75</v>
      </c>
      <c r="F14" s="9">
        <v>41.74</v>
      </c>
      <c r="G14" s="9">
        <v>41.75</v>
      </c>
      <c r="H14" s="9">
        <v>41.75</v>
      </c>
      <c r="I14" s="9">
        <v>41.74</v>
      </c>
      <c r="J14" s="9">
        <v>41.74</v>
      </c>
      <c r="K14" s="9">
        <v>41.74</v>
      </c>
      <c r="L14" s="9"/>
      <c r="M14" s="9"/>
      <c r="N14" s="9"/>
      <c r="O14" s="9"/>
      <c r="P14" s="9"/>
      <c r="Q14" s="9"/>
      <c r="R14" s="9"/>
      <c r="S14" s="9"/>
      <c r="T14" s="9"/>
      <c r="U14" s="9"/>
      <c r="V14" s="9"/>
      <c r="W14" s="9"/>
      <c r="X14" s="9"/>
      <c r="Y14" s="9"/>
    </row>
    <row r="15" spans="1:25" x14ac:dyDescent="0.2">
      <c r="A15" s="4" t="s">
        <v>14</v>
      </c>
      <c r="B15" s="15">
        <f t="shared" si="2"/>
        <v>3480</v>
      </c>
      <c r="C15" s="9">
        <v>0</v>
      </c>
      <c r="D15" s="9">
        <v>450</v>
      </c>
      <c r="E15" s="9">
        <v>450</v>
      </c>
      <c r="F15" s="9">
        <v>300</v>
      </c>
      <c r="G15" s="9">
        <v>0</v>
      </c>
      <c r="H15" s="9">
        <v>0</v>
      </c>
      <c r="I15" s="9">
        <v>0</v>
      </c>
      <c r="J15" s="9">
        <v>0</v>
      </c>
      <c r="K15" s="9">
        <f>0.2*K7</f>
        <v>600</v>
      </c>
      <c r="L15" s="9">
        <f t="shared" ref="L15:R15" si="3">8%*L7</f>
        <v>240</v>
      </c>
      <c r="M15" s="9">
        <f t="shared" si="3"/>
        <v>240</v>
      </c>
      <c r="N15" s="9">
        <f t="shared" si="3"/>
        <v>240</v>
      </c>
      <c r="O15" s="9">
        <f t="shared" si="3"/>
        <v>240</v>
      </c>
      <c r="P15" s="9">
        <f t="shared" si="3"/>
        <v>240</v>
      </c>
      <c r="Q15" s="9">
        <f t="shared" si="3"/>
        <v>240</v>
      </c>
      <c r="R15" s="9">
        <f t="shared" si="3"/>
        <v>240</v>
      </c>
      <c r="S15" s="9"/>
      <c r="T15" s="9"/>
      <c r="U15" s="9"/>
      <c r="V15" s="9"/>
      <c r="W15" s="9"/>
      <c r="X15" s="9"/>
      <c r="Y15" s="9"/>
    </row>
    <row r="16" spans="1:25" x14ac:dyDescent="0.2">
      <c r="A16" s="4" t="s">
        <v>11</v>
      </c>
      <c r="B16" s="15">
        <f t="shared" si="2"/>
        <v>1849.5</v>
      </c>
      <c r="C16" s="9">
        <v>421.5</v>
      </c>
      <c r="D16" s="9">
        <v>178.5</v>
      </c>
      <c r="E16" s="9">
        <v>178.5</v>
      </c>
      <c r="F16" s="9">
        <v>178.5</v>
      </c>
      <c r="G16" s="9">
        <v>178.5</v>
      </c>
      <c r="H16" s="9">
        <v>178.5</v>
      </c>
      <c r="I16" s="9">
        <v>178.5</v>
      </c>
      <c r="J16" s="9">
        <v>178.5</v>
      </c>
      <c r="K16" s="9">
        <v>178.5</v>
      </c>
      <c r="L16" s="9"/>
      <c r="M16" s="9"/>
      <c r="N16" s="9"/>
      <c r="O16" s="9"/>
      <c r="P16" s="9"/>
      <c r="Q16" s="9"/>
      <c r="R16" s="9"/>
      <c r="S16" s="9"/>
      <c r="T16" s="9"/>
      <c r="U16" s="9"/>
      <c r="V16" s="9"/>
      <c r="W16" s="9"/>
      <c r="X16" s="9"/>
      <c r="Y16" s="9"/>
    </row>
    <row r="17" spans="1:25" x14ac:dyDescent="0.2">
      <c r="A17" s="20" t="s">
        <v>18</v>
      </c>
      <c r="B17" s="15">
        <f t="shared" si="2"/>
        <v>1245.1900000000003</v>
      </c>
      <c r="C17" s="9">
        <v>371.05</v>
      </c>
      <c r="D17" s="9">
        <v>145.69</v>
      </c>
      <c r="E17" s="9">
        <v>145.69</v>
      </c>
      <c r="F17" s="9">
        <v>145.69</v>
      </c>
      <c r="G17" s="9">
        <v>145.69</v>
      </c>
      <c r="H17" s="9">
        <v>145.69</v>
      </c>
      <c r="I17" s="9">
        <v>145.69</v>
      </c>
      <c r="J17" s="9">
        <v>0</v>
      </c>
      <c r="K17" s="9">
        <v>0</v>
      </c>
      <c r="L17" s="9"/>
      <c r="M17" s="9"/>
      <c r="N17" s="9"/>
      <c r="O17" s="9"/>
      <c r="P17" s="9"/>
      <c r="Q17" s="9"/>
      <c r="R17" s="9"/>
      <c r="S17" s="9"/>
      <c r="T17" s="9"/>
      <c r="U17" s="9"/>
      <c r="V17" s="9"/>
      <c r="W17" s="9"/>
      <c r="X17" s="9"/>
      <c r="Y17" s="9"/>
    </row>
    <row r="18" spans="1:25" x14ac:dyDescent="0.2">
      <c r="A18" s="20" t="s">
        <v>19</v>
      </c>
      <c r="B18" s="15">
        <f t="shared" si="2"/>
        <v>1073.9399999999998</v>
      </c>
      <c r="C18" s="9">
        <v>244.74</v>
      </c>
      <c r="D18" s="9">
        <v>103.65</v>
      </c>
      <c r="E18" s="9">
        <v>103.65</v>
      </c>
      <c r="F18" s="9">
        <v>103.65</v>
      </c>
      <c r="G18" s="9">
        <v>103.65</v>
      </c>
      <c r="H18" s="9">
        <v>103.65</v>
      </c>
      <c r="I18" s="9">
        <v>103.65</v>
      </c>
      <c r="J18" s="9">
        <v>103.65</v>
      </c>
      <c r="K18" s="9">
        <v>103.65</v>
      </c>
      <c r="L18" s="9"/>
      <c r="M18" s="9"/>
      <c r="N18" s="9"/>
      <c r="O18" s="9"/>
      <c r="P18" s="9"/>
      <c r="Q18" s="9"/>
      <c r="R18" s="9"/>
      <c r="S18" s="9"/>
      <c r="T18" s="9"/>
      <c r="U18" s="9"/>
      <c r="V18" s="9"/>
      <c r="W18" s="9"/>
      <c r="X18" s="9"/>
      <c r="Y18" s="9"/>
    </row>
    <row r="19" spans="1:25" x14ac:dyDescent="0.2">
      <c r="A19" s="4" t="s">
        <v>12</v>
      </c>
      <c r="B19" s="15">
        <f t="shared" si="2"/>
        <v>12.799999999999999</v>
      </c>
      <c r="C19" s="9">
        <v>0</v>
      </c>
      <c r="D19" s="9">
        <v>1.6</v>
      </c>
      <c r="E19" s="9">
        <v>1.6</v>
      </c>
      <c r="F19" s="9">
        <v>1.6</v>
      </c>
      <c r="G19" s="9">
        <v>1.6</v>
      </c>
      <c r="H19" s="9">
        <v>1.6</v>
      </c>
      <c r="I19" s="9">
        <v>1.6</v>
      </c>
      <c r="J19" s="9">
        <v>1.6</v>
      </c>
      <c r="K19" s="9">
        <v>1.6</v>
      </c>
      <c r="L19" s="9"/>
      <c r="M19" s="9"/>
      <c r="N19" s="9"/>
      <c r="O19" s="9"/>
      <c r="P19" s="9"/>
      <c r="Q19" s="9"/>
      <c r="R19" s="9"/>
      <c r="S19" s="9"/>
      <c r="T19" s="9"/>
      <c r="U19" s="9"/>
      <c r="V19" s="9"/>
      <c r="W19" s="9"/>
      <c r="X19" s="9"/>
      <c r="Y19" s="9"/>
    </row>
    <row r="20" spans="1:25" ht="13.5" thickBot="1" x14ac:dyDescent="0.25">
      <c r="A20" s="4" t="s">
        <v>13</v>
      </c>
      <c r="B20" s="17">
        <f t="shared" si="2"/>
        <v>30.319999999999997</v>
      </c>
      <c r="C20" s="9">
        <v>0</v>
      </c>
      <c r="D20" s="9">
        <v>3.79</v>
      </c>
      <c r="E20" s="9">
        <v>3.79</v>
      </c>
      <c r="F20" s="9">
        <v>3.79</v>
      </c>
      <c r="G20" s="9">
        <v>3.79</v>
      </c>
      <c r="H20" s="9">
        <v>3.79</v>
      </c>
      <c r="I20" s="9">
        <v>3.79</v>
      </c>
      <c r="J20" s="9">
        <v>3.79</v>
      </c>
      <c r="K20" s="9">
        <v>3.79</v>
      </c>
      <c r="L20" s="9"/>
      <c r="M20" s="9"/>
      <c r="N20" s="9"/>
      <c r="O20" s="9"/>
      <c r="P20" s="9"/>
      <c r="Q20" s="9"/>
      <c r="R20" s="9"/>
      <c r="S20" s="9"/>
      <c r="T20" s="9"/>
      <c r="U20" s="9"/>
      <c r="V20" s="9"/>
      <c r="W20" s="9"/>
      <c r="X20" s="9"/>
      <c r="Y20" s="9"/>
    </row>
    <row r="21" spans="1:25" s="99" customFormat="1" ht="13.5" thickBot="1" x14ac:dyDescent="0.25">
      <c r="A21" s="97"/>
      <c r="B21" s="97"/>
      <c r="C21" s="98"/>
      <c r="D21" s="98"/>
      <c r="E21" s="98"/>
      <c r="F21" s="98"/>
      <c r="G21" s="98"/>
      <c r="H21" s="98"/>
      <c r="I21" s="98"/>
      <c r="J21" s="98"/>
      <c r="K21" s="98"/>
      <c r="L21" s="98"/>
      <c r="M21" s="98"/>
      <c r="N21" s="98"/>
      <c r="O21" s="98"/>
      <c r="P21" s="98"/>
      <c r="Q21" s="98"/>
      <c r="R21" s="98"/>
      <c r="S21" s="98"/>
      <c r="T21" s="98"/>
      <c r="U21" s="98"/>
      <c r="V21" s="98"/>
      <c r="W21" s="98"/>
      <c r="X21" s="98"/>
      <c r="Y21" s="98"/>
    </row>
    <row r="22" spans="1:25" x14ac:dyDescent="0.2">
      <c r="A22" s="12" t="s">
        <v>16</v>
      </c>
      <c r="B22" s="15">
        <f>SUM(C22:XFD22)</f>
        <v>30997.250000000004</v>
      </c>
      <c r="C22" s="10">
        <f>SUM(C4:C7)</f>
        <v>6798.37</v>
      </c>
      <c r="D22" s="10">
        <f>SUM(D4:D7)</f>
        <v>3024.86</v>
      </c>
      <c r="E22" s="10">
        <f>SUM(E4:E7)</f>
        <v>3024.86</v>
      </c>
      <c r="F22" s="10">
        <f>SUM(F4:F7)</f>
        <v>3024.86</v>
      </c>
      <c r="G22" s="10">
        <f t="shared" ref="G22" si="4">SUM(G4:G7)</f>
        <v>3024.86</v>
      </c>
      <c r="H22" s="10">
        <f>SUM(H4:H7)</f>
        <v>3024.86</v>
      </c>
      <c r="I22" s="10">
        <f>SUM(I4:I7)</f>
        <v>3024.86</v>
      </c>
      <c r="J22" s="10">
        <f>SUM(J4:J7)</f>
        <v>3024.86</v>
      </c>
      <c r="K22" s="10">
        <f>SUM(K4:K7)</f>
        <v>3024.86</v>
      </c>
      <c r="L22" s="10"/>
      <c r="M22" s="10"/>
      <c r="N22" s="10"/>
      <c r="O22" s="10"/>
      <c r="P22" s="10"/>
      <c r="Q22" s="10"/>
      <c r="R22" s="10"/>
      <c r="S22" s="10"/>
      <c r="T22" s="10"/>
      <c r="U22" s="10"/>
      <c r="V22" s="10"/>
      <c r="W22" s="10"/>
      <c r="X22" s="10"/>
      <c r="Y22" s="10"/>
    </row>
    <row r="23" spans="1:25" s="99" customFormat="1" ht="13.5" thickBot="1" x14ac:dyDescent="0.25">
      <c r="A23" s="100" t="s">
        <v>4</v>
      </c>
      <c r="B23" s="17">
        <f>SUM(C23:XFD23)</f>
        <v>11800.130000000001</v>
      </c>
      <c r="C23" s="101">
        <f>SUM(C9:C20)</f>
        <v>2361.8000000000002</v>
      </c>
      <c r="D23" s="101">
        <f>SUM(D9:D20)</f>
        <v>1441.24</v>
      </c>
      <c r="E23" s="101">
        <f>SUM(E9:E20)</f>
        <v>1441.25</v>
      </c>
      <c r="F23" s="101">
        <f>SUM(F9:F20)</f>
        <v>1291.2</v>
      </c>
      <c r="G23" s="101">
        <f t="shared" ref="G23" si="5">SUM(G9:G20)</f>
        <v>991.21</v>
      </c>
      <c r="H23" s="101">
        <f>SUM(H9:H20)</f>
        <v>991.21</v>
      </c>
      <c r="I23" s="101">
        <f>SUM(I9:I20)</f>
        <v>991.2</v>
      </c>
      <c r="J23" s="101">
        <f>SUM(J9:J20)</f>
        <v>845.51</v>
      </c>
      <c r="K23" s="101">
        <f>SUM(K9:K20)</f>
        <v>1445.51</v>
      </c>
      <c r="L23" s="101"/>
      <c r="M23" s="101"/>
      <c r="N23" s="101"/>
      <c r="O23" s="101"/>
      <c r="P23" s="101"/>
      <c r="Q23" s="101"/>
      <c r="R23" s="101"/>
      <c r="S23" s="101"/>
      <c r="T23" s="101"/>
      <c r="U23" s="101"/>
      <c r="V23" s="101"/>
      <c r="W23" s="101"/>
      <c r="X23" s="101"/>
      <c r="Y23" s="101"/>
    </row>
    <row r="24" spans="1:25" ht="13.5" thickBot="1" x14ac:dyDescent="0.25">
      <c r="A24" s="2"/>
      <c r="B24" s="2"/>
    </row>
    <row r="25" spans="1:25" ht="13.5" thickBot="1" x14ac:dyDescent="0.25">
      <c r="A25" s="12" t="s">
        <v>17</v>
      </c>
      <c r="B25" s="18">
        <f>SUM(C25:XFD25)</f>
        <v>19197.119999999995</v>
      </c>
      <c r="C25" s="1">
        <f>C22-C23</f>
        <v>4436.57</v>
      </c>
      <c r="D25" s="1">
        <f t="shared" ref="D25:J25" si="6">D22-D23</f>
        <v>1583.6200000000001</v>
      </c>
      <c r="E25" s="1">
        <f t="shared" si="6"/>
        <v>1583.6100000000001</v>
      </c>
      <c r="F25" s="1">
        <f t="shared" si="6"/>
        <v>1733.66</v>
      </c>
      <c r="G25" s="1">
        <f t="shared" si="6"/>
        <v>2033.65</v>
      </c>
      <c r="H25" s="1">
        <f>H22-H23</f>
        <v>2033.65</v>
      </c>
      <c r="I25" s="1">
        <f t="shared" si="6"/>
        <v>2033.66</v>
      </c>
      <c r="J25" s="1">
        <f t="shared" si="6"/>
        <v>2179.3500000000004</v>
      </c>
      <c r="K25" s="1">
        <f t="shared" ref="K25" si="7">K22-K23</f>
        <v>1579.3500000000001</v>
      </c>
      <c r="L25" s="1"/>
      <c r="M25" s="1"/>
      <c r="N25" s="1"/>
      <c r="O25" s="1"/>
      <c r="P25" s="1"/>
      <c r="Q25" s="1"/>
      <c r="R25" s="1"/>
      <c r="S25" s="1"/>
      <c r="T25" s="1"/>
      <c r="U25" s="1"/>
      <c r="V25" s="1"/>
      <c r="W25" s="1"/>
      <c r="X25" s="1"/>
      <c r="Y25" s="1"/>
    </row>
    <row r="26" spans="1:25" ht="13.5" thickBot="1" x14ac:dyDescent="0.25"/>
    <row r="27" spans="1:25" x14ac:dyDescent="0.2">
      <c r="A27" s="22" t="s">
        <v>5</v>
      </c>
      <c r="B27" s="26">
        <f t="shared" ref="B27:D27" si="8">B9/B$22</f>
        <v>0.13340312447071917</v>
      </c>
      <c r="C27" s="24">
        <f>C9/C$22</f>
        <v>0.18032704898380053</v>
      </c>
      <c r="D27" s="21">
        <f t="shared" si="8"/>
        <v>0.12023035776862399</v>
      </c>
      <c r="E27" s="21">
        <f t="shared" ref="E27:G32" si="9">E9/E$22</f>
        <v>0.12023035776862399</v>
      </c>
      <c r="F27" s="21">
        <f t="shared" si="9"/>
        <v>0.12021713401611975</v>
      </c>
      <c r="G27" s="21">
        <f t="shared" si="9"/>
        <v>0.12021713401611975</v>
      </c>
      <c r="H27" s="21">
        <f t="shared" ref="H27:H32" si="10">H9/H$22</f>
        <v>0.12021713401611975</v>
      </c>
      <c r="I27" s="21">
        <f t="shared" ref="I27:I32" si="11">I9/I$22</f>
        <v>0.12021713401611975</v>
      </c>
      <c r="J27" s="21">
        <f t="shared" ref="J27:K27" si="12">J9/J$22</f>
        <v>0.12021713401611975</v>
      </c>
      <c r="K27" s="21">
        <f t="shared" si="12"/>
        <v>0.12021713401611975</v>
      </c>
      <c r="L27" s="21"/>
      <c r="M27" s="21"/>
      <c r="N27" s="21"/>
      <c r="O27" s="21"/>
      <c r="P27" s="21"/>
      <c r="Q27" s="21"/>
      <c r="R27" s="21"/>
      <c r="S27" s="21"/>
      <c r="T27" s="21"/>
      <c r="U27" s="21"/>
      <c r="V27" s="21"/>
      <c r="W27" s="21"/>
      <c r="X27" s="21"/>
      <c r="Y27" s="21"/>
    </row>
    <row r="28" spans="1:25" x14ac:dyDescent="0.2">
      <c r="A28" s="22" t="s">
        <v>6</v>
      </c>
      <c r="B28" s="27">
        <f t="shared" ref="B28" si="13">B10/B$22</f>
        <v>1.4135447499374941E-2</v>
      </c>
      <c r="C28" s="24"/>
      <c r="D28" s="21">
        <f>D10/D$22</f>
        <v>1.8106623116441754E-2</v>
      </c>
      <c r="E28" s="21">
        <f t="shared" si="9"/>
        <v>1.8106623116441754E-2</v>
      </c>
      <c r="F28" s="21">
        <f t="shared" si="9"/>
        <v>1.8106623116441754E-2</v>
      </c>
      <c r="G28" s="21">
        <f t="shared" si="9"/>
        <v>1.8106623116441754E-2</v>
      </c>
      <c r="H28" s="21">
        <f t="shared" si="10"/>
        <v>1.8106623116441754E-2</v>
      </c>
      <c r="I28" s="21">
        <f t="shared" si="11"/>
        <v>1.8106623116441754E-2</v>
      </c>
      <c r="J28" s="21">
        <f t="shared" ref="J28:K28" si="14">J10/J$22</f>
        <v>1.8106623116441754E-2</v>
      </c>
      <c r="K28" s="21">
        <f t="shared" si="14"/>
        <v>1.8106623116441754E-2</v>
      </c>
      <c r="L28" s="21"/>
      <c r="M28" s="21"/>
      <c r="N28" s="21"/>
      <c r="O28" s="21"/>
      <c r="P28" s="21"/>
      <c r="Q28" s="21"/>
      <c r="R28" s="21"/>
      <c r="S28" s="21"/>
      <c r="T28" s="21"/>
      <c r="U28" s="21"/>
      <c r="V28" s="21"/>
      <c r="W28" s="21"/>
      <c r="X28" s="21"/>
      <c r="Y28" s="21"/>
    </row>
    <row r="29" spans="1:25" x14ac:dyDescent="0.2">
      <c r="A29" s="22" t="s">
        <v>7</v>
      </c>
      <c r="B29" s="27">
        <f t="shared" ref="B29" si="15">B11/B$22</f>
        <v>2.9163877440740706E-4</v>
      </c>
      <c r="C29" s="24"/>
      <c r="D29" s="21">
        <f>D11/D$22</f>
        <v>3.7357100824500966E-4</v>
      </c>
      <c r="E29" s="21">
        <f t="shared" si="9"/>
        <v>3.7357100824500966E-4</v>
      </c>
      <c r="F29" s="21">
        <f t="shared" si="9"/>
        <v>3.7357100824500966E-4</v>
      </c>
      <c r="G29" s="21">
        <f t="shared" si="9"/>
        <v>3.7357100824500966E-4</v>
      </c>
      <c r="H29" s="21">
        <f t="shared" si="10"/>
        <v>3.7357100824500966E-4</v>
      </c>
      <c r="I29" s="21">
        <f t="shared" si="11"/>
        <v>3.7357100824500966E-4</v>
      </c>
      <c r="J29" s="21">
        <f t="shared" ref="J29:K29" si="16">J11/J$22</f>
        <v>3.7357100824500966E-4</v>
      </c>
      <c r="K29" s="21">
        <f t="shared" si="16"/>
        <v>3.7357100824500966E-4</v>
      </c>
      <c r="L29" s="21"/>
      <c r="M29" s="21"/>
      <c r="N29" s="21"/>
      <c r="O29" s="21"/>
      <c r="P29" s="21"/>
      <c r="Q29" s="21"/>
      <c r="R29" s="21"/>
      <c r="S29" s="21"/>
      <c r="T29" s="21"/>
      <c r="U29" s="21"/>
      <c r="V29" s="21"/>
      <c r="W29" s="21"/>
      <c r="X29" s="21"/>
      <c r="Y29" s="21"/>
    </row>
    <row r="30" spans="1:25" x14ac:dyDescent="0.2">
      <c r="A30" s="22" t="s">
        <v>8</v>
      </c>
      <c r="B30" s="27">
        <f t="shared" ref="B30" si="17">B12/B$22</f>
        <v>2.5008670123962606E-3</v>
      </c>
      <c r="C30" s="24"/>
      <c r="D30" s="21">
        <f>D12/D$22</f>
        <v>3.2034540441541093E-3</v>
      </c>
      <c r="E30" s="21">
        <f t="shared" si="9"/>
        <v>3.2034540441541093E-3</v>
      </c>
      <c r="F30" s="21">
        <f t="shared" si="9"/>
        <v>3.2034540441541093E-3</v>
      </c>
      <c r="G30" s="21">
        <f t="shared" si="9"/>
        <v>3.2034540441541093E-3</v>
      </c>
      <c r="H30" s="21">
        <f t="shared" si="10"/>
        <v>3.2034540441541093E-3</v>
      </c>
      <c r="I30" s="21">
        <f t="shared" si="11"/>
        <v>3.2034540441541093E-3</v>
      </c>
      <c r="J30" s="21">
        <f t="shared" ref="J30:K30" si="18">J12/J$22</f>
        <v>3.2034540441541093E-3</v>
      </c>
      <c r="K30" s="21">
        <f t="shared" si="18"/>
        <v>3.2034540441541093E-3</v>
      </c>
      <c r="L30" s="21"/>
      <c r="M30" s="21"/>
      <c r="N30" s="21"/>
      <c r="O30" s="21"/>
      <c r="P30" s="21"/>
      <c r="Q30" s="21"/>
      <c r="R30" s="21"/>
      <c r="S30" s="21"/>
      <c r="T30" s="21"/>
      <c r="U30" s="21"/>
      <c r="V30" s="21"/>
      <c r="W30" s="21"/>
      <c r="X30" s="21"/>
      <c r="Y30" s="21"/>
    </row>
    <row r="31" spans="1:25" x14ac:dyDescent="0.2">
      <c r="A31" s="22" t="s">
        <v>9</v>
      </c>
      <c r="B31" s="110">
        <f>B13/B$7</f>
        <v>1.459119496855346E-2</v>
      </c>
      <c r="C31" s="24"/>
      <c r="D31" s="21">
        <f>D13/D$7</f>
        <v>2.9000000000000001E-2</v>
      </c>
      <c r="E31" s="21">
        <f t="shared" si="9"/>
        <v>2.8761661696739684E-2</v>
      </c>
      <c r="F31" s="21">
        <f t="shared" si="9"/>
        <v>2.8761661696739684E-2</v>
      </c>
      <c r="G31" s="21">
        <f t="shared" si="9"/>
        <v>2.8761661696739684E-2</v>
      </c>
      <c r="H31" s="21">
        <f t="shared" si="10"/>
        <v>2.8761661696739684E-2</v>
      </c>
      <c r="I31" s="21">
        <f t="shared" si="11"/>
        <v>2.8761661696739684E-2</v>
      </c>
      <c r="J31" s="21">
        <f t="shared" ref="J31:K31" si="19">J13/J$22</f>
        <v>2.8761661696739684E-2</v>
      </c>
      <c r="K31" s="21">
        <f t="shared" si="19"/>
        <v>2.8761661696739684E-2</v>
      </c>
      <c r="L31" s="21"/>
      <c r="M31" s="21"/>
      <c r="N31" s="21"/>
      <c r="O31" s="21"/>
      <c r="P31" s="21"/>
      <c r="Q31" s="21"/>
      <c r="R31" s="21"/>
      <c r="S31" s="21"/>
      <c r="T31" s="21"/>
      <c r="U31" s="21"/>
      <c r="V31" s="21"/>
      <c r="W31" s="21"/>
      <c r="X31" s="21"/>
      <c r="Y31" s="21"/>
    </row>
    <row r="32" spans="1:25" x14ac:dyDescent="0.2">
      <c r="A32" s="22" t="s">
        <v>10</v>
      </c>
      <c r="B32" s="110">
        <f t="shared" ref="B32" si="20">B14/B$22</f>
        <v>1.3953818483897764E-2</v>
      </c>
      <c r="C32" s="24">
        <f>C14/C$22</f>
        <v>1.4500534686991147E-2</v>
      </c>
      <c r="D32" s="21">
        <f>D14/D$22</f>
        <v>1.3798985738182924E-2</v>
      </c>
      <c r="E32" s="21">
        <f t="shared" si="9"/>
        <v>1.3802291676308986E-2</v>
      </c>
      <c r="F32" s="21">
        <f t="shared" si="9"/>
        <v>1.3798985738182924E-2</v>
      </c>
      <c r="G32" s="21">
        <f t="shared" si="9"/>
        <v>1.3802291676308986E-2</v>
      </c>
      <c r="H32" s="21">
        <f t="shared" si="10"/>
        <v>1.3802291676308986E-2</v>
      </c>
      <c r="I32" s="21">
        <f t="shared" si="11"/>
        <v>1.3798985738182924E-2</v>
      </c>
      <c r="J32" s="21">
        <f t="shared" ref="J32:K32" si="21">J14/J$22</f>
        <v>1.3798985738182924E-2</v>
      </c>
      <c r="K32" s="21">
        <f t="shared" si="21"/>
        <v>1.3798985738182924E-2</v>
      </c>
      <c r="L32" s="21"/>
      <c r="M32" s="21"/>
      <c r="N32" s="21"/>
      <c r="O32" s="21"/>
      <c r="P32" s="21"/>
      <c r="Q32" s="21"/>
      <c r="R32" s="21"/>
      <c r="S32" s="21"/>
      <c r="T32" s="21"/>
      <c r="U32" s="21"/>
      <c r="V32" s="21"/>
      <c r="W32" s="21"/>
      <c r="X32" s="21"/>
      <c r="Y32" s="21"/>
    </row>
    <row r="33" spans="1:25" x14ac:dyDescent="0.2">
      <c r="A33" s="22" t="s">
        <v>14</v>
      </c>
      <c r="B33" s="27">
        <f>B15/(B$22 - SUM(B4:B6))</f>
        <v>0.13033707865168537</v>
      </c>
      <c r="C33" s="24"/>
      <c r="D33" s="21">
        <f t="shared" ref="D33:I33" si="22">D15/(D$22 - SUM(D4:D6))</f>
        <v>0.15</v>
      </c>
      <c r="E33" s="21">
        <f t="shared" si="22"/>
        <v>0.15</v>
      </c>
      <c r="F33" s="21">
        <f t="shared" si="22"/>
        <v>0.1</v>
      </c>
      <c r="G33" s="21">
        <f t="shared" si="22"/>
        <v>0</v>
      </c>
      <c r="H33" s="21">
        <f t="shared" si="22"/>
        <v>0</v>
      </c>
      <c r="I33" s="21">
        <f t="shared" si="22"/>
        <v>0</v>
      </c>
      <c r="J33" s="21">
        <f t="shared" ref="J33:K33" si="23">J15/(J$22 - SUM(J4:J6))</f>
        <v>0</v>
      </c>
      <c r="K33" s="21">
        <f t="shared" si="23"/>
        <v>0.2</v>
      </c>
      <c r="L33" s="21"/>
      <c r="M33" s="21"/>
      <c r="N33" s="21"/>
      <c r="O33" s="21"/>
      <c r="P33" s="21"/>
      <c r="Q33" s="21"/>
      <c r="R33" s="21"/>
      <c r="S33" s="21"/>
      <c r="T33" s="21"/>
      <c r="U33" s="21"/>
      <c r="V33" s="21"/>
      <c r="W33" s="21"/>
      <c r="X33" s="21"/>
      <c r="Y33" s="21"/>
    </row>
    <row r="34" spans="1:25" x14ac:dyDescent="0.2">
      <c r="A34" s="22" t="s">
        <v>11</v>
      </c>
      <c r="B34" s="110">
        <f>B16/(B$22-SUM(B4:B6))</f>
        <v>6.9269662921348299E-2</v>
      </c>
      <c r="C34" s="24">
        <f>C16/(C$22-SUM(C5:C6))</f>
        <v>6.2000155919727816E-2</v>
      </c>
      <c r="D34" s="21">
        <f t="shared" ref="D34:I34" si="24">D16/(D$22-SUM(D4:D6))</f>
        <v>5.9499999999999997E-2</v>
      </c>
      <c r="E34" s="21">
        <f t="shared" si="24"/>
        <v>5.9499999999999997E-2</v>
      </c>
      <c r="F34" s="21">
        <f t="shared" si="24"/>
        <v>5.9499999999999997E-2</v>
      </c>
      <c r="G34" s="21">
        <f t="shared" si="24"/>
        <v>5.9499999999999997E-2</v>
      </c>
      <c r="H34" s="21">
        <f t="shared" si="24"/>
        <v>5.9499999999999997E-2</v>
      </c>
      <c r="I34" s="21">
        <f t="shared" si="24"/>
        <v>5.9499999999999997E-2</v>
      </c>
      <c r="J34" s="21">
        <f t="shared" ref="J34:K34" si="25">J16/(J$22-SUM(J4:J6))</f>
        <v>5.9499999999999997E-2</v>
      </c>
      <c r="K34" s="21">
        <f t="shared" si="25"/>
        <v>5.9499999999999997E-2</v>
      </c>
      <c r="L34" s="21"/>
      <c r="M34" s="21"/>
      <c r="N34" s="21"/>
      <c r="O34" s="21"/>
      <c r="P34" s="21"/>
      <c r="Q34" s="21"/>
      <c r="R34" s="21"/>
      <c r="S34" s="21"/>
      <c r="T34" s="21"/>
      <c r="U34" s="21"/>
      <c r="V34" s="21"/>
      <c r="W34" s="21"/>
      <c r="X34" s="21"/>
      <c r="Y34" s="21"/>
    </row>
    <row r="35" spans="1:25" x14ac:dyDescent="0.2">
      <c r="A35" s="23" t="s">
        <v>18</v>
      </c>
      <c r="B35" s="27">
        <f t="shared" ref="B35" si="26">B17/B$22</f>
        <v>4.0170982909774257E-2</v>
      </c>
      <c r="C35" s="24">
        <f t="shared" ref="C35:I36" si="27">C17/C$22</f>
        <v>5.4579259440130506E-2</v>
      </c>
      <c r="D35" s="21">
        <f t="shared" si="27"/>
        <v>4.8164212558597749E-2</v>
      </c>
      <c r="E35" s="21">
        <f t="shared" si="27"/>
        <v>4.8164212558597749E-2</v>
      </c>
      <c r="F35" s="21">
        <f t="shared" si="27"/>
        <v>4.8164212558597749E-2</v>
      </c>
      <c r="G35" s="21">
        <f t="shared" si="27"/>
        <v>4.8164212558597749E-2</v>
      </c>
      <c r="H35" s="21">
        <f t="shared" si="27"/>
        <v>4.8164212558597749E-2</v>
      </c>
      <c r="I35" s="21">
        <f t="shared" si="27"/>
        <v>4.8164212558597749E-2</v>
      </c>
      <c r="J35" s="21">
        <f t="shared" ref="J35:K35" si="28">J17/J$22</f>
        <v>0</v>
      </c>
      <c r="K35" s="21">
        <f t="shared" si="28"/>
        <v>0</v>
      </c>
      <c r="L35" s="21"/>
      <c r="M35" s="21"/>
      <c r="N35" s="21"/>
      <c r="O35" s="21"/>
      <c r="P35" s="21"/>
      <c r="Q35" s="21"/>
      <c r="R35" s="21"/>
      <c r="S35" s="21"/>
      <c r="T35" s="21"/>
      <c r="U35" s="21"/>
      <c r="V35" s="21"/>
      <c r="W35" s="21"/>
      <c r="X35" s="21"/>
      <c r="Y35" s="21"/>
    </row>
    <row r="36" spans="1:25" x14ac:dyDescent="0.2">
      <c r="A36" s="23" t="s">
        <v>19</v>
      </c>
      <c r="B36" s="27">
        <f t="shared" ref="B36" si="29">B18/B$22</f>
        <v>3.4646299268483484E-2</v>
      </c>
      <c r="C36" s="24">
        <f t="shared" si="27"/>
        <v>3.5999805835810646E-2</v>
      </c>
      <c r="D36" s="21">
        <f t="shared" si="27"/>
        <v>3.4266048676632965E-2</v>
      </c>
      <c r="E36" s="21">
        <f t="shared" si="27"/>
        <v>3.4266048676632965E-2</v>
      </c>
      <c r="F36" s="21">
        <f t="shared" si="27"/>
        <v>3.4266048676632965E-2</v>
      </c>
      <c r="G36" s="21">
        <f t="shared" si="27"/>
        <v>3.4266048676632965E-2</v>
      </c>
      <c r="H36" s="21">
        <f t="shared" si="27"/>
        <v>3.4266048676632965E-2</v>
      </c>
      <c r="I36" s="21">
        <f t="shared" si="27"/>
        <v>3.4266048676632965E-2</v>
      </c>
      <c r="J36" s="21">
        <f t="shared" ref="J36:K36" si="30">J18/J$22</f>
        <v>3.4266048676632965E-2</v>
      </c>
      <c r="K36" s="21">
        <f t="shared" si="30"/>
        <v>3.4266048676632965E-2</v>
      </c>
      <c r="L36" s="21"/>
      <c r="M36" s="21"/>
      <c r="N36" s="21"/>
      <c r="O36" s="21"/>
      <c r="P36" s="21"/>
      <c r="Q36" s="21"/>
      <c r="R36" s="21"/>
      <c r="S36" s="21"/>
      <c r="T36" s="21"/>
      <c r="U36" s="21"/>
      <c r="V36" s="21"/>
      <c r="W36" s="21"/>
      <c r="X36" s="21"/>
      <c r="Y36" s="21"/>
    </row>
    <row r="37" spans="1:25" x14ac:dyDescent="0.2">
      <c r="A37" s="22" t="s">
        <v>12</v>
      </c>
      <c r="B37" s="27">
        <f t="shared" ref="B37" si="31">B19/B$22</f>
        <v>4.1293985756800996E-4</v>
      </c>
      <c r="C37" s="25"/>
      <c r="D37" s="21">
        <f t="shared" ref="D37:I38" si="32">D19/D$22</f>
        <v>5.2895010016992523E-4</v>
      </c>
      <c r="E37" s="21">
        <f t="shared" si="32"/>
        <v>5.2895010016992523E-4</v>
      </c>
      <c r="F37" s="21">
        <f t="shared" si="32"/>
        <v>5.2895010016992523E-4</v>
      </c>
      <c r="G37" s="21">
        <f t="shared" si="32"/>
        <v>5.2895010016992523E-4</v>
      </c>
      <c r="H37" s="21">
        <f t="shared" si="32"/>
        <v>5.2895010016992523E-4</v>
      </c>
      <c r="I37" s="21">
        <f t="shared" si="32"/>
        <v>5.2895010016992523E-4</v>
      </c>
      <c r="J37" s="21">
        <f t="shared" ref="J37:K37" si="33">J19/J$22</f>
        <v>5.2895010016992523E-4</v>
      </c>
      <c r="K37" s="21">
        <f t="shared" si="33"/>
        <v>5.2895010016992523E-4</v>
      </c>
      <c r="L37" s="21"/>
      <c r="M37" s="21"/>
      <c r="N37" s="21"/>
      <c r="O37" s="21"/>
      <c r="P37" s="21"/>
      <c r="Q37" s="21"/>
      <c r="R37" s="21"/>
      <c r="S37" s="21"/>
      <c r="T37" s="21"/>
      <c r="U37" s="21"/>
      <c r="V37" s="21"/>
      <c r="W37" s="21"/>
      <c r="X37" s="21"/>
      <c r="Y37" s="21"/>
    </row>
    <row r="38" spans="1:25" ht="13.5" thickBot="1" x14ac:dyDescent="0.25">
      <c r="A38" s="23" t="s">
        <v>13</v>
      </c>
      <c r="B38" s="28">
        <f t="shared" ref="B38" si="34">B20/B$22</f>
        <v>9.7815128761422369E-4</v>
      </c>
      <c r="C38" s="25"/>
      <c r="D38" s="21">
        <f t="shared" si="32"/>
        <v>1.2529505497775103E-3</v>
      </c>
      <c r="E38" s="21">
        <f t="shared" si="32"/>
        <v>1.2529505497775103E-3</v>
      </c>
      <c r="F38" s="21">
        <f t="shared" si="32"/>
        <v>1.2529505497775103E-3</v>
      </c>
      <c r="G38" s="21">
        <f t="shared" si="32"/>
        <v>1.2529505497775103E-3</v>
      </c>
      <c r="H38" s="21">
        <f t="shared" si="32"/>
        <v>1.2529505497775103E-3</v>
      </c>
      <c r="I38" s="21">
        <f t="shared" si="32"/>
        <v>1.2529505497775103E-3</v>
      </c>
      <c r="J38" s="21">
        <f t="shared" ref="J38:K38" si="35">J20/J$22</f>
        <v>1.2529505497775103E-3</v>
      </c>
      <c r="K38" s="21">
        <f t="shared" si="35"/>
        <v>1.2529505497775103E-3</v>
      </c>
      <c r="L38" s="21"/>
      <c r="M38" s="21"/>
      <c r="N38" s="21"/>
      <c r="O38" s="21"/>
      <c r="P38" s="21"/>
      <c r="Q38" s="21"/>
      <c r="R38" s="21"/>
      <c r="S38" s="21"/>
      <c r="T38" s="21"/>
      <c r="U38" s="21"/>
      <c r="V38" s="21"/>
      <c r="W38" s="21"/>
      <c r="X38" s="21"/>
      <c r="Y38" s="21"/>
    </row>
    <row r="40" spans="1:25" x14ac:dyDescent="0.2">
      <c r="B40" s="19">
        <f>0.04*D7</f>
        <v>120</v>
      </c>
      <c r="K40" s="1"/>
      <c r="L40" s="1"/>
      <c r="M40" s="1"/>
      <c r="N40" s="1"/>
      <c r="O40" s="1"/>
      <c r="P40" s="1"/>
      <c r="Q40" s="1"/>
      <c r="R40" s="1"/>
    </row>
    <row r="41" spans="1:25" x14ac:dyDescent="0.2">
      <c r="B41" s="19">
        <f>B40*26</f>
        <v>3120</v>
      </c>
    </row>
    <row r="42" spans="1:25" x14ac:dyDescent="0.2">
      <c r="B42" s="29">
        <f>B15/B41</f>
        <v>1.1153846153846154</v>
      </c>
    </row>
    <row r="45" spans="1:25" x14ac:dyDescent="0.2">
      <c r="B45" s="8">
        <f>B25/B22</f>
        <v>0.61931687488406206</v>
      </c>
    </row>
  </sheetData>
  <pageMargins left="0.75" right="0.75" top="1" bottom="1" header="0.5" footer="0.5"/>
  <ignoredErrors>
    <ignoredError sqref="D33"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E0DAF-96A2-4893-8BDB-3F7EDAD64D96}">
  <dimension ref="A1:AU121"/>
  <sheetViews>
    <sheetView showGridLines="0" tabSelected="1" zoomScale="85" zoomScaleNormal="85" workbookViewId="0">
      <pane ySplit="2" topLeftCell="A65" activePane="bottomLeft" state="frozen"/>
      <selection pane="bottomLeft" activeCell="K115" sqref="K115"/>
    </sheetView>
  </sheetViews>
  <sheetFormatPr defaultRowHeight="12.75" x14ac:dyDescent="0.2"/>
  <cols>
    <col min="1" max="1" width="31.28515625" customWidth="1"/>
    <col min="2" max="2" width="11.5703125" bestFit="1" customWidth="1"/>
    <col min="3" max="3" width="12.5703125" bestFit="1" customWidth="1"/>
    <col min="6" max="6" width="29.42578125" bestFit="1" customWidth="1"/>
    <col min="7" max="8" width="11.5703125" bestFit="1" customWidth="1"/>
    <col min="9" max="12" width="12.140625" bestFit="1" customWidth="1"/>
    <col min="13" max="19" width="11.85546875" bestFit="1" customWidth="1"/>
    <col min="20" max="45" width="13.5703125" bestFit="1" customWidth="1"/>
    <col min="46" max="46" width="6.42578125" bestFit="1" customWidth="1"/>
    <col min="47" max="47" width="5.140625" bestFit="1" customWidth="1"/>
  </cols>
  <sheetData>
    <row r="1" spans="1:47" x14ac:dyDescent="0.2">
      <c r="E1" s="122"/>
      <c r="F1" s="32" t="s">
        <v>63</v>
      </c>
      <c r="G1">
        <v>30</v>
      </c>
      <c r="H1">
        <f>31</f>
        <v>31</v>
      </c>
      <c r="I1">
        <f>H1+1</f>
        <v>32</v>
      </c>
      <c r="J1">
        <f t="shared" ref="J1:AC1" si="0">I1+1</f>
        <v>33</v>
      </c>
      <c r="K1">
        <f t="shared" si="0"/>
        <v>34</v>
      </c>
      <c r="L1" s="256">
        <f t="shared" si="0"/>
        <v>35</v>
      </c>
      <c r="M1">
        <f t="shared" si="0"/>
        <v>36</v>
      </c>
      <c r="N1">
        <f t="shared" si="0"/>
        <v>37</v>
      </c>
      <c r="O1">
        <f t="shared" si="0"/>
        <v>38</v>
      </c>
      <c r="P1">
        <f t="shared" si="0"/>
        <v>39</v>
      </c>
      <c r="Q1">
        <f t="shared" si="0"/>
        <v>40</v>
      </c>
      <c r="R1">
        <f t="shared" si="0"/>
        <v>41</v>
      </c>
      <c r="S1">
        <f t="shared" si="0"/>
        <v>42</v>
      </c>
      <c r="T1">
        <f t="shared" si="0"/>
        <v>43</v>
      </c>
      <c r="U1">
        <f t="shared" si="0"/>
        <v>44</v>
      </c>
      <c r="V1">
        <f t="shared" si="0"/>
        <v>45</v>
      </c>
      <c r="W1">
        <f t="shared" si="0"/>
        <v>46</v>
      </c>
      <c r="X1">
        <f t="shared" si="0"/>
        <v>47</v>
      </c>
      <c r="Y1">
        <f t="shared" si="0"/>
        <v>48</v>
      </c>
      <c r="Z1">
        <f t="shared" si="0"/>
        <v>49</v>
      </c>
      <c r="AA1">
        <f t="shared" si="0"/>
        <v>50</v>
      </c>
      <c r="AB1">
        <f t="shared" si="0"/>
        <v>51</v>
      </c>
      <c r="AC1">
        <f t="shared" si="0"/>
        <v>52</v>
      </c>
      <c r="AD1">
        <f t="shared" ref="AD1:AD2" si="1">AC1+1</f>
        <v>53</v>
      </c>
      <c r="AE1">
        <f t="shared" ref="AE1:AE2" si="2">AD1+1</f>
        <v>54</v>
      </c>
      <c r="AF1">
        <f t="shared" ref="AF1:AF2" si="3">AE1+1</f>
        <v>55</v>
      </c>
      <c r="AG1">
        <f t="shared" ref="AG1:AG2" si="4">AF1+1</f>
        <v>56</v>
      </c>
      <c r="AH1">
        <f t="shared" ref="AH1:AH2" si="5">AG1+1</f>
        <v>57</v>
      </c>
      <c r="AI1">
        <f t="shared" ref="AI1:AI2" si="6">AH1+1</f>
        <v>58</v>
      </c>
      <c r="AJ1">
        <f t="shared" ref="AJ1:AJ2" si="7">AI1+1</f>
        <v>59</v>
      </c>
      <c r="AK1">
        <f t="shared" ref="AK1:AK2" si="8">AJ1+1</f>
        <v>60</v>
      </c>
      <c r="AL1">
        <f t="shared" ref="AL1:AL2" si="9">AK1+1</f>
        <v>61</v>
      </c>
      <c r="AM1">
        <f t="shared" ref="AM1:AM2" si="10">AL1+1</f>
        <v>62</v>
      </c>
      <c r="AN1">
        <f t="shared" ref="AN1:AN2" si="11">AM1+1</f>
        <v>63</v>
      </c>
      <c r="AO1">
        <f t="shared" ref="AO1:AO2" si="12">AN1+1</f>
        <v>64</v>
      </c>
      <c r="AP1">
        <f t="shared" ref="AP1:AP2" si="13">AO1+1</f>
        <v>65</v>
      </c>
      <c r="AQ1">
        <f t="shared" ref="AQ1:AQ2" si="14">AP1+1</f>
        <v>66</v>
      </c>
      <c r="AR1">
        <f t="shared" ref="AR1:AR2" si="15">AQ1+1</f>
        <v>67</v>
      </c>
      <c r="AS1">
        <f t="shared" ref="AS1:AS2" si="16">AR1+1</f>
        <v>68</v>
      </c>
      <c r="AT1">
        <f t="shared" ref="AT1:AT2" si="17">AS1+1</f>
        <v>69</v>
      </c>
      <c r="AU1">
        <f t="shared" ref="AU1:AU2" si="18">AT1+1</f>
        <v>70</v>
      </c>
    </row>
    <row r="2" spans="1:47" x14ac:dyDescent="0.2">
      <c r="F2" s="32" t="s">
        <v>62</v>
      </c>
      <c r="G2">
        <v>27</v>
      </c>
      <c r="H2">
        <f>28</f>
        <v>28</v>
      </c>
      <c r="I2">
        <f>H2+1</f>
        <v>29</v>
      </c>
      <c r="J2">
        <f t="shared" ref="J2:AC2" si="19">I2+1</f>
        <v>30</v>
      </c>
      <c r="K2">
        <f t="shared" si="19"/>
        <v>31</v>
      </c>
      <c r="L2">
        <f t="shared" si="19"/>
        <v>32</v>
      </c>
      <c r="M2">
        <f t="shared" si="19"/>
        <v>33</v>
      </c>
      <c r="N2">
        <f t="shared" si="19"/>
        <v>34</v>
      </c>
      <c r="O2">
        <f t="shared" si="19"/>
        <v>35</v>
      </c>
      <c r="P2">
        <f t="shared" si="19"/>
        <v>36</v>
      </c>
      <c r="Q2">
        <f t="shared" si="19"/>
        <v>37</v>
      </c>
      <c r="R2">
        <f t="shared" si="19"/>
        <v>38</v>
      </c>
      <c r="S2">
        <f t="shared" si="19"/>
        <v>39</v>
      </c>
      <c r="T2">
        <f t="shared" si="19"/>
        <v>40</v>
      </c>
      <c r="U2">
        <f t="shared" si="19"/>
        <v>41</v>
      </c>
      <c r="V2">
        <f t="shared" si="19"/>
        <v>42</v>
      </c>
      <c r="W2">
        <f t="shared" si="19"/>
        <v>43</v>
      </c>
      <c r="X2">
        <f t="shared" si="19"/>
        <v>44</v>
      </c>
      <c r="Y2">
        <f t="shared" si="19"/>
        <v>45</v>
      </c>
      <c r="Z2">
        <f t="shared" si="19"/>
        <v>46</v>
      </c>
      <c r="AA2">
        <f t="shared" si="19"/>
        <v>47</v>
      </c>
      <c r="AB2">
        <f t="shared" si="19"/>
        <v>48</v>
      </c>
      <c r="AC2">
        <f t="shared" si="19"/>
        <v>49</v>
      </c>
      <c r="AD2">
        <f t="shared" si="1"/>
        <v>50</v>
      </c>
      <c r="AE2">
        <f t="shared" si="2"/>
        <v>51</v>
      </c>
      <c r="AF2">
        <f t="shared" si="3"/>
        <v>52</v>
      </c>
      <c r="AG2">
        <f t="shared" si="4"/>
        <v>53</v>
      </c>
      <c r="AH2">
        <f t="shared" si="5"/>
        <v>54</v>
      </c>
      <c r="AI2">
        <f t="shared" si="6"/>
        <v>55</v>
      </c>
      <c r="AJ2">
        <f t="shared" si="7"/>
        <v>56</v>
      </c>
      <c r="AK2">
        <f t="shared" si="8"/>
        <v>57</v>
      </c>
      <c r="AL2">
        <f t="shared" si="9"/>
        <v>58</v>
      </c>
      <c r="AM2">
        <f t="shared" si="10"/>
        <v>59</v>
      </c>
      <c r="AN2">
        <f t="shared" si="11"/>
        <v>60</v>
      </c>
      <c r="AO2">
        <f t="shared" si="12"/>
        <v>61</v>
      </c>
      <c r="AP2">
        <f t="shared" si="13"/>
        <v>62</v>
      </c>
      <c r="AQ2">
        <f t="shared" si="14"/>
        <v>63</v>
      </c>
      <c r="AR2">
        <f t="shared" si="15"/>
        <v>64</v>
      </c>
      <c r="AS2">
        <f t="shared" si="16"/>
        <v>65</v>
      </c>
      <c r="AT2">
        <f t="shared" si="17"/>
        <v>66</v>
      </c>
      <c r="AU2">
        <f t="shared" si="18"/>
        <v>67</v>
      </c>
    </row>
    <row r="4" spans="1:47" x14ac:dyDescent="0.2">
      <c r="A4" s="103" t="s">
        <v>46</v>
      </c>
      <c r="B4" s="104" t="s">
        <v>47</v>
      </c>
      <c r="C4" s="104" t="s">
        <v>48</v>
      </c>
      <c r="D4" s="32"/>
      <c r="E4" s="32"/>
      <c r="G4">
        <v>2020</v>
      </c>
      <c r="H4">
        <f>2021</f>
        <v>2021</v>
      </c>
      <c r="I4">
        <f>H4+1</f>
        <v>2022</v>
      </c>
      <c r="J4">
        <f t="shared" ref="J4:AC4" si="20">I4+1</f>
        <v>2023</v>
      </c>
      <c r="K4">
        <f t="shared" si="20"/>
        <v>2024</v>
      </c>
      <c r="L4">
        <f t="shared" si="20"/>
        <v>2025</v>
      </c>
      <c r="M4">
        <f t="shared" si="20"/>
        <v>2026</v>
      </c>
      <c r="N4">
        <f t="shared" si="20"/>
        <v>2027</v>
      </c>
      <c r="O4">
        <f t="shared" si="20"/>
        <v>2028</v>
      </c>
      <c r="P4">
        <f t="shared" si="20"/>
        <v>2029</v>
      </c>
      <c r="Q4">
        <f t="shared" si="20"/>
        <v>2030</v>
      </c>
      <c r="R4">
        <f t="shared" si="20"/>
        <v>2031</v>
      </c>
      <c r="S4">
        <f t="shared" si="20"/>
        <v>2032</v>
      </c>
      <c r="T4">
        <f t="shared" si="20"/>
        <v>2033</v>
      </c>
      <c r="U4">
        <f t="shared" si="20"/>
        <v>2034</v>
      </c>
      <c r="V4">
        <f t="shared" si="20"/>
        <v>2035</v>
      </c>
      <c r="W4">
        <f t="shared" si="20"/>
        <v>2036</v>
      </c>
      <c r="X4">
        <f t="shared" si="20"/>
        <v>2037</v>
      </c>
      <c r="Y4">
        <f t="shared" si="20"/>
        <v>2038</v>
      </c>
      <c r="Z4">
        <f t="shared" si="20"/>
        <v>2039</v>
      </c>
      <c r="AA4">
        <f t="shared" si="20"/>
        <v>2040</v>
      </c>
      <c r="AB4">
        <f t="shared" si="20"/>
        <v>2041</v>
      </c>
      <c r="AC4">
        <f t="shared" si="20"/>
        <v>2042</v>
      </c>
    </row>
    <row r="5" spans="1:47" x14ac:dyDescent="0.2">
      <c r="A5" s="105" t="s">
        <v>49</v>
      </c>
      <c r="B5" s="106"/>
      <c r="C5" s="106"/>
      <c r="F5" s="6" t="s">
        <v>0</v>
      </c>
    </row>
    <row r="6" spans="1:47" x14ac:dyDescent="0.2">
      <c r="A6" s="105" t="s">
        <v>29</v>
      </c>
      <c r="B6" s="113">
        <v>3024.86</v>
      </c>
      <c r="C6" s="106"/>
      <c r="E6" s="122"/>
      <c r="F6" s="20" t="s">
        <v>47</v>
      </c>
      <c r="G6" s="187">
        <v>61641.86</v>
      </c>
      <c r="H6" s="187">
        <v>78000</v>
      </c>
      <c r="I6" s="114">
        <f>H6*1.02+H7</f>
        <v>81560</v>
      </c>
      <c r="J6" s="114">
        <f t="shared" ref="J6:L6" si="21">I6*1.02+I7</f>
        <v>90191.2</v>
      </c>
      <c r="K6" s="114">
        <f t="shared" si="21"/>
        <v>95495.024000000005</v>
      </c>
      <c r="L6" s="114">
        <f t="shared" si="21"/>
        <v>100904.92448</v>
      </c>
      <c r="M6" s="114">
        <f t="shared" ref="M6" si="22">L6*1.02+L7</f>
        <v>102923.0229696</v>
      </c>
      <c r="N6" s="114">
        <f t="shared" ref="N6" si="23">M6*1.02+M7</f>
        <v>104981.48342899201</v>
      </c>
      <c r="O6" s="114">
        <f t="shared" ref="O6" si="24">N6*1.02+N7</f>
        <v>107081.11309757186</v>
      </c>
      <c r="P6" s="114">
        <f t="shared" ref="P6" si="25">O6*1.02+O7</f>
        <v>109222.7353595233</v>
      </c>
      <c r="Q6" s="114">
        <f t="shared" ref="Q6" si="26">P6*1.02+P7</f>
        <v>111407.19006671377</v>
      </c>
      <c r="R6" s="31"/>
      <c r="S6" s="31"/>
      <c r="T6" s="31"/>
      <c r="U6" s="31"/>
      <c r="V6" s="31"/>
      <c r="W6" s="31"/>
      <c r="X6" s="31"/>
      <c r="Y6" s="31"/>
      <c r="Z6" s="31"/>
      <c r="AA6" s="31"/>
      <c r="AB6" s="31"/>
      <c r="AC6" s="31"/>
    </row>
    <row r="7" spans="1:47" x14ac:dyDescent="0.2">
      <c r="A7" s="105" t="s">
        <v>50</v>
      </c>
      <c r="B7" s="114">
        <v>78000</v>
      </c>
      <c r="C7" s="114">
        <v>165000</v>
      </c>
      <c r="E7" s="122"/>
      <c r="F7" s="102" t="s">
        <v>64</v>
      </c>
      <c r="G7" s="187"/>
      <c r="H7" s="187">
        <v>2000</v>
      </c>
      <c r="I7" s="114">
        <f>3500*2</f>
        <v>7000</v>
      </c>
      <c r="J7" s="114">
        <v>3500</v>
      </c>
      <c r="K7" s="114">
        <v>3500</v>
      </c>
      <c r="L7" s="114"/>
      <c r="M7" s="114"/>
      <c r="N7" s="114"/>
      <c r="O7" s="114"/>
      <c r="P7" s="114"/>
      <c r="Q7" s="114"/>
      <c r="R7" s="31"/>
      <c r="S7" s="31"/>
      <c r="T7" s="31"/>
      <c r="U7" s="31"/>
      <c r="V7" s="31"/>
      <c r="W7" s="31"/>
      <c r="X7" s="31"/>
      <c r="Y7" s="31"/>
      <c r="Z7" s="31"/>
      <c r="AA7" s="31"/>
      <c r="AB7" s="31"/>
      <c r="AC7" s="31"/>
    </row>
    <row r="8" spans="1:47" x14ac:dyDescent="0.2">
      <c r="A8" s="105" t="s">
        <v>51</v>
      </c>
      <c r="B8" s="106"/>
      <c r="C8" s="106"/>
      <c r="E8" s="122"/>
      <c r="F8" s="102" t="s">
        <v>69</v>
      </c>
      <c r="G8" s="187"/>
      <c r="H8" s="187">
        <v>1200</v>
      </c>
      <c r="I8" s="114"/>
      <c r="J8" s="114"/>
      <c r="K8" s="114"/>
      <c r="L8" s="114"/>
      <c r="M8" s="114"/>
      <c r="N8" s="114"/>
      <c r="O8" s="114"/>
      <c r="P8" s="114"/>
      <c r="Q8" s="114"/>
      <c r="R8" s="31"/>
      <c r="S8" s="31"/>
      <c r="T8" s="31"/>
      <c r="U8" s="31"/>
      <c r="V8" s="31"/>
      <c r="W8" s="31"/>
      <c r="X8" s="31"/>
      <c r="Y8" s="31"/>
      <c r="Z8" s="31"/>
      <c r="AA8" s="31"/>
      <c r="AB8" s="31"/>
      <c r="AC8" s="31"/>
    </row>
    <row r="9" spans="1:47" ht="13.5" thickBot="1" x14ac:dyDescent="0.25">
      <c r="A9" s="105" t="s">
        <v>52</v>
      </c>
      <c r="B9" s="106"/>
      <c r="C9" s="106"/>
      <c r="E9" s="122"/>
      <c r="G9" s="119"/>
      <c r="H9" s="119"/>
      <c r="M9" s="31"/>
      <c r="N9" s="31"/>
      <c r="O9" s="31"/>
      <c r="P9" s="31"/>
      <c r="Q9" s="31"/>
      <c r="R9" s="31"/>
      <c r="S9" s="31"/>
      <c r="T9" s="31"/>
      <c r="U9" s="31"/>
      <c r="V9" s="31"/>
      <c r="W9" s="31"/>
      <c r="X9" s="31"/>
      <c r="Y9" s="31"/>
      <c r="Z9" s="31"/>
      <c r="AA9" s="31"/>
      <c r="AB9" s="31"/>
      <c r="AC9" s="31"/>
    </row>
    <row r="10" spans="1:47" ht="13.5" thickBot="1" x14ac:dyDescent="0.25">
      <c r="A10" s="105" t="s">
        <v>53</v>
      </c>
      <c r="B10" s="104" t="s">
        <v>72</v>
      </c>
      <c r="C10" s="104" t="s">
        <v>72</v>
      </c>
      <c r="E10" s="122"/>
      <c r="F10" s="108" t="s">
        <v>88</v>
      </c>
      <c r="G10" s="199">
        <f>SUM(G6:G8)</f>
        <v>61641.86</v>
      </c>
      <c r="H10" s="199">
        <f>SUM(H6:H8)</f>
        <v>81200</v>
      </c>
      <c r="I10" s="216">
        <f t="shared" ref="I10:L10" si="27">SUM(I6:I8)</f>
        <v>88560</v>
      </c>
      <c r="J10" s="216">
        <f t="shared" si="27"/>
        <v>93691.199999999997</v>
      </c>
      <c r="K10" s="216">
        <f t="shared" si="27"/>
        <v>98995.024000000005</v>
      </c>
      <c r="L10" s="217">
        <f t="shared" si="27"/>
        <v>100904.92448</v>
      </c>
      <c r="M10" s="217">
        <f t="shared" ref="M10:Q10" si="28">SUM(M6:M8)</f>
        <v>102923.0229696</v>
      </c>
      <c r="N10" s="217">
        <f t="shared" si="28"/>
        <v>104981.48342899201</v>
      </c>
      <c r="O10" s="217">
        <f t="shared" si="28"/>
        <v>107081.11309757186</v>
      </c>
      <c r="P10" s="217">
        <f t="shared" si="28"/>
        <v>109222.7353595233</v>
      </c>
      <c r="Q10" s="217">
        <f t="shared" si="28"/>
        <v>111407.19006671377</v>
      </c>
      <c r="R10" s="31"/>
      <c r="S10" s="31"/>
      <c r="T10" s="31"/>
      <c r="U10" s="31"/>
      <c r="V10" s="31"/>
      <c r="W10" s="31"/>
      <c r="X10" s="31"/>
      <c r="Y10" s="31"/>
      <c r="Z10" s="31"/>
      <c r="AA10" s="31"/>
      <c r="AB10" s="31"/>
      <c r="AC10" s="31"/>
    </row>
    <row r="11" spans="1:47" x14ac:dyDescent="0.2">
      <c r="A11" s="105" t="s">
        <v>54</v>
      </c>
      <c r="B11" s="104" t="s">
        <v>70</v>
      </c>
      <c r="C11" s="104" t="s">
        <v>71</v>
      </c>
      <c r="G11" s="119"/>
      <c r="H11" s="119"/>
      <c r="R11" s="31"/>
      <c r="S11" s="31"/>
      <c r="T11" s="31"/>
      <c r="U11" s="31"/>
      <c r="V11" s="31"/>
      <c r="W11" s="31"/>
      <c r="X11" s="31"/>
      <c r="Y11" s="31"/>
      <c r="Z11" s="31"/>
      <c r="AA11" s="31"/>
      <c r="AB11" s="31"/>
      <c r="AC11" s="31"/>
    </row>
    <row r="12" spans="1:47" x14ac:dyDescent="0.2">
      <c r="A12" s="105" t="s">
        <v>55</v>
      </c>
      <c r="B12" s="111">
        <f>50%*MIN(SUM(B22:B23),8%)</f>
        <v>0.04</v>
      </c>
      <c r="C12" s="106"/>
      <c r="E12" s="120"/>
      <c r="F12" s="20" t="s">
        <v>48</v>
      </c>
      <c r="G12" s="189">
        <v>159830.34</v>
      </c>
      <c r="H12" s="190">
        <f>144678.82*12/10.5</f>
        <v>165347.22285714286</v>
      </c>
      <c r="I12" s="114">
        <f>H12*1.02</f>
        <v>168654.1673142857</v>
      </c>
      <c r="J12" s="114">
        <f t="shared" ref="J12:L12" si="29">I12*1.02</f>
        <v>172027.25066057142</v>
      </c>
      <c r="K12" s="114">
        <f t="shared" si="29"/>
        <v>175467.79567378285</v>
      </c>
      <c r="L12" s="114">
        <f t="shared" si="29"/>
        <v>178977.1515872585</v>
      </c>
      <c r="M12" s="114">
        <f t="shared" ref="M12" si="30">L12*1.02</f>
        <v>182556.69461900368</v>
      </c>
      <c r="N12" s="114">
        <f t="shared" ref="N12" si="31">M12*1.02</f>
        <v>186207.82851138376</v>
      </c>
      <c r="O12" s="114">
        <f t="shared" ref="O12" si="32">N12*1.02</f>
        <v>189931.98508161143</v>
      </c>
      <c r="P12" s="114">
        <f t="shared" ref="P12" si="33">O12*1.02</f>
        <v>193730.62478324366</v>
      </c>
      <c r="Q12" s="114">
        <f t="shared" ref="Q12" si="34">P12*1.02</f>
        <v>197605.23727890855</v>
      </c>
    </row>
    <row r="13" spans="1:47" x14ac:dyDescent="0.2">
      <c r="A13" s="105" t="s">
        <v>56</v>
      </c>
      <c r="B13" s="107">
        <v>1.4999999999999999E-2</v>
      </c>
      <c r="C13" s="107">
        <v>1.4999999999999999E-2</v>
      </c>
      <c r="E13" s="120"/>
      <c r="F13" s="102" t="s">
        <v>65</v>
      </c>
      <c r="G13" s="189">
        <v>18293</v>
      </c>
      <c r="H13" s="190">
        <v>16463</v>
      </c>
      <c r="I13" s="114">
        <f>H13</f>
        <v>16463</v>
      </c>
      <c r="J13" s="114">
        <f t="shared" ref="J13:L13" si="35">I13</f>
        <v>16463</v>
      </c>
      <c r="K13" s="114">
        <f t="shared" si="35"/>
        <v>16463</v>
      </c>
      <c r="L13" s="114">
        <f t="shared" si="35"/>
        <v>16463</v>
      </c>
      <c r="M13" s="114">
        <f t="shared" ref="M13" si="36">L13</f>
        <v>16463</v>
      </c>
      <c r="N13" s="114">
        <f t="shared" ref="N13" si="37">M13</f>
        <v>16463</v>
      </c>
      <c r="O13" s="114">
        <f t="shared" ref="O13" si="38">N13</f>
        <v>16463</v>
      </c>
      <c r="P13" s="114">
        <f t="shared" ref="P13" si="39">O13</f>
        <v>16463</v>
      </c>
      <c r="Q13" s="114">
        <f t="shared" ref="Q13" si="40">P13</f>
        <v>16463</v>
      </c>
    </row>
    <row r="14" spans="1:47" x14ac:dyDescent="0.2">
      <c r="A14" s="105" t="s">
        <v>57</v>
      </c>
      <c r="B14" s="106">
        <v>0</v>
      </c>
      <c r="C14" s="104" t="s">
        <v>67</v>
      </c>
      <c r="E14" s="120"/>
      <c r="F14" s="102" t="s">
        <v>66</v>
      </c>
      <c r="G14" s="189">
        <v>70160.399999999994</v>
      </c>
      <c r="H14" s="190">
        <v>80954.240000000005</v>
      </c>
      <c r="I14" s="114">
        <f>H14</f>
        <v>80954.240000000005</v>
      </c>
      <c r="J14" s="114">
        <v>0</v>
      </c>
      <c r="K14" s="114">
        <v>0</v>
      </c>
      <c r="L14" s="114">
        <v>0</v>
      </c>
      <c r="M14" s="114">
        <v>1</v>
      </c>
      <c r="N14" s="114">
        <v>2</v>
      </c>
      <c r="O14" s="114">
        <v>3</v>
      </c>
      <c r="P14" s="114">
        <v>4</v>
      </c>
      <c r="Q14" s="114">
        <v>5</v>
      </c>
      <c r="R14" s="31"/>
      <c r="S14" s="31"/>
      <c r="T14" s="31"/>
      <c r="U14" s="31"/>
      <c r="V14" s="31"/>
      <c r="W14" s="31"/>
      <c r="X14" s="31"/>
      <c r="Y14" s="31"/>
      <c r="Z14" s="31"/>
      <c r="AA14" s="31"/>
      <c r="AB14" s="31"/>
      <c r="AC14" s="31"/>
    </row>
    <row r="15" spans="1:47" ht="13.5" thickBot="1" x14ac:dyDescent="0.25">
      <c r="A15" s="105" t="s">
        <v>58</v>
      </c>
      <c r="B15" s="112">
        <v>1E-3</v>
      </c>
      <c r="C15" s="104" t="s">
        <v>67</v>
      </c>
      <c r="E15" s="120"/>
      <c r="R15" s="31"/>
      <c r="S15" s="31"/>
      <c r="T15" s="31"/>
      <c r="U15" s="31"/>
      <c r="V15" s="31"/>
      <c r="W15" s="31"/>
      <c r="X15" s="31"/>
      <c r="Y15" s="31"/>
      <c r="Z15" s="31"/>
      <c r="AA15" s="31"/>
      <c r="AB15" s="31"/>
      <c r="AC15" s="31"/>
    </row>
    <row r="16" spans="1:47" ht="13.5" thickBot="1" x14ac:dyDescent="0.25">
      <c r="A16" s="105" t="s">
        <v>59</v>
      </c>
      <c r="B16" s="106"/>
      <c r="C16" s="106"/>
      <c r="E16" s="120"/>
      <c r="F16" s="108" t="s">
        <v>88</v>
      </c>
      <c r="G16" s="197">
        <f>SUM(G12:G13)</f>
        <v>178123.34</v>
      </c>
      <c r="H16" s="198">
        <f>SUM(H12:H13)</f>
        <v>181810.22285714286</v>
      </c>
      <c r="I16" s="192">
        <f t="shared" ref="I16:L16" si="41">SUM(I12:I13)</f>
        <v>185117.1673142857</v>
      </c>
      <c r="J16" s="192">
        <f t="shared" si="41"/>
        <v>188490.25066057142</v>
      </c>
      <c r="K16" s="192">
        <f t="shared" si="41"/>
        <v>191930.79567378285</v>
      </c>
      <c r="L16" s="193">
        <f t="shared" si="41"/>
        <v>195440.1515872585</v>
      </c>
      <c r="M16" s="193">
        <f t="shared" ref="M16:Q16" si="42">SUM(M12:M13)</f>
        <v>199019.69461900368</v>
      </c>
      <c r="N16" s="193">
        <f t="shared" si="42"/>
        <v>202670.82851138376</v>
      </c>
      <c r="O16" s="193">
        <f t="shared" si="42"/>
        <v>206394.98508161143</v>
      </c>
      <c r="P16" s="193">
        <f t="shared" si="42"/>
        <v>210193.62478324366</v>
      </c>
      <c r="Q16" s="193">
        <f t="shared" si="42"/>
        <v>214068.23727890855</v>
      </c>
      <c r="R16" s="31"/>
      <c r="S16" s="31"/>
      <c r="T16" s="31"/>
      <c r="U16" s="31"/>
      <c r="V16" s="31"/>
      <c r="W16" s="31"/>
      <c r="X16" s="31"/>
      <c r="Y16" s="31"/>
      <c r="Z16" s="31"/>
      <c r="AA16" s="31"/>
      <c r="AB16" s="31"/>
      <c r="AC16" s="31"/>
    </row>
    <row r="17" spans="1:29" ht="13.5" thickBot="1" x14ac:dyDescent="0.25">
      <c r="A17" s="105" t="s">
        <v>60</v>
      </c>
      <c r="B17" s="21">
        <v>0.13300000000000001</v>
      </c>
      <c r="C17" s="21">
        <v>0.32</v>
      </c>
      <c r="G17" s="118"/>
      <c r="H17" s="118"/>
      <c r="I17" s="31"/>
      <c r="J17" s="31"/>
      <c r="K17" s="31"/>
      <c r="L17" s="31"/>
      <c r="M17" s="31"/>
      <c r="N17" s="31"/>
      <c r="O17" s="31"/>
      <c r="P17" s="31"/>
      <c r="Q17" s="31"/>
      <c r="R17" s="31"/>
      <c r="S17" s="31"/>
      <c r="T17" s="31"/>
      <c r="U17" s="31"/>
      <c r="V17" s="31"/>
      <c r="W17" s="31"/>
      <c r="X17" s="31"/>
      <c r="Y17" s="31"/>
      <c r="Z17" s="31"/>
      <c r="AA17" s="31"/>
      <c r="AB17" s="31"/>
      <c r="AC17" s="31"/>
    </row>
    <row r="18" spans="1:29" ht="13.5" thickBot="1" x14ac:dyDescent="0.25">
      <c r="A18" s="105" t="s">
        <v>61</v>
      </c>
      <c r="B18" s="21">
        <v>3.5000000000000003E-2</v>
      </c>
      <c r="C18" s="21">
        <v>0.17</v>
      </c>
      <c r="E18" s="121"/>
      <c r="F18" s="108" t="s">
        <v>87</v>
      </c>
      <c r="G18" s="197">
        <f>G16+G10</f>
        <v>239765.2</v>
      </c>
      <c r="H18" s="219">
        <f>H16+H10</f>
        <v>263010.22285714286</v>
      </c>
      <c r="I18" s="216">
        <f t="shared" ref="I18:L18" si="43">I16+I10</f>
        <v>273677.1673142857</v>
      </c>
      <c r="J18" s="216">
        <f t="shared" si="43"/>
        <v>282181.4506605714</v>
      </c>
      <c r="K18" s="216">
        <f t="shared" si="43"/>
        <v>290925.81967378285</v>
      </c>
      <c r="L18" s="217">
        <f t="shared" si="43"/>
        <v>296345.07606725849</v>
      </c>
      <c r="M18" s="217">
        <f t="shared" ref="M18:Q18" si="44">M16+M10</f>
        <v>301942.71758860367</v>
      </c>
      <c r="N18" s="217">
        <f t="shared" si="44"/>
        <v>307652.31194037577</v>
      </c>
      <c r="O18" s="217">
        <f t="shared" si="44"/>
        <v>313476.09817918332</v>
      </c>
      <c r="P18" s="217">
        <f t="shared" si="44"/>
        <v>319416.36014276696</v>
      </c>
      <c r="Q18" s="217">
        <f t="shared" si="44"/>
        <v>325475.42734562233</v>
      </c>
      <c r="R18" s="31"/>
      <c r="S18" s="31"/>
      <c r="T18" s="31"/>
      <c r="U18" s="31"/>
      <c r="V18" s="31"/>
      <c r="W18" s="31"/>
      <c r="X18" s="31"/>
      <c r="Y18" s="31"/>
      <c r="Z18" s="31"/>
      <c r="AA18" s="31"/>
      <c r="AB18" s="31"/>
      <c r="AC18" s="31"/>
    </row>
    <row r="19" spans="1:29" x14ac:dyDescent="0.2">
      <c r="A19" s="105" t="s">
        <v>11</v>
      </c>
      <c r="B19" s="21">
        <f>6.9%</f>
        <v>6.9000000000000006E-2</v>
      </c>
      <c r="C19" s="21">
        <f>6.9%</f>
        <v>6.9000000000000006E-2</v>
      </c>
      <c r="G19" s="119"/>
      <c r="H19" s="119"/>
      <c r="N19" s="31"/>
      <c r="O19" s="31"/>
      <c r="P19" s="31"/>
      <c r="Q19" s="31"/>
      <c r="R19" s="31"/>
      <c r="S19" s="31"/>
      <c r="T19" s="31"/>
      <c r="U19" s="31"/>
      <c r="V19" s="31"/>
      <c r="W19" s="31"/>
      <c r="X19" s="31"/>
      <c r="Y19" s="31"/>
      <c r="Z19" s="31"/>
      <c r="AA19" s="31"/>
      <c r="AB19" s="31"/>
      <c r="AC19" s="31"/>
    </row>
    <row r="20" spans="1:29" x14ac:dyDescent="0.2">
      <c r="A20" s="109" t="s">
        <v>10</v>
      </c>
      <c r="B20" s="21">
        <v>1.4E-2</v>
      </c>
      <c r="C20" s="21">
        <v>1.4E-2</v>
      </c>
      <c r="G20" s="119"/>
      <c r="H20" s="119"/>
      <c r="N20" s="31"/>
      <c r="O20" s="31"/>
      <c r="P20" s="31"/>
      <c r="Q20" s="31"/>
      <c r="R20" s="31"/>
      <c r="S20" s="31"/>
      <c r="T20" s="31"/>
      <c r="U20" s="31"/>
      <c r="V20" s="31"/>
      <c r="W20" s="31"/>
      <c r="X20" s="31"/>
      <c r="Y20" s="31"/>
      <c r="Z20" s="31"/>
      <c r="AA20" s="31"/>
      <c r="AB20" s="31"/>
      <c r="AC20" s="31"/>
    </row>
    <row r="21" spans="1:29" x14ac:dyDescent="0.2">
      <c r="A21" s="109" t="s">
        <v>68</v>
      </c>
      <c r="B21" s="21">
        <v>1.4E-2</v>
      </c>
      <c r="C21" s="21"/>
      <c r="F21" s="6" t="s">
        <v>79</v>
      </c>
      <c r="G21" s="119"/>
      <c r="H21" s="119"/>
      <c r="N21" s="31"/>
      <c r="O21" s="31"/>
      <c r="P21" s="31"/>
      <c r="Q21" s="31"/>
      <c r="R21" s="31"/>
      <c r="S21" s="31"/>
      <c r="T21" s="31"/>
      <c r="U21" s="31"/>
      <c r="V21" s="31"/>
      <c r="W21" s="31"/>
      <c r="X21" s="31"/>
      <c r="Y21" s="31"/>
      <c r="Z21" s="31"/>
      <c r="AA21" s="31"/>
      <c r="AB21" s="31"/>
      <c r="AC21" s="31"/>
    </row>
    <row r="22" spans="1:29" x14ac:dyDescent="0.2">
      <c r="A22" s="109" t="s">
        <v>75</v>
      </c>
      <c r="B22" s="115">
        <v>0.08</v>
      </c>
      <c r="C22" s="106"/>
      <c r="E22" s="122"/>
      <c r="F22" s="32" t="s">
        <v>68</v>
      </c>
      <c r="G22" s="187">
        <v>2066.1</v>
      </c>
      <c r="H22" s="187">
        <v>2890</v>
      </c>
      <c r="I22" s="114">
        <v>2890</v>
      </c>
      <c r="J22" s="114">
        <v>2890</v>
      </c>
      <c r="K22" s="114">
        <v>2890</v>
      </c>
      <c r="L22" s="114">
        <v>2890</v>
      </c>
      <c r="M22" s="114">
        <v>2890</v>
      </c>
      <c r="N22" s="114">
        <v>2890</v>
      </c>
      <c r="O22" s="114">
        <v>2890</v>
      </c>
      <c r="P22" s="114">
        <v>2890</v>
      </c>
      <c r="Q22" s="114">
        <v>2890</v>
      </c>
      <c r="R22" s="31"/>
      <c r="S22" s="31"/>
      <c r="T22" s="31"/>
      <c r="U22" s="31"/>
      <c r="V22" s="31"/>
      <c r="W22" s="31"/>
      <c r="X22" s="31"/>
      <c r="Y22" s="31"/>
      <c r="Z22" s="31"/>
      <c r="AA22" s="31"/>
      <c r="AB22" s="31"/>
      <c r="AC22" s="31"/>
    </row>
    <row r="23" spans="1:29" x14ac:dyDescent="0.2">
      <c r="A23" s="109" t="s">
        <v>76</v>
      </c>
      <c r="B23" s="115">
        <v>0.08</v>
      </c>
      <c r="C23" s="106"/>
      <c r="E23" s="122"/>
      <c r="F23" s="32" t="s">
        <v>56</v>
      </c>
      <c r="G23" s="188">
        <v>2028</v>
      </c>
      <c r="H23" s="188">
        <f>87*26</f>
        <v>2262</v>
      </c>
      <c r="I23" s="213">
        <f t="shared" ref="I23:Q23" si="45">87*26</f>
        <v>2262</v>
      </c>
      <c r="J23" s="213">
        <f t="shared" si="45"/>
        <v>2262</v>
      </c>
      <c r="K23" s="213">
        <f t="shared" si="45"/>
        <v>2262</v>
      </c>
      <c r="L23" s="213">
        <f t="shared" si="45"/>
        <v>2262</v>
      </c>
      <c r="M23" s="213">
        <f t="shared" si="45"/>
        <v>2262</v>
      </c>
      <c r="N23" s="213">
        <f t="shared" si="45"/>
        <v>2262</v>
      </c>
      <c r="O23" s="213">
        <f t="shared" si="45"/>
        <v>2262</v>
      </c>
      <c r="P23" s="213">
        <f t="shared" si="45"/>
        <v>2262</v>
      </c>
      <c r="Q23" s="213">
        <f t="shared" si="45"/>
        <v>2262</v>
      </c>
    </row>
    <row r="24" spans="1:29" x14ac:dyDescent="0.2">
      <c r="A24" s="105" t="s">
        <v>84</v>
      </c>
      <c r="B24" s="21">
        <f>38.47/B6</f>
        <v>1.2717943970960639E-2</v>
      </c>
      <c r="C24" s="106"/>
      <c r="E24" s="122"/>
      <c r="F24" s="32" t="s">
        <v>58</v>
      </c>
      <c r="G24" s="187">
        <v>72.540000000000006</v>
      </c>
      <c r="H24" s="187">
        <f>3.79*26</f>
        <v>98.54</v>
      </c>
      <c r="I24" s="113">
        <f t="shared" ref="I24:Q24" si="46">3.79*26</f>
        <v>98.54</v>
      </c>
      <c r="J24" s="113">
        <f t="shared" si="46"/>
        <v>98.54</v>
      </c>
      <c r="K24" s="113">
        <f t="shared" si="46"/>
        <v>98.54</v>
      </c>
      <c r="L24" s="113">
        <f t="shared" si="46"/>
        <v>98.54</v>
      </c>
      <c r="M24" s="113">
        <f t="shared" si="46"/>
        <v>98.54</v>
      </c>
      <c r="N24" s="113">
        <f t="shared" si="46"/>
        <v>98.54</v>
      </c>
      <c r="O24" s="113">
        <f t="shared" si="46"/>
        <v>98.54</v>
      </c>
      <c r="P24" s="113">
        <f t="shared" si="46"/>
        <v>98.54</v>
      </c>
      <c r="Q24" s="113">
        <f t="shared" si="46"/>
        <v>98.54</v>
      </c>
    </row>
    <row r="25" spans="1:29" x14ac:dyDescent="0.2">
      <c r="A25" s="109" t="s">
        <v>91</v>
      </c>
      <c r="B25" s="116">
        <v>0.05</v>
      </c>
      <c r="C25" s="116">
        <v>0.05</v>
      </c>
      <c r="E25" s="132"/>
      <c r="F25" s="226" t="s">
        <v>57</v>
      </c>
      <c r="G25" s="188">
        <v>158.97</v>
      </c>
      <c r="H25" s="188"/>
      <c r="I25" s="213"/>
      <c r="J25" s="213"/>
      <c r="K25" s="213"/>
      <c r="L25" s="213"/>
      <c r="M25" s="213"/>
      <c r="N25" s="213"/>
      <c r="O25" s="213"/>
      <c r="P25" s="213"/>
      <c r="Q25" s="213"/>
    </row>
    <row r="26" spans="1:29" x14ac:dyDescent="0.2">
      <c r="A26" s="227"/>
      <c r="B26" s="228"/>
      <c r="C26" s="228"/>
      <c r="E26" s="132"/>
      <c r="F26" s="32" t="s">
        <v>77</v>
      </c>
      <c r="G26" s="188">
        <v>1069.6600000000001</v>
      </c>
      <c r="H26" s="188"/>
      <c r="I26" s="213"/>
      <c r="J26" s="213"/>
      <c r="K26" s="213"/>
      <c r="L26" s="213"/>
      <c r="M26" s="213"/>
      <c r="N26" s="213"/>
      <c r="O26" s="213"/>
      <c r="P26" s="213"/>
      <c r="Q26" s="213"/>
    </row>
    <row r="27" spans="1:29" x14ac:dyDescent="0.2">
      <c r="A27" s="227"/>
      <c r="B27" s="228"/>
      <c r="C27" s="228"/>
      <c r="E27" s="132"/>
      <c r="F27" s="226" t="s">
        <v>158</v>
      </c>
      <c r="G27" s="188">
        <v>216.06</v>
      </c>
      <c r="H27" s="188"/>
      <c r="I27" s="213"/>
      <c r="J27" s="213"/>
      <c r="K27" s="213"/>
      <c r="L27" s="213"/>
      <c r="M27" s="213"/>
      <c r="N27" s="213"/>
      <c r="O27" s="213"/>
      <c r="P27" s="213"/>
      <c r="Q27" s="213"/>
    </row>
    <row r="28" spans="1:29" x14ac:dyDescent="0.2">
      <c r="A28" s="227"/>
      <c r="B28" s="228"/>
      <c r="C28" s="228"/>
      <c r="E28" s="132"/>
      <c r="F28" s="226" t="s">
        <v>159</v>
      </c>
      <c r="G28" s="188">
        <v>58.27</v>
      </c>
      <c r="H28" s="188"/>
      <c r="I28" s="213"/>
      <c r="J28" s="213"/>
      <c r="K28" s="213"/>
      <c r="L28" s="213"/>
      <c r="M28" s="213"/>
      <c r="N28" s="213"/>
      <c r="O28" s="213"/>
      <c r="P28" s="213"/>
      <c r="Q28" s="213"/>
    </row>
    <row r="29" spans="1:29" ht="13.5" thickBot="1" x14ac:dyDescent="0.25">
      <c r="E29" s="122"/>
      <c r="G29" s="119"/>
      <c r="H29" s="119"/>
      <c r="M29" s="31"/>
    </row>
    <row r="30" spans="1:29" ht="13.5" thickBot="1" x14ac:dyDescent="0.25">
      <c r="E30" s="122"/>
      <c r="F30" s="108" t="s">
        <v>89</v>
      </c>
      <c r="G30" s="199">
        <f>SUM(G22:G28)</f>
        <v>5669.6000000000013</v>
      </c>
      <c r="H30" s="199">
        <f t="shared" ref="H30:Q30" si="47">SUM(H22:H26)</f>
        <v>5250.54</v>
      </c>
      <c r="I30" s="216">
        <f t="shared" si="47"/>
        <v>5250.54</v>
      </c>
      <c r="J30" s="216">
        <f t="shared" si="47"/>
        <v>5250.54</v>
      </c>
      <c r="K30" s="216">
        <f t="shared" si="47"/>
        <v>5250.54</v>
      </c>
      <c r="L30" s="217">
        <f t="shared" si="47"/>
        <v>5250.54</v>
      </c>
      <c r="M30" s="217">
        <f t="shared" si="47"/>
        <v>5250.54</v>
      </c>
      <c r="N30" s="217">
        <f t="shared" si="47"/>
        <v>5250.54</v>
      </c>
      <c r="O30" s="217">
        <f t="shared" si="47"/>
        <v>5250.54</v>
      </c>
      <c r="P30" s="217">
        <f t="shared" si="47"/>
        <v>5250.54</v>
      </c>
      <c r="Q30" s="217">
        <f t="shared" si="47"/>
        <v>5250.54</v>
      </c>
    </row>
    <row r="31" spans="1:29" x14ac:dyDescent="0.2">
      <c r="B31" s="31"/>
      <c r="G31" s="119"/>
      <c r="H31" s="119"/>
      <c r="J31" s="31"/>
      <c r="K31" s="31"/>
      <c r="L31" s="31"/>
      <c r="M31" s="31"/>
      <c r="N31" s="31"/>
      <c r="O31" s="31"/>
      <c r="P31" s="31"/>
      <c r="Q31" s="31"/>
    </row>
    <row r="32" spans="1:29" x14ac:dyDescent="0.2">
      <c r="A32" t="s">
        <v>106</v>
      </c>
      <c r="B32" s="123"/>
      <c r="E32" s="120"/>
      <c r="F32" s="32" t="s">
        <v>73</v>
      </c>
      <c r="G32" s="189">
        <v>0</v>
      </c>
      <c r="H32" s="190">
        <v>0</v>
      </c>
      <c r="I32" s="206">
        <f>7500</f>
        <v>7500</v>
      </c>
      <c r="J32" s="206">
        <f>7500</f>
        <v>7500</v>
      </c>
      <c r="K32" s="206">
        <f>7500</f>
        <v>7500</v>
      </c>
      <c r="L32" s="206">
        <f>7500</f>
        <v>7500</v>
      </c>
      <c r="M32" s="206">
        <f>7500</f>
        <v>7500</v>
      </c>
      <c r="N32" s="206">
        <f>7500</f>
        <v>7500</v>
      </c>
      <c r="O32" s="206">
        <f>7500</f>
        <v>7500</v>
      </c>
      <c r="P32" s="206">
        <f>7500</f>
        <v>7500</v>
      </c>
      <c r="Q32" s="206">
        <f>7500</f>
        <v>7500</v>
      </c>
    </row>
    <row r="33" spans="1:17" x14ac:dyDescent="0.2">
      <c r="A33" t="s">
        <v>107</v>
      </c>
      <c r="B33" s="124"/>
      <c r="E33" s="120"/>
      <c r="F33" s="32" t="s">
        <v>56</v>
      </c>
      <c r="G33" s="189">
        <f>650+20+149.76+126.88</f>
        <v>946.64</v>
      </c>
      <c r="H33" s="190">
        <f>132.48*12/10.5</f>
        <v>151.40571428571425</v>
      </c>
      <c r="I33" s="218">
        <v>0</v>
      </c>
      <c r="J33" s="218">
        <v>0</v>
      </c>
      <c r="K33" s="218">
        <v>0</v>
      </c>
      <c r="L33" s="218">
        <v>0</v>
      </c>
      <c r="M33" s="218">
        <v>0</v>
      </c>
      <c r="N33" s="218">
        <v>0</v>
      </c>
      <c r="O33" s="218">
        <v>0</v>
      </c>
      <c r="P33" s="218">
        <v>0</v>
      </c>
      <c r="Q33" s="218">
        <v>0</v>
      </c>
    </row>
    <row r="34" spans="1:17" x14ac:dyDescent="0.2">
      <c r="A34" t="s">
        <v>108</v>
      </c>
      <c r="B34" s="125"/>
      <c r="D34" s="36">
        <f>G34/G12</f>
        <v>0.12200437038424619</v>
      </c>
      <c r="E34" s="120"/>
      <c r="F34" s="32" t="s">
        <v>77</v>
      </c>
      <c r="G34" s="189">
        <v>19500</v>
      </c>
      <c r="H34" s="190">
        <v>19500</v>
      </c>
      <c r="I34" s="218">
        <v>20500</v>
      </c>
      <c r="J34" s="218">
        <v>20500</v>
      </c>
      <c r="K34" s="218">
        <v>20500</v>
      </c>
      <c r="L34" s="218">
        <v>20500</v>
      </c>
      <c r="M34" s="218">
        <v>20500</v>
      </c>
      <c r="N34" s="218">
        <v>20500</v>
      </c>
      <c r="O34" s="218">
        <v>20500</v>
      </c>
      <c r="P34" s="218">
        <v>20500</v>
      </c>
      <c r="Q34" s="218">
        <v>20500</v>
      </c>
    </row>
    <row r="35" spans="1:17" ht="13.5" thickBot="1" x14ac:dyDescent="0.25">
      <c r="B35" s="31"/>
      <c r="E35" s="120"/>
    </row>
    <row r="36" spans="1:17" ht="13.5" thickBot="1" x14ac:dyDescent="0.25">
      <c r="B36" s="31"/>
      <c r="E36" s="120"/>
      <c r="F36" s="108" t="s">
        <v>90</v>
      </c>
      <c r="G36" s="197">
        <f>SUM(G32:G34)</f>
        <v>20446.64</v>
      </c>
      <c r="H36" s="198">
        <f>SUM(H32:H34)</f>
        <v>19651.405714285713</v>
      </c>
      <c r="I36" s="192">
        <f>SUM(I32:I34)</f>
        <v>28000</v>
      </c>
      <c r="J36" s="192">
        <f t="shared" ref="J36:L36" si="48">SUM(J32:J34)</f>
        <v>28000</v>
      </c>
      <c r="K36" s="192">
        <f t="shared" si="48"/>
        <v>28000</v>
      </c>
      <c r="L36" s="193">
        <f t="shared" si="48"/>
        <v>28000</v>
      </c>
      <c r="M36" s="193">
        <f t="shared" ref="M36:Q36" si="49">SUM(M32:M34)</f>
        <v>28000</v>
      </c>
      <c r="N36" s="193">
        <f t="shared" si="49"/>
        <v>28000</v>
      </c>
      <c r="O36" s="193">
        <f t="shared" si="49"/>
        <v>28000</v>
      </c>
      <c r="P36" s="193">
        <f t="shared" si="49"/>
        <v>28000</v>
      </c>
      <c r="Q36" s="193">
        <f t="shared" si="49"/>
        <v>28000</v>
      </c>
    </row>
    <row r="37" spans="1:17" x14ac:dyDescent="0.2">
      <c r="A37" t="s">
        <v>109</v>
      </c>
      <c r="B37" s="126"/>
      <c r="G37" s="119"/>
      <c r="H37" s="119"/>
      <c r="I37" s="31"/>
      <c r="J37" s="31"/>
      <c r="K37" s="31"/>
      <c r="L37" s="31"/>
      <c r="M37" s="31"/>
      <c r="N37" s="31"/>
      <c r="O37" s="31"/>
      <c r="P37" s="31"/>
      <c r="Q37" s="31"/>
    </row>
    <row r="38" spans="1:17" x14ac:dyDescent="0.2">
      <c r="B38" s="31"/>
      <c r="F38" s="6" t="s">
        <v>92</v>
      </c>
      <c r="G38" s="119"/>
      <c r="H38" s="119"/>
      <c r="I38" s="31"/>
    </row>
    <row r="39" spans="1:17" x14ac:dyDescent="0.2">
      <c r="A39" t="s">
        <v>47</v>
      </c>
      <c r="B39" s="127"/>
      <c r="E39" s="122"/>
      <c r="F39" s="32" t="s">
        <v>47</v>
      </c>
      <c r="G39" s="188">
        <f>G10-G30</f>
        <v>55972.26</v>
      </c>
      <c r="H39" s="188">
        <f>H10-H30</f>
        <v>75949.460000000006</v>
      </c>
      <c r="I39" s="213">
        <f t="shared" ref="I39:L39" si="50">I10-I30</f>
        <v>83309.460000000006</v>
      </c>
      <c r="J39" s="213">
        <f t="shared" si="50"/>
        <v>88440.66</v>
      </c>
      <c r="K39" s="213">
        <f t="shared" si="50"/>
        <v>93744.484000000011</v>
      </c>
      <c r="L39" s="213">
        <f t="shared" si="50"/>
        <v>95654.384480000008</v>
      </c>
      <c r="M39" s="213">
        <f t="shared" ref="M39:Q39" si="51">M10-M30</f>
        <v>97672.482969600009</v>
      </c>
      <c r="N39" s="213">
        <f t="shared" si="51"/>
        <v>99730.943428992017</v>
      </c>
      <c r="O39" s="213">
        <f t="shared" si="51"/>
        <v>101830.57309757186</v>
      </c>
      <c r="P39" s="213">
        <f t="shared" si="51"/>
        <v>103972.19535952331</v>
      </c>
      <c r="Q39" s="213">
        <f t="shared" si="51"/>
        <v>106156.65006671377</v>
      </c>
    </row>
    <row r="40" spans="1:17" x14ac:dyDescent="0.2">
      <c r="A40" t="s">
        <v>48</v>
      </c>
      <c r="B40" s="128"/>
      <c r="E40" s="120"/>
      <c r="F40" s="32" t="s">
        <v>48</v>
      </c>
      <c r="G40" s="189">
        <f>G16-G36</f>
        <v>157676.70000000001</v>
      </c>
      <c r="H40" s="190">
        <f>H16-H36</f>
        <v>162158.81714285715</v>
      </c>
      <c r="I40" s="213">
        <f t="shared" ref="I40:L40" si="52">I16-I36</f>
        <v>157117.1673142857</v>
      </c>
      <c r="J40" s="213">
        <f t="shared" si="52"/>
        <v>160490.25066057142</v>
      </c>
      <c r="K40" s="213">
        <f t="shared" si="52"/>
        <v>163930.79567378285</v>
      </c>
      <c r="L40" s="213">
        <f t="shared" si="52"/>
        <v>167440.1515872585</v>
      </c>
      <c r="M40" s="213">
        <f t="shared" ref="M40:Q40" si="53">M16-M36</f>
        <v>171019.69461900368</v>
      </c>
      <c r="N40" s="213">
        <f t="shared" si="53"/>
        <v>174670.82851138376</v>
      </c>
      <c r="O40" s="213">
        <f t="shared" si="53"/>
        <v>178394.98508161143</v>
      </c>
      <c r="P40" s="213">
        <f t="shared" si="53"/>
        <v>182193.62478324366</v>
      </c>
      <c r="Q40" s="213">
        <f t="shared" si="53"/>
        <v>186068.23727890855</v>
      </c>
    </row>
    <row r="41" spans="1:17" x14ac:dyDescent="0.2">
      <c r="A41" t="s">
        <v>94</v>
      </c>
      <c r="B41" s="129"/>
      <c r="G41" s="119"/>
      <c r="H41" s="119"/>
    </row>
    <row r="42" spans="1:17" x14ac:dyDescent="0.2">
      <c r="B42" s="31"/>
      <c r="F42" s="6" t="s">
        <v>80</v>
      </c>
      <c r="G42" s="119"/>
      <c r="H42" s="119"/>
    </row>
    <row r="43" spans="1:17" x14ac:dyDescent="0.2">
      <c r="B43" s="31"/>
      <c r="D43" s="131">
        <f>H43/H39</f>
        <v>0.13300000000000001</v>
      </c>
      <c r="E43" s="122"/>
      <c r="F43" s="20" t="s">
        <v>83</v>
      </c>
      <c r="G43" s="188"/>
      <c r="H43" s="187">
        <f t="shared" ref="H43:Q43" si="54">INDEX(Federal_Tax_Rate,1)*H39</f>
        <v>10101.278180000001</v>
      </c>
      <c r="I43" s="114">
        <f t="shared" si="54"/>
        <v>11080.158180000002</v>
      </c>
      <c r="J43" s="114">
        <f t="shared" si="54"/>
        <v>11762.60778</v>
      </c>
      <c r="K43" s="114">
        <f t="shared" si="54"/>
        <v>12468.016372000002</v>
      </c>
      <c r="L43" s="114">
        <f t="shared" si="54"/>
        <v>12722.033135840002</v>
      </c>
      <c r="M43" s="114">
        <f t="shared" si="54"/>
        <v>12990.440234956803</v>
      </c>
      <c r="N43" s="114">
        <f t="shared" si="54"/>
        <v>13264.215476055939</v>
      </c>
      <c r="O43" s="114">
        <f t="shared" si="54"/>
        <v>13543.466221977058</v>
      </c>
      <c r="P43" s="114">
        <f t="shared" si="54"/>
        <v>13828.3019828166</v>
      </c>
      <c r="Q43" s="114">
        <f t="shared" si="54"/>
        <v>14118.834458872932</v>
      </c>
    </row>
    <row r="44" spans="1:17" x14ac:dyDescent="0.2">
      <c r="B44" s="31"/>
      <c r="D44" s="131">
        <f>H44/H39</f>
        <v>3.5000000000000003E-2</v>
      </c>
      <c r="E44" s="122"/>
      <c r="F44" s="20" t="s">
        <v>82</v>
      </c>
      <c r="G44" s="188"/>
      <c r="H44" s="187">
        <f t="shared" ref="H44:Q44" si="55">INDEX(State_Tax_Rate,1)*H39</f>
        <v>2658.2311000000004</v>
      </c>
      <c r="I44" s="114">
        <f t="shared" si="55"/>
        <v>2915.8311000000003</v>
      </c>
      <c r="J44" s="114">
        <f t="shared" si="55"/>
        <v>3095.4231000000004</v>
      </c>
      <c r="K44" s="114">
        <f t="shared" si="55"/>
        <v>3281.0569400000008</v>
      </c>
      <c r="L44" s="114">
        <f t="shared" si="55"/>
        <v>3347.9034568000006</v>
      </c>
      <c r="M44" s="114">
        <f t="shared" si="55"/>
        <v>3418.5369039360007</v>
      </c>
      <c r="N44" s="114">
        <f t="shared" si="55"/>
        <v>3490.5830200147211</v>
      </c>
      <c r="O44" s="114">
        <f t="shared" si="55"/>
        <v>3564.0700584150154</v>
      </c>
      <c r="P44" s="114">
        <f t="shared" si="55"/>
        <v>3639.0268375833161</v>
      </c>
      <c r="Q44" s="114">
        <f t="shared" si="55"/>
        <v>3715.4827523349823</v>
      </c>
    </row>
    <row r="45" spans="1:17" x14ac:dyDescent="0.2">
      <c r="E45" s="122"/>
      <c r="F45" t="s">
        <v>11</v>
      </c>
      <c r="G45" s="188"/>
      <c r="H45" s="187">
        <f t="shared" ref="H45:Q45" si="56">INDEX(OASDI,1)*H39</f>
        <v>5240.512740000001</v>
      </c>
      <c r="I45" s="114">
        <f t="shared" si="56"/>
        <v>5748.3527400000012</v>
      </c>
      <c r="J45" s="114">
        <f t="shared" si="56"/>
        <v>6102.4055400000007</v>
      </c>
      <c r="K45" s="114">
        <f t="shared" si="56"/>
        <v>6468.369396000001</v>
      </c>
      <c r="L45" s="114">
        <f t="shared" si="56"/>
        <v>6600.1525291200014</v>
      </c>
      <c r="M45" s="114">
        <f t="shared" si="56"/>
        <v>6739.401324902401</v>
      </c>
      <c r="N45" s="114">
        <f t="shared" si="56"/>
        <v>6881.4350966004495</v>
      </c>
      <c r="O45" s="114">
        <f t="shared" si="56"/>
        <v>7026.3095437324591</v>
      </c>
      <c r="P45" s="114">
        <f t="shared" si="56"/>
        <v>7174.0814798071087</v>
      </c>
      <c r="Q45" s="114">
        <f t="shared" si="56"/>
        <v>7324.8088546032513</v>
      </c>
    </row>
    <row r="46" spans="1:17" x14ac:dyDescent="0.2">
      <c r="E46" s="122"/>
      <c r="F46" t="s">
        <v>10</v>
      </c>
      <c r="G46" s="188"/>
      <c r="H46" s="187">
        <f t="shared" ref="H46:Q46" si="57">INDEX(Medicare,1)*H39</f>
        <v>1063.2924400000002</v>
      </c>
      <c r="I46" s="114">
        <f t="shared" si="57"/>
        <v>1166.3324400000001</v>
      </c>
      <c r="J46" s="114">
        <f t="shared" si="57"/>
        <v>1238.1692400000002</v>
      </c>
      <c r="K46" s="114">
        <f t="shared" si="57"/>
        <v>1312.4227760000001</v>
      </c>
      <c r="L46" s="114">
        <f t="shared" si="57"/>
        <v>1339.1613827200001</v>
      </c>
      <c r="M46" s="114">
        <f t="shared" si="57"/>
        <v>1367.4147615744002</v>
      </c>
      <c r="N46" s="114">
        <f t="shared" si="57"/>
        <v>1396.2332080058882</v>
      </c>
      <c r="O46" s="114">
        <f t="shared" si="57"/>
        <v>1425.6280233660061</v>
      </c>
      <c r="P46" s="114">
        <f t="shared" si="57"/>
        <v>1455.6107350333264</v>
      </c>
      <c r="Q46" s="114">
        <f t="shared" si="57"/>
        <v>1486.1931009339928</v>
      </c>
    </row>
    <row r="47" spans="1:17" ht="13.5" thickBot="1" x14ac:dyDescent="0.25">
      <c r="E47" s="122"/>
      <c r="G47" s="119"/>
      <c r="H47" s="119"/>
    </row>
    <row r="48" spans="1:17" ht="13.5" thickBot="1" x14ac:dyDescent="0.25">
      <c r="D48" s="36">
        <f>G48/G39</f>
        <v>0.228792083792936</v>
      </c>
      <c r="E48" s="122"/>
      <c r="F48" s="108" t="s">
        <v>89</v>
      </c>
      <c r="G48" s="205">
        <v>12806.01</v>
      </c>
      <c r="H48" s="199">
        <f>SUM(H43:H46)</f>
        <v>19063.314460000005</v>
      </c>
      <c r="I48" s="216">
        <f t="shared" ref="I48:L48" si="58">SUM(I43:I46)</f>
        <v>20910.674460000002</v>
      </c>
      <c r="J48" s="216">
        <f t="shared" si="58"/>
        <v>22198.605660000001</v>
      </c>
      <c r="K48" s="216">
        <f t="shared" si="58"/>
        <v>23529.865484000002</v>
      </c>
      <c r="L48" s="217">
        <f t="shared" si="58"/>
        <v>24009.250504480005</v>
      </c>
      <c r="M48" s="217">
        <f t="shared" ref="M48:Q48" si="59">SUM(M43:M46)</f>
        <v>24515.793225369605</v>
      </c>
      <c r="N48" s="217">
        <f t="shared" si="59"/>
        <v>25032.466800676997</v>
      </c>
      <c r="O48" s="217">
        <f t="shared" si="59"/>
        <v>25559.473847490539</v>
      </c>
      <c r="P48" s="217">
        <f t="shared" si="59"/>
        <v>26097.021035240348</v>
      </c>
      <c r="Q48" s="217">
        <f t="shared" si="59"/>
        <v>26645.319166745161</v>
      </c>
    </row>
    <row r="49" spans="4:17" x14ac:dyDescent="0.2">
      <c r="G49" s="119"/>
      <c r="H49" s="119"/>
    </row>
    <row r="50" spans="4:17" x14ac:dyDescent="0.2">
      <c r="D50" s="131">
        <f>H50/H40</f>
        <v>0.30857957071637609</v>
      </c>
      <c r="E50" s="120"/>
      <c r="F50" s="20" t="s">
        <v>83</v>
      </c>
      <c r="G50" s="189">
        <f>46906.41</f>
        <v>46906.41</v>
      </c>
      <c r="H50" s="190">
        <f>45868.99*12/11</f>
        <v>50038.898181818186</v>
      </c>
      <c r="I50" s="188">
        <f>H50*1.02</f>
        <v>51039.676145454549</v>
      </c>
      <c r="J50" s="188">
        <f t="shared" ref="J50:L50" si="60">I50*1.02</f>
        <v>52060.469668363643</v>
      </c>
      <c r="K50" s="188">
        <f t="shared" si="60"/>
        <v>53101.679061730916</v>
      </c>
      <c r="L50" s="188">
        <f t="shared" si="60"/>
        <v>54163.712642965533</v>
      </c>
      <c r="M50" s="188">
        <f t="shared" ref="M50:M53" si="61">L50*1.02</f>
        <v>55246.986895824841</v>
      </c>
      <c r="N50" s="188">
        <f t="shared" ref="N50:N53" si="62">M50*1.02</f>
        <v>56351.926633741336</v>
      </c>
      <c r="O50" s="188">
        <f t="shared" ref="O50:O53" si="63">N50*1.02</f>
        <v>57478.965166416165</v>
      </c>
      <c r="P50" s="188">
        <f t="shared" ref="P50:P53" si="64">O50*1.02</f>
        <v>58628.544469744491</v>
      </c>
      <c r="Q50" s="188">
        <f t="shared" ref="Q50:Q53" si="65">P50*1.02</f>
        <v>59801.115359139381</v>
      </c>
    </row>
    <row r="51" spans="4:17" x14ac:dyDescent="0.2">
      <c r="D51" s="131">
        <f>H51/H40</f>
        <v>0.17815833861870278</v>
      </c>
      <c r="E51" s="120"/>
      <c r="F51" s="20" t="s">
        <v>82</v>
      </c>
      <c r="G51" s="189">
        <f>20010.13+2329.46+1229.09+6000</f>
        <v>29568.68</v>
      </c>
      <c r="H51" s="190">
        <f>(6736.01+19746.44)*12/11</f>
        <v>28889.94545454545</v>
      </c>
      <c r="I51" s="188">
        <f t="shared" ref="I51:L53" si="66">H51*1.02</f>
        <v>29467.744363636361</v>
      </c>
      <c r="J51" s="188">
        <f t="shared" si="66"/>
        <v>30057.099250909087</v>
      </c>
      <c r="K51" s="188">
        <f t="shared" si="66"/>
        <v>30658.241235927268</v>
      </c>
      <c r="L51" s="188">
        <f t="shared" si="66"/>
        <v>31271.406060645815</v>
      </c>
      <c r="M51" s="188">
        <f t="shared" si="61"/>
        <v>31896.834181858732</v>
      </c>
      <c r="N51" s="188">
        <f t="shared" si="62"/>
        <v>32534.770865495906</v>
      </c>
      <c r="O51" s="188">
        <f t="shared" si="63"/>
        <v>33185.466282805828</v>
      </c>
      <c r="P51" s="188">
        <f t="shared" si="64"/>
        <v>33849.175608461948</v>
      </c>
      <c r="Q51" s="188">
        <f t="shared" si="65"/>
        <v>34526.159120631186</v>
      </c>
    </row>
    <row r="52" spans="4:17" x14ac:dyDescent="0.2">
      <c r="D52" s="131">
        <f>H52/H40</f>
        <v>5.9561810436517294E-2</v>
      </c>
      <c r="E52" s="120"/>
      <c r="F52" t="s">
        <v>11</v>
      </c>
      <c r="G52" s="189">
        <v>8537.4</v>
      </c>
      <c r="H52" s="190">
        <f>8853.6*12/11</f>
        <v>9658.4727272727287</v>
      </c>
      <c r="I52" s="188">
        <f t="shared" si="66"/>
        <v>9851.6421818181825</v>
      </c>
      <c r="J52" s="188">
        <f t="shared" si="66"/>
        <v>10048.675025454546</v>
      </c>
      <c r="K52" s="188">
        <f t="shared" si="66"/>
        <v>10249.648525963637</v>
      </c>
      <c r="L52" s="188">
        <f t="shared" si="66"/>
        <v>10454.641496482911</v>
      </c>
      <c r="M52" s="188">
        <f t="shared" si="61"/>
        <v>10663.73432641257</v>
      </c>
      <c r="N52" s="188">
        <f t="shared" si="62"/>
        <v>10877.009012940822</v>
      </c>
      <c r="O52" s="188">
        <f t="shared" si="63"/>
        <v>11094.549193199638</v>
      </c>
      <c r="P52" s="188">
        <f t="shared" si="64"/>
        <v>11316.440177063632</v>
      </c>
      <c r="Q52" s="188">
        <f t="shared" si="65"/>
        <v>11542.768980604906</v>
      </c>
    </row>
    <row r="53" spans="4:17" x14ac:dyDescent="0.2">
      <c r="E53" s="120"/>
      <c r="F53" t="s">
        <v>10</v>
      </c>
      <c r="G53" s="189">
        <v>4077.19</v>
      </c>
      <c r="H53" s="190">
        <f>3922.15*12/11</f>
        <v>4278.7090909090912</v>
      </c>
      <c r="I53" s="188">
        <f t="shared" si="66"/>
        <v>4364.2832727272735</v>
      </c>
      <c r="J53" s="188">
        <f t="shared" si="66"/>
        <v>4451.5689381818192</v>
      </c>
      <c r="K53" s="188">
        <f t="shared" si="66"/>
        <v>4540.6003169454561</v>
      </c>
      <c r="L53" s="188">
        <f t="shared" si="66"/>
        <v>4631.4123232843649</v>
      </c>
      <c r="M53" s="188">
        <f t="shared" si="61"/>
        <v>4724.0405697500519</v>
      </c>
      <c r="N53" s="188">
        <f t="shared" si="62"/>
        <v>4818.5213811450531</v>
      </c>
      <c r="O53" s="188">
        <f t="shared" si="63"/>
        <v>4914.891808767954</v>
      </c>
      <c r="P53" s="188">
        <f t="shared" si="64"/>
        <v>5013.1896449433134</v>
      </c>
      <c r="Q53" s="188">
        <f t="shared" si="65"/>
        <v>5113.4534378421795</v>
      </c>
    </row>
    <row r="54" spans="4:17" ht="13.5" thickBot="1" x14ac:dyDescent="0.25">
      <c r="E54" s="120"/>
    </row>
    <row r="55" spans="4:17" ht="13.5" thickBot="1" x14ac:dyDescent="0.25">
      <c r="E55" s="120"/>
      <c r="F55" s="108" t="s">
        <v>90</v>
      </c>
      <c r="G55" s="197">
        <f>SUM(G50:G53)</f>
        <v>89089.68</v>
      </c>
      <c r="H55" s="198">
        <f>SUM(H50:H53)</f>
        <v>92866.025454545452</v>
      </c>
      <c r="I55" s="199">
        <f>SUM(I50:I53)</f>
        <v>94723.34596363637</v>
      </c>
      <c r="J55" s="199">
        <f t="shared" ref="J55:L55" si="67">SUM(J50:J53)</f>
        <v>96617.8128829091</v>
      </c>
      <c r="K55" s="199">
        <f t="shared" si="67"/>
        <v>98550.169140567275</v>
      </c>
      <c r="L55" s="200">
        <f t="shared" si="67"/>
        <v>100521.17252337863</v>
      </c>
      <c r="M55" s="200">
        <f t="shared" ref="M55:Q55" si="68">SUM(M50:M53)</f>
        <v>102531.5959738462</v>
      </c>
      <c r="N55" s="200">
        <f t="shared" si="68"/>
        <v>104582.22789332311</v>
      </c>
      <c r="O55" s="200">
        <f t="shared" si="68"/>
        <v>106673.87245118959</v>
      </c>
      <c r="P55" s="200">
        <f t="shared" si="68"/>
        <v>108807.34990021339</v>
      </c>
      <c r="Q55" s="200">
        <f t="shared" si="68"/>
        <v>110983.49689821765</v>
      </c>
    </row>
    <row r="56" spans="4:17" x14ac:dyDescent="0.2">
      <c r="G56" s="119"/>
      <c r="H56" s="119"/>
    </row>
    <row r="57" spans="4:17" x14ac:dyDescent="0.2">
      <c r="F57" s="6" t="s">
        <v>78</v>
      </c>
      <c r="G57" s="119"/>
      <c r="H57" s="119"/>
    </row>
    <row r="58" spans="4:17" x14ac:dyDescent="0.2">
      <c r="E58" s="122"/>
      <c r="F58" s="32" t="s">
        <v>81</v>
      </c>
      <c r="G58" s="188">
        <v>0</v>
      </c>
      <c r="H58" s="114">
        <f t="shared" ref="H58:Q58" si="69">INDEX(_401k_Roth,1)*$B$6*26</f>
        <v>6291.7088000000003</v>
      </c>
      <c r="I58" s="114">
        <f t="shared" si="69"/>
        <v>6291.7088000000003</v>
      </c>
      <c r="J58" s="114">
        <f t="shared" si="69"/>
        <v>6291.7088000000003</v>
      </c>
      <c r="K58" s="114">
        <f t="shared" si="69"/>
        <v>6291.7088000000003</v>
      </c>
      <c r="L58" s="114">
        <f t="shared" si="69"/>
        <v>6291.7088000000003</v>
      </c>
      <c r="M58" s="114">
        <f t="shared" si="69"/>
        <v>6291.7088000000003</v>
      </c>
      <c r="N58" s="114">
        <f t="shared" si="69"/>
        <v>6291.7088000000003</v>
      </c>
      <c r="O58" s="114">
        <f t="shared" si="69"/>
        <v>6291.7088000000003</v>
      </c>
      <c r="P58" s="114">
        <f t="shared" si="69"/>
        <v>6291.7088000000003</v>
      </c>
      <c r="Q58" s="114">
        <f t="shared" si="69"/>
        <v>6291.7088000000003</v>
      </c>
    </row>
    <row r="59" spans="4:17" x14ac:dyDescent="0.2">
      <c r="E59" s="122"/>
      <c r="F59" s="32" t="s">
        <v>84</v>
      </c>
      <c r="G59" s="188">
        <v>0</v>
      </c>
      <c r="H59" s="114">
        <f>38.47*26</f>
        <v>1000.22</v>
      </c>
      <c r="I59" s="114">
        <f t="shared" ref="I59:Q59" si="70">38.47*26</f>
        <v>1000.22</v>
      </c>
      <c r="J59" s="114">
        <f t="shared" si="70"/>
        <v>1000.22</v>
      </c>
      <c r="K59" s="114">
        <f t="shared" si="70"/>
        <v>1000.22</v>
      </c>
      <c r="L59" s="114">
        <f t="shared" si="70"/>
        <v>1000.22</v>
      </c>
      <c r="M59" s="114">
        <f t="shared" si="70"/>
        <v>1000.22</v>
      </c>
      <c r="N59" s="114">
        <f t="shared" si="70"/>
        <v>1000.22</v>
      </c>
      <c r="O59" s="114">
        <f t="shared" si="70"/>
        <v>1000.22</v>
      </c>
      <c r="P59" s="114">
        <f t="shared" si="70"/>
        <v>1000.22</v>
      </c>
      <c r="Q59" s="114">
        <f t="shared" si="70"/>
        <v>1000.22</v>
      </c>
    </row>
    <row r="60" spans="4:17" x14ac:dyDescent="0.2">
      <c r="E60" s="122"/>
      <c r="F60" s="32" t="s">
        <v>85</v>
      </c>
      <c r="G60" s="188">
        <v>0</v>
      </c>
      <c r="H60" s="114">
        <f>1.13*26</f>
        <v>29.379999999999995</v>
      </c>
      <c r="I60" s="114">
        <f t="shared" ref="I60:Q60" si="71">1.13*26</f>
        <v>29.379999999999995</v>
      </c>
      <c r="J60" s="114">
        <f t="shared" si="71"/>
        <v>29.379999999999995</v>
      </c>
      <c r="K60" s="114">
        <f t="shared" si="71"/>
        <v>29.379999999999995</v>
      </c>
      <c r="L60" s="114">
        <f t="shared" si="71"/>
        <v>29.379999999999995</v>
      </c>
      <c r="M60" s="114">
        <f t="shared" si="71"/>
        <v>29.379999999999995</v>
      </c>
      <c r="N60" s="114">
        <f t="shared" si="71"/>
        <v>29.379999999999995</v>
      </c>
      <c r="O60" s="114">
        <f t="shared" si="71"/>
        <v>29.379999999999995</v>
      </c>
      <c r="P60" s="114">
        <f t="shared" si="71"/>
        <v>29.379999999999995</v>
      </c>
      <c r="Q60" s="114">
        <f t="shared" si="71"/>
        <v>29.379999999999995</v>
      </c>
    </row>
    <row r="61" spans="4:17" x14ac:dyDescent="0.2">
      <c r="E61" s="122"/>
      <c r="F61" s="32" t="s">
        <v>86</v>
      </c>
      <c r="G61" s="188">
        <v>0</v>
      </c>
      <c r="H61" s="114">
        <f>9.69*26</f>
        <v>251.94</v>
      </c>
      <c r="I61" s="114">
        <f t="shared" ref="I61:Q61" si="72">9.69*26</f>
        <v>251.94</v>
      </c>
      <c r="J61" s="114">
        <f t="shared" si="72"/>
        <v>251.94</v>
      </c>
      <c r="K61" s="114">
        <f t="shared" si="72"/>
        <v>251.94</v>
      </c>
      <c r="L61" s="114">
        <f t="shared" si="72"/>
        <v>251.94</v>
      </c>
      <c r="M61" s="114">
        <f t="shared" si="72"/>
        <v>251.94</v>
      </c>
      <c r="N61" s="114">
        <f t="shared" si="72"/>
        <v>251.94</v>
      </c>
      <c r="O61" s="114">
        <f t="shared" si="72"/>
        <v>251.94</v>
      </c>
      <c r="P61" s="114">
        <f t="shared" si="72"/>
        <v>251.94</v>
      </c>
      <c r="Q61" s="114">
        <f t="shared" si="72"/>
        <v>251.94</v>
      </c>
    </row>
    <row r="62" spans="4:17" ht="13.5" thickBot="1" x14ac:dyDescent="0.25">
      <c r="E62" s="122"/>
    </row>
    <row r="63" spans="4:17" ht="13.5" thickBot="1" x14ac:dyDescent="0.25">
      <c r="E63" s="122"/>
      <c r="F63" s="108" t="s">
        <v>89</v>
      </c>
      <c r="G63" s="205">
        <v>0</v>
      </c>
      <c r="H63" s="199">
        <f>SUM(H58:H61)</f>
        <v>7573.2488000000003</v>
      </c>
      <c r="I63" s="214">
        <f t="shared" ref="I63:L63" si="73">SUM(I58:I61)</f>
        <v>7573.2488000000003</v>
      </c>
      <c r="J63" s="214">
        <f t="shared" si="73"/>
        <v>7573.2488000000003</v>
      </c>
      <c r="K63" s="214">
        <f t="shared" si="73"/>
        <v>7573.2488000000003</v>
      </c>
      <c r="L63" s="215">
        <f t="shared" si="73"/>
        <v>7573.2488000000003</v>
      </c>
      <c r="M63" s="215">
        <f t="shared" ref="M63:Q63" si="74">SUM(M58:M61)</f>
        <v>7573.2488000000003</v>
      </c>
      <c r="N63" s="215">
        <f t="shared" si="74"/>
        <v>7573.2488000000003</v>
      </c>
      <c r="O63" s="215">
        <f t="shared" si="74"/>
        <v>7573.2488000000003</v>
      </c>
      <c r="P63" s="215">
        <f t="shared" si="74"/>
        <v>7573.2488000000003</v>
      </c>
      <c r="Q63" s="215">
        <f t="shared" si="74"/>
        <v>7573.2488000000003</v>
      </c>
    </row>
    <row r="64" spans="4:17" x14ac:dyDescent="0.2">
      <c r="F64" s="32"/>
      <c r="G64" s="119"/>
      <c r="H64" s="119"/>
    </row>
    <row r="65" spans="5:17" x14ac:dyDescent="0.2">
      <c r="E65" s="120"/>
      <c r="F65" s="32" t="s">
        <v>81</v>
      </c>
      <c r="G65" s="189">
        <v>0</v>
      </c>
      <c r="H65" s="190">
        <v>0</v>
      </c>
      <c r="I65" s="188">
        <v>0</v>
      </c>
      <c r="J65" s="188">
        <v>0</v>
      </c>
      <c r="K65" s="188">
        <v>0</v>
      </c>
      <c r="L65" s="188">
        <v>0</v>
      </c>
      <c r="M65" s="188">
        <v>0</v>
      </c>
      <c r="N65" s="188">
        <v>0</v>
      </c>
      <c r="O65" s="188">
        <v>0</v>
      </c>
      <c r="P65" s="188">
        <v>0</v>
      </c>
      <c r="Q65" s="188">
        <v>0</v>
      </c>
    </row>
    <row r="66" spans="5:17" x14ac:dyDescent="0.2">
      <c r="E66" s="120"/>
      <c r="F66" s="32" t="s">
        <v>84</v>
      </c>
      <c r="G66" s="189">
        <v>0</v>
      </c>
      <c r="H66" s="190">
        <v>0</v>
      </c>
      <c r="I66" s="188">
        <v>0</v>
      </c>
      <c r="J66" s="188">
        <v>0</v>
      </c>
      <c r="K66" s="188">
        <v>0</v>
      </c>
      <c r="L66" s="188">
        <v>0</v>
      </c>
      <c r="M66" s="188">
        <v>0</v>
      </c>
      <c r="N66" s="188">
        <v>0</v>
      </c>
      <c r="O66" s="188">
        <v>0</v>
      </c>
      <c r="P66" s="188">
        <v>0</v>
      </c>
      <c r="Q66" s="188">
        <v>0</v>
      </c>
    </row>
    <row r="67" spans="5:17" x14ac:dyDescent="0.2">
      <c r="E67" s="120"/>
      <c r="F67" s="32" t="s">
        <v>85</v>
      </c>
      <c r="G67" s="189">
        <v>0</v>
      </c>
      <c r="H67" s="190">
        <v>0</v>
      </c>
      <c r="I67" s="188">
        <v>0</v>
      </c>
      <c r="J67" s="188">
        <v>0</v>
      </c>
      <c r="K67" s="188">
        <v>0</v>
      </c>
      <c r="L67" s="188">
        <v>0</v>
      </c>
      <c r="M67" s="188">
        <v>0</v>
      </c>
      <c r="N67" s="188">
        <v>0</v>
      </c>
      <c r="O67" s="188">
        <v>0</v>
      </c>
      <c r="P67" s="188">
        <v>0</v>
      </c>
      <c r="Q67" s="188">
        <v>0</v>
      </c>
    </row>
    <row r="68" spans="5:17" x14ac:dyDescent="0.2">
      <c r="E68" s="120"/>
      <c r="F68" s="32" t="s">
        <v>86</v>
      </c>
      <c r="G68" s="189">
        <v>0</v>
      </c>
      <c r="H68" s="190">
        <v>0</v>
      </c>
      <c r="I68" s="188">
        <v>0</v>
      </c>
      <c r="J68" s="188">
        <v>0</v>
      </c>
      <c r="K68" s="188">
        <v>0</v>
      </c>
      <c r="L68" s="188">
        <v>0</v>
      </c>
      <c r="M68" s="188">
        <v>0</v>
      </c>
      <c r="N68" s="188">
        <v>0</v>
      </c>
      <c r="O68" s="188">
        <v>0</v>
      </c>
      <c r="P68" s="188">
        <v>0</v>
      </c>
      <c r="Q68" s="188">
        <v>0</v>
      </c>
    </row>
    <row r="69" spans="5:17" ht="13.5" thickBot="1" x14ac:dyDescent="0.25">
      <c r="E69" s="120"/>
    </row>
    <row r="70" spans="5:17" ht="13.5" thickBot="1" x14ac:dyDescent="0.25">
      <c r="E70" s="120"/>
      <c r="F70" s="108" t="s">
        <v>90</v>
      </c>
      <c r="G70" s="197">
        <v>0</v>
      </c>
      <c r="H70" s="198">
        <v>0</v>
      </c>
      <c r="I70" s="199">
        <f>SUM(I65:I68)</f>
        <v>0</v>
      </c>
      <c r="J70" s="199">
        <f t="shared" ref="J70:L70" si="75">SUM(J65:J68)</f>
        <v>0</v>
      </c>
      <c r="K70" s="199">
        <f t="shared" si="75"/>
        <v>0</v>
      </c>
      <c r="L70" s="200">
        <f t="shared" si="75"/>
        <v>0</v>
      </c>
      <c r="M70" s="200">
        <f t="shared" ref="M70:Q70" si="76">SUM(M65:M68)</f>
        <v>0</v>
      </c>
      <c r="N70" s="200">
        <f t="shared" si="76"/>
        <v>0</v>
      </c>
      <c r="O70" s="200">
        <f t="shared" si="76"/>
        <v>0</v>
      </c>
      <c r="P70" s="200">
        <f t="shared" si="76"/>
        <v>0</v>
      </c>
      <c r="Q70" s="200">
        <f t="shared" si="76"/>
        <v>0</v>
      </c>
    </row>
    <row r="71" spans="5:17" x14ac:dyDescent="0.2">
      <c r="G71" s="119"/>
      <c r="H71" s="119"/>
    </row>
    <row r="72" spans="5:17" x14ac:dyDescent="0.2">
      <c r="F72" s="6" t="s">
        <v>74</v>
      </c>
      <c r="G72" s="119"/>
      <c r="H72" s="119"/>
    </row>
    <row r="73" spans="5:17" x14ac:dyDescent="0.2">
      <c r="E73" s="122"/>
      <c r="F73" s="32" t="s">
        <v>47</v>
      </c>
      <c r="G73" s="114"/>
      <c r="H73" s="114">
        <f>H39-H48-H63</f>
        <v>49312.896739999996</v>
      </c>
      <c r="I73" s="114">
        <f t="shared" ref="I73:L73" si="77">I39-I48-I63</f>
        <v>54825.536740000003</v>
      </c>
      <c r="J73" s="114">
        <f t="shared" si="77"/>
        <v>58668.805540000001</v>
      </c>
      <c r="K73" s="114">
        <f t="shared" si="77"/>
        <v>62641.369716000016</v>
      </c>
      <c r="L73" s="114">
        <f t="shared" si="77"/>
        <v>64071.885175520001</v>
      </c>
      <c r="M73" s="114">
        <f t="shared" ref="M73:Q73" si="78">M39-M48-M63</f>
        <v>65583.440944230402</v>
      </c>
      <c r="N73" s="114">
        <f t="shared" si="78"/>
        <v>67125.227828315023</v>
      </c>
      <c r="O73" s="114">
        <f t="shared" si="78"/>
        <v>68697.850450081314</v>
      </c>
      <c r="P73" s="114">
        <f t="shared" si="78"/>
        <v>70301.925524282953</v>
      </c>
      <c r="Q73" s="114">
        <f t="shared" si="78"/>
        <v>71938.082099968611</v>
      </c>
    </row>
    <row r="74" spans="5:17" ht="13.5" thickBot="1" x14ac:dyDescent="0.25">
      <c r="E74" s="120"/>
      <c r="F74" s="32" t="s">
        <v>48</v>
      </c>
      <c r="G74" s="209">
        <f>G40-G55-G70</f>
        <v>68587.020000000019</v>
      </c>
      <c r="H74" s="210">
        <f>H40-H55-H70</f>
        <v>69292.7916883117</v>
      </c>
      <c r="I74" s="211">
        <f t="shared" ref="I74:L74" si="79">I40-I55-I70</f>
        <v>62393.821350649334</v>
      </c>
      <c r="J74" s="211">
        <f t="shared" si="79"/>
        <v>63872.437777662315</v>
      </c>
      <c r="K74" s="211">
        <f t="shared" si="79"/>
        <v>65380.626533215574</v>
      </c>
      <c r="L74" s="211">
        <f t="shared" si="79"/>
        <v>66918.979063879873</v>
      </c>
      <c r="M74" s="211">
        <f t="shared" ref="M74:Q74" si="80">M40-M55-M70</f>
        <v>68488.098645157486</v>
      </c>
      <c r="N74" s="211">
        <f t="shared" si="80"/>
        <v>70088.600618060649</v>
      </c>
      <c r="O74" s="211">
        <f t="shared" si="80"/>
        <v>71721.112630421849</v>
      </c>
      <c r="P74" s="211">
        <f t="shared" si="80"/>
        <v>73386.274883030273</v>
      </c>
      <c r="Q74" s="211">
        <f t="shared" si="80"/>
        <v>75084.740380690899</v>
      </c>
    </row>
    <row r="75" spans="5:17" ht="13.5" thickBot="1" x14ac:dyDescent="0.25">
      <c r="E75" s="121"/>
      <c r="F75" s="32" t="s">
        <v>94</v>
      </c>
      <c r="G75" s="205">
        <f>SUM(G73:G74)</f>
        <v>68587.020000000019</v>
      </c>
      <c r="H75" s="199">
        <f t="shared" ref="H75:L75" si="81">SUM(H73:H74)</f>
        <v>118605.6884283117</v>
      </c>
      <c r="I75" s="199">
        <f t="shared" si="81"/>
        <v>117219.35809064933</v>
      </c>
      <c r="J75" s="199">
        <f t="shared" si="81"/>
        <v>122541.24331766232</v>
      </c>
      <c r="K75" s="199">
        <f t="shared" si="81"/>
        <v>128021.99624921559</v>
      </c>
      <c r="L75" s="200">
        <f t="shared" si="81"/>
        <v>130990.86423939987</v>
      </c>
      <c r="M75" s="200">
        <f t="shared" ref="M75" si="82">SUM(M73:M74)</f>
        <v>134071.53958938789</v>
      </c>
      <c r="N75" s="200">
        <f t="shared" ref="N75" si="83">SUM(N73:N74)</f>
        <v>137213.82844637567</v>
      </c>
      <c r="O75" s="200">
        <f t="shared" ref="O75" si="84">SUM(O73:O74)</f>
        <v>140418.96308050316</v>
      </c>
      <c r="P75" s="200">
        <f t="shared" ref="P75" si="85">SUM(P73:P74)</f>
        <v>143688.20040731324</v>
      </c>
      <c r="Q75" s="200">
        <f t="shared" ref="Q75" si="86">SUM(Q73:Q74)</f>
        <v>147022.82248065952</v>
      </c>
    </row>
    <row r="76" spans="5:17" x14ac:dyDescent="0.2">
      <c r="G76" s="119"/>
      <c r="H76" s="119"/>
    </row>
    <row r="77" spans="5:17" ht="13.5" thickBot="1" x14ac:dyDescent="0.25">
      <c r="F77" s="6" t="s">
        <v>93</v>
      </c>
      <c r="G77" s="130">
        <v>2020</v>
      </c>
      <c r="H77" s="130">
        <f>G77+1</f>
        <v>2021</v>
      </c>
      <c r="I77" s="130">
        <f t="shared" ref="I77" si="87">H77+1</f>
        <v>2022</v>
      </c>
      <c r="J77" s="130">
        <f t="shared" ref="J77" si="88">I77+1</f>
        <v>2023</v>
      </c>
      <c r="K77" s="130">
        <f t="shared" ref="K77" si="89">J77+1</f>
        <v>2024</v>
      </c>
      <c r="L77" s="130">
        <f t="shared" ref="L77" si="90">K77+1</f>
        <v>2025</v>
      </c>
      <c r="M77" s="130">
        <f t="shared" ref="M77" si="91">L77+1</f>
        <v>2026</v>
      </c>
      <c r="N77" s="130">
        <f t="shared" ref="N77" si="92">M77+1</f>
        <v>2027</v>
      </c>
      <c r="O77" s="130">
        <f t="shared" ref="O77" si="93">N77+1</f>
        <v>2028</v>
      </c>
      <c r="P77" s="130">
        <f t="shared" ref="P77" si="94">O77+1</f>
        <v>2029</v>
      </c>
      <c r="Q77" s="130">
        <f t="shared" ref="Q77" si="95">P77+1</f>
        <v>2030</v>
      </c>
    </row>
    <row r="78" spans="5:17" ht="13.5" thickBot="1" x14ac:dyDescent="0.25">
      <c r="E78" s="122"/>
      <c r="F78" s="32" t="s">
        <v>47</v>
      </c>
      <c r="G78" s="212"/>
      <c r="H78" s="192">
        <f>SUM(H79:H83)</f>
        <v>45329.49</v>
      </c>
      <c r="I78" s="192">
        <f>SUM(I79:I85)</f>
        <v>44800</v>
      </c>
      <c r="J78" s="192">
        <f t="shared" ref="J78:Q78" si="96">SUM(J79:J85)</f>
        <v>41200</v>
      </c>
      <c r="K78" s="192">
        <f t="shared" si="96"/>
        <v>41200</v>
      </c>
      <c r="L78" s="192">
        <f t="shared" si="96"/>
        <v>41200</v>
      </c>
      <c r="M78" s="192">
        <f t="shared" si="96"/>
        <v>41200</v>
      </c>
      <c r="N78" s="192">
        <f t="shared" si="96"/>
        <v>41200</v>
      </c>
      <c r="O78" s="192">
        <f t="shared" si="96"/>
        <v>37000</v>
      </c>
      <c r="P78" s="192">
        <f t="shared" si="96"/>
        <v>37000</v>
      </c>
      <c r="Q78" s="192">
        <f t="shared" si="96"/>
        <v>37000</v>
      </c>
    </row>
    <row r="79" spans="5:17" x14ac:dyDescent="0.2">
      <c r="E79" s="122"/>
      <c r="F79" s="32" t="s">
        <v>160</v>
      </c>
      <c r="G79" s="191"/>
      <c r="H79" s="191">
        <v>31501.03</v>
      </c>
      <c r="I79" s="191">
        <v>25000</v>
      </c>
      <c r="J79" s="191">
        <v>25000</v>
      </c>
      <c r="K79" s="191">
        <v>25000</v>
      </c>
      <c r="L79" s="191">
        <v>25000</v>
      </c>
      <c r="M79" s="191">
        <v>25000</v>
      </c>
      <c r="N79" s="191">
        <v>25000</v>
      </c>
      <c r="O79" s="191">
        <v>25000</v>
      </c>
      <c r="P79" s="191">
        <v>25000</v>
      </c>
      <c r="Q79" s="191">
        <v>25000</v>
      </c>
    </row>
    <row r="80" spans="5:17" x14ac:dyDescent="0.2">
      <c r="E80" s="122"/>
      <c r="F80" s="102" t="s">
        <v>98</v>
      </c>
      <c r="G80" s="114"/>
      <c r="H80" s="114">
        <v>2800</v>
      </c>
      <c r="I80" s="114"/>
      <c r="J80" s="114"/>
      <c r="K80" s="114"/>
      <c r="L80" s="114"/>
      <c r="M80" s="114"/>
      <c r="N80" s="114"/>
      <c r="O80" s="114"/>
      <c r="P80" s="114"/>
      <c r="Q80" s="114"/>
    </row>
    <row r="81" spans="4:17" x14ac:dyDescent="0.2">
      <c r="E81" s="122"/>
      <c r="F81" s="102" t="s">
        <v>99</v>
      </c>
      <c r="G81" s="114"/>
      <c r="H81" s="114">
        <v>5582.85</v>
      </c>
      <c r="I81" s="114"/>
      <c r="J81" s="114"/>
      <c r="K81" s="114"/>
      <c r="L81" s="114"/>
      <c r="M81" s="114"/>
      <c r="N81" s="114"/>
      <c r="O81" s="114"/>
      <c r="P81" s="114"/>
      <c r="Q81" s="114"/>
    </row>
    <row r="82" spans="4:17" x14ac:dyDescent="0.2">
      <c r="E82" s="122"/>
      <c r="F82" s="102" t="s">
        <v>100</v>
      </c>
      <c r="G82" s="114"/>
      <c r="H82" s="114">
        <v>5445.61</v>
      </c>
      <c r="I82" s="114">
        <f>25200/2</f>
        <v>12600</v>
      </c>
      <c r="J82" s="114"/>
      <c r="K82" s="114"/>
      <c r="L82" s="114"/>
      <c r="M82" s="114"/>
      <c r="N82" s="114"/>
      <c r="O82" s="114"/>
      <c r="P82" s="114"/>
      <c r="Q82" s="114"/>
    </row>
    <row r="83" spans="4:17" x14ac:dyDescent="0.2">
      <c r="E83" s="122"/>
      <c r="F83" s="102" t="s">
        <v>101</v>
      </c>
      <c r="G83" s="114"/>
      <c r="H83" s="114"/>
      <c r="I83" s="114">
        <f>2000/2*3</f>
        <v>3000</v>
      </c>
      <c r="J83" s="114">
        <v>12000</v>
      </c>
      <c r="K83" s="114">
        <v>12000</v>
      </c>
      <c r="L83" s="114">
        <v>12000</v>
      </c>
      <c r="M83" s="114">
        <v>12000</v>
      </c>
      <c r="N83" s="114">
        <v>12000</v>
      </c>
      <c r="O83" s="114">
        <v>12000</v>
      </c>
      <c r="P83" s="114">
        <v>12000</v>
      </c>
      <c r="Q83" s="114">
        <v>12000</v>
      </c>
    </row>
    <row r="84" spans="4:17" x14ac:dyDescent="0.2">
      <c r="D84" s="119">
        <f>SUM(G84:Q84)</f>
        <v>25200</v>
      </c>
      <c r="E84" s="122"/>
      <c r="F84" s="102" t="s">
        <v>102</v>
      </c>
      <c r="G84" s="114"/>
      <c r="H84" s="114"/>
      <c r="I84" s="114">
        <f>350*12</f>
        <v>4200</v>
      </c>
      <c r="J84" s="114">
        <f>I84</f>
        <v>4200</v>
      </c>
      <c r="K84" s="114">
        <f t="shared" ref="K84:M84" si="97">J84</f>
        <v>4200</v>
      </c>
      <c r="L84" s="114">
        <f t="shared" si="97"/>
        <v>4200</v>
      </c>
      <c r="M84" s="114">
        <f t="shared" si="97"/>
        <v>4200</v>
      </c>
      <c r="N84" s="114">
        <f>M84</f>
        <v>4200</v>
      </c>
      <c r="O84" s="114"/>
      <c r="P84" s="114"/>
      <c r="Q84" s="114"/>
    </row>
    <row r="85" spans="4:17" x14ac:dyDescent="0.2">
      <c r="E85" s="122"/>
      <c r="F85" s="102" t="s">
        <v>103</v>
      </c>
      <c r="G85" s="188"/>
      <c r="H85" s="188"/>
      <c r="I85" s="106"/>
      <c r="J85" s="106"/>
      <c r="K85" s="106"/>
      <c r="L85" s="106"/>
      <c r="M85" s="106"/>
      <c r="N85" s="106"/>
      <c r="O85" s="106"/>
      <c r="P85" s="106"/>
      <c r="Q85" s="106"/>
    </row>
    <row r="86" spans="4:17" ht="13.5" thickBot="1" x14ac:dyDescent="0.25"/>
    <row r="87" spans="4:17" ht="13.5" thickBot="1" x14ac:dyDescent="0.25">
      <c r="E87" s="120"/>
      <c r="F87" s="32" t="s">
        <v>48</v>
      </c>
      <c r="G87" s="197">
        <f>SUM(G88:G90)</f>
        <v>41000</v>
      </c>
      <c r="H87" s="198">
        <f>SUM(H88:H89)</f>
        <v>35000</v>
      </c>
      <c r="I87" s="199">
        <f>SUM(I88:I90)</f>
        <v>53000</v>
      </c>
      <c r="J87" s="199">
        <f t="shared" ref="J87:K87" si="98">SUM(J88:J90)</f>
        <v>44600</v>
      </c>
      <c r="K87" s="199">
        <f t="shared" si="98"/>
        <v>44600</v>
      </c>
      <c r="L87" s="200">
        <f>SUM(L88:L90)</f>
        <v>44600</v>
      </c>
      <c r="M87" s="200">
        <f t="shared" ref="M87:Q87" si="99">SUM(M88:M90)</f>
        <v>44600</v>
      </c>
      <c r="N87" s="200">
        <f t="shared" si="99"/>
        <v>44600</v>
      </c>
      <c r="O87" s="200">
        <f t="shared" si="99"/>
        <v>44600</v>
      </c>
      <c r="P87" s="200">
        <f t="shared" si="99"/>
        <v>44600</v>
      </c>
      <c r="Q87" s="200">
        <f t="shared" si="99"/>
        <v>44600</v>
      </c>
    </row>
    <row r="88" spans="4:17" x14ac:dyDescent="0.2">
      <c r="E88" s="120"/>
      <c r="F88" s="32" t="s">
        <v>160</v>
      </c>
      <c r="G88" s="194">
        <v>35900</v>
      </c>
      <c r="H88" s="195">
        <v>28700</v>
      </c>
      <c r="I88" s="196">
        <v>29000</v>
      </c>
      <c r="J88" s="196">
        <f>I88</f>
        <v>29000</v>
      </c>
      <c r="K88" s="196">
        <f t="shared" ref="K88:L88" si="100">J88</f>
        <v>29000</v>
      </c>
      <c r="L88" s="196">
        <f t="shared" si="100"/>
        <v>29000</v>
      </c>
      <c r="M88" s="196">
        <f t="shared" ref="M88" si="101">L88</f>
        <v>29000</v>
      </c>
      <c r="N88" s="196">
        <f t="shared" ref="N88" si="102">M88</f>
        <v>29000</v>
      </c>
      <c r="O88" s="196">
        <f t="shared" ref="O88" si="103">N88</f>
        <v>29000</v>
      </c>
      <c r="P88" s="196">
        <f t="shared" ref="P88" si="104">O88</f>
        <v>29000</v>
      </c>
      <c r="Q88" s="196">
        <f t="shared" ref="Q88" si="105">P88</f>
        <v>29000</v>
      </c>
    </row>
    <row r="89" spans="4:17" x14ac:dyDescent="0.2">
      <c r="E89" s="120"/>
      <c r="F89" s="102" t="s">
        <v>100</v>
      </c>
      <c r="G89" s="189"/>
      <c r="H89" s="190">
        <v>6300</v>
      </c>
      <c r="I89" s="106"/>
      <c r="J89" s="106"/>
      <c r="K89" s="106"/>
      <c r="L89" s="106"/>
      <c r="M89" s="106"/>
      <c r="N89" s="106"/>
      <c r="O89" s="106"/>
      <c r="P89" s="106"/>
      <c r="Q89" s="106"/>
    </row>
    <row r="90" spans="4:17" x14ac:dyDescent="0.2">
      <c r="E90" s="120"/>
      <c r="F90" s="102" t="s">
        <v>101</v>
      </c>
      <c r="G90" s="189">
        <v>5100</v>
      </c>
      <c r="H90" s="190"/>
      <c r="I90" s="188">
        <f>2000*12</f>
        <v>24000</v>
      </c>
      <c r="J90" s="188">
        <f>1300*12</f>
        <v>15600</v>
      </c>
      <c r="K90" s="188">
        <f t="shared" ref="K90:Q90" si="106">1300*12</f>
        <v>15600</v>
      </c>
      <c r="L90" s="188">
        <f t="shared" si="106"/>
        <v>15600</v>
      </c>
      <c r="M90" s="188">
        <f t="shared" si="106"/>
        <v>15600</v>
      </c>
      <c r="N90" s="188">
        <f t="shared" si="106"/>
        <v>15600</v>
      </c>
      <c r="O90" s="188">
        <f t="shared" si="106"/>
        <v>15600</v>
      </c>
      <c r="P90" s="188">
        <f t="shared" si="106"/>
        <v>15600</v>
      </c>
      <c r="Q90" s="188">
        <f t="shared" si="106"/>
        <v>15600</v>
      </c>
    </row>
    <row r="91" spans="4:17" ht="13.5" thickBot="1" x14ac:dyDescent="0.25">
      <c r="G91" s="119"/>
      <c r="H91" s="119"/>
    </row>
    <row r="92" spans="4:17" ht="13.5" thickBot="1" x14ac:dyDescent="0.25">
      <c r="E92" s="121"/>
      <c r="F92" s="32" t="s">
        <v>94</v>
      </c>
      <c r="G92" s="201">
        <f t="shared" ref="G92:L92" si="107">SUM(G87,G78)</f>
        <v>41000</v>
      </c>
      <c r="H92" s="202">
        <f t="shared" si="107"/>
        <v>80329.489999999991</v>
      </c>
      <c r="I92" s="203">
        <f t="shared" si="107"/>
        <v>97800</v>
      </c>
      <c r="J92" s="203">
        <f t="shared" si="107"/>
        <v>85800</v>
      </c>
      <c r="K92" s="203">
        <f t="shared" si="107"/>
        <v>85800</v>
      </c>
      <c r="L92" s="204">
        <f t="shared" si="107"/>
        <v>85800</v>
      </c>
      <c r="M92" s="204">
        <f t="shared" ref="M92:Q92" si="108">SUM(M87,M78)</f>
        <v>85800</v>
      </c>
      <c r="N92" s="204">
        <f t="shared" si="108"/>
        <v>85800</v>
      </c>
      <c r="O92" s="204">
        <f t="shared" si="108"/>
        <v>81600</v>
      </c>
      <c r="P92" s="204">
        <f t="shared" si="108"/>
        <v>81600</v>
      </c>
      <c r="Q92" s="204">
        <f t="shared" si="108"/>
        <v>81600</v>
      </c>
    </row>
    <row r="93" spans="4:17" x14ac:dyDescent="0.2">
      <c r="G93" s="119"/>
      <c r="H93" s="119"/>
    </row>
    <row r="94" spans="4:17" x14ac:dyDescent="0.2">
      <c r="F94" s="6" t="s">
        <v>95</v>
      </c>
      <c r="G94" s="130">
        <v>2020</v>
      </c>
      <c r="H94" s="130">
        <f>G94+1</f>
        <v>2021</v>
      </c>
      <c r="I94" s="130">
        <f t="shared" ref="I94" si="109">H94+1</f>
        <v>2022</v>
      </c>
      <c r="J94" s="130">
        <f t="shared" ref="J94" si="110">I94+1</f>
        <v>2023</v>
      </c>
      <c r="K94" s="130">
        <f t="shared" ref="K94" si="111">J94+1</f>
        <v>2024</v>
      </c>
      <c r="L94" s="130">
        <f t="shared" ref="L94" si="112">K94+1</f>
        <v>2025</v>
      </c>
      <c r="M94" s="130">
        <f t="shared" ref="M94" si="113">L94+1</f>
        <v>2026</v>
      </c>
      <c r="N94" s="130">
        <f t="shared" ref="N94" si="114">M94+1</f>
        <v>2027</v>
      </c>
      <c r="O94" s="130">
        <f t="shared" ref="O94" si="115">N94+1</f>
        <v>2028</v>
      </c>
      <c r="P94" s="130">
        <f t="shared" ref="P94" si="116">O94+1</f>
        <v>2029</v>
      </c>
      <c r="Q94" s="130">
        <f t="shared" ref="Q94" si="117">P94+1</f>
        <v>2030</v>
      </c>
    </row>
    <row r="95" spans="4:17" x14ac:dyDescent="0.2">
      <c r="E95" s="122"/>
      <c r="F95" s="32" t="s">
        <v>47</v>
      </c>
      <c r="G95" s="114"/>
      <c r="H95" s="114">
        <f>H73-H78</f>
        <v>3983.4067399999985</v>
      </c>
      <c r="I95" s="114">
        <f>I73-I78</f>
        <v>10025.536740000003</v>
      </c>
      <c r="J95" s="114">
        <f>J73-J78</f>
        <v>17468.805540000001</v>
      </c>
      <c r="K95" s="114">
        <f>K73-K78</f>
        <v>21441.369716000016</v>
      </c>
      <c r="L95" s="114">
        <f>L73-L78</f>
        <v>22871.885175520001</v>
      </c>
      <c r="M95" s="114">
        <f t="shared" ref="M95:Q95" si="118">M73-M78</f>
        <v>24383.440944230402</v>
      </c>
      <c r="N95" s="114">
        <f t="shared" si="118"/>
        <v>25925.227828315023</v>
      </c>
      <c r="O95" s="114">
        <f t="shared" si="118"/>
        <v>31697.850450081314</v>
      </c>
      <c r="P95" s="114">
        <f t="shared" si="118"/>
        <v>33301.925524282953</v>
      </c>
      <c r="Q95" s="114">
        <f t="shared" si="118"/>
        <v>34938.082099968611</v>
      </c>
    </row>
    <row r="96" spans="4:17" x14ac:dyDescent="0.2">
      <c r="E96" s="120"/>
      <c r="F96" s="32" t="s">
        <v>48</v>
      </c>
      <c r="G96" s="207">
        <f t="shared" ref="G96:L96" si="119">G74-G87</f>
        <v>27587.020000000019</v>
      </c>
      <c r="H96" s="208">
        <f t="shared" si="119"/>
        <v>34292.7916883117</v>
      </c>
      <c r="I96" s="114">
        <f t="shared" si="119"/>
        <v>9393.8213506493339</v>
      </c>
      <c r="J96" s="114">
        <f t="shared" si="119"/>
        <v>19272.437777662315</v>
      </c>
      <c r="K96" s="114">
        <f t="shared" si="119"/>
        <v>20780.626533215574</v>
      </c>
      <c r="L96" s="114">
        <f t="shared" si="119"/>
        <v>22318.979063879873</v>
      </c>
      <c r="M96" s="114">
        <f t="shared" ref="M96:Q96" si="120">M74-M87</f>
        <v>23888.098645157486</v>
      </c>
      <c r="N96" s="114">
        <f t="shared" si="120"/>
        <v>25488.600618060649</v>
      </c>
      <c r="O96" s="114">
        <f t="shared" si="120"/>
        <v>27121.112630421849</v>
      </c>
      <c r="P96" s="114">
        <f t="shared" si="120"/>
        <v>28786.274883030273</v>
      </c>
      <c r="Q96" s="114">
        <f t="shared" si="120"/>
        <v>30484.740380690899</v>
      </c>
    </row>
    <row r="97" spans="5:47" ht="13.5" thickBot="1" x14ac:dyDescent="0.25">
      <c r="E97" s="121"/>
      <c r="F97" s="32" t="s">
        <v>94</v>
      </c>
      <c r="G97" s="222">
        <f t="shared" ref="G97:L97" si="121">SUM(G95:G96)</f>
        <v>27587.020000000019</v>
      </c>
      <c r="H97" s="223">
        <f t="shared" si="121"/>
        <v>38276.198428311698</v>
      </c>
      <c r="I97" s="224">
        <f t="shared" si="121"/>
        <v>19419.358090649337</v>
      </c>
      <c r="J97" s="224">
        <f t="shared" si="121"/>
        <v>36741.243317662316</v>
      </c>
      <c r="K97" s="224">
        <f t="shared" si="121"/>
        <v>42221.99624921559</v>
      </c>
      <c r="L97" s="225">
        <f t="shared" si="121"/>
        <v>45190.864239399874</v>
      </c>
      <c r="M97" s="225">
        <f t="shared" ref="M97:Q97" si="122">SUM(M95:M96)</f>
        <v>48271.539589387889</v>
      </c>
      <c r="N97" s="225">
        <f t="shared" si="122"/>
        <v>51413.828446375672</v>
      </c>
      <c r="O97" s="225">
        <f t="shared" si="122"/>
        <v>58818.963080503163</v>
      </c>
      <c r="P97" s="225">
        <f t="shared" si="122"/>
        <v>62088.200407313227</v>
      </c>
      <c r="Q97" s="225">
        <f t="shared" si="122"/>
        <v>65422.82248065951</v>
      </c>
    </row>
    <row r="100" spans="5:47" x14ac:dyDescent="0.2">
      <c r="F100" s="6" t="s">
        <v>192</v>
      </c>
    </row>
    <row r="101" spans="5:47" x14ac:dyDescent="0.2">
      <c r="E101" s="122"/>
      <c r="F101" s="32" t="s">
        <v>47</v>
      </c>
      <c r="G101" s="130">
        <v>2020</v>
      </c>
      <c r="H101" s="130">
        <f>G101+1</f>
        <v>2021</v>
      </c>
      <c r="I101" s="130">
        <f t="shared" ref="I101" si="123">H101+1</f>
        <v>2022</v>
      </c>
      <c r="J101" s="130">
        <f t="shared" ref="J101" si="124">I101+1</f>
        <v>2023</v>
      </c>
      <c r="K101" s="130">
        <f t="shared" ref="K101" si="125">J101+1</f>
        <v>2024</v>
      </c>
      <c r="L101" s="130">
        <f t="shared" ref="L101" si="126">K101+1</f>
        <v>2025</v>
      </c>
      <c r="M101" s="130">
        <f t="shared" ref="M101" si="127">L101+1</f>
        <v>2026</v>
      </c>
      <c r="N101" s="130">
        <f t="shared" ref="N101" si="128">M101+1</f>
        <v>2027</v>
      </c>
      <c r="O101" s="130">
        <f t="shared" ref="O101" si="129">N101+1</f>
        <v>2028</v>
      </c>
      <c r="P101" s="130">
        <f t="shared" ref="P101" si="130">O101+1</f>
        <v>2029</v>
      </c>
      <c r="Q101" s="130">
        <f t="shared" ref="Q101" si="131">P101+1</f>
        <v>2030</v>
      </c>
    </row>
    <row r="102" spans="5:47" x14ac:dyDescent="0.2">
      <c r="E102" s="120"/>
      <c r="F102" s="32" t="s">
        <v>48</v>
      </c>
      <c r="G102" s="114"/>
      <c r="H102" s="114"/>
      <c r="I102" s="114"/>
      <c r="J102" s="114"/>
      <c r="K102" s="114"/>
      <c r="L102" s="114"/>
      <c r="M102" s="114"/>
      <c r="N102" s="114"/>
      <c r="O102" s="114"/>
      <c r="P102" s="114"/>
      <c r="Q102" s="114"/>
    </row>
    <row r="103" spans="5:47" x14ac:dyDescent="0.2">
      <c r="E103" s="121"/>
      <c r="F103" s="32" t="s">
        <v>94</v>
      </c>
      <c r="G103" s="207"/>
      <c r="H103" s="208"/>
      <c r="I103" s="114"/>
      <c r="J103" s="114"/>
      <c r="K103" s="114"/>
      <c r="L103" s="114"/>
      <c r="M103" s="114"/>
      <c r="N103" s="114"/>
      <c r="O103" s="114"/>
      <c r="P103" s="114"/>
      <c r="Q103" s="114"/>
    </row>
    <row r="104" spans="5:47" ht="13.5" thickBot="1" x14ac:dyDescent="0.25">
      <c r="G104" s="222"/>
      <c r="H104" s="223"/>
      <c r="I104" s="224"/>
      <c r="J104" s="224"/>
      <c r="K104" s="224"/>
      <c r="L104" s="225"/>
      <c r="M104" s="225"/>
      <c r="N104" s="225"/>
      <c r="O104" s="225"/>
      <c r="P104" s="225"/>
      <c r="Q104" s="225"/>
    </row>
    <row r="105" spans="5:47" x14ac:dyDescent="0.2">
      <c r="F105" t="s">
        <v>105</v>
      </c>
    </row>
    <row r="106" spans="5:47" x14ac:dyDescent="0.2">
      <c r="F106" s="6" t="s">
        <v>96</v>
      </c>
      <c r="G106" s="130">
        <v>2020</v>
      </c>
      <c r="H106" s="130">
        <f>G106+1</f>
        <v>2021</v>
      </c>
      <c r="I106" s="130">
        <f t="shared" ref="I106:L106" si="132">H106+1</f>
        <v>2022</v>
      </c>
      <c r="J106" s="130">
        <f t="shared" si="132"/>
        <v>2023</v>
      </c>
      <c r="K106" s="130">
        <f t="shared" si="132"/>
        <v>2024</v>
      </c>
      <c r="L106" s="130">
        <f t="shared" si="132"/>
        <v>2025</v>
      </c>
      <c r="M106" s="130">
        <f t="shared" ref="M106" si="133">L106+1</f>
        <v>2026</v>
      </c>
      <c r="N106" s="130">
        <f t="shared" ref="N106" si="134">M106+1</f>
        <v>2027</v>
      </c>
      <c r="O106" s="130">
        <f t="shared" ref="O106" si="135">N106+1</f>
        <v>2028</v>
      </c>
      <c r="P106" s="130">
        <f t="shared" ref="P106" si="136">O106+1</f>
        <v>2029</v>
      </c>
      <c r="Q106" s="130">
        <f t="shared" ref="Q106" si="137">P106+1</f>
        <v>2030</v>
      </c>
    </row>
    <row r="107" spans="5:47" x14ac:dyDescent="0.2">
      <c r="E107" s="122"/>
      <c r="F107" s="32" t="s">
        <v>47</v>
      </c>
      <c r="G107" s="188">
        <v>0</v>
      </c>
      <c r="H107" s="188">
        <v>0</v>
      </c>
      <c r="I107" s="211">
        <f>H107*(1+$C$25)+H95</f>
        <v>3983.4067399999985</v>
      </c>
      <c r="J107" s="211">
        <f>I107*(1+$C$25)+I95</f>
        <v>14208.113817000001</v>
      </c>
      <c r="K107" s="211">
        <f>J107*(1+$C$25)+J95</f>
        <v>32387.325047850005</v>
      </c>
      <c r="L107" s="211">
        <f>K107*(1+$C$25)+K95</f>
        <v>55448.061016242522</v>
      </c>
      <c r="M107" s="211">
        <f>L107*(1+$C$25)+L95</f>
        <v>81092.349242574652</v>
      </c>
      <c r="N107" s="211">
        <f>M107*(1+$C$25)+M95</f>
        <v>109530.40764893379</v>
      </c>
      <c r="O107" s="211">
        <f>N107*(1+$C$25)+N95</f>
        <v>140932.15585969551</v>
      </c>
      <c r="P107" s="211">
        <f>O107*(1+$C$25)+O95</f>
        <v>179676.61410276161</v>
      </c>
      <c r="Q107" s="211">
        <f>P107*(1+$C$25)+P95</f>
        <v>221962.37033218268</v>
      </c>
    </row>
    <row r="108" spans="5:47" ht="13.5" thickBot="1" x14ac:dyDescent="0.25">
      <c r="E108" s="120"/>
      <c r="F108" s="32" t="s">
        <v>48</v>
      </c>
      <c r="G108" s="209">
        <v>83700</v>
      </c>
      <c r="H108" s="210">
        <v>172000</v>
      </c>
      <c r="I108" s="211">
        <f>H108*(1+$C$25)+H96</f>
        <v>214892.7916883117</v>
      </c>
      <c r="J108" s="211">
        <f>I108*(1+$C$25)+I96</f>
        <v>235031.25262337661</v>
      </c>
      <c r="K108" s="211">
        <f>J108*(1+$C$25)+J96</f>
        <v>266055.25303220778</v>
      </c>
      <c r="L108" s="211">
        <f>K108*(1+$C$25)+K96</f>
        <v>300138.64221703378</v>
      </c>
      <c r="M108" s="211">
        <f>L108*(1+$C$25)+L96</f>
        <v>337464.55339176534</v>
      </c>
      <c r="N108" s="211">
        <f>M108*(1+$C$25)+M96</f>
        <v>378225.8797065111</v>
      </c>
      <c r="O108" s="211">
        <f>N108*(1+$C$25)+N96</f>
        <v>422625.77430989733</v>
      </c>
      <c r="P108" s="211">
        <f>O108*(1+$C$25)+O96</f>
        <v>470878.17565581412</v>
      </c>
      <c r="Q108" s="211">
        <f>P108*(1+$C$25)+P96</f>
        <v>523208.3593216351</v>
      </c>
    </row>
    <row r="109" spans="5:47" ht="13.5" thickBot="1" x14ac:dyDescent="0.25">
      <c r="E109" s="121"/>
      <c r="F109" s="32" t="s">
        <v>94</v>
      </c>
      <c r="G109" s="212">
        <f>SUM(G107:G108)</f>
        <v>83700</v>
      </c>
      <c r="H109" s="192">
        <f t="shared" ref="H109:L109" si="138">SUM(H107:H108)</f>
        <v>172000</v>
      </c>
      <c r="I109" s="192">
        <f t="shared" si="138"/>
        <v>218876.19842831171</v>
      </c>
      <c r="J109" s="192">
        <f t="shared" si="138"/>
        <v>249239.36644037662</v>
      </c>
      <c r="K109" s="192">
        <f t="shared" si="138"/>
        <v>298442.57808005781</v>
      </c>
      <c r="L109" s="193">
        <f t="shared" si="138"/>
        <v>355586.70323327632</v>
      </c>
      <c r="M109" s="193">
        <f t="shared" ref="M109" si="139">SUM(M107:M108)</f>
        <v>418556.90263433999</v>
      </c>
      <c r="N109" s="193">
        <f t="shared" ref="N109" si="140">SUM(N107:N108)</f>
        <v>487756.28735544486</v>
      </c>
      <c r="O109" s="193">
        <f t="shared" ref="O109" si="141">SUM(O107:O108)</f>
        <v>563557.93016959284</v>
      </c>
      <c r="P109" s="193">
        <f t="shared" ref="P109" si="142">SUM(P107:P108)</f>
        <v>650554.78975857573</v>
      </c>
      <c r="Q109" s="193">
        <f t="shared" ref="Q109" si="143">SUM(Q107:Q108)</f>
        <v>745170.72965381783</v>
      </c>
    </row>
    <row r="110" spans="5:47" x14ac:dyDescent="0.2">
      <c r="G110" s="119"/>
      <c r="H110" s="119"/>
      <c r="I110" s="117"/>
      <c r="J110" s="117"/>
      <c r="K110" s="117"/>
      <c r="L110" s="117"/>
      <c r="M110" s="117"/>
    </row>
    <row r="111" spans="5:47" x14ac:dyDescent="0.2">
      <c r="F111" s="6" t="s">
        <v>97</v>
      </c>
      <c r="G111" s="119"/>
      <c r="H111" s="119"/>
      <c r="I111" s="117"/>
      <c r="J111" s="117"/>
      <c r="K111" s="117"/>
      <c r="L111" s="117"/>
      <c r="M111" s="117"/>
    </row>
    <row r="112" spans="5:47" x14ac:dyDescent="0.2">
      <c r="G112" s="119"/>
      <c r="H112" s="119"/>
      <c r="I112" s="185">
        <v>1</v>
      </c>
      <c r="J112" s="186">
        <f>I112+1</f>
        <v>2</v>
      </c>
      <c r="K112" s="186">
        <f t="shared" ref="K112:AU112" si="144">J112+1</f>
        <v>3</v>
      </c>
      <c r="L112" s="186">
        <f t="shared" si="144"/>
        <v>4</v>
      </c>
      <c r="M112" s="186">
        <f t="shared" si="144"/>
        <v>5</v>
      </c>
      <c r="N112" s="186">
        <f t="shared" si="144"/>
        <v>6</v>
      </c>
      <c r="O112" s="186">
        <f t="shared" si="144"/>
        <v>7</v>
      </c>
      <c r="P112" s="186">
        <f t="shared" si="144"/>
        <v>8</v>
      </c>
      <c r="Q112" s="186">
        <f t="shared" si="144"/>
        <v>9</v>
      </c>
      <c r="R112" s="186">
        <f t="shared" si="144"/>
        <v>10</v>
      </c>
      <c r="S112" s="186">
        <f t="shared" si="144"/>
        <v>11</v>
      </c>
      <c r="T112" s="186">
        <f t="shared" si="144"/>
        <v>12</v>
      </c>
      <c r="U112" s="186">
        <f t="shared" si="144"/>
        <v>13</v>
      </c>
      <c r="V112" s="186">
        <f t="shared" si="144"/>
        <v>14</v>
      </c>
      <c r="W112" s="186">
        <f t="shared" si="144"/>
        <v>15</v>
      </c>
      <c r="X112" s="186">
        <f t="shared" si="144"/>
        <v>16</v>
      </c>
      <c r="Y112" s="186">
        <f t="shared" si="144"/>
        <v>17</v>
      </c>
      <c r="Z112" s="186">
        <f t="shared" si="144"/>
        <v>18</v>
      </c>
      <c r="AA112" s="186">
        <f t="shared" si="144"/>
        <v>19</v>
      </c>
      <c r="AB112" s="186">
        <f t="shared" si="144"/>
        <v>20</v>
      </c>
      <c r="AC112" s="186">
        <f t="shared" si="144"/>
        <v>21</v>
      </c>
      <c r="AD112" s="186">
        <f t="shared" si="144"/>
        <v>22</v>
      </c>
      <c r="AE112" s="186">
        <f t="shared" si="144"/>
        <v>23</v>
      </c>
      <c r="AF112" s="186">
        <f t="shared" si="144"/>
        <v>24</v>
      </c>
      <c r="AG112" s="186">
        <f t="shared" si="144"/>
        <v>25</v>
      </c>
      <c r="AH112" s="186">
        <f t="shared" si="144"/>
        <v>26</v>
      </c>
      <c r="AI112" s="186">
        <f t="shared" si="144"/>
        <v>27</v>
      </c>
      <c r="AJ112" s="186">
        <f t="shared" si="144"/>
        <v>28</v>
      </c>
      <c r="AK112" s="186">
        <f t="shared" si="144"/>
        <v>29</v>
      </c>
      <c r="AL112" s="186">
        <f t="shared" si="144"/>
        <v>30</v>
      </c>
      <c r="AM112" s="186">
        <f t="shared" si="144"/>
        <v>31</v>
      </c>
      <c r="AN112" s="186">
        <f t="shared" si="144"/>
        <v>32</v>
      </c>
      <c r="AO112" s="186">
        <f t="shared" si="144"/>
        <v>33</v>
      </c>
      <c r="AP112" s="186">
        <f t="shared" si="144"/>
        <v>34</v>
      </c>
      <c r="AQ112" s="186">
        <f t="shared" si="144"/>
        <v>35</v>
      </c>
      <c r="AR112" s="186">
        <f t="shared" si="144"/>
        <v>36</v>
      </c>
      <c r="AS112" s="186">
        <f t="shared" si="144"/>
        <v>37</v>
      </c>
      <c r="AT112" s="186">
        <f t="shared" si="144"/>
        <v>38</v>
      </c>
      <c r="AU112" s="186">
        <f t="shared" si="144"/>
        <v>39</v>
      </c>
    </row>
    <row r="113" spans="5:47" x14ac:dyDescent="0.2">
      <c r="E113" s="122"/>
      <c r="F113" t="s">
        <v>104</v>
      </c>
      <c r="G113" s="188"/>
      <c r="H113" s="188"/>
      <c r="I113" s="206">
        <f ca="1">VLOOKUP(I112,'401k - Sean'!$A$34:$H$93,8,0)</f>
        <v>14387.339897689311</v>
      </c>
      <c r="J113" s="206">
        <f ca="1">VLOOKUP(J112,'401k - Sean'!$A$34:$H$93,8,0)</f>
        <v>28917.203743447011</v>
      </c>
      <c r="K113" s="206">
        <f ca="1">VLOOKUP(K112,'401k - Sean'!$A$34:$H$93,8,0)</f>
        <v>44617.302880806332</v>
      </c>
      <c r="L113" s="206">
        <f ca="1">VLOOKUP(L112,'401k - Sean'!$A$34:$H$93,8,0)</f>
        <v>61565.37123044036</v>
      </c>
      <c r="M113" s="206">
        <f ca="1">VLOOKUP(M112,'401k - Sean'!$A$34:$H$93,8,0)</f>
        <v>79844.052934893261</v>
      </c>
      <c r="N113" s="206">
        <f ca="1">VLOOKUP(N112,'401k - Sean'!$A$34:$H$93,8,0)</f>
        <v>99541.207811952321</v>
      </c>
      <c r="O113" s="206">
        <f ca="1">VLOOKUP(O112,'401k - Sean'!$A$34:$H$93,8,0)</f>
        <v>120750.23571743455</v>
      </c>
      <c r="P113" s="206">
        <f ca="1">VLOOKUP(P112,'401k - Sean'!$A$34:$H$93,8,0)</f>
        <v>143570.42098616587</v>
      </c>
      <c r="Q113" s="206">
        <f ca="1">VLOOKUP(Q112,'401k - Sean'!$A$34:$H$93,8,0)</f>
        <v>168107.29819213579</v>
      </c>
      <c r="R113" s="206">
        <f ca="1">VLOOKUP(R112,'401k - Sean'!$A$34:$H$93,8,0)</f>
        <v>194473.0405454752</v>
      </c>
      <c r="S113" s="206">
        <f ca="1">VLOOKUP(S112,'401k - Sean'!$A$34:$H$93,8,0)</f>
        <v>222786.87232530574</v>
      </c>
      <c r="T113" s="206">
        <f ca="1">VLOOKUP(T112,'401k - Sean'!$A$34:$H$93,8,0)</f>
        <v>253175.50683393618</v>
      </c>
      <c r="U113" s="206">
        <f ca="1">VLOOKUP(U112,'401k - Sean'!$A$34:$H$93,8,0)</f>
        <v>285773.61144964909</v>
      </c>
      <c r="V113" s="206">
        <f ca="1">VLOOKUP(V112,'401k - Sean'!$A$34:$H$93,8,0)</f>
        <v>320724.30145275505</v>
      </c>
      <c r="W113" s="206">
        <f ca="1">VLOOKUP(W112,'401k - Sean'!$A$34:$H$93,8,0)</f>
        <v>358179.66440304503</v>
      </c>
      <c r="X113" s="206">
        <f ca="1">VLOOKUP(X112,'401k - Sean'!$A$34:$H$93,8,0)</f>
        <v>398301.31695661403</v>
      </c>
      <c r="Y113" s="206">
        <f ca="1">VLOOKUP(Y112,'401k - Sean'!$A$34:$H$93,8,0)</f>
        <v>441260.99612665776</v>
      </c>
      <c r="Z113" s="206">
        <f ca="1">VLOOKUP(Z112,'401k - Sean'!$A$34:$H$93,8,0)</f>
        <v>487241.18711667426</v>
      </c>
      <c r="AA113" s="206">
        <f ca="1">VLOOKUP(AA112,'401k - Sean'!$A$34:$H$93,8,0)</f>
        <v>536435.7899859834</v>
      </c>
      <c r="AB113" s="206">
        <f ca="1">VLOOKUP(AB112,'401k - Sean'!$A$34:$H$93,8,0)</f>
        <v>589050.82754707767</v>
      </c>
      <c r="AC113" s="206">
        <f ca="1">VLOOKUP(AC112,'401k - Sean'!$A$34:$H$93,8,0)</f>
        <v>645305.19704254041</v>
      </c>
      <c r="AD113" s="206">
        <f ca="1">VLOOKUP(AD112,'401k - Sean'!$A$34:$H$93,8,0)</f>
        <v>705431.46830664994</v>
      </c>
      <c r="AE113" s="206">
        <f ca="1">VLOOKUP(AE112,'401k - Sean'!$A$34:$H$93,8,0)</f>
        <v>769676.73128388182</v>
      </c>
      <c r="AF113" s="206">
        <f ca="1">VLOOKUP(AF112,'401k - Sean'!$A$34:$H$93,8,0)</f>
        <v>838303.49595394847</v>
      </c>
      <c r="AG113" s="206">
        <f ca="1">VLOOKUP(AG112,'401k - Sean'!$A$34:$H$93,8,0)</f>
        <v>911590.64790138928</v>
      </c>
      <c r="AH113" s="206">
        <f ca="1">VLOOKUP(AH112,'401k - Sean'!$A$34:$H$93,8,0)</f>
        <v>989834.46296774165</v>
      </c>
      <c r="AI113" s="206">
        <f ca="1">VLOOKUP(AI112,'401k - Sean'!$A$34:$H$93,8,0)</f>
        <v>1073349.6846366916</v>
      </c>
      <c r="AJ113" s="206">
        <f ca="1">VLOOKUP(AJ112,'401k - Sean'!$A$34:$H$93,8,0)</f>
        <v>1162470.6680280867</v>
      </c>
      <c r="AK113" s="206">
        <f ca="1">VLOOKUP(AK112,'401k - Sean'!$A$34:$H$93,8,0)</f>
        <v>1257552.5946161079</v>
      </c>
      <c r="AL113" s="206">
        <f ca="1">VLOOKUP(AL112,'401k - Sean'!$A$34:$H$93,8,0)</f>
        <v>1358972.7620410987</v>
      </c>
      <c r="AM113" s="206">
        <f ca="1">VLOOKUP(AM112,'401k - Sean'!$A$34:$H$93,8,0)</f>
        <v>1467131.9536544448</v>
      </c>
      <c r="AN113" s="206">
        <f ca="1">VLOOKUP(AN112,'401k - Sean'!$A$34:$H$93,8,0)</f>
        <v>1582455.8927224791</v>
      </c>
      <c r="AO113" s="206">
        <f ca="1">VLOOKUP(AO112,'401k - Sean'!$A$34:$H$93,8,0)</f>
        <v>1705396.7865196459</v>
      </c>
      <c r="AP113" s="206">
        <f ca="1">VLOOKUP(AP112,'401k - Sean'!$A$34:$H$93,8,0)</f>
        <v>1836434.9658642348</v>
      </c>
      <c r="AQ113" s="206">
        <f ca="1">VLOOKUP(AQ112,'401k - Sean'!$A$34:$H$93,8,0)</f>
        <v>1976080.6259930027</v>
      </c>
      <c r="AR113" s="206">
        <f ca="1">VLOOKUP(AR112,'401k - Sean'!$A$34:$H$93,8,0)</f>
        <v>2124875.6750352192</v>
      </c>
      <c r="AS113" s="206">
        <f ca="1">AR113</f>
        <v>2124875.6750352192</v>
      </c>
      <c r="AT113" s="206"/>
      <c r="AU113" s="206"/>
    </row>
    <row r="114" spans="5:47" x14ac:dyDescent="0.2">
      <c r="E114" s="122"/>
      <c r="F114" s="32" t="s">
        <v>47</v>
      </c>
      <c r="G114" s="188"/>
      <c r="H114" s="188"/>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c r="AR114" s="206"/>
      <c r="AS114" s="206"/>
      <c r="AT114" s="206"/>
      <c r="AU114" s="206"/>
    </row>
    <row r="115" spans="5:47" x14ac:dyDescent="0.2">
      <c r="G115" s="119"/>
      <c r="H115" s="119"/>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row>
    <row r="116" spans="5:47" x14ac:dyDescent="0.2">
      <c r="G116" s="119"/>
      <c r="H116" s="119"/>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c r="AL116" s="117"/>
      <c r="AM116" s="117"/>
      <c r="AN116" s="117"/>
      <c r="AO116" s="117"/>
      <c r="AP116" s="117"/>
      <c r="AQ116" s="117"/>
      <c r="AR116" s="117"/>
      <c r="AS116" s="117"/>
      <c r="AT116" s="117"/>
      <c r="AU116" s="117"/>
    </row>
    <row r="117" spans="5:47" x14ac:dyDescent="0.2">
      <c r="E117" s="120"/>
      <c r="F117" t="s">
        <v>104</v>
      </c>
      <c r="G117" s="189">
        <v>53296.54</v>
      </c>
      <c r="H117" s="190">
        <v>93188.51</v>
      </c>
      <c r="I117" s="206">
        <f ca="1">VLOOKUP(J112,'401k - Vincent'!$A$34:$H$93,8,0)</f>
        <v>117115.77414152819</v>
      </c>
      <c r="J117" s="206">
        <f ca="1">VLOOKUP(K112,'401k - Vincent'!$A$34:$H$93,8,0)</f>
        <v>152851.96085911407</v>
      </c>
      <c r="K117" s="206">
        <f ca="1">VLOOKUP(L112,'401k - Vincent'!$A$34:$H$93,8,0)</f>
        <v>191365.38199657964</v>
      </c>
      <c r="L117" s="206">
        <f ca="1">VLOOKUP(M112,'401k - Vincent'!$A$34:$H$93,8,0)</f>
        <v>232838.96939962488</v>
      </c>
      <c r="M117" s="206">
        <f ca="1">VLOOKUP(N112,'401k - Vincent'!$A$34:$H$93,8,0)</f>
        <v>277467.18138299644</v>
      </c>
      <c r="N117" s="206">
        <f ca="1">VLOOKUP(O112,'401k - Vincent'!$A$34:$H$93,8,0)</f>
        <v>325456.71920196648</v>
      </c>
      <c r="O117" s="206">
        <f ca="1">VLOOKUP(P112,'401k - Vincent'!$A$34:$H$93,8,0)</f>
        <v>377027.28786655597</v>
      </c>
      <c r="P117" s="206">
        <f ca="1">VLOOKUP(Q112,'401k - Vincent'!$A$34:$H$93,8,0)</f>
        <v>432412.40403907391</v>
      </c>
      <c r="Q117" s="206">
        <f ca="1">VLOOKUP(R112,'401k - Vincent'!$A$34:$H$93,8,0)</f>
        <v>491860.25392484752</v>
      </c>
      <c r="R117" s="206">
        <f ca="1">VLOOKUP(S112,'401k - Vincent'!$A$34:$H$93,8,0)</f>
        <v>555634.60424577782</v>
      </c>
      <c r="S117" s="206">
        <f ca="1">VLOOKUP(T112,'401k - Vincent'!$A$34:$H$93,8,0)</f>
        <v>624015.76957721903</v>
      </c>
      <c r="T117" s="206">
        <f ca="1">VLOOKUP(U112,'401k - Vincent'!$A$34:$H$93,8,0)</f>
        <v>697301.639531333</v>
      </c>
      <c r="U117" s="206">
        <f ca="1">VLOOKUP(V112,'401k - Vincent'!$A$34:$H$93,8,0)</f>
        <v>775808.76948523952</v>
      </c>
      <c r="V117" s="206">
        <f ca="1">VLOOKUP(W112,'401k - Vincent'!$A$34:$H$93,8,0)</f>
        <v>859873.53878074291</v>
      </c>
      <c r="W117" s="206">
        <f ca="1">VLOOKUP(X112,'401k - Vincent'!$A$34:$H$93,8,0)</f>
        <v>949853.38056498824</v>
      </c>
      <c r="X117" s="206">
        <f ca="1">VLOOKUP(Y112,'401k - Vincent'!$A$34:$H$93,8,0)</f>
        <v>1046128.0876989544</v>
      </c>
      <c r="Y117" s="206">
        <f ca="1">VLOOKUP(Z112,'401k - Vincent'!$A$34:$H$93,8,0)</f>
        <v>1149101.1994341512</v>
      </c>
      <c r="Z117" s="206">
        <f ca="1">VLOOKUP(AA112,'401k - Vincent'!$A$34:$H$93,8,0)</f>
        <v>1259201.4738482453</v>
      </c>
      <c r="AA117" s="206">
        <f ca="1">VLOOKUP(AB112,'401k - Vincent'!$A$34:$H$93,8,0)</f>
        <v>1376884.4513386239</v>
      </c>
      <c r="AB117" s="206">
        <f ca="1">VLOOKUP(AC112,'401k - Vincent'!$A$34:$H$93,8,0)</f>
        <v>1502634.1148002332</v>
      </c>
      <c r="AC117" s="206">
        <f ca="1">VLOOKUP(AD112,'401k - Vincent'!$A$34:$H$93,8,0)</f>
        <v>1636964.65246158</v>
      </c>
      <c r="AD117" s="206">
        <f ca="1">VLOOKUP(AE112,'401k - Vincent'!$A$34:$H$93,8,0)</f>
        <v>1780422.3297217917</v>
      </c>
      <c r="AE117" s="206">
        <f ca="1">VLOOKUP(AF112,'401k - Vincent'!$A$34:$H$93,8,0)</f>
        <v>1933587.4767234402</v>
      </c>
      <c r="AF117" s="206">
        <f ca="1">VLOOKUP(AG112,'401k - Vincent'!$A$34:$H$93,8,0)</f>
        <v>2097076.5988118402</v>
      </c>
      <c r="AG117" s="206">
        <f ca="1">VLOOKUP(AH112,'401k - Vincent'!$A$34:$H$93,8,0)</f>
        <v>2271544.6174732288</v>
      </c>
      <c r="AH117" s="206">
        <f ca="1">VLOOKUP(AI112,'401k - Vincent'!$A$34:$H$93,8,0)</f>
        <v>2457687.2498132219</v>
      </c>
      <c r="AI117" s="206">
        <f ca="1">VLOOKUP(AJ112,'401k - Vincent'!$A$34:$H$93,8,0)</f>
        <v>2656243.5351348873</v>
      </c>
      <c r="AJ117" s="206">
        <f ca="1">VLOOKUP(AK112,'401k - Vincent'!$A$34:$H$93,8,0)</f>
        <v>2867998.5177044808</v>
      </c>
      <c r="AK117" s="206">
        <f ca="1">VLOOKUP(AL112,'401k - Vincent'!$A$34:$H$93,8,0)</f>
        <v>3093786.0953542516</v>
      </c>
      <c r="AL117" s="206">
        <f ca="1">VLOOKUP(AM112,'401k - Vincent'!$A$34:$H$93,8,0)</f>
        <v>3334492.0441677594</v>
      </c>
      <c r="AM117" s="206">
        <f ca="1">VLOOKUP(AN112,'401k - Vincent'!$A$34:$H$93,8,0)</f>
        <v>3591057.2301259884</v>
      </c>
      <c r="AN117" s="206">
        <f ca="1">VLOOKUP(AO112,'401k - Vincent'!$A$34:$H$93,8,0)</f>
        <v>3864481.0192644768</v>
      </c>
      <c r="AO117" s="206">
        <f ca="1">VLOOKUP(AP112,'401k - Vincent'!$A$34:$H$93,8,0)</f>
        <v>4155824.8986051311</v>
      </c>
      <c r="AP117" s="206">
        <f ca="1">VLOOKUP(AQ112,'401k - Vincent'!$A$34:$H$93,8,0)</f>
        <v>4466216.3208838729</v>
      </c>
      <c r="AQ117" s="206">
        <f ca="1">VLOOKUP(AR112,'401k - Vincent'!$A$34:$H$93,8,0)</f>
        <v>4796852.7868995722</v>
      </c>
      <c r="AR117" s="206">
        <f ca="1">VLOOKUP(AS112,'401k - Vincent'!$A$34:$H$93,8,0)</f>
        <v>5149006.1801636936</v>
      </c>
      <c r="AS117" s="206">
        <f ca="1">VLOOKUP(AT112,'401k - Vincent'!$A$34:$H$93,8,0)</f>
        <v>5524027.3694367604</v>
      </c>
      <c r="AT117" s="206"/>
      <c r="AU117" s="206"/>
    </row>
    <row r="118" spans="5:47" x14ac:dyDescent="0.2">
      <c r="E118" s="120"/>
      <c r="F118" s="32" t="s">
        <v>48</v>
      </c>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c r="AS118" s="206"/>
      <c r="AT118" s="206"/>
      <c r="AU118" s="206"/>
    </row>
    <row r="119" spans="5:47" ht="13.5" thickBot="1" x14ac:dyDescent="0.25">
      <c r="G119" s="119"/>
      <c r="H119" s="119"/>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c r="AI119" s="117"/>
      <c r="AJ119" s="117"/>
      <c r="AK119" s="117"/>
      <c r="AL119" s="117"/>
      <c r="AM119" s="117"/>
      <c r="AN119" s="117"/>
      <c r="AO119" s="117"/>
      <c r="AP119" s="117"/>
      <c r="AQ119" s="117"/>
      <c r="AR119" s="117"/>
      <c r="AS119" s="117"/>
      <c r="AT119" s="117"/>
      <c r="AU119" s="117"/>
    </row>
    <row r="120" spans="5:47" ht="13.5" thickBot="1" x14ac:dyDescent="0.25">
      <c r="E120" s="121"/>
      <c r="F120" t="s">
        <v>94</v>
      </c>
      <c r="G120" s="201">
        <f>G113+G117</f>
        <v>53296.54</v>
      </c>
      <c r="H120" s="202">
        <f>H113+H117</f>
        <v>93188.51</v>
      </c>
      <c r="I120" s="220">
        <f ca="1">I113+I117</f>
        <v>131503.1140392175</v>
      </c>
      <c r="J120" s="220">
        <f t="shared" ref="J120:L120" ca="1" si="145">J113+J117</f>
        <v>181769.1646025611</v>
      </c>
      <c r="K120" s="220">
        <f t="shared" ca="1" si="145"/>
        <v>235982.68487738597</v>
      </c>
      <c r="L120" s="220">
        <f t="shared" ca="1" si="145"/>
        <v>294404.34063006524</v>
      </c>
      <c r="M120" s="220">
        <f t="shared" ref="M120:AS120" ca="1" si="146">M113+M117</f>
        <v>357311.23431788967</v>
      </c>
      <c r="N120" s="220">
        <f t="shared" ca="1" si="146"/>
        <v>424997.92701391882</v>
      </c>
      <c r="O120" s="220">
        <f t="shared" ca="1" si="146"/>
        <v>497777.52358399052</v>
      </c>
      <c r="P120" s="220">
        <f t="shared" ca="1" si="146"/>
        <v>575982.82502523973</v>
      </c>
      <c r="Q120" s="220">
        <f t="shared" ca="1" si="146"/>
        <v>659967.55211698334</v>
      </c>
      <c r="R120" s="220">
        <f t="shared" ca="1" si="146"/>
        <v>750107.64479125303</v>
      </c>
      <c r="S120" s="220">
        <f t="shared" ca="1" si="146"/>
        <v>846802.64190252475</v>
      </c>
      <c r="T120" s="220">
        <f t="shared" ca="1" si="146"/>
        <v>950477.1463652692</v>
      </c>
      <c r="U120" s="220">
        <f t="shared" ca="1" si="146"/>
        <v>1061582.3809348885</v>
      </c>
      <c r="V120" s="220">
        <f t="shared" ca="1" si="146"/>
        <v>1180597.840233498</v>
      </c>
      <c r="W120" s="220">
        <f t="shared" ca="1" si="146"/>
        <v>1308033.0449680332</v>
      </c>
      <c r="X120" s="220">
        <f t="shared" ca="1" si="146"/>
        <v>1444429.4046555683</v>
      </c>
      <c r="Y120" s="220">
        <f t="shared" ca="1" si="146"/>
        <v>1590362.195560809</v>
      </c>
      <c r="Z120" s="220">
        <f t="shared" ca="1" si="146"/>
        <v>1746442.6609649197</v>
      </c>
      <c r="AA120" s="220">
        <f t="shared" ca="1" si="146"/>
        <v>1913320.2413246073</v>
      </c>
      <c r="AB120" s="220">
        <f t="shared" ca="1" si="146"/>
        <v>2091684.9423473109</v>
      </c>
      <c r="AC120" s="220">
        <f t="shared" ca="1" si="146"/>
        <v>2282269.8495041206</v>
      </c>
      <c r="AD120" s="220">
        <f t="shared" ca="1" si="146"/>
        <v>2485853.7980284416</v>
      </c>
      <c r="AE120" s="220">
        <f t="shared" ca="1" si="146"/>
        <v>2703264.2080073222</v>
      </c>
      <c r="AF120" s="220">
        <f t="shared" ca="1" si="146"/>
        <v>2935380.0947657889</v>
      </c>
      <c r="AG120" s="220">
        <f t="shared" ca="1" si="146"/>
        <v>3183135.2653746181</v>
      </c>
      <c r="AH120" s="220">
        <f t="shared" ca="1" si="146"/>
        <v>3447521.7127809636</v>
      </c>
      <c r="AI120" s="220">
        <f t="shared" ca="1" si="146"/>
        <v>3729593.2197715789</v>
      </c>
      <c r="AJ120" s="220">
        <f t="shared" ca="1" si="146"/>
        <v>4030469.1857325677</v>
      </c>
      <c r="AK120" s="220">
        <f t="shared" ca="1" si="146"/>
        <v>4351338.6899703592</v>
      </c>
      <c r="AL120" s="220">
        <f t="shared" ca="1" si="146"/>
        <v>4693464.8062088583</v>
      </c>
      <c r="AM120" s="220">
        <f t="shared" ca="1" si="146"/>
        <v>5058189.1837804336</v>
      </c>
      <c r="AN120" s="220">
        <f t="shared" ca="1" si="146"/>
        <v>5446936.9119869564</v>
      </c>
      <c r="AO120" s="220">
        <f t="shared" ca="1" si="146"/>
        <v>5861221.6851247773</v>
      </c>
      <c r="AP120" s="220">
        <f t="shared" ca="1" si="146"/>
        <v>6302651.2867481075</v>
      </c>
      <c r="AQ120" s="220">
        <f t="shared" ca="1" si="146"/>
        <v>6772933.4128925744</v>
      </c>
      <c r="AR120" s="220">
        <f t="shared" ca="1" si="146"/>
        <v>7273881.8551989123</v>
      </c>
      <c r="AS120" s="221">
        <f t="shared" ca="1" si="146"/>
        <v>7648903.0444719791</v>
      </c>
      <c r="AT120" s="117"/>
      <c r="AU120" s="117"/>
    </row>
    <row r="121" spans="5:47" x14ac:dyDescent="0.2">
      <c r="G121" s="119"/>
      <c r="H121" s="119"/>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382-9FFC-4197-BD90-ABC1CBAD4923}">
  <dimension ref="A1:Y48"/>
  <sheetViews>
    <sheetView zoomScale="85" zoomScaleNormal="85" workbookViewId="0">
      <selection activeCell="H17" sqref="H17"/>
    </sheetView>
  </sheetViews>
  <sheetFormatPr defaultRowHeight="12.75" x14ac:dyDescent="0.2"/>
  <cols>
    <col min="2" max="2" width="13.28515625" bestFit="1" customWidth="1"/>
    <col min="3" max="3" width="12.7109375" bestFit="1" customWidth="1"/>
    <col min="4" max="4" width="13.5703125" bestFit="1" customWidth="1"/>
    <col min="5" max="5" width="9.42578125" bestFit="1" customWidth="1"/>
    <col min="6" max="6" width="15.140625" bestFit="1" customWidth="1"/>
    <col min="7" max="9" width="20.7109375" customWidth="1"/>
    <col min="10" max="10" width="19.28515625" hidden="1" customWidth="1"/>
    <col min="11" max="12" width="20.7109375" hidden="1" customWidth="1"/>
    <col min="13" max="13" width="26.42578125" hidden="1" customWidth="1"/>
    <col min="14" max="14" width="20.7109375" hidden="1" customWidth="1"/>
    <col min="15" max="24" width="20.7109375" customWidth="1"/>
    <col min="25" max="26" width="14" bestFit="1" customWidth="1"/>
    <col min="27" max="30" width="11.5703125" bestFit="1" customWidth="1"/>
    <col min="31" max="33" width="10.5703125" bestFit="1" customWidth="1"/>
    <col min="34" max="35" width="11.5703125" bestFit="1" customWidth="1"/>
  </cols>
  <sheetData>
    <row r="1" spans="1:25" x14ac:dyDescent="0.2">
      <c r="U1" s="32"/>
      <c r="V1" s="32" t="s">
        <v>42</v>
      </c>
      <c r="W1" s="35">
        <v>0.05</v>
      </c>
    </row>
    <row r="2" spans="1:25" x14ac:dyDescent="0.2">
      <c r="D2" s="33">
        <f>O2*13</f>
        <v>78000</v>
      </c>
      <c r="E2" s="33"/>
      <c r="F2" s="33"/>
      <c r="G2" s="33"/>
      <c r="H2" s="34">
        <f>19500/(H6+H6*0.04)</f>
        <v>3.125</v>
      </c>
      <c r="I2" s="33"/>
      <c r="J2" s="33"/>
      <c r="K2" s="33"/>
      <c r="L2" s="33"/>
      <c r="M2" s="33"/>
      <c r="N2" s="33"/>
      <c r="O2" s="47">
        <f>O6*2</f>
        <v>6000</v>
      </c>
      <c r="P2" s="42">
        <v>0.12</v>
      </c>
      <c r="Q2" s="1">
        <f>Q7*2</f>
        <v>756</v>
      </c>
      <c r="S2" s="33">
        <f>O2-Q2</f>
        <v>5244</v>
      </c>
      <c r="U2" s="32"/>
      <c r="V2" s="32" t="s">
        <v>43</v>
      </c>
      <c r="W2" s="70">
        <v>0</v>
      </c>
    </row>
    <row r="3" spans="1:25" ht="15" x14ac:dyDescent="0.25">
      <c r="D3" s="33">
        <f>O3*13</f>
        <v>49140</v>
      </c>
      <c r="E3" s="33"/>
      <c r="F3" s="33"/>
      <c r="G3" s="33"/>
      <c r="H3" s="33"/>
      <c r="I3" s="33"/>
      <c r="J3" s="33"/>
      <c r="K3" s="33"/>
      <c r="L3" s="33"/>
      <c r="M3" s="33"/>
      <c r="N3" s="33"/>
      <c r="O3" s="33">
        <f>O2*(0.63)</f>
        <v>3780</v>
      </c>
      <c r="Q3" s="1">
        <f>Q2</f>
        <v>756</v>
      </c>
      <c r="R3" s="35"/>
      <c r="S3" s="33">
        <f>O3-Q3</f>
        <v>3024</v>
      </c>
      <c r="U3" s="47"/>
      <c r="V3" s="47" t="s">
        <v>44</v>
      </c>
      <c r="W3" s="93">
        <f>W1-W2</f>
        <v>0.05</v>
      </c>
    </row>
    <row r="4" spans="1:25" x14ac:dyDescent="0.2">
      <c r="A4">
        <f>COUNTA(A6:A42)</f>
        <v>37</v>
      </c>
      <c r="D4" s="32" t="s">
        <v>20</v>
      </c>
      <c r="J4" s="32" t="s">
        <v>33</v>
      </c>
    </row>
    <row r="5" spans="1:25" x14ac:dyDescent="0.2">
      <c r="A5" s="32" t="s">
        <v>26</v>
      </c>
      <c r="B5" s="32" t="s">
        <v>27</v>
      </c>
      <c r="C5" s="32" t="s">
        <v>21</v>
      </c>
      <c r="D5" s="32" t="s">
        <v>45</v>
      </c>
      <c r="E5" s="32"/>
      <c r="F5" s="32"/>
      <c r="G5" s="32" t="s">
        <v>28</v>
      </c>
      <c r="H5" s="32" t="s">
        <v>30</v>
      </c>
      <c r="I5" s="32" t="s">
        <v>31</v>
      </c>
      <c r="J5" s="32" t="s">
        <v>35</v>
      </c>
      <c r="K5" s="32" t="s">
        <v>34</v>
      </c>
      <c r="L5" s="32" t="s">
        <v>40</v>
      </c>
      <c r="M5" s="32" t="s">
        <v>39</v>
      </c>
      <c r="N5" s="32" t="s">
        <v>41</v>
      </c>
      <c r="O5" s="32" t="s">
        <v>29</v>
      </c>
      <c r="P5" s="32" t="s">
        <v>22</v>
      </c>
      <c r="Q5" s="32" t="s">
        <v>32</v>
      </c>
      <c r="R5" s="32" t="s">
        <v>23</v>
      </c>
      <c r="S5" s="32" t="s">
        <v>25</v>
      </c>
      <c r="T5" s="32" t="s">
        <v>24</v>
      </c>
      <c r="U5" s="32"/>
      <c r="V5" s="32" t="s">
        <v>37</v>
      </c>
      <c r="W5" s="32" t="s">
        <v>38</v>
      </c>
      <c r="X5" s="32" t="s">
        <v>36</v>
      </c>
    </row>
    <row r="6" spans="1:25" ht="15" x14ac:dyDescent="0.25">
      <c r="A6" s="94">
        <f>31</f>
        <v>31</v>
      </c>
      <c r="B6" s="94">
        <v>2021</v>
      </c>
      <c r="C6" s="83"/>
      <c r="D6" s="84">
        <f>O6*26</f>
        <v>78000</v>
      </c>
      <c r="E6" s="85"/>
      <c r="F6" s="84"/>
      <c r="G6" s="53">
        <f>D6*0.63</f>
        <v>49140</v>
      </c>
      <c r="H6" s="53">
        <f>O6*2</f>
        <v>6000</v>
      </c>
      <c r="I6" s="53">
        <f>G6/13</f>
        <v>3780</v>
      </c>
      <c r="J6" s="46"/>
      <c r="K6" s="46"/>
      <c r="L6" s="46"/>
      <c r="M6" s="46"/>
      <c r="N6" s="46"/>
      <c r="O6" s="56">
        <v>3000</v>
      </c>
      <c r="P6" s="57">
        <v>0.08</v>
      </c>
      <c r="Q6" s="57"/>
      <c r="R6" s="56">
        <v>3120</v>
      </c>
      <c r="S6" s="65"/>
      <c r="T6" s="65">
        <v>960</v>
      </c>
      <c r="U6" s="68"/>
      <c r="V6" s="68">
        <f>T6+R6</f>
        <v>4080</v>
      </c>
      <c r="W6" s="72">
        <f>FV(W3/12,12,-1*V6/12)</f>
        <v>4174.8108671494474</v>
      </c>
      <c r="X6" s="48"/>
      <c r="Y6" s="37">
        <f t="shared" ref="Y6:Y42" si="0">$Y$43/(1+0.04)^(67-A6)</f>
        <v>548254.62416961894</v>
      </c>
    </row>
    <row r="7" spans="1:25" ht="15" x14ac:dyDescent="0.25">
      <c r="A7" s="95">
        <f>A6+1</f>
        <v>32</v>
      </c>
      <c r="B7" s="95">
        <f>B6+1</f>
        <v>2022</v>
      </c>
      <c r="C7" s="91"/>
      <c r="D7" s="86">
        <f>D6*1.05+C7</f>
        <v>81900</v>
      </c>
      <c r="E7" s="87"/>
      <c r="F7" s="86"/>
      <c r="G7" s="54">
        <f t="shared" ref="G7:G43" si="1">D7*0.63</f>
        <v>51597</v>
      </c>
      <c r="H7" s="54">
        <f t="shared" ref="H7:H43" si="2">O7*2</f>
        <v>6300</v>
      </c>
      <c r="I7" s="54">
        <f t="shared" ref="I7:I43" si="3">G7/13</f>
        <v>3969</v>
      </c>
      <c r="J7" s="38">
        <f t="shared" ref="J7:J42" si="4">Q7*2</f>
        <v>756</v>
      </c>
      <c r="K7" s="38">
        <f>I7-J7</f>
        <v>3213</v>
      </c>
      <c r="L7" s="38">
        <f>K7*12</f>
        <v>38556</v>
      </c>
      <c r="M7" s="38">
        <f>G7*0.33</f>
        <v>17027.010000000002</v>
      </c>
      <c r="N7" s="38">
        <f>L7-M7</f>
        <v>21528.989999999998</v>
      </c>
      <c r="O7" s="58">
        <f t="shared" ref="O7:O43" si="5">D7/26</f>
        <v>3150</v>
      </c>
      <c r="P7" s="59">
        <f>$P$2</f>
        <v>0.12</v>
      </c>
      <c r="Q7" s="60">
        <f>P7*O7</f>
        <v>378</v>
      </c>
      <c r="R7" s="60">
        <f>Q7*26</f>
        <v>9828</v>
      </c>
      <c r="S7" s="66">
        <f t="shared" ref="S7:S42" si="6">MIN(Q7*0.5, O7*0.08*0.5)</f>
        <v>126</v>
      </c>
      <c r="T7" s="66">
        <f>S7*26</f>
        <v>3276</v>
      </c>
      <c r="U7" s="64"/>
      <c r="V7" s="64">
        <f t="shared" ref="V7:V24" si="7">MIN(T7+R7,19500)</f>
        <v>13104</v>
      </c>
      <c r="W7" s="73">
        <f>FV($W$3/12,12,-1*V7/12,-1*W6)</f>
        <v>17796.912311254793</v>
      </c>
      <c r="X7" s="45"/>
      <c r="Y7" s="39">
        <f t="shared" si="0"/>
        <v>570184.80913640361</v>
      </c>
    </row>
    <row r="8" spans="1:25" ht="15" x14ac:dyDescent="0.25">
      <c r="A8" s="95">
        <f t="shared" ref="A8:A42" si="8">A7+1</f>
        <v>33</v>
      </c>
      <c r="B8" s="95">
        <f t="shared" ref="B8:B40" si="9">B7+1</f>
        <v>2023</v>
      </c>
      <c r="C8" s="91"/>
      <c r="D8" s="86">
        <f t="shared" ref="D8:D40" si="10">D7*1.02+C8</f>
        <v>83538</v>
      </c>
      <c r="E8" s="87"/>
      <c r="F8" s="86"/>
      <c r="G8" s="54">
        <f t="shared" si="1"/>
        <v>52628.94</v>
      </c>
      <c r="H8" s="54">
        <f t="shared" si="2"/>
        <v>6426</v>
      </c>
      <c r="I8" s="54">
        <f t="shared" si="3"/>
        <v>4048.38</v>
      </c>
      <c r="J8" s="38">
        <f t="shared" si="4"/>
        <v>771.12</v>
      </c>
      <c r="K8" s="38">
        <f t="shared" ref="K8:K42" si="11">I8-J8</f>
        <v>3277.26</v>
      </c>
      <c r="L8" s="38">
        <f t="shared" ref="L8:L43" si="12">K8*12</f>
        <v>39327.120000000003</v>
      </c>
      <c r="M8" s="38">
        <f t="shared" ref="M8:M42" si="13">G8*0.33</f>
        <v>17367.550200000001</v>
      </c>
      <c r="N8" s="38">
        <f t="shared" ref="N8:N42" si="14">L8-M8</f>
        <v>21959.569800000001</v>
      </c>
      <c r="O8" s="58">
        <f t="shared" si="5"/>
        <v>3213</v>
      </c>
      <c r="P8" s="59">
        <f t="shared" ref="P8:P42" si="15">$P$2</f>
        <v>0.12</v>
      </c>
      <c r="Q8" s="60">
        <f t="shared" ref="Q8:Q40" si="16">P8*O8</f>
        <v>385.56</v>
      </c>
      <c r="R8" s="60">
        <f t="shared" ref="R8:R42" si="17">Q8*26</f>
        <v>10024.56</v>
      </c>
      <c r="S8" s="66">
        <f t="shared" si="6"/>
        <v>128.52000000000001</v>
      </c>
      <c r="T8" s="66">
        <f t="shared" ref="T8:T42" si="18">S8*26</f>
        <v>3341.5200000000004</v>
      </c>
      <c r="U8" s="64"/>
      <c r="V8" s="64">
        <f t="shared" si="7"/>
        <v>13366.08</v>
      </c>
      <c r="W8" s="73">
        <f t="shared" ref="W8:W42" si="19">FV($W$3/12,12,-1*V8/12,-1*W7)</f>
        <v>32384.116522314962</v>
      </c>
      <c r="X8" s="45"/>
      <c r="Y8" s="39">
        <f t="shared" si="0"/>
        <v>592992.20150185982</v>
      </c>
    </row>
    <row r="9" spans="1:25" ht="15" x14ac:dyDescent="0.25">
      <c r="A9" s="95">
        <f t="shared" si="8"/>
        <v>34</v>
      </c>
      <c r="B9" s="95">
        <f t="shared" si="9"/>
        <v>2024</v>
      </c>
      <c r="C9" s="91"/>
      <c r="D9" s="86">
        <f t="shared" si="10"/>
        <v>85208.76</v>
      </c>
      <c r="E9" s="87"/>
      <c r="F9" s="86"/>
      <c r="G9" s="54">
        <f t="shared" si="1"/>
        <v>53681.518799999998</v>
      </c>
      <c r="H9" s="54">
        <f t="shared" si="2"/>
        <v>6554.5199999999995</v>
      </c>
      <c r="I9" s="54">
        <f t="shared" si="3"/>
        <v>4129.3476000000001</v>
      </c>
      <c r="J9" s="38">
        <f t="shared" si="4"/>
        <v>786.54239999999993</v>
      </c>
      <c r="K9" s="38">
        <f t="shared" si="11"/>
        <v>3342.8052000000002</v>
      </c>
      <c r="L9" s="38">
        <f t="shared" si="12"/>
        <v>40113.662400000001</v>
      </c>
      <c r="M9" s="38">
        <f t="shared" si="13"/>
        <v>17714.901204000002</v>
      </c>
      <c r="N9" s="38">
        <f t="shared" si="14"/>
        <v>22398.761195999999</v>
      </c>
      <c r="O9" s="58">
        <f t="shared" si="5"/>
        <v>3277.2599999999998</v>
      </c>
      <c r="P9" s="59">
        <f t="shared" si="15"/>
        <v>0.12</v>
      </c>
      <c r="Q9" s="60">
        <f t="shared" si="16"/>
        <v>393.27119999999996</v>
      </c>
      <c r="R9" s="60">
        <f t="shared" si="17"/>
        <v>10225.0512</v>
      </c>
      <c r="S9" s="66">
        <f t="shared" si="6"/>
        <v>131.09039999999999</v>
      </c>
      <c r="T9" s="66">
        <f t="shared" si="18"/>
        <v>3408.3503999999998</v>
      </c>
      <c r="U9" s="64"/>
      <c r="V9" s="64">
        <f t="shared" si="7"/>
        <v>13633.401599999999</v>
      </c>
      <c r="W9" s="73">
        <f t="shared" si="19"/>
        <v>47991.163393617018</v>
      </c>
      <c r="X9" s="45"/>
      <c r="Y9" s="39">
        <f t="shared" si="0"/>
        <v>616711.88956193428</v>
      </c>
    </row>
    <row r="10" spans="1:25" ht="15" x14ac:dyDescent="0.25">
      <c r="A10" s="95">
        <f t="shared" si="8"/>
        <v>35</v>
      </c>
      <c r="B10" s="95">
        <f t="shared" si="9"/>
        <v>2025</v>
      </c>
      <c r="C10" s="91"/>
      <c r="D10" s="86">
        <f t="shared" si="10"/>
        <v>86912.935199999993</v>
      </c>
      <c r="E10" s="87">
        <v>2.1</v>
      </c>
      <c r="F10" s="86">
        <f>D10*2.1</f>
        <v>182517.16391999999</v>
      </c>
      <c r="G10" s="54">
        <f t="shared" si="1"/>
        <v>54755.149175999999</v>
      </c>
      <c r="H10" s="54">
        <f t="shared" si="2"/>
        <v>6685.6103999999996</v>
      </c>
      <c r="I10" s="54">
        <f t="shared" si="3"/>
        <v>4211.9345519999997</v>
      </c>
      <c r="J10" s="43">
        <f t="shared" si="4"/>
        <v>802.27324799999997</v>
      </c>
      <c r="K10" s="43">
        <f t="shared" si="11"/>
        <v>3409.6613039999997</v>
      </c>
      <c r="L10" s="43">
        <f t="shared" si="12"/>
        <v>40915.935647999999</v>
      </c>
      <c r="M10" s="43">
        <f t="shared" si="13"/>
        <v>18069.19922808</v>
      </c>
      <c r="N10" s="43">
        <f t="shared" si="14"/>
        <v>22846.736419919998</v>
      </c>
      <c r="O10" s="58">
        <f t="shared" si="5"/>
        <v>3342.8051999999998</v>
      </c>
      <c r="P10" s="59">
        <f t="shared" si="15"/>
        <v>0.12</v>
      </c>
      <c r="Q10" s="60">
        <f t="shared" si="16"/>
        <v>401.13662399999998</v>
      </c>
      <c r="R10" s="60">
        <f t="shared" si="17"/>
        <v>10429.552223999999</v>
      </c>
      <c r="S10" s="66">
        <f t="shared" si="6"/>
        <v>133.712208</v>
      </c>
      <c r="T10" s="66">
        <f t="shared" si="18"/>
        <v>3476.5174080000002</v>
      </c>
      <c r="U10" s="64"/>
      <c r="V10" s="64">
        <f t="shared" si="7"/>
        <v>13906.069631999999</v>
      </c>
      <c r="W10" s="73">
        <f t="shared" si="19"/>
        <v>64675.700683359995</v>
      </c>
      <c r="X10" s="50">
        <f>W10/F10-1</f>
        <v>-0.64564592559794365</v>
      </c>
      <c r="Y10" s="44">
        <f t="shared" si="0"/>
        <v>641380.36514441168</v>
      </c>
    </row>
    <row r="11" spans="1:25" ht="15" x14ac:dyDescent="0.25">
      <c r="A11" s="95">
        <f t="shared" si="8"/>
        <v>36</v>
      </c>
      <c r="B11" s="95">
        <f t="shared" si="9"/>
        <v>2026</v>
      </c>
      <c r="C11" s="91"/>
      <c r="D11" s="86">
        <f t="shared" si="10"/>
        <v>88651.193904</v>
      </c>
      <c r="E11" s="87"/>
      <c r="F11" s="86"/>
      <c r="G11" s="54">
        <f t="shared" si="1"/>
        <v>55850.252159520001</v>
      </c>
      <c r="H11" s="54">
        <f t="shared" si="2"/>
        <v>6819.3226080000004</v>
      </c>
      <c r="I11" s="54">
        <f t="shared" si="3"/>
        <v>4296.1732430399998</v>
      </c>
      <c r="J11" s="38">
        <f t="shared" si="4"/>
        <v>818.31871295999997</v>
      </c>
      <c r="K11" s="38">
        <f t="shared" si="11"/>
        <v>3477.8545300799997</v>
      </c>
      <c r="L11" s="38">
        <f t="shared" si="12"/>
        <v>41734.254360959996</v>
      </c>
      <c r="M11" s="38">
        <f t="shared" si="13"/>
        <v>18430.583212641603</v>
      </c>
      <c r="N11" s="38">
        <f t="shared" si="14"/>
        <v>23303.671148318394</v>
      </c>
      <c r="O11" s="58">
        <f t="shared" si="5"/>
        <v>3409.6613040000002</v>
      </c>
      <c r="P11" s="59">
        <f t="shared" si="15"/>
        <v>0.12</v>
      </c>
      <c r="Q11" s="60">
        <f t="shared" si="16"/>
        <v>409.15935647999999</v>
      </c>
      <c r="R11" s="60">
        <f t="shared" si="17"/>
        <v>10638.14326848</v>
      </c>
      <c r="S11" s="66">
        <f t="shared" si="6"/>
        <v>136.38645216</v>
      </c>
      <c r="T11" s="66">
        <f t="shared" si="18"/>
        <v>3546.0477561600001</v>
      </c>
      <c r="U11" s="64"/>
      <c r="V11" s="64">
        <f t="shared" si="7"/>
        <v>14184.19102464</v>
      </c>
      <c r="W11" s="73">
        <f t="shared" si="19"/>
        <v>82498.434931904238</v>
      </c>
      <c r="X11" s="45"/>
      <c r="Y11" s="39">
        <f t="shared" si="0"/>
        <v>667035.57975018816</v>
      </c>
    </row>
    <row r="12" spans="1:25" ht="15" x14ac:dyDescent="0.25">
      <c r="A12" s="95">
        <f t="shared" si="8"/>
        <v>37</v>
      </c>
      <c r="B12" s="95">
        <f t="shared" si="9"/>
        <v>2027</v>
      </c>
      <c r="C12" s="91"/>
      <c r="D12" s="86">
        <f t="shared" si="10"/>
        <v>90424.217782079999</v>
      </c>
      <c r="E12" s="87"/>
      <c r="F12" s="86"/>
      <c r="G12" s="54">
        <f t="shared" si="1"/>
        <v>56967.257202710396</v>
      </c>
      <c r="H12" s="54">
        <f t="shared" si="2"/>
        <v>6955.7090601600003</v>
      </c>
      <c r="I12" s="54">
        <f t="shared" si="3"/>
        <v>4382.0967079007996</v>
      </c>
      <c r="J12" s="38">
        <f t="shared" si="4"/>
        <v>834.6850872192</v>
      </c>
      <c r="K12" s="38">
        <f t="shared" si="11"/>
        <v>3547.4116206815997</v>
      </c>
      <c r="L12" s="38">
        <f t="shared" si="12"/>
        <v>42568.939448179197</v>
      </c>
      <c r="M12" s="38">
        <f t="shared" si="13"/>
        <v>18799.194876894431</v>
      </c>
      <c r="N12" s="38">
        <f t="shared" si="14"/>
        <v>23769.744571284766</v>
      </c>
      <c r="O12" s="58">
        <f t="shared" si="5"/>
        <v>3477.8545300800001</v>
      </c>
      <c r="P12" s="59">
        <f t="shared" si="15"/>
        <v>0.12</v>
      </c>
      <c r="Q12" s="60">
        <f t="shared" si="16"/>
        <v>417.3425436096</v>
      </c>
      <c r="R12" s="60">
        <f t="shared" si="17"/>
        <v>10850.906133849599</v>
      </c>
      <c r="S12" s="66">
        <f t="shared" si="6"/>
        <v>139.11418120320002</v>
      </c>
      <c r="T12" s="66">
        <f t="shared" si="18"/>
        <v>3616.9687112832007</v>
      </c>
      <c r="U12" s="64"/>
      <c r="V12" s="64">
        <f t="shared" si="7"/>
        <v>14467.874845132799</v>
      </c>
      <c r="W12" s="73">
        <f t="shared" si="19"/>
        <v>101523.29014314084</v>
      </c>
      <c r="X12" s="45"/>
      <c r="Y12" s="39">
        <f t="shared" si="0"/>
        <v>693717.00294019573</v>
      </c>
    </row>
    <row r="13" spans="1:25" ht="15" x14ac:dyDescent="0.25">
      <c r="A13" s="95">
        <f t="shared" si="8"/>
        <v>38</v>
      </c>
      <c r="B13" s="95">
        <f t="shared" si="9"/>
        <v>2028</v>
      </c>
      <c r="C13" s="91"/>
      <c r="D13" s="86">
        <f t="shared" si="10"/>
        <v>92232.702137721601</v>
      </c>
      <c r="E13" s="87"/>
      <c r="F13" s="86"/>
      <c r="G13" s="54">
        <f t="shared" si="1"/>
        <v>58106.602346764608</v>
      </c>
      <c r="H13" s="54">
        <f t="shared" si="2"/>
        <v>7094.8232413632004</v>
      </c>
      <c r="I13" s="54">
        <f t="shared" si="3"/>
        <v>4469.7386420588164</v>
      </c>
      <c r="J13" s="38">
        <f t="shared" si="4"/>
        <v>851.37878896358404</v>
      </c>
      <c r="K13" s="38">
        <f t="shared" si="11"/>
        <v>3618.3598530952322</v>
      </c>
      <c r="L13" s="38">
        <f t="shared" si="12"/>
        <v>43420.318237142783</v>
      </c>
      <c r="M13" s="38">
        <f t="shared" si="13"/>
        <v>19175.178774432323</v>
      </c>
      <c r="N13" s="38">
        <f t="shared" si="14"/>
        <v>24245.13946271046</v>
      </c>
      <c r="O13" s="58">
        <f t="shared" si="5"/>
        <v>3547.4116206816002</v>
      </c>
      <c r="P13" s="59">
        <f t="shared" si="15"/>
        <v>0.12</v>
      </c>
      <c r="Q13" s="60">
        <f t="shared" si="16"/>
        <v>425.68939448179202</v>
      </c>
      <c r="R13" s="60">
        <f t="shared" si="17"/>
        <v>11067.924256526592</v>
      </c>
      <c r="S13" s="66">
        <f t="shared" si="6"/>
        <v>141.896464827264</v>
      </c>
      <c r="T13" s="66">
        <f t="shared" si="18"/>
        <v>3689.3080855088638</v>
      </c>
      <c r="U13" s="64"/>
      <c r="V13" s="64">
        <f t="shared" si="7"/>
        <v>14757.232342035455</v>
      </c>
      <c r="W13" s="73">
        <f t="shared" si="19"/>
        <v>121817.57462806645</v>
      </c>
      <c r="X13" s="45"/>
      <c r="Y13" s="39">
        <f t="shared" si="0"/>
        <v>721465.68305780343</v>
      </c>
    </row>
    <row r="14" spans="1:25" ht="15" x14ac:dyDescent="0.25">
      <c r="A14" s="95">
        <f t="shared" si="8"/>
        <v>39</v>
      </c>
      <c r="B14" s="95">
        <f t="shared" si="9"/>
        <v>2029</v>
      </c>
      <c r="C14" s="91"/>
      <c r="D14" s="86">
        <f t="shared" si="10"/>
        <v>94077.356180476039</v>
      </c>
      <c r="E14" s="87"/>
      <c r="F14" s="86"/>
      <c r="G14" s="54">
        <f t="shared" si="1"/>
        <v>59268.734393699902</v>
      </c>
      <c r="H14" s="54">
        <f t="shared" si="2"/>
        <v>7236.7197061904644</v>
      </c>
      <c r="I14" s="54">
        <f t="shared" si="3"/>
        <v>4559.1334148999922</v>
      </c>
      <c r="J14" s="38">
        <f t="shared" si="4"/>
        <v>868.40636474285566</v>
      </c>
      <c r="K14" s="38">
        <f t="shared" si="11"/>
        <v>3690.7270501571365</v>
      </c>
      <c r="L14" s="38">
        <f t="shared" si="12"/>
        <v>44288.724601885639</v>
      </c>
      <c r="M14" s="38">
        <f t="shared" si="13"/>
        <v>19558.682349920968</v>
      </c>
      <c r="N14" s="38">
        <f t="shared" si="14"/>
        <v>24730.042251964671</v>
      </c>
      <c r="O14" s="58">
        <f t="shared" si="5"/>
        <v>3618.3598530952322</v>
      </c>
      <c r="P14" s="59">
        <f t="shared" si="15"/>
        <v>0.12</v>
      </c>
      <c r="Q14" s="60">
        <f t="shared" si="16"/>
        <v>434.20318237142783</v>
      </c>
      <c r="R14" s="60">
        <f t="shared" si="17"/>
        <v>11289.282741657124</v>
      </c>
      <c r="S14" s="66">
        <f t="shared" si="6"/>
        <v>144.7343941238093</v>
      </c>
      <c r="T14" s="66">
        <f t="shared" si="18"/>
        <v>3763.0942472190418</v>
      </c>
      <c r="U14" s="64"/>
      <c r="V14" s="64">
        <f t="shared" si="7"/>
        <v>15052.376988876165</v>
      </c>
      <c r="W14" s="73">
        <f t="shared" si="19"/>
        <v>143452.15642903274</v>
      </c>
      <c r="X14" s="45"/>
      <c r="Y14" s="39">
        <f t="shared" si="0"/>
        <v>750324.31038011564</v>
      </c>
    </row>
    <row r="15" spans="1:25" ht="15" x14ac:dyDescent="0.25">
      <c r="A15" s="95">
        <f t="shared" si="8"/>
        <v>40</v>
      </c>
      <c r="B15" s="95">
        <f t="shared" si="9"/>
        <v>2030</v>
      </c>
      <c r="C15" s="91"/>
      <c r="D15" s="86">
        <f t="shared" si="10"/>
        <v>95958.903304085557</v>
      </c>
      <c r="E15" s="87">
        <v>3</v>
      </c>
      <c r="F15" s="86">
        <f>E15*D15</f>
        <v>287876.70991225669</v>
      </c>
      <c r="G15" s="54">
        <f t="shared" si="1"/>
        <v>60454.109081573901</v>
      </c>
      <c r="H15" s="54">
        <f t="shared" si="2"/>
        <v>7381.454100314274</v>
      </c>
      <c r="I15" s="54">
        <f t="shared" si="3"/>
        <v>4650.3160831979922</v>
      </c>
      <c r="J15" s="43">
        <f t="shared" si="4"/>
        <v>885.77449203771289</v>
      </c>
      <c r="K15" s="43">
        <f t="shared" si="11"/>
        <v>3764.5415911602795</v>
      </c>
      <c r="L15" s="43">
        <f t="shared" si="12"/>
        <v>45174.499093923354</v>
      </c>
      <c r="M15" s="43">
        <f t="shared" si="13"/>
        <v>19949.855996919388</v>
      </c>
      <c r="N15" s="43">
        <f t="shared" si="14"/>
        <v>25224.643097003966</v>
      </c>
      <c r="O15" s="58">
        <f t="shared" si="5"/>
        <v>3690.727050157137</v>
      </c>
      <c r="P15" s="59">
        <f t="shared" si="15"/>
        <v>0.12</v>
      </c>
      <c r="Q15" s="60">
        <f t="shared" si="16"/>
        <v>442.88724601885644</v>
      </c>
      <c r="R15" s="60">
        <f t="shared" si="17"/>
        <v>11515.068396490267</v>
      </c>
      <c r="S15" s="66">
        <f t="shared" si="6"/>
        <v>147.62908200628547</v>
      </c>
      <c r="T15" s="66">
        <f t="shared" si="18"/>
        <v>3838.3561321634224</v>
      </c>
      <c r="U15" s="64"/>
      <c r="V15" s="64">
        <f t="shared" si="7"/>
        <v>15353.42452865369</v>
      </c>
      <c r="W15" s="73">
        <f t="shared" si="19"/>
        <v>166501.64776456699</v>
      </c>
      <c r="X15" s="50">
        <f>W15/F15-1</f>
        <v>-0.42162168028349423</v>
      </c>
      <c r="Y15" s="44">
        <f t="shared" si="0"/>
        <v>780337.28279532038</v>
      </c>
    </row>
    <row r="16" spans="1:25" ht="15" x14ac:dyDescent="0.25">
      <c r="A16" s="95">
        <f t="shared" si="8"/>
        <v>41</v>
      </c>
      <c r="B16" s="95">
        <f t="shared" si="9"/>
        <v>2031</v>
      </c>
      <c r="C16" s="91"/>
      <c r="D16" s="86">
        <f t="shared" si="10"/>
        <v>97878.081370167274</v>
      </c>
      <c r="E16" s="87"/>
      <c r="F16" s="86"/>
      <c r="G16" s="54">
        <f t="shared" si="1"/>
        <v>61663.191263205386</v>
      </c>
      <c r="H16" s="54">
        <f t="shared" si="2"/>
        <v>7529.0831823205599</v>
      </c>
      <c r="I16" s="54">
        <f t="shared" si="3"/>
        <v>4743.3224048619531</v>
      </c>
      <c r="J16" s="38">
        <f t="shared" si="4"/>
        <v>903.48998187846712</v>
      </c>
      <c r="K16" s="38">
        <f t="shared" si="11"/>
        <v>3839.8324229834861</v>
      </c>
      <c r="L16" s="38">
        <f t="shared" si="12"/>
        <v>46077.98907580183</v>
      </c>
      <c r="M16" s="38">
        <f t="shared" si="13"/>
        <v>20348.853116857779</v>
      </c>
      <c r="N16" s="38">
        <f t="shared" si="14"/>
        <v>25729.135958944051</v>
      </c>
      <c r="O16" s="58">
        <f t="shared" si="5"/>
        <v>3764.5415911602799</v>
      </c>
      <c r="P16" s="59">
        <f t="shared" si="15"/>
        <v>0.12</v>
      </c>
      <c r="Q16" s="60">
        <f t="shared" si="16"/>
        <v>451.74499093923356</v>
      </c>
      <c r="R16" s="60">
        <f t="shared" si="17"/>
        <v>11745.369764420073</v>
      </c>
      <c r="S16" s="66">
        <f t="shared" si="6"/>
        <v>150.58166364641122</v>
      </c>
      <c r="T16" s="66">
        <f t="shared" si="18"/>
        <v>3915.1232548066914</v>
      </c>
      <c r="U16" s="64"/>
      <c r="V16" s="64">
        <f t="shared" si="7"/>
        <v>15660.493019226764</v>
      </c>
      <c r="W16" s="73">
        <f t="shared" si="19"/>
        <v>191044.59895718368</v>
      </c>
      <c r="X16" s="45"/>
      <c r="Y16" s="39">
        <f t="shared" si="0"/>
        <v>811550.77410713327</v>
      </c>
    </row>
    <row r="17" spans="1:25" ht="15" x14ac:dyDescent="0.25">
      <c r="A17" s="95">
        <f t="shared" si="8"/>
        <v>42</v>
      </c>
      <c r="B17" s="95">
        <f t="shared" si="9"/>
        <v>2032</v>
      </c>
      <c r="C17" s="91"/>
      <c r="D17" s="86">
        <f t="shared" si="10"/>
        <v>99835.642997570627</v>
      </c>
      <c r="E17" s="87"/>
      <c r="F17" s="86"/>
      <c r="G17" s="54">
        <f t="shared" si="1"/>
        <v>62896.455088469498</v>
      </c>
      <c r="H17" s="54">
        <f t="shared" si="2"/>
        <v>7679.6648459669714</v>
      </c>
      <c r="I17" s="54">
        <f t="shared" si="3"/>
        <v>4838.1888529591924</v>
      </c>
      <c r="J17" s="38">
        <f t="shared" si="4"/>
        <v>921.55978151603654</v>
      </c>
      <c r="K17" s="38">
        <f t="shared" si="11"/>
        <v>3916.6290714431561</v>
      </c>
      <c r="L17" s="38">
        <f t="shared" si="12"/>
        <v>46999.548857317874</v>
      </c>
      <c r="M17" s="38">
        <f t="shared" si="13"/>
        <v>20755.830179194934</v>
      </c>
      <c r="N17" s="38">
        <f t="shared" si="14"/>
        <v>26243.718678122939</v>
      </c>
      <c r="O17" s="58">
        <f t="shared" si="5"/>
        <v>3839.8324229834857</v>
      </c>
      <c r="P17" s="59">
        <f t="shared" si="15"/>
        <v>0.12</v>
      </c>
      <c r="Q17" s="60">
        <f t="shared" si="16"/>
        <v>460.77989075801827</v>
      </c>
      <c r="R17" s="60">
        <f t="shared" si="17"/>
        <v>11980.277159708476</v>
      </c>
      <c r="S17" s="66">
        <f t="shared" si="6"/>
        <v>153.59329691933942</v>
      </c>
      <c r="T17" s="66">
        <f t="shared" si="18"/>
        <v>3993.4257199028252</v>
      </c>
      <c r="U17" s="64"/>
      <c r="V17" s="64">
        <f t="shared" si="7"/>
        <v>15973.702879611301</v>
      </c>
      <c r="W17" s="73">
        <f t="shared" si="19"/>
        <v>217163.70233028432</v>
      </c>
      <c r="X17" s="45"/>
      <c r="Y17" s="39">
        <f t="shared" si="0"/>
        <v>844012.80507141852</v>
      </c>
    </row>
    <row r="18" spans="1:25" ht="15" x14ac:dyDescent="0.25">
      <c r="A18" s="95">
        <f t="shared" si="8"/>
        <v>43</v>
      </c>
      <c r="B18" s="95">
        <f t="shared" si="9"/>
        <v>2033</v>
      </c>
      <c r="C18" s="91"/>
      <c r="D18" s="86">
        <f t="shared" si="10"/>
        <v>101832.35585752204</v>
      </c>
      <c r="E18" s="87"/>
      <c r="F18" s="86"/>
      <c r="G18" s="54">
        <f t="shared" si="1"/>
        <v>64154.384190238881</v>
      </c>
      <c r="H18" s="54">
        <f t="shared" si="2"/>
        <v>7833.2581428863105</v>
      </c>
      <c r="I18" s="54">
        <f t="shared" si="3"/>
        <v>4934.9526300183752</v>
      </c>
      <c r="J18" s="38">
        <f t="shared" si="4"/>
        <v>939.99097714635718</v>
      </c>
      <c r="K18" s="38">
        <f t="shared" si="11"/>
        <v>3994.961652872018</v>
      </c>
      <c r="L18" s="38">
        <f t="shared" si="12"/>
        <v>47939.539834464216</v>
      </c>
      <c r="M18" s="38">
        <f t="shared" si="13"/>
        <v>21170.946782778832</v>
      </c>
      <c r="N18" s="38">
        <f t="shared" si="14"/>
        <v>26768.593051685384</v>
      </c>
      <c r="O18" s="58">
        <f t="shared" si="5"/>
        <v>3916.6290714431552</v>
      </c>
      <c r="P18" s="59">
        <f t="shared" si="15"/>
        <v>0.12</v>
      </c>
      <c r="Q18" s="60">
        <f t="shared" si="16"/>
        <v>469.99548857317859</v>
      </c>
      <c r="R18" s="60">
        <f t="shared" si="17"/>
        <v>12219.882702902643</v>
      </c>
      <c r="S18" s="66">
        <f t="shared" si="6"/>
        <v>156.66516285772622</v>
      </c>
      <c r="T18" s="66">
        <f t="shared" si="18"/>
        <v>4073.2942343008817</v>
      </c>
      <c r="U18" s="64"/>
      <c r="V18" s="64">
        <f t="shared" si="7"/>
        <v>16293.176937203525</v>
      </c>
      <c r="W18" s="73">
        <f t="shared" si="19"/>
        <v>244946.00658512989</v>
      </c>
      <c r="X18" s="45"/>
      <c r="Y18" s="39">
        <f t="shared" si="0"/>
        <v>877773.31727427535</v>
      </c>
    </row>
    <row r="19" spans="1:25" ht="15" x14ac:dyDescent="0.25">
      <c r="A19" s="95">
        <f t="shared" si="8"/>
        <v>44</v>
      </c>
      <c r="B19" s="95">
        <f t="shared" si="9"/>
        <v>2034</v>
      </c>
      <c r="C19" s="91"/>
      <c r="D19" s="86">
        <f t="shared" si="10"/>
        <v>103869.00297467248</v>
      </c>
      <c r="E19" s="87"/>
      <c r="F19" s="86"/>
      <c r="G19" s="54">
        <f t="shared" si="1"/>
        <v>65437.471874043658</v>
      </c>
      <c r="H19" s="54">
        <f t="shared" si="2"/>
        <v>7989.923305744037</v>
      </c>
      <c r="I19" s="54">
        <f t="shared" si="3"/>
        <v>5033.6516826187426</v>
      </c>
      <c r="J19" s="38">
        <f t="shared" si="4"/>
        <v>958.79079668928443</v>
      </c>
      <c r="K19" s="38">
        <f t="shared" si="11"/>
        <v>4074.8608859294582</v>
      </c>
      <c r="L19" s="38">
        <f t="shared" si="12"/>
        <v>48898.330631153498</v>
      </c>
      <c r="M19" s="38">
        <f t="shared" si="13"/>
        <v>21594.365718434408</v>
      </c>
      <c r="N19" s="38">
        <f t="shared" si="14"/>
        <v>27303.96491271909</v>
      </c>
      <c r="O19" s="58">
        <f t="shared" si="5"/>
        <v>3994.9616528720185</v>
      </c>
      <c r="P19" s="59">
        <f t="shared" si="15"/>
        <v>0.12</v>
      </c>
      <c r="Q19" s="60">
        <f t="shared" si="16"/>
        <v>479.39539834464222</v>
      </c>
      <c r="R19" s="60">
        <f t="shared" si="17"/>
        <v>12464.280356960699</v>
      </c>
      <c r="S19" s="66">
        <f t="shared" si="6"/>
        <v>159.79846611488074</v>
      </c>
      <c r="T19" s="66">
        <f t="shared" si="18"/>
        <v>4154.7601189868992</v>
      </c>
      <c r="U19" s="64"/>
      <c r="V19" s="64">
        <f t="shared" si="7"/>
        <v>16619.040475947597</v>
      </c>
      <c r="W19" s="73">
        <f t="shared" si="19"/>
        <v>274483.1421950332</v>
      </c>
      <c r="X19" s="45"/>
      <c r="Y19" s="39">
        <f t="shared" si="0"/>
        <v>912884.24996524653</v>
      </c>
    </row>
    <row r="20" spans="1:25" ht="15" x14ac:dyDescent="0.25">
      <c r="A20" s="95">
        <f t="shared" si="8"/>
        <v>45</v>
      </c>
      <c r="B20" s="95">
        <f t="shared" si="9"/>
        <v>2035</v>
      </c>
      <c r="C20" s="91"/>
      <c r="D20" s="86">
        <f t="shared" si="10"/>
        <v>105946.38303416593</v>
      </c>
      <c r="E20" s="87">
        <v>3.8</v>
      </c>
      <c r="F20" s="86">
        <f>E20*D20</f>
        <v>402596.25552983052</v>
      </c>
      <c r="G20" s="54">
        <f t="shared" si="1"/>
        <v>66746.221311524539</v>
      </c>
      <c r="H20" s="54">
        <f t="shared" si="2"/>
        <v>8149.7217718589181</v>
      </c>
      <c r="I20" s="54">
        <f t="shared" si="3"/>
        <v>5134.3247162711186</v>
      </c>
      <c r="J20" s="43">
        <f t="shared" si="4"/>
        <v>977.96661262307009</v>
      </c>
      <c r="K20" s="43">
        <f t="shared" si="11"/>
        <v>4156.3581036480482</v>
      </c>
      <c r="L20" s="43">
        <f t="shared" si="12"/>
        <v>49876.297243776578</v>
      </c>
      <c r="M20" s="43">
        <f t="shared" si="13"/>
        <v>22026.253032803099</v>
      </c>
      <c r="N20" s="43">
        <f t="shared" si="14"/>
        <v>27850.044210973479</v>
      </c>
      <c r="O20" s="58">
        <f t="shared" si="5"/>
        <v>4074.8608859294591</v>
      </c>
      <c r="P20" s="59">
        <f t="shared" si="15"/>
        <v>0.12</v>
      </c>
      <c r="Q20" s="60">
        <f t="shared" si="16"/>
        <v>488.98330631153505</v>
      </c>
      <c r="R20" s="60">
        <f t="shared" si="17"/>
        <v>12713.565964099911</v>
      </c>
      <c r="S20" s="66">
        <f t="shared" si="6"/>
        <v>162.99443543717837</v>
      </c>
      <c r="T20" s="66">
        <f t="shared" si="18"/>
        <v>4237.8553213666373</v>
      </c>
      <c r="U20" s="64"/>
      <c r="V20" s="64">
        <f t="shared" si="7"/>
        <v>16951.421285466549</v>
      </c>
      <c r="W20" s="73">
        <f t="shared" si="19"/>
        <v>305871.55838141841</v>
      </c>
      <c r="X20" s="50">
        <f>W20/F20-1</f>
        <v>-0.24025235162984582</v>
      </c>
      <c r="Y20" s="44">
        <f t="shared" si="0"/>
        <v>949399.6199638563</v>
      </c>
    </row>
    <row r="21" spans="1:25" ht="15" x14ac:dyDescent="0.25">
      <c r="A21" s="95">
        <f t="shared" si="8"/>
        <v>46</v>
      </c>
      <c r="B21" s="95">
        <f t="shared" si="9"/>
        <v>2036</v>
      </c>
      <c r="C21" s="91"/>
      <c r="D21" s="86">
        <f t="shared" si="10"/>
        <v>108065.31069484925</v>
      </c>
      <c r="E21" s="87"/>
      <c r="F21" s="86"/>
      <c r="G21" s="54">
        <f t="shared" si="1"/>
        <v>68081.145737755025</v>
      </c>
      <c r="H21" s="54">
        <f t="shared" si="2"/>
        <v>8312.7162072960964</v>
      </c>
      <c r="I21" s="54">
        <f t="shared" si="3"/>
        <v>5237.01121059654</v>
      </c>
      <c r="J21" s="38">
        <f t="shared" si="4"/>
        <v>997.52594487553154</v>
      </c>
      <c r="K21" s="38">
        <f t="shared" si="11"/>
        <v>4239.4852657210085</v>
      </c>
      <c r="L21" s="38">
        <f t="shared" si="12"/>
        <v>50873.823188652103</v>
      </c>
      <c r="M21" s="38">
        <f t="shared" si="13"/>
        <v>22466.778093459161</v>
      </c>
      <c r="N21" s="38">
        <f t="shared" si="14"/>
        <v>28407.045095192942</v>
      </c>
      <c r="O21" s="58">
        <f t="shared" si="5"/>
        <v>4156.3581036480482</v>
      </c>
      <c r="P21" s="59">
        <f t="shared" si="15"/>
        <v>0.12</v>
      </c>
      <c r="Q21" s="60">
        <f t="shared" si="16"/>
        <v>498.76297243776577</v>
      </c>
      <c r="R21" s="60">
        <f t="shared" si="17"/>
        <v>12967.83728338191</v>
      </c>
      <c r="S21" s="66">
        <f t="shared" si="6"/>
        <v>166.25432414592194</v>
      </c>
      <c r="T21" s="66">
        <f t="shared" si="18"/>
        <v>4322.6124277939707</v>
      </c>
      <c r="U21" s="64"/>
      <c r="V21" s="64">
        <f t="shared" si="7"/>
        <v>17290.449711175883</v>
      </c>
      <c r="W21" s="73">
        <f t="shared" si="19"/>
        <v>339212.77226530371</v>
      </c>
      <c r="X21" s="45"/>
      <c r="Y21" s="39">
        <f t="shared" si="0"/>
        <v>987375.60476241051</v>
      </c>
    </row>
    <row r="22" spans="1:25" ht="15" x14ac:dyDescent="0.25">
      <c r="A22" s="95">
        <f t="shared" si="8"/>
        <v>47</v>
      </c>
      <c r="B22" s="95">
        <f t="shared" si="9"/>
        <v>2037</v>
      </c>
      <c r="C22" s="91"/>
      <c r="D22" s="86">
        <f t="shared" si="10"/>
        <v>110226.61690874623</v>
      </c>
      <c r="E22" s="87"/>
      <c r="F22" s="86"/>
      <c r="G22" s="54">
        <f t="shared" si="1"/>
        <v>69442.768652510131</v>
      </c>
      <c r="H22" s="54">
        <f t="shared" si="2"/>
        <v>8478.9705314420171</v>
      </c>
      <c r="I22" s="54">
        <f t="shared" si="3"/>
        <v>5341.7514348084715</v>
      </c>
      <c r="J22" s="38">
        <f t="shared" si="4"/>
        <v>1017.476463773042</v>
      </c>
      <c r="K22" s="38">
        <f t="shared" si="11"/>
        <v>4324.2749710354292</v>
      </c>
      <c r="L22" s="38">
        <f t="shared" si="12"/>
        <v>51891.29965242515</v>
      </c>
      <c r="M22" s="38">
        <f t="shared" si="13"/>
        <v>22916.113655328343</v>
      </c>
      <c r="N22" s="38">
        <f t="shared" si="14"/>
        <v>28975.185997096807</v>
      </c>
      <c r="O22" s="58">
        <f t="shared" si="5"/>
        <v>4239.4852657210085</v>
      </c>
      <c r="P22" s="59">
        <f t="shared" si="15"/>
        <v>0.12</v>
      </c>
      <c r="Q22" s="60">
        <f t="shared" si="16"/>
        <v>508.73823188652102</v>
      </c>
      <c r="R22" s="60">
        <f t="shared" si="17"/>
        <v>13227.194029049546</v>
      </c>
      <c r="S22" s="66">
        <f t="shared" si="6"/>
        <v>169.57941062884035</v>
      </c>
      <c r="T22" s="66">
        <f t="shared" si="18"/>
        <v>4409.0646763498489</v>
      </c>
      <c r="U22" s="64"/>
      <c r="V22" s="64">
        <f t="shared" si="7"/>
        <v>17636.258705399396</v>
      </c>
      <c r="W22" s="73">
        <f t="shared" si="19"/>
        <v>374613.63081815036</v>
      </c>
      <c r="X22" s="45"/>
      <c r="Y22" s="39">
        <f t="shared" si="0"/>
        <v>1026870.6289529072</v>
      </c>
    </row>
    <row r="23" spans="1:25" ht="15" x14ac:dyDescent="0.25">
      <c r="A23" s="95">
        <f t="shared" si="8"/>
        <v>48</v>
      </c>
      <c r="B23" s="95">
        <f t="shared" si="9"/>
        <v>2038</v>
      </c>
      <c r="C23" s="91"/>
      <c r="D23" s="86">
        <f t="shared" si="10"/>
        <v>112431.14924692117</v>
      </c>
      <c r="E23" s="87"/>
      <c r="F23" s="86"/>
      <c r="G23" s="54">
        <f t="shared" si="1"/>
        <v>70831.624025560333</v>
      </c>
      <c r="H23" s="54">
        <f t="shared" si="2"/>
        <v>8648.5499420708584</v>
      </c>
      <c r="I23" s="54">
        <f t="shared" si="3"/>
        <v>5448.586463504641</v>
      </c>
      <c r="J23" s="38">
        <f t="shared" si="4"/>
        <v>1037.8259930485031</v>
      </c>
      <c r="K23" s="38">
        <f t="shared" si="11"/>
        <v>4410.7604704561381</v>
      </c>
      <c r="L23" s="38">
        <f t="shared" si="12"/>
        <v>52929.125645473658</v>
      </c>
      <c r="M23" s="38">
        <f t="shared" si="13"/>
        <v>23374.435928434912</v>
      </c>
      <c r="N23" s="38">
        <f t="shared" si="14"/>
        <v>29554.689717038746</v>
      </c>
      <c r="O23" s="58">
        <f t="shared" si="5"/>
        <v>4324.2749710354292</v>
      </c>
      <c r="P23" s="59">
        <f t="shared" si="15"/>
        <v>0.12</v>
      </c>
      <c r="Q23" s="60">
        <f t="shared" si="16"/>
        <v>518.91299652425153</v>
      </c>
      <c r="R23" s="60">
        <f t="shared" si="17"/>
        <v>13491.737909630539</v>
      </c>
      <c r="S23" s="66">
        <f t="shared" si="6"/>
        <v>172.97099884141718</v>
      </c>
      <c r="T23" s="66">
        <f t="shared" si="18"/>
        <v>4497.2459698768471</v>
      </c>
      <c r="U23" s="64"/>
      <c r="V23" s="64">
        <f t="shared" si="7"/>
        <v>17988.983879507388</v>
      </c>
      <c r="W23" s="73">
        <f t="shared" si="19"/>
        <v>412186.58626796404</v>
      </c>
      <c r="X23" s="45"/>
      <c r="Y23" s="39">
        <f t="shared" si="0"/>
        <v>1067945.4541110233</v>
      </c>
    </row>
    <row r="24" spans="1:25" ht="15.75" thickBot="1" x14ac:dyDescent="0.3">
      <c r="A24" s="95">
        <f t="shared" si="8"/>
        <v>49</v>
      </c>
      <c r="B24" s="95">
        <f t="shared" si="9"/>
        <v>2039</v>
      </c>
      <c r="C24" s="91"/>
      <c r="D24" s="86">
        <f t="shared" si="10"/>
        <v>114679.77223185959</v>
      </c>
      <c r="E24" s="87"/>
      <c r="F24" s="86"/>
      <c r="G24" s="54">
        <f t="shared" si="1"/>
        <v>72248.256506071542</v>
      </c>
      <c r="H24" s="54">
        <f t="shared" si="2"/>
        <v>8821.5209409122763</v>
      </c>
      <c r="I24" s="54">
        <f t="shared" si="3"/>
        <v>5557.5581927747344</v>
      </c>
      <c r="J24" s="38">
        <f t="shared" si="4"/>
        <v>1058.5825129094731</v>
      </c>
      <c r="K24" s="38">
        <f t="shared" si="11"/>
        <v>4498.9756798652616</v>
      </c>
      <c r="L24" s="38">
        <f t="shared" si="12"/>
        <v>53987.708158383139</v>
      </c>
      <c r="M24" s="38">
        <f t="shared" si="13"/>
        <v>23841.924647003609</v>
      </c>
      <c r="N24" s="38">
        <f t="shared" si="14"/>
        <v>30145.78351137953</v>
      </c>
      <c r="O24" s="58">
        <f t="shared" si="5"/>
        <v>4410.7604704561381</v>
      </c>
      <c r="P24" s="59">
        <f t="shared" si="15"/>
        <v>0.12</v>
      </c>
      <c r="Q24" s="60">
        <f t="shared" si="16"/>
        <v>529.29125645473653</v>
      </c>
      <c r="R24" s="60">
        <f t="shared" si="17"/>
        <v>13761.572667823149</v>
      </c>
      <c r="S24" s="66">
        <f t="shared" si="6"/>
        <v>176.43041881824553</v>
      </c>
      <c r="T24" s="66">
        <f t="shared" si="18"/>
        <v>4587.1908892743841</v>
      </c>
      <c r="U24" s="64"/>
      <c r="V24" s="64">
        <f t="shared" si="7"/>
        <v>18348.763557097533</v>
      </c>
      <c r="W24" s="73">
        <f t="shared" si="19"/>
        <v>452049.9856501118</v>
      </c>
      <c r="X24" s="45"/>
      <c r="Y24" s="39">
        <f t="shared" si="0"/>
        <v>1110663.2722754644</v>
      </c>
    </row>
    <row r="25" spans="1:25" ht="15" x14ac:dyDescent="0.25">
      <c r="A25" s="95">
        <f t="shared" si="8"/>
        <v>50</v>
      </c>
      <c r="B25" s="95">
        <f t="shared" si="9"/>
        <v>2040</v>
      </c>
      <c r="C25" s="91"/>
      <c r="D25" s="86">
        <f t="shared" si="10"/>
        <v>116973.36767649678</v>
      </c>
      <c r="E25" s="87">
        <v>4.8</v>
      </c>
      <c r="F25" s="86">
        <f>E25*D25</f>
        <v>561472.16484718455</v>
      </c>
      <c r="G25" s="54">
        <f t="shared" si="1"/>
        <v>73693.221636192975</v>
      </c>
      <c r="H25" s="54">
        <f t="shared" si="2"/>
        <v>8997.9513597305213</v>
      </c>
      <c r="I25" s="54">
        <f t="shared" si="3"/>
        <v>5668.7093566302292</v>
      </c>
      <c r="J25" s="43">
        <f t="shared" si="4"/>
        <v>1079.7541631676625</v>
      </c>
      <c r="K25" s="43">
        <f t="shared" si="11"/>
        <v>4588.955193462567</v>
      </c>
      <c r="L25" s="43">
        <f t="shared" si="12"/>
        <v>55067.462321550804</v>
      </c>
      <c r="M25" s="43">
        <f t="shared" si="13"/>
        <v>24318.763139943683</v>
      </c>
      <c r="N25" s="43">
        <f t="shared" si="14"/>
        <v>30748.69918160712</v>
      </c>
      <c r="O25" s="58">
        <f t="shared" si="5"/>
        <v>4498.9756798652606</v>
      </c>
      <c r="P25" s="59">
        <f t="shared" si="15"/>
        <v>0.12</v>
      </c>
      <c r="Q25" s="60">
        <f t="shared" si="16"/>
        <v>539.87708158383123</v>
      </c>
      <c r="R25" s="60">
        <f t="shared" si="17"/>
        <v>14036.804121179612</v>
      </c>
      <c r="S25" s="76">
        <f t="shared" si="6"/>
        <v>179.95902719461043</v>
      </c>
      <c r="T25" s="77">
        <f t="shared" si="18"/>
        <v>4678.9347070598715</v>
      </c>
      <c r="U25" s="90"/>
      <c r="V25" s="78">
        <f t="shared" ref="V25:V42" si="20">MIN(T25+R25,26000)</f>
        <v>18715.738828239482</v>
      </c>
      <c r="W25" s="74">
        <f t="shared" si="19"/>
        <v>494328.37522761355</v>
      </c>
      <c r="X25" s="50">
        <f>W25/F25-1</f>
        <v>-0.11958525074496873</v>
      </c>
      <c r="Y25" s="44">
        <f t="shared" si="0"/>
        <v>1155089.8031664831</v>
      </c>
    </row>
    <row r="26" spans="1:25" ht="15" x14ac:dyDescent="0.25">
      <c r="A26" s="95">
        <f t="shared" si="8"/>
        <v>51</v>
      </c>
      <c r="B26" s="95">
        <f t="shared" si="9"/>
        <v>2041</v>
      </c>
      <c r="C26" s="91"/>
      <c r="D26" s="86">
        <f t="shared" si="10"/>
        <v>119312.83503002672</v>
      </c>
      <c r="E26" s="87"/>
      <c r="F26" s="86"/>
      <c r="G26" s="54">
        <f t="shared" si="1"/>
        <v>75167.086068916833</v>
      </c>
      <c r="H26" s="54">
        <f t="shared" si="2"/>
        <v>9177.9103869251321</v>
      </c>
      <c r="I26" s="54">
        <f t="shared" si="3"/>
        <v>5782.083543762833</v>
      </c>
      <c r="J26" s="38">
        <f t="shared" si="4"/>
        <v>1101.3492464310159</v>
      </c>
      <c r="K26" s="38">
        <f t="shared" si="11"/>
        <v>4680.7342973318173</v>
      </c>
      <c r="L26" s="38">
        <f t="shared" si="12"/>
        <v>56168.811567981807</v>
      </c>
      <c r="M26" s="38">
        <f t="shared" si="13"/>
        <v>24805.138402742556</v>
      </c>
      <c r="N26" s="38">
        <f t="shared" si="14"/>
        <v>31363.673165239252</v>
      </c>
      <c r="O26" s="58">
        <f t="shared" si="5"/>
        <v>4588.9551934625661</v>
      </c>
      <c r="P26" s="59">
        <f t="shared" si="15"/>
        <v>0.12</v>
      </c>
      <c r="Q26" s="60">
        <f t="shared" si="16"/>
        <v>550.67462321550795</v>
      </c>
      <c r="R26" s="60">
        <f t="shared" si="17"/>
        <v>14317.540203603206</v>
      </c>
      <c r="S26" s="79">
        <f t="shared" si="6"/>
        <v>183.55820773850266</v>
      </c>
      <c r="T26" s="66">
        <f t="shared" si="18"/>
        <v>4772.5134012010694</v>
      </c>
      <c r="U26" s="64"/>
      <c r="V26" s="80">
        <f t="shared" si="20"/>
        <v>19090.053604804278</v>
      </c>
      <c r="W26" s="74">
        <f t="shared" si="19"/>
        <v>539152.82054276811</v>
      </c>
      <c r="X26" s="45"/>
      <c r="Y26" s="39">
        <f t="shared" si="0"/>
        <v>1201293.3952931424</v>
      </c>
    </row>
    <row r="27" spans="1:25" ht="15" x14ac:dyDescent="0.25">
      <c r="A27" s="95">
        <f t="shared" si="8"/>
        <v>52</v>
      </c>
      <c r="B27" s="95">
        <f t="shared" si="9"/>
        <v>2042</v>
      </c>
      <c r="C27" s="91"/>
      <c r="D27" s="86">
        <f t="shared" si="10"/>
        <v>121699.09173062726</v>
      </c>
      <c r="E27" s="87"/>
      <c r="F27" s="86"/>
      <c r="G27" s="54">
        <f t="shared" si="1"/>
        <v>76670.427790295173</v>
      </c>
      <c r="H27" s="54">
        <f t="shared" si="2"/>
        <v>9361.4685946636346</v>
      </c>
      <c r="I27" s="54">
        <f t="shared" si="3"/>
        <v>5897.7252146380906</v>
      </c>
      <c r="J27" s="38">
        <f t="shared" si="4"/>
        <v>1123.376231359636</v>
      </c>
      <c r="K27" s="38">
        <f t="shared" si="11"/>
        <v>4774.3489832784544</v>
      </c>
      <c r="L27" s="38">
        <f t="shared" si="12"/>
        <v>57292.187799341453</v>
      </c>
      <c r="M27" s="38">
        <f t="shared" si="13"/>
        <v>25301.24117079741</v>
      </c>
      <c r="N27" s="38">
        <f t="shared" si="14"/>
        <v>31990.946628544043</v>
      </c>
      <c r="O27" s="58">
        <f t="shared" si="5"/>
        <v>4680.7342973318173</v>
      </c>
      <c r="P27" s="59">
        <f t="shared" si="15"/>
        <v>0.12</v>
      </c>
      <c r="Q27" s="60">
        <f t="shared" si="16"/>
        <v>561.688115679818</v>
      </c>
      <c r="R27" s="60">
        <f t="shared" si="17"/>
        <v>14603.891007675267</v>
      </c>
      <c r="S27" s="79">
        <f t="shared" si="6"/>
        <v>187.22937189327268</v>
      </c>
      <c r="T27" s="66">
        <f t="shared" si="18"/>
        <v>4867.9636692250897</v>
      </c>
      <c r="U27" s="64"/>
      <c r="V27" s="80">
        <f t="shared" si="20"/>
        <v>19471.854676900359</v>
      </c>
      <c r="W27" s="74">
        <f t="shared" si="19"/>
        <v>586661.24290097633</v>
      </c>
      <c r="X27" s="45"/>
      <c r="Y27" s="39">
        <f t="shared" si="0"/>
        <v>1249345.1311048684</v>
      </c>
    </row>
    <row r="28" spans="1:25" ht="15" x14ac:dyDescent="0.25">
      <c r="A28" s="95">
        <f t="shared" si="8"/>
        <v>53</v>
      </c>
      <c r="B28" s="95">
        <f t="shared" si="9"/>
        <v>2043</v>
      </c>
      <c r="C28" s="91"/>
      <c r="D28" s="86">
        <f t="shared" si="10"/>
        <v>124133.07356523981</v>
      </c>
      <c r="E28" s="87"/>
      <c r="F28" s="86"/>
      <c r="G28" s="54">
        <f t="shared" si="1"/>
        <v>78203.836346101089</v>
      </c>
      <c r="H28" s="54">
        <f t="shared" si="2"/>
        <v>9548.6979665569088</v>
      </c>
      <c r="I28" s="54">
        <f t="shared" si="3"/>
        <v>6015.6797189308527</v>
      </c>
      <c r="J28" s="38">
        <f t="shared" si="4"/>
        <v>1145.8437559868289</v>
      </c>
      <c r="K28" s="38">
        <f t="shared" si="11"/>
        <v>4869.8359629440238</v>
      </c>
      <c r="L28" s="38">
        <f t="shared" si="12"/>
        <v>58438.031555328285</v>
      </c>
      <c r="M28" s="38">
        <f t="shared" si="13"/>
        <v>25807.265994213361</v>
      </c>
      <c r="N28" s="38">
        <f t="shared" si="14"/>
        <v>32630.765561114924</v>
      </c>
      <c r="O28" s="58">
        <f t="shared" si="5"/>
        <v>4774.3489832784544</v>
      </c>
      <c r="P28" s="59">
        <f t="shared" si="15"/>
        <v>0.12</v>
      </c>
      <c r="Q28" s="60">
        <f t="shared" si="16"/>
        <v>572.92187799341445</v>
      </c>
      <c r="R28" s="60">
        <f t="shared" si="17"/>
        <v>14895.968827828776</v>
      </c>
      <c r="S28" s="79">
        <f t="shared" si="6"/>
        <v>190.97395933113819</v>
      </c>
      <c r="T28" s="66">
        <f t="shared" si="18"/>
        <v>4965.3229426095932</v>
      </c>
      <c r="U28" s="64"/>
      <c r="V28" s="80">
        <f t="shared" si="20"/>
        <v>19861.291770438369</v>
      </c>
      <c r="W28" s="74">
        <f t="shared" si="19"/>
        <v>636998.77312861639</v>
      </c>
      <c r="X28" s="45"/>
      <c r="Y28" s="39">
        <f t="shared" si="0"/>
        <v>1299318.9363490629</v>
      </c>
    </row>
    <row r="29" spans="1:25" ht="15" x14ac:dyDescent="0.25">
      <c r="A29" s="95">
        <f t="shared" si="8"/>
        <v>54</v>
      </c>
      <c r="B29" s="95">
        <f t="shared" si="9"/>
        <v>2044</v>
      </c>
      <c r="C29" s="91"/>
      <c r="D29" s="86">
        <f t="shared" si="10"/>
        <v>126615.73503654462</v>
      </c>
      <c r="E29" s="87"/>
      <c r="F29" s="86"/>
      <c r="G29" s="54">
        <f t="shared" si="1"/>
        <v>79767.913073023112</v>
      </c>
      <c r="H29" s="54">
        <f t="shared" si="2"/>
        <v>9739.6719258880476</v>
      </c>
      <c r="I29" s="54">
        <f t="shared" si="3"/>
        <v>6135.9933133094701</v>
      </c>
      <c r="J29" s="38">
        <f t="shared" si="4"/>
        <v>1168.7606311065656</v>
      </c>
      <c r="K29" s="38">
        <f t="shared" si="11"/>
        <v>4967.2326822029045</v>
      </c>
      <c r="L29" s="38">
        <f t="shared" si="12"/>
        <v>59606.792186434854</v>
      </c>
      <c r="M29" s="38">
        <f t="shared" si="13"/>
        <v>26323.41131409763</v>
      </c>
      <c r="N29" s="38">
        <f t="shared" si="14"/>
        <v>33283.38087233722</v>
      </c>
      <c r="O29" s="58">
        <f t="shared" si="5"/>
        <v>4869.8359629440238</v>
      </c>
      <c r="P29" s="59">
        <f t="shared" si="15"/>
        <v>0.12</v>
      </c>
      <c r="Q29" s="60">
        <f t="shared" si="16"/>
        <v>584.3803155532828</v>
      </c>
      <c r="R29" s="60">
        <f t="shared" si="17"/>
        <v>15193.888204385352</v>
      </c>
      <c r="S29" s="79">
        <f t="shared" si="6"/>
        <v>194.79343851776096</v>
      </c>
      <c r="T29" s="66">
        <f t="shared" si="18"/>
        <v>5064.6294014617852</v>
      </c>
      <c r="U29" s="64"/>
      <c r="V29" s="80">
        <f t="shared" si="20"/>
        <v>20258.517605847137</v>
      </c>
      <c r="W29" s="74">
        <f t="shared" si="19"/>
        <v>690318.12348992517</v>
      </c>
      <c r="X29" s="45"/>
      <c r="Y29" s="39">
        <f t="shared" si="0"/>
        <v>1351291.6938030254</v>
      </c>
    </row>
    <row r="30" spans="1:25" ht="15" x14ac:dyDescent="0.25">
      <c r="A30" s="95">
        <f t="shared" si="8"/>
        <v>55</v>
      </c>
      <c r="B30" s="95">
        <f t="shared" si="9"/>
        <v>2045</v>
      </c>
      <c r="C30" s="91"/>
      <c r="D30" s="86">
        <f t="shared" si="10"/>
        <v>129148.04973727552</v>
      </c>
      <c r="E30" s="87">
        <v>6.1</v>
      </c>
      <c r="F30" s="86">
        <f>E30*D30</f>
        <v>787803.10339738068</v>
      </c>
      <c r="G30" s="54">
        <f t="shared" si="1"/>
        <v>81363.271334483579</v>
      </c>
      <c r="H30" s="54">
        <f t="shared" si="2"/>
        <v>9934.4653644058089</v>
      </c>
      <c r="I30" s="54">
        <f t="shared" si="3"/>
        <v>6258.7131795756595</v>
      </c>
      <c r="J30" s="43">
        <f t="shared" si="4"/>
        <v>1192.135843728697</v>
      </c>
      <c r="K30" s="43">
        <f t="shared" si="11"/>
        <v>5066.5773358469623</v>
      </c>
      <c r="L30" s="43">
        <f t="shared" si="12"/>
        <v>60798.928030163544</v>
      </c>
      <c r="M30" s="43">
        <f t="shared" si="13"/>
        <v>26849.879540379581</v>
      </c>
      <c r="N30" s="43">
        <f t="shared" si="14"/>
        <v>33949.048489783963</v>
      </c>
      <c r="O30" s="58">
        <f t="shared" si="5"/>
        <v>4967.2326822029045</v>
      </c>
      <c r="P30" s="59">
        <f t="shared" si="15"/>
        <v>0.12</v>
      </c>
      <c r="Q30" s="60">
        <f t="shared" si="16"/>
        <v>596.06792186434848</v>
      </c>
      <c r="R30" s="60">
        <f t="shared" si="17"/>
        <v>15497.765968473061</v>
      </c>
      <c r="S30" s="79">
        <f t="shared" si="6"/>
        <v>198.6893072881162</v>
      </c>
      <c r="T30" s="66">
        <f t="shared" si="18"/>
        <v>5165.9219894910211</v>
      </c>
      <c r="U30" s="64"/>
      <c r="V30" s="80">
        <f t="shared" si="20"/>
        <v>20663.687957964081</v>
      </c>
      <c r="W30" s="74">
        <f t="shared" si="19"/>
        <v>746779.9786931338</v>
      </c>
      <c r="X30" s="50">
        <f>W30/F30-1</f>
        <v>-5.2072814295013203E-2</v>
      </c>
      <c r="Y30" s="44">
        <f t="shared" si="0"/>
        <v>1405343.3615551465</v>
      </c>
    </row>
    <row r="31" spans="1:25" ht="15" x14ac:dyDescent="0.25">
      <c r="A31" s="95">
        <f t="shared" si="8"/>
        <v>56</v>
      </c>
      <c r="B31" s="95">
        <f t="shared" si="9"/>
        <v>2046</v>
      </c>
      <c r="C31" s="91"/>
      <c r="D31" s="86">
        <f t="shared" si="10"/>
        <v>131731.01073202104</v>
      </c>
      <c r="E31" s="87"/>
      <c r="F31" s="86"/>
      <c r="G31" s="54">
        <f t="shared" si="1"/>
        <v>82990.536761173251</v>
      </c>
      <c r="H31" s="54">
        <f t="shared" si="2"/>
        <v>10133.154671693927</v>
      </c>
      <c r="I31" s="54">
        <f t="shared" si="3"/>
        <v>6383.8874431671729</v>
      </c>
      <c r="J31" s="38">
        <f t="shared" si="4"/>
        <v>1215.978560603271</v>
      </c>
      <c r="K31" s="38">
        <f t="shared" si="11"/>
        <v>5167.9088825639019</v>
      </c>
      <c r="L31" s="38">
        <f t="shared" si="12"/>
        <v>62014.906590766826</v>
      </c>
      <c r="M31" s="38">
        <f t="shared" si="13"/>
        <v>27386.877131187175</v>
      </c>
      <c r="N31" s="38">
        <f t="shared" si="14"/>
        <v>34628.029459579651</v>
      </c>
      <c r="O31" s="58">
        <f t="shared" si="5"/>
        <v>5066.5773358469633</v>
      </c>
      <c r="P31" s="59">
        <f t="shared" si="15"/>
        <v>0.12</v>
      </c>
      <c r="Q31" s="60">
        <f t="shared" si="16"/>
        <v>607.98928030163552</v>
      </c>
      <c r="R31" s="60">
        <f t="shared" si="17"/>
        <v>15807.721287842523</v>
      </c>
      <c r="S31" s="79">
        <f t="shared" si="6"/>
        <v>202.66309343387854</v>
      </c>
      <c r="T31" s="66">
        <f t="shared" si="18"/>
        <v>5269.2404292808424</v>
      </c>
      <c r="U31" s="64"/>
      <c r="V31" s="80">
        <f t="shared" si="20"/>
        <v>21076.961717123366</v>
      </c>
      <c r="W31" s="74">
        <f t="shared" si="19"/>
        <v>806553.40696372837</v>
      </c>
      <c r="X31" s="45"/>
      <c r="Y31" s="39">
        <f t="shared" si="0"/>
        <v>1461557.0960173528</v>
      </c>
    </row>
    <row r="32" spans="1:25" ht="15" x14ac:dyDescent="0.25">
      <c r="A32" s="95">
        <f t="shared" si="8"/>
        <v>57</v>
      </c>
      <c r="B32" s="95">
        <f t="shared" si="9"/>
        <v>2047</v>
      </c>
      <c r="C32" s="91"/>
      <c r="D32" s="86">
        <f t="shared" si="10"/>
        <v>134365.63094666146</v>
      </c>
      <c r="E32" s="87"/>
      <c r="F32" s="86"/>
      <c r="G32" s="54">
        <f t="shared" si="1"/>
        <v>84650.347496396716</v>
      </c>
      <c r="H32" s="54">
        <f t="shared" si="2"/>
        <v>10335.817765127806</v>
      </c>
      <c r="I32" s="54">
        <f t="shared" si="3"/>
        <v>6511.5651920305163</v>
      </c>
      <c r="J32" s="38">
        <f t="shared" si="4"/>
        <v>1240.2981318153365</v>
      </c>
      <c r="K32" s="38">
        <f t="shared" si="11"/>
        <v>5271.2670602151793</v>
      </c>
      <c r="L32" s="38">
        <f t="shared" si="12"/>
        <v>63255.204722582152</v>
      </c>
      <c r="M32" s="38">
        <f t="shared" si="13"/>
        <v>27934.614673810916</v>
      </c>
      <c r="N32" s="38">
        <f t="shared" si="14"/>
        <v>35320.590048771235</v>
      </c>
      <c r="O32" s="58">
        <f t="shared" si="5"/>
        <v>5167.9088825639028</v>
      </c>
      <c r="P32" s="59">
        <f t="shared" si="15"/>
        <v>0.12</v>
      </c>
      <c r="Q32" s="60">
        <f t="shared" si="16"/>
        <v>620.14906590766827</v>
      </c>
      <c r="R32" s="60">
        <f t="shared" si="17"/>
        <v>16123.875713599375</v>
      </c>
      <c r="S32" s="79">
        <f t="shared" si="6"/>
        <v>206.71635530255611</v>
      </c>
      <c r="T32" s="66">
        <f t="shared" si="18"/>
        <v>5374.6252378664585</v>
      </c>
      <c r="U32" s="64"/>
      <c r="V32" s="80">
        <f t="shared" si="20"/>
        <v>21498.500951465834</v>
      </c>
      <c r="W32" s="74">
        <f t="shared" si="19"/>
        <v>869816.29221275565</v>
      </c>
      <c r="X32" s="45"/>
      <c r="Y32" s="39">
        <f t="shared" si="0"/>
        <v>1520019.3798580468</v>
      </c>
    </row>
    <row r="33" spans="1:25" ht="15" x14ac:dyDescent="0.25">
      <c r="A33" s="95">
        <f t="shared" si="8"/>
        <v>58</v>
      </c>
      <c r="B33" s="95">
        <f t="shared" si="9"/>
        <v>2048</v>
      </c>
      <c r="C33" s="91"/>
      <c r="D33" s="86">
        <f t="shared" si="10"/>
        <v>137052.9435655947</v>
      </c>
      <c r="E33" s="87"/>
      <c r="F33" s="86"/>
      <c r="G33" s="54">
        <f t="shared" si="1"/>
        <v>86343.354446324665</v>
      </c>
      <c r="H33" s="54">
        <f t="shared" si="2"/>
        <v>10542.534120430362</v>
      </c>
      <c r="I33" s="54">
        <f t="shared" si="3"/>
        <v>6641.7964958711282</v>
      </c>
      <c r="J33" s="38">
        <f t="shared" si="4"/>
        <v>1265.1040944516435</v>
      </c>
      <c r="K33" s="38">
        <f t="shared" si="11"/>
        <v>5376.6924014194847</v>
      </c>
      <c r="L33" s="38">
        <f t="shared" si="12"/>
        <v>64520.308817033816</v>
      </c>
      <c r="M33" s="38">
        <f t="shared" si="13"/>
        <v>28493.306967287142</v>
      </c>
      <c r="N33" s="38">
        <f t="shared" si="14"/>
        <v>36027.001849746674</v>
      </c>
      <c r="O33" s="58">
        <f t="shared" si="5"/>
        <v>5271.2670602151811</v>
      </c>
      <c r="P33" s="59">
        <f t="shared" si="15"/>
        <v>0.12</v>
      </c>
      <c r="Q33" s="60">
        <f t="shared" si="16"/>
        <v>632.55204722582175</v>
      </c>
      <c r="R33" s="60">
        <f t="shared" si="17"/>
        <v>16446.353227871365</v>
      </c>
      <c r="S33" s="79">
        <f t="shared" si="6"/>
        <v>210.85068240860724</v>
      </c>
      <c r="T33" s="66">
        <f t="shared" si="18"/>
        <v>5482.1177426237882</v>
      </c>
      <c r="U33" s="64"/>
      <c r="V33" s="80">
        <f t="shared" si="20"/>
        <v>21928.470970495153</v>
      </c>
      <c r="W33" s="74">
        <f t="shared" si="19"/>
        <v>936755.7883807132</v>
      </c>
      <c r="X33" s="45"/>
      <c r="Y33" s="39">
        <f t="shared" si="0"/>
        <v>1580820.1550523685</v>
      </c>
    </row>
    <row r="34" spans="1:25" ht="15" x14ac:dyDescent="0.25">
      <c r="A34" s="95">
        <f t="shared" si="8"/>
        <v>59</v>
      </c>
      <c r="B34" s="95">
        <f t="shared" si="9"/>
        <v>2049</v>
      </c>
      <c r="C34" s="91"/>
      <c r="D34" s="86">
        <f t="shared" si="10"/>
        <v>139794.00243690659</v>
      </c>
      <c r="E34" s="87"/>
      <c r="F34" s="86"/>
      <c r="G34" s="54">
        <f t="shared" si="1"/>
        <v>88070.221535251156</v>
      </c>
      <c r="H34" s="54">
        <f t="shared" si="2"/>
        <v>10753.384802838969</v>
      </c>
      <c r="I34" s="54">
        <f t="shared" si="3"/>
        <v>6774.6324257885508</v>
      </c>
      <c r="J34" s="38">
        <f t="shared" si="4"/>
        <v>1290.4061763406762</v>
      </c>
      <c r="K34" s="38">
        <f t="shared" si="11"/>
        <v>5484.2262494478746</v>
      </c>
      <c r="L34" s="38">
        <f t="shared" si="12"/>
        <v>65810.714993374495</v>
      </c>
      <c r="M34" s="38">
        <f t="shared" si="13"/>
        <v>29063.173106632883</v>
      </c>
      <c r="N34" s="38">
        <f t="shared" si="14"/>
        <v>36747.541886741616</v>
      </c>
      <c r="O34" s="58">
        <f t="shared" si="5"/>
        <v>5376.6924014194847</v>
      </c>
      <c r="P34" s="59">
        <f t="shared" si="15"/>
        <v>0.12</v>
      </c>
      <c r="Q34" s="60">
        <f t="shared" si="16"/>
        <v>645.20308817033811</v>
      </c>
      <c r="R34" s="60">
        <f t="shared" si="17"/>
        <v>16775.28029242879</v>
      </c>
      <c r="S34" s="79">
        <f t="shared" si="6"/>
        <v>215.0676960567794</v>
      </c>
      <c r="T34" s="66">
        <f t="shared" si="18"/>
        <v>5591.7600974762645</v>
      </c>
      <c r="U34" s="64"/>
      <c r="V34" s="80">
        <f t="shared" si="20"/>
        <v>22367.040389905054</v>
      </c>
      <c r="W34" s="74">
        <f t="shared" si="19"/>
        <v>1007568.7970928685</v>
      </c>
      <c r="X34" s="45"/>
      <c r="Y34" s="39">
        <f t="shared" si="0"/>
        <v>1644052.9612544635</v>
      </c>
    </row>
    <row r="35" spans="1:25" ht="15" x14ac:dyDescent="0.25">
      <c r="A35" s="95">
        <f t="shared" si="8"/>
        <v>60</v>
      </c>
      <c r="B35" s="95">
        <f t="shared" si="9"/>
        <v>2050</v>
      </c>
      <c r="C35" s="91"/>
      <c r="D35" s="86">
        <f t="shared" si="10"/>
        <v>142589.88248564472</v>
      </c>
      <c r="E35" s="87">
        <v>8</v>
      </c>
      <c r="F35" s="86">
        <f>E35*D35</f>
        <v>1140719.0598851577</v>
      </c>
      <c r="G35" s="54">
        <f t="shared" si="1"/>
        <v>89831.625965956177</v>
      </c>
      <c r="H35" s="54">
        <f t="shared" si="2"/>
        <v>10968.452498895747</v>
      </c>
      <c r="I35" s="54">
        <f t="shared" si="3"/>
        <v>6910.1250743043211</v>
      </c>
      <c r="J35" s="43">
        <f t="shared" si="4"/>
        <v>1316.2142998674897</v>
      </c>
      <c r="K35" s="43">
        <f t="shared" si="11"/>
        <v>5593.9107744368312</v>
      </c>
      <c r="L35" s="43">
        <f t="shared" si="12"/>
        <v>67126.929293241978</v>
      </c>
      <c r="M35" s="43">
        <f t="shared" si="13"/>
        <v>29644.436568765541</v>
      </c>
      <c r="N35" s="43">
        <f t="shared" si="14"/>
        <v>37482.49272447644</v>
      </c>
      <c r="O35" s="58">
        <f t="shared" si="5"/>
        <v>5484.2262494478737</v>
      </c>
      <c r="P35" s="59">
        <f t="shared" si="15"/>
        <v>0.12</v>
      </c>
      <c r="Q35" s="60">
        <f t="shared" si="16"/>
        <v>658.10714993374484</v>
      </c>
      <c r="R35" s="60">
        <f t="shared" si="17"/>
        <v>17110.785898277365</v>
      </c>
      <c r="S35" s="79">
        <f t="shared" si="6"/>
        <v>219.36904997791495</v>
      </c>
      <c r="T35" s="66">
        <f t="shared" si="18"/>
        <v>5703.5952994257887</v>
      </c>
      <c r="U35" s="64"/>
      <c r="V35" s="80">
        <f t="shared" si="20"/>
        <v>22814.381197703155</v>
      </c>
      <c r="W35" s="74">
        <f t="shared" si="19"/>
        <v>1082462.4698199914</v>
      </c>
      <c r="X35" s="50">
        <f>W35/F35-1</f>
        <v>-5.1070059328219952E-2</v>
      </c>
      <c r="Y35" s="44">
        <f t="shared" si="0"/>
        <v>1709815.0797046423</v>
      </c>
    </row>
    <row r="36" spans="1:25" ht="15" x14ac:dyDescent="0.25">
      <c r="A36" s="95">
        <f t="shared" si="8"/>
        <v>61</v>
      </c>
      <c r="B36" s="95">
        <f t="shared" si="9"/>
        <v>2051</v>
      </c>
      <c r="C36" s="91"/>
      <c r="D36" s="86">
        <f t="shared" si="10"/>
        <v>145441.6801353576</v>
      </c>
      <c r="E36" s="87"/>
      <c r="F36" s="86"/>
      <c r="G36" s="54">
        <f t="shared" si="1"/>
        <v>91628.258485275292</v>
      </c>
      <c r="H36" s="54">
        <f t="shared" si="2"/>
        <v>11187.821548873662</v>
      </c>
      <c r="I36" s="54">
        <f t="shared" si="3"/>
        <v>7048.3275757904066</v>
      </c>
      <c r="J36" s="38">
        <f t="shared" si="4"/>
        <v>1342.5385858648394</v>
      </c>
      <c r="K36" s="38">
        <f t="shared" si="11"/>
        <v>5705.788989925567</v>
      </c>
      <c r="L36" s="38">
        <f t="shared" si="12"/>
        <v>68469.4678791068</v>
      </c>
      <c r="M36" s="38">
        <f t="shared" si="13"/>
        <v>30237.325300140848</v>
      </c>
      <c r="N36" s="38">
        <f t="shared" si="14"/>
        <v>38232.142578965955</v>
      </c>
      <c r="O36" s="58">
        <f t="shared" si="5"/>
        <v>5593.9107744368312</v>
      </c>
      <c r="P36" s="59">
        <f t="shared" si="15"/>
        <v>0.12</v>
      </c>
      <c r="Q36" s="60">
        <f t="shared" si="16"/>
        <v>671.26929293241972</v>
      </c>
      <c r="R36" s="60">
        <f t="shared" si="17"/>
        <v>17453.001616242913</v>
      </c>
      <c r="S36" s="79">
        <f t="shared" si="6"/>
        <v>223.75643097747326</v>
      </c>
      <c r="T36" s="66">
        <f t="shared" si="18"/>
        <v>5817.6672054143046</v>
      </c>
      <c r="U36" s="64"/>
      <c r="V36" s="80">
        <f t="shared" si="20"/>
        <v>23270.668821657218</v>
      </c>
      <c r="W36" s="74">
        <f t="shared" si="19"/>
        <v>1161654.7357995959</v>
      </c>
      <c r="X36" s="45"/>
      <c r="Y36" s="39">
        <f t="shared" si="0"/>
        <v>1778207.6828928278</v>
      </c>
    </row>
    <row r="37" spans="1:25" ht="15" x14ac:dyDescent="0.25">
      <c r="A37" s="95">
        <f t="shared" si="8"/>
        <v>62</v>
      </c>
      <c r="B37" s="95">
        <f t="shared" si="9"/>
        <v>2052</v>
      </c>
      <c r="C37" s="91"/>
      <c r="D37" s="86">
        <f t="shared" si="10"/>
        <v>148350.51373806476</v>
      </c>
      <c r="E37" s="87"/>
      <c r="F37" s="86"/>
      <c r="G37" s="54">
        <f t="shared" si="1"/>
        <v>93460.823654980806</v>
      </c>
      <c r="H37" s="54">
        <f t="shared" si="2"/>
        <v>11411.577979851136</v>
      </c>
      <c r="I37" s="54">
        <f t="shared" si="3"/>
        <v>7189.2941273062161</v>
      </c>
      <c r="J37" s="38">
        <f t="shared" si="4"/>
        <v>1369.3893575821362</v>
      </c>
      <c r="K37" s="38">
        <f t="shared" si="11"/>
        <v>5819.9047697240803</v>
      </c>
      <c r="L37" s="38">
        <f t="shared" si="12"/>
        <v>69838.857236688957</v>
      </c>
      <c r="M37" s="38">
        <f t="shared" si="13"/>
        <v>30842.071806143667</v>
      </c>
      <c r="N37" s="38">
        <f t="shared" si="14"/>
        <v>38996.785430545293</v>
      </c>
      <c r="O37" s="58">
        <f t="shared" si="5"/>
        <v>5705.7889899255679</v>
      </c>
      <c r="P37" s="59">
        <f t="shared" si="15"/>
        <v>0.12</v>
      </c>
      <c r="Q37" s="60">
        <f t="shared" si="16"/>
        <v>684.6946787910681</v>
      </c>
      <c r="R37" s="60">
        <f t="shared" si="17"/>
        <v>17802.061648567771</v>
      </c>
      <c r="S37" s="79">
        <f t="shared" si="6"/>
        <v>228.23155959702271</v>
      </c>
      <c r="T37" s="66">
        <f t="shared" si="18"/>
        <v>5934.02054952259</v>
      </c>
      <c r="U37" s="64"/>
      <c r="V37" s="80">
        <f t="shared" si="20"/>
        <v>23736.08219809036</v>
      </c>
      <c r="W37" s="74">
        <f t="shared" si="19"/>
        <v>1245374.8570370297</v>
      </c>
      <c r="X37" s="45"/>
      <c r="Y37" s="39">
        <f t="shared" si="0"/>
        <v>1849335.990208541</v>
      </c>
    </row>
    <row r="38" spans="1:25" ht="15" x14ac:dyDescent="0.25">
      <c r="A38" s="95">
        <f t="shared" si="8"/>
        <v>63</v>
      </c>
      <c r="B38" s="95">
        <f t="shared" si="9"/>
        <v>2053</v>
      </c>
      <c r="C38" s="91"/>
      <c r="D38" s="86">
        <f t="shared" si="10"/>
        <v>151317.52401282606</v>
      </c>
      <c r="E38" s="87"/>
      <c r="F38" s="86"/>
      <c r="G38" s="54">
        <f t="shared" si="1"/>
        <v>95330.040128080422</v>
      </c>
      <c r="H38" s="54">
        <f t="shared" si="2"/>
        <v>11639.809539448159</v>
      </c>
      <c r="I38" s="54">
        <f t="shared" si="3"/>
        <v>7333.0800098523405</v>
      </c>
      <c r="J38" s="38">
        <f t="shared" si="4"/>
        <v>1396.7771447337791</v>
      </c>
      <c r="K38" s="38">
        <f t="shared" si="11"/>
        <v>5936.3028651185614</v>
      </c>
      <c r="L38" s="38">
        <f t="shared" si="12"/>
        <v>71235.634381422744</v>
      </c>
      <c r="M38" s="38">
        <f t="shared" si="13"/>
        <v>31458.913242266539</v>
      </c>
      <c r="N38" s="38">
        <f t="shared" si="14"/>
        <v>39776.721139156201</v>
      </c>
      <c r="O38" s="58">
        <f t="shared" si="5"/>
        <v>5819.9047697240794</v>
      </c>
      <c r="P38" s="59">
        <f t="shared" si="15"/>
        <v>0.12</v>
      </c>
      <c r="Q38" s="60">
        <f t="shared" si="16"/>
        <v>698.38857236688955</v>
      </c>
      <c r="R38" s="60">
        <f t="shared" si="17"/>
        <v>18158.102881539129</v>
      </c>
      <c r="S38" s="79">
        <f t="shared" si="6"/>
        <v>232.79619078896317</v>
      </c>
      <c r="T38" s="66">
        <f t="shared" si="18"/>
        <v>6052.7009605130424</v>
      </c>
      <c r="U38" s="64"/>
      <c r="V38" s="80">
        <f t="shared" si="20"/>
        <v>24210.80384205217</v>
      </c>
      <c r="W38" s="74">
        <f t="shared" si="19"/>
        <v>1333864.0117732715</v>
      </c>
      <c r="X38" s="45"/>
      <c r="Y38" s="39">
        <f t="shared" si="0"/>
        <v>1923309.4298168828</v>
      </c>
    </row>
    <row r="39" spans="1:25" ht="15" x14ac:dyDescent="0.25">
      <c r="A39" s="95">
        <f t="shared" si="8"/>
        <v>64</v>
      </c>
      <c r="B39" s="95">
        <f t="shared" si="9"/>
        <v>2054</v>
      </c>
      <c r="C39" s="91"/>
      <c r="D39" s="86">
        <f t="shared" si="10"/>
        <v>154343.87449308258</v>
      </c>
      <c r="E39" s="87"/>
      <c r="F39" s="86"/>
      <c r="G39" s="54">
        <f t="shared" si="1"/>
        <v>97236.640930642025</v>
      </c>
      <c r="H39" s="54">
        <f t="shared" si="2"/>
        <v>11872.605730237121</v>
      </c>
      <c r="I39" s="54">
        <f t="shared" si="3"/>
        <v>7479.7416100493865</v>
      </c>
      <c r="J39" s="38">
        <f t="shared" si="4"/>
        <v>1424.7126876284544</v>
      </c>
      <c r="K39" s="38">
        <f t="shared" si="11"/>
        <v>6055.0289224209318</v>
      </c>
      <c r="L39" s="38">
        <f t="shared" si="12"/>
        <v>72660.347069051175</v>
      </c>
      <c r="M39" s="38">
        <f t="shared" si="13"/>
        <v>32088.091507111869</v>
      </c>
      <c r="N39" s="38">
        <f t="shared" si="14"/>
        <v>40572.25556193931</v>
      </c>
      <c r="O39" s="58">
        <f t="shared" si="5"/>
        <v>5936.3028651185605</v>
      </c>
      <c r="P39" s="59">
        <f t="shared" si="15"/>
        <v>0.12</v>
      </c>
      <c r="Q39" s="60">
        <f t="shared" si="16"/>
        <v>712.35634381422722</v>
      </c>
      <c r="R39" s="60">
        <f t="shared" si="17"/>
        <v>18521.264939169909</v>
      </c>
      <c r="S39" s="79">
        <f t="shared" si="6"/>
        <v>237.45211460474243</v>
      </c>
      <c r="T39" s="66">
        <f t="shared" si="18"/>
        <v>6173.7549797233032</v>
      </c>
      <c r="U39" s="64"/>
      <c r="V39" s="80">
        <f t="shared" si="20"/>
        <v>24695.019918893213</v>
      </c>
      <c r="W39" s="74">
        <f t="shared" si="19"/>
        <v>1427375.9078772906</v>
      </c>
      <c r="X39" s="45"/>
      <c r="Y39" s="39">
        <f t="shared" si="0"/>
        <v>2000241.8070095584</v>
      </c>
    </row>
    <row r="40" spans="1:25" ht="15" x14ac:dyDescent="0.25">
      <c r="A40" s="95">
        <f t="shared" si="8"/>
        <v>65</v>
      </c>
      <c r="B40" s="95">
        <f t="shared" si="9"/>
        <v>2055</v>
      </c>
      <c r="C40" s="91"/>
      <c r="D40" s="86">
        <f t="shared" si="10"/>
        <v>157430.75198294423</v>
      </c>
      <c r="E40" s="87">
        <v>10.4</v>
      </c>
      <c r="F40" s="86">
        <f>E40*D40</f>
        <v>1637279.8206226202</v>
      </c>
      <c r="G40" s="54">
        <f t="shared" si="1"/>
        <v>99181.373749254868</v>
      </c>
      <c r="H40" s="54">
        <f t="shared" si="2"/>
        <v>12110.057844841864</v>
      </c>
      <c r="I40" s="54">
        <f t="shared" si="3"/>
        <v>7629.3364422503746</v>
      </c>
      <c r="J40" s="43">
        <f t="shared" si="4"/>
        <v>1453.2069413810236</v>
      </c>
      <c r="K40" s="43">
        <f t="shared" si="11"/>
        <v>6176.1295008693505</v>
      </c>
      <c r="L40" s="43">
        <f t="shared" si="12"/>
        <v>74113.554010432214</v>
      </c>
      <c r="M40" s="43">
        <f t="shared" si="13"/>
        <v>32729.85333725411</v>
      </c>
      <c r="N40" s="43">
        <f t="shared" si="14"/>
        <v>41383.7006731781</v>
      </c>
      <c r="O40" s="58">
        <f t="shared" si="5"/>
        <v>6055.0289224209318</v>
      </c>
      <c r="P40" s="59">
        <f t="shared" si="15"/>
        <v>0.12</v>
      </c>
      <c r="Q40" s="60">
        <f t="shared" si="16"/>
        <v>726.60347069051181</v>
      </c>
      <c r="R40" s="60">
        <f t="shared" si="17"/>
        <v>18891.690237953306</v>
      </c>
      <c r="S40" s="79">
        <f t="shared" si="6"/>
        <v>242.20115689683729</v>
      </c>
      <c r="T40" s="66">
        <f t="shared" si="18"/>
        <v>6297.2300793177692</v>
      </c>
      <c r="U40" s="64"/>
      <c r="V40" s="80">
        <f t="shared" si="20"/>
        <v>25188.920317271077</v>
      </c>
      <c r="W40" s="74">
        <f t="shared" si="19"/>
        <v>1526177.427695422</v>
      </c>
      <c r="X40" s="50">
        <f>W40/F40-1</f>
        <v>-6.7857913795669078E-2</v>
      </c>
      <c r="Y40" s="44">
        <f t="shared" si="0"/>
        <v>2080251.4792899406</v>
      </c>
    </row>
    <row r="41" spans="1:25" ht="15" x14ac:dyDescent="0.25">
      <c r="A41" s="95">
        <f t="shared" si="8"/>
        <v>66</v>
      </c>
      <c r="B41" s="95">
        <f t="shared" ref="B41:B42" si="21">B40+1</f>
        <v>2056</v>
      </c>
      <c r="C41" s="91"/>
      <c r="D41" s="86">
        <f t="shared" ref="D41:D42" si="22">D40*1.02+C41</f>
        <v>160579.36702260311</v>
      </c>
      <c r="E41" s="87"/>
      <c r="F41" s="86"/>
      <c r="G41" s="54">
        <f t="shared" si="1"/>
        <v>101165.00122423995</v>
      </c>
      <c r="H41" s="54">
        <f t="shared" si="2"/>
        <v>12352.259001738701</v>
      </c>
      <c r="I41" s="54">
        <f t="shared" si="3"/>
        <v>7781.9231710953809</v>
      </c>
      <c r="J41" s="38">
        <f t="shared" si="4"/>
        <v>1482.271080208644</v>
      </c>
      <c r="K41" s="38">
        <f t="shared" si="11"/>
        <v>6299.6520908867369</v>
      </c>
      <c r="L41" s="38">
        <f t="shared" si="12"/>
        <v>75595.825090640836</v>
      </c>
      <c r="M41" s="38">
        <f t="shared" si="13"/>
        <v>33384.450403999188</v>
      </c>
      <c r="N41" s="38">
        <f t="shared" si="14"/>
        <v>42211.374686641648</v>
      </c>
      <c r="O41" s="58">
        <f t="shared" si="5"/>
        <v>6176.1295008693505</v>
      </c>
      <c r="P41" s="59">
        <f t="shared" si="15"/>
        <v>0.12</v>
      </c>
      <c r="Q41" s="60">
        <f t="shared" ref="Q41:Q42" si="23">P41*O41</f>
        <v>741.13554010432199</v>
      </c>
      <c r="R41" s="60">
        <f t="shared" si="17"/>
        <v>19269.524042712372</v>
      </c>
      <c r="S41" s="79">
        <f t="shared" si="6"/>
        <v>247.04518003477403</v>
      </c>
      <c r="T41" s="66">
        <f t="shared" si="18"/>
        <v>6423.1746809041251</v>
      </c>
      <c r="U41" s="64"/>
      <c r="V41" s="80">
        <f t="shared" si="20"/>
        <v>25692.698723616497</v>
      </c>
      <c r="W41" s="74">
        <f t="shared" si="19"/>
        <v>1630549.3059686581</v>
      </c>
      <c r="X41" s="45"/>
      <c r="Y41" s="39">
        <f t="shared" si="0"/>
        <v>2163461.5384615385</v>
      </c>
    </row>
    <row r="42" spans="1:25" ht="15.75" thickBot="1" x14ac:dyDescent="0.3">
      <c r="A42" s="96">
        <f t="shared" si="8"/>
        <v>67</v>
      </c>
      <c r="B42" s="96">
        <f t="shared" si="21"/>
        <v>2057</v>
      </c>
      <c r="C42" s="92"/>
      <c r="D42" s="88">
        <f t="shared" si="22"/>
        <v>163790.95436305518</v>
      </c>
      <c r="E42" s="89"/>
      <c r="F42" s="88"/>
      <c r="G42" s="55">
        <f t="shared" si="1"/>
        <v>103188.30124872476</v>
      </c>
      <c r="H42" s="55">
        <f t="shared" si="2"/>
        <v>12599.304181773476</v>
      </c>
      <c r="I42" s="55">
        <f t="shared" si="3"/>
        <v>7937.5616345172893</v>
      </c>
      <c r="J42" s="40">
        <f t="shared" si="4"/>
        <v>1511.9165018128169</v>
      </c>
      <c r="K42" s="40">
        <f t="shared" si="11"/>
        <v>6425.6451327044724</v>
      </c>
      <c r="L42" s="40">
        <f t="shared" si="12"/>
        <v>77107.741592453676</v>
      </c>
      <c r="M42" s="40">
        <f t="shared" si="13"/>
        <v>34052.139412079174</v>
      </c>
      <c r="N42" s="40">
        <f t="shared" si="14"/>
        <v>43055.602180374502</v>
      </c>
      <c r="O42" s="61">
        <f t="shared" si="5"/>
        <v>6299.6520908867378</v>
      </c>
      <c r="P42" s="62">
        <f t="shared" si="15"/>
        <v>0.12</v>
      </c>
      <c r="Q42" s="63">
        <f t="shared" si="23"/>
        <v>755.95825090640847</v>
      </c>
      <c r="R42" s="63">
        <f t="shared" si="17"/>
        <v>19654.914523566622</v>
      </c>
      <c r="S42" s="81">
        <f t="shared" si="6"/>
        <v>251.98608363546953</v>
      </c>
      <c r="T42" s="67">
        <f t="shared" si="18"/>
        <v>6551.6381745222079</v>
      </c>
      <c r="U42" s="69"/>
      <c r="V42" s="82">
        <f t="shared" si="20"/>
        <v>26000</v>
      </c>
      <c r="W42" s="75">
        <f t="shared" si="19"/>
        <v>1740575.4899502592</v>
      </c>
      <c r="X42" s="49"/>
      <c r="Y42" s="41">
        <f t="shared" si="0"/>
        <v>2250000</v>
      </c>
    </row>
    <row r="43" spans="1:25" x14ac:dyDescent="0.2">
      <c r="D43" s="38">
        <f>D42</f>
        <v>163790.95436305518</v>
      </c>
      <c r="F43" s="33">
        <f>D43*11</f>
        <v>1801700.4979936071</v>
      </c>
      <c r="G43" s="51">
        <f t="shared" si="1"/>
        <v>103188.30124872476</v>
      </c>
      <c r="H43" s="51">
        <f t="shared" si="2"/>
        <v>12599.304181773476</v>
      </c>
      <c r="I43" s="51">
        <f t="shared" si="3"/>
        <v>7937.5616345172893</v>
      </c>
      <c r="J43" s="38"/>
      <c r="K43" s="38">
        <f>SUM(K7:K42)</f>
        <v>167057.90176792795</v>
      </c>
      <c r="L43" s="38">
        <f t="shared" si="12"/>
        <v>2004694.8212151355</v>
      </c>
      <c r="M43" s="38"/>
      <c r="N43" s="38">
        <f>SUM(N7:N42)</f>
        <v>1119386.2111990987</v>
      </c>
      <c r="O43" s="52">
        <f t="shared" si="5"/>
        <v>6299.6520908867378</v>
      </c>
      <c r="U43" s="33"/>
      <c r="V43" s="33"/>
      <c r="W43" s="44">
        <f>W42</f>
        <v>1740575.4899502592</v>
      </c>
      <c r="X43" s="71">
        <f>W43/F43-1</f>
        <v>-3.3926286922503102E-2</v>
      </c>
      <c r="Y43" s="31">
        <v>2250000</v>
      </c>
    </row>
    <row r="44" spans="1:25" x14ac:dyDescent="0.2">
      <c r="J44" s="38"/>
      <c r="K44" s="38"/>
      <c r="L44" s="38"/>
      <c r="M44" s="38"/>
      <c r="N44" s="38"/>
      <c r="U44" s="36"/>
      <c r="V44" s="36"/>
      <c r="W44" s="39"/>
    </row>
    <row r="45" spans="1:25" x14ac:dyDescent="0.2">
      <c r="N45" s="33">
        <v>1087403.7480219814</v>
      </c>
      <c r="U45" s="33"/>
      <c r="V45" s="33"/>
    </row>
    <row r="47" spans="1:25" x14ac:dyDescent="0.2">
      <c r="K47" s="33"/>
      <c r="N47" s="33">
        <v>400079.80931964924</v>
      </c>
      <c r="U47" s="33"/>
      <c r="V47" s="33">
        <f>V45-V43</f>
        <v>0</v>
      </c>
    </row>
    <row r="48" spans="1:25" x14ac:dyDescent="0.2">
      <c r="A48">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E7C0-10D2-4874-80CE-922169A3A016}">
  <sheetPr>
    <pageSetUpPr fitToPage="1"/>
  </sheetPr>
  <dimension ref="A1:M93"/>
  <sheetViews>
    <sheetView showGridLines="0" workbookViewId="0">
      <selection activeCell="E12" sqref="E12"/>
    </sheetView>
  </sheetViews>
  <sheetFormatPr defaultColWidth="9.140625" defaultRowHeight="12.75" x14ac:dyDescent="0.2"/>
  <cols>
    <col min="1" max="1" width="7.5703125" style="134" customWidth="1"/>
    <col min="2" max="2" width="7.7109375" style="134" customWidth="1"/>
    <col min="3" max="3" width="9.42578125" style="134" customWidth="1"/>
    <col min="4" max="4" width="9.85546875" style="134" customWidth="1"/>
    <col min="5" max="5" width="16.140625" style="134" customWidth="1"/>
    <col min="6" max="7" width="15" style="134" customWidth="1"/>
    <col min="8" max="8" width="17" style="134" customWidth="1"/>
    <col min="9" max="9" width="4.140625" style="134" customWidth="1"/>
    <col min="10" max="10" width="11.7109375" style="134" customWidth="1"/>
    <col min="11" max="11" width="10.85546875" style="134" bestFit="1" customWidth="1"/>
    <col min="12" max="16384" width="9.140625" style="134"/>
  </cols>
  <sheetData>
    <row r="1" spans="1:13" ht="31.5" customHeight="1" x14ac:dyDescent="0.2">
      <c r="A1" s="133" t="s">
        <v>110</v>
      </c>
      <c r="B1" s="133"/>
      <c r="C1" s="133"/>
      <c r="D1" s="133"/>
      <c r="E1" s="133"/>
      <c r="F1" s="133"/>
      <c r="G1" s="133"/>
      <c r="H1" s="133"/>
    </row>
    <row r="2" spans="1:13" x14ac:dyDescent="0.2">
      <c r="H2" s="135" t="str">
        <f ca="1">"© 2008-" &amp; YEAR(TODAY()) &amp; " Vertex42 LLC"</f>
        <v>© 2008-2021 Vertex42 LLC</v>
      </c>
    </row>
    <row r="3" spans="1:13" x14ac:dyDescent="0.2">
      <c r="A3" s="136"/>
      <c r="J3" s="137" t="s">
        <v>111</v>
      </c>
      <c r="K3" s="138"/>
      <c r="L3" s="138"/>
      <c r="M3" s="138"/>
    </row>
    <row r="4" spans="1:13" ht="19.5" customHeight="1" thickBot="1" x14ac:dyDescent="0.25">
      <c r="A4" s="139" t="s">
        <v>112</v>
      </c>
      <c r="B4" s="139"/>
      <c r="C4" s="139"/>
      <c r="D4" s="139"/>
      <c r="E4" s="139"/>
      <c r="F4" s="140" t="s">
        <v>113</v>
      </c>
      <c r="G4" s="140"/>
      <c r="H4" s="140"/>
      <c r="J4" s="134" t="s">
        <v>114</v>
      </c>
    </row>
    <row r="5" spans="1:13" ht="15" customHeight="1" x14ac:dyDescent="0.25">
      <c r="A5" s="141"/>
      <c r="B5" s="142"/>
      <c r="C5" s="142"/>
      <c r="D5" s="142" t="s">
        <v>115</v>
      </c>
      <c r="E5" s="143">
        <v>29</v>
      </c>
      <c r="F5" s="144"/>
      <c r="G5" s="145" t="s">
        <v>116</v>
      </c>
      <c r="H5" s="146">
        <f>IF(E6-E5&lt;=0,0,E6-E5)</f>
        <v>38</v>
      </c>
      <c r="J5" s="134" t="s">
        <v>117</v>
      </c>
    </row>
    <row r="6" spans="1:13" ht="15" customHeight="1" x14ac:dyDescent="0.25">
      <c r="A6" s="141"/>
      <c r="B6" s="142"/>
      <c r="C6" s="142"/>
      <c r="D6" s="142" t="s">
        <v>118</v>
      </c>
      <c r="E6" s="147">
        <v>67</v>
      </c>
      <c r="F6" s="144"/>
      <c r="G6" s="144"/>
      <c r="H6" s="144"/>
      <c r="J6" s="134" t="s">
        <v>119</v>
      </c>
    </row>
    <row r="7" spans="1:13" ht="15" customHeight="1" thickBot="1" x14ac:dyDescent="0.25">
      <c r="A7" s="148"/>
      <c r="B7" s="149"/>
      <c r="C7" s="149"/>
      <c r="D7" s="149"/>
      <c r="E7" s="150" t="s">
        <v>120</v>
      </c>
      <c r="F7" s="144"/>
      <c r="G7" s="151"/>
      <c r="H7" s="152" t="s">
        <v>121</v>
      </c>
      <c r="J7" s="134" t="s">
        <v>122</v>
      </c>
    </row>
    <row r="8" spans="1:13" ht="15" customHeight="1" x14ac:dyDescent="0.2">
      <c r="A8" s="141"/>
      <c r="B8" s="142"/>
      <c r="C8" s="142"/>
      <c r="D8" s="142" t="s">
        <v>123</v>
      </c>
      <c r="E8" s="153">
        <v>53297</v>
      </c>
      <c r="F8" s="144"/>
      <c r="G8" s="145" t="str">
        <f>"Estimated Value After "&amp;H5&amp;" Years"</f>
        <v>Estimated Value After 38 Years</v>
      </c>
      <c r="H8" s="154">
        <f ca="1">OFFSET(H32,H5+1,0,1,1)</f>
        <v>5524027.3694367604</v>
      </c>
    </row>
    <row r="9" spans="1:13" ht="15" customHeight="1" x14ac:dyDescent="0.2">
      <c r="A9" s="141"/>
      <c r="B9" s="142"/>
      <c r="C9" s="142"/>
      <c r="D9" s="142" t="s">
        <v>124</v>
      </c>
      <c r="E9" s="155">
        <v>165347</v>
      </c>
      <c r="F9" s="144"/>
      <c r="G9" s="145" t="s">
        <v>125</v>
      </c>
      <c r="H9" s="154">
        <f ca="1">OFFSET(D32,H5+1,0,1,1)</f>
        <v>344035.03767378785</v>
      </c>
    </row>
    <row r="10" spans="1:13" ht="15" customHeight="1" x14ac:dyDescent="0.25">
      <c r="A10" s="141"/>
      <c r="B10" s="142"/>
      <c r="C10" s="142"/>
      <c r="D10" s="142" t="s">
        <v>126</v>
      </c>
      <c r="E10" s="156">
        <v>0.02</v>
      </c>
      <c r="F10" s="144"/>
      <c r="G10" s="144"/>
      <c r="H10" s="144"/>
      <c r="J10" s="157" t="s">
        <v>127</v>
      </c>
    </row>
    <row r="11" spans="1:13" ht="15" customHeight="1" thickBot="1" x14ac:dyDescent="0.25">
      <c r="A11" s="148"/>
      <c r="B11" s="149"/>
      <c r="C11" s="149"/>
      <c r="D11" s="149"/>
      <c r="E11" s="150" t="s">
        <v>128</v>
      </c>
      <c r="F11" s="144"/>
      <c r="G11" s="151"/>
      <c r="H11" s="152" t="s">
        <v>129</v>
      </c>
      <c r="J11" s="134" t="s">
        <v>130</v>
      </c>
    </row>
    <row r="12" spans="1:13" ht="15" customHeight="1" x14ac:dyDescent="0.25">
      <c r="A12" s="141"/>
      <c r="B12" s="142"/>
      <c r="C12" s="142"/>
      <c r="D12" s="142" t="s">
        <v>131</v>
      </c>
      <c r="E12" s="158">
        <f>20000/E9</f>
        <v>0.12095774341233891</v>
      </c>
      <c r="F12" s="144"/>
      <c r="G12" s="145" t="s">
        <v>132</v>
      </c>
      <c r="H12" s="154">
        <f ca="1">IF(H5&gt;0,SUM(OFFSET(E32,2,0,H5,1)),0)</f>
        <v>1122298.7924018188</v>
      </c>
      <c r="J12" s="134" t="s">
        <v>133</v>
      </c>
    </row>
    <row r="13" spans="1:13" ht="15" customHeight="1" x14ac:dyDescent="0.25">
      <c r="A13" s="141"/>
      <c r="B13" s="142"/>
      <c r="C13" s="142"/>
      <c r="D13" s="159" t="s">
        <v>134</v>
      </c>
      <c r="E13" s="156">
        <v>0.5</v>
      </c>
      <c r="F13" s="144"/>
      <c r="G13" s="145" t="s">
        <v>135</v>
      </c>
      <c r="H13" s="154">
        <f ca="1">IF(H5&gt;0,SUM(OFFSET(F32,2,0,H5,1)),0)</f>
        <v>371137.47685452714</v>
      </c>
      <c r="J13" s="134" t="s">
        <v>136</v>
      </c>
    </row>
    <row r="14" spans="1:13" ht="15" customHeight="1" x14ac:dyDescent="0.25">
      <c r="A14" s="141"/>
      <c r="B14" s="142"/>
      <c r="C14" s="142"/>
      <c r="D14" s="159" t="s">
        <v>137</v>
      </c>
      <c r="E14" s="156">
        <v>0.08</v>
      </c>
      <c r="F14" s="160"/>
      <c r="G14" s="145" t="s">
        <v>129</v>
      </c>
      <c r="H14" s="154">
        <f ca="1">H13+H12</f>
        <v>1493436.2692563459</v>
      </c>
      <c r="J14" s="134" t="s">
        <v>138</v>
      </c>
    </row>
    <row r="15" spans="1:13" ht="15" customHeight="1" x14ac:dyDescent="0.2">
      <c r="A15" s="141"/>
      <c r="B15" s="142"/>
      <c r="C15" s="142"/>
      <c r="D15" s="142"/>
      <c r="E15" s="161" t="str">
        <f>IF(H5&gt;0,IF(E34&gt;16500,"Warning: Annual Contribution Over $16,500 Limit"," . ")," . ")</f>
        <v>Warning: Annual Contribution Over $16,500 Limit</v>
      </c>
      <c r="F15" s="144"/>
      <c r="G15" s="160"/>
      <c r="H15" s="145"/>
      <c r="J15" s="134" t="s">
        <v>139</v>
      </c>
    </row>
    <row r="16" spans="1:13" ht="15" customHeight="1" thickBot="1" x14ac:dyDescent="0.25">
      <c r="A16" s="148"/>
      <c r="B16" s="149"/>
      <c r="C16" s="149"/>
      <c r="D16" s="149"/>
      <c r="E16" s="150" t="s">
        <v>140</v>
      </c>
      <c r="F16" s="144"/>
      <c r="G16" s="144"/>
      <c r="H16" s="144"/>
    </row>
    <row r="17" spans="1:11" ht="15" customHeight="1" x14ac:dyDescent="0.25">
      <c r="A17" s="141"/>
      <c r="B17" s="142"/>
      <c r="C17" s="142"/>
      <c r="D17" s="142" t="s">
        <v>141</v>
      </c>
      <c r="E17" s="158">
        <v>0.06</v>
      </c>
      <c r="F17" s="144"/>
      <c r="G17" s="144"/>
      <c r="H17" s="144"/>
    </row>
    <row r="18" spans="1:11" ht="15" customHeight="1" x14ac:dyDescent="0.25">
      <c r="A18" s="141"/>
      <c r="B18" s="141"/>
      <c r="C18" s="141"/>
      <c r="D18" s="142" t="s">
        <v>142</v>
      </c>
      <c r="E18" s="147">
        <v>26</v>
      </c>
      <c r="F18" s="144"/>
      <c r="G18" s="144"/>
      <c r="H18" s="144"/>
    </row>
    <row r="19" spans="1:11" x14ac:dyDescent="0.2">
      <c r="A19" s="141"/>
      <c r="B19" s="141"/>
      <c r="C19" s="141"/>
      <c r="D19" s="141"/>
      <c r="E19" s="141"/>
      <c r="F19" s="144"/>
      <c r="G19" s="160"/>
      <c r="H19" s="144"/>
    </row>
    <row r="20" spans="1:11" x14ac:dyDescent="0.2">
      <c r="G20" s="162"/>
      <c r="H20" s="163"/>
    </row>
    <row r="21" spans="1:11" x14ac:dyDescent="0.2">
      <c r="G21" s="163"/>
      <c r="H21" s="164" t="b">
        <f>(H22="On")</f>
        <v>0</v>
      </c>
    </row>
    <row r="22" spans="1:11" ht="15" customHeight="1" x14ac:dyDescent="0.2">
      <c r="C22" s="165" t="s">
        <v>143</v>
      </c>
      <c r="G22" s="166" t="s">
        <v>144</v>
      </c>
      <c r="H22" s="167" t="s">
        <v>145</v>
      </c>
      <c r="J22" s="134" t="str">
        <f>IF(H22="On","Press F9 to recalculate.",".")</f>
        <v>.</v>
      </c>
    </row>
    <row r="23" spans="1:11" ht="15" customHeight="1" x14ac:dyDescent="0.2">
      <c r="G23" s="166" t="s">
        <v>146</v>
      </c>
      <c r="H23" s="168">
        <v>-0.04</v>
      </c>
    </row>
    <row r="24" spans="1:11" ht="15" customHeight="1" x14ac:dyDescent="0.2">
      <c r="G24" s="166" t="s">
        <v>147</v>
      </c>
      <c r="H24" s="168">
        <v>0.1</v>
      </c>
    </row>
    <row r="25" spans="1:11" ht="15" customHeight="1" x14ac:dyDescent="0.2">
      <c r="G25" s="166" t="s">
        <v>148</v>
      </c>
      <c r="H25" s="169">
        <f ca="1">IF(H5&gt;0,AVERAGE(OFFSET(C32,2,0,H5,1)),0)</f>
        <v>6.0000000000000039E-2</v>
      </c>
    </row>
    <row r="26" spans="1:11" x14ac:dyDescent="0.2">
      <c r="G26" s="162"/>
      <c r="H26" s="170" t="s">
        <v>149</v>
      </c>
    </row>
    <row r="27" spans="1:11" x14ac:dyDescent="0.2">
      <c r="G27" s="162"/>
      <c r="H27" s="163"/>
    </row>
    <row r="28" spans="1:11" x14ac:dyDescent="0.2">
      <c r="G28" s="162"/>
      <c r="H28" s="163"/>
    </row>
    <row r="29" spans="1:11" x14ac:dyDescent="0.2">
      <c r="G29" s="162"/>
      <c r="H29" s="163"/>
    </row>
    <row r="30" spans="1:11" x14ac:dyDescent="0.2">
      <c r="G30" s="162"/>
      <c r="H30" s="163"/>
    </row>
    <row r="31" spans="1:11" x14ac:dyDescent="0.2">
      <c r="G31" s="162"/>
      <c r="H31" s="171" t="s">
        <v>143</v>
      </c>
    </row>
    <row r="32" spans="1:11" ht="39" thickBot="1" x14ac:dyDescent="0.25">
      <c r="A32" s="172" t="s">
        <v>27</v>
      </c>
      <c r="B32" s="172" t="s">
        <v>26</v>
      </c>
      <c r="C32" s="172" t="s">
        <v>150</v>
      </c>
      <c r="D32" s="172" t="s">
        <v>151</v>
      </c>
      <c r="E32" s="172" t="s">
        <v>152</v>
      </c>
      <c r="F32" s="172" t="s">
        <v>153</v>
      </c>
      <c r="G32" s="173" t="s">
        <v>154</v>
      </c>
      <c r="H32" s="173" t="s">
        <v>155</v>
      </c>
      <c r="I32" s="174"/>
      <c r="J32" s="172" t="s">
        <v>156</v>
      </c>
      <c r="K32" s="172" t="s">
        <v>157</v>
      </c>
    </row>
    <row r="33" spans="1:11" ht="15" customHeight="1" x14ac:dyDescent="0.2">
      <c r="A33" s="175"/>
      <c r="B33" s="175"/>
      <c r="C33" s="175"/>
      <c r="D33" s="176"/>
      <c r="E33" s="177">
        <v>19651</v>
      </c>
      <c r="F33" s="177"/>
      <c r="G33" s="175"/>
      <c r="H33" s="178">
        <f>$E$8</f>
        <v>53297</v>
      </c>
      <c r="I33" s="163"/>
      <c r="J33" s="179"/>
      <c r="K33" s="179"/>
    </row>
    <row r="34" spans="1:11" x14ac:dyDescent="0.2">
      <c r="A34" s="180">
        <f>IF(A33&lt;$H$5,A33+1,NA())</f>
        <v>1</v>
      </c>
      <c r="B34" s="180">
        <f>IF(ISERROR(A34),NA(),$E$5+A34-1)</f>
        <v>29</v>
      </c>
      <c r="C34" s="181">
        <f t="shared" ref="C34:C65" ca="1" si="0">IF(ISERROR(A34),NA(),IF(randrate,$H$23+RAND()*($H$24-$H$23),$E$17))</f>
        <v>0.06</v>
      </c>
      <c r="D34" s="182">
        <f>E9</f>
        <v>165347</v>
      </c>
      <c r="E34" s="183">
        <f>IF(ISERROR(A34),NA(),IF(A34&lt;=$H$5,$E$12*D34,0))</f>
        <v>20000</v>
      </c>
      <c r="F34" s="183">
        <f>IF(ISERROR(A34),NA(),IF(A34&lt;=$H$5,MIN($E$13*E34,$E$14*$E$13*D34),0))</f>
        <v>6613.88</v>
      </c>
      <c r="G34" s="184">
        <f t="shared" ref="G34:G65" ca="1" si="1">IF(ISERROR(A34),NA(),FV(C34/nper,nper,-(E34+F34)/nper,-H33)-(H33+E34+F34))</f>
        <v>4073.8617573162192</v>
      </c>
      <c r="H34" s="184">
        <f ca="1">IF(ISERROR(A34),NA(),H33+E34+F34+G34)</f>
        <v>83984.741757316224</v>
      </c>
      <c r="I34" s="163"/>
      <c r="J34" s="183">
        <f>IF(ISERROR(A34),NA(),SUM(E$33:E34))</f>
        <v>39651</v>
      </c>
      <c r="K34" s="183">
        <f>IF(ISERROR(A34),NA(),SUM(E$33:F34))</f>
        <v>46264.88</v>
      </c>
    </row>
    <row r="35" spans="1:11" x14ac:dyDescent="0.2">
      <c r="A35" s="180">
        <f>IF(A34&lt;$H$5,A34+1,NA())</f>
        <v>2</v>
      </c>
      <c r="B35" s="180">
        <f t="shared" ref="B35:B93" si="2">IF(ISERROR(A35),NA(),$E$5+A35-1)</f>
        <v>30</v>
      </c>
      <c r="C35" s="181">
        <f t="shared" ca="1" si="0"/>
        <v>0.06</v>
      </c>
      <c r="D35" s="183">
        <f>IF(ISERROR(A35),NA(),IF(A35&lt;=$H$5,(1+$E$10)*D34,0))</f>
        <v>168653.94</v>
      </c>
      <c r="E35" s="183">
        <f t="shared" ref="E35:E93" si="3">IF(ISERROR(A35),NA(),IF(A35&lt;=$H$5,$E$12*D35,0))</f>
        <v>20400</v>
      </c>
      <c r="F35" s="183">
        <f t="shared" ref="F35:F93" si="4">IF(ISERROR(A35),NA(),IF(A35&lt;=$H$5,MIN($E$13*E35,$E$14*$E$13*D35),0))</f>
        <v>6746.1576000000005</v>
      </c>
      <c r="G35" s="184">
        <f t="shared" ca="1" si="1"/>
        <v>5984.8747842119628</v>
      </c>
      <c r="H35" s="184">
        <f t="shared" ref="H35:H93" ca="1" si="5">IF(ISERROR(A35),NA(),H34+E35+F35+G35)</f>
        <v>117115.77414152819</v>
      </c>
      <c r="I35" s="163"/>
      <c r="J35" s="183">
        <f>IF(ISERROR(A35),NA(),SUM(E$33:E35))</f>
        <v>60051</v>
      </c>
      <c r="K35" s="183">
        <f>IF(ISERROR(A35),NA(),SUM(E$33:F35))</f>
        <v>73411.037600000011</v>
      </c>
    </row>
    <row r="36" spans="1:11" x14ac:dyDescent="0.2">
      <c r="A36" s="180">
        <f t="shared" ref="A36:A93" si="6">IF(A35&lt;$H$5,A35+1,NA())</f>
        <v>3</v>
      </c>
      <c r="B36" s="180">
        <f t="shared" si="2"/>
        <v>31</v>
      </c>
      <c r="C36" s="181">
        <f t="shared" ca="1" si="0"/>
        <v>0.06</v>
      </c>
      <c r="D36" s="183">
        <f t="shared" ref="D36:D93" si="7">IF(ISERROR(A36),NA(),IF(A36&lt;=$H$5,(1+$E$10)*D35,0))</f>
        <v>172027.01880000002</v>
      </c>
      <c r="E36" s="183">
        <f t="shared" si="3"/>
        <v>20808.000000000004</v>
      </c>
      <c r="F36" s="183">
        <f t="shared" si="4"/>
        <v>6881.0807520000008</v>
      </c>
      <c r="G36" s="184">
        <f t="shared" ca="1" si="1"/>
        <v>8047.1059655858553</v>
      </c>
      <c r="H36" s="184">
        <f t="shared" ca="1" si="5"/>
        <v>152851.96085911407</v>
      </c>
      <c r="I36" s="163"/>
      <c r="J36" s="183">
        <f>IF(ISERROR(A36),NA(),SUM(E$33:E36))</f>
        <v>80859</v>
      </c>
      <c r="K36" s="183">
        <f>IF(ISERROR(A36),NA(),SUM(E$33:F36))</f>
        <v>101100.118352</v>
      </c>
    </row>
    <row r="37" spans="1:11" x14ac:dyDescent="0.2">
      <c r="A37" s="180">
        <f t="shared" si="6"/>
        <v>4</v>
      </c>
      <c r="B37" s="180">
        <f t="shared" si="2"/>
        <v>32</v>
      </c>
      <c r="C37" s="181">
        <f t="shared" ca="1" si="0"/>
        <v>0.06</v>
      </c>
      <c r="D37" s="183">
        <f t="shared" si="7"/>
        <v>175467.55917600001</v>
      </c>
      <c r="E37" s="183">
        <f t="shared" si="3"/>
        <v>21224.160000000003</v>
      </c>
      <c r="F37" s="183">
        <f t="shared" si="4"/>
        <v>7018.7023670400004</v>
      </c>
      <c r="G37" s="184">
        <f t="shared" ca="1" si="1"/>
        <v>10270.558770425559</v>
      </c>
      <c r="H37" s="184">
        <f t="shared" ca="1" si="5"/>
        <v>191365.38199657964</v>
      </c>
      <c r="I37" s="163"/>
      <c r="J37" s="183">
        <f>IF(ISERROR(A37),NA(),SUM(E$33:E37))</f>
        <v>102083.16</v>
      </c>
      <c r="K37" s="183">
        <f>IF(ISERROR(A37),NA(),SUM(E$33:F37))</f>
        <v>129342.98071904</v>
      </c>
    </row>
    <row r="38" spans="1:11" x14ac:dyDescent="0.2">
      <c r="A38" s="180">
        <f t="shared" si="6"/>
        <v>5</v>
      </c>
      <c r="B38" s="180">
        <f t="shared" si="2"/>
        <v>33</v>
      </c>
      <c r="C38" s="181">
        <f t="shared" ca="1" si="0"/>
        <v>0.06</v>
      </c>
      <c r="D38" s="183">
        <f t="shared" si="7"/>
        <v>178976.91035952</v>
      </c>
      <c r="E38" s="183">
        <f t="shared" si="3"/>
        <v>21648.643200000002</v>
      </c>
      <c r="F38" s="183">
        <f t="shared" si="4"/>
        <v>7159.0764143808001</v>
      </c>
      <c r="G38" s="184">
        <f t="shared" ca="1" si="1"/>
        <v>12665.867788664444</v>
      </c>
      <c r="H38" s="184">
        <f t="shared" ca="1" si="5"/>
        <v>232838.96939962488</v>
      </c>
      <c r="I38" s="163"/>
      <c r="J38" s="183">
        <f>IF(ISERROR(A38),NA(),SUM(E$33:E38))</f>
        <v>123731.80320000001</v>
      </c>
      <c r="K38" s="183">
        <f>IF(ISERROR(A38),NA(),SUM(E$33:F38))</f>
        <v>158150.7003334208</v>
      </c>
    </row>
    <row r="39" spans="1:11" x14ac:dyDescent="0.2">
      <c r="A39" s="180">
        <f t="shared" si="6"/>
        <v>6</v>
      </c>
      <c r="B39" s="180">
        <f t="shared" si="2"/>
        <v>34</v>
      </c>
      <c r="C39" s="181">
        <f t="shared" ca="1" si="0"/>
        <v>0.06</v>
      </c>
      <c r="D39" s="183">
        <f t="shared" si="7"/>
        <v>182556.4485667104</v>
      </c>
      <c r="E39" s="183">
        <f t="shared" si="3"/>
        <v>22081.616064000002</v>
      </c>
      <c r="F39" s="183">
        <f t="shared" si="4"/>
        <v>7302.257942668416</v>
      </c>
      <c r="G39" s="184">
        <f t="shared" ca="1" si="1"/>
        <v>15244.337976703129</v>
      </c>
      <c r="H39" s="184">
        <f t="shared" ca="1" si="5"/>
        <v>277467.18138299644</v>
      </c>
      <c r="I39" s="163"/>
      <c r="J39" s="183">
        <f>IF(ISERROR(A39),NA(),SUM(E$33:E39))</f>
        <v>145813.41926400003</v>
      </c>
      <c r="K39" s="183">
        <f>IF(ISERROR(A39),NA(),SUM(E$33:F39))</f>
        <v>187534.57434008922</v>
      </c>
    </row>
    <row r="40" spans="1:11" x14ac:dyDescent="0.2">
      <c r="A40" s="180">
        <f t="shared" si="6"/>
        <v>7</v>
      </c>
      <c r="B40" s="180">
        <f t="shared" si="2"/>
        <v>35</v>
      </c>
      <c r="C40" s="181">
        <f t="shared" ca="1" si="0"/>
        <v>0.06</v>
      </c>
      <c r="D40" s="183">
        <f t="shared" si="7"/>
        <v>186207.5775380446</v>
      </c>
      <c r="E40" s="183">
        <f t="shared" si="3"/>
        <v>22523.24838528</v>
      </c>
      <c r="F40" s="183">
        <f t="shared" si="4"/>
        <v>7448.3031015217839</v>
      </c>
      <c r="G40" s="184">
        <f t="shared" ca="1" si="1"/>
        <v>18017.986332168221</v>
      </c>
      <c r="H40" s="184">
        <f t="shared" ca="1" si="5"/>
        <v>325456.71920196648</v>
      </c>
      <c r="I40" s="163"/>
      <c r="J40" s="183">
        <f>IF(ISERROR(A40),NA(),SUM(E$33:E40))</f>
        <v>168336.66764928002</v>
      </c>
      <c r="K40" s="183">
        <f>IF(ISERROR(A40),NA(),SUM(E$33:F40))</f>
        <v>217506.12582689099</v>
      </c>
    </row>
    <row r="41" spans="1:11" x14ac:dyDescent="0.2">
      <c r="A41" s="180">
        <f t="shared" si="6"/>
        <v>8</v>
      </c>
      <c r="B41" s="180">
        <f t="shared" si="2"/>
        <v>36</v>
      </c>
      <c r="C41" s="181">
        <f t="shared" ca="1" si="0"/>
        <v>0.06</v>
      </c>
      <c r="D41" s="183">
        <f t="shared" si="7"/>
        <v>189931.7290888055</v>
      </c>
      <c r="E41" s="183">
        <f t="shared" si="3"/>
        <v>22973.7133529856</v>
      </c>
      <c r="F41" s="183">
        <f t="shared" si="4"/>
        <v>7597.2691635522206</v>
      </c>
      <c r="G41" s="184">
        <f t="shared" ca="1" si="1"/>
        <v>20999.586148051661</v>
      </c>
      <c r="H41" s="184">
        <f t="shared" ca="1" si="5"/>
        <v>377027.28786655597</v>
      </c>
      <c r="I41" s="163"/>
      <c r="J41" s="183">
        <f>IF(ISERROR(A41),NA(),SUM(E$33:E41))</f>
        <v>191310.38100226561</v>
      </c>
      <c r="K41" s="183">
        <f>IF(ISERROR(A41),NA(),SUM(E$33:F41))</f>
        <v>248077.10834342882</v>
      </c>
    </row>
    <row r="42" spans="1:11" x14ac:dyDescent="0.2">
      <c r="A42" s="180">
        <f t="shared" si="6"/>
        <v>9</v>
      </c>
      <c r="B42" s="180">
        <f t="shared" si="2"/>
        <v>37</v>
      </c>
      <c r="C42" s="181">
        <f t="shared" ca="1" si="0"/>
        <v>0.06</v>
      </c>
      <c r="D42" s="183">
        <f t="shared" si="7"/>
        <v>193730.3636705816</v>
      </c>
      <c r="E42" s="183">
        <f t="shared" si="3"/>
        <v>23433.187620045312</v>
      </c>
      <c r="F42" s="183">
        <f t="shared" si="4"/>
        <v>7749.2145468232638</v>
      </c>
      <c r="G42" s="184">
        <f t="shared" ca="1" si="1"/>
        <v>24202.714005649323</v>
      </c>
      <c r="H42" s="184">
        <f t="shared" ca="1" si="5"/>
        <v>432412.40403907391</v>
      </c>
      <c r="I42" s="163"/>
      <c r="J42" s="183">
        <f>IF(ISERROR(A42),NA(),SUM(E$33:E42))</f>
        <v>214743.56862231094</v>
      </c>
      <c r="K42" s="183">
        <f>IF(ISERROR(A42),NA(),SUM(E$33:F42))</f>
        <v>279259.51051029743</v>
      </c>
    </row>
    <row r="43" spans="1:11" x14ac:dyDescent="0.2">
      <c r="A43" s="180">
        <f t="shared" si="6"/>
        <v>10</v>
      </c>
      <c r="B43" s="180">
        <f t="shared" si="2"/>
        <v>38</v>
      </c>
      <c r="C43" s="181">
        <f t="shared" ca="1" si="0"/>
        <v>0.06</v>
      </c>
      <c r="D43" s="183">
        <f t="shared" si="7"/>
        <v>197604.97094399325</v>
      </c>
      <c r="E43" s="183">
        <f t="shared" si="3"/>
        <v>23901.851372446221</v>
      </c>
      <c r="F43" s="183">
        <f t="shared" si="4"/>
        <v>7904.1988377597299</v>
      </c>
      <c r="G43" s="184">
        <f t="shared" ca="1" si="1"/>
        <v>27641.799675567658</v>
      </c>
      <c r="H43" s="184">
        <f t="shared" ca="1" si="5"/>
        <v>491860.25392484752</v>
      </c>
      <c r="I43" s="163"/>
      <c r="J43" s="183">
        <f>IF(ISERROR(A43),NA(),SUM(E$33:E43))</f>
        <v>238645.41999475716</v>
      </c>
      <c r="K43" s="183">
        <f>IF(ISERROR(A43),NA(),SUM(E$33:F43))</f>
        <v>311065.56072050339</v>
      </c>
    </row>
    <row r="44" spans="1:11" x14ac:dyDescent="0.2">
      <c r="A44" s="180">
        <f t="shared" si="6"/>
        <v>11</v>
      </c>
      <c r="B44" s="180">
        <f t="shared" si="2"/>
        <v>39</v>
      </c>
      <c r="C44" s="181">
        <f t="shared" ca="1" si="0"/>
        <v>0.06</v>
      </c>
      <c r="D44" s="183">
        <f t="shared" si="7"/>
        <v>201557.07036287311</v>
      </c>
      <c r="E44" s="183">
        <f t="shared" si="3"/>
        <v>24379.888399895146</v>
      </c>
      <c r="F44" s="183">
        <f t="shared" si="4"/>
        <v>8062.2828145149251</v>
      </c>
      <c r="G44" s="184">
        <f t="shared" ca="1" si="1"/>
        <v>31332.179106520256</v>
      </c>
      <c r="H44" s="184">
        <f t="shared" ca="1" si="5"/>
        <v>555634.60424577782</v>
      </c>
      <c r="I44" s="163"/>
      <c r="J44" s="183">
        <f>IF(ISERROR(A44),NA(),SUM(E$33:E44))</f>
        <v>263025.30839465233</v>
      </c>
      <c r="K44" s="183">
        <f>IF(ISERROR(A44),NA(),SUM(E$33:F44))</f>
        <v>343507.73193491349</v>
      </c>
    </row>
    <row r="45" spans="1:11" x14ac:dyDescent="0.2">
      <c r="A45" s="180">
        <f t="shared" si="6"/>
        <v>12</v>
      </c>
      <c r="B45" s="180">
        <f t="shared" si="2"/>
        <v>40</v>
      </c>
      <c r="C45" s="181">
        <f t="shared" ca="1" si="0"/>
        <v>0.06</v>
      </c>
      <c r="D45" s="183">
        <f t="shared" si="7"/>
        <v>205588.21177013058</v>
      </c>
      <c r="E45" s="183">
        <f t="shared" si="3"/>
        <v>24867.48616789305</v>
      </c>
      <c r="F45" s="183">
        <f t="shared" si="4"/>
        <v>8223.5284708052241</v>
      </c>
      <c r="G45" s="184">
        <f t="shared" ca="1" si="1"/>
        <v>35290.1506927429</v>
      </c>
      <c r="H45" s="184">
        <f t="shared" ca="1" si="5"/>
        <v>624015.76957721903</v>
      </c>
      <c r="I45" s="163"/>
      <c r="J45" s="183">
        <f>IF(ISERROR(A45),NA(),SUM(E$33:E45))</f>
        <v>287892.79456254537</v>
      </c>
      <c r="K45" s="183">
        <f>IF(ISERROR(A45),NA(),SUM(E$33:F45))</f>
        <v>376598.74657361174</v>
      </c>
    </row>
    <row r="46" spans="1:11" x14ac:dyDescent="0.2">
      <c r="A46" s="180">
        <f t="shared" si="6"/>
        <v>13</v>
      </c>
      <c r="B46" s="180">
        <f t="shared" si="2"/>
        <v>41</v>
      </c>
      <c r="C46" s="181">
        <f t="shared" ca="1" si="0"/>
        <v>0.06</v>
      </c>
      <c r="D46" s="183">
        <f t="shared" si="7"/>
        <v>209699.97600553319</v>
      </c>
      <c r="E46" s="183">
        <f t="shared" si="3"/>
        <v>25364.835891250907</v>
      </c>
      <c r="F46" s="183">
        <f t="shared" si="4"/>
        <v>8387.999040221328</v>
      </c>
      <c r="G46" s="184">
        <f t="shared" ca="1" si="1"/>
        <v>39533.035022641765</v>
      </c>
      <c r="H46" s="184">
        <f t="shared" ca="1" si="5"/>
        <v>697301.639531333</v>
      </c>
      <c r="I46" s="163"/>
      <c r="J46" s="183">
        <f>IF(ISERROR(A46),NA(),SUM(E$33:E46))</f>
        <v>313257.6304537963</v>
      </c>
      <c r="K46" s="183">
        <f>IF(ISERROR(A46),NA(),SUM(E$33:F46))</f>
        <v>410351.581505084</v>
      </c>
    </row>
    <row r="47" spans="1:11" x14ac:dyDescent="0.2">
      <c r="A47" s="180">
        <f t="shared" si="6"/>
        <v>14</v>
      </c>
      <c r="B47" s="180">
        <f t="shared" si="2"/>
        <v>42</v>
      </c>
      <c r="C47" s="181">
        <f t="shared" ca="1" si="0"/>
        <v>0.06</v>
      </c>
      <c r="D47" s="183">
        <f t="shared" si="7"/>
        <v>213893.97552564385</v>
      </c>
      <c r="E47" s="183">
        <f t="shared" si="3"/>
        <v>25872.132609075925</v>
      </c>
      <c r="F47" s="183">
        <f t="shared" si="4"/>
        <v>8555.7590210257549</v>
      </c>
      <c r="G47" s="184">
        <f t="shared" ca="1" si="1"/>
        <v>44079.238323804922</v>
      </c>
      <c r="H47" s="184">
        <f t="shared" ca="1" si="5"/>
        <v>775808.76948523952</v>
      </c>
      <c r="I47" s="163"/>
      <c r="J47" s="183">
        <f>IF(ISERROR(A47),NA(),SUM(E$33:E47))</f>
        <v>339129.76306287223</v>
      </c>
      <c r="K47" s="183">
        <f>IF(ISERROR(A47),NA(),SUM(E$33:F47))</f>
        <v>444779.47313518566</v>
      </c>
    </row>
    <row r="48" spans="1:11" x14ac:dyDescent="0.2">
      <c r="A48" s="180">
        <f t="shared" si="6"/>
        <v>15</v>
      </c>
      <c r="B48" s="180">
        <f t="shared" si="2"/>
        <v>43</v>
      </c>
      <c r="C48" s="181">
        <f t="shared" ca="1" si="0"/>
        <v>0.06</v>
      </c>
      <c r="D48" s="183">
        <f t="shared" si="7"/>
        <v>218171.85503615672</v>
      </c>
      <c r="E48" s="183">
        <f t="shared" si="3"/>
        <v>26389.575261257443</v>
      </c>
      <c r="F48" s="183">
        <f t="shared" si="4"/>
        <v>8726.8742014462696</v>
      </c>
      <c r="G48" s="184">
        <f t="shared" ca="1" si="1"/>
        <v>48948.319832799607</v>
      </c>
      <c r="H48" s="184">
        <f t="shared" ca="1" si="5"/>
        <v>859873.53878074291</v>
      </c>
      <c r="I48" s="163"/>
      <c r="J48" s="183">
        <f>IF(ISERROR(A48),NA(),SUM(E$33:E48))</f>
        <v>365519.3383241297</v>
      </c>
      <c r="K48" s="183">
        <f>IF(ISERROR(A48),NA(),SUM(E$33:F48))</f>
        <v>479895.92259788938</v>
      </c>
    </row>
    <row r="49" spans="1:11" x14ac:dyDescent="0.2">
      <c r="A49" s="180">
        <f t="shared" si="6"/>
        <v>16</v>
      </c>
      <c r="B49" s="180">
        <f t="shared" si="2"/>
        <v>44</v>
      </c>
      <c r="C49" s="181">
        <f t="shared" ca="1" si="0"/>
        <v>0.06</v>
      </c>
      <c r="D49" s="183">
        <f t="shared" si="7"/>
        <v>222535.29213687984</v>
      </c>
      <c r="E49" s="183">
        <f t="shared" si="3"/>
        <v>26917.366766482592</v>
      </c>
      <c r="F49" s="183">
        <f t="shared" si="4"/>
        <v>8901.4116854751937</v>
      </c>
      <c r="G49" s="184">
        <f t="shared" ca="1" si="1"/>
        <v>54161.063332287595</v>
      </c>
      <c r="H49" s="184">
        <f t="shared" ca="1" si="5"/>
        <v>949853.38056498824</v>
      </c>
      <c r="I49" s="163"/>
      <c r="J49" s="183">
        <f>IF(ISERROR(A49),NA(),SUM(E$33:E49))</f>
        <v>392436.70509061229</v>
      </c>
      <c r="K49" s="183">
        <f>IF(ISERROR(A49),NA(),SUM(E$33:F49))</f>
        <v>515714.70104984718</v>
      </c>
    </row>
    <row r="50" spans="1:11" x14ac:dyDescent="0.2">
      <c r="A50" s="180">
        <f t="shared" si="6"/>
        <v>17</v>
      </c>
      <c r="B50" s="180">
        <f t="shared" si="2"/>
        <v>45</v>
      </c>
      <c r="C50" s="181">
        <f t="shared" ca="1" si="0"/>
        <v>0.06</v>
      </c>
      <c r="D50" s="183">
        <f t="shared" si="7"/>
        <v>226985.99797961744</v>
      </c>
      <c r="E50" s="183">
        <f t="shared" si="3"/>
        <v>27455.714101812246</v>
      </c>
      <c r="F50" s="183">
        <f t="shared" si="4"/>
        <v>9079.4399191846987</v>
      </c>
      <c r="G50" s="184">
        <f t="shared" ca="1" si="1"/>
        <v>59739.553112969268</v>
      </c>
      <c r="H50" s="184">
        <f t="shared" ca="1" si="5"/>
        <v>1046128.0876989544</v>
      </c>
      <c r="I50" s="163"/>
      <c r="J50" s="183">
        <f>IF(ISERROR(A50),NA(),SUM(E$33:E50))</f>
        <v>419892.41919242451</v>
      </c>
      <c r="K50" s="183">
        <f>IF(ISERROR(A50),NA(),SUM(E$33:F50))</f>
        <v>552249.85507084406</v>
      </c>
    </row>
    <row r="51" spans="1:11" x14ac:dyDescent="0.2">
      <c r="A51" s="180">
        <f t="shared" si="6"/>
        <v>18</v>
      </c>
      <c r="B51" s="180">
        <f t="shared" si="2"/>
        <v>46</v>
      </c>
      <c r="C51" s="181">
        <f t="shared" ca="1" si="0"/>
        <v>0.06</v>
      </c>
      <c r="D51" s="183">
        <f t="shared" si="7"/>
        <v>231525.7179392098</v>
      </c>
      <c r="E51" s="183">
        <f t="shared" si="3"/>
        <v>28004.828383848489</v>
      </c>
      <c r="F51" s="183">
        <f t="shared" si="4"/>
        <v>9261.0287175683916</v>
      </c>
      <c r="G51" s="184">
        <f t="shared" ca="1" si="1"/>
        <v>65707.25463377987</v>
      </c>
      <c r="H51" s="184">
        <f t="shared" ca="1" si="5"/>
        <v>1149101.1994341512</v>
      </c>
      <c r="I51" s="163"/>
      <c r="J51" s="183">
        <f>IF(ISERROR(A51),NA(),SUM(E$33:E51))</f>
        <v>447897.24757627299</v>
      </c>
      <c r="K51" s="183">
        <f>IF(ISERROR(A51),NA(),SUM(E$33:F51))</f>
        <v>589515.71217226097</v>
      </c>
    </row>
    <row r="52" spans="1:11" x14ac:dyDescent="0.2">
      <c r="A52" s="180">
        <f t="shared" si="6"/>
        <v>19</v>
      </c>
      <c r="B52" s="180">
        <f t="shared" si="2"/>
        <v>47</v>
      </c>
      <c r="C52" s="181">
        <f t="shared" ca="1" si="0"/>
        <v>0.06</v>
      </c>
      <c r="D52" s="183">
        <f t="shared" si="7"/>
        <v>236156.23229799399</v>
      </c>
      <c r="E52" s="183">
        <f t="shared" si="3"/>
        <v>28564.92495152546</v>
      </c>
      <c r="F52" s="183">
        <f t="shared" si="4"/>
        <v>9446.2492919197593</v>
      </c>
      <c r="G52" s="184">
        <f t="shared" ca="1" si="1"/>
        <v>72089.10017064889</v>
      </c>
      <c r="H52" s="184">
        <f t="shared" ca="1" si="5"/>
        <v>1259201.4738482453</v>
      </c>
      <c r="I52" s="163"/>
      <c r="J52" s="183">
        <f>IF(ISERROR(A52),NA(),SUM(E$33:E52))</f>
        <v>476462.17252779845</v>
      </c>
      <c r="K52" s="183">
        <f>IF(ISERROR(A52),NA(),SUM(E$33:F52))</f>
        <v>627526.88641570613</v>
      </c>
    </row>
    <row r="53" spans="1:11" x14ac:dyDescent="0.2">
      <c r="A53" s="180">
        <f t="shared" si="6"/>
        <v>20</v>
      </c>
      <c r="B53" s="180">
        <f t="shared" si="2"/>
        <v>48</v>
      </c>
      <c r="C53" s="181">
        <f t="shared" ca="1" si="0"/>
        <v>0.06</v>
      </c>
      <c r="D53" s="183">
        <f t="shared" si="7"/>
        <v>240879.35694395387</v>
      </c>
      <c r="E53" s="183">
        <f t="shared" si="3"/>
        <v>29136.223450555968</v>
      </c>
      <c r="F53" s="183">
        <f t="shared" si="4"/>
        <v>9635.1742777581549</v>
      </c>
      <c r="G53" s="184">
        <f t="shared" ca="1" si="1"/>
        <v>78911.579762064386</v>
      </c>
      <c r="H53" s="184">
        <f t="shared" ca="1" si="5"/>
        <v>1376884.4513386239</v>
      </c>
      <c r="I53" s="163"/>
      <c r="J53" s="183">
        <f>IF(ISERROR(A53),NA(),SUM(E$33:E53))</f>
        <v>505598.39597835444</v>
      </c>
      <c r="K53" s="183">
        <f>IF(ISERROR(A53),NA(),SUM(E$33:F53))</f>
        <v>666298.28414402017</v>
      </c>
    </row>
    <row r="54" spans="1:11" x14ac:dyDescent="0.2">
      <c r="A54" s="180">
        <f t="shared" si="6"/>
        <v>21</v>
      </c>
      <c r="B54" s="180">
        <f t="shared" si="2"/>
        <v>49</v>
      </c>
      <c r="C54" s="181">
        <f t="shared" ca="1" si="0"/>
        <v>0.06</v>
      </c>
      <c r="D54" s="183">
        <f t="shared" si="7"/>
        <v>245696.94408283295</v>
      </c>
      <c r="E54" s="183">
        <f t="shared" si="3"/>
        <v>29718.947919567087</v>
      </c>
      <c r="F54" s="183">
        <f t="shared" si="4"/>
        <v>9827.8777633133177</v>
      </c>
      <c r="G54" s="184">
        <f t="shared" ca="1" si="1"/>
        <v>86202.837778728921</v>
      </c>
      <c r="H54" s="184">
        <f t="shared" ca="1" si="5"/>
        <v>1502634.1148002332</v>
      </c>
      <c r="I54" s="163"/>
      <c r="J54" s="183">
        <f>IF(ISERROR(A54),NA(),SUM(E$33:E54))</f>
        <v>535317.3438979215</v>
      </c>
      <c r="K54" s="183">
        <f>IF(ISERROR(A54),NA(),SUM(E$33:F54))</f>
        <v>705845.10982690065</v>
      </c>
    </row>
    <row r="55" spans="1:11" x14ac:dyDescent="0.2">
      <c r="A55" s="180">
        <f t="shared" si="6"/>
        <v>22</v>
      </c>
      <c r="B55" s="180">
        <f t="shared" si="2"/>
        <v>50</v>
      </c>
      <c r="C55" s="181">
        <f t="shared" ca="1" si="0"/>
        <v>0.06</v>
      </c>
      <c r="D55" s="183">
        <f t="shared" si="7"/>
        <v>250610.8829644896</v>
      </c>
      <c r="E55" s="183">
        <f t="shared" si="3"/>
        <v>30313.326877958429</v>
      </c>
      <c r="F55" s="183">
        <f t="shared" si="4"/>
        <v>10024.435318579584</v>
      </c>
      <c r="G55" s="184">
        <f t="shared" ca="1" si="1"/>
        <v>93992.775464808801</v>
      </c>
      <c r="H55" s="184">
        <f t="shared" ca="1" si="5"/>
        <v>1636964.65246158</v>
      </c>
      <c r="I55" s="163"/>
      <c r="J55" s="183">
        <f>IF(ISERROR(A55),NA(),SUM(E$33:E55))</f>
        <v>565630.67077587987</v>
      </c>
      <c r="K55" s="183">
        <f>IF(ISERROR(A55),NA(),SUM(E$33:F55))</f>
        <v>746182.87202343857</v>
      </c>
    </row>
    <row r="56" spans="1:11" x14ac:dyDescent="0.2">
      <c r="A56" s="180">
        <f t="shared" si="6"/>
        <v>23</v>
      </c>
      <c r="B56" s="180">
        <f t="shared" si="2"/>
        <v>51</v>
      </c>
      <c r="C56" s="181">
        <f t="shared" ca="1" si="0"/>
        <v>0.06</v>
      </c>
      <c r="D56" s="183">
        <f t="shared" si="7"/>
        <v>255623.10062377941</v>
      </c>
      <c r="E56" s="183">
        <f t="shared" si="3"/>
        <v>30919.5934155176</v>
      </c>
      <c r="F56" s="183">
        <f t="shared" si="4"/>
        <v>10224.924024951177</v>
      </c>
      <c r="G56" s="184">
        <f t="shared" ca="1" si="1"/>
        <v>102313.1598197429</v>
      </c>
      <c r="H56" s="184">
        <f t="shared" ca="1" si="5"/>
        <v>1780422.3297217917</v>
      </c>
      <c r="I56" s="163"/>
      <c r="J56" s="183">
        <f>IF(ISERROR(A56),NA(),SUM(E$33:E56))</f>
        <v>596550.26419139747</v>
      </c>
      <c r="K56" s="183">
        <f>IF(ISERROR(A56),NA(),SUM(E$33:F56))</f>
        <v>787327.38946390734</v>
      </c>
    </row>
    <row r="57" spans="1:11" x14ac:dyDescent="0.2">
      <c r="A57" s="180">
        <f t="shared" si="6"/>
        <v>24</v>
      </c>
      <c r="B57" s="180">
        <f t="shared" si="2"/>
        <v>52</v>
      </c>
      <c r="C57" s="181">
        <f t="shared" ca="1" si="0"/>
        <v>0.06</v>
      </c>
      <c r="D57" s="183">
        <f t="shared" si="7"/>
        <v>260735.562636255</v>
      </c>
      <c r="E57" s="183">
        <f t="shared" si="3"/>
        <v>31537.985283827951</v>
      </c>
      <c r="F57" s="183">
        <f t="shared" si="4"/>
        <v>10429.4225054502</v>
      </c>
      <c r="G57" s="184">
        <f t="shared" ca="1" si="1"/>
        <v>111197.73921237048</v>
      </c>
      <c r="H57" s="184">
        <f t="shared" ca="1" si="5"/>
        <v>1933587.4767234402</v>
      </c>
      <c r="I57" s="163"/>
      <c r="J57" s="183">
        <f>IF(ISERROR(A57),NA(),SUM(E$33:E57))</f>
        <v>628088.24947522546</v>
      </c>
      <c r="K57" s="183">
        <f>IF(ISERROR(A57),NA(),SUM(E$33:F57))</f>
        <v>829294.79725318553</v>
      </c>
    </row>
    <row r="58" spans="1:11" x14ac:dyDescent="0.2">
      <c r="A58" s="180">
        <f t="shared" si="6"/>
        <v>25</v>
      </c>
      <c r="B58" s="180">
        <f t="shared" si="2"/>
        <v>53</v>
      </c>
      <c r="C58" s="181">
        <f t="shared" ca="1" si="0"/>
        <v>0.06</v>
      </c>
      <c r="D58" s="183">
        <f t="shared" si="7"/>
        <v>265950.2738889801</v>
      </c>
      <c r="E58" s="183">
        <f t="shared" si="3"/>
        <v>32168.74498950451</v>
      </c>
      <c r="F58" s="183">
        <f t="shared" si="4"/>
        <v>10638.010955559204</v>
      </c>
      <c r="G58" s="184">
        <f t="shared" ca="1" si="1"/>
        <v>120682.36614333629</v>
      </c>
      <c r="H58" s="184">
        <f t="shared" ca="1" si="5"/>
        <v>2097076.5988118402</v>
      </c>
      <c r="I58" s="163"/>
      <c r="J58" s="183">
        <f>IF(ISERROR(A58),NA(),SUM(E$33:E58))</f>
        <v>660256.99446472991</v>
      </c>
      <c r="K58" s="183">
        <f>IF(ISERROR(A58),NA(),SUM(E$33:F58))</f>
        <v>872101.5531982492</v>
      </c>
    </row>
    <row r="59" spans="1:11" x14ac:dyDescent="0.2">
      <c r="A59" s="180">
        <f t="shared" si="6"/>
        <v>26</v>
      </c>
      <c r="B59" s="180">
        <f t="shared" si="2"/>
        <v>54</v>
      </c>
      <c r="C59" s="181">
        <f t="shared" ca="1" si="0"/>
        <v>0.06</v>
      </c>
      <c r="D59" s="183">
        <f t="shared" si="7"/>
        <v>271269.2793667597</v>
      </c>
      <c r="E59" s="183">
        <f t="shared" si="3"/>
        <v>32812.119889294598</v>
      </c>
      <c r="F59" s="183">
        <f t="shared" si="4"/>
        <v>10850.771174670388</v>
      </c>
      <c r="G59" s="184">
        <f t="shared" ca="1" si="1"/>
        <v>130805.12759742374</v>
      </c>
      <c r="H59" s="184">
        <f t="shared" ca="1" si="5"/>
        <v>2271544.6174732288</v>
      </c>
      <c r="I59" s="163"/>
      <c r="J59" s="183">
        <f>IF(ISERROR(A59),NA(),SUM(E$33:E59))</f>
        <v>693069.11435402452</v>
      </c>
      <c r="K59" s="183">
        <f>IF(ISERROR(A59),NA(),SUM(E$33:F59))</f>
        <v>915764.44426221424</v>
      </c>
    </row>
    <row r="60" spans="1:11" x14ac:dyDescent="0.2">
      <c r="A60" s="180">
        <f t="shared" si="6"/>
        <v>27</v>
      </c>
      <c r="B60" s="180">
        <f t="shared" si="2"/>
        <v>55</v>
      </c>
      <c r="C60" s="181">
        <f t="shared" ca="1" si="0"/>
        <v>0.06</v>
      </c>
      <c r="D60" s="183">
        <f t="shared" si="7"/>
        <v>276694.66495409491</v>
      </c>
      <c r="E60" s="183">
        <f t="shared" si="3"/>
        <v>33468.362287080497</v>
      </c>
      <c r="F60" s="183">
        <f t="shared" si="4"/>
        <v>11067.786598163797</v>
      </c>
      <c r="G60" s="184">
        <f t="shared" ca="1" si="1"/>
        <v>141606.48345474899</v>
      </c>
      <c r="H60" s="184">
        <f t="shared" ca="1" si="5"/>
        <v>2457687.2498132219</v>
      </c>
      <c r="I60" s="163"/>
      <c r="J60" s="183">
        <f>IF(ISERROR(A60),NA(),SUM(E$33:E60))</f>
        <v>726537.47664110502</v>
      </c>
      <c r="K60" s="183">
        <f>IF(ISERROR(A60),NA(),SUM(E$33:F60))</f>
        <v>960300.59314745851</v>
      </c>
    </row>
    <row r="61" spans="1:11" x14ac:dyDescent="0.2">
      <c r="A61" s="180">
        <f t="shared" si="6"/>
        <v>28</v>
      </c>
      <c r="B61" s="180">
        <f t="shared" si="2"/>
        <v>56</v>
      </c>
      <c r="C61" s="181">
        <f t="shared" ca="1" si="0"/>
        <v>0.06</v>
      </c>
      <c r="D61" s="183">
        <f t="shared" si="7"/>
        <v>282228.5582531768</v>
      </c>
      <c r="E61" s="183">
        <f t="shared" si="3"/>
        <v>34137.729532822101</v>
      </c>
      <c r="F61" s="183">
        <f t="shared" si="4"/>
        <v>11289.142330127072</v>
      </c>
      <c r="G61" s="184">
        <f t="shared" ca="1" si="1"/>
        <v>153129.41345871612</v>
      </c>
      <c r="H61" s="184">
        <f t="shared" ca="1" si="5"/>
        <v>2656243.5351348873</v>
      </c>
      <c r="I61" s="163"/>
      <c r="J61" s="183">
        <f>IF(ISERROR(A61),NA(),SUM(E$33:E61))</f>
        <v>760675.20617392717</v>
      </c>
      <c r="K61" s="183">
        <f>IF(ISERROR(A61),NA(),SUM(E$33:F61))</f>
        <v>1005727.4650104077</v>
      </c>
    </row>
    <row r="62" spans="1:11" x14ac:dyDescent="0.2">
      <c r="A62" s="180">
        <f t="shared" si="6"/>
        <v>29</v>
      </c>
      <c r="B62" s="180">
        <f t="shared" si="2"/>
        <v>57</v>
      </c>
      <c r="C62" s="181">
        <f t="shared" ca="1" si="0"/>
        <v>0.06</v>
      </c>
      <c r="D62" s="183">
        <f t="shared" si="7"/>
        <v>287873.12941824034</v>
      </c>
      <c r="E62" s="183">
        <f t="shared" si="3"/>
        <v>34820.484123478542</v>
      </c>
      <c r="F62" s="183">
        <f t="shared" si="4"/>
        <v>11514.925176729614</v>
      </c>
      <c r="G62" s="184">
        <f t="shared" ca="1" si="1"/>
        <v>165419.57326938538</v>
      </c>
      <c r="H62" s="184">
        <f t="shared" ca="1" si="5"/>
        <v>2867998.5177044808</v>
      </c>
      <c r="I62" s="163"/>
      <c r="J62" s="183">
        <f>IF(ISERROR(A62),NA(),SUM(E$33:E62))</f>
        <v>795495.6902974057</v>
      </c>
      <c r="K62" s="183">
        <f>IF(ISERROR(A62),NA(),SUM(E$33:F62))</f>
        <v>1052062.8743106159</v>
      </c>
    </row>
    <row r="63" spans="1:11" x14ac:dyDescent="0.2">
      <c r="A63" s="180">
        <f t="shared" si="6"/>
        <v>30</v>
      </c>
      <c r="B63" s="180">
        <f t="shared" si="2"/>
        <v>58</v>
      </c>
      <c r="C63" s="181">
        <f t="shared" ca="1" si="0"/>
        <v>0.06</v>
      </c>
      <c r="D63" s="183">
        <f t="shared" si="7"/>
        <v>293630.59200660518</v>
      </c>
      <c r="E63" s="183">
        <f t="shared" si="3"/>
        <v>35516.893805948122</v>
      </c>
      <c r="F63" s="183">
        <f t="shared" si="4"/>
        <v>11745.223680264207</v>
      </c>
      <c r="G63" s="184">
        <f t="shared" ca="1" si="1"/>
        <v>178525.46016355837</v>
      </c>
      <c r="H63" s="184">
        <f t="shared" ca="1" si="5"/>
        <v>3093786.0953542516</v>
      </c>
      <c r="I63" s="163"/>
      <c r="J63" s="183">
        <f>IF(ISERROR(A63),NA(),SUM(E$33:E63))</f>
        <v>831012.58410335379</v>
      </c>
      <c r="K63" s="183">
        <f>IF(ISERROR(A63),NA(),SUM(E$33:F63))</f>
        <v>1099324.9917968283</v>
      </c>
    </row>
    <row r="64" spans="1:11" x14ac:dyDescent="0.2">
      <c r="A64" s="180">
        <f t="shared" si="6"/>
        <v>31</v>
      </c>
      <c r="B64" s="180">
        <f t="shared" si="2"/>
        <v>59</v>
      </c>
      <c r="C64" s="181">
        <f t="shared" ca="1" si="0"/>
        <v>0.06</v>
      </c>
      <c r="D64" s="183">
        <f t="shared" si="7"/>
        <v>299503.20384673728</v>
      </c>
      <c r="E64" s="183">
        <f t="shared" si="3"/>
        <v>36227.231682067082</v>
      </c>
      <c r="F64" s="183">
        <f t="shared" si="4"/>
        <v>11980.128153869491</v>
      </c>
      <c r="G64" s="184">
        <f t="shared" ca="1" si="1"/>
        <v>192498.58897757111</v>
      </c>
      <c r="H64" s="184">
        <f t="shared" ca="1" si="5"/>
        <v>3334492.0441677594</v>
      </c>
      <c r="I64" s="163"/>
      <c r="J64" s="183">
        <f>IF(ISERROR(A64),NA(),SUM(E$33:E64))</f>
        <v>867239.81578542083</v>
      </c>
      <c r="K64" s="183">
        <f>IF(ISERROR(A64),NA(),SUM(E$33:F64))</f>
        <v>1147532.3516327648</v>
      </c>
    </row>
    <row r="65" spans="1:11" x14ac:dyDescent="0.2">
      <c r="A65" s="180">
        <f t="shared" si="6"/>
        <v>32</v>
      </c>
      <c r="B65" s="180">
        <f t="shared" si="2"/>
        <v>60</v>
      </c>
      <c r="C65" s="181">
        <f t="shared" ca="1" si="0"/>
        <v>0.06</v>
      </c>
      <c r="D65" s="183">
        <f t="shared" si="7"/>
        <v>305493.26792367204</v>
      </c>
      <c r="E65" s="183">
        <f t="shared" si="3"/>
        <v>36951.776315708426</v>
      </c>
      <c r="F65" s="183">
        <f t="shared" si="4"/>
        <v>12219.730716946882</v>
      </c>
      <c r="G65" s="184">
        <f t="shared" ca="1" si="1"/>
        <v>207393.67892557336</v>
      </c>
      <c r="H65" s="184">
        <f t="shared" ca="1" si="5"/>
        <v>3591057.2301259884</v>
      </c>
      <c r="I65" s="163"/>
      <c r="J65" s="183">
        <f>IF(ISERROR(A65),NA(),SUM(E$33:E65))</f>
        <v>904191.59210112924</v>
      </c>
      <c r="K65" s="183">
        <f>IF(ISERROR(A65),NA(),SUM(E$33:F65))</f>
        <v>1196703.85866542</v>
      </c>
    </row>
    <row r="66" spans="1:11" x14ac:dyDescent="0.2">
      <c r="A66" s="180">
        <f t="shared" si="6"/>
        <v>33</v>
      </c>
      <c r="B66" s="180">
        <f t="shared" si="2"/>
        <v>61</v>
      </c>
      <c r="C66" s="181">
        <f t="shared" ref="C66:C93" ca="1" si="8">IF(ISERROR(A66),NA(),IF(randrate,$H$23+RAND()*($H$24-$H$23),$E$17))</f>
        <v>0.06</v>
      </c>
      <c r="D66" s="183">
        <f t="shared" si="7"/>
        <v>311603.13328214549</v>
      </c>
      <c r="E66" s="183">
        <f t="shared" si="3"/>
        <v>37690.811842022595</v>
      </c>
      <c r="F66" s="183">
        <f t="shared" si="4"/>
        <v>12464.125331285819</v>
      </c>
      <c r="G66" s="184">
        <f t="shared" ref="G66:G93" ca="1" si="9">IF(ISERROR(A66),NA(),FV(C66/nper,nper,-(E66+F66)/nper,-H65)-(H65+E66+F66))</f>
        <v>223268.85196518013</v>
      </c>
      <c r="H66" s="184">
        <f t="shared" ca="1" si="5"/>
        <v>3864481.0192644768</v>
      </c>
      <c r="I66" s="163"/>
      <c r="J66" s="183">
        <f>IF(ISERROR(A66),NA(),SUM(E$33:E66))</f>
        <v>941882.40394315182</v>
      </c>
      <c r="K66" s="183">
        <f>IF(ISERROR(A66),NA(),SUM(E$33:F66))</f>
        <v>1246858.7958387285</v>
      </c>
    </row>
    <row r="67" spans="1:11" x14ac:dyDescent="0.2">
      <c r="A67" s="180">
        <f t="shared" si="6"/>
        <v>34</v>
      </c>
      <c r="B67" s="180">
        <f t="shared" si="2"/>
        <v>62</v>
      </c>
      <c r="C67" s="181">
        <f t="shared" ca="1" si="8"/>
        <v>0.06</v>
      </c>
      <c r="D67" s="183">
        <f t="shared" si="7"/>
        <v>317835.19594778842</v>
      </c>
      <c r="E67" s="183">
        <f t="shared" si="3"/>
        <v>38444.628078863054</v>
      </c>
      <c r="F67" s="183">
        <f t="shared" si="4"/>
        <v>12713.407837911538</v>
      </c>
      <c r="G67" s="184">
        <f t="shared" ca="1" si="9"/>
        <v>240185.84342387971</v>
      </c>
      <c r="H67" s="184">
        <f t="shared" ca="1" si="5"/>
        <v>4155824.8986051311</v>
      </c>
      <c r="I67" s="163"/>
      <c r="J67" s="183">
        <f>IF(ISERROR(A67),NA(),SUM(E$33:E67))</f>
        <v>980327.03202201484</v>
      </c>
      <c r="K67" s="183">
        <f>IF(ISERROR(A67),NA(),SUM(E$33:F67))</f>
        <v>1298016.8317555031</v>
      </c>
    </row>
    <row r="68" spans="1:11" x14ac:dyDescent="0.2">
      <c r="A68" s="180">
        <f t="shared" si="6"/>
        <v>35</v>
      </c>
      <c r="B68" s="180">
        <f t="shared" si="2"/>
        <v>63</v>
      </c>
      <c r="C68" s="181">
        <f t="shared" ca="1" si="8"/>
        <v>0.06</v>
      </c>
      <c r="D68" s="183">
        <f t="shared" si="7"/>
        <v>324191.89986674418</v>
      </c>
      <c r="E68" s="183">
        <f t="shared" si="3"/>
        <v>39213.520640440307</v>
      </c>
      <c r="F68" s="183">
        <f t="shared" si="4"/>
        <v>12967.675994669768</v>
      </c>
      <c r="G68" s="184">
        <f t="shared" ca="1" si="9"/>
        <v>258210.22564363107</v>
      </c>
      <c r="H68" s="184">
        <f t="shared" ca="1" si="5"/>
        <v>4466216.3208838729</v>
      </c>
      <c r="I68" s="163"/>
      <c r="J68" s="183">
        <f>IF(ISERROR(A68),NA(),SUM(E$33:E68))</f>
        <v>1019540.5526624551</v>
      </c>
      <c r="K68" s="183">
        <f>IF(ISERROR(A68),NA(),SUM(E$33:F68))</f>
        <v>1350198.0283906132</v>
      </c>
    </row>
    <row r="69" spans="1:11" x14ac:dyDescent="0.2">
      <c r="A69" s="180">
        <f t="shared" si="6"/>
        <v>36</v>
      </c>
      <c r="B69" s="180">
        <f t="shared" si="2"/>
        <v>64</v>
      </c>
      <c r="C69" s="181">
        <f t="shared" ca="1" si="8"/>
        <v>0.06</v>
      </c>
      <c r="D69" s="183">
        <f t="shared" si="7"/>
        <v>330675.73786407907</v>
      </c>
      <c r="E69" s="183">
        <f t="shared" si="3"/>
        <v>39997.791053249115</v>
      </c>
      <c r="F69" s="183">
        <f t="shared" si="4"/>
        <v>13227.029514563163</v>
      </c>
      <c r="G69" s="184">
        <f t="shared" ca="1" si="9"/>
        <v>277411.64544788655</v>
      </c>
      <c r="H69" s="184">
        <f t="shared" ca="1" si="5"/>
        <v>4796852.7868995722</v>
      </c>
      <c r="I69" s="163"/>
      <c r="J69" s="183">
        <f>IF(ISERROR(A69),NA(),SUM(E$33:E69))</f>
        <v>1059538.3437157043</v>
      </c>
      <c r="K69" s="183">
        <f>IF(ISERROR(A69),NA(),SUM(E$33:F69))</f>
        <v>1403422.8489584255</v>
      </c>
    </row>
    <row r="70" spans="1:11" x14ac:dyDescent="0.2">
      <c r="A70" s="180">
        <f t="shared" si="6"/>
        <v>37</v>
      </c>
      <c r="B70" s="180">
        <f t="shared" si="2"/>
        <v>65</v>
      </c>
      <c r="C70" s="181">
        <f t="shared" ca="1" si="8"/>
        <v>0.06</v>
      </c>
      <c r="D70" s="183">
        <f t="shared" si="7"/>
        <v>337289.25262136065</v>
      </c>
      <c r="E70" s="183">
        <f t="shared" si="3"/>
        <v>40797.7468743141</v>
      </c>
      <c r="F70" s="183">
        <f t="shared" si="4"/>
        <v>13491.570104854427</v>
      </c>
      <c r="G70" s="184">
        <f t="shared" ca="1" si="9"/>
        <v>297864.07628495339</v>
      </c>
      <c r="H70" s="184">
        <f t="shared" ca="1" si="5"/>
        <v>5149006.1801636936</v>
      </c>
      <c r="I70" s="163"/>
      <c r="J70" s="183">
        <f>IF(ISERROR(A70),NA(),SUM(E$33:E70))</f>
        <v>1100336.0905900183</v>
      </c>
      <c r="K70" s="183">
        <f>IF(ISERROR(A70),NA(),SUM(E$33:F70))</f>
        <v>1457712.1659375939</v>
      </c>
    </row>
    <row r="71" spans="1:11" x14ac:dyDescent="0.2">
      <c r="A71" s="180">
        <f t="shared" si="6"/>
        <v>38</v>
      </c>
      <c r="B71" s="180">
        <f t="shared" si="2"/>
        <v>66</v>
      </c>
      <c r="C71" s="181">
        <f t="shared" ca="1" si="8"/>
        <v>0.06</v>
      </c>
      <c r="D71" s="183">
        <f t="shared" si="7"/>
        <v>344035.03767378785</v>
      </c>
      <c r="E71" s="183">
        <f t="shared" si="3"/>
        <v>41613.701811800383</v>
      </c>
      <c r="F71" s="183">
        <f t="shared" si="4"/>
        <v>13761.401506951515</v>
      </c>
      <c r="G71" s="184">
        <f t="shared" ca="1" si="9"/>
        <v>319646.08595431503</v>
      </c>
      <c r="H71" s="184">
        <f t="shared" ca="1" si="5"/>
        <v>5524027.3694367604</v>
      </c>
      <c r="I71" s="163"/>
      <c r="J71" s="183">
        <f>IF(ISERROR(A71),NA(),SUM(E$33:E71))</f>
        <v>1141949.7924018188</v>
      </c>
      <c r="K71" s="183">
        <f>IF(ISERROR(A71),NA(),SUM(E$33:F71))</f>
        <v>1513087.2692563459</v>
      </c>
    </row>
    <row r="72" spans="1:11" x14ac:dyDescent="0.2">
      <c r="A72" s="180" t="e">
        <f t="shared" si="6"/>
        <v>#N/A</v>
      </c>
      <c r="B72" s="180" t="e">
        <f t="shared" si="2"/>
        <v>#N/A</v>
      </c>
      <c r="C72" s="181" t="e">
        <f t="shared" ca="1" si="8"/>
        <v>#N/A</v>
      </c>
      <c r="D72" s="183" t="e">
        <f t="shared" si="7"/>
        <v>#N/A</v>
      </c>
      <c r="E72" s="183" t="e">
        <f t="shared" si="3"/>
        <v>#N/A</v>
      </c>
      <c r="F72" s="183" t="e">
        <f t="shared" si="4"/>
        <v>#N/A</v>
      </c>
      <c r="G72" s="184" t="e">
        <f t="shared" si="9"/>
        <v>#N/A</v>
      </c>
      <c r="H72" s="184" t="e">
        <f t="shared" si="5"/>
        <v>#N/A</v>
      </c>
      <c r="I72" s="163"/>
      <c r="J72" s="183" t="e">
        <f>IF(ISERROR(A72),NA(),SUM(E$33:E72))</f>
        <v>#N/A</v>
      </c>
      <c r="K72" s="183" t="e">
        <f>IF(ISERROR(A72),NA(),SUM(E$33:F72))</f>
        <v>#N/A</v>
      </c>
    </row>
    <row r="73" spans="1:11" x14ac:dyDescent="0.2">
      <c r="A73" s="180" t="e">
        <f t="shared" si="6"/>
        <v>#N/A</v>
      </c>
      <c r="B73" s="180" t="e">
        <f t="shared" si="2"/>
        <v>#N/A</v>
      </c>
      <c r="C73" s="181" t="e">
        <f t="shared" ca="1" si="8"/>
        <v>#N/A</v>
      </c>
      <c r="D73" s="183" t="e">
        <f t="shared" si="7"/>
        <v>#N/A</v>
      </c>
      <c r="E73" s="183" t="e">
        <f t="shared" si="3"/>
        <v>#N/A</v>
      </c>
      <c r="F73" s="183" t="e">
        <f t="shared" si="4"/>
        <v>#N/A</v>
      </c>
      <c r="G73" s="184" t="e">
        <f t="shared" si="9"/>
        <v>#N/A</v>
      </c>
      <c r="H73" s="184" t="e">
        <f t="shared" si="5"/>
        <v>#N/A</v>
      </c>
      <c r="I73" s="163"/>
      <c r="J73" s="183" t="e">
        <f>IF(ISERROR(A73),NA(),SUM(E$33:E73))</f>
        <v>#N/A</v>
      </c>
      <c r="K73" s="183" t="e">
        <f>IF(ISERROR(A73),NA(),SUM(E$33:F73))</f>
        <v>#N/A</v>
      </c>
    </row>
    <row r="74" spans="1:11" x14ac:dyDescent="0.2">
      <c r="A74" s="180" t="e">
        <f t="shared" si="6"/>
        <v>#N/A</v>
      </c>
      <c r="B74" s="180" t="e">
        <f t="shared" si="2"/>
        <v>#N/A</v>
      </c>
      <c r="C74" s="181" t="e">
        <f t="shared" ca="1" si="8"/>
        <v>#N/A</v>
      </c>
      <c r="D74" s="183" t="e">
        <f t="shared" si="7"/>
        <v>#N/A</v>
      </c>
      <c r="E74" s="183" t="e">
        <f t="shared" si="3"/>
        <v>#N/A</v>
      </c>
      <c r="F74" s="183" t="e">
        <f t="shared" si="4"/>
        <v>#N/A</v>
      </c>
      <c r="G74" s="184" t="e">
        <f t="shared" si="9"/>
        <v>#N/A</v>
      </c>
      <c r="H74" s="184" t="e">
        <f t="shared" si="5"/>
        <v>#N/A</v>
      </c>
      <c r="I74" s="163"/>
      <c r="J74" s="183" t="e">
        <f>IF(ISERROR(A74),NA(),SUM(E$33:E74))</f>
        <v>#N/A</v>
      </c>
      <c r="K74" s="183" t="e">
        <f>IF(ISERROR(A74),NA(),SUM(E$33:F74))</f>
        <v>#N/A</v>
      </c>
    </row>
    <row r="75" spans="1:11" x14ac:dyDescent="0.2">
      <c r="A75" s="180" t="e">
        <f t="shared" si="6"/>
        <v>#N/A</v>
      </c>
      <c r="B75" s="180" t="e">
        <f t="shared" si="2"/>
        <v>#N/A</v>
      </c>
      <c r="C75" s="181" t="e">
        <f t="shared" ca="1" si="8"/>
        <v>#N/A</v>
      </c>
      <c r="D75" s="183" t="e">
        <f t="shared" si="7"/>
        <v>#N/A</v>
      </c>
      <c r="E75" s="183" t="e">
        <f t="shared" si="3"/>
        <v>#N/A</v>
      </c>
      <c r="F75" s="183" t="e">
        <f t="shared" si="4"/>
        <v>#N/A</v>
      </c>
      <c r="G75" s="184" t="e">
        <f t="shared" si="9"/>
        <v>#N/A</v>
      </c>
      <c r="H75" s="184" t="e">
        <f t="shared" si="5"/>
        <v>#N/A</v>
      </c>
      <c r="I75" s="163"/>
      <c r="J75" s="183" t="e">
        <f>IF(ISERROR(A75),NA(),SUM(E$33:E75))</f>
        <v>#N/A</v>
      </c>
      <c r="K75" s="183" t="e">
        <f>IF(ISERROR(A75),NA(),SUM(E$33:F75))</f>
        <v>#N/A</v>
      </c>
    </row>
    <row r="76" spans="1:11" x14ac:dyDescent="0.2">
      <c r="A76" s="180" t="e">
        <f t="shared" si="6"/>
        <v>#N/A</v>
      </c>
      <c r="B76" s="180" t="e">
        <f t="shared" si="2"/>
        <v>#N/A</v>
      </c>
      <c r="C76" s="181" t="e">
        <f t="shared" ca="1" si="8"/>
        <v>#N/A</v>
      </c>
      <c r="D76" s="183" t="e">
        <f t="shared" si="7"/>
        <v>#N/A</v>
      </c>
      <c r="E76" s="183" t="e">
        <f t="shared" si="3"/>
        <v>#N/A</v>
      </c>
      <c r="F76" s="183" t="e">
        <f t="shared" si="4"/>
        <v>#N/A</v>
      </c>
      <c r="G76" s="184" t="e">
        <f t="shared" si="9"/>
        <v>#N/A</v>
      </c>
      <c r="H76" s="184" t="e">
        <f t="shared" si="5"/>
        <v>#N/A</v>
      </c>
      <c r="I76" s="163"/>
      <c r="J76" s="183" t="e">
        <f>IF(ISERROR(A76),NA(),SUM(E$33:E76))</f>
        <v>#N/A</v>
      </c>
      <c r="K76" s="183" t="e">
        <f>IF(ISERROR(A76),NA(),SUM(E$33:F76))</f>
        <v>#N/A</v>
      </c>
    </row>
    <row r="77" spans="1:11" x14ac:dyDescent="0.2">
      <c r="A77" s="180" t="e">
        <f t="shared" si="6"/>
        <v>#N/A</v>
      </c>
      <c r="B77" s="180" t="e">
        <f t="shared" si="2"/>
        <v>#N/A</v>
      </c>
      <c r="C77" s="181" t="e">
        <f t="shared" ca="1" si="8"/>
        <v>#N/A</v>
      </c>
      <c r="D77" s="183" t="e">
        <f t="shared" si="7"/>
        <v>#N/A</v>
      </c>
      <c r="E77" s="183" t="e">
        <f t="shared" si="3"/>
        <v>#N/A</v>
      </c>
      <c r="F77" s="183" t="e">
        <f t="shared" si="4"/>
        <v>#N/A</v>
      </c>
      <c r="G77" s="184" t="e">
        <f t="shared" si="9"/>
        <v>#N/A</v>
      </c>
      <c r="H77" s="184" t="e">
        <f t="shared" si="5"/>
        <v>#N/A</v>
      </c>
      <c r="I77" s="163"/>
      <c r="J77" s="183" t="e">
        <f>IF(ISERROR(A77),NA(),SUM(E$33:E77))</f>
        <v>#N/A</v>
      </c>
      <c r="K77" s="183" t="e">
        <f>IF(ISERROR(A77),NA(),SUM(E$33:F77))</f>
        <v>#N/A</v>
      </c>
    </row>
    <row r="78" spans="1:11" x14ac:dyDescent="0.2">
      <c r="A78" s="180" t="e">
        <f t="shared" si="6"/>
        <v>#N/A</v>
      </c>
      <c r="B78" s="180" t="e">
        <f t="shared" si="2"/>
        <v>#N/A</v>
      </c>
      <c r="C78" s="181" t="e">
        <f t="shared" ca="1" si="8"/>
        <v>#N/A</v>
      </c>
      <c r="D78" s="183" t="e">
        <f t="shared" si="7"/>
        <v>#N/A</v>
      </c>
      <c r="E78" s="183" t="e">
        <f t="shared" si="3"/>
        <v>#N/A</v>
      </c>
      <c r="F78" s="183" t="e">
        <f t="shared" si="4"/>
        <v>#N/A</v>
      </c>
      <c r="G78" s="184" t="e">
        <f t="shared" si="9"/>
        <v>#N/A</v>
      </c>
      <c r="H78" s="184" t="e">
        <f t="shared" si="5"/>
        <v>#N/A</v>
      </c>
      <c r="I78" s="163"/>
      <c r="J78" s="183" t="e">
        <f>IF(ISERROR(A78),NA(),SUM(E$33:E78))</f>
        <v>#N/A</v>
      </c>
      <c r="K78" s="183" t="e">
        <f>IF(ISERROR(A78),NA(),SUM(E$33:F78))</f>
        <v>#N/A</v>
      </c>
    </row>
    <row r="79" spans="1:11" x14ac:dyDescent="0.2">
      <c r="A79" s="180" t="e">
        <f t="shared" si="6"/>
        <v>#N/A</v>
      </c>
      <c r="B79" s="180" t="e">
        <f t="shared" si="2"/>
        <v>#N/A</v>
      </c>
      <c r="C79" s="181" t="e">
        <f t="shared" ca="1" si="8"/>
        <v>#N/A</v>
      </c>
      <c r="D79" s="183" t="e">
        <f t="shared" si="7"/>
        <v>#N/A</v>
      </c>
      <c r="E79" s="183" t="e">
        <f t="shared" si="3"/>
        <v>#N/A</v>
      </c>
      <c r="F79" s="183" t="e">
        <f t="shared" si="4"/>
        <v>#N/A</v>
      </c>
      <c r="G79" s="184" t="e">
        <f t="shared" si="9"/>
        <v>#N/A</v>
      </c>
      <c r="H79" s="184" t="e">
        <f t="shared" si="5"/>
        <v>#N/A</v>
      </c>
      <c r="I79" s="163"/>
      <c r="J79" s="183" t="e">
        <f>IF(ISERROR(A79),NA(),SUM(E$33:E79))</f>
        <v>#N/A</v>
      </c>
      <c r="K79" s="183" t="e">
        <f>IF(ISERROR(A79),NA(),SUM(E$33:F79))</f>
        <v>#N/A</v>
      </c>
    </row>
    <row r="80" spans="1:11" x14ac:dyDescent="0.2">
      <c r="A80" s="180" t="e">
        <f t="shared" si="6"/>
        <v>#N/A</v>
      </c>
      <c r="B80" s="180" t="e">
        <f t="shared" si="2"/>
        <v>#N/A</v>
      </c>
      <c r="C80" s="181" t="e">
        <f t="shared" ca="1" si="8"/>
        <v>#N/A</v>
      </c>
      <c r="D80" s="183" t="e">
        <f t="shared" si="7"/>
        <v>#N/A</v>
      </c>
      <c r="E80" s="183" t="e">
        <f t="shared" si="3"/>
        <v>#N/A</v>
      </c>
      <c r="F80" s="183" t="e">
        <f t="shared" si="4"/>
        <v>#N/A</v>
      </c>
      <c r="G80" s="184" t="e">
        <f t="shared" si="9"/>
        <v>#N/A</v>
      </c>
      <c r="H80" s="184" t="e">
        <f t="shared" si="5"/>
        <v>#N/A</v>
      </c>
      <c r="I80" s="163"/>
      <c r="J80" s="183" t="e">
        <f>IF(ISERROR(A80),NA(),SUM(E$33:E80))</f>
        <v>#N/A</v>
      </c>
      <c r="K80" s="183" t="e">
        <f>IF(ISERROR(A80),NA(),SUM(E$33:F80))</f>
        <v>#N/A</v>
      </c>
    </row>
    <row r="81" spans="1:11" x14ac:dyDescent="0.2">
      <c r="A81" s="180" t="e">
        <f t="shared" si="6"/>
        <v>#N/A</v>
      </c>
      <c r="B81" s="180" t="e">
        <f t="shared" si="2"/>
        <v>#N/A</v>
      </c>
      <c r="C81" s="181" t="e">
        <f t="shared" ca="1" si="8"/>
        <v>#N/A</v>
      </c>
      <c r="D81" s="183" t="e">
        <f t="shared" si="7"/>
        <v>#N/A</v>
      </c>
      <c r="E81" s="183" t="e">
        <f t="shared" si="3"/>
        <v>#N/A</v>
      </c>
      <c r="F81" s="183" t="e">
        <f t="shared" si="4"/>
        <v>#N/A</v>
      </c>
      <c r="G81" s="184" t="e">
        <f t="shared" si="9"/>
        <v>#N/A</v>
      </c>
      <c r="H81" s="184" t="e">
        <f t="shared" si="5"/>
        <v>#N/A</v>
      </c>
      <c r="I81" s="163"/>
      <c r="J81" s="183" t="e">
        <f>IF(ISERROR(A81),NA(),SUM(E$33:E81))</f>
        <v>#N/A</v>
      </c>
      <c r="K81" s="183" t="e">
        <f>IF(ISERROR(A81),NA(),SUM(E$33:F81))</f>
        <v>#N/A</v>
      </c>
    </row>
    <row r="82" spans="1:11" x14ac:dyDescent="0.2">
      <c r="A82" s="180" t="e">
        <f t="shared" si="6"/>
        <v>#N/A</v>
      </c>
      <c r="B82" s="180" t="e">
        <f t="shared" si="2"/>
        <v>#N/A</v>
      </c>
      <c r="C82" s="181" t="e">
        <f t="shared" ca="1" si="8"/>
        <v>#N/A</v>
      </c>
      <c r="D82" s="183" t="e">
        <f t="shared" si="7"/>
        <v>#N/A</v>
      </c>
      <c r="E82" s="183" t="e">
        <f t="shared" si="3"/>
        <v>#N/A</v>
      </c>
      <c r="F82" s="183" t="e">
        <f t="shared" si="4"/>
        <v>#N/A</v>
      </c>
      <c r="G82" s="184" t="e">
        <f t="shared" si="9"/>
        <v>#N/A</v>
      </c>
      <c r="H82" s="184" t="e">
        <f t="shared" si="5"/>
        <v>#N/A</v>
      </c>
      <c r="I82" s="163"/>
      <c r="J82" s="183" t="e">
        <f>IF(ISERROR(A82),NA(),SUM(E$33:E82))</f>
        <v>#N/A</v>
      </c>
      <c r="K82" s="183" t="e">
        <f>IF(ISERROR(A82),NA(),SUM(E$33:F82))</f>
        <v>#N/A</v>
      </c>
    </row>
    <row r="83" spans="1:11" x14ac:dyDescent="0.2">
      <c r="A83" s="180" t="e">
        <f t="shared" si="6"/>
        <v>#N/A</v>
      </c>
      <c r="B83" s="180" t="e">
        <f t="shared" si="2"/>
        <v>#N/A</v>
      </c>
      <c r="C83" s="181" t="e">
        <f t="shared" ca="1" si="8"/>
        <v>#N/A</v>
      </c>
      <c r="D83" s="183" t="e">
        <f t="shared" si="7"/>
        <v>#N/A</v>
      </c>
      <c r="E83" s="183" t="e">
        <f t="shared" si="3"/>
        <v>#N/A</v>
      </c>
      <c r="F83" s="183" t="e">
        <f t="shared" si="4"/>
        <v>#N/A</v>
      </c>
      <c r="G83" s="184" t="e">
        <f t="shared" si="9"/>
        <v>#N/A</v>
      </c>
      <c r="H83" s="184" t="e">
        <f t="shared" si="5"/>
        <v>#N/A</v>
      </c>
      <c r="I83" s="163"/>
      <c r="J83" s="183" t="e">
        <f>IF(ISERROR(A83),NA(),SUM(E$33:E83))</f>
        <v>#N/A</v>
      </c>
      <c r="K83" s="183" t="e">
        <f>IF(ISERROR(A83),NA(),SUM(E$33:F83))</f>
        <v>#N/A</v>
      </c>
    </row>
    <row r="84" spans="1:11" x14ac:dyDescent="0.2">
      <c r="A84" s="180" t="e">
        <f t="shared" si="6"/>
        <v>#N/A</v>
      </c>
      <c r="B84" s="180" t="e">
        <f t="shared" si="2"/>
        <v>#N/A</v>
      </c>
      <c r="C84" s="181" t="e">
        <f t="shared" ca="1" si="8"/>
        <v>#N/A</v>
      </c>
      <c r="D84" s="183" t="e">
        <f t="shared" si="7"/>
        <v>#N/A</v>
      </c>
      <c r="E84" s="183" t="e">
        <f t="shared" si="3"/>
        <v>#N/A</v>
      </c>
      <c r="F84" s="183" t="e">
        <f t="shared" si="4"/>
        <v>#N/A</v>
      </c>
      <c r="G84" s="184" t="e">
        <f t="shared" si="9"/>
        <v>#N/A</v>
      </c>
      <c r="H84" s="184" t="e">
        <f t="shared" si="5"/>
        <v>#N/A</v>
      </c>
      <c r="I84" s="163"/>
      <c r="J84" s="183" t="e">
        <f>IF(ISERROR(A84),NA(),SUM(E$33:E84))</f>
        <v>#N/A</v>
      </c>
      <c r="K84" s="183" t="e">
        <f>IF(ISERROR(A84),NA(),SUM(E$33:F84))</f>
        <v>#N/A</v>
      </c>
    </row>
    <row r="85" spans="1:11" x14ac:dyDescent="0.2">
      <c r="A85" s="180" t="e">
        <f t="shared" si="6"/>
        <v>#N/A</v>
      </c>
      <c r="B85" s="180" t="e">
        <f t="shared" si="2"/>
        <v>#N/A</v>
      </c>
      <c r="C85" s="181" t="e">
        <f t="shared" ca="1" si="8"/>
        <v>#N/A</v>
      </c>
      <c r="D85" s="183" t="e">
        <f t="shared" si="7"/>
        <v>#N/A</v>
      </c>
      <c r="E85" s="183" t="e">
        <f t="shared" si="3"/>
        <v>#N/A</v>
      </c>
      <c r="F85" s="183" t="e">
        <f t="shared" si="4"/>
        <v>#N/A</v>
      </c>
      <c r="G85" s="184" t="e">
        <f t="shared" si="9"/>
        <v>#N/A</v>
      </c>
      <c r="H85" s="184" t="e">
        <f t="shared" si="5"/>
        <v>#N/A</v>
      </c>
      <c r="I85" s="163"/>
      <c r="J85" s="183" t="e">
        <f>IF(ISERROR(A85),NA(),SUM(E$33:E85))</f>
        <v>#N/A</v>
      </c>
      <c r="K85" s="183" t="e">
        <f>IF(ISERROR(A85),NA(),SUM(E$33:F85))</f>
        <v>#N/A</v>
      </c>
    </row>
    <row r="86" spans="1:11" x14ac:dyDescent="0.2">
      <c r="A86" s="180" t="e">
        <f t="shared" si="6"/>
        <v>#N/A</v>
      </c>
      <c r="B86" s="180" t="e">
        <f t="shared" si="2"/>
        <v>#N/A</v>
      </c>
      <c r="C86" s="181" t="e">
        <f t="shared" ca="1" si="8"/>
        <v>#N/A</v>
      </c>
      <c r="D86" s="183" t="e">
        <f t="shared" si="7"/>
        <v>#N/A</v>
      </c>
      <c r="E86" s="183" t="e">
        <f t="shared" si="3"/>
        <v>#N/A</v>
      </c>
      <c r="F86" s="183" t="e">
        <f t="shared" si="4"/>
        <v>#N/A</v>
      </c>
      <c r="G86" s="184" t="e">
        <f t="shared" si="9"/>
        <v>#N/A</v>
      </c>
      <c r="H86" s="184" t="e">
        <f t="shared" si="5"/>
        <v>#N/A</v>
      </c>
      <c r="I86" s="163"/>
      <c r="J86" s="183" t="e">
        <f>IF(ISERROR(A86),NA(),SUM(E$33:E86))</f>
        <v>#N/A</v>
      </c>
      <c r="K86" s="183" t="e">
        <f>IF(ISERROR(A86),NA(),SUM(E$33:F86))</f>
        <v>#N/A</v>
      </c>
    </row>
    <row r="87" spans="1:11" x14ac:dyDescent="0.2">
      <c r="A87" s="180" t="e">
        <f t="shared" si="6"/>
        <v>#N/A</v>
      </c>
      <c r="B87" s="180" t="e">
        <f t="shared" si="2"/>
        <v>#N/A</v>
      </c>
      <c r="C87" s="181" t="e">
        <f t="shared" ca="1" si="8"/>
        <v>#N/A</v>
      </c>
      <c r="D87" s="183" t="e">
        <f t="shared" si="7"/>
        <v>#N/A</v>
      </c>
      <c r="E87" s="183" t="e">
        <f t="shared" si="3"/>
        <v>#N/A</v>
      </c>
      <c r="F87" s="183" t="e">
        <f t="shared" si="4"/>
        <v>#N/A</v>
      </c>
      <c r="G87" s="184" t="e">
        <f t="shared" si="9"/>
        <v>#N/A</v>
      </c>
      <c r="H87" s="184" t="e">
        <f t="shared" si="5"/>
        <v>#N/A</v>
      </c>
      <c r="I87" s="163"/>
      <c r="J87" s="183" t="e">
        <f>IF(ISERROR(A87),NA(),SUM(E$33:E87))</f>
        <v>#N/A</v>
      </c>
      <c r="K87" s="183" t="e">
        <f>IF(ISERROR(A87),NA(),SUM(E$33:F87))</f>
        <v>#N/A</v>
      </c>
    </row>
    <row r="88" spans="1:11" x14ac:dyDescent="0.2">
      <c r="A88" s="180" t="e">
        <f t="shared" si="6"/>
        <v>#N/A</v>
      </c>
      <c r="B88" s="180" t="e">
        <f t="shared" si="2"/>
        <v>#N/A</v>
      </c>
      <c r="C88" s="181" t="e">
        <f t="shared" ca="1" si="8"/>
        <v>#N/A</v>
      </c>
      <c r="D88" s="183" t="e">
        <f t="shared" si="7"/>
        <v>#N/A</v>
      </c>
      <c r="E88" s="183" t="e">
        <f t="shared" si="3"/>
        <v>#N/A</v>
      </c>
      <c r="F88" s="183" t="e">
        <f t="shared" si="4"/>
        <v>#N/A</v>
      </c>
      <c r="G88" s="184" t="e">
        <f t="shared" si="9"/>
        <v>#N/A</v>
      </c>
      <c r="H88" s="184" t="e">
        <f t="shared" si="5"/>
        <v>#N/A</v>
      </c>
      <c r="I88" s="163"/>
      <c r="J88" s="183" t="e">
        <f>IF(ISERROR(A88),NA(),SUM(E$33:E88))</f>
        <v>#N/A</v>
      </c>
      <c r="K88" s="183" t="e">
        <f>IF(ISERROR(A88),NA(),SUM(E$33:F88))</f>
        <v>#N/A</v>
      </c>
    </row>
    <row r="89" spans="1:11" x14ac:dyDescent="0.2">
      <c r="A89" s="180" t="e">
        <f t="shared" si="6"/>
        <v>#N/A</v>
      </c>
      <c r="B89" s="180" t="e">
        <f t="shared" si="2"/>
        <v>#N/A</v>
      </c>
      <c r="C89" s="181" t="e">
        <f t="shared" ca="1" si="8"/>
        <v>#N/A</v>
      </c>
      <c r="D89" s="183" t="e">
        <f t="shared" si="7"/>
        <v>#N/A</v>
      </c>
      <c r="E89" s="183" t="e">
        <f t="shared" si="3"/>
        <v>#N/A</v>
      </c>
      <c r="F89" s="183" t="e">
        <f t="shared" si="4"/>
        <v>#N/A</v>
      </c>
      <c r="G89" s="184" t="e">
        <f t="shared" si="9"/>
        <v>#N/A</v>
      </c>
      <c r="H89" s="184" t="e">
        <f t="shared" si="5"/>
        <v>#N/A</v>
      </c>
      <c r="I89" s="163"/>
      <c r="J89" s="183" t="e">
        <f>IF(ISERROR(A89),NA(),SUM(E$33:E89))</f>
        <v>#N/A</v>
      </c>
      <c r="K89" s="183" t="e">
        <f>IF(ISERROR(A89),NA(),SUM(E$33:F89))</f>
        <v>#N/A</v>
      </c>
    </row>
    <row r="90" spans="1:11" x14ac:dyDescent="0.2">
      <c r="A90" s="180" t="e">
        <f t="shared" si="6"/>
        <v>#N/A</v>
      </c>
      <c r="B90" s="180" t="e">
        <f t="shared" si="2"/>
        <v>#N/A</v>
      </c>
      <c r="C90" s="181" t="e">
        <f t="shared" ca="1" si="8"/>
        <v>#N/A</v>
      </c>
      <c r="D90" s="183" t="e">
        <f t="shared" si="7"/>
        <v>#N/A</v>
      </c>
      <c r="E90" s="183" t="e">
        <f t="shared" si="3"/>
        <v>#N/A</v>
      </c>
      <c r="F90" s="183" t="e">
        <f t="shared" si="4"/>
        <v>#N/A</v>
      </c>
      <c r="G90" s="184" t="e">
        <f t="shared" si="9"/>
        <v>#N/A</v>
      </c>
      <c r="H90" s="184" t="e">
        <f t="shared" si="5"/>
        <v>#N/A</v>
      </c>
      <c r="I90" s="163"/>
      <c r="J90" s="183" t="e">
        <f>IF(ISERROR(A90),NA(),SUM(E$33:E90))</f>
        <v>#N/A</v>
      </c>
      <c r="K90" s="183" t="e">
        <f>IF(ISERROR(A90),NA(),SUM(E$33:F90))</f>
        <v>#N/A</v>
      </c>
    </row>
    <row r="91" spans="1:11" x14ac:dyDescent="0.2">
      <c r="A91" s="180" t="e">
        <f t="shared" si="6"/>
        <v>#N/A</v>
      </c>
      <c r="B91" s="180" t="e">
        <f t="shared" si="2"/>
        <v>#N/A</v>
      </c>
      <c r="C91" s="181" t="e">
        <f t="shared" ca="1" si="8"/>
        <v>#N/A</v>
      </c>
      <c r="D91" s="183" t="e">
        <f t="shared" si="7"/>
        <v>#N/A</v>
      </c>
      <c r="E91" s="183" t="e">
        <f t="shared" si="3"/>
        <v>#N/A</v>
      </c>
      <c r="F91" s="183" t="e">
        <f t="shared" si="4"/>
        <v>#N/A</v>
      </c>
      <c r="G91" s="184" t="e">
        <f t="shared" si="9"/>
        <v>#N/A</v>
      </c>
      <c r="H91" s="184" t="e">
        <f t="shared" si="5"/>
        <v>#N/A</v>
      </c>
      <c r="I91" s="163"/>
      <c r="J91" s="183" t="e">
        <f>IF(ISERROR(A91),NA(),SUM(E$33:E91))</f>
        <v>#N/A</v>
      </c>
      <c r="K91" s="183" t="e">
        <f>IF(ISERROR(A91),NA(),SUM(E$33:F91))</f>
        <v>#N/A</v>
      </c>
    </row>
    <row r="92" spans="1:11" x14ac:dyDescent="0.2">
      <c r="A92" s="180" t="e">
        <f t="shared" si="6"/>
        <v>#N/A</v>
      </c>
      <c r="B92" s="180" t="e">
        <f t="shared" si="2"/>
        <v>#N/A</v>
      </c>
      <c r="C92" s="181" t="e">
        <f t="shared" ca="1" si="8"/>
        <v>#N/A</v>
      </c>
      <c r="D92" s="183" t="e">
        <f t="shared" si="7"/>
        <v>#N/A</v>
      </c>
      <c r="E92" s="183" t="e">
        <f t="shared" si="3"/>
        <v>#N/A</v>
      </c>
      <c r="F92" s="183" t="e">
        <f t="shared" si="4"/>
        <v>#N/A</v>
      </c>
      <c r="G92" s="184" t="e">
        <f t="shared" si="9"/>
        <v>#N/A</v>
      </c>
      <c r="H92" s="184" t="e">
        <f t="shared" si="5"/>
        <v>#N/A</v>
      </c>
      <c r="I92" s="163"/>
      <c r="J92" s="183" t="e">
        <f>IF(ISERROR(A92),NA(),SUM(E$33:E92))</f>
        <v>#N/A</v>
      </c>
      <c r="K92" s="183" t="e">
        <f>IF(ISERROR(A92),NA(),SUM(E$33:F92))</f>
        <v>#N/A</v>
      </c>
    </row>
    <row r="93" spans="1:11" x14ac:dyDescent="0.2">
      <c r="A93" s="180" t="e">
        <f t="shared" si="6"/>
        <v>#N/A</v>
      </c>
      <c r="B93" s="180" t="e">
        <f t="shared" si="2"/>
        <v>#N/A</v>
      </c>
      <c r="C93" s="181" t="e">
        <f t="shared" ca="1" si="8"/>
        <v>#N/A</v>
      </c>
      <c r="D93" s="183" t="e">
        <f t="shared" si="7"/>
        <v>#N/A</v>
      </c>
      <c r="E93" s="183" t="e">
        <f t="shared" si="3"/>
        <v>#N/A</v>
      </c>
      <c r="F93" s="183" t="e">
        <f t="shared" si="4"/>
        <v>#N/A</v>
      </c>
      <c r="G93" s="184" t="e">
        <f t="shared" si="9"/>
        <v>#N/A</v>
      </c>
      <c r="H93" s="184" t="e">
        <f t="shared" si="5"/>
        <v>#N/A</v>
      </c>
      <c r="I93" s="163"/>
      <c r="J93" s="183" t="e">
        <f>IF(ISERROR(A93),NA(),SUM(E$33:E93))</f>
        <v>#N/A</v>
      </c>
      <c r="K93" s="183" t="e">
        <f>IF(ISERROR(A93),NA(),SUM(E$33:F93))</f>
        <v>#N/A</v>
      </c>
    </row>
  </sheetData>
  <conditionalFormatting sqref="H23:H24">
    <cfRule type="expression" dxfId="8" priority="1" stopIfTrue="1">
      <formula>NOT(randrate)</formula>
    </cfRule>
  </conditionalFormatting>
  <conditionalFormatting sqref="E17">
    <cfRule type="expression" dxfId="7" priority="2" stopIfTrue="1">
      <formula>randrate</formula>
    </cfRule>
  </conditionalFormatting>
  <conditionalFormatting sqref="J34:K93 A34:H93">
    <cfRule type="expression" dxfId="6" priority="3" stopIfTrue="1">
      <formula>ISERROR(A34)</formula>
    </cfRule>
    <cfRule type="expression" dxfId="5" priority="4" stopIfTrue="1">
      <formula>MOD(ROW(),2)=1</formula>
    </cfRule>
  </conditionalFormatting>
  <dataValidations count="2">
    <dataValidation type="list" allowBlank="1" showInputMessage="1" showErrorMessage="1" sqref="H22" xr:uid="{3841C330-FCAC-46C7-B7F2-03B0748B60FF}">
      <formula1>"On,Off"</formula1>
    </dataValidation>
    <dataValidation type="list" allowBlank="1" showInputMessage="1" showErrorMessage="1" sqref="E18" xr:uid="{AF197CD9-5727-482A-925D-5876441E6BB0}">
      <formula1>"12,24,26,52,13,4,2,1"</formula1>
    </dataValidation>
  </dataValidations>
  <printOptions horizontalCentered="1"/>
  <pageMargins left="0.5" right="0.5" top="0.5" bottom="0.5" header="0.5" footer="0.25"/>
  <pageSetup fitToHeight="0" orientation="portrait" r:id="rId1"/>
  <headerFooter differentFirst="1" scaleWithDoc="0">
    <firstFooter>&amp;R&amp;"Arial,Regular"&amp;8Page &amp;P of &amp;N</first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BCA3-CFEB-4F0A-9D6A-49606135CC34}">
  <sheetPr>
    <pageSetUpPr fitToPage="1"/>
  </sheetPr>
  <dimension ref="A1:M93"/>
  <sheetViews>
    <sheetView showGridLines="0" workbookViewId="0">
      <selection activeCell="G19" sqref="G19"/>
    </sheetView>
  </sheetViews>
  <sheetFormatPr defaultColWidth="9.140625" defaultRowHeight="12.75" x14ac:dyDescent="0.2"/>
  <cols>
    <col min="1" max="1" width="7.5703125" style="134" customWidth="1"/>
    <col min="2" max="2" width="7.7109375" style="134" customWidth="1"/>
    <col min="3" max="3" width="9.42578125" style="134" customWidth="1"/>
    <col min="4" max="4" width="9.85546875" style="134" customWidth="1"/>
    <col min="5" max="5" width="16.140625" style="134" customWidth="1"/>
    <col min="6" max="7" width="15" style="134" customWidth="1"/>
    <col min="8" max="8" width="17" style="134" customWidth="1"/>
    <col min="9" max="9" width="4.140625" style="134" customWidth="1"/>
    <col min="10" max="10" width="11.7109375" style="134" customWidth="1"/>
    <col min="11" max="11" width="10.85546875" style="134" bestFit="1" customWidth="1"/>
    <col min="12" max="16384" width="9.140625" style="134"/>
  </cols>
  <sheetData>
    <row r="1" spans="1:13" ht="31.5" customHeight="1" x14ac:dyDescent="0.2">
      <c r="A1" s="133" t="s">
        <v>110</v>
      </c>
      <c r="B1" s="133"/>
      <c r="C1" s="133"/>
      <c r="D1" s="133"/>
      <c r="E1" s="133"/>
      <c r="F1" s="133"/>
      <c r="G1" s="133"/>
      <c r="H1" s="133"/>
    </row>
    <row r="2" spans="1:13" x14ac:dyDescent="0.2">
      <c r="H2" s="135" t="str">
        <f ca="1">"© 2008-" &amp; YEAR(TODAY()) &amp; " Vertex42 LLC"</f>
        <v>© 2008-2021 Vertex42 LLC</v>
      </c>
    </row>
    <row r="3" spans="1:13" x14ac:dyDescent="0.2">
      <c r="A3" s="136"/>
      <c r="J3" s="137" t="s">
        <v>111</v>
      </c>
      <c r="K3" s="138"/>
      <c r="L3" s="138"/>
      <c r="M3" s="138"/>
    </row>
    <row r="4" spans="1:13" ht="19.5" customHeight="1" thickBot="1" x14ac:dyDescent="0.25">
      <c r="A4" s="139" t="s">
        <v>112</v>
      </c>
      <c r="B4" s="139"/>
      <c r="C4" s="139"/>
      <c r="D4" s="139"/>
      <c r="E4" s="139"/>
      <c r="F4" s="140" t="s">
        <v>113</v>
      </c>
      <c r="G4" s="140"/>
      <c r="H4" s="140"/>
      <c r="J4" s="134" t="s">
        <v>114</v>
      </c>
    </row>
    <row r="5" spans="1:13" ht="15" customHeight="1" x14ac:dyDescent="0.25">
      <c r="A5" s="141"/>
      <c r="B5" s="142"/>
      <c r="C5" s="142"/>
      <c r="D5" s="142" t="s">
        <v>115</v>
      </c>
      <c r="E5" s="143">
        <v>31</v>
      </c>
      <c r="F5" s="144"/>
      <c r="G5" s="145" t="s">
        <v>116</v>
      </c>
      <c r="H5" s="146">
        <f>IF(E6-E5&lt;=0,0,E6-E5)</f>
        <v>36</v>
      </c>
      <c r="J5" s="134" t="s">
        <v>117</v>
      </c>
    </row>
    <row r="6" spans="1:13" ht="15" customHeight="1" x14ac:dyDescent="0.25">
      <c r="A6" s="141"/>
      <c r="B6" s="142"/>
      <c r="C6" s="142"/>
      <c r="D6" s="142" t="s">
        <v>118</v>
      </c>
      <c r="E6" s="147">
        <v>67</v>
      </c>
      <c r="F6" s="144"/>
      <c r="G6" s="144"/>
      <c r="H6" s="144"/>
      <c r="J6" s="134" t="s">
        <v>119</v>
      </c>
    </row>
    <row r="7" spans="1:13" ht="15" customHeight="1" thickBot="1" x14ac:dyDescent="0.25">
      <c r="A7" s="148"/>
      <c r="B7" s="149"/>
      <c r="C7" s="149"/>
      <c r="D7" s="149"/>
      <c r="E7" s="150" t="s">
        <v>120</v>
      </c>
      <c r="F7" s="144"/>
      <c r="G7" s="151"/>
      <c r="H7" s="152" t="s">
        <v>121</v>
      </c>
      <c r="J7" s="134" t="s">
        <v>122</v>
      </c>
    </row>
    <row r="8" spans="1:13" ht="15" customHeight="1" x14ac:dyDescent="0.2">
      <c r="A8" s="141"/>
      <c r="B8" s="142"/>
      <c r="C8" s="142"/>
      <c r="D8" s="142" t="s">
        <v>123</v>
      </c>
      <c r="E8" s="153">
        <v>954.6</v>
      </c>
      <c r="F8" s="144"/>
      <c r="G8" s="145" t="str">
        <f>"Estimated Value After "&amp;H5&amp;" Years"</f>
        <v>Estimated Value After 36 Years</v>
      </c>
      <c r="H8" s="154">
        <f ca="1">OFFSET(H32,H5+1,0,1,1)</f>
        <v>2124875.6750352192</v>
      </c>
    </row>
    <row r="9" spans="1:13" ht="15" customHeight="1" x14ac:dyDescent="0.2">
      <c r="A9" s="141"/>
      <c r="B9" s="142"/>
      <c r="C9" s="142"/>
      <c r="D9" s="142" t="s">
        <v>124</v>
      </c>
      <c r="E9" s="155">
        <f>'Earnings Projection'!H10</f>
        <v>81200</v>
      </c>
      <c r="F9" s="144"/>
      <c r="G9" s="145" t="s">
        <v>125</v>
      </c>
      <c r="H9" s="154">
        <f ca="1">OFFSET(D32,H5+1,0,1,1)</f>
        <v>162391.03167619146</v>
      </c>
    </row>
    <row r="10" spans="1:13" ht="15" customHeight="1" x14ac:dyDescent="0.25">
      <c r="A10" s="141"/>
      <c r="B10" s="142"/>
      <c r="C10" s="142"/>
      <c r="D10" s="142" t="s">
        <v>126</v>
      </c>
      <c r="E10" s="156">
        <v>0.02</v>
      </c>
      <c r="F10" s="144"/>
      <c r="G10" s="144"/>
      <c r="H10" s="144"/>
      <c r="J10" s="157" t="s">
        <v>127</v>
      </c>
    </row>
    <row r="11" spans="1:13" ht="15" customHeight="1" thickBot="1" x14ac:dyDescent="0.25">
      <c r="A11" s="148"/>
      <c r="B11" s="149"/>
      <c r="C11" s="149"/>
      <c r="D11" s="149"/>
      <c r="E11" s="150" t="s">
        <v>128</v>
      </c>
      <c r="F11" s="144"/>
      <c r="G11" s="151"/>
      <c r="H11" s="152" t="s">
        <v>129</v>
      </c>
      <c r="J11" s="134" t="s">
        <v>130</v>
      </c>
    </row>
    <row r="12" spans="1:13" ht="15" customHeight="1" x14ac:dyDescent="0.25">
      <c r="A12" s="141"/>
      <c r="B12" s="142"/>
      <c r="C12" s="142"/>
      <c r="D12" s="142" t="s">
        <v>131</v>
      </c>
      <c r="E12" s="158">
        <v>0.12</v>
      </c>
      <c r="F12" s="144"/>
      <c r="G12" s="145" t="s">
        <v>132</v>
      </c>
      <c r="H12" s="154">
        <f ca="1">IF(H5&gt;0,SUM(OFFSET(E32,2,0,H5,1)),0)</f>
        <v>506633.11385829118</v>
      </c>
      <c r="J12" s="134" t="s">
        <v>133</v>
      </c>
    </row>
    <row r="13" spans="1:13" ht="15" customHeight="1" x14ac:dyDescent="0.25">
      <c r="A13" s="141"/>
      <c r="B13" s="142"/>
      <c r="C13" s="142"/>
      <c r="D13" s="159" t="s">
        <v>134</v>
      </c>
      <c r="E13" s="156">
        <v>0.5</v>
      </c>
      <c r="F13" s="144"/>
      <c r="G13" s="145" t="s">
        <v>135</v>
      </c>
      <c r="H13" s="154">
        <f ca="1">IF(H5&gt;0,SUM(OFFSET(F32,2,0,H5,1)),0)</f>
        <v>168877.70461943047</v>
      </c>
      <c r="J13" s="134" t="s">
        <v>136</v>
      </c>
    </row>
    <row r="14" spans="1:13" ht="15" customHeight="1" x14ac:dyDescent="0.25">
      <c r="A14" s="141"/>
      <c r="B14" s="142"/>
      <c r="C14" s="142"/>
      <c r="D14" s="159" t="s">
        <v>137</v>
      </c>
      <c r="E14" s="156">
        <v>0.08</v>
      </c>
      <c r="F14" s="160"/>
      <c r="G14" s="145" t="s">
        <v>129</v>
      </c>
      <c r="H14" s="154">
        <f ca="1">H13+H12</f>
        <v>675510.81847772165</v>
      </c>
      <c r="J14" s="134" t="s">
        <v>138</v>
      </c>
    </row>
    <row r="15" spans="1:13" ht="15" customHeight="1" x14ac:dyDescent="0.2">
      <c r="A15" s="141"/>
      <c r="B15" s="142"/>
      <c r="C15" s="142"/>
      <c r="D15" s="142"/>
      <c r="E15" s="161" t="str">
        <f>IF(H5&gt;0,IF(E34&gt;16500,"Warning: Annual Contribution Over $16,500 Limit"," . ")," . ")</f>
        <v xml:space="preserve"> . </v>
      </c>
      <c r="F15" s="144"/>
      <c r="G15" s="160"/>
      <c r="H15" s="145"/>
      <c r="J15" s="134" t="s">
        <v>139</v>
      </c>
    </row>
    <row r="16" spans="1:13" ht="15" customHeight="1" thickBot="1" x14ac:dyDescent="0.25">
      <c r="A16" s="148"/>
      <c r="B16" s="149"/>
      <c r="C16" s="149"/>
      <c r="D16" s="149"/>
      <c r="E16" s="150" t="s">
        <v>140</v>
      </c>
      <c r="F16" s="144"/>
      <c r="G16" s="144"/>
      <c r="H16" s="144"/>
    </row>
    <row r="17" spans="1:11" ht="15" customHeight="1" x14ac:dyDescent="0.25">
      <c r="A17" s="141"/>
      <c r="B17" s="142"/>
      <c r="C17" s="142"/>
      <c r="D17" s="142" t="s">
        <v>141</v>
      </c>
      <c r="E17" s="158">
        <v>0.06</v>
      </c>
      <c r="F17" s="144"/>
      <c r="G17" s="144"/>
      <c r="H17" s="144"/>
    </row>
    <row r="18" spans="1:11" ht="15" customHeight="1" x14ac:dyDescent="0.25">
      <c r="A18" s="141"/>
      <c r="B18" s="141"/>
      <c r="C18" s="141"/>
      <c r="D18" s="142" t="s">
        <v>142</v>
      </c>
      <c r="E18" s="147">
        <v>26</v>
      </c>
      <c r="F18" s="144"/>
      <c r="G18" s="144"/>
      <c r="H18" s="144"/>
    </row>
    <row r="19" spans="1:11" x14ac:dyDescent="0.2">
      <c r="A19" s="141"/>
      <c r="B19" s="141"/>
      <c r="C19" s="141"/>
      <c r="D19" s="141"/>
      <c r="E19" s="141"/>
      <c r="F19" s="144"/>
      <c r="G19" s="160"/>
      <c r="H19" s="144"/>
    </row>
    <row r="20" spans="1:11" x14ac:dyDescent="0.2">
      <c r="G20" s="162"/>
      <c r="H20" s="163"/>
    </row>
    <row r="21" spans="1:11" x14ac:dyDescent="0.2">
      <c r="G21" s="163"/>
      <c r="H21" s="164" t="b">
        <f>(H22="On")</f>
        <v>0</v>
      </c>
    </row>
    <row r="22" spans="1:11" ht="15" customHeight="1" x14ac:dyDescent="0.2">
      <c r="C22" s="165" t="s">
        <v>143</v>
      </c>
      <c r="G22" s="166" t="s">
        <v>144</v>
      </c>
      <c r="H22" s="167" t="s">
        <v>145</v>
      </c>
      <c r="J22" s="134" t="str">
        <f>IF(H22="On","Press F9 to recalculate.",".")</f>
        <v>.</v>
      </c>
    </row>
    <row r="23" spans="1:11" ht="15" customHeight="1" x14ac:dyDescent="0.2">
      <c r="G23" s="166" t="s">
        <v>146</v>
      </c>
      <c r="H23" s="168">
        <v>-0.04</v>
      </c>
    </row>
    <row r="24" spans="1:11" ht="15" customHeight="1" x14ac:dyDescent="0.2">
      <c r="G24" s="166" t="s">
        <v>147</v>
      </c>
      <c r="H24" s="168">
        <v>0.1</v>
      </c>
    </row>
    <row r="25" spans="1:11" ht="15" customHeight="1" x14ac:dyDescent="0.2">
      <c r="G25" s="166" t="s">
        <v>148</v>
      </c>
      <c r="H25" s="169">
        <f ca="1">IF(H5&gt;0,AVERAGE(OFFSET(C32,2,0,H5,1)),0)</f>
        <v>6.0000000000000039E-2</v>
      </c>
    </row>
    <row r="26" spans="1:11" x14ac:dyDescent="0.2">
      <c r="G26" s="162"/>
      <c r="H26" s="170" t="s">
        <v>149</v>
      </c>
    </row>
    <row r="27" spans="1:11" x14ac:dyDescent="0.2">
      <c r="G27" s="162"/>
      <c r="H27" s="163"/>
    </row>
    <row r="28" spans="1:11" x14ac:dyDescent="0.2">
      <c r="G28" s="162"/>
      <c r="H28" s="163"/>
    </row>
    <row r="29" spans="1:11" x14ac:dyDescent="0.2">
      <c r="G29" s="162"/>
      <c r="H29" s="163"/>
    </row>
    <row r="30" spans="1:11" x14ac:dyDescent="0.2">
      <c r="G30" s="162"/>
      <c r="H30" s="163"/>
    </row>
    <row r="31" spans="1:11" x14ac:dyDescent="0.2">
      <c r="G31" s="162"/>
      <c r="H31" s="171" t="s">
        <v>143</v>
      </c>
    </row>
    <row r="32" spans="1:11" ht="39" thickBot="1" x14ac:dyDescent="0.25">
      <c r="A32" s="172" t="s">
        <v>27</v>
      </c>
      <c r="B32" s="172" t="s">
        <v>26</v>
      </c>
      <c r="C32" s="172" t="s">
        <v>150</v>
      </c>
      <c r="D32" s="172" t="s">
        <v>151</v>
      </c>
      <c r="E32" s="172" t="s">
        <v>152</v>
      </c>
      <c r="F32" s="172" t="s">
        <v>153</v>
      </c>
      <c r="G32" s="173" t="s">
        <v>154</v>
      </c>
      <c r="H32" s="173" t="s">
        <v>155</v>
      </c>
      <c r="I32" s="174"/>
      <c r="J32" s="172" t="s">
        <v>156</v>
      </c>
      <c r="K32" s="172" t="s">
        <v>157</v>
      </c>
    </row>
    <row r="33" spans="1:11" ht="15" customHeight="1" x14ac:dyDescent="0.2">
      <c r="A33" s="175"/>
      <c r="B33" s="175"/>
      <c r="C33" s="175"/>
      <c r="D33" s="176"/>
      <c r="E33" s="177">
        <v>0</v>
      </c>
      <c r="F33" s="177"/>
      <c r="G33" s="175"/>
      <c r="H33" s="178">
        <f>$E$8</f>
        <v>954.6</v>
      </c>
      <c r="I33" s="163"/>
      <c r="J33" s="179"/>
      <c r="K33" s="179"/>
    </row>
    <row r="34" spans="1:11" x14ac:dyDescent="0.2">
      <c r="A34" s="180">
        <f>IF(A33&lt;$H$5,A33+1,NA())</f>
        <v>1</v>
      </c>
      <c r="B34" s="180">
        <f>IF(ISERROR(A34),NA(),$E$5+A34-1)</f>
        <v>31</v>
      </c>
      <c r="C34" s="181">
        <f t="shared" ref="C34:C65" ca="1" si="0">IF(ISERROR(A34),NA(),IF(randrate,$H$23+RAND()*($H$24-$H$23),$E$17))</f>
        <v>0.06</v>
      </c>
      <c r="D34" s="182">
        <f>E9</f>
        <v>81200</v>
      </c>
      <c r="E34" s="183">
        <f>IF(ISERROR(A34),NA(),IF(A34&lt;=$H$5,$E$12*D34,0))</f>
        <v>9744</v>
      </c>
      <c r="F34" s="183">
        <f>IF(ISERROR(A34),NA(),IF(A34&lt;=$H$5,MIN($E$13*E34,$E$14*$E$13*D34),0))</f>
        <v>3248</v>
      </c>
      <c r="G34" s="184">
        <f t="shared" ref="G34:G65" ca="1" si="1">IF(ISERROR(A34),NA(),FV(C34/nper,nper,-(E34+F34)/nper,-H33)-(H33+E34+F34))</f>
        <v>440.73989768931096</v>
      </c>
      <c r="H34" s="184">
        <f ca="1">IF(ISERROR(A34),NA(),H33+E34+F34+G34)</f>
        <v>14387.339897689311</v>
      </c>
      <c r="I34" s="163"/>
      <c r="J34" s="183">
        <f>IF(ISERROR(A34),NA(),SUM(E$33:E34))</f>
        <v>9744</v>
      </c>
      <c r="K34" s="183">
        <f>IF(ISERROR(A34),NA(),SUM(E$33:F34))</f>
        <v>12992</v>
      </c>
    </row>
    <row r="35" spans="1:11" x14ac:dyDescent="0.2">
      <c r="A35" s="180">
        <f>IF(A34&lt;$H$5,A34+1,NA())</f>
        <v>2</v>
      </c>
      <c r="B35" s="180">
        <f t="shared" ref="B35:B93" si="2">IF(ISERROR(A35),NA(),$E$5+A35-1)</f>
        <v>32</v>
      </c>
      <c r="C35" s="181">
        <f t="shared" ca="1" si="0"/>
        <v>0.06</v>
      </c>
      <c r="D35" s="183">
        <f>IF(ISERROR(A35),NA(),IF(A35&lt;=$H$5,(1+$E$10)*D34,0))</f>
        <v>82824</v>
      </c>
      <c r="E35" s="183">
        <f t="shared" ref="E35:E93" si="3">IF(ISERROR(A35),NA(),IF(A35&lt;=$H$5,$E$12*D35,0))</f>
        <v>9938.8799999999992</v>
      </c>
      <c r="F35" s="183">
        <f t="shared" ref="F35:F93" si="4">IF(ISERROR(A35),NA(),IF(A35&lt;=$H$5,MIN($E$13*E35,$E$14*$E$13*D35),0))</f>
        <v>3312.96</v>
      </c>
      <c r="G35" s="184">
        <f t="shared" ca="1" si="1"/>
        <v>1278.0238457576997</v>
      </c>
      <c r="H35" s="184">
        <f t="shared" ref="H35:H93" ca="1" si="5">IF(ISERROR(A35),NA(),H34+E35+F35+G35)</f>
        <v>28917.203743447011</v>
      </c>
      <c r="I35" s="163"/>
      <c r="J35" s="183">
        <f>IF(ISERROR(A35),NA(),SUM(E$33:E35))</f>
        <v>19682.879999999997</v>
      </c>
      <c r="K35" s="183">
        <f>IF(ISERROR(A35),NA(),SUM(E$33:F35))</f>
        <v>26243.839999999997</v>
      </c>
    </row>
    <row r="36" spans="1:11" x14ac:dyDescent="0.2">
      <c r="A36" s="180">
        <f t="shared" ref="A36:A93" si="6">IF(A35&lt;$H$5,A35+1,NA())</f>
        <v>3</v>
      </c>
      <c r="B36" s="180">
        <f t="shared" si="2"/>
        <v>33</v>
      </c>
      <c r="C36" s="181">
        <f t="shared" ca="1" si="0"/>
        <v>0.06</v>
      </c>
      <c r="D36" s="183">
        <f t="shared" ref="D36:D93" si="7">IF(ISERROR(A36),NA(),IF(A36&lt;=$H$5,(1+$E$10)*D35,0))</f>
        <v>84480.48</v>
      </c>
      <c r="E36" s="183">
        <f t="shared" si="3"/>
        <v>10137.657599999999</v>
      </c>
      <c r="F36" s="183">
        <f t="shared" si="4"/>
        <v>3379.2192</v>
      </c>
      <c r="G36" s="184">
        <f t="shared" ca="1" si="1"/>
        <v>2183.2223373593224</v>
      </c>
      <c r="H36" s="184">
        <f t="shared" ca="1" si="5"/>
        <v>44617.302880806332</v>
      </c>
      <c r="I36" s="163"/>
      <c r="J36" s="183">
        <f>IF(ISERROR(A36),NA(),SUM(E$33:E36))</f>
        <v>29820.537599999996</v>
      </c>
      <c r="K36" s="183">
        <f>IF(ISERROR(A36),NA(),SUM(E$33:F36))</f>
        <v>39760.716799999995</v>
      </c>
    </row>
    <row r="37" spans="1:11" x14ac:dyDescent="0.2">
      <c r="A37" s="180">
        <f t="shared" si="6"/>
        <v>4</v>
      </c>
      <c r="B37" s="180">
        <f t="shared" si="2"/>
        <v>34</v>
      </c>
      <c r="C37" s="181">
        <f t="shared" ca="1" si="0"/>
        <v>0.06</v>
      </c>
      <c r="D37" s="183">
        <f t="shared" si="7"/>
        <v>86170.089599999992</v>
      </c>
      <c r="E37" s="183">
        <f t="shared" si="3"/>
        <v>10340.410751999998</v>
      </c>
      <c r="F37" s="183">
        <f t="shared" si="4"/>
        <v>3446.8035839999998</v>
      </c>
      <c r="G37" s="184">
        <f t="shared" ca="1" si="1"/>
        <v>3160.8540136340307</v>
      </c>
      <c r="H37" s="184">
        <f t="shared" ca="1" si="5"/>
        <v>61565.37123044036</v>
      </c>
      <c r="I37" s="163"/>
      <c r="J37" s="183">
        <f>IF(ISERROR(A37),NA(),SUM(E$33:E37))</f>
        <v>40160.948351999992</v>
      </c>
      <c r="K37" s="183">
        <f>IF(ISERROR(A37),NA(),SUM(E$33:F37))</f>
        <v>53547.931135999992</v>
      </c>
    </row>
    <row r="38" spans="1:11" x14ac:dyDescent="0.2">
      <c r="A38" s="180">
        <f t="shared" si="6"/>
        <v>5</v>
      </c>
      <c r="B38" s="180">
        <f t="shared" si="2"/>
        <v>35</v>
      </c>
      <c r="C38" s="181">
        <f t="shared" ca="1" si="0"/>
        <v>0.06</v>
      </c>
      <c r="D38" s="183">
        <f t="shared" si="7"/>
        <v>87893.491391999996</v>
      </c>
      <c r="E38" s="183">
        <f t="shared" si="3"/>
        <v>10547.218967039998</v>
      </c>
      <c r="F38" s="183">
        <f t="shared" si="4"/>
        <v>3515.7396556799999</v>
      </c>
      <c r="G38" s="184">
        <f t="shared" ca="1" si="1"/>
        <v>4215.7230817329109</v>
      </c>
      <c r="H38" s="184">
        <f t="shared" ca="1" si="5"/>
        <v>79844.052934893261</v>
      </c>
      <c r="I38" s="163"/>
      <c r="J38" s="183">
        <f>IF(ISERROR(A38),NA(),SUM(E$33:E38))</f>
        <v>50708.167319039989</v>
      </c>
      <c r="K38" s="183">
        <f>IF(ISERROR(A38),NA(),SUM(E$33:F38))</f>
        <v>67610.88975871999</v>
      </c>
    </row>
    <row r="39" spans="1:11" x14ac:dyDescent="0.2">
      <c r="A39" s="180">
        <f t="shared" si="6"/>
        <v>6</v>
      </c>
      <c r="B39" s="180">
        <f t="shared" si="2"/>
        <v>36</v>
      </c>
      <c r="C39" s="181">
        <f t="shared" ca="1" si="0"/>
        <v>0.06</v>
      </c>
      <c r="D39" s="183">
        <f t="shared" si="7"/>
        <v>89651.361219839993</v>
      </c>
      <c r="E39" s="183">
        <f t="shared" si="3"/>
        <v>10758.163346380799</v>
      </c>
      <c r="F39" s="183">
        <f t="shared" si="4"/>
        <v>3586.0544487935999</v>
      </c>
      <c r="G39" s="184">
        <f t="shared" ca="1" si="1"/>
        <v>5352.9370818846655</v>
      </c>
      <c r="H39" s="184">
        <f t="shared" ca="1" si="5"/>
        <v>99541.207811952321</v>
      </c>
      <c r="I39" s="163"/>
      <c r="J39" s="183">
        <f>IF(ISERROR(A39),NA(),SUM(E$33:E39))</f>
        <v>61466.330665420784</v>
      </c>
      <c r="K39" s="183">
        <f>IF(ISERROR(A39),NA(),SUM(E$33:F39))</f>
        <v>81955.107553894384</v>
      </c>
    </row>
    <row r="40" spans="1:11" x14ac:dyDescent="0.2">
      <c r="A40" s="180">
        <f t="shared" si="6"/>
        <v>7</v>
      </c>
      <c r="B40" s="180">
        <f t="shared" si="2"/>
        <v>37</v>
      </c>
      <c r="C40" s="181">
        <f t="shared" ca="1" si="0"/>
        <v>0.06</v>
      </c>
      <c r="D40" s="183">
        <f t="shared" si="7"/>
        <v>91444.3884442368</v>
      </c>
      <c r="E40" s="183">
        <f t="shared" si="3"/>
        <v>10973.326613308416</v>
      </c>
      <c r="F40" s="183">
        <f t="shared" si="4"/>
        <v>3657.7755377694721</v>
      </c>
      <c r="G40" s="184">
        <f t="shared" ca="1" si="1"/>
        <v>6577.9257544043503</v>
      </c>
      <c r="H40" s="184">
        <f t="shared" ca="1" si="5"/>
        <v>120750.23571743455</v>
      </c>
      <c r="I40" s="163"/>
      <c r="J40" s="183">
        <f>IF(ISERROR(A40),NA(),SUM(E$33:E40))</f>
        <v>72439.657278729195</v>
      </c>
      <c r="K40" s="183">
        <f>IF(ISERROR(A40),NA(),SUM(E$33:F40))</f>
        <v>96586.209704972265</v>
      </c>
    </row>
    <row r="41" spans="1:11" x14ac:dyDescent="0.2">
      <c r="A41" s="180">
        <f t="shared" si="6"/>
        <v>8</v>
      </c>
      <c r="B41" s="180">
        <f t="shared" si="2"/>
        <v>38</v>
      </c>
      <c r="C41" s="181">
        <f t="shared" ca="1" si="0"/>
        <v>0.06</v>
      </c>
      <c r="D41" s="183">
        <f t="shared" si="7"/>
        <v>93273.276213121542</v>
      </c>
      <c r="E41" s="183">
        <f t="shared" si="3"/>
        <v>11192.793145574584</v>
      </c>
      <c r="F41" s="183">
        <f t="shared" si="4"/>
        <v>3730.9310485248616</v>
      </c>
      <c r="G41" s="184">
        <f t="shared" ca="1" si="1"/>
        <v>7896.461074631894</v>
      </c>
      <c r="H41" s="184">
        <f t="shared" ca="1" si="5"/>
        <v>143570.42098616587</v>
      </c>
      <c r="I41" s="163"/>
      <c r="J41" s="183">
        <f>IF(ISERROR(A41),NA(),SUM(E$33:E41))</f>
        <v>83632.450424303781</v>
      </c>
      <c r="K41" s="183">
        <f>IF(ISERROR(A41),NA(),SUM(E$33:F41))</f>
        <v>111509.93389907171</v>
      </c>
    </row>
    <row r="42" spans="1:11" x14ac:dyDescent="0.2">
      <c r="A42" s="180">
        <f t="shared" si="6"/>
        <v>9</v>
      </c>
      <c r="B42" s="180">
        <f t="shared" si="2"/>
        <v>39</v>
      </c>
      <c r="C42" s="181">
        <f t="shared" ca="1" si="0"/>
        <v>0.06</v>
      </c>
      <c r="D42" s="183">
        <f t="shared" si="7"/>
        <v>95138.741737383971</v>
      </c>
      <c r="E42" s="183">
        <f t="shared" si="3"/>
        <v>11416.649008486076</v>
      </c>
      <c r="F42" s="183">
        <f t="shared" si="4"/>
        <v>3805.549669495359</v>
      </c>
      <c r="G42" s="184">
        <f t="shared" ca="1" si="1"/>
        <v>9314.6785279884934</v>
      </c>
      <c r="H42" s="184">
        <f t="shared" ca="1" si="5"/>
        <v>168107.29819213579</v>
      </c>
      <c r="I42" s="163"/>
      <c r="J42" s="183">
        <f>IF(ISERROR(A42),NA(),SUM(E$33:E42))</f>
        <v>95049.099432789852</v>
      </c>
      <c r="K42" s="183">
        <f>IF(ISERROR(A42),NA(),SUM(E$33:F42))</f>
        <v>126732.13257705314</v>
      </c>
    </row>
    <row r="43" spans="1:11" x14ac:dyDescent="0.2">
      <c r="A43" s="180">
        <f t="shared" si="6"/>
        <v>10</v>
      </c>
      <c r="B43" s="180">
        <f t="shared" si="2"/>
        <v>40</v>
      </c>
      <c r="C43" s="181">
        <f t="shared" ca="1" si="0"/>
        <v>0.06</v>
      </c>
      <c r="D43" s="183">
        <f t="shared" si="7"/>
        <v>97041.516572131659</v>
      </c>
      <c r="E43" s="183">
        <f t="shared" si="3"/>
        <v>11644.981988655798</v>
      </c>
      <c r="F43" s="183">
        <f t="shared" si="4"/>
        <v>3881.6606628852664</v>
      </c>
      <c r="G43" s="184">
        <f t="shared" ca="1" si="1"/>
        <v>10839.099701798346</v>
      </c>
      <c r="H43" s="184">
        <f t="shared" ca="1" si="5"/>
        <v>194473.0405454752</v>
      </c>
      <c r="I43" s="163"/>
      <c r="J43" s="183">
        <f>IF(ISERROR(A43),NA(),SUM(E$33:E43))</f>
        <v>106694.08142144565</v>
      </c>
      <c r="K43" s="183">
        <f>IF(ISERROR(A43),NA(),SUM(E$33:F43))</f>
        <v>142258.7752285942</v>
      </c>
    </row>
    <row r="44" spans="1:11" x14ac:dyDescent="0.2">
      <c r="A44" s="180">
        <f t="shared" si="6"/>
        <v>11</v>
      </c>
      <c r="B44" s="180">
        <f t="shared" si="2"/>
        <v>41</v>
      </c>
      <c r="C44" s="181">
        <f t="shared" ca="1" si="0"/>
        <v>0.06</v>
      </c>
      <c r="D44" s="183">
        <f t="shared" si="7"/>
        <v>98982.346903574289</v>
      </c>
      <c r="E44" s="183">
        <f t="shared" si="3"/>
        <v>11877.881628428915</v>
      </c>
      <c r="F44" s="183">
        <f t="shared" si="4"/>
        <v>3959.2938761429718</v>
      </c>
      <c r="G44" s="184">
        <f t="shared" ca="1" si="1"/>
        <v>12476.656275258661</v>
      </c>
      <c r="H44" s="184">
        <f t="shared" ca="1" si="5"/>
        <v>222786.87232530574</v>
      </c>
      <c r="I44" s="163"/>
      <c r="J44" s="183">
        <f>IF(ISERROR(A44),NA(),SUM(E$33:E44))</f>
        <v>118571.96304987457</v>
      </c>
      <c r="K44" s="183">
        <f>IF(ISERROR(A44),NA(),SUM(E$33:F44))</f>
        <v>158095.95073316607</v>
      </c>
    </row>
    <row r="45" spans="1:11" x14ac:dyDescent="0.2">
      <c r="A45" s="180">
        <f t="shared" si="6"/>
        <v>12</v>
      </c>
      <c r="B45" s="180">
        <f t="shared" si="2"/>
        <v>42</v>
      </c>
      <c r="C45" s="181">
        <f t="shared" ca="1" si="0"/>
        <v>0.06</v>
      </c>
      <c r="D45" s="183">
        <f t="shared" si="7"/>
        <v>100961.99384164577</v>
      </c>
      <c r="E45" s="183">
        <f t="shared" si="3"/>
        <v>12115.439260997493</v>
      </c>
      <c r="F45" s="183">
        <f t="shared" si="4"/>
        <v>4038.4797536658311</v>
      </c>
      <c r="G45" s="184">
        <f t="shared" ca="1" si="1"/>
        <v>14234.715493967116</v>
      </c>
      <c r="H45" s="184">
        <f t="shared" ca="1" si="5"/>
        <v>253175.50683393618</v>
      </c>
      <c r="I45" s="163"/>
      <c r="J45" s="183">
        <f>IF(ISERROR(A45),NA(),SUM(E$33:E45))</f>
        <v>130687.40231087206</v>
      </c>
      <c r="K45" s="183">
        <f>IF(ISERROR(A45),NA(),SUM(E$33:F45))</f>
        <v>174249.86974782939</v>
      </c>
    </row>
    <row r="46" spans="1:11" x14ac:dyDescent="0.2">
      <c r="A46" s="180">
        <f t="shared" si="6"/>
        <v>13</v>
      </c>
      <c r="B46" s="180">
        <f t="shared" si="2"/>
        <v>43</v>
      </c>
      <c r="C46" s="181">
        <f t="shared" ca="1" si="0"/>
        <v>0.06</v>
      </c>
      <c r="D46" s="183">
        <f t="shared" si="7"/>
        <v>102981.23371847869</v>
      </c>
      <c r="E46" s="183">
        <f t="shared" si="3"/>
        <v>12357.748046217443</v>
      </c>
      <c r="F46" s="183">
        <f t="shared" si="4"/>
        <v>4119.2493487391475</v>
      </c>
      <c r="G46" s="184">
        <f t="shared" ca="1" si="1"/>
        <v>16121.107220756297</v>
      </c>
      <c r="H46" s="184">
        <f t="shared" ca="1" si="5"/>
        <v>285773.61144964909</v>
      </c>
      <c r="I46" s="163"/>
      <c r="J46" s="183">
        <f>IF(ISERROR(A46),NA(),SUM(E$33:E46))</f>
        <v>143045.1503570895</v>
      </c>
      <c r="K46" s="183">
        <f>IF(ISERROR(A46),NA(),SUM(E$33:F46))</f>
        <v>190726.86714278598</v>
      </c>
    </row>
    <row r="47" spans="1:11" x14ac:dyDescent="0.2">
      <c r="A47" s="180">
        <f t="shared" si="6"/>
        <v>14</v>
      </c>
      <c r="B47" s="180">
        <f t="shared" si="2"/>
        <v>44</v>
      </c>
      <c r="C47" s="181">
        <f t="shared" ca="1" si="0"/>
        <v>0.06</v>
      </c>
      <c r="D47" s="183">
        <f t="shared" si="7"/>
        <v>105040.85839284827</v>
      </c>
      <c r="E47" s="183">
        <f t="shared" si="3"/>
        <v>12604.903007141791</v>
      </c>
      <c r="F47" s="183">
        <f t="shared" si="4"/>
        <v>4201.6343357139313</v>
      </c>
      <c r="G47" s="184">
        <f t="shared" ca="1" si="1"/>
        <v>18144.152660250256</v>
      </c>
      <c r="H47" s="184">
        <f t="shared" ca="1" si="5"/>
        <v>320724.30145275505</v>
      </c>
      <c r="I47" s="163"/>
      <c r="J47" s="183">
        <f>IF(ISERROR(A47),NA(),SUM(E$33:E47))</f>
        <v>155650.05336423128</v>
      </c>
      <c r="K47" s="183">
        <f>IF(ISERROR(A47),NA(),SUM(E$33:F47))</f>
        <v>207533.40448564169</v>
      </c>
    </row>
    <row r="48" spans="1:11" x14ac:dyDescent="0.2">
      <c r="A48" s="180">
        <f t="shared" si="6"/>
        <v>15</v>
      </c>
      <c r="B48" s="180">
        <f t="shared" si="2"/>
        <v>45</v>
      </c>
      <c r="C48" s="181">
        <f t="shared" ca="1" si="0"/>
        <v>0.06</v>
      </c>
      <c r="D48" s="183">
        <f t="shared" si="7"/>
        <v>107141.67556070523</v>
      </c>
      <c r="E48" s="183">
        <f t="shared" si="3"/>
        <v>12857.001067284627</v>
      </c>
      <c r="F48" s="183">
        <f t="shared" si="4"/>
        <v>4285.6670224282097</v>
      </c>
      <c r="G48" s="184">
        <f t="shared" ca="1" si="1"/>
        <v>20312.694860577176</v>
      </c>
      <c r="H48" s="184">
        <f t="shared" ca="1" si="5"/>
        <v>358179.66440304503</v>
      </c>
      <c r="I48" s="163"/>
      <c r="J48" s="183">
        <f>IF(ISERROR(A48),NA(),SUM(E$33:E48))</f>
        <v>168507.05443151592</v>
      </c>
      <c r="K48" s="183">
        <f>IF(ISERROR(A48),NA(),SUM(E$33:F48))</f>
        <v>224676.07257535454</v>
      </c>
    </row>
    <row r="49" spans="1:11" x14ac:dyDescent="0.2">
      <c r="A49" s="180">
        <f t="shared" si="6"/>
        <v>16</v>
      </c>
      <c r="B49" s="180">
        <f t="shared" si="2"/>
        <v>46</v>
      </c>
      <c r="C49" s="181">
        <f t="shared" ca="1" si="0"/>
        <v>0.06</v>
      </c>
      <c r="D49" s="183">
        <f t="shared" si="7"/>
        <v>109284.50907191934</v>
      </c>
      <c r="E49" s="183">
        <f t="shared" si="3"/>
        <v>13114.14108863032</v>
      </c>
      <c r="F49" s="183">
        <f t="shared" si="4"/>
        <v>4371.3803628767737</v>
      </c>
      <c r="G49" s="184">
        <f t="shared" ca="1" si="1"/>
        <v>22636.131102061947</v>
      </c>
      <c r="H49" s="184">
        <f t="shared" ca="1" si="5"/>
        <v>398301.31695661403</v>
      </c>
      <c r="I49" s="163"/>
      <c r="J49" s="183">
        <f>IF(ISERROR(A49),NA(),SUM(E$33:E49))</f>
        <v>181621.19552014623</v>
      </c>
      <c r="K49" s="183">
        <f>IF(ISERROR(A49),NA(),SUM(E$33:F49))</f>
        <v>242161.59402686163</v>
      </c>
    </row>
    <row r="50" spans="1:11" x14ac:dyDescent="0.2">
      <c r="A50" s="180">
        <f t="shared" si="6"/>
        <v>17</v>
      </c>
      <c r="B50" s="180">
        <f t="shared" si="2"/>
        <v>47</v>
      </c>
      <c r="C50" s="181">
        <f t="shared" ca="1" si="0"/>
        <v>0.06</v>
      </c>
      <c r="D50" s="183">
        <f t="shared" si="7"/>
        <v>111470.19925335773</v>
      </c>
      <c r="E50" s="183">
        <f t="shared" si="3"/>
        <v>13376.423910402928</v>
      </c>
      <c r="F50" s="183">
        <f t="shared" si="4"/>
        <v>4458.8079701343095</v>
      </c>
      <c r="G50" s="184">
        <f t="shared" ca="1" si="1"/>
        <v>25124.447289506497</v>
      </c>
      <c r="H50" s="184">
        <f t="shared" ca="1" si="5"/>
        <v>441260.99612665776</v>
      </c>
      <c r="I50" s="163"/>
      <c r="J50" s="183">
        <f>IF(ISERROR(A50),NA(),SUM(E$33:E50))</f>
        <v>194997.61943054915</v>
      </c>
      <c r="K50" s="183">
        <f>IF(ISERROR(A50),NA(),SUM(E$33:F50))</f>
        <v>259996.82590739886</v>
      </c>
    </row>
    <row r="51" spans="1:11" x14ac:dyDescent="0.2">
      <c r="A51" s="180">
        <f t="shared" si="6"/>
        <v>18</v>
      </c>
      <c r="B51" s="180">
        <f t="shared" si="2"/>
        <v>48</v>
      </c>
      <c r="C51" s="181">
        <f t="shared" ca="1" si="0"/>
        <v>0.06</v>
      </c>
      <c r="D51" s="183">
        <f t="shared" si="7"/>
        <v>113699.60323842488</v>
      </c>
      <c r="E51" s="183">
        <f t="shared" si="3"/>
        <v>13643.952388610986</v>
      </c>
      <c r="F51" s="183">
        <f t="shared" si="4"/>
        <v>4547.9841295369952</v>
      </c>
      <c r="G51" s="184">
        <f t="shared" ca="1" si="1"/>
        <v>27788.254471868509</v>
      </c>
      <c r="H51" s="184">
        <f t="shared" ca="1" si="5"/>
        <v>487241.18711667426</v>
      </c>
      <c r="I51" s="163"/>
      <c r="J51" s="183">
        <f>IF(ISERROR(A51),NA(),SUM(E$33:E51))</f>
        <v>208641.57181916013</v>
      </c>
      <c r="K51" s="183">
        <f>IF(ISERROR(A51),NA(),SUM(E$33:F51))</f>
        <v>278188.76242554688</v>
      </c>
    </row>
    <row r="52" spans="1:11" x14ac:dyDescent="0.2">
      <c r="A52" s="180">
        <f t="shared" si="6"/>
        <v>19</v>
      </c>
      <c r="B52" s="180">
        <f t="shared" si="2"/>
        <v>49</v>
      </c>
      <c r="C52" s="181">
        <f t="shared" ca="1" si="0"/>
        <v>0.06</v>
      </c>
      <c r="D52" s="183">
        <f t="shared" si="7"/>
        <v>115973.59530319339</v>
      </c>
      <c r="E52" s="183">
        <f t="shared" si="3"/>
        <v>13916.831436383207</v>
      </c>
      <c r="F52" s="183">
        <f t="shared" si="4"/>
        <v>4638.9438121277353</v>
      </c>
      <c r="G52" s="184">
        <f t="shared" ca="1" si="1"/>
        <v>30638.827620798198</v>
      </c>
      <c r="H52" s="184">
        <f t="shared" ca="1" si="5"/>
        <v>536435.7899859834</v>
      </c>
      <c r="I52" s="163"/>
      <c r="J52" s="183">
        <f>IF(ISERROR(A52),NA(),SUM(E$33:E52))</f>
        <v>222558.40325554335</v>
      </c>
      <c r="K52" s="183">
        <f>IF(ISERROR(A52),NA(),SUM(E$33:F52))</f>
        <v>296744.53767405782</v>
      </c>
    </row>
    <row r="53" spans="1:11" x14ac:dyDescent="0.2">
      <c r="A53" s="180">
        <f t="shared" si="6"/>
        <v>20</v>
      </c>
      <c r="B53" s="180">
        <f t="shared" si="2"/>
        <v>50</v>
      </c>
      <c r="C53" s="181">
        <f t="shared" ca="1" si="0"/>
        <v>0.06</v>
      </c>
      <c r="D53" s="183">
        <f t="shared" si="7"/>
        <v>118293.06720925726</v>
      </c>
      <c r="E53" s="183">
        <f t="shared" si="3"/>
        <v>14195.168065110871</v>
      </c>
      <c r="F53" s="183">
        <f t="shared" si="4"/>
        <v>4731.7226883702906</v>
      </c>
      <c r="G53" s="184">
        <f t="shared" ca="1" si="1"/>
        <v>33688.146807613084</v>
      </c>
      <c r="H53" s="184">
        <f t="shared" ca="1" si="5"/>
        <v>589050.82754707767</v>
      </c>
      <c r="I53" s="163"/>
      <c r="J53" s="183">
        <f>IF(ISERROR(A53),NA(),SUM(E$33:E53))</f>
        <v>236753.57132065421</v>
      </c>
      <c r="K53" s="183">
        <f>IF(ISERROR(A53),NA(),SUM(E$33:F53))</f>
        <v>315671.42842753895</v>
      </c>
    </row>
    <row r="54" spans="1:11" x14ac:dyDescent="0.2">
      <c r="A54" s="180">
        <f t="shared" si="6"/>
        <v>21</v>
      </c>
      <c r="B54" s="180">
        <f t="shared" si="2"/>
        <v>51</v>
      </c>
      <c r="C54" s="181">
        <f t="shared" ca="1" si="0"/>
        <v>0.06</v>
      </c>
      <c r="D54" s="183">
        <f t="shared" si="7"/>
        <v>120658.92855344241</v>
      </c>
      <c r="E54" s="183">
        <f t="shared" si="3"/>
        <v>14479.071426413089</v>
      </c>
      <c r="F54" s="183">
        <f t="shared" si="4"/>
        <v>4826.3571421376964</v>
      </c>
      <c r="G54" s="184">
        <f t="shared" ca="1" si="1"/>
        <v>36948.940926911891</v>
      </c>
      <c r="H54" s="184">
        <f t="shared" ca="1" si="5"/>
        <v>645305.19704254041</v>
      </c>
      <c r="I54" s="163"/>
      <c r="J54" s="183">
        <f>IF(ISERROR(A54),NA(),SUM(E$33:E54))</f>
        <v>251232.64274706729</v>
      </c>
      <c r="K54" s="183">
        <f>IF(ISERROR(A54),NA(),SUM(E$33:F54))</f>
        <v>334976.85699608974</v>
      </c>
    </row>
    <row r="55" spans="1:11" x14ac:dyDescent="0.2">
      <c r="A55" s="180">
        <f t="shared" si="6"/>
        <v>22</v>
      </c>
      <c r="B55" s="180">
        <f t="shared" si="2"/>
        <v>52</v>
      </c>
      <c r="C55" s="181">
        <f t="shared" ca="1" si="0"/>
        <v>0.06</v>
      </c>
      <c r="D55" s="183">
        <f t="shared" si="7"/>
        <v>123072.10712451127</v>
      </c>
      <c r="E55" s="183">
        <f t="shared" si="3"/>
        <v>14768.652854941352</v>
      </c>
      <c r="F55" s="183">
        <f t="shared" si="4"/>
        <v>4922.8842849804505</v>
      </c>
      <c r="G55" s="184">
        <f t="shared" ca="1" si="1"/>
        <v>40434.734124187729</v>
      </c>
      <c r="H55" s="184">
        <f t="shared" ca="1" si="5"/>
        <v>705431.46830664994</v>
      </c>
      <c r="I55" s="163"/>
      <c r="J55" s="183">
        <f>IF(ISERROR(A55),NA(),SUM(E$33:E55))</f>
        <v>266001.29560200864</v>
      </c>
      <c r="K55" s="183">
        <f>IF(ISERROR(A55),NA(),SUM(E$33:F55))</f>
        <v>354668.3941360116</v>
      </c>
    </row>
    <row r="56" spans="1:11" x14ac:dyDescent="0.2">
      <c r="A56" s="180">
        <f t="shared" si="6"/>
        <v>23</v>
      </c>
      <c r="B56" s="180">
        <f t="shared" si="2"/>
        <v>53</v>
      </c>
      <c r="C56" s="181">
        <f t="shared" ca="1" si="0"/>
        <v>0.06</v>
      </c>
      <c r="D56" s="183">
        <f t="shared" si="7"/>
        <v>125533.54926700149</v>
      </c>
      <c r="E56" s="183">
        <f t="shared" si="3"/>
        <v>15064.025912040179</v>
      </c>
      <c r="F56" s="183">
        <f t="shared" si="4"/>
        <v>5021.3419706800596</v>
      </c>
      <c r="G56" s="184">
        <f t="shared" ca="1" si="1"/>
        <v>44159.895094511681</v>
      </c>
      <c r="H56" s="184">
        <f t="shared" ca="1" si="5"/>
        <v>769676.73128388182</v>
      </c>
      <c r="I56" s="163"/>
      <c r="J56" s="183">
        <f>IF(ISERROR(A56),NA(),SUM(E$33:E56))</f>
        <v>281065.32151404885</v>
      </c>
      <c r="K56" s="183">
        <f>IF(ISERROR(A56),NA(),SUM(E$33:F56))</f>
        <v>374753.76201873185</v>
      </c>
    </row>
    <row r="57" spans="1:11" x14ac:dyDescent="0.2">
      <c r="A57" s="180">
        <f t="shared" si="6"/>
        <v>24</v>
      </c>
      <c r="B57" s="180">
        <f t="shared" si="2"/>
        <v>54</v>
      </c>
      <c r="C57" s="181">
        <f t="shared" ca="1" si="0"/>
        <v>0.06</v>
      </c>
      <c r="D57" s="183">
        <f t="shared" si="7"/>
        <v>128044.22025234153</v>
      </c>
      <c r="E57" s="183">
        <f t="shared" si="3"/>
        <v>15365.306430280983</v>
      </c>
      <c r="F57" s="183">
        <f t="shared" si="4"/>
        <v>5121.7688100936612</v>
      </c>
      <c r="G57" s="184">
        <f t="shared" ca="1" si="1"/>
        <v>48139.689429691993</v>
      </c>
      <c r="H57" s="184">
        <f t="shared" ca="1" si="5"/>
        <v>838303.49595394847</v>
      </c>
      <c r="I57" s="163"/>
      <c r="J57" s="183">
        <f>IF(ISERROR(A57),NA(),SUM(E$33:E57))</f>
        <v>296430.62794432981</v>
      </c>
      <c r="K57" s="183">
        <f>IF(ISERROR(A57),NA(),SUM(E$33:F57))</f>
        <v>395240.83725910645</v>
      </c>
    </row>
    <row r="58" spans="1:11" x14ac:dyDescent="0.2">
      <c r="A58" s="180">
        <f t="shared" si="6"/>
        <v>25</v>
      </c>
      <c r="B58" s="180">
        <f t="shared" si="2"/>
        <v>55</v>
      </c>
      <c r="C58" s="181">
        <f t="shared" ca="1" si="0"/>
        <v>0.06</v>
      </c>
      <c r="D58" s="183">
        <f t="shared" si="7"/>
        <v>130605.10465738837</v>
      </c>
      <c r="E58" s="183">
        <f t="shared" si="3"/>
        <v>15672.612558886603</v>
      </c>
      <c r="F58" s="183">
        <f t="shared" si="4"/>
        <v>5224.2041862955348</v>
      </c>
      <c r="G58" s="184">
        <f t="shared" ca="1" si="1"/>
        <v>52390.335202258662</v>
      </c>
      <c r="H58" s="184">
        <f t="shared" ca="1" si="5"/>
        <v>911590.64790138928</v>
      </c>
      <c r="I58" s="163"/>
      <c r="J58" s="183">
        <f>IF(ISERROR(A58),NA(),SUM(E$33:E58))</f>
        <v>312103.2405032164</v>
      </c>
      <c r="K58" s="183">
        <f>IF(ISERROR(A58),NA(),SUM(E$33:F58))</f>
        <v>416137.65400428855</v>
      </c>
    </row>
    <row r="59" spans="1:11" x14ac:dyDescent="0.2">
      <c r="A59" s="180">
        <f t="shared" si="6"/>
        <v>26</v>
      </c>
      <c r="B59" s="180">
        <f t="shared" si="2"/>
        <v>56</v>
      </c>
      <c r="C59" s="181">
        <f t="shared" ca="1" si="0"/>
        <v>0.06</v>
      </c>
      <c r="D59" s="183">
        <f t="shared" si="7"/>
        <v>133217.20675053613</v>
      </c>
      <c r="E59" s="183">
        <f t="shared" si="3"/>
        <v>15986.064810064336</v>
      </c>
      <c r="F59" s="183">
        <f t="shared" si="4"/>
        <v>5328.6882700214455</v>
      </c>
      <c r="G59" s="184">
        <f t="shared" ca="1" si="1"/>
        <v>56929.061986266519</v>
      </c>
      <c r="H59" s="184">
        <f t="shared" ca="1" si="5"/>
        <v>989834.46296774165</v>
      </c>
      <c r="I59" s="163"/>
      <c r="J59" s="183">
        <f>IF(ISERROR(A59),NA(),SUM(E$33:E59))</f>
        <v>328089.30531328073</v>
      </c>
      <c r="K59" s="183">
        <f>IF(ISERROR(A59),NA(),SUM(E$33:F59))</f>
        <v>437452.40708437434</v>
      </c>
    </row>
    <row r="60" spans="1:11" x14ac:dyDescent="0.2">
      <c r="A60" s="180">
        <f t="shared" si="6"/>
        <v>27</v>
      </c>
      <c r="B60" s="180">
        <f t="shared" si="2"/>
        <v>57</v>
      </c>
      <c r="C60" s="181">
        <f t="shared" ca="1" si="0"/>
        <v>0.06</v>
      </c>
      <c r="D60" s="183">
        <f t="shared" si="7"/>
        <v>135881.55088554687</v>
      </c>
      <c r="E60" s="183">
        <f t="shared" si="3"/>
        <v>16305.786106265623</v>
      </c>
      <c r="F60" s="183">
        <f t="shared" si="4"/>
        <v>5435.2620354218743</v>
      </c>
      <c r="G60" s="184">
        <f t="shared" ca="1" si="1"/>
        <v>61774.173527262406</v>
      </c>
      <c r="H60" s="184">
        <f t="shared" ca="1" si="5"/>
        <v>1073349.6846366916</v>
      </c>
      <c r="I60" s="163"/>
      <c r="J60" s="183">
        <f>IF(ISERROR(A60),NA(),SUM(E$33:E60))</f>
        <v>344395.09141954634</v>
      </c>
      <c r="K60" s="183">
        <f>IF(ISERROR(A60),NA(),SUM(E$33:F60))</f>
        <v>459193.45522606181</v>
      </c>
    </row>
    <row r="61" spans="1:11" x14ac:dyDescent="0.2">
      <c r="A61" s="180">
        <f t="shared" si="6"/>
        <v>28</v>
      </c>
      <c r="B61" s="180">
        <f t="shared" si="2"/>
        <v>58</v>
      </c>
      <c r="C61" s="181">
        <f t="shared" ca="1" si="0"/>
        <v>0.06</v>
      </c>
      <c r="D61" s="183">
        <f t="shared" si="7"/>
        <v>138599.18190325779</v>
      </c>
      <c r="E61" s="183">
        <f t="shared" si="3"/>
        <v>16631.901828390935</v>
      </c>
      <c r="F61" s="183">
        <f t="shared" si="4"/>
        <v>5543.9672761303118</v>
      </c>
      <c r="G61" s="184">
        <f t="shared" ca="1" si="1"/>
        <v>66945.114286873722</v>
      </c>
      <c r="H61" s="184">
        <f t="shared" ca="1" si="5"/>
        <v>1162470.6680280867</v>
      </c>
      <c r="I61" s="163"/>
      <c r="J61" s="183">
        <f>IF(ISERROR(A61),NA(),SUM(E$33:E61))</f>
        <v>361026.99324793729</v>
      </c>
      <c r="K61" s="183">
        <f>IF(ISERROR(A61),NA(),SUM(E$33:F61))</f>
        <v>481369.3243305831</v>
      </c>
    </row>
    <row r="62" spans="1:11" x14ac:dyDescent="0.2">
      <c r="A62" s="180">
        <f t="shared" si="6"/>
        <v>29</v>
      </c>
      <c r="B62" s="180">
        <f t="shared" si="2"/>
        <v>59</v>
      </c>
      <c r="C62" s="181">
        <f t="shared" ca="1" si="0"/>
        <v>0.06</v>
      </c>
      <c r="D62" s="183">
        <f t="shared" si="7"/>
        <v>141371.16554132296</v>
      </c>
      <c r="E62" s="183">
        <f t="shared" si="3"/>
        <v>16964.539864958755</v>
      </c>
      <c r="F62" s="183">
        <f t="shared" si="4"/>
        <v>5654.8466216529187</v>
      </c>
      <c r="G62" s="184">
        <f t="shared" ca="1" si="1"/>
        <v>72462.540101409657</v>
      </c>
      <c r="H62" s="184">
        <f t="shared" ca="1" si="5"/>
        <v>1257552.5946161079</v>
      </c>
      <c r="I62" s="163"/>
      <c r="J62" s="183">
        <f>IF(ISERROR(A62),NA(),SUM(E$33:E62))</f>
        <v>377991.53311289602</v>
      </c>
      <c r="K62" s="183">
        <f>IF(ISERROR(A62),NA(),SUM(E$33:F62))</f>
        <v>503988.71081719472</v>
      </c>
    </row>
    <row r="63" spans="1:11" x14ac:dyDescent="0.2">
      <c r="A63" s="180">
        <f t="shared" si="6"/>
        <v>30</v>
      </c>
      <c r="B63" s="180">
        <f t="shared" si="2"/>
        <v>60</v>
      </c>
      <c r="C63" s="181">
        <f t="shared" ca="1" si="0"/>
        <v>0.06</v>
      </c>
      <c r="D63" s="183">
        <f t="shared" si="7"/>
        <v>144198.58885214943</v>
      </c>
      <c r="E63" s="183">
        <f t="shared" si="3"/>
        <v>17303.830662257933</v>
      </c>
      <c r="F63" s="183">
        <f t="shared" si="4"/>
        <v>5767.9435540859777</v>
      </c>
      <c r="G63" s="184">
        <f t="shared" ca="1" si="1"/>
        <v>78348.393208646914</v>
      </c>
      <c r="H63" s="184">
        <f t="shared" ca="1" si="5"/>
        <v>1358972.7620410987</v>
      </c>
      <c r="I63" s="163"/>
      <c r="J63" s="183">
        <f>IF(ISERROR(A63),NA(),SUM(E$33:E63))</f>
        <v>395295.36377515394</v>
      </c>
      <c r="K63" s="183">
        <f>IF(ISERROR(A63),NA(),SUM(E$33:F63))</f>
        <v>527060.48503353866</v>
      </c>
    </row>
    <row r="64" spans="1:11" x14ac:dyDescent="0.2">
      <c r="A64" s="180">
        <f t="shared" si="6"/>
        <v>31</v>
      </c>
      <c r="B64" s="180">
        <f t="shared" si="2"/>
        <v>61</v>
      </c>
      <c r="C64" s="181">
        <f t="shared" ca="1" si="0"/>
        <v>0.06</v>
      </c>
      <c r="D64" s="183">
        <f t="shared" si="7"/>
        <v>147082.56062919242</v>
      </c>
      <c r="E64" s="183">
        <f t="shared" si="3"/>
        <v>17649.90727550309</v>
      </c>
      <c r="F64" s="183">
        <f t="shared" si="4"/>
        <v>5883.302425167697</v>
      </c>
      <c r="G64" s="184">
        <f t="shared" ca="1" si="1"/>
        <v>84625.981912675314</v>
      </c>
      <c r="H64" s="184">
        <f t="shared" ca="1" si="5"/>
        <v>1467131.9536544448</v>
      </c>
      <c r="I64" s="163"/>
      <c r="J64" s="183">
        <f>IF(ISERROR(A64),NA(),SUM(E$33:E64))</f>
        <v>412945.27105065703</v>
      </c>
      <c r="K64" s="183">
        <f>IF(ISERROR(A64),NA(),SUM(E$33:F64))</f>
        <v>550593.69473420933</v>
      </c>
    </row>
    <row r="65" spans="1:11" x14ac:dyDescent="0.2">
      <c r="A65" s="180">
        <f t="shared" si="6"/>
        <v>32</v>
      </c>
      <c r="B65" s="180">
        <f t="shared" si="2"/>
        <v>62</v>
      </c>
      <c r="C65" s="181">
        <f t="shared" ca="1" si="0"/>
        <v>0.06</v>
      </c>
      <c r="D65" s="183">
        <f t="shared" si="7"/>
        <v>150024.21184177627</v>
      </c>
      <c r="E65" s="183">
        <f t="shared" si="3"/>
        <v>18002.905421013151</v>
      </c>
      <c r="F65" s="183">
        <f t="shared" si="4"/>
        <v>6000.9684736710506</v>
      </c>
      <c r="G65" s="184">
        <f t="shared" ca="1" si="1"/>
        <v>91320.065173350042</v>
      </c>
      <c r="H65" s="184">
        <f t="shared" ca="1" si="5"/>
        <v>1582455.8927224791</v>
      </c>
      <c r="I65" s="163"/>
      <c r="J65" s="183">
        <f>IF(ISERROR(A65),NA(),SUM(E$33:E65))</f>
        <v>430948.17647167016</v>
      </c>
      <c r="K65" s="183">
        <f>IF(ISERROR(A65),NA(),SUM(E$33:F65))</f>
        <v>574597.56862889347</v>
      </c>
    </row>
    <row r="66" spans="1:11" x14ac:dyDescent="0.2">
      <c r="A66" s="180">
        <f t="shared" si="6"/>
        <v>33</v>
      </c>
      <c r="B66" s="180">
        <f t="shared" si="2"/>
        <v>63</v>
      </c>
      <c r="C66" s="181">
        <f t="shared" ref="C66:C93" ca="1" si="8">IF(ISERROR(A66),NA(),IF(randrate,$H$23+RAND()*($H$24-$H$23),$E$17))</f>
        <v>0.06</v>
      </c>
      <c r="D66" s="183">
        <f t="shared" si="7"/>
        <v>153024.6960786118</v>
      </c>
      <c r="E66" s="183">
        <f t="shared" si="3"/>
        <v>18362.963529433415</v>
      </c>
      <c r="F66" s="183">
        <f t="shared" si="4"/>
        <v>6120.9878431444722</v>
      </c>
      <c r="G66" s="184">
        <f t="shared" ref="G66:G93" ca="1" si="9">IF(ISERROR(A66),NA(),FV(C66/nper,nper,-(E66+F66)/nper,-H65)-(H65+E66+F66))</f>
        <v>98456.94242458907</v>
      </c>
      <c r="H66" s="184">
        <f t="shared" ca="1" si="5"/>
        <v>1705396.7865196459</v>
      </c>
      <c r="I66" s="163"/>
      <c r="J66" s="183">
        <f>IF(ISERROR(A66),NA(),SUM(E$33:E66))</f>
        <v>449311.14000110357</v>
      </c>
      <c r="K66" s="183">
        <f>IF(ISERROR(A66),NA(),SUM(E$33:F66))</f>
        <v>599081.52000147128</v>
      </c>
    </row>
    <row r="67" spans="1:11" x14ac:dyDescent="0.2">
      <c r="A67" s="180">
        <f t="shared" si="6"/>
        <v>34</v>
      </c>
      <c r="B67" s="180">
        <f t="shared" si="2"/>
        <v>64</v>
      </c>
      <c r="C67" s="181">
        <f t="shared" ca="1" si="8"/>
        <v>0.06</v>
      </c>
      <c r="D67" s="183">
        <f t="shared" si="7"/>
        <v>156085.19000018403</v>
      </c>
      <c r="E67" s="183">
        <f t="shared" si="3"/>
        <v>18730.222800022082</v>
      </c>
      <c r="F67" s="183">
        <f t="shared" si="4"/>
        <v>6243.407600007361</v>
      </c>
      <c r="G67" s="184">
        <f t="shared" ca="1" si="9"/>
        <v>106064.54894455965</v>
      </c>
      <c r="H67" s="184">
        <f t="shared" ca="1" si="5"/>
        <v>1836434.9658642348</v>
      </c>
      <c r="I67" s="163"/>
      <c r="J67" s="183">
        <f>IF(ISERROR(A67),NA(),SUM(E$33:E67))</f>
        <v>468041.36280112568</v>
      </c>
      <c r="K67" s="183">
        <f>IF(ISERROR(A67),NA(),SUM(E$33:F67))</f>
        <v>624055.15040150075</v>
      </c>
    </row>
    <row r="68" spans="1:11" x14ac:dyDescent="0.2">
      <c r="A68" s="180">
        <f t="shared" si="6"/>
        <v>35</v>
      </c>
      <c r="B68" s="180">
        <f t="shared" si="2"/>
        <v>65</v>
      </c>
      <c r="C68" s="181">
        <f t="shared" ca="1" si="8"/>
        <v>0.06</v>
      </c>
      <c r="D68" s="183">
        <f t="shared" si="7"/>
        <v>159206.89380018771</v>
      </c>
      <c r="E68" s="183">
        <f t="shared" si="3"/>
        <v>19104.827256022523</v>
      </c>
      <c r="F68" s="183">
        <f t="shared" si="4"/>
        <v>6368.2757520075083</v>
      </c>
      <c r="G68" s="184">
        <f t="shared" ca="1" si="9"/>
        <v>114172.55712073785</v>
      </c>
      <c r="H68" s="184">
        <f t="shared" ca="1" si="5"/>
        <v>1976080.6259930027</v>
      </c>
      <c r="I68" s="163"/>
      <c r="J68" s="183">
        <f>IF(ISERROR(A68),NA(),SUM(E$33:E68))</f>
        <v>487146.19005714823</v>
      </c>
      <c r="K68" s="183">
        <f>IF(ISERROR(A68),NA(),SUM(E$33:F68))</f>
        <v>649528.25340953073</v>
      </c>
    </row>
    <row r="69" spans="1:11" x14ac:dyDescent="0.2">
      <c r="A69" s="180">
        <f t="shared" si="6"/>
        <v>36</v>
      </c>
      <c r="B69" s="180">
        <f t="shared" si="2"/>
        <v>66</v>
      </c>
      <c r="C69" s="181">
        <f t="shared" ca="1" si="8"/>
        <v>0.06</v>
      </c>
      <c r="D69" s="183">
        <f t="shared" si="7"/>
        <v>162391.03167619146</v>
      </c>
      <c r="E69" s="183">
        <f t="shared" si="3"/>
        <v>19486.923801142973</v>
      </c>
      <c r="F69" s="183">
        <f t="shared" si="4"/>
        <v>6495.6412670476584</v>
      </c>
      <c r="G69" s="184">
        <f t="shared" ca="1" si="9"/>
        <v>122812.48397402582</v>
      </c>
      <c r="H69" s="184">
        <f t="shared" ca="1" si="5"/>
        <v>2124875.6750352192</v>
      </c>
      <c r="I69" s="163"/>
      <c r="J69" s="183">
        <f>IF(ISERROR(A69),NA(),SUM(E$33:E69))</f>
        <v>506633.11385829118</v>
      </c>
      <c r="K69" s="183">
        <f>IF(ISERROR(A69),NA(),SUM(E$33:F69))</f>
        <v>675510.8184777213</v>
      </c>
    </row>
    <row r="70" spans="1:11" x14ac:dyDescent="0.2">
      <c r="A70" s="180" t="e">
        <f t="shared" si="6"/>
        <v>#N/A</v>
      </c>
      <c r="B70" s="180" t="e">
        <f t="shared" si="2"/>
        <v>#N/A</v>
      </c>
      <c r="C70" s="181" t="e">
        <f t="shared" ca="1" si="8"/>
        <v>#N/A</v>
      </c>
      <c r="D70" s="183" t="e">
        <f t="shared" si="7"/>
        <v>#N/A</v>
      </c>
      <c r="E70" s="183" t="e">
        <f t="shared" si="3"/>
        <v>#N/A</v>
      </c>
      <c r="F70" s="183" t="e">
        <f t="shared" si="4"/>
        <v>#N/A</v>
      </c>
      <c r="G70" s="184" t="e">
        <f t="shared" si="9"/>
        <v>#N/A</v>
      </c>
      <c r="H70" s="184" t="e">
        <f t="shared" si="5"/>
        <v>#N/A</v>
      </c>
      <c r="I70" s="163"/>
      <c r="J70" s="183" t="e">
        <f>IF(ISERROR(A70),NA(),SUM(E$33:E70))</f>
        <v>#N/A</v>
      </c>
      <c r="K70" s="183" t="e">
        <f>IF(ISERROR(A70),NA(),SUM(E$33:F70))</f>
        <v>#N/A</v>
      </c>
    </row>
    <row r="71" spans="1:11" x14ac:dyDescent="0.2">
      <c r="A71" s="180" t="e">
        <f t="shared" si="6"/>
        <v>#N/A</v>
      </c>
      <c r="B71" s="180" t="e">
        <f t="shared" si="2"/>
        <v>#N/A</v>
      </c>
      <c r="C71" s="181" t="e">
        <f t="shared" ca="1" si="8"/>
        <v>#N/A</v>
      </c>
      <c r="D71" s="183" t="e">
        <f t="shared" si="7"/>
        <v>#N/A</v>
      </c>
      <c r="E71" s="183" t="e">
        <f t="shared" si="3"/>
        <v>#N/A</v>
      </c>
      <c r="F71" s="183" t="e">
        <f t="shared" si="4"/>
        <v>#N/A</v>
      </c>
      <c r="G71" s="184" t="e">
        <f t="shared" si="9"/>
        <v>#N/A</v>
      </c>
      <c r="H71" s="184" t="e">
        <f t="shared" si="5"/>
        <v>#N/A</v>
      </c>
      <c r="I71" s="163"/>
      <c r="J71" s="183" t="e">
        <f>IF(ISERROR(A71),NA(),SUM(E$33:E71))</f>
        <v>#N/A</v>
      </c>
      <c r="K71" s="183" t="e">
        <f>IF(ISERROR(A71),NA(),SUM(E$33:F71))</f>
        <v>#N/A</v>
      </c>
    </row>
    <row r="72" spans="1:11" x14ac:dyDescent="0.2">
      <c r="A72" s="180" t="e">
        <f t="shared" si="6"/>
        <v>#N/A</v>
      </c>
      <c r="B72" s="180" t="e">
        <f t="shared" si="2"/>
        <v>#N/A</v>
      </c>
      <c r="C72" s="181" t="e">
        <f t="shared" ca="1" si="8"/>
        <v>#N/A</v>
      </c>
      <c r="D72" s="183" t="e">
        <f t="shared" si="7"/>
        <v>#N/A</v>
      </c>
      <c r="E72" s="183" t="e">
        <f t="shared" si="3"/>
        <v>#N/A</v>
      </c>
      <c r="F72" s="183" t="e">
        <f t="shared" si="4"/>
        <v>#N/A</v>
      </c>
      <c r="G72" s="184" t="e">
        <f t="shared" si="9"/>
        <v>#N/A</v>
      </c>
      <c r="H72" s="184" t="e">
        <f t="shared" si="5"/>
        <v>#N/A</v>
      </c>
      <c r="I72" s="163"/>
      <c r="J72" s="183" t="e">
        <f>IF(ISERROR(A72),NA(),SUM(E$33:E72))</f>
        <v>#N/A</v>
      </c>
      <c r="K72" s="183" t="e">
        <f>IF(ISERROR(A72),NA(),SUM(E$33:F72))</f>
        <v>#N/A</v>
      </c>
    </row>
    <row r="73" spans="1:11" x14ac:dyDescent="0.2">
      <c r="A73" s="180" t="e">
        <f t="shared" si="6"/>
        <v>#N/A</v>
      </c>
      <c r="B73" s="180" t="e">
        <f t="shared" si="2"/>
        <v>#N/A</v>
      </c>
      <c r="C73" s="181" t="e">
        <f t="shared" ca="1" si="8"/>
        <v>#N/A</v>
      </c>
      <c r="D73" s="183" t="e">
        <f t="shared" si="7"/>
        <v>#N/A</v>
      </c>
      <c r="E73" s="183" t="e">
        <f t="shared" si="3"/>
        <v>#N/A</v>
      </c>
      <c r="F73" s="183" t="e">
        <f t="shared" si="4"/>
        <v>#N/A</v>
      </c>
      <c r="G73" s="184" t="e">
        <f t="shared" si="9"/>
        <v>#N/A</v>
      </c>
      <c r="H73" s="184" t="e">
        <f t="shared" si="5"/>
        <v>#N/A</v>
      </c>
      <c r="I73" s="163"/>
      <c r="J73" s="183" t="e">
        <f>IF(ISERROR(A73),NA(),SUM(E$33:E73))</f>
        <v>#N/A</v>
      </c>
      <c r="K73" s="183" t="e">
        <f>IF(ISERROR(A73),NA(),SUM(E$33:F73))</f>
        <v>#N/A</v>
      </c>
    </row>
    <row r="74" spans="1:11" x14ac:dyDescent="0.2">
      <c r="A74" s="180" t="e">
        <f t="shared" si="6"/>
        <v>#N/A</v>
      </c>
      <c r="B74" s="180" t="e">
        <f t="shared" si="2"/>
        <v>#N/A</v>
      </c>
      <c r="C74" s="181" t="e">
        <f t="shared" ca="1" si="8"/>
        <v>#N/A</v>
      </c>
      <c r="D74" s="183" t="e">
        <f t="shared" si="7"/>
        <v>#N/A</v>
      </c>
      <c r="E74" s="183" t="e">
        <f t="shared" si="3"/>
        <v>#N/A</v>
      </c>
      <c r="F74" s="183" t="e">
        <f t="shared" si="4"/>
        <v>#N/A</v>
      </c>
      <c r="G74" s="184" t="e">
        <f t="shared" si="9"/>
        <v>#N/A</v>
      </c>
      <c r="H74" s="184" t="e">
        <f t="shared" si="5"/>
        <v>#N/A</v>
      </c>
      <c r="I74" s="163"/>
      <c r="J74" s="183" t="e">
        <f>IF(ISERROR(A74),NA(),SUM(E$33:E74))</f>
        <v>#N/A</v>
      </c>
      <c r="K74" s="183" t="e">
        <f>IF(ISERROR(A74),NA(),SUM(E$33:F74))</f>
        <v>#N/A</v>
      </c>
    </row>
    <row r="75" spans="1:11" x14ac:dyDescent="0.2">
      <c r="A75" s="180" t="e">
        <f t="shared" si="6"/>
        <v>#N/A</v>
      </c>
      <c r="B75" s="180" t="e">
        <f t="shared" si="2"/>
        <v>#N/A</v>
      </c>
      <c r="C75" s="181" t="e">
        <f t="shared" ca="1" si="8"/>
        <v>#N/A</v>
      </c>
      <c r="D75" s="183" t="e">
        <f t="shared" si="7"/>
        <v>#N/A</v>
      </c>
      <c r="E75" s="183" t="e">
        <f t="shared" si="3"/>
        <v>#N/A</v>
      </c>
      <c r="F75" s="183" t="e">
        <f t="shared" si="4"/>
        <v>#N/A</v>
      </c>
      <c r="G75" s="184" t="e">
        <f t="shared" si="9"/>
        <v>#N/A</v>
      </c>
      <c r="H75" s="184" t="e">
        <f t="shared" si="5"/>
        <v>#N/A</v>
      </c>
      <c r="I75" s="163"/>
      <c r="J75" s="183" t="e">
        <f>IF(ISERROR(A75),NA(),SUM(E$33:E75))</f>
        <v>#N/A</v>
      </c>
      <c r="K75" s="183" t="e">
        <f>IF(ISERROR(A75),NA(),SUM(E$33:F75))</f>
        <v>#N/A</v>
      </c>
    </row>
    <row r="76" spans="1:11" x14ac:dyDescent="0.2">
      <c r="A76" s="180" t="e">
        <f t="shared" si="6"/>
        <v>#N/A</v>
      </c>
      <c r="B76" s="180" t="e">
        <f t="shared" si="2"/>
        <v>#N/A</v>
      </c>
      <c r="C76" s="181" t="e">
        <f t="shared" ca="1" si="8"/>
        <v>#N/A</v>
      </c>
      <c r="D76" s="183" t="e">
        <f t="shared" si="7"/>
        <v>#N/A</v>
      </c>
      <c r="E76" s="183" t="e">
        <f t="shared" si="3"/>
        <v>#N/A</v>
      </c>
      <c r="F76" s="183" t="e">
        <f t="shared" si="4"/>
        <v>#N/A</v>
      </c>
      <c r="G76" s="184" t="e">
        <f t="shared" si="9"/>
        <v>#N/A</v>
      </c>
      <c r="H76" s="184" t="e">
        <f t="shared" si="5"/>
        <v>#N/A</v>
      </c>
      <c r="I76" s="163"/>
      <c r="J76" s="183" t="e">
        <f>IF(ISERROR(A76),NA(),SUM(E$33:E76))</f>
        <v>#N/A</v>
      </c>
      <c r="K76" s="183" t="e">
        <f>IF(ISERROR(A76),NA(),SUM(E$33:F76))</f>
        <v>#N/A</v>
      </c>
    </row>
    <row r="77" spans="1:11" x14ac:dyDescent="0.2">
      <c r="A77" s="180" t="e">
        <f t="shared" si="6"/>
        <v>#N/A</v>
      </c>
      <c r="B77" s="180" t="e">
        <f t="shared" si="2"/>
        <v>#N/A</v>
      </c>
      <c r="C77" s="181" t="e">
        <f t="shared" ca="1" si="8"/>
        <v>#N/A</v>
      </c>
      <c r="D77" s="183" t="e">
        <f t="shared" si="7"/>
        <v>#N/A</v>
      </c>
      <c r="E77" s="183" t="e">
        <f t="shared" si="3"/>
        <v>#N/A</v>
      </c>
      <c r="F77" s="183" t="e">
        <f t="shared" si="4"/>
        <v>#N/A</v>
      </c>
      <c r="G77" s="184" t="e">
        <f t="shared" si="9"/>
        <v>#N/A</v>
      </c>
      <c r="H77" s="184" t="e">
        <f t="shared" si="5"/>
        <v>#N/A</v>
      </c>
      <c r="I77" s="163"/>
      <c r="J77" s="183" t="e">
        <f>IF(ISERROR(A77),NA(),SUM(E$33:E77))</f>
        <v>#N/A</v>
      </c>
      <c r="K77" s="183" t="e">
        <f>IF(ISERROR(A77),NA(),SUM(E$33:F77))</f>
        <v>#N/A</v>
      </c>
    </row>
    <row r="78" spans="1:11" x14ac:dyDescent="0.2">
      <c r="A78" s="180" t="e">
        <f t="shared" si="6"/>
        <v>#N/A</v>
      </c>
      <c r="B78" s="180" t="e">
        <f t="shared" si="2"/>
        <v>#N/A</v>
      </c>
      <c r="C78" s="181" t="e">
        <f t="shared" ca="1" si="8"/>
        <v>#N/A</v>
      </c>
      <c r="D78" s="183" t="e">
        <f t="shared" si="7"/>
        <v>#N/A</v>
      </c>
      <c r="E78" s="183" t="e">
        <f t="shared" si="3"/>
        <v>#N/A</v>
      </c>
      <c r="F78" s="183" t="e">
        <f t="shared" si="4"/>
        <v>#N/A</v>
      </c>
      <c r="G78" s="184" t="e">
        <f t="shared" si="9"/>
        <v>#N/A</v>
      </c>
      <c r="H78" s="184" t="e">
        <f t="shared" si="5"/>
        <v>#N/A</v>
      </c>
      <c r="I78" s="163"/>
      <c r="J78" s="183" t="e">
        <f>IF(ISERROR(A78),NA(),SUM(E$33:E78))</f>
        <v>#N/A</v>
      </c>
      <c r="K78" s="183" t="e">
        <f>IF(ISERROR(A78),NA(),SUM(E$33:F78))</f>
        <v>#N/A</v>
      </c>
    </row>
    <row r="79" spans="1:11" x14ac:dyDescent="0.2">
      <c r="A79" s="180" t="e">
        <f t="shared" si="6"/>
        <v>#N/A</v>
      </c>
      <c r="B79" s="180" t="e">
        <f t="shared" si="2"/>
        <v>#N/A</v>
      </c>
      <c r="C79" s="181" t="e">
        <f t="shared" ca="1" si="8"/>
        <v>#N/A</v>
      </c>
      <c r="D79" s="183" t="e">
        <f t="shared" si="7"/>
        <v>#N/A</v>
      </c>
      <c r="E79" s="183" t="e">
        <f t="shared" si="3"/>
        <v>#N/A</v>
      </c>
      <c r="F79" s="183" t="e">
        <f t="shared" si="4"/>
        <v>#N/A</v>
      </c>
      <c r="G79" s="184" t="e">
        <f t="shared" si="9"/>
        <v>#N/A</v>
      </c>
      <c r="H79" s="184" t="e">
        <f t="shared" si="5"/>
        <v>#N/A</v>
      </c>
      <c r="I79" s="163"/>
      <c r="J79" s="183" t="e">
        <f>IF(ISERROR(A79),NA(),SUM(E$33:E79))</f>
        <v>#N/A</v>
      </c>
      <c r="K79" s="183" t="e">
        <f>IF(ISERROR(A79),NA(),SUM(E$33:F79))</f>
        <v>#N/A</v>
      </c>
    </row>
    <row r="80" spans="1:11" x14ac:dyDescent="0.2">
      <c r="A80" s="180" t="e">
        <f t="shared" si="6"/>
        <v>#N/A</v>
      </c>
      <c r="B80" s="180" t="e">
        <f t="shared" si="2"/>
        <v>#N/A</v>
      </c>
      <c r="C80" s="181" t="e">
        <f t="shared" ca="1" si="8"/>
        <v>#N/A</v>
      </c>
      <c r="D80" s="183" t="e">
        <f t="shared" si="7"/>
        <v>#N/A</v>
      </c>
      <c r="E80" s="183" t="e">
        <f t="shared" si="3"/>
        <v>#N/A</v>
      </c>
      <c r="F80" s="183" t="e">
        <f t="shared" si="4"/>
        <v>#N/A</v>
      </c>
      <c r="G80" s="184" t="e">
        <f t="shared" si="9"/>
        <v>#N/A</v>
      </c>
      <c r="H80" s="184" t="e">
        <f t="shared" si="5"/>
        <v>#N/A</v>
      </c>
      <c r="I80" s="163"/>
      <c r="J80" s="183" t="e">
        <f>IF(ISERROR(A80),NA(),SUM(E$33:E80))</f>
        <v>#N/A</v>
      </c>
      <c r="K80" s="183" t="e">
        <f>IF(ISERROR(A80),NA(),SUM(E$33:F80))</f>
        <v>#N/A</v>
      </c>
    </row>
    <row r="81" spans="1:11" x14ac:dyDescent="0.2">
      <c r="A81" s="180" t="e">
        <f t="shared" si="6"/>
        <v>#N/A</v>
      </c>
      <c r="B81" s="180" t="e">
        <f t="shared" si="2"/>
        <v>#N/A</v>
      </c>
      <c r="C81" s="181" t="e">
        <f t="shared" ca="1" si="8"/>
        <v>#N/A</v>
      </c>
      <c r="D81" s="183" t="e">
        <f t="shared" si="7"/>
        <v>#N/A</v>
      </c>
      <c r="E81" s="183" t="e">
        <f t="shared" si="3"/>
        <v>#N/A</v>
      </c>
      <c r="F81" s="183" t="e">
        <f t="shared" si="4"/>
        <v>#N/A</v>
      </c>
      <c r="G81" s="184" t="e">
        <f t="shared" si="9"/>
        <v>#N/A</v>
      </c>
      <c r="H81" s="184" t="e">
        <f t="shared" si="5"/>
        <v>#N/A</v>
      </c>
      <c r="I81" s="163"/>
      <c r="J81" s="183" t="e">
        <f>IF(ISERROR(A81),NA(),SUM(E$33:E81))</f>
        <v>#N/A</v>
      </c>
      <c r="K81" s="183" t="e">
        <f>IF(ISERROR(A81),NA(),SUM(E$33:F81))</f>
        <v>#N/A</v>
      </c>
    </row>
    <row r="82" spans="1:11" x14ac:dyDescent="0.2">
      <c r="A82" s="180" t="e">
        <f t="shared" si="6"/>
        <v>#N/A</v>
      </c>
      <c r="B82" s="180" t="e">
        <f t="shared" si="2"/>
        <v>#N/A</v>
      </c>
      <c r="C82" s="181" t="e">
        <f t="shared" ca="1" si="8"/>
        <v>#N/A</v>
      </c>
      <c r="D82" s="183" t="e">
        <f t="shared" si="7"/>
        <v>#N/A</v>
      </c>
      <c r="E82" s="183" t="e">
        <f t="shared" si="3"/>
        <v>#N/A</v>
      </c>
      <c r="F82" s="183" t="e">
        <f t="shared" si="4"/>
        <v>#N/A</v>
      </c>
      <c r="G82" s="184" t="e">
        <f t="shared" si="9"/>
        <v>#N/A</v>
      </c>
      <c r="H82" s="184" t="e">
        <f t="shared" si="5"/>
        <v>#N/A</v>
      </c>
      <c r="I82" s="163"/>
      <c r="J82" s="183" t="e">
        <f>IF(ISERROR(A82),NA(),SUM(E$33:E82))</f>
        <v>#N/A</v>
      </c>
      <c r="K82" s="183" t="e">
        <f>IF(ISERROR(A82),NA(),SUM(E$33:F82))</f>
        <v>#N/A</v>
      </c>
    </row>
    <row r="83" spans="1:11" x14ac:dyDescent="0.2">
      <c r="A83" s="180" t="e">
        <f t="shared" si="6"/>
        <v>#N/A</v>
      </c>
      <c r="B83" s="180" t="e">
        <f t="shared" si="2"/>
        <v>#N/A</v>
      </c>
      <c r="C83" s="181" t="e">
        <f t="shared" ca="1" si="8"/>
        <v>#N/A</v>
      </c>
      <c r="D83" s="183" t="e">
        <f t="shared" si="7"/>
        <v>#N/A</v>
      </c>
      <c r="E83" s="183" t="e">
        <f t="shared" si="3"/>
        <v>#N/A</v>
      </c>
      <c r="F83" s="183" t="e">
        <f t="shared" si="4"/>
        <v>#N/A</v>
      </c>
      <c r="G83" s="184" t="e">
        <f t="shared" si="9"/>
        <v>#N/A</v>
      </c>
      <c r="H83" s="184" t="e">
        <f t="shared" si="5"/>
        <v>#N/A</v>
      </c>
      <c r="I83" s="163"/>
      <c r="J83" s="183" t="e">
        <f>IF(ISERROR(A83),NA(),SUM(E$33:E83))</f>
        <v>#N/A</v>
      </c>
      <c r="K83" s="183" t="e">
        <f>IF(ISERROR(A83),NA(),SUM(E$33:F83))</f>
        <v>#N/A</v>
      </c>
    </row>
    <row r="84" spans="1:11" x14ac:dyDescent="0.2">
      <c r="A84" s="180" t="e">
        <f t="shared" si="6"/>
        <v>#N/A</v>
      </c>
      <c r="B84" s="180" t="e">
        <f t="shared" si="2"/>
        <v>#N/A</v>
      </c>
      <c r="C84" s="181" t="e">
        <f t="shared" ca="1" si="8"/>
        <v>#N/A</v>
      </c>
      <c r="D84" s="183" t="e">
        <f t="shared" si="7"/>
        <v>#N/A</v>
      </c>
      <c r="E84" s="183" t="e">
        <f t="shared" si="3"/>
        <v>#N/A</v>
      </c>
      <c r="F84" s="183" t="e">
        <f t="shared" si="4"/>
        <v>#N/A</v>
      </c>
      <c r="G84" s="184" t="e">
        <f t="shared" si="9"/>
        <v>#N/A</v>
      </c>
      <c r="H84" s="184" t="e">
        <f t="shared" si="5"/>
        <v>#N/A</v>
      </c>
      <c r="I84" s="163"/>
      <c r="J84" s="183" t="e">
        <f>IF(ISERROR(A84),NA(),SUM(E$33:E84))</f>
        <v>#N/A</v>
      </c>
      <c r="K84" s="183" t="e">
        <f>IF(ISERROR(A84),NA(),SUM(E$33:F84))</f>
        <v>#N/A</v>
      </c>
    </row>
    <row r="85" spans="1:11" x14ac:dyDescent="0.2">
      <c r="A85" s="180" t="e">
        <f t="shared" si="6"/>
        <v>#N/A</v>
      </c>
      <c r="B85" s="180" t="e">
        <f t="shared" si="2"/>
        <v>#N/A</v>
      </c>
      <c r="C85" s="181" t="e">
        <f t="shared" ca="1" si="8"/>
        <v>#N/A</v>
      </c>
      <c r="D85" s="183" t="e">
        <f t="shared" si="7"/>
        <v>#N/A</v>
      </c>
      <c r="E85" s="183" t="e">
        <f t="shared" si="3"/>
        <v>#N/A</v>
      </c>
      <c r="F85" s="183" t="e">
        <f t="shared" si="4"/>
        <v>#N/A</v>
      </c>
      <c r="G85" s="184" t="e">
        <f t="shared" si="9"/>
        <v>#N/A</v>
      </c>
      <c r="H85" s="184" t="e">
        <f t="shared" si="5"/>
        <v>#N/A</v>
      </c>
      <c r="I85" s="163"/>
      <c r="J85" s="183" t="e">
        <f>IF(ISERROR(A85),NA(),SUM(E$33:E85))</f>
        <v>#N/A</v>
      </c>
      <c r="K85" s="183" t="e">
        <f>IF(ISERROR(A85),NA(),SUM(E$33:F85))</f>
        <v>#N/A</v>
      </c>
    </row>
    <row r="86" spans="1:11" x14ac:dyDescent="0.2">
      <c r="A86" s="180" t="e">
        <f t="shared" si="6"/>
        <v>#N/A</v>
      </c>
      <c r="B86" s="180" t="e">
        <f t="shared" si="2"/>
        <v>#N/A</v>
      </c>
      <c r="C86" s="181" t="e">
        <f t="shared" ca="1" si="8"/>
        <v>#N/A</v>
      </c>
      <c r="D86" s="183" t="e">
        <f t="shared" si="7"/>
        <v>#N/A</v>
      </c>
      <c r="E86" s="183" t="e">
        <f t="shared" si="3"/>
        <v>#N/A</v>
      </c>
      <c r="F86" s="183" t="e">
        <f t="shared" si="4"/>
        <v>#N/A</v>
      </c>
      <c r="G86" s="184" t="e">
        <f t="shared" si="9"/>
        <v>#N/A</v>
      </c>
      <c r="H86" s="184" t="e">
        <f t="shared" si="5"/>
        <v>#N/A</v>
      </c>
      <c r="I86" s="163"/>
      <c r="J86" s="183" t="e">
        <f>IF(ISERROR(A86),NA(),SUM(E$33:E86))</f>
        <v>#N/A</v>
      </c>
      <c r="K86" s="183" t="e">
        <f>IF(ISERROR(A86),NA(),SUM(E$33:F86))</f>
        <v>#N/A</v>
      </c>
    </row>
    <row r="87" spans="1:11" x14ac:dyDescent="0.2">
      <c r="A87" s="180" t="e">
        <f t="shared" si="6"/>
        <v>#N/A</v>
      </c>
      <c r="B87" s="180" t="e">
        <f t="shared" si="2"/>
        <v>#N/A</v>
      </c>
      <c r="C87" s="181" t="e">
        <f t="shared" ca="1" si="8"/>
        <v>#N/A</v>
      </c>
      <c r="D87" s="183" t="e">
        <f t="shared" si="7"/>
        <v>#N/A</v>
      </c>
      <c r="E87" s="183" t="e">
        <f t="shared" si="3"/>
        <v>#N/A</v>
      </c>
      <c r="F87" s="183" t="e">
        <f t="shared" si="4"/>
        <v>#N/A</v>
      </c>
      <c r="G87" s="184" t="e">
        <f t="shared" si="9"/>
        <v>#N/A</v>
      </c>
      <c r="H87" s="184" t="e">
        <f t="shared" si="5"/>
        <v>#N/A</v>
      </c>
      <c r="I87" s="163"/>
      <c r="J87" s="183" t="e">
        <f>IF(ISERROR(A87),NA(),SUM(E$33:E87))</f>
        <v>#N/A</v>
      </c>
      <c r="K87" s="183" t="e">
        <f>IF(ISERROR(A87),NA(),SUM(E$33:F87))</f>
        <v>#N/A</v>
      </c>
    </row>
    <row r="88" spans="1:11" x14ac:dyDescent="0.2">
      <c r="A88" s="180" t="e">
        <f t="shared" si="6"/>
        <v>#N/A</v>
      </c>
      <c r="B88" s="180" t="e">
        <f t="shared" si="2"/>
        <v>#N/A</v>
      </c>
      <c r="C88" s="181" t="e">
        <f t="shared" ca="1" si="8"/>
        <v>#N/A</v>
      </c>
      <c r="D88" s="183" t="e">
        <f t="shared" si="7"/>
        <v>#N/A</v>
      </c>
      <c r="E88" s="183" t="e">
        <f t="shared" si="3"/>
        <v>#N/A</v>
      </c>
      <c r="F88" s="183" t="e">
        <f t="shared" si="4"/>
        <v>#N/A</v>
      </c>
      <c r="G88" s="184" t="e">
        <f t="shared" si="9"/>
        <v>#N/A</v>
      </c>
      <c r="H88" s="184" t="e">
        <f t="shared" si="5"/>
        <v>#N/A</v>
      </c>
      <c r="I88" s="163"/>
      <c r="J88" s="183" t="e">
        <f>IF(ISERROR(A88),NA(),SUM(E$33:E88))</f>
        <v>#N/A</v>
      </c>
      <c r="K88" s="183" t="e">
        <f>IF(ISERROR(A88),NA(),SUM(E$33:F88))</f>
        <v>#N/A</v>
      </c>
    </row>
    <row r="89" spans="1:11" x14ac:dyDescent="0.2">
      <c r="A89" s="180" t="e">
        <f t="shared" si="6"/>
        <v>#N/A</v>
      </c>
      <c r="B89" s="180" t="e">
        <f t="shared" si="2"/>
        <v>#N/A</v>
      </c>
      <c r="C89" s="181" t="e">
        <f t="shared" ca="1" si="8"/>
        <v>#N/A</v>
      </c>
      <c r="D89" s="183" t="e">
        <f t="shared" si="7"/>
        <v>#N/A</v>
      </c>
      <c r="E89" s="183" t="e">
        <f t="shared" si="3"/>
        <v>#N/A</v>
      </c>
      <c r="F89" s="183" t="e">
        <f t="shared" si="4"/>
        <v>#N/A</v>
      </c>
      <c r="G89" s="184" t="e">
        <f t="shared" si="9"/>
        <v>#N/A</v>
      </c>
      <c r="H89" s="184" t="e">
        <f t="shared" si="5"/>
        <v>#N/A</v>
      </c>
      <c r="I89" s="163"/>
      <c r="J89" s="183" t="e">
        <f>IF(ISERROR(A89),NA(),SUM(E$33:E89))</f>
        <v>#N/A</v>
      </c>
      <c r="K89" s="183" t="e">
        <f>IF(ISERROR(A89),NA(),SUM(E$33:F89))</f>
        <v>#N/A</v>
      </c>
    </row>
    <row r="90" spans="1:11" x14ac:dyDescent="0.2">
      <c r="A90" s="180" t="e">
        <f t="shared" si="6"/>
        <v>#N/A</v>
      </c>
      <c r="B90" s="180" t="e">
        <f t="shared" si="2"/>
        <v>#N/A</v>
      </c>
      <c r="C90" s="181" t="e">
        <f t="shared" ca="1" si="8"/>
        <v>#N/A</v>
      </c>
      <c r="D90" s="183" t="e">
        <f t="shared" si="7"/>
        <v>#N/A</v>
      </c>
      <c r="E90" s="183" t="e">
        <f t="shared" si="3"/>
        <v>#N/A</v>
      </c>
      <c r="F90" s="183" t="e">
        <f t="shared" si="4"/>
        <v>#N/A</v>
      </c>
      <c r="G90" s="184" t="e">
        <f t="shared" si="9"/>
        <v>#N/A</v>
      </c>
      <c r="H90" s="184" t="e">
        <f t="shared" si="5"/>
        <v>#N/A</v>
      </c>
      <c r="I90" s="163"/>
      <c r="J90" s="183" t="e">
        <f>IF(ISERROR(A90),NA(),SUM(E$33:E90))</f>
        <v>#N/A</v>
      </c>
      <c r="K90" s="183" t="e">
        <f>IF(ISERROR(A90),NA(),SUM(E$33:F90))</f>
        <v>#N/A</v>
      </c>
    </row>
    <row r="91" spans="1:11" x14ac:dyDescent="0.2">
      <c r="A91" s="180" t="e">
        <f t="shared" si="6"/>
        <v>#N/A</v>
      </c>
      <c r="B91" s="180" t="e">
        <f t="shared" si="2"/>
        <v>#N/A</v>
      </c>
      <c r="C91" s="181" t="e">
        <f t="shared" ca="1" si="8"/>
        <v>#N/A</v>
      </c>
      <c r="D91" s="183" t="e">
        <f t="shared" si="7"/>
        <v>#N/A</v>
      </c>
      <c r="E91" s="183" t="e">
        <f t="shared" si="3"/>
        <v>#N/A</v>
      </c>
      <c r="F91" s="183" t="e">
        <f t="shared" si="4"/>
        <v>#N/A</v>
      </c>
      <c r="G91" s="184" t="e">
        <f t="shared" si="9"/>
        <v>#N/A</v>
      </c>
      <c r="H91" s="184" t="e">
        <f t="shared" si="5"/>
        <v>#N/A</v>
      </c>
      <c r="I91" s="163"/>
      <c r="J91" s="183" t="e">
        <f>IF(ISERROR(A91),NA(),SUM(E$33:E91))</f>
        <v>#N/A</v>
      </c>
      <c r="K91" s="183" t="e">
        <f>IF(ISERROR(A91),NA(),SUM(E$33:F91))</f>
        <v>#N/A</v>
      </c>
    </row>
    <row r="92" spans="1:11" x14ac:dyDescent="0.2">
      <c r="A92" s="180" t="e">
        <f t="shared" si="6"/>
        <v>#N/A</v>
      </c>
      <c r="B92" s="180" t="e">
        <f t="shared" si="2"/>
        <v>#N/A</v>
      </c>
      <c r="C92" s="181" t="e">
        <f t="shared" ca="1" si="8"/>
        <v>#N/A</v>
      </c>
      <c r="D92" s="183" t="e">
        <f t="shared" si="7"/>
        <v>#N/A</v>
      </c>
      <c r="E92" s="183" t="e">
        <f t="shared" si="3"/>
        <v>#N/A</v>
      </c>
      <c r="F92" s="183" t="e">
        <f t="shared" si="4"/>
        <v>#N/A</v>
      </c>
      <c r="G92" s="184" t="e">
        <f t="shared" si="9"/>
        <v>#N/A</v>
      </c>
      <c r="H92" s="184" t="e">
        <f t="shared" si="5"/>
        <v>#N/A</v>
      </c>
      <c r="I92" s="163"/>
      <c r="J92" s="183" t="e">
        <f>IF(ISERROR(A92),NA(),SUM(E$33:E92))</f>
        <v>#N/A</v>
      </c>
      <c r="K92" s="183" t="e">
        <f>IF(ISERROR(A92),NA(),SUM(E$33:F92))</f>
        <v>#N/A</v>
      </c>
    </row>
    <row r="93" spans="1:11" x14ac:dyDescent="0.2">
      <c r="A93" s="180" t="e">
        <f t="shared" si="6"/>
        <v>#N/A</v>
      </c>
      <c r="B93" s="180" t="e">
        <f t="shared" si="2"/>
        <v>#N/A</v>
      </c>
      <c r="C93" s="181" t="e">
        <f t="shared" ca="1" si="8"/>
        <v>#N/A</v>
      </c>
      <c r="D93" s="183" t="e">
        <f t="shared" si="7"/>
        <v>#N/A</v>
      </c>
      <c r="E93" s="183" t="e">
        <f t="shared" si="3"/>
        <v>#N/A</v>
      </c>
      <c r="F93" s="183" t="e">
        <f t="shared" si="4"/>
        <v>#N/A</v>
      </c>
      <c r="G93" s="184" t="e">
        <f t="shared" si="9"/>
        <v>#N/A</v>
      </c>
      <c r="H93" s="184" t="e">
        <f t="shared" si="5"/>
        <v>#N/A</v>
      </c>
      <c r="I93" s="163"/>
      <c r="J93" s="183" t="e">
        <f>IF(ISERROR(A93),NA(),SUM(E$33:E93))</f>
        <v>#N/A</v>
      </c>
      <c r="K93" s="183" t="e">
        <f>IF(ISERROR(A93),NA(),SUM(E$33:F93))</f>
        <v>#N/A</v>
      </c>
    </row>
  </sheetData>
  <conditionalFormatting sqref="H23:H24">
    <cfRule type="expression" dxfId="4" priority="1" stopIfTrue="1">
      <formula>NOT(randrate)</formula>
    </cfRule>
  </conditionalFormatting>
  <conditionalFormatting sqref="E17">
    <cfRule type="expression" dxfId="3" priority="2" stopIfTrue="1">
      <formula>randrate</formula>
    </cfRule>
  </conditionalFormatting>
  <conditionalFormatting sqref="J34:K93 A34:H93">
    <cfRule type="expression" dxfId="2" priority="3" stopIfTrue="1">
      <formula>ISERROR(A34)</formula>
    </cfRule>
    <cfRule type="expression" dxfId="1" priority="4" stopIfTrue="1">
      <formula>MOD(ROW(),2)=1</formula>
    </cfRule>
  </conditionalFormatting>
  <dataValidations count="2">
    <dataValidation type="list" allowBlank="1" showInputMessage="1" showErrorMessage="1" sqref="E18" xr:uid="{CB828E29-F7E0-40D7-85E1-7106873F714A}">
      <formula1>"12,24,26,52,13,4,2,1"</formula1>
    </dataValidation>
    <dataValidation type="list" allowBlank="1" showInputMessage="1" showErrorMessage="1" sqref="H22" xr:uid="{88A5BC14-6B68-4E20-8BDB-6D126072AF2B}">
      <formula1>"On,Off"</formula1>
    </dataValidation>
  </dataValidations>
  <printOptions horizontalCentered="1"/>
  <pageMargins left="0.5" right="0.5" top="0.5" bottom="0.5" header="0.5" footer="0.25"/>
  <pageSetup fitToHeight="0" orientation="portrait" r:id="rId1"/>
  <headerFooter differentFirst="1" scaleWithDoc="0">
    <firstFooter>&amp;R&amp;"Arial,Regular"&amp;8Page &amp;P of &amp;N</first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5B52-E2F4-4980-8627-443F3066E214}">
  <sheetPr>
    <tabColor theme="4" tint="0.39997558519241921"/>
    <pageSetUpPr autoPageBreaks="0" fitToPage="1"/>
  </sheetPr>
  <dimension ref="A1:E10"/>
  <sheetViews>
    <sheetView showGridLines="0" zoomScaleNormal="100" workbookViewId="0">
      <selection activeCell="E2" sqref="E2"/>
    </sheetView>
  </sheetViews>
  <sheetFormatPr defaultColWidth="8.85546875" defaultRowHeight="30" customHeight="1" x14ac:dyDescent="0.25"/>
  <cols>
    <col min="1" max="1" width="2.7109375" style="229" customWidth="1"/>
    <col min="2" max="2" width="35.7109375" style="231" customWidth="1"/>
    <col min="3" max="3" width="20.7109375" style="229" customWidth="1"/>
    <col min="4" max="4" width="35.7109375" style="229" customWidth="1"/>
    <col min="5" max="5" width="27.42578125" style="230" bestFit="1" customWidth="1"/>
    <col min="6" max="16384" width="8.85546875" style="229"/>
  </cols>
  <sheetData>
    <row r="1" spans="1:5" ht="30" customHeight="1" x14ac:dyDescent="0.4">
      <c r="A1" s="230"/>
      <c r="B1" s="244" t="s">
        <v>179</v>
      </c>
      <c r="C1" s="244"/>
      <c r="D1" s="245" t="s">
        <v>178</v>
      </c>
      <c r="E1" s="242" t="s">
        <v>191</v>
      </c>
    </row>
    <row r="2" spans="1:5" ht="30" customHeight="1" thickBot="1" x14ac:dyDescent="0.45">
      <c r="A2" s="230"/>
      <c r="B2" s="244" t="s">
        <v>177</v>
      </c>
      <c r="C2" s="244"/>
      <c r="D2" s="243">
        <f>E4</f>
        <v>4047.3987238027244</v>
      </c>
      <c r="E2" s="255">
        <f>ValueOfHome*0.2</f>
        <v>240000</v>
      </c>
    </row>
    <row r="3" spans="1:5" ht="35.1" customHeight="1" thickTop="1" x14ac:dyDescent="0.25">
      <c r="A3" s="230"/>
      <c r="B3" s="240" t="s">
        <v>176</v>
      </c>
      <c r="C3" s="240" t="s">
        <v>175</v>
      </c>
      <c r="D3" s="241" t="s">
        <v>174</v>
      </c>
      <c r="E3" s="240" t="s">
        <v>173</v>
      </c>
    </row>
    <row r="4" spans="1:5" ht="30" customHeight="1" x14ac:dyDescent="0.25">
      <c r="B4" s="230" t="s">
        <v>172</v>
      </c>
      <c r="C4" s="237">
        <v>1200000</v>
      </c>
      <c r="D4" s="230" t="s">
        <v>171</v>
      </c>
      <c r="E4" s="235">
        <f>IFERROR(PMT(InterestRate/12,DurationOfLoan,-LoanAmount),0)</f>
        <v>4047.3987238027244</v>
      </c>
    </row>
    <row r="5" spans="1:5" ht="30" customHeight="1" x14ac:dyDescent="0.25">
      <c r="B5" s="230" t="s">
        <v>170</v>
      </c>
      <c r="C5" s="239">
        <v>0.03</v>
      </c>
      <c r="D5" s="230" t="s">
        <v>169</v>
      </c>
      <c r="E5" s="235">
        <f ca="1">IFERROR(IF(ValuesEntered,SUM(total_payments),0),0)</f>
        <v>1589667.65906579</v>
      </c>
    </row>
    <row r="6" spans="1:5" ht="30" customHeight="1" x14ac:dyDescent="0.25">
      <c r="B6" s="230" t="s">
        <v>168</v>
      </c>
      <c r="C6" s="238">
        <v>360</v>
      </c>
      <c r="D6" s="230" t="s">
        <v>167</v>
      </c>
      <c r="E6" s="235">
        <f ca="1">IFERROR(IF(ValuesEntered,SUM(total_loan_payment),0),0)</f>
        <v>1454667.6590657898</v>
      </c>
    </row>
    <row r="7" spans="1:5" ht="30" customHeight="1" x14ac:dyDescent="0.25">
      <c r="B7" s="230" t="s">
        <v>166</v>
      </c>
      <c r="C7" s="237">
        <f>ValueOfHome*0.8</f>
        <v>960000</v>
      </c>
      <c r="D7" s="230" t="s">
        <v>165</v>
      </c>
      <c r="E7" s="235">
        <f ca="1">IFERROR(IF(ValuesEntered,SUM(interest),0),0)</f>
        <v>494667.65906579053</v>
      </c>
    </row>
    <row r="8" spans="1:5" ht="30" customHeight="1" x14ac:dyDescent="0.25">
      <c r="B8" s="230" t="s">
        <v>164</v>
      </c>
      <c r="C8" s="236">
        <f ca="1">TODAY()+540</f>
        <v>45056</v>
      </c>
      <c r="D8" s="230" t="s">
        <v>163</v>
      </c>
      <c r="E8" s="235">
        <v>375</v>
      </c>
    </row>
    <row r="9" spans="1:5" s="230" customFormat="1" ht="30" customHeight="1" x14ac:dyDescent="0.25">
      <c r="B9" s="234" t="s">
        <v>162</v>
      </c>
      <c r="C9" s="234"/>
      <c r="D9" s="234"/>
      <c r="E9" s="234"/>
    </row>
    <row r="10" spans="1:5" ht="30" customHeight="1" x14ac:dyDescent="0.25">
      <c r="C10" s="233"/>
      <c r="D10" s="233"/>
      <c r="E10" s="232" t="s">
        <v>161</v>
      </c>
    </row>
  </sheetData>
  <sheetProtection insertRows="0" deleteRows="0" selectLockedCells="1"/>
  <mergeCells count="3">
    <mergeCell ref="B1:C1"/>
    <mergeCell ref="B2:C2"/>
    <mergeCell ref="B9:E9"/>
  </mergeCells>
  <dataValidations count="16">
    <dataValidation allowBlank="1" showInputMessage="1" showErrorMessage="1" prompt="Link to Amortization Table worksheet" sqref="E10" xr:uid="{00000000-0002-0000-0000-00000F000000}"/>
    <dataValidation allowBlank="1" showInputMessage="1" showErrorMessage="1" prompt="This note applies to Total Monthly Payments in cell D5" sqref="B9" xr:uid="{00000000-0002-0000-0000-00000E000000}"/>
    <dataValidation allowBlank="1" showInputMessage="1" showErrorMessage="1" prompt="Monthly Loan Payment is automatically calculated below" sqref="D1" xr:uid="{00000000-0002-0000-0000-00000D000000}"/>
    <dataValidation allowBlank="1" showInputMessage="1" showErrorMessage="1" prompt="Title of this worksheet is in this and the cell below" sqref="B1:C1" xr:uid="{00000000-0002-0000-0000-00000C000000}"/>
    <dataValidation allowBlank="1" showInputMessage="1" showErrorMessage="1" prompt="Totals in this column under this heading are calculated automatically. Enter Monthly Property Tax Amount in cell E8" sqref="E3" xr:uid="{00000000-0002-0000-0000-00000B000000}"/>
    <dataValidation allowBlank="1" showInputMessage="1" showErrorMessage="1" prompt="Key Statistics for the loan are in this column under this heading. Enter Monthly Property Tax Amount in cell E8" sqref="D3" xr:uid="{00000000-0002-0000-0000-00000A000000}"/>
    <dataValidation allowBlank="1" showInputMessage="1" showErrorMessage="1" prompt="Enter Loan Detail values in this column under this heading. Enter Monthly Property Tax Amount in cell E8" sqref="C3" xr:uid="{00000000-0002-0000-0000-000009000000}"/>
    <dataValidation allowBlank="1" showInputMessage="1" showErrorMessage="1" prompt="Monthly Loan Payment is automatically calculated in this cell" sqref="D2" xr:uid="{00000000-0002-0000-0000-000008000000}"/>
    <dataValidation allowBlank="1" showInputMessage="1" showErrorMessage="1" prompt="Loan Details to enter are in this column under this heading" sqref="B3" xr:uid="{00000000-0002-0000-0000-000007000000}"/>
    <dataValidation allowBlank="1" showInputMessage="1" showErrorMessage="1" prompt="Enter the Monthly Property Tax Amount in this cell" sqref="E8" xr:uid="{00000000-0002-0000-0000-000006000000}"/>
    <dataValidation allowBlank="1" showInputMessage="1" showErrorMessage="1" prompt="Enter the Loan Start Date in this cell" sqref="C8" xr:uid="{00000000-0002-0000-0000-000005000000}"/>
    <dataValidation allowBlank="1" showInputMessage="1" showErrorMessage="1" prompt="Enter the total Loan Amount in this cell" sqref="C7" xr:uid="{00000000-0002-0000-0000-000004000000}"/>
    <dataValidation allowBlank="1" showInputMessage="1" showErrorMessage="1" prompt="Enter the Interest Rate in this cell" sqref="C5" xr:uid="{00000000-0002-0000-0000-000003000000}"/>
    <dataValidation allowBlank="1" showInputMessage="1" showErrorMessage="1" prompt="Enter the Purchase Price in this cell" sqref="C4" xr:uid="{00000000-0002-0000-0000-000002000000}"/>
    <dataValidation allowBlank="1" showInputMessage="1" showErrorMessage="1" prompt="Mortgage Calculator contains loan details &amp; automatically calculates Key Statistics to determine Total Monthly Loan Payment. A navigation link to Amortization Table is in cell E10" sqref="A1" xr:uid="{00000000-0002-0000-0000-000001000000}"/>
    <dataValidation type="whole" errorStyle="warning" allowBlank="1" showInputMessage="1" showErrorMessage="1" error="The maximum length of a loan for this calculator is 360 months (30 years). Select RETRY to enter a value between 1 and 360, CANCEL to exit" prompt="Enter the Duration of the Loan (in months). Valid values are between 1 and 360 (30 years)" sqref="C6" xr:uid="{00000000-0002-0000-0000-000000000000}">
      <formula1>1</formula1>
      <formula2>360</formula2>
    </dataValidation>
  </dataValidations>
  <hyperlinks>
    <hyperlink ref="E10" location="'Amortization Table'!A1" tooltip="Link to Amortization Table" display="To Amortization Table" xr:uid="{8963E881-53F4-4A98-A9B2-8DF070C581E6}"/>
  </hyperlinks>
  <printOptions horizontalCentered="1"/>
  <pageMargins left="0.25" right="0.25" top="0.75" bottom="0.75" header="0.3" footer="0.3"/>
  <pageSetup orientation="landscape" r:id="rId1"/>
  <headerFooter differentFirst="1">
    <oddFooter>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148D-2700-4721-B15E-3B1FAB1B5B80}">
  <sheetPr>
    <tabColor theme="5" tint="-0.249977111117893"/>
    <pageSetUpPr fitToPage="1"/>
  </sheetPr>
  <dimension ref="A1:J363"/>
  <sheetViews>
    <sheetView showGridLines="0" zoomScaleNormal="100" workbookViewId="0">
      <selection activeCell="F35" sqref="F35"/>
    </sheetView>
  </sheetViews>
  <sheetFormatPr defaultColWidth="8.85546875" defaultRowHeight="15" x14ac:dyDescent="0.25"/>
  <cols>
    <col min="1" max="1" width="2.7109375" style="246" customWidth="1"/>
    <col min="2" max="2" width="9.140625" style="246" customWidth="1"/>
    <col min="3" max="3" width="14.28515625" style="246" customWidth="1"/>
    <col min="4" max="4" width="16.28515625" style="246" customWidth="1"/>
    <col min="5" max="5" width="14.28515625" style="246" customWidth="1"/>
    <col min="6" max="6" width="16.28515625" style="246" customWidth="1"/>
    <col min="7" max="7" width="15.7109375" style="246" customWidth="1"/>
    <col min="8" max="9" width="16.28515625" style="246" customWidth="1"/>
    <col min="10" max="10" width="15.7109375" style="246" customWidth="1"/>
    <col min="11" max="16384" width="8.85546875" style="246"/>
  </cols>
  <sheetData>
    <row r="1" spans="1:10" s="251" customFormat="1" ht="30" customHeight="1" x14ac:dyDescent="0.4">
      <c r="A1" s="230"/>
      <c r="B1" s="254" t="s">
        <v>190</v>
      </c>
      <c r="C1" s="254"/>
      <c r="D1" s="254"/>
      <c r="E1" s="254"/>
      <c r="F1" s="254"/>
      <c r="G1" s="254"/>
      <c r="H1" s="254"/>
      <c r="I1" s="254"/>
      <c r="J1" s="254"/>
    </row>
    <row r="2" spans="1:10" s="251" customFormat="1" ht="30" customHeight="1" thickBot="1" x14ac:dyDescent="0.45">
      <c r="A2" s="253"/>
      <c r="B2" s="252" t="s">
        <v>189</v>
      </c>
      <c r="C2" s="252"/>
      <c r="D2" s="252"/>
      <c r="E2" s="252"/>
      <c r="F2" s="252"/>
      <c r="G2" s="252"/>
      <c r="H2" s="252"/>
      <c r="I2" s="252"/>
      <c r="J2" s="252"/>
    </row>
    <row r="3" spans="1:10" ht="35.1" customHeight="1" thickTop="1" x14ac:dyDescent="0.25">
      <c r="B3" s="250" t="s">
        <v>188</v>
      </c>
      <c r="C3" s="250" t="s">
        <v>187</v>
      </c>
      <c r="D3" s="250" t="s">
        <v>186</v>
      </c>
      <c r="E3" s="250" t="s">
        <v>185</v>
      </c>
      <c r="F3" s="250" t="s">
        <v>184</v>
      </c>
      <c r="G3" s="250" t="s">
        <v>183</v>
      </c>
      <c r="H3" s="250" t="s">
        <v>182</v>
      </c>
      <c r="I3" s="250" t="s">
        <v>181</v>
      </c>
      <c r="J3" s="250" t="s">
        <v>180</v>
      </c>
    </row>
    <row r="4" spans="1:10" ht="15" customHeight="1" x14ac:dyDescent="0.25">
      <c r="B4" s="249">
        <f>ROWS($B$4:B4)</f>
        <v>1</v>
      </c>
      <c r="C4" s="248">
        <f ca="1">IF(ValuesEntered,IF(Amortization[[#This Row],['#]]&lt;=DurationOfLoan,IF(ROW()-ROW(Amortization[[#Headers],[payment
date]])=1,LoanStart,IF(I3&gt;0,EDATE(C3,1),"")),""),"")</f>
        <v>45056</v>
      </c>
      <c r="D4" s="235">
        <f>IF(ROW()-ROW(Amortization[[#Headers],[opening
balance]])=1,LoanAmount,IF(Amortization[[#This Row],[payment
date]]="",0,INDEX(Amortization[], ROW()-4,8)))</f>
        <v>960000</v>
      </c>
      <c r="E4" s="235">
        <f ca="1">IF(ValuesEntered,IF(ROW()-ROW(Amortization[[#Headers],[interest]])=1,-IPMT(InterestRate/12,1,DurationOfLoan-ROWS($C$4:C4)+1,Amortization[[#This Row],[opening
balance]]),IFERROR(-IPMT(InterestRate/12,1,Amortization[[#This Row],['#
remaining]],D5),0)),0)</f>
        <v>2399.9999999999995</v>
      </c>
      <c r="F4" s="235">
        <f ca="1">IFERROR(IF(AND(ValuesEntered,Amortization[[#This Row],[payment
date]]&lt;&gt;""),-PPMT(InterestRate/12,1,DurationOfLoan-ROWS($C$4:C4)+1,Amortization[[#This Row],[opening
balance]]),""),0)</f>
        <v>1647.3987238027239</v>
      </c>
      <c r="G4" s="235">
        <f ca="1">IF(Amortization[[#This Row],[payment
date]]="",0,PropertyTaxAmount)</f>
        <v>375</v>
      </c>
      <c r="H4" s="235">
        <f ca="1">IF(Amortization[[#This Row],[payment
date]]="",0,Amortization[[#This Row],[interest]]+Amortization[[#This Row],[principal]]+Amortization[[#This Row],[property
tax]])</f>
        <v>4422.3987238027239</v>
      </c>
      <c r="I4" s="235">
        <f ca="1">IF(Amortization[[#This Row],[payment
date]]="",0,Amortization[[#This Row],[opening
balance]]-Amortization[[#This Row],[principal]])</f>
        <v>958352.60127619724</v>
      </c>
      <c r="J4" s="247">
        <f ca="1">IF(Amortization[[#This Row],[closing
balance]]&gt;0,LastRow-ROW(),0)</f>
        <v>359</v>
      </c>
    </row>
    <row r="5" spans="1:10" ht="15" customHeight="1" x14ac:dyDescent="0.25">
      <c r="B5" s="249">
        <f>ROWS($B$4:B5)</f>
        <v>2</v>
      </c>
      <c r="C5" s="248">
        <f ca="1">IF(ValuesEntered,IF(Amortization[[#This Row],['#]]&lt;=DurationOfLoan,IF(ROW()-ROW(Amortization[[#Headers],[payment
date]])=1,LoanStart,IF(I4&gt;0,EDATE(C4,1),"")),""),"")</f>
        <v>45087</v>
      </c>
      <c r="D5" s="235">
        <f ca="1">IF(ROW()-ROW(Amortization[[#Headers],[opening
balance]])=1,LoanAmount,IF(Amortization[[#This Row],[payment
date]]="",0,INDEX(Amortization[], ROW()-4,8)))</f>
        <v>958352.60127619724</v>
      </c>
      <c r="E5" s="235">
        <f ca="1">IF(ValuesEntered,IF(ROW()-ROW(Amortization[[#Headers],[interest]])=1,-IPMT(InterestRate/12,1,DurationOfLoan-ROWS($C$4:C5)+1,Amortization[[#This Row],[opening
balance]]),IFERROR(-IPMT(InterestRate/12,1,Amortization[[#This Row],['#
remaining]],D6),0)),0)</f>
        <v>2391.7527101389624</v>
      </c>
      <c r="F5" s="235">
        <f ca="1">IFERROR(IF(AND(ValuesEntered,Amortization[[#This Row],[payment
date]]&lt;&gt;""),-PPMT(InterestRate/12,1,DurationOfLoan-ROWS($C$4:C5)+1,Amortization[[#This Row],[opening
balance]]),""),0)</f>
        <v>1651.5172206122313</v>
      </c>
      <c r="G5" s="235">
        <f ca="1">IF(Amortization[[#This Row],[payment
date]]="",0,PropertyTaxAmount)</f>
        <v>375</v>
      </c>
      <c r="H5" s="235">
        <f ca="1">IF(Amortization[[#This Row],[payment
date]]="",0,Amortization[[#This Row],[interest]]+Amortization[[#This Row],[principal]]+Amortization[[#This Row],[property
tax]])</f>
        <v>4418.2699307511939</v>
      </c>
      <c r="I5" s="235">
        <f ca="1">IF(Amortization[[#This Row],[payment
date]]="",0,Amortization[[#This Row],[opening
balance]]-Amortization[[#This Row],[principal]])</f>
        <v>956701.08405558497</v>
      </c>
      <c r="J5" s="247">
        <f ca="1">IF(Amortization[[#This Row],[closing
balance]]&gt;0,LastRow-ROW(),0)</f>
        <v>358</v>
      </c>
    </row>
    <row r="6" spans="1:10" ht="15" customHeight="1" x14ac:dyDescent="0.25">
      <c r="B6" s="249">
        <f>ROWS($B$4:B6)</f>
        <v>3</v>
      </c>
      <c r="C6" s="248">
        <f ca="1">IF(ValuesEntered,IF(Amortization[[#This Row],['#]]&lt;=DurationOfLoan,IF(ROW()-ROW(Amortization[[#Headers],[payment
date]])=1,LoanStart,IF(I5&gt;0,EDATE(C5,1),"")),""),"")</f>
        <v>45117</v>
      </c>
      <c r="D6" s="235">
        <f ca="1">IF(ROW()-ROW(Amortization[[#Headers],[opening
balance]])=1,LoanAmount,IF(Amortization[[#This Row],[payment
date]]="",0,INDEX(Amortization[], ROW()-4,8)))</f>
        <v>956701.08405558497</v>
      </c>
      <c r="E6" s="235">
        <f ca="1">IF(ValuesEntered,IF(ROW()-ROW(Amortization[[#Headers],[interest]])=1,-IPMT(InterestRate/12,1,DurationOfLoan-ROWS($C$4:C6)+1,Amortization[[#This Row],[opening
balance]]),IFERROR(-IPMT(InterestRate/12,1,Amortization[[#This Row],['#
remaining]],D7),0)),0)</f>
        <v>2387.6135951048032</v>
      </c>
      <c r="F6" s="235">
        <f ca="1">IFERROR(IF(AND(ValuesEntered,Amortization[[#This Row],[payment
date]]&lt;&gt;""),-PPMT(InterestRate/12,1,DurationOfLoan-ROWS($C$4:C6)+1,Amortization[[#This Row],[opening
balance]]),""),0)</f>
        <v>1655.6460136637618</v>
      </c>
      <c r="G6" s="235">
        <f ca="1">IF(Amortization[[#This Row],[payment
date]]="",0,PropertyTaxAmount)</f>
        <v>375</v>
      </c>
      <c r="H6" s="235">
        <f ca="1">IF(Amortization[[#This Row],[payment
date]]="",0,Amortization[[#This Row],[interest]]+Amortization[[#This Row],[principal]]+Amortization[[#This Row],[property
tax]])</f>
        <v>4418.2596087685652</v>
      </c>
      <c r="I6" s="235">
        <f ca="1">IF(Amortization[[#This Row],[payment
date]]="",0,Amortization[[#This Row],[opening
balance]]-Amortization[[#This Row],[principal]])</f>
        <v>955045.43804192124</v>
      </c>
      <c r="J6" s="247">
        <f ca="1">IF(Amortization[[#This Row],[closing
balance]]&gt;0,LastRow-ROW(),0)</f>
        <v>357</v>
      </c>
    </row>
    <row r="7" spans="1:10" ht="15" customHeight="1" x14ac:dyDescent="0.25">
      <c r="B7" s="249">
        <f>ROWS($B$4:B7)</f>
        <v>4</v>
      </c>
      <c r="C7" s="248">
        <f ca="1">IF(ValuesEntered,IF(Amortization[[#This Row],['#]]&lt;=DurationOfLoan,IF(ROW()-ROW(Amortization[[#Headers],[payment
date]])=1,LoanStart,IF(I6&gt;0,EDATE(C6,1),"")),""),"")</f>
        <v>45148</v>
      </c>
      <c r="D7" s="235">
        <f ca="1">IF(ROW()-ROW(Amortization[[#Headers],[opening
balance]])=1,LoanAmount,IF(Amortization[[#This Row],[payment
date]]="",0,INDEX(Amortization[], ROW()-4,8)))</f>
        <v>955045.43804192124</v>
      </c>
      <c r="E7" s="235">
        <f ca="1">IF(ValuesEntered,IF(ROW()-ROW(Amortization[[#Headers],[interest]])=1,-IPMT(InterestRate/12,1,DurationOfLoan-ROWS($C$4:C7)+1,Amortization[[#This Row],[opening
balance]]),IFERROR(-IPMT(InterestRate/12,1,Amortization[[#This Row],['#
remaining]],D8),0)),0)</f>
        <v>2383.4641322830585</v>
      </c>
      <c r="F7" s="235">
        <f ca="1">IFERROR(IF(AND(ValuesEntered,Amortization[[#This Row],[payment
date]]&lt;&gt;""),-PPMT(InterestRate/12,1,DurationOfLoan-ROWS($C$4:C7)+1,Amortization[[#This Row],[opening
balance]]),""),0)</f>
        <v>1659.785128697921</v>
      </c>
      <c r="G7" s="235">
        <f ca="1">IF(Amortization[[#This Row],[payment
date]]="",0,PropertyTaxAmount)</f>
        <v>375</v>
      </c>
      <c r="H7" s="235">
        <f ca="1">IF(Amortization[[#This Row],[payment
date]]="",0,Amortization[[#This Row],[interest]]+Amortization[[#This Row],[principal]]+Amortization[[#This Row],[property
tax]])</f>
        <v>4418.2492609809797</v>
      </c>
      <c r="I7" s="235">
        <f ca="1">IF(Amortization[[#This Row],[payment
date]]="",0,Amortization[[#This Row],[opening
balance]]-Amortization[[#This Row],[principal]])</f>
        <v>953385.65291322337</v>
      </c>
      <c r="J7" s="247">
        <f ca="1">IF(Amortization[[#This Row],[closing
balance]]&gt;0,LastRow-ROW(),0)</f>
        <v>356</v>
      </c>
    </row>
    <row r="8" spans="1:10" ht="15" customHeight="1" x14ac:dyDescent="0.25">
      <c r="B8" s="249">
        <f>ROWS($B$4:B8)</f>
        <v>5</v>
      </c>
      <c r="C8" s="248">
        <f ca="1">IF(ValuesEntered,IF(Amortization[[#This Row],['#]]&lt;=DurationOfLoan,IF(ROW()-ROW(Amortization[[#Headers],[payment
date]])=1,LoanStart,IF(I7&gt;0,EDATE(C7,1),"")),""),"")</f>
        <v>45179</v>
      </c>
      <c r="D8" s="235">
        <f ca="1">IF(ROW()-ROW(Amortization[[#Headers],[opening
balance]])=1,LoanAmount,IF(Amortization[[#This Row],[payment
date]]="",0,INDEX(Amortization[], ROW()-4,8)))</f>
        <v>953385.65291322337</v>
      </c>
      <c r="E8" s="235">
        <f ca="1">IF(ValuesEntered,IF(ROW()-ROW(Amortization[[#Headers],[interest]])=1,-IPMT(InterestRate/12,1,DurationOfLoan-ROWS($C$4:C8)+1,Amortization[[#This Row],[opening
balance]]),IFERROR(-IPMT(InterestRate/12,1,Amortization[[#This Row],['#
remaining]],D9),0)),0)</f>
        <v>2379.3042958042593</v>
      </c>
      <c r="F8" s="235">
        <f ca="1">IFERROR(IF(AND(ValuesEntered,Amortization[[#This Row],[payment
date]]&lt;&gt;""),-PPMT(InterestRate/12,1,DurationOfLoan-ROWS($C$4:C8)+1,Amortization[[#This Row],[opening
balance]]),""),0)</f>
        <v>1663.9345915196659</v>
      </c>
      <c r="G8" s="235">
        <f ca="1">IF(Amortization[[#This Row],[payment
date]]="",0,PropertyTaxAmount)</f>
        <v>375</v>
      </c>
      <c r="H8" s="235">
        <f ca="1">IF(Amortization[[#This Row],[payment
date]]="",0,Amortization[[#This Row],[interest]]+Amortization[[#This Row],[principal]]+Amortization[[#This Row],[property
tax]])</f>
        <v>4418.2388873239252</v>
      </c>
      <c r="I8" s="235">
        <f ca="1">IF(Amortization[[#This Row],[payment
date]]="",0,Amortization[[#This Row],[opening
balance]]-Amortization[[#This Row],[principal]])</f>
        <v>951721.71832170372</v>
      </c>
      <c r="J8" s="247">
        <f ca="1">IF(Amortization[[#This Row],[closing
balance]]&gt;0,LastRow-ROW(),0)</f>
        <v>355</v>
      </c>
    </row>
    <row r="9" spans="1:10" ht="15" customHeight="1" x14ac:dyDescent="0.25">
      <c r="B9" s="249">
        <f>ROWS($B$4:B9)</f>
        <v>6</v>
      </c>
      <c r="C9" s="248">
        <f ca="1">IF(ValuesEntered,IF(Amortization[[#This Row],['#]]&lt;=DurationOfLoan,IF(ROW()-ROW(Amortization[[#Headers],[payment
date]])=1,LoanStart,IF(I8&gt;0,EDATE(C8,1),"")),""),"")</f>
        <v>45209</v>
      </c>
      <c r="D9" s="235">
        <f ca="1">IF(ROW()-ROW(Amortization[[#Headers],[opening
balance]])=1,LoanAmount,IF(Amortization[[#This Row],[payment
date]]="",0,INDEX(Amortization[], ROW()-4,8)))</f>
        <v>951721.71832170372</v>
      </c>
      <c r="E9" s="235">
        <f ca="1">IF(ValuesEntered,IF(ROW()-ROW(Amortization[[#Headers],[interest]])=1,-IPMT(InterestRate/12,1,DurationOfLoan-ROWS($C$4:C9)+1,Amortization[[#This Row],[opening
balance]]),IFERROR(-IPMT(InterestRate/12,1,Amortization[[#This Row],['#
remaining]],D10),0)),0)</f>
        <v>2375.1340597342632</v>
      </c>
      <c r="F9" s="235">
        <f ca="1">IFERROR(IF(AND(ValuesEntered,Amortization[[#This Row],[payment
date]]&lt;&gt;""),-PPMT(InterestRate/12,1,DurationOfLoan-ROWS($C$4:C9)+1,Amortization[[#This Row],[opening
balance]]),""),0)</f>
        <v>1668.0944279984647</v>
      </c>
      <c r="G9" s="235">
        <f ca="1">IF(Amortization[[#This Row],[payment
date]]="",0,PropertyTaxAmount)</f>
        <v>375</v>
      </c>
      <c r="H9" s="235">
        <f ca="1">IF(Amortization[[#This Row],[payment
date]]="",0,Amortization[[#This Row],[interest]]+Amortization[[#This Row],[principal]]+Amortization[[#This Row],[property
tax]])</f>
        <v>4418.2284877327274</v>
      </c>
      <c r="I9" s="235">
        <f ca="1">IF(Amortization[[#This Row],[payment
date]]="",0,Amortization[[#This Row],[opening
balance]]-Amortization[[#This Row],[principal]])</f>
        <v>950053.62389370531</v>
      </c>
      <c r="J9" s="247">
        <f ca="1">IF(Amortization[[#This Row],[closing
balance]]&gt;0,LastRow-ROW(),0)</f>
        <v>354</v>
      </c>
    </row>
    <row r="10" spans="1:10" ht="15" customHeight="1" x14ac:dyDescent="0.25">
      <c r="B10" s="249">
        <f>ROWS($B$4:B10)</f>
        <v>7</v>
      </c>
      <c r="C10" s="248">
        <f ca="1">IF(ValuesEntered,IF(Amortization[[#This Row],['#]]&lt;=DurationOfLoan,IF(ROW()-ROW(Amortization[[#Headers],[payment
date]])=1,LoanStart,IF(I9&gt;0,EDATE(C9,1),"")),""),"")</f>
        <v>45240</v>
      </c>
      <c r="D10" s="235">
        <f ca="1">IF(ROW()-ROW(Amortization[[#Headers],[opening
balance]])=1,LoanAmount,IF(Amortization[[#This Row],[payment
date]]="",0,INDEX(Amortization[], ROW()-4,8)))</f>
        <v>950053.62389370531</v>
      </c>
      <c r="E10" s="235">
        <f ca="1">IF(ValuesEntered,IF(ROW()-ROW(Amortization[[#Headers],[interest]])=1,-IPMT(InterestRate/12,1,DurationOfLoan-ROWS($C$4:C10)+1,Amortization[[#This Row],[opening
balance]]),IFERROR(-IPMT(InterestRate/12,1,Amortization[[#This Row],['#
remaining]],D11),0)),0)</f>
        <v>2370.9533980740921</v>
      </c>
      <c r="F10" s="235">
        <f ca="1">IFERROR(IF(AND(ValuesEntered,Amortization[[#This Row],[payment
date]]&lt;&gt;""),-PPMT(InterestRate/12,1,DurationOfLoan-ROWS($C$4:C10)+1,Amortization[[#This Row],[opening
balance]]),""),0)</f>
        <v>1672.2646640684611</v>
      </c>
      <c r="G10" s="235">
        <f ca="1">IF(Amortization[[#This Row],[payment
date]]="",0,PropertyTaxAmount)</f>
        <v>375</v>
      </c>
      <c r="H10" s="235">
        <f ca="1">IF(Amortization[[#This Row],[payment
date]]="",0,Amortization[[#This Row],[interest]]+Amortization[[#This Row],[principal]]+Amortization[[#This Row],[property
tax]])</f>
        <v>4418.2180621425532</v>
      </c>
      <c r="I10" s="235">
        <f ca="1">IF(Amortization[[#This Row],[payment
date]]="",0,Amortization[[#This Row],[opening
balance]]-Amortization[[#This Row],[principal]])</f>
        <v>948381.35922963684</v>
      </c>
      <c r="J10" s="247">
        <f ca="1">IF(Amortization[[#This Row],[closing
balance]]&gt;0,LastRow-ROW(),0)</f>
        <v>353</v>
      </c>
    </row>
    <row r="11" spans="1:10" ht="15" customHeight="1" x14ac:dyDescent="0.25">
      <c r="B11" s="249">
        <f>ROWS($B$4:B11)</f>
        <v>8</v>
      </c>
      <c r="C11" s="248">
        <f ca="1">IF(ValuesEntered,IF(Amortization[[#This Row],['#]]&lt;=DurationOfLoan,IF(ROW()-ROW(Amortization[[#Headers],[payment
date]])=1,LoanStart,IF(I10&gt;0,EDATE(C10,1),"")),""),"")</f>
        <v>45270</v>
      </c>
      <c r="D11" s="235">
        <f ca="1">IF(ROW()-ROW(Amortization[[#Headers],[opening
balance]])=1,LoanAmount,IF(Amortization[[#This Row],[payment
date]]="",0,INDEX(Amortization[], ROW()-4,8)))</f>
        <v>948381.35922963684</v>
      </c>
      <c r="E11" s="235">
        <f ca="1">IF(ValuesEntered,IF(ROW()-ROW(Amortization[[#Headers],[interest]])=1,-IPMT(InterestRate/12,1,DurationOfLoan-ROWS($C$4:C11)+1,Amortization[[#This Row],[opening
balance]]),IFERROR(-IPMT(InterestRate/12,1,Amortization[[#This Row],['#
remaining]],D12),0)),0)</f>
        <v>2366.7622847597704</v>
      </c>
      <c r="F11" s="235">
        <f ca="1">IFERROR(IF(AND(ValuesEntered,Amortization[[#This Row],[payment
date]]&lt;&gt;""),-PPMT(InterestRate/12,1,DurationOfLoan-ROWS($C$4:C11)+1,Amortization[[#This Row],[opening
balance]]),""),0)</f>
        <v>1676.4453257286318</v>
      </c>
      <c r="G11" s="235">
        <f ca="1">IF(Amortization[[#This Row],[payment
date]]="",0,PropertyTaxAmount)</f>
        <v>375</v>
      </c>
      <c r="H11" s="235">
        <f ca="1">IF(Amortization[[#This Row],[payment
date]]="",0,Amortization[[#This Row],[interest]]+Amortization[[#This Row],[principal]]+Amortization[[#This Row],[property
tax]])</f>
        <v>4418.2076104884018</v>
      </c>
      <c r="I11" s="235">
        <f ca="1">IF(Amortization[[#This Row],[payment
date]]="",0,Amortization[[#This Row],[opening
balance]]-Amortization[[#This Row],[principal]])</f>
        <v>946704.91390390822</v>
      </c>
      <c r="J11" s="247">
        <f ca="1">IF(Amortization[[#This Row],[closing
balance]]&gt;0,LastRow-ROW(),0)</f>
        <v>352</v>
      </c>
    </row>
    <row r="12" spans="1:10" ht="15" customHeight="1" x14ac:dyDescent="0.25">
      <c r="B12" s="249">
        <f>ROWS($B$4:B12)</f>
        <v>9</v>
      </c>
      <c r="C12" s="248">
        <f ca="1">IF(ValuesEntered,IF(Amortization[[#This Row],['#]]&lt;=DurationOfLoan,IF(ROW()-ROW(Amortization[[#Headers],[payment
date]])=1,LoanStart,IF(I11&gt;0,EDATE(C11,1),"")),""),"")</f>
        <v>45301</v>
      </c>
      <c r="D12" s="235">
        <f ca="1">IF(ROW()-ROW(Amortization[[#Headers],[opening
balance]])=1,LoanAmount,IF(Amortization[[#This Row],[payment
date]]="",0,INDEX(Amortization[], ROW()-4,8)))</f>
        <v>946704.91390390822</v>
      </c>
      <c r="E12" s="235">
        <f ca="1">IF(ValuesEntered,IF(ROW()-ROW(Amortization[[#Headers],[interest]])=1,-IPMT(InterestRate/12,1,DurationOfLoan-ROWS($C$4:C12)+1,Amortization[[#This Row],[opening
balance]]),IFERROR(-IPMT(InterestRate/12,1,Amortization[[#This Row],['#
remaining]],D13),0)),0)</f>
        <v>2362.5606936621634</v>
      </c>
      <c r="F12" s="235">
        <f ca="1">IFERROR(IF(AND(ValuesEntered,Amortization[[#This Row],[payment
date]]&lt;&gt;""),-PPMT(InterestRate/12,1,DurationOfLoan-ROWS($C$4:C12)+1,Amortization[[#This Row],[opening
balance]]),""),0)</f>
        <v>1680.636439042954</v>
      </c>
      <c r="G12" s="235">
        <f ca="1">IF(Amortization[[#This Row],[payment
date]]="",0,PropertyTaxAmount)</f>
        <v>375</v>
      </c>
      <c r="H12" s="235">
        <f ca="1">IF(Amortization[[#This Row],[payment
date]]="",0,Amortization[[#This Row],[interest]]+Amortization[[#This Row],[principal]]+Amortization[[#This Row],[property
tax]])</f>
        <v>4418.1971327051178</v>
      </c>
      <c r="I12" s="235">
        <f ca="1">IF(Amortization[[#This Row],[payment
date]]="",0,Amortization[[#This Row],[opening
balance]]-Amortization[[#This Row],[principal]])</f>
        <v>945024.27746486524</v>
      </c>
      <c r="J12" s="247">
        <f ca="1">IF(Amortization[[#This Row],[closing
balance]]&gt;0,LastRow-ROW(),0)</f>
        <v>351</v>
      </c>
    </row>
    <row r="13" spans="1:10" ht="15" customHeight="1" x14ac:dyDescent="0.25">
      <c r="B13" s="249">
        <f>ROWS($B$4:B13)</f>
        <v>10</v>
      </c>
      <c r="C13" s="248">
        <f ca="1">IF(ValuesEntered,IF(Amortization[[#This Row],['#]]&lt;=DurationOfLoan,IF(ROW()-ROW(Amortization[[#Headers],[payment
date]])=1,LoanStart,IF(I12&gt;0,EDATE(C12,1),"")),""),"")</f>
        <v>45332</v>
      </c>
      <c r="D13" s="235">
        <f ca="1">IF(ROW()-ROW(Amortization[[#Headers],[opening
balance]])=1,LoanAmount,IF(Amortization[[#This Row],[payment
date]]="",0,INDEX(Amortization[], ROW()-4,8)))</f>
        <v>945024.27746486524</v>
      </c>
      <c r="E13" s="235">
        <f ca="1">IF(ValuesEntered,IF(ROW()-ROW(Amortization[[#Headers],[interest]])=1,-IPMT(InterestRate/12,1,DurationOfLoan-ROWS($C$4:C13)+1,Amortization[[#This Row],[opening
balance]]),IFERROR(-IPMT(InterestRate/12,1,Amortization[[#This Row],['#
remaining]],D14),0)),0)</f>
        <v>2358.3485985868119</v>
      </c>
      <c r="F13" s="235">
        <f ca="1">IFERROR(IF(AND(ValuesEntered,Amortization[[#This Row],[payment
date]]&lt;&gt;""),-PPMT(InterestRate/12,1,DurationOfLoan-ROWS($C$4:C13)+1,Amortization[[#This Row],[opening
balance]]),""),0)</f>
        <v>1684.8380301405612</v>
      </c>
      <c r="G13" s="235">
        <f ca="1">IF(Amortization[[#This Row],[payment
date]]="",0,PropertyTaxAmount)</f>
        <v>375</v>
      </c>
      <c r="H13" s="235">
        <f ca="1">IF(Amortization[[#This Row],[payment
date]]="",0,Amortization[[#This Row],[interest]]+Amortization[[#This Row],[principal]]+Amortization[[#This Row],[property
tax]])</f>
        <v>4418.1866287273733</v>
      </c>
      <c r="I13" s="235">
        <f ca="1">IF(Amortization[[#This Row],[payment
date]]="",0,Amortization[[#This Row],[opening
balance]]-Amortization[[#This Row],[principal]])</f>
        <v>943339.43943472463</v>
      </c>
      <c r="J13" s="247">
        <f ca="1">IF(Amortization[[#This Row],[closing
balance]]&gt;0,LastRow-ROW(),0)</f>
        <v>350</v>
      </c>
    </row>
    <row r="14" spans="1:10" ht="15" customHeight="1" x14ac:dyDescent="0.25">
      <c r="B14" s="249">
        <f>ROWS($B$4:B14)</f>
        <v>11</v>
      </c>
      <c r="C14" s="248">
        <f ca="1">IF(ValuesEntered,IF(Amortization[[#This Row],['#]]&lt;=DurationOfLoan,IF(ROW()-ROW(Amortization[[#Headers],[payment
date]])=1,LoanStart,IF(I13&gt;0,EDATE(C13,1),"")),""),"")</f>
        <v>45361</v>
      </c>
      <c r="D14" s="235">
        <f ca="1">IF(ROW()-ROW(Amortization[[#Headers],[opening
balance]])=1,LoanAmount,IF(Amortization[[#This Row],[payment
date]]="",0,INDEX(Amortization[], ROW()-4,8)))</f>
        <v>943339.43943472463</v>
      </c>
      <c r="E14" s="235">
        <f ca="1">IF(ValuesEntered,IF(ROW()-ROW(Amortization[[#Headers],[interest]])=1,-IPMT(InterestRate/12,1,DurationOfLoan-ROWS($C$4:C14)+1,Amortization[[#This Row],[opening
balance]]),IFERROR(-IPMT(InterestRate/12,1,Amortization[[#This Row],['#
remaining]],D15),0)),0)</f>
        <v>2354.1259732737717</v>
      </c>
      <c r="F14" s="235">
        <f ca="1">IFERROR(IF(AND(ValuesEntered,Amortization[[#This Row],[payment
date]]&lt;&gt;""),-PPMT(InterestRate/12,1,DurationOfLoan-ROWS($C$4:C14)+1,Amortization[[#This Row],[opening
balance]]),""),0)</f>
        <v>1689.0501252159124</v>
      </c>
      <c r="G14" s="235">
        <f ca="1">IF(Amortization[[#This Row],[payment
date]]="",0,PropertyTaxAmount)</f>
        <v>375</v>
      </c>
      <c r="H14" s="235">
        <f ca="1">IF(Amortization[[#This Row],[payment
date]]="",0,Amortization[[#This Row],[interest]]+Amortization[[#This Row],[principal]]+Amortization[[#This Row],[property
tax]])</f>
        <v>4418.1760984896846</v>
      </c>
      <c r="I14" s="235">
        <f ca="1">IF(Amortization[[#This Row],[payment
date]]="",0,Amortization[[#This Row],[opening
balance]]-Amortization[[#This Row],[principal]])</f>
        <v>941650.38930950873</v>
      </c>
      <c r="J14" s="247">
        <f ca="1">IF(Amortization[[#This Row],[closing
balance]]&gt;0,LastRow-ROW(),0)</f>
        <v>349</v>
      </c>
    </row>
    <row r="15" spans="1:10" ht="15" customHeight="1" x14ac:dyDescent="0.25">
      <c r="B15" s="249">
        <f>ROWS($B$4:B15)</f>
        <v>12</v>
      </c>
      <c r="C15" s="248">
        <f ca="1">IF(ValuesEntered,IF(Amortization[[#This Row],['#]]&lt;=DurationOfLoan,IF(ROW()-ROW(Amortization[[#Headers],[payment
date]])=1,LoanStart,IF(I14&gt;0,EDATE(C14,1),"")),""),"")</f>
        <v>45392</v>
      </c>
      <c r="D15" s="235">
        <f ca="1">IF(ROW()-ROW(Amortization[[#Headers],[opening
balance]])=1,LoanAmount,IF(Amortization[[#This Row],[payment
date]]="",0,INDEX(Amortization[], ROW()-4,8)))</f>
        <v>941650.38930950873</v>
      </c>
      <c r="E15" s="235">
        <f ca="1">IF(ValuesEntered,IF(ROW()-ROW(Amortization[[#Headers],[interest]])=1,-IPMT(InterestRate/12,1,DurationOfLoan-ROWS($C$4:C15)+1,Amortization[[#This Row],[opening
balance]]),IFERROR(-IPMT(InterestRate/12,1,Amortization[[#This Row],['#
remaining]],D16),0)),0)</f>
        <v>2349.8927913974494</v>
      </c>
      <c r="F15" s="235">
        <f ca="1">IFERROR(IF(AND(ValuesEntered,Amortization[[#This Row],[payment
date]]&lt;&gt;""),-PPMT(InterestRate/12,1,DurationOfLoan-ROWS($C$4:C15)+1,Amortization[[#This Row],[opening
balance]]),""),0)</f>
        <v>1693.2727505289522</v>
      </c>
      <c r="G15" s="235">
        <f ca="1">IF(Amortization[[#This Row],[payment
date]]="",0,PropertyTaxAmount)</f>
        <v>375</v>
      </c>
      <c r="H15" s="235">
        <f ca="1">IF(Amortization[[#This Row],[payment
date]]="",0,Amortization[[#This Row],[interest]]+Amortization[[#This Row],[principal]]+Amortization[[#This Row],[property
tax]])</f>
        <v>4418.1655419264016</v>
      </c>
      <c r="I15" s="235">
        <f ca="1">IF(Amortization[[#This Row],[payment
date]]="",0,Amortization[[#This Row],[opening
balance]]-Amortization[[#This Row],[principal]])</f>
        <v>939957.11655897973</v>
      </c>
      <c r="J15" s="247">
        <f ca="1">IF(Amortization[[#This Row],[closing
balance]]&gt;0,LastRow-ROW(),0)</f>
        <v>348</v>
      </c>
    </row>
    <row r="16" spans="1:10" ht="15" customHeight="1" x14ac:dyDescent="0.25">
      <c r="B16" s="249">
        <f>ROWS($B$4:B16)</f>
        <v>13</v>
      </c>
      <c r="C16" s="248">
        <f ca="1">IF(ValuesEntered,IF(Amortization[[#This Row],['#]]&lt;=DurationOfLoan,IF(ROW()-ROW(Amortization[[#Headers],[payment
date]])=1,LoanStart,IF(I15&gt;0,EDATE(C15,1),"")),""),"")</f>
        <v>45422</v>
      </c>
      <c r="D16" s="235">
        <f ca="1">IF(ROW()-ROW(Amortization[[#Headers],[opening
balance]])=1,LoanAmount,IF(Amortization[[#This Row],[payment
date]]="",0,INDEX(Amortization[], ROW()-4,8)))</f>
        <v>939957.11655897973</v>
      </c>
      <c r="E16" s="235">
        <f ca="1">IF(ValuesEntered,IF(ROW()-ROW(Amortization[[#Headers],[interest]])=1,-IPMT(InterestRate/12,1,DurationOfLoan-ROWS($C$4:C16)+1,Amortization[[#This Row],[opening
balance]]),IFERROR(-IPMT(InterestRate/12,1,Amortization[[#This Row],['#
remaining]],D17),0)),0)</f>
        <v>2345.6490265664361</v>
      </c>
      <c r="F16" s="235">
        <f ca="1">IFERROR(IF(AND(ValuesEntered,Amortization[[#This Row],[payment
date]]&lt;&gt;""),-PPMT(InterestRate/12,1,DurationOfLoan-ROWS($C$4:C16)+1,Amortization[[#This Row],[opening
balance]]),""),0)</f>
        <v>1697.5059324052745</v>
      </c>
      <c r="G16" s="235">
        <f ca="1">IF(Amortization[[#This Row],[payment
date]]="",0,PropertyTaxAmount)</f>
        <v>375</v>
      </c>
      <c r="H16" s="235">
        <f ca="1">IF(Amortization[[#This Row],[payment
date]]="",0,Amortization[[#This Row],[interest]]+Amortization[[#This Row],[principal]]+Amortization[[#This Row],[property
tax]])</f>
        <v>4418.1549589717106</v>
      </c>
      <c r="I16" s="235">
        <f ca="1">IF(Amortization[[#This Row],[payment
date]]="",0,Amortization[[#This Row],[opening
balance]]-Amortization[[#This Row],[principal]])</f>
        <v>938259.61062657449</v>
      </c>
      <c r="J16" s="247">
        <f ca="1">IF(Amortization[[#This Row],[closing
balance]]&gt;0,LastRow-ROW(),0)</f>
        <v>347</v>
      </c>
    </row>
    <row r="17" spans="2:10" ht="15" customHeight="1" x14ac:dyDescent="0.25">
      <c r="B17" s="249">
        <f>ROWS($B$4:B17)</f>
        <v>14</v>
      </c>
      <c r="C17" s="248">
        <f ca="1">IF(ValuesEntered,IF(Amortization[[#This Row],['#]]&lt;=DurationOfLoan,IF(ROW()-ROW(Amortization[[#Headers],[payment
date]])=1,LoanStart,IF(I16&gt;0,EDATE(C16,1),"")),""),"")</f>
        <v>45453</v>
      </c>
      <c r="D17" s="235">
        <f ca="1">IF(ROW()-ROW(Amortization[[#Headers],[opening
balance]])=1,LoanAmount,IF(Amortization[[#This Row],[payment
date]]="",0,INDEX(Amortization[], ROW()-4,8)))</f>
        <v>938259.61062657449</v>
      </c>
      <c r="E17" s="235">
        <f ca="1">IF(ValuesEntered,IF(ROW()-ROW(Amortization[[#Headers],[interest]])=1,-IPMT(InterestRate/12,1,DurationOfLoan-ROWS($C$4:C17)+1,Amortization[[#This Row],[opening
balance]]),IFERROR(-IPMT(InterestRate/12,1,Amortization[[#This Row],['#
remaining]],D18),0)),0)</f>
        <v>2341.3946523233458</v>
      </c>
      <c r="F17" s="235">
        <f ca="1">IFERROR(IF(AND(ValuesEntered,Amortization[[#This Row],[payment
date]]&lt;&gt;""),-PPMT(InterestRate/12,1,DurationOfLoan-ROWS($C$4:C17)+1,Amortization[[#This Row],[opening
balance]]),""),0)</f>
        <v>1701.7496972362878</v>
      </c>
      <c r="G17" s="235">
        <f ca="1">IF(Amortization[[#This Row],[payment
date]]="",0,PropertyTaxAmount)</f>
        <v>375</v>
      </c>
      <c r="H17" s="235">
        <f ca="1">IF(Amortization[[#This Row],[payment
date]]="",0,Amortization[[#This Row],[interest]]+Amortization[[#This Row],[principal]]+Amortization[[#This Row],[property
tax]])</f>
        <v>4418.1443495596341</v>
      </c>
      <c r="I17" s="235">
        <f ca="1">IF(Amortization[[#This Row],[payment
date]]="",0,Amortization[[#This Row],[opening
balance]]-Amortization[[#This Row],[principal]])</f>
        <v>936557.86092933815</v>
      </c>
      <c r="J17" s="247">
        <f ca="1">IF(Amortization[[#This Row],[closing
balance]]&gt;0,LastRow-ROW(),0)</f>
        <v>346</v>
      </c>
    </row>
    <row r="18" spans="2:10" ht="15" customHeight="1" x14ac:dyDescent="0.25">
      <c r="B18" s="249">
        <f>ROWS($B$4:B18)</f>
        <v>15</v>
      </c>
      <c r="C18" s="248">
        <f ca="1">IF(ValuesEntered,IF(Amortization[[#This Row],['#]]&lt;=DurationOfLoan,IF(ROW()-ROW(Amortization[[#Headers],[payment
date]])=1,LoanStart,IF(I17&gt;0,EDATE(C17,1),"")),""),"")</f>
        <v>45483</v>
      </c>
      <c r="D18" s="235">
        <f ca="1">IF(ROW()-ROW(Amortization[[#Headers],[opening
balance]])=1,LoanAmount,IF(Amortization[[#This Row],[payment
date]]="",0,INDEX(Amortization[], ROW()-4,8)))</f>
        <v>936557.86092933815</v>
      </c>
      <c r="E18" s="235">
        <f ca="1">IF(ValuesEntered,IF(ROW()-ROW(Amortization[[#Headers],[interest]])=1,-IPMT(InterestRate/12,1,DurationOfLoan-ROWS($C$4:C18)+1,Amortization[[#This Row],[opening
balance]]),IFERROR(-IPMT(InterestRate/12,1,Amortization[[#This Row],['#
remaining]],D19),0)),0)</f>
        <v>2337.1296421446468</v>
      </c>
      <c r="F18" s="235">
        <f ca="1">IFERROR(IF(AND(ValuesEntered,Amortization[[#This Row],[payment
date]]&lt;&gt;""),-PPMT(InterestRate/12,1,DurationOfLoan-ROWS($C$4:C18)+1,Amortization[[#This Row],[opening
balance]]),""),0)</f>
        <v>1706.0040714793786</v>
      </c>
      <c r="G18" s="235">
        <f ca="1">IF(Amortization[[#This Row],[payment
date]]="",0,PropertyTaxAmount)</f>
        <v>375</v>
      </c>
      <c r="H18" s="235">
        <f ca="1">IF(Amortization[[#This Row],[payment
date]]="",0,Amortization[[#This Row],[interest]]+Amortization[[#This Row],[principal]]+Amortization[[#This Row],[property
tax]])</f>
        <v>4418.1337136240254</v>
      </c>
      <c r="I18" s="235">
        <f ca="1">IF(Amortization[[#This Row],[payment
date]]="",0,Amortization[[#This Row],[opening
balance]]-Amortization[[#This Row],[principal]])</f>
        <v>934851.85685785871</v>
      </c>
      <c r="J18" s="247">
        <f ca="1">IF(Amortization[[#This Row],[closing
balance]]&gt;0,LastRow-ROW(),0)</f>
        <v>345</v>
      </c>
    </row>
    <row r="19" spans="2:10" ht="15" customHeight="1" x14ac:dyDescent="0.25">
      <c r="B19" s="249">
        <f>ROWS($B$4:B19)</f>
        <v>16</v>
      </c>
      <c r="C19" s="248">
        <f ca="1">IF(ValuesEntered,IF(Amortization[[#This Row],['#]]&lt;=DurationOfLoan,IF(ROW()-ROW(Amortization[[#Headers],[payment
date]])=1,LoanStart,IF(I18&gt;0,EDATE(C18,1),"")),""),"")</f>
        <v>45514</v>
      </c>
      <c r="D19" s="235">
        <f ca="1">IF(ROW()-ROW(Amortization[[#Headers],[opening
balance]])=1,LoanAmount,IF(Amortization[[#This Row],[payment
date]]="",0,INDEX(Amortization[], ROW()-4,8)))</f>
        <v>934851.85685785871</v>
      </c>
      <c r="E19" s="235">
        <f ca="1">IF(ValuesEntered,IF(ROW()-ROW(Amortization[[#Headers],[interest]])=1,-IPMT(InterestRate/12,1,DurationOfLoan-ROWS($C$4:C19)+1,Amortization[[#This Row],[opening
balance]]),IFERROR(-IPMT(InterestRate/12,1,Amortization[[#This Row],['#
remaining]],D20),0)),0)</f>
        <v>2332.8539694405017</v>
      </c>
      <c r="F19" s="235">
        <f ca="1">IFERROR(IF(AND(ValuesEntered,Amortization[[#This Row],[payment
date]]&lt;&gt;""),-PPMT(InterestRate/12,1,DurationOfLoan-ROWS($C$4:C19)+1,Amortization[[#This Row],[opening
balance]]),""),0)</f>
        <v>1710.2690816580773</v>
      </c>
      <c r="G19" s="235">
        <f ca="1">IF(Amortization[[#This Row],[payment
date]]="",0,PropertyTaxAmount)</f>
        <v>375</v>
      </c>
      <c r="H19" s="235">
        <f ca="1">IF(Amortization[[#This Row],[payment
date]]="",0,Amortization[[#This Row],[interest]]+Amortization[[#This Row],[principal]]+Amortization[[#This Row],[property
tax]])</f>
        <v>4418.1230510985788</v>
      </c>
      <c r="I19" s="235">
        <f ca="1">IF(Amortization[[#This Row],[payment
date]]="",0,Amortization[[#This Row],[opening
balance]]-Amortization[[#This Row],[principal]])</f>
        <v>933141.58777620061</v>
      </c>
      <c r="J19" s="247">
        <f ca="1">IF(Amortization[[#This Row],[closing
balance]]&gt;0,LastRow-ROW(),0)</f>
        <v>344</v>
      </c>
    </row>
    <row r="20" spans="2:10" ht="15" customHeight="1" x14ac:dyDescent="0.25">
      <c r="B20" s="249">
        <f>ROWS($B$4:B20)</f>
        <v>17</v>
      </c>
      <c r="C20" s="248">
        <f ca="1">IF(ValuesEntered,IF(Amortization[[#This Row],['#]]&lt;=DurationOfLoan,IF(ROW()-ROW(Amortization[[#Headers],[payment
date]])=1,LoanStart,IF(I19&gt;0,EDATE(C19,1),"")),""),"")</f>
        <v>45545</v>
      </c>
      <c r="D20" s="235">
        <f ca="1">IF(ROW()-ROW(Amortization[[#Headers],[opening
balance]])=1,LoanAmount,IF(Amortization[[#This Row],[payment
date]]="",0,INDEX(Amortization[], ROW()-4,8)))</f>
        <v>933141.58777620061</v>
      </c>
      <c r="E20" s="235">
        <f ca="1">IF(ValuesEntered,IF(ROW()-ROW(Amortization[[#Headers],[interest]])=1,-IPMT(InterestRate/12,1,DurationOfLoan-ROWS($C$4:C20)+1,Amortization[[#This Row],[opening
balance]]),IFERROR(-IPMT(InterestRate/12,1,Amortization[[#This Row],['#
remaining]],D21),0)),0)</f>
        <v>2328.5676075545962</v>
      </c>
      <c r="F20" s="235">
        <f ca="1">IFERROR(IF(AND(ValuesEntered,Amortization[[#This Row],[payment
date]]&lt;&gt;""),-PPMT(InterestRate/12,1,DurationOfLoan-ROWS($C$4:C20)+1,Amortization[[#This Row],[opening
balance]]),""),0)</f>
        <v>1714.544754362222</v>
      </c>
      <c r="G20" s="235">
        <f ca="1">IF(Amortization[[#This Row],[payment
date]]="",0,PropertyTaxAmount)</f>
        <v>375</v>
      </c>
      <c r="H20" s="235">
        <f ca="1">IF(Amortization[[#This Row],[payment
date]]="",0,Amortization[[#This Row],[interest]]+Amortization[[#This Row],[principal]]+Amortization[[#This Row],[property
tax]])</f>
        <v>4418.1123619168184</v>
      </c>
      <c r="I20" s="235">
        <f ca="1">IF(Amortization[[#This Row],[payment
date]]="",0,Amortization[[#This Row],[opening
balance]]-Amortization[[#This Row],[principal]])</f>
        <v>931427.04302183841</v>
      </c>
      <c r="J20" s="247">
        <f ca="1">IF(Amortization[[#This Row],[closing
balance]]&gt;0,LastRow-ROW(),0)</f>
        <v>343</v>
      </c>
    </row>
    <row r="21" spans="2:10" ht="15" customHeight="1" x14ac:dyDescent="0.25">
      <c r="B21" s="249">
        <f>ROWS($B$4:B21)</f>
        <v>18</v>
      </c>
      <c r="C21" s="248">
        <f ca="1">IF(ValuesEntered,IF(Amortization[[#This Row],['#]]&lt;=DurationOfLoan,IF(ROW()-ROW(Amortization[[#Headers],[payment
date]])=1,LoanStart,IF(I20&gt;0,EDATE(C20,1),"")),""),"")</f>
        <v>45575</v>
      </c>
      <c r="D21" s="235">
        <f ca="1">IF(ROW()-ROW(Amortization[[#Headers],[opening
balance]])=1,LoanAmount,IF(Amortization[[#This Row],[payment
date]]="",0,INDEX(Amortization[], ROW()-4,8)))</f>
        <v>931427.04302183841</v>
      </c>
      <c r="E21" s="235">
        <f ca="1">IF(ValuesEntered,IF(ROW()-ROW(Amortization[[#Headers],[interest]])=1,-IPMT(InterestRate/12,1,DurationOfLoan-ROWS($C$4:C21)+1,Amortization[[#This Row],[opening
balance]]),IFERROR(-IPMT(InterestRate/12,1,Amortization[[#This Row],['#
remaining]],D22),0)),0)</f>
        <v>2324.2705297639759</v>
      </c>
      <c r="F21" s="235">
        <f ca="1">IFERROR(IF(AND(ValuesEntered,Amortization[[#This Row],[payment
date]]&lt;&gt;""),-PPMT(InterestRate/12,1,DurationOfLoan-ROWS($C$4:C21)+1,Amortization[[#This Row],[opening
balance]]),""),0)</f>
        <v>1718.8311162481277</v>
      </c>
      <c r="G21" s="235">
        <f ca="1">IF(Amortization[[#This Row],[payment
date]]="",0,PropertyTaxAmount)</f>
        <v>375</v>
      </c>
      <c r="H21" s="235">
        <f ca="1">IF(Amortization[[#This Row],[payment
date]]="",0,Amortization[[#This Row],[interest]]+Amortization[[#This Row],[principal]]+Amortization[[#This Row],[property
tax]])</f>
        <v>4418.1016460121036</v>
      </c>
      <c r="I21" s="235">
        <f ca="1">IF(Amortization[[#This Row],[payment
date]]="",0,Amortization[[#This Row],[opening
balance]]-Amortization[[#This Row],[principal]])</f>
        <v>929708.21190559026</v>
      </c>
      <c r="J21" s="247">
        <f ca="1">IF(Amortization[[#This Row],[closing
balance]]&gt;0,LastRow-ROW(),0)</f>
        <v>342</v>
      </c>
    </row>
    <row r="22" spans="2:10" ht="15" customHeight="1" x14ac:dyDescent="0.25">
      <c r="B22" s="249">
        <f>ROWS($B$4:B22)</f>
        <v>19</v>
      </c>
      <c r="C22" s="248">
        <f ca="1">IF(ValuesEntered,IF(Amortization[[#This Row],['#]]&lt;=DurationOfLoan,IF(ROW()-ROW(Amortization[[#Headers],[payment
date]])=1,LoanStart,IF(I21&gt;0,EDATE(C21,1),"")),""),"")</f>
        <v>45606</v>
      </c>
      <c r="D22" s="235">
        <f ca="1">IF(ROW()-ROW(Amortization[[#Headers],[opening
balance]])=1,LoanAmount,IF(Amortization[[#This Row],[payment
date]]="",0,INDEX(Amortization[], ROW()-4,8)))</f>
        <v>929708.21190559026</v>
      </c>
      <c r="E22" s="235">
        <f ca="1">IF(ValuesEntered,IF(ROW()-ROW(Amortization[[#Headers],[interest]])=1,-IPMT(InterestRate/12,1,DurationOfLoan-ROWS($C$4:C22)+1,Amortization[[#This Row],[opening
balance]]),IFERROR(-IPMT(InterestRate/12,1,Amortization[[#This Row],['#
remaining]],D23),0)),0)</f>
        <v>2319.9627092788787</v>
      </c>
      <c r="F22" s="235">
        <f ca="1">IFERROR(IF(AND(ValuesEntered,Amortization[[#This Row],[payment
date]]&lt;&gt;""),-PPMT(InterestRate/12,1,DurationOfLoan-ROWS($C$4:C22)+1,Amortization[[#This Row],[opening
balance]]),""),0)</f>
        <v>1723.128194038748</v>
      </c>
      <c r="G22" s="235">
        <f ca="1">IF(Amortization[[#This Row],[payment
date]]="",0,PropertyTaxAmount)</f>
        <v>375</v>
      </c>
      <c r="H22" s="235">
        <f ca="1">IF(Amortization[[#This Row],[payment
date]]="",0,Amortization[[#This Row],[interest]]+Amortization[[#This Row],[principal]]+Amortization[[#This Row],[property
tax]])</f>
        <v>4418.0909033176267</v>
      </c>
      <c r="I22" s="235">
        <f ca="1">IF(Amortization[[#This Row],[payment
date]]="",0,Amortization[[#This Row],[opening
balance]]-Amortization[[#This Row],[principal]])</f>
        <v>927985.0837115515</v>
      </c>
      <c r="J22" s="247">
        <f ca="1">IF(Amortization[[#This Row],[closing
balance]]&gt;0,LastRow-ROW(),0)</f>
        <v>341</v>
      </c>
    </row>
    <row r="23" spans="2:10" ht="15" customHeight="1" x14ac:dyDescent="0.25">
      <c r="B23" s="249">
        <f>ROWS($B$4:B23)</f>
        <v>20</v>
      </c>
      <c r="C23" s="248">
        <f ca="1">IF(ValuesEntered,IF(Amortization[[#This Row],['#]]&lt;=DurationOfLoan,IF(ROW()-ROW(Amortization[[#Headers],[payment
date]])=1,LoanStart,IF(I22&gt;0,EDATE(C22,1),"")),""),"")</f>
        <v>45636</v>
      </c>
      <c r="D23" s="235">
        <f ca="1">IF(ROW()-ROW(Amortization[[#Headers],[opening
balance]])=1,LoanAmount,IF(Amortization[[#This Row],[payment
date]]="",0,INDEX(Amortization[], ROW()-4,8)))</f>
        <v>927985.0837115515</v>
      </c>
      <c r="E23" s="235">
        <f ca="1">IF(ValuesEntered,IF(ROW()-ROW(Amortization[[#Headers],[interest]])=1,-IPMT(InterestRate/12,1,DurationOfLoan-ROWS($C$4:C23)+1,Amortization[[#This Row],[opening
balance]]),IFERROR(-IPMT(InterestRate/12,1,Amortization[[#This Row],['#
remaining]],D24),0)),0)</f>
        <v>2315.6441192425691</v>
      </c>
      <c r="F23" s="235">
        <f ca="1">IFERROR(IF(AND(ValuesEntered,Amortization[[#This Row],[payment
date]]&lt;&gt;""),-PPMT(InterestRate/12,1,DurationOfLoan-ROWS($C$4:C23)+1,Amortization[[#This Row],[opening
balance]]),""),0)</f>
        <v>1727.4360145238443</v>
      </c>
      <c r="G23" s="235">
        <f ca="1">IF(Amortization[[#This Row],[payment
date]]="",0,PropertyTaxAmount)</f>
        <v>375</v>
      </c>
      <c r="H23" s="235">
        <f ca="1">IF(Amortization[[#This Row],[payment
date]]="",0,Amortization[[#This Row],[interest]]+Amortization[[#This Row],[principal]]+Amortization[[#This Row],[property
tax]])</f>
        <v>4418.0801337664134</v>
      </c>
      <c r="I23" s="235">
        <f ca="1">IF(Amortization[[#This Row],[payment
date]]="",0,Amortization[[#This Row],[opening
balance]]-Amortization[[#This Row],[principal]])</f>
        <v>926257.64769702766</v>
      </c>
      <c r="J23" s="247">
        <f ca="1">IF(Amortization[[#This Row],[closing
balance]]&gt;0,LastRow-ROW(),0)</f>
        <v>340</v>
      </c>
    </row>
    <row r="24" spans="2:10" ht="15" customHeight="1" x14ac:dyDescent="0.25">
      <c r="B24" s="249">
        <f>ROWS($B$4:B24)</f>
        <v>21</v>
      </c>
      <c r="C24" s="248">
        <f ca="1">IF(ValuesEntered,IF(Amortization[[#This Row],['#]]&lt;=DurationOfLoan,IF(ROW()-ROW(Amortization[[#Headers],[payment
date]])=1,LoanStart,IF(I23&gt;0,EDATE(C23,1),"")),""),"")</f>
        <v>45667</v>
      </c>
      <c r="D24" s="235">
        <f ca="1">IF(ROW()-ROW(Amortization[[#Headers],[opening
balance]])=1,LoanAmount,IF(Amortization[[#This Row],[payment
date]]="",0,INDEX(Amortization[], ROW()-4,8)))</f>
        <v>926257.64769702766</v>
      </c>
      <c r="E24" s="235">
        <f ca="1">IF(ValuesEntered,IF(ROW()-ROW(Amortization[[#Headers],[interest]])=1,-IPMT(InterestRate/12,1,DurationOfLoan-ROWS($C$4:C24)+1,Amortization[[#This Row],[opening
balance]]),IFERROR(-IPMT(InterestRate/12,1,Amortization[[#This Row],['#
remaining]],D25),0)),0)</f>
        <v>2311.3147327311685</v>
      </c>
      <c r="F24" s="235">
        <f ca="1">IFERROR(IF(AND(ValuesEntered,Amortization[[#This Row],[payment
date]]&lt;&gt;""),-PPMT(InterestRate/12,1,DurationOfLoan-ROWS($C$4:C24)+1,Amortization[[#This Row],[opening
balance]]),""),0)</f>
        <v>1731.7546045601543</v>
      </c>
      <c r="G24" s="235">
        <f ca="1">IF(Amortization[[#This Row],[payment
date]]="",0,PropertyTaxAmount)</f>
        <v>375</v>
      </c>
      <c r="H24" s="235">
        <f ca="1">IF(Amortization[[#This Row],[payment
date]]="",0,Amortization[[#This Row],[interest]]+Amortization[[#This Row],[principal]]+Amortization[[#This Row],[property
tax]])</f>
        <v>4418.0693372913229</v>
      </c>
      <c r="I24" s="235">
        <f ca="1">IF(Amortization[[#This Row],[payment
date]]="",0,Amortization[[#This Row],[opening
balance]]-Amortization[[#This Row],[principal]])</f>
        <v>924525.89309246745</v>
      </c>
      <c r="J24" s="247">
        <f ca="1">IF(Amortization[[#This Row],[closing
balance]]&gt;0,LastRow-ROW(),0)</f>
        <v>339</v>
      </c>
    </row>
    <row r="25" spans="2:10" ht="15" customHeight="1" x14ac:dyDescent="0.25">
      <c r="B25" s="249">
        <f>ROWS($B$4:B25)</f>
        <v>22</v>
      </c>
      <c r="C25" s="248">
        <f ca="1">IF(ValuesEntered,IF(Amortization[[#This Row],['#]]&lt;=DurationOfLoan,IF(ROW()-ROW(Amortization[[#Headers],[payment
date]])=1,LoanStart,IF(I24&gt;0,EDATE(C24,1),"")),""),"")</f>
        <v>45698</v>
      </c>
      <c r="D25" s="235">
        <f ca="1">IF(ROW()-ROW(Amortization[[#Headers],[opening
balance]])=1,LoanAmount,IF(Amortization[[#This Row],[payment
date]]="",0,INDEX(Amortization[], ROW()-4,8)))</f>
        <v>924525.89309246745</v>
      </c>
      <c r="E25" s="235">
        <f ca="1">IF(ValuesEntered,IF(ROW()-ROW(Amortization[[#Headers],[interest]])=1,-IPMT(InterestRate/12,1,DurationOfLoan-ROWS($C$4:C25)+1,Amortization[[#This Row],[opening
balance]]),IFERROR(-IPMT(InterestRate/12,1,Amortization[[#This Row],['#
remaining]],D26),0)),0)</f>
        <v>2306.97452275349</v>
      </c>
      <c r="F25" s="235">
        <f ca="1">IFERROR(IF(AND(ValuesEntered,Amortization[[#This Row],[payment
date]]&lt;&gt;""),-PPMT(InterestRate/12,1,DurationOfLoan-ROWS($C$4:C25)+1,Amortization[[#This Row],[opening
balance]]),""),0)</f>
        <v>1736.0839910715551</v>
      </c>
      <c r="G25" s="235">
        <f ca="1">IF(Amortization[[#This Row],[payment
date]]="",0,PropertyTaxAmount)</f>
        <v>375</v>
      </c>
      <c r="H25" s="235">
        <f ca="1">IF(Amortization[[#This Row],[payment
date]]="",0,Amortization[[#This Row],[interest]]+Amortization[[#This Row],[principal]]+Amortization[[#This Row],[property
tax]])</f>
        <v>4418.0585138250453</v>
      </c>
      <c r="I25" s="235">
        <f ca="1">IF(Amortization[[#This Row],[payment
date]]="",0,Amortization[[#This Row],[opening
balance]]-Amortization[[#This Row],[principal]])</f>
        <v>922789.80910139589</v>
      </c>
      <c r="J25" s="247">
        <f ca="1">IF(Amortization[[#This Row],[closing
balance]]&gt;0,LastRow-ROW(),0)</f>
        <v>338</v>
      </c>
    </row>
    <row r="26" spans="2:10" ht="15" customHeight="1" x14ac:dyDescent="0.25">
      <c r="B26" s="249">
        <f>ROWS($B$4:B26)</f>
        <v>23</v>
      </c>
      <c r="C26" s="248">
        <f ca="1">IF(ValuesEntered,IF(Amortization[[#This Row],['#]]&lt;=DurationOfLoan,IF(ROW()-ROW(Amortization[[#Headers],[payment
date]])=1,LoanStart,IF(I25&gt;0,EDATE(C25,1),"")),""),"")</f>
        <v>45726</v>
      </c>
      <c r="D26" s="235">
        <f ca="1">IF(ROW()-ROW(Amortization[[#Headers],[opening
balance]])=1,LoanAmount,IF(Amortization[[#This Row],[payment
date]]="",0,INDEX(Amortization[], ROW()-4,8)))</f>
        <v>922789.80910139589</v>
      </c>
      <c r="E26" s="235">
        <f ca="1">IF(ValuesEntered,IF(ROW()-ROW(Amortization[[#Headers],[interest]])=1,-IPMT(InterestRate/12,1,DurationOfLoan-ROWS($C$4:C26)+1,Amortization[[#This Row],[opening
balance]]),IFERROR(-IPMT(InterestRate/12,1,Amortization[[#This Row],['#
remaining]],D27),0)),0)</f>
        <v>2302.6234622508669</v>
      </c>
      <c r="F26" s="235">
        <f ca="1">IFERROR(IF(AND(ValuesEntered,Amortization[[#This Row],[payment
date]]&lt;&gt;""),-PPMT(InterestRate/12,1,DurationOfLoan-ROWS($C$4:C26)+1,Amortization[[#This Row],[opening
balance]]),""),0)</f>
        <v>1740.4242010492337</v>
      </c>
      <c r="G26" s="235">
        <f ca="1">IF(Amortization[[#This Row],[payment
date]]="",0,PropertyTaxAmount)</f>
        <v>375</v>
      </c>
      <c r="H26" s="235">
        <f ca="1">IF(Amortization[[#This Row],[payment
date]]="",0,Amortization[[#This Row],[interest]]+Amortization[[#This Row],[principal]]+Amortization[[#This Row],[property
tax]])</f>
        <v>4418.0476633001008</v>
      </c>
      <c r="I26" s="235">
        <f ca="1">IF(Amortization[[#This Row],[payment
date]]="",0,Amortization[[#This Row],[opening
balance]]-Amortization[[#This Row],[principal]])</f>
        <v>921049.38490034663</v>
      </c>
      <c r="J26" s="247">
        <f ca="1">IF(Amortization[[#This Row],[closing
balance]]&gt;0,LastRow-ROW(),0)</f>
        <v>337</v>
      </c>
    </row>
    <row r="27" spans="2:10" ht="15" customHeight="1" x14ac:dyDescent="0.25">
      <c r="B27" s="249">
        <f>ROWS($B$4:B27)</f>
        <v>24</v>
      </c>
      <c r="C27" s="248">
        <f ca="1">IF(ValuesEntered,IF(Amortization[[#This Row],['#]]&lt;=DurationOfLoan,IF(ROW()-ROW(Amortization[[#Headers],[payment
date]])=1,LoanStart,IF(I26&gt;0,EDATE(C26,1),"")),""),"")</f>
        <v>45757</v>
      </c>
      <c r="D27" s="235">
        <f ca="1">IF(ROW()-ROW(Amortization[[#Headers],[opening
balance]])=1,LoanAmount,IF(Amortization[[#This Row],[payment
date]]="",0,INDEX(Amortization[], ROW()-4,8)))</f>
        <v>921049.38490034663</v>
      </c>
      <c r="E27" s="235">
        <f ca="1">IF(ValuesEntered,IF(ROW()-ROW(Amortization[[#Headers],[interest]])=1,-IPMT(InterestRate/12,1,DurationOfLoan-ROWS($C$4:C27)+1,Amortization[[#This Row],[opening
balance]]),IFERROR(-IPMT(InterestRate/12,1,Amortization[[#This Row],['#
remaining]],D28),0)),0)</f>
        <v>2298.2615240969872</v>
      </c>
      <c r="F27" s="235">
        <f ca="1">IFERROR(IF(AND(ValuesEntered,Amortization[[#This Row],[payment
date]]&lt;&gt;""),-PPMT(InterestRate/12,1,DurationOfLoan-ROWS($C$4:C27)+1,Amortization[[#This Row],[opening
balance]]),""),0)</f>
        <v>1744.7752615518566</v>
      </c>
      <c r="G27" s="235">
        <f ca="1">IF(Amortization[[#This Row],[payment
date]]="",0,PropertyTaxAmount)</f>
        <v>375</v>
      </c>
      <c r="H27" s="235">
        <f ca="1">IF(Amortization[[#This Row],[payment
date]]="",0,Amortization[[#This Row],[interest]]+Amortization[[#This Row],[principal]]+Amortization[[#This Row],[property
tax]])</f>
        <v>4418.0367856488438</v>
      </c>
      <c r="I27" s="235">
        <f ca="1">IF(Amortization[[#This Row],[payment
date]]="",0,Amortization[[#This Row],[opening
balance]]-Amortization[[#This Row],[principal]])</f>
        <v>919304.60963879479</v>
      </c>
      <c r="J27" s="247">
        <f ca="1">IF(Amortization[[#This Row],[closing
balance]]&gt;0,LastRow-ROW(),0)</f>
        <v>336</v>
      </c>
    </row>
    <row r="28" spans="2:10" ht="15" customHeight="1" x14ac:dyDescent="0.25">
      <c r="B28" s="249">
        <f>ROWS($B$4:B28)</f>
        <v>25</v>
      </c>
      <c r="C28" s="248">
        <f ca="1">IF(ValuesEntered,IF(Amortization[[#This Row],['#]]&lt;=DurationOfLoan,IF(ROW()-ROW(Amortization[[#Headers],[payment
date]])=1,LoanStart,IF(I27&gt;0,EDATE(C27,1),"")),""),"")</f>
        <v>45787</v>
      </c>
      <c r="D28" s="235">
        <f ca="1">IF(ROW()-ROW(Amortization[[#Headers],[opening
balance]])=1,LoanAmount,IF(Amortization[[#This Row],[payment
date]]="",0,INDEX(Amortization[], ROW()-4,8)))</f>
        <v>919304.60963879479</v>
      </c>
      <c r="E28" s="235">
        <f ca="1">IF(ValuesEntered,IF(ROW()-ROW(Amortization[[#Headers],[interest]])=1,-IPMT(InterestRate/12,1,DurationOfLoan-ROWS($C$4:C28)+1,Amortization[[#This Row],[opening
balance]]),IFERROR(-IPMT(InterestRate/12,1,Amortization[[#This Row],['#
remaining]],D29),0)),0)</f>
        <v>2293.8886810977228</v>
      </c>
      <c r="F28" s="235">
        <f ca="1">IFERROR(IF(AND(ValuesEntered,Amortization[[#This Row],[payment
date]]&lt;&gt;""),-PPMT(InterestRate/12,1,DurationOfLoan-ROWS($C$4:C28)+1,Amortization[[#This Row],[opening
balance]]),""),0)</f>
        <v>1749.1371997057361</v>
      </c>
      <c r="G28" s="235">
        <f ca="1">IF(Amortization[[#This Row],[payment
date]]="",0,PropertyTaxAmount)</f>
        <v>375</v>
      </c>
      <c r="H28" s="235">
        <f ca="1">IF(Amortization[[#This Row],[payment
date]]="",0,Amortization[[#This Row],[interest]]+Amortization[[#This Row],[principal]]+Amortization[[#This Row],[property
tax]])</f>
        <v>4418.0258808034587</v>
      </c>
      <c r="I28" s="235">
        <f ca="1">IF(Amortization[[#This Row],[payment
date]]="",0,Amortization[[#This Row],[opening
balance]]-Amortization[[#This Row],[principal]])</f>
        <v>917555.47243908909</v>
      </c>
      <c r="J28" s="247">
        <f ca="1">IF(Amortization[[#This Row],[closing
balance]]&gt;0,LastRow-ROW(),0)</f>
        <v>335</v>
      </c>
    </row>
    <row r="29" spans="2:10" ht="15" customHeight="1" x14ac:dyDescent="0.25">
      <c r="B29" s="249">
        <f>ROWS($B$4:B29)</f>
        <v>26</v>
      </c>
      <c r="C29" s="248">
        <f ca="1">IF(ValuesEntered,IF(Amortization[[#This Row],['#]]&lt;=DurationOfLoan,IF(ROW()-ROW(Amortization[[#Headers],[payment
date]])=1,LoanStart,IF(I28&gt;0,EDATE(C28,1),"")),""),"")</f>
        <v>45818</v>
      </c>
      <c r="D29" s="235">
        <f ca="1">IF(ROW()-ROW(Amortization[[#Headers],[opening
balance]])=1,LoanAmount,IF(Amortization[[#This Row],[payment
date]]="",0,INDEX(Amortization[], ROW()-4,8)))</f>
        <v>917555.47243908909</v>
      </c>
      <c r="E29" s="235">
        <f ca="1">IF(ValuesEntered,IF(ROW()-ROW(Amortization[[#Headers],[interest]])=1,-IPMT(InterestRate/12,1,DurationOfLoan-ROWS($C$4:C29)+1,Amortization[[#This Row],[opening
balance]]),IFERROR(-IPMT(InterestRate/12,1,Amortization[[#This Row],['#
remaining]],D30),0)),0)</f>
        <v>2289.5049059909602</v>
      </c>
      <c r="F29" s="235">
        <f ca="1">IFERROR(IF(AND(ValuesEntered,Amortization[[#This Row],[payment
date]]&lt;&gt;""),-PPMT(InterestRate/12,1,DurationOfLoan-ROWS($C$4:C29)+1,Amortization[[#This Row],[opening
balance]]),""),0)</f>
        <v>1753.5100427050011</v>
      </c>
      <c r="G29" s="235">
        <f ca="1">IF(Amortization[[#This Row],[payment
date]]="",0,PropertyTaxAmount)</f>
        <v>375</v>
      </c>
      <c r="H29" s="235">
        <f ca="1">IF(Amortization[[#This Row],[payment
date]]="",0,Amortization[[#This Row],[interest]]+Amortization[[#This Row],[principal]]+Amortization[[#This Row],[property
tax]])</f>
        <v>4418.0149486959617</v>
      </c>
      <c r="I29" s="235">
        <f ca="1">IF(Amortization[[#This Row],[payment
date]]="",0,Amortization[[#This Row],[opening
balance]]-Amortization[[#This Row],[principal]])</f>
        <v>915801.9623963841</v>
      </c>
      <c r="J29" s="247">
        <f ca="1">IF(Amortization[[#This Row],[closing
balance]]&gt;0,LastRow-ROW(),0)</f>
        <v>334</v>
      </c>
    </row>
    <row r="30" spans="2:10" ht="15" customHeight="1" x14ac:dyDescent="0.25">
      <c r="B30" s="249">
        <f>ROWS($B$4:B30)</f>
        <v>27</v>
      </c>
      <c r="C30" s="248">
        <f ca="1">IF(ValuesEntered,IF(Amortization[[#This Row],['#]]&lt;=DurationOfLoan,IF(ROW()-ROW(Amortization[[#Headers],[payment
date]])=1,LoanStart,IF(I29&gt;0,EDATE(C29,1),"")),""),"")</f>
        <v>45848</v>
      </c>
      <c r="D30" s="235">
        <f ca="1">IF(ROW()-ROW(Amortization[[#Headers],[opening
balance]])=1,LoanAmount,IF(Amortization[[#This Row],[payment
date]]="",0,INDEX(Amortization[], ROW()-4,8)))</f>
        <v>915801.9623963841</v>
      </c>
      <c r="E30" s="235">
        <f ca="1">IF(ValuesEntered,IF(ROW()-ROW(Amortization[[#Headers],[interest]])=1,-IPMT(InterestRate/12,1,DurationOfLoan-ROWS($C$4:C30)+1,Amortization[[#This Row],[opening
balance]]),IFERROR(-IPMT(InterestRate/12,1,Amortization[[#This Row],['#
remaining]],D31),0)),0)</f>
        <v>2285.1101714464312</v>
      </c>
      <c r="F30" s="235">
        <f ca="1">IFERROR(IF(AND(ValuesEntered,Amortization[[#This Row],[payment
date]]&lt;&gt;""),-PPMT(InterestRate/12,1,DurationOfLoan-ROWS($C$4:C30)+1,Amortization[[#This Row],[opening
balance]]),""),0)</f>
        <v>1757.8938178117635</v>
      </c>
      <c r="G30" s="235">
        <f ca="1">IF(Amortization[[#This Row],[payment
date]]="",0,PropertyTaxAmount)</f>
        <v>375</v>
      </c>
      <c r="H30" s="235">
        <f ca="1">IF(Amortization[[#This Row],[payment
date]]="",0,Amortization[[#This Row],[interest]]+Amortization[[#This Row],[principal]]+Amortization[[#This Row],[property
tax]])</f>
        <v>4418.0039892581945</v>
      </c>
      <c r="I30" s="235">
        <f ca="1">IF(Amortization[[#This Row],[payment
date]]="",0,Amortization[[#This Row],[opening
balance]]-Amortization[[#This Row],[principal]])</f>
        <v>914044.06857857236</v>
      </c>
      <c r="J30" s="247">
        <f ca="1">IF(Amortization[[#This Row],[closing
balance]]&gt;0,LastRow-ROW(),0)</f>
        <v>333</v>
      </c>
    </row>
    <row r="31" spans="2:10" ht="15" customHeight="1" x14ac:dyDescent="0.25">
      <c r="B31" s="249">
        <f>ROWS($B$4:B31)</f>
        <v>28</v>
      </c>
      <c r="C31" s="248">
        <f ca="1">IF(ValuesEntered,IF(Amortization[[#This Row],['#]]&lt;=DurationOfLoan,IF(ROW()-ROW(Amortization[[#Headers],[payment
date]])=1,LoanStart,IF(I30&gt;0,EDATE(C30,1),"")),""),"")</f>
        <v>45879</v>
      </c>
      <c r="D31" s="235">
        <f ca="1">IF(ROW()-ROW(Amortization[[#Headers],[opening
balance]])=1,LoanAmount,IF(Amortization[[#This Row],[payment
date]]="",0,INDEX(Amortization[], ROW()-4,8)))</f>
        <v>914044.06857857236</v>
      </c>
      <c r="E31" s="235">
        <f ca="1">IF(ValuesEntered,IF(ROW()-ROW(Amortization[[#Headers],[interest]])=1,-IPMT(InterestRate/12,1,DurationOfLoan-ROWS($C$4:C31)+1,Amortization[[#This Row],[opening
balance]]),IFERROR(-IPMT(InterestRate/12,1,Amortization[[#This Row],['#
remaining]],D32),0)),0)</f>
        <v>2280.7044500655402</v>
      </c>
      <c r="F31" s="235">
        <f ca="1">IFERROR(IF(AND(ValuesEntered,Amortization[[#This Row],[payment
date]]&lt;&gt;""),-PPMT(InterestRate/12,1,DurationOfLoan-ROWS($C$4:C31)+1,Amortization[[#This Row],[opening
balance]]),""),0)</f>
        <v>1762.2885523562925</v>
      </c>
      <c r="G31" s="235">
        <f ca="1">IF(Amortization[[#This Row],[payment
date]]="",0,PropertyTaxAmount)</f>
        <v>375</v>
      </c>
      <c r="H31" s="235">
        <f ca="1">IF(Amortization[[#This Row],[payment
date]]="",0,Amortization[[#This Row],[interest]]+Amortization[[#This Row],[principal]]+Amortization[[#This Row],[property
tax]])</f>
        <v>4417.9930024218329</v>
      </c>
      <c r="I31" s="235">
        <f ca="1">IF(Amortization[[#This Row],[payment
date]]="",0,Amortization[[#This Row],[opening
balance]]-Amortization[[#This Row],[principal]])</f>
        <v>912281.78002621606</v>
      </c>
      <c r="J31" s="247">
        <f ca="1">IF(Amortization[[#This Row],[closing
balance]]&gt;0,LastRow-ROW(),0)</f>
        <v>332</v>
      </c>
    </row>
    <row r="32" spans="2:10" ht="15" customHeight="1" x14ac:dyDescent="0.25">
      <c r="B32" s="249">
        <f>ROWS($B$4:B32)</f>
        <v>29</v>
      </c>
      <c r="C32" s="248">
        <f ca="1">IF(ValuesEntered,IF(Amortization[[#This Row],['#]]&lt;=DurationOfLoan,IF(ROW()-ROW(Amortization[[#Headers],[payment
date]])=1,LoanStart,IF(I31&gt;0,EDATE(C31,1),"")),""),"")</f>
        <v>45910</v>
      </c>
      <c r="D32" s="235">
        <f ca="1">IF(ROW()-ROW(Amortization[[#Headers],[opening
balance]])=1,LoanAmount,IF(Amortization[[#This Row],[payment
date]]="",0,INDEX(Amortization[], ROW()-4,8)))</f>
        <v>912281.78002621606</v>
      </c>
      <c r="E32" s="235">
        <f ca="1">IF(ValuesEntered,IF(ROW()-ROW(Amortization[[#Headers],[interest]])=1,-IPMT(InterestRate/12,1,DurationOfLoan-ROWS($C$4:C32)+1,Amortization[[#This Row],[opening
balance]]),IFERROR(-IPMT(InterestRate/12,1,Amortization[[#This Row],['#
remaining]],D33),0)),0)</f>
        <v>2276.2877143811975</v>
      </c>
      <c r="F32" s="235">
        <f ca="1">IFERROR(IF(AND(ValuesEntered,Amortization[[#This Row],[payment
date]]&lt;&gt;""),-PPMT(InterestRate/12,1,DurationOfLoan-ROWS($C$4:C32)+1,Amortization[[#This Row],[opening
balance]]),""),0)</f>
        <v>1766.6942737371835</v>
      </c>
      <c r="G32" s="235">
        <f ca="1">IF(Amortization[[#This Row],[payment
date]]="",0,PropertyTaxAmount)</f>
        <v>375</v>
      </c>
      <c r="H32" s="235">
        <f ca="1">IF(Amortization[[#This Row],[payment
date]]="",0,Amortization[[#This Row],[interest]]+Amortization[[#This Row],[principal]]+Amortization[[#This Row],[property
tax]])</f>
        <v>4417.9819881183812</v>
      </c>
      <c r="I32" s="235">
        <f ca="1">IF(Amortization[[#This Row],[payment
date]]="",0,Amortization[[#This Row],[opening
balance]]-Amortization[[#This Row],[principal]])</f>
        <v>910515.08575247892</v>
      </c>
      <c r="J32" s="247">
        <f ca="1">IF(Amortization[[#This Row],[closing
balance]]&gt;0,LastRow-ROW(),0)</f>
        <v>331</v>
      </c>
    </row>
    <row r="33" spans="2:10" ht="15" customHeight="1" x14ac:dyDescent="0.25">
      <c r="B33" s="249">
        <f>ROWS($B$4:B33)</f>
        <v>30</v>
      </c>
      <c r="C33" s="248">
        <f ca="1">IF(ValuesEntered,IF(Amortization[[#This Row],['#]]&lt;=DurationOfLoan,IF(ROW()-ROW(Amortization[[#Headers],[payment
date]])=1,LoanStart,IF(I32&gt;0,EDATE(C32,1),"")),""),"")</f>
        <v>45940</v>
      </c>
      <c r="D33" s="235">
        <f ca="1">IF(ROW()-ROW(Amortization[[#Headers],[opening
balance]])=1,LoanAmount,IF(Amortization[[#This Row],[payment
date]]="",0,INDEX(Amortization[], ROW()-4,8)))</f>
        <v>910515.08575247892</v>
      </c>
      <c r="E33" s="235">
        <f ca="1">IF(ValuesEntered,IF(ROW()-ROW(Amortization[[#Headers],[interest]])=1,-IPMT(InterestRate/12,1,DurationOfLoan-ROWS($C$4:C33)+1,Amortization[[#This Row],[opening
balance]]),IFERROR(-IPMT(InterestRate/12,1,Amortization[[#This Row],['#
remaining]],D34),0)),0)</f>
        <v>2271.8599368576433</v>
      </c>
      <c r="F33" s="235">
        <f ca="1">IFERROR(IF(AND(ValuesEntered,Amortization[[#This Row],[payment
date]]&lt;&gt;""),-PPMT(InterestRate/12,1,DurationOfLoan-ROWS($C$4:C33)+1,Amortization[[#This Row],[opening
balance]]),""),0)</f>
        <v>1771.1110094215264</v>
      </c>
      <c r="G33" s="235">
        <f ca="1">IF(Amortization[[#This Row],[payment
date]]="",0,PropertyTaxAmount)</f>
        <v>375</v>
      </c>
      <c r="H33" s="235">
        <f ca="1">IF(Amortization[[#This Row],[payment
date]]="",0,Amortization[[#This Row],[interest]]+Amortization[[#This Row],[principal]]+Amortization[[#This Row],[property
tax]])</f>
        <v>4417.9709462791698</v>
      </c>
      <c r="I33" s="235">
        <f ca="1">IF(Amortization[[#This Row],[payment
date]]="",0,Amortization[[#This Row],[opening
balance]]-Amortization[[#This Row],[principal]])</f>
        <v>908743.97474305739</v>
      </c>
      <c r="J33" s="247">
        <f ca="1">IF(Amortization[[#This Row],[closing
balance]]&gt;0,LastRow-ROW(),0)</f>
        <v>330</v>
      </c>
    </row>
    <row r="34" spans="2:10" ht="15" customHeight="1" x14ac:dyDescent="0.25">
      <c r="B34" s="249">
        <f>ROWS($B$4:B34)</f>
        <v>31</v>
      </c>
      <c r="C34" s="248">
        <f ca="1">IF(ValuesEntered,IF(Amortization[[#This Row],['#]]&lt;=DurationOfLoan,IF(ROW()-ROW(Amortization[[#Headers],[payment
date]])=1,LoanStart,IF(I33&gt;0,EDATE(C33,1),"")),""),"")</f>
        <v>45971</v>
      </c>
      <c r="D34" s="235">
        <f ca="1">IF(ROW()-ROW(Amortization[[#Headers],[opening
balance]])=1,LoanAmount,IF(Amortization[[#This Row],[payment
date]]="",0,INDEX(Amortization[], ROW()-4,8)))</f>
        <v>908743.97474305739</v>
      </c>
      <c r="E34" s="235">
        <f ca="1">IF(ValuesEntered,IF(ROW()-ROW(Amortization[[#Headers],[interest]])=1,-IPMT(InterestRate/12,1,DurationOfLoan-ROWS($C$4:C34)+1,Amortization[[#This Row],[opening
balance]]),IFERROR(-IPMT(InterestRate/12,1,Amortization[[#This Row],['#
remaining]],D35),0)),0)</f>
        <v>2267.4210898902811</v>
      </c>
      <c r="F34" s="235">
        <f ca="1">IFERROR(IF(AND(ValuesEntered,Amortization[[#This Row],[payment
date]]&lt;&gt;""),-PPMT(InterestRate/12,1,DurationOfLoan-ROWS($C$4:C34)+1,Amortization[[#This Row],[opening
balance]]),""),0)</f>
        <v>1775.5387869450803</v>
      </c>
      <c r="G34" s="235">
        <f ca="1">IF(Amortization[[#This Row],[payment
date]]="",0,PropertyTaxAmount)</f>
        <v>375</v>
      </c>
      <c r="H34" s="235">
        <f ca="1">IF(Amortization[[#This Row],[payment
date]]="",0,Amortization[[#This Row],[interest]]+Amortization[[#This Row],[principal]]+Amortization[[#This Row],[property
tax]])</f>
        <v>4417.9598768353617</v>
      </c>
      <c r="I34" s="235">
        <f ca="1">IF(Amortization[[#This Row],[payment
date]]="",0,Amortization[[#This Row],[opening
balance]]-Amortization[[#This Row],[principal]])</f>
        <v>906968.43595611234</v>
      </c>
      <c r="J34" s="247">
        <f ca="1">IF(Amortization[[#This Row],[closing
balance]]&gt;0,LastRow-ROW(),0)</f>
        <v>329</v>
      </c>
    </row>
    <row r="35" spans="2:10" ht="15" customHeight="1" x14ac:dyDescent="0.25">
      <c r="B35" s="249">
        <f>ROWS($B$4:B35)</f>
        <v>32</v>
      </c>
      <c r="C35" s="248">
        <f ca="1">IF(ValuesEntered,IF(Amortization[[#This Row],['#]]&lt;=DurationOfLoan,IF(ROW()-ROW(Amortization[[#Headers],[payment
date]])=1,LoanStart,IF(I34&gt;0,EDATE(C34,1),"")),""),"")</f>
        <v>46001</v>
      </c>
      <c r="D35" s="235">
        <f ca="1">IF(ROW()-ROW(Amortization[[#Headers],[opening
balance]])=1,LoanAmount,IF(Amortization[[#This Row],[payment
date]]="",0,INDEX(Amortization[], ROW()-4,8)))</f>
        <v>906968.43595611234</v>
      </c>
      <c r="E35" s="235">
        <f ca="1">IF(ValuesEntered,IF(ROW()-ROW(Amortization[[#Headers],[interest]])=1,-IPMT(InterestRate/12,1,DurationOfLoan-ROWS($C$4:C35)+1,Amortization[[#This Row],[opening
balance]]),IFERROR(-IPMT(InterestRate/12,1,Amortization[[#This Row],['#
remaining]],D36),0)),0)</f>
        <v>2262.9711458054999</v>
      </c>
      <c r="F35" s="235">
        <f ca="1">IFERROR(IF(AND(ValuesEntered,Amortization[[#This Row],[payment
date]]&lt;&gt;""),-PPMT(InterestRate/12,1,DurationOfLoan-ROWS($C$4:C35)+1,Amortization[[#This Row],[opening
balance]]),""),0)</f>
        <v>1779.9776339124428</v>
      </c>
      <c r="G35" s="235">
        <f ca="1">IF(Amortization[[#This Row],[payment
date]]="",0,PropertyTaxAmount)</f>
        <v>375</v>
      </c>
      <c r="H35" s="235">
        <f ca="1">IF(Amortization[[#This Row],[payment
date]]="",0,Amortization[[#This Row],[interest]]+Amortization[[#This Row],[principal]]+Amortization[[#This Row],[property
tax]])</f>
        <v>4417.9487797179427</v>
      </c>
      <c r="I35" s="235">
        <f ca="1">IF(Amortization[[#This Row],[payment
date]]="",0,Amortization[[#This Row],[opening
balance]]-Amortization[[#This Row],[principal]])</f>
        <v>905188.45832219988</v>
      </c>
      <c r="J35" s="247">
        <f ca="1">IF(Amortization[[#This Row],[closing
balance]]&gt;0,LastRow-ROW(),0)</f>
        <v>328</v>
      </c>
    </row>
    <row r="36" spans="2:10" ht="15" customHeight="1" x14ac:dyDescent="0.25">
      <c r="B36" s="249">
        <f>ROWS($B$4:B36)</f>
        <v>33</v>
      </c>
      <c r="C36" s="248">
        <f ca="1">IF(ValuesEntered,IF(Amortization[[#This Row],['#]]&lt;=DurationOfLoan,IF(ROW()-ROW(Amortization[[#Headers],[payment
date]])=1,LoanStart,IF(I35&gt;0,EDATE(C35,1),"")),""),"")</f>
        <v>46032</v>
      </c>
      <c r="D36" s="235">
        <f ca="1">IF(ROW()-ROW(Amortization[[#Headers],[opening
balance]])=1,LoanAmount,IF(Amortization[[#This Row],[payment
date]]="",0,INDEX(Amortization[], ROW()-4,8)))</f>
        <v>905188.45832219988</v>
      </c>
      <c r="E36" s="235">
        <f ca="1">IF(ValuesEntered,IF(ROW()-ROW(Amortization[[#Headers],[interest]])=1,-IPMT(InterestRate/12,1,DurationOfLoan-ROWS($C$4:C36)+1,Amortization[[#This Row],[opening
balance]]),IFERROR(-IPMT(InterestRate/12,1,Amortization[[#This Row],['#
remaining]],D37),0)),0)</f>
        <v>2258.5100768605066</v>
      </c>
      <c r="F36" s="235">
        <f ca="1">IFERROR(IF(AND(ValuesEntered,Amortization[[#This Row],[payment
date]]&lt;&gt;""),-PPMT(InterestRate/12,1,DurationOfLoan-ROWS($C$4:C36)+1,Amortization[[#This Row],[opening
balance]]),""),0)</f>
        <v>1784.427577997224</v>
      </c>
      <c r="G36" s="235">
        <f ca="1">IF(Amortization[[#This Row],[payment
date]]="",0,PropertyTaxAmount)</f>
        <v>375</v>
      </c>
      <c r="H36" s="235">
        <f ca="1">IF(Amortization[[#This Row],[payment
date]]="",0,Amortization[[#This Row],[interest]]+Amortization[[#This Row],[principal]]+Amortization[[#This Row],[property
tax]])</f>
        <v>4417.9376548577311</v>
      </c>
      <c r="I36" s="235">
        <f ca="1">IF(Amortization[[#This Row],[payment
date]]="",0,Amortization[[#This Row],[opening
balance]]-Amortization[[#This Row],[principal]])</f>
        <v>903404.03074420267</v>
      </c>
      <c r="J36" s="247">
        <f ca="1">IF(Amortization[[#This Row],[closing
balance]]&gt;0,LastRow-ROW(),0)</f>
        <v>327</v>
      </c>
    </row>
    <row r="37" spans="2:10" ht="15" customHeight="1" x14ac:dyDescent="0.25">
      <c r="B37" s="249">
        <f>ROWS($B$4:B37)</f>
        <v>34</v>
      </c>
      <c r="C37" s="248">
        <f ca="1">IF(ValuesEntered,IF(Amortization[[#This Row],['#]]&lt;=DurationOfLoan,IF(ROW()-ROW(Amortization[[#Headers],[payment
date]])=1,LoanStart,IF(I36&gt;0,EDATE(C36,1),"")),""),"")</f>
        <v>46063</v>
      </c>
      <c r="D37" s="235">
        <f ca="1">IF(ROW()-ROW(Amortization[[#Headers],[opening
balance]])=1,LoanAmount,IF(Amortization[[#This Row],[payment
date]]="",0,INDEX(Amortization[], ROW()-4,8)))</f>
        <v>903404.03074420267</v>
      </c>
      <c r="E37" s="235">
        <f ca="1">IF(ValuesEntered,IF(ROW()-ROW(Amortization[[#Headers],[interest]])=1,-IPMT(InterestRate/12,1,DurationOfLoan-ROWS($C$4:C37)+1,Amortization[[#This Row],[opening
balance]]),IFERROR(-IPMT(InterestRate/12,1,Amortization[[#This Row],['#
remaining]],D38),0)),0)</f>
        <v>2254.0378552431512</v>
      </c>
      <c r="F37" s="235">
        <f ca="1">IFERROR(IF(AND(ValuesEntered,Amortization[[#This Row],[payment
date]]&lt;&gt;""),-PPMT(InterestRate/12,1,DurationOfLoan-ROWS($C$4:C37)+1,Amortization[[#This Row],[opening
balance]]),""),0)</f>
        <v>1788.8886469422177</v>
      </c>
      <c r="G37" s="235">
        <f ca="1">IF(Amortization[[#This Row],[payment
date]]="",0,PropertyTaxAmount)</f>
        <v>375</v>
      </c>
      <c r="H37" s="235">
        <f ca="1">IF(Amortization[[#This Row],[payment
date]]="",0,Amortization[[#This Row],[interest]]+Amortization[[#This Row],[principal]]+Amortization[[#This Row],[property
tax]])</f>
        <v>4417.9265021853689</v>
      </c>
      <c r="I37" s="235">
        <f ca="1">IF(Amortization[[#This Row],[payment
date]]="",0,Amortization[[#This Row],[opening
balance]]-Amortization[[#This Row],[principal]])</f>
        <v>901615.14209726045</v>
      </c>
      <c r="J37" s="247">
        <f ca="1">IF(Amortization[[#This Row],[closing
balance]]&gt;0,LastRow-ROW(),0)</f>
        <v>326</v>
      </c>
    </row>
    <row r="38" spans="2:10" ht="15" customHeight="1" x14ac:dyDescent="0.25">
      <c r="B38" s="249">
        <f>ROWS($B$4:B38)</f>
        <v>35</v>
      </c>
      <c r="C38" s="248">
        <f ca="1">IF(ValuesEntered,IF(Amortization[[#This Row],['#]]&lt;=DurationOfLoan,IF(ROW()-ROW(Amortization[[#Headers],[payment
date]])=1,LoanStart,IF(I37&gt;0,EDATE(C37,1),"")),""),"")</f>
        <v>46091</v>
      </c>
      <c r="D38" s="235">
        <f ca="1">IF(ROW()-ROW(Amortization[[#Headers],[opening
balance]])=1,LoanAmount,IF(Amortization[[#This Row],[payment
date]]="",0,INDEX(Amortization[], ROW()-4,8)))</f>
        <v>901615.14209726045</v>
      </c>
      <c r="E38" s="235">
        <f ca="1">IF(ValuesEntered,IF(ROW()-ROW(Amortization[[#Headers],[interest]])=1,-IPMT(InterestRate/12,1,DurationOfLoan-ROWS($C$4:C38)+1,Amortization[[#This Row],[opening
balance]]),IFERROR(-IPMT(InterestRate/12,1,Amortization[[#This Row],['#
remaining]],D39),0)),0)</f>
        <v>2249.5544530717521</v>
      </c>
      <c r="F38" s="235">
        <f ca="1">IFERROR(IF(AND(ValuesEntered,Amortization[[#This Row],[payment
date]]&lt;&gt;""),-PPMT(InterestRate/12,1,DurationOfLoan-ROWS($C$4:C38)+1,Amortization[[#This Row],[opening
balance]]),""),0)</f>
        <v>1793.3608685595725</v>
      </c>
      <c r="G38" s="235">
        <f ca="1">IF(Amortization[[#This Row],[payment
date]]="",0,PropertyTaxAmount)</f>
        <v>375</v>
      </c>
      <c r="H38" s="235">
        <f ca="1">IF(Amortization[[#This Row],[payment
date]]="",0,Amortization[[#This Row],[interest]]+Amortization[[#This Row],[principal]]+Amortization[[#This Row],[property
tax]])</f>
        <v>4417.9153216313243</v>
      </c>
      <c r="I38" s="235">
        <f ca="1">IF(Amortization[[#This Row],[payment
date]]="",0,Amortization[[#This Row],[opening
balance]]-Amortization[[#This Row],[principal]])</f>
        <v>899821.78122870089</v>
      </c>
      <c r="J38" s="247">
        <f ca="1">IF(Amortization[[#This Row],[closing
balance]]&gt;0,LastRow-ROW(),0)</f>
        <v>325</v>
      </c>
    </row>
    <row r="39" spans="2:10" ht="15" customHeight="1" x14ac:dyDescent="0.25">
      <c r="B39" s="249">
        <f>ROWS($B$4:B39)</f>
        <v>36</v>
      </c>
      <c r="C39" s="248">
        <f ca="1">IF(ValuesEntered,IF(Amortization[[#This Row],['#]]&lt;=DurationOfLoan,IF(ROW()-ROW(Amortization[[#Headers],[payment
date]])=1,LoanStart,IF(I38&gt;0,EDATE(C38,1),"")),""),"")</f>
        <v>46122</v>
      </c>
      <c r="D39" s="235">
        <f ca="1">IF(ROW()-ROW(Amortization[[#Headers],[opening
balance]])=1,LoanAmount,IF(Amortization[[#This Row],[payment
date]]="",0,INDEX(Amortization[], ROW()-4,8)))</f>
        <v>899821.78122870089</v>
      </c>
      <c r="E39" s="235">
        <f ca="1">IF(ValuesEntered,IF(ROW()-ROW(Amortization[[#Headers],[interest]])=1,-IPMT(InterestRate/12,1,DurationOfLoan-ROWS($C$4:C39)+1,Amortization[[#This Row],[opening
balance]]),IFERROR(-IPMT(InterestRate/12,1,Amortization[[#This Row],['#
remaining]],D40),0)),0)</f>
        <v>2245.059842394925</v>
      </c>
      <c r="F39" s="235">
        <f ca="1">IFERROR(IF(AND(ValuesEntered,Amortization[[#This Row],[payment
date]]&lt;&gt;""),-PPMT(InterestRate/12,1,DurationOfLoan-ROWS($C$4:C39)+1,Amortization[[#This Row],[opening
balance]]),""),0)</f>
        <v>1797.8442707309719</v>
      </c>
      <c r="G39" s="235">
        <f ca="1">IF(Amortization[[#This Row],[payment
date]]="",0,PropertyTaxAmount)</f>
        <v>375</v>
      </c>
      <c r="H39" s="235">
        <f ca="1">IF(Amortization[[#This Row],[payment
date]]="",0,Amortization[[#This Row],[interest]]+Amortization[[#This Row],[principal]]+Amortization[[#This Row],[property
tax]])</f>
        <v>4417.9041131258964</v>
      </c>
      <c r="I39" s="235">
        <f ca="1">IF(Amortization[[#This Row],[payment
date]]="",0,Amortization[[#This Row],[opening
balance]]-Amortization[[#This Row],[principal]])</f>
        <v>898023.93695796991</v>
      </c>
      <c r="J39" s="247">
        <f ca="1">IF(Amortization[[#This Row],[closing
balance]]&gt;0,LastRow-ROW(),0)</f>
        <v>324</v>
      </c>
    </row>
    <row r="40" spans="2:10" ht="15" customHeight="1" x14ac:dyDescent="0.25">
      <c r="B40" s="249">
        <f>ROWS($B$4:B40)</f>
        <v>37</v>
      </c>
      <c r="C40" s="248">
        <f ca="1">IF(ValuesEntered,IF(Amortization[[#This Row],['#]]&lt;=DurationOfLoan,IF(ROW()-ROW(Amortization[[#Headers],[payment
date]])=1,LoanStart,IF(I39&gt;0,EDATE(C39,1),"")),""),"")</f>
        <v>46152</v>
      </c>
      <c r="D40" s="235">
        <f ca="1">IF(ROW()-ROW(Amortization[[#Headers],[opening
balance]])=1,LoanAmount,IF(Amortization[[#This Row],[payment
date]]="",0,INDEX(Amortization[], ROW()-4,8)))</f>
        <v>898023.93695796991</v>
      </c>
      <c r="E40" s="235">
        <f ca="1">IF(ValuesEntered,IF(ROW()-ROW(Amortization[[#Headers],[interest]])=1,-IPMT(InterestRate/12,1,DurationOfLoan-ROWS($C$4:C40)+1,Amortization[[#This Row],[opening
balance]]),IFERROR(-IPMT(InterestRate/12,1,Amortization[[#This Row],['#
remaining]],D41),0)),0)</f>
        <v>2240.5539951914056</v>
      </c>
      <c r="F40" s="235">
        <f ca="1">IFERROR(IF(AND(ValuesEntered,Amortization[[#This Row],[payment
date]]&lt;&gt;""),-PPMT(InterestRate/12,1,DurationOfLoan-ROWS($C$4:C40)+1,Amortization[[#This Row],[opening
balance]]),""),0)</f>
        <v>1802.3388814077987</v>
      </c>
      <c r="G40" s="235">
        <f ca="1">IF(Amortization[[#This Row],[payment
date]]="",0,PropertyTaxAmount)</f>
        <v>375</v>
      </c>
      <c r="H40" s="235">
        <f ca="1">IF(Amortization[[#This Row],[payment
date]]="",0,Amortization[[#This Row],[interest]]+Amortization[[#This Row],[principal]]+Amortization[[#This Row],[property
tax]])</f>
        <v>4417.8928765992041</v>
      </c>
      <c r="I40" s="235">
        <f ca="1">IF(Amortization[[#This Row],[payment
date]]="",0,Amortization[[#This Row],[opening
balance]]-Amortization[[#This Row],[principal]])</f>
        <v>896221.59807656216</v>
      </c>
      <c r="J40" s="247">
        <f ca="1">IF(Amortization[[#This Row],[closing
balance]]&gt;0,LastRow-ROW(),0)</f>
        <v>323</v>
      </c>
    </row>
    <row r="41" spans="2:10" ht="15" customHeight="1" x14ac:dyDescent="0.25">
      <c r="B41" s="249">
        <f>ROWS($B$4:B41)</f>
        <v>38</v>
      </c>
      <c r="C41" s="248">
        <f ca="1">IF(ValuesEntered,IF(Amortization[[#This Row],['#]]&lt;=DurationOfLoan,IF(ROW()-ROW(Amortization[[#Headers],[payment
date]])=1,LoanStart,IF(I40&gt;0,EDATE(C40,1),"")),""),"")</f>
        <v>46183</v>
      </c>
      <c r="D41" s="235">
        <f ca="1">IF(ROW()-ROW(Amortization[[#Headers],[opening
balance]])=1,LoanAmount,IF(Amortization[[#This Row],[payment
date]]="",0,INDEX(Amortization[], ROW()-4,8)))</f>
        <v>896221.59807656216</v>
      </c>
      <c r="E41" s="235">
        <f ca="1">IF(ValuesEntered,IF(ROW()-ROW(Amortization[[#Headers],[interest]])=1,-IPMT(InterestRate/12,1,DurationOfLoan-ROWS($C$4:C41)+1,Amortization[[#This Row],[opening
balance]]),IFERROR(-IPMT(InterestRate/12,1,Amortization[[#This Row],['#
remaining]],D42),0)),0)</f>
        <v>2236.0368833698772</v>
      </c>
      <c r="F41" s="235">
        <f ca="1">IFERROR(IF(AND(ValuesEntered,Amortization[[#This Row],[payment
date]]&lt;&gt;""),-PPMT(InterestRate/12,1,DurationOfLoan-ROWS($C$4:C41)+1,Amortization[[#This Row],[opening
balance]]),""),0)</f>
        <v>1806.8447286113183</v>
      </c>
      <c r="G41" s="235">
        <f ca="1">IF(Amortization[[#This Row],[payment
date]]="",0,PropertyTaxAmount)</f>
        <v>375</v>
      </c>
      <c r="H41" s="235">
        <f ca="1">IF(Amortization[[#This Row],[payment
date]]="",0,Amortization[[#This Row],[interest]]+Amortization[[#This Row],[principal]]+Amortization[[#This Row],[property
tax]])</f>
        <v>4417.8816119811954</v>
      </c>
      <c r="I41" s="235">
        <f ca="1">IF(Amortization[[#This Row],[payment
date]]="",0,Amortization[[#This Row],[opening
balance]]-Amortization[[#This Row],[principal]])</f>
        <v>894414.75334795087</v>
      </c>
      <c r="J41" s="247">
        <f ca="1">IF(Amortization[[#This Row],[closing
balance]]&gt;0,LastRow-ROW(),0)</f>
        <v>322</v>
      </c>
    </row>
    <row r="42" spans="2:10" ht="15" customHeight="1" x14ac:dyDescent="0.25">
      <c r="B42" s="249">
        <f>ROWS($B$4:B42)</f>
        <v>39</v>
      </c>
      <c r="C42" s="248">
        <f ca="1">IF(ValuesEntered,IF(Amortization[[#This Row],['#]]&lt;=DurationOfLoan,IF(ROW()-ROW(Amortization[[#Headers],[payment
date]])=1,LoanStart,IF(I41&gt;0,EDATE(C41,1),"")),""),"")</f>
        <v>46213</v>
      </c>
      <c r="D42" s="235">
        <f ca="1">IF(ROW()-ROW(Amortization[[#Headers],[opening
balance]])=1,LoanAmount,IF(Amortization[[#This Row],[payment
date]]="",0,INDEX(Amortization[], ROW()-4,8)))</f>
        <v>894414.75334795087</v>
      </c>
      <c r="E42" s="235">
        <f ca="1">IF(ValuesEntered,IF(ROW()-ROW(Amortization[[#Headers],[interest]])=1,-IPMT(InterestRate/12,1,DurationOfLoan-ROWS($C$4:C42)+1,Amortization[[#This Row],[opening
balance]]),IFERROR(-IPMT(InterestRate/12,1,Amortization[[#This Row],['#
remaining]],D43),0)),0)</f>
        <v>2231.5084787687952</v>
      </c>
      <c r="F42" s="235">
        <f ca="1">IFERROR(IF(AND(ValuesEntered,Amortization[[#This Row],[payment
date]]&lt;&gt;""),-PPMT(InterestRate/12,1,DurationOfLoan-ROWS($C$4:C42)+1,Amortization[[#This Row],[opening
balance]]),""),0)</f>
        <v>1811.3618404328465</v>
      </c>
      <c r="G42" s="235">
        <f ca="1">IF(Amortization[[#This Row],[payment
date]]="",0,PropertyTaxAmount)</f>
        <v>375</v>
      </c>
      <c r="H42" s="235">
        <f ca="1">IF(Amortization[[#This Row],[payment
date]]="",0,Amortization[[#This Row],[interest]]+Amortization[[#This Row],[principal]]+Amortization[[#This Row],[property
tax]])</f>
        <v>4417.8703192016419</v>
      </c>
      <c r="I42" s="235">
        <f ca="1">IF(Amortization[[#This Row],[payment
date]]="",0,Amortization[[#This Row],[opening
balance]]-Amortization[[#This Row],[principal]])</f>
        <v>892603.39150751801</v>
      </c>
      <c r="J42" s="247">
        <f ca="1">IF(Amortization[[#This Row],[closing
balance]]&gt;0,LastRow-ROW(),0)</f>
        <v>321</v>
      </c>
    </row>
    <row r="43" spans="2:10" ht="15" customHeight="1" x14ac:dyDescent="0.25">
      <c r="B43" s="249">
        <f>ROWS($B$4:B43)</f>
        <v>40</v>
      </c>
      <c r="C43" s="248">
        <f ca="1">IF(ValuesEntered,IF(Amortization[[#This Row],['#]]&lt;=DurationOfLoan,IF(ROW()-ROW(Amortization[[#Headers],[payment
date]])=1,LoanStart,IF(I42&gt;0,EDATE(C42,1),"")),""),"")</f>
        <v>46244</v>
      </c>
      <c r="D43" s="235">
        <f ca="1">IF(ROW()-ROW(Amortization[[#Headers],[opening
balance]])=1,LoanAmount,IF(Amortization[[#This Row],[payment
date]]="",0,INDEX(Amortization[], ROW()-4,8)))</f>
        <v>892603.39150751801</v>
      </c>
      <c r="E43" s="235">
        <f ca="1">IF(ValuesEntered,IF(ROW()-ROW(Amortization[[#Headers],[interest]])=1,-IPMT(InterestRate/12,1,DurationOfLoan-ROWS($C$4:C43)+1,Amortization[[#This Row],[opening
balance]]),IFERROR(-IPMT(InterestRate/12,1,Amortization[[#This Row],['#
remaining]],D44),0)),0)</f>
        <v>2226.9687531562104</v>
      </c>
      <c r="F43" s="235">
        <f ca="1">IFERROR(IF(AND(ValuesEntered,Amortization[[#This Row],[payment
date]]&lt;&gt;""),-PPMT(InterestRate/12,1,DurationOfLoan-ROWS($C$4:C43)+1,Amortization[[#This Row],[opening
balance]]),""),0)</f>
        <v>1815.890245033929</v>
      </c>
      <c r="G43" s="235">
        <f ca="1">IF(Amortization[[#This Row],[payment
date]]="",0,PropertyTaxAmount)</f>
        <v>375</v>
      </c>
      <c r="H43" s="235">
        <f ca="1">IF(Amortization[[#This Row],[payment
date]]="",0,Amortization[[#This Row],[interest]]+Amortization[[#This Row],[principal]]+Amortization[[#This Row],[property
tax]])</f>
        <v>4417.8589981901396</v>
      </c>
      <c r="I43" s="235">
        <f ca="1">IF(Amortization[[#This Row],[payment
date]]="",0,Amortization[[#This Row],[opening
balance]]-Amortization[[#This Row],[principal]])</f>
        <v>890787.50126248412</v>
      </c>
      <c r="J43" s="247">
        <f ca="1">IF(Amortization[[#This Row],[closing
balance]]&gt;0,LastRow-ROW(),0)</f>
        <v>320</v>
      </c>
    </row>
    <row r="44" spans="2:10" ht="15" customHeight="1" x14ac:dyDescent="0.25">
      <c r="B44" s="249">
        <f>ROWS($B$4:B44)</f>
        <v>41</v>
      </c>
      <c r="C44" s="248">
        <f ca="1">IF(ValuesEntered,IF(Amortization[[#This Row],['#]]&lt;=DurationOfLoan,IF(ROW()-ROW(Amortization[[#Headers],[payment
date]])=1,LoanStart,IF(I43&gt;0,EDATE(C43,1),"")),""),"")</f>
        <v>46275</v>
      </c>
      <c r="D44" s="235">
        <f ca="1">IF(ROW()-ROW(Amortization[[#Headers],[opening
balance]])=1,LoanAmount,IF(Amortization[[#This Row],[payment
date]]="",0,INDEX(Amortization[], ROW()-4,8)))</f>
        <v>890787.50126248412</v>
      </c>
      <c r="E44" s="235">
        <f ca="1">IF(ValuesEntered,IF(ROW()-ROW(Amortization[[#Headers],[interest]])=1,-IPMT(InterestRate/12,1,DurationOfLoan-ROWS($C$4:C44)+1,Amortization[[#This Row],[opening
balance]]),IFERROR(-IPMT(InterestRate/12,1,Amortization[[#This Row],['#
remaining]],D45),0)),0)</f>
        <v>2222.417678229594</v>
      </c>
      <c r="F44" s="235">
        <f ca="1">IFERROR(IF(AND(ValuesEntered,Amortization[[#This Row],[payment
date]]&lt;&gt;""),-PPMT(InterestRate/12,1,DurationOfLoan-ROWS($C$4:C44)+1,Amortization[[#This Row],[opening
balance]]),""),0)</f>
        <v>1820.429970646514</v>
      </c>
      <c r="G44" s="235">
        <f ca="1">IF(Amortization[[#This Row],[payment
date]]="",0,PropertyTaxAmount)</f>
        <v>375</v>
      </c>
      <c r="H44" s="235">
        <f ca="1">IF(Amortization[[#This Row],[payment
date]]="",0,Amortization[[#This Row],[interest]]+Amortization[[#This Row],[principal]]+Amortization[[#This Row],[property
tax]])</f>
        <v>4417.847648876108</v>
      </c>
      <c r="I44" s="235">
        <f ca="1">IF(Amortization[[#This Row],[payment
date]]="",0,Amortization[[#This Row],[opening
balance]]-Amortization[[#This Row],[principal]])</f>
        <v>888967.07129183761</v>
      </c>
      <c r="J44" s="247">
        <f ca="1">IF(Amortization[[#This Row],[closing
balance]]&gt;0,LastRow-ROW(),0)</f>
        <v>319</v>
      </c>
    </row>
    <row r="45" spans="2:10" ht="15" customHeight="1" x14ac:dyDescent="0.25">
      <c r="B45" s="249">
        <f>ROWS($B$4:B45)</f>
        <v>42</v>
      </c>
      <c r="C45" s="248">
        <f ca="1">IF(ValuesEntered,IF(Amortization[[#This Row],['#]]&lt;=DurationOfLoan,IF(ROW()-ROW(Amortization[[#Headers],[payment
date]])=1,LoanStart,IF(I44&gt;0,EDATE(C44,1),"")),""),"")</f>
        <v>46305</v>
      </c>
      <c r="D45" s="235">
        <f ca="1">IF(ROW()-ROW(Amortization[[#Headers],[opening
balance]])=1,LoanAmount,IF(Amortization[[#This Row],[payment
date]]="",0,INDEX(Amortization[], ROW()-4,8)))</f>
        <v>888967.07129183761</v>
      </c>
      <c r="E45" s="235">
        <f ca="1">IF(ValuesEntered,IF(ROW()-ROW(Amortization[[#Headers],[interest]])=1,-IPMT(InterestRate/12,1,DurationOfLoan-ROWS($C$4:C45)+1,Amortization[[#This Row],[opening
balance]]),IFERROR(-IPMT(InterestRate/12,1,Amortization[[#This Row],['#
remaining]],D46),0)),0)</f>
        <v>2217.8552256156613</v>
      </c>
      <c r="F45" s="235">
        <f ca="1">IFERROR(IF(AND(ValuesEntered,Amortization[[#This Row],[payment
date]]&lt;&gt;""),-PPMT(InterestRate/12,1,DurationOfLoan-ROWS($C$4:C45)+1,Amortization[[#This Row],[opening
balance]]),""),0)</f>
        <v>1824.9810455731304</v>
      </c>
      <c r="G45" s="235">
        <f ca="1">IF(Amortization[[#This Row],[payment
date]]="",0,PropertyTaxAmount)</f>
        <v>375</v>
      </c>
      <c r="H45" s="235">
        <f ca="1">IF(Amortization[[#This Row],[payment
date]]="",0,Amortization[[#This Row],[interest]]+Amortization[[#This Row],[principal]]+Amortization[[#This Row],[property
tax]])</f>
        <v>4417.8362711887912</v>
      </c>
      <c r="I45" s="235">
        <f ca="1">IF(Amortization[[#This Row],[payment
date]]="",0,Amortization[[#This Row],[opening
balance]]-Amortization[[#This Row],[principal]])</f>
        <v>887142.09024626447</v>
      </c>
      <c r="J45" s="247">
        <f ca="1">IF(Amortization[[#This Row],[closing
balance]]&gt;0,LastRow-ROW(),0)</f>
        <v>318</v>
      </c>
    </row>
    <row r="46" spans="2:10" ht="15" customHeight="1" x14ac:dyDescent="0.25">
      <c r="B46" s="249">
        <f>ROWS($B$4:B46)</f>
        <v>43</v>
      </c>
      <c r="C46" s="248">
        <f ca="1">IF(ValuesEntered,IF(Amortization[[#This Row],['#]]&lt;=DurationOfLoan,IF(ROW()-ROW(Amortization[[#Headers],[payment
date]])=1,LoanStart,IF(I45&gt;0,EDATE(C45,1),"")),""),"")</f>
        <v>46336</v>
      </c>
      <c r="D46" s="235">
        <f ca="1">IF(ROW()-ROW(Amortization[[#Headers],[opening
balance]])=1,LoanAmount,IF(Amortization[[#This Row],[payment
date]]="",0,INDEX(Amortization[], ROW()-4,8)))</f>
        <v>887142.09024626447</v>
      </c>
      <c r="E46" s="235">
        <f ca="1">IF(ValuesEntered,IF(ROW()-ROW(Amortization[[#Headers],[interest]])=1,-IPMT(InterestRate/12,1,DurationOfLoan-ROWS($C$4:C46)+1,Amortization[[#This Row],[opening
balance]]),IFERROR(-IPMT(InterestRate/12,1,Amortization[[#This Row],['#
remaining]],D47),0)),0)</f>
        <v>2213.2813668701933</v>
      </c>
      <c r="F46" s="235">
        <f ca="1">IFERROR(IF(AND(ValuesEntered,Amortization[[#This Row],[payment
date]]&lt;&gt;""),-PPMT(InterestRate/12,1,DurationOfLoan-ROWS($C$4:C46)+1,Amortization[[#This Row],[opening
balance]]),""),0)</f>
        <v>1829.5434981870628</v>
      </c>
      <c r="G46" s="235">
        <f ca="1">IF(Amortization[[#This Row],[payment
date]]="",0,PropertyTaxAmount)</f>
        <v>375</v>
      </c>
      <c r="H46" s="235">
        <f ca="1">IF(Amortization[[#This Row],[payment
date]]="",0,Amortization[[#This Row],[interest]]+Amortization[[#This Row],[principal]]+Amortization[[#This Row],[property
tax]])</f>
        <v>4417.8248650572559</v>
      </c>
      <c r="I46" s="235">
        <f ca="1">IF(Amortization[[#This Row],[payment
date]]="",0,Amortization[[#This Row],[opening
balance]]-Amortization[[#This Row],[principal]])</f>
        <v>885312.54674807738</v>
      </c>
      <c r="J46" s="247">
        <f ca="1">IF(Amortization[[#This Row],[closing
balance]]&gt;0,LastRow-ROW(),0)</f>
        <v>317</v>
      </c>
    </row>
    <row r="47" spans="2:10" ht="15" customHeight="1" x14ac:dyDescent="0.25">
      <c r="B47" s="249">
        <f>ROWS($B$4:B47)</f>
        <v>44</v>
      </c>
      <c r="C47" s="248">
        <f ca="1">IF(ValuesEntered,IF(Amortization[[#This Row],['#]]&lt;=DurationOfLoan,IF(ROW()-ROW(Amortization[[#Headers],[payment
date]])=1,LoanStart,IF(I46&gt;0,EDATE(C46,1),"")),""),"")</f>
        <v>46366</v>
      </c>
      <c r="D47" s="235">
        <f ca="1">IF(ROW()-ROW(Amortization[[#Headers],[opening
balance]])=1,LoanAmount,IF(Amortization[[#This Row],[payment
date]]="",0,INDEX(Amortization[], ROW()-4,8)))</f>
        <v>885312.54674807738</v>
      </c>
      <c r="E47" s="235">
        <f ca="1">IF(ValuesEntered,IF(ROW()-ROW(Amortization[[#Headers],[interest]])=1,-IPMT(InterestRate/12,1,DurationOfLoan-ROWS($C$4:C47)+1,Amortization[[#This Row],[opening
balance]]),IFERROR(-IPMT(InterestRate/12,1,Amortization[[#This Row],['#
remaining]],D48),0)),0)</f>
        <v>2208.6960734778622</v>
      </c>
      <c r="F47" s="235">
        <f ca="1">IFERROR(IF(AND(ValuesEntered,Amortization[[#This Row],[payment
date]]&lt;&gt;""),-PPMT(InterestRate/12,1,DurationOfLoan-ROWS($C$4:C47)+1,Amortization[[#This Row],[opening
balance]]),""),0)</f>
        <v>1834.1173569325304</v>
      </c>
      <c r="G47" s="235">
        <f ca="1">IF(Amortization[[#This Row],[payment
date]]="",0,PropertyTaxAmount)</f>
        <v>375</v>
      </c>
      <c r="H47" s="235">
        <f ca="1">IF(Amortization[[#This Row],[payment
date]]="",0,Amortization[[#This Row],[interest]]+Amortization[[#This Row],[principal]]+Amortization[[#This Row],[property
tax]])</f>
        <v>4417.8134304103924</v>
      </c>
      <c r="I47" s="235">
        <f ca="1">IF(Amortization[[#This Row],[payment
date]]="",0,Amortization[[#This Row],[opening
balance]]-Amortization[[#This Row],[principal]])</f>
        <v>883478.42939114489</v>
      </c>
      <c r="J47" s="247">
        <f ca="1">IF(Amortization[[#This Row],[closing
balance]]&gt;0,LastRow-ROW(),0)</f>
        <v>316</v>
      </c>
    </row>
    <row r="48" spans="2:10" ht="15" customHeight="1" x14ac:dyDescent="0.25">
      <c r="B48" s="249">
        <f>ROWS($B$4:B48)</f>
        <v>45</v>
      </c>
      <c r="C48" s="248">
        <f ca="1">IF(ValuesEntered,IF(Amortization[[#This Row],['#]]&lt;=DurationOfLoan,IF(ROW()-ROW(Amortization[[#Headers],[payment
date]])=1,LoanStart,IF(I47&gt;0,EDATE(C47,1),"")),""),"")</f>
        <v>46397</v>
      </c>
      <c r="D48" s="235">
        <f ca="1">IF(ROW()-ROW(Amortization[[#Headers],[opening
balance]])=1,LoanAmount,IF(Amortization[[#This Row],[payment
date]]="",0,INDEX(Amortization[], ROW()-4,8)))</f>
        <v>883478.42939114489</v>
      </c>
      <c r="E48" s="235">
        <f ca="1">IF(ValuesEntered,IF(ROW()-ROW(Amortization[[#Headers],[interest]])=1,-IPMT(InterestRate/12,1,DurationOfLoan-ROWS($C$4:C48)+1,Amortization[[#This Row],[opening
balance]]),IFERROR(-IPMT(InterestRate/12,1,Amortization[[#This Row],['#
remaining]],D49),0)),0)</f>
        <v>2204.0993168520499</v>
      </c>
      <c r="F48" s="235">
        <f ca="1">IFERROR(IF(AND(ValuesEntered,Amortization[[#This Row],[payment
date]]&lt;&gt;""),-PPMT(InterestRate/12,1,DurationOfLoan-ROWS($C$4:C48)+1,Amortization[[#This Row],[opening
balance]]),""),0)</f>
        <v>1838.7026503248621</v>
      </c>
      <c r="G48" s="235">
        <f ca="1">IF(Amortization[[#This Row],[payment
date]]="",0,PropertyTaxAmount)</f>
        <v>375</v>
      </c>
      <c r="H48" s="235">
        <f ca="1">IF(Amortization[[#This Row],[payment
date]]="",0,Amortization[[#This Row],[interest]]+Amortization[[#This Row],[principal]]+Amortization[[#This Row],[property
tax]])</f>
        <v>4417.8019671769125</v>
      </c>
      <c r="I48" s="235">
        <f ca="1">IF(Amortization[[#This Row],[payment
date]]="",0,Amortization[[#This Row],[opening
balance]]-Amortization[[#This Row],[principal]])</f>
        <v>881639.72674081998</v>
      </c>
      <c r="J48" s="247">
        <f ca="1">IF(Amortization[[#This Row],[closing
balance]]&gt;0,LastRow-ROW(),0)</f>
        <v>315</v>
      </c>
    </row>
    <row r="49" spans="2:10" ht="15" customHeight="1" x14ac:dyDescent="0.25">
      <c r="B49" s="249">
        <f>ROWS($B$4:B49)</f>
        <v>46</v>
      </c>
      <c r="C49" s="248">
        <f ca="1">IF(ValuesEntered,IF(Amortization[[#This Row],['#]]&lt;=DurationOfLoan,IF(ROW()-ROW(Amortization[[#Headers],[payment
date]])=1,LoanStart,IF(I48&gt;0,EDATE(C48,1),"")),""),"")</f>
        <v>46428</v>
      </c>
      <c r="D49" s="235">
        <f ca="1">IF(ROW()-ROW(Amortization[[#Headers],[opening
balance]])=1,LoanAmount,IF(Amortization[[#This Row],[payment
date]]="",0,INDEX(Amortization[], ROW()-4,8)))</f>
        <v>881639.72674081998</v>
      </c>
      <c r="E49" s="235">
        <f ca="1">IF(ValuesEntered,IF(ROW()-ROW(Amortization[[#Headers],[interest]])=1,-IPMT(InterestRate/12,1,DurationOfLoan-ROWS($C$4:C49)+1,Amortization[[#This Row],[opening
balance]]),IFERROR(-IPMT(InterestRate/12,1,Amortization[[#This Row],['#
remaining]],D50),0)),0)</f>
        <v>2199.4910683346734</v>
      </c>
      <c r="F49" s="235">
        <f ca="1">IFERROR(IF(AND(ValuesEntered,Amortization[[#This Row],[payment
date]]&lt;&gt;""),-PPMT(InterestRate/12,1,DurationOfLoan-ROWS($C$4:C49)+1,Amortization[[#This Row],[opening
balance]]),""),0)</f>
        <v>1843.2994069506744</v>
      </c>
      <c r="G49" s="235">
        <f ca="1">IF(Amortization[[#This Row],[payment
date]]="",0,PropertyTaxAmount)</f>
        <v>375</v>
      </c>
      <c r="H49" s="235">
        <f ca="1">IF(Amortization[[#This Row],[payment
date]]="",0,Amortization[[#This Row],[interest]]+Amortization[[#This Row],[principal]]+Amortization[[#This Row],[property
tax]])</f>
        <v>4417.7904752853483</v>
      </c>
      <c r="I49" s="235">
        <f ca="1">IF(Amortization[[#This Row],[payment
date]]="",0,Amortization[[#This Row],[opening
balance]]-Amortization[[#This Row],[principal]])</f>
        <v>879796.42733386927</v>
      </c>
      <c r="J49" s="247">
        <f ca="1">IF(Amortization[[#This Row],[closing
balance]]&gt;0,LastRow-ROW(),0)</f>
        <v>314</v>
      </c>
    </row>
    <row r="50" spans="2:10" ht="15" customHeight="1" x14ac:dyDescent="0.25">
      <c r="B50" s="249">
        <f>ROWS($B$4:B50)</f>
        <v>47</v>
      </c>
      <c r="C50" s="248">
        <f ca="1">IF(ValuesEntered,IF(Amortization[[#This Row],['#]]&lt;=DurationOfLoan,IF(ROW()-ROW(Amortization[[#Headers],[payment
date]])=1,LoanStart,IF(I49&gt;0,EDATE(C49,1),"")),""),"")</f>
        <v>46456</v>
      </c>
      <c r="D50" s="235">
        <f ca="1">IF(ROW()-ROW(Amortization[[#Headers],[opening
balance]])=1,LoanAmount,IF(Amortization[[#This Row],[payment
date]]="",0,INDEX(Amortization[], ROW()-4,8)))</f>
        <v>879796.42733386927</v>
      </c>
      <c r="E50" s="235">
        <f ca="1">IF(ValuesEntered,IF(ROW()-ROW(Amortization[[#Headers],[interest]])=1,-IPMT(InterestRate/12,1,DurationOfLoan-ROWS($C$4:C50)+1,Amortization[[#This Row],[opening
balance]]),IFERROR(-IPMT(InterestRate/12,1,Amortization[[#This Row],['#
remaining]],D51),0)),0)</f>
        <v>2194.8712991960028</v>
      </c>
      <c r="F50" s="235">
        <f ca="1">IFERROR(IF(AND(ValuesEntered,Amortization[[#This Row],[payment
date]]&lt;&gt;""),-PPMT(InterestRate/12,1,DurationOfLoan-ROWS($C$4:C50)+1,Amortization[[#This Row],[opening
balance]]),""),0)</f>
        <v>1847.9076554680507</v>
      </c>
      <c r="G50" s="235">
        <f ca="1">IF(Amortization[[#This Row],[payment
date]]="",0,PropertyTaxAmount)</f>
        <v>375</v>
      </c>
      <c r="H50" s="235">
        <f ca="1">IF(Amortization[[#This Row],[payment
date]]="",0,Amortization[[#This Row],[interest]]+Amortization[[#This Row],[principal]]+Amortization[[#This Row],[property
tax]])</f>
        <v>4417.7789546640533</v>
      </c>
      <c r="I50" s="235">
        <f ca="1">IF(Amortization[[#This Row],[payment
date]]="",0,Amortization[[#This Row],[opening
balance]]-Amortization[[#This Row],[principal]])</f>
        <v>877948.51967840118</v>
      </c>
      <c r="J50" s="247">
        <f ca="1">IF(Amortization[[#This Row],[closing
balance]]&gt;0,LastRow-ROW(),0)</f>
        <v>313</v>
      </c>
    </row>
    <row r="51" spans="2:10" ht="15" customHeight="1" x14ac:dyDescent="0.25">
      <c r="B51" s="249">
        <f>ROWS($B$4:B51)</f>
        <v>48</v>
      </c>
      <c r="C51" s="248">
        <f ca="1">IF(ValuesEntered,IF(Amortization[[#This Row],['#]]&lt;=DurationOfLoan,IF(ROW()-ROW(Amortization[[#Headers],[payment
date]])=1,LoanStart,IF(I50&gt;0,EDATE(C50,1),"")),""),"")</f>
        <v>46487</v>
      </c>
      <c r="D51" s="235">
        <f ca="1">IF(ROW()-ROW(Amortization[[#Headers],[opening
balance]])=1,LoanAmount,IF(Amortization[[#This Row],[payment
date]]="",0,INDEX(Amortization[], ROW()-4,8)))</f>
        <v>877948.51967840118</v>
      </c>
      <c r="E51" s="235">
        <f ca="1">IF(ValuesEntered,IF(ROW()-ROW(Amortization[[#Headers],[interest]])=1,-IPMT(InterestRate/12,1,DurationOfLoan-ROWS($C$4:C51)+1,Amortization[[#This Row],[opening
balance]]),IFERROR(-IPMT(InterestRate/12,1,Amortization[[#This Row],['#
remaining]],D52),0)),0)</f>
        <v>2190.2399806344865</v>
      </c>
      <c r="F51" s="235">
        <f ca="1">IFERROR(IF(AND(ValuesEntered,Amortization[[#This Row],[payment
date]]&lt;&gt;""),-PPMT(InterestRate/12,1,DurationOfLoan-ROWS($C$4:C51)+1,Amortization[[#This Row],[opening
balance]]),""),0)</f>
        <v>1852.5274246067208</v>
      </c>
      <c r="G51" s="235">
        <f ca="1">IF(Amortization[[#This Row],[payment
date]]="",0,PropertyTaxAmount)</f>
        <v>375</v>
      </c>
      <c r="H51" s="235">
        <f ca="1">IF(Amortization[[#This Row],[payment
date]]="",0,Amortization[[#This Row],[interest]]+Amortization[[#This Row],[principal]]+Amortization[[#This Row],[property
tax]])</f>
        <v>4417.7674052412076</v>
      </c>
      <c r="I51" s="235">
        <f ca="1">IF(Amortization[[#This Row],[payment
date]]="",0,Amortization[[#This Row],[opening
balance]]-Amortization[[#This Row],[principal]])</f>
        <v>876095.99225379445</v>
      </c>
      <c r="J51" s="247">
        <f ca="1">IF(Amortization[[#This Row],[closing
balance]]&gt;0,LastRow-ROW(),0)</f>
        <v>312</v>
      </c>
    </row>
    <row r="52" spans="2:10" ht="15" customHeight="1" x14ac:dyDescent="0.25">
      <c r="B52" s="249">
        <f>ROWS($B$4:B52)</f>
        <v>49</v>
      </c>
      <c r="C52" s="248">
        <f ca="1">IF(ValuesEntered,IF(Amortization[[#This Row],['#]]&lt;=DurationOfLoan,IF(ROW()-ROW(Amortization[[#Headers],[payment
date]])=1,LoanStart,IF(I51&gt;0,EDATE(C51,1),"")),""),"")</f>
        <v>46517</v>
      </c>
      <c r="D52" s="235">
        <f ca="1">IF(ROW()-ROW(Amortization[[#Headers],[opening
balance]])=1,LoanAmount,IF(Amortization[[#This Row],[payment
date]]="",0,INDEX(Amortization[], ROW()-4,8)))</f>
        <v>876095.99225379445</v>
      </c>
      <c r="E52" s="235">
        <f ca="1">IF(ValuesEntered,IF(ROW()-ROW(Amortization[[#Headers],[interest]])=1,-IPMT(InterestRate/12,1,DurationOfLoan-ROWS($C$4:C52)+1,Amortization[[#This Row],[opening
balance]]),IFERROR(-IPMT(InterestRate/12,1,Amortization[[#This Row],['#
remaining]],D53),0)),0)</f>
        <v>2185.5970837765658</v>
      </c>
      <c r="F52" s="235">
        <f ca="1">IFERROR(IF(AND(ValuesEntered,Amortization[[#This Row],[payment
date]]&lt;&gt;""),-PPMT(InterestRate/12,1,DurationOfLoan-ROWS($C$4:C52)+1,Amortization[[#This Row],[opening
balance]]),""),0)</f>
        <v>1857.1587431682378</v>
      </c>
      <c r="G52" s="235">
        <f ca="1">IF(Amortization[[#This Row],[payment
date]]="",0,PropertyTaxAmount)</f>
        <v>375</v>
      </c>
      <c r="H52" s="235">
        <f ca="1">IF(Amortization[[#This Row],[payment
date]]="",0,Amortization[[#This Row],[interest]]+Amortization[[#This Row],[principal]]+Amortization[[#This Row],[property
tax]])</f>
        <v>4417.7558269448036</v>
      </c>
      <c r="I52" s="235">
        <f ca="1">IF(Amortization[[#This Row],[payment
date]]="",0,Amortization[[#This Row],[opening
balance]]-Amortization[[#This Row],[principal]])</f>
        <v>874238.83351062622</v>
      </c>
      <c r="J52" s="247">
        <f ca="1">IF(Amortization[[#This Row],[closing
balance]]&gt;0,LastRow-ROW(),0)</f>
        <v>311</v>
      </c>
    </row>
    <row r="53" spans="2:10" ht="15" customHeight="1" x14ac:dyDescent="0.25">
      <c r="B53" s="249">
        <f>ROWS($B$4:B53)</f>
        <v>50</v>
      </c>
      <c r="C53" s="248">
        <f ca="1">IF(ValuesEntered,IF(Amortization[[#This Row],['#]]&lt;=DurationOfLoan,IF(ROW()-ROW(Amortization[[#Headers],[payment
date]])=1,LoanStart,IF(I52&gt;0,EDATE(C52,1),"")),""),"")</f>
        <v>46548</v>
      </c>
      <c r="D53" s="235">
        <f ca="1">IF(ROW()-ROW(Amortization[[#Headers],[opening
balance]])=1,LoanAmount,IF(Amortization[[#This Row],[payment
date]]="",0,INDEX(Amortization[], ROW()-4,8)))</f>
        <v>874238.83351062622</v>
      </c>
      <c r="E53" s="235">
        <f ca="1">IF(ValuesEntered,IF(ROW()-ROW(Amortization[[#Headers],[interest]])=1,-IPMT(InterestRate/12,1,DurationOfLoan-ROWS($C$4:C53)+1,Amortization[[#This Row],[opening
balance]]),IFERROR(-IPMT(InterestRate/12,1,Amortization[[#This Row],['#
remaining]],D54),0)),0)</f>
        <v>2180.9425796765004</v>
      </c>
      <c r="F53" s="235">
        <f ca="1">IFERROR(IF(AND(ValuesEntered,Amortization[[#This Row],[payment
date]]&lt;&gt;""),-PPMT(InterestRate/12,1,DurationOfLoan-ROWS($C$4:C53)+1,Amortization[[#This Row],[opening
balance]]),""),0)</f>
        <v>1861.8016400261586</v>
      </c>
      <c r="G53" s="235">
        <f ca="1">IF(Amortization[[#This Row],[payment
date]]="",0,PropertyTaxAmount)</f>
        <v>375</v>
      </c>
      <c r="H53" s="235">
        <f ca="1">IF(Amortization[[#This Row],[payment
date]]="",0,Amortization[[#This Row],[interest]]+Amortization[[#This Row],[principal]]+Amortization[[#This Row],[property
tax]])</f>
        <v>4417.7442197026594</v>
      </c>
      <c r="I53" s="235">
        <f ca="1">IF(Amortization[[#This Row],[payment
date]]="",0,Amortization[[#This Row],[opening
balance]]-Amortization[[#This Row],[principal]])</f>
        <v>872377.03187060007</v>
      </c>
      <c r="J53" s="247">
        <f ca="1">IF(Amortization[[#This Row],[closing
balance]]&gt;0,LastRow-ROW(),0)</f>
        <v>310</v>
      </c>
    </row>
    <row r="54" spans="2:10" ht="15" customHeight="1" x14ac:dyDescent="0.25">
      <c r="B54" s="249">
        <f>ROWS($B$4:B54)</f>
        <v>51</v>
      </c>
      <c r="C54" s="248">
        <f ca="1">IF(ValuesEntered,IF(Amortization[[#This Row],['#]]&lt;=DurationOfLoan,IF(ROW()-ROW(Amortization[[#Headers],[payment
date]])=1,LoanStart,IF(I53&gt;0,EDATE(C53,1),"")),""),"")</f>
        <v>46578</v>
      </c>
      <c r="D54" s="235">
        <f ca="1">IF(ROW()-ROW(Amortization[[#Headers],[opening
balance]])=1,LoanAmount,IF(Amortization[[#This Row],[payment
date]]="",0,INDEX(Amortization[], ROW()-4,8)))</f>
        <v>872377.03187060007</v>
      </c>
      <c r="E54" s="235">
        <f ca="1">IF(ValuesEntered,IF(ROW()-ROW(Amortization[[#Headers],[interest]])=1,-IPMT(InterestRate/12,1,DurationOfLoan-ROWS($C$4:C54)+1,Amortization[[#This Row],[opening
balance]]),IFERROR(-IPMT(InterestRate/12,1,Amortization[[#This Row],['#
remaining]],D55),0)),0)</f>
        <v>2176.2764393161847</v>
      </c>
      <c r="F54" s="235">
        <f ca="1">IFERROR(IF(AND(ValuesEntered,Amortization[[#This Row],[payment
date]]&lt;&gt;""),-PPMT(InterestRate/12,1,DurationOfLoan-ROWS($C$4:C54)+1,Amortization[[#This Row],[opening
balance]]),""),0)</f>
        <v>1866.4561441262233</v>
      </c>
      <c r="G54" s="235">
        <f ca="1">IF(Amortization[[#This Row],[payment
date]]="",0,PropertyTaxAmount)</f>
        <v>375</v>
      </c>
      <c r="H54" s="235">
        <f ca="1">IF(Amortization[[#This Row],[payment
date]]="",0,Amortization[[#This Row],[interest]]+Amortization[[#This Row],[principal]]+Amortization[[#This Row],[property
tax]])</f>
        <v>4417.7325834424082</v>
      </c>
      <c r="I54" s="235">
        <f ca="1">IF(Amortization[[#This Row],[payment
date]]="",0,Amortization[[#This Row],[opening
balance]]-Amortization[[#This Row],[principal]])</f>
        <v>870510.57572647382</v>
      </c>
      <c r="J54" s="247">
        <f ca="1">IF(Amortization[[#This Row],[closing
balance]]&gt;0,LastRow-ROW(),0)</f>
        <v>309</v>
      </c>
    </row>
    <row r="55" spans="2:10" ht="15" customHeight="1" x14ac:dyDescent="0.25">
      <c r="B55" s="249">
        <f>ROWS($B$4:B55)</f>
        <v>52</v>
      </c>
      <c r="C55" s="248">
        <f ca="1">IF(ValuesEntered,IF(Amortization[[#This Row],['#]]&lt;=DurationOfLoan,IF(ROW()-ROW(Amortization[[#Headers],[payment
date]])=1,LoanStart,IF(I54&gt;0,EDATE(C54,1),"")),""),"")</f>
        <v>46609</v>
      </c>
      <c r="D55" s="235">
        <f ca="1">IF(ROW()-ROW(Amortization[[#Headers],[opening
balance]])=1,LoanAmount,IF(Amortization[[#This Row],[payment
date]]="",0,INDEX(Amortization[], ROW()-4,8)))</f>
        <v>870510.57572647382</v>
      </c>
      <c r="E55" s="235">
        <f ca="1">IF(ValuesEntered,IF(ROW()-ROW(Amortization[[#Headers],[interest]])=1,-IPMT(InterestRate/12,1,DurationOfLoan-ROWS($C$4:C55)+1,Amortization[[#This Row],[opening
balance]]),IFERROR(-IPMT(InterestRate/12,1,Amortization[[#This Row],['#
remaining]],D56),0)),0)</f>
        <v>2171.5986336049682</v>
      </c>
      <c r="F55" s="235">
        <f ca="1">IFERROR(IF(AND(ValuesEntered,Amortization[[#This Row],[payment
date]]&lt;&gt;""),-PPMT(InterestRate/12,1,DurationOfLoan-ROWS($C$4:C55)+1,Amortization[[#This Row],[opening
balance]]),""),0)</f>
        <v>1871.1222844865392</v>
      </c>
      <c r="G55" s="235">
        <f ca="1">IF(Amortization[[#This Row],[payment
date]]="",0,PropertyTaxAmount)</f>
        <v>375</v>
      </c>
      <c r="H55" s="235">
        <f ca="1">IF(Amortization[[#This Row],[payment
date]]="",0,Amortization[[#This Row],[interest]]+Amortization[[#This Row],[principal]]+Amortization[[#This Row],[property
tax]])</f>
        <v>4417.720918091507</v>
      </c>
      <c r="I55" s="235">
        <f ca="1">IF(Amortization[[#This Row],[payment
date]]="",0,Amortization[[#This Row],[opening
balance]]-Amortization[[#This Row],[principal]])</f>
        <v>868639.45344198728</v>
      </c>
      <c r="J55" s="247">
        <f ca="1">IF(Amortization[[#This Row],[closing
balance]]&gt;0,LastRow-ROW(),0)</f>
        <v>308</v>
      </c>
    </row>
    <row r="56" spans="2:10" ht="15" customHeight="1" x14ac:dyDescent="0.25">
      <c r="B56" s="249">
        <f>ROWS($B$4:B56)</f>
        <v>53</v>
      </c>
      <c r="C56" s="248">
        <f ca="1">IF(ValuesEntered,IF(Amortization[[#This Row],['#]]&lt;=DurationOfLoan,IF(ROW()-ROW(Amortization[[#Headers],[payment
date]])=1,LoanStart,IF(I55&gt;0,EDATE(C55,1),"")),""),"")</f>
        <v>46640</v>
      </c>
      <c r="D56" s="235">
        <f ca="1">IF(ROW()-ROW(Amortization[[#Headers],[opening
balance]])=1,LoanAmount,IF(Amortization[[#This Row],[payment
date]]="",0,INDEX(Amortization[], ROW()-4,8)))</f>
        <v>868639.45344198728</v>
      </c>
      <c r="E56" s="235">
        <f ca="1">IF(ValuesEntered,IF(ROW()-ROW(Amortization[[#Headers],[interest]])=1,-IPMT(InterestRate/12,1,DurationOfLoan-ROWS($C$4:C56)+1,Amortization[[#This Row],[opening
balance]]),IFERROR(-IPMT(InterestRate/12,1,Amortization[[#This Row],['#
remaining]],D57),0)),0)</f>
        <v>2166.909133379474</v>
      </c>
      <c r="F56" s="235">
        <f ca="1">IFERROR(IF(AND(ValuesEntered,Amortization[[#This Row],[payment
date]]&lt;&gt;""),-PPMT(InterestRate/12,1,DurationOfLoan-ROWS($C$4:C56)+1,Amortization[[#This Row],[opening
balance]]),""),0)</f>
        <v>1875.8000901977562</v>
      </c>
      <c r="G56" s="235">
        <f ca="1">IF(Amortization[[#This Row],[payment
date]]="",0,PropertyTaxAmount)</f>
        <v>375</v>
      </c>
      <c r="H56" s="235">
        <f ca="1">IF(Amortization[[#This Row],[payment
date]]="",0,Amortization[[#This Row],[interest]]+Amortization[[#This Row],[principal]]+Amortization[[#This Row],[property
tax]])</f>
        <v>4417.7092235772307</v>
      </c>
      <c r="I56" s="235">
        <f ca="1">IF(Amortization[[#This Row],[payment
date]]="",0,Amortization[[#This Row],[opening
balance]]-Amortization[[#This Row],[principal]])</f>
        <v>866763.65335178957</v>
      </c>
      <c r="J56" s="247">
        <f ca="1">IF(Amortization[[#This Row],[closing
balance]]&gt;0,LastRow-ROW(),0)</f>
        <v>307</v>
      </c>
    </row>
    <row r="57" spans="2:10" ht="15" customHeight="1" x14ac:dyDescent="0.25">
      <c r="B57" s="249">
        <f>ROWS($B$4:B57)</f>
        <v>54</v>
      </c>
      <c r="C57" s="248">
        <f ca="1">IF(ValuesEntered,IF(Amortization[[#This Row],['#]]&lt;=DurationOfLoan,IF(ROW()-ROW(Amortization[[#Headers],[payment
date]])=1,LoanStart,IF(I56&gt;0,EDATE(C56,1),"")),""),"")</f>
        <v>46670</v>
      </c>
      <c r="D57" s="235">
        <f ca="1">IF(ROW()-ROW(Amortization[[#Headers],[opening
balance]])=1,LoanAmount,IF(Amortization[[#This Row],[payment
date]]="",0,INDEX(Amortization[], ROW()-4,8)))</f>
        <v>866763.65335178957</v>
      </c>
      <c r="E57" s="235">
        <f ca="1">IF(ValuesEntered,IF(ROW()-ROW(Amortization[[#Headers],[interest]])=1,-IPMT(InterestRate/12,1,DurationOfLoan-ROWS($C$4:C57)+1,Amortization[[#This Row],[opening
balance]]),IFERROR(-IPMT(InterestRate/12,1,Amortization[[#This Row],['#
remaining]],D58),0)),0)</f>
        <v>2162.2079094034157</v>
      </c>
      <c r="F57" s="235">
        <f ca="1">IFERROR(IF(AND(ValuesEntered,Amortization[[#This Row],[payment
date]]&lt;&gt;""),-PPMT(InterestRate/12,1,DurationOfLoan-ROWS($C$4:C57)+1,Amortization[[#This Row],[opening
balance]]),""),0)</f>
        <v>1880.4895904232501</v>
      </c>
      <c r="G57" s="235">
        <f ca="1">IF(Amortization[[#This Row],[payment
date]]="",0,PropertyTaxAmount)</f>
        <v>375</v>
      </c>
      <c r="H57" s="235">
        <f ca="1">IF(Amortization[[#This Row],[payment
date]]="",0,Amortization[[#This Row],[interest]]+Amortization[[#This Row],[principal]]+Amortization[[#This Row],[property
tax]])</f>
        <v>4417.697499826666</v>
      </c>
      <c r="I57" s="235">
        <f ca="1">IF(Amortization[[#This Row],[payment
date]]="",0,Amortization[[#This Row],[opening
balance]]-Amortization[[#This Row],[principal]])</f>
        <v>864883.16376136628</v>
      </c>
      <c r="J57" s="247">
        <f ca="1">IF(Amortization[[#This Row],[closing
balance]]&gt;0,LastRow-ROW(),0)</f>
        <v>306</v>
      </c>
    </row>
    <row r="58" spans="2:10" ht="15" customHeight="1" x14ac:dyDescent="0.25">
      <c r="B58" s="249">
        <f>ROWS($B$4:B58)</f>
        <v>55</v>
      </c>
      <c r="C58" s="248">
        <f ca="1">IF(ValuesEntered,IF(Amortization[[#This Row],['#]]&lt;=DurationOfLoan,IF(ROW()-ROW(Amortization[[#Headers],[payment
date]])=1,LoanStart,IF(I57&gt;0,EDATE(C57,1),"")),""),"")</f>
        <v>46701</v>
      </c>
      <c r="D58" s="235">
        <f ca="1">IF(ROW()-ROW(Amortization[[#Headers],[opening
balance]])=1,LoanAmount,IF(Amortization[[#This Row],[payment
date]]="",0,INDEX(Amortization[], ROW()-4,8)))</f>
        <v>864883.16376136628</v>
      </c>
      <c r="E58" s="235">
        <f ca="1">IF(ValuesEntered,IF(ROW()-ROW(Amortization[[#Headers],[interest]])=1,-IPMT(InterestRate/12,1,DurationOfLoan-ROWS($C$4:C58)+1,Amortization[[#This Row],[opening
balance]]),IFERROR(-IPMT(InterestRate/12,1,Amortization[[#This Row],['#
remaining]],D59),0)),0)</f>
        <v>2157.4949323674177</v>
      </c>
      <c r="F58" s="235">
        <f ca="1">IFERROR(IF(AND(ValuesEntered,Amortization[[#This Row],[payment
date]]&lt;&gt;""),-PPMT(InterestRate/12,1,DurationOfLoan-ROWS($C$4:C58)+1,Amortization[[#This Row],[opening
balance]]),""),0)</f>
        <v>1885.1908143993078</v>
      </c>
      <c r="G58" s="235">
        <f ca="1">IF(Amortization[[#This Row],[payment
date]]="",0,PropertyTaxAmount)</f>
        <v>375</v>
      </c>
      <c r="H58" s="235">
        <f ca="1">IF(Amortization[[#This Row],[payment
date]]="",0,Amortization[[#This Row],[interest]]+Amortization[[#This Row],[principal]]+Amortization[[#This Row],[property
tax]])</f>
        <v>4417.6857467667251</v>
      </c>
      <c r="I58" s="235">
        <f ca="1">IF(Amortization[[#This Row],[payment
date]]="",0,Amortization[[#This Row],[opening
balance]]-Amortization[[#This Row],[principal]])</f>
        <v>862997.972946967</v>
      </c>
      <c r="J58" s="247">
        <f ca="1">IF(Amortization[[#This Row],[closing
balance]]&gt;0,LastRow-ROW(),0)</f>
        <v>305</v>
      </c>
    </row>
    <row r="59" spans="2:10" ht="15" customHeight="1" x14ac:dyDescent="0.25">
      <c r="B59" s="249">
        <f>ROWS($B$4:B59)</f>
        <v>56</v>
      </c>
      <c r="C59" s="248">
        <f ca="1">IF(ValuesEntered,IF(Amortization[[#This Row],['#]]&lt;=DurationOfLoan,IF(ROW()-ROW(Amortization[[#Headers],[payment
date]])=1,LoanStart,IF(I58&gt;0,EDATE(C58,1),"")),""),"")</f>
        <v>46731</v>
      </c>
      <c r="D59" s="235">
        <f ca="1">IF(ROW()-ROW(Amortization[[#Headers],[opening
balance]])=1,LoanAmount,IF(Amortization[[#This Row],[payment
date]]="",0,INDEX(Amortization[], ROW()-4,8)))</f>
        <v>862997.972946967</v>
      </c>
      <c r="E59" s="235">
        <f ca="1">IF(ValuesEntered,IF(ROW()-ROW(Amortization[[#Headers],[interest]])=1,-IPMT(InterestRate/12,1,DurationOfLoan-ROWS($C$4:C59)+1,Amortization[[#This Row],[opening
balance]]),IFERROR(-IPMT(InterestRate/12,1,Amortization[[#This Row],['#
remaining]],D60),0)),0)</f>
        <v>2152.7701728888292</v>
      </c>
      <c r="F59" s="235">
        <f ca="1">IFERROR(IF(AND(ValuesEntered,Amortization[[#This Row],[payment
date]]&lt;&gt;""),-PPMT(InterestRate/12,1,DurationOfLoan-ROWS($C$4:C59)+1,Amortization[[#This Row],[opening
balance]]),""),0)</f>
        <v>1889.9037914353062</v>
      </c>
      <c r="G59" s="235">
        <f ca="1">IF(Amortization[[#This Row],[payment
date]]="",0,PropertyTaxAmount)</f>
        <v>375</v>
      </c>
      <c r="H59" s="235">
        <f ca="1">IF(Amortization[[#This Row],[payment
date]]="",0,Amortization[[#This Row],[interest]]+Amortization[[#This Row],[principal]]+Amortization[[#This Row],[property
tax]])</f>
        <v>4417.6739643241353</v>
      </c>
      <c r="I59" s="235">
        <f ca="1">IF(Amortization[[#This Row],[payment
date]]="",0,Amortization[[#This Row],[opening
balance]]-Amortization[[#This Row],[principal]])</f>
        <v>861108.0691555317</v>
      </c>
      <c r="J59" s="247">
        <f ca="1">IF(Amortization[[#This Row],[closing
balance]]&gt;0,LastRow-ROW(),0)</f>
        <v>304</v>
      </c>
    </row>
    <row r="60" spans="2:10" ht="15" customHeight="1" x14ac:dyDescent="0.25">
      <c r="B60" s="249">
        <f>ROWS($B$4:B60)</f>
        <v>57</v>
      </c>
      <c r="C60" s="248">
        <f ca="1">IF(ValuesEntered,IF(Amortization[[#This Row],['#]]&lt;=DurationOfLoan,IF(ROW()-ROW(Amortization[[#Headers],[payment
date]])=1,LoanStart,IF(I59&gt;0,EDATE(C59,1),"")),""),"")</f>
        <v>46762</v>
      </c>
      <c r="D60" s="235">
        <f ca="1">IF(ROW()-ROW(Amortization[[#Headers],[opening
balance]])=1,LoanAmount,IF(Amortization[[#This Row],[payment
date]]="",0,INDEX(Amortization[], ROW()-4,8)))</f>
        <v>861108.0691555317</v>
      </c>
      <c r="E60" s="235">
        <f ca="1">IF(ValuesEntered,IF(ROW()-ROW(Amortization[[#Headers],[interest]])=1,-IPMT(InterestRate/12,1,DurationOfLoan-ROWS($C$4:C60)+1,Amortization[[#This Row],[opening
balance]]),IFERROR(-IPMT(InterestRate/12,1,Amortization[[#This Row],['#
remaining]],D61),0)),0)</f>
        <v>2148.0336015115445</v>
      </c>
      <c r="F60" s="235">
        <f ca="1">IFERROR(IF(AND(ValuesEntered,Amortization[[#This Row],[payment
date]]&lt;&gt;""),-PPMT(InterestRate/12,1,DurationOfLoan-ROWS($C$4:C60)+1,Amortization[[#This Row],[opening
balance]]),""),0)</f>
        <v>1894.6285509138945</v>
      </c>
      <c r="G60" s="235">
        <f ca="1">IF(Amortization[[#This Row],[payment
date]]="",0,PropertyTaxAmount)</f>
        <v>375</v>
      </c>
      <c r="H60" s="235">
        <f ca="1">IF(Amortization[[#This Row],[payment
date]]="",0,Amortization[[#This Row],[interest]]+Amortization[[#This Row],[principal]]+Amortization[[#This Row],[property
tax]])</f>
        <v>4417.6621524254388</v>
      </c>
      <c r="I60" s="235">
        <f ca="1">IF(Amortization[[#This Row],[payment
date]]="",0,Amortization[[#This Row],[opening
balance]]-Amortization[[#This Row],[principal]])</f>
        <v>859213.44060461782</v>
      </c>
      <c r="J60" s="247">
        <f ca="1">IF(Amortization[[#This Row],[closing
balance]]&gt;0,LastRow-ROW(),0)</f>
        <v>303</v>
      </c>
    </row>
    <row r="61" spans="2:10" ht="15" customHeight="1" x14ac:dyDescent="0.25">
      <c r="B61" s="249">
        <f>ROWS($B$4:B61)</f>
        <v>58</v>
      </c>
      <c r="C61" s="248">
        <f ca="1">IF(ValuesEntered,IF(Amortization[[#This Row],['#]]&lt;=DurationOfLoan,IF(ROW()-ROW(Amortization[[#Headers],[payment
date]])=1,LoanStart,IF(I60&gt;0,EDATE(C60,1),"")),""),"")</f>
        <v>46793</v>
      </c>
      <c r="D61" s="235">
        <f ca="1">IF(ROW()-ROW(Amortization[[#Headers],[opening
balance]])=1,LoanAmount,IF(Amortization[[#This Row],[payment
date]]="",0,INDEX(Amortization[], ROW()-4,8)))</f>
        <v>859213.44060461782</v>
      </c>
      <c r="E61" s="235">
        <f ca="1">IF(ValuesEntered,IF(ROW()-ROW(Amortization[[#Headers],[interest]])=1,-IPMT(InterestRate/12,1,DurationOfLoan-ROWS($C$4:C61)+1,Amortization[[#This Row],[opening
balance]]),IFERROR(-IPMT(InterestRate/12,1,Amortization[[#This Row],['#
remaining]],D62),0)),0)</f>
        <v>2143.2851887058168</v>
      </c>
      <c r="F61" s="235">
        <f ca="1">IFERROR(IF(AND(ValuesEntered,Amortization[[#This Row],[payment
date]]&lt;&gt;""),-PPMT(InterestRate/12,1,DurationOfLoan-ROWS($C$4:C61)+1,Amortization[[#This Row],[opening
balance]]),""),0)</f>
        <v>1899.3651222911792</v>
      </c>
      <c r="G61" s="235">
        <f ca="1">IF(Amortization[[#This Row],[payment
date]]="",0,PropertyTaxAmount)</f>
        <v>375</v>
      </c>
      <c r="H61" s="235">
        <f ca="1">IF(Amortization[[#This Row],[payment
date]]="",0,Amortization[[#This Row],[interest]]+Amortization[[#This Row],[principal]]+Amortization[[#This Row],[property
tax]])</f>
        <v>4417.6503109969963</v>
      </c>
      <c r="I61" s="235">
        <f ca="1">IF(Amortization[[#This Row],[payment
date]]="",0,Amortization[[#This Row],[opening
balance]]-Amortization[[#This Row],[principal]])</f>
        <v>857314.07548232668</v>
      </c>
      <c r="J61" s="247">
        <f ca="1">IF(Amortization[[#This Row],[closing
balance]]&gt;0,LastRow-ROW(),0)</f>
        <v>302</v>
      </c>
    </row>
    <row r="62" spans="2:10" ht="15" customHeight="1" x14ac:dyDescent="0.25">
      <c r="B62" s="249">
        <f>ROWS($B$4:B62)</f>
        <v>59</v>
      </c>
      <c r="C62" s="248">
        <f ca="1">IF(ValuesEntered,IF(Amortization[[#This Row],['#]]&lt;=DurationOfLoan,IF(ROW()-ROW(Amortization[[#Headers],[payment
date]])=1,LoanStart,IF(I61&gt;0,EDATE(C61,1),"")),""),"")</f>
        <v>46822</v>
      </c>
      <c r="D62" s="235">
        <f ca="1">IF(ROW()-ROW(Amortization[[#Headers],[opening
balance]])=1,LoanAmount,IF(Amortization[[#This Row],[payment
date]]="",0,INDEX(Amortization[], ROW()-4,8)))</f>
        <v>857314.07548232668</v>
      </c>
      <c r="E62" s="235">
        <f ca="1">IF(ValuesEntered,IF(ROW()-ROW(Amortization[[#Headers],[interest]])=1,-IPMT(InterestRate/12,1,DurationOfLoan-ROWS($C$4:C62)+1,Amortization[[#This Row],[opening
balance]]),IFERROR(-IPMT(InterestRate/12,1,Amortization[[#This Row],['#
remaining]],D63),0)),0)</f>
        <v>2138.5249048680744</v>
      </c>
      <c r="F62" s="235">
        <f ca="1">IFERROR(IF(AND(ValuesEntered,Amortization[[#This Row],[payment
date]]&lt;&gt;""),-PPMT(InterestRate/12,1,DurationOfLoan-ROWS($C$4:C62)+1,Amortization[[#This Row],[opening
balance]]),""),0)</f>
        <v>1904.1135350969075</v>
      </c>
      <c r="G62" s="235">
        <f ca="1">IF(Amortization[[#This Row],[payment
date]]="",0,PropertyTaxAmount)</f>
        <v>375</v>
      </c>
      <c r="H62" s="235">
        <f ca="1">IF(Amortization[[#This Row],[payment
date]]="",0,Amortization[[#This Row],[interest]]+Amortization[[#This Row],[principal]]+Amortization[[#This Row],[property
tax]])</f>
        <v>4417.6384399649814</v>
      </c>
      <c r="I62" s="235">
        <f ca="1">IF(Amortization[[#This Row],[payment
date]]="",0,Amortization[[#This Row],[opening
balance]]-Amortization[[#This Row],[principal]])</f>
        <v>855409.96194722981</v>
      </c>
      <c r="J62" s="247">
        <f ca="1">IF(Amortization[[#This Row],[closing
balance]]&gt;0,LastRow-ROW(),0)</f>
        <v>301</v>
      </c>
    </row>
    <row r="63" spans="2:10" ht="15" customHeight="1" x14ac:dyDescent="0.25">
      <c r="B63" s="249">
        <f>ROWS($B$4:B63)</f>
        <v>60</v>
      </c>
      <c r="C63" s="248">
        <f ca="1">IF(ValuesEntered,IF(Amortization[[#This Row],['#]]&lt;=DurationOfLoan,IF(ROW()-ROW(Amortization[[#Headers],[payment
date]])=1,LoanStart,IF(I62&gt;0,EDATE(C62,1),"")),""),"")</f>
        <v>46853</v>
      </c>
      <c r="D63" s="235">
        <f ca="1">IF(ROW()-ROW(Amortization[[#Headers],[opening
balance]])=1,LoanAmount,IF(Amortization[[#This Row],[payment
date]]="",0,INDEX(Amortization[], ROW()-4,8)))</f>
        <v>855409.96194722981</v>
      </c>
      <c r="E63" s="235">
        <f ca="1">IF(ValuesEntered,IF(ROW()-ROW(Amortization[[#Headers],[interest]])=1,-IPMT(InterestRate/12,1,DurationOfLoan-ROWS($C$4:C63)+1,Amortization[[#This Row],[opening
balance]]),IFERROR(-IPMT(InterestRate/12,1,Amortization[[#This Row],['#
remaining]],D64),0)),0)</f>
        <v>2133.7527203207378</v>
      </c>
      <c r="F63" s="235">
        <f ca="1">IFERROR(IF(AND(ValuesEntered,Amortization[[#This Row],[payment
date]]&lt;&gt;""),-PPMT(InterestRate/12,1,DurationOfLoan-ROWS($C$4:C63)+1,Amortization[[#This Row],[opening
balance]]),""),0)</f>
        <v>1908.8738189346495</v>
      </c>
      <c r="G63" s="235">
        <f ca="1">IF(Amortization[[#This Row],[payment
date]]="",0,PropertyTaxAmount)</f>
        <v>375</v>
      </c>
      <c r="H63" s="235">
        <f ca="1">IF(Amortization[[#This Row],[payment
date]]="",0,Amortization[[#This Row],[interest]]+Amortization[[#This Row],[principal]]+Amortization[[#This Row],[property
tax]])</f>
        <v>4417.6265392553869</v>
      </c>
      <c r="I63" s="235">
        <f ca="1">IF(Amortization[[#This Row],[payment
date]]="",0,Amortization[[#This Row],[opening
balance]]-Amortization[[#This Row],[principal]])</f>
        <v>853501.08812829514</v>
      </c>
      <c r="J63" s="247">
        <f ca="1">IF(Amortization[[#This Row],[closing
balance]]&gt;0,LastRow-ROW(),0)</f>
        <v>300</v>
      </c>
    </row>
    <row r="64" spans="2:10" ht="15" customHeight="1" x14ac:dyDescent="0.25">
      <c r="B64" s="249">
        <f>ROWS($B$4:B64)</f>
        <v>61</v>
      </c>
      <c r="C64" s="248">
        <f ca="1">IF(ValuesEntered,IF(Amortization[[#This Row],['#]]&lt;=DurationOfLoan,IF(ROW()-ROW(Amortization[[#Headers],[payment
date]])=1,LoanStart,IF(I63&gt;0,EDATE(C63,1),"")),""),"")</f>
        <v>46883</v>
      </c>
      <c r="D64" s="235">
        <f ca="1">IF(ROW()-ROW(Amortization[[#Headers],[opening
balance]])=1,LoanAmount,IF(Amortization[[#This Row],[payment
date]]="",0,INDEX(Amortization[], ROW()-4,8)))</f>
        <v>853501.08812829514</v>
      </c>
      <c r="E64" s="235">
        <f ca="1">IF(ValuesEntered,IF(ROW()-ROW(Amortization[[#Headers],[interest]])=1,-IPMT(InterestRate/12,1,DurationOfLoan-ROWS($C$4:C64)+1,Amortization[[#This Row],[opening
balance]]),IFERROR(-IPMT(InterestRate/12,1,Amortization[[#This Row],['#
remaining]],D65),0)),0)</f>
        <v>2128.9686053120331</v>
      </c>
      <c r="F64" s="235">
        <f ca="1">IFERROR(IF(AND(ValuesEntered,Amortization[[#This Row],[payment
date]]&lt;&gt;""),-PPMT(InterestRate/12,1,DurationOfLoan-ROWS($C$4:C64)+1,Amortization[[#This Row],[opening
balance]]),""),0)</f>
        <v>1913.6460034819866</v>
      </c>
      <c r="G64" s="235">
        <f ca="1">IF(Amortization[[#This Row],[payment
date]]="",0,PropertyTaxAmount)</f>
        <v>375</v>
      </c>
      <c r="H64" s="235">
        <f ca="1">IF(Amortization[[#This Row],[payment
date]]="",0,Amortization[[#This Row],[interest]]+Amortization[[#This Row],[principal]]+Amortization[[#This Row],[property
tax]])</f>
        <v>4417.6146087940197</v>
      </c>
      <c r="I64" s="235">
        <f ca="1">IF(Amortization[[#This Row],[payment
date]]="",0,Amortization[[#This Row],[opening
balance]]-Amortization[[#This Row],[principal]])</f>
        <v>851587.44212481321</v>
      </c>
      <c r="J64" s="247">
        <f ca="1">IF(Amortization[[#This Row],[closing
balance]]&gt;0,LastRow-ROW(),0)</f>
        <v>299</v>
      </c>
    </row>
    <row r="65" spans="2:10" ht="15" customHeight="1" x14ac:dyDescent="0.25">
      <c r="B65" s="249">
        <f>ROWS($B$4:B65)</f>
        <v>62</v>
      </c>
      <c r="C65" s="248">
        <f ca="1">IF(ValuesEntered,IF(Amortization[[#This Row],['#]]&lt;=DurationOfLoan,IF(ROW()-ROW(Amortization[[#Headers],[payment
date]])=1,LoanStart,IF(I64&gt;0,EDATE(C64,1),"")),""),"")</f>
        <v>46914</v>
      </c>
      <c r="D65" s="235">
        <f ca="1">IF(ROW()-ROW(Amortization[[#Headers],[opening
balance]])=1,LoanAmount,IF(Amortization[[#This Row],[payment
date]]="",0,INDEX(Amortization[], ROW()-4,8)))</f>
        <v>851587.44212481321</v>
      </c>
      <c r="E65" s="235">
        <f ca="1">IF(ValuesEntered,IF(ROW()-ROW(Amortization[[#Headers],[interest]])=1,-IPMT(InterestRate/12,1,DurationOfLoan-ROWS($C$4:C65)+1,Amortization[[#This Row],[opening
balance]]),IFERROR(-IPMT(InterestRate/12,1,Amortization[[#This Row],['#
remaining]],D66),0)),0)</f>
        <v>2124.1725300158064</v>
      </c>
      <c r="F65" s="235">
        <f ca="1">IFERROR(IF(AND(ValuesEntered,Amortization[[#This Row],[payment
date]]&lt;&gt;""),-PPMT(InterestRate/12,1,DurationOfLoan-ROWS($C$4:C65)+1,Amortization[[#This Row],[opening
balance]]),""),0)</f>
        <v>1918.430118490691</v>
      </c>
      <c r="G65" s="235">
        <f ca="1">IF(Amortization[[#This Row],[payment
date]]="",0,PropertyTaxAmount)</f>
        <v>375</v>
      </c>
      <c r="H65" s="235">
        <f ca="1">IF(Amortization[[#This Row],[payment
date]]="",0,Amortization[[#This Row],[interest]]+Amortization[[#This Row],[principal]]+Amortization[[#This Row],[property
tax]])</f>
        <v>4417.6026485064976</v>
      </c>
      <c r="I65" s="235">
        <f ca="1">IF(Amortization[[#This Row],[payment
date]]="",0,Amortization[[#This Row],[opening
balance]]-Amortization[[#This Row],[principal]])</f>
        <v>849669.0120063225</v>
      </c>
      <c r="J65" s="247">
        <f ca="1">IF(Amortization[[#This Row],[closing
balance]]&gt;0,LastRow-ROW(),0)</f>
        <v>298</v>
      </c>
    </row>
    <row r="66" spans="2:10" ht="15" customHeight="1" x14ac:dyDescent="0.25">
      <c r="B66" s="249">
        <f>ROWS($B$4:B66)</f>
        <v>63</v>
      </c>
      <c r="C66" s="248">
        <f ca="1">IF(ValuesEntered,IF(Amortization[[#This Row],['#]]&lt;=DurationOfLoan,IF(ROW()-ROW(Amortization[[#Headers],[payment
date]])=1,LoanStart,IF(I65&gt;0,EDATE(C65,1),"")),""),"")</f>
        <v>46944</v>
      </c>
      <c r="D66" s="235">
        <f ca="1">IF(ROW()-ROW(Amortization[[#Headers],[opening
balance]])=1,LoanAmount,IF(Amortization[[#This Row],[payment
date]]="",0,INDEX(Amortization[], ROW()-4,8)))</f>
        <v>849669.0120063225</v>
      </c>
      <c r="E66" s="235">
        <f ca="1">IF(ValuesEntered,IF(ROW()-ROW(Amortization[[#Headers],[interest]])=1,-IPMT(InterestRate/12,1,DurationOfLoan-ROWS($C$4:C66)+1,Amortization[[#This Row],[opening
balance]]),IFERROR(-IPMT(InterestRate/12,1,Amortization[[#This Row],['#
remaining]],D67),0)),0)</f>
        <v>2119.3644645313389</v>
      </c>
      <c r="F66" s="235">
        <f ca="1">IFERROR(IF(AND(ValuesEntered,Amortization[[#This Row],[payment
date]]&lt;&gt;""),-PPMT(InterestRate/12,1,DurationOfLoan-ROWS($C$4:C66)+1,Amortization[[#This Row],[opening
balance]]),""),0)</f>
        <v>1923.2261937869184</v>
      </c>
      <c r="G66" s="235">
        <f ca="1">IF(Amortization[[#This Row],[payment
date]]="",0,PropertyTaxAmount)</f>
        <v>375</v>
      </c>
      <c r="H66" s="235">
        <f ca="1">IF(Amortization[[#This Row],[payment
date]]="",0,Amortization[[#This Row],[interest]]+Amortization[[#This Row],[principal]]+Amortization[[#This Row],[property
tax]])</f>
        <v>4417.5906583182568</v>
      </c>
      <c r="I66" s="235">
        <f ca="1">IF(Amortization[[#This Row],[payment
date]]="",0,Amortization[[#This Row],[opening
balance]]-Amortization[[#This Row],[principal]])</f>
        <v>847745.78581253556</v>
      </c>
      <c r="J66" s="247">
        <f ca="1">IF(Amortization[[#This Row],[closing
balance]]&gt;0,LastRow-ROW(),0)</f>
        <v>297</v>
      </c>
    </row>
    <row r="67" spans="2:10" ht="15" customHeight="1" x14ac:dyDescent="0.25">
      <c r="B67" s="249">
        <f>ROWS($B$4:B67)</f>
        <v>64</v>
      </c>
      <c r="C67" s="248">
        <f ca="1">IF(ValuesEntered,IF(Amortization[[#This Row],['#]]&lt;=DurationOfLoan,IF(ROW()-ROW(Amortization[[#Headers],[payment
date]])=1,LoanStart,IF(I66&gt;0,EDATE(C66,1),"")),""),"")</f>
        <v>46975</v>
      </c>
      <c r="D67" s="235">
        <f ca="1">IF(ROW()-ROW(Amortization[[#Headers],[opening
balance]])=1,LoanAmount,IF(Amortization[[#This Row],[payment
date]]="",0,INDEX(Amortization[], ROW()-4,8)))</f>
        <v>847745.78581253556</v>
      </c>
      <c r="E67" s="235">
        <f ca="1">IF(ValuesEntered,IF(ROW()-ROW(Amortization[[#Headers],[interest]])=1,-IPMT(InterestRate/12,1,DurationOfLoan-ROWS($C$4:C67)+1,Amortization[[#This Row],[opening
balance]]),IFERROR(-IPMT(InterestRate/12,1,Amortization[[#This Row],['#
remaining]],D68),0)),0)</f>
        <v>2114.5443788831608</v>
      </c>
      <c r="F67" s="235">
        <f ca="1">IFERROR(IF(AND(ValuesEntered,Amortization[[#This Row],[payment
date]]&lt;&gt;""),-PPMT(InterestRate/12,1,DurationOfLoan-ROWS($C$4:C67)+1,Amortization[[#This Row],[opening
balance]]),""),0)</f>
        <v>1928.0342592713848</v>
      </c>
      <c r="G67" s="235">
        <f ca="1">IF(Amortization[[#This Row],[payment
date]]="",0,PropertyTaxAmount)</f>
        <v>375</v>
      </c>
      <c r="H67" s="235">
        <f ca="1">IF(Amortization[[#This Row],[payment
date]]="",0,Amortization[[#This Row],[interest]]+Amortization[[#This Row],[principal]]+Amortization[[#This Row],[property
tax]])</f>
        <v>4417.5786381545458</v>
      </c>
      <c r="I67" s="235">
        <f ca="1">IF(Amortization[[#This Row],[payment
date]]="",0,Amortization[[#This Row],[opening
balance]]-Amortization[[#This Row],[principal]])</f>
        <v>845817.75155326421</v>
      </c>
      <c r="J67" s="247">
        <f ca="1">IF(Amortization[[#This Row],[closing
balance]]&gt;0,LastRow-ROW(),0)</f>
        <v>296</v>
      </c>
    </row>
    <row r="68" spans="2:10" ht="15" customHeight="1" x14ac:dyDescent="0.25">
      <c r="B68" s="249">
        <f>ROWS($B$4:B68)</f>
        <v>65</v>
      </c>
      <c r="C68" s="248">
        <f ca="1">IF(ValuesEntered,IF(Amortization[[#This Row],['#]]&lt;=DurationOfLoan,IF(ROW()-ROW(Amortization[[#Headers],[payment
date]])=1,LoanStart,IF(I67&gt;0,EDATE(C67,1),"")),""),"")</f>
        <v>47006</v>
      </c>
      <c r="D68" s="235">
        <f ca="1">IF(ROW()-ROW(Amortization[[#Headers],[opening
balance]])=1,LoanAmount,IF(Amortization[[#This Row],[payment
date]]="",0,INDEX(Amortization[], ROW()-4,8)))</f>
        <v>845817.75155326421</v>
      </c>
      <c r="E68" s="235">
        <f ca="1">IF(ValuesEntered,IF(ROW()-ROW(Amortization[[#Headers],[interest]])=1,-IPMT(InterestRate/12,1,DurationOfLoan-ROWS($C$4:C68)+1,Amortization[[#This Row],[opening
balance]]),IFERROR(-IPMT(InterestRate/12,1,Amortization[[#This Row],['#
remaining]],D69),0)),0)</f>
        <v>2109.7122430208615</v>
      </c>
      <c r="F68" s="235">
        <f ca="1">IFERROR(IF(AND(ValuesEntered,Amortization[[#This Row],[payment
date]]&lt;&gt;""),-PPMT(InterestRate/12,1,DurationOfLoan-ROWS($C$4:C68)+1,Amortization[[#This Row],[opening
balance]]),""),0)</f>
        <v>1932.8543449195643</v>
      </c>
      <c r="G68" s="235">
        <f ca="1">IF(Amortization[[#This Row],[payment
date]]="",0,PropertyTaxAmount)</f>
        <v>375</v>
      </c>
      <c r="H68" s="235">
        <f ca="1">IF(Amortization[[#This Row],[payment
date]]="",0,Amortization[[#This Row],[interest]]+Amortization[[#This Row],[principal]]+Amortization[[#This Row],[property
tax]])</f>
        <v>4417.566587940426</v>
      </c>
      <c r="I68" s="235">
        <f ca="1">IF(Amortization[[#This Row],[payment
date]]="",0,Amortization[[#This Row],[opening
balance]]-Amortization[[#This Row],[principal]])</f>
        <v>843884.89720834466</v>
      </c>
      <c r="J68" s="247">
        <f ca="1">IF(Amortization[[#This Row],[closing
balance]]&gt;0,LastRow-ROW(),0)</f>
        <v>295</v>
      </c>
    </row>
    <row r="69" spans="2:10" ht="15" customHeight="1" x14ac:dyDescent="0.25">
      <c r="B69" s="249">
        <f>ROWS($B$4:B69)</f>
        <v>66</v>
      </c>
      <c r="C69" s="248">
        <f ca="1">IF(ValuesEntered,IF(Amortization[[#This Row],['#]]&lt;=DurationOfLoan,IF(ROW()-ROW(Amortization[[#Headers],[payment
date]])=1,LoanStart,IF(I68&gt;0,EDATE(C68,1),"")),""),"")</f>
        <v>47036</v>
      </c>
      <c r="D69" s="235">
        <f ca="1">IF(ROW()-ROW(Amortization[[#Headers],[opening
balance]])=1,LoanAmount,IF(Amortization[[#This Row],[payment
date]]="",0,INDEX(Amortization[], ROW()-4,8)))</f>
        <v>843884.89720834466</v>
      </c>
      <c r="E69" s="235">
        <f ca="1">IF(ValuesEntered,IF(ROW()-ROW(Amortization[[#Headers],[interest]])=1,-IPMT(InterestRate/12,1,DurationOfLoan-ROWS($C$4:C69)+1,Amortization[[#This Row],[opening
balance]]),IFERROR(-IPMT(InterestRate/12,1,Amortization[[#This Row],['#
remaining]],D70),0)),0)</f>
        <v>2104.8680268189069</v>
      </c>
      <c r="F69" s="235">
        <f ca="1">IFERROR(IF(AND(ValuesEntered,Amortization[[#This Row],[payment
date]]&lt;&gt;""),-PPMT(InterestRate/12,1,DurationOfLoan-ROWS($C$4:C69)+1,Amortization[[#This Row],[opening
balance]]),""),0)</f>
        <v>1937.6864807818627</v>
      </c>
      <c r="G69" s="235">
        <f ca="1">IF(Amortization[[#This Row],[payment
date]]="",0,PropertyTaxAmount)</f>
        <v>375</v>
      </c>
      <c r="H69" s="235">
        <f ca="1">IF(Amortization[[#This Row],[payment
date]]="",0,Amortization[[#This Row],[interest]]+Amortization[[#This Row],[principal]]+Amortization[[#This Row],[property
tax]])</f>
        <v>4417.5545076007693</v>
      </c>
      <c r="I69" s="235">
        <f ca="1">IF(Amortization[[#This Row],[payment
date]]="",0,Amortization[[#This Row],[opening
balance]]-Amortization[[#This Row],[principal]])</f>
        <v>841947.21072756278</v>
      </c>
      <c r="J69" s="247">
        <f ca="1">IF(Amortization[[#This Row],[closing
balance]]&gt;0,LastRow-ROW(),0)</f>
        <v>294</v>
      </c>
    </row>
    <row r="70" spans="2:10" ht="15" customHeight="1" x14ac:dyDescent="0.25">
      <c r="B70" s="249">
        <f>ROWS($B$4:B70)</f>
        <v>67</v>
      </c>
      <c r="C70" s="248">
        <f ca="1">IF(ValuesEntered,IF(Amortization[[#This Row],['#]]&lt;=DurationOfLoan,IF(ROW()-ROW(Amortization[[#Headers],[payment
date]])=1,LoanStart,IF(I69&gt;0,EDATE(C69,1),"")),""),"")</f>
        <v>47067</v>
      </c>
      <c r="D70" s="235">
        <f ca="1">IF(ROW()-ROW(Amortization[[#Headers],[opening
balance]])=1,LoanAmount,IF(Amortization[[#This Row],[payment
date]]="",0,INDEX(Amortization[], ROW()-4,8)))</f>
        <v>841947.21072756278</v>
      </c>
      <c r="E70" s="235">
        <f ca="1">IF(ValuesEntered,IF(ROW()-ROW(Amortization[[#Headers],[interest]])=1,-IPMT(InterestRate/12,1,DurationOfLoan-ROWS($C$4:C70)+1,Amortization[[#This Row],[opening
balance]]),IFERROR(-IPMT(InterestRate/12,1,Amortization[[#This Row],['#
remaining]],D71),0)),0)</f>
        <v>2100.0117000764476</v>
      </c>
      <c r="F70" s="235">
        <f ca="1">IFERROR(IF(AND(ValuesEntered,Amortization[[#This Row],[payment
date]]&lt;&gt;""),-PPMT(InterestRate/12,1,DurationOfLoan-ROWS($C$4:C70)+1,Amortization[[#This Row],[opening
balance]]),""),0)</f>
        <v>1942.5306969838173</v>
      </c>
      <c r="G70" s="235">
        <f ca="1">IF(Amortization[[#This Row],[payment
date]]="",0,PropertyTaxAmount)</f>
        <v>375</v>
      </c>
      <c r="H70" s="235">
        <f ca="1">IF(Amortization[[#This Row],[payment
date]]="",0,Amortization[[#This Row],[interest]]+Amortization[[#This Row],[principal]]+Amortization[[#This Row],[property
tax]])</f>
        <v>4417.5423970602651</v>
      </c>
      <c r="I70" s="235">
        <f ca="1">IF(Amortization[[#This Row],[payment
date]]="",0,Amortization[[#This Row],[opening
balance]]-Amortization[[#This Row],[principal]])</f>
        <v>840004.68003057898</v>
      </c>
      <c r="J70" s="247">
        <f ca="1">IF(Amortization[[#This Row],[closing
balance]]&gt;0,LastRow-ROW(),0)</f>
        <v>293</v>
      </c>
    </row>
    <row r="71" spans="2:10" ht="15" customHeight="1" x14ac:dyDescent="0.25">
      <c r="B71" s="249">
        <f>ROWS($B$4:B71)</f>
        <v>68</v>
      </c>
      <c r="C71" s="248">
        <f ca="1">IF(ValuesEntered,IF(Amortization[[#This Row],['#]]&lt;=DurationOfLoan,IF(ROW()-ROW(Amortization[[#Headers],[payment
date]])=1,LoanStart,IF(I70&gt;0,EDATE(C70,1),"")),""),"")</f>
        <v>47097</v>
      </c>
      <c r="D71" s="235">
        <f ca="1">IF(ROW()-ROW(Amortization[[#Headers],[opening
balance]])=1,LoanAmount,IF(Amortization[[#This Row],[payment
date]]="",0,INDEX(Amortization[], ROW()-4,8)))</f>
        <v>840004.68003057898</v>
      </c>
      <c r="E71" s="235">
        <f ca="1">IF(ValuesEntered,IF(ROW()-ROW(Amortization[[#Headers],[interest]])=1,-IPMT(InterestRate/12,1,DurationOfLoan-ROWS($C$4:C71)+1,Amortization[[#This Row],[opening
balance]]),IFERROR(-IPMT(InterestRate/12,1,Amortization[[#This Row],['#
remaining]],D72),0)),0)</f>
        <v>2095.1432325171318</v>
      </c>
      <c r="F71" s="235">
        <f ca="1">IFERROR(IF(AND(ValuesEntered,Amortization[[#This Row],[payment
date]]&lt;&gt;""),-PPMT(InterestRate/12,1,DurationOfLoan-ROWS($C$4:C71)+1,Amortization[[#This Row],[opening
balance]]),""),0)</f>
        <v>1947.3870237262765</v>
      </c>
      <c r="G71" s="235">
        <f ca="1">IF(Amortization[[#This Row],[payment
date]]="",0,PropertyTaxAmount)</f>
        <v>375</v>
      </c>
      <c r="H71" s="235">
        <f ca="1">IF(Amortization[[#This Row],[payment
date]]="",0,Amortization[[#This Row],[interest]]+Amortization[[#This Row],[principal]]+Amortization[[#This Row],[property
tax]])</f>
        <v>4417.5302562434081</v>
      </c>
      <c r="I71" s="235">
        <f ca="1">IF(Amortization[[#This Row],[payment
date]]="",0,Amortization[[#This Row],[opening
balance]]-Amortization[[#This Row],[principal]])</f>
        <v>838057.29300685273</v>
      </c>
      <c r="J71" s="247">
        <f ca="1">IF(Amortization[[#This Row],[closing
balance]]&gt;0,LastRow-ROW(),0)</f>
        <v>292</v>
      </c>
    </row>
    <row r="72" spans="2:10" ht="15" customHeight="1" x14ac:dyDescent="0.25">
      <c r="B72" s="249">
        <f>ROWS($B$4:B72)</f>
        <v>69</v>
      </c>
      <c r="C72" s="248">
        <f ca="1">IF(ValuesEntered,IF(Amortization[[#This Row],['#]]&lt;=DurationOfLoan,IF(ROW()-ROW(Amortization[[#Headers],[payment
date]])=1,LoanStart,IF(I71&gt;0,EDATE(C71,1),"")),""),"")</f>
        <v>47128</v>
      </c>
      <c r="D72" s="235">
        <f ca="1">IF(ROW()-ROW(Amortization[[#Headers],[opening
balance]])=1,LoanAmount,IF(Amortization[[#This Row],[payment
date]]="",0,INDEX(Amortization[], ROW()-4,8)))</f>
        <v>838057.29300685273</v>
      </c>
      <c r="E72" s="235">
        <f ca="1">IF(ValuesEntered,IF(ROW()-ROW(Amortization[[#Headers],[interest]])=1,-IPMT(InterestRate/12,1,DurationOfLoan-ROWS($C$4:C72)+1,Amortization[[#This Row],[opening
balance]]),IFERROR(-IPMT(InterestRate/12,1,Amortization[[#This Row],['#
remaining]],D73),0)),0)</f>
        <v>2090.2625937889179</v>
      </c>
      <c r="F72" s="235">
        <f ca="1">IFERROR(IF(AND(ValuesEntered,Amortization[[#This Row],[payment
date]]&lt;&gt;""),-PPMT(InterestRate/12,1,DurationOfLoan-ROWS($C$4:C72)+1,Amortization[[#This Row],[opening
balance]]),""),0)</f>
        <v>1952.2554912855924</v>
      </c>
      <c r="G72" s="235">
        <f ca="1">IF(Amortization[[#This Row],[payment
date]]="",0,PropertyTaxAmount)</f>
        <v>375</v>
      </c>
      <c r="H72" s="235">
        <f ca="1">IF(Amortization[[#This Row],[payment
date]]="",0,Amortization[[#This Row],[interest]]+Amortization[[#This Row],[principal]]+Amortization[[#This Row],[property
tax]])</f>
        <v>4417.5180850745101</v>
      </c>
      <c r="I72" s="235">
        <f ca="1">IF(Amortization[[#This Row],[payment
date]]="",0,Amortization[[#This Row],[opening
balance]]-Amortization[[#This Row],[principal]])</f>
        <v>836105.03751556715</v>
      </c>
      <c r="J72" s="247">
        <f ca="1">IF(Amortization[[#This Row],[closing
balance]]&gt;0,LastRow-ROW(),0)</f>
        <v>291</v>
      </c>
    </row>
    <row r="73" spans="2:10" ht="15" customHeight="1" x14ac:dyDescent="0.25">
      <c r="B73" s="249">
        <f>ROWS($B$4:B73)</f>
        <v>70</v>
      </c>
      <c r="C73" s="248">
        <f ca="1">IF(ValuesEntered,IF(Amortization[[#This Row],['#]]&lt;=DurationOfLoan,IF(ROW()-ROW(Amortization[[#Headers],[payment
date]])=1,LoanStart,IF(I72&gt;0,EDATE(C72,1),"")),""),"")</f>
        <v>47159</v>
      </c>
      <c r="D73" s="235">
        <f ca="1">IF(ROW()-ROW(Amortization[[#Headers],[opening
balance]])=1,LoanAmount,IF(Amortization[[#This Row],[payment
date]]="",0,INDEX(Amortization[], ROW()-4,8)))</f>
        <v>836105.03751556715</v>
      </c>
      <c r="E73" s="235">
        <f ca="1">IF(ValuesEntered,IF(ROW()-ROW(Amortization[[#Headers],[interest]])=1,-IPMT(InterestRate/12,1,DurationOfLoan-ROWS($C$4:C73)+1,Amortization[[#This Row],[opening
balance]]),IFERROR(-IPMT(InterestRate/12,1,Amortization[[#This Row],['#
remaining]],D74),0)),0)</f>
        <v>2085.3697534638832</v>
      </c>
      <c r="F73" s="235">
        <f ca="1">IFERROR(IF(AND(ValuesEntered,Amortization[[#This Row],[payment
date]]&lt;&gt;""),-PPMT(InterestRate/12,1,DurationOfLoan-ROWS($C$4:C73)+1,Amortization[[#This Row],[opening
balance]]),""),0)</f>
        <v>1957.1361300138069</v>
      </c>
      <c r="G73" s="235">
        <f ca="1">IF(Amortization[[#This Row],[payment
date]]="",0,PropertyTaxAmount)</f>
        <v>375</v>
      </c>
      <c r="H73" s="235">
        <f ca="1">IF(Amortization[[#This Row],[payment
date]]="",0,Amortization[[#This Row],[interest]]+Amortization[[#This Row],[principal]]+Amortization[[#This Row],[property
tax]])</f>
        <v>4417.5058834776901</v>
      </c>
      <c r="I73" s="235">
        <f ca="1">IF(Amortization[[#This Row],[payment
date]]="",0,Amortization[[#This Row],[opening
balance]]-Amortization[[#This Row],[principal]])</f>
        <v>834147.9013855533</v>
      </c>
      <c r="J73" s="247">
        <f ca="1">IF(Amortization[[#This Row],[closing
balance]]&gt;0,LastRow-ROW(),0)</f>
        <v>290</v>
      </c>
    </row>
    <row r="74" spans="2:10" ht="15" customHeight="1" x14ac:dyDescent="0.25">
      <c r="B74" s="249">
        <f>ROWS($B$4:B74)</f>
        <v>71</v>
      </c>
      <c r="C74" s="248">
        <f ca="1">IF(ValuesEntered,IF(Amortization[[#This Row],['#]]&lt;=DurationOfLoan,IF(ROW()-ROW(Amortization[[#Headers],[payment
date]])=1,LoanStart,IF(I73&gt;0,EDATE(C73,1),"")),""),"")</f>
        <v>47187</v>
      </c>
      <c r="D74" s="235">
        <f ca="1">IF(ROW()-ROW(Amortization[[#Headers],[opening
balance]])=1,LoanAmount,IF(Amortization[[#This Row],[payment
date]]="",0,INDEX(Amortization[], ROW()-4,8)))</f>
        <v>834147.9013855533</v>
      </c>
      <c r="E74" s="235">
        <f ca="1">IF(ValuesEntered,IF(ROW()-ROW(Amortization[[#Headers],[interest]])=1,-IPMT(InterestRate/12,1,DurationOfLoan-ROWS($C$4:C74)+1,Amortization[[#This Row],[opening
balance]]),IFERROR(-IPMT(InterestRate/12,1,Amortization[[#This Row],['#
remaining]],D75),0)),0)</f>
        <v>2080.4646810380359</v>
      </c>
      <c r="F74" s="235">
        <f ca="1">IFERROR(IF(AND(ValuesEntered,Amortization[[#This Row],[payment
date]]&lt;&gt;""),-PPMT(InterestRate/12,1,DurationOfLoan-ROWS($C$4:C74)+1,Amortization[[#This Row],[opening
balance]]),""),0)</f>
        <v>1962.028970338841</v>
      </c>
      <c r="G74" s="235">
        <f ca="1">IF(Amortization[[#This Row],[payment
date]]="",0,PropertyTaxAmount)</f>
        <v>375</v>
      </c>
      <c r="H74" s="235">
        <f ca="1">IF(Amortization[[#This Row],[payment
date]]="",0,Amortization[[#This Row],[interest]]+Amortization[[#This Row],[principal]]+Amortization[[#This Row],[property
tax]])</f>
        <v>4417.4936513768771</v>
      </c>
      <c r="I74" s="235">
        <f ca="1">IF(Amortization[[#This Row],[payment
date]]="",0,Amortization[[#This Row],[opening
balance]]-Amortization[[#This Row],[principal]])</f>
        <v>832185.87241521443</v>
      </c>
      <c r="J74" s="247">
        <f ca="1">IF(Amortization[[#This Row],[closing
balance]]&gt;0,LastRow-ROW(),0)</f>
        <v>289</v>
      </c>
    </row>
    <row r="75" spans="2:10" ht="15" customHeight="1" x14ac:dyDescent="0.25">
      <c r="B75" s="249">
        <f>ROWS($B$4:B75)</f>
        <v>72</v>
      </c>
      <c r="C75" s="248">
        <f ca="1">IF(ValuesEntered,IF(Amortization[[#This Row],['#]]&lt;=DurationOfLoan,IF(ROW()-ROW(Amortization[[#Headers],[payment
date]])=1,LoanStart,IF(I74&gt;0,EDATE(C74,1),"")),""),"")</f>
        <v>47218</v>
      </c>
      <c r="D75" s="235">
        <f ca="1">IF(ROW()-ROW(Amortization[[#Headers],[opening
balance]])=1,LoanAmount,IF(Amortization[[#This Row],[payment
date]]="",0,INDEX(Amortization[], ROW()-4,8)))</f>
        <v>832185.87241521443</v>
      </c>
      <c r="E75" s="235">
        <f ca="1">IF(ValuesEntered,IF(ROW()-ROW(Amortization[[#Headers],[interest]])=1,-IPMT(InterestRate/12,1,DurationOfLoan-ROWS($C$4:C75)+1,Amortization[[#This Row],[opening
balance]]),IFERROR(-IPMT(InterestRate/12,1,Amortization[[#This Row],['#
remaining]],D76),0)),0)</f>
        <v>2075.5473459311243</v>
      </c>
      <c r="F75" s="235">
        <f ca="1">IFERROR(IF(AND(ValuesEntered,Amortization[[#This Row],[payment
date]]&lt;&gt;""),-PPMT(InterestRate/12,1,DurationOfLoan-ROWS($C$4:C75)+1,Amortization[[#This Row],[opening
balance]]),""),0)</f>
        <v>1966.9340427646889</v>
      </c>
      <c r="G75" s="235">
        <f ca="1">IF(Amortization[[#This Row],[payment
date]]="",0,PropertyTaxAmount)</f>
        <v>375</v>
      </c>
      <c r="H75" s="235">
        <f ca="1">IF(Amortization[[#This Row],[payment
date]]="",0,Amortization[[#This Row],[interest]]+Amortization[[#This Row],[principal]]+Amortization[[#This Row],[property
tax]])</f>
        <v>4417.4813886958127</v>
      </c>
      <c r="I75" s="235">
        <f ca="1">IF(Amortization[[#This Row],[payment
date]]="",0,Amortization[[#This Row],[opening
balance]]-Amortization[[#This Row],[principal]])</f>
        <v>830218.93837244972</v>
      </c>
      <c r="J75" s="247">
        <f ca="1">IF(Amortization[[#This Row],[closing
balance]]&gt;0,LastRow-ROW(),0)</f>
        <v>288</v>
      </c>
    </row>
    <row r="76" spans="2:10" ht="15" customHeight="1" x14ac:dyDescent="0.25">
      <c r="B76" s="249">
        <f>ROWS($B$4:B76)</f>
        <v>73</v>
      </c>
      <c r="C76" s="248">
        <f ca="1">IF(ValuesEntered,IF(Amortization[[#This Row],['#]]&lt;=DurationOfLoan,IF(ROW()-ROW(Amortization[[#Headers],[payment
date]])=1,LoanStart,IF(I75&gt;0,EDATE(C75,1),"")),""),"")</f>
        <v>47248</v>
      </c>
      <c r="D76" s="235">
        <f ca="1">IF(ROW()-ROW(Amortization[[#Headers],[opening
balance]])=1,LoanAmount,IF(Amortization[[#This Row],[payment
date]]="",0,INDEX(Amortization[], ROW()-4,8)))</f>
        <v>830218.93837244972</v>
      </c>
      <c r="E76" s="235">
        <f ca="1">IF(ValuesEntered,IF(ROW()-ROW(Amortization[[#Headers],[interest]])=1,-IPMT(InterestRate/12,1,DurationOfLoan-ROWS($C$4:C76)+1,Amortization[[#This Row],[opening
balance]]),IFERROR(-IPMT(InterestRate/12,1,Amortization[[#This Row],['#
remaining]],D77),0)),0)</f>
        <v>2070.6177174864451</v>
      </c>
      <c r="F76" s="235">
        <f ca="1">IFERROR(IF(AND(ValuesEntered,Amortization[[#This Row],[payment
date]]&lt;&gt;""),-PPMT(InterestRate/12,1,DurationOfLoan-ROWS($C$4:C76)+1,Amortization[[#This Row],[opening
balance]]),""),0)</f>
        <v>1971.8513778716001</v>
      </c>
      <c r="G76" s="235">
        <f ca="1">IF(Amortization[[#This Row],[payment
date]]="",0,PropertyTaxAmount)</f>
        <v>375</v>
      </c>
      <c r="H76" s="235">
        <f ca="1">IF(Amortization[[#This Row],[payment
date]]="",0,Amortization[[#This Row],[interest]]+Amortization[[#This Row],[principal]]+Amortization[[#This Row],[property
tax]])</f>
        <v>4417.4690953580448</v>
      </c>
      <c r="I76" s="235">
        <f ca="1">IF(Amortization[[#This Row],[payment
date]]="",0,Amortization[[#This Row],[opening
balance]]-Amortization[[#This Row],[principal]])</f>
        <v>828247.08699457813</v>
      </c>
      <c r="J76" s="247">
        <f ca="1">IF(Amortization[[#This Row],[closing
balance]]&gt;0,LastRow-ROW(),0)</f>
        <v>287</v>
      </c>
    </row>
    <row r="77" spans="2:10" ht="15" customHeight="1" x14ac:dyDescent="0.25">
      <c r="B77" s="249">
        <f>ROWS($B$4:B77)</f>
        <v>74</v>
      </c>
      <c r="C77" s="248">
        <f ca="1">IF(ValuesEntered,IF(Amortization[[#This Row],['#]]&lt;=DurationOfLoan,IF(ROW()-ROW(Amortization[[#Headers],[payment
date]])=1,LoanStart,IF(I76&gt;0,EDATE(C76,1),"")),""),"")</f>
        <v>47279</v>
      </c>
      <c r="D77" s="235">
        <f ca="1">IF(ROW()-ROW(Amortization[[#Headers],[opening
balance]])=1,LoanAmount,IF(Amortization[[#This Row],[payment
date]]="",0,INDEX(Amortization[], ROW()-4,8)))</f>
        <v>828247.08699457813</v>
      </c>
      <c r="E77" s="235">
        <f ca="1">IF(ValuesEntered,IF(ROW()-ROW(Amortization[[#Headers],[interest]])=1,-IPMT(InterestRate/12,1,DurationOfLoan-ROWS($C$4:C77)+1,Amortization[[#This Row],[opening
balance]]),IFERROR(-IPMT(InterestRate/12,1,Amortization[[#This Row],['#
remaining]],D78),0)),0)</f>
        <v>2065.6757649706551</v>
      </c>
      <c r="F77" s="235">
        <f ca="1">IFERROR(IF(AND(ValuesEntered,Amortization[[#This Row],[payment
date]]&lt;&gt;""),-PPMT(InterestRate/12,1,DurationOfLoan-ROWS($C$4:C77)+1,Amortization[[#This Row],[opening
balance]]),""),0)</f>
        <v>1976.7810063162788</v>
      </c>
      <c r="G77" s="235">
        <f ca="1">IF(Amortization[[#This Row],[payment
date]]="",0,PropertyTaxAmount)</f>
        <v>375</v>
      </c>
      <c r="H77" s="235">
        <f ca="1">IF(Amortization[[#This Row],[payment
date]]="",0,Amortization[[#This Row],[interest]]+Amortization[[#This Row],[principal]]+Amortization[[#This Row],[property
tax]])</f>
        <v>4417.4567712869339</v>
      </c>
      <c r="I77" s="235">
        <f ca="1">IF(Amortization[[#This Row],[payment
date]]="",0,Amortization[[#This Row],[opening
balance]]-Amortization[[#This Row],[principal]])</f>
        <v>826270.30598826183</v>
      </c>
      <c r="J77" s="247">
        <f ca="1">IF(Amortization[[#This Row],[closing
balance]]&gt;0,LastRow-ROW(),0)</f>
        <v>286</v>
      </c>
    </row>
    <row r="78" spans="2:10" ht="15" customHeight="1" x14ac:dyDescent="0.25">
      <c r="B78" s="249">
        <f>ROWS($B$4:B78)</f>
        <v>75</v>
      </c>
      <c r="C78" s="248">
        <f ca="1">IF(ValuesEntered,IF(Amortization[[#This Row],['#]]&lt;=DurationOfLoan,IF(ROW()-ROW(Amortization[[#Headers],[payment
date]])=1,LoanStart,IF(I77&gt;0,EDATE(C77,1),"")),""),"")</f>
        <v>47309</v>
      </c>
      <c r="D78" s="235">
        <f ca="1">IF(ROW()-ROW(Amortization[[#Headers],[opening
balance]])=1,LoanAmount,IF(Amortization[[#This Row],[payment
date]]="",0,INDEX(Amortization[], ROW()-4,8)))</f>
        <v>826270.30598826183</v>
      </c>
      <c r="E78" s="235">
        <f ca="1">IF(ValuesEntered,IF(ROW()-ROW(Amortization[[#Headers],[interest]])=1,-IPMT(InterestRate/12,1,DurationOfLoan-ROWS($C$4:C78)+1,Amortization[[#This Row],[opening
balance]]),IFERROR(-IPMT(InterestRate/12,1,Amortization[[#This Row],['#
remaining]],D79),0)),0)</f>
        <v>2060.7214575735743</v>
      </c>
      <c r="F78" s="235">
        <f ca="1">IFERROR(IF(AND(ValuesEntered,Amortization[[#This Row],[payment
date]]&lt;&gt;""),-PPMT(InterestRate/12,1,DurationOfLoan-ROWS($C$4:C78)+1,Amortization[[#This Row],[opening
balance]]),""),0)</f>
        <v>1981.7229588320693</v>
      </c>
      <c r="G78" s="235">
        <f ca="1">IF(Amortization[[#This Row],[payment
date]]="",0,PropertyTaxAmount)</f>
        <v>375</v>
      </c>
      <c r="H78" s="235">
        <f ca="1">IF(Amortization[[#This Row],[payment
date]]="",0,Amortization[[#This Row],[interest]]+Amortization[[#This Row],[principal]]+Amortization[[#This Row],[property
tax]])</f>
        <v>4417.444416405644</v>
      </c>
      <c r="I78" s="235">
        <f ca="1">IF(Amortization[[#This Row],[payment
date]]="",0,Amortization[[#This Row],[opening
balance]]-Amortization[[#This Row],[principal]])</f>
        <v>824288.58302942978</v>
      </c>
      <c r="J78" s="247">
        <f ca="1">IF(Amortization[[#This Row],[closing
balance]]&gt;0,LastRow-ROW(),0)</f>
        <v>285</v>
      </c>
    </row>
    <row r="79" spans="2:10" ht="15" customHeight="1" x14ac:dyDescent="0.25">
      <c r="B79" s="249">
        <f>ROWS($B$4:B79)</f>
        <v>76</v>
      </c>
      <c r="C79" s="248">
        <f ca="1">IF(ValuesEntered,IF(Amortization[[#This Row],['#]]&lt;=DurationOfLoan,IF(ROW()-ROW(Amortization[[#Headers],[payment
date]])=1,LoanStart,IF(I78&gt;0,EDATE(C78,1),"")),""),"")</f>
        <v>47340</v>
      </c>
      <c r="D79" s="235">
        <f ca="1">IF(ROW()-ROW(Amortization[[#Headers],[opening
balance]])=1,LoanAmount,IF(Amortization[[#This Row],[payment
date]]="",0,INDEX(Amortization[], ROW()-4,8)))</f>
        <v>824288.58302942978</v>
      </c>
      <c r="E79" s="235">
        <f ca="1">IF(ValuesEntered,IF(ROW()-ROW(Amortization[[#Headers],[interest]])=1,-IPMT(InterestRate/12,1,DurationOfLoan-ROWS($C$4:C79)+1,Amortization[[#This Row],[opening
balance]]),IFERROR(-IPMT(InterestRate/12,1,Amortization[[#This Row],['#
remaining]],D80),0)),0)</f>
        <v>2055.7547644080014</v>
      </c>
      <c r="F79" s="235">
        <f ca="1">IFERROR(IF(AND(ValuesEntered,Amortization[[#This Row],[payment
date]]&lt;&gt;""),-PPMT(InterestRate/12,1,DurationOfLoan-ROWS($C$4:C79)+1,Amortization[[#This Row],[opening
balance]]),""),0)</f>
        <v>1986.6772662291496</v>
      </c>
      <c r="G79" s="235">
        <f ca="1">IF(Amortization[[#This Row],[payment
date]]="",0,PropertyTaxAmount)</f>
        <v>375</v>
      </c>
      <c r="H79" s="235">
        <f ca="1">IF(Amortization[[#This Row],[payment
date]]="",0,Amortization[[#This Row],[interest]]+Amortization[[#This Row],[principal]]+Amortization[[#This Row],[property
tax]])</f>
        <v>4417.432030637151</v>
      </c>
      <c r="I79" s="235">
        <f ca="1">IF(Amortization[[#This Row],[payment
date]]="",0,Amortization[[#This Row],[opening
balance]]-Amortization[[#This Row],[principal]])</f>
        <v>822301.9057632006</v>
      </c>
      <c r="J79" s="247">
        <f ca="1">IF(Amortization[[#This Row],[closing
balance]]&gt;0,LastRow-ROW(),0)</f>
        <v>284</v>
      </c>
    </row>
    <row r="80" spans="2:10" ht="15" customHeight="1" x14ac:dyDescent="0.25">
      <c r="B80" s="249">
        <f>ROWS($B$4:B80)</f>
        <v>77</v>
      </c>
      <c r="C80" s="248">
        <f ca="1">IF(ValuesEntered,IF(Amortization[[#This Row],['#]]&lt;=DurationOfLoan,IF(ROW()-ROW(Amortization[[#Headers],[payment
date]])=1,LoanStart,IF(I79&gt;0,EDATE(C79,1),"")),""),"")</f>
        <v>47371</v>
      </c>
      <c r="D80" s="235">
        <f ca="1">IF(ROW()-ROW(Amortization[[#Headers],[opening
balance]])=1,LoanAmount,IF(Amortization[[#This Row],[payment
date]]="",0,INDEX(Amortization[], ROW()-4,8)))</f>
        <v>822301.9057632006</v>
      </c>
      <c r="E80" s="235">
        <f ca="1">IF(ValuesEntered,IF(ROW()-ROW(Amortization[[#Headers],[interest]])=1,-IPMT(InterestRate/12,1,DurationOfLoan-ROWS($C$4:C80)+1,Amortization[[#This Row],[opening
balance]]),IFERROR(-IPMT(InterestRate/12,1,Amortization[[#This Row],['#
remaining]],D81),0)),0)</f>
        <v>2050.7756545095144</v>
      </c>
      <c r="F80" s="235">
        <f ca="1">IFERROR(IF(AND(ValuesEntered,Amortization[[#This Row],[payment
date]]&lt;&gt;""),-PPMT(InterestRate/12,1,DurationOfLoan-ROWS($C$4:C80)+1,Amortization[[#This Row],[opening
balance]]),""),0)</f>
        <v>1991.6439593947227</v>
      </c>
      <c r="G80" s="235">
        <f ca="1">IF(Amortization[[#This Row],[payment
date]]="",0,PropertyTaxAmount)</f>
        <v>375</v>
      </c>
      <c r="H80" s="235">
        <f ca="1">IF(Amortization[[#This Row],[payment
date]]="",0,Amortization[[#This Row],[interest]]+Amortization[[#This Row],[principal]]+Amortization[[#This Row],[property
tax]])</f>
        <v>4417.4196139042369</v>
      </c>
      <c r="I80" s="235">
        <f ca="1">IF(Amortization[[#This Row],[payment
date]]="",0,Amortization[[#This Row],[opening
balance]]-Amortization[[#This Row],[principal]])</f>
        <v>820310.26180380583</v>
      </c>
      <c r="J80" s="247">
        <f ca="1">IF(Amortization[[#This Row],[closing
balance]]&gt;0,LastRow-ROW(),0)</f>
        <v>283</v>
      </c>
    </row>
    <row r="81" spans="2:10" ht="15" customHeight="1" x14ac:dyDescent="0.25">
      <c r="B81" s="249">
        <f>ROWS($B$4:B81)</f>
        <v>78</v>
      </c>
      <c r="C81" s="248">
        <f ca="1">IF(ValuesEntered,IF(Amortization[[#This Row],['#]]&lt;=DurationOfLoan,IF(ROW()-ROW(Amortization[[#Headers],[payment
date]])=1,LoanStart,IF(I80&gt;0,EDATE(C80,1),"")),""),"")</f>
        <v>47401</v>
      </c>
      <c r="D81" s="235">
        <f ca="1">IF(ROW()-ROW(Amortization[[#Headers],[opening
balance]])=1,LoanAmount,IF(Amortization[[#This Row],[payment
date]]="",0,INDEX(Amortization[], ROW()-4,8)))</f>
        <v>820310.26180380583</v>
      </c>
      <c r="E81" s="235">
        <f ca="1">IF(ValuesEntered,IF(ROW()-ROW(Amortization[[#Headers],[interest]])=1,-IPMT(InterestRate/12,1,DurationOfLoan-ROWS($C$4:C81)+1,Amortization[[#This Row],[opening
balance]]),IFERROR(-IPMT(InterestRate/12,1,Amortization[[#This Row],['#
remaining]],D82),0)),0)</f>
        <v>2045.7840968362816</v>
      </c>
      <c r="F81" s="235">
        <f ca="1">IFERROR(IF(AND(ValuesEntered,Amortization[[#This Row],[payment
date]]&lt;&gt;""),-PPMT(InterestRate/12,1,DurationOfLoan-ROWS($C$4:C81)+1,Amortization[[#This Row],[opening
balance]]),""),0)</f>
        <v>1996.6230692932097</v>
      </c>
      <c r="G81" s="235">
        <f ca="1">IF(Amortization[[#This Row],[payment
date]]="",0,PropertyTaxAmount)</f>
        <v>375</v>
      </c>
      <c r="H81" s="235">
        <f ca="1">IF(Amortization[[#This Row],[payment
date]]="",0,Amortization[[#This Row],[interest]]+Amortization[[#This Row],[principal]]+Amortization[[#This Row],[property
tax]])</f>
        <v>4417.4071661294911</v>
      </c>
      <c r="I81" s="235">
        <f ca="1">IF(Amortization[[#This Row],[payment
date]]="",0,Amortization[[#This Row],[opening
balance]]-Amortization[[#This Row],[principal]])</f>
        <v>818313.63873451261</v>
      </c>
      <c r="J81" s="247">
        <f ca="1">IF(Amortization[[#This Row],[closing
balance]]&gt;0,LastRow-ROW(),0)</f>
        <v>282</v>
      </c>
    </row>
    <row r="82" spans="2:10" ht="15" customHeight="1" x14ac:dyDescent="0.25">
      <c r="B82" s="249">
        <f>ROWS($B$4:B82)</f>
        <v>79</v>
      </c>
      <c r="C82" s="248">
        <f ca="1">IF(ValuesEntered,IF(Amortization[[#This Row],['#]]&lt;=DurationOfLoan,IF(ROW()-ROW(Amortization[[#Headers],[payment
date]])=1,LoanStart,IF(I81&gt;0,EDATE(C81,1),"")),""),"")</f>
        <v>47432</v>
      </c>
      <c r="D82" s="235">
        <f ca="1">IF(ROW()-ROW(Amortization[[#Headers],[opening
balance]])=1,LoanAmount,IF(Amortization[[#This Row],[payment
date]]="",0,INDEX(Amortization[], ROW()-4,8)))</f>
        <v>818313.63873451261</v>
      </c>
      <c r="E82" s="235">
        <f ca="1">IF(ValuesEntered,IF(ROW()-ROW(Amortization[[#Headers],[interest]])=1,-IPMT(InterestRate/12,1,DurationOfLoan-ROWS($C$4:C82)+1,Amortization[[#This Row],[opening
balance]]),IFERROR(-IPMT(InterestRate/12,1,Amortization[[#This Row],['#
remaining]],D83),0)),0)</f>
        <v>2040.7800602688656</v>
      </c>
      <c r="F82" s="235">
        <f ca="1">IFERROR(IF(AND(ValuesEntered,Amortization[[#This Row],[payment
date]]&lt;&gt;""),-PPMT(InterestRate/12,1,DurationOfLoan-ROWS($C$4:C82)+1,Amortization[[#This Row],[opening
balance]]),""),0)</f>
        <v>2001.6146269664423</v>
      </c>
      <c r="G82" s="235">
        <f ca="1">IF(Amortization[[#This Row],[payment
date]]="",0,PropertyTaxAmount)</f>
        <v>375</v>
      </c>
      <c r="H82" s="235">
        <f ca="1">IF(Amortization[[#This Row],[payment
date]]="",0,Amortization[[#This Row],[interest]]+Amortization[[#This Row],[principal]]+Amortization[[#This Row],[property
tax]])</f>
        <v>4417.3946872353081</v>
      </c>
      <c r="I82" s="235">
        <f ca="1">IF(Amortization[[#This Row],[payment
date]]="",0,Amortization[[#This Row],[opening
balance]]-Amortization[[#This Row],[principal]])</f>
        <v>816312.0241075462</v>
      </c>
      <c r="J82" s="247">
        <f ca="1">IF(Amortization[[#This Row],[closing
balance]]&gt;0,LastRow-ROW(),0)</f>
        <v>281</v>
      </c>
    </row>
    <row r="83" spans="2:10" ht="15" customHeight="1" x14ac:dyDescent="0.25">
      <c r="B83" s="249">
        <f>ROWS($B$4:B83)</f>
        <v>80</v>
      </c>
      <c r="C83" s="248">
        <f ca="1">IF(ValuesEntered,IF(Amortization[[#This Row],['#]]&lt;=DurationOfLoan,IF(ROW()-ROW(Amortization[[#Headers],[payment
date]])=1,LoanStart,IF(I82&gt;0,EDATE(C82,1),"")),""),"")</f>
        <v>47462</v>
      </c>
      <c r="D83" s="235">
        <f ca="1">IF(ROW()-ROW(Amortization[[#Headers],[opening
balance]])=1,LoanAmount,IF(Amortization[[#This Row],[payment
date]]="",0,INDEX(Amortization[], ROW()-4,8)))</f>
        <v>816312.0241075462</v>
      </c>
      <c r="E83" s="235">
        <f ca="1">IF(ValuesEntered,IF(ROW()-ROW(Amortization[[#Headers],[interest]])=1,-IPMT(InterestRate/12,1,DurationOfLoan-ROWS($C$4:C83)+1,Amortization[[#This Row],[opening
balance]]),IFERROR(-IPMT(InterestRate/12,1,Amortization[[#This Row],['#
remaining]],D84),0)),0)</f>
        <v>2035.7635136100309</v>
      </c>
      <c r="F83" s="235">
        <f ca="1">IFERROR(IF(AND(ValuesEntered,Amortization[[#This Row],[payment
date]]&lt;&gt;""),-PPMT(InterestRate/12,1,DurationOfLoan-ROWS($C$4:C83)+1,Amortization[[#This Row],[opening
balance]]),""),0)</f>
        <v>2006.6186635338586</v>
      </c>
      <c r="G83" s="235">
        <f ca="1">IF(Amortization[[#This Row],[payment
date]]="",0,PropertyTaxAmount)</f>
        <v>375</v>
      </c>
      <c r="H83" s="235">
        <f ca="1">IF(Amortization[[#This Row],[payment
date]]="",0,Amortization[[#This Row],[interest]]+Amortization[[#This Row],[principal]]+Amortization[[#This Row],[property
tax]])</f>
        <v>4417.3821771438897</v>
      </c>
      <c r="I83" s="235">
        <f ca="1">IF(Amortization[[#This Row],[payment
date]]="",0,Amortization[[#This Row],[opening
balance]]-Amortization[[#This Row],[principal]])</f>
        <v>814305.40544401237</v>
      </c>
      <c r="J83" s="247">
        <f ca="1">IF(Amortization[[#This Row],[closing
balance]]&gt;0,LastRow-ROW(),0)</f>
        <v>280</v>
      </c>
    </row>
    <row r="84" spans="2:10" ht="15" customHeight="1" x14ac:dyDescent="0.25">
      <c r="B84" s="249">
        <f>ROWS($B$4:B84)</f>
        <v>81</v>
      </c>
      <c r="C84" s="248">
        <f ca="1">IF(ValuesEntered,IF(Amortization[[#This Row],['#]]&lt;=DurationOfLoan,IF(ROW()-ROW(Amortization[[#Headers],[payment
date]])=1,LoanStart,IF(I83&gt;0,EDATE(C83,1),"")),""),"")</f>
        <v>47493</v>
      </c>
      <c r="D84" s="235">
        <f ca="1">IF(ROW()-ROW(Amortization[[#Headers],[opening
balance]])=1,LoanAmount,IF(Amortization[[#This Row],[payment
date]]="",0,INDEX(Amortization[], ROW()-4,8)))</f>
        <v>814305.40544401237</v>
      </c>
      <c r="E84" s="235">
        <f ca="1">IF(ValuesEntered,IF(ROW()-ROW(Amortization[[#Headers],[interest]])=1,-IPMT(InterestRate/12,1,DurationOfLoan-ROWS($C$4:C84)+1,Amortization[[#This Row],[opening
balance]]),IFERROR(-IPMT(InterestRate/12,1,Amortization[[#This Row],['#
remaining]],D85),0)),0)</f>
        <v>2030.7344255845494</v>
      </c>
      <c r="F84" s="235">
        <f ca="1">IFERROR(IF(AND(ValuesEntered,Amortization[[#This Row],[payment
date]]&lt;&gt;""),-PPMT(InterestRate/12,1,DurationOfLoan-ROWS($C$4:C84)+1,Amortization[[#This Row],[opening
balance]]),""),0)</f>
        <v>2011.6352101926932</v>
      </c>
      <c r="G84" s="235">
        <f ca="1">IF(Amortization[[#This Row],[payment
date]]="",0,PropertyTaxAmount)</f>
        <v>375</v>
      </c>
      <c r="H84" s="235">
        <f ca="1">IF(Amortization[[#This Row],[payment
date]]="",0,Amortization[[#This Row],[interest]]+Amortization[[#This Row],[principal]]+Amortization[[#This Row],[property
tax]])</f>
        <v>4417.3696357772424</v>
      </c>
      <c r="I84" s="235">
        <f ca="1">IF(Amortization[[#This Row],[payment
date]]="",0,Amortization[[#This Row],[opening
balance]]-Amortization[[#This Row],[principal]])</f>
        <v>812293.77023381973</v>
      </c>
      <c r="J84" s="247">
        <f ca="1">IF(Amortization[[#This Row],[closing
balance]]&gt;0,LastRow-ROW(),0)</f>
        <v>279</v>
      </c>
    </row>
    <row r="85" spans="2:10" ht="15" customHeight="1" x14ac:dyDescent="0.25">
      <c r="B85" s="249">
        <f>ROWS($B$4:B85)</f>
        <v>82</v>
      </c>
      <c r="C85" s="248">
        <f ca="1">IF(ValuesEntered,IF(Amortization[[#This Row],['#]]&lt;=DurationOfLoan,IF(ROW()-ROW(Amortization[[#Headers],[payment
date]])=1,LoanStart,IF(I84&gt;0,EDATE(C84,1),"")),""),"")</f>
        <v>47524</v>
      </c>
      <c r="D85" s="235">
        <f ca="1">IF(ROW()-ROW(Amortization[[#Headers],[opening
balance]])=1,LoanAmount,IF(Amortization[[#This Row],[payment
date]]="",0,INDEX(Amortization[], ROW()-4,8)))</f>
        <v>812293.77023381973</v>
      </c>
      <c r="E85" s="235">
        <f ca="1">IF(ValuesEntered,IF(ROW()-ROW(Amortization[[#Headers],[interest]])=1,-IPMT(InterestRate/12,1,DurationOfLoan-ROWS($C$4:C85)+1,Amortization[[#This Row],[opening
balance]]),IFERROR(-IPMT(InterestRate/12,1,Amortization[[#This Row],['#
remaining]],D86),0)),0)</f>
        <v>2025.6927648390038</v>
      </c>
      <c r="F85" s="235">
        <f ca="1">IFERROR(IF(AND(ValuesEntered,Amortization[[#This Row],[payment
date]]&lt;&gt;""),-PPMT(InterestRate/12,1,DurationOfLoan-ROWS($C$4:C85)+1,Amortization[[#This Row],[opening
balance]]),""),0)</f>
        <v>2016.6642982181747</v>
      </c>
      <c r="G85" s="235">
        <f ca="1">IF(Amortization[[#This Row],[payment
date]]="",0,PropertyTaxAmount)</f>
        <v>375</v>
      </c>
      <c r="H85" s="235">
        <f ca="1">IF(Amortization[[#This Row],[payment
date]]="",0,Amortization[[#This Row],[interest]]+Amortization[[#This Row],[principal]]+Amortization[[#This Row],[property
tax]])</f>
        <v>4417.3570630571785</v>
      </c>
      <c r="I85" s="235">
        <f ca="1">IF(Amortization[[#This Row],[payment
date]]="",0,Amortization[[#This Row],[opening
balance]]-Amortization[[#This Row],[principal]])</f>
        <v>810277.10593560152</v>
      </c>
      <c r="J85" s="247">
        <f ca="1">IF(Amortization[[#This Row],[closing
balance]]&gt;0,LastRow-ROW(),0)</f>
        <v>278</v>
      </c>
    </row>
    <row r="86" spans="2:10" ht="15" customHeight="1" x14ac:dyDescent="0.25">
      <c r="B86" s="249">
        <f>ROWS($B$4:B86)</f>
        <v>83</v>
      </c>
      <c r="C86" s="248">
        <f ca="1">IF(ValuesEntered,IF(Amortization[[#This Row],['#]]&lt;=DurationOfLoan,IF(ROW()-ROW(Amortization[[#Headers],[payment
date]])=1,LoanStart,IF(I85&gt;0,EDATE(C85,1),"")),""),"")</f>
        <v>47552</v>
      </c>
      <c r="D86" s="235">
        <f ca="1">IF(ROW()-ROW(Amortization[[#Headers],[opening
balance]])=1,LoanAmount,IF(Amortization[[#This Row],[payment
date]]="",0,INDEX(Amortization[], ROW()-4,8)))</f>
        <v>810277.10593560152</v>
      </c>
      <c r="E86" s="235">
        <f ca="1">IF(ValuesEntered,IF(ROW()-ROW(Amortization[[#Headers],[interest]])=1,-IPMT(InterestRate/12,1,DurationOfLoan-ROWS($C$4:C86)+1,Amortization[[#This Row],[opening
balance]]),IFERROR(-IPMT(InterestRate/12,1,Amortization[[#This Row],['#
remaining]],D87),0)),0)</f>
        <v>2020.6384999415945</v>
      </c>
      <c r="F86" s="235">
        <f ca="1">IFERROR(IF(AND(ValuesEntered,Amortization[[#This Row],[payment
date]]&lt;&gt;""),-PPMT(InterestRate/12,1,DurationOfLoan-ROWS($C$4:C86)+1,Amortization[[#This Row],[opening
balance]]),""),0)</f>
        <v>2021.7059589637201</v>
      </c>
      <c r="G86" s="235">
        <f ca="1">IF(Amortization[[#This Row],[payment
date]]="",0,PropertyTaxAmount)</f>
        <v>375</v>
      </c>
      <c r="H86" s="235">
        <f ca="1">IF(Amortization[[#This Row],[payment
date]]="",0,Amortization[[#This Row],[interest]]+Amortization[[#This Row],[principal]]+Amortization[[#This Row],[property
tax]])</f>
        <v>4417.3444589053142</v>
      </c>
      <c r="I86" s="235">
        <f ca="1">IF(Amortization[[#This Row],[payment
date]]="",0,Amortization[[#This Row],[opening
balance]]-Amortization[[#This Row],[principal]])</f>
        <v>808255.3999766378</v>
      </c>
      <c r="J86" s="247">
        <f ca="1">IF(Amortization[[#This Row],[closing
balance]]&gt;0,LastRow-ROW(),0)</f>
        <v>277</v>
      </c>
    </row>
    <row r="87" spans="2:10" ht="15" customHeight="1" x14ac:dyDescent="0.25">
      <c r="B87" s="249">
        <f>ROWS($B$4:B87)</f>
        <v>84</v>
      </c>
      <c r="C87" s="248">
        <f ca="1">IF(ValuesEntered,IF(Amortization[[#This Row],['#]]&lt;=DurationOfLoan,IF(ROW()-ROW(Amortization[[#Headers],[payment
date]])=1,LoanStart,IF(I86&gt;0,EDATE(C86,1),"")),""),"")</f>
        <v>47583</v>
      </c>
      <c r="D87" s="235">
        <f ca="1">IF(ROW()-ROW(Amortization[[#Headers],[opening
balance]])=1,LoanAmount,IF(Amortization[[#This Row],[payment
date]]="",0,INDEX(Amortization[], ROW()-4,8)))</f>
        <v>808255.3999766378</v>
      </c>
      <c r="E87" s="235">
        <f ca="1">IF(ValuesEntered,IF(ROW()-ROW(Amortization[[#Headers],[interest]])=1,-IPMT(InterestRate/12,1,DurationOfLoan-ROWS($C$4:C87)+1,Amortization[[#This Row],[opening
balance]]),IFERROR(-IPMT(InterestRate/12,1,Amortization[[#This Row],['#
remaining]],D88),0)),0)</f>
        <v>2015.5715993819417</v>
      </c>
      <c r="F87" s="235">
        <f ca="1">IFERROR(IF(AND(ValuesEntered,Amortization[[#This Row],[payment
date]]&lt;&gt;""),-PPMT(InterestRate/12,1,DurationOfLoan-ROWS($C$4:C87)+1,Amortization[[#This Row],[opening
balance]]),""),0)</f>
        <v>2026.7602238611298</v>
      </c>
      <c r="G87" s="235">
        <f ca="1">IF(Amortization[[#This Row],[payment
date]]="",0,PropertyTaxAmount)</f>
        <v>375</v>
      </c>
      <c r="H87" s="235">
        <f ca="1">IF(Amortization[[#This Row],[payment
date]]="",0,Amortization[[#This Row],[interest]]+Amortization[[#This Row],[principal]]+Amortization[[#This Row],[property
tax]])</f>
        <v>4417.331823243072</v>
      </c>
      <c r="I87" s="235">
        <f ca="1">IF(Amortization[[#This Row],[payment
date]]="",0,Amortization[[#This Row],[opening
balance]]-Amortization[[#This Row],[principal]])</f>
        <v>806228.63975277671</v>
      </c>
      <c r="J87" s="247">
        <f ca="1">IF(Amortization[[#This Row],[closing
balance]]&gt;0,LastRow-ROW(),0)</f>
        <v>276</v>
      </c>
    </row>
    <row r="88" spans="2:10" ht="15" customHeight="1" x14ac:dyDescent="0.25">
      <c r="B88" s="249">
        <f>ROWS($B$4:B88)</f>
        <v>85</v>
      </c>
      <c r="C88" s="248">
        <f ca="1">IF(ValuesEntered,IF(Amortization[[#This Row],['#]]&lt;=DurationOfLoan,IF(ROW()-ROW(Amortization[[#Headers],[payment
date]])=1,LoanStart,IF(I87&gt;0,EDATE(C87,1),"")),""),"")</f>
        <v>47613</v>
      </c>
      <c r="D88" s="235">
        <f ca="1">IF(ROW()-ROW(Amortization[[#Headers],[opening
balance]])=1,LoanAmount,IF(Amortization[[#This Row],[payment
date]]="",0,INDEX(Amortization[], ROW()-4,8)))</f>
        <v>806228.63975277671</v>
      </c>
      <c r="E88" s="235">
        <f ca="1">IF(ValuesEntered,IF(ROW()-ROW(Amortization[[#Headers],[interest]])=1,-IPMT(InterestRate/12,1,DurationOfLoan-ROWS($C$4:C88)+1,Amortization[[#This Row],[opening
balance]]),IFERROR(-IPMT(InterestRate/12,1,Amortization[[#This Row],['#
remaining]],D89),0)),0)</f>
        <v>2010.4920315708898</v>
      </c>
      <c r="F88" s="235">
        <f ca="1">IFERROR(IF(AND(ValuesEntered,Amortization[[#This Row],[payment
date]]&lt;&gt;""),-PPMT(InterestRate/12,1,DurationOfLoan-ROWS($C$4:C88)+1,Amortization[[#This Row],[opening
balance]]),""),0)</f>
        <v>2031.8271244207826</v>
      </c>
      <c r="G88" s="235">
        <f ca="1">IF(Amortization[[#This Row],[payment
date]]="",0,PropertyTaxAmount)</f>
        <v>375</v>
      </c>
      <c r="H88" s="235">
        <f ca="1">IF(Amortization[[#This Row],[payment
date]]="",0,Amortization[[#This Row],[interest]]+Amortization[[#This Row],[principal]]+Amortization[[#This Row],[property
tax]])</f>
        <v>4417.3191559916722</v>
      </c>
      <c r="I88" s="235">
        <f ca="1">IF(Amortization[[#This Row],[payment
date]]="",0,Amortization[[#This Row],[opening
balance]]-Amortization[[#This Row],[principal]])</f>
        <v>804196.81262835592</v>
      </c>
      <c r="J88" s="247">
        <f ca="1">IF(Amortization[[#This Row],[closing
balance]]&gt;0,LastRow-ROW(),0)</f>
        <v>275</v>
      </c>
    </row>
    <row r="89" spans="2:10" ht="15" customHeight="1" x14ac:dyDescent="0.25">
      <c r="B89" s="249">
        <f>ROWS($B$4:B89)</f>
        <v>86</v>
      </c>
      <c r="C89" s="248">
        <f ca="1">IF(ValuesEntered,IF(Amortization[[#This Row],['#]]&lt;=DurationOfLoan,IF(ROW()-ROW(Amortization[[#Headers],[payment
date]])=1,LoanStart,IF(I88&gt;0,EDATE(C88,1),"")),""),"")</f>
        <v>47644</v>
      </c>
      <c r="D89" s="235">
        <f ca="1">IF(ROW()-ROW(Amortization[[#Headers],[opening
balance]])=1,LoanAmount,IF(Amortization[[#This Row],[payment
date]]="",0,INDEX(Amortization[], ROW()-4,8)))</f>
        <v>804196.81262835592</v>
      </c>
      <c r="E89" s="235">
        <f ca="1">IF(ValuesEntered,IF(ROW()-ROW(Amortization[[#Headers],[interest]])=1,-IPMT(InterestRate/12,1,DurationOfLoan-ROWS($C$4:C89)+1,Amortization[[#This Row],[opening
balance]]),IFERROR(-IPMT(InterestRate/12,1,Amortization[[#This Row],['#
remaining]],D90),0)),0)</f>
        <v>2005.3997648403101</v>
      </c>
      <c r="F89" s="235">
        <f ca="1">IFERROR(IF(AND(ValuesEntered,Amortization[[#This Row],[payment
date]]&lt;&gt;""),-PPMT(InterestRate/12,1,DurationOfLoan-ROWS($C$4:C89)+1,Amortization[[#This Row],[opening
balance]]),""),0)</f>
        <v>2036.9066922318345</v>
      </c>
      <c r="G89" s="235">
        <f ca="1">IF(Amortization[[#This Row],[payment
date]]="",0,PropertyTaxAmount)</f>
        <v>375</v>
      </c>
      <c r="H89" s="235">
        <f ca="1">IF(Amortization[[#This Row],[payment
date]]="",0,Amortization[[#This Row],[interest]]+Amortization[[#This Row],[principal]]+Amortization[[#This Row],[property
tax]])</f>
        <v>4417.3064570721444</v>
      </c>
      <c r="I89" s="235">
        <f ca="1">IF(Amortization[[#This Row],[payment
date]]="",0,Amortization[[#This Row],[opening
balance]]-Amortization[[#This Row],[principal]])</f>
        <v>802159.90593612404</v>
      </c>
      <c r="J89" s="247">
        <f ca="1">IF(Amortization[[#This Row],[closing
balance]]&gt;0,LastRow-ROW(),0)</f>
        <v>274</v>
      </c>
    </row>
    <row r="90" spans="2:10" ht="15" customHeight="1" x14ac:dyDescent="0.25">
      <c r="B90" s="249">
        <f>ROWS($B$4:B90)</f>
        <v>87</v>
      </c>
      <c r="C90" s="248">
        <f ca="1">IF(ValuesEntered,IF(Amortization[[#This Row],['#]]&lt;=DurationOfLoan,IF(ROW()-ROW(Amortization[[#Headers],[payment
date]])=1,LoanStart,IF(I89&gt;0,EDATE(C89,1),"")),""),"")</f>
        <v>47674</v>
      </c>
      <c r="D90" s="235">
        <f ca="1">IF(ROW()-ROW(Amortization[[#Headers],[opening
balance]])=1,LoanAmount,IF(Amortization[[#This Row],[payment
date]]="",0,INDEX(Amortization[], ROW()-4,8)))</f>
        <v>802159.90593612404</v>
      </c>
      <c r="E90" s="235">
        <f ca="1">IF(ValuesEntered,IF(ROW()-ROW(Amortization[[#Headers],[interest]])=1,-IPMT(InterestRate/12,1,DurationOfLoan-ROWS($C$4:C90)+1,Amortization[[#This Row],[opening
balance]]),IFERROR(-IPMT(InterestRate/12,1,Amortization[[#This Row],['#
remaining]],D91),0)),0)</f>
        <v>2000.2947674429042</v>
      </c>
      <c r="F90" s="235">
        <f ca="1">IFERROR(IF(AND(ValuesEntered,Amortization[[#This Row],[payment
date]]&lt;&gt;""),-PPMT(InterestRate/12,1,DurationOfLoan-ROWS($C$4:C90)+1,Amortization[[#This Row],[opening
balance]]),""),0)</f>
        <v>2041.998958962414</v>
      </c>
      <c r="G90" s="235">
        <f ca="1">IF(Amortization[[#This Row],[payment
date]]="",0,PropertyTaxAmount)</f>
        <v>375</v>
      </c>
      <c r="H90" s="235">
        <f ca="1">IF(Amortization[[#This Row],[payment
date]]="",0,Amortization[[#This Row],[interest]]+Amortization[[#This Row],[principal]]+Amortization[[#This Row],[property
tax]])</f>
        <v>4417.293726405318</v>
      </c>
      <c r="I90" s="235">
        <f ca="1">IF(Amortization[[#This Row],[payment
date]]="",0,Amortization[[#This Row],[opening
balance]]-Amortization[[#This Row],[principal]])</f>
        <v>800117.90697716165</v>
      </c>
      <c r="J90" s="247">
        <f ca="1">IF(Amortization[[#This Row],[closing
balance]]&gt;0,LastRow-ROW(),0)</f>
        <v>273</v>
      </c>
    </row>
    <row r="91" spans="2:10" ht="15" customHeight="1" x14ac:dyDescent="0.25">
      <c r="B91" s="249">
        <f>ROWS($B$4:B91)</f>
        <v>88</v>
      </c>
      <c r="C91" s="248">
        <f ca="1">IF(ValuesEntered,IF(Amortization[[#This Row],['#]]&lt;=DurationOfLoan,IF(ROW()-ROW(Amortization[[#Headers],[payment
date]])=1,LoanStart,IF(I90&gt;0,EDATE(C90,1),"")),""),"")</f>
        <v>47705</v>
      </c>
      <c r="D91" s="235">
        <f ca="1">IF(ROW()-ROW(Amortization[[#Headers],[opening
balance]])=1,LoanAmount,IF(Amortization[[#This Row],[payment
date]]="",0,INDEX(Amortization[], ROW()-4,8)))</f>
        <v>800117.90697716165</v>
      </c>
      <c r="E91" s="235">
        <f ca="1">IF(ValuesEntered,IF(ROW()-ROW(Amortization[[#Headers],[interest]])=1,-IPMT(InterestRate/12,1,DurationOfLoan-ROWS($C$4:C91)+1,Amortization[[#This Row],[opening
balance]]),IFERROR(-IPMT(InterestRate/12,1,Amortization[[#This Row],['#
remaining]],D92),0)),0)</f>
        <v>1995.1770075520046</v>
      </c>
      <c r="F91" s="235">
        <f ca="1">IFERROR(IF(AND(ValuesEntered,Amortization[[#This Row],[payment
date]]&lt;&gt;""),-PPMT(InterestRate/12,1,DurationOfLoan-ROWS($C$4:C91)+1,Amortization[[#This Row],[opening
balance]]),""),0)</f>
        <v>2047.1039563598199</v>
      </c>
      <c r="G91" s="235">
        <f ca="1">IF(Amortization[[#This Row],[payment
date]]="",0,PropertyTaxAmount)</f>
        <v>375</v>
      </c>
      <c r="H91" s="235">
        <f ca="1">IF(Amortization[[#This Row],[payment
date]]="",0,Amortization[[#This Row],[interest]]+Amortization[[#This Row],[principal]]+Amortization[[#This Row],[property
tax]])</f>
        <v>4417.2809639118241</v>
      </c>
      <c r="I91" s="235">
        <f ca="1">IF(Amortization[[#This Row],[payment
date]]="",0,Amortization[[#This Row],[opening
balance]]-Amortization[[#This Row],[principal]])</f>
        <v>798070.80302080186</v>
      </c>
      <c r="J91" s="247">
        <f ca="1">IF(Amortization[[#This Row],[closing
balance]]&gt;0,LastRow-ROW(),0)</f>
        <v>272</v>
      </c>
    </row>
    <row r="92" spans="2:10" ht="15" customHeight="1" x14ac:dyDescent="0.25">
      <c r="B92" s="249">
        <f>ROWS($B$4:B92)</f>
        <v>89</v>
      </c>
      <c r="C92" s="248">
        <f ca="1">IF(ValuesEntered,IF(Amortization[[#This Row],['#]]&lt;=DurationOfLoan,IF(ROW()-ROW(Amortization[[#Headers],[payment
date]])=1,LoanStart,IF(I91&gt;0,EDATE(C91,1),"")),""),"")</f>
        <v>47736</v>
      </c>
      <c r="D92" s="235">
        <f ca="1">IF(ROW()-ROW(Amortization[[#Headers],[opening
balance]])=1,LoanAmount,IF(Amortization[[#This Row],[payment
date]]="",0,INDEX(Amortization[], ROW()-4,8)))</f>
        <v>798070.80302080186</v>
      </c>
      <c r="E92" s="235">
        <f ca="1">IF(ValuesEntered,IF(ROW()-ROW(Amortization[[#Headers],[interest]])=1,-IPMT(InterestRate/12,1,DurationOfLoan-ROWS($C$4:C92)+1,Amortization[[#This Row],[opening
balance]]),IFERROR(-IPMT(InterestRate/12,1,Amortization[[#This Row],['#
remaining]],D93),0)),0)</f>
        <v>1990.0464532613778</v>
      </c>
      <c r="F92" s="235">
        <f ca="1">IFERROR(IF(AND(ValuesEntered,Amortization[[#This Row],[payment
date]]&lt;&gt;""),-PPMT(InterestRate/12,1,DurationOfLoan-ROWS($C$4:C92)+1,Amortization[[#This Row],[opening
balance]]),""),0)</f>
        <v>2052.2217162507195</v>
      </c>
      <c r="G92" s="235">
        <f ca="1">IF(Amortization[[#This Row],[payment
date]]="",0,PropertyTaxAmount)</f>
        <v>375</v>
      </c>
      <c r="H92" s="235">
        <f ca="1">IF(Amortization[[#This Row],[payment
date]]="",0,Amortization[[#This Row],[interest]]+Amortization[[#This Row],[principal]]+Amortization[[#This Row],[property
tax]])</f>
        <v>4417.2681695120973</v>
      </c>
      <c r="I92" s="235">
        <f ca="1">IF(Amortization[[#This Row],[payment
date]]="",0,Amortization[[#This Row],[opening
balance]]-Amortization[[#This Row],[principal]])</f>
        <v>796018.5813045511</v>
      </c>
      <c r="J92" s="247">
        <f ca="1">IF(Amortization[[#This Row],[closing
balance]]&gt;0,LastRow-ROW(),0)</f>
        <v>271</v>
      </c>
    </row>
    <row r="93" spans="2:10" ht="15" customHeight="1" x14ac:dyDescent="0.25">
      <c r="B93" s="249">
        <f>ROWS($B$4:B93)</f>
        <v>90</v>
      </c>
      <c r="C93" s="248">
        <f ca="1">IF(ValuesEntered,IF(Amortization[[#This Row],['#]]&lt;=DurationOfLoan,IF(ROW()-ROW(Amortization[[#Headers],[payment
date]])=1,LoanStart,IF(I92&gt;0,EDATE(C92,1),"")),""),"")</f>
        <v>47766</v>
      </c>
      <c r="D93" s="235">
        <f ca="1">IF(ROW()-ROW(Amortization[[#Headers],[opening
balance]])=1,LoanAmount,IF(Amortization[[#This Row],[payment
date]]="",0,INDEX(Amortization[], ROW()-4,8)))</f>
        <v>796018.5813045511</v>
      </c>
      <c r="E93" s="235">
        <f ca="1">IF(ValuesEntered,IF(ROW()-ROW(Amortization[[#Headers],[interest]])=1,-IPMT(InterestRate/12,1,DurationOfLoan-ROWS($C$4:C93)+1,Amortization[[#This Row],[opening
balance]]),IFERROR(-IPMT(InterestRate/12,1,Amortization[[#This Row],['#
remaining]],D94),0)),0)</f>
        <v>1984.9030725850243</v>
      </c>
      <c r="F93" s="235">
        <f ca="1">IFERROR(IF(AND(ValuesEntered,Amortization[[#This Row],[payment
date]]&lt;&gt;""),-PPMT(InterestRate/12,1,DurationOfLoan-ROWS($C$4:C93)+1,Amortization[[#This Row],[opening
balance]]),""),0)</f>
        <v>2057.3522705413466</v>
      </c>
      <c r="G93" s="235">
        <f ca="1">IF(Amortization[[#This Row],[payment
date]]="",0,PropertyTaxAmount)</f>
        <v>375</v>
      </c>
      <c r="H93" s="235">
        <f ca="1">IF(Amortization[[#This Row],[payment
date]]="",0,Amortization[[#This Row],[interest]]+Amortization[[#This Row],[principal]]+Amortization[[#This Row],[property
tax]])</f>
        <v>4417.2553431263714</v>
      </c>
      <c r="I93" s="235">
        <f ca="1">IF(Amortization[[#This Row],[payment
date]]="",0,Amortization[[#This Row],[opening
balance]]-Amortization[[#This Row],[principal]])</f>
        <v>793961.22903400974</v>
      </c>
      <c r="J93" s="247">
        <f ca="1">IF(Amortization[[#This Row],[closing
balance]]&gt;0,LastRow-ROW(),0)</f>
        <v>270</v>
      </c>
    </row>
    <row r="94" spans="2:10" ht="15" customHeight="1" x14ac:dyDescent="0.25">
      <c r="B94" s="249">
        <f>ROWS($B$4:B94)</f>
        <v>91</v>
      </c>
      <c r="C94" s="248">
        <f ca="1">IF(ValuesEntered,IF(Amortization[[#This Row],['#]]&lt;=DurationOfLoan,IF(ROW()-ROW(Amortization[[#Headers],[payment
date]])=1,LoanStart,IF(I93&gt;0,EDATE(C93,1),"")),""),"")</f>
        <v>47797</v>
      </c>
      <c r="D94" s="235">
        <f ca="1">IF(ROW()-ROW(Amortization[[#Headers],[opening
balance]])=1,LoanAmount,IF(Amortization[[#This Row],[payment
date]]="",0,INDEX(Amortization[], ROW()-4,8)))</f>
        <v>793961.22903400974</v>
      </c>
      <c r="E94" s="235">
        <f ca="1">IF(ValuesEntered,IF(ROW()-ROW(Amortization[[#Headers],[interest]])=1,-IPMT(InterestRate/12,1,DurationOfLoan-ROWS($C$4:C94)+1,Amortization[[#This Row],[opening
balance]]),IFERROR(-IPMT(InterestRate/12,1,Amortization[[#This Row],['#
remaining]],D95),0)),0)</f>
        <v>1979.7468334569803</v>
      </c>
      <c r="F94" s="235">
        <f ca="1">IFERROR(IF(AND(ValuesEntered,Amortization[[#This Row],[payment
date]]&lt;&gt;""),-PPMT(InterestRate/12,1,DurationOfLoan-ROWS($C$4:C94)+1,Amortization[[#This Row],[opening
balance]]),""),0)</f>
        <v>2062.4956512177005</v>
      </c>
      <c r="G94" s="235">
        <f ca="1">IF(Amortization[[#This Row],[payment
date]]="",0,PropertyTaxAmount)</f>
        <v>375</v>
      </c>
      <c r="H94" s="235">
        <f ca="1">IF(Amortization[[#This Row],[payment
date]]="",0,Amortization[[#This Row],[interest]]+Amortization[[#This Row],[principal]]+Amortization[[#This Row],[property
tax]])</f>
        <v>4417.2424846746808</v>
      </c>
      <c r="I94" s="235">
        <f ca="1">IF(Amortization[[#This Row],[payment
date]]="",0,Amortization[[#This Row],[opening
balance]]-Amortization[[#This Row],[principal]])</f>
        <v>791898.7333827921</v>
      </c>
      <c r="J94" s="247">
        <f ca="1">IF(Amortization[[#This Row],[closing
balance]]&gt;0,LastRow-ROW(),0)</f>
        <v>269</v>
      </c>
    </row>
    <row r="95" spans="2:10" ht="15" customHeight="1" x14ac:dyDescent="0.25">
      <c r="B95" s="249">
        <f>ROWS($B$4:B95)</f>
        <v>92</v>
      </c>
      <c r="C95" s="248">
        <f ca="1">IF(ValuesEntered,IF(Amortization[[#This Row],['#]]&lt;=DurationOfLoan,IF(ROW()-ROW(Amortization[[#Headers],[payment
date]])=1,LoanStart,IF(I94&gt;0,EDATE(C94,1),"")),""),"")</f>
        <v>47827</v>
      </c>
      <c r="D95" s="235">
        <f ca="1">IF(ROW()-ROW(Amortization[[#Headers],[opening
balance]])=1,LoanAmount,IF(Amortization[[#This Row],[payment
date]]="",0,INDEX(Amortization[], ROW()-4,8)))</f>
        <v>791898.7333827921</v>
      </c>
      <c r="E95" s="235">
        <f ca="1">IF(ValuesEntered,IF(ROW()-ROW(Amortization[[#Headers],[interest]])=1,-IPMT(InterestRate/12,1,DurationOfLoan-ROWS($C$4:C95)+1,Amortization[[#This Row],[opening
balance]]),IFERROR(-IPMT(InterestRate/12,1,Amortization[[#This Row],['#
remaining]],D96),0)),0)</f>
        <v>1974.5777037311159</v>
      </c>
      <c r="F95" s="235">
        <f ca="1">IFERROR(IF(AND(ValuesEntered,Amortization[[#This Row],[payment
date]]&lt;&gt;""),-PPMT(InterestRate/12,1,DurationOfLoan-ROWS($C$4:C95)+1,Amortization[[#This Row],[opening
balance]]),""),0)</f>
        <v>2067.6518903457436</v>
      </c>
      <c r="G95" s="235">
        <f ca="1">IF(Amortization[[#This Row],[payment
date]]="",0,PropertyTaxAmount)</f>
        <v>375</v>
      </c>
      <c r="H95" s="235">
        <f ca="1">IF(Amortization[[#This Row],[payment
date]]="",0,Amortization[[#This Row],[interest]]+Amortization[[#This Row],[principal]]+Amortization[[#This Row],[property
tax]])</f>
        <v>4417.2295940768599</v>
      </c>
      <c r="I95" s="235">
        <f ca="1">IF(Amortization[[#This Row],[payment
date]]="",0,Amortization[[#This Row],[opening
balance]]-Amortization[[#This Row],[principal]])</f>
        <v>789831.08149244636</v>
      </c>
      <c r="J95" s="247">
        <f ca="1">IF(Amortization[[#This Row],[closing
balance]]&gt;0,LastRow-ROW(),0)</f>
        <v>268</v>
      </c>
    </row>
    <row r="96" spans="2:10" ht="15" customHeight="1" x14ac:dyDescent="0.25">
      <c r="B96" s="249">
        <f>ROWS($B$4:B96)</f>
        <v>93</v>
      </c>
      <c r="C96" s="248">
        <f ca="1">IF(ValuesEntered,IF(Amortization[[#This Row],['#]]&lt;=DurationOfLoan,IF(ROW()-ROW(Amortization[[#Headers],[payment
date]])=1,LoanStart,IF(I95&gt;0,EDATE(C95,1),"")),""),"")</f>
        <v>47858</v>
      </c>
      <c r="D96" s="235">
        <f ca="1">IF(ROW()-ROW(Amortization[[#Headers],[opening
balance]])=1,LoanAmount,IF(Amortization[[#This Row],[payment
date]]="",0,INDEX(Amortization[], ROW()-4,8)))</f>
        <v>789831.08149244636</v>
      </c>
      <c r="E96" s="235">
        <f ca="1">IF(ValuesEntered,IF(ROW()-ROW(Amortization[[#Headers],[interest]])=1,-IPMT(InterestRate/12,1,DurationOfLoan-ROWS($C$4:C96)+1,Amortization[[#This Row],[opening
balance]]),IFERROR(-IPMT(InterestRate/12,1,Amortization[[#This Row],['#
remaining]],D97),0)),0)</f>
        <v>1969.395651180937</v>
      </c>
      <c r="F96" s="235">
        <f ca="1">IFERROR(IF(AND(ValuesEntered,Amortization[[#This Row],[payment
date]]&lt;&gt;""),-PPMT(InterestRate/12,1,DurationOfLoan-ROWS($C$4:C96)+1,Amortization[[#This Row],[opening
balance]]),""),0)</f>
        <v>2072.8210200716085</v>
      </c>
      <c r="G96" s="235">
        <f ca="1">IF(Amortization[[#This Row],[payment
date]]="",0,PropertyTaxAmount)</f>
        <v>375</v>
      </c>
      <c r="H96" s="235">
        <f ca="1">IF(Amortization[[#This Row],[payment
date]]="",0,Amortization[[#This Row],[interest]]+Amortization[[#This Row],[principal]]+Amortization[[#This Row],[property
tax]])</f>
        <v>4417.216671252545</v>
      </c>
      <c r="I96" s="235">
        <f ca="1">IF(Amortization[[#This Row],[payment
date]]="",0,Amortization[[#This Row],[opening
balance]]-Amortization[[#This Row],[principal]])</f>
        <v>787758.26047237474</v>
      </c>
      <c r="J96" s="247">
        <f ca="1">IF(Amortization[[#This Row],[closing
balance]]&gt;0,LastRow-ROW(),0)</f>
        <v>267</v>
      </c>
    </row>
    <row r="97" spans="2:10" ht="15" customHeight="1" x14ac:dyDescent="0.25">
      <c r="B97" s="249">
        <f>ROWS($B$4:B97)</f>
        <v>94</v>
      </c>
      <c r="C97" s="248">
        <f ca="1">IF(ValuesEntered,IF(Amortization[[#This Row],['#]]&lt;=DurationOfLoan,IF(ROW()-ROW(Amortization[[#Headers],[payment
date]])=1,LoanStart,IF(I96&gt;0,EDATE(C96,1),"")),""),"")</f>
        <v>47889</v>
      </c>
      <c r="D97" s="235">
        <f ca="1">IF(ROW()-ROW(Amortization[[#Headers],[opening
balance]])=1,LoanAmount,IF(Amortization[[#This Row],[payment
date]]="",0,INDEX(Amortization[], ROW()-4,8)))</f>
        <v>787758.26047237474</v>
      </c>
      <c r="E97" s="235">
        <f ca="1">IF(ValuesEntered,IF(ROW()-ROW(Amortization[[#Headers],[interest]])=1,-IPMT(InterestRate/12,1,DurationOfLoan-ROWS($C$4:C97)+1,Amortization[[#This Row],[opening
balance]]),IFERROR(-IPMT(InterestRate/12,1,Amortization[[#This Row],['#
remaining]],D98),0)),0)</f>
        <v>1964.2006434993825</v>
      </c>
      <c r="F97" s="235">
        <f ca="1">IFERROR(IF(AND(ValuesEntered,Amortization[[#This Row],[payment
date]]&lt;&gt;""),-PPMT(InterestRate/12,1,DurationOfLoan-ROWS($C$4:C97)+1,Amortization[[#This Row],[opening
balance]]),""),0)</f>
        <v>2078.0030726217874</v>
      </c>
      <c r="G97" s="235">
        <f ca="1">IF(Amortization[[#This Row],[payment
date]]="",0,PropertyTaxAmount)</f>
        <v>375</v>
      </c>
      <c r="H97" s="235">
        <f ca="1">IF(Amortization[[#This Row],[payment
date]]="",0,Amortization[[#This Row],[interest]]+Amortization[[#This Row],[principal]]+Amortization[[#This Row],[property
tax]])</f>
        <v>4417.2037161211701</v>
      </c>
      <c r="I97" s="235">
        <f ca="1">IF(Amortization[[#This Row],[payment
date]]="",0,Amortization[[#This Row],[opening
balance]]-Amortization[[#This Row],[principal]])</f>
        <v>785680.25739975297</v>
      </c>
      <c r="J97" s="247">
        <f ca="1">IF(Amortization[[#This Row],[closing
balance]]&gt;0,LastRow-ROW(),0)</f>
        <v>266</v>
      </c>
    </row>
    <row r="98" spans="2:10" ht="15" customHeight="1" x14ac:dyDescent="0.25">
      <c r="B98" s="249">
        <f>ROWS($B$4:B98)</f>
        <v>95</v>
      </c>
      <c r="C98" s="248">
        <f ca="1">IF(ValuesEntered,IF(Amortization[[#This Row],['#]]&lt;=DurationOfLoan,IF(ROW()-ROW(Amortization[[#Headers],[payment
date]])=1,LoanStart,IF(I97&gt;0,EDATE(C97,1),"")),""),"")</f>
        <v>47917</v>
      </c>
      <c r="D98" s="235">
        <f ca="1">IF(ROW()-ROW(Amortization[[#Headers],[opening
balance]])=1,LoanAmount,IF(Amortization[[#This Row],[payment
date]]="",0,INDEX(Amortization[], ROW()-4,8)))</f>
        <v>785680.25739975297</v>
      </c>
      <c r="E98" s="235">
        <f ca="1">IF(ValuesEntered,IF(ROW()-ROW(Amortization[[#Headers],[interest]])=1,-IPMT(InterestRate/12,1,DurationOfLoan-ROWS($C$4:C98)+1,Amortization[[#This Row],[opening
balance]]),IFERROR(-IPMT(InterestRate/12,1,Amortization[[#This Row],['#
remaining]],D99),0)),0)</f>
        <v>1958.9926482986241</v>
      </c>
      <c r="F98" s="235">
        <f ca="1">IFERROR(IF(AND(ValuesEntered,Amortization[[#This Row],[payment
date]]&lt;&gt;""),-PPMT(InterestRate/12,1,DurationOfLoan-ROWS($C$4:C98)+1,Amortization[[#This Row],[opening
balance]]),""),0)</f>
        <v>2083.1980803033421</v>
      </c>
      <c r="G98" s="235">
        <f ca="1">IF(Amortization[[#This Row],[payment
date]]="",0,PropertyTaxAmount)</f>
        <v>375</v>
      </c>
      <c r="H98" s="235">
        <f ca="1">IF(Amortization[[#This Row],[payment
date]]="",0,Amortization[[#This Row],[interest]]+Amortization[[#This Row],[principal]]+Amortization[[#This Row],[property
tax]])</f>
        <v>4417.1907286019659</v>
      </c>
      <c r="I98" s="235">
        <f ca="1">IF(Amortization[[#This Row],[payment
date]]="",0,Amortization[[#This Row],[opening
balance]]-Amortization[[#This Row],[principal]])</f>
        <v>783597.05931944959</v>
      </c>
      <c r="J98" s="247">
        <f ca="1">IF(Amortization[[#This Row],[closing
balance]]&gt;0,LastRow-ROW(),0)</f>
        <v>265</v>
      </c>
    </row>
    <row r="99" spans="2:10" ht="15" customHeight="1" x14ac:dyDescent="0.25">
      <c r="B99" s="249">
        <f>ROWS($B$4:B99)</f>
        <v>96</v>
      </c>
      <c r="C99" s="248">
        <f ca="1">IF(ValuesEntered,IF(Amortization[[#This Row],['#]]&lt;=DurationOfLoan,IF(ROW()-ROW(Amortization[[#Headers],[payment
date]])=1,LoanStart,IF(I98&gt;0,EDATE(C98,1),"")),""),"")</f>
        <v>47948</v>
      </c>
      <c r="D99" s="235">
        <f ca="1">IF(ROW()-ROW(Amortization[[#Headers],[opening
balance]])=1,LoanAmount,IF(Amortization[[#This Row],[payment
date]]="",0,INDEX(Amortization[], ROW()-4,8)))</f>
        <v>783597.05931944959</v>
      </c>
      <c r="E99" s="235">
        <f ca="1">IF(ValuesEntered,IF(ROW()-ROW(Amortization[[#Headers],[interest]])=1,-IPMT(InterestRate/12,1,DurationOfLoan-ROWS($C$4:C99)+1,Amortization[[#This Row],[opening
balance]]),IFERROR(-IPMT(InterestRate/12,1,Amortization[[#This Row],['#
remaining]],D100),0)),0)</f>
        <v>1953.7716331098636</v>
      </c>
      <c r="F99" s="235">
        <f ca="1">IFERROR(IF(AND(ValuesEntered,Amortization[[#This Row],[payment
date]]&lt;&gt;""),-PPMT(InterestRate/12,1,DurationOfLoan-ROWS($C$4:C99)+1,Amortization[[#This Row],[opening
balance]]),""),0)</f>
        <v>2088.4060755041005</v>
      </c>
      <c r="G99" s="235">
        <f ca="1">IF(Amortization[[#This Row],[payment
date]]="",0,PropertyTaxAmount)</f>
        <v>375</v>
      </c>
      <c r="H99" s="235">
        <f ca="1">IF(Amortization[[#This Row],[payment
date]]="",0,Amortization[[#This Row],[interest]]+Amortization[[#This Row],[principal]]+Amortization[[#This Row],[property
tax]])</f>
        <v>4417.1777086139646</v>
      </c>
      <c r="I99" s="235">
        <f ca="1">IF(Amortization[[#This Row],[payment
date]]="",0,Amortization[[#This Row],[opening
balance]]-Amortization[[#This Row],[principal]])</f>
        <v>781508.65324394545</v>
      </c>
      <c r="J99" s="247">
        <f ca="1">IF(Amortization[[#This Row],[closing
balance]]&gt;0,LastRow-ROW(),0)</f>
        <v>264</v>
      </c>
    </row>
    <row r="100" spans="2:10" ht="15" customHeight="1" x14ac:dyDescent="0.25">
      <c r="B100" s="249">
        <f>ROWS($B$4:B100)</f>
        <v>97</v>
      </c>
      <c r="C100" s="248">
        <f ca="1">IF(ValuesEntered,IF(Amortization[[#This Row],['#]]&lt;=DurationOfLoan,IF(ROW()-ROW(Amortization[[#Headers],[payment
date]])=1,LoanStart,IF(I99&gt;0,EDATE(C99,1),"")),""),"")</f>
        <v>47978</v>
      </c>
      <c r="D100" s="235">
        <f ca="1">IF(ROW()-ROW(Amortization[[#Headers],[opening
balance]])=1,LoanAmount,IF(Amortization[[#This Row],[payment
date]]="",0,INDEX(Amortization[], ROW()-4,8)))</f>
        <v>781508.65324394545</v>
      </c>
      <c r="E100" s="235">
        <f ca="1">IF(ValuesEntered,IF(ROW()-ROW(Amortization[[#Headers],[interest]])=1,-IPMT(InterestRate/12,1,DurationOfLoan-ROWS($C$4:C100)+1,Amortization[[#This Row],[opening
balance]]),IFERROR(-IPMT(InterestRate/12,1,Amortization[[#This Row],['#
remaining]],D101),0)),0)</f>
        <v>1948.5375653831316</v>
      </c>
      <c r="F100" s="235">
        <f ca="1">IFERROR(IF(AND(ValuesEntered,Amortization[[#This Row],[payment
date]]&lt;&gt;""),-PPMT(InterestRate/12,1,DurationOfLoan-ROWS($C$4:C100)+1,Amortization[[#This Row],[opening
balance]]),""),0)</f>
        <v>2093.6270906928612</v>
      </c>
      <c r="G100" s="235">
        <f ca="1">IF(Amortization[[#This Row],[payment
date]]="",0,PropertyTaxAmount)</f>
        <v>375</v>
      </c>
      <c r="H100" s="235">
        <f ca="1">IF(Amortization[[#This Row],[payment
date]]="",0,Amortization[[#This Row],[interest]]+Amortization[[#This Row],[principal]]+Amortization[[#This Row],[property
tax]])</f>
        <v>4417.1646560759928</v>
      </c>
      <c r="I100" s="235">
        <f ca="1">IF(Amortization[[#This Row],[payment
date]]="",0,Amortization[[#This Row],[opening
balance]]-Amortization[[#This Row],[principal]])</f>
        <v>779415.02615325258</v>
      </c>
      <c r="J100" s="247">
        <f ca="1">IF(Amortization[[#This Row],[closing
balance]]&gt;0,LastRow-ROW(),0)</f>
        <v>263</v>
      </c>
    </row>
    <row r="101" spans="2:10" ht="15" customHeight="1" x14ac:dyDescent="0.25">
      <c r="B101" s="249">
        <f>ROWS($B$4:B101)</f>
        <v>98</v>
      </c>
      <c r="C101" s="248">
        <f ca="1">IF(ValuesEntered,IF(Amortization[[#This Row],['#]]&lt;=DurationOfLoan,IF(ROW()-ROW(Amortization[[#Headers],[payment
date]])=1,LoanStart,IF(I100&gt;0,EDATE(C100,1),"")),""),"")</f>
        <v>48009</v>
      </c>
      <c r="D101" s="235">
        <f ca="1">IF(ROW()-ROW(Amortization[[#Headers],[opening
balance]])=1,LoanAmount,IF(Amortization[[#This Row],[payment
date]]="",0,INDEX(Amortization[], ROW()-4,8)))</f>
        <v>779415.02615325258</v>
      </c>
      <c r="E101" s="235">
        <f ca="1">IF(ValuesEntered,IF(ROW()-ROW(Amortization[[#Headers],[interest]])=1,-IPMT(InterestRate/12,1,DurationOfLoan-ROWS($C$4:C101)+1,Amortization[[#This Row],[opening
balance]]),IFERROR(-IPMT(InterestRate/12,1,Amortization[[#This Row],['#
remaining]],D102),0)),0)</f>
        <v>1943.2904124870824</v>
      </c>
      <c r="F101" s="235">
        <f ca="1">IFERROR(IF(AND(ValuesEntered,Amortization[[#This Row],[payment
date]]&lt;&gt;""),-PPMT(InterestRate/12,1,DurationOfLoan-ROWS($C$4:C101)+1,Amortization[[#This Row],[opening
balance]]),""),0)</f>
        <v>2098.8611584195928</v>
      </c>
      <c r="G101" s="235">
        <f ca="1">IF(Amortization[[#This Row],[payment
date]]="",0,PropertyTaxAmount)</f>
        <v>375</v>
      </c>
      <c r="H101" s="235">
        <f ca="1">IF(Amortization[[#This Row],[payment
date]]="",0,Amortization[[#This Row],[interest]]+Amortization[[#This Row],[principal]]+Amortization[[#This Row],[property
tax]])</f>
        <v>4417.1515709066753</v>
      </c>
      <c r="I101" s="235">
        <f ca="1">IF(Amortization[[#This Row],[payment
date]]="",0,Amortization[[#This Row],[opening
balance]]-Amortization[[#This Row],[principal]])</f>
        <v>777316.16499483294</v>
      </c>
      <c r="J101" s="247">
        <f ca="1">IF(Amortization[[#This Row],[closing
balance]]&gt;0,LastRow-ROW(),0)</f>
        <v>262</v>
      </c>
    </row>
    <row r="102" spans="2:10" ht="15" customHeight="1" x14ac:dyDescent="0.25">
      <c r="B102" s="249">
        <f>ROWS($B$4:B102)</f>
        <v>99</v>
      </c>
      <c r="C102" s="248">
        <f ca="1">IF(ValuesEntered,IF(Amortization[[#This Row],['#]]&lt;=DurationOfLoan,IF(ROW()-ROW(Amortization[[#Headers],[payment
date]])=1,LoanStart,IF(I101&gt;0,EDATE(C101,1),"")),""),"")</f>
        <v>48039</v>
      </c>
      <c r="D102" s="235">
        <f ca="1">IF(ROW()-ROW(Amortization[[#Headers],[opening
balance]])=1,LoanAmount,IF(Amortization[[#This Row],[payment
date]]="",0,INDEX(Amortization[], ROW()-4,8)))</f>
        <v>777316.16499483294</v>
      </c>
      <c r="E102" s="235">
        <f ca="1">IF(ValuesEntered,IF(ROW()-ROW(Amortization[[#Headers],[interest]])=1,-IPMT(InterestRate/12,1,DurationOfLoan-ROWS($C$4:C102)+1,Amortization[[#This Row],[opening
balance]]),IFERROR(-IPMT(InterestRate/12,1,Amortization[[#This Row],['#
remaining]],D103),0)),0)</f>
        <v>1938.0301417087933</v>
      </c>
      <c r="F102" s="235">
        <f ca="1">IFERROR(IF(AND(ValuesEntered,Amortization[[#This Row],[payment
date]]&lt;&gt;""),-PPMT(InterestRate/12,1,DurationOfLoan-ROWS($C$4:C102)+1,Amortization[[#This Row],[opening
balance]]),""),0)</f>
        <v>2104.1083113156415</v>
      </c>
      <c r="G102" s="235">
        <f ca="1">IF(Amortization[[#This Row],[payment
date]]="",0,PropertyTaxAmount)</f>
        <v>375</v>
      </c>
      <c r="H102" s="235">
        <f ca="1">IF(Amortization[[#This Row],[payment
date]]="",0,Amortization[[#This Row],[interest]]+Amortization[[#This Row],[principal]]+Amortization[[#This Row],[property
tax]])</f>
        <v>4417.138453024435</v>
      </c>
      <c r="I102" s="235">
        <f ca="1">IF(Amortization[[#This Row],[payment
date]]="",0,Amortization[[#This Row],[opening
balance]]-Amortization[[#This Row],[principal]])</f>
        <v>775212.05668351729</v>
      </c>
      <c r="J102" s="247">
        <f ca="1">IF(Amortization[[#This Row],[closing
balance]]&gt;0,LastRow-ROW(),0)</f>
        <v>261</v>
      </c>
    </row>
    <row r="103" spans="2:10" ht="15" customHeight="1" x14ac:dyDescent="0.25">
      <c r="B103" s="249">
        <f>ROWS($B$4:B103)</f>
        <v>100</v>
      </c>
      <c r="C103" s="248">
        <f ca="1">IF(ValuesEntered,IF(Amortization[[#This Row],['#]]&lt;=DurationOfLoan,IF(ROW()-ROW(Amortization[[#Headers],[payment
date]])=1,LoanStart,IF(I102&gt;0,EDATE(C102,1),"")),""),"")</f>
        <v>48070</v>
      </c>
      <c r="D103" s="235">
        <f ca="1">IF(ROW()-ROW(Amortization[[#Headers],[opening
balance]])=1,LoanAmount,IF(Amortization[[#This Row],[payment
date]]="",0,INDEX(Amortization[], ROW()-4,8)))</f>
        <v>775212.05668351729</v>
      </c>
      <c r="E103" s="235">
        <f ca="1">IF(ValuesEntered,IF(ROW()-ROW(Amortization[[#Headers],[interest]])=1,-IPMT(InterestRate/12,1,DurationOfLoan-ROWS($C$4:C103)+1,Amortization[[#This Row],[opening
balance]]),IFERROR(-IPMT(InterestRate/12,1,Amortization[[#This Row],['#
remaining]],D104),0)),0)</f>
        <v>1932.7567202535583</v>
      </c>
      <c r="F103" s="235">
        <f ca="1">IFERROR(IF(AND(ValuesEntered,Amortization[[#This Row],[payment
date]]&lt;&gt;""),-PPMT(InterestRate/12,1,DurationOfLoan-ROWS($C$4:C103)+1,Amortization[[#This Row],[opening
balance]]),""),0)</f>
        <v>2109.3685820939309</v>
      </c>
      <c r="G103" s="235">
        <f ca="1">IF(Amortization[[#This Row],[payment
date]]="",0,PropertyTaxAmount)</f>
        <v>375</v>
      </c>
      <c r="H103" s="235">
        <f ca="1">IF(Amortization[[#This Row],[payment
date]]="",0,Amortization[[#This Row],[interest]]+Amortization[[#This Row],[principal]]+Amortization[[#This Row],[property
tax]])</f>
        <v>4417.1253023474892</v>
      </c>
      <c r="I103" s="235">
        <f ca="1">IF(Amortization[[#This Row],[payment
date]]="",0,Amortization[[#This Row],[opening
balance]]-Amortization[[#This Row],[principal]])</f>
        <v>773102.68810142332</v>
      </c>
      <c r="J103" s="247">
        <f ca="1">IF(Amortization[[#This Row],[closing
balance]]&gt;0,LastRow-ROW(),0)</f>
        <v>260</v>
      </c>
    </row>
    <row r="104" spans="2:10" ht="15" customHeight="1" x14ac:dyDescent="0.25">
      <c r="B104" s="249">
        <f>ROWS($B$4:B104)</f>
        <v>101</v>
      </c>
      <c r="C104" s="248">
        <f ca="1">IF(ValuesEntered,IF(Amortization[[#This Row],['#]]&lt;=DurationOfLoan,IF(ROW()-ROW(Amortization[[#Headers],[payment
date]])=1,LoanStart,IF(I103&gt;0,EDATE(C103,1),"")),""),"")</f>
        <v>48101</v>
      </c>
      <c r="D104" s="235">
        <f ca="1">IF(ROW()-ROW(Amortization[[#Headers],[opening
balance]])=1,LoanAmount,IF(Amortization[[#This Row],[payment
date]]="",0,INDEX(Amortization[], ROW()-4,8)))</f>
        <v>773102.68810142332</v>
      </c>
      <c r="E104" s="235">
        <f ca="1">IF(ValuesEntered,IF(ROW()-ROW(Amortization[[#Headers],[interest]])=1,-IPMT(InterestRate/12,1,DurationOfLoan-ROWS($C$4:C104)+1,Amortization[[#This Row],[opening
balance]]),IFERROR(-IPMT(InterestRate/12,1,Amortization[[#This Row],['#
remaining]],D105),0)),0)</f>
        <v>1927.4701152446855</v>
      </c>
      <c r="F104" s="235">
        <f ca="1">IFERROR(IF(AND(ValuesEntered,Amortization[[#This Row],[payment
date]]&lt;&gt;""),-PPMT(InterestRate/12,1,DurationOfLoan-ROWS($C$4:C104)+1,Amortization[[#This Row],[opening
balance]]),""),0)</f>
        <v>2114.6420035491651</v>
      </c>
      <c r="G104" s="235">
        <f ca="1">IF(Amortization[[#This Row],[payment
date]]="",0,PropertyTaxAmount)</f>
        <v>375</v>
      </c>
      <c r="H104" s="235">
        <f ca="1">IF(Amortization[[#This Row],[payment
date]]="",0,Amortization[[#This Row],[interest]]+Amortization[[#This Row],[principal]]+Amortization[[#This Row],[property
tax]])</f>
        <v>4417.1121187938506</v>
      </c>
      <c r="I104" s="235">
        <f ca="1">IF(Amortization[[#This Row],[payment
date]]="",0,Amortization[[#This Row],[opening
balance]]-Amortization[[#This Row],[principal]])</f>
        <v>770988.04609787418</v>
      </c>
      <c r="J104" s="247">
        <f ca="1">IF(Amortization[[#This Row],[closing
balance]]&gt;0,LastRow-ROW(),0)</f>
        <v>259</v>
      </c>
    </row>
    <row r="105" spans="2:10" ht="15" customHeight="1" x14ac:dyDescent="0.25">
      <c r="B105" s="249">
        <f>ROWS($B$4:B105)</f>
        <v>102</v>
      </c>
      <c r="C105" s="248">
        <f ca="1">IF(ValuesEntered,IF(Amortization[[#This Row],['#]]&lt;=DurationOfLoan,IF(ROW()-ROW(Amortization[[#Headers],[payment
date]])=1,LoanStart,IF(I104&gt;0,EDATE(C104,1),"")),""),"")</f>
        <v>48131</v>
      </c>
      <c r="D105" s="235">
        <f ca="1">IF(ROW()-ROW(Amortization[[#Headers],[opening
balance]])=1,LoanAmount,IF(Amortization[[#This Row],[payment
date]]="",0,INDEX(Amortization[], ROW()-4,8)))</f>
        <v>770988.04609787418</v>
      </c>
      <c r="E105" s="235">
        <f ca="1">IF(ValuesEntered,IF(ROW()-ROW(Amortization[[#Headers],[interest]])=1,-IPMT(InterestRate/12,1,DurationOfLoan-ROWS($C$4:C105)+1,Amortization[[#This Row],[opening
balance]]),IFERROR(-IPMT(InterestRate/12,1,Amortization[[#This Row],['#
remaining]],D106),0)),0)</f>
        <v>1922.1702937232903</v>
      </c>
      <c r="F105" s="235">
        <f ca="1">IFERROR(IF(AND(ValuesEntered,Amortization[[#This Row],[payment
date]]&lt;&gt;""),-PPMT(InterestRate/12,1,DurationOfLoan-ROWS($C$4:C105)+1,Amortization[[#This Row],[opening
balance]]),""),0)</f>
        <v>2119.9286085580384</v>
      </c>
      <c r="G105" s="235">
        <f ca="1">IF(Amortization[[#This Row],[payment
date]]="",0,PropertyTaxAmount)</f>
        <v>375</v>
      </c>
      <c r="H105" s="235">
        <f ca="1">IF(Amortization[[#This Row],[payment
date]]="",0,Amortization[[#This Row],[interest]]+Amortization[[#This Row],[principal]]+Amortization[[#This Row],[property
tax]])</f>
        <v>4417.0989022813283</v>
      </c>
      <c r="I105" s="235">
        <f ca="1">IF(Amortization[[#This Row],[payment
date]]="",0,Amortization[[#This Row],[opening
balance]]-Amortization[[#This Row],[principal]])</f>
        <v>768868.11748931615</v>
      </c>
      <c r="J105" s="247">
        <f ca="1">IF(Amortization[[#This Row],[closing
balance]]&gt;0,LastRow-ROW(),0)</f>
        <v>258</v>
      </c>
    </row>
    <row r="106" spans="2:10" ht="15" customHeight="1" x14ac:dyDescent="0.25">
      <c r="B106" s="249">
        <f>ROWS($B$4:B106)</f>
        <v>103</v>
      </c>
      <c r="C106" s="248">
        <f ca="1">IF(ValuesEntered,IF(Amortization[[#This Row],['#]]&lt;=DurationOfLoan,IF(ROW()-ROW(Amortization[[#Headers],[payment
date]])=1,LoanStart,IF(I105&gt;0,EDATE(C105,1),"")),""),"")</f>
        <v>48162</v>
      </c>
      <c r="D106" s="235">
        <f ca="1">IF(ROW()-ROW(Amortization[[#Headers],[opening
balance]])=1,LoanAmount,IF(Amortization[[#This Row],[payment
date]]="",0,INDEX(Amortization[], ROW()-4,8)))</f>
        <v>768868.11748931615</v>
      </c>
      <c r="E106" s="235">
        <f ca="1">IF(ValuesEntered,IF(ROW()-ROW(Amortization[[#Headers],[interest]])=1,-IPMT(InterestRate/12,1,DurationOfLoan-ROWS($C$4:C106)+1,Amortization[[#This Row],[opening
balance]]),IFERROR(-IPMT(InterestRate/12,1,Amortization[[#This Row],['#
remaining]],D107),0)),0)</f>
        <v>1916.8572226480919</v>
      </c>
      <c r="F106" s="235">
        <f ca="1">IFERROR(IF(AND(ValuesEntered,Amortization[[#This Row],[payment
date]]&lt;&gt;""),-PPMT(InterestRate/12,1,DurationOfLoan-ROWS($C$4:C106)+1,Amortization[[#This Row],[opening
balance]]),""),0)</f>
        <v>2125.228430079434</v>
      </c>
      <c r="G106" s="235">
        <f ca="1">IF(Amortization[[#This Row],[payment
date]]="",0,PropertyTaxAmount)</f>
        <v>375</v>
      </c>
      <c r="H106" s="235">
        <f ca="1">IF(Amortization[[#This Row],[payment
date]]="",0,Amortization[[#This Row],[interest]]+Amortization[[#This Row],[principal]]+Amortization[[#This Row],[property
tax]])</f>
        <v>4417.0856527275264</v>
      </c>
      <c r="I106" s="235">
        <f ca="1">IF(Amortization[[#This Row],[payment
date]]="",0,Amortization[[#This Row],[opening
balance]]-Amortization[[#This Row],[principal]])</f>
        <v>766742.88905923674</v>
      </c>
      <c r="J106" s="247">
        <f ca="1">IF(Amortization[[#This Row],[closing
balance]]&gt;0,LastRow-ROW(),0)</f>
        <v>257</v>
      </c>
    </row>
    <row r="107" spans="2:10" ht="15" customHeight="1" x14ac:dyDescent="0.25">
      <c r="B107" s="249">
        <f>ROWS($B$4:B107)</f>
        <v>104</v>
      </c>
      <c r="C107" s="248">
        <f ca="1">IF(ValuesEntered,IF(Amortization[[#This Row],['#]]&lt;=DurationOfLoan,IF(ROW()-ROW(Amortization[[#Headers],[payment
date]])=1,LoanStart,IF(I106&gt;0,EDATE(C106,1),"")),""),"")</f>
        <v>48192</v>
      </c>
      <c r="D107" s="235">
        <f ca="1">IF(ROW()-ROW(Amortization[[#Headers],[opening
balance]])=1,LoanAmount,IF(Amortization[[#This Row],[payment
date]]="",0,INDEX(Amortization[], ROW()-4,8)))</f>
        <v>766742.88905923674</v>
      </c>
      <c r="E107" s="235">
        <f ca="1">IF(ValuesEntered,IF(ROW()-ROW(Amortization[[#Headers],[interest]])=1,-IPMT(InterestRate/12,1,DurationOfLoan-ROWS($C$4:C107)+1,Amortization[[#This Row],[opening
balance]]),IFERROR(-IPMT(InterestRate/12,1,Amortization[[#This Row],['#
remaining]],D108),0)),0)</f>
        <v>1911.5308688952052</v>
      </c>
      <c r="F107" s="235">
        <f ca="1">IFERROR(IF(AND(ValuesEntered,Amortization[[#This Row],[payment
date]]&lt;&gt;""),-PPMT(InterestRate/12,1,DurationOfLoan-ROWS($C$4:C107)+1,Amortization[[#This Row],[opening
balance]]),""),0)</f>
        <v>2130.5415011546324</v>
      </c>
      <c r="G107" s="235">
        <f ca="1">IF(Amortization[[#This Row],[payment
date]]="",0,PropertyTaxAmount)</f>
        <v>375</v>
      </c>
      <c r="H107" s="235">
        <f ca="1">IF(Amortization[[#This Row],[payment
date]]="",0,Amortization[[#This Row],[interest]]+Amortization[[#This Row],[principal]]+Amortization[[#This Row],[property
tax]])</f>
        <v>4417.0723700498374</v>
      </c>
      <c r="I107" s="235">
        <f ca="1">IF(Amortization[[#This Row],[payment
date]]="",0,Amortization[[#This Row],[opening
balance]]-Amortization[[#This Row],[principal]])</f>
        <v>764612.34755808208</v>
      </c>
      <c r="J107" s="247">
        <f ca="1">IF(Amortization[[#This Row],[closing
balance]]&gt;0,LastRow-ROW(),0)</f>
        <v>256</v>
      </c>
    </row>
    <row r="108" spans="2:10" ht="15" customHeight="1" x14ac:dyDescent="0.25">
      <c r="B108" s="249">
        <f>ROWS($B$4:B108)</f>
        <v>105</v>
      </c>
      <c r="C108" s="248">
        <f ca="1">IF(ValuesEntered,IF(Amortization[[#This Row],['#]]&lt;=DurationOfLoan,IF(ROW()-ROW(Amortization[[#Headers],[payment
date]])=1,LoanStart,IF(I107&gt;0,EDATE(C107,1),"")),""),"")</f>
        <v>48223</v>
      </c>
      <c r="D108" s="235">
        <f ca="1">IF(ROW()-ROW(Amortization[[#Headers],[opening
balance]])=1,LoanAmount,IF(Amortization[[#This Row],[payment
date]]="",0,INDEX(Amortization[], ROW()-4,8)))</f>
        <v>764612.34755808208</v>
      </c>
      <c r="E108" s="235">
        <f ca="1">IF(ValuesEntered,IF(ROW()-ROW(Amortization[[#Headers],[interest]])=1,-IPMT(InterestRate/12,1,DurationOfLoan-ROWS($C$4:C108)+1,Amortization[[#This Row],[opening
balance]]),IFERROR(-IPMT(InterestRate/12,1,Amortization[[#This Row],['#
remaining]],D109),0)),0)</f>
        <v>1906.1911992579364</v>
      </c>
      <c r="F108" s="235">
        <f ca="1">IFERROR(IF(AND(ValuesEntered,Amortization[[#This Row],[payment
date]]&lt;&gt;""),-PPMT(InterestRate/12,1,DurationOfLoan-ROWS($C$4:C108)+1,Amortization[[#This Row],[opening
balance]]),""),0)</f>
        <v>2135.8678549075184</v>
      </c>
      <c r="G108" s="235">
        <f ca="1">IF(Amortization[[#This Row],[payment
date]]="",0,PropertyTaxAmount)</f>
        <v>375</v>
      </c>
      <c r="H108" s="235">
        <f ca="1">IF(Amortization[[#This Row],[payment
date]]="",0,Amortization[[#This Row],[interest]]+Amortization[[#This Row],[principal]]+Amortization[[#This Row],[property
tax]])</f>
        <v>4417.0590541654547</v>
      </c>
      <c r="I108" s="235">
        <f ca="1">IF(Amortization[[#This Row],[payment
date]]="",0,Amortization[[#This Row],[opening
balance]]-Amortization[[#This Row],[principal]])</f>
        <v>762476.47970317455</v>
      </c>
      <c r="J108" s="247">
        <f ca="1">IF(Amortization[[#This Row],[closing
balance]]&gt;0,LastRow-ROW(),0)</f>
        <v>255</v>
      </c>
    </row>
    <row r="109" spans="2:10" ht="15" customHeight="1" x14ac:dyDescent="0.25">
      <c r="B109" s="249">
        <f>ROWS($B$4:B109)</f>
        <v>106</v>
      </c>
      <c r="C109" s="248">
        <f ca="1">IF(ValuesEntered,IF(Amortization[[#This Row],['#]]&lt;=DurationOfLoan,IF(ROW()-ROW(Amortization[[#Headers],[payment
date]])=1,LoanStart,IF(I108&gt;0,EDATE(C108,1),"")),""),"")</f>
        <v>48254</v>
      </c>
      <c r="D109" s="235">
        <f ca="1">IF(ROW()-ROW(Amortization[[#Headers],[opening
balance]])=1,LoanAmount,IF(Amortization[[#This Row],[payment
date]]="",0,INDEX(Amortization[], ROW()-4,8)))</f>
        <v>762476.47970317455</v>
      </c>
      <c r="E109" s="235">
        <f ca="1">IF(ValuesEntered,IF(ROW()-ROW(Amortization[[#Headers],[interest]])=1,-IPMT(InterestRate/12,1,DurationOfLoan-ROWS($C$4:C109)+1,Amortization[[#This Row],[opening
balance]]),IFERROR(-IPMT(InterestRate/12,1,Amortization[[#This Row],['#
remaining]],D110),0)),0)</f>
        <v>1900.8381804465744</v>
      </c>
      <c r="F109" s="235">
        <f ca="1">IFERROR(IF(AND(ValuesEntered,Amortization[[#This Row],[payment
date]]&lt;&gt;""),-PPMT(InterestRate/12,1,DurationOfLoan-ROWS($C$4:C109)+1,Amortization[[#This Row],[opening
balance]]),""),0)</f>
        <v>2141.2075245447872</v>
      </c>
      <c r="G109" s="235">
        <f ca="1">IF(Amortization[[#This Row],[payment
date]]="",0,PropertyTaxAmount)</f>
        <v>375</v>
      </c>
      <c r="H109" s="235">
        <f ca="1">IF(Amortization[[#This Row],[payment
date]]="",0,Amortization[[#This Row],[interest]]+Amortization[[#This Row],[principal]]+Amortization[[#This Row],[property
tax]])</f>
        <v>4417.0457049913621</v>
      </c>
      <c r="I109" s="235">
        <f ca="1">IF(Amortization[[#This Row],[payment
date]]="",0,Amortization[[#This Row],[opening
balance]]-Amortization[[#This Row],[principal]])</f>
        <v>760335.27217862976</v>
      </c>
      <c r="J109" s="247">
        <f ca="1">IF(Amortization[[#This Row],[closing
balance]]&gt;0,LastRow-ROW(),0)</f>
        <v>254</v>
      </c>
    </row>
    <row r="110" spans="2:10" ht="15" customHeight="1" x14ac:dyDescent="0.25">
      <c r="B110" s="249">
        <f>ROWS($B$4:B110)</f>
        <v>107</v>
      </c>
      <c r="C110" s="248">
        <f ca="1">IF(ValuesEntered,IF(Amortization[[#This Row],['#]]&lt;=DurationOfLoan,IF(ROW()-ROW(Amortization[[#Headers],[payment
date]])=1,LoanStart,IF(I109&gt;0,EDATE(C109,1),"")),""),"")</f>
        <v>48283</v>
      </c>
      <c r="D110" s="235">
        <f ca="1">IF(ROW()-ROW(Amortization[[#Headers],[opening
balance]])=1,LoanAmount,IF(Amortization[[#This Row],[payment
date]]="",0,INDEX(Amortization[], ROW()-4,8)))</f>
        <v>760335.27217862976</v>
      </c>
      <c r="E110" s="235">
        <f ca="1">IF(ValuesEntered,IF(ROW()-ROW(Amortization[[#Headers],[interest]])=1,-IPMT(InterestRate/12,1,DurationOfLoan-ROWS($C$4:C110)+1,Amortization[[#This Row],[opening
balance]]),IFERROR(-IPMT(InterestRate/12,1,Amortization[[#This Row],['#
remaining]],D111),0)),0)</f>
        <v>1895.4717790881841</v>
      </c>
      <c r="F110" s="235">
        <f ca="1">IFERROR(IF(AND(ValuesEntered,Amortization[[#This Row],[payment
date]]&lt;&gt;""),-PPMT(InterestRate/12,1,DurationOfLoan-ROWS($C$4:C110)+1,Amortization[[#This Row],[opening
balance]]),""),0)</f>
        <v>2146.5605433561495</v>
      </c>
      <c r="G110" s="235">
        <f ca="1">IF(Amortization[[#This Row],[payment
date]]="",0,PropertyTaxAmount)</f>
        <v>375</v>
      </c>
      <c r="H110" s="235">
        <f ca="1">IF(Amortization[[#This Row],[payment
date]]="",0,Amortization[[#This Row],[interest]]+Amortization[[#This Row],[principal]]+Amortization[[#This Row],[property
tax]])</f>
        <v>4417.0323224443337</v>
      </c>
      <c r="I110" s="235">
        <f ca="1">IF(Amortization[[#This Row],[payment
date]]="",0,Amortization[[#This Row],[opening
balance]]-Amortization[[#This Row],[principal]])</f>
        <v>758188.71163527365</v>
      </c>
      <c r="J110" s="247">
        <f ca="1">IF(Amortization[[#This Row],[closing
balance]]&gt;0,LastRow-ROW(),0)</f>
        <v>253</v>
      </c>
    </row>
    <row r="111" spans="2:10" ht="15" customHeight="1" x14ac:dyDescent="0.25">
      <c r="B111" s="249">
        <f>ROWS($B$4:B111)</f>
        <v>108</v>
      </c>
      <c r="C111" s="248">
        <f ca="1">IF(ValuesEntered,IF(Amortization[[#This Row],['#]]&lt;=DurationOfLoan,IF(ROW()-ROW(Amortization[[#Headers],[payment
date]])=1,LoanStart,IF(I110&gt;0,EDATE(C110,1),"")),""),"")</f>
        <v>48314</v>
      </c>
      <c r="D111" s="235">
        <f ca="1">IF(ROW()-ROW(Amortization[[#Headers],[opening
balance]])=1,LoanAmount,IF(Amortization[[#This Row],[payment
date]]="",0,INDEX(Amortization[], ROW()-4,8)))</f>
        <v>758188.71163527365</v>
      </c>
      <c r="E111" s="235">
        <f ca="1">IF(ValuesEntered,IF(ROW()-ROW(Amortization[[#Headers],[interest]])=1,-IPMT(InterestRate/12,1,DurationOfLoan-ROWS($C$4:C111)+1,Amortization[[#This Row],[opening
balance]]),IFERROR(-IPMT(InterestRate/12,1,Amortization[[#This Row],['#
remaining]],D112),0)),0)</f>
        <v>1890.0919617263978</v>
      </c>
      <c r="F111" s="235">
        <f ca="1">IFERROR(IF(AND(ValuesEntered,Amortization[[#This Row],[payment
date]]&lt;&gt;""),-PPMT(InterestRate/12,1,DurationOfLoan-ROWS($C$4:C111)+1,Amortization[[#This Row],[opening
balance]]),""),0)</f>
        <v>2151.9269447145389</v>
      </c>
      <c r="G111" s="235">
        <f ca="1">IF(Amortization[[#This Row],[payment
date]]="",0,PropertyTaxAmount)</f>
        <v>375</v>
      </c>
      <c r="H111" s="235">
        <f ca="1">IF(Amortization[[#This Row],[payment
date]]="",0,Amortization[[#This Row],[interest]]+Amortization[[#This Row],[principal]]+Amortization[[#This Row],[property
tax]])</f>
        <v>4417.0189064409369</v>
      </c>
      <c r="I111" s="235">
        <f ca="1">IF(Amortization[[#This Row],[payment
date]]="",0,Amortization[[#This Row],[opening
balance]]-Amortization[[#This Row],[principal]])</f>
        <v>756036.78469055914</v>
      </c>
      <c r="J111" s="247">
        <f ca="1">IF(Amortization[[#This Row],[closing
balance]]&gt;0,LastRow-ROW(),0)</f>
        <v>252</v>
      </c>
    </row>
    <row r="112" spans="2:10" ht="15" customHeight="1" x14ac:dyDescent="0.25">
      <c r="B112" s="249">
        <f>ROWS($B$4:B112)</f>
        <v>109</v>
      </c>
      <c r="C112" s="248">
        <f ca="1">IF(ValuesEntered,IF(Amortization[[#This Row],['#]]&lt;=DurationOfLoan,IF(ROW()-ROW(Amortization[[#Headers],[payment
date]])=1,LoanStart,IF(I111&gt;0,EDATE(C111,1),"")),""),"")</f>
        <v>48344</v>
      </c>
      <c r="D112" s="235">
        <f ca="1">IF(ROW()-ROW(Amortization[[#Headers],[opening
balance]])=1,LoanAmount,IF(Amortization[[#This Row],[payment
date]]="",0,INDEX(Amortization[], ROW()-4,8)))</f>
        <v>756036.78469055914</v>
      </c>
      <c r="E112" s="235">
        <f ca="1">IF(ValuesEntered,IF(ROW()-ROW(Amortization[[#Headers],[interest]])=1,-IPMT(InterestRate/12,1,DurationOfLoan-ROWS($C$4:C112)+1,Amortization[[#This Row],[opening
balance]]),IFERROR(-IPMT(InterestRate/12,1,Amortization[[#This Row],['#
remaining]],D113),0)),0)</f>
        <v>1884.698694821207</v>
      </c>
      <c r="F112" s="235">
        <f ca="1">IFERROR(IF(AND(ValuesEntered,Amortization[[#This Row],[payment
date]]&lt;&gt;""),-PPMT(InterestRate/12,1,DurationOfLoan-ROWS($C$4:C112)+1,Amortization[[#This Row],[opening
balance]]),""),0)</f>
        <v>2157.3067620763268</v>
      </c>
      <c r="G112" s="235">
        <f ca="1">IF(Amortization[[#This Row],[payment
date]]="",0,PropertyTaxAmount)</f>
        <v>375</v>
      </c>
      <c r="H112" s="235">
        <f ca="1">IF(Amortization[[#This Row],[payment
date]]="",0,Amortization[[#This Row],[interest]]+Amortization[[#This Row],[principal]]+Amortization[[#This Row],[property
tax]])</f>
        <v>4417.0054568975338</v>
      </c>
      <c r="I112" s="235">
        <f ca="1">IF(Amortization[[#This Row],[payment
date]]="",0,Amortization[[#This Row],[opening
balance]]-Amortization[[#This Row],[principal]])</f>
        <v>753879.47792848281</v>
      </c>
      <c r="J112" s="247">
        <f ca="1">IF(Amortization[[#This Row],[closing
balance]]&gt;0,LastRow-ROW(),0)</f>
        <v>251</v>
      </c>
    </row>
    <row r="113" spans="2:10" ht="15" customHeight="1" x14ac:dyDescent="0.25">
      <c r="B113" s="249">
        <f>ROWS($B$4:B113)</f>
        <v>110</v>
      </c>
      <c r="C113" s="248">
        <f ca="1">IF(ValuesEntered,IF(Amortization[[#This Row],['#]]&lt;=DurationOfLoan,IF(ROW()-ROW(Amortization[[#Headers],[payment
date]])=1,LoanStart,IF(I112&gt;0,EDATE(C112,1),"")),""),"")</f>
        <v>48375</v>
      </c>
      <c r="D113" s="235">
        <f ca="1">IF(ROW()-ROW(Amortization[[#Headers],[opening
balance]])=1,LoanAmount,IF(Amortization[[#This Row],[payment
date]]="",0,INDEX(Amortization[], ROW()-4,8)))</f>
        <v>753879.47792848281</v>
      </c>
      <c r="E113" s="235">
        <f ca="1">IF(ValuesEntered,IF(ROW()-ROW(Amortization[[#Headers],[interest]])=1,-IPMT(InterestRate/12,1,DurationOfLoan-ROWS($C$4:C113)+1,Amortization[[#This Row],[opening
balance]]),IFERROR(-IPMT(InterestRate/12,1,Amortization[[#This Row],['#
remaining]],D114),0)),0)</f>
        <v>1879.2919447487532</v>
      </c>
      <c r="F113" s="235">
        <f ca="1">IFERROR(IF(AND(ValuesEntered,Amortization[[#This Row],[payment
date]]&lt;&gt;""),-PPMT(InterestRate/12,1,DurationOfLoan-ROWS($C$4:C113)+1,Amortization[[#This Row],[opening
balance]]),""),0)</f>
        <v>2162.7000289815169</v>
      </c>
      <c r="G113" s="235">
        <f ca="1">IF(Amortization[[#This Row],[payment
date]]="",0,PropertyTaxAmount)</f>
        <v>375</v>
      </c>
      <c r="H113" s="235">
        <f ca="1">IF(Amortization[[#This Row],[payment
date]]="",0,Amortization[[#This Row],[interest]]+Amortization[[#This Row],[principal]]+Amortization[[#This Row],[property
tax]])</f>
        <v>4416.9919737302698</v>
      </c>
      <c r="I113" s="235">
        <f ca="1">IF(Amortization[[#This Row],[payment
date]]="",0,Amortization[[#This Row],[opening
balance]]-Amortization[[#This Row],[principal]])</f>
        <v>751716.77789950126</v>
      </c>
      <c r="J113" s="247">
        <f ca="1">IF(Amortization[[#This Row],[closing
balance]]&gt;0,LastRow-ROW(),0)</f>
        <v>250</v>
      </c>
    </row>
    <row r="114" spans="2:10" ht="15" customHeight="1" x14ac:dyDescent="0.25">
      <c r="B114" s="249">
        <f>ROWS($B$4:B114)</f>
        <v>111</v>
      </c>
      <c r="C114" s="248">
        <f ca="1">IF(ValuesEntered,IF(Amortization[[#This Row],['#]]&lt;=DurationOfLoan,IF(ROW()-ROW(Amortization[[#Headers],[payment
date]])=1,LoanStart,IF(I113&gt;0,EDATE(C113,1),"")),""),"")</f>
        <v>48405</v>
      </c>
      <c r="D114" s="235">
        <f ca="1">IF(ROW()-ROW(Amortization[[#Headers],[opening
balance]])=1,LoanAmount,IF(Amortization[[#This Row],[payment
date]]="",0,INDEX(Amortization[], ROW()-4,8)))</f>
        <v>751716.77789950126</v>
      </c>
      <c r="E114" s="235">
        <f ca="1">IF(ValuesEntered,IF(ROW()-ROW(Amortization[[#Headers],[interest]])=1,-IPMT(InterestRate/12,1,DurationOfLoan-ROWS($C$4:C114)+1,Amortization[[#This Row],[opening
balance]]),IFERROR(-IPMT(InterestRate/12,1,Amortization[[#This Row],['#
remaining]],D115),0)),0)</f>
        <v>1873.8716778011185</v>
      </c>
      <c r="F114" s="235">
        <f ca="1">IFERROR(IF(AND(ValuesEntered,Amortization[[#This Row],[payment
date]]&lt;&gt;""),-PPMT(InterestRate/12,1,DurationOfLoan-ROWS($C$4:C114)+1,Amortization[[#This Row],[opening
balance]]),""),0)</f>
        <v>2168.106779053971</v>
      </c>
      <c r="G114" s="235">
        <f ca="1">IF(Amortization[[#This Row],[payment
date]]="",0,PropertyTaxAmount)</f>
        <v>375</v>
      </c>
      <c r="H114" s="235">
        <f ca="1">IF(Amortization[[#This Row],[payment
date]]="",0,Amortization[[#This Row],[interest]]+Amortization[[#This Row],[principal]]+Amortization[[#This Row],[property
tax]])</f>
        <v>4416.9784568550895</v>
      </c>
      <c r="I114" s="235">
        <f ca="1">IF(Amortization[[#This Row],[payment
date]]="",0,Amortization[[#This Row],[opening
balance]]-Amortization[[#This Row],[principal]])</f>
        <v>749548.67112044734</v>
      </c>
      <c r="J114" s="247">
        <f ca="1">IF(Amortization[[#This Row],[closing
balance]]&gt;0,LastRow-ROW(),0)</f>
        <v>249</v>
      </c>
    </row>
    <row r="115" spans="2:10" ht="15" customHeight="1" x14ac:dyDescent="0.25">
      <c r="B115" s="249">
        <f>ROWS($B$4:B115)</f>
        <v>112</v>
      </c>
      <c r="C115" s="248">
        <f ca="1">IF(ValuesEntered,IF(Amortization[[#This Row],['#]]&lt;=DurationOfLoan,IF(ROW()-ROW(Amortization[[#Headers],[payment
date]])=1,LoanStart,IF(I114&gt;0,EDATE(C114,1),"")),""),"")</f>
        <v>48436</v>
      </c>
      <c r="D115" s="235">
        <f ca="1">IF(ROW()-ROW(Amortization[[#Headers],[opening
balance]])=1,LoanAmount,IF(Amortization[[#This Row],[payment
date]]="",0,INDEX(Amortization[], ROW()-4,8)))</f>
        <v>749548.67112044734</v>
      </c>
      <c r="E115" s="235">
        <f ca="1">IF(ValuesEntered,IF(ROW()-ROW(Amortization[[#Headers],[interest]])=1,-IPMT(InterestRate/12,1,DurationOfLoan-ROWS($C$4:C115)+1,Amortization[[#This Row],[opening
balance]]),IFERROR(-IPMT(InterestRate/12,1,Amortization[[#This Row],['#
remaining]],D116),0)),0)</f>
        <v>1868.4378601861142</v>
      </c>
      <c r="F115" s="235">
        <f ca="1">IFERROR(IF(AND(ValuesEntered,Amortization[[#This Row],[payment
date]]&lt;&gt;""),-PPMT(InterestRate/12,1,DurationOfLoan-ROWS($C$4:C115)+1,Amortization[[#This Row],[opening
balance]]),""),0)</f>
        <v>2173.5270460016054</v>
      </c>
      <c r="G115" s="235">
        <f ca="1">IF(Amortization[[#This Row],[payment
date]]="",0,PropertyTaxAmount)</f>
        <v>375</v>
      </c>
      <c r="H115" s="235">
        <f ca="1">IF(Amortization[[#This Row],[payment
date]]="",0,Amortization[[#This Row],[interest]]+Amortization[[#This Row],[principal]]+Amortization[[#This Row],[property
tax]])</f>
        <v>4416.9649061877199</v>
      </c>
      <c r="I115" s="235">
        <f ca="1">IF(Amortization[[#This Row],[payment
date]]="",0,Amortization[[#This Row],[opening
balance]]-Amortization[[#This Row],[principal]])</f>
        <v>747375.14407444571</v>
      </c>
      <c r="J115" s="247">
        <f ca="1">IF(Amortization[[#This Row],[closing
balance]]&gt;0,LastRow-ROW(),0)</f>
        <v>248</v>
      </c>
    </row>
    <row r="116" spans="2:10" ht="15" customHeight="1" x14ac:dyDescent="0.25">
      <c r="B116" s="249">
        <f>ROWS($B$4:B116)</f>
        <v>113</v>
      </c>
      <c r="C116" s="248">
        <f ca="1">IF(ValuesEntered,IF(Amortization[[#This Row],['#]]&lt;=DurationOfLoan,IF(ROW()-ROW(Amortization[[#Headers],[payment
date]])=1,LoanStart,IF(I115&gt;0,EDATE(C115,1),"")),""),"")</f>
        <v>48467</v>
      </c>
      <c r="D116" s="235">
        <f ca="1">IF(ROW()-ROW(Amortization[[#Headers],[opening
balance]])=1,LoanAmount,IF(Amortization[[#This Row],[payment
date]]="",0,INDEX(Amortization[], ROW()-4,8)))</f>
        <v>747375.14407444571</v>
      </c>
      <c r="E116" s="235">
        <f ca="1">IF(ValuesEntered,IF(ROW()-ROW(Amortization[[#Headers],[interest]])=1,-IPMT(InterestRate/12,1,DurationOfLoan-ROWS($C$4:C116)+1,Amortization[[#This Row],[opening
balance]]),IFERROR(-IPMT(InterestRate/12,1,Amortization[[#This Row],['#
remaining]],D117),0)),0)</f>
        <v>1862.9904580270727</v>
      </c>
      <c r="F116" s="235">
        <f ca="1">IFERROR(IF(AND(ValuesEntered,Amortization[[#This Row],[payment
date]]&lt;&gt;""),-PPMT(InterestRate/12,1,DurationOfLoan-ROWS($C$4:C116)+1,Amortization[[#This Row],[opening
balance]]),""),0)</f>
        <v>2178.960863616609</v>
      </c>
      <c r="G116" s="235">
        <f ca="1">IF(Amortization[[#This Row],[payment
date]]="",0,PropertyTaxAmount)</f>
        <v>375</v>
      </c>
      <c r="H116" s="235">
        <f ca="1">IF(Amortization[[#This Row],[payment
date]]="",0,Amortization[[#This Row],[interest]]+Amortization[[#This Row],[principal]]+Amortization[[#This Row],[property
tax]])</f>
        <v>4416.9513216436817</v>
      </c>
      <c r="I116" s="235">
        <f ca="1">IF(Amortization[[#This Row],[payment
date]]="",0,Amortization[[#This Row],[opening
balance]]-Amortization[[#This Row],[principal]])</f>
        <v>745196.18321082904</v>
      </c>
      <c r="J116" s="247">
        <f ca="1">IF(Amortization[[#This Row],[closing
balance]]&gt;0,LastRow-ROW(),0)</f>
        <v>247</v>
      </c>
    </row>
    <row r="117" spans="2:10" ht="15" customHeight="1" x14ac:dyDescent="0.25">
      <c r="B117" s="249">
        <f>ROWS($B$4:B117)</f>
        <v>114</v>
      </c>
      <c r="C117" s="248">
        <f ca="1">IF(ValuesEntered,IF(Amortization[[#This Row],['#]]&lt;=DurationOfLoan,IF(ROW()-ROW(Amortization[[#Headers],[payment
date]])=1,LoanStart,IF(I116&gt;0,EDATE(C116,1),"")),""),"")</f>
        <v>48497</v>
      </c>
      <c r="D117" s="235">
        <f ca="1">IF(ROW()-ROW(Amortization[[#Headers],[opening
balance]])=1,LoanAmount,IF(Amortization[[#This Row],[payment
date]]="",0,INDEX(Amortization[], ROW()-4,8)))</f>
        <v>745196.18321082904</v>
      </c>
      <c r="E117" s="235">
        <f ca="1">IF(ValuesEntered,IF(ROW()-ROW(Amortization[[#Headers],[interest]])=1,-IPMT(InterestRate/12,1,DurationOfLoan-ROWS($C$4:C117)+1,Amortization[[#This Row],[opening
balance]]),IFERROR(-IPMT(InterestRate/12,1,Amortization[[#This Row],['#
remaining]],D118),0)),0)</f>
        <v>1857.5294373626334</v>
      </c>
      <c r="F117" s="235">
        <f ca="1">IFERROR(IF(AND(ValuesEntered,Amortization[[#This Row],[payment
date]]&lt;&gt;""),-PPMT(InterestRate/12,1,DurationOfLoan-ROWS($C$4:C117)+1,Amortization[[#This Row],[opening
balance]]),""),0)</f>
        <v>2184.4082657756508</v>
      </c>
      <c r="G117" s="235">
        <f ca="1">IF(Amortization[[#This Row],[payment
date]]="",0,PropertyTaxAmount)</f>
        <v>375</v>
      </c>
      <c r="H117" s="235">
        <f ca="1">IF(Amortization[[#This Row],[payment
date]]="",0,Amortization[[#This Row],[interest]]+Amortization[[#This Row],[principal]]+Amortization[[#This Row],[property
tax]])</f>
        <v>4416.9377031382846</v>
      </c>
      <c r="I117" s="235">
        <f ca="1">IF(Amortization[[#This Row],[payment
date]]="",0,Amortization[[#This Row],[opening
balance]]-Amortization[[#This Row],[principal]])</f>
        <v>743011.77494505339</v>
      </c>
      <c r="J117" s="247">
        <f ca="1">IF(Amortization[[#This Row],[closing
balance]]&gt;0,LastRow-ROW(),0)</f>
        <v>246</v>
      </c>
    </row>
    <row r="118" spans="2:10" ht="15" customHeight="1" x14ac:dyDescent="0.25">
      <c r="B118" s="249">
        <f>ROWS($B$4:B118)</f>
        <v>115</v>
      </c>
      <c r="C118" s="248">
        <f ca="1">IF(ValuesEntered,IF(Amortization[[#This Row],['#]]&lt;=DurationOfLoan,IF(ROW()-ROW(Amortization[[#Headers],[payment
date]])=1,LoanStart,IF(I117&gt;0,EDATE(C117,1),"")),""),"")</f>
        <v>48528</v>
      </c>
      <c r="D118" s="235">
        <f ca="1">IF(ROW()-ROW(Amortization[[#Headers],[opening
balance]])=1,LoanAmount,IF(Amortization[[#This Row],[payment
date]]="",0,INDEX(Amortization[], ROW()-4,8)))</f>
        <v>743011.77494505339</v>
      </c>
      <c r="E118" s="235">
        <f ca="1">IF(ValuesEntered,IF(ROW()-ROW(Amortization[[#Headers],[interest]])=1,-IPMT(InterestRate/12,1,DurationOfLoan-ROWS($C$4:C118)+1,Amortization[[#This Row],[opening
balance]]),IFERROR(-IPMT(InterestRate/12,1,Amortization[[#This Row],['#
remaining]],D119),0)),0)</f>
        <v>1852.0547641465332</v>
      </c>
      <c r="F118" s="235">
        <f ca="1">IFERROR(IF(AND(ValuesEntered,Amortization[[#This Row],[payment
date]]&lt;&gt;""),-PPMT(InterestRate/12,1,DurationOfLoan-ROWS($C$4:C118)+1,Amortization[[#This Row],[opening
balance]]),""),0)</f>
        <v>2189.8692864400905</v>
      </c>
      <c r="G118" s="235">
        <f ca="1">IF(Amortization[[#This Row],[payment
date]]="",0,PropertyTaxAmount)</f>
        <v>375</v>
      </c>
      <c r="H118" s="235">
        <f ca="1">IF(Amortization[[#This Row],[payment
date]]="",0,Amortization[[#This Row],[interest]]+Amortization[[#This Row],[principal]]+Amortization[[#This Row],[property
tax]])</f>
        <v>4416.9240505866237</v>
      </c>
      <c r="I118" s="235">
        <f ca="1">IF(Amortization[[#This Row],[payment
date]]="",0,Amortization[[#This Row],[opening
balance]]-Amortization[[#This Row],[principal]])</f>
        <v>740821.90565861331</v>
      </c>
      <c r="J118" s="247">
        <f ca="1">IF(Amortization[[#This Row],[closing
balance]]&gt;0,LastRow-ROW(),0)</f>
        <v>245</v>
      </c>
    </row>
    <row r="119" spans="2:10" ht="15" customHeight="1" x14ac:dyDescent="0.25">
      <c r="B119" s="249">
        <f>ROWS($B$4:B119)</f>
        <v>116</v>
      </c>
      <c r="C119" s="248">
        <f ca="1">IF(ValuesEntered,IF(Amortization[[#This Row],['#]]&lt;=DurationOfLoan,IF(ROW()-ROW(Amortization[[#Headers],[payment
date]])=1,LoanStart,IF(I118&gt;0,EDATE(C118,1),"")),""),"")</f>
        <v>48558</v>
      </c>
      <c r="D119" s="235">
        <f ca="1">IF(ROW()-ROW(Amortization[[#Headers],[opening
balance]])=1,LoanAmount,IF(Amortization[[#This Row],[payment
date]]="",0,INDEX(Amortization[], ROW()-4,8)))</f>
        <v>740821.90565861331</v>
      </c>
      <c r="E119" s="235">
        <f ca="1">IF(ValuesEntered,IF(ROW()-ROW(Amortization[[#Headers],[interest]])=1,-IPMT(InterestRate/12,1,DurationOfLoan-ROWS($C$4:C119)+1,Amortization[[#This Row],[opening
balance]]),IFERROR(-IPMT(InterestRate/12,1,Amortization[[#This Row],['#
remaining]],D120),0)),0)</f>
        <v>1846.5664042473927</v>
      </c>
      <c r="F119" s="235">
        <f ca="1">IFERROR(IF(AND(ValuesEntered,Amortization[[#This Row],[payment
date]]&lt;&gt;""),-PPMT(InterestRate/12,1,DurationOfLoan-ROWS($C$4:C119)+1,Amortization[[#This Row],[opening
balance]]),""),0)</f>
        <v>2195.3439596561907</v>
      </c>
      <c r="G119" s="235">
        <f ca="1">IF(Amortization[[#This Row],[payment
date]]="",0,PropertyTaxAmount)</f>
        <v>375</v>
      </c>
      <c r="H119" s="235">
        <f ca="1">IF(Amortization[[#This Row],[payment
date]]="",0,Amortization[[#This Row],[interest]]+Amortization[[#This Row],[principal]]+Amortization[[#This Row],[property
tax]])</f>
        <v>4416.9103639035839</v>
      </c>
      <c r="I119" s="235">
        <f ca="1">IF(Amortization[[#This Row],[payment
date]]="",0,Amortization[[#This Row],[opening
balance]]-Amortization[[#This Row],[principal]])</f>
        <v>738626.56169895711</v>
      </c>
      <c r="J119" s="247">
        <f ca="1">IF(Amortization[[#This Row],[closing
balance]]&gt;0,LastRow-ROW(),0)</f>
        <v>244</v>
      </c>
    </row>
    <row r="120" spans="2:10" ht="15" customHeight="1" x14ac:dyDescent="0.25">
      <c r="B120" s="249">
        <f>ROWS($B$4:B120)</f>
        <v>117</v>
      </c>
      <c r="C120" s="248">
        <f ca="1">IF(ValuesEntered,IF(Amortization[[#This Row],['#]]&lt;=DurationOfLoan,IF(ROW()-ROW(Amortization[[#Headers],[payment
date]])=1,LoanStart,IF(I119&gt;0,EDATE(C119,1),"")),""),"")</f>
        <v>48589</v>
      </c>
      <c r="D120" s="235">
        <f ca="1">IF(ROW()-ROW(Amortization[[#Headers],[opening
balance]])=1,LoanAmount,IF(Amortization[[#This Row],[payment
date]]="",0,INDEX(Amortization[], ROW()-4,8)))</f>
        <v>738626.56169895711</v>
      </c>
      <c r="E120" s="235">
        <f ca="1">IF(ValuesEntered,IF(ROW()-ROW(Amortization[[#Headers],[interest]])=1,-IPMT(InterestRate/12,1,DurationOfLoan-ROWS($C$4:C120)+1,Amortization[[#This Row],[opening
balance]]),IFERROR(-IPMT(InterestRate/12,1,Amortization[[#This Row],['#
remaining]],D121),0)),0)</f>
        <v>1841.0643234485044</v>
      </c>
      <c r="F120" s="235">
        <f ca="1">IFERROR(IF(AND(ValuesEntered,Amortization[[#This Row],[payment
date]]&lt;&gt;""),-PPMT(InterestRate/12,1,DurationOfLoan-ROWS($C$4:C120)+1,Amortization[[#This Row],[opening
balance]]),""),0)</f>
        <v>2200.8323195553307</v>
      </c>
      <c r="G120" s="235">
        <f ca="1">IF(Amortization[[#This Row],[payment
date]]="",0,PropertyTaxAmount)</f>
        <v>375</v>
      </c>
      <c r="H120" s="235">
        <f ca="1">IF(Amortization[[#This Row],[payment
date]]="",0,Amortization[[#This Row],[interest]]+Amortization[[#This Row],[principal]]+Amortization[[#This Row],[property
tax]])</f>
        <v>4416.8966430038354</v>
      </c>
      <c r="I120" s="235">
        <f ca="1">IF(Amortization[[#This Row],[payment
date]]="",0,Amortization[[#This Row],[opening
balance]]-Amortization[[#This Row],[principal]])</f>
        <v>736425.72937940178</v>
      </c>
      <c r="J120" s="247">
        <f ca="1">IF(Amortization[[#This Row],[closing
balance]]&gt;0,LastRow-ROW(),0)</f>
        <v>243</v>
      </c>
    </row>
    <row r="121" spans="2:10" ht="15" customHeight="1" x14ac:dyDescent="0.25">
      <c r="B121" s="249">
        <f>ROWS($B$4:B121)</f>
        <v>118</v>
      </c>
      <c r="C121" s="248">
        <f ca="1">IF(ValuesEntered,IF(Amortization[[#This Row],['#]]&lt;=DurationOfLoan,IF(ROW()-ROW(Amortization[[#Headers],[payment
date]])=1,LoanStart,IF(I120&gt;0,EDATE(C120,1),"")),""),"")</f>
        <v>48620</v>
      </c>
      <c r="D121" s="235">
        <f ca="1">IF(ROW()-ROW(Amortization[[#Headers],[opening
balance]])=1,LoanAmount,IF(Amortization[[#This Row],[payment
date]]="",0,INDEX(Amortization[], ROW()-4,8)))</f>
        <v>736425.72937940178</v>
      </c>
      <c r="E121" s="235">
        <f ca="1">IF(ValuesEntered,IF(ROW()-ROW(Amortization[[#Headers],[interest]])=1,-IPMT(InterestRate/12,1,DurationOfLoan-ROWS($C$4:C121)+1,Amortization[[#This Row],[opening
balance]]),IFERROR(-IPMT(InterestRate/12,1,Amortization[[#This Row],['#
remaining]],D122),0)),0)</f>
        <v>1835.548487447619</v>
      </c>
      <c r="F121" s="235">
        <f ca="1">IFERROR(IF(AND(ValuesEntered,Amortization[[#This Row],[payment
date]]&lt;&gt;""),-PPMT(InterestRate/12,1,DurationOfLoan-ROWS($C$4:C121)+1,Amortization[[#This Row],[opening
balance]]),""),0)</f>
        <v>2206.3344003542193</v>
      </c>
      <c r="G121" s="235">
        <f ca="1">IF(Amortization[[#This Row],[payment
date]]="",0,PropertyTaxAmount)</f>
        <v>375</v>
      </c>
      <c r="H121" s="235">
        <f ca="1">IF(Amortization[[#This Row],[payment
date]]="",0,Amortization[[#This Row],[interest]]+Amortization[[#This Row],[principal]]+Amortization[[#This Row],[property
tax]])</f>
        <v>4416.8828878018385</v>
      </c>
      <c r="I121" s="235">
        <f ca="1">IF(Amortization[[#This Row],[payment
date]]="",0,Amortization[[#This Row],[opening
balance]]-Amortization[[#This Row],[principal]])</f>
        <v>734219.39497904759</v>
      </c>
      <c r="J121" s="247">
        <f ca="1">IF(Amortization[[#This Row],[closing
balance]]&gt;0,LastRow-ROW(),0)</f>
        <v>242</v>
      </c>
    </row>
    <row r="122" spans="2:10" ht="15" customHeight="1" x14ac:dyDescent="0.25">
      <c r="B122" s="249">
        <f>ROWS($B$4:B122)</f>
        <v>119</v>
      </c>
      <c r="C122" s="248">
        <f ca="1">IF(ValuesEntered,IF(Amortization[[#This Row],['#]]&lt;=DurationOfLoan,IF(ROW()-ROW(Amortization[[#Headers],[payment
date]])=1,LoanStart,IF(I121&gt;0,EDATE(C121,1),"")),""),"")</f>
        <v>48648</v>
      </c>
      <c r="D122" s="235">
        <f ca="1">IF(ROW()-ROW(Amortization[[#Headers],[opening
balance]])=1,LoanAmount,IF(Amortization[[#This Row],[payment
date]]="",0,INDEX(Amortization[], ROW()-4,8)))</f>
        <v>734219.39497904759</v>
      </c>
      <c r="E122" s="235">
        <f ca="1">IF(ValuesEntered,IF(ROW()-ROW(Amortization[[#Headers],[interest]])=1,-IPMT(InterestRate/12,1,DurationOfLoan-ROWS($C$4:C122)+1,Amortization[[#This Row],[opening
balance]]),IFERROR(-IPMT(InterestRate/12,1,Amortization[[#This Row],['#
remaining]],D123),0)),0)</f>
        <v>1830.0188618567313</v>
      </c>
      <c r="F122" s="235">
        <f ca="1">IFERROR(IF(AND(ValuesEntered,Amortization[[#This Row],[payment
date]]&lt;&gt;""),-PPMT(InterestRate/12,1,DurationOfLoan-ROWS($C$4:C122)+1,Amortization[[#This Row],[opening
balance]]),""),0)</f>
        <v>2211.8502363551042</v>
      </c>
      <c r="G122" s="235">
        <f ca="1">IF(Amortization[[#This Row],[payment
date]]="",0,PropertyTaxAmount)</f>
        <v>375</v>
      </c>
      <c r="H122" s="235">
        <f ca="1">IF(Amortization[[#This Row],[payment
date]]="",0,Amortization[[#This Row],[interest]]+Amortization[[#This Row],[principal]]+Amortization[[#This Row],[property
tax]])</f>
        <v>4416.8690982118351</v>
      </c>
      <c r="I122" s="235">
        <f ca="1">IF(Amortization[[#This Row],[payment
date]]="",0,Amortization[[#This Row],[opening
balance]]-Amortization[[#This Row],[principal]])</f>
        <v>732007.54474269249</v>
      </c>
      <c r="J122" s="247">
        <f ca="1">IF(Amortization[[#This Row],[closing
balance]]&gt;0,LastRow-ROW(),0)</f>
        <v>241</v>
      </c>
    </row>
    <row r="123" spans="2:10" ht="15" customHeight="1" x14ac:dyDescent="0.25">
      <c r="B123" s="249">
        <f>ROWS($B$4:B123)</f>
        <v>120</v>
      </c>
      <c r="C123" s="248">
        <f ca="1">IF(ValuesEntered,IF(Amortization[[#This Row],['#]]&lt;=DurationOfLoan,IF(ROW()-ROW(Amortization[[#Headers],[payment
date]])=1,LoanStart,IF(I122&gt;0,EDATE(C122,1),"")),""),"")</f>
        <v>48679</v>
      </c>
      <c r="D123" s="235">
        <f ca="1">IF(ROW()-ROW(Amortization[[#Headers],[opening
balance]])=1,LoanAmount,IF(Amortization[[#This Row],[payment
date]]="",0,INDEX(Amortization[], ROW()-4,8)))</f>
        <v>732007.54474269249</v>
      </c>
      <c r="E123" s="235">
        <f ca="1">IF(ValuesEntered,IF(ROW()-ROW(Amortization[[#Headers],[interest]])=1,-IPMT(InterestRate/12,1,DurationOfLoan-ROWS($C$4:C123)+1,Amortization[[#This Row],[opening
balance]]),IFERROR(-IPMT(InterestRate/12,1,Amortization[[#This Row],['#
remaining]],D124),0)),0)</f>
        <v>1824.4754122018662</v>
      </c>
      <c r="F123" s="235">
        <f ca="1">IFERROR(IF(AND(ValuesEntered,Amortization[[#This Row],[payment
date]]&lt;&gt;""),-PPMT(InterestRate/12,1,DurationOfLoan-ROWS($C$4:C123)+1,Amortization[[#This Row],[opening
balance]]),""),0)</f>
        <v>2217.3798619459922</v>
      </c>
      <c r="G123" s="235">
        <f ca="1">IF(Amortization[[#This Row],[payment
date]]="",0,PropertyTaxAmount)</f>
        <v>375</v>
      </c>
      <c r="H123" s="235">
        <f ca="1">IF(Amortization[[#This Row],[payment
date]]="",0,Amortization[[#This Row],[interest]]+Amortization[[#This Row],[principal]]+Amortization[[#This Row],[property
tax]])</f>
        <v>4416.8552741478579</v>
      </c>
      <c r="I123" s="235">
        <f ca="1">IF(Amortization[[#This Row],[payment
date]]="",0,Amortization[[#This Row],[opening
balance]]-Amortization[[#This Row],[principal]])</f>
        <v>729790.16488074651</v>
      </c>
      <c r="J123" s="247">
        <f ca="1">IF(Amortization[[#This Row],[closing
balance]]&gt;0,LastRow-ROW(),0)</f>
        <v>240</v>
      </c>
    </row>
    <row r="124" spans="2:10" ht="15" customHeight="1" x14ac:dyDescent="0.25">
      <c r="B124" s="249">
        <f>ROWS($B$4:B124)</f>
        <v>121</v>
      </c>
      <c r="C124" s="248">
        <f ca="1">IF(ValuesEntered,IF(Amortization[[#This Row],['#]]&lt;=DurationOfLoan,IF(ROW()-ROW(Amortization[[#Headers],[payment
date]])=1,LoanStart,IF(I123&gt;0,EDATE(C123,1),"")),""),"")</f>
        <v>48709</v>
      </c>
      <c r="D124" s="235">
        <f ca="1">IF(ROW()-ROW(Amortization[[#Headers],[opening
balance]])=1,LoanAmount,IF(Amortization[[#This Row],[payment
date]]="",0,INDEX(Amortization[], ROW()-4,8)))</f>
        <v>729790.16488074651</v>
      </c>
      <c r="E124" s="235">
        <f ca="1">IF(ValuesEntered,IF(ROW()-ROW(Amortization[[#Headers],[interest]])=1,-IPMT(InterestRate/12,1,DurationOfLoan-ROWS($C$4:C124)+1,Amortization[[#This Row],[opening
balance]]),IFERROR(-IPMT(InterestRate/12,1,Amortization[[#This Row],['#
remaining]],D125),0)),0)</f>
        <v>1818.9181039228642</v>
      </c>
      <c r="F124" s="235">
        <f ca="1">IFERROR(IF(AND(ValuesEntered,Amortization[[#This Row],[payment
date]]&lt;&gt;""),-PPMT(InterestRate/12,1,DurationOfLoan-ROWS($C$4:C124)+1,Amortization[[#This Row],[opening
balance]]),""),0)</f>
        <v>2222.9233116008581</v>
      </c>
      <c r="G124" s="235">
        <f ca="1">IF(Amortization[[#This Row],[payment
date]]="",0,PropertyTaxAmount)</f>
        <v>375</v>
      </c>
      <c r="H124" s="235">
        <f ca="1">IF(Amortization[[#This Row],[payment
date]]="",0,Amortization[[#This Row],[interest]]+Amortization[[#This Row],[principal]]+Amortization[[#This Row],[property
tax]])</f>
        <v>4416.8414155237224</v>
      </c>
      <c r="I124" s="235">
        <f ca="1">IF(Amortization[[#This Row],[payment
date]]="",0,Amortization[[#This Row],[opening
balance]]-Amortization[[#This Row],[principal]])</f>
        <v>727567.2415691457</v>
      </c>
      <c r="J124" s="247">
        <f ca="1">IF(Amortization[[#This Row],[closing
balance]]&gt;0,LastRow-ROW(),0)</f>
        <v>239</v>
      </c>
    </row>
    <row r="125" spans="2:10" ht="15" customHeight="1" x14ac:dyDescent="0.25">
      <c r="B125" s="249">
        <f>ROWS($B$4:B125)</f>
        <v>122</v>
      </c>
      <c r="C125" s="248">
        <f ca="1">IF(ValuesEntered,IF(Amortization[[#This Row],['#]]&lt;=DurationOfLoan,IF(ROW()-ROW(Amortization[[#Headers],[payment
date]])=1,LoanStart,IF(I124&gt;0,EDATE(C124,1),"")),""),"")</f>
        <v>48740</v>
      </c>
      <c r="D125" s="235">
        <f ca="1">IF(ROW()-ROW(Amortization[[#Headers],[opening
balance]])=1,LoanAmount,IF(Amortization[[#This Row],[payment
date]]="",0,INDEX(Amortization[], ROW()-4,8)))</f>
        <v>727567.2415691457</v>
      </c>
      <c r="E125" s="235">
        <f ca="1">IF(ValuesEntered,IF(ROW()-ROW(Amortization[[#Headers],[interest]])=1,-IPMT(InterestRate/12,1,DurationOfLoan-ROWS($C$4:C125)+1,Amortization[[#This Row],[opening
balance]]),IFERROR(-IPMT(InterestRate/12,1,Amortization[[#This Row],['#
remaining]],D126),0)),0)</f>
        <v>1813.3469023731645</v>
      </c>
      <c r="F125" s="235">
        <f ca="1">IFERROR(IF(AND(ValuesEntered,Amortization[[#This Row],[payment
date]]&lt;&gt;""),-PPMT(InterestRate/12,1,DurationOfLoan-ROWS($C$4:C125)+1,Amortization[[#This Row],[opening
balance]]),""),0)</f>
        <v>2228.4806198798606</v>
      </c>
      <c r="G125" s="235">
        <f ca="1">IF(Amortization[[#This Row],[payment
date]]="",0,PropertyTaxAmount)</f>
        <v>375</v>
      </c>
      <c r="H125" s="235">
        <f ca="1">IF(Amortization[[#This Row],[payment
date]]="",0,Amortization[[#This Row],[interest]]+Amortization[[#This Row],[principal]]+Amortization[[#This Row],[property
tax]])</f>
        <v>4416.8275222530247</v>
      </c>
      <c r="I125" s="235">
        <f ca="1">IF(Amortization[[#This Row],[payment
date]]="",0,Amortization[[#This Row],[opening
balance]]-Amortization[[#This Row],[principal]])</f>
        <v>725338.76094926579</v>
      </c>
      <c r="J125" s="247">
        <f ca="1">IF(Amortization[[#This Row],[closing
balance]]&gt;0,LastRow-ROW(),0)</f>
        <v>238</v>
      </c>
    </row>
    <row r="126" spans="2:10" ht="15" customHeight="1" x14ac:dyDescent="0.25">
      <c r="B126" s="249">
        <f>ROWS($B$4:B126)</f>
        <v>123</v>
      </c>
      <c r="C126" s="248">
        <f ca="1">IF(ValuesEntered,IF(Amortization[[#This Row],['#]]&lt;=DurationOfLoan,IF(ROW()-ROW(Amortization[[#Headers],[payment
date]])=1,LoanStart,IF(I125&gt;0,EDATE(C125,1),"")),""),"")</f>
        <v>48770</v>
      </c>
      <c r="D126" s="235">
        <f ca="1">IF(ROW()-ROW(Amortization[[#Headers],[opening
balance]])=1,LoanAmount,IF(Amortization[[#This Row],[payment
date]]="",0,INDEX(Amortization[], ROW()-4,8)))</f>
        <v>725338.76094926579</v>
      </c>
      <c r="E126" s="235">
        <f ca="1">IF(ValuesEntered,IF(ROW()-ROW(Amortization[[#Headers],[interest]])=1,-IPMT(InterestRate/12,1,DurationOfLoan-ROWS($C$4:C126)+1,Amortization[[#This Row],[opening
balance]]),IFERROR(-IPMT(InterestRate/12,1,Amortization[[#This Row],['#
remaining]],D127),0)),0)</f>
        <v>1807.7617728195908</v>
      </c>
      <c r="F126" s="235">
        <f ca="1">IFERROR(IF(AND(ValuesEntered,Amortization[[#This Row],[payment
date]]&lt;&gt;""),-PPMT(InterestRate/12,1,DurationOfLoan-ROWS($C$4:C126)+1,Amortization[[#This Row],[opening
balance]]),""),0)</f>
        <v>2234.0518214295594</v>
      </c>
      <c r="G126" s="235">
        <f ca="1">IF(Amortization[[#This Row],[payment
date]]="",0,PropertyTaxAmount)</f>
        <v>375</v>
      </c>
      <c r="H126" s="235">
        <f ca="1">IF(Amortization[[#This Row],[payment
date]]="",0,Amortization[[#This Row],[interest]]+Amortization[[#This Row],[principal]]+Amortization[[#This Row],[property
tax]])</f>
        <v>4416.8135942491499</v>
      </c>
      <c r="I126" s="235">
        <f ca="1">IF(Amortization[[#This Row],[payment
date]]="",0,Amortization[[#This Row],[opening
balance]]-Amortization[[#This Row],[principal]])</f>
        <v>723104.70912783628</v>
      </c>
      <c r="J126" s="247">
        <f ca="1">IF(Amortization[[#This Row],[closing
balance]]&gt;0,LastRow-ROW(),0)</f>
        <v>237</v>
      </c>
    </row>
    <row r="127" spans="2:10" ht="15" customHeight="1" x14ac:dyDescent="0.25">
      <c r="B127" s="249">
        <f>ROWS($B$4:B127)</f>
        <v>124</v>
      </c>
      <c r="C127" s="248">
        <f ca="1">IF(ValuesEntered,IF(Amortization[[#This Row],['#]]&lt;=DurationOfLoan,IF(ROW()-ROW(Amortization[[#Headers],[payment
date]])=1,LoanStart,IF(I126&gt;0,EDATE(C126,1),"")),""),"")</f>
        <v>48801</v>
      </c>
      <c r="D127" s="235">
        <f ca="1">IF(ROW()-ROW(Amortization[[#Headers],[opening
balance]])=1,LoanAmount,IF(Amortization[[#This Row],[payment
date]]="",0,INDEX(Amortization[], ROW()-4,8)))</f>
        <v>723104.70912783628</v>
      </c>
      <c r="E127" s="235">
        <f ca="1">IF(ValuesEntered,IF(ROW()-ROW(Amortization[[#Headers],[interest]])=1,-IPMT(InterestRate/12,1,DurationOfLoan-ROWS($C$4:C127)+1,Amortization[[#This Row],[opening
balance]]),IFERROR(-IPMT(InterestRate/12,1,Amortization[[#This Row],['#
remaining]],D128),0)),0)</f>
        <v>1802.162680442133</v>
      </c>
      <c r="F127" s="235">
        <f ca="1">IFERROR(IF(AND(ValuesEntered,Amortization[[#This Row],[payment
date]]&lt;&gt;""),-PPMT(InterestRate/12,1,DurationOfLoan-ROWS($C$4:C127)+1,Amortization[[#This Row],[opening
balance]]),""),0)</f>
        <v>2239.6369509831334</v>
      </c>
      <c r="G127" s="235">
        <f ca="1">IF(Amortization[[#This Row],[payment
date]]="",0,PropertyTaxAmount)</f>
        <v>375</v>
      </c>
      <c r="H127" s="235">
        <f ca="1">IF(Amortization[[#This Row],[payment
date]]="",0,Amortization[[#This Row],[interest]]+Amortization[[#This Row],[principal]]+Amortization[[#This Row],[property
tax]])</f>
        <v>4416.7996314252669</v>
      </c>
      <c r="I127" s="235">
        <f ca="1">IF(Amortization[[#This Row],[payment
date]]="",0,Amortization[[#This Row],[opening
balance]]-Amortization[[#This Row],[principal]])</f>
        <v>720865.07217685319</v>
      </c>
      <c r="J127" s="247">
        <f ca="1">IF(Amortization[[#This Row],[closing
balance]]&gt;0,LastRow-ROW(),0)</f>
        <v>236</v>
      </c>
    </row>
    <row r="128" spans="2:10" ht="15" customHeight="1" x14ac:dyDescent="0.25">
      <c r="B128" s="249">
        <f>ROWS($B$4:B128)</f>
        <v>125</v>
      </c>
      <c r="C128" s="248">
        <f ca="1">IF(ValuesEntered,IF(Amortization[[#This Row],['#]]&lt;=DurationOfLoan,IF(ROW()-ROW(Amortization[[#Headers],[payment
date]])=1,LoanStart,IF(I127&gt;0,EDATE(C127,1),"")),""),"")</f>
        <v>48832</v>
      </c>
      <c r="D128" s="235">
        <f ca="1">IF(ROW()-ROW(Amortization[[#Headers],[opening
balance]])=1,LoanAmount,IF(Amortization[[#This Row],[payment
date]]="",0,INDEX(Amortization[], ROW()-4,8)))</f>
        <v>720865.07217685319</v>
      </c>
      <c r="E128" s="235">
        <f ca="1">IF(ValuesEntered,IF(ROW()-ROW(Amortization[[#Headers],[interest]])=1,-IPMT(InterestRate/12,1,DurationOfLoan-ROWS($C$4:C128)+1,Amortization[[#This Row],[opening
balance]]),IFERROR(-IPMT(InterestRate/12,1,Amortization[[#This Row],['#
remaining]],D129),0)),0)</f>
        <v>1796.5495903337317</v>
      </c>
      <c r="F128" s="235">
        <f ca="1">IFERROR(IF(AND(ValuesEntered,Amortization[[#This Row],[payment
date]]&lt;&gt;""),-PPMT(InterestRate/12,1,DurationOfLoan-ROWS($C$4:C128)+1,Amortization[[#This Row],[opening
balance]]),""),0)</f>
        <v>2245.2360433605918</v>
      </c>
      <c r="G128" s="235">
        <f ca="1">IF(Amortization[[#This Row],[payment
date]]="",0,PropertyTaxAmount)</f>
        <v>375</v>
      </c>
      <c r="H128" s="235">
        <f ca="1">IF(Amortization[[#This Row],[payment
date]]="",0,Amortization[[#This Row],[interest]]+Amortization[[#This Row],[principal]]+Amortization[[#This Row],[property
tax]])</f>
        <v>4416.7856336943232</v>
      </c>
      <c r="I128" s="235">
        <f ca="1">IF(Amortization[[#This Row],[payment
date]]="",0,Amortization[[#This Row],[opening
balance]]-Amortization[[#This Row],[principal]])</f>
        <v>718619.83613349264</v>
      </c>
      <c r="J128" s="247">
        <f ca="1">IF(Amortization[[#This Row],[closing
balance]]&gt;0,LastRow-ROW(),0)</f>
        <v>235</v>
      </c>
    </row>
    <row r="129" spans="2:10" ht="15" customHeight="1" x14ac:dyDescent="0.25">
      <c r="B129" s="249">
        <f>ROWS($B$4:B129)</f>
        <v>126</v>
      </c>
      <c r="C129" s="248">
        <f ca="1">IF(ValuesEntered,IF(Amortization[[#This Row],['#]]&lt;=DurationOfLoan,IF(ROW()-ROW(Amortization[[#Headers],[payment
date]])=1,LoanStart,IF(I128&gt;0,EDATE(C128,1),"")),""),"")</f>
        <v>48862</v>
      </c>
      <c r="D129" s="235">
        <f ca="1">IF(ROW()-ROW(Amortization[[#Headers],[opening
balance]])=1,LoanAmount,IF(Amortization[[#This Row],[payment
date]]="",0,INDEX(Amortization[], ROW()-4,8)))</f>
        <v>718619.83613349264</v>
      </c>
      <c r="E129" s="235">
        <f ca="1">IF(ValuesEntered,IF(ROW()-ROW(Amortization[[#Headers],[interest]])=1,-IPMT(InterestRate/12,1,DurationOfLoan-ROWS($C$4:C129)+1,Amortization[[#This Row],[opening
balance]]),IFERROR(-IPMT(InterestRate/12,1,Amortization[[#This Row],['#
remaining]],D130),0)),0)</f>
        <v>1790.9224675000589</v>
      </c>
      <c r="F129" s="235">
        <f ca="1">IFERROR(IF(AND(ValuesEntered,Amortization[[#This Row],[payment
date]]&lt;&gt;""),-PPMT(InterestRate/12,1,DurationOfLoan-ROWS($C$4:C129)+1,Amortization[[#This Row],[opening
balance]]),""),0)</f>
        <v>2250.8491334689929</v>
      </c>
      <c r="G129" s="235">
        <f ca="1">IF(Amortization[[#This Row],[payment
date]]="",0,PropertyTaxAmount)</f>
        <v>375</v>
      </c>
      <c r="H129" s="235">
        <f ca="1">IF(Amortization[[#This Row],[payment
date]]="",0,Amortization[[#This Row],[interest]]+Amortization[[#This Row],[principal]]+Amortization[[#This Row],[property
tax]])</f>
        <v>4416.7716009690521</v>
      </c>
      <c r="I129" s="235">
        <f ca="1">IF(Amortization[[#This Row],[payment
date]]="",0,Amortization[[#This Row],[opening
balance]]-Amortization[[#This Row],[principal]])</f>
        <v>716368.9870000236</v>
      </c>
      <c r="J129" s="247">
        <f ca="1">IF(Amortization[[#This Row],[closing
balance]]&gt;0,LastRow-ROW(),0)</f>
        <v>234</v>
      </c>
    </row>
    <row r="130" spans="2:10" ht="15" customHeight="1" x14ac:dyDescent="0.25">
      <c r="B130" s="249">
        <f>ROWS($B$4:B130)</f>
        <v>127</v>
      </c>
      <c r="C130" s="248">
        <f ca="1">IF(ValuesEntered,IF(Amortization[[#This Row],['#]]&lt;=DurationOfLoan,IF(ROW()-ROW(Amortization[[#Headers],[payment
date]])=1,LoanStart,IF(I129&gt;0,EDATE(C129,1),"")),""),"")</f>
        <v>48893</v>
      </c>
      <c r="D130" s="235">
        <f ca="1">IF(ROW()-ROW(Amortization[[#Headers],[opening
balance]])=1,LoanAmount,IF(Amortization[[#This Row],[payment
date]]="",0,INDEX(Amortization[], ROW()-4,8)))</f>
        <v>716368.9870000236</v>
      </c>
      <c r="E130" s="235">
        <f ca="1">IF(ValuesEntered,IF(ROW()-ROW(Amortization[[#Headers],[interest]])=1,-IPMT(InterestRate/12,1,DurationOfLoan-ROWS($C$4:C130)+1,Amortization[[#This Row],[opening
balance]]),IFERROR(-IPMT(InterestRate/12,1,Amortization[[#This Row],['#
remaining]],D131),0)),0)</f>
        <v>1785.2812768593024</v>
      </c>
      <c r="F130" s="235">
        <f ca="1">IFERROR(IF(AND(ValuesEntered,Amortization[[#This Row],[payment
date]]&lt;&gt;""),-PPMT(InterestRate/12,1,DurationOfLoan-ROWS($C$4:C130)+1,Amortization[[#This Row],[opening
balance]]),""),0)</f>
        <v>2256.4762563026657</v>
      </c>
      <c r="G130" s="235">
        <f ca="1">IF(Amortization[[#This Row],[payment
date]]="",0,PropertyTaxAmount)</f>
        <v>375</v>
      </c>
      <c r="H130" s="235">
        <f ca="1">IF(Amortization[[#This Row],[payment
date]]="",0,Amortization[[#This Row],[interest]]+Amortization[[#This Row],[principal]]+Amortization[[#This Row],[property
tax]])</f>
        <v>4416.7575331619682</v>
      </c>
      <c r="I130" s="235">
        <f ca="1">IF(Amortization[[#This Row],[payment
date]]="",0,Amortization[[#This Row],[opening
balance]]-Amortization[[#This Row],[principal]])</f>
        <v>714112.51074372092</v>
      </c>
      <c r="J130" s="247">
        <f ca="1">IF(Amortization[[#This Row],[closing
balance]]&gt;0,LastRow-ROW(),0)</f>
        <v>233</v>
      </c>
    </row>
    <row r="131" spans="2:10" ht="15" customHeight="1" x14ac:dyDescent="0.25">
      <c r="B131" s="249">
        <f>ROWS($B$4:B131)</f>
        <v>128</v>
      </c>
      <c r="C131" s="248">
        <f ca="1">IF(ValuesEntered,IF(Amortization[[#This Row],['#]]&lt;=DurationOfLoan,IF(ROW()-ROW(Amortization[[#Headers],[payment
date]])=1,LoanStart,IF(I130&gt;0,EDATE(C130,1),"")),""),"")</f>
        <v>48923</v>
      </c>
      <c r="D131" s="235">
        <f ca="1">IF(ROW()-ROW(Amortization[[#Headers],[opening
balance]])=1,LoanAmount,IF(Amortization[[#This Row],[payment
date]]="",0,INDEX(Amortization[], ROW()-4,8)))</f>
        <v>714112.51074372092</v>
      </c>
      <c r="E131" s="235">
        <f ca="1">IF(ValuesEntered,IF(ROW()-ROW(Amortization[[#Headers],[interest]])=1,-IPMT(InterestRate/12,1,DurationOfLoan-ROWS($C$4:C131)+1,Amortization[[#This Row],[opening
balance]]),IFERROR(-IPMT(InterestRate/12,1,Amortization[[#This Row],['#
remaining]],D132),0)),0)</f>
        <v>1779.6259832419437</v>
      </c>
      <c r="F131" s="235">
        <f ca="1">IFERROR(IF(AND(ValuesEntered,Amortization[[#This Row],[payment
date]]&lt;&gt;""),-PPMT(InterestRate/12,1,DurationOfLoan-ROWS($C$4:C131)+1,Amortization[[#This Row],[opening
balance]]),""),0)</f>
        <v>2262.1174469434222</v>
      </c>
      <c r="G131" s="235">
        <f ca="1">IF(Amortization[[#This Row],[payment
date]]="",0,PropertyTaxAmount)</f>
        <v>375</v>
      </c>
      <c r="H131" s="235">
        <f ca="1">IF(Amortization[[#This Row],[payment
date]]="",0,Amortization[[#This Row],[interest]]+Amortization[[#This Row],[principal]]+Amortization[[#This Row],[property
tax]])</f>
        <v>4416.7434301853664</v>
      </c>
      <c r="I131" s="235">
        <f ca="1">IF(Amortization[[#This Row],[payment
date]]="",0,Amortization[[#This Row],[opening
balance]]-Amortization[[#This Row],[principal]])</f>
        <v>711850.3932967775</v>
      </c>
      <c r="J131" s="247">
        <f ca="1">IF(Amortization[[#This Row],[closing
balance]]&gt;0,LastRow-ROW(),0)</f>
        <v>232</v>
      </c>
    </row>
    <row r="132" spans="2:10" ht="15" customHeight="1" x14ac:dyDescent="0.25">
      <c r="B132" s="249">
        <f>ROWS($B$4:B132)</f>
        <v>129</v>
      </c>
      <c r="C132" s="248">
        <f ca="1">IF(ValuesEntered,IF(Amortization[[#This Row],['#]]&lt;=DurationOfLoan,IF(ROW()-ROW(Amortization[[#Headers],[payment
date]])=1,LoanStart,IF(I131&gt;0,EDATE(C131,1),"")),""),"")</f>
        <v>48954</v>
      </c>
      <c r="D132" s="235">
        <f ca="1">IF(ROW()-ROW(Amortization[[#Headers],[opening
balance]])=1,LoanAmount,IF(Amortization[[#This Row],[payment
date]]="",0,INDEX(Amortization[], ROW()-4,8)))</f>
        <v>711850.3932967775</v>
      </c>
      <c r="E132" s="235">
        <f ca="1">IF(ValuesEntered,IF(ROW()-ROW(Amortization[[#Headers],[interest]])=1,-IPMT(InterestRate/12,1,DurationOfLoan-ROWS($C$4:C132)+1,Amortization[[#This Row],[opening
balance]]),IFERROR(-IPMT(InterestRate/12,1,Amortization[[#This Row],['#
remaining]],D133),0)),0)</f>
        <v>1773.9565513905418</v>
      </c>
      <c r="F132" s="235">
        <f ca="1">IFERROR(IF(AND(ValuesEntered,Amortization[[#This Row],[payment
date]]&lt;&gt;""),-PPMT(InterestRate/12,1,DurationOfLoan-ROWS($C$4:C132)+1,Amortization[[#This Row],[opening
balance]]),""),0)</f>
        <v>2267.7727405607807</v>
      </c>
      <c r="G132" s="235">
        <f ca="1">IF(Amortization[[#This Row],[payment
date]]="",0,PropertyTaxAmount)</f>
        <v>375</v>
      </c>
      <c r="H132" s="235">
        <f ca="1">IF(Amortization[[#This Row],[payment
date]]="",0,Amortization[[#This Row],[interest]]+Amortization[[#This Row],[principal]]+Amortization[[#This Row],[property
tax]])</f>
        <v>4416.729291951322</v>
      </c>
      <c r="I132" s="235">
        <f ca="1">IF(Amortization[[#This Row],[payment
date]]="",0,Amortization[[#This Row],[opening
balance]]-Amortization[[#This Row],[principal]])</f>
        <v>709582.62055621669</v>
      </c>
      <c r="J132" s="247">
        <f ca="1">IF(Amortization[[#This Row],[closing
balance]]&gt;0,LastRow-ROW(),0)</f>
        <v>231</v>
      </c>
    </row>
    <row r="133" spans="2:10" ht="15" customHeight="1" x14ac:dyDescent="0.25">
      <c r="B133" s="249">
        <f>ROWS($B$4:B133)</f>
        <v>130</v>
      </c>
      <c r="C133" s="248">
        <f ca="1">IF(ValuesEntered,IF(Amortization[[#This Row],['#]]&lt;=DurationOfLoan,IF(ROW()-ROW(Amortization[[#Headers],[payment
date]])=1,LoanStart,IF(I132&gt;0,EDATE(C132,1),"")),""),"")</f>
        <v>48985</v>
      </c>
      <c r="D133" s="235">
        <f ca="1">IF(ROW()-ROW(Amortization[[#Headers],[opening
balance]])=1,LoanAmount,IF(Amortization[[#This Row],[payment
date]]="",0,INDEX(Amortization[], ROW()-4,8)))</f>
        <v>709582.62055621669</v>
      </c>
      <c r="E133" s="235">
        <f ca="1">IF(ValuesEntered,IF(ROW()-ROW(Amortization[[#Headers],[interest]])=1,-IPMT(InterestRate/12,1,DurationOfLoan-ROWS($C$4:C133)+1,Amortization[[#This Row],[opening
balance]]),IFERROR(-IPMT(InterestRate/12,1,Amortization[[#This Row],['#
remaining]],D134),0)),0)</f>
        <v>1768.2729459595114</v>
      </c>
      <c r="F133" s="235">
        <f ca="1">IFERROR(IF(AND(ValuesEntered,Amortization[[#This Row],[payment
date]]&lt;&gt;""),-PPMT(InterestRate/12,1,DurationOfLoan-ROWS($C$4:C133)+1,Amortization[[#This Row],[opening
balance]]),""),0)</f>
        <v>2273.4421724121817</v>
      </c>
      <c r="G133" s="235">
        <f ca="1">IF(Amortization[[#This Row],[payment
date]]="",0,PropertyTaxAmount)</f>
        <v>375</v>
      </c>
      <c r="H133" s="235">
        <f ca="1">IF(Amortization[[#This Row],[payment
date]]="",0,Amortization[[#This Row],[interest]]+Amortization[[#This Row],[principal]]+Amortization[[#This Row],[property
tax]])</f>
        <v>4416.7151183716933</v>
      </c>
      <c r="I133" s="235">
        <f ca="1">IF(Amortization[[#This Row],[payment
date]]="",0,Amortization[[#This Row],[opening
balance]]-Amortization[[#This Row],[principal]])</f>
        <v>707309.17838380451</v>
      </c>
      <c r="J133" s="247">
        <f ca="1">IF(Amortization[[#This Row],[closing
balance]]&gt;0,LastRow-ROW(),0)</f>
        <v>230</v>
      </c>
    </row>
    <row r="134" spans="2:10" ht="15" customHeight="1" x14ac:dyDescent="0.25">
      <c r="B134" s="249">
        <f>ROWS($B$4:B134)</f>
        <v>131</v>
      </c>
      <c r="C134" s="248">
        <f ca="1">IF(ValuesEntered,IF(Amortization[[#This Row],['#]]&lt;=DurationOfLoan,IF(ROW()-ROW(Amortization[[#Headers],[payment
date]])=1,LoanStart,IF(I133&gt;0,EDATE(C133,1),"")),""),"")</f>
        <v>49013</v>
      </c>
      <c r="D134" s="235">
        <f ca="1">IF(ROW()-ROW(Amortization[[#Headers],[opening
balance]])=1,LoanAmount,IF(Amortization[[#This Row],[payment
date]]="",0,INDEX(Amortization[], ROW()-4,8)))</f>
        <v>707309.17838380451</v>
      </c>
      <c r="E134" s="235">
        <f ca="1">IF(ValuesEntered,IF(ROW()-ROW(Amortization[[#Headers],[interest]])=1,-IPMT(InterestRate/12,1,DurationOfLoan-ROWS($C$4:C134)+1,Amortization[[#This Row],[opening
balance]]),IFERROR(-IPMT(InterestRate/12,1,Amortization[[#This Row],['#
remaining]],D135),0)),0)</f>
        <v>1762.5751315149034</v>
      </c>
      <c r="F134" s="235">
        <f ca="1">IFERROR(IF(AND(ValuesEntered,Amortization[[#This Row],[payment
date]]&lt;&gt;""),-PPMT(InterestRate/12,1,DurationOfLoan-ROWS($C$4:C134)+1,Amortization[[#This Row],[opening
balance]]),""),0)</f>
        <v>2279.1257778432132</v>
      </c>
      <c r="G134" s="235">
        <f ca="1">IF(Amortization[[#This Row],[payment
date]]="",0,PropertyTaxAmount)</f>
        <v>375</v>
      </c>
      <c r="H134" s="235">
        <f ca="1">IF(Amortization[[#This Row],[payment
date]]="",0,Amortization[[#This Row],[interest]]+Amortization[[#This Row],[principal]]+Amortization[[#This Row],[property
tax]])</f>
        <v>4416.7009093581164</v>
      </c>
      <c r="I134" s="235">
        <f ca="1">IF(Amortization[[#This Row],[payment
date]]="",0,Amortization[[#This Row],[opening
balance]]-Amortization[[#This Row],[principal]])</f>
        <v>705030.05260596133</v>
      </c>
      <c r="J134" s="247">
        <f ca="1">IF(Amortization[[#This Row],[closing
balance]]&gt;0,LastRow-ROW(),0)</f>
        <v>229</v>
      </c>
    </row>
    <row r="135" spans="2:10" ht="15" customHeight="1" x14ac:dyDescent="0.25">
      <c r="B135" s="249">
        <f>ROWS($B$4:B135)</f>
        <v>132</v>
      </c>
      <c r="C135" s="248">
        <f ca="1">IF(ValuesEntered,IF(Amortization[[#This Row],['#]]&lt;=DurationOfLoan,IF(ROW()-ROW(Amortization[[#Headers],[payment
date]])=1,LoanStart,IF(I134&gt;0,EDATE(C134,1),"")),""),"")</f>
        <v>49044</v>
      </c>
      <c r="D135" s="235">
        <f ca="1">IF(ROW()-ROW(Amortization[[#Headers],[opening
balance]])=1,LoanAmount,IF(Amortization[[#This Row],[payment
date]]="",0,INDEX(Amortization[], ROW()-4,8)))</f>
        <v>705030.05260596133</v>
      </c>
      <c r="E135" s="235">
        <f ca="1">IF(ValuesEntered,IF(ROW()-ROW(Amortization[[#Headers],[interest]])=1,-IPMT(InterestRate/12,1,DurationOfLoan-ROWS($C$4:C135)+1,Amortization[[#This Row],[opening
balance]]),IFERROR(-IPMT(InterestRate/12,1,Amortization[[#This Row],['#
remaining]],D136),0)),0)</f>
        <v>1756.8630725341839</v>
      </c>
      <c r="F135" s="235">
        <f ca="1">IFERROR(IF(AND(ValuesEntered,Amortization[[#This Row],[payment
date]]&lt;&gt;""),-PPMT(InterestRate/12,1,DurationOfLoan-ROWS($C$4:C135)+1,Amortization[[#This Row],[opening
balance]]),""),0)</f>
        <v>2284.8235922878212</v>
      </c>
      <c r="G135" s="235">
        <f ca="1">IF(Amortization[[#This Row],[payment
date]]="",0,PropertyTaxAmount)</f>
        <v>375</v>
      </c>
      <c r="H135" s="235">
        <f ca="1">IF(Amortization[[#This Row],[payment
date]]="",0,Amortization[[#This Row],[interest]]+Amortization[[#This Row],[principal]]+Amortization[[#This Row],[property
tax]])</f>
        <v>4416.6866648220048</v>
      </c>
      <c r="I135" s="235">
        <f ca="1">IF(Amortization[[#This Row],[payment
date]]="",0,Amortization[[#This Row],[opening
balance]]-Amortization[[#This Row],[principal]])</f>
        <v>702745.2290136735</v>
      </c>
      <c r="J135" s="247">
        <f ca="1">IF(Amortization[[#This Row],[closing
balance]]&gt;0,LastRow-ROW(),0)</f>
        <v>228</v>
      </c>
    </row>
    <row r="136" spans="2:10" ht="15" customHeight="1" x14ac:dyDescent="0.25">
      <c r="B136" s="249">
        <f>ROWS($B$4:B136)</f>
        <v>133</v>
      </c>
      <c r="C136" s="248">
        <f ca="1">IF(ValuesEntered,IF(Amortization[[#This Row],['#]]&lt;=DurationOfLoan,IF(ROW()-ROW(Amortization[[#Headers],[payment
date]])=1,LoanStart,IF(I135&gt;0,EDATE(C135,1),"")),""),"")</f>
        <v>49074</v>
      </c>
      <c r="D136" s="235">
        <f ca="1">IF(ROW()-ROW(Amortization[[#Headers],[opening
balance]])=1,LoanAmount,IF(Amortization[[#This Row],[payment
date]]="",0,INDEX(Amortization[], ROW()-4,8)))</f>
        <v>702745.2290136735</v>
      </c>
      <c r="E136" s="235">
        <f ca="1">IF(ValuesEntered,IF(ROW()-ROW(Amortization[[#Headers],[interest]])=1,-IPMT(InterestRate/12,1,DurationOfLoan-ROWS($C$4:C136)+1,Amortization[[#This Row],[opening
balance]]),IFERROR(-IPMT(InterestRate/12,1,Amortization[[#This Row],['#
remaining]],D137),0)),0)</f>
        <v>1751.1367334060124</v>
      </c>
      <c r="F136" s="235">
        <f ca="1">IFERROR(IF(AND(ValuesEntered,Amortization[[#This Row],[payment
date]]&lt;&gt;""),-PPMT(InterestRate/12,1,DurationOfLoan-ROWS($C$4:C136)+1,Amortization[[#This Row],[opening
balance]]),""),0)</f>
        <v>2290.5356512685398</v>
      </c>
      <c r="G136" s="235">
        <f ca="1">IF(Amortization[[#This Row],[payment
date]]="",0,PropertyTaxAmount)</f>
        <v>375</v>
      </c>
      <c r="H136" s="235">
        <f ca="1">IF(Amortization[[#This Row],[payment
date]]="",0,Amortization[[#This Row],[interest]]+Amortization[[#This Row],[principal]]+Amortization[[#This Row],[property
tax]])</f>
        <v>4416.6723846745517</v>
      </c>
      <c r="I136" s="235">
        <f ca="1">IF(Amortization[[#This Row],[payment
date]]="",0,Amortization[[#This Row],[opening
balance]]-Amortization[[#This Row],[principal]])</f>
        <v>700454.69336240494</v>
      </c>
      <c r="J136" s="247">
        <f ca="1">IF(Amortization[[#This Row],[closing
balance]]&gt;0,LastRow-ROW(),0)</f>
        <v>227</v>
      </c>
    </row>
    <row r="137" spans="2:10" ht="15" customHeight="1" x14ac:dyDescent="0.25">
      <c r="B137" s="249">
        <f>ROWS($B$4:B137)</f>
        <v>134</v>
      </c>
      <c r="C137" s="248">
        <f ca="1">IF(ValuesEntered,IF(Amortization[[#This Row],['#]]&lt;=DurationOfLoan,IF(ROW()-ROW(Amortization[[#Headers],[payment
date]])=1,LoanStart,IF(I136&gt;0,EDATE(C136,1),"")),""),"")</f>
        <v>49105</v>
      </c>
      <c r="D137" s="235">
        <f ca="1">IF(ROW()-ROW(Amortization[[#Headers],[opening
balance]])=1,LoanAmount,IF(Amortization[[#This Row],[payment
date]]="",0,INDEX(Amortization[], ROW()-4,8)))</f>
        <v>700454.69336240494</v>
      </c>
      <c r="E137" s="235">
        <f ca="1">IF(ValuesEntered,IF(ROW()-ROW(Amortization[[#Headers],[interest]])=1,-IPMT(InterestRate/12,1,DurationOfLoan-ROWS($C$4:C137)+1,Amortization[[#This Row],[opening
balance]]),IFERROR(-IPMT(InterestRate/12,1,Amortization[[#This Row],['#
remaining]],D138),0)),0)</f>
        <v>1745.3960784300207</v>
      </c>
      <c r="F137" s="235">
        <f ca="1">IFERROR(IF(AND(ValuesEntered,Amortization[[#This Row],[payment
date]]&lt;&gt;""),-PPMT(InterestRate/12,1,DurationOfLoan-ROWS($C$4:C137)+1,Amortization[[#This Row],[opening
balance]]),""),0)</f>
        <v>2296.261990396712</v>
      </c>
      <c r="G137" s="235">
        <f ca="1">IF(Amortization[[#This Row],[payment
date]]="",0,PropertyTaxAmount)</f>
        <v>375</v>
      </c>
      <c r="H137" s="235">
        <f ca="1">IF(Amortization[[#This Row],[payment
date]]="",0,Amortization[[#This Row],[interest]]+Amortization[[#This Row],[principal]]+Amortization[[#This Row],[property
tax]])</f>
        <v>4416.6580688267331</v>
      </c>
      <c r="I137" s="235">
        <f ca="1">IF(Amortization[[#This Row],[payment
date]]="",0,Amortization[[#This Row],[opening
balance]]-Amortization[[#This Row],[principal]])</f>
        <v>698158.43137200829</v>
      </c>
      <c r="J137" s="247">
        <f ca="1">IF(Amortization[[#This Row],[closing
balance]]&gt;0,LastRow-ROW(),0)</f>
        <v>226</v>
      </c>
    </row>
    <row r="138" spans="2:10" ht="15" customHeight="1" x14ac:dyDescent="0.25">
      <c r="B138" s="249">
        <f>ROWS($B$4:B138)</f>
        <v>135</v>
      </c>
      <c r="C138" s="248">
        <f ca="1">IF(ValuesEntered,IF(Amortization[[#This Row],['#]]&lt;=DurationOfLoan,IF(ROW()-ROW(Amortization[[#Headers],[payment
date]])=1,LoanStart,IF(I137&gt;0,EDATE(C137,1),"")),""),"")</f>
        <v>49135</v>
      </c>
      <c r="D138" s="235">
        <f ca="1">IF(ROW()-ROW(Amortization[[#Headers],[opening
balance]])=1,LoanAmount,IF(Amortization[[#This Row],[payment
date]]="",0,INDEX(Amortization[], ROW()-4,8)))</f>
        <v>698158.43137200829</v>
      </c>
      <c r="E138" s="235">
        <f ca="1">IF(ValuesEntered,IF(ROW()-ROW(Amortization[[#Headers],[interest]])=1,-IPMT(InterestRate/12,1,DurationOfLoan-ROWS($C$4:C138)+1,Amortization[[#This Row],[opening
balance]]),IFERROR(-IPMT(InterestRate/12,1,Amortization[[#This Row],['#
remaining]],D139),0)),0)</f>
        <v>1739.6410718165891</v>
      </c>
      <c r="F138" s="235">
        <f ca="1">IFERROR(IF(AND(ValuesEntered,Amortization[[#This Row],[payment
date]]&lt;&gt;""),-PPMT(InterestRate/12,1,DurationOfLoan-ROWS($C$4:C138)+1,Amortization[[#This Row],[opening
balance]]),""),0)</f>
        <v>2302.0026453727037</v>
      </c>
      <c r="G138" s="235">
        <f ca="1">IF(Amortization[[#This Row],[payment
date]]="",0,PropertyTaxAmount)</f>
        <v>375</v>
      </c>
      <c r="H138" s="235">
        <f ca="1">IF(Amortization[[#This Row],[payment
date]]="",0,Amortization[[#This Row],[interest]]+Amortization[[#This Row],[principal]]+Amortization[[#This Row],[property
tax]])</f>
        <v>4416.6437171892931</v>
      </c>
      <c r="I138" s="235">
        <f ca="1">IF(Amortization[[#This Row],[payment
date]]="",0,Amortization[[#This Row],[opening
balance]]-Amortization[[#This Row],[principal]])</f>
        <v>695856.42872663564</v>
      </c>
      <c r="J138" s="247">
        <f ca="1">IF(Amortization[[#This Row],[closing
balance]]&gt;0,LastRow-ROW(),0)</f>
        <v>225</v>
      </c>
    </row>
    <row r="139" spans="2:10" ht="15" customHeight="1" x14ac:dyDescent="0.25">
      <c r="B139" s="249">
        <f>ROWS($B$4:B139)</f>
        <v>136</v>
      </c>
      <c r="C139" s="248">
        <f ca="1">IF(ValuesEntered,IF(Amortization[[#This Row],['#]]&lt;=DurationOfLoan,IF(ROW()-ROW(Amortization[[#Headers],[payment
date]])=1,LoanStart,IF(I138&gt;0,EDATE(C138,1),"")),""),"")</f>
        <v>49166</v>
      </c>
      <c r="D139" s="235">
        <f ca="1">IF(ROW()-ROW(Amortization[[#Headers],[opening
balance]])=1,LoanAmount,IF(Amortization[[#This Row],[payment
date]]="",0,INDEX(Amortization[], ROW()-4,8)))</f>
        <v>695856.42872663564</v>
      </c>
      <c r="E139" s="235">
        <f ca="1">IF(ValuesEntered,IF(ROW()-ROW(Amortization[[#Headers],[interest]])=1,-IPMT(InterestRate/12,1,DurationOfLoan-ROWS($C$4:C139)+1,Amortization[[#This Row],[opening
balance]]),IFERROR(-IPMT(InterestRate/12,1,Amortization[[#This Row],['#
remaining]],D140),0)),0)</f>
        <v>1733.871677686624</v>
      </c>
      <c r="F139" s="235">
        <f ca="1">IFERROR(IF(AND(ValuesEntered,Amortization[[#This Row],[payment
date]]&lt;&gt;""),-PPMT(InterestRate/12,1,DurationOfLoan-ROWS($C$4:C139)+1,Amortization[[#This Row],[opening
balance]]),""),0)</f>
        <v>2307.7576519861359</v>
      </c>
      <c r="G139" s="235">
        <f ca="1">IF(Amortization[[#This Row],[payment
date]]="",0,PropertyTaxAmount)</f>
        <v>375</v>
      </c>
      <c r="H139" s="235">
        <f ca="1">IF(Amortization[[#This Row],[payment
date]]="",0,Amortization[[#This Row],[interest]]+Amortization[[#This Row],[principal]]+Amortization[[#This Row],[property
tax]])</f>
        <v>4416.6293296727599</v>
      </c>
      <c r="I139" s="235">
        <f ca="1">IF(Amortization[[#This Row],[payment
date]]="",0,Amortization[[#This Row],[opening
balance]]-Amortization[[#This Row],[principal]])</f>
        <v>693548.67107464955</v>
      </c>
      <c r="J139" s="247">
        <f ca="1">IF(Amortization[[#This Row],[closing
balance]]&gt;0,LastRow-ROW(),0)</f>
        <v>224</v>
      </c>
    </row>
    <row r="140" spans="2:10" ht="15" customHeight="1" x14ac:dyDescent="0.25">
      <c r="B140" s="249">
        <f>ROWS($B$4:B140)</f>
        <v>137</v>
      </c>
      <c r="C140" s="248">
        <f ca="1">IF(ValuesEntered,IF(Amortization[[#This Row],['#]]&lt;=DurationOfLoan,IF(ROW()-ROW(Amortization[[#Headers],[payment
date]])=1,LoanStart,IF(I139&gt;0,EDATE(C139,1),"")),""),"")</f>
        <v>49197</v>
      </c>
      <c r="D140" s="235">
        <f ca="1">IF(ROW()-ROW(Amortization[[#Headers],[opening
balance]])=1,LoanAmount,IF(Amortization[[#This Row],[payment
date]]="",0,INDEX(Amortization[], ROW()-4,8)))</f>
        <v>693548.67107464955</v>
      </c>
      <c r="E140" s="235">
        <f ca="1">IF(ValuesEntered,IF(ROW()-ROW(Amortization[[#Headers],[interest]])=1,-IPMT(InterestRate/12,1,DurationOfLoan-ROWS($C$4:C140)+1,Amortization[[#This Row],[opening
balance]]),IFERROR(-IPMT(InterestRate/12,1,Amortization[[#This Row],['#
remaining]],D141),0)),0)</f>
        <v>1728.0878600713338</v>
      </c>
      <c r="F140" s="235">
        <f ca="1">IFERROR(IF(AND(ValuesEntered,Amortization[[#This Row],[payment
date]]&lt;&gt;""),-PPMT(InterestRate/12,1,DurationOfLoan-ROWS($C$4:C140)+1,Amortization[[#This Row],[opening
balance]]),""),0)</f>
        <v>2313.5270461161017</v>
      </c>
      <c r="G140" s="235">
        <f ca="1">IF(Amortization[[#This Row],[payment
date]]="",0,PropertyTaxAmount)</f>
        <v>375</v>
      </c>
      <c r="H140" s="235">
        <f ca="1">IF(Amortization[[#This Row],[payment
date]]="",0,Amortization[[#This Row],[interest]]+Amortization[[#This Row],[principal]]+Amortization[[#This Row],[property
tax]])</f>
        <v>4416.6149061874357</v>
      </c>
      <c r="I140" s="235">
        <f ca="1">IF(Amortization[[#This Row],[payment
date]]="",0,Amortization[[#This Row],[opening
balance]]-Amortization[[#This Row],[principal]])</f>
        <v>691235.14402853348</v>
      </c>
      <c r="J140" s="247">
        <f ca="1">IF(Amortization[[#This Row],[closing
balance]]&gt;0,LastRow-ROW(),0)</f>
        <v>223</v>
      </c>
    </row>
    <row r="141" spans="2:10" ht="15" customHeight="1" x14ac:dyDescent="0.25">
      <c r="B141" s="249">
        <f>ROWS($B$4:B141)</f>
        <v>138</v>
      </c>
      <c r="C141" s="248">
        <f ca="1">IF(ValuesEntered,IF(Amortization[[#This Row],['#]]&lt;=DurationOfLoan,IF(ROW()-ROW(Amortization[[#Headers],[payment
date]])=1,LoanStart,IF(I140&gt;0,EDATE(C140,1),"")),""),"")</f>
        <v>49227</v>
      </c>
      <c r="D141" s="235">
        <f ca="1">IF(ROW()-ROW(Amortization[[#Headers],[opening
balance]])=1,LoanAmount,IF(Amortization[[#This Row],[payment
date]]="",0,INDEX(Amortization[], ROW()-4,8)))</f>
        <v>691235.14402853348</v>
      </c>
      <c r="E141" s="235">
        <f ca="1">IF(ValuesEntered,IF(ROW()-ROW(Amortization[[#Headers],[interest]])=1,-IPMT(InterestRate/12,1,DurationOfLoan-ROWS($C$4:C141)+1,Amortization[[#This Row],[opening
balance]]),IFERROR(-IPMT(InterestRate/12,1,Amortization[[#This Row],['#
remaining]],D142),0)),0)</f>
        <v>1722.2895829120052</v>
      </c>
      <c r="F141" s="235">
        <f ca="1">IFERROR(IF(AND(ValuesEntered,Amortization[[#This Row],[payment
date]]&lt;&gt;""),-PPMT(InterestRate/12,1,DurationOfLoan-ROWS($C$4:C141)+1,Amortization[[#This Row],[opening
balance]]),""),0)</f>
        <v>2319.3108637313917</v>
      </c>
      <c r="G141" s="235">
        <f ca="1">IF(Amortization[[#This Row],[payment
date]]="",0,PropertyTaxAmount)</f>
        <v>375</v>
      </c>
      <c r="H141" s="235">
        <f ca="1">IF(Amortization[[#This Row],[payment
date]]="",0,Amortization[[#This Row],[interest]]+Amortization[[#This Row],[principal]]+Amortization[[#This Row],[property
tax]])</f>
        <v>4416.6004466433969</v>
      </c>
      <c r="I141" s="235">
        <f ca="1">IF(Amortization[[#This Row],[payment
date]]="",0,Amortization[[#This Row],[opening
balance]]-Amortization[[#This Row],[principal]])</f>
        <v>688915.83316480205</v>
      </c>
      <c r="J141" s="247">
        <f ca="1">IF(Amortization[[#This Row],[closing
balance]]&gt;0,LastRow-ROW(),0)</f>
        <v>222</v>
      </c>
    </row>
    <row r="142" spans="2:10" ht="15" customHeight="1" x14ac:dyDescent="0.25">
      <c r="B142" s="249">
        <f>ROWS($B$4:B142)</f>
        <v>139</v>
      </c>
      <c r="C142" s="248">
        <f ca="1">IF(ValuesEntered,IF(Amortization[[#This Row],['#]]&lt;=DurationOfLoan,IF(ROW()-ROW(Amortization[[#Headers],[payment
date]])=1,LoanStart,IF(I141&gt;0,EDATE(C141,1),"")),""),"")</f>
        <v>49258</v>
      </c>
      <c r="D142" s="235">
        <f ca="1">IF(ROW()-ROW(Amortization[[#Headers],[opening
balance]])=1,LoanAmount,IF(Amortization[[#This Row],[payment
date]]="",0,INDEX(Amortization[], ROW()-4,8)))</f>
        <v>688915.83316480205</v>
      </c>
      <c r="E142" s="235">
        <f ca="1">IF(ValuesEntered,IF(ROW()-ROW(Amortization[[#Headers],[interest]])=1,-IPMT(InterestRate/12,1,DurationOfLoan-ROWS($C$4:C142)+1,Amortization[[#This Row],[opening
balance]]),IFERROR(-IPMT(InterestRate/12,1,Amortization[[#This Row],['#
remaining]],D143),0)),0)</f>
        <v>1716.4768100597782</v>
      </c>
      <c r="F142" s="235">
        <f ca="1">IFERROR(IF(AND(ValuesEntered,Amortization[[#This Row],[payment
date]]&lt;&gt;""),-PPMT(InterestRate/12,1,DurationOfLoan-ROWS($C$4:C142)+1,Amortization[[#This Row],[opening
balance]]),""),0)</f>
        <v>2325.1091408907196</v>
      </c>
      <c r="G142" s="235">
        <f ca="1">IF(Amortization[[#This Row],[payment
date]]="",0,PropertyTaxAmount)</f>
        <v>375</v>
      </c>
      <c r="H142" s="235">
        <f ca="1">IF(Amortization[[#This Row],[payment
date]]="",0,Amortization[[#This Row],[interest]]+Amortization[[#This Row],[principal]]+Amortization[[#This Row],[property
tax]])</f>
        <v>4416.585950950498</v>
      </c>
      <c r="I142" s="235">
        <f ca="1">IF(Amortization[[#This Row],[payment
date]]="",0,Amortization[[#This Row],[opening
balance]]-Amortization[[#This Row],[principal]])</f>
        <v>686590.72402391129</v>
      </c>
      <c r="J142" s="247">
        <f ca="1">IF(Amortization[[#This Row],[closing
balance]]&gt;0,LastRow-ROW(),0)</f>
        <v>221</v>
      </c>
    </row>
    <row r="143" spans="2:10" ht="15" customHeight="1" x14ac:dyDescent="0.25">
      <c r="B143" s="249">
        <f>ROWS($B$4:B143)</f>
        <v>140</v>
      </c>
      <c r="C143" s="248">
        <f ca="1">IF(ValuesEntered,IF(Amortization[[#This Row],['#]]&lt;=DurationOfLoan,IF(ROW()-ROW(Amortization[[#Headers],[payment
date]])=1,LoanStart,IF(I142&gt;0,EDATE(C142,1),"")),""),"")</f>
        <v>49288</v>
      </c>
      <c r="D143" s="235">
        <f ca="1">IF(ROW()-ROW(Amortization[[#Headers],[opening
balance]])=1,LoanAmount,IF(Amortization[[#This Row],[payment
date]]="",0,INDEX(Amortization[], ROW()-4,8)))</f>
        <v>686590.72402391129</v>
      </c>
      <c r="E143" s="235">
        <f ca="1">IF(ValuesEntered,IF(ROW()-ROW(Amortization[[#Headers],[interest]])=1,-IPMT(InterestRate/12,1,DurationOfLoan-ROWS($C$4:C143)+1,Amortization[[#This Row],[opening
balance]]),IFERROR(-IPMT(InterestRate/12,1,Amortization[[#This Row],['#
remaining]],D144),0)),0)</f>
        <v>1710.649505275421</v>
      </c>
      <c r="F143" s="235">
        <f ca="1">IFERROR(IF(AND(ValuesEntered,Amortization[[#This Row],[payment
date]]&lt;&gt;""),-PPMT(InterestRate/12,1,DurationOfLoan-ROWS($C$4:C143)+1,Amortization[[#This Row],[opening
balance]]),""),0)</f>
        <v>2330.9219137429473</v>
      </c>
      <c r="G143" s="235">
        <f ca="1">IF(Amortization[[#This Row],[payment
date]]="",0,PropertyTaxAmount)</f>
        <v>375</v>
      </c>
      <c r="H143" s="235">
        <f ca="1">IF(Amortization[[#This Row],[payment
date]]="",0,Amortization[[#This Row],[interest]]+Amortization[[#This Row],[principal]]+Amortization[[#This Row],[property
tax]])</f>
        <v>4416.571419018368</v>
      </c>
      <c r="I143" s="235">
        <f ca="1">IF(Amortization[[#This Row],[payment
date]]="",0,Amortization[[#This Row],[opening
balance]]-Amortization[[#This Row],[principal]])</f>
        <v>684259.80211016838</v>
      </c>
      <c r="J143" s="247">
        <f ca="1">IF(Amortization[[#This Row],[closing
balance]]&gt;0,LastRow-ROW(),0)</f>
        <v>220</v>
      </c>
    </row>
    <row r="144" spans="2:10" ht="15" customHeight="1" x14ac:dyDescent="0.25">
      <c r="B144" s="249">
        <f>ROWS($B$4:B144)</f>
        <v>141</v>
      </c>
      <c r="C144" s="248">
        <f ca="1">IF(ValuesEntered,IF(Amortization[[#This Row],['#]]&lt;=DurationOfLoan,IF(ROW()-ROW(Amortization[[#Headers],[payment
date]])=1,LoanStart,IF(I143&gt;0,EDATE(C143,1),"")),""),"")</f>
        <v>49319</v>
      </c>
      <c r="D144" s="235">
        <f ca="1">IF(ROW()-ROW(Amortization[[#Headers],[opening
balance]])=1,LoanAmount,IF(Amortization[[#This Row],[payment
date]]="",0,INDEX(Amortization[], ROW()-4,8)))</f>
        <v>684259.80211016838</v>
      </c>
      <c r="E144" s="235">
        <f ca="1">IF(ValuesEntered,IF(ROW()-ROW(Amortization[[#Headers],[interest]])=1,-IPMT(InterestRate/12,1,DurationOfLoan-ROWS($C$4:C144)+1,Amortization[[#This Row],[opening
balance]]),IFERROR(-IPMT(InterestRate/12,1,Amortization[[#This Row],['#
remaining]],D145),0)),0)</f>
        <v>1704.8076322291026</v>
      </c>
      <c r="F144" s="235">
        <f ca="1">IFERROR(IF(AND(ValuesEntered,Amortization[[#This Row],[payment
date]]&lt;&gt;""),-PPMT(InterestRate/12,1,DurationOfLoan-ROWS($C$4:C144)+1,Amortization[[#This Row],[opening
balance]]),""),0)</f>
        <v>2336.7492185273045</v>
      </c>
      <c r="G144" s="235">
        <f ca="1">IF(Amortization[[#This Row],[payment
date]]="",0,PropertyTaxAmount)</f>
        <v>375</v>
      </c>
      <c r="H144" s="235">
        <f ca="1">IF(Amortization[[#This Row],[payment
date]]="",0,Amortization[[#This Row],[interest]]+Amortization[[#This Row],[principal]]+Amortization[[#This Row],[property
tax]])</f>
        <v>4416.5568507564076</v>
      </c>
      <c r="I144" s="235">
        <f ca="1">IF(Amortization[[#This Row],[payment
date]]="",0,Amortization[[#This Row],[opening
balance]]-Amortization[[#This Row],[principal]])</f>
        <v>681923.05289164104</v>
      </c>
      <c r="J144" s="247">
        <f ca="1">IF(Amortization[[#This Row],[closing
balance]]&gt;0,LastRow-ROW(),0)</f>
        <v>219</v>
      </c>
    </row>
    <row r="145" spans="2:10" ht="15" customHeight="1" x14ac:dyDescent="0.25">
      <c r="B145" s="249">
        <f>ROWS($B$4:B145)</f>
        <v>142</v>
      </c>
      <c r="C145" s="248">
        <f ca="1">IF(ValuesEntered,IF(Amortization[[#This Row],['#]]&lt;=DurationOfLoan,IF(ROW()-ROW(Amortization[[#Headers],[payment
date]])=1,LoanStart,IF(I144&gt;0,EDATE(C144,1),"")),""),"")</f>
        <v>49350</v>
      </c>
      <c r="D145" s="235">
        <f ca="1">IF(ROW()-ROW(Amortization[[#Headers],[opening
balance]])=1,LoanAmount,IF(Amortization[[#This Row],[payment
date]]="",0,INDEX(Amortization[], ROW()-4,8)))</f>
        <v>681923.05289164104</v>
      </c>
      <c r="E145" s="235">
        <f ca="1">IF(ValuesEntered,IF(ROW()-ROW(Amortization[[#Headers],[interest]])=1,-IPMT(InterestRate/12,1,DurationOfLoan-ROWS($C$4:C145)+1,Amortization[[#This Row],[opening
balance]]),IFERROR(-IPMT(InterestRate/12,1,Amortization[[#This Row],['#
remaining]],D146),0)),0)</f>
        <v>1698.9511545001687</v>
      </c>
      <c r="F145" s="235">
        <f ca="1">IFERROR(IF(AND(ValuesEntered,Amortization[[#This Row],[payment
date]]&lt;&gt;""),-PPMT(InterestRate/12,1,DurationOfLoan-ROWS($C$4:C145)+1,Amortization[[#This Row],[opening
balance]]),""),0)</f>
        <v>2342.5910915736222</v>
      </c>
      <c r="G145" s="235">
        <f ca="1">IF(Amortization[[#This Row],[payment
date]]="",0,PropertyTaxAmount)</f>
        <v>375</v>
      </c>
      <c r="H145" s="235">
        <f ca="1">IF(Amortization[[#This Row],[payment
date]]="",0,Amortization[[#This Row],[interest]]+Amortization[[#This Row],[principal]]+Amortization[[#This Row],[property
tax]])</f>
        <v>4416.5422460737909</v>
      </c>
      <c r="I145" s="235">
        <f ca="1">IF(Amortization[[#This Row],[payment
date]]="",0,Amortization[[#This Row],[opening
balance]]-Amortization[[#This Row],[principal]])</f>
        <v>679580.46180006745</v>
      </c>
      <c r="J145" s="247">
        <f ca="1">IF(Amortization[[#This Row],[closing
balance]]&gt;0,LastRow-ROW(),0)</f>
        <v>218</v>
      </c>
    </row>
    <row r="146" spans="2:10" ht="15" customHeight="1" x14ac:dyDescent="0.25">
      <c r="B146" s="249">
        <f>ROWS($B$4:B146)</f>
        <v>143</v>
      </c>
      <c r="C146" s="248">
        <f ca="1">IF(ValuesEntered,IF(Amortization[[#This Row],['#]]&lt;=DurationOfLoan,IF(ROW()-ROW(Amortization[[#Headers],[payment
date]])=1,LoanStart,IF(I145&gt;0,EDATE(C145,1),"")),""),"")</f>
        <v>49378</v>
      </c>
      <c r="D146" s="235">
        <f ca="1">IF(ROW()-ROW(Amortization[[#Headers],[opening
balance]])=1,LoanAmount,IF(Amortization[[#This Row],[payment
date]]="",0,INDEX(Amortization[], ROW()-4,8)))</f>
        <v>679580.46180006745</v>
      </c>
      <c r="E146" s="235">
        <f ca="1">IF(ValuesEntered,IF(ROW()-ROW(Amortization[[#Headers],[interest]])=1,-IPMT(InterestRate/12,1,DurationOfLoan-ROWS($C$4:C146)+1,Amortization[[#This Row],[opening
balance]]),IFERROR(-IPMT(InterestRate/12,1,Amortization[[#This Row],['#
remaining]],D147),0)),0)</f>
        <v>1693.0800355769125</v>
      </c>
      <c r="F146" s="235">
        <f ca="1">IFERROR(IF(AND(ValuesEntered,Amortization[[#This Row],[payment
date]]&lt;&gt;""),-PPMT(InterestRate/12,1,DurationOfLoan-ROWS($C$4:C146)+1,Amortization[[#This Row],[opening
balance]]),""),0)</f>
        <v>2348.4475693025561</v>
      </c>
      <c r="G146" s="235">
        <f ca="1">IF(Amortization[[#This Row],[payment
date]]="",0,PropertyTaxAmount)</f>
        <v>375</v>
      </c>
      <c r="H146" s="235">
        <f ca="1">IF(Amortization[[#This Row],[payment
date]]="",0,Amortization[[#This Row],[interest]]+Amortization[[#This Row],[principal]]+Amortization[[#This Row],[property
tax]])</f>
        <v>4416.5276048794685</v>
      </c>
      <c r="I146" s="235">
        <f ca="1">IF(Amortization[[#This Row],[payment
date]]="",0,Amortization[[#This Row],[opening
balance]]-Amortization[[#This Row],[principal]])</f>
        <v>677232.01423076494</v>
      </c>
      <c r="J146" s="247">
        <f ca="1">IF(Amortization[[#This Row],[closing
balance]]&gt;0,LastRow-ROW(),0)</f>
        <v>217</v>
      </c>
    </row>
    <row r="147" spans="2:10" ht="15" customHeight="1" x14ac:dyDescent="0.25">
      <c r="B147" s="249">
        <f>ROWS($B$4:B147)</f>
        <v>144</v>
      </c>
      <c r="C147" s="248">
        <f ca="1">IF(ValuesEntered,IF(Amortization[[#This Row],['#]]&lt;=DurationOfLoan,IF(ROW()-ROW(Amortization[[#Headers],[payment
date]])=1,LoanStart,IF(I146&gt;0,EDATE(C146,1),"")),""),"")</f>
        <v>49409</v>
      </c>
      <c r="D147" s="235">
        <f ca="1">IF(ROW()-ROW(Amortization[[#Headers],[opening
balance]])=1,LoanAmount,IF(Amortization[[#This Row],[payment
date]]="",0,INDEX(Amortization[], ROW()-4,8)))</f>
        <v>677232.01423076494</v>
      </c>
      <c r="E147" s="235">
        <f ca="1">IF(ValuesEntered,IF(ROW()-ROW(Amortization[[#Headers],[interest]])=1,-IPMT(InterestRate/12,1,DurationOfLoan-ROWS($C$4:C147)+1,Amortization[[#This Row],[opening
balance]]),IFERROR(-IPMT(InterestRate/12,1,Amortization[[#This Row],['#
remaining]],D148),0)),0)</f>
        <v>1687.1942388563477</v>
      </c>
      <c r="F147" s="235">
        <f ca="1">IFERROR(IF(AND(ValuesEntered,Amortization[[#This Row],[payment
date]]&lt;&gt;""),-PPMT(InterestRate/12,1,DurationOfLoan-ROWS($C$4:C147)+1,Amortization[[#This Row],[opening
balance]]),""),0)</f>
        <v>2354.3186882258133</v>
      </c>
      <c r="G147" s="235">
        <f ca="1">IF(Amortization[[#This Row],[payment
date]]="",0,PropertyTaxAmount)</f>
        <v>375</v>
      </c>
      <c r="H147" s="235">
        <f ca="1">IF(Amortization[[#This Row],[payment
date]]="",0,Amortization[[#This Row],[interest]]+Amortization[[#This Row],[principal]]+Amortization[[#This Row],[property
tax]])</f>
        <v>4416.5129270821608</v>
      </c>
      <c r="I147" s="235">
        <f ca="1">IF(Amortization[[#This Row],[payment
date]]="",0,Amortization[[#This Row],[opening
balance]]-Amortization[[#This Row],[principal]])</f>
        <v>674877.69554253912</v>
      </c>
      <c r="J147" s="247">
        <f ca="1">IF(Amortization[[#This Row],[closing
balance]]&gt;0,LastRow-ROW(),0)</f>
        <v>216</v>
      </c>
    </row>
    <row r="148" spans="2:10" ht="15" customHeight="1" x14ac:dyDescent="0.25">
      <c r="B148" s="249">
        <f>ROWS($B$4:B148)</f>
        <v>145</v>
      </c>
      <c r="C148" s="248">
        <f ca="1">IF(ValuesEntered,IF(Amortization[[#This Row],['#]]&lt;=DurationOfLoan,IF(ROW()-ROW(Amortization[[#Headers],[payment
date]])=1,LoanStart,IF(I147&gt;0,EDATE(C147,1),"")),""),"")</f>
        <v>49439</v>
      </c>
      <c r="D148" s="235">
        <f ca="1">IF(ROW()-ROW(Amortization[[#Headers],[opening
balance]])=1,LoanAmount,IF(Amortization[[#This Row],[payment
date]]="",0,INDEX(Amortization[], ROW()-4,8)))</f>
        <v>674877.69554253912</v>
      </c>
      <c r="E148" s="235">
        <f ca="1">IF(ValuesEntered,IF(ROW()-ROW(Amortization[[#Headers],[interest]])=1,-IPMT(InterestRate/12,1,DurationOfLoan-ROWS($C$4:C148)+1,Amortization[[#This Row],[opening
balance]]),IFERROR(-IPMT(InterestRate/12,1,Amortization[[#This Row],['#
remaining]],D149),0)),0)</f>
        <v>1681.293727643982</v>
      </c>
      <c r="F148" s="235">
        <f ca="1">IFERROR(IF(AND(ValuesEntered,Amortization[[#This Row],[payment
date]]&lt;&gt;""),-PPMT(InterestRate/12,1,DurationOfLoan-ROWS($C$4:C148)+1,Amortization[[#This Row],[opening
balance]]),""),0)</f>
        <v>2360.2044849463773</v>
      </c>
      <c r="G148" s="235">
        <f ca="1">IF(Amortization[[#This Row],[payment
date]]="",0,PropertyTaxAmount)</f>
        <v>375</v>
      </c>
      <c r="H148" s="235">
        <f ca="1">IF(Amortization[[#This Row],[payment
date]]="",0,Amortization[[#This Row],[interest]]+Amortization[[#This Row],[principal]]+Amortization[[#This Row],[property
tax]])</f>
        <v>4416.4982125903589</v>
      </c>
      <c r="I148" s="235">
        <f ca="1">IF(Amortization[[#This Row],[payment
date]]="",0,Amortization[[#This Row],[opening
balance]]-Amortization[[#This Row],[principal]])</f>
        <v>672517.49105759279</v>
      </c>
      <c r="J148" s="247">
        <f ca="1">IF(Amortization[[#This Row],[closing
balance]]&gt;0,LastRow-ROW(),0)</f>
        <v>215</v>
      </c>
    </row>
    <row r="149" spans="2:10" ht="15" customHeight="1" x14ac:dyDescent="0.25">
      <c r="B149" s="249">
        <f>ROWS($B$4:B149)</f>
        <v>146</v>
      </c>
      <c r="C149" s="248">
        <f ca="1">IF(ValuesEntered,IF(Amortization[[#This Row],['#]]&lt;=DurationOfLoan,IF(ROW()-ROW(Amortization[[#Headers],[payment
date]])=1,LoanStart,IF(I148&gt;0,EDATE(C148,1),"")),""),"")</f>
        <v>49470</v>
      </c>
      <c r="D149" s="235">
        <f ca="1">IF(ROW()-ROW(Amortization[[#Headers],[opening
balance]])=1,LoanAmount,IF(Amortization[[#This Row],[payment
date]]="",0,INDEX(Amortization[], ROW()-4,8)))</f>
        <v>672517.49105759279</v>
      </c>
      <c r="E149" s="235">
        <f ca="1">IF(ValuesEntered,IF(ROW()-ROW(Amortization[[#Headers],[interest]])=1,-IPMT(InterestRate/12,1,DurationOfLoan-ROWS($C$4:C149)+1,Amortization[[#This Row],[opening
balance]]),IFERROR(-IPMT(InterestRate/12,1,Amortization[[#This Row],['#
remaining]],D150),0)),0)</f>
        <v>1675.3784651535852</v>
      </c>
      <c r="F149" s="235">
        <f ca="1">IFERROR(IF(AND(ValuesEntered,Amortization[[#This Row],[payment
date]]&lt;&gt;""),-PPMT(InterestRate/12,1,DurationOfLoan-ROWS($C$4:C149)+1,Amortization[[#This Row],[opening
balance]]),""),0)</f>
        <v>2366.1049961587437</v>
      </c>
      <c r="G149" s="235">
        <f ca="1">IF(Amortization[[#This Row],[payment
date]]="",0,PropertyTaxAmount)</f>
        <v>375</v>
      </c>
      <c r="H149" s="235">
        <f ca="1">IF(Amortization[[#This Row],[payment
date]]="",0,Amortization[[#This Row],[interest]]+Amortization[[#This Row],[principal]]+Amortization[[#This Row],[property
tax]])</f>
        <v>4416.4834613123294</v>
      </c>
      <c r="I149" s="235">
        <f ca="1">IF(Amortization[[#This Row],[payment
date]]="",0,Amortization[[#This Row],[opening
balance]]-Amortization[[#This Row],[principal]])</f>
        <v>670151.38606143405</v>
      </c>
      <c r="J149" s="247">
        <f ca="1">IF(Amortization[[#This Row],[closing
balance]]&gt;0,LastRow-ROW(),0)</f>
        <v>214</v>
      </c>
    </row>
    <row r="150" spans="2:10" ht="15" customHeight="1" x14ac:dyDescent="0.25">
      <c r="B150" s="249">
        <f>ROWS($B$4:B150)</f>
        <v>147</v>
      </c>
      <c r="C150" s="248">
        <f ca="1">IF(ValuesEntered,IF(Amortization[[#This Row],['#]]&lt;=DurationOfLoan,IF(ROW()-ROW(Amortization[[#Headers],[payment
date]])=1,LoanStart,IF(I149&gt;0,EDATE(C149,1),"")),""),"")</f>
        <v>49500</v>
      </c>
      <c r="D150" s="235">
        <f ca="1">IF(ROW()-ROW(Amortization[[#Headers],[opening
balance]])=1,LoanAmount,IF(Amortization[[#This Row],[payment
date]]="",0,INDEX(Amortization[], ROW()-4,8)))</f>
        <v>670151.38606143405</v>
      </c>
      <c r="E150" s="235">
        <f ca="1">IF(ValuesEntered,IF(ROW()-ROW(Amortization[[#Headers],[interest]])=1,-IPMT(InterestRate/12,1,DurationOfLoan-ROWS($C$4:C150)+1,Amortization[[#This Row],[opening
balance]]),IFERROR(-IPMT(InterestRate/12,1,Amortization[[#This Row],['#
remaining]],D151),0)),0)</f>
        <v>1669.4484145069623</v>
      </c>
      <c r="F150" s="235">
        <f ca="1">IFERROR(IF(AND(ValuesEntered,Amortization[[#This Row],[payment
date]]&lt;&gt;""),-PPMT(InterestRate/12,1,DurationOfLoan-ROWS($C$4:C150)+1,Amortization[[#This Row],[opening
balance]]),""),0)</f>
        <v>2372.0202586491409</v>
      </c>
      <c r="G150" s="235">
        <f ca="1">IF(Amortization[[#This Row],[payment
date]]="",0,PropertyTaxAmount)</f>
        <v>375</v>
      </c>
      <c r="H150" s="235">
        <f ca="1">IF(Amortization[[#This Row],[payment
date]]="",0,Amortization[[#This Row],[interest]]+Amortization[[#This Row],[principal]]+Amortization[[#This Row],[property
tax]])</f>
        <v>4416.4686731561033</v>
      </c>
      <c r="I150" s="235">
        <f ca="1">IF(Amortization[[#This Row],[payment
date]]="",0,Amortization[[#This Row],[opening
balance]]-Amortization[[#This Row],[principal]])</f>
        <v>667779.36580278492</v>
      </c>
      <c r="J150" s="247">
        <f ca="1">IF(Amortization[[#This Row],[closing
balance]]&gt;0,LastRow-ROW(),0)</f>
        <v>213</v>
      </c>
    </row>
    <row r="151" spans="2:10" ht="15" customHeight="1" x14ac:dyDescent="0.25">
      <c r="B151" s="249">
        <f>ROWS($B$4:B151)</f>
        <v>148</v>
      </c>
      <c r="C151" s="248">
        <f ca="1">IF(ValuesEntered,IF(Amortization[[#This Row],['#]]&lt;=DurationOfLoan,IF(ROW()-ROW(Amortization[[#Headers],[payment
date]])=1,LoanStart,IF(I150&gt;0,EDATE(C150,1),"")),""),"")</f>
        <v>49531</v>
      </c>
      <c r="D151" s="235">
        <f ca="1">IF(ROW()-ROW(Amortization[[#Headers],[opening
balance]])=1,LoanAmount,IF(Amortization[[#This Row],[payment
date]]="",0,INDEX(Amortization[], ROW()-4,8)))</f>
        <v>667779.36580278492</v>
      </c>
      <c r="E151" s="235">
        <f ca="1">IF(ValuesEntered,IF(ROW()-ROW(Amortization[[#Headers],[interest]])=1,-IPMT(InterestRate/12,1,DurationOfLoan-ROWS($C$4:C151)+1,Amortization[[#This Row],[opening
balance]]),IFERROR(-IPMT(InterestRate/12,1,Amortization[[#This Row],['#
remaining]],D152),0)),0)</f>
        <v>1663.503538733723</v>
      </c>
      <c r="F151" s="235">
        <f ca="1">IFERROR(IF(AND(ValuesEntered,Amortization[[#This Row],[payment
date]]&lt;&gt;""),-PPMT(InterestRate/12,1,DurationOfLoan-ROWS($C$4:C151)+1,Amortization[[#This Row],[opening
balance]]),""),0)</f>
        <v>2377.9503092957639</v>
      </c>
      <c r="G151" s="235">
        <f ca="1">IF(Amortization[[#This Row],[payment
date]]="",0,PropertyTaxAmount)</f>
        <v>375</v>
      </c>
      <c r="H151" s="235">
        <f ca="1">IF(Amortization[[#This Row],[payment
date]]="",0,Amortization[[#This Row],[interest]]+Amortization[[#This Row],[principal]]+Amortization[[#This Row],[property
tax]])</f>
        <v>4416.4538480294868</v>
      </c>
      <c r="I151" s="235">
        <f ca="1">IF(Amortization[[#This Row],[payment
date]]="",0,Amortization[[#This Row],[opening
balance]]-Amortization[[#This Row],[principal]])</f>
        <v>665401.41549348913</v>
      </c>
      <c r="J151" s="247">
        <f ca="1">IF(Amortization[[#This Row],[closing
balance]]&gt;0,LastRow-ROW(),0)</f>
        <v>212</v>
      </c>
    </row>
    <row r="152" spans="2:10" ht="15" customHeight="1" x14ac:dyDescent="0.25">
      <c r="B152" s="249">
        <f>ROWS($B$4:B152)</f>
        <v>149</v>
      </c>
      <c r="C152" s="248">
        <f ca="1">IF(ValuesEntered,IF(Amortization[[#This Row],['#]]&lt;=DurationOfLoan,IF(ROW()-ROW(Amortization[[#Headers],[payment
date]])=1,LoanStart,IF(I151&gt;0,EDATE(C151,1),"")),""),"")</f>
        <v>49562</v>
      </c>
      <c r="D152" s="235">
        <f ca="1">IF(ROW()-ROW(Amortization[[#Headers],[opening
balance]])=1,LoanAmount,IF(Amortization[[#This Row],[payment
date]]="",0,INDEX(Amortization[], ROW()-4,8)))</f>
        <v>665401.41549348913</v>
      </c>
      <c r="E152" s="235">
        <f ca="1">IF(ValuesEntered,IF(ROW()-ROW(Amortization[[#Headers],[interest]])=1,-IPMT(InterestRate/12,1,DurationOfLoan-ROWS($C$4:C152)+1,Amortization[[#This Row],[opening
balance]]),IFERROR(-IPMT(InterestRate/12,1,Amortization[[#This Row],['#
remaining]],D153),0)),0)</f>
        <v>1657.5438007710504</v>
      </c>
      <c r="F152" s="235">
        <f ca="1">IFERROR(IF(AND(ValuesEntered,Amortization[[#This Row],[payment
date]]&lt;&gt;""),-PPMT(InterestRate/12,1,DurationOfLoan-ROWS($C$4:C152)+1,Amortization[[#This Row],[opening
balance]]),""),0)</f>
        <v>2383.8951850690028</v>
      </c>
      <c r="G152" s="235">
        <f ca="1">IF(Amortization[[#This Row],[payment
date]]="",0,PropertyTaxAmount)</f>
        <v>375</v>
      </c>
      <c r="H152" s="235">
        <f ca="1">IF(Amortization[[#This Row],[payment
date]]="",0,Amortization[[#This Row],[interest]]+Amortization[[#This Row],[principal]]+Amortization[[#This Row],[property
tax]])</f>
        <v>4416.4389858400536</v>
      </c>
      <c r="I152" s="235">
        <f ca="1">IF(Amortization[[#This Row],[payment
date]]="",0,Amortization[[#This Row],[opening
balance]]-Amortization[[#This Row],[principal]])</f>
        <v>663017.52030842018</v>
      </c>
      <c r="J152" s="247">
        <f ca="1">IF(Amortization[[#This Row],[closing
balance]]&gt;0,LastRow-ROW(),0)</f>
        <v>211</v>
      </c>
    </row>
    <row r="153" spans="2:10" ht="15" customHeight="1" x14ac:dyDescent="0.25">
      <c r="B153" s="249">
        <f>ROWS($B$4:B153)</f>
        <v>150</v>
      </c>
      <c r="C153" s="248">
        <f ca="1">IF(ValuesEntered,IF(Amortization[[#This Row],['#]]&lt;=DurationOfLoan,IF(ROW()-ROW(Amortization[[#Headers],[payment
date]])=1,LoanStart,IF(I152&gt;0,EDATE(C152,1),"")),""),"")</f>
        <v>49592</v>
      </c>
      <c r="D153" s="235">
        <f ca="1">IF(ROW()-ROW(Amortization[[#Headers],[opening
balance]])=1,LoanAmount,IF(Amortization[[#This Row],[payment
date]]="",0,INDEX(Amortization[], ROW()-4,8)))</f>
        <v>663017.52030842018</v>
      </c>
      <c r="E153" s="235">
        <f ca="1">IF(ValuesEntered,IF(ROW()-ROW(Amortization[[#Headers],[interest]])=1,-IPMT(InterestRate/12,1,DurationOfLoan-ROWS($C$4:C153)+1,Amortization[[#This Row],[opening
balance]]),IFERROR(-IPMT(InterestRate/12,1,Amortization[[#This Row],['#
remaining]],D154),0)),0)</f>
        <v>1651.5691634634713</v>
      </c>
      <c r="F153" s="235">
        <f ca="1">IFERROR(IF(AND(ValuesEntered,Amortization[[#This Row],[payment
date]]&lt;&gt;""),-PPMT(InterestRate/12,1,DurationOfLoan-ROWS($C$4:C153)+1,Amortization[[#This Row],[opening
balance]]),""),0)</f>
        <v>2389.8549230316758</v>
      </c>
      <c r="G153" s="235">
        <f ca="1">IF(Amortization[[#This Row],[payment
date]]="",0,PropertyTaxAmount)</f>
        <v>375</v>
      </c>
      <c r="H153" s="235">
        <f ca="1">IF(Amortization[[#This Row],[payment
date]]="",0,Amortization[[#This Row],[interest]]+Amortization[[#This Row],[principal]]+Amortization[[#This Row],[property
tax]])</f>
        <v>4416.4240864951471</v>
      </c>
      <c r="I153" s="235">
        <f ca="1">IF(Amortization[[#This Row],[payment
date]]="",0,Amortization[[#This Row],[opening
balance]]-Amortization[[#This Row],[principal]])</f>
        <v>660627.66538538854</v>
      </c>
      <c r="J153" s="247">
        <f ca="1">IF(Amortization[[#This Row],[closing
balance]]&gt;0,LastRow-ROW(),0)</f>
        <v>210</v>
      </c>
    </row>
    <row r="154" spans="2:10" ht="15" customHeight="1" x14ac:dyDescent="0.25">
      <c r="B154" s="249">
        <f>ROWS($B$4:B154)</f>
        <v>151</v>
      </c>
      <c r="C154" s="248">
        <f ca="1">IF(ValuesEntered,IF(Amortization[[#This Row],['#]]&lt;=DurationOfLoan,IF(ROW()-ROW(Amortization[[#Headers],[payment
date]])=1,LoanStart,IF(I153&gt;0,EDATE(C153,1),"")),""),"")</f>
        <v>49623</v>
      </c>
      <c r="D154" s="235">
        <f ca="1">IF(ROW()-ROW(Amortization[[#Headers],[opening
balance]])=1,LoanAmount,IF(Amortization[[#This Row],[payment
date]]="",0,INDEX(Amortization[], ROW()-4,8)))</f>
        <v>660627.66538538854</v>
      </c>
      <c r="E154" s="235">
        <f ca="1">IF(ValuesEntered,IF(ROW()-ROW(Amortization[[#Headers],[interest]])=1,-IPMT(InterestRate/12,1,DurationOfLoan-ROWS($C$4:C154)+1,Amortization[[#This Row],[opening
balance]]),IFERROR(-IPMT(InterestRate/12,1,Amortization[[#This Row],['#
remaining]],D155),0)),0)</f>
        <v>1645.5795895626234</v>
      </c>
      <c r="F154" s="235">
        <f ca="1">IFERROR(IF(AND(ValuesEntered,Amortization[[#This Row],[payment
date]]&lt;&gt;""),-PPMT(InterestRate/12,1,DurationOfLoan-ROWS($C$4:C154)+1,Amortization[[#This Row],[opening
balance]]),""),0)</f>
        <v>2395.8295603392539</v>
      </c>
      <c r="G154" s="235">
        <f ca="1">IF(Amortization[[#This Row],[payment
date]]="",0,PropertyTaxAmount)</f>
        <v>375</v>
      </c>
      <c r="H154" s="235">
        <f ca="1">IF(Amortization[[#This Row],[payment
date]]="",0,Amortization[[#This Row],[interest]]+Amortization[[#This Row],[principal]]+Amortization[[#This Row],[property
tax]])</f>
        <v>4416.4091499018778</v>
      </c>
      <c r="I154" s="235">
        <f ca="1">IF(Amortization[[#This Row],[payment
date]]="",0,Amortization[[#This Row],[opening
balance]]-Amortization[[#This Row],[principal]])</f>
        <v>658231.83582504932</v>
      </c>
      <c r="J154" s="247">
        <f ca="1">IF(Amortization[[#This Row],[closing
balance]]&gt;0,LastRow-ROW(),0)</f>
        <v>209</v>
      </c>
    </row>
    <row r="155" spans="2:10" ht="15" customHeight="1" x14ac:dyDescent="0.25">
      <c r="B155" s="249">
        <f>ROWS($B$4:B155)</f>
        <v>152</v>
      </c>
      <c r="C155" s="248">
        <f ca="1">IF(ValuesEntered,IF(Amortization[[#This Row],['#]]&lt;=DurationOfLoan,IF(ROW()-ROW(Amortization[[#Headers],[payment
date]])=1,LoanStart,IF(I154&gt;0,EDATE(C154,1),"")),""),"")</f>
        <v>49653</v>
      </c>
      <c r="D155" s="235">
        <f ca="1">IF(ROW()-ROW(Amortization[[#Headers],[opening
balance]])=1,LoanAmount,IF(Amortization[[#This Row],[payment
date]]="",0,INDEX(Amortization[], ROW()-4,8)))</f>
        <v>658231.83582504932</v>
      </c>
      <c r="E155" s="235">
        <f ca="1">IF(ValuesEntered,IF(ROW()-ROW(Amortization[[#Headers],[interest]])=1,-IPMT(InterestRate/12,1,DurationOfLoan-ROWS($C$4:C155)+1,Amortization[[#This Row],[opening
balance]]),IFERROR(-IPMT(InterestRate/12,1,Amortization[[#This Row],['#
remaining]],D156),0)),0)</f>
        <v>1639.5750417270228</v>
      </c>
      <c r="F155" s="235">
        <f ca="1">IFERROR(IF(AND(ValuesEntered,Amortization[[#This Row],[payment
date]]&lt;&gt;""),-PPMT(InterestRate/12,1,DurationOfLoan-ROWS($C$4:C155)+1,Amortization[[#This Row],[opening
balance]]),""),0)</f>
        <v>2401.8191342401033</v>
      </c>
      <c r="G155" s="235">
        <f ca="1">IF(Amortization[[#This Row],[payment
date]]="",0,PropertyTaxAmount)</f>
        <v>375</v>
      </c>
      <c r="H155" s="235">
        <f ca="1">IF(Amortization[[#This Row],[payment
date]]="",0,Amortization[[#This Row],[interest]]+Amortization[[#This Row],[principal]]+Amortization[[#This Row],[property
tax]])</f>
        <v>4416.3941759671261</v>
      </c>
      <c r="I155" s="235">
        <f ca="1">IF(Amortization[[#This Row],[payment
date]]="",0,Amortization[[#This Row],[opening
balance]]-Amortization[[#This Row],[principal]])</f>
        <v>655830.01669080916</v>
      </c>
      <c r="J155" s="247">
        <f ca="1">IF(Amortization[[#This Row],[closing
balance]]&gt;0,LastRow-ROW(),0)</f>
        <v>208</v>
      </c>
    </row>
    <row r="156" spans="2:10" ht="15" customHeight="1" x14ac:dyDescent="0.25">
      <c r="B156" s="249">
        <f>ROWS($B$4:B156)</f>
        <v>153</v>
      </c>
      <c r="C156" s="248">
        <f ca="1">IF(ValuesEntered,IF(Amortization[[#This Row],['#]]&lt;=DurationOfLoan,IF(ROW()-ROW(Amortization[[#Headers],[payment
date]])=1,LoanStart,IF(I155&gt;0,EDATE(C155,1),"")),""),"")</f>
        <v>49684</v>
      </c>
      <c r="D156" s="235">
        <f ca="1">IF(ROW()-ROW(Amortization[[#Headers],[opening
balance]])=1,LoanAmount,IF(Amortization[[#This Row],[payment
date]]="",0,INDEX(Amortization[], ROW()-4,8)))</f>
        <v>655830.01669080916</v>
      </c>
      <c r="E156" s="235">
        <f ca="1">IF(ValuesEntered,IF(ROW()-ROW(Amortization[[#Headers],[interest]])=1,-IPMT(InterestRate/12,1,DurationOfLoan-ROWS($C$4:C156)+1,Amortization[[#This Row],[opening
balance]]),IFERROR(-IPMT(InterestRate/12,1,Amortization[[#This Row],['#
remaining]],D157),0)),0)</f>
        <v>1633.5554825218337</v>
      </c>
      <c r="F156" s="235">
        <f ca="1">IFERROR(IF(AND(ValuesEntered,Amortization[[#This Row],[payment
date]]&lt;&gt;""),-PPMT(InterestRate/12,1,DurationOfLoan-ROWS($C$4:C156)+1,Amortization[[#This Row],[opening
balance]]),""),0)</f>
        <v>2407.8236820757033</v>
      </c>
      <c r="G156" s="235">
        <f ca="1">IF(Amortization[[#This Row],[payment
date]]="",0,PropertyTaxAmount)</f>
        <v>375</v>
      </c>
      <c r="H156" s="235">
        <f ca="1">IF(Amortization[[#This Row],[payment
date]]="",0,Amortization[[#This Row],[interest]]+Amortization[[#This Row],[principal]]+Amortization[[#This Row],[property
tax]])</f>
        <v>4416.3791645975371</v>
      </c>
      <c r="I156" s="235">
        <f ca="1">IF(Amortization[[#This Row],[payment
date]]="",0,Amortization[[#This Row],[opening
balance]]-Amortization[[#This Row],[principal]])</f>
        <v>653422.19300873345</v>
      </c>
      <c r="J156" s="247">
        <f ca="1">IF(Amortization[[#This Row],[closing
balance]]&gt;0,LastRow-ROW(),0)</f>
        <v>207</v>
      </c>
    </row>
    <row r="157" spans="2:10" ht="15" customHeight="1" x14ac:dyDescent="0.25">
      <c r="B157" s="249">
        <f>ROWS($B$4:B157)</f>
        <v>154</v>
      </c>
      <c r="C157" s="248">
        <f ca="1">IF(ValuesEntered,IF(Amortization[[#This Row],['#]]&lt;=DurationOfLoan,IF(ROW()-ROW(Amortization[[#Headers],[payment
date]])=1,LoanStart,IF(I156&gt;0,EDATE(C156,1),"")),""),"")</f>
        <v>49715</v>
      </c>
      <c r="D157" s="235">
        <f ca="1">IF(ROW()-ROW(Amortization[[#Headers],[opening
balance]])=1,LoanAmount,IF(Amortization[[#This Row],[payment
date]]="",0,INDEX(Amortization[], ROW()-4,8)))</f>
        <v>653422.19300873345</v>
      </c>
      <c r="E157" s="235">
        <f ca="1">IF(ValuesEntered,IF(ROW()-ROW(Amortization[[#Headers],[interest]])=1,-IPMT(InterestRate/12,1,DurationOfLoan-ROWS($C$4:C157)+1,Amortization[[#This Row],[opening
balance]]),IFERROR(-IPMT(InterestRate/12,1,Amortization[[#This Row],['#
remaining]],D158),0)),0)</f>
        <v>1627.5208744186314</v>
      </c>
      <c r="F157" s="235">
        <f ca="1">IFERROR(IF(AND(ValuesEntered,Amortization[[#This Row],[payment
date]]&lt;&gt;""),-PPMT(InterestRate/12,1,DurationOfLoan-ROWS($C$4:C157)+1,Amortization[[#This Row],[opening
balance]]),""),0)</f>
        <v>2413.843241280892</v>
      </c>
      <c r="G157" s="235">
        <f ca="1">IF(Amortization[[#This Row],[payment
date]]="",0,PropertyTaxAmount)</f>
        <v>375</v>
      </c>
      <c r="H157" s="235">
        <f ca="1">IF(Amortization[[#This Row],[payment
date]]="",0,Amortization[[#This Row],[interest]]+Amortization[[#This Row],[principal]]+Amortization[[#This Row],[property
tax]])</f>
        <v>4416.3641156995236</v>
      </c>
      <c r="I157" s="235">
        <f ca="1">IF(Amortization[[#This Row],[payment
date]]="",0,Amortization[[#This Row],[opening
balance]]-Amortization[[#This Row],[principal]])</f>
        <v>651008.34976745257</v>
      </c>
      <c r="J157" s="247">
        <f ca="1">IF(Amortization[[#This Row],[closing
balance]]&gt;0,LastRow-ROW(),0)</f>
        <v>206</v>
      </c>
    </row>
    <row r="158" spans="2:10" ht="15" customHeight="1" x14ac:dyDescent="0.25">
      <c r="B158" s="249">
        <f>ROWS($B$4:B158)</f>
        <v>155</v>
      </c>
      <c r="C158" s="248">
        <f ca="1">IF(ValuesEntered,IF(Amortization[[#This Row],['#]]&lt;=DurationOfLoan,IF(ROW()-ROW(Amortization[[#Headers],[payment
date]])=1,LoanStart,IF(I157&gt;0,EDATE(C157,1),"")),""),"")</f>
        <v>49744</v>
      </c>
      <c r="D158" s="235">
        <f ca="1">IF(ROW()-ROW(Amortization[[#Headers],[opening
balance]])=1,LoanAmount,IF(Amortization[[#This Row],[payment
date]]="",0,INDEX(Amortization[], ROW()-4,8)))</f>
        <v>651008.34976745257</v>
      </c>
      <c r="E158" s="235">
        <f ca="1">IF(ValuesEntered,IF(ROW()-ROW(Amortization[[#Headers],[interest]])=1,-IPMT(InterestRate/12,1,DurationOfLoan-ROWS($C$4:C158)+1,Amortization[[#This Row],[opening
balance]]),IFERROR(-IPMT(InterestRate/12,1,Amortization[[#This Row],['#
remaining]],D159),0)),0)</f>
        <v>1621.4711797951713</v>
      </c>
      <c r="F158" s="235">
        <f ca="1">IFERROR(IF(AND(ValuesEntered,Amortization[[#This Row],[payment
date]]&lt;&gt;""),-PPMT(InterestRate/12,1,DurationOfLoan-ROWS($C$4:C158)+1,Amortization[[#This Row],[opening
balance]]),""),0)</f>
        <v>2419.8778493840946</v>
      </c>
      <c r="G158" s="235">
        <f ca="1">IF(Amortization[[#This Row],[payment
date]]="",0,PropertyTaxAmount)</f>
        <v>375</v>
      </c>
      <c r="H158" s="235">
        <f ca="1">IF(Amortization[[#This Row],[payment
date]]="",0,Amortization[[#This Row],[interest]]+Amortization[[#This Row],[principal]]+Amortization[[#This Row],[property
tax]])</f>
        <v>4416.3490291792659</v>
      </c>
      <c r="I158" s="235">
        <f ca="1">IF(Amortization[[#This Row],[payment
date]]="",0,Amortization[[#This Row],[opening
balance]]-Amortization[[#This Row],[principal]])</f>
        <v>648588.47191806848</v>
      </c>
      <c r="J158" s="247">
        <f ca="1">IF(Amortization[[#This Row],[closing
balance]]&gt;0,LastRow-ROW(),0)</f>
        <v>205</v>
      </c>
    </row>
    <row r="159" spans="2:10" ht="15" customHeight="1" x14ac:dyDescent="0.25">
      <c r="B159" s="249">
        <f>ROWS($B$4:B159)</f>
        <v>156</v>
      </c>
      <c r="C159" s="248">
        <f ca="1">IF(ValuesEntered,IF(Amortization[[#This Row],['#]]&lt;=DurationOfLoan,IF(ROW()-ROW(Amortization[[#Headers],[payment
date]])=1,LoanStart,IF(I158&gt;0,EDATE(C158,1),"")),""),"")</f>
        <v>49775</v>
      </c>
      <c r="D159" s="235">
        <f ca="1">IF(ROW()-ROW(Amortization[[#Headers],[opening
balance]])=1,LoanAmount,IF(Amortization[[#This Row],[payment
date]]="",0,INDEX(Amortization[], ROW()-4,8)))</f>
        <v>648588.47191806848</v>
      </c>
      <c r="E159" s="235">
        <f ca="1">IF(ValuesEntered,IF(ROW()-ROW(Amortization[[#Headers],[interest]])=1,-IPMT(InterestRate/12,1,DurationOfLoan-ROWS($C$4:C159)+1,Amortization[[#This Row],[opening
balance]]),IFERROR(-IPMT(InterestRate/12,1,Amortization[[#This Row],['#
remaining]],D160),0)),0)</f>
        <v>1615.4063609351524</v>
      </c>
      <c r="F159" s="235">
        <f ca="1">IFERROR(IF(AND(ValuesEntered,Amortization[[#This Row],[payment
date]]&lt;&gt;""),-PPMT(InterestRate/12,1,DurationOfLoan-ROWS($C$4:C159)+1,Amortization[[#This Row],[opening
balance]]),""),0)</f>
        <v>2425.9275440075544</v>
      </c>
      <c r="G159" s="235">
        <f ca="1">IF(Amortization[[#This Row],[payment
date]]="",0,PropertyTaxAmount)</f>
        <v>375</v>
      </c>
      <c r="H159" s="235">
        <f ca="1">IF(Amortization[[#This Row],[payment
date]]="",0,Amortization[[#This Row],[interest]]+Amortization[[#This Row],[principal]]+Amortization[[#This Row],[property
tax]])</f>
        <v>4416.3339049427068</v>
      </c>
      <c r="I159" s="235">
        <f ca="1">IF(Amortization[[#This Row],[payment
date]]="",0,Amortization[[#This Row],[opening
balance]]-Amortization[[#This Row],[principal]])</f>
        <v>646162.54437406093</v>
      </c>
      <c r="J159" s="247">
        <f ca="1">IF(Amortization[[#This Row],[closing
balance]]&gt;0,LastRow-ROW(),0)</f>
        <v>204</v>
      </c>
    </row>
    <row r="160" spans="2:10" ht="15" customHeight="1" x14ac:dyDescent="0.25">
      <c r="B160" s="249">
        <f>ROWS($B$4:B160)</f>
        <v>157</v>
      </c>
      <c r="C160" s="248">
        <f ca="1">IF(ValuesEntered,IF(Amortization[[#This Row],['#]]&lt;=DurationOfLoan,IF(ROW()-ROW(Amortization[[#Headers],[payment
date]])=1,LoanStart,IF(I159&gt;0,EDATE(C159,1),"")),""),"")</f>
        <v>49805</v>
      </c>
      <c r="D160" s="235">
        <f ca="1">IF(ROW()-ROW(Amortization[[#Headers],[opening
balance]])=1,LoanAmount,IF(Amortization[[#This Row],[payment
date]]="",0,INDEX(Amortization[], ROW()-4,8)))</f>
        <v>646162.54437406093</v>
      </c>
      <c r="E160" s="235">
        <f ca="1">IF(ValuesEntered,IF(ROW()-ROW(Amortization[[#Headers],[interest]])=1,-IPMT(InterestRate/12,1,DurationOfLoan-ROWS($C$4:C160)+1,Amortization[[#This Row],[opening
balance]]),IFERROR(-IPMT(InterestRate/12,1,Amortization[[#This Row],['#
remaining]],D161),0)),0)</f>
        <v>1609.3263800279835</v>
      </c>
      <c r="F160" s="235">
        <f ca="1">IFERROR(IF(AND(ValuesEntered,Amortization[[#This Row],[payment
date]]&lt;&gt;""),-PPMT(InterestRate/12,1,DurationOfLoan-ROWS($C$4:C160)+1,Amortization[[#This Row],[opening
balance]]),""),0)</f>
        <v>2431.9923628675733</v>
      </c>
      <c r="G160" s="235">
        <f ca="1">IF(Amortization[[#This Row],[payment
date]]="",0,PropertyTaxAmount)</f>
        <v>375</v>
      </c>
      <c r="H160" s="235">
        <f ca="1">IF(Amortization[[#This Row],[payment
date]]="",0,Amortization[[#This Row],[interest]]+Amortization[[#This Row],[principal]]+Amortization[[#This Row],[property
tax]])</f>
        <v>4416.3187428955571</v>
      </c>
      <c r="I160" s="235">
        <f ca="1">IF(Amortization[[#This Row],[payment
date]]="",0,Amortization[[#This Row],[opening
balance]]-Amortization[[#This Row],[principal]])</f>
        <v>643730.55201119336</v>
      </c>
      <c r="J160" s="247">
        <f ca="1">IF(Amortization[[#This Row],[closing
balance]]&gt;0,LastRow-ROW(),0)</f>
        <v>203</v>
      </c>
    </row>
    <row r="161" spans="2:10" ht="15" customHeight="1" x14ac:dyDescent="0.25">
      <c r="B161" s="249">
        <f>ROWS($B$4:B161)</f>
        <v>158</v>
      </c>
      <c r="C161" s="248">
        <f ca="1">IF(ValuesEntered,IF(Amortization[[#This Row],['#]]&lt;=DurationOfLoan,IF(ROW()-ROW(Amortization[[#Headers],[payment
date]])=1,LoanStart,IF(I160&gt;0,EDATE(C160,1),"")),""),"")</f>
        <v>49836</v>
      </c>
      <c r="D161" s="235">
        <f ca="1">IF(ROW()-ROW(Amortization[[#Headers],[opening
balance]])=1,LoanAmount,IF(Amortization[[#This Row],[payment
date]]="",0,INDEX(Amortization[], ROW()-4,8)))</f>
        <v>643730.55201119336</v>
      </c>
      <c r="E161" s="235">
        <f ca="1">IF(ValuesEntered,IF(ROW()-ROW(Amortization[[#Headers],[interest]])=1,-IPMT(InterestRate/12,1,DurationOfLoan-ROWS($C$4:C161)+1,Amortization[[#This Row],[opening
balance]]),IFERROR(-IPMT(InterestRate/12,1,Amortization[[#This Row],['#
remaining]],D162),0)),0)</f>
        <v>1603.2311991685467</v>
      </c>
      <c r="F161" s="235">
        <f ca="1">IFERROR(IF(AND(ValuesEntered,Amortization[[#This Row],[payment
date]]&lt;&gt;""),-PPMT(InterestRate/12,1,DurationOfLoan-ROWS($C$4:C161)+1,Amortization[[#This Row],[opening
balance]]),""),0)</f>
        <v>2438.072343774742</v>
      </c>
      <c r="G161" s="235">
        <f ca="1">IF(Amortization[[#This Row],[payment
date]]="",0,PropertyTaxAmount)</f>
        <v>375</v>
      </c>
      <c r="H161" s="235">
        <f ca="1">IF(Amortization[[#This Row],[payment
date]]="",0,Amortization[[#This Row],[interest]]+Amortization[[#This Row],[principal]]+Amortization[[#This Row],[property
tax]])</f>
        <v>4416.3035429432884</v>
      </c>
      <c r="I161" s="235">
        <f ca="1">IF(Amortization[[#This Row],[payment
date]]="",0,Amortization[[#This Row],[opening
balance]]-Amortization[[#This Row],[principal]])</f>
        <v>641292.47966741864</v>
      </c>
      <c r="J161" s="247">
        <f ca="1">IF(Amortization[[#This Row],[closing
balance]]&gt;0,LastRow-ROW(),0)</f>
        <v>202</v>
      </c>
    </row>
    <row r="162" spans="2:10" ht="15" customHeight="1" x14ac:dyDescent="0.25">
      <c r="B162" s="249">
        <f>ROWS($B$4:B162)</f>
        <v>159</v>
      </c>
      <c r="C162" s="248">
        <f ca="1">IF(ValuesEntered,IF(Amortization[[#This Row],['#]]&lt;=DurationOfLoan,IF(ROW()-ROW(Amortization[[#Headers],[payment
date]])=1,LoanStart,IF(I161&gt;0,EDATE(C161,1),"")),""),"")</f>
        <v>49866</v>
      </c>
      <c r="D162" s="235">
        <f ca="1">IF(ROW()-ROW(Amortization[[#Headers],[opening
balance]])=1,LoanAmount,IF(Amortization[[#This Row],[payment
date]]="",0,INDEX(Amortization[], ROW()-4,8)))</f>
        <v>641292.47966741864</v>
      </c>
      <c r="E162" s="235">
        <f ca="1">IF(ValuesEntered,IF(ROW()-ROW(Amortization[[#Headers],[interest]])=1,-IPMT(InterestRate/12,1,DurationOfLoan-ROWS($C$4:C162)+1,Amortization[[#This Row],[opening
balance]]),IFERROR(-IPMT(InterestRate/12,1,Amortization[[#This Row],['#
remaining]],D163),0)),0)</f>
        <v>1597.1207803569612</v>
      </c>
      <c r="F162" s="235">
        <f ca="1">IFERROR(IF(AND(ValuesEntered,Amortization[[#This Row],[payment
date]]&lt;&gt;""),-PPMT(InterestRate/12,1,DurationOfLoan-ROWS($C$4:C162)+1,Amortization[[#This Row],[opening
balance]]),""),0)</f>
        <v>2444.1675246341797</v>
      </c>
      <c r="G162" s="235">
        <f ca="1">IF(Amortization[[#This Row],[payment
date]]="",0,PropertyTaxAmount)</f>
        <v>375</v>
      </c>
      <c r="H162" s="235">
        <f ca="1">IF(Amortization[[#This Row],[payment
date]]="",0,Amortization[[#This Row],[interest]]+Amortization[[#This Row],[principal]]+Amortization[[#This Row],[property
tax]])</f>
        <v>4416.2883049911406</v>
      </c>
      <c r="I162" s="235">
        <f ca="1">IF(Amortization[[#This Row],[payment
date]]="",0,Amortization[[#This Row],[opening
balance]]-Amortization[[#This Row],[principal]])</f>
        <v>638848.31214278447</v>
      </c>
      <c r="J162" s="247">
        <f ca="1">IF(Amortization[[#This Row],[closing
balance]]&gt;0,LastRow-ROW(),0)</f>
        <v>201</v>
      </c>
    </row>
    <row r="163" spans="2:10" ht="15" customHeight="1" x14ac:dyDescent="0.25">
      <c r="B163" s="249">
        <f>ROWS($B$4:B163)</f>
        <v>160</v>
      </c>
      <c r="C163" s="248">
        <f ca="1">IF(ValuesEntered,IF(Amortization[[#This Row],['#]]&lt;=DurationOfLoan,IF(ROW()-ROW(Amortization[[#Headers],[payment
date]])=1,LoanStart,IF(I162&gt;0,EDATE(C162,1),"")),""),"")</f>
        <v>49897</v>
      </c>
      <c r="D163" s="235">
        <f ca="1">IF(ROW()-ROW(Amortization[[#Headers],[opening
balance]])=1,LoanAmount,IF(Amortization[[#This Row],[payment
date]]="",0,INDEX(Amortization[], ROW()-4,8)))</f>
        <v>638848.31214278447</v>
      </c>
      <c r="E163" s="235">
        <f ca="1">IF(ValuesEntered,IF(ROW()-ROW(Amortization[[#Headers],[interest]])=1,-IPMT(InterestRate/12,1,DurationOfLoan-ROWS($C$4:C163)+1,Amortization[[#This Row],[opening
balance]]),IFERROR(-IPMT(InterestRate/12,1,Amortization[[#This Row],['#
remaining]],D164),0)),0)</f>
        <v>1590.995085498347</v>
      </c>
      <c r="F163" s="235">
        <f ca="1">IFERROR(IF(AND(ValuesEntered,Amortization[[#This Row],[payment
date]]&lt;&gt;""),-PPMT(InterestRate/12,1,DurationOfLoan-ROWS($C$4:C163)+1,Amortization[[#This Row],[opening
balance]]),""),0)</f>
        <v>2450.2779434457652</v>
      </c>
      <c r="G163" s="235">
        <f ca="1">IF(Amortization[[#This Row],[payment
date]]="",0,PropertyTaxAmount)</f>
        <v>375</v>
      </c>
      <c r="H163" s="235">
        <f ca="1">IF(Amortization[[#This Row],[payment
date]]="",0,Amortization[[#This Row],[interest]]+Amortization[[#This Row],[principal]]+Amortization[[#This Row],[property
tax]])</f>
        <v>4416.2730289441124</v>
      </c>
      <c r="I163" s="235">
        <f ca="1">IF(Amortization[[#This Row],[payment
date]]="",0,Amortization[[#This Row],[opening
balance]]-Amortization[[#This Row],[principal]])</f>
        <v>636398.03419933876</v>
      </c>
      <c r="J163" s="247">
        <f ca="1">IF(Amortization[[#This Row],[closing
balance]]&gt;0,LastRow-ROW(),0)</f>
        <v>200</v>
      </c>
    </row>
    <row r="164" spans="2:10" ht="15" customHeight="1" x14ac:dyDescent="0.25">
      <c r="B164" s="249">
        <f>ROWS($B$4:B164)</f>
        <v>161</v>
      </c>
      <c r="C164" s="248">
        <f ca="1">IF(ValuesEntered,IF(Amortization[[#This Row],['#]]&lt;=DurationOfLoan,IF(ROW()-ROW(Amortization[[#Headers],[payment
date]])=1,LoanStart,IF(I163&gt;0,EDATE(C163,1),"")),""),"")</f>
        <v>49928</v>
      </c>
      <c r="D164" s="235">
        <f ca="1">IF(ROW()-ROW(Amortization[[#Headers],[opening
balance]])=1,LoanAmount,IF(Amortization[[#This Row],[payment
date]]="",0,INDEX(Amortization[], ROW()-4,8)))</f>
        <v>636398.03419933876</v>
      </c>
      <c r="E164" s="235">
        <f ca="1">IF(ValuesEntered,IF(ROW()-ROW(Amortization[[#Headers],[interest]])=1,-IPMT(InterestRate/12,1,DurationOfLoan-ROWS($C$4:C164)+1,Amortization[[#This Row],[opening
balance]]),IFERROR(-IPMT(InterestRate/12,1,Amortization[[#This Row],['#
remaining]],D165),0)),0)</f>
        <v>1584.8540764025861</v>
      </c>
      <c r="F164" s="235">
        <f ca="1">IFERROR(IF(AND(ValuesEntered,Amortization[[#This Row],[payment
date]]&lt;&gt;""),-PPMT(InterestRate/12,1,DurationOfLoan-ROWS($C$4:C164)+1,Amortization[[#This Row],[opening
balance]]),""),0)</f>
        <v>2456.4036383043799</v>
      </c>
      <c r="G164" s="235">
        <f ca="1">IF(Amortization[[#This Row],[payment
date]]="",0,PropertyTaxAmount)</f>
        <v>375</v>
      </c>
      <c r="H164" s="235">
        <f ca="1">IF(Amortization[[#This Row],[payment
date]]="",0,Amortization[[#This Row],[interest]]+Amortization[[#This Row],[principal]]+Amortization[[#This Row],[property
tax]])</f>
        <v>4416.257714706966</v>
      </c>
      <c r="I164" s="235">
        <f ca="1">IF(Amortization[[#This Row],[payment
date]]="",0,Amortization[[#This Row],[opening
balance]]-Amortization[[#This Row],[principal]])</f>
        <v>633941.63056103443</v>
      </c>
      <c r="J164" s="247">
        <f ca="1">IF(Amortization[[#This Row],[closing
balance]]&gt;0,LastRow-ROW(),0)</f>
        <v>199</v>
      </c>
    </row>
    <row r="165" spans="2:10" ht="15" customHeight="1" x14ac:dyDescent="0.25">
      <c r="B165" s="249">
        <f>ROWS($B$4:B165)</f>
        <v>162</v>
      </c>
      <c r="C165" s="248">
        <f ca="1">IF(ValuesEntered,IF(Amortization[[#This Row],['#]]&lt;=DurationOfLoan,IF(ROW()-ROW(Amortization[[#Headers],[payment
date]])=1,LoanStart,IF(I164&gt;0,EDATE(C164,1),"")),""),"")</f>
        <v>49958</v>
      </c>
      <c r="D165" s="235">
        <f ca="1">IF(ROW()-ROW(Amortization[[#Headers],[opening
balance]])=1,LoanAmount,IF(Amortization[[#This Row],[payment
date]]="",0,INDEX(Amortization[], ROW()-4,8)))</f>
        <v>633941.63056103443</v>
      </c>
      <c r="E165" s="235">
        <f ca="1">IF(ValuesEntered,IF(ROW()-ROW(Amortization[[#Headers],[interest]])=1,-IPMT(InterestRate/12,1,DurationOfLoan-ROWS($C$4:C165)+1,Amortization[[#This Row],[opening
balance]]),IFERROR(-IPMT(InterestRate/12,1,Amortization[[#This Row],['#
remaining]],D166),0)),0)</f>
        <v>1578.6977147840857</v>
      </c>
      <c r="F165" s="235">
        <f ca="1">IFERROR(IF(AND(ValuesEntered,Amortization[[#This Row],[payment
date]]&lt;&gt;""),-PPMT(InterestRate/12,1,DurationOfLoan-ROWS($C$4:C165)+1,Amortization[[#This Row],[opening
balance]]),""),0)</f>
        <v>2462.544647400141</v>
      </c>
      <c r="G165" s="235">
        <f ca="1">IF(Amortization[[#This Row],[payment
date]]="",0,PropertyTaxAmount)</f>
        <v>375</v>
      </c>
      <c r="H165" s="235">
        <f ca="1">IF(Amortization[[#This Row],[payment
date]]="",0,Amortization[[#This Row],[interest]]+Amortization[[#This Row],[principal]]+Amortization[[#This Row],[property
tax]])</f>
        <v>4416.2423621842263</v>
      </c>
      <c r="I165" s="235">
        <f ca="1">IF(Amortization[[#This Row],[payment
date]]="",0,Amortization[[#This Row],[opening
balance]]-Amortization[[#This Row],[principal]])</f>
        <v>631479.08591363428</v>
      </c>
      <c r="J165" s="247">
        <f ca="1">IF(Amortization[[#This Row],[closing
balance]]&gt;0,LastRow-ROW(),0)</f>
        <v>198</v>
      </c>
    </row>
    <row r="166" spans="2:10" ht="15" customHeight="1" x14ac:dyDescent="0.25">
      <c r="B166" s="249">
        <f>ROWS($B$4:B166)</f>
        <v>163</v>
      </c>
      <c r="C166" s="248">
        <f ca="1">IF(ValuesEntered,IF(Amortization[[#This Row],['#]]&lt;=DurationOfLoan,IF(ROW()-ROW(Amortization[[#Headers],[payment
date]])=1,LoanStart,IF(I165&gt;0,EDATE(C165,1),"")),""),"")</f>
        <v>49989</v>
      </c>
      <c r="D166" s="235">
        <f ca="1">IF(ROW()-ROW(Amortization[[#Headers],[opening
balance]])=1,LoanAmount,IF(Amortization[[#This Row],[payment
date]]="",0,INDEX(Amortization[], ROW()-4,8)))</f>
        <v>631479.08591363428</v>
      </c>
      <c r="E166" s="235">
        <f ca="1">IF(ValuesEntered,IF(ROW()-ROW(Amortization[[#Headers],[interest]])=1,-IPMT(InterestRate/12,1,DurationOfLoan-ROWS($C$4:C166)+1,Amortization[[#This Row],[opening
balance]]),IFERROR(-IPMT(InterestRate/12,1,Amortization[[#This Row],['#
remaining]],D167),0)),0)</f>
        <v>1572.525962261539</v>
      </c>
      <c r="F166" s="235">
        <f ca="1">IFERROR(IF(AND(ValuesEntered,Amortization[[#This Row],[payment
date]]&lt;&gt;""),-PPMT(InterestRate/12,1,DurationOfLoan-ROWS($C$4:C166)+1,Amortization[[#This Row],[opening
balance]]),""),0)</f>
        <v>2468.7010090186413</v>
      </c>
      <c r="G166" s="235">
        <f ca="1">IF(Amortization[[#This Row],[payment
date]]="",0,PropertyTaxAmount)</f>
        <v>375</v>
      </c>
      <c r="H166" s="235">
        <f ca="1">IF(Amortization[[#This Row],[payment
date]]="",0,Amortization[[#This Row],[interest]]+Amortization[[#This Row],[principal]]+Amortization[[#This Row],[property
tax]])</f>
        <v>4416.2269712801808</v>
      </c>
      <c r="I166" s="235">
        <f ca="1">IF(Amortization[[#This Row],[payment
date]]="",0,Amortization[[#This Row],[opening
balance]]-Amortization[[#This Row],[principal]])</f>
        <v>629010.38490461558</v>
      </c>
      <c r="J166" s="247">
        <f ca="1">IF(Amortization[[#This Row],[closing
balance]]&gt;0,LastRow-ROW(),0)</f>
        <v>197</v>
      </c>
    </row>
    <row r="167" spans="2:10" ht="15" customHeight="1" x14ac:dyDescent="0.25">
      <c r="B167" s="249">
        <f>ROWS($B$4:B167)</f>
        <v>164</v>
      </c>
      <c r="C167" s="248">
        <f ca="1">IF(ValuesEntered,IF(Amortization[[#This Row],['#]]&lt;=DurationOfLoan,IF(ROW()-ROW(Amortization[[#Headers],[payment
date]])=1,LoanStart,IF(I166&gt;0,EDATE(C166,1),"")),""),"")</f>
        <v>50019</v>
      </c>
      <c r="D167" s="235">
        <f ca="1">IF(ROW()-ROW(Amortization[[#Headers],[opening
balance]])=1,LoanAmount,IF(Amortization[[#This Row],[payment
date]]="",0,INDEX(Amortization[], ROW()-4,8)))</f>
        <v>629010.38490461558</v>
      </c>
      <c r="E167" s="235">
        <f ca="1">IF(ValuesEntered,IF(ROW()-ROW(Amortization[[#Headers],[interest]])=1,-IPMT(InterestRate/12,1,DurationOfLoan-ROWS($C$4:C167)+1,Amortization[[#This Row],[opening
balance]]),IFERROR(-IPMT(InterestRate/12,1,Amortization[[#This Row],['#
remaining]],D168),0)),0)</f>
        <v>1566.3387803576861</v>
      </c>
      <c r="F167" s="235">
        <f ca="1">IFERROR(IF(AND(ValuesEntered,Amortization[[#This Row],[payment
date]]&lt;&gt;""),-PPMT(InterestRate/12,1,DurationOfLoan-ROWS($C$4:C167)+1,Amortization[[#This Row],[opening
balance]]),""),0)</f>
        <v>2474.8727615411876</v>
      </c>
      <c r="G167" s="235">
        <f ca="1">IF(Amortization[[#This Row],[payment
date]]="",0,PropertyTaxAmount)</f>
        <v>375</v>
      </c>
      <c r="H167" s="235">
        <f ca="1">IF(Amortization[[#This Row],[payment
date]]="",0,Amortization[[#This Row],[interest]]+Amortization[[#This Row],[principal]]+Amortization[[#This Row],[property
tax]])</f>
        <v>4416.2115418988742</v>
      </c>
      <c r="I167" s="235">
        <f ca="1">IF(Amortization[[#This Row],[payment
date]]="",0,Amortization[[#This Row],[opening
balance]]-Amortization[[#This Row],[principal]])</f>
        <v>626535.51214307442</v>
      </c>
      <c r="J167" s="247">
        <f ca="1">IF(Amortization[[#This Row],[closing
balance]]&gt;0,LastRow-ROW(),0)</f>
        <v>196</v>
      </c>
    </row>
    <row r="168" spans="2:10" ht="15" customHeight="1" x14ac:dyDescent="0.25">
      <c r="B168" s="249">
        <f>ROWS($B$4:B168)</f>
        <v>165</v>
      </c>
      <c r="C168" s="248">
        <f ca="1">IF(ValuesEntered,IF(Amortization[[#This Row],['#]]&lt;=DurationOfLoan,IF(ROW()-ROW(Amortization[[#Headers],[payment
date]])=1,LoanStart,IF(I167&gt;0,EDATE(C167,1),"")),""),"")</f>
        <v>50050</v>
      </c>
      <c r="D168" s="235">
        <f ca="1">IF(ROW()-ROW(Amortization[[#Headers],[opening
balance]])=1,LoanAmount,IF(Amortization[[#This Row],[payment
date]]="",0,INDEX(Amortization[], ROW()-4,8)))</f>
        <v>626535.51214307442</v>
      </c>
      <c r="E168" s="235">
        <f ca="1">IF(ValuesEntered,IF(ROW()-ROW(Amortization[[#Headers],[interest]])=1,-IPMT(InterestRate/12,1,DurationOfLoan-ROWS($C$4:C168)+1,Amortization[[#This Row],[opening
balance]]),IFERROR(-IPMT(InterestRate/12,1,Amortization[[#This Row],['#
remaining]],D169),0)),0)</f>
        <v>1560.1361304990735</v>
      </c>
      <c r="F168" s="235">
        <f ca="1">IFERROR(IF(AND(ValuesEntered,Amortization[[#This Row],[payment
date]]&lt;&gt;""),-PPMT(InterestRate/12,1,DurationOfLoan-ROWS($C$4:C168)+1,Amortization[[#This Row],[opening
balance]]),""),0)</f>
        <v>2481.0599434450405</v>
      </c>
      <c r="G168" s="235">
        <f ca="1">IF(Amortization[[#This Row],[payment
date]]="",0,PropertyTaxAmount)</f>
        <v>375</v>
      </c>
      <c r="H168" s="235">
        <f ca="1">IF(Amortization[[#This Row],[payment
date]]="",0,Amortization[[#This Row],[interest]]+Amortization[[#This Row],[principal]]+Amortization[[#This Row],[property
tax]])</f>
        <v>4416.1960739441138</v>
      </c>
      <c r="I168" s="235">
        <f ca="1">IF(Amortization[[#This Row],[payment
date]]="",0,Amortization[[#This Row],[opening
balance]]-Amortization[[#This Row],[principal]])</f>
        <v>624054.45219962939</v>
      </c>
      <c r="J168" s="247">
        <f ca="1">IF(Amortization[[#This Row],[closing
balance]]&gt;0,LastRow-ROW(),0)</f>
        <v>195</v>
      </c>
    </row>
    <row r="169" spans="2:10" ht="15" customHeight="1" x14ac:dyDescent="0.25">
      <c r="B169" s="249">
        <f>ROWS($B$4:B169)</f>
        <v>166</v>
      </c>
      <c r="C169" s="248">
        <f ca="1">IF(ValuesEntered,IF(Amortization[[#This Row],['#]]&lt;=DurationOfLoan,IF(ROW()-ROW(Amortization[[#Headers],[payment
date]])=1,LoanStart,IF(I168&gt;0,EDATE(C168,1),"")),""),"")</f>
        <v>50081</v>
      </c>
      <c r="D169" s="235">
        <f ca="1">IF(ROW()-ROW(Amortization[[#Headers],[opening
balance]])=1,LoanAmount,IF(Amortization[[#This Row],[payment
date]]="",0,INDEX(Amortization[], ROW()-4,8)))</f>
        <v>624054.45219962939</v>
      </c>
      <c r="E169" s="235">
        <f ca="1">IF(ValuesEntered,IF(ROW()-ROW(Amortization[[#Headers],[interest]])=1,-IPMT(InterestRate/12,1,DurationOfLoan-ROWS($C$4:C169)+1,Amortization[[#This Row],[opening
balance]]),IFERROR(-IPMT(InterestRate/12,1,Amortization[[#This Row],['#
remaining]],D170),0)),0)</f>
        <v>1553.9179740158143</v>
      </c>
      <c r="F169" s="235">
        <f ca="1">IFERROR(IF(AND(ValuesEntered,Amortization[[#This Row],[payment
date]]&lt;&gt;""),-PPMT(InterestRate/12,1,DurationOfLoan-ROWS($C$4:C169)+1,Amortization[[#This Row],[opening
balance]]),""),0)</f>
        <v>2487.2625933036534</v>
      </c>
      <c r="G169" s="235">
        <f ca="1">IF(Amortization[[#This Row],[payment
date]]="",0,PropertyTaxAmount)</f>
        <v>375</v>
      </c>
      <c r="H169" s="235">
        <f ca="1">IF(Amortization[[#This Row],[payment
date]]="",0,Amortization[[#This Row],[interest]]+Amortization[[#This Row],[principal]]+Amortization[[#This Row],[property
tax]])</f>
        <v>4416.1805673194676</v>
      </c>
      <c r="I169" s="235">
        <f ca="1">IF(Amortization[[#This Row],[payment
date]]="",0,Amortization[[#This Row],[opening
balance]]-Amortization[[#This Row],[principal]])</f>
        <v>621567.1896063257</v>
      </c>
      <c r="J169" s="247">
        <f ca="1">IF(Amortization[[#This Row],[closing
balance]]&gt;0,LastRow-ROW(),0)</f>
        <v>194</v>
      </c>
    </row>
    <row r="170" spans="2:10" ht="15" customHeight="1" x14ac:dyDescent="0.25">
      <c r="B170" s="249">
        <f>ROWS($B$4:B170)</f>
        <v>167</v>
      </c>
      <c r="C170" s="248">
        <f ca="1">IF(ValuesEntered,IF(Amortization[[#This Row],['#]]&lt;=DurationOfLoan,IF(ROW()-ROW(Amortization[[#Headers],[payment
date]])=1,LoanStart,IF(I169&gt;0,EDATE(C169,1),"")),""),"")</f>
        <v>50109</v>
      </c>
      <c r="D170" s="235">
        <f ca="1">IF(ROW()-ROW(Amortization[[#Headers],[opening
balance]])=1,LoanAmount,IF(Amortization[[#This Row],[payment
date]]="",0,INDEX(Amortization[], ROW()-4,8)))</f>
        <v>621567.1896063257</v>
      </c>
      <c r="E170" s="235">
        <f ca="1">IF(ValuesEntered,IF(ROW()-ROW(Amortization[[#Headers],[interest]])=1,-IPMT(InterestRate/12,1,DurationOfLoan-ROWS($C$4:C170)+1,Amortization[[#This Row],[opening
balance]]),IFERROR(-IPMT(InterestRate/12,1,Amortization[[#This Row],['#
remaining]],D171),0)),0)</f>
        <v>1547.6842721413468</v>
      </c>
      <c r="F170" s="235">
        <f ca="1">IFERROR(IF(AND(ValuesEntered,Amortization[[#This Row],[payment
date]]&lt;&gt;""),-PPMT(InterestRate/12,1,DurationOfLoan-ROWS($C$4:C170)+1,Amortization[[#This Row],[opening
balance]]),""),0)</f>
        <v>2493.4807497869124</v>
      </c>
      <c r="G170" s="235">
        <f ca="1">IF(Amortization[[#This Row],[payment
date]]="",0,PropertyTaxAmount)</f>
        <v>375</v>
      </c>
      <c r="H170" s="235">
        <f ca="1">IF(Amortization[[#This Row],[payment
date]]="",0,Amortization[[#This Row],[interest]]+Amortization[[#This Row],[principal]]+Amortization[[#This Row],[property
tax]])</f>
        <v>4416.1650219282592</v>
      </c>
      <c r="I170" s="235">
        <f ca="1">IF(Amortization[[#This Row],[payment
date]]="",0,Amortization[[#This Row],[opening
balance]]-Amortization[[#This Row],[principal]])</f>
        <v>619073.70885653875</v>
      </c>
      <c r="J170" s="247">
        <f ca="1">IF(Amortization[[#This Row],[closing
balance]]&gt;0,LastRow-ROW(),0)</f>
        <v>193</v>
      </c>
    </row>
    <row r="171" spans="2:10" ht="15" customHeight="1" x14ac:dyDescent="0.25">
      <c r="B171" s="249">
        <f>ROWS($B$4:B171)</f>
        <v>168</v>
      </c>
      <c r="C171" s="248">
        <f ca="1">IF(ValuesEntered,IF(Amortization[[#This Row],['#]]&lt;=DurationOfLoan,IF(ROW()-ROW(Amortization[[#Headers],[payment
date]])=1,LoanStart,IF(I170&gt;0,EDATE(C170,1),"")),""),"")</f>
        <v>50140</v>
      </c>
      <c r="D171" s="235">
        <f ca="1">IF(ROW()-ROW(Amortization[[#Headers],[opening
balance]])=1,LoanAmount,IF(Amortization[[#This Row],[payment
date]]="",0,INDEX(Amortization[], ROW()-4,8)))</f>
        <v>619073.70885653875</v>
      </c>
      <c r="E171" s="235">
        <f ca="1">IF(ValuesEntered,IF(ROW()-ROW(Amortization[[#Headers],[interest]])=1,-IPMT(InterestRate/12,1,DurationOfLoan-ROWS($C$4:C171)+1,Amortization[[#This Row],[opening
balance]]),IFERROR(-IPMT(InterestRate/12,1,Amortization[[#This Row],['#
remaining]],D172),0)),0)</f>
        <v>1541.4349860121936</v>
      </c>
      <c r="F171" s="235">
        <f ca="1">IFERROR(IF(AND(ValuesEntered,Amortization[[#This Row],[payment
date]]&lt;&gt;""),-PPMT(InterestRate/12,1,DurationOfLoan-ROWS($C$4:C171)+1,Amortization[[#This Row],[opening
balance]]),""),0)</f>
        <v>2499.7144516613794</v>
      </c>
      <c r="G171" s="235">
        <f ca="1">IF(Amortization[[#This Row],[payment
date]]="",0,PropertyTaxAmount)</f>
        <v>375</v>
      </c>
      <c r="H171" s="235">
        <f ca="1">IF(Amortization[[#This Row],[payment
date]]="",0,Amortization[[#This Row],[interest]]+Amortization[[#This Row],[principal]]+Amortization[[#This Row],[property
tax]])</f>
        <v>4416.1494376735727</v>
      </c>
      <c r="I171" s="235">
        <f ca="1">IF(Amortization[[#This Row],[payment
date]]="",0,Amortization[[#This Row],[opening
balance]]-Amortization[[#This Row],[principal]])</f>
        <v>616573.99440487742</v>
      </c>
      <c r="J171" s="247">
        <f ca="1">IF(Amortization[[#This Row],[closing
balance]]&gt;0,LastRow-ROW(),0)</f>
        <v>192</v>
      </c>
    </row>
    <row r="172" spans="2:10" ht="15" customHeight="1" x14ac:dyDescent="0.25">
      <c r="B172" s="249">
        <f>ROWS($B$4:B172)</f>
        <v>169</v>
      </c>
      <c r="C172" s="248">
        <f ca="1">IF(ValuesEntered,IF(Amortization[[#This Row],['#]]&lt;=DurationOfLoan,IF(ROW()-ROW(Amortization[[#Headers],[payment
date]])=1,LoanStart,IF(I171&gt;0,EDATE(C171,1),"")),""),"")</f>
        <v>50170</v>
      </c>
      <c r="D172" s="235">
        <f ca="1">IF(ROW()-ROW(Amortization[[#Headers],[opening
balance]])=1,LoanAmount,IF(Amortization[[#This Row],[payment
date]]="",0,INDEX(Amortization[], ROW()-4,8)))</f>
        <v>616573.99440487742</v>
      </c>
      <c r="E172" s="235">
        <f ca="1">IF(ValuesEntered,IF(ROW()-ROW(Amortization[[#Headers],[interest]])=1,-IPMT(InterestRate/12,1,DurationOfLoan-ROWS($C$4:C172)+1,Amortization[[#This Row],[opening
balance]]),IFERROR(-IPMT(InterestRate/12,1,Amortization[[#This Row],['#
remaining]],D173),0)),0)</f>
        <v>1535.170076667717</v>
      </c>
      <c r="F172" s="235">
        <f ca="1">IFERROR(IF(AND(ValuesEntered,Amortization[[#This Row],[payment
date]]&lt;&gt;""),-PPMT(InterestRate/12,1,DurationOfLoan-ROWS($C$4:C172)+1,Amortization[[#This Row],[opening
balance]]),""),0)</f>
        <v>2505.9637377905328</v>
      </c>
      <c r="G172" s="235">
        <f ca="1">IF(Amortization[[#This Row],[payment
date]]="",0,PropertyTaxAmount)</f>
        <v>375</v>
      </c>
      <c r="H172" s="235">
        <f ca="1">IF(Amortization[[#This Row],[payment
date]]="",0,Amortization[[#This Row],[interest]]+Amortization[[#This Row],[principal]]+Amortization[[#This Row],[property
tax]])</f>
        <v>4416.1338144582496</v>
      </c>
      <c r="I172" s="235">
        <f ca="1">IF(Amortization[[#This Row],[payment
date]]="",0,Amortization[[#This Row],[opening
balance]]-Amortization[[#This Row],[principal]])</f>
        <v>614068.03066708683</v>
      </c>
      <c r="J172" s="247">
        <f ca="1">IF(Amortization[[#This Row],[closing
balance]]&gt;0,LastRow-ROW(),0)</f>
        <v>191</v>
      </c>
    </row>
    <row r="173" spans="2:10" ht="15" customHeight="1" x14ac:dyDescent="0.25">
      <c r="B173" s="249">
        <f>ROWS($B$4:B173)</f>
        <v>170</v>
      </c>
      <c r="C173" s="248">
        <f ca="1">IF(ValuesEntered,IF(Amortization[[#This Row],['#]]&lt;=DurationOfLoan,IF(ROW()-ROW(Amortization[[#Headers],[payment
date]])=1,LoanStart,IF(I172&gt;0,EDATE(C172,1),"")),""),"")</f>
        <v>50201</v>
      </c>
      <c r="D173" s="235">
        <f ca="1">IF(ROW()-ROW(Amortization[[#Headers],[opening
balance]])=1,LoanAmount,IF(Amortization[[#This Row],[payment
date]]="",0,INDEX(Amortization[], ROW()-4,8)))</f>
        <v>614068.03066708683</v>
      </c>
      <c r="E173" s="235">
        <f ca="1">IF(ValuesEntered,IF(ROW()-ROW(Amortization[[#Headers],[interest]])=1,-IPMT(InterestRate/12,1,DurationOfLoan-ROWS($C$4:C173)+1,Amortization[[#This Row],[opening
balance]]),IFERROR(-IPMT(InterestRate/12,1,Amortization[[#This Row],['#
remaining]],D174),0)),0)</f>
        <v>1528.8895050498797</v>
      </c>
      <c r="F173" s="235">
        <f ca="1">IFERROR(IF(AND(ValuesEntered,Amortization[[#This Row],[payment
date]]&lt;&gt;""),-PPMT(InterestRate/12,1,DurationOfLoan-ROWS($C$4:C173)+1,Amortization[[#This Row],[opening
balance]]),""),0)</f>
        <v>2512.2286471350089</v>
      </c>
      <c r="G173" s="235">
        <f ca="1">IF(Amortization[[#This Row],[payment
date]]="",0,PropertyTaxAmount)</f>
        <v>375</v>
      </c>
      <c r="H173" s="235">
        <f ca="1">IF(Amortization[[#This Row],[payment
date]]="",0,Amortization[[#This Row],[interest]]+Amortization[[#This Row],[principal]]+Amortization[[#This Row],[property
tax]])</f>
        <v>4416.1181521848885</v>
      </c>
      <c r="I173" s="235">
        <f ca="1">IF(Amortization[[#This Row],[payment
date]]="",0,Amortization[[#This Row],[opening
balance]]-Amortization[[#This Row],[principal]])</f>
        <v>611555.80201995187</v>
      </c>
      <c r="J173" s="247">
        <f ca="1">IF(Amortization[[#This Row],[closing
balance]]&gt;0,LastRow-ROW(),0)</f>
        <v>190</v>
      </c>
    </row>
    <row r="174" spans="2:10" ht="15" customHeight="1" x14ac:dyDescent="0.25">
      <c r="B174" s="249">
        <f>ROWS($B$4:B174)</f>
        <v>171</v>
      </c>
      <c r="C174" s="248">
        <f ca="1">IF(ValuesEntered,IF(Amortization[[#This Row],['#]]&lt;=DurationOfLoan,IF(ROW()-ROW(Amortization[[#Headers],[payment
date]])=1,LoanStart,IF(I173&gt;0,EDATE(C173,1),"")),""),"")</f>
        <v>50231</v>
      </c>
      <c r="D174" s="235">
        <f ca="1">IF(ROW()-ROW(Amortization[[#Headers],[opening
balance]])=1,LoanAmount,IF(Amortization[[#This Row],[payment
date]]="",0,INDEX(Amortization[], ROW()-4,8)))</f>
        <v>611555.80201995187</v>
      </c>
      <c r="E174" s="235">
        <f ca="1">IF(ValuesEntered,IF(ROW()-ROW(Amortization[[#Headers],[interest]])=1,-IPMT(InterestRate/12,1,DurationOfLoan-ROWS($C$4:C174)+1,Amortization[[#This Row],[opening
balance]]),IFERROR(-IPMT(InterestRate/12,1,Amortization[[#This Row],['#
remaining]],D175),0)),0)</f>
        <v>1522.5932320029976</v>
      </c>
      <c r="F174" s="235">
        <f ca="1">IFERROR(IF(AND(ValuesEntered,Amortization[[#This Row],[payment
date]]&lt;&gt;""),-PPMT(InterestRate/12,1,DurationOfLoan-ROWS($C$4:C174)+1,Amortization[[#This Row],[opening
balance]]),""),0)</f>
        <v>2518.5092187528462</v>
      </c>
      <c r="G174" s="235">
        <f ca="1">IF(Amortization[[#This Row],[payment
date]]="",0,PropertyTaxAmount)</f>
        <v>375</v>
      </c>
      <c r="H174" s="235">
        <f ca="1">IF(Amortization[[#This Row],[payment
date]]="",0,Amortization[[#This Row],[interest]]+Amortization[[#This Row],[principal]]+Amortization[[#This Row],[property
tax]])</f>
        <v>4416.1024507558441</v>
      </c>
      <c r="I174" s="235">
        <f ca="1">IF(Amortization[[#This Row],[payment
date]]="",0,Amortization[[#This Row],[opening
balance]]-Amortization[[#This Row],[principal]])</f>
        <v>609037.29280119902</v>
      </c>
      <c r="J174" s="247">
        <f ca="1">IF(Amortization[[#This Row],[closing
balance]]&gt;0,LastRow-ROW(),0)</f>
        <v>189</v>
      </c>
    </row>
    <row r="175" spans="2:10" ht="15" customHeight="1" x14ac:dyDescent="0.25">
      <c r="B175" s="249">
        <f>ROWS($B$4:B175)</f>
        <v>172</v>
      </c>
      <c r="C175" s="248">
        <f ca="1">IF(ValuesEntered,IF(Amortization[[#This Row],['#]]&lt;=DurationOfLoan,IF(ROW()-ROW(Amortization[[#Headers],[payment
date]])=1,LoanStart,IF(I174&gt;0,EDATE(C174,1),"")),""),"")</f>
        <v>50262</v>
      </c>
      <c r="D175" s="235">
        <f ca="1">IF(ROW()-ROW(Amortization[[#Headers],[opening
balance]])=1,LoanAmount,IF(Amortization[[#This Row],[payment
date]]="",0,INDEX(Amortization[], ROW()-4,8)))</f>
        <v>609037.29280119902</v>
      </c>
      <c r="E175" s="235">
        <f ca="1">IF(ValuesEntered,IF(ROW()-ROW(Amortization[[#Headers],[interest]])=1,-IPMT(InterestRate/12,1,DurationOfLoan-ROWS($C$4:C175)+1,Amortization[[#This Row],[opening
balance]]),IFERROR(-IPMT(InterestRate/12,1,Amortization[[#This Row],['#
remaining]],D176),0)),0)</f>
        <v>1516.2812182734983</v>
      </c>
      <c r="F175" s="235">
        <f ca="1">IFERROR(IF(AND(ValuesEntered,Amortization[[#This Row],[payment
date]]&lt;&gt;""),-PPMT(InterestRate/12,1,DurationOfLoan-ROWS($C$4:C175)+1,Amortization[[#This Row],[opening
balance]]),""),0)</f>
        <v>2524.8054917997292</v>
      </c>
      <c r="G175" s="235">
        <f ca="1">IF(Amortization[[#This Row],[payment
date]]="",0,PropertyTaxAmount)</f>
        <v>375</v>
      </c>
      <c r="H175" s="235">
        <f ca="1">IF(Amortization[[#This Row],[payment
date]]="",0,Amortization[[#This Row],[interest]]+Amortization[[#This Row],[principal]]+Amortization[[#This Row],[property
tax]])</f>
        <v>4416.0867100732276</v>
      </c>
      <c r="I175" s="235">
        <f ca="1">IF(Amortization[[#This Row],[payment
date]]="",0,Amortization[[#This Row],[opening
balance]]-Amortization[[#This Row],[principal]])</f>
        <v>606512.48730939929</v>
      </c>
      <c r="J175" s="247">
        <f ca="1">IF(Amortization[[#This Row],[closing
balance]]&gt;0,LastRow-ROW(),0)</f>
        <v>188</v>
      </c>
    </row>
    <row r="176" spans="2:10" ht="15" customHeight="1" x14ac:dyDescent="0.25">
      <c r="B176" s="249">
        <f>ROWS($B$4:B176)</f>
        <v>173</v>
      </c>
      <c r="C176" s="248">
        <f ca="1">IF(ValuesEntered,IF(Amortization[[#This Row],['#]]&lt;=DurationOfLoan,IF(ROW()-ROW(Amortization[[#Headers],[payment
date]])=1,LoanStart,IF(I175&gt;0,EDATE(C175,1),"")),""),"")</f>
        <v>50293</v>
      </c>
      <c r="D176" s="235">
        <f ca="1">IF(ROW()-ROW(Amortization[[#Headers],[opening
balance]])=1,LoanAmount,IF(Amortization[[#This Row],[payment
date]]="",0,INDEX(Amortization[], ROW()-4,8)))</f>
        <v>606512.48730939929</v>
      </c>
      <c r="E176" s="235">
        <f ca="1">IF(ValuesEntered,IF(ROW()-ROW(Amortization[[#Headers],[interest]])=1,-IPMT(InterestRate/12,1,DurationOfLoan-ROWS($C$4:C176)+1,Amortization[[#This Row],[opening
balance]]),IFERROR(-IPMT(InterestRate/12,1,Amortization[[#This Row],['#
remaining]],D177),0)),0)</f>
        <v>1509.9534245096752</v>
      </c>
      <c r="F176" s="235">
        <f ca="1">IFERROR(IF(AND(ValuesEntered,Amortization[[#This Row],[payment
date]]&lt;&gt;""),-PPMT(InterestRate/12,1,DurationOfLoan-ROWS($C$4:C176)+1,Amortization[[#This Row],[opening
balance]]),""),0)</f>
        <v>2531.1175055292288</v>
      </c>
      <c r="G176" s="235">
        <f ca="1">IF(Amortization[[#This Row],[payment
date]]="",0,PropertyTaxAmount)</f>
        <v>375</v>
      </c>
      <c r="H176" s="235">
        <f ca="1">IF(Amortization[[#This Row],[payment
date]]="",0,Amortization[[#This Row],[interest]]+Amortization[[#This Row],[principal]]+Amortization[[#This Row],[property
tax]])</f>
        <v>4416.0709300389044</v>
      </c>
      <c r="I176" s="235">
        <f ca="1">IF(Amortization[[#This Row],[payment
date]]="",0,Amortization[[#This Row],[opening
balance]]-Amortization[[#This Row],[principal]])</f>
        <v>603981.3698038701</v>
      </c>
      <c r="J176" s="247">
        <f ca="1">IF(Amortization[[#This Row],[closing
balance]]&gt;0,LastRow-ROW(),0)</f>
        <v>187</v>
      </c>
    </row>
    <row r="177" spans="2:10" ht="15" customHeight="1" x14ac:dyDescent="0.25">
      <c r="B177" s="249">
        <f>ROWS($B$4:B177)</f>
        <v>174</v>
      </c>
      <c r="C177" s="248">
        <f ca="1">IF(ValuesEntered,IF(Amortization[[#This Row],['#]]&lt;=DurationOfLoan,IF(ROW()-ROW(Amortization[[#Headers],[payment
date]])=1,LoanStart,IF(I176&gt;0,EDATE(C176,1),"")),""),"")</f>
        <v>50323</v>
      </c>
      <c r="D177" s="235">
        <f ca="1">IF(ROW()-ROW(Amortization[[#Headers],[opening
balance]])=1,LoanAmount,IF(Amortization[[#This Row],[payment
date]]="",0,INDEX(Amortization[], ROW()-4,8)))</f>
        <v>603981.3698038701</v>
      </c>
      <c r="E177" s="235">
        <f ca="1">IF(ValuesEntered,IF(ROW()-ROW(Amortization[[#Headers],[interest]])=1,-IPMT(InterestRate/12,1,DurationOfLoan-ROWS($C$4:C177)+1,Amortization[[#This Row],[opening
balance]]),IFERROR(-IPMT(InterestRate/12,1,Amortization[[#This Row],['#
remaining]],D178),0)),0)</f>
        <v>1503.6098112614427</v>
      </c>
      <c r="F177" s="235">
        <f ca="1">IFERROR(IF(AND(ValuesEntered,Amortization[[#This Row],[payment
date]]&lt;&gt;""),-PPMT(InterestRate/12,1,DurationOfLoan-ROWS($C$4:C177)+1,Amortization[[#This Row],[opening
balance]]),""),0)</f>
        <v>2537.4452992930514</v>
      </c>
      <c r="G177" s="235">
        <f ca="1">IF(Amortization[[#This Row],[payment
date]]="",0,PropertyTaxAmount)</f>
        <v>375</v>
      </c>
      <c r="H177" s="235">
        <f ca="1">IF(Amortization[[#This Row],[payment
date]]="",0,Amortization[[#This Row],[interest]]+Amortization[[#This Row],[principal]]+Amortization[[#This Row],[property
tax]])</f>
        <v>4416.0551105544946</v>
      </c>
      <c r="I177" s="235">
        <f ca="1">IF(Amortization[[#This Row],[payment
date]]="",0,Amortization[[#This Row],[opening
balance]]-Amortization[[#This Row],[principal]])</f>
        <v>601443.92450457707</v>
      </c>
      <c r="J177" s="247">
        <f ca="1">IF(Amortization[[#This Row],[closing
balance]]&gt;0,LastRow-ROW(),0)</f>
        <v>186</v>
      </c>
    </row>
    <row r="178" spans="2:10" ht="15" customHeight="1" x14ac:dyDescent="0.25">
      <c r="B178" s="249">
        <f>ROWS($B$4:B178)</f>
        <v>175</v>
      </c>
      <c r="C178" s="248">
        <f ca="1">IF(ValuesEntered,IF(Amortization[[#This Row],['#]]&lt;=DurationOfLoan,IF(ROW()-ROW(Amortization[[#Headers],[payment
date]])=1,LoanStart,IF(I177&gt;0,EDATE(C177,1),"")),""),"")</f>
        <v>50354</v>
      </c>
      <c r="D178" s="235">
        <f ca="1">IF(ROW()-ROW(Amortization[[#Headers],[opening
balance]])=1,LoanAmount,IF(Amortization[[#This Row],[payment
date]]="",0,INDEX(Amortization[], ROW()-4,8)))</f>
        <v>601443.92450457707</v>
      </c>
      <c r="E178" s="235">
        <f ca="1">IF(ValuesEntered,IF(ROW()-ROW(Amortization[[#Headers],[interest]])=1,-IPMT(InterestRate/12,1,DurationOfLoan-ROWS($C$4:C178)+1,Amortization[[#This Row],[opening
balance]]),IFERROR(-IPMT(InterestRate/12,1,Amortization[[#This Row],['#
remaining]],D179),0)),0)</f>
        <v>1497.2503389800895</v>
      </c>
      <c r="F178" s="235">
        <f ca="1">IFERROR(IF(AND(ValuesEntered,Amortization[[#This Row],[payment
date]]&lt;&gt;""),-PPMT(InterestRate/12,1,DurationOfLoan-ROWS($C$4:C178)+1,Amortization[[#This Row],[opening
balance]]),""),0)</f>
        <v>2543.7889125412835</v>
      </c>
      <c r="G178" s="235">
        <f ca="1">IF(Amortization[[#This Row],[payment
date]]="",0,PropertyTaxAmount)</f>
        <v>375</v>
      </c>
      <c r="H178" s="235">
        <f ca="1">IF(Amortization[[#This Row],[payment
date]]="",0,Amortization[[#This Row],[interest]]+Amortization[[#This Row],[principal]]+Amortization[[#This Row],[property
tax]])</f>
        <v>4416.0392515213734</v>
      </c>
      <c r="I178" s="235">
        <f ca="1">IF(Amortization[[#This Row],[payment
date]]="",0,Amortization[[#This Row],[opening
balance]]-Amortization[[#This Row],[principal]])</f>
        <v>598900.13559203583</v>
      </c>
      <c r="J178" s="247">
        <f ca="1">IF(Amortization[[#This Row],[closing
balance]]&gt;0,LastRow-ROW(),0)</f>
        <v>185</v>
      </c>
    </row>
    <row r="179" spans="2:10" ht="15" customHeight="1" x14ac:dyDescent="0.25">
      <c r="B179" s="249">
        <f>ROWS($B$4:B179)</f>
        <v>176</v>
      </c>
      <c r="C179" s="248">
        <f ca="1">IF(ValuesEntered,IF(Amortization[[#This Row],['#]]&lt;=DurationOfLoan,IF(ROW()-ROW(Amortization[[#Headers],[payment
date]])=1,LoanStart,IF(I178&gt;0,EDATE(C178,1),"")),""),"")</f>
        <v>50384</v>
      </c>
      <c r="D179" s="235">
        <f ca="1">IF(ROW()-ROW(Amortization[[#Headers],[opening
balance]])=1,LoanAmount,IF(Amortization[[#This Row],[payment
date]]="",0,INDEX(Amortization[], ROW()-4,8)))</f>
        <v>598900.13559203583</v>
      </c>
      <c r="E179" s="235">
        <f ca="1">IF(ValuesEntered,IF(ROW()-ROW(Amortization[[#Headers],[interest]])=1,-IPMT(InterestRate/12,1,DurationOfLoan-ROWS($C$4:C179)+1,Amortization[[#This Row],[opening
balance]]),IFERROR(-IPMT(InterestRate/12,1,Amortization[[#This Row],['#
remaining]],D180),0)),0)</f>
        <v>1490.8749680180331</v>
      </c>
      <c r="F179" s="235">
        <f ca="1">IFERROR(IF(AND(ValuesEntered,Amortization[[#This Row],[payment
date]]&lt;&gt;""),-PPMT(InterestRate/12,1,DurationOfLoan-ROWS($C$4:C179)+1,Amortization[[#This Row],[opening
balance]]),""),0)</f>
        <v>2550.148384822638</v>
      </c>
      <c r="G179" s="235">
        <f ca="1">IF(Amortization[[#This Row],[payment
date]]="",0,PropertyTaxAmount)</f>
        <v>375</v>
      </c>
      <c r="H179" s="235">
        <f ca="1">IF(Amortization[[#This Row],[payment
date]]="",0,Amortization[[#This Row],[interest]]+Amortization[[#This Row],[principal]]+Amortization[[#This Row],[property
tax]])</f>
        <v>4416.0233528406716</v>
      </c>
      <c r="I179" s="235">
        <f ca="1">IF(Amortization[[#This Row],[payment
date]]="",0,Amortization[[#This Row],[opening
balance]]-Amortization[[#This Row],[principal]])</f>
        <v>596349.98720721318</v>
      </c>
      <c r="J179" s="247">
        <f ca="1">IF(Amortization[[#This Row],[closing
balance]]&gt;0,LastRow-ROW(),0)</f>
        <v>184</v>
      </c>
    </row>
    <row r="180" spans="2:10" ht="15" customHeight="1" x14ac:dyDescent="0.25">
      <c r="B180" s="249">
        <f>ROWS($B$4:B180)</f>
        <v>177</v>
      </c>
      <c r="C180" s="248">
        <f ca="1">IF(ValuesEntered,IF(Amortization[[#This Row],['#]]&lt;=DurationOfLoan,IF(ROW()-ROW(Amortization[[#Headers],[payment
date]])=1,LoanStart,IF(I179&gt;0,EDATE(C179,1),"")),""),"")</f>
        <v>50415</v>
      </c>
      <c r="D180" s="235">
        <f ca="1">IF(ROW()-ROW(Amortization[[#Headers],[opening
balance]])=1,LoanAmount,IF(Amortization[[#This Row],[payment
date]]="",0,INDEX(Amortization[], ROW()-4,8)))</f>
        <v>596349.98720721318</v>
      </c>
      <c r="E180" s="235">
        <f ca="1">IF(ValuesEntered,IF(ROW()-ROW(Amortization[[#Headers],[interest]])=1,-IPMT(InterestRate/12,1,DurationOfLoan-ROWS($C$4:C180)+1,Amortization[[#This Row],[opening
balance]]),IFERROR(-IPMT(InterestRate/12,1,Amortization[[#This Row],['#
remaining]],D181),0)),0)</f>
        <v>1484.4836586285712</v>
      </c>
      <c r="F180" s="235">
        <f ca="1">IFERROR(IF(AND(ValuesEntered,Amortization[[#This Row],[payment
date]]&lt;&gt;""),-PPMT(InterestRate/12,1,DurationOfLoan-ROWS($C$4:C180)+1,Amortization[[#This Row],[opening
balance]]),""),0)</f>
        <v>2556.5237557846935</v>
      </c>
      <c r="G180" s="235">
        <f ca="1">IF(Amortization[[#This Row],[payment
date]]="",0,PropertyTaxAmount)</f>
        <v>375</v>
      </c>
      <c r="H180" s="235">
        <f ca="1">IF(Amortization[[#This Row],[payment
date]]="",0,Amortization[[#This Row],[interest]]+Amortization[[#This Row],[principal]]+Amortization[[#This Row],[property
tax]])</f>
        <v>4416.007414413265</v>
      </c>
      <c r="I180" s="235">
        <f ca="1">IF(Amortization[[#This Row],[payment
date]]="",0,Amortization[[#This Row],[opening
balance]]-Amortization[[#This Row],[principal]])</f>
        <v>593793.46345142846</v>
      </c>
      <c r="J180" s="247">
        <f ca="1">IF(Amortization[[#This Row],[closing
balance]]&gt;0,LastRow-ROW(),0)</f>
        <v>183</v>
      </c>
    </row>
    <row r="181" spans="2:10" ht="15" customHeight="1" x14ac:dyDescent="0.25">
      <c r="B181" s="249">
        <f>ROWS($B$4:B181)</f>
        <v>178</v>
      </c>
      <c r="C181" s="248">
        <f ca="1">IF(ValuesEntered,IF(Amortization[[#This Row],['#]]&lt;=DurationOfLoan,IF(ROW()-ROW(Amortization[[#Headers],[payment
date]])=1,LoanStart,IF(I180&gt;0,EDATE(C180,1),"")),""),"")</f>
        <v>50446</v>
      </c>
      <c r="D181" s="235">
        <f ca="1">IF(ROW()-ROW(Amortization[[#Headers],[opening
balance]])=1,LoanAmount,IF(Amortization[[#This Row],[payment
date]]="",0,INDEX(Amortization[], ROW()-4,8)))</f>
        <v>593793.46345142846</v>
      </c>
      <c r="E181" s="235">
        <f ca="1">IF(ValuesEntered,IF(ROW()-ROW(Amortization[[#Headers],[interest]])=1,-IPMT(InterestRate/12,1,DurationOfLoan-ROWS($C$4:C181)+1,Amortization[[#This Row],[opening
balance]]),IFERROR(-IPMT(InterestRate/12,1,Amortization[[#This Row],['#
remaining]],D182),0)),0)</f>
        <v>1478.076370965636</v>
      </c>
      <c r="F181" s="235">
        <f ca="1">IFERROR(IF(AND(ValuesEntered,Amortization[[#This Row],[payment
date]]&lt;&gt;""),-PPMT(InterestRate/12,1,DurationOfLoan-ROWS($C$4:C181)+1,Amortization[[#This Row],[opening
balance]]),""),0)</f>
        <v>2562.9150651741556</v>
      </c>
      <c r="G181" s="235">
        <f ca="1">IF(Amortization[[#This Row],[payment
date]]="",0,PropertyTaxAmount)</f>
        <v>375</v>
      </c>
      <c r="H181" s="235">
        <f ca="1">IF(Amortization[[#This Row],[payment
date]]="",0,Amortization[[#This Row],[interest]]+Amortization[[#This Row],[principal]]+Amortization[[#This Row],[property
tax]])</f>
        <v>4415.9914361397914</v>
      </c>
      <c r="I181" s="235">
        <f ca="1">IF(Amortization[[#This Row],[payment
date]]="",0,Amortization[[#This Row],[opening
balance]]-Amortization[[#This Row],[principal]])</f>
        <v>591230.54838625435</v>
      </c>
      <c r="J181" s="247">
        <f ca="1">IF(Amortization[[#This Row],[closing
balance]]&gt;0,LastRow-ROW(),0)</f>
        <v>182</v>
      </c>
    </row>
    <row r="182" spans="2:10" ht="15" customHeight="1" x14ac:dyDescent="0.25">
      <c r="B182" s="249">
        <f>ROWS($B$4:B182)</f>
        <v>179</v>
      </c>
      <c r="C182" s="248">
        <f ca="1">IF(ValuesEntered,IF(Amortization[[#This Row],['#]]&lt;=DurationOfLoan,IF(ROW()-ROW(Amortization[[#Headers],[payment
date]])=1,LoanStart,IF(I181&gt;0,EDATE(C181,1),"")),""),"")</f>
        <v>50474</v>
      </c>
      <c r="D182" s="235">
        <f ca="1">IF(ROW()-ROW(Amortization[[#Headers],[opening
balance]])=1,LoanAmount,IF(Amortization[[#This Row],[payment
date]]="",0,INDEX(Amortization[], ROW()-4,8)))</f>
        <v>591230.54838625435</v>
      </c>
      <c r="E182" s="235">
        <f ca="1">IF(ValuesEntered,IF(ROW()-ROW(Amortization[[#Headers],[interest]])=1,-IPMT(InterestRate/12,1,DurationOfLoan-ROWS($C$4:C182)+1,Amortization[[#This Row],[opening
balance]]),IFERROR(-IPMT(InterestRate/12,1,Amortization[[#This Row],['#
remaining]],D183),0)),0)</f>
        <v>1471.6530650835432</v>
      </c>
      <c r="F182" s="235">
        <f ca="1">IFERROR(IF(AND(ValuesEntered,Amortization[[#This Row],[payment
date]]&lt;&gt;""),-PPMT(InterestRate/12,1,DurationOfLoan-ROWS($C$4:C182)+1,Amortization[[#This Row],[opening
balance]]),""),0)</f>
        <v>2569.3223528370913</v>
      </c>
      <c r="G182" s="235">
        <f ca="1">IF(Amortization[[#This Row],[payment
date]]="",0,PropertyTaxAmount)</f>
        <v>375</v>
      </c>
      <c r="H182" s="235">
        <f ca="1">IF(Amortization[[#This Row],[payment
date]]="",0,Amortization[[#This Row],[interest]]+Amortization[[#This Row],[principal]]+Amortization[[#This Row],[property
tax]])</f>
        <v>4415.9754179206348</v>
      </c>
      <c r="I182" s="235">
        <f ca="1">IF(Amortization[[#This Row],[payment
date]]="",0,Amortization[[#This Row],[opening
balance]]-Amortization[[#This Row],[principal]])</f>
        <v>588661.22603341728</v>
      </c>
      <c r="J182" s="247">
        <f ca="1">IF(Amortization[[#This Row],[closing
balance]]&gt;0,LastRow-ROW(),0)</f>
        <v>181</v>
      </c>
    </row>
    <row r="183" spans="2:10" ht="15" customHeight="1" x14ac:dyDescent="0.25">
      <c r="B183" s="249">
        <f>ROWS($B$4:B183)</f>
        <v>180</v>
      </c>
      <c r="C183" s="248">
        <f ca="1">IF(ValuesEntered,IF(Amortization[[#This Row],['#]]&lt;=DurationOfLoan,IF(ROW()-ROW(Amortization[[#Headers],[payment
date]])=1,LoanStart,IF(I182&gt;0,EDATE(C182,1),"")),""),"")</f>
        <v>50505</v>
      </c>
      <c r="D183" s="235">
        <f ca="1">IF(ROW()-ROW(Amortization[[#Headers],[opening
balance]])=1,LoanAmount,IF(Amortization[[#This Row],[payment
date]]="",0,INDEX(Amortization[], ROW()-4,8)))</f>
        <v>588661.22603341728</v>
      </c>
      <c r="E183" s="235">
        <f ca="1">IF(ValuesEntered,IF(ROW()-ROW(Amortization[[#Headers],[interest]])=1,-IPMT(InterestRate/12,1,DurationOfLoan-ROWS($C$4:C183)+1,Amortization[[#This Row],[opening
balance]]),IFERROR(-IPMT(InterestRate/12,1,Amortization[[#This Row],['#
remaining]],D184),0)),0)</f>
        <v>1465.2137009367452</v>
      </c>
      <c r="F183" s="235">
        <f ca="1">IFERROR(IF(AND(ValuesEntered,Amortization[[#This Row],[payment
date]]&lt;&gt;""),-PPMT(InterestRate/12,1,DurationOfLoan-ROWS($C$4:C183)+1,Amortization[[#This Row],[opening
balance]]),""),0)</f>
        <v>2575.7456587191837</v>
      </c>
      <c r="G183" s="235">
        <f ca="1">IF(Amortization[[#This Row],[payment
date]]="",0,PropertyTaxAmount)</f>
        <v>375</v>
      </c>
      <c r="H183" s="235">
        <f ca="1">IF(Amortization[[#This Row],[payment
date]]="",0,Amortization[[#This Row],[interest]]+Amortization[[#This Row],[principal]]+Amortization[[#This Row],[property
tax]])</f>
        <v>4415.9593596559289</v>
      </c>
      <c r="I183" s="235">
        <f ca="1">IF(Amortization[[#This Row],[payment
date]]="",0,Amortization[[#This Row],[opening
balance]]-Amortization[[#This Row],[principal]])</f>
        <v>586085.48037469806</v>
      </c>
      <c r="J183" s="247">
        <f ca="1">IF(Amortization[[#This Row],[closing
balance]]&gt;0,LastRow-ROW(),0)</f>
        <v>180</v>
      </c>
    </row>
    <row r="184" spans="2:10" ht="15" customHeight="1" x14ac:dyDescent="0.25">
      <c r="B184" s="249">
        <f>ROWS($B$4:B184)</f>
        <v>181</v>
      </c>
      <c r="C184" s="248">
        <f ca="1">IF(ValuesEntered,IF(Amortization[[#This Row],['#]]&lt;=DurationOfLoan,IF(ROW()-ROW(Amortization[[#Headers],[payment
date]])=1,LoanStart,IF(I183&gt;0,EDATE(C183,1),"")),""),"")</f>
        <v>50535</v>
      </c>
      <c r="D184" s="235">
        <f ca="1">IF(ROW()-ROW(Amortization[[#Headers],[opening
balance]])=1,LoanAmount,IF(Amortization[[#This Row],[payment
date]]="",0,INDEX(Amortization[], ROW()-4,8)))</f>
        <v>586085.48037469806</v>
      </c>
      <c r="E184" s="235">
        <f ca="1">IF(ValuesEntered,IF(ROW()-ROW(Amortization[[#Headers],[interest]])=1,-IPMT(InterestRate/12,1,DurationOfLoan-ROWS($C$4:C184)+1,Amortization[[#This Row],[opening
balance]]),IFERROR(-IPMT(InterestRate/12,1,Amortization[[#This Row],['#
remaining]],D185),0)),0)</f>
        <v>1458.7582383795802</v>
      </c>
      <c r="F184" s="235">
        <f ca="1">IFERROR(IF(AND(ValuesEntered,Amortization[[#This Row],[payment
date]]&lt;&gt;""),-PPMT(InterestRate/12,1,DurationOfLoan-ROWS($C$4:C184)+1,Amortization[[#This Row],[opening
balance]]),""),0)</f>
        <v>2582.1850228659819</v>
      </c>
      <c r="G184" s="235">
        <f ca="1">IF(Amortization[[#This Row],[payment
date]]="",0,PropertyTaxAmount)</f>
        <v>375</v>
      </c>
      <c r="H184" s="235">
        <f ca="1">IF(Amortization[[#This Row],[payment
date]]="",0,Amortization[[#This Row],[interest]]+Amortization[[#This Row],[principal]]+Amortization[[#This Row],[property
tax]])</f>
        <v>4415.9432612455621</v>
      </c>
      <c r="I184" s="235">
        <f ca="1">IF(Amortization[[#This Row],[payment
date]]="",0,Amortization[[#This Row],[opening
balance]]-Amortization[[#This Row],[principal]])</f>
        <v>583503.29535183206</v>
      </c>
      <c r="J184" s="247">
        <f ca="1">IF(Amortization[[#This Row],[closing
balance]]&gt;0,LastRow-ROW(),0)</f>
        <v>179</v>
      </c>
    </row>
    <row r="185" spans="2:10" ht="15" customHeight="1" x14ac:dyDescent="0.25">
      <c r="B185" s="249">
        <f>ROWS($B$4:B185)</f>
        <v>182</v>
      </c>
      <c r="C185" s="248">
        <f ca="1">IF(ValuesEntered,IF(Amortization[[#This Row],['#]]&lt;=DurationOfLoan,IF(ROW()-ROW(Amortization[[#Headers],[payment
date]])=1,LoanStart,IF(I184&gt;0,EDATE(C184,1),"")),""),"")</f>
        <v>50566</v>
      </c>
      <c r="D185" s="235">
        <f ca="1">IF(ROW()-ROW(Amortization[[#Headers],[opening
balance]])=1,LoanAmount,IF(Amortization[[#This Row],[payment
date]]="",0,INDEX(Amortization[], ROW()-4,8)))</f>
        <v>583503.29535183206</v>
      </c>
      <c r="E185" s="235">
        <f ca="1">IF(ValuesEntered,IF(ROW()-ROW(Amortization[[#Headers],[interest]])=1,-IPMT(InterestRate/12,1,DurationOfLoan-ROWS($C$4:C185)+1,Amortization[[#This Row],[opening
balance]]),IFERROR(-IPMT(InterestRate/12,1,Amortization[[#This Row],['#
remaining]],D186),0)),0)</f>
        <v>1452.2866371660223</v>
      </c>
      <c r="F185" s="235">
        <f ca="1">IFERROR(IF(AND(ValuesEntered,Amortization[[#This Row],[payment
date]]&lt;&gt;""),-PPMT(InterestRate/12,1,DurationOfLoan-ROWS($C$4:C185)+1,Amortization[[#This Row],[opening
balance]]),""),0)</f>
        <v>2588.6404854231473</v>
      </c>
      <c r="G185" s="235">
        <f ca="1">IF(Amortization[[#This Row],[payment
date]]="",0,PropertyTaxAmount)</f>
        <v>375</v>
      </c>
      <c r="H185" s="235">
        <f ca="1">IF(Amortization[[#This Row],[payment
date]]="",0,Amortization[[#This Row],[interest]]+Amortization[[#This Row],[principal]]+Amortization[[#This Row],[property
tax]])</f>
        <v>4415.9271225891698</v>
      </c>
      <c r="I185" s="235">
        <f ca="1">IF(Amortization[[#This Row],[payment
date]]="",0,Amortization[[#This Row],[opening
balance]]-Amortization[[#This Row],[principal]])</f>
        <v>580914.65486640891</v>
      </c>
      <c r="J185" s="247">
        <f ca="1">IF(Amortization[[#This Row],[closing
balance]]&gt;0,LastRow-ROW(),0)</f>
        <v>178</v>
      </c>
    </row>
    <row r="186" spans="2:10" ht="15" customHeight="1" x14ac:dyDescent="0.25">
      <c r="B186" s="249">
        <f>ROWS($B$4:B186)</f>
        <v>183</v>
      </c>
      <c r="C186" s="248">
        <f ca="1">IF(ValuesEntered,IF(Amortization[[#This Row],['#]]&lt;=DurationOfLoan,IF(ROW()-ROW(Amortization[[#Headers],[payment
date]])=1,LoanStart,IF(I185&gt;0,EDATE(C185,1),"")),""),"")</f>
        <v>50596</v>
      </c>
      <c r="D186" s="235">
        <f ca="1">IF(ROW()-ROW(Amortization[[#Headers],[opening
balance]])=1,LoanAmount,IF(Amortization[[#This Row],[payment
date]]="",0,INDEX(Amortization[], ROW()-4,8)))</f>
        <v>580914.65486640891</v>
      </c>
      <c r="E186" s="235">
        <f ca="1">IF(ValuesEntered,IF(ROW()-ROW(Amortization[[#Headers],[interest]])=1,-IPMT(InterestRate/12,1,DurationOfLoan-ROWS($C$4:C186)+1,Amortization[[#This Row],[opening
balance]]),IFERROR(-IPMT(InterestRate/12,1,Amortization[[#This Row],['#
remaining]],D187),0)),0)</f>
        <v>1445.7988569494305</v>
      </c>
      <c r="F186" s="235">
        <f ca="1">IFERROR(IF(AND(ValuesEntered,Amortization[[#This Row],[payment
date]]&lt;&gt;""),-PPMT(InterestRate/12,1,DurationOfLoan-ROWS($C$4:C186)+1,Amortization[[#This Row],[opening
balance]]),""),0)</f>
        <v>2595.1120866367046</v>
      </c>
      <c r="G186" s="235">
        <f ca="1">IF(Amortization[[#This Row],[payment
date]]="",0,PropertyTaxAmount)</f>
        <v>375</v>
      </c>
      <c r="H186" s="235">
        <f ca="1">IF(Amortization[[#This Row],[payment
date]]="",0,Amortization[[#This Row],[interest]]+Amortization[[#This Row],[principal]]+Amortization[[#This Row],[property
tax]])</f>
        <v>4415.9109435861355</v>
      </c>
      <c r="I186" s="235">
        <f ca="1">IF(Amortization[[#This Row],[payment
date]]="",0,Amortization[[#This Row],[opening
balance]]-Amortization[[#This Row],[principal]])</f>
        <v>578319.54277977219</v>
      </c>
      <c r="J186" s="247">
        <f ca="1">IF(Amortization[[#This Row],[closing
balance]]&gt;0,LastRow-ROW(),0)</f>
        <v>177</v>
      </c>
    </row>
    <row r="187" spans="2:10" ht="15" customHeight="1" x14ac:dyDescent="0.25">
      <c r="B187" s="249">
        <f>ROWS($B$4:B187)</f>
        <v>184</v>
      </c>
      <c r="C187" s="248">
        <f ca="1">IF(ValuesEntered,IF(Amortization[[#This Row],['#]]&lt;=DurationOfLoan,IF(ROW()-ROW(Amortization[[#Headers],[payment
date]])=1,LoanStart,IF(I186&gt;0,EDATE(C186,1),"")),""),"")</f>
        <v>50627</v>
      </c>
      <c r="D187" s="235">
        <f ca="1">IF(ROW()-ROW(Amortization[[#Headers],[opening
balance]])=1,LoanAmount,IF(Amortization[[#This Row],[payment
date]]="",0,INDEX(Amortization[], ROW()-4,8)))</f>
        <v>578319.54277977219</v>
      </c>
      <c r="E187" s="235">
        <f ca="1">IF(ValuesEntered,IF(ROW()-ROW(Amortization[[#Headers],[interest]])=1,-IPMT(InterestRate/12,1,DurationOfLoan-ROWS($C$4:C187)+1,Amortization[[#This Row],[opening
balance]]),IFERROR(-IPMT(InterestRate/12,1,Amortization[[#This Row],['#
remaining]],D188),0)),0)</f>
        <v>1439.2948572822972</v>
      </c>
      <c r="F187" s="235">
        <f ca="1">IFERROR(IF(AND(ValuesEntered,Amortization[[#This Row],[payment
date]]&lt;&gt;""),-PPMT(InterestRate/12,1,DurationOfLoan-ROWS($C$4:C187)+1,Amortization[[#This Row],[opening
balance]]),""),0)</f>
        <v>2601.5998668532961</v>
      </c>
      <c r="G187" s="235">
        <f ca="1">IF(Amortization[[#This Row],[payment
date]]="",0,PropertyTaxAmount)</f>
        <v>375</v>
      </c>
      <c r="H187" s="235">
        <f ca="1">IF(Amortization[[#This Row],[payment
date]]="",0,Amortization[[#This Row],[interest]]+Amortization[[#This Row],[principal]]+Amortization[[#This Row],[property
tax]])</f>
        <v>4415.8947241355936</v>
      </c>
      <c r="I187" s="235">
        <f ca="1">IF(Amortization[[#This Row],[payment
date]]="",0,Amortization[[#This Row],[opening
balance]]-Amortization[[#This Row],[principal]])</f>
        <v>575717.94291291886</v>
      </c>
      <c r="J187" s="247">
        <f ca="1">IF(Amortization[[#This Row],[closing
balance]]&gt;0,LastRow-ROW(),0)</f>
        <v>176</v>
      </c>
    </row>
    <row r="188" spans="2:10" ht="15" customHeight="1" x14ac:dyDescent="0.25">
      <c r="B188" s="249">
        <f>ROWS($B$4:B188)</f>
        <v>185</v>
      </c>
      <c r="C188" s="248">
        <f ca="1">IF(ValuesEntered,IF(Amortization[[#This Row],['#]]&lt;=DurationOfLoan,IF(ROW()-ROW(Amortization[[#Headers],[payment
date]])=1,LoanStart,IF(I187&gt;0,EDATE(C187,1),"")),""),"")</f>
        <v>50658</v>
      </c>
      <c r="D188" s="235">
        <f ca="1">IF(ROW()-ROW(Amortization[[#Headers],[opening
balance]])=1,LoanAmount,IF(Amortization[[#This Row],[payment
date]]="",0,INDEX(Amortization[], ROW()-4,8)))</f>
        <v>575717.94291291886</v>
      </c>
      <c r="E188" s="235">
        <f ca="1">IF(ValuesEntered,IF(ROW()-ROW(Amortization[[#Headers],[interest]])=1,-IPMT(InterestRate/12,1,DurationOfLoan-ROWS($C$4:C188)+1,Amortization[[#This Row],[opening
balance]]),IFERROR(-IPMT(InterestRate/12,1,Amortization[[#This Row],['#
remaining]],D189),0)),0)</f>
        <v>1432.7745976159961</v>
      </c>
      <c r="F188" s="235">
        <f ca="1">IFERROR(IF(AND(ValuesEntered,Amortization[[#This Row],[payment
date]]&lt;&gt;""),-PPMT(InterestRate/12,1,DurationOfLoan-ROWS($C$4:C188)+1,Amortization[[#This Row],[opening
balance]]),""),0)</f>
        <v>2608.1038665204287</v>
      </c>
      <c r="G188" s="235">
        <f ca="1">IF(Amortization[[#This Row],[payment
date]]="",0,PropertyTaxAmount)</f>
        <v>375</v>
      </c>
      <c r="H188" s="235">
        <f ca="1">IF(Amortization[[#This Row],[payment
date]]="",0,Amortization[[#This Row],[interest]]+Amortization[[#This Row],[principal]]+Amortization[[#This Row],[property
tax]])</f>
        <v>4415.8784641364246</v>
      </c>
      <c r="I188" s="235">
        <f ca="1">IF(Amortization[[#This Row],[payment
date]]="",0,Amortization[[#This Row],[opening
balance]]-Amortization[[#This Row],[principal]])</f>
        <v>573109.83904639841</v>
      </c>
      <c r="J188" s="247">
        <f ca="1">IF(Amortization[[#This Row],[closing
balance]]&gt;0,LastRow-ROW(),0)</f>
        <v>175</v>
      </c>
    </row>
    <row r="189" spans="2:10" ht="15" customHeight="1" x14ac:dyDescent="0.25">
      <c r="B189" s="249">
        <f>ROWS($B$4:B189)</f>
        <v>186</v>
      </c>
      <c r="C189" s="248">
        <f ca="1">IF(ValuesEntered,IF(Amortization[[#This Row],['#]]&lt;=DurationOfLoan,IF(ROW()-ROW(Amortization[[#Headers],[payment
date]])=1,LoanStart,IF(I188&gt;0,EDATE(C188,1),"")),""),"")</f>
        <v>50688</v>
      </c>
      <c r="D189" s="235">
        <f ca="1">IF(ROW()-ROW(Amortization[[#Headers],[opening
balance]])=1,LoanAmount,IF(Amortization[[#This Row],[payment
date]]="",0,INDEX(Amortization[], ROW()-4,8)))</f>
        <v>573109.83904639841</v>
      </c>
      <c r="E189" s="235">
        <f ca="1">IF(ValuesEntered,IF(ROW()-ROW(Amortization[[#Headers],[interest]])=1,-IPMT(InterestRate/12,1,DurationOfLoan-ROWS($C$4:C189)+1,Amortization[[#This Row],[opening
balance]]),IFERROR(-IPMT(InterestRate/12,1,Amortization[[#This Row],['#
remaining]],D190),0)),0)</f>
        <v>1426.2380373005292</v>
      </c>
      <c r="F189" s="235">
        <f ca="1">IFERROR(IF(AND(ValuesEntered,Amortization[[#This Row],[payment
date]]&lt;&gt;""),-PPMT(InterestRate/12,1,DurationOfLoan-ROWS($C$4:C189)+1,Amortization[[#This Row],[opening
balance]]),""),0)</f>
        <v>2614.6241261867303</v>
      </c>
      <c r="G189" s="235">
        <f ca="1">IF(Amortization[[#This Row],[payment
date]]="",0,PropertyTaxAmount)</f>
        <v>375</v>
      </c>
      <c r="H189" s="235">
        <f ca="1">IF(Amortization[[#This Row],[payment
date]]="",0,Amortization[[#This Row],[interest]]+Amortization[[#This Row],[principal]]+Amortization[[#This Row],[property
tax]])</f>
        <v>4415.8621634872597</v>
      </c>
      <c r="I189" s="235">
        <f ca="1">IF(Amortization[[#This Row],[payment
date]]="",0,Amortization[[#This Row],[opening
balance]]-Amortization[[#This Row],[principal]])</f>
        <v>570495.2149202117</v>
      </c>
      <c r="J189" s="247">
        <f ca="1">IF(Amortization[[#This Row],[closing
balance]]&gt;0,LastRow-ROW(),0)</f>
        <v>174</v>
      </c>
    </row>
    <row r="190" spans="2:10" ht="15" customHeight="1" x14ac:dyDescent="0.25">
      <c r="B190" s="249">
        <f>ROWS($B$4:B190)</f>
        <v>187</v>
      </c>
      <c r="C190" s="248">
        <f ca="1">IF(ValuesEntered,IF(Amortization[[#This Row],['#]]&lt;=DurationOfLoan,IF(ROW()-ROW(Amortization[[#Headers],[payment
date]])=1,LoanStart,IF(I189&gt;0,EDATE(C189,1),"")),""),"")</f>
        <v>50719</v>
      </c>
      <c r="D190" s="235">
        <f ca="1">IF(ROW()-ROW(Amortization[[#Headers],[opening
balance]])=1,LoanAmount,IF(Amortization[[#This Row],[payment
date]]="",0,INDEX(Amortization[], ROW()-4,8)))</f>
        <v>570495.2149202117</v>
      </c>
      <c r="E190" s="235">
        <f ca="1">IF(ValuesEntered,IF(ROW()-ROW(Amortization[[#Headers],[interest]])=1,-IPMT(InterestRate/12,1,DurationOfLoan-ROWS($C$4:C190)+1,Amortization[[#This Row],[opening
balance]]),IFERROR(-IPMT(InterestRate/12,1,Amortization[[#This Row],['#
remaining]],D191),0)),0)</f>
        <v>1419.6851355842737</v>
      </c>
      <c r="F190" s="235">
        <f ca="1">IFERROR(IF(AND(ValuesEntered,Amortization[[#This Row],[payment
date]]&lt;&gt;""),-PPMT(InterestRate/12,1,DurationOfLoan-ROWS($C$4:C190)+1,Amortization[[#This Row],[opening
balance]]),""),0)</f>
        <v>2621.1606865021972</v>
      </c>
      <c r="G190" s="235">
        <f ca="1">IF(Amortization[[#This Row],[payment
date]]="",0,PropertyTaxAmount)</f>
        <v>375</v>
      </c>
      <c r="H190" s="235">
        <f ca="1">IF(Amortization[[#This Row],[payment
date]]="",0,Amortization[[#This Row],[interest]]+Amortization[[#This Row],[principal]]+Amortization[[#This Row],[property
tax]])</f>
        <v>4415.8458220864704</v>
      </c>
      <c r="I190" s="235">
        <f ca="1">IF(Amortization[[#This Row],[payment
date]]="",0,Amortization[[#This Row],[opening
balance]]-Amortization[[#This Row],[principal]])</f>
        <v>567874.05423370947</v>
      </c>
      <c r="J190" s="247">
        <f ca="1">IF(Amortization[[#This Row],[closing
balance]]&gt;0,LastRow-ROW(),0)</f>
        <v>173</v>
      </c>
    </row>
    <row r="191" spans="2:10" ht="15" customHeight="1" x14ac:dyDescent="0.25">
      <c r="B191" s="249">
        <f>ROWS($B$4:B191)</f>
        <v>188</v>
      </c>
      <c r="C191" s="248">
        <f ca="1">IF(ValuesEntered,IF(Amortization[[#This Row],['#]]&lt;=DurationOfLoan,IF(ROW()-ROW(Amortization[[#Headers],[payment
date]])=1,LoanStart,IF(I190&gt;0,EDATE(C190,1),"")),""),"")</f>
        <v>50749</v>
      </c>
      <c r="D191" s="235">
        <f ca="1">IF(ROW()-ROW(Amortization[[#Headers],[opening
balance]])=1,LoanAmount,IF(Amortization[[#This Row],[payment
date]]="",0,INDEX(Amortization[], ROW()-4,8)))</f>
        <v>567874.05423370947</v>
      </c>
      <c r="E191" s="235">
        <f ca="1">IF(ValuesEntered,IF(ROW()-ROW(Amortization[[#Headers],[interest]])=1,-IPMT(InterestRate/12,1,DurationOfLoan-ROWS($C$4:C191)+1,Amortization[[#This Row],[opening
balance]]),IFERROR(-IPMT(InterestRate/12,1,Amortization[[#This Row],['#
remaining]],D192),0)),0)</f>
        <v>1413.1158516137275</v>
      </c>
      <c r="F191" s="235">
        <f ca="1">IFERROR(IF(AND(ValuesEntered,Amortization[[#This Row],[payment
date]]&lt;&gt;""),-PPMT(InterestRate/12,1,DurationOfLoan-ROWS($C$4:C191)+1,Amortization[[#This Row],[opening
balance]]),""),0)</f>
        <v>2627.7135882184525</v>
      </c>
      <c r="G191" s="235">
        <f ca="1">IF(Amortization[[#This Row],[payment
date]]="",0,PropertyTaxAmount)</f>
        <v>375</v>
      </c>
      <c r="H191" s="235">
        <f ca="1">IF(Amortization[[#This Row],[payment
date]]="",0,Amortization[[#This Row],[interest]]+Amortization[[#This Row],[principal]]+Amortization[[#This Row],[property
tax]])</f>
        <v>4415.8294398321796</v>
      </c>
      <c r="I191" s="235">
        <f ca="1">IF(Amortization[[#This Row],[payment
date]]="",0,Amortization[[#This Row],[opening
balance]]-Amortization[[#This Row],[principal]])</f>
        <v>565246.34064549103</v>
      </c>
      <c r="J191" s="247">
        <f ca="1">IF(Amortization[[#This Row],[closing
balance]]&gt;0,LastRow-ROW(),0)</f>
        <v>172</v>
      </c>
    </row>
    <row r="192" spans="2:10" ht="15" customHeight="1" x14ac:dyDescent="0.25">
      <c r="B192" s="249">
        <f>ROWS($B$4:B192)</f>
        <v>189</v>
      </c>
      <c r="C192" s="248">
        <f ca="1">IF(ValuesEntered,IF(Amortization[[#This Row],['#]]&lt;=DurationOfLoan,IF(ROW()-ROW(Amortization[[#Headers],[payment
date]])=1,LoanStart,IF(I191&gt;0,EDATE(C191,1),"")),""),"")</f>
        <v>50780</v>
      </c>
      <c r="D192" s="235">
        <f ca="1">IF(ROW()-ROW(Amortization[[#Headers],[opening
balance]])=1,LoanAmount,IF(Amortization[[#This Row],[payment
date]]="",0,INDEX(Amortization[], ROW()-4,8)))</f>
        <v>565246.34064549103</v>
      </c>
      <c r="E192" s="235">
        <f ca="1">IF(ValuesEntered,IF(ROW()-ROW(Amortization[[#Headers],[interest]])=1,-IPMT(InterestRate/12,1,DurationOfLoan-ROWS($C$4:C192)+1,Amortization[[#This Row],[opening
balance]]),IFERROR(-IPMT(InterestRate/12,1,Amortization[[#This Row],['#
remaining]],D193),0)),0)</f>
        <v>1406.5301444332551</v>
      </c>
      <c r="F192" s="235">
        <f ca="1">IFERROR(IF(AND(ValuesEntered,Amortization[[#This Row],[payment
date]]&lt;&gt;""),-PPMT(InterestRate/12,1,DurationOfLoan-ROWS($C$4:C192)+1,Amortization[[#This Row],[opening
balance]]),""),0)</f>
        <v>2634.2828721889987</v>
      </c>
      <c r="G192" s="235">
        <f ca="1">IF(Amortization[[#This Row],[payment
date]]="",0,PropertyTaxAmount)</f>
        <v>375</v>
      </c>
      <c r="H192" s="235">
        <f ca="1">IF(Amortization[[#This Row],[payment
date]]="",0,Amortization[[#This Row],[interest]]+Amortization[[#This Row],[principal]]+Amortization[[#This Row],[property
tax]])</f>
        <v>4415.8130166222536</v>
      </c>
      <c r="I192" s="235">
        <f ca="1">IF(Amortization[[#This Row],[payment
date]]="",0,Amortization[[#This Row],[opening
balance]]-Amortization[[#This Row],[principal]])</f>
        <v>562612.05777330208</v>
      </c>
      <c r="J192" s="247">
        <f ca="1">IF(Amortization[[#This Row],[closing
balance]]&gt;0,LastRow-ROW(),0)</f>
        <v>171</v>
      </c>
    </row>
    <row r="193" spans="2:10" ht="15" customHeight="1" x14ac:dyDescent="0.25">
      <c r="B193" s="249">
        <f>ROWS($B$4:B193)</f>
        <v>190</v>
      </c>
      <c r="C193" s="248">
        <f ca="1">IF(ValuesEntered,IF(Amortization[[#This Row],['#]]&lt;=DurationOfLoan,IF(ROW()-ROW(Amortization[[#Headers],[payment
date]])=1,LoanStart,IF(I192&gt;0,EDATE(C192,1),"")),""),"")</f>
        <v>50811</v>
      </c>
      <c r="D193" s="235">
        <f ca="1">IF(ROW()-ROW(Amortization[[#Headers],[opening
balance]])=1,LoanAmount,IF(Amortization[[#This Row],[payment
date]]="",0,INDEX(Amortization[], ROW()-4,8)))</f>
        <v>562612.05777330208</v>
      </c>
      <c r="E193" s="235">
        <f ca="1">IF(ValuesEntered,IF(ROW()-ROW(Amortization[[#Headers],[interest]])=1,-IPMT(InterestRate/12,1,DurationOfLoan-ROWS($C$4:C193)+1,Amortization[[#This Row],[opening
balance]]),IFERROR(-IPMT(InterestRate/12,1,Amortization[[#This Row],['#
remaining]],D194),0)),0)</f>
        <v>1399.9279729848315</v>
      </c>
      <c r="F193" s="235">
        <f ca="1">IFERROR(IF(AND(ValuesEntered,Amortization[[#This Row],[payment
date]]&lt;&gt;""),-PPMT(InterestRate/12,1,DurationOfLoan-ROWS($C$4:C193)+1,Amortization[[#This Row],[opening
balance]]),""),0)</f>
        <v>2640.8685793694713</v>
      </c>
      <c r="G193" s="235">
        <f ca="1">IF(Amortization[[#This Row],[payment
date]]="",0,PropertyTaxAmount)</f>
        <v>375</v>
      </c>
      <c r="H193" s="235">
        <f ca="1">IF(Amortization[[#This Row],[payment
date]]="",0,Amortization[[#This Row],[interest]]+Amortization[[#This Row],[principal]]+Amortization[[#This Row],[property
tax]])</f>
        <v>4415.7965523543025</v>
      </c>
      <c r="I193" s="235">
        <f ca="1">IF(Amortization[[#This Row],[payment
date]]="",0,Amortization[[#This Row],[opening
balance]]-Amortization[[#This Row],[principal]])</f>
        <v>559971.18919393257</v>
      </c>
      <c r="J193" s="247">
        <f ca="1">IF(Amortization[[#This Row],[closing
balance]]&gt;0,LastRow-ROW(),0)</f>
        <v>170</v>
      </c>
    </row>
    <row r="194" spans="2:10" ht="15" customHeight="1" x14ac:dyDescent="0.25">
      <c r="B194" s="249">
        <f>ROWS($B$4:B194)</f>
        <v>191</v>
      </c>
      <c r="C194" s="248">
        <f ca="1">IF(ValuesEntered,IF(Amortization[[#This Row],['#]]&lt;=DurationOfLoan,IF(ROW()-ROW(Amortization[[#Headers],[payment
date]])=1,LoanStart,IF(I193&gt;0,EDATE(C193,1),"")),""),"")</f>
        <v>50839</v>
      </c>
      <c r="D194" s="235">
        <f ca="1">IF(ROW()-ROW(Amortization[[#Headers],[opening
balance]])=1,LoanAmount,IF(Amortization[[#This Row],[payment
date]]="",0,INDEX(Amortization[], ROW()-4,8)))</f>
        <v>559971.18919393257</v>
      </c>
      <c r="E194" s="235">
        <f ca="1">IF(ValuesEntered,IF(ROW()-ROW(Amortization[[#Headers],[interest]])=1,-IPMT(InterestRate/12,1,DurationOfLoan-ROWS($C$4:C194)+1,Amortization[[#This Row],[opening
balance]]),IFERROR(-IPMT(InterestRate/12,1,Amortization[[#This Row],['#
remaining]],D195),0)),0)</f>
        <v>1393.3092961077866</v>
      </c>
      <c r="F194" s="235">
        <f ca="1">IFERROR(IF(AND(ValuesEntered,Amortization[[#This Row],[payment
date]]&lt;&gt;""),-PPMT(InterestRate/12,1,DurationOfLoan-ROWS($C$4:C194)+1,Amortization[[#This Row],[opening
balance]]),""),0)</f>
        <v>2647.4707508178954</v>
      </c>
      <c r="G194" s="235">
        <f ca="1">IF(Amortization[[#This Row],[payment
date]]="",0,PropertyTaxAmount)</f>
        <v>375</v>
      </c>
      <c r="H194" s="235">
        <f ca="1">IF(Amortization[[#This Row],[payment
date]]="",0,Amortization[[#This Row],[interest]]+Amortization[[#This Row],[principal]]+Amortization[[#This Row],[property
tax]])</f>
        <v>4415.7800469256817</v>
      </c>
      <c r="I194" s="235">
        <f ca="1">IF(Amortization[[#This Row],[payment
date]]="",0,Amortization[[#This Row],[opening
balance]]-Amortization[[#This Row],[principal]])</f>
        <v>557323.71844311466</v>
      </c>
      <c r="J194" s="247">
        <f ca="1">IF(Amortization[[#This Row],[closing
balance]]&gt;0,LastRow-ROW(),0)</f>
        <v>169</v>
      </c>
    </row>
    <row r="195" spans="2:10" ht="15" customHeight="1" x14ac:dyDescent="0.25">
      <c r="B195" s="249">
        <f>ROWS($B$4:B195)</f>
        <v>192</v>
      </c>
      <c r="C195" s="248">
        <f ca="1">IF(ValuesEntered,IF(Amortization[[#This Row],['#]]&lt;=DurationOfLoan,IF(ROW()-ROW(Amortization[[#Headers],[payment
date]])=1,LoanStart,IF(I194&gt;0,EDATE(C194,1),"")),""),"")</f>
        <v>50870</v>
      </c>
      <c r="D195" s="235">
        <f ca="1">IF(ROW()-ROW(Amortization[[#Headers],[opening
balance]])=1,LoanAmount,IF(Amortization[[#This Row],[payment
date]]="",0,INDEX(Amortization[], ROW()-4,8)))</f>
        <v>557323.71844311466</v>
      </c>
      <c r="E195" s="235">
        <f ca="1">IF(ValuesEntered,IF(ROW()-ROW(Amortization[[#Headers],[interest]])=1,-IPMT(InterestRate/12,1,DurationOfLoan-ROWS($C$4:C195)+1,Amortization[[#This Row],[opening
balance]]),IFERROR(-IPMT(InterestRate/12,1,Amortization[[#This Row],['#
remaining]],D196),0)),0)</f>
        <v>1386.6740725385494</v>
      </c>
      <c r="F195" s="235">
        <f ca="1">IFERROR(IF(AND(ValuesEntered,Amortization[[#This Row],[payment
date]]&lt;&gt;""),-PPMT(InterestRate/12,1,DurationOfLoan-ROWS($C$4:C195)+1,Amortization[[#This Row],[opening
balance]]),""),0)</f>
        <v>2654.0894276949398</v>
      </c>
      <c r="G195" s="235">
        <f ca="1">IF(Amortization[[#This Row],[payment
date]]="",0,PropertyTaxAmount)</f>
        <v>375</v>
      </c>
      <c r="H195" s="235">
        <f ca="1">IF(Amortization[[#This Row],[payment
date]]="",0,Amortization[[#This Row],[interest]]+Amortization[[#This Row],[principal]]+Amortization[[#This Row],[property
tax]])</f>
        <v>4415.7635002334891</v>
      </c>
      <c r="I195" s="235">
        <f ca="1">IF(Amortization[[#This Row],[payment
date]]="",0,Amortization[[#This Row],[opening
balance]]-Amortization[[#This Row],[principal]])</f>
        <v>554669.62901541975</v>
      </c>
      <c r="J195" s="247">
        <f ca="1">IF(Amortization[[#This Row],[closing
balance]]&gt;0,LastRow-ROW(),0)</f>
        <v>168</v>
      </c>
    </row>
    <row r="196" spans="2:10" ht="15" customHeight="1" x14ac:dyDescent="0.25">
      <c r="B196" s="249">
        <f>ROWS($B$4:B196)</f>
        <v>193</v>
      </c>
      <c r="C196" s="248">
        <f ca="1">IF(ValuesEntered,IF(Amortization[[#This Row],['#]]&lt;=DurationOfLoan,IF(ROW()-ROW(Amortization[[#Headers],[payment
date]])=1,LoanStart,IF(I195&gt;0,EDATE(C195,1),"")),""),"")</f>
        <v>50900</v>
      </c>
      <c r="D196" s="235">
        <f ca="1">IF(ROW()-ROW(Amortization[[#Headers],[opening
balance]])=1,LoanAmount,IF(Amortization[[#This Row],[payment
date]]="",0,INDEX(Amortization[], ROW()-4,8)))</f>
        <v>554669.62901541975</v>
      </c>
      <c r="E196" s="235">
        <f ca="1">IF(ValuesEntered,IF(ROW()-ROW(Amortization[[#Headers],[interest]])=1,-IPMT(InterestRate/12,1,DurationOfLoan-ROWS($C$4:C196)+1,Amortization[[#This Row],[opening
balance]]),IFERROR(-IPMT(InterestRate/12,1,Amortization[[#This Row],['#
remaining]],D197),0)),0)</f>
        <v>1380.0222609103892</v>
      </c>
      <c r="F196" s="235">
        <f ca="1">IFERROR(IF(AND(ValuesEntered,Amortization[[#This Row],[payment
date]]&lt;&gt;""),-PPMT(InterestRate/12,1,DurationOfLoan-ROWS($C$4:C196)+1,Amortization[[#This Row],[opening
balance]]),""),0)</f>
        <v>2660.7246512641768</v>
      </c>
      <c r="G196" s="235">
        <f ca="1">IF(Amortization[[#This Row],[payment
date]]="",0,PropertyTaxAmount)</f>
        <v>375</v>
      </c>
      <c r="H196" s="235">
        <f ca="1">IF(Amortization[[#This Row],[payment
date]]="",0,Amortization[[#This Row],[interest]]+Amortization[[#This Row],[principal]]+Amortization[[#This Row],[property
tax]])</f>
        <v>4415.7469121745662</v>
      </c>
      <c r="I196" s="235">
        <f ca="1">IF(Amortization[[#This Row],[payment
date]]="",0,Amortization[[#This Row],[opening
balance]]-Amortization[[#This Row],[principal]])</f>
        <v>552008.90436415561</v>
      </c>
      <c r="J196" s="247">
        <f ca="1">IF(Amortization[[#This Row],[closing
balance]]&gt;0,LastRow-ROW(),0)</f>
        <v>167</v>
      </c>
    </row>
    <row r="197" spans="2:10" ht="15" customHeight="1" x14ac:dyDescent="0.25">
      <c r="B197" s="249">
        <f>ROWS($B$4:B197)</f>
        <v>194</v>
      </c>
      <c r="C197" s="248">
        <f ca="1">IF(ValuesEntered,IF(Amortization[[#This Row],['#]]&lt;=DurationOfLoan,IF(ROW()-ROW(Amortization[[#Headers],[payment
date]])=1,LoanStart,IF(I196&gt;0,EDATE(C196,1),"")),""),"")</f>
        <v>50931</v>
      </c>
      <c r="D197" s="235">
        <f ca="1">IF(ROW()-ROW(Amortization[[#Headers],[opening
balance]])=1,LoanAmount,IF(Amortization[[#This Row],[payment
date]]="",0,INDEX(Amortization[], ROW()-4,8)))</f>
        <v>552008.90436415561</v>
      </c>
      <c r="E197" s="235">
        <f ca="1">IF(ValuesEntered,IF(ROW()-ROW(Amortization[[#Headers],[interest]])=1,-IPMT(InterestRate/12,1,DurationOfLoan-ROWS($C$4:C197)+1,Amortization[[#This Row],[opening
balance]]),IFERROR(-IPMT(InterestRate/12,1,Amortization[[#This Row],['#
remaining]],D198),0)),0)</f>
        <v>1373.3538197531579</v>
      </c>
      <c r="F197" s="235">
        <f ca="1">IFERROR(IF(AND(ValuesEntered,Amortization[[#This Row],[payment
date]]&lt;&gt;""),-PPMT(InterestRate/12,1,DurationOfLoan-ROWS($C$4:C197)+1,Amortization[[#This Row],[opening
balance]]),""),0)</f>
        <v>2667.3764628923382</v>
      </c>
      <c r="G197" s="235">
        <f ca="1">IF(Amortization[[#This Row],[payment
date]]="",0,PropertyTaxAmount)</f>
        <v>375</v>
      </c>
      <c r="H197" s="235">
        <f ca="1">IF(Amortization[[#This Row],[payment
date]]="",0,Amortization[[#This Row],[interest]]+Amortization[[#This Row],[principal]]+Amortization[[#This Row],[property
tax]])</f>
        <v>4415.7302826454961</v>
      </c>
      <c r="I197" s="235">
        <f ca="1">IF(Amortization[[#This Row],[payment
date]]="",0,Amortization[[#This Row],[opening
balance]]-Amortization[[#This Row],[principal]])</f>
        <v>549341.52790126321</v>
      </c>
      <c r="J197" s="247">
        <f ca="1">IF(Amortization[[#This Row],[closing
balance]]&gt;0,LastRow-ROW(),0)</f>
        <v>166</v>
      </c>
    </row>
    <row r="198" spans="2:10" ht="15" customHeight="1" x14ac:dyDescent="0.25">
      <c r="B198" s="249">
        <f>ROWS($B$4:B198)</f>
        <v>195</v>
      </c>
      <c r="C198" s="248">
        <f ca="1">IF(ValuesEntered,IF(Amortization[[#This Row],['#]]&lt;=DurationOfLoan,IF(ROW()-ROW(Amortization[[#Headers],[payment
date]])=1,LoanStart,IF(I197&gt;0,EDATE(C197,1),"")),""),"")</f>
        <v>50961</v>
      </c>
      <c r="D198" s="235">
        <f ca="1">IF(ROW()-ROW(Amortization[[#Headers],[opening
balance]])=1,LoanAmount,IF(Amortization[[#This Row],[payment
date]]="",0,INDEX(Amortization[], ROW()-4,8)))</f>
        <v>549341.52790126321</v>
      </c>
      <c r="E198" s="235">
        <f ca="1">IF(ValuesEntered,IF(ROW()-ROW(Amortization[[#Headers],[interest]])=1,-IPMT(InterestRate/12,1,DurationOfLoan-ROWS($C$4:C198)+1,Amortization[[#This Row],[opening
balance]]),IFERROR(-IPMT(InterestRate/12,1,Amortization[[#This Row],['#
remaining]],D199),0)),0)</f>
        <v>1366.6687074930339</v>
      </c>
      <c r="F198" s="235">
        <f ca="1">IFERROR(IF(AND(ValuesEntered,Amortization[[#This Row],[payment
date]]&lt;&gt;""),-PPMT(InterestRate/12,1,DurationOfLoan-ROWS($C$4:C198)+1,Amortization[[#This Row],[opening
balance]]),""),0)</f>
        <v>2674.0449040495687</v>
      </c>
      <c r="G198" s="235">
        <f ca="1">IF(Amortization[[#This Row],[payment
date]]="",0,PropertyTaxAmount)</f>
        <v>375</v>
      </c>
      <c r="H198" s="235">
        <f ca="1">IF(Amortization[[#This Row],[payment
date]]="",0,Amortization[[#This Row],[interest]]+Amortization[[#This Row],[principal]]+Amortization[[#This Row],[property
tax]])</f>
        <v>4415.7136115426028</v>
      </c>
      <c r="I198" s="235">
        <f ca="1">IF(Amortization[[#This Row],[payment
date]]="",0,Amortization[[#This Row],[opening
balance]]-Amortization[[#This Row],[principal]])</f>
        <v>546667.48299721361</v>
      </c>
      <c r="J198" s="247">
        <f ca="1">IF(Amortization[[#This Row],[closing
balance]]&gt;0,LastRow-ROW(),0)</f>
        <v>165</v>
      </c>
    </row>
    <row r="199" spans="2:10" ht="15" customHeight="1" x14ac:dyDescent="0.25">
      <c r="B199" s="249">
        <f>ROWS($B$4:B199)</f>
        <v>196</v>
      </c>
      <c r="C199" s="248">
        <f ca="1">IF(ValuesEntered,IF(Amortization[[#This Row],['#]]&lt;=DurationOfLoan,IF(ROW()-ROW(Amortization[[#Headers],[payment
date]])=1,LoanStart,IF(I198&gt;0,EDATE(C198,1),"")),""),"")</f>
        <v>50992</v>
      </c>
      <c r="D199" s="235">
        <f ca="1">IF(ROW()-ROW(Amortization[[#Headers],[opening
balance]])=1,LoanAmount,IF(Amortization[[#This Row],[payment
date]]="",0,INDEX(Amortization[], ROW()-4,8)))</f>
        <v>546667.48299721361</v>
      </c>
      <c r="E199" s="235">
        <f ca="1">IF(ValuesEntered,IF(ROW()-ROW(Amortization[[#Headers],[interest]])=1,-IPMT(InterestRate/12,1,DurationOfLoan-ROWS($C$4:C199)+1,Amortization[[#This Row],[opening
balance]]),IFERROR(-IPMT(InterestRate/12,1,Amortization[[#This Row],['#
remaining]],D200),0)),0)</f>
        <v>1359.9668824522598</v>
      </c>
      <c r="F199" s="235">
        <f ca="1">IFERROR(IF(AND(ValuesEntered,Amortization[[#This Row],[payment
date]]&lt;&gt;""),-PPMT(InterestRate/12,1,DurationOfLoan-ROWS($C$4:C199)+1,Amortization[[#This Row],[opening
balance]]),""),0)</f>
        <v>2680.7300163096925</v>
      </c>
      <c r="G199" s="235">
        <f ca="1">IF(Amortization[[#This Row],[payment
date]]="",0,PropertyTaxAmount)</f>
        <v>375</v>
      </c>
      <c r="H199" s="235">
        <f ca="1">IF(Amortization[[#This Row],[payment
date]]="",0,Amortization[[#This Row],[interest]]+Amortization[[#This Row],[principal]]+Amortization[[#This Row],[property
tax]])</f>
        <v>4415.6968987619521</v>
      </c>
      <c r="I199" s="235">
        <f ca="1">IF(Amortization[[#This Row],[payment
date]]="",0,Amortization[[#This Row],[opening
balance]]-Amortization[[#This Row],[principal]])</f>
        <v>543986.75298090396</v>
      </c>
      <c r="J199" s="247">
        <f ca="1">IF(Amortization[[#This Row],[closing
balance]]&gt;0,LastRow-ROW(),0)</f>
        <v>164</v>
      </c>
    </row>
    <row r="200" spans="2:10" ht="15" customHeight="1" x14ac:dyDescent="0.25">
      <c r="B200" s="249">
        <f>ROWS($B$4:B200)</f>
        <v>197</v>
      </c>
      <c r="C200" s="248">
        <f ca="1">IF(ValuesEntered,IF(Amortization[[#This Row],['#]]&lt;=DurationOfLoan,IF(ROW()-ROW(Amortization[[#Headers],[payment
date]])=1,LoanStart,IF(I199&gt;0,EDATE(C199,1),"")),""),"")</f>
        <v>51023</v>
      </c>
      <c r="D200" s="235">
        <f ca="1">IF(ROW()-ROW(Amortization[[#Headers],[opening
balance]])=1,LoanAmount,IF(Amortization[[#This Row],[payment
date]]="",0,INDEX(Amortization[], ROW()-4,8)))</f>
        <v>543986.75298090396</v>
      </c>
      <c r="E200" s="235">
        <f ca="1">IF(ValuesEntered,IF(ROW()-ROW(Amortization[[#Headers],[interest]])=1,-IPMT(InterestRate/12,1,DurationOfLoan-ROWS($C$4:C200)+1,Amortization[[#This Row],[opening
balance]]),IFERROR(-IPMT(InterestRate/12,1,Amortization[[#This Row],['#
remaining]],D201),0)),0)</f>
        <v>1353.2483028488837</v>
      </c>
      <c r="F200" s="235">
        <f ca="1">IFERROR(IF(AND(ValuesEntered,Amortization[[#This Row],[payment
date]]&lt;&gt;""),-PPMT(InterestRate/12,1,DurationOfLoan-ROWS($C$4:C200)+1,Amortization[[#This Row],[opening
balance]]),""),0)</f>
        <v>2687.4318413504661</v>
      </c>
      <c r="G200" s="235">
        <f ca="1">IF(Amortization[[#This Row],[payment
date]]="",0,PropertyTaxAmount)</f>
        <v>375</v>
      </c>
      <c r="H200" s="235">
        <f ca="1">IF(Amortization[[#This Row],[payment
date]]="",0,Amortization[[#This Row],[interest]]+Amortization[[#This Row],[principal]]+Amortization[[#This Row],[property
tax]])</f>
        <v>4415.6801441993503</v>
      </c>
      <c r="I200" s="235">
        <f ca="1">IF(Amortization[[#This Row],[payment
date]]="",0,Amortization[[#This Row],[opening
balance]]-Amortization[[#This Row],[principal]])</f>
        <v>541299.32113955345</v>
      </c>
      <c r="J200" s="247">
        <f ca="1">IF(Amortization[[#This Row],[closing
balance]]&gt;0,LastRow-ROW(),0)</f>
        <v>163</v>
      </c>
    </row>
    <row r="201" spans="2:10" ht="15" customHeight="1" x14ac:dyDescent="0.25">
      <c r="B201" s="249">
        <f>ROWS($B$4:B201)</f>
        <v>198</v>
      </c>
      <c r="C201" s="248">
        <f ca="1">IF(ValuesEntered,IF(Amortization[[#This Row],['#]]&lt;=DurationOfLoan,IF(ROW()-ROW(Amortization[[#Headers],[payment
date]])=1,LoanStart,IF(I200&gt;0,EDATE(C200,1),"")),""),"")</f>
        <v>51053</v>
      </c>
      <c r="D201" s="235">
        <f ca="1">IF(ROW()-ROW(Amortization[[#Headers],[opening
balance]])=1,LoanAmount,IF(Amortization[[#This Row],[payment
date]]="",0,INDEX(Amortization[], ROW()-4,8)))</f>
        <v>541299.32113955345</v>
      </c>
      <c r="E201" s="235">
        <f ca="1">IF(ValuesEntered,IF(ROW()-ROW(Amortization[[#Headers],[interest]])=1,-IPMT(InterestRate/12,1,DurationOfLoan-ROWS($C$4:C201)+1,Amortization[[#This Row],[opening
balance]]),IFERROR(-IPMT(InterestRate/12,1,Amortization[[#This Row],['#
remaining]],D202),0)),0)</f>
        <v>1346.512926796499</v>
      </c>
      <c r="F201" s="235">
        <f ca="1">IFERROR(IF(AND(ValuesEntered,Amortization[[#This Row],[payment
date]]&lt;&gt;""),-PPMT(InterestRate/12,1,DurationOfLoan-ROWS($C$4:C201)+1,Amortization[[#This Row],[opening
balance]]),""),0)</f>
        <v>2694.150420953843</v>
      </c>
      <c r="G201" s="235">
        <f ca="1">IF(Amortization[[#This Row],[payment
date]]="",0,PropertyTaxAmount)</f>
        <v>375</v>
      </c>
      <c r="H201" s="235">
        <f ca="1">IF(Amortization[[#This Row],[payment
date]]="",0,Amortization[[#This Row],[interest]]+Amortization[[#This Row],[principal]]+Amortization[[#This Row],[property
tax]])</f>
        <v>4415.6633477503419</v>
      </c>
      <c r="I201" s="235">
        <f ca="1">IF(Amortization[[#This Row],[payment
date]]="",0,Amortization[[#This Row],[opening
balance]]-Amortization[[#This Row],[principal]])</f>
        <v>538605.17071859958</v>
      </c>
      <c r="J201" s="247">
        <f ca="1">IF(Amortization[[#This Row],[closing
balance]]&gt;0,LastRow-ROW(),0)</f>
        <v>162</v>
      </c>
    </row>
    <row r="202" spans="2:10" ht="15" customHeight="1" x14ac:dyDescent="0.25">
      <c r="B202" s="249">
        <f>ROWS($B$4:B202)</f>
        <v>199</v>
      </c>
      <c r="C202" s="248">
        <f ca="1">IF(ValuesEntered,IF(Amortization[[#This Row],['#]]&lt;=DurationOfLoan,IF(ROW()-ROW(Amortization[[#Headers],[payment
date]])=1,LoanStart,IF(I201&gt;0,EDATE(C201,1),"")),""),"")</f>
        <v>51084</v>
      </c>
      <c r="D202" s="235">
        <f ca="1">IF(ROW()-ROW(Amortization[[#Headers],[opening
balance]])=1,LoanAmount,IF(Amortization[[#This Row],[payment
date]]="",0,INDEX(Amortization[], ROW()-4,8)))</f>
        <v>538605.17071859958</v>
      </c>
      <c r="E202" s="235">
        <f ca="1">IF(ValuesEntered,IF(ROW()-ROW(Amortization[[#Headers],[interest]])=1,-IPMT(InterestRate/12,1,DurationOfLoan-ROWS($C$4:C202)+1,Amortization[[#This Row],[opening
balance]]),IFERROR(-IPMT(InterestRate/12,1,Amortization[[#This Row],['#
remaining]],D203),0)),0)</f>
        <v>1339.7607123039834</v>
      </c>
      <c r="F202" s="235">
        <f ca="1">IFERROR(IF(AND(ValuesEntered,Amortization[[#This Row],[payment
date]]&lt;&gt;""),-PPMT(InterestRate/12,1,DurationOfLoan-ROWS($C$4:C202)+1,Amortization[[#This Row],[opening
balance]]),""),0)</f>
        <v>2700.8857970062272</v>
      </c>
      <c r="G202" s="235">
        <f ca="1">IF(Amortization[[#This Row],[payment
date]]="",0,PropertyTaxAmount)</f>
        <v>375</v>
      </c>
      <c r="H202" s="235">
        <f ca="1">IF(Amortization[[#This Row],[payment
date]]="",0,Amortization[[#This Row],[interest]]+Amortization[[#This Row],[principal]]+Amortization[[#This Row],[property
tax]])</f>
        <v>4415.6465093102106</v>
      </c>
      <c r="I202" s="235">
        <f ca="1">IF(Amortization[[#This Row],[payment
date]]="",0,Amortization[[#This Row],[opening
balance]]-Amortization[[#This Row],[principal]])</f>
        <v>535904.28492159338</v>
      </c>
      <c r="J202" s="247">
        <f ca="1">IF(Amortization[[#This Row],[closing
balance]]&gt;0,LastRow-ROW(),0)</f>
        <v>161</v>
      </c>
    </row>
    <row r="203" spans="2:10" ht="15" customHeight="1" x14ac:dyDescent="0.25">
      <c r="B203" s="249">
        <f>ROWS($B$4:B203)</f>
        <v>200</v>
      </c>
      <c r="C203" s="248">
        <f ca="1">IF(ValuesEntered,IF(Amortization[[#This Row],['#]]&lt;=DurationOfLoan,IF(ROW()-ROW(Amortization[[#Headers],[payment
date]])=1,LoanStart,IF(I202&gt;0,EDATE(C202,1),"")),""),"")</f>
        <v>51114</v>
      </c>
      <c r="D203" s="235">
        <f ca="1">IF(ROW()-ROW(Amortization[[#Headers],[opening
balance]])=1,LoanAmount,IF(Amortization[[#This Row],[payment
date]]="",0,INDEX(Amortization[], ROW()-4,8)))</f>
        <v>535904.28492159338</v>
      </c>
      <c r="E203" s="235">
        <f ca="1">IF(ValuesEntered,IF(ROW()-ROW(Amortization[[#Headers],[interest]])=1,-IPMT(InterestRate/12,1,DurationOfLoan-ROWS($C$4:C203)+1,Amortization[[#This Row],[opening
balance]]),IFERROR(-IPMT(InterestRate/12,1,Amortization[[#This Row],['#
remaining]],D204),0)),0)</f>
        <v>1332.9916172752366</v>
      </c>
      <c r="F203" s="235">
        <f ca="1">IFERROR(IF(AND(ValuesEntered,Amortization[[#This Row],[payment
date]]&lt;&gt;""),-PPMT(InterestRate/12,1,DurationOfLoan-ROWS($C$4:C203)+1,Amortization[[#This Row],[opening
balance]]),""),0)</f>
        <v>2707.6380114987428</v>
      </c>
      <c r="G203" s="235">
        <f ca="1">IF(Amortization[[#This Row],[payment
date]]="",0,PropertyTaxAmount)</f>
        <v>375</v>
      </c>
      <c r="H203" s="235">
        <f ca="1">IF(Amortization[[#This Row],[payment
date]]="",0,Amortization[[#This Row],[interest]]+Amortization[[#This Row],[principal]]+Amortization[[#This Row],[property
tax]])</f>
        <v>4415.6296287739797</v>
      </c>
      <c r="I203" s="235">
        <f ca="1">IF(Amortization[[#This Row],[payment
date]]="",0,Amortization[[#This Row],[opening
balance]]-Amortization[[#This Row],[principal]])</f>
        <v>533196.64691009466</v>
      </c>
      <c r="J203" s="247">
        <f ca="1">IF(Amortization[[#This Row],[closing
balance]]&gt;0,LastRow-ROW(),0)</f>
        <v>160</v>
      </c>
    </row>
    <row r="204" spans="2:10" ht="15" customHeight="1" x14ac:dyDescent="0.25">
      <c r="B204" s="249">
        <f>ROWS($B$4:B204)</f>
        <v>201</v>
      </c>
      <c r="C204" s="248">
        <f ca="1">IF(ValuesEntered,IF(Amortization[[#This Row],['#]]&lt;=DurationOfLoan,IF(ROW()-ROW(Amortization[[#Headers],[payment
date]])=1,LoanStart,IF(I203&gt;0,EDATE(C203,1),"")),""),"")</f>
        <v>51145</v>
      </c>
      <c r="D204" s="235">
        <f ca="1">IF(ROW()-ROW(Amortization[[#Headers],[opening
balance]])=1,LoanAmount,IF(Amortization[[#This Row],[payment
date]]="",0,INDEX(Amortization[], ROW()-4,8)))</f>
        <v>533196.64691009466</v>
      </c>
      <c r="E204" s="235">
        <f ca="1">IF(ValuesEntered,IF(ROW()-ROW(Amortization[[#Headers],[interest]])=1,-IPMT(InterestRate/12,1,DurationOfLoan-ROWS($C$4:C204)+1,Amortization[[#This Row],[opening
balance]]),IFERROR(-IPMT(InterestRate/12,1,Amortization[[#This Row],['#
remaining]],D205),0)),0)</f>
        <v>1326.2055995089179</v>
      </c>
      <c r="F204" s="235">
        <f ca="1">IFERROR(IF(AND(ValuesEntered,Amortization[[#This Row],[payment
date]]&lt;&gt;""),-PPMT(InterestRate/12,1,DurationOfLoan-ROWS($C$4:C204)+1,Amortization[[#This Row],[opening
balance]]),""),0)</f>
        <v>2714.4071065274907</v>
      </c>
      <c r="G204" s="235">
        <f ca="1">IF(Amortization[[#This Row],[payment
date]]="",0,PropertyTaxAmount)</f>
        <v>375</v>
      </c>
      <c r="H204" s="235">
        <f ca="1">IF(Amortization[[#This Row],[payment
date]]="",0,Amortization[[#This Row],[interest]]+Amortization[[#This Row],[principal]]+Amortization[[#This Row],[property
tax]])</f>
        <v>4415.6127060364088</v>
      </c>
      <c r="I204" s="235">
        <f ca="1">IF(Amortization[[#This Row],[payment
date]]="",0,Amortization[[#This Row],[opening
balance]]-Amortization[[#This Row],[principal]])</f>
        <v>530482.23980356718</v>
      </c>
      <c r="J204" s="247">
        <f ca="1">IF(Amortization[[#This Row],[closing
balance]]&gt;0,LastRow-ROW(),0)</f>
        <v>159</v>
      </c>
    </row>
    <row r="205" spans="2:10" ht="15" customHeight="1" x14ac:dyDescent="0.25">
      <c r="B205" s="249">
        <f>ROWS($B$4:B205)</f>
        <v>202</v>
      </c>
      <c r="C205" s="248">
        <f ca="1">IF(ValuesEntered,IF(Amortization[[#This Row],['#]]&lt;=DurationOfLoan,IF(ROW()-ROW(Amortization[[#Headers],[payment
date]])=1,LoanStart,IF(I204&gt;0,EDATE(C204,1),"")),""),"")</f>
        <v>51176</v>
      </c>
      <c r="D205" s="235">
        <f ca="1">IF(ROW()-ROW(Amortization[[#Headers],[opening
balance]])=1,LoanAmount,IF(Amortization[[#This Row],[payment
date]]="",0,INDEX(Amortization[], ROW()-4,8)))</f>
        <v>530482.23980356718</v>
      </c>
      <c r="E205" s="235">
        <f ca="1">IF(ValuesEntered,IF(ROW()-ROW(Amortization[[#Headers],[interest]])=1,-IPMT(InterestRate/12,1,DurationOfLoan-ROWS($C$4:C205)+1,Amortization[[#This Row],[opening
balance]]),IFERROR(-IPMT(InterestRate/12,1,Amortization[[#This Row],['#
remaining]],D206),0)),0)</f>
        <v>1319.4026166981835</v>
      </c>
      <c r="F205" s="235">
        <f ca="1">IFERROR(IF(AND(ValuesEntered,Amortization[[#This Row],[payment
date]]&lt;&gt;""),-PPMT(InterestRate/12,1,DurationOfLoan-ROWS($C$4:C205)+1,Amortization[[#This Row],[opening
balance]]),""),0)</f>
        <v>2721.1931242938085</v>
      </c>
      <c r="G205" s="235">
        <f ca="1">IF(Amortization[[#This Row],[payment
date]]="",0,PropertyTaxAmount)</f>
        <v>375</v>
      </c>
      <c r="H205" s="235">
        <f ca="1">IF(Amortization[[#This Row],[payment
date]]="",0,Amortization[[#This Row],[interest]]+Amortization[[#This Row],[principal]]+Amortization[[#This Row],[property
tax]])</f>
        <v>4415.595740991992</v>
      </c>
      <c r="I205" s="235">
        <f ca="1">IF(Amortization[[#This Row],[payment
date]]="",0,Amortization[[#This Row],[opening
balance]]-Amortization[[#This Row],[principal]])</f>
        <v>527761.04667927336</v>
      </c>
      <c r="J205" s="247">
        <f ca="1">IF(Amortization[[#This Row],[closing
balance]]&gt;0,LastRow-ROW(),0)</f>
        <v>158</v>
      </c>
    </row>
    <row r="206" spans="2:10" ht="15" customHeight="1" x14ac:dyDescent="0.25">
      <c r="B206" s="249">
        <f>ROWS($B$4:B206)</f>
        <v>203</v>
      </c>
      <c r="C206" s="248">
        <f ca="1">IF(ValuesEntered,IF(Amortization[[#This Row],['#]]&lt;=DurationOfLoan,IF(ROW()-ROW(Amortization[[#Headers],[payment
date]])=1,LoanStart,IF(I205&gt;0,EDATE(C205,1),"")),""),"")</f>
        <v>51205</v>
      </c>
      <c r="D206" s="235">
        <f ca="1">IF(ROW()-ROW(Amortization[[#Headers],[opening
balance]])=1,LoanAmount,IF(Amortization[[#This Row],[payment
date]]="",0,INDEX(Amortization[], ROW()-4,8)))</f>
        <v>527761.04667927336</v>
      </c>
      <c r="E206" s="235">
        <f ca="1">IF(ValuesEntered,IF(ROW()-ROW(Amortization[[#Headers],[interest]])=1,-IPMT(InterestRate/12,1,DurationOfLoan-ROWS($C$4:C206)+1,Amortization[[#This Row],[opening
balance]]),IFERROR(-IPMT(InterestRate/12,1,Amortization[[#This Row],['#
remaining]],D207),0)),0)</f>
        <v>1312.5826264304219</v>
      </c>
      <c r="F206" s="235">
        <f ca="1">IFERROR(IF(AND(ValuesEntered,Amortization[[#This Row],[payment
date]]&lt;&gt;""),-PPMT(InterestRate/12,1,DurationOfLoan-ROWS($C$4:C206)+1,Amortization[[#This Row],[opening
balance]]),""),0)</f>
        <v>2727.9961071045436</v>
      </c>
      <c r="G206" s="235">
        <f ca="1">IF(Amortization[[#This Row],[payment
date]]="",0,PropertyTaxAmount)</f>
        <v>375</v>
      </c>
      <c r="H206" s="235">
        <f ca="1">IF(Amortization[[#This Row],[payment
date]]="",0,Amortization[[#This Row],[interest]]+Amortization[[#This Row],[principal]]+Amortization[[#This Row],[property
tax]])</f>
        <v>4415.5787335349651</v>
      </c>
      <c r="I206" s="235">
        <f ca="1">IF(Amortization[[#This Row],[payment
date]]="",0,Amortization[[#This Row],[opening
balance]]-Amortization[[#This Row],[principal]])</f>
        <v>525033.05057216878</v>
      </c>
      <c r="J206" s="247">
        <f ca="1">IF(Amortization[[#This Row],[closing
balance]]&gt;0,LastRow-ROW(),0)</f>
        <v>157</v>
      </c>
    </row>
    <row r="207" spans="2:10" ht="15" customHeight="1" x14ac:dyDescent="0.25">
      <c r="B207" s="249">
        <f>ROWS($B$4:B207)</f>
        <v>204</v>
      </c>
      <c r="C207" s="248">
        <f ca="1">IF(ValuesEntered,IF(Amortization[[#This Row],['#]]&lt;=DurationOfLoan,IF(ROW()-ROW(Amortization[[#Headers],[payment
date]])=1,LoanStart,IF(I206&gt;0,EDATE(C206,1),"")),""),"")</f>
        <v>51236</v>
      </c>
      <c r="D207" s="235">
        <f ca="1">IF(ROW()-ROW(Amortization[[#Headers],[opening
balance]])=1,LoanAmount,IF(Amortization[[#This Row],[payment
date]]="",0,INDEX(Amortization[], ROW()-4,8)))</f>
        <v>525033.05057216878</v>
      </c>
      <c r="E207" s="235">
        <f ca="1">IF(ValuesEntered,IF(ROW()-ROW(Amortization[[#Headers],[interest]])=1,-IPMT(InterestRate/12,1,DurationOfLoan-ROWS($C$4:C207)+1,Amortization[[#This Row],[opening
balance]]),IFERROR(-IPMT(InterestRate/12,1,Amortization[[#This Row],['#
remaining]],D208),0)),0)</f>
        <v>1305.7455861869912</v>
      </c>
      <c r="F207" s="235">
        <f ca="1">IFERROR(IF(AND(ValuesEntered,Amortization[[#This Row],[payment
date]]&lt;&gt;""),-PPMT(InterestRate/12,1,DurationOfLoan-ROWS($C$4:C207)+1,Amortization[[#This Row],[opening
balance]]),""),0)</f>
        <v>2734.8160973723034</v>
      </c>
      <c r="G207" s="235">
        <f ca="1">IF(Amortization[[#This Row],[payment
date]]="",0,PropertyTaxAmount)</f>
        <v>375</v>
      </c>
      <c r="H207" s="235">
        <f ca="1">IF(Amortization[[#This Row],[payment
date]]="",0,Amortization[[#This Row],[interest]]+Amortization[[#This Row],[principal]]+Amortization[[#This Row],[property
tax]])</f>
        <v>4415.5616835592946</v>
      </c>
      <c r="I207" s="235">
        <f ca="1">IF(Amortization[[#This Row],[payment
date]]="",0,Amortization[[#This Row],[opening
balance]]-Amortization[[#This Row],[principal]])</f>
        <v>522298.23447479645</v>
      </c>
      <c r="J207" s="247">
        <f ca="1">IF(Amortization[[#This Row],[closing
balance]]&gt;0,LastRow-ROW(),0)</f>
        <v>156</v>
      </c>
    </row>
    <row r="208" spans="2:10" ht="15" customHeight="1" x14ac:dyDescent="0.25">
      <c r="B208" s="249">
        <f>ROWS($B$4:B208)</f>
        <v>205</v>
      </c>
      <c r="C208" s="248">
        <f ca="1">IF(ValuesEntered,IF(Amortization[[#This Row],['#]]&lt;=DurationOfLoan,IF(ROW()-ROW(Amortization[[#Headers],[payment
date]])=1,LoanStart,IF(I207&gt;0,EDATE(C207,1),"")),""),"")</f>
        <v>51266</v>
      </c>
      <c r="D208" s="235">
        <f ca="1">IF(ROW()-ROW(Amortization[[#Headers],[opening
balance]])=1,LoanAmount,IF(Amortization[[#This Row],[payment
date]]="",0,INDEX(Amortization[], ROW()-4,8)))</f>
        <v>522298.23447479645</v>
      </c>
      <c r="E208" s="235">
        <f ca="1">IF(ValuesEntered,IF(ROW()-ROW(Amortization[[#Headers],[interest]])=1,-IPMT(InterestRate/12,1,DurationOfLoan-ROWS($C$4:C208)+1,Amortization[[#This Row],[opening
balance]]),IFERROR(-IPMT(InterestRate/12,1,Amortization[[#This Row],['#
remaining]],D209),0)),0)</f>
        <v>1298.891453342952</v>
      </c>
      <c r="F208" s="235">
        <f ca="1">IFERROR(IF(AND(ValuesEntered,Amortization[[#This Row],[payment
date]]&lt;&gt;""),-PPMT(InterestRate/12,1,DurationOfLoan-ROWS($C$4:C208)+1,Amortization[[#This Row],[opening
balance]]),""),0)</f>
        <v>2741.6531376157345</v>
      </c>
      <c r="G208" s="235">
        <f ca="1">IF(Amortization[[#This Row],[payment
date]]="",0,PropertyTaxAmount)</f>
        <v>375</v>
      </c>
      <c r="H208" s="235">
        <f ca="1">IF(Amortization[[#This Row],[payment
date]]="",0,Amortization[[#This Row],[interest]]+Amortization[[#This Row],[principal]]+Amortization[[#This Row],[property
tax]])</f>
        <v>4415.544590958687</v>
      </c>
      <c r="I208" s="235">
        <f ca="1">IF(Amortization[[#This Row],[payment
date]]="",0,Amortization[[#This Row],[opening
balance]]-Amortization[[#This Row],[principal]])</f>
        <v>519556.58133718075</v>
      </c>
      <c r="J208" s="247">
        <f ca="1">IF(Amortization[[#This Row],[closing
balance]]&gt;0,LastRow-ROW(),0)</f>
        <v>155</v>
      </c>
    </row>
    <row r="209" spans="2:10" ht="15" customHeight="1" x14ac:dyDescent="0.25">
      <c r="B209" s="249">
        <f>ROWS($B$4:B209)</f>
        <v>206</v>
      </c>
      <c r="C209" s="248">
        <f ca="1">IF(ValuesEntered,IF(Amortization[[#This Row],['#]]&lt;=DurationOfLoan,IF(ROW()-ROW(Amortization[[#Headers],[payment
date]])=1,LoanStart,IF(I208&gt;0,EDATE(C208,1),"")),""),"")</f>
        <v>51297</v>
      </c>
      <c r="D209" s="235">
        <f ca="1">IF(ROW()-ROW(Amortization[[#Headers],[opening
balance]])=1,LoanAmount,IF(Amortization[[#This Row],[payment
date]]="",0,INDEX(Amortization[], ROW()-4,8)))</f>
        <v>519556.58133718075</v>
      </c>
      <c r="E209" s="235">
        <f ca="1">IF(ValuesEntered,IF(ROW()-ROW(Amortization[[#Headers],[interest]])=1,-IPMT(InterestRate/12,1,DurationOfLoan-ROWS($C$4:C209)+1,Amortization[[#This Row],[opening
balance]]),IFERROR(-IPMT(InterestRate/12,1,Amortization[[#This Row],['#
remaining]],D210),0)),0)</f>
        <v>1292.0201851668023</v>
      </c>
      <c r="F209" s="235">
        <f ca="1">IFERROR(IF(AND(ValuesEntered,Amortization[[#This Row],[payment
date]]&lt;&gt;""),-PPMT(InterestRate/12,1,DurationOfLoan-ROWS($C$4:C209)+1,Amortization[[#This Row],[opening
balance]]),""),0)</f>
        <v>2748.5072704597742</v>
      </c>
      <c r="G209" s="235">
        <f ca="1">IF(Amortization[[#This Row],[payment
date]]="",0,PropertyTaxAmount)</f>
        <v>375</v>
      </c>
      <c r="H209" s="235">
        <f ca="1">IF(Amortization[[#This Row],[payment
date]]="",0,Amortization[[#This Row],[interest]]+Amortization[[#This Row],[principal]]+Amortization[[#This Row],[property
tax]])</f>
        <v>4415.5274556265767</v>
      </c>
      <c r="I209" s="235">
        <f ca="1">IF(Amortization[[#This Row],[payment
date]]="",0,Amortization[[#This Row],[opening
balance]]-Amortization[[#This Row],[principal]])</f>
        <v>516808.07406672096</v>
      </c>
      <c r="J209" s="247">
        <f ca="1">IF(Amortization[[#This Row],[closing
balance]]&gt;0,LastRow-ROW(),0)</f>
        <v>154</v>
      </c>
    </row>
    <row r="210" spans="2:10" ht="15" customHeight="1" x14ac:dyDescent="0.25">
      <c r="B210" s="249">
        <f>ROWS($B$4:B210)</f>
        <v>207</v>
      </c>
      <c r="C210" s="248">
        <f ca="1">IF(ValuesEntered,IF(Amortization[[#This Row],['#]]&lt;=DurationOfLoan,IF(ROW()-ROW(Amortization[[#Headers],[payment
date]])=1,LoanStart,IF(I209&gt;0,EDATE(C209,1),"")),""),"")</f>
        <v>51327</v>
      </c>
      <c r="D210" s="235">
        <f ca="1">IF(ROW()-ROW(Amortization[[#Headers],[opening
balance]])=1,LoanAmount,IF(Amortization[[#This Row],[payment
date]]="",0,INDEX(Amortization[], ROW()-4,8)))</f>
        <v>516808.07406672096</v>
      </c>
      <c r="E210" s="235">
        <f ca="1">IF(ValuesEntered,IF(ROW()-ROW(Amortization[[#Headers],[interest]])=1,-IPMT(InterestRate/12,1,DurationOfLoan-ROWS($C$4:C210)+1,Amortization[[#This Row],[opening
balance]]),IFERROR(-IPMT(InterestRate/12,1,Amortization[[#This Row],['#
remaining]],D211),0)),0)</f>
        <v>1285.1317388202126</v>
      </c>
      <c r="F210" s="235">
        <f ca="1">IFERROR(IF(AND(ValuesEntered,Amortization[[#This Row],[payment
date]]&lt;&gt;""),-PPMT(InterestRate/12,1,DurationOfLoan-ROWS($C$4:C210)+1,Amortization[[#This Row],[opening
balance]]),""),0)</f>
        <v>2755.3785386359236</v>
      </c>
      <c r="G210" s="235">
        <f ca="1">IF(Amortization[[#This Row],[payment
date]]="",0,PropertyTaxAmount)</f>
        <v>375</v>
      </c>
      <c r="H210" s="235">
        <f ca="1">IF(Amortization[[#This Row],[payment
date]]="",0,Amortization[[#This Row],[interest]]+Amortization[[#This Row],[principal]]+Amortization[[#This Row],[property
tax]])</f>
        <v>4415.5102774561365</v>
      </c>
      <c r="I210" s="235">
        <f ca="1">IF(Amortization[[#This Row],[payment
date]]="",0,Amortization[[#This Row],[opening
balance]]-Amortization[[#This Row],[principal]])</f>
        <v>514052.69552808505</v>
      </c>
      <c r="J210" s="247">
        <f ca="1">IF(Amortization[[#This Row],[closing
balance]]&gt;0,LastRow-ROW(),0)</f>
        <v>153</v>
      </c>
    </row>
    <row r="211" spans="2:10" ht="15" customHeight="1" x14ac:dyDescent="0.25">
      <c r="B211" s="249">
        <f>ROWS($B$4:B211)</f>
        <v>208</v>
      </c>
      <c r="C211" s="248">
        <f ca="1">IF(ValuesEntered,IF(Amortization[[#This Row],['#]]&lt;=DurationOfLoan,IF(ROW()-ROW(Amortization[[#Headers],[payment
date]])=1,LoanStart,IF(I210&gt;0,EDATE(C210,1),"")),""),"")</f>
        <v>51358</v>
      </c>
      <c r="D211" s="235">
        <f ca="1">IF(ROW()-ROW(Amortization[[#Headers],[opening
balance]])=1,LoanAmount,IF(Amortization[[#This Row],[payment
date]]="",0,INDEX(Amortization[], ROW()-4,8)))</f>
        <v>514052.69552808505</v>
      </c>
      <c r="E211" s="235">
        <f ca="1">IF(ValuesEntered,IF(ROW()-ROW(Amortization[[#Headers],[interest]])=1,-IPMT(InterestRate/12,1,DurationOfLoan-ROWS($C$4:C211)+1,Amortization[[#This Row],[opening
balance]]),IFERROR(-IPMT(InterestRate/12,1,Amortization[[#This Row],['#
remaining]],D212),0)),0)</f>
        <v>1278.2260713577564</v>
      </c>
      <c r="F211" s="235">
        <f ca="1">IFERROR(IF(AND(ValuesEntered,Amortization[[#This Row],[payment
date]]&lt;&gt;""),-PPMT(InterestRate/12,1,DurationOfLoan-ROWS($C$4:C211)+1,Amortization[[#This Row],[opening
balance]]),""),0)</f>
        <v>2762.2669849825138</v>
      </c>
      <c r="G211" s="235">
        <f ca="1">IF(Amortization[[#This Row],[payment
date]]="",0,PropertyTaxAmount)</f>
        <v>375</v>
      </c>
      <c r="H211" s="235">
        <f ca="1">IF(Amortization[[#This Row],[payment
date]]="",0,Amortization[[#This Row],[interest]]+Amortization[[#This Row],[principal]]+Amortization[[#This Row],[property
tax]])</f>
        <v>4415.4930563402704</v>
      </c>
      <c r="I211" s="235">
        <f ca="1">IF(Amortization[[#This Row],[payment
date]]="",0,Amortization[[#This Row],[opening
balance]]-Amortization[[#This Row],[principal]])</f>
        <v>511290.42854310252</v>
      </c>
      <c r="J211" s="247">
        <f ca="1">IF(Amortization[[#This Row],[closing
balance]]&gt;0,LastRow-ROW(),0)</f>
        <v>152</v>
      </c>
    </row>
    <row r="212" spans="2:10" ht="15" customHeight="1" x14ac:dyDescent="0.25">
      <c r="B212" s="249">
        <f>ROWS($B$4:B212)</f>
        <v>209</v>
      </c>
      <c r="C212" s="248">
        <f ca="1">IF(ValuesEntered,IF(Amortization[[#This Row],['#]]&lt;=DurationOfLoan,IF(ROW()-ROW(Amortization[[#Headers],[payment
date]])=1,LoanStart,IF(I211&gt;0,EDATE(C211,1),"")),""),"")</f>
        <v>51389</v>
      </c>
      <c r="D212" s="235">
        <f ca="1">IF(ROW()-ROW(Amortization[[#Headers],[opening
balance]])=1,LoanAmount,IF(Amortization[[#This Row],[payment
date]]="",0,INDEX(Amortization[], ROW()-4,8)))</f>
        <v>511290.42854310252</v>
      </c>
      <c r="E212" s="235">
        <f ca="1">IF(ValuesEntered,IF(ROW()-ROW(Amortization[[#Headers],[interest]])=1,-IPMT(InterestRate/12,1,DurationOfLoan-ROWS($C$4:C212)+1,Amortization[[#This Row],[opening
balance]]),IFERROR(-IPMT(InterestRate/12,1,Amortization[[#This Row],['#
remaining]],D213),0)),0)</f>
        <v>1271.3031397266438</v>
      </c>
      <c r="F212" s="235">
        <f ca="1">IFERROR(IF(AND(ValuesEntered,Amortization[[#This Row],[payment
date]]&lt;&gt;""),-PPMT(InterestRate/12,1,DurationOfLoan-ROWS($C$4:C212)+1,Amortization[[#This Row],[opening
balance]]),""),0)</f>
        <v>2769.1726524449691</v>
      </c>
      <c r="G212" s="235">
        <f ca="1">IF(Amortization[[#This Row],[payment
date]]="",0,PropertyTaxAmount)</f>
        <v>375</v>
      </c>
      <c r="H212" s="235">
        <f ca="1">IF(Amortization[[#This Row],[payment
date]]="",0,Amortization[[#This Row],[interest]]+Amortization[[#This Row],[principal]]+Amortization[[#This Row],[property
tax]])</f>
        <v>4415.4757921716127</v>
      </c>
      <c r="I212" s="235">
        <f ca="1">IF(Amortization[[#This Row],[payment
date]]="",0,Amortization[[#This Row],[opening
balance]]-Amortization[[#This Row],[principal]])</f>
        <v>508521.25589065754</v>
      </c>
      <c r="J212" s="247">
        <f ca="1">IF(Amortization[[#This Row],[closing
balance]]&gt;0,LastRow-ROW(),0)</f>
        <v>151</v>
      </c>
    </row>
    <row r="213" spans="2:10" ht="15" customHeight="1" x14ac:dyDescent="0.25">
      <c r="B213" s="249">
        <f>ROWS($B$4:B213)</f>
        <v>210</v>
      </c>
      <c r="C213" s="248">
        <f ca="1">IF(ValuesEntered,IF(Amortization[[#This Row],['#]]&lt;=DurationOfLoan,IF(ROW()-ROW(Amortization[[#Headers],[payment
date]])=1,LoanStart,IF(I212&gt;0,EDATE(C212,1),"")),""),"")</f>
        <v>51419</v>
      </c>
      <c r="D213" s="235">
        <f ca="1">IF(ROW()-ROW(Amortization[[#Headers],[opening
balance]])=1,LoanAmount,IF(Amortization[[#This Row],[payment
date]]="",0,INDEX(Amortization[], ROW()-4,8)))</f>
        <v>508521.25589065754</v>
      </c>
      <c r="E213" s="235">
        <f ca="1">IF(ValuesEntered,IF(ROW()-ROW(Amortization[[#Headers],[interest]])=1,-IPMT(InterestRate/12,1,DurationOfLoan-ROWS($C$4:C213)+1,Amortization[[#This Row],[opening
balance]]),IFERROR(-IPMT(InterestRate/12,1,Amortization[[#This Row],['#
remaining]],D214),0)),0)</f>
        <v>1264.3629007664535</v>
      </c>
      <c r="F213" s="235">
        <f ca="1">IFERROR(IF(AND(ValuesEntered,Amortization[[#This Row],[payment
date]]&lt;&gt;""),-PPMT(InterestRate/12,1,DurationOfLoan-ROWS($C$4:C213)+1,Amortization[[#This Row],[opening
balance]]),""),0)</f>
        <v>2776.0955840760826</v>
      </c>
      <c r="G213" s="235">
        <f ca="1">IF(Amortization[[#This Row],[payment
date]]="",0,PropertyTaxAmount)</f>
        <v>375</v>
      </c>
      <c r="H213" s="235">
        <f ca="1">IF(Amortization[[#This Row],[payment
date]]="",0,Amortization[[#This Row],[interest]]+Amortization[[#This Row],[principal]]+Amortization[[#This Row],[property
tax]])</f>
        <v>4415.4584848425366</v>
      </c>
      <c r="I213" s="235">
        <f ca="1">IF(Amortization[[#This Row],[payment
date]]="",0,Amortization[[#This Row],[opening
balance]]-Amortization[[#This Row],[principal]])</f>
        <v>505745.16030658147</v>
      </c>
      <c r="J213" s="247">
        <f ca="1">IF(Amortization[[#This Row],[closing
balance]]&gt;0,LastRow-ROW(),0)</f>
        <v>150</v>
      </c>
    </row>
    <row r="214" spans="2:10" ht="15" customHeight="1" x14ac:dyDescent="0.25">
      <c r="B214" s="249">
        <f>ROWS($B$4:B214)</f>
        <v>211</v>
      </c>
      <c r="C214" s="248">
        <f ca="1">IF(ValuesEntered,IF(Amortization[[#This Row],['#]]&lt;=DurationOfLoan,IF(ROW()-ROW(Amortization[[#Headers],[payment
date]])=1,LoanStart,IF(I213&gt;0,EDATE(C213,1),"")),""),"")</f>
        <v>51450</v>
      </c>
      <c r="D214" s="235">
        <f ca="1">IF(ROW()-ROW(Amortization[[#Headers],[opening
balance]])=1,LoanAmount,IF(Amortization[[#This Row],[payment
date]]="",0,INDEX(Amortization[], ROW()-4,8)))</f>
        <v>505745.16030658147</v>
      </c>
      <c r="E214" s="235">
        <f ca="1">IF(ValuesEntered,IF(ROW()-ROW(Amortization[[#Headers],[interest]])=1,-IPMT(InterestRate/12,1,DurationOfLoan-ROWS($C$4:C214)+1,Amortization[[#This Row],[opening
balance]]),IFERROR(-IPMT(InterestRate/12,1,Amortization[[#This Row],['#
remaining]],D215),0)),0)</f>
        <v>1257.4053112088629</v>
      </c>
      <c r="F214" s="235">
        <f ca="1">IFERROR(IF(AND(ValuesEntered,Amortization[[#This Row],[payment
date]]&lt;&gt;""),-PPMT(InterestRate/12,1,DurationOfLoan-ROWS($C$4:C214)+1,Amortization[[#This Row],[opening
balance]]),""),0)</f>
        <v>2783.0358230362722</v>
      </c>
      <c r="G214" s="235">
        <f ca="1">IF(Amortization[[#This Row],[payment
date]]="",0,PropertyTaxAmount)</f>
        <v>375</v>
      </c>
      <c r="H214" s="235">
        <f ca="1">IF(Amortization[[#This Row],[payment
date]]="",0,Amortization[[#This Row],[interest]]+Amortization[[#This Row],[principal]]+Amortization[[#This Row],[property
tax]])</f>
        <v>4415.4411342451349</v>
      </c>
      <c r="I214" s="235">
        <f ca="1">IF(Amortization[[#This Row],[payment
date]]="",0,Amortization[[#This Row],[opening
balance]]-Amortization[[#This Row],[principal]])</f>
        <v>502962.12448354519</v>
      </c>
      <c r="J214" s="247">
        <f ca="1">IF(Amortization[[#This Row],[closing
balance]]&gt;0,LastRow-ROW(),0)</f>
        <v>149</v>
      </c>
    </row>
    <row r="215" spans="2:10" ht="15" customHeight="1" x14ac:dyDescent="0.25">
      <c r="B215" s="249">
        <f>ROWS($B$4:B215)</f>
        <v>212</v>
      </c>
      <c r="C215" s="248">
        <f ca="1">IF(ValuesEntered,IF(Amortization[[#This Row],['#]]&lt;=DurationOfLoan,IF(ROW()-ROW(Amortization[[#Headers],[payment
date]])=1,LoanStart,IF(I214&gt;0,EDATE(C214,1),"")),""),"")</f>
        <v>51480</v>
      </c>
      <c r="D215" s="235">
        <f ca="1">IF(ROW()-ROW(Amortization[[#Headers],[opening
balance]])=1,LoanAmount,IF(Amortization[[#This Row],[payment
date]]="",0,INDEX(Amortization[], ROW()-4,8)))</f>
        <v>502962.12448354519</v>
      </c>
      <c r="E215" s="235">
        <f ca="1">IF(ValuesEntered,IF(ROW()-ROW(Amortization[[#Headers],[interest]])=1,-IPMT(InterestRate/12,1,DurationOfLoan-ROWS($C$4:C215)+1,Amortization[[#This Row],[opening
balance]]),IFERROR(-IPMT(InterestRate/12,1,Amortization[[#This Row],['#
remaining]],D216),0)),0)</f>
        <v>1250.4303276773783</v>
      </c>
      <c r="F215" s="235">
        <f ca="1">IFERROR(IF(AND(ValuesEntered,Amortization[[#This Row],[payment
date]]&lt;&gt;""),-PPMT(InterestRate/12,1,DurationOfLoan-ROWS($C$4:C215)+1,Amortization[[#This Row],[opening
balance]]),""),0)</f>
        <v>2789.9934125938635</v>
      </c>
      <c r="G215" s="235">
        <f ca="1">IF(Amortization[[#This Row],[payment
date]]="",0,PropertyTaxAmount)</f>
        <v>375</v>
      </c>
      <c r="H215" s="235">
        <f ca="1">IF(Amortization[[#This Row],[payment
date]]="",0,Amortization[[#This Row],[interest]]+Amortization[[#This Row],[principal]]+Amortization[[#This Row],[property
tax]])</f>
        <v>4415.4237402712415</v>
      </c>
      <c r="I215" s="235">
        <f ca="1">IF(Amortization[[#This Row],[payment
date]]="",0,Amortization[[#This Row],[opening
balance]]-Amortization[[#This Row],[principal]])</f>
        <v>500172.13107095135</v>
      </c>
      <c r="J215" s="247">
        <f ca="1">IF(Amortization[[#This Row],[closing
balance]]&gt;0,LastRow-ROW(),0)</f>
        <v>148</v>
      </c>
    </row>
    <row r="216" spans="2:10" ht="15" customHeight="1" x14ac:dyDescent="0.25">
      <c r="B216" s="249">
        <f>ROWS($B$4:B216)</f>
        <v>213</v>
      </c>
      <c r="C216" s="248">
        <f ca="1">IF(ValuesEntered,IF(Amortization[[#This Row],['#]]&lt;=DurationOfLoan,IF(ROW()-ROW(Amortization[[#Headers],[payment
date]])=1,LoanStart,IF(I215&gt;0,EDATE(C215,1),"")),""),"")</f>
        <v>51511</v>
      </c>
      <c r="D216" s="235">
        <f ca="1">IF(ROW()-ROW(Amortization[[#Headers],[opening
balance]])=1,LoanAmount,IF(Amortization[[#This Row],[payment
date]]="",0,INDEX(Amortization[], ROW()-4,8)))</f>
        <v>500172.13107095135</v>
      </c>
      <c r="E216" s="235">
        <f ca="1">IF(ValuesEntered,IF(ROW()-ROW(Amortization[[#Headers],[interest]])=1,-IPMT(InterestRate/12,1,DurationOfLoan-ROWS($C$4:C216)+1,Amortization[[#This Row],[opening
balance]]),IFERROR(-IPMT(InterestRate/12,1,Amortization[[#This Row],['#
remaining]],D217),0)),0)</f>
        <v>1243.4379066870649</v>
      </c>
      <c r="F216" s="235">
        <f ca="1">IFERROR(IF(AND(ValuesEntered,Amortization[[#This Row],[payment
date]]&lt;&gt;""),-PPMT(InterestRate/12,1,DurationOfLoan-ROWS($C$4:C216)+1,Amortization[[#This Row],[opening
balance]]),""),0)</f>
        <v>2796.9683961253481</v>
      </c>
      <c r="G216" s="235">
        <f ca="1">IF(Amortization[[#This Row],[payment
date]]="",0,PropertyTaxAmount)</f>
        <v>375</v>
      </c>
      <c r="H216" s="235">
        <f ca="1">IF(Amortization[[#This Row],[payment
date]]="",0,Amortization[[#This Row],[interest]]+Amortization[[#This Row],[principal]]+Amortization[[#This Row],[property
tax]])</f>
        <v>4415.4063028124128</v>
      </c>
      <c r="I216" s="235">
        <f ca="1">IF(Amortization[[#This Row],[payment
date]]="",0,Amortization[[#This Row],[opening
balance]]-Amortization[[#This Row],[principal]])</f>
        <v>497375.16267482599</v>
      </c>
      <c r="J216" s="247">
        <f ca="1">IF(Amortization[[#This Row],[closing
balance]]&gt;0,LastRow-ROW(),0)</f>
        <v>147</v>
      </c>
    </row>
    <row r="217" spans="2:10" ht="15" customHeight="1" x14ac:dyDescent="0.25">
      <c r="B217" s="249">
        <f>ROWS($B$4:B217)</f>
        <v>214</v>
      </c>
      <c r="C217" s="248">
        <f ca="1">IF(ValuesEntered,IF(Amortization[[#This Row],['#]]&lt;=DurationOfLoan,IF(ROW()-ROW(Amortization[[#Headers],[payment
date]])=1,LoanStart,IF(I216&gt;0,EDATE(C216,1),"")),""),"")</f>
        <v>51542</v>
      </c>
      <c r="D217" s="235">
        <f ca="1">IF(ROW()-ROW(Amortization[[#Headers],[opening
balance]])=1,LoanAmount,IF(Amortization[[#This Row],[payment
date]]="",0,INDEX(Amortization[], ROW()-4,8)))</f>
        <v>497375.16267482599</v>
      </c>
      <c r="E217" s="235">
        <f ca="1">IF(ValuesEntered,IF(ROW()-ROW(Amortization[[#Headers],[interest]])=1,-IPMT(InterestRate/12,1,DurationOfLoan-ROWS($C$4:C217)+1,Amortization[[#This Row],[opening
balance]]),IFERROR(-IPMT(InterestRate/12,1,Amortization[[#This Row],['#
remaining]],D218),0)),0)</f>
        <v>1236.4280046442757</v>
      </c>
      <c r="F217" s="235">
        <f ca="1">IFERROR(IF(AND(ValuesEntered,Amortization[[#This Row],[payment
date]]&lt;&gt;""),-PPMT(InterestRate/12,1,DurationOfLoan-ROWS($C$4:C217)+1,Amortization[[#This Row],[opening
balance]]),""),0)</f>
        <v>2803.9608171156615</v>
      </c>
      <c r="G217" s="235">
        <f ca="1">IF(Amortization[[#This Row],[payment
date]]="",0,PropertyTaxAmount)</f>
        <v>375</v>
      </c>
      <c r="H217" s="235">
        <f ca="1">IF(Amortization[[#This Row],[payment
date]]="",0,Amortization[[#This Row],[interest]]+Amortization[[#This Row],[principal]]+Amortization[[#This Row],[property
tax]])</f>
        <v>4415.3888217599369</v>
      </c>
      <c r="I217" s="235">
        <f ca="1">IF(Amortization[[#This Row],[payment
date]]="",0,Amortization[[#This Row],[opening
balance]]-Amortization[[#This Row],[principal]])</f>
        <v>494571.20185771032</v>
      </c>
      <c r="J217" s="247">
        <f ca="1">IF(Amortization[[#This Row],[closing
balance]]&gt;0,LastRow-ROW(),0)</f>
        <v>146</v>
      </c>
    </row>
    <row r="218" spans="2:10" ht="15" customHeight="1" x14ac:dyDescent="0.25">
      <c r="B218" s="249">
        <f>ROWS($B$4:B218)</f>
        <v>215</v>
      </c>
      <c r="C218" s="248">
        <f ca="1">IF(ValuesEntered,IF(Amortization[[#This Row],['#]]&lt;=DurationOfLoan,IF(ROW()-ROW(Amortization[[#Headers],[payment
date]])=1,LoanStart,IF(I217&gt;0,EDATE(C217,1),"")),""),"")</f>
        <v>51570</v>
      </c>
      <c r="D218" s="235">
        <f ca="1">IF(ROW()-ROW(Amortization[[#Headers],[opening
balance]])=1,LoanAmount,IF(Amortization[[#This Row],[payment
date]]="",0,INDEX(Amortization[], ROW()-4,8)))</f>
        <v>494571.20185771032</v>
      </c>
      <c r="E218" s="235">
        <f ca="1">IF(ValuesEntered,IF(ROW()-ROW(Amortization[[#Headers],[interest]])=1,-IPMT(InterestRate/12,1,DurationOfLoan-ROWS($C$4:C218)+1,Amortization[[#This Row],[opening
balance]]),IFERROR(-IPMT(InterestRate/12,1,Amortization[[#This Row],['#
remaining]],D219),0)),0)</f>
        <v>1229.4005778463795</v>
      </c>
      <c r="F218" s="235">
        <f ca="1">IFERROR(IF(AND(ValuesEntered,Amortization[[#This Row],[payment
date]]&lt;&gt;""),-PPMT(InterestRate/12,1,DurationOfLoan-ROWS($C$4:C218)+1,Amortization[[#This Row],[opening
balance]]),""),0)</f>
        <v>2810.9707191584498</v>
      </c>
      <c r="G218" s="235">
        <f ca="1">IF(Amortization[[#This Row],[payment
date]]="",0,PropertyTaxAmount)</f>
        <v>375</v>
      </c>
      <c r="H218" s="235">
        <f ca="1">IF(Amortization[[#This Row],[payment
date]]="",0,Amortization[[#This Row],[interest]]+Amortization[[#This Row],[principal]]+Amortization[[#This Row],[property
tax]])</f>
        <v>4415.3712970048291</v>
      </c>
      <c r="I218" s="235">
        <f ca="1">IF(Amortization[[#This Row],[payment
date]]="",0,Amortization[[#This Row],[opening
balance]]-Amortization[[#This Row],[principal]])</f>
        <v>491760.23113855184</v>
      </c>
      <c r="J218" s="247">
        <f ca="1">IF(Amortization[[#This Row],[closing
balance]]&gt;0,LastRow-ROW(),0)</f>
        <v>145</v>
      </c>
    </row>
    <row r="219" spans="2:10" ht="15" customHeight="1" x14ac:dyDescent="0.25">
      <c r="B219" s="249">
        <f>ROWS($B$4:B219)</f>
        <v>216</v>
      </c>
      <c r="C219" s="248">
        <f ca="1">IF(ValuesEntered,IF(Amortization[[#This Row],['#]]&lt;=DurationOfLoan,IF(ROW()-ROW(Amortization[[#Headers],[payment
date]])=1,LoanStart,IF(I218&gt;0,EDATE(C218,1),"")),""),"")</f>
        <v>51601</v>
      </c>
      <c r="D219" s="235">
        <f ca="1">IF(ROW()-ROW(Amortization[[#Headers],[opening
balance]])=1,LoanAmount,IF(Amortization[[#This Row],[payment
date]]="",0,INDEX(Amortization[], ROW()-4,8)))</f>
        <v>491760.23113855184</v>
      </c>
      <c r="E219" s="235">
        <f ca="1">IF(ValuesEntered,IF(ROW()-ROW(Amortization[[#Headers],[interest]])=1,-IPMT(InterestRate/12,1,DurationOfLoan-ROWS($C$4:C219)+1,Amortization[[#This Row],[opening
balance]]),IFERROR(-IPMT(InterestRate/12,1,Amortization[[#This Row],['#
remaining]],D220),0)),0)</f>
        <v>1222.3555824814887</v>
      </c>
      <c r="F219" s="235">
        <f ca="1">IFERROR(IF(AND(ValuesEntered,Amortization[[#This Row],[payment
date]]&lt;&gt;""),-PPMT(InterestRate/12,1,DurationOfLoan-ROWS($C$4:C219)+1,Amortization[[#This Row],[opening
balance]]),""),0)</f>
        <v>2817.9981459563464</v>
      </c>
      <c r="G219" s="235">
        <f ca="1">IF(Amortization[[#This Row],[payment
date]]="",0,PropertyTaxAmount)</f>
        <v>375</v>
      </c>
      <c r="H219" s="235">
        <f ca="1">IF(Amortization[[#This Row],[payment
date]]="",0,Amortization[[#This Row],[interest]]+Amortization[[#This Row],[principal]]+Amortization[[#This Row],[property
tax]])</f>
        <v>4415.3537284378353</v>
      </c>
      <c r="I219" s="235">
        <f ca="1">IF(Amortization[[#This Row],[payment
date]]="",0,Amortization[[#This Row],[opening
balance]]-Amortization[[#This Row],[principal]])</f>
        <v>488942.23299259547</v>
      </c>
      <c r="J219" s="247">
        <f ca="1">IF(Amortization[[#This Row],[closing
balance]]&gt;0,LastRow-ROW(),0)</f>
        <v>144</v>
      </c>
    </row>
    <row r="220" spans="2:10" ht="15" customHeight="1" x14ac:dyDescent="0.25">
      <c r="B220" s="249">
        <f>ROWS($B$4:B220)</f>
        <v>217</v>
      </c>
      <c r="C220" s="248">
        <f ca="1">IF(ValuesEntered,IF(Amortization[[#This Row],['#]]&lt;=DurationOfLoan,IF(ROW()-ROW(Amortization[[#Headers],[payment
date]])=1,LoanStart,IF(I219&gt;0,EDATE(C219,1),"")),""),"")</f>
        <v>51631</v>
      </c>
      <c r="D220" s="235">
        <f ca="1">IF(ROW()-ROW(Amortization[[#Headers],[opening
balance]])=1,LoanAmount,IF(Amortization[[#This Row],[payment
date]]="",0,INDEX(Amortization[], ROW()-4,8)))</f>
        <v>488942.23299259547</v>
      </c>
      <c r="E220" s="235">
        <f ca="1">IF(ValuesEntered,IF(ROW()-ROW(Amortization[[#Headers],[interest]])=1,-IPMT(InterestRate/12,1,DurationOfLoan-ROWS($C$4:C220)+1,Amortization[[#This Row],[opening
balance]]),IFERROR(-IPMT(InterestRate/12,1,Amortization[[#This Row],['#
remaining]],D221),0)),0)</f>
        <v>1215.2929746281857</v>
      </c>
      <c r="F220" s="235">
        <f ca="1">IFERROR(IF(AND(ValuesEntered,Amortization[[#This Row],[payment
date]]&lt;&gt;""),-PPMT(InterestRate/12,1,DurationOfLoan-ROWS($C$4:C220)+1,Amortization[[#This Row],[opening
balance]]),""),0)</f>
        <v>2825.0431413212373</v>
      </c>
      <c r="G220" s="235">
        <f ca="1">IF(Amortization[[#This Row],[payment
date]]="",0,PropertyTaxAmount)</f>
        <v>375</v>
      </c>
      <c r="H220" s="235">
        <f ca="1">IF(Amortization[[#This Row],[payment
date]]="",0,Amortization[[#This Row],[interest]]+Amortization[[#This Row],[principal]]+Amortization[[#This Row],[property
tax]])</f>
        <v>4415.3361159494234</v>
      </c>
      <c r="I220" s="235">
        <f ca="1">IF(Amortization[[#This Row],[payment
date]]="",0,Amortization[[#This Row],[opening
balance]]-Amortization[[#This Row],[principal]])</f>
        <v>486117.18985127425</v>
      </c>
      <c r="J220" s="247">
        <f ca="1">IF(Amortization[[#This Row],[closing
balance]]&gt;0,LastRow-ROW(),0)</f>
        <v>143</v>
      </c>
    </row>
    <row r="221" spans="2:10" ht="15" customHeight="1" x14ac:dyDescent="0.25">
      <c r="B221" s="249">
        <f>ROWS($B$4:B221)</f>
        <v>218</v>
      </c>
      <c r="C221" s="248">
        <f ca="1">IF(ValuesEntered,IF(Amortization[[#This Row],['#]]&lt;=DurationOfLoan,IF(ROW()-ROW(Amortization[[#Headers],[payment
date]])=1,LoanStart,IF(I220&gt;0,EDATE(C220,1),"")),""),"")</f>
        <v>51662</v>
      </c>
      <c r="D221" s="235">
        <f ca="1">IF(ROW()-ROW(Amortization[[#Headers],[opening
balance]])=1,LoanAmount,IF(Amortization[[#This Row],[payment
date]]="",0,INDEX(Amortization[], ROW()-4,8)))</f>
        <v>486117.18985127425</v>
      </c>
      <c r="E221" s="235">
        <f ca="1">IF(ValuesEntered,IF(ROW()-ROW(Amortization[[#Headers],[interest]])=1,-IPMT(InterestRate/12,1,DurationOfLoan-ROWS($C$4:C221)+1,Amortization[[#This Row],[opening
balance]]),IFERROR(-IPMT(InterestRate/12,1,Amortization[[#This Row],['#
remaining]],D222),0)),0)</f>
        <v>1208.2127102552492</v>
      </c>
      <c r="F221" s="235">
        <f ca="1">IFERROR(IF(AND(ValuesEntered,Amortization[[#This Row],[payment
date]]&lt;&gt;""),-PPMT(InterestRate/12,1,DurationOfLoan-ROWS($C$4:C221)+1,Amortization[[#This Row],[opening
balance]]),""),0)</f>
        <v>2832.1057491745401</v>
      </c>
      <c r="G221" s="235">
        <f ca="1">IF(Amortization[[#This Row],[payment
date]]="",0,PropertyTaxAmount)</f>
        <v>375</v>
      </c>
      <c r="H221" s="235">
        <f ca="1">IF(Amortization[[#This Row],[payment
date]]="",0,Amortization[[#This Row],[interest]]+Amortization[[#This Row],[principal]]+Amortization[[#This Row],[property
tax]])</f>
        <v>4415.3184594297891</v>
      </c>
      <c r="I221" s="235">
        <f ca="1">IF(Amortization[[#This Row],[payment
date]]="",0,Amortization[[#This Row],[opening
balance]]-Amortization[[#This Row],[principal]])</f>
        <v>483285.0841020997</v>
      </c>
      <c r="J221" s="247">
        <f ca="1">IF(Amortization[[#This Row],[closing
balance]]&gt;0,LastRow-ROW(),0)</f>
        <v>142</v>
      </c>
    </row>
    <row r="222" spans="2:10" ht="15" customHeight="1" x14ac:dyDescent="0.25">
      <c r="B222" s="249">
        <f>ROWS($B$4:B222)</f>
        <v>219</v>
      </c>
      <c r="C222" s="248">
        <f ca="1">IF(ValuesEntered,IF(Amortization[[#This Row],['#]]&lt;=DurationOfLoan,IF(ROW()-ROW(Amortization[[#Headers],[payment
date]])=1,LoanStart,IF(I221&gt;0,EDATE(C221,1),"")),""),"")</f>
        <v>51692</v>
      </c>
      <c r="D222" s="235">
        <f ca="1">IF(ROW()-ROW(Amortization[[#Headers],[opening
balance]])=1,LoanAmount,IF(Amortization[[#This Row],[payment
date]]="",0,INDEX(Amortization[], ROW()-4,8)))</f>
        <v>483285.0841020997</v>
      </c>
      <c r="E222" s="235">
        <f ca="1">IF(ValuesEntered,IF(ROW()-ROW(Amortization[[#Headers],[interest]])=1,-IPMT(InterestRate/12,1,DurationOfLoan-ROWS($C$4:C222)+1,Amortization[[#This Row],[opening
balance]]),IFERROR(-IPMT(InterestRate/12,1,Amortization[[#This Row],['#
remaining]],D223),0)),0)</f>
        <v>1201.1147452213806</v>
      </c>
      <c r="F222" s="235">
        <f ca="1">IFERROR(IF(AND(ValuesEntered,Amortization[[#This Row],[payment
date]]&lt;&gt;""),-PPMT(InterestRate/12,1,DurationOfLoan-ROWS($C$4:C222)+1,Amortization[[#This Row],[opening
balance]]),""),0)</f>
        <v>2839.1860135474767</v>
      </c>
      <c r="G222" s="235">
        <f ca="1">IF(Amortization[[#This Row],[payment
date]]="",0,PropertyTaxAmount)</f>
        <v>375</v>
      </c>
      <c r="H222" s="235">
        <f ca="1">IF(Amortization[[#This Row],[payment
date]]="",0,Amortization[[#This Row],[interest]]+Amortization[[#This Row],[principal]]+Amortization[[#This Row],[property
tax]])</f>
        <v>4415.3007587688571</v>
      </c>
      <c r="I222" s="235">
        <f ca="1">IF(Amortization[[#This Row],[payment
date]]="",0,Amortization[[#This Row],[opening
balance]]-Amortization[[#This Row],[principal]])</f>
        <v>480445.89808855223</v>
      </c>
      <c r="J222" s="247">
        <f ca="1">IF(Amortization[[#This Row],[closing
balance]]&gt;0,LastRow-ROW(),0)</f>
        <v>141</v>
      </c>
    </row>
    <row r="223" spans="2:10" ht="15" customHeight="1" x14ac:dyDescent="0.25">
      <c r="B223" s="249">
        <f>ROWS($B$4:B223)</f>
        <v>220</v>
      </c>
      <c r="C223" s="248">
        <f ca="1">IF(ValuesEntered,IF(Amortization[[#This Row],['#]]&lt;=DurationOfLoan,IF(ROW()-ROW(Amortization[[#Headers],[payment
date]])=1,LoanStart,IF(I222&gt;0,EDATE(C222,1),"")),""),"")</f>
        <v>51723</v>
      </c>
      <c r="D223" s="235">
        <f ca="1">IF(ROW()-ROW(Amortization[[#Headers],[opening
balance]])=1,LoanAmount,IF(Amortization[[#This Row],[payment
date]]="",0,INDEX(Amortization[], ROW()-4,8)))</f>
        <v>480445.89808855223</v>
      </c>
      <c r="E223" s="235">
        <f ca="1">IF(ValuesEntered,IF(ROW()-ROW(Amortization[[#Headers],[interest]])=1,-IPMT(InterestRate/12,1,DurationOfLoan-ROWS($C$4:C223)+1,Amortization[[#This Row],[opening
balance]]),IFERROR(-IPMT(InterestRate/12,1,Amortization[[#This Row],['#
remaining]],D224),0)),0)</f>
        <v>1193.9990352749271</v>
      </c>
      <c r="F223" s="235">
        <f ca="1">IFERROR(IF(AND(ValuesEntered,Amortization[[#This Row],[payment
date]]&lt;&gt;""),-PPMT(InterestRate/12,1,DurationOfLoan-ROWS($C$4:C223)+1,Amortization[[#This Row],[opening
balance]]),""),0)</f>
        <v>2846.2839785813453</v>
      </c>
      <c r="G223" s="235">
        <f ca="1">IF(Amortization[[#This Row],[payment
date]]="",0,PropertyTaxAmount)</f>
        <v>375</v>
      </c>
      <c r="H223" s="235">
        <f ca="1">IF(Amortization[[#This Row],[payment
date]]="",0,Amortization[[#This Row],[interest]]+Amortization[[#This Row],[principal]]+Amortization[[#This Row],[property
tax]])</f>
        <v>4415.2830138562722</v>
      </c>
      <c r="I223" s="235">
        <f ca="1">IF(Amortization[[#This Row],[payment
date]]="",0,Amortization[[#This Row],[opening
balance]]-Amortization[[#This Row],[principal]])</f>
        <v>477599.61410997086</v>
      </c>
      <c r="J223" s="247">
        <f ca="1">IF(Amortization[[#This Row],[closing
balance]]&gt;0,LastRow-ROW(),0)</f>
        <v>140</v>
      </c>
    </row>
    <row r="224" spans="2:10" ht="15" customHeight="1" x14ac:dyDescent="0.25">
      <c r="B224" s="249">
        <f>ROWS($B$4:B224)</f>
        <v>221</v>
      </c>
      <c r="C224" s="248">
        <f ca="1">IF(ValuesEntered,IF(Amortization[[#This Row],['#]]&lt;=DurationOfLoan,IF(ROW()-ROW(Amortization[[#Headers],[payment
date]])=1,LoanStart,IF(I223&gt;0,EDATE(C223,1),"")),""),"")</f>
        <v>51754</v>
      </c>
      <c r="D224" s="235">
        <f ca="1">IF(ROW()-ROW(Amortization[[#Headers],[opening
balance]])=1,LoanAmount,IF(Amortization[[#This Row],[payment
date]]="",0,INDEX(Amortization[], ROW()-4,8)))</f>
        <v>477599.61410997086</v>
      </c>
      <c r="E224" s="235">
        <f ca="1">IF(ValuesEntered,IF(ROW()-ROW(Amortization[[#Headers],[interest]])=1,-IPMT(InterestRate/12,1,DurationOfLoan-ROWS($C$4:C224)+1,Amortization[[#This Row],[opening
balance]]),IFERROR(-IPMT(InterestRate/12,1,Amortization[[#This Row],['#
remaining]],D225),0)),0)</f>
        <v>1186.8655360536077</v>
      </c>
      <c r="F224" s="235">
        <f ca="1">IFERROR(IF(AND(ValuesEntered,Amortization[[#This Row],[payment
date]]&lt;&gt;""),-PPMT(InterestRate/12,1,DurationOfLoan-ROWS($C$4:C224)+1,Amortization[[#This Row],[opening
balance]]),""),0)</f>
        <v>2853.3996885277984</v>
      </c>
      <c r="G224" s="235">
        <f ca="1">IF(Amortization[[#This Row],[payment
date]]="",0,PropertyTaxAmount)</f>
        <v>375</v>
      </c>
      <c r="H224" s="235">
        <f ca="1">IF(Amortization[[#This Row],[payment
date]]="",0,Amortization[[#This Row],[interest]]+Amortization[[#This Row],[principal]]+Amortization[[#This Row],[property
tax]])</f>
        <v>4415.2652245814061</v>
      </c>
      <c r="I224" s="235">
        <f ca="1">IF(Amortization[[#This Row],[payment
date]]="",0,Amortization[[#This Row],[opening
balance]]-Amortization[[#This Row],[principal]])</f>
        <v>474746.21442144306</v>
      </c>
      <c r="J224" s="247">
        <f ca="1">IF(Amortization[[#This Row],[closing
balance]]&gt;0,LastRow-ROW(),0)</f>
        <v>139</v>
      </c>
    </row>
    <row r="225" spans="2:10" ht="15" customHeight="1" x14ac:dyDescent="0.25">
      <c r="B225" s="249">
        <f>ROWS($B$4:B225)</f>
        <v>222</v>
      </c>
      <c r="C225" s="248">
        <f ca="1">IF(ValuesEntered,IF(Amortization[[#This Row],['#]]&lt;=DurationOfLoan,IF(ROW()-ROW(Amortization[[#Headers],[payment
date]])=1,LoanStart,IF(I224&gt;0,EDATE(C224,1),"")),""),"")</f>
        <v>51784</v>
      </c>
      <c r="D225" s="235">
        <f ca="1">IF(ROW()-ROW(Amortization[[#Headers],[opening
balance]])=1,LoanAmount,IF(Amortization[[#This Row],[payment
date]]="",0,INDEX(Amortization[], ROW()-4,8)))</f>
        <v>474746.21442144306</v>
      </c>
      <c r="E225" s="235">
        <f ca="1">IF(ValuesEntered,IF(ROW()-ROW(Amortization[[#Headers],[interest]])=1,-IPMT(InterestRate/12,1,DurationOfLoan-ROWS($C$4:C225)+1,Amortization[[#This Row],[opening
balance]]),IFERROR(-IPMT(InterestRate/12,1,Amortization[[#This Row],['#
remaining]],D226),0)),0)</f>
        <v>1179.7142030842349</v>
      </c>
      <c r="F225" s="235">
        <f ca="1">IFERROR(IF(AND(ValuesEntered,Amortization[[#This Row],[payment
date]]&lt;&gt;""),-PPMT(InterestRate/12,1,DurationOfLoan-ROWS($C$4:C225)+1,Amortization[[#This Row],[opening
balance]]),""),0)</f>
        <v>2860.5331877491176</v>
      </c>
      <c r="G225" s="235">
        <f ca="1">IF(Amortization[[#This Row],[payment
date]]="",0,PropertyTaxAmount)</f>
        <v>375</v>
      </c>
      <c r="H225" s="235">
        <f ca="1">IF(Amortization[[#This Row],[payment
date]]="",0,Amortization[[#This Row],[interest]]+Amortization[[#This Row],[principal]]+Amortization[[#This Row],[property
tax]])</f>
        <v>4415.2473908333523</v>
      </c>
      <c r="I225" s="235">
        <f ca="1">IF(Amortization[[#This Row],[payment
date]]="",0,Amortization[[#This Row],[opening
balance]]-Amortization[[#This Row],[principal]])</f>
        <v>471885.68123369396</v>
      </c>
      <c r="J225" s="247">
        <f ca="1">IF(Amortization[[#This Row],[closing
balance]]&gt;0,LastRow-ROW(),0)</f>
        <v>138</v>
      </c>
    </row>
    <row r="226" spans="2:10" ht="15" customHeight="1" x14ac:dyDescent="0.25">
      <c r="B226" s="249">
        <f>ROWS($B$4:B226)</f>
        <v>223</v>
      </c>
      <c r="C226" s="248">
        <f ca="1">IF(ValuesEntered,IF(Amortization[[#This Row],['#]]&lt;=DurationOfLoan,IF(ROW()-ROW(Amortization[[#Headers],[payment
date]])=1,LoanStart,IF(I225&gt;0,EDATE(C225,1),"")),""),"")</f>
        <v>51815</v>
      </c>
      <c r="D226" s="235">
        <f ca="1">IF(ROW()-ROW(Amortization[[#Headers],[opening
balance]])=1,LoanAmount,IF(Amortization[[#This Row],[payment
date]]="",0,INDEX(Amortization[], ROW()-4,8)))</f>
        <v>471885.68123369396</v>
      </c>
      <c r="E226" s="235">
        <f ca="1">IF(ValuesEntered,IF(ROW()-ROW(Amortization[[#Headers],[interest]])=1,-IPMT(InterestRate/12,1,DurationOfLoan-ROWS($C$4:C226)+1,Amortization[[#This Row],[opening
balance]]),IFERROR(-IPMT(InterestRate/12,1,Amortization[[#This Row],['#
remaining]],D227),0)),0)</f>
        <v>1172.5449917824387</v>
      </c>
      <c r="F226" s="235">
        <f ca="1">IFERROR(IF(AND(ValuesEntered,Amortization[[#This Row],[payment
date]]&lt;&gt;""),-PPMT(InterestRate/12,1,DurationOfLoan-ROWS($C$4:C226)+1,Amortization[[#This Row],[opening
balance]]),""),0)</f>
        <v>2867.6845207184911</v>
      </c>
      <c r="G226" s="235">
        <f ca="1">IF(Amortization[[#This Row],[payment
date]]="",0,PropertyTaxAmount)</f>
        <v>375</v>
      </c>
      <c r="H226" s="235">
        <f ca="1">IF(Amortization[[#This Row],[payment
date]]="",0,Amortization[[#This Row],[interest]]+Amortization[[#This Row],[principal]]+Amortization[[#This Row],[property
tax]])</f>
        <v>4415.2295125009296</v>
      </c>
      <c r="I226" s="235">
        <f ca="1">IF(Amortization[[#This Row],[payment
date]]="",0,Amortization[[#This Row],[opening
balance]]-Amortization[[#This Row],[principal]])</f>
        <v>469017.9967129755</v>
      </c>
      <c r="J226" s="247">
        <f ca="1">IF(Amortization[[#This Row],[closing
balance]]&gt;0,LastRow-ROW(),0)</f>
        <v>137</v>
      </c>
    </row>
    <row r="227" spans="2:10" ht="15" customHeight="1" x14ac:dyDescent="0.25">
      <c r="B227" s="249">
        <f>ROWS($B$4:B227)</f>
        <v>224</v>
      </c>
      <c r="C227" s="248">
        <f ca="1">IF(ValuesEntered,IF(Amortization[[#This Row],['#]]&lt;=DurationOfLoan,IF(ROW()-ROW(Amortization[[#Headers],[payment
date]])=1,LoanStart,IF(I226&gt;0,EDATE(C226,1),"")),""),"")</f>
        <v>51845</v>
      </c>
      <c r="D227" s="235">
        <f ca="1">IF(ROW()-ROW(Amortization[[#Headers],[opening
balance]])=1,LoanAmount,IF(Amortization[[#This Row],[payment
date]]="",0,INDEX(Amortization[], ROW()-4,8)))</f>
        <v>469017.9967129755</v>
      </c>
      <c r="E227" s="235">
        <f ca="1">IF(ValuesEntered,IF(ROW()-ROW(Amortization[[#Headers],[interest]])=1,-IPMT(InterestRate/12,1,DurationOfLoan-ROWS($C$4:C227)+1,Amortization[[#This Row],[opening
balance]]),IFERROR(-IPMT(InterestRate/12,1,Amortization[[#This Row],['#
remaining]],D228),0)),0)</f>
        <v>1165.3578574523881</v>
      </c>
      <c r="F227" s="235">
        <f ca="1">IFERROR(IF(AND(ValuesEntered,Amortization[[#This Row],[payment
date]]&lt;&gt;""),-PPMT(InterestRate/12,1,DurationOfLoan-ROWS($C$4:C227)+1,Amortization[[#This Row],[opening
balance]]),""),0)</f>
        <v>2874.8537320202868</v>
      </c>
      <c r="G227" s="235">
        <f ca="1">IF(Amortization[[#This Row],[payment
date]]="",0,PropertyTaxAmount)</f>
        <v>375</v>
      </c>
      <c r="H227" s="235">
        <f ca="1">IF(Amortization[[#This Row],[payment
date]]="",0,Amortization[[#This Row],[interest]]+Amortization[[#This Row],[principal]]+Amortization[[#This Row],[property
tax]])</f>
        <v>4415.2115894726749</v>
      </c>
      <c r="I227" s="235">
        <f ca="1">IF(Amortization[[#This Row],[payment
date]]="",0,Amortization[[#This Row],[opening
balance]]-Amortization[[#This Row],[principal]])</f>
        <v>466143.14298095519</v>
      </c>
      <c r="J227" s="247">
        <f ca="1">IF(Amortization[[#This Row],[closing
balance]]&gt;0,LastRow-ROW(),0)</f>
        <v>136</v>
      </c>
    </row>
    <row r="228" spans="2:10" ht="15" customHeight="1" x14ac:dyDescent="0.25">
      <c r="B228" s="249">
        <f>ROWS($B$4:B228)</f>
        <v>225</v>
      </c>
      <c r="C228" s="248">
        <f ca="1">IF(ValuesEntered,IF(Amortization[[#This Row],['#]]&lt;=DurationOfLoan,IF(ROW()-ROW(Amortization[[#Headers],[payment
date]])=1,LoanStart,IF(I227&gt;0,EDATE(C227,1),"")),""),"")</f>
        <v>51876</v>
      </c>
      <c r="D228" s="235">
        <f ca="1">IF(ROW()-ROW(Amortization[[#Headers],[opening
balance]])=1,LoanAmount,IF(Amortization[[#This Row],[payment
date]]="",0,INDEX(Amortization[], ROW()-4,8)))</f>
        <v>466143.14298095519</v>
      </c>
      <c r="E228" s="235">
        <f ca="1">IF(ValuesEntered,IF(ROW()-ROW(Amortization[[#Headers],[interest]])=1,-IPMT(InterestRate/12,1,DurationOfLoan-ROWS($C$4:C228)+1,Amortization[[#This Row],[opening
balance]]),IFERROR(-IPMT(InterestRate/12,1,Amortization[[#This Row],['#
remaining]],D229),0)),0)</f>
        <v>1158.152755286512</v>
      </c>
      <c r="F228" s="235">
        <f ca="1">IFERROR(IF(AND(ValuesEntered,Amortization[[#This Row],[payment
date]]&lt;&gt;""),-PPMT(InterestRate/12,1,DurationOfLoan-ROWS($C$4:C228)+1,Amortization[[#This Row],[opening
balance]]),""),0)</f>
        <v>2882.0408663503376</v>
      </c>
      <c r="G228" s="235">
        <f ca="1">IF(Amortization[[#This Row],[payment
date]]="",0,PropertyTaxAmount)</f>
        <v>375</v>
      </c>
      <c r="H228" s="235">
        <f ca="1">IF(Amortization[[#This Row],[payment
date]]="",0,Amortization[[#This Row],[interest]]+Amortization[[#This Row],[principal]]+Amortization[[#This Row],[property
tax]])</f>
        <v>4415.1936216368495</v>
      </c>
      <c r="I228" s="235">
        <f ca="1">IF(Amortization[[#This Row],[payment
date]]="",0,Amortization[[#This Row],[opening
balance]]-Amortization[[#This Row],[principal]])</f>
        <v>463261.10211460484</v>
      </c>
      <c r="J228" s="247">
        <f ca="1">IF(Amortization[[#This Row],[closing
balance]]&gt;0,LastRow-ROW(),0)</f>
        <v>135</v>
      </c>
    </row>
    <row r="229" spans="2:10" ht="15" customHeight="1" x14ac:dyDescent="0.25">
      <c r="B229" s="249">
        <f>ROWS($B$4:B229)</f>
        <v>226</v>
      </c>
      <c r="C229" s="248">
        <f ca="1">IF(ValuesEntered,IF(Amortization[[#This Row],['#]]&lt;=DurationOfLoan,IF(ROW()-ROW(Amortization[[#Headers],[payment
date]])=1,LoanStart,IF(I228&gt;0,EDATE(C228,1),"")),""),"")</f>
        <v>51907</v>
      </c>
      <c r="D229" s="235">
        <f ca="1">IF(ROW()-ROW(Amortization[[#Headers],[opening
balance]])=1,LoanAmount,IF(Amortization[[#This Row],[payment
date]]="",0,INDEX(Amortization[], ROW()-4,8)))</f>
        <v>463261.10211460484</v>
      </c>
      <c r="E229" s="235">
        <f ca="1">IF(ValuesEntered,IF(ROW()-ROW(Amortization[[#Headers],[interest]])=1,-IPMT(InterestRate/12,1,DurationOfLoan-ROWS($C$4:C229)+1,Amortization[[#This Row],[opening
balance]]),IFERROR(-IPMT(InterestRate/12,1,Amortization[[#This Row],['#
remaining]],D230),0)),0)</f>
        <v>1150.9296403652218</v>
      </c>
      <c r="F229" s="235">
        <f ca="1">IFERROR(IF(AND(ValuesEntered,Amortization[[#This Row],[payment
date]]&lt;&gt;""),-PPMT(InterestRate/12,1,DurationOfLoan-ROWS($C$4:C229)+1,Amortization[[#This Row],[opening
balance]]),""),0)</f>
        <v>2889.2459685162135</v>
      </c>
      <c r="G229" s="235">
        <f ca="1">IF(Amortization[[#This Row],[payment
date]]="",0,PropertyTaxAmount)</f>
        <v>375</v>
      </c>
      <c r="H229" s="235">
        <f ca="1">IF(Amortization[[#This Row],[payment
date]]="",0,Amortization[[#This Row],[interest]]+Amortization[[#This Row],[principal]]+Amortization[[#This Row],[property
tax]])</f>
        <v>4415.1756088814354</v>
      </c>
      <c r="I229" s="235">
        <f ca="1">IF(Amortization[[#This Row],[payment
date]]="",0,Amortization[[#This Row],[opening
balance]]-Amortization[[#This Row],[principal]])</f>
        <v>460371.85614608863</v>
      </c>
      <c r="J229" s="247">
        <f ca="1">IF(Amortization[[#This Row],[closing
balance]]&gt;0,LastRow-ROW(),0)</f>
        <v>134</v>
      </c>
    </row>
    <row r="230" spans="2:10" ht="15" customHeight="1" x14ac:dyDescent="0.25">
      <c r="B230" s="249">
        <f>ROWS($B$4:B230)</f>
        <v>227</v>
      </c>
      <c r="C230" s="248">
        <f ca="1">IF(ValuesEntered,IF(Amortization[[#This Row],['#]]&lt;=DurationOfLoan,IF(ROW()-ROW(Amortization[[#Headers],[payment
date]])=1,LoanStart,IF(I229&gt;0,EDATE(C229,1),"")),""),"")</f>
        <v>51935</v>
      </c>
      <c r="D230" s="235">
        <f ca="1">IF(ROW()-ROW(Amortization[[#Headers],[opening
balance]])=1,LoanAmount,IF(Amortization[[#This Row],[payment
date]]="",0,INDEX(Amortization[], ROW()-4,8)))</f>
        <v>460371.85614608863</v>
      </c>
      <c r="E230" s="235">
        <f ca="1">IF(ValuesEntered,IF(ROW()-ROW(Amortization[[#Headers],[interest]])=1,-IPMT(InterestRate/12,1,DurationOfLoan-ROWS($C$4:C230)+1,Amortization[[#This Row],[opening
balance]]),IFERROR(-IPMT(InterestRate/12,1,Amortization[[#This Row],['#
remaining]],D231),0)),0)</f>
        <v>1143.6884676566278</v>
      </c>
      <c r="F230" s="235">
        <f ca="1">IFERROR(IF(AND(ValuesEntered,Amortization[[#This Row],[payment
date]]&lt;&gt;""),-PPMT(InterestRate/12,1,DurationOfLoan-ROWS($C$4:C230)+1,Amortization[[#This Row],[opening
balance]]),""),0)</f>
        <v>2896.4690834375042</v>
      </c>
      <c r="G230" s="235">
        <f ca="1">IF(Amortization[[#This Row],[payment
date]]="",0,PropertyTaxAmount)</f>
        <v>375</v>
      </c>
      <c r="H230" s="235">
        <f ca="1">IF(Amortization[[#This Row],[payment
date]]="",0,Amortization[[#This Row],[interest]]+Amortization[[#This Row],[principal]]+Amortization[[#This Row],[property
tax]])</f>
        <v>4415.157551094132</v>
      </c>
      <c r="I230" s="235">
        <f ca="1">IF(Amortization[[#This Row],[payment
date]]="",0,Amortization[[#This Row],[opening
balance]]-Amortization[[#This Row],[principal]])</f>
        <v>457475.38706265111</v>
      </c>
      <c r="J230" s="247">
        <f ca="1">IF(Amortization[[#This Row],[closing
balance]]&gt;0,LastRow-ROW(),0)</f>
        <v>133</v>
      </c>
    </row>
    <row r="231" spans="2:10" ht="15" customHeight="1" x14ac:dyDescent="0.25">
      <c r="B231" s="249">
        <f>ROWS($B$4:B231)</f>
        <v>228</v>
      </c>
      <c r="C231" s="248">
        <f ca="1">IF(ValuesEntered,IF(Amortization[[#This Row],['#]]&lt;=DurationOfLoan,IF(ROW()-ROW(Amortization[[#Headers],[payment
date]])=1,LoanStart,IF(I230&gt;0,EDATE(C230,1),"")),""),"")</f>
        <v>51966</v>
      </c>
      <c r="D231" s="235">
        <f ca="1">IF(ROW()-ROW(Amortization[[#Headers],[opening
balance]])=1,LoanAmount,IF(Amortization[[#This Row],[payment
date]]="",0,INDEX(Amortization[], ROW()-4,8)))</f>
        <v>457475.38706265111</v>
      </c>
      <c r="E231" s="235">
        <f ca="1">IF(ValuesEntered,IF(ROW()-ROW(Amortization[[#Headers],[interest]])=1,-IPMT(InterestRate/12,1,DurationOfLoan-ROWS($C$4:C231)+1,Amortization[[#This Row],[opening
balance]]),IFERROR(-IPMT(InterestRate/12,1,Amortization[[#This Row],['#
remaining]],D232),0)),0)</f>
        <v>1136.4291920162625</v>
      </c>
      <c r="F231" s="235">
        <f ca="1">IFERROR(IF(AND(ValuesEntered,Amortization[[#This Row],[payment
date]]&lt;&gt;""),-PPMT(InterestRate/12,1,DurationOfLoan-ROWS($C$4:C231)+1,Amortization[[#This Row],[opening
balance]]),""),0)</f>
        <v>2903.7102561460979</v>
      </c>
      <c r="G231" s="235">
        <f ca="1">IF(Amortization[[#This Row],[payment
date]]="",0,PropertyTaxAmount)</f>
        <v>375</v>
      </c>
      <c r="H231" s="235">
        <f ca="1">IF(Amortization[[#This Row],[payment
date]]="",0,Amortization[[#This Row],[interest]]+Amortization[[#This Row],[principal]]+Amortization[[#This Row],[property
tax]])</f>
        <v>4415.1394481623602</v>
      </c>
      <c r="I231" s="235">
        <f ca="1">IF(Amortization[[#This Row],[payment
date]]="",0,Amortization[[#This Row],[opening
balance]]-Amortization[[#This Row],[principal]])</f>
        <v>454571.67680650501</v>
      </c>
      <c r="J231" s="247">
        <f ca="1">IF(Amortization[[#This Row],[closing
balance]]&gt;0,LastRow-ROW(),0)</f>
        <v>132</v>
      </c>
    </row>
    <row r="232" spans="2:10" ht="15" customHeight="1" x14ac:dyDescent="0.25">
      <c r="B232" s="249">
        <f>ROWS($B$4:B232)</f>
        <v>229</v>
      </c>
      <c r="C232" s="248">
        <f ca="1">IF(ValuesEntered,IF(Amortization[[#This Row],['#]]&lt;=DurationOfLoan,IF(ROW()-ROW(Amortization[[#Headers],[payment
date]])=1,LoanStart,IF(I231&gt;0,EDATE(C231,1),"")),""),"")</f>
        <v>51996</v>
      </c>
      <c r="D232" s="235">
        <f ca="1">IF(ROW()-ROW(Amortization[[#Headers],[opening
balance]])=1,LoanAmount,IF(Amortization[[#This Row],[payment
date]]="",0,INDEX(Amortization[], ROW()-4,8)))</f>
        <v>454571.67680650501</v>
      </c>
      <c r="E232" s="235">
        <f ca="1">IF(ValuesEntered,IF(ROW()-ROW(Amortization[[#Headers],[interest]])=1,-IPMT(InterestRate/12,1,DurationOfLoan-ROWS($C$4:C232)+1,Amortization[[#This Row],[opening
balance]]),IFERROR(-IPMT(InterestRate/12,1,Amortization[[#This Row],['#
remaining]],D233),0)),0)</f>
        <v>1129.1517681867965</v>
      </c>
      <c r="F232" s="235">
        <f ca="1">IFERROR(IF(AND(ValuesEntered,Amortization[[#This Row],[payment
date]]&lt;&gt;""),-PPMT(InterestRate/12,1,DurationOfLoan-ROWS($C$4:C232)+1,Amortization[[#This Row],[opening
balance]]),""),0)</f>
        <v>2910.9695317864634</v>
      </c>
      <c r="G232" s="235">
        <f ca="1">IF(Amortization[[#This Row],[payment
date]]="",0,PropertyTaxAmount)</f>
        <v>375</v>
      </c>
      <c r="H232" s="235">
        <f ca="1">IF(Amortization[[#This Row],[payment
date]]="",0,Amortization[[#This Row],[interest]]+Amortization[[#This Row],[principal]]+Amortization[[#This Row],[property
tax]])</f>
        <v>4415.1212999732597</v>
      </c>
      <c r="I232" s="235">
        <f ca="1">IF(Amortization[[#This Row],[payment
date]]="",0,Amortization[[#This Row],[opening
balance]]-Amortization[[#This Row],[principal]])</f>
        <v>451660.70727471856</v>
      </c>
      <c r="J232" s="247">
        <f ca="1">IF(Amortization[[#This Row],[closing
balance]]&gt;0,LastRow-ROW(),0)</f>
        <v>131</v>
      </c>
    </row>
    <row r="233" spans="2:10" ht="15" customHeight="1" x14ac:dyDescent="0.25">
      <c r="B233" s="249">
        <f>ROWS($B$4:B233)</f>
        <v>230</v>
      </c>
      <c r="C233" s="248">
        <f ca="1">IF(ValuesEntered,IF(Amortization[[#This Row],['#]]&lt;=DurationOfLoan,IF(ROW()-ROW(Amortization[[#Headers],[payment
date]])=1,LoanStart,IF(I232&gt;0,EDATE(C232,1),"")),""),"")</f>
        <v>52027</v>
      </c>
      <c r="D233" s="235">
        <f ca="1">IF(ROW()-ROW(Amortization[[#Headers],[opening
balance]])=1,LoanAmount,IF(Amortization[[#This Row],[payment
date]]="",0,INDEX(Amortization[], ROW()-4,8)))</f>
        <v>451660.70727471856</v>
      </c>
      <c r="E233" s="235">
        <f ca="1">IF(ValuesEntered,IF(ROW()-ROW(Amortization[[#Headers],[interest]])=1,-IPMT(InterestRate/12,1,DurationOfLoan-ROWS($C$4:C233)+1,Amortization[[#This Row],[opening
balance]]),IFERROR(-IPMT(InterestRate/12,1,Amortization[[#This Row],['#
remaining]],D234),0)),0)</f>
        <v>1121.8561507977565</v>
      </c>
      <c r="F233" s="235">
        <f ca="1">IFERROR(IF(AND(ValuesEntered,Amortization[[#This Row],[payment
date]]&lt;&gt;""),-PPMT(InterestRate/12,1,DurationOfLoan-ROWS($C$4:C233)+1,Amortization[[#This Row],[opening
balance]]),""),0)</f>
        <v>2918.2469556159294</v>
      </c>
      <c r="G233" s="235">
        <f ca="1">IF(Amortization[[#This Row],[payment
date]]="",0,PropertyTaxAmount)</f>
        <v>375</v>
      </c>
      <c r="H233" s="235">
        <f ca="1">IF(Amortization[[#This Row],[payment
date]]="",0,Amortization[[#This Row],[interest]]+Amortization[[#This Row],[principal]]+Amortization[[#This Row],[property
tax]])</f>
        <v>4415.103106413686</v>
      </c>
      <c r="I233" s="235">
        <f ca="1">IF(Amortization[[#This Row],[payment
date]]="",0,Amortization[[#This Row],[opening
balance]]-Amortization[[#This Row],[principal]])</f>
        <v>448742.46031910263</v>
      </c>
      <c r="J233" s="247">
        <f ca="1">IF(Amortization[[#This Row],[closing
balance]]&gt;0,LastRow-ROW(),0)</f>
        <v>130</v>
      </c>
    </row>
    <row r="234" spans="2:10" ht="15" customHeight="1" x14ac:dyDescent="0.25">
      <c r="B234" s="249">
        <f>ROWS($B$4:B234)</f>
        <v>231</v>
      </c>
      <c r="C234" s="248">
        <f ca="1">IF(ValuesEntered,IF(Amortization[[#This Row],['#]]&lt;=DurationOfLoan,IF(ROW()-ROW(Amortization[[#Headers],[payment
date]])=1,LoanStart,IF(I233&gt;0,EDATE(C233,1),"")),""),"")</f>
        <v>52057</v>
      </c>
      <c r="D234" s="235">
        <f ca="1">IF(ROW()-ROW(Amortization[[#Headers],[opening
balance]])=1,LoanAmount,IF(Amortization[[#This Row],[payment
date]]="",0,INDEX(Amortization[], ROW()-4,8)))</f>
        <v>448742.46031910263</v>
      </c>
      <c r="E234" s="235">
        <f ca="1">IF(ValuesEntered,IF(ROW()-ROW(Amortization[[#Headers],[interest]])=1,-IPMT(InterestRate/12,1,DurationOfLoan-ROWS($C$4:C234)+1,Amortization[[#This Row],[opening
balance]]),IFERROR(-IPMT(InterestRate/12,1,Amortization[[#This Row],['#
remaining]],D235),0)),0)</f>
        <v>1114.5422943652443</v>
      </c>
      <c r="F234" s="235">
        <f ca="1">IFERROR(IF(AND(ValuesEntered,Amortization[[#This Row],[payment
date]]&lt;&gt;""),-PPMT(InterestRate/12,1,DurationOfLoan-ROWS($C$4:C234)+1,Amortization[[#This Row],[opening
balance]]),""),0)</f>
        <v>2925.5425730049687</v>
      </c>
      <c r="G234" s="235">
        <f ca="1">IF(Amortization[[#This Row],[payment
date]]="",0,PropertyTaxAmount)</f>
        <v>375</v>
      </c>
      <c r="H234" s="235">
        <f ca="1">IF(Amortization[[#This Row],[payment
date]]="",0,Amortization[[#This Row],[interest]]+Amortization[[#This Row],[principal]]+Amortization[[#This Row],[property
tax]])</f>
        <v>4415.084867370213</v>
      </c>
      <c r="I234" s="235">
        <f ca="1">IF(Amortization[[#This Row],[payment
date]]="",0,Amortization[[#This Row],[opening
balance]]-Amortization[[#This Row],[principal]])</f>
        <v>445816.91774609766</v>
      </c>
      <c r="J234" s="247">
        <f ca="1">IF(Amortization[[#This Row],[closing
balance]]&gt;0,LastRow-ROW(),0)</f>
        <v>129</v>
      </c>
    </row>
    <row r="235" spans="2:10" ht="15" customHeight="1" x14ac:dyDescent="0.25">
      <c r="B235" s="249">
        <f>ROWS($B$4:B235)</f>
        <v>232</v>
      </c>
      <c r="C235" s="248">
        <f ca="1">IF(ValuesEntered,IF(Amortization[[#This Row],['#]]&lt;=DurationOfLoan,IF(ROW()-ROW(Amortization[[#Headers],[payment
date]])=1,LoanStart,IF(I234&gt;0,EDATE(C234,1),"")),""),"")</f>
        <v>52088</v>
      </c>
      <c r="D235" s="235">
        <f ca="1">IF(ROW()-ROW(Amortization[[#Headers],[opening
balance]])=1,LoanAmount,IF(Amortization[[#This Row],[payment
date]]="",0,INDEX(Amortization[], ROW()-4,8)))</f>
        <v>445816.91774609766</v>
      </c>
      <c r="E235" s="235">
        <f ca="1">IF(ValuesEntered,IF(ROW()-ROW(Amortization[[#Headers],[interest]])=1,-IPMT(InterestRate/12,1,DurationOfLoan-ROWS($C$4:C235)+1,Amortization[[#This Row],[opening
balance]]),IFERROR(-IPMT(InterestRate/12,1,Amortization[[#This Row],['#
remaining]],D236),0)),0)</f>
        <v>1107.2101532916506</v>
      </c>
      <c r="F235" s="235">
        <f ca="1">IFERROR(IF(AND(ValuesEntered,Amortization[[#This Row],[payment
date]]&lt;&gt;""),-PPMT(InterestRate/12,1,DurationOfLoan-ROWS($C$4:C235)+1,Amortization[[#This Row],[opening
balance]]),""),0)</f>
        <v>2932.8564294374814</v>
      </c>
      <c r="G235" s="235">
        <f ca="1">IF(Amortization[[#This Row],[payment
date]]="",0,PropertyTaxAmount)</f>
        <v>375</v>
      </c>
      <c r="H235" s="235">
        <f ca="1">IF(Amortization[[#This Row],[payment
date]]="",0,Amortization[[#This Row],[interest]]+Amortization[[#This Row],[principal]]+Amortization[[#This Row],[property
tax]])</f>
        <v>4415.0665827291323</v>
      </c>
      <c r="I235" s="235">
        <f ca="1">IF(Amortization[[#This Row],[payment
date]]="",0,Amortization[[#This Row],[opening
balance]]-Amortization[[#This Row],[principal]])</f>
        <v>442884.0613166602</v>
      </c>
      <c r="J235" s="247">
        <f ca="1">IF(Amortization[[#This Row],[closing
balance]]&gt;0,LastRow-ROW(),0)</f>
        <v>128</v>
      </c>
    </row>
    <row r="236" spans="2:10" ht="15" customHeight="1" x14ac:dyDescent="0.25">
      <c r="B236" s="249">
        <f>ROWS($B$4:B236)</f>
        <v>233</v>
      </c>
      <c r="C236" s="248">
        <f ca="1">IF(ValuesEntered,IF(Amortization[[#This Row],['#]]&lt;=DurationOfLoan,IF(ROW()-ROW(Amortization[[#Headers],[payment
date]])=1,LoanStart,IF(I235&gt;0,EDATE(C235,1),"")),""),"")</f>
        <v>52119</v>
      </c>
      <c r="D236" s="235">
        <f ca="1">IF(ROW()-ROW(Amortization[[#Headers],[opening
balance]])=1,LoanAmount,IF(Amortization[[#This Row],[payment
date]]="",0,INDEX(Amortization[], ROW()-4,8)))</f>
        <v>442884.0613166602</v>
      </c>
      <c r="E236" s="235">
        <f ca="1">IF(ValuesEntered,IF(ROW()-ROW(Amortization[[#Headers],[interest]])=1,-IPMT(InterestRate/12,1,DurationOfLoan-ROWS($C$4:C236)+1,Amortization[[#This Row],[opening
balance]]),IFERROR(-IPMT(InterestRate/12,1,Amortization[[#This Row],['#
remaining]],D237),0)),0)</f>
        <v>1099.859681865373</v>
      </c>
      <c r="F236" s="235">
        <f ca="1">IFERROR(IF(AND(ValuesEntered,Amortization[[#This Row],[payment
date]]&lt;&gt;""),-PPMT(InterestRate/12,1,DurationOfLoan-ROWS($C$4:C236)+1,Amortization[[#This Row],[opening
balance]]),""),0)</f>
        <v>2940.1885705110753</v>
      </c>
      <c r="G236" s="235">
        <f ca="1">IF(Amortization[[#This Row],[payment
date]]="",0,PropertyTaxAmount)</f>
        <v>375</v>
      </c>
      <c r="H236" s="235">
        <f ca="1">IF(Amortization[[#This Row],[payment
date]]="",0,Amortization[[#This Row],[interest]]+Amortization[[#This Row],[principal]]+Amortization[[#This Row],[property
tax]])</f>
        <v>4415.0482523764485</v>
      </c>
      <c r="I236" s="235">
        <f ca="1">IF(Amortization[[#This Row],[payment
date]]="",0,Amortization[[#This Row],[opening
balance]]-Amortization[[#This Row],[principal]])</f>
        <v>439943.87274614914</v>
      </c>
      <c r="J236" s="247">
        <f ca="1">IF(Amortization[[#This Row],[closing
balance]]&gt;0,LastRow-ROW(),0)</f>
        <v>127</v>
      </c>
    </row>
    <row r="237" spans="2:10" ht="15" customHeight="1" x14ac:dyDescent="0.25">
      <c r="B237" s="249">
        <f>ROWS($B$4:B237)</f>
        <v>234</v>
      </c>
      <c r="C237" s="248">
        <f ca="1">IF(ValuesEntered,IF(Amortization[[#This Row],['#]]&lt;=DurationOfLoan,IF(ROW()-ROW(Amortization[[#Headers],[payment
date]])=1,LoanStart,IF(I236&gt;0,EDATE(C236,1),"")),""),"")</f>
        <v>52149</v>
      </c>
      <c r="D237" s="235">
        <f ca="1">IF(ROW()-ROW(Amortization[[#Headers],[opening
balance]])=1,LoanAmount,IF(Amortization[[#This Row],[payment
date]]="",0,INDEX(Amortization[], ROW()-4,8)))</f>
        <v>439943.87274614914</v>
      </c>
      <c r="E237" s="235">
        <f ca="1">IF(ValuesEntered,IF(ROW()-ROW(Amortization[[#Headers],[interest]])=1,-IPMT(InterestRate/12,1,DurationOfLoan-ROWS($C$4:C237)+1,Amortization[[#This Row],[opening
balance]]),IFERROR(-IPMT(InterestRate/12,1,Amortization[[#This Row],['#
remaining]],D238),0)),0)</f>
        <v>1092.4908342605295</v>
      </c>
      <c r="F237" s="235">
        <f ca="1">IFERROR(IF(AND(ValuesEntered,Amortization[[#This Row],[payment
date]]&lt;&gt;""),-PPMT(InterestRate/12,1,DurationOfLoan-ROWS($C$4:C237)+1,Amortization[[#This Row],[opening
balance]]),""),0)</f>
        <v>2947.539041937353</v>
      </c>
      <c r="G237" s="235">
        <f ca="1">IF(Amortization[[#This Row],[payment
date]]="",0,PropertyTaxAmount)</f>
        <v>375</v>
      </c>
      <c r="H237" s="235">
        <f ca="1">IF(Amortization[[#This Row],[payment
date]]="",0,Amortization[[#This Row],[interest]]+Amortization[[#This Row],[principal]]+Amortization[[#This Row],[property
tax]])</f>
        <v>4415.0298761978829</v>
      </c>
      <c r="I237" s="235">
        <f ca="1">IF(Amortization[[#This Row],[payment
date]]="",0,Amortization[[#This Row],[opening
balance]]-Amortization[[#This Row],[principal]])</f>
        <v>436996.33370421181</v>
      </c>
      <c r="J237" s="247">
        <f ca="1">IF(Amortization[[#This Row],[closing
balance]]&gt;0,LastRow-ROW(),0)</f>
        <v>126</v>
      </c>
    </row>
    <row r="238" spans="2:10" ht="15" customHeight="1" x14ac:dyDescent="0.25">
      <c r="B238" s="249">
        <f>ROWS($B$4:B238)</f>
        <v>235</v>
      </c>
      <c r="C238" s="248">
        <f ca="1">IF(ValuesEntered,IF(Amortization[[#This Row],['#]]&lt;=DurationOfLoan,IF(ROW()-ROW(Amortization[[#Headers],[payment
date]])=1,LoanStart,IF(I237&gt;0,EDATE(C237,1),"")),""),"")</f>
        <v>52180</v>
      </c>
      <c r="D238" s="235">
        <f ca="1">IF(ROW()-ROW(Amortization[[#Headers],[opening
balance]])=1,LoanAmount,IF(Amortization[[#This Row],[payment
date]]="",0,INDEX(Amortization[], ROW()-4,8)))</f>
        <v>436996.33370421181</v>
      </c>
      <c r="E238" s="235">
        <f ca="1">IF(ValuesEntered,IF(ROW()-ROW(Amortization[[#Headers],[interest]])=1,-IPMT(InterestRate/12,1,DurationOfLoan-ROWS($C$4:C238)+1,Amortization[[#This Row],[opening
balance]]),IFERROR(-IPMT(InterestRate/12,1,Amortization[[#This Row],['#
remaining]],D239),0)),0)</f>
        <v>1085.1035645366742</v>
      </c>
      <c r="F238" s="235">
        <f ca="1">IFERROR(IF(AND(ValuesEntered,Amortization[[#This Row],[payment
date]]&lt;&gt;""),-PPMT(InterestRate/12,1,DurationOfLoan-ROWS($C$4:C238)+1,Amortization[[#This Row],[opening
balance]]),""),0)</f>
        <v>2954.9078895421967</v>
      </c>
      <c r="G238" s="235">
        <f ca="1">IF(Amortization[[#This Row],[payment
date]]="",0,PropertyTaxAmount)</f>
        <v>375</v>
      </c>
      <c r="H238" s="235">
        <f ca="1">IF(Amortization[[#This Row],[payment
date]]="",0,Amortization[[#This Row],[interest]]+Amortization[[#This Row],[principal]]+Amortization[[#This Row],[property
tax]])</f>
        <v>4415.0114540788709</v>
      </c>
      <c r="I238" s="235">
        <f ca="1">IF(Amortization[[#This Row],[payment
date]]="",0,Amortization[[#This Row],[opening
balance]]-Amortization[[#This Row],[principal]])</f>
        <v>434041.42581466964</v>
      </c>
      <c r="J238" s="247">
        <f ca="1">IF(Amortization[[#This Row],[closing
balance]]&gt;0,LastRow-ROW(),0)</f>
        <v>125</v>
      </c>
    </row>
    <row r="239" spans="2:10" ht="15" customHeight="1" x14ac:dyDescent="0.25">
      <c r="B239" s="249">
        <f>ROWS($B$4:B239)</f>
        <v>236</v>
      </c>
      <c r="C239" s="248">
        <f ca="1">IF(ValuesEntered,IF(Amortization[[#This Row],['#]]&lt;=DurationOfLoan,IF(ROW()-ROW(Amortization[[#Headers],[payment
date]])=1,LoanStart,IF(I238&gt;0,EDATE(C238,1),"")),""),"")</f>
        <v>52210</v>
      </c>
      <c r="D239" s="235">
        <f ca="1">IF(ROW()-ROW(Amortization[[#Headers],[opening
balance]])=1,LoanAmount,IF(Amortization[[#This Row],[payment
date]]="",0,INDEX(Amortization[], ROW()-4,8)))</f>
        <v>434041.42581466964</v>
      </c>
      <c r="E239" s="235">
        <f ca="1">IF(ValuesEntered,IF(ROW()-ROW(Amortization[[#Headers],[interest]])=1,-IPMT(InterestRate/12,1,DurationOfLoan-ROWS($C$4:C239)+1,Amortization[[#This Row],[opening
balance]]),IFERROR(-IPMT(InterestRate/12,1,Amortization[[#This Row],['#
remaining]],D240),0)),0)</f>
        <v>1077.697826638509</v>
      </c>
      <c r="F239" s="235">
        <f ca="1">IFERROR(IF(AND(ValuesEntered,Amortization[[#This Row],[payment
date]]&lt;&gt;""),-PPMT(InterestRate/12,1,DurationOfLoan-ROWS($C$4:C239)+1,Amortization[[#This Row],[opening
balance]]),""),0)</f>
        <v>2962.295159266052</v>
      </c>
      <c r="G239" s="235">
        <f ca="1">IF(Amortization[[#This Row],[payment
date]]="",0,PropertyTaxAmount)</f>
        <v>375</v>
      </c>
      <c r="H239" s="235">
        <f ca="1">IF(Amortization[[#This Row],[payment
date]]="",0,Amortization[[#This Row],[interest]]+Amortization[[#This Row],[principal]]+Amortization[[#This Row],[property
tax]])</f>
        <v>4414.9929859045606</v>
      </c>
      <c r="I239" s="235">
        <f ca="1">IF(Amortization[[#This Row],[payment
date]]="",0,Amortization[[#This Row],[opening
balance]]-Amortization[[#This Row],[principal]])</f>
        <v>431079.1306554036</v>
      </c>
      <c r="J239" s="247">
        <f ca="1">IF(Amortization[[#This Row],[closing
balance]]&gt;0,LastRow-ROW(),0)</f>
        <v>124</v>
      </c>
    </row>
    <row r="240" spans="2:10" ht="15" customHeight="1" x14ac:dyDescent="0.25">
      <c r="B240" s="249">
        <f>ROWS($B$4:B240)</f>
        <v>237</v>
      </c>
      <c r="C240" s="248">
        <f ca="1">IF(ValuesEntered,IF(Amortization[[#This Row],['#]]&lt;=DurationOfLoan,IF(ROW()-ROW(Amortization[[#Headers],[payment
date]])=1,LoanStart,IF(I239&gt;0,EDATE(C239,1),"")),""),"")</f>
        <v>52241</v>
      </c>
      <c r="D240" s="235">
        <f ca="1">IF(ROW()-ROW(Amortization[[#Headers],[opening
balance]])=1,LoanAmount,IF(Amortization[[#This Row],[payment
date]]="",0,INDEX(Amortization[], ROW()-4,8)))</f>
        <v>431079.1306554036</v>
      </c>
      <c r="E240" s="235">
        <f ca="1">IF(ValuesEntered,IF(ROW()-ROW(Amortization[[#Headers],[interest]])=1,-IPMT(InterestRate/12,1,DurationOfLoan-ROWS($C$4:C240)+1,Amortization[[#This Row],[opening
balance]]),IFERROR(-IPMT(InterestRate/12,1,Amortization[[#This Row],['#
remaining]],D241),0)),0)</f>
        <v>1070.2735743955984</v>
      </c>
      <c r="F240" s="235">
        <f ca="1">IFERROR(IF(AND(ValuesEntered,Amortization[[#This Row],[payment
date]]&lt;&gt;""),-PPMT(InterestRate/12,1,DurationOfLoan-ROWS($C$4:C240)+1,Amortization[[#This Row],[opening
balance]]),""),0)</f>
        <v>2969.7008971642172</v>
      </c>
      <c r="G240" s="235">
        <f ca="1">IF(Amortization[[#This Row],[payment
date]]="",0,PropertyTaxAmount)</f>
        <v>375</v>
      </c>
      <c r="H240" s="235">
        <f ca="1">IF(Amortization[[#This Row],[payment
date]]="",0,Amortization[[#This Row],[interest]]+Amortization[[#This Row],[principal]]+Amortization[[#This Row],[property
tax]])</f>
        <v>4414.9744715598154</v>
      </c>
      <c r="I240" s="235">
        <f ca="1">IF(Amortization[[#This Row],[payment
date]]="",0,Amortization[[#This Row],[opening
balance]]-Amortization[[#This Row],[principal]])</f>
        <v>428109.42975823936</v>
      </c>
      <c r="J240" s="247">
        <f ca="1">IF(Amortization[[#This Row],[closing
balance]]&gt;0,LastRow-ROW(),0)</f>
        <v>123</v>
      </c>
    </row>
    <row r="241" spans="2:10" ht="15" customHeight="1" x14ac:dyDescent="0.25">
      <c r="B241" s="249">
        <f>ROWS($B$4:B241)</f>
        <v>238</v>
      </c>
      <c r="C241" s="248">
        <f ca="1">IF(ValuesEntered,IF(Amortization[[#This Row],['#]]&lt;=DurationOfLoan,IF(ROW()-ROW(Amortization[[#Headers],[payment
date]])=1,LoanStart,IF(I240&gt;0,EDATE(C240,1),"")),""),"")</f>
        <v>52272</v>
      </c>
      <c r="D241" s="235">
        <f ca="1">IF(ROW()-ROW(Amortization[[#Headers],[opening
balance]])=1,LoanAmount,IF(Amortization[[#This Row],[payment
date]]="",0,INDEX(Amortization[], ROW()-4,8)))</f>
        <v>428109.42975823936</v>
      </c>
      <c r="E241" s="235">
        <f ca="1">IF(ValuesEntered,IF(ROW()-ROW(Amortization[[#Headers],[interest]])=1,-IPMT(InterestRate/12,1,DurationOfLoan-ROWS($C$4:C241)+1,Amortization[[#This Row],[opening
balance]]),IFERROR(-IPMT(InterestRate/12,1,Amortization[[#This Row],['#
remaining]],D242),0)),0)</f>
        <v>1062.8307615220806</v>
      </c>
      <c r="F241" s="235">
        <f ca="1">IFERROR(IF(AND(ValuesEntered,Amortization[[#This Row],[payment
date]]&lt;&gt;""),-PPMT(InterestRate/12,1,DurationOfLoan-ROWS($C$4:C241)+1,Amortization[[#This Row],[opening
balance]]),""),0)</f>
        <v>2977.1251494071284</v>
      </c>
      <c r="G241" s="235">
        <f ca="1">IF(Amortization[[#This Row],[payment
date]]="",0,PropertyTaxAmount)</f>
        <v>375</v>
      </c>
      <c r="H241" s="235">
        <f ca="1">IF(Amortization[[#This Row],[payment
date]]="",0,Amortization[[#This Row],[interest]]+Amortization[[#This Row],[principal]]+Amortization[[#This Row],[property
tax]])</f>
        <v>4414.9559109292095</v>
      </c>
      <c r="I241" s="235">
        <f ca="1">IF(Amortization[[#This Row],[payment
date]]="",0,Amortization[[#This Row],[opening
balance]]-Amortization[[#This Row],[principal]])</f>
        <v>425132.30460883223</v>
      </c>
      <c r="J241" s="247">
        <f ca="1">IF(Amortization[[#This Row],[closing
balance]]&gt;0,LastRow-ROW(),0)</f>
        <v>122</v>
      </c>
    </row>
    <row r="242" spans="2:10" ht="15" customHeight="1" x14ac:dyDescent="0.25">
      <c r="B242" s="249">
        <f>ROWS($B$4:B242)</f>
        <v>239</v>
      </c>
      <c r="C242" s="248">
        <f ca="1">IF(ValuesEntered,IF(Amortization[[#This Row],['#]]&lt;=DurationOfLoan,IF(ROW()-ROW(Amortization[[#Headers],[payment
date]])=1,LoanStart,IF(I241&gt;0,EDATE(C241,1),"")),""),"")</f>
        <v>52300</v>
      </c>
      <c r="D242" s="235">
        <f ca="1">IF(ROW()-ROW(Amortization[[#Headers],[opening
balance]])=1,LoanAmount,IF(Amortization[[#This Row],[payment
date]]="",0,INDEX(Amortization[], ROW()-4,8)))</f>
        <v>425132.30460883223</v>
      </c>
      <c r="E242" s="235">
        <f ca="1">IF(ValuesEntered,IF(ROW()-ROW(Amortization[[#Headers],[interest]])=1,-IPMT(InterestRate/12,1,DurationOfLoan-ROWS($C$4:C242)+1,Amortization[[#This Row],[opening
balance]]),IFERROR(-IPMT(InterestRate/12,1,Amortization[[#This Row],['#
remaining]],D243),0)),0)</f>
        <v>1055.369341616379</v>
      </c>
      <c r="F242" s="235">
        <f ca="1">IFERROR(IF(AND(ValuesEntered,Amortization[[#This Row],[payment
date]]&lt;&gt;""),-PPMT(InterestRate/12,1,DurationOfLoan-ROWS($C$4:C242)+1,Amortization[[#This Row],[opening
balance]]),""),0)</f>
        <v>2984.5679622806456</v>
      </c>
      <c r="G242" s="235">
        <f ca="1">IF(Amortization[[#This Row],[payment
date]]="",0,PropertyTaxAmount)</f>
        <v>375</v>
      </c>
      <c r="H242" s="235">
        <f ca="1">IF(Amortization[[#This Row],[payment
date]]="",0,Amortization[[#This Row],[interest]]+Amortization[[#This Row],[principal]]+Amortization[[#This Row],[property
tax]])</f>
        <v>4414.9373038970243</v>
      </c>
      <c r="I242" s="235">
        <f ca="1">IF(Amortization[[#This Row],[payment
date]]="",0,Amortization[[#This Row],[opening
balance]]-Amortization[[#This Row],[principal]])</f>
        <v>422147.73664655158</v>
      </c>
      <c r="J242" s="247">
        <f ca="1">IF(Amortization[[#This Row],[closing
balance]]&gt;0,LastRow-ROW(),0)</f>
        <v>121</v>
      </c>
    </row>
    <row r="243" spans="2:10" ht="15" customHeight="1" x14ac:dyDescent="0.25">
      <c r="B243" s="249">
        <f>ROWS($B$4:B243)</f>
        <v>240</v>
      </c>
      <c r="C243" s="248">
        <f ca="1">IF(ValuesEntered,IF(Amortization[[#This Row],['#]]&lt;=DurationOfLoan,IF(ROW()-ROW(Amortization[[#Headers],[payment
date]])=1,LoanStart,IF(I242&gt;0,EDATE(C242,1),"")),""),"")</f>
        <v>52331</v>
      </c>
      <c r="D243" s="235">
        <f ca="1">IF(ROW()-ROW(Amortization[[#Headers],[opening
balance]])=1,LoanAmount,IF(Amortization[[#This Row],[payment
date]]="",0,INDEX(Amortization[], ROW()-4,8)))</f>
        <v>422147.73664655158</v>
      </c>
      <c r="E243" s="235">
        <f ca="1">IF(ValuesEntered,IF(ROW()-ROW(Amortization[[#Headers],[interest]])=1,-IPMT(InterestRate/12,1,DurationOfLoan-ROWS($C$4:C243)+1,Amortization[[#This Row],[opening
balance]]),IFERROR(-IPMT(InterestRate/12,1,Amortization[[#This Row],['#
remaining]],D244),0)),0)</f>
        <v>1047.8892681609132</v>
      </c>
      <c r="F243" s="235">
        <f ca="1">IFERROR(IF(AND(ValuesEntered,Amortization[[#This Row],[payment
date]]&lt;&gt;""),-PPMT(InterestRate/12,1,DurationOfLoan-ROWS($C$4:C243)+1,Amortization[[#This Row],[opening
balance]]),""),0)</f>
        <v>2992.0293821863474</v>
      </c>
      <c r="G243" s="235">
        <f ca="1">IF(Amortization[[#This Row],[payment
date]]="",0,PropertyTaxAmount)</f>
        <v>375</v>
      </c>
      <c r="H243" s="235">
        <f ca="1">IF(Amortization[[#This Row],[payment
date]]="",0,Amortization[[#This Row],[interest]]+Amortization[[#This Row],[principal]]+Amortization[[#This Row],[property
tax]])</f>
        <v>4414.9186503472611</v>
      </c>
      <c r="I243" s="235">
        <f ca="1">IF(Amortization[[#This Row],[payment
date]]="",0,Amortization[[#This Row],[opening
balance]]-Amortization[[#This Row],[principal]])</f>
        <v>419155.70726436522</v>
      </c>
      <c r="J243" s="247">
        <f ca="1">IF(Amortization[[#This Row],[closing
balance]]&gt;0,LastRow-ROW(),0)</f>
        <v>120</v>
      </c>
    </row>
    <row r="244" spans="2:10" ht="15" customHeight="1" x14ac:dyDescent="0.25">
      <c r="B244" s="249">
        <f>ROWS($B$4:B244)</f>
        <v>241</v>
      </c>
      <c r="C244" s="248">
        <f ca="1">IF(ValuesEntered,IF(Amortization[[#This Row],['#]]&lt;=DurationOfLoan,IF(ROW()-ROW(Amortization[[#Headers],[payment
date]])=1,LoanStart,IF(I243&gt;0,EDATE(C243,1),"")),""),"")</f>
        <v>52361</v>
      </c>
      <c r="D244" s="235">
        <f ca="1">IF(ROW()-ROW(Amortization[[#Headers],[opening
balance]])=1,LoanAmount,IF(Amortization[[#This Row],[payment
date]]="",0,INDEX(Amortization[], ROW()-4,8)))</f>
        <v>419155.70726436522</v>
      </c>
      <c r="E244" s="235">
        <f ca="1">IF(ValuesEntered,IF(ROW()-ROW(Amortization[[#Headers],[interest]])=1,-IPMT(InterestRate/12,1,DurationOfLoan-ROWS($C$4:C244)+1,Amortization[[#This Row],[opening
balance]]),IFERROR(-IPMT(InterestRate/12,1,Amortization[[#This Row],['#
remaining]],D245),0)),0)</f>
        <v>1040.3904945218087</v>
      </c>
      <c r="F244" s="235">
        <f ca="1">IFERROR(IF(AND(ValuesEntered,Amortization[[#This Row],[payment
date]]&lt;&gt;""),-PPMT(InterestRate/12,1,DurationOfLoan-ROWS($C$4:C244)+1,Amortization[[#This Row],[opening
balance]]),""),0)</f>
        <v>2999.5094556418139</v>
      </c>
      <c r="G244" s="235">
        <f ca="1">IF(Amortization[[#This Row],[payment
date]]="",0,PropertyTaxAmount)</f>
        <v>375</v>
      </c>
      <c r="H244" s="235">
        <f ca="1">IF(Amortization[[#This Row],[payment
date]]="",0,Amortization[[#This Row],[interest]]+Amortization[[#This Row],[principal]]+Amortization[[#This Row],[property
tax]])</f>
        <v>4414.8999501636226</v>
      </c>
      <c r="I244" s="235">
        <f ca="1">IF(Amortization[[#This Row],[payment
date]]="",0,Amortization[[#This Row],[opening
balance]]-Amortization[[#This Row],[principal]])</f>
        <v>416156.19780872343</v>
      </c>
      <c r="J244" s="247">
        <f ca="1">IF(Amortization[[#This Row],[closing
balance]]&gt;0,LastRow-ROW(),0)</f>
        <v>119</v>
      </c>
    </row>
    <row r="245" spans="2:10" ht="15" customHeight="1" x14ac:dyDescent="0.25">
      <c r="B245" s="249">
        <f>ROWS($B$4:B245)</f>
        <v>242</v>
      </c>
      <c r="C245" s="248">
        <f ca="1">IF(ValuesEntered,IF(Amortization[[#This Row],['#]]&lt;=DurationOfLoan,IF(ROW()-ROW(Amortization[[#Headers],[payment
date]])=1,LoanStart,IF(I244&gt;0,EDATE(C244,1),"")),""),"")</f>
        <v>52392</v>
      </c>
      <c r="D245" s="235">
        <f ca="1">IF(ROW()-ROW(Amortization[[#Headers],[opening
balance]])=1,LoanAmount,IF(Amortization[[#This Row],[payment
date]]="",0,INDEX(Amortization[], ROW()-4,8)))</f>
        <v>416156.19780872343</v>
      </c>
      <c r="E245" s="235">
        <f ca="1">IF(ValuesEntered,IF(ROW()-ROW(Amortization[[#Headers],[interest]])=1,-IPMT(InterestRate/12,1,DurationOfLoan-ROWS($C$4:C245)+1,Amortization[[#This Row],[opening
balance]]),IFERROR(-IPMT(InterestRate/12,1,Amortization[[#This Row],['#
remaining]],D246),0)),0)</f>
        <v>1032.8729739486062</v>
      </c>
      <c r="F245" s="235">
        <f ca="1">IFERROR(IF(AND(ValuesEntered,Amortization[[#This Row],[payment
date]]&lt;&gt;""),-PPMT(InterestRate/12,1,DurationOfLoan-ROWS($C$4:C245)+1,Amortization[[#This Row],[opening
balance]]),""),0)</f>
        <v>3007.0082292809175</v>
      </c>
      <c r="G245" s="235">
        <f ca="1">IF(Amortization[[#This Row],[payment
date]]="",0,PropertyTaxAmount)</f>
        <v>375</v>
      </c>
      <c r="H245" s="235">
        <f ca="1">IF(Amortization[[#This Row],[payment
date]]="",0,Amortization[[#This Row],[interest]]+Amortization[[#This Row],[principal]]+Amortization[[#This Row],[property
tax]])</f>
        <v>4414.8812032295236</v>
      </c>
      <c r="I245" s="235">
        <f ca="1">IF(Amortization[[#This Row],[payment
date]]="",0,Amortization[[#This Row],[opening
balance]]-Amortization[[#This Row],[principal]])</f>
        <v>413149.18957944249</v>
      </c>
      <c r="J245" s="247">
        <f ca="1">IF(Amortization[[#This Row],[closing
balance]]&gt;0,LastRow-ROW(),0)</f>
        <v>118</v>
      </c>
    </row>
    <row r="246" spans="2:10" ht="15" customHeight="1" x14ac:dyDescent="0.25">
      <c r="B246" s="249">
        <f>ROWS($B$4:B246)</f>
        <v>243</v>
      </c>
      <c r="C246" s="248">
        <f ca="1">IF(ValuesEntered,IF(Amortization[[#This Row],['#]]&lt;=DurationOfLoan,IF(ROW()-ROW(Amortization[[#Headers],[payment
date]])=1,LoanStart,IF(I245&gt;0,EDATE(C245,1),"")),""),"")</f>
        <v>52422</v>
      </c>
      <c r="D246" s="235">
        <f ca="1">IF(ROW()-ROW(Amortization[[#Headers],[opening
balance]])=1,LoanAmount,IF(Amortization[[#This Row],[payment
date]]="",0,INDEX(Amortization[], ROW()-4,8)))</f>
        <v>413149.18957944249</v>
      </c>
      <c r="E246" s="235">
        <f ca="1">IF(ValuesEntered,IF(ROW()-ROW(Amortization[[#Headers],[interest]])=1,-IPMT(InterestRate/12,1,DurationOfLoan-ROWS($C$4:C246)+1,Amortization[[#This Row],[opening
balance]]),IFERROR(-IPMT(InterestRate/12,1,Amortization[[#This Row],['#
remaining]],D247),0)),0)</f>
        <v>1025.336659573971</v>
      </c>
      <c r="F246" s="235">
        <f ca="1">IFERROR(IF(AND(ValuesEntered,Amortization[[#This Row],[payment
date]]&lt;&gt;""),-PPMT(InterestRate/12,1,DurationOfLoan-ROWS($C$4:C246)+1,Amortization[[#This Row],[opening
balance]]),""),0)</f>
        <v>3014.5257498541196</v>
      </c>
      <c r="G246" s="235">
        <f ca="1">IF(Amortization[[#This Row],[payment
date]]="",0,PropertyTaxAmount)</f>
        <v>375</v>
      </c>
      <c r="H246" s="235">
        <f ca="1">IF(Amortization[[#This Row],[payment
date]]="",0,Amortization[[#This Row],[interest]]+Amortization[[#This Row],[principal]]+Amortization[[#This Row],[property
tax]])</f>
        <v>4414.8624094280904</v>
      </c>
      <c r="I246" s="235">
        <f ca="1">IF(Amortization[[#This Row],[payment
date]]="",0,Amortization[[#This Row],[opening
balance]]-Amortization[[#This Row],[principal]])</f>
        <v>410134.66382958839</v>
      </c>
      <c r="J246" s="247">
        <f ca="1">IF(Amortization[[#This Row],[closing
balance]]&gt;0,LastRow-ROW(),0)</f>
        <v>117</v>
      </c>
    </row>
    <row r="247" spans="2:10" ht="15" customHeight="1" x14ac:dyDescent="0.25">
      <c r="B247" s="249">
        <f>ROWS($B$4:B247)</f>
        <v>244</v>
      </c>
      <c r="C247" s="248">
        <f ca="1">IF(ValuesEntered,IF(Amortization[[#This Row],['#]]&lt;=DurationOfLoan,IF(ROW()-ROW(Amortization[[#Headers],[payment
date]])=1,LoanStart,IF(I246&gt;0,EDATE(C246,1),"")),""),"")</f>
        <v>52453</v>
      </c>
      <c r="D247" s="235">
        <f ca="1">IF(ROW()-ROW(Amortization[[#Headers],[opening
balance]])=1,LoanAmount,IF(Amortization[[#This Row],[payment
date]]="",0,INDEX(Amortization[], ROW()-4,8)))</f>
        <v>410134.66382958839</v>
      </c>
      <c r="E247" s="235">
        <f ca="1">IF(ValuesEntered,IF(ROW()-ROW(Amortization[[#Headers],[interest]])=1,-IPMT(InterestRate/12,1,DurationOfLoan-ROWS($C$4:C247)+1,Amortization[[#This Row],[opening
balance]]),IFERROR(-IPMT(InterestRate/12,1,Amortization[[#This Row],['#
remaining]],D248),0)),0)</f>
        <v>1017.7815044133991</v>
      </c>
      <c r="F247" s="235">
        <f ca="1">IFERROR(IF(AND(ValuesEntered,Amortization[[#This Row],[payment
date]]&lt;&gt;""),-PPMT(InterestRate/12,1,DurationOfLoan-ROWS($C$4:C247)+1,Amortization[[#This Row],[opening
balance]]),""),0)</f>
        <v>3022.0620642287558</v>
      </c>
      <c r="G247" s="235">
        <f ca="1">IF(Amortization[[#This Row],[payment
date]]="",0,PropertyTaxAmount)</f>
        <v>375</v>
      </c>
      <c r="H247" s="235">
        <f ca="1">IF(Amortization[[#This Row],[payment
date]]="",0,Amortization[[#This Row],[interest]]+Amortization[[#This Row],[principal]]+Amortization[[#This Row],[property
tax]])</f>
        <v>4414.8435686421544</v>
      </c>
      <c r="I247" s="235">
        <f ca="1">IF(Amortization[[#This Row],[payment
date]]="",0,Amortization[[#This Row],[opening
balance]]-Amortization[[#This Row],[principal]])</f>
        <v>407112.60176535964</v>
      </c>
      <c r="J247" s="247">
        <f ca="1">IF(Amortization[[#This Row],[closing
balance]]&gt;0,LastRow-ROW(),0)</f>
        <v>116</v>
      </c>
    </row>
    <row r="248" spans="2:10" ht="15" customHeight="1" x14ac:dyDescent="0.25">
      <c r="B248" s="249">
        <f>ROWS($B$4:B248)</f>
        <v>245</v>
      </c>
      <c r="C248" s="248">
        <f ca="1">IF(ValuesEntered,IF(Amortization[[#This Row],['#]]&lt;=DurationOfLoan,IF(ROW()-ROW(Amortization[[#Headers],[payment
date]])=1,LoanStart,IF(I247&gt;0,EDATE(C247,1),"")),""),"")</f>
        <v>52484</v>
      </c>
      <c r="D248" s="235">
        <f ca="1">IF(ROW()-ROW(Amortization[[#Headers],[opening
balance]])=1,LoanAmount,IF(Amortization[[#This Row],[payment
date]]="",0,INDEX(Amortization[], ROW()-4,8)))</f>
        <v>407112.60176535964</v>
      </c>
      <c r="E248" s="235">
        <f ca="1">IF(ValuesEntered,IF(ROW()-ROW(Amortization[[#Headers],[interest]])=1,-IPMT(InterestRate/12,1,DurationOfLoan-ROWS($C$4:C248)+1,Amortization[[#This Row],[opening
balance]]),IFERROR(-IPMT(InterestRate/12,1,Amortization[[#This Row],['#
remaining]],D249),0)),0)</f>
        <v>1010.2074613649258</v>
      </c>
      <c r="F248" s="235">
        <f ca="1">IFERROR(IF(AND(ValuesEntered,Amortization[[#This Row],[payment
date]]&lt;&gt;""),-PPMT(InterestRate/12,1,DurationOfLoan-ROWS($C$4:C248)+1,Amortization[[#This Row],[opening
balance]]),""),0)</f>
        <v>3029.6172193893271</v>
      </c>
      <c r="G248" s="235">
        <f ca="1">IF(Amortization[[#This Row],[payment
date]]="",0,PropertyTaxAmount)</f>
        <v>375</v>
      </c>
      <c r="H248" s="235">
        <f ca="1">IF(Amortization[[#This Row],[payment
date]]="",0,Amortization[[#This Row],[interest]]+Amortization[[#This Row],[principal]]+Amortization[[#This Row],[property
tax]])</f>
        <v>4414.8246807542528</v>
      </c>
      <c r="I248" s="235">
        <f ca="1">IF(Amortization[[#This Row],[payment
date]]="",0,Amortization[[#This Row],[opening
balance]]-Amortization[[#This Row],[principal]])</f>
        <v>404082.98454597034</v>
      </c>
      <c r="J248" s="247">
        <f ca="1">IF(Amortization[[#This Row],[closing
balance]]&gt;0,LastRow-ROW(),0)</f>
        <v>115</v>
      </c>
    </row>
    <row r="249" spans="2:10" ht="15" customHeight="1" x14ac:dyDescent="0.25">
      <c r="B249" s="249">
        <f>ROWS($B$4:B249)</f>
        <v>246</v>
      </c>
      <c r="C249" s="248">
        <f ca="1">IF(ValuesEntered,IF(Amortization[[#This Row],['#]]&lt;=DurationOfLoan,IF(ROW()-ROW(Amortization[[#Headers],[payment
date]])=1,LoanStart,IF(I248&gt;0,EDATE(C248,1),"")),""),"")</f>
        <v>52514</v>
      </c>
      <c r="D249" s="235">
        <f ca="1">IF(ROW()-ROW(Amortization[[#Headers],[opening
balance]])=1,LoanAmount,IF(Amortization[[#This Row],[payment
date]]="",0,INDEX(Amortization[], ROW()-4,8)))</f>
        <v>404082.98454597034</v>
      </c>
      <c r="E249" s="235">
        <f ca="1">IF(ValuesEntered,IF(ROW()-ROW(Amortization[[#Headers],[interest]])=1,-IPMT(InterestRate/12,1,DurationOfLoan-ROWS($C$4:C249)+1,Amortization[[#This Row],[opening
balance]]),IFERROR(-IPMT(InterestRate/12,1,Amortization[[#This Row],['#
remaining]],D250),0)),0)</f>
        <v>1002.6144832088314</v>
      </c>
      <c r="F249" s="235">
        <f ca="1">IFERROR(IF(AND(ValuesEntered,Amortization[[#This Row],[payment
date]]&lt;&gt;""),-PPMT(InterestRate/12,1,DurationOfLoan-ROWS($C$4:C249)+1,Amortization[[#This Row],[opening
balance]]),""),0)</f>
        <v>3037.191262437801</v>
      </c>
      <c r="G249" s="235">
        <f ca="1">IF(Amortization[[#This Row],[payment
date]]="",0,PropertyTaxAmount)</f>
        <v>375</v>
      </c>
      <c r="H249" s="235">
        <f ca="1">IF(Amortization[[#This Row],[payment
date]]="",0,Amortization[[#This Row],[interest]]+Amortization[[#This Row],[principal]]+Amortization[[#This Row],[property
tax]])</f>
        <v>4414.8057456466322</v>
      </c>
      <c r="I249" s="235">
        <f ca="1">IF(Amortization[[#This Row],[payment
date]]="",0,Amortization[[#This Row],[opening
balance]]-Amortization[[#This Row],[principal]])</f>
        <v>401045.79328353255</v>
      </c>
      <c r="J249" s="247">
        <f ca="1">IF(Amortization[[#This Row],[closing
balance]]&gt;0,LastRow-ROW(),0)</f>
        <v>114</v>
      </c>
    </row>
    <row r="250" spans="2:10" ht="15" customHeight="1" x14ac:dyDescent="0.25">
      <c r="B250" s="249">
        <f>ROWS($B$4:B250)</f>
        <v>247</v>
      </c>
      <c r="C250" s="248">
        <f ca="1">IF(ValuesEntered,IF(Amortization[[#This Row],['#]]&lt;=DurationOfLoan,IF(ROW()-ROW(Amortization[[#Headers],[payment
date]])=1,LoanStart,IF(I249&gt;0,EDATE(C249,1),"")),""),"")</f>
        <v>52545</v>
      </c>
      <c r="D250" s="235">
        <f ca="1">IF(ROW()-ROW(Amortization[[#Headers],[opening
balance]])=1,LoanAmount,IF(Amortization[[#This Row],[payment
date]]="",0,INDEX(Amortization[], ROW()-4,8)))</f>
        <v>401045.79328353255</v>
      </c>
      <c r="E250" s="235">
        <f ca="1">IF(ValuesEntered,IF(ROW()-ROW(Amortization[[#Headers],[interest]])=1,-IPMT(InterestRate/12,1,DurationOfLoan-ROWS($C$4:C250)+1,Amortization[[#This Row],[opening
balance]]),IFERROR(-IPMT(InterestRate/12,1,Amortization[[#This Row],['#
remaining]],D251),0)),0)</f>
        <v>995.00252260734669</v>
      </c>
      <c r="F250" s="235">
        <f ca="1">IFERROR(IF(AND(ValuesEntered,Amortization[[#This Row],[payment
date]]&lt;&gt;""),-PPMT(InterestRate/12,1,DurationOfLoan-ROWS($C$4:C250)+1,Amortization[[#This Row],[opening
balance]]),""),0)</f>
        <v>3044.784240593895</v>
      </c>
      <c r="G250" s="235">
        <f ca="1">IF(Amortization[[#This Row],[payment
date]]="",0,PropertyTaxAmount)</f>
        <v>375</v>
      </c>
      <c r="H250" s="235">
        <f ca="1">IF(Amortization[[#This Row],[payment
date]]="",0,Amortization[[#This Row],[interest]]+Amortization[[#This Row],[principal]]+Amortization[[#This Row],[property
tax]])</f>
        <v>4414.7867632012421</v>
      </c>
      <c r="I250" s="235">
        <f ca="1">IF(Amortization[[#This Row],[payment
date]]="",0,Amortization[[#This Row],[opening
balance]]-Amortization[[#This Row],[principal]])</f>
        <v>398001.00904293865</v>
      </c>
      <c r="J250" s="247">
        <f ca="1">IF(Amortization[[#This Row],[closing
balance]]&gt;0,LastRow-ROW(),0)</f>
        <v>113</v>
      </c>
    </row>
    <row r="251" spans="2:10" ht="15" customHeight="1" x14ac:dyDescent="0.25">
      <c r="B251" s="249">
        <f>ROWS($B$4:B251)</f>
        <v>248</v>
      </c>
      <c r="C251" s="248">
        <f ca="1">IF(ValuesEntered,IF(Amortization[[#This Row],['#]]&lt;=DurationOfLoan,IF(ROW()-ROW(Amortization[[#Headers],[payment
date]])=1,LoanStart,IF(I250&gt;0,EDATE(C250,1),"")),""),"")</f>
        <v>52575</v>
      </c>
      <c r="D251" s="235">
        <f ca="1">IF(ROW()-ROW(Amortization[[#Headers],[opening
balance]])=1,LoanAmount,IF(Amortization[[#This Row],[payment
date]]="",0,INDEX(Amortization[], ROW()-4,8)))</f>
        <v>398001.00904293865</v>
      </c>
      <c r="E251" s="235">
        <f ca="1">IF(ValuesEntered,IF(ROW()-ROW(Amortization[[#Headers],[interest]])=1,-IPMT(InterestRate/12,1,DurationOfLoan-ROWS($C$4:C251)+1,Amortization[[#This Row],[opening
balance]]),IFERROR(-IPMT(InterestRate/12,1,Amortization[[#This Row],['#
remaining]],D252),0)),0)</f>
        <v>987.37153210435827</v>
      </c>
      <c r="F251" s="235">
        <f ca="1">IFERROR(IF(AND(ValuesEntered,Amortization[[#This Row],[payment
date]]&lt;&gt;""),-PPMT(InterestRate/12,1,DurationOfLoan-ROWS($C$4:C251)+1,Amortization[[#This Row],[opening
balance]]),""),0)</f>
        <v>3052.3962011953799</v>
      </c>
      <c r="G251" s="235">
        <f ca="1">IF(Amortization[[#This Row],[payment
date]]="",0,PropertyTaxAmount)</f>
        <v>375</v>
      </c>
      <c r="H251" s="235">
        <f ca="1">IF(Amortization[[#This Row],[payment
date]]="",0,Amortization[[#This Row],[interest]]+Amortization[[#This Row],[principal]]+Amortization[[#This Row],[property
tax]])</f>
        <v>4414.7677332997382</v>
      </c>
      <c r="I251" s="235">
        <f ca="1">IF(Amortization[[#This Row],[payment
date]]="",0,Amortization[[#This Row],[opening
balance]]-Amortization[[#This Row],[principal]])</f>
        <v>394948.61284174328</v>
      </c>
      <c r="J251" s="247">
        <f ca="1">IF(Amortization[[#This Row],[closing
balance]]&gt;0,LastRow-ROW(),0)</f>
        <v>112</v>
      </c>
    </row>
    <row r="252" spans="2:10" ht="15" customHeight="1" x14ac:dyDescent="0.25">
      <c r="B252" s="249">
        <f>ROWS($B$4:B252)</f>
        <v>249</v>
      </c>
      <c r="C252" s="248">
        <f ca="1">IF(ValuesEntered,IF(Amortization[[#This Row],['#]]&lt;=DurationOfLoan,IF(ROW()-ROW(Amortization[[#Headers],[payment
date]])=1,LoanStart,IF(I251&gt;0,EDATE(C251,1),"")),""),"")</f>
        <v>52606</v>
      </c>
      <c r="D252" s="235">
        <f ca="1">IF(ROW()-ROW(Amortization[[#Headers],[opening
balance]])=1,LoanAmount,IF(Amortization[[#This Row],[payment
date]]="",0,INDEX(Amortization[], ROW()-4,8)))</f>
        <v>394948.61284174328</v>
      </c>
      <c r="E252" s="235">
        <f ca="1">IF(ValuesEntered,IF(ROW()-ROW(Amortization[[#Headers],[interest]])=1,-IPMT(InterestRate/12,1,DurationOfLoan-ROWS($C$4:C252)+1,Amortization[[#This Row],[opening
balance]]),IFERROR(-IPMT(InterestRate/12,1,Amortization[[#This Row],['#
remaining]],D253),0)),0)</f>
        <v>979.72146412511222</v>
      </c>
      <c r="F252" s="235">
        <f ca="1">IFERROR(IF(AND(ValuesEntered,Amortization[[#This Row],[payment
date]]&lt;&gt;""),-PPMT(InterestRate/12,1,DurationOfLoan-ROWS($C$4:C252)+1,Amortization[[#This Row],[opening
balance]]),""),0)</f>
        <v>3060.0271916983679</v>
      </c>
      <c r="G252" s="235">
        <f ca="1">IF(Amortization[[#This Row],[payment
date]]="",0,PropertyTaxAmount)</f>
        <v>375</v>
      </c>
      <c r="H252" s="235">
        <f ca="1">IF(Amortization[[#This Row],[payment
date]]="",0,Amortization[[#This Row],[interest]]+Amortization[[#This Row],[principal]]+Amortization[[#This Row],[property
tax]])</f>
        <v>4414.7486558234796</v>
      </c>
      <c r="I252" s="235">
        <f ca="1">IF(Amortization[[#This Row],[payment
date]]="",0,Amortization[[#This Row],[opening
balance]]-Amortization[[#This Row],[principal]])</f>
        <v>391888.5856500449</v>
      </c>
      <c r="J252" s="247">
        <f ca="1">IF(Amortization[[#This Row],[closing
balance]]&gt;0,LastRow-ROW(),0)</f>
        <v>111</v>
      </c>
    </row>
    <row r="253" spans="2:10" ht="15" customHeight="1" x14ac:dyDescent="0.25">
      <c r="B253" s="249">
        <f>ROWS($B$4:B253)</f>
        <v>250</v>
      </c>
      <c r="C253" s="248">
        <f ca="1">IF(ValuesEntered,IF(Amortization[[#This Row],['#]]&lt;=DurationOfLoan,IF(ROW()-ROW(Amortization[[#Headers],[payment
date]])=1,LoanStart,IF(I252&gt;0,EDATE(C252,1),"")),""),"")</f>
        <v>52637</v>
      </c>
      <c r="D253" s="235">
        <f ca="1">IF(ROW()-ROW(Amortization[[#Headers],[opening
balance]])=1,LoanAmount,IF(Amortization[[#This Row],[payment
date]]="",0,INDEX(Amortization[], ROW()-4,8)))</f>
        <v>391888.5856500449</v>
      </c>
      <c r="E253" s="235">
        <f ca="1">IF(ValuesEntered,IF(ROW()-ROW(Amortization[[#Headers],[interest]])=1,-IPMT(InterestRate/12,1,DurationOfLoan-ROWS($C$4:C253)+1,Amortization[[#This Row],[opening
balance]]),IFERROR(-IPMT(InterestRate/12,1,Amortization[[#This Row],['#
remaining]],D254),0)),0)</f>
        <v>972.05227097591819</v>
      </c>
      <c r="F253" s="235">
        <f ca="1">IFERROR(IF(AND(ValuesEntered,Amortization[[#This Row],[payment
date]]&lt;&gt;""),-PPMT(InterestRate/12,1,DurationOfLoan-ROWS($C$4:C253)+1,Amortization[[#This Row],[opening
balance]]),""),0)</f>
        <v>3067.6772596776141</v>
      </c>
      <c r="G253" s="235">
        <f ca="1">IF(Amortization[[#This Row],[payment
date]]="",0,PropertyTaxAmount)</f>
        <v>375</v>
      </c>
      <c r="H253" s="235">
        <f ca="1">IF(Amortization[[#This Row],[payment
date]]="",0,Amortization[[#This Row],[interest]]+Amortization[[#This Row],[principal]]+Amortization[[#This Row],[property
tax]])</f>
        <v>4414.7295306535325</v>
      </c>
      <c r="I253" s="235">
        <f ca="1">IF(Amortization[[#This Row],[payment
date]]="",0,Amortization[[#This Row],[opening
balance]]-Amortization[[#This Row],[principal]])</f>
        <v>388820.90839036729</v>
      </c>
      <c r="J253" s="247">
        <f ca="1">IF(Amortization[[#This Row],[closing
balance]]&gt;0,LastRow-ROW(),0)</f>
        <v>110</v>
      </c>
    </row>
    <row r="254" spans="2:10" ht="15" customHeight="1" x14ac:dyDescent="0.25">
      <c r="B254" s="249">
        <f>ROWS($B$4:B254)</f>
        <v>251</v>
      </c>
      <c r="C254" s="248">
        <f ca="1">IF(ValuesEntered,IF(Amortization[[#This Row],['#]]&lt;=DurationOfLoan,IF(ROW()-ROW(Amortization[[#Headers],[payment
date]])=1,LoanStart,IF(I253&gt;0,EDATE(C253,1),"")),""),"")</f>
        <v>52666</v>
      </c>
      <c r="D254" s="235">
        <f ca="1">IF(ROW()-ROW(Amortization[[#Headers],[opening
balance]])=1,LoanAmount,IF(Amortization[[#This Row],[payment
date]]="",0,INDEX(Amortization[], ROW()-4,8)))</f>
        <v>388820.90839036729</v>
      </c>
      <c r="E254" s="235">
        <f ca="1">IF(ValuesEntered,IF(ROW()-ROW(Amortization[[#Headers],[interest]])=1,-IPMT(InterestRate/12,1,DurationOfLoan-ROWS($C$4:C254)+1,Amortization[[#This Row],[opening
balance]]),IFERROR(-IPMT(InterestRate/12,1,Amortization[[#This Row],['#
remaining]],D255),0)),0)</f>
        <v>964.36390484385117</v>
      </c>
      <c r="F254" s="235">
        <f ca="1">IFERROR(IF(AND(ValuesEntered,Amortization[[#This Row],[payment
date]]&lt;&gt;""),-PPMT(InterestRate/12,1,DurationOfLoan-ROWS($C$4:C254)+1,Amortization[[#This Row],[opening
balance]]),""),0)</f>
        <v>3075.3464528268087</v>
      </c>
      <c r="G254" s="235">
        <f ca="1">IF(Amortization[[#This Row],[payment
date]]="",0,PropertyTaxAmount)</f>
        <v>375</v>
      </c>
      <c r="H254" s="235">
        <f ca="1">IF(Amortization[[#This Row],[payment
date]]="",0,Amortization[[#This Row],[interest]]+Amortization[[#This Row],[principal]]+Amortization[[#This Row],[property
tax]])</f>
        <v>4414.7103576706595</v>
      </c>
      <c r="I254" s="235">
        <f ca="1">IF(Amortization[[#This Row],[payment
date]]="",0,Amortization[[#This Row],[opening
balance]]-Amortization[[#This Row],[principal]])</f>
        <v>385745.56193754048</v>
      </c>
      <c r="J254" s="247">
        <f ca="1">IF(Amortization[[#This Row],[closing
balance]]&gt;0,LastRow-ROW(),0)</f>
        <v>109</v>
      </c>
    </row>
    <row r="255" spans="2:10" ht="15" customHeight="1" x14ac:dyDescent="0.25">
      <c r="B255" s="249">
        <f>ROWS($B$4:B255)</f>
        <v>252</v>
      </c>
      <c r="C255" s="248">
        <f ca="1">IF(ValuesEntered,IF(Amortization[[#This Row],['#]]&lt;=DurationOfLoan,IF(ROW()-ROW(Amortization[[#Headers],[payment
date]])=1,LoanStart,IF(I254&gt;0,EDATE(C254,1),"")),""),"")</f>
        <v>52697</v>
      </c>
      <c r="D255" s="235">
        <f ca="1">IF(ROW()-ROW(Amortization[[#Headers],[opening
balance]])=1,LoanAmount,IF(Amortization[[#This Row],[payment
date]]="",0,INDEX(Amortization[], ROW()-4,8)))</f>
        <v>385745.56193754048</v>
      </c>
      <c r="E255" s="235">
        <f ca="1">IF(ValuesEntered,IF(ROW()-ROW(Amortization[[#Headers],[interest]])=1,-IPMT(InterestRate/12,1,DurationOfLoan-ROWS($C$4:C255)+1,Amortization[[#This Row],[opening
balance]]),IFERROR(-IPMT(InterestRate/12,1,Amortization[[#This Row],['#
remaining]],D256),0)),0)</f>
        <v>956.656317796454</v>
      </c>
      <c r="F255" s="235">
        <f ca="1">IFERROR(IF(AND(ValuesEntered,Amortization[[#This Row],[payment
date]]&lt;&gt;""),-PPMT(InterestRate/12,1,DurationOfLoan-ROWS($C$4:C255)+1,Amortization[[#This Row],[opening
balance]]),""),0)</f>
        <v>3083.0348189588753</v>
      </c>
      <c r="G255" s="235">
        <f ca="1">IF(Amortization[[#This Row],[payment
date]]="",0,PropertyTaxAmount)</f>
        <v>375</v>
      </c>
      <c r="H255" s="235">
        <f ca="1">IF(Amortization[[#This Row],[payment
date]]="",0,Amortization[[#This Row],[interest]]+Amortization[[#This Row],[principal]]+Amortization[[#This Row],[property
tax]])</f>
        <v>4414.6911367553294</v>
      </c>
      <c r="I255" s="235">
        <f ca="1">IF(Amortization[[#This Row],[payment
date]]="",0,Amortization[[#This Row],[opening
balance]]-Amortization[[#This Row],[principal]])</f>
        <v>382662.52711858158</v>
      </c>
      <c r="J255" s="247">
        <f ca="1">IF(Amortization[[#This Row],[closing
balance]]&gt;0,LastRow-ROW(),0)</f>
        <v>108</v>
      </c>
    </row>
    <row r="256" spans="2:10" ht="15" customHeight="1" x14ac:dyDescent="0.25">
      <c r="B256" s="249">
        <f>ROWS($B$4:B256)</f>
        <v>253</v>
      </c>
      <c r="C256" s="248">
        <f ca="1">IF(ValuesEntered,IF(Amortization[[#This Row],['#]]&lt;=DurationOfLoan,IF(ROW()-ROW(Amortization[[#Headers],[payment
date]])=1,LoanStart,IF(I255&gt;0,EDATE(C255,1),"")),""),"")</f>
        <v>52727</v>
      </c>
      <c r="D256" s="235">
        <f ca="1">IF(ROW()-ROW(Amortization[[#Headers],[opening
balance]])=1,LoanAmount,IF(Amortization[[#This Row],[payment
date]]="",0,INDEX(Amortization[], ROW()-4,8)))</f>
        <v>382662.52711858158</v>
      </c>
      <c r="E256" s="235">
        <f ca="1">IF(ValuesEntered,IF(ROW()-ROW(Amortization[[#Headers],[interest]])=1,-IPMT(InterestRate/12,1,DurationOfLoan-ROWS($C$4:C256)+1,Amortization[[#This Row],[opening
balance]]),IFERROR(-IPMT(InterestRate/12,1,Amortization[[#This Row],['#
remaining]],D257),0)),0)</f>
        <v>948.92946178143836</v>
      </c>
      <c r="F256" s="235">
        <f ca="1">IFERROR(IF(AND(ValuesEntered,Amortization[[#This Row],[payment
date]]&lt;&gt;""),-PPMT(InterestRate/12,1,DurationOfLoan-ROWS($C$4:C256)+1,Amortization[[#This Row],[opening
balance]]),""),0)</f>
        <v>3090.7424060062722</v>
      </c>
      <c r="G256" s="235">
        <f ca="1">IF(Amortization[[#This Row],[payment
date]]="",0,PropertyTaxAmount)</f>
        <v>375</v>
      </c>
      <c r="H256" s="235">
        <f ca="1">IF(Amortization[[#This Row],[payment
date]]="",0,Amortization[[#This Row],[interest]]+Amortization[[#This Row],[principal]]+Amortization[[#This Row],[property
tax]])</f>
        <v>4414.6718677877107</v>
      </c>
      <c r="I256" s="235">
        <f ca="1">IF(Amortization[[#This Row],[payment
date]]="",0,Amortization[[#This Row],[opening
balance]]-Amortization[[#This Row],[principal]])</f>
        <v>379571.78471257532</v>
      </c>
      <c r="J256" s="247">
        <f ca="1">IF(Amortization[[#This Row],[closing
balance]]&gt;0,LastRow-ROW(),0)</f>
        <v>107</v>
      </c>
    </row>
    <row r="257" spans="2:10" ht="15" customHeight="1" x14ac:dyDescent="0.25">
      <c r="B257" s="249">
        <f>ROWS($B$4:B257)</f>
        <v>254</v>
      </c>
      <c r="C257" s="248">
        <f ca="1">IF(ValuesEntered,IF(Amortization[[#This Row],['#]]&lt;=DurationOfLoan,IF(ROW()-ROW(Amortization[[#Headers],[payment
date]])=1,LoanStart,IF(I256&gt;0,EDATE(C256,1),"")),""),"")</f>
        <v>52758</v>
      </c>
      <c r="D257" s="235">
        <f ca="1">IF(ROW()-ROW(Amortization[[#Headers],[opening
balance]])=1,LoanAmount,IF(Amortization[[#This Row],[payment
date]]="",0,INDEX(Amortization[], ROW()-4,8)))</f>
        <v>379571.78471257532</v>
      </c>
      <c r="E257" s="235">
        <f ca="1">IF(ValuesEntered,IF(ROW()-ROW(Amortization[[#Headers],[interest]])=1,-IPMT(InterestRate/12,1,DurationOfLoan-ROWS($C$4:C257)+1,Amortization[[#This Row],[opening
balance]]),IFERROR(-IPMT(InterestRate/12,1,Amortization[[#This Row],['#
remaining]],D258),0)),0)</f>
        <v>941.18328862638509</v>
      </c>
      <c r="F257" s="235">
        <f ca="1">IFERROR(IF(AND(ValuesEntered,Amortization[[#This Row],[payment
date]]&lt;&gt;""),-PPMT(InterestRate/12,1,DurationOfLoan-ROWS($C$4:C257)+1,Amortization[[#This Row],[opening
balance]]),""),0)</f>
        <v>3098.4692620212886</v>
      </c>
      <c r="G257" s="235">
        <f ca="1">IF(Amortization[[#This Row],[payment
date]]="",0,PropertyTaxAmount)</f>
        <v>375</v>
      </c>
      <c r="H257" s="235">
        <f ca="1">IF(Amortization[[#This Row],[payment
date]]="",0,Amortization[[#This Row],[interest]]+Amortization[[#This Row],[principal]]+Amortization[[#This Row],[property
tax]])</f>
        <v>4414.6525506476737</v>
      </c>
      <c r="I257" s="235">
        <f ca="1">IF(Amortization[[#This Row],[payment
date]]="",0,Amortization[[#This Row],[opening
balance]]-Amortization[[#This Row],[principal]])</f>
        <v>376473.31545055402</v>
      </c>
      <c r="J257" s="247">
        <f ca="1">IF(Amortization[[#This Row],[closing
balance]]&gt;0,LastRow-ROW(),0)</f>
        <v>106</v>
      </c>
    </row>
    <row r="258" spans="2:10" ht="15" customHeight="1" x14ac:dyDescent="0.25">
      <c r="B258" s="249">
        <f>ROWS($B$4:B258)</f>
        <v>255</v>
      </c>
      <c r="C258" s="248">
        <f ca="1">IF(ValuesEntered,IF(Amortization[[#This Row],['#]]&lt;=DurationOfLoan,IF(ROW()-ROW(Amortization[[#Headers],[payment
date]])=1,LoanStart,IF(I257&gt;0,EDATE(C257,1),"")),""),"")</f>
        <v>52788</v>
      </c>
      <c r="D258" s="235">
        <f ca="1">IF(ROW()-ROW(Amortization[[#Headers],[opening
balance]])=1,LoanAmount,IF(Amortization[[#This Row],[payment
date]]="",0,INDEX(Amortization[], ROW()-4,8)))</f>
        <v>376473.31545055402</v>
      </c>
      <c r="E258" s="235">
        <f ca="1">IF(ValuesEntered,IF(ROW()-ROW(Amortization[[#Headers],[interest]])=1,-IPMT(InterestRate/12,1,DurationOfLoan-ROWS($C$4:C258)+1,Amortization[[#This Row],[opening
balance]]),IFERROR(-IPMT(InterestRate/12,1,Amortization[[#This Row],['#
remaining]],D259),0)),0)</f>
        <v>933.41775003844418</v>
      </c>
      <c r="F258" s="235">
        <f ca="1">IFERROR(IF(AND(ValuesEntered,Amortization[[#This Row],[payment
date]]&lt;&gt;""),-PPMT(InterestRate/12,1,DurationOfLoan-ROWS($C$4:C258)+1,Amortization[[#This Row],[opening
balance]]),""),0)</f>
        <v>3106.2154351763415</v>
      </c>
      <c r="G258" s="235">
        <f ca="1">IF(Amortization[[#This Row],[payment
date]]="",0,PropertyTaxAmount)</f>
        <v>375</v>
      </c>
      <c r="H258" s="235">
        <f ca="1">IF(Amortization[[#This Row],[payment
date]]="",0,Amortization[[#This Row],[interest]]+Amortization[[#This Row],[principal]]+Amortization[[#This Row],[property
tax]])</f>
        <v>4414.633185214786</v>
      </c>
      <c r="I258" s="235">
        <f ca="1">IF(Amortization[[#This Row],[payment
date]]="",0,Amortization[[#This Row],[opening
balance]]-Amortization[[#This Row],[principal]])</f>
        <v>373367.10001537768</v>
      </c>
      <c r="J258" s="247">
        <f ca="1">IF(Amortization[[#This Row],[closing
balance]]&gt;0,LastRow-ROW(),0)</f>
        <v>105</v>
      </c>
    </row>
    <row r="259" spans="2:10" ht="15" customHeight="1" x14ac:dyDescent="0.25">
      <c r="B259" s="249">
        <f>ROWS($B$4:B259)</f>
        <v>256</v>
      </c>
      <c r="C259" s="248">
        <f ca="1">IF(ValuesEntered,IF(Amortization[[#This Row],['#]]&lt;=DurationOfLoan,IF(ROW()-ROW(Amortization[[#Headers],[payment
date]])=1,LoanStart,IF(I258&gt;0,EDATE(C258,1),"")),""),"")</f>
        <v>52819</v>
      </c>
      <c r="D259" s="235">
        <f ca="1">IF(ROW()-ROW(Amortization[[#Headers],[opening
balance]])=1,LoanAmount,IF(Amortization[[#This Row],[payment
date]]="",0,INDEX(Amortization[], ROW()-4,8)))</f>
        <v>373367.10001537768</v>
      </c>
      <c r="E259" s="235">
        <f ca="1">IF(ValuesEntered,IF(ROW()-ROW(Amortization[[#Headers],[interest]])=1,-IPMT(InterestRate/12,1,DurationOfLoan-ROWS($C$4:C259)+1,Amortization[[#This Row],[opening
balance]]),IFERROR(-IPMT(InterestRate/12,1,Amortization[[#This Row],['#
remaining]],D260),0)),0)</f>
        <v>925.63279760403361</v>
      </c>
      <c r="F259" s="235">
        <f ca="1">IFERROR(IF(AND(ValuesEntered,Amortization[[#This Row],[payment
date]]&lt;&gt;""),-PPMT(InterestRate/12,1,DurationOfLoan-ROWS($C$4:C259)+1,Amortization[[#This Row],[opening
balance]]),""),0)</f>
        <v>3113.9809737642813</v>
      </c>
      <c r="G259" s="235">
        <f ca="1">IF(Amortization[[#This Row],[payment
date]]="",0,PropertyTaxAmount)</f>
        <v>375</v>
      </c>
      <c r="H259" s="235">
        <f ca="1">IF(Amortization[[#This Row],[payment
date]]="",0,Amortization[[#This Row],[interest]]+Amortization[[#This Row],[principal]]+Amortization[[#This Row],[property
tax]])</f>
        <v>4414.6137713683147</v>
      </c>
      <c r="I259" s="235">
        <f ca="1">IF(Amortization[[#This Row],[payment
date]]="",0,Amortization[[#This Row],[opening
balance]]-Amortization[[#This Row],[principal]])</f>
        <v>370253.11904161342</v>
      </c>
      <c r="J259" s="247">
        <f ca="1">IF(Amortization[[#This Row],[closing
balance]]&gt;0,LastRow-ROW(),0)</f>
        <v>104</v>
      </c>
    </row>
    <row r="260" spans="2:10" ht="15" customHeight="1" x14ac:dyDescent="0.25">
      <c r="B260" s="249">
        <f>ROWS($B$4:B260)</f>
        <v>257</v>
      </c>
      <c r="C260" s="248">
        <f ca="1">IF(ValuesEntered,IF(Amortization[[#This Row],['#]]&lt;=DurationOfLoan,IF(ROW()-ROW(Amortization[[#Headers],[payment
date]])=1,LoanStart,IF(I259&gt;0,EDATE(C259,1),"")),""),"")</f>
        <v>52850</v>
      </c>
      <c r="D260" s="235">
        <f ca="1">IF(ROW()-ROW(Amortization[[#Headers],[opening
balance]])=1,LoanAmount,IF(Amortization[[#This Row],[payment
date]]="",0,INDEX(Amortization[], ROW()-4,8)))</f>
        <v>370253.11904161342</v>
      </c>
      <c r="E260" s="235">
        <f ca="1">IF(ValuesEntered,IF(ROW()-ROW(Amortization[[#Headers],[interest]])=1,-IPMT(InterestRate/12,1,DurationOfLoan-ROWS($C$4:C260)+1,Amortization[[#This Row],[opening
balance]]),IFERROR(-IPMT(InterestRate/12,1,Amortization[[#This Row],['#
remaining]],D261),0)),0)</f>
        <v>917.82838278853683</v>
      </c>
      <c r="F260" s="235">
        <f ca="1">IFERROR(IF(AND(ValuesEntered,Amortization[[#This Row],[payment
date]]&lt;&gt;""),-PPMT(InterestRate/12,1,DurationOfLoan-ROWS($C$4:C260)+1,Amortization[[#This Row],[opening
balance]]),""),0)</f>
        <v>3121.7659261986933</v>
      </c>
      <c r="G260" s="235">
        <f ca="1">IF(Amortization[[#This Row],[payment
date]]="",0,PropertyTaxAmount)</f>
        <v>375</v>
      </c>
      <c r="H260" s="235">
        <f ca="1">IF(Amortization[[#This Row],[payment
date]]="",0,Amortization[[#This Row],[interest]]+Amortization[[#This Row],[principal]]+Amortization[[#This Row],[property
tax]])</f>
        <v>4414.5943089872299</v>
      </c>
      <c r="I260" s="235">
        <f ca="1">IF(Amortization[[#This Row],[payment
date]]="",0,Amortization[[#This Row],[opening
balance]]-Amortization[[#This Row],[principal]])</f>
        <v>367131.35311541473</v>
      </c>
      <c r="J260" s="247">
        <f ca="1">IF(Amortization[[#This Row],[closing
balance]]&gt;0,LastRow-ROW(),0)</f>
        <v>103</v>
      </c>
    </row>
    <row r="261" spans="2:10" ht="15" customHeight="1" x14ac:dyDescent="0.25">
      <c r="B261" s="249">
        <f>ROWS($B$4:B261)</f>
        <v>258</v>
      </c>
      <c r="C261" s="248">
        <f ca="1">IF(ValuesEntered,IF(Amortization[[#This Row],['#]]&lt;=DurationOfLoan,IF(ROW()-ROW(Amortization[[#Headers],[payment
date]])=1,LoanStart,IF(I260&gt;0,EDATE(C260,1),"")),""),"")</f>
        <v>52880</v>
      </c>
      <c r="D261" s="235">
        <f ca="1">IF(ROW()-ROW(Amortization[[#Headers],[opening
balance]])=1,LoanAmount,IF(Amortization[[#This Row],[payment
date]]="",0,INDEX(Amortization[], ROW()-4,8)))</f>
        <v>367131.35311541473</v>
      </c>
      <c r="E261" s="235">
        <f ca="1">IF(ValuesEntered,IF(ROW()-ROW(Amortization[[#Headers],[interest]])=1,-IPMT(InterestRate/12,1,DurationOfLoan-ROWS($C$4:C261)+1,Amortization[[#This Row],[opening
balance]]),IFERROR(-IPMT(InterestRate/12,1,Amortization[[#This Row],['#
remaining]],D262),0)),0)</f>
        <v>910.00445693600136</v>
      </c>
      <c r="F261" s="235">
        <f ca="1">IFERROR(IF(AND(ValuesEntered,Amortization[[#This Row],[payment
date]]&lt;&gt;""),-PPMT(InterestRate/12,1,DurationOfLoan-ROWS($C$4:C261)+1,Amortization[[#This Row],[opening
balance]]),""),0)</f>
        <v>3129.57034101419</v>
      </c>
      <c r="G261" s="235">
        <f ca="1">IF(Amortization[[#This Row],[payment
date]]="",0,PropertyTaxAmount)</f>
        <v>375</v>
      </c>
      <c r="H261" s="235">
        <f ca="1">IF(Amortization[[#This Row],[payment
date]]="",0,Amortization[[#This Row],[interest]]+Amortization[[#This Row],[principal]]+Amortization[[#This Row],[property
tax]])</f>
        <v>4414.5747979501912</v>
      </c>
      <c r="I261" s="235">
        <f ca="1">IF(Amortization[[#This Row],[payment
date]]="",0,Amortization[[#This Row],[opening
balance]]-Amortization[[#This Row],[principal]])</f>
        <v>364001.78277440055</v>
      </c>
      <c r="J261" s="247">
        <f ca="1">IF(Amortization[[#This Row],[closing
balance]]&gt;0,LastRow-ROW(),0)</f>
        <v>102</v>
      </c>
    </row>
    <row r="262" spans="2:10" ht="15" customHeight="1" x14ac:dyDescent="0.25">
      <c r="B262" s="249">
        <f>ROWS($B$4:B262)</f>
        <v>259</v>
      </c>
      <c r="C262" s="248">
        <f ca="1">IF(ValuesEntered,IF(Amortization[[#This Row],['#]]&lt;=DurationOfLoan,IF(ROW()-ROW(Amortization[[#Headers],[payment
date]])=1,LoanStart,IF(I261&gt;0,EDATE(C261,1),"")),""),"")</f>
        <v>52911</v>
      </c>
      <c r="D262" s="235">
        <f ca="1">IF(ROW()-ROW(Amortization[[#Headers],[opening
balance]])=1,LoanAmount,IF(Amortization[[#This Row],[payment
date]]="",0,INDEX(Amortization[], ROW()-4,8)))</f>
        <v>364001.78277440055</v>
      </c>
      <c r="E262" s="235">
        <f ca="1">IF(ValuesEntered,IF(ROW()-ROW(Amortization[[#Headers],[interest]])=1,-IPMT(InterestRate/12,1,DurationOfLoan-ROWS($C$4:C262)+1,Amortization[[#This Row],[opening
balance]]),IFERROR(-IPMT(InterestRate/12,1,Amortization[[#This Row],['#
remaining]],D263),0)),0)</f>
        <v>902.1609712688346</v>
      </c>
      <c r="F262" s="235">
        <f ca="1">IFERROR(IF(AND(ValuesEntered,Amortization[[#This Row],[payment
date]]&lt;&gt;""),-PPMT(InterestRate/12,1,DurationOfLoan-ROWS($C$4:C262)+1,Amortization[[#This Row],[opening
balance]]),""),0)</f>
        <v>3137.3942668667255</v>
      </c>
      <c r="G262" s="235">
        <f ca="1">IF(Amortization[[#This Row],[payment
date]]="",0,PropertyTaxAmount)</f>
        <v>375</v>
      </c>
      <c r="H262" s="235">
        <f ca="1">IF(Amortization[[#This Row],[payment
date]]="",0,Amortization[[#This Row],[interest]]+Amortization[[#This Row],[principal]]+Amortization[[#This Row],[property
tax]])</f>
        <v>4414.5552381355601</v>
      </c>
      <c r="I262" s="235">
        <f ca="1">IF(Amortization[[#This Row],[payment
date]]="",0,Amortization[[#This Row],[opening
balance]]-Amortization[[#This Row],[principal]])</f>
        <v>360864.38850753382</v>
      </c>
      <c r="J262" s="247">
        <f ca="1">IF(Amortization[[#This Row],[closing
balance]]&gt;0,LastRow-ROW(),0)</f>
        <v>101</v>
      </c>
    </row>
    <row r="263" spans="2:10" ht="15" customHeight="1" x14ac:dyDescent="0.25">
      <c r="B263" s="249">
        <f>ROWS($B$4:B263)</f>
        <v>260</v>
      </c>
      <c r="C263" s="248">
        <f ca="1">IF(ValuesEntered,IF(Amortization[[#This Row],['#]]&lt;=DurationOfLoan,IF(ROW()-ROW(Amortization[[#Headers],[payment
date]])=1,LoanStart,IF(I262&gt;0,EDATE(C262,1),"")),""),"")</f>
        <v>52941</v>
      </c>
      <c r="D263" s="235">
        <f ca="1">IF(ROW()-ROW(Amortization[[#Headers],[opening
balance]])=1,LoanAmount,IF(Amortization[[#This Row],[payment
date]]="",0,INDEX(Amortization[], ROW()-4,8)))</f>
        <v>360864.38850753382</v>
      </c>
      <c r="E263" s="235">
        <f ca="1">IF(ValuesEntered,IF(ROW()-ROW(Amortization[[#Headers],[interest]])=1,-IPMT(InterestRate/12,1,DurationOfLoan-ROWS($C$4:C263)+1,Amortization[[#This Row],[opening
balance]]),IFERROR(-IPMT(InterestRate/12,1,Amortization[[#This Row],['#
remaining]],D264),0)),0)</f>
        <v>894.29787688749991</v>
      </c>
      <c r="F263" s="235">
        <f ca="1">IFERROR(IF(AND(ValuesEntered,Amortization[[#This Row],[payment
date]]&lt;&gt;""),-PPMT(InterestRate/12,1,DurationOfLoan-ROWS($C$4:C263)+1,Amortization[[#This Row],[opening
balance]]),""),0)</f>
        <v>3145.237752533892</v>
      </c>
      <c r="G263" s="235">
        <f ca="1">IF(Amortization[[#This Row],[payment
date]]="",0,PropertyTaxAmount)</f>
        <v>375</v>
      </c>
      <c r="H263" s="235">
        <f ca="1">IF(Amortization[[#This Row],[payment
date]]="",0,Amortization[[#This Row],[interest]]+Amortization[[#This Row],[principal]]+Amortization[[#This Row],[property
tax]])</f>
        <v>4414.5356294213925</v>
      </c>
      <c r="I263" s="235">
        <f ca="1">IF(Amortization[[#This Row],[payment
date]]="",0,Amortization[[#This Row],[opening
balance]]-Amortization[[#This Row],[principal]])</f>
        <v>357719.15075499995</v>
      </c>
      <c r="J263" s="247">
        <f ca="1">IF(Amortization[[#This Row],[closing
balance]]&gt;0,LastRow-ROW(),0)</f>
        <v>100</v>
      </c>
    </row>
    <row r="264" spans="2:10" ht="15" customHeight="1" x14ac:dyDescent="0.25">
      <c r="B264" s="249">
        <f>ROWS($B$4:B264)</f>
        <v>261</v>
      </c>
      <c r="C264" s="248">
        <f ca="1">IF(ValuesEntered,IF(Amortization[[#This Row],['#]]&lt;=DurationOfLoan,IF(ROW()-ROW(Amortization[[#Headers],[payment
date]])=1,LoanStart,IF(I263&gt;0,EDATE(C263,1),"")),""),"")</f>
        <v>52972</v>
      </c>
      <c r="D264" s="235">
        <f ca="1">IF(ROW()-ROW(Amortization[[#Headers],[opening
balance]])=1,LoanAmount,IF(Amortization[[#This Row],[payment
date]]="",0,INDEX(Amortization[], ROW()-4,8)))</f>
        <v>357719.15075499995</v>
      </c>
      <c r="E264" s="235">
        <f ca="1">IF(ValuesEntered,IF(ROW()-ROW(Amortization[[#Headers],[interest]])=1,-IPMT(InterestRate/12,1,DurationOfLoan-ROWS($C$4:C264)+1,Amortization[[#This Row],[opening
balance]]),IFERROR(-IPMT(InterestRate/12,1,Amortization[[#This Row],['#
remaining]],D265),0)),0)</f>
        <v>886.41512477021183</v>
      </c>
      <c r="F264" s="235">
        <f ca="1">IFERROR(IF(AND(ValuesEntered,Amortization[[#This Row],[payment
date]]&lt;&gt;""),-PPMT(InterestRate/12,1,DurationOfLoan-ROWS($C$4:C264)+1,Amortization[[#This Row],[opening
balance]]),""),0)</f>
        <v>3153.1008469152271</v>
      </c>
      <c r="G264" s="235">
        <f ca="1">IF(Amortization[[#This Row],[payment
date]]="",0,PropertyTaxAmount)</f>
        <v>375</v>
      </c>
      <c r="H264" s="235">
        <f ca="1">IF(Amortization[[#This Row],[payment
date]]="",0,Amortization[[#This Row],[interest]]+Amortization[[#This Row],[principal]]+Amortization[[#This Row],[property
tax]])</f>
        <v>4414.5159716854387</v>
      </c>
      <c r="I264" s="235">
        <f ca="1">IF(Amortization[[#This Row],[payment
date]]="",0,Amortization[[#This Row],[opening
balance]]-Amortization[[#This Row],[principal]])</f>
        <v>354566.04990808474</v>
      </c>
      <c r="J264" s="247">
        <f ca="1">IF(Amortization[[#This Row],[closing
balance]]&gt;0,LastRow-ROW(),0)</f>
        <v>99</v>
      </c>
    </row>
    <row r="265" spans="2:10" ht="15" customHeight="1" x14ac:dyDescent="0.25">
      <c r="B265" s="249">
        <f>ROWS($B$4:B265)</f>
        <v>262</v>
      </c>
      <c r="C265" s="248">
        <f ca="1">IF(ValuesEntered,IF(Amortization[[#This Row],['#]]&lt;=DurationOfLoan,IF(ROW()-ROW(Amortization[[#Headers],[payment
date]])=1,LoanStart,IF(I264&gt;0,EDATE(C264,1),"")),""),"")</f>
        <v>53003</v>
      </c>
      <c r="D265" s="235">
        <f ca="1">IF(ROW()-ROW(Amortization[[#Headers],[opening
balance]])=1,LoanAmount,IF(Amortization[[#This Row],[payment
date]]="",0,INDEX(Amortization[], ROW()-4,8)))</f>
        <v>354566.04990808474</v>
      </c>
      <c r="E265" s="235">
        <f ca="1">IF(ValuesEntered,IF(ROW()-ROW(Amortization[[#Headers],[interest]])=1,-IPMT(InterestRate/12,1,DurationOfLoan-ROWS($C$4:C265)+1,Amortization[[#This Row],[opening
balance]]),IFERROR(-IPMT(InterestRate/12,1,Amortization[[#This Row],['#
remaining]],D266),0)),0)</f>
        <v>878.51266577263061</v>
      </c>
      <c r="F265" s="235">
        <f ca="1">IFERROR(IF(AND(ValuesEntered,Amortization[[#This Row],[payment
date]]&lt;&gt;""),-PPMT(InterestRate/12,1,DurationOfLoan-ROWS($C$4:C265)+1,Amortization[[#This Row],[opening
balance]]),""),0)</f>
        <v>3160.9835990325159</v>
      </c>
      <c r="G265" s="235">
        <f ca="1">IF(Amortization[[#This Row],[payment
date]]="",0,PropertyTaxAmount)</f>
        <v>375</v>
      </c>
      <c r="H265" s="235">
        <f ca="1">IF(Amortization[[#This Row],[payment
date]]="",0,Amortization[[#This Row],[interest]]+Amortization[[#This Row],[principal]]+Amortization[[#This Row],[property
tax]])</f>
        <v>4414.496264805146</v>
      </c>
      <c r="I265" s="235">
        <f ca="1">IF(Amortization[[#This Row],[payment
date]]="",0,Amortization[[#This Row],[opening
balance]]-Amortization[[#This Row],[principal]])</f>
        <v>351405.06630905223</v>
      </c>
      <c r="J265" s="247">
        <f ca="1">IF(Amortization[[#This Row],[closing
balance]]&gt;0,LastRow-ROW(),0)</f>
        <v>98</v>
      </c>
    </row>
    <row r="266" spans="2:10" ht="15" customHeight="1" x14ac:dyDescent="0.25">
      <c r="B266" s="249">
        <f>ROWS($B$4:B266)</f>
        <v>263</v>
      </c>
      <c r="C266" s="248">
        <f ca="1">IF(ValuesEntered,IF(Amortization[[#This Row],['#]]&lt;=DurationOfLoan,IF(ROW()-ROW(Amortization[[#Headers],[payment
date]])=1,LoanStart,IF(I265&gt;0,EDATE(C265,1),"")),""),"")</f>
        <v>53031</v>
      </c>
      <c r="D266" s="235">
        <f ca="1">IF(ROW()-ROW(Amortization[[#Headers],[opening
balance]])=1,LoanAmount,IF(Amortization[[#This Row],[payment
date]]="",0,INDEX(Amortization[], ROW()-4,8)))</f>
        <v>351405.06630905223</v>
      </c>
      <c r="E266" s="235">
        <f ca="1">IF(ValuesEntered,IF(ROW()-ROW(Amortization[[#Headers],[interest]])=1,-IPMT(InterestRate/12,1,DurationOfLoan-ROWS($C$4:C266)+1,Amortization[[#This Row],[opening
balance]]),IFERROR(-IPMT(InterestRate/12,1,Amortization[[#This Row],['#
remaining]],D267),0)),0)</f>
        <v>870.59045062755524</v>
      </c>
      <c r="F266" s="235">
        <f ca="1">IFERROR(IF(AND(ValuesEntered,Amortization[[#This Row],[payment
date]]&lt;&gt;""),-PPMT(InterestRate/12,1,DurationOfLoan-ROWS($C$4:C266)+1,Amortization[[#This Row],[opening
balance]]),""),0)</f>
        <v>3168.886058030097</v>
      </c>
      <c r="G266" s="235">
        <f ca="1">IF(Amortization[[#This Row],[payment
date]]="",0,PropertyTaxAmount)</f>
        <v>375</v>
      </c>
      <c r="H266" s="235">
        <f ca="1">IF(Amortization[[#This Row],[payment
date]]="",0,Amortization[[#This Row],[interest]]+Amortization[[#This Row],[principal]]+Amortization[[#This Row],[property
tax]])</f>
        <v>4414.4765086576517</v>
      </c>
      <c r="I266" s="235">
        <f ca="1">IF(Amortization[[#This Row],[payment
date]]="",0,Amortization[[#This Row],[opening
balance]]-Amortization[[#This Row],[principal]])</f>
        <v>348236.1802510221</v>
      </c>
      <c r="J266" s="247">
        <f ca="1">IF(Amortization[[#This Row],[closing
balance]]&gt;0,LastRow-ROW(),0)</f>
        <v>97</v>
      </c>
    </row>
    <row r="267" spans="2:10" ht="15" customHeight="1" x14ac:dyDescent="0.25">
      <c r="B267" s="249">
        <f>ROWS($B$4:B267)</f>
        <v>264</v>
      </c>
      <c r="C267" s="248">
        <f ca="1">IF(ValuesEntered,IF(Amortization[[#This Row],['#]]&lt;=DurationOfLoan,IF(ROW()-ROW(Amortization[[#Headers],[payment
date]])=1,LoanStart,IF(I266&gt;0,EDATE(C266,1),"")),""),"")</f>
        <v>53062</v>
      </c>
      <c r="D267" s="235">
        <f ca="1">IF(ROW()-ROW(Amortization[[#Headers],[opening
balance]])=1,LoanAmount,IF(Amortization[[#This Row],[payment
date]]="",0,INDEX(Amortization[], ROW()-4,8)))</f>
        <v>348236.1802510221</v>
      </c>
      <c r="E267" s="235">
        <f ca="1">IF(ValuesEntered,IF(ROW()-ROW(Amortization[[#Headers],[interest]])=1,-IPMT(InterestRate/12,1,DurationOfLoan-ROWS($C$4:C267)+1,Amortization[[#This Row],[opening
balance]]),IFERROR(-IPMT(InterestRate/12,1,Amortization[[#This Row],['#
remaining]],D268),0)),0)</f>
        <v>862.64842994461742</v>
      </c>
      <c r="F267" s="235">
        <f ca="1">IFERROR(IF(AND(ValuesEntered,Amortization[[#This Row],[payment
date]]&lt;&gt;""),-PPMT(InterestRate/12,1,DurationOfLoan-ROWS($C$4:C267)+1,Amortization[[#This Row],[opening
balance]]),""),0)</f>
        <v>3176.808273175172</v>
      </c>
      <c r="G267" s="235">
        <f ca="1">IF(Amortization[[#This Row],[payment
date]]="",0,PropertyTaxAmount)</f>
        <v>375</v>
      </c>
      <c r="H267" s="235">
        <f ca="1">IF(Amortization[[#This Row],[payment
date]]="",0,Amortization[[#This Row],[interest]]+Amortization[[#This Row],[principal]]+Amortization[[#This Row],[property
tax]])</f>
        <v>4414.4567031197894</v>
      </c>
      <c r="I267" s="235">
        <f ca="1">IF(Amortization[[#This Row],[payment
date]]="",0,Amortization[[#This Row],[opening
balance]]-Amortization[[#This Row],[principal]])</f>
        <v>345059.37197784695</v>
      </c>
      <c r="J267" s="247">
        <f ca="1">IF(Amortization[[#This Row],[closing
balance]]&gt;0,LastRow-ROW(),0)</f>
        <v>96</v>
      </c>
    </row>
    <row r="268" spans="2:10" ht="15" customHeight="1" x14ac:dyDescent="0.25">
      <c r="B268" s="249">
        <f>ROWS($B$4:B268)</f>
        <v>265</v>
      </c>
      <c r="C268" s="248">
        <f ca="1">IF(ValuesEntered,IF(Amortization[[#This Row],['#]]&lt;=DurationOfLoan,IF(ROW()-ROW(Amortization[[#Headers],[payment
date]])=1,LoanStart,IF(I267&gt;0,EDATE(C267,1),"")),""),"")</f>
        <v>53092</v>
      </c>
      <c r="D268" s="235">
        <f ca="1">IF(ROW()-ROW(Amortization[[#Headers],[opening
balance]])=1,LoanAmount,IF(Amortization[[#This Row],[payment
date]]="",0,INDEX(Amortization[], ROW()-4,8)))</f>
        <v>345059.37197784695</v>
      </c>
      <c r="E268" s="235">
        <f ca="1">IF(ValuesEntered,IF(ROW()-ROW(Amortization[[#Headers],[interest]])=1,-IPMT(InterestRate/12,1,DurationOfLoan-ROWS($C$4:C268)+1,Amortization[[#This Row],[opening
balance]]),IFERROR(-IPMT(InterestRate/12,1,Amortization[[#This Row],['#
remaining]],D269),0)),0)</f>
        <v>854.68655420997209</v>
      </c>
      <c r="F268" s="235">
        <f ca="1">IFERROR(IF(AND(ValuesEntered,Amortization[[#This Row],[payment
date]]&lt;&gt;""),-PPMT(InterestRate/12,1,DurationOfLoan-ROWS($C$4:C268)+1,Amortization[[#This Row],[opening
balance]]),""),0)</f>
        <v>3184.7502938581097</v>
      </c>
      <c r="G268" s="235">
        <f ca="1">IF(Amortization[[#This Row],[payment
date]]="",0,PropertyTaxAmount)</f>
        <v>375</v>
      </c>
      <c r="H268" s="235">
        <f ca="1">IF(Amortization[[#This Row],[payment
date]]="",0,Amortization[[#This Row],[interest]]+Amortization[[#This Row],[principal]]+Amortization[[#This Row],[property
tax]])</f>
        <v>4414.4368480680823</v>
      </c>
      <c r="I268" s="235">
        <f ca="1">IF(Amortization[[#This Row],[payment
date]]="",0,Amortization[[#This Row],[opening
balance]]-Amortization[[#This Row],[principal]])</f>
        <v>341874.62168398884</v>
      </c>
      <c r="J268" s="247">
        <f ca="1">IF(Amortization[[#This Row],[closing
balance]]&gt;0,LastRow-ROW(),0)</f>
        <v>95</v>
      </c>
    </row>
    <row r="269" spans="2:10" ht="15" customHeight="1" x14ac:dyDescent="0.25">
      <c r="B269" s="249">
        <f>ROWS($B$4:B269)</f>
        <v>266</v>
      </c>
      <c r="C269" s="248">
        <f ca="1">IF(ValuesEntered,IF(Amortization[[#This Row],['#]]&lt;=DurationOfLoan,IF(ROW()-ROW(Amortization[[#Headers],[payment
date]])=1,LoanStart,IF(I268&gt;0,EDATE(C268,1),"")),""),"")</f>
        <v>53123</v>
      </c>
      <c r="D269" s="235">
        <f ca="1">IF(ROW()-ROW(Amortization[[#Headers],[opening
balance]])=1,LoanAmount,IF(Amortization[[#This Row],[payment
date]]="",0,INDEX(Amortization[], ROW()-4,8)))</f>
        <v>341874.62168398884</v>
      </c>
      <c r="E269" s="235">
        <f ca="1">IF(ValuesEntered,IF(ROW()-ROW(Amortization[[#Headers],[interest]])=1,-IPMT(InterestRate/12,1,DurationOfLoan-ROWS($C$4:C269)+1,Amortization[[#This Row],[opening
balance]]),IFERROR(-IPMT(InterestRate/12,1,Amortization[[#This Row],['#
remaining]],D270),0)),0)</f>
        <v>846.70477378599026</v>
      </c>
      <c r="F269" s="235">
        <f ca="1">IFERROR(IF(AND(ValuesEntered,Amortization[[#This Row],[payment
date]]&lt;&gt;""),-PPMT(InterestRate/12,1,DurationOfLoan-ROWS($C$4:C269)+1,Amortization[[#This Row],[opening
balance]]),""),0)</f>
        <v>3192.7121695927549</v>
      </c>
      <c r="G269" s="235">
        <f ca="1">IF(Amortization[[#This Row],[payment
date]]="",0,PropertyTaxAmount)</f>
        <v>375</v>
      </c>
      <c r="H269" s="235">
        <f ca="1">IF(Amortization[[#This Row],[payment
date]]="",0,Amortization[[#This Row],[interest]]+Amortization[[#This Row],[principal]]+Amortization[[#This Row],[property
tax]])</f>
        <v>4414.4169433787447</v>
      </c>
      <c r="I269" s="235">
        <f ca="1">IF(Amortization[[#This Row],[payment
date]]="",0,Amortization[[#This Row],[opening
balance]]-Amortization[[#This Row],[principal]])</f>
        <v>338681.9095143961</v>
      </c>
      <c r="J269" s="247">
        <f ca="1">IF(Amortization[[#This Row],[closing
balance]]&gt;0,LastRow-ROW(),0)</f>
        <v>94</v>
      </c>
    </row>
    <row r="270" spans="2:10" ht="15" customHeight="1" x14ac:dyDescent="0.25">
      <c r="B270" s="249">
        <f>ROWS($B$4:B270)</f>
        <v>267</v>
      </c>
      <c r="C270" s="248">
        <f ca="1">IF(ValuesEntered,IF(Amortization[[#This Row],['#]]&lt;=DurationOfLoan,IF(ROW()-ROW(Amortization[[#Headers],[payment
date]])=1,LoanStart,IF(I269&gt;0,EDATE(C269,1),"")),""),"")</f>
        <v>53153</v>
      </c>
      <c r="D270" s="235">
        <f ca="1">IF(ROW()-ROW(Amortization[[#Headers],[opening
balance]])=1,LoanAmount,IF(Amortization[[#This Row],[payment
date]]="",0,INDEX(Amortization[], ROW()-4,8)))</f>
        <v>338681.9095143961</v>
      </c>
      <c r="E270" s="235">
        <f ca="1">IF(ValuesEntered,IF(ROW()-ROW(Amortization[[#Headers],[interest]])=1,-IPMT(InterestRate/12,1,DurationOfLoan-ROWS($C$4:C270)+1,Amortization[[#This Row],[opening
balance]]),IFERROR(-IPMT(InterestRate/12,1,Amortization[[#This Row],['#
remaining]],D271),0)),0)</f>
        <v>838.70303891094841</v>
      </c>
      <c r="F270" s="235">
        <f ca="1">IFERROR(IF(AND(ValuesEntered,Amortization[[#This Row],[payment
date]]&lt;&gt;""),-PPMT(InterestRate/12,1,DurationOfLoan-ROWS($C$4:C270)+1,Amortization[[#This Row],[opening
balance]]),""),0)</f>
        <v>3200.6939500167373</v>
      </c>
      <c r="G270" s="235">
        <f ca="1">IF(Amortization[[#This Row],[payment
date]]="",0,PropertyTaxAmount)</f>
        <v>375</v>
      </c>
      <c r="H270" s="235">
        <f ca="1">IF(Amortization[[#This Row],[payment
date]]="",0,Amortization[[#This Row],[interest]]+Amortization[[#This Row],[principal]]+Amortization[[#This Row],[property
tax]])</f>
        <v>4414.3969889276859</v>
      </c>
      <c r="I270" s="235">
        <f ca="1">IF(Amortization[[#This Row],[payment
date]]="",0,Amortization[[#This Row],[opening
balance]]-Amortization[[#This Row],[principal]])</f>
        <v>335481.21556437935</v>
      </c>
      <c r="J270" s="247">
        <f ca="1">IF(Amortization[[#This Row],[closing
balance]]&gt;0,LastRow-ROW(),0)</f>
        <v>93</v>
      </c>
    </row>
    <row r="271" spans="2:10" ht="15" customHeight="1" x14ac:dyDescent="0.25">
      <c r="B271" s="249">
        <f>ROWS($B$4:B271)</f>
        <v>268</v>
      </c>
      <c r="C271" s="248">
        <f ca="1">IF(ValuesEntered,IF(Amortization[[#This Row],['#]]&lt;=DurationOfLoan,IF(ROW()-ROW(Amortization[[#Headers],[payment
date]])=1,LoanStart,IF(I270&gt;0,EDATE(C270,1),"")),""),"")</f>
        <v>53184</v>
      </c>
      <c r="D271" s="235">
        <f ca="1">IF(ROW()-ROW(Amortization[[#Headers],[opening
balance]])=1,LoanAmount,IF(Amortization[[#This Row],[payment
date]]="",0,INDEX(Amortization[], ROW()-4,8)))</f>
        <v>335481.21556437935</v>
      </c>
      <c r="E271" s="235">
        <f ca="1">IF(ValuesEntered,IF(ROW()-ROW(Amortization[[#Headers],[interest]])=1,-IPMT(InterestRate/12,1,DurationOfLoan-ROWS($C$4:C271)+1,Amortization[[#This Row],[opening
balance]]),IFERROR(-IPMT(InterestRate/12,1,Amortization[[#This Row],['#
remaining]],D272),0)),0)</f>
        <v>830.68129969871893</v>
      </c>
      <c r="F271" s="235">
        <f ca="1">IFERROR(IF(AND(ValuesEntered,Amortization[[#This Row],[payment
date]]&lt;&gt;""),-PPMT(InterestRate/12,1,DurationOfLoan-ROWS($C$4:C271)+1,Amortization[[#This Row],[opening
balance]]),""),0)</f>
        <v>3208.6956848917794</v>
      </c>
      <c r="G271" s="235">
        <f ca="1">IF(Amortization[[#This Row],[payment
date]]="",0,PropertyTaxAmount)</f>
        <v>375</v>
      </c>
      <c r="H271" s="235">
        <f ca="1">IF(Amortization[[#This Row],[payment
date]]="",0,Amortization[[#This Row],[interest]]+Amortization[[#This Row],[principal]]+Amortization[[#This Row],[property
tax]])</f>
        <v>4414.3769845904981</v>
      </c>
      <c r="I271" s="235">
        <f ca="1">IF(Amortization[[#This Row],[payment
date]]="",0,Amortization[[#This Row],[opening
balance]]-Amortization[[#This Row],[principal]])</f>
        <v>332272.51987948758</v>
      </c>
      <c r="J271" s="247">
        <f ca="1">IF(Amortization[[#This Row],[closing
balance]]&gt;0,LastRow-ROW(),0)</f>
        <v>92</v>
      </c>
    </row>
    <row r="272" spans="2:10" ht="15" customHeight="1" x14ac:dyDescent="0.25">
      <c r="B272" s="249">
        <f>ROWS($B$4:B272)</f>
        <v>269</v>
      </c>
      <c r="C272" s="248">
        <f ca="1">IF(ValuesEntered,IF(Amortization[[#This Row],['#]]&lt;=DurationOfLoan,IF(ROW()-ROW(Amortization[[#Headers],[payment
date]])=1,LoanStart,IF(I271&gt;0,EDATE(C271,1),"")),""),"")</f>
        <v>53215</v>
      </c>
      <c r="D272" s="235">
        <f ca="1">IF(ROW()-ROW(Amortization[[#Headers],[opening
balance]])=1,LoanAmount,IF(Amortization[[#This Row],[payment
date]]="",0,INDEX(Amortization[], ROW()-4,8)))</f>
        <v>332272.51987948758</v>
      </c>
      <c r="E272" s="235">
        <f ca="1">IF(ValuesEntered,IF(ROW()-ROW(Amortization[[#Headers],[interest]])=1,-IPMT(InterestRate/12,1,DurationOfLoan-ROWS($C$4:C272)+1,Amortization[[#This Row],[opening
balance]]),IFERROR(-IPMT(InterestRate/12,1,Amortization[[#This Row],['#
remaining]],D273),0)),0)</f>
        <v>822.63950613845896</v>
      </c>
      <c r="F272" s="235">
        <f ca="1">IFERROR(IF(AND(ValuesEntered,Amortization[[#This Row],[payment
date]]&lt;&gt;""),-PPMT(InterestRate/12,1,DurationOfLoan-ROWS($C$4:C272)+1,Amortization[[#This Row],[opening
balance]]),""),0)</f>
        <v>3216.7174241040084</v>
      </c>
      <c r="G272" s="235">
        <f ca="1">IF(Amortization[[#This Row],[payment
date]]="",0,PropertyTaxAmount)</f>
        <v>375</v>
      </c>
      <c r="H272" s="235">
        <f ca="1">IF(Amortization[[#This Row],[payment
date]]="",0,Amortization[[#This Row],[interest]]+Amortization[[#This Row],[principal]]+Amortization[[#This Row],[property
tax]])</f>
        <v>4414.3569302424676</v>
      </c>
      <c r="I272" s="235">
        <f ca="1">IF(Amortization[[#This Row],[payment
date]]="",0,Amortization[[#This Row],[opening
balance]]-Amortization[[#This Row],[principal]])</f>
        <v>329055.80245538359</v>
      </c>
      <c r="J272" s="247">
        <f ca="1">IF(Amortization[[#This Row],[closing
balance]]&gt;0,LastRow-ROW(),0)</f>
        <v>91</v>
      </c>
    </row>
    <row r="273" spans="2:10" ht="15" customHeight="1" x14ac:dyDescent="0.25">
      <c r="B273" s="249">
        <f>ROWS($B$4:B273)</f>
        <v>270</v>
      </c>
      <c r="C273" s="248">
        <f ca="1">IF(ValuesEntered,IF(Amortization[[#This Row],['#]]&lt;=DurationOfLoan,IF(ROW()-ROW(Amortization[[#Headers],[payment
date]])=1,LoanStart,IF(I272&gt;0,EDATE(C272,1),"")),""),"")</f>
        <v>53245</v>
      </c>
      <c r="D273" s="235">
        <f ca="1">IF(ROW()-ROW(Amortization[[#Headers],[opening
balance]])=1,LoanAmount,IF(Amortization[[#This Row],[payment
date]]="",0,INDEX(Amortization[], ROW()-4,8)))</f>
        <v>329055.80245538359</v>
      </c>
      <c r="E273" s="235">
        <f ca="1">IF(ValuesEntered,IF(ROW()-ROW(Amortization[[#Headers],[interest]])=1,-IPMT(InterestRate/12,1,DurationOfLoan-ROWS($C$4:C273)+1,Amortization[[#This Row],[opening
balance]]),IFERROR(-IPMT(InterestRate/12,1,Amortization[[#This Row],['#
remaining]],D274),0)),0)</f>
        <v>814.5776080942984</v>
      </c>
      <c r="F273" s="235">
        <f ca="1">IFERROR(IF(AND(ValuesEntered,Amortization[[#This Row],[payment
date]]&lt;&gt;""),-PPMT(InterestRate/12,1,DurationOfLoan-ROWS($C$4:C273)+1,Amortization[[#This Row],[opening
balance]]),""),0)</f>
        <v>3224.7592176642688</v>
      </c>
      <c r="G273" s="235">
        <f ca="1">IF(Amortization[[#This Row],[payment
date]]="",0,PropertyTaxAmount)</f>
        <v>375</v>
      </c>
      <c r="H273" s="235">
        <f ca="1">IF(Amortization[[#This Row],[payment
date]]="",0,Amortization[[#This Row],[interest]]+Amortization[[#This Row],[principal]]+Amortization[[#This Row],[property
tax]])</f>
        <v>4414.3368257585671</v>
      </c>
      <c r="I273" s="235">
        <f ca="1">IF(Amortization[[#This Row],[payment
date]]="",0,Amortization[[#This Row],[opening
balance]]-Amortization[[#This Row],[principal]])</f>
        <v>325831.04323771934</v>
      </c>
      <c r="J273" s="247">
        <f ca="1">IF(Amortization[[#This Row],[closing
balance]]&gt;0,LastRow-ROW(),0)</f>
        <v>90</v>
      </c>
    </row>
    <row r="274" spans="2:10" ht="15" customHeight="1" x14ac:dyDescent="0.25">
      <c r="B274" s="249">
        <f>ROWS($B$4:B274)</f>
        <v>271</v>
      </c>
      <c r="C274" s="248">
        <f ca="1">IF(ValuesEntered,IF(Amortization[[#This Row],['#]]&lt;=DurationOfLoan,IF(ROW()-ROW(Amortization[[#Headers],[payment
date]])=1,LoanStart,IF(I273&gt;0,EDATE(C273,1),"")),""),"")</f>
        <v>53276</v>
      </c>
      <c r="D274" s="235">
        <f ca="1">IF(ROW()-ROW(Amortization[[#Headers],[opening
balance]])=1,LoanAmount,IF(Amortization[[#This Row],[payment
date]]="",0,INDEX(Amortization[], ROW()-4,8)))</f>
        <v>325831.04323771934</v>
      </c>
      <c r="E274" s="235">
        <f ca="1">IF(ValuesEntered,IF(ROW()-ROW(Amortization[[#Headers],[interest]])=1,-IPMT(InterestRate/12,1,DurationOfLoan-ROWS($C$4:C274)+1,Amortization[[#This Row],[opening
balance]]),IFERROR(-IPMT(InterestRate/12,1,Amortization[[#This Row],['#
remaining]],D275),0)),0)</f>
        <v>806.49555530502721</v>
      </c>
      <c r="F274" s="235">
        <f ca="1">IFERROR(IF(AND(ValuesEntered,Amortization[[#This Row],[payment
date]]&lt;&gt;""),-PPMT(InterestRate/12,1,DurationOfLoan-ROWS($C$4:C274)+1,Amortization[[#This Row],[opening
balance]]),""),0)</f>
        <v>3232.8211157084293</v>
      </c>
      <c r="G274" s="235">
        <f ca="1">IF(Amortization[[#This Row],[payment
date]]="",0,PropertyTaxAmount)</f>
        <v>375</v>
      </c>
      <c r="H274" s="235">
        <f ca="1">IF(Amortization[[#This Row],[payment
date]]="",0,Amortization[[#This Row],[interest]]+Amortization[[#This Row],[principal]]+Amortization[[#This Row],[property
tax]])</f>
        <v>4414.3166710134565</v>
      </c>
      <c r="I274" s="235">
        <f ca="1">IF(Amortization[[#This Row],[payment
date]]="",0,Amortization[[#This Row],[opening
balance]]-Amortization[[#This Row],[principal]])</f>
        <v>322598.22212201089</v>
      </c>
      <c r="J274" s="247">
        <f ca="1">IF(Amortization[[#This Row],[closing
balance]]&gt;0,LastRow-ROW(),0)</f>
        <v>89</v>
      </c>
    </row>
    <row r="275" spans="2:10" ht="15" customHeight="1" x14ac:dyDescent="0.25">
      <c r="B275" s="249">
        <f>ROWS($B$4:B275)</f>
        <v>272</v>
      </c>
      <c r="C275" s="248">
        <f ca="1">IF(ValuesEntered,IF(Amortization[[#This Row],['#]]&lt;=DurationOfLoan,IF(ROW()-ROW(Amortization[[#Headers],[payment
date]])=1,LoanStart,IF(I274&gt;0,EDATE(C274,1),"")),""),"")</f>
        <v>53306</v>
      </c>
      <c r="D275" s="235">
        <f ca="1">IF(ROW()-ROW(Amortization[[#Headers],[opening
balance]])=1,LoanAmount,IF(Amortization[[#This Row],[payment
date]]="",0,INDEX(Amortization[], ROW()-4,8)))</f>
        <v>322598.22212201089</v>
      </c>
      <c r="E275" s="235">
        <f ca="1">IF(ValuesEntered,IF(ROW()-ROW(Amortization[[#Headers],[interest]])=1,-IPMT(InterestRate/12,1,DurationOfLoan-ROWS($C$4:C275)+1,Amortization[[#This Row],[opening
balance]]),IFERROR(-IPMT(InterestRate/12,1,Amortization[[#This Row],['#
remaining]],D276),0)),0)</f>
        <v>798.39329738378296</v>
      </c>
      <c r="F275" s="235">
        <f ca="1">IFERROR(IF(AND(ValuesEntered,Amortization[[#This Row],[payment
date]]&lt;&gt;""),-PPMT(InterestRate/12,1,DurationOfLoan-ROWS($C$4:C275)+1,Amortization[[#This Row],[opening
balance]]),""),0)</f>
        <v>3240.9031684977003</v>
      </c>
      <c r="G275" s="235">
        <f ca="1">IF(Amortization[[#This Row],[payment
date]]="",0,PropertyTaxAmount)</f>
        <v>375</v>
      </c>
      <c r="H275" s="235">
        <f ca="1">IF(Amortization[[#This Row],[payment
date]]="",0,Amortization[[#This Row],[interest]]+Amortization[[#This Row],[principal]]+Amortization[[#This Row],[property
tax]])</f>
        <v>4414.2964658814835</v>
      </c>
      <c r="I275" s="235">
        <f ca="1">IF(Amortization[[#This Row],[payment
date]]="",0,Amortization[[#This Row],[opening
balance]]-Amortization[[#This Row],[principal]])</f>
        <v>319357.31895351317</v>
      </c>
      <c r="J275" s="247">
        <f ca="1">IF(Amortization[[#This Row],[closing
balance]]&gt;0,LastRow-ROW(),0)</f>
        <v>88</v>
      </c>
    </row>
    <row r="276" spans="2:10" ht="15" customHeight="1" x14ac:dyDescent="0.25">
      <c r="B276" s="249">
        <f>ROWS($B$4:B276)</f>
        <v>273</v>
      </c>
      <c r="C276" s="248">
        <f ca="1">IF(ValuesEntered,IF(Amortization[[#This Row],['#]]&lt;=DurationOfLoan,IF(ROW()-ROW(Amortization[[#Headers],[payment
date]])=1,LoanStart,IF(I275&gt;0,EDATE(C275,1),"")),""),"")</f>
        <v>53337</v>
      </c>
      <c r="D276" s="235">
        <f ca="1">IF(ROW()-ROW(Amortization[[#Headers],[opening
balance]])=1,LoanAmount,IF(Amortization[[#This Row],[payment
date]]="",0,INDEX(Amortization[], ROW()-4,8)))</f>
        <v>319357.31895351317</v>
      </c>
      <c r="E276" s="235">
        <f ca="1">IF(ValuesEntered,IF(ROW()-ROW(Amortization[[#Headers],[interest]])=1,-IPMT(InterestRate/12,1,DurationOfLoan-ROWS($C$4:C276)+1,Amortization[[#This Row],[opening
balance]]),IFERROR(-IPMT(InterestRate/12,1,Amortization[[#This Row],['#
remaining]],D277),0)),0)</f>
        <v>790.27078381773549</v>
      </c>
      <c r="F276" s="235">
        <f ca="1">IFERROR(IF(AND(ValuesEntered,Amortization[[#This Row],[payment
date]]&lt;&gt;""),-PPMT(InterestRate/12,1,DurationOfLoan-ROWS($C$4:C276)+1,Amortization[[#This Row],[opening
balance]]),""),0)</f>
        <v>3249.0054264189448</v>
      </c>
      <c r="G276" s="235">
        <f ca="1">IF(Amortization[[#This Row],[payment
date]]="",0,PropertyTaxAmount)</f>
        <v>375</v>
      </c>
      <c r="H276" s="235">
        <f ca="1">IF(Amortization[[#This Row],[payment
date]]="",0,Amortization[[#This Row],[interest]]+Amortization[[#This Row],[principal]]+Amortization[[#This Row],[property
tax]])</f>
        <v>4414.2762102366805</v>
      </c>
      <c r="I276" s="235">
        <f ca="1">IF(Amortization[[#This Row],[payment
date]]="",0,Amortization[[#This Row],[opening
balance]]-Amortization[[#This Row],[principal]])</f>
        <v>316108.3135270942</v>
      </c>
      <c r="J276" s="247">
        <f ca="1">IF(Amortization[[#This Row],[closing
balance]]&gt;0,LastRow-ROW(),0)</f>
        <v>87</v>
      </c>
    </row>
    <row r="277" spans="2:10" ht="15" customHeight="1" x14ac:dyDescent="0.25">
      <c r="B277" s="249">
        <f>ROWS($B$4:B277)</f>
        <v>274</v>
      </c>
      <c r="C277" s="248">
        <f ca="1">IF(ValuesEntered,IF(Amortization[[#This Row],['#]]&lt;=DurationOfLoan,IF(ROW()-ROW(Amortization[[#Headers],[payment
date]])=1,LoanStart,IF(I276&gt;0,EDATE(C276,1),"")),""),"")</f>
        <v>53368</v>
      </c>
      <c r="D277" s="235">
        <f ca="1">IF(ROW()-ROW(Amortization[[#Headers],[opening
balance]])=1,LoanAmount,IF(Amortization[[#This Row],[payment
date]]="",0,INDEX(Amortization[], ROW()-4,8)))</f>
        <v>316108.3135270942</v>
      </c>
      <c r="E277" s="235">
        <f ca="1">IF(ValuesEntered,IF(ROW()-ROW(Amortization[[#Headers],[interest]])=1,-IPMT(InterestRate/12,1,DurationOfLoan-ROWS($C$4:C277)+1,Amortization[[#This Row],[opening
balance]]),IFERROR(-IPMT(InterestRate/12,1,Amortization[[#This Row],['#
remaining]],D278),0)),0)</f>
        <v>782.12796396777298</v>
      </c>
      <c r="F277" s="235">
        <f ca="1">IFERROR(IF(AND(ValuesEntered,Amortization[[#This Row],[payment
date]]&lt;&gt;""),-PPMT(InterestRate/12,1,DurationOfLoan-ROWS($C$4:C277)+1,Amortization[[#This Row],[opening
balance]]),""),0)</f>
        <v>3257.1279399849918</v>
      </c>
      <c r="G277" s="235">
        <f ca="1">IF(Amortization[[#This Row],[payment
date]]="",0,PropertyTaxAmount)</f>
        <v>375</v>
      </c>
      <c r="H277" s="235">
        <f ca="1">IF(Amortization[[#This Row],[payment
date]]="",0,Amortization[[#This Row],[interest]]+Amortization[[#This Row],[principal]]+Amortization[[#This Row],[property
tax]])</f>
        <v>4414.255903952765</v>
      </c>
      <c r="I277" s="235">
        <f ca="1">IF(Amortization[[#This Row],[payment
date]]="",0,Amortization[[#This Row],[opening
balance]]-Amortization[[#This Row],[principal]])</f>
        <v>312851.18558710918</v>
      </c>
      <c r="J277" s="247">
        <f ca="1">IF(Amortization[[#This Row],[closing
balance]]&gt;0,LastRow-ROW(),0)</f>
        <v>86</v>
      </c>
    </row>
    <row r="278" spans="2:10" ht="15" customHeight="1" x14ac:dyDescent="0.25">
      <c r="B278" s="249">
        <f>ROWS($B$4:B278)</f>
        <v>275</v>
      </c>
      <c r="C278" s="248">
        <f ca="1">IF(ValuesEntered,IF(Amortization[[#This Row],['#]]&lt;=DurationOfLoan,IF(ROW()-ROW(Amortization[[#Headers],[payment
date]])=1,LoanStart,IF(I277&gt;0,EDATE(C277,1),"")),""),"")</f>
        <v>53396</v>
      </c>
      <c r="D278" s="235">
        <f ca="1">IF(ROW()-ROW(Amortization[[#Headers],[opening
balance]])=1,LoanAmount,IF(Amortization[[#This Row],[payment
date]]="",0,INDEX(Amortization[], ROW()-4,8)))</f>
        <v>312851.18558710918</v>
      </c>
      <c r="E278" s="235">
        <f ca="1">IF(ValuesEntered,IF(ROW()-ROW(Amortization[[#Headers],[interest]])=1,-IPMT(InterestRate/12,1,DurationOfLoan-ROWS($C$4:C278)+1,Amortization[[#This Row],[opening
balance]]),IFERROR(-IPMT(InterestRate/12,1,Amortization[[#This Row],['#
remaining]],D279),0)),0)</f>
        <v>773.96478706818561</v>
      </c>
      <c r="F278" s="235">
        <f ca="1">IFERROR(IF(AND(ValuesEntered,Amortization[[#This Row],[payment
date]]&lt;&gt;""),-PPMT(InterestRate/12,1,DurationOfLoan-ROWS($C$4:C278)+1,Amortization[[#This Row],[opening
balance]]),""),0)</f>
        <v>3265.2707598349539</v>
      </c>
      <c r="G278" s="235">
        <f ca="1">IF(Amortization[[#This Row],[payment
date]]="",0,PropertyTaxAmount)</f>
        <v>375</v>
      </c>
      <c r="H278" s="235">
        <f ca="1">IF(Amortization[[#This Row],[payment
date]]="",0,Amortization[[#This Row],[interest]]+Amortization[[#This Row],[principal]]+Amortization[[#This Row],[property
tax]])</f>
        <v>4414.235546903139</v>
      </c>
      <c r="I278" s="235">
        <f ca="1">IF(Amortization[[#This Row],[payment
date]]="",0,Amortization[[#This Row],[opening
balance]]-Amortization[[#This Row],[principal]])</f>
        <v>309585.91482727422</v>
      </c>
      <c r="J278" s="247">
        <f ca="1">IF(Amortization[[#This Row],[closing
balance]]&gt;0,LastRow-ROW(),0)</f>
        <v>85</v>
      </c>
    </row>
    <row r="279" spans="2:10" ht="15" customHeight="1" x14ac:dyDescent="0.25">
      <c r="B279" s="249">
        <f>ROWS($B$4:B279)</f>
        <v>276</v>
      </c>
      <c r="C279" s="248">
        <f ca="1">IF(ValuesEntered,IF(Amortization[[#This Row],['#]]&lt;=DurationOfLoan,IF(ROW()-ROW(Amortization[[#Headers],[payment
date]])=1,LoanStart,IF(I278&gt;0,EDATE(C278,1),"")),""),"")</f>
        <v>53427</v>
      </c>
      <c r="D279" s="235">
        <f ca="1">IF(ROW()-ROW(Amortization[[#Headers],[opening
balance]])=1,LoanAmount,IF(Amortization[[#This Row],[payment
date]]="",0,INDEX(Amortization[], ROW()-4,8)))</f>
        <v>309585.91482727422</v>
      </c>
      <c r="E279" s="235">
        <f ca="1">IF(ValuesEntered,IF(ROW()-ROW(Amortization[[#Headers],[interest]])=1,-IPMT(InterestRate/12,1,DurationOfLoan-ROWS($C$4:C279)+1,Amortization[[#This Row],[opening
balance]]),IFERROR(-IPMT(InterestRate/12,1,Amortization[[#This Row],['#
remaining]],D280),0)),0)</f>
        <v>765.78120222634914</v>
      </c>
      <c r="F279" s="235">
        <f ca="1">IFERROR(IF(AND(ValuesEntered,Amortization[[#This Row],[payment
date]]&lt;&gt;""),-PPMT(InterestRate/12,1,DurationOfLoan-ROWS($C$4:C279)+1,Amortization[[#This Row],[opening
balance]]),""),0)</f>
        <v>3273.4339367345415</v>
      </c>
      <c r="G279" s="235">
        <f ca="1">IF(Amortization[[#This Row],[payment
date]]="",0,PropertyTaxAmount)</f>
        <v>375</v>
      </c>
      <c r="H279" s="235">
        <f ca="1">IF(Amortization[[#This Row],[payment
date]]="",0,Amortization[[#This Row],[interest]]+Amortization[[#This Row],[principal]]+Amortization[[#This Row],[property
tax]])</f>
        <v>4414.2151389608907</v>
      </c>
      <c r="I279" s="235">
        <f ca="1">IF(Amortization[[#This Row],[payment
date]]="",0,Amortization[[#This Row],[opening
balance]]-Amortization[[#This Row],[principal]])</f>
        <v>306312.48089053965</v>
      </c>
      <c r="J279" s="247">
        <f ca="1">IF(Amortization[[#This Row],[closing
balance]]&gt;0,LastRow-ROW(),0)</f>
        <v>84</v>
      </c>
    </row>
    <row r="280" spans="2:10" ht="15" customHeight="1" x14ac:dyDescent="0.25">
      <c r="B280" s="249">
        <f>ROWS($B$4:B280)</f>
        <v>277</v>
      </c>
      <c r="C280" s="248">
        <f ca="1">IF(ValuesEntered,IF(Amortization[[#This Row],['#]]&lt;=DurationOfLoan,IF(ROW()-ROW(Amortization[[#Headers],[payment
date]])=1,LoanStart,IF(I279&gt;0,EDATE(C279,1),"")),""),"")</f>
        <v>53457</v>
      </c>
      <c r="D280" s="235">
        <f ca="1">IF(ROW()-ROW(Amortization[[#Headers],[opening
balance]])=1,LoanAmount,IF(Amortization[[#This Row],[payment
date]]="",0,INDEX(Amortization[], ROW()-4,8)))</f>
        <v>306312.48089053965</v>
      </c>
      <c r="E280" s="235">
        <f ca="1">IF(ValuesEntered,IF(ROW()-ROW(Amortization[[#Headers],[interest]])=1,-IPMT(InterestRate/12,1,DurationOfLoan-ROWS($C$4:C280)+1,Amortization[[#This Row],[opening
balance]]),IFERROR(-IPMT(InterestRate/12,1,Amortization[[#This Row],['#
remaining]],D281),0)),0)</f>
        <v>757.57715842240827</v>
      </c>
      <c r="F280" s="235">
        <f ca="1">IFERROR(IF(AND(ValuesEntered,Amortization[[#This Row],[payment
date]]&lt;&gt;""),-PPMT(InterestRate/12,1,DurationOfLoan-ROWS($C$4:C280)+1,Amortization[[#This Row],[opening
balance]]),""),0)</f>
        <v>3281.6175215763769</v>
      </c>
      <c r="G280" s="235">
        <f ca="1">IF(Amortization[[#This Row],[payment
date]]="",0,PropertyTaxAmount)</f>
        <v>375</v>
      </c>
      <c r="H280" s="235">
        <f ca="1">IF(Amortization[[#This Row],[payment
date]]="",0,Amortization[[#This Row],[interest]]+Amortization[[#This Row],[principal]]+Amortization[[#This Row],[property
tax]])</f>
        <v>4414.1946799987854</v>
      </c>
      <c r="I280" s="235">
        <f ca="1">IF(Amortization[[#This Row],[payment
date]]="",0,Amortization[[#This Row],[opening
balance]]-Amortization[[#This Row],[principal]])</f>
        <v>303030.8633689633</v>
      </c>
      <c r="J280" s="247">
        <f ca="1">IF(Amortization[[#This Row],[closing
balance]]&gt;0,LastRow-ROW(),0)</f>
        <v>83</v>
      </c>
    </row>
    <row r="281" spans="2:10" ht="15" customHeight="1" x14ac:dyDescent="0.25">
      <c r="B281" s="249">
        <f>ROWS($B$4:B281)</f>
        <v>278</v>
      </c>
      <c r="C281" s="248">
        <f ca="1">IF(ValuesEntered,IF(Amortization[[#This Row],['#]]&lt;=DurationOfLoan,IF(ROW()-ROW(Amortization[[#Headers],[payment
date]])=1,LoanStart,IF(I280&gt;0,EDATE(C280,1),"")),""),"")</f>
        <v>53488</v>
      </c>
      <c r="D281" s="235">
        <f ca="1">IF(ROW()-ROW(Amortization[[#Headers],[opening
balance]])=1,LoanAmount,IF(Amortization[[#This Row],[payment
date]]="",0,INDEX(Amortization[], ROW()-4,8)))</f>
        <v>303030.8633689633</v>
      </c>
      <c r="E281" s="235">
        <f ca="1">IF(ValuesEntered,IF(ROW()-ROW(Amortization[[#Headers],[interest]])=1,-IPMT(InterestRate/12,1,DurationOfLoan-ROWS($C$4:C281)+1,Amortization[[#This Row],[opening
balance]]),IFERROR(-IPMT(InterestRate/12,1,Amortization[[#This Row],['#
remaining]],D282),0)),0)</f>
        <v>749.35260450895748</v>
      </c>
      <c r="F281" s="235">
        <f ca="1">IFERROR(IF(AND(ValuesEntered,Amortization[[#This Row],[payment
date]]&lt;&gt;""),-PPMT(InterestRate/12,1,DurationOfLoan-ROWS($C$4:C281)+1,Amortization[[#This Row],[opening
balance]]),""),0)</f>
        <v>3289.8215653803181</v>
      </c>
      <c r="G281" s="235">
        <f ca="1">IF(Amortization[[#This Row],[payment
date]]="",0,PropertyTaxAmount)</f>
        <v>375</v>
      </c>
      <c r="H281" s="235">
        <f ca="1">IF(Amortization[[#This Row],[payment
date]]="",0,Amortization[[#This Row],[interest]]+Amortization[[#This Row],[principal]]+Amortization[[#This Row],[property
tax]])</f>
        <v>4414.1741698892756</v>
      </c>
      <c r="I281" s="235">
        <f ca="1">IF(Amortization[[#This Row],[payment
date]]="",0,Amortization[[#This Row],[opening
balance]]-Amortization[[#This Row],[principal]])</f>
        <v>299741.04180358298</v>
      </c>
      <c r="J281" s="247">
        <f ca="1">IF(Amortization[[#This Row],[closing
balance]]&gt;0,LastRow-ROW(),0)</f>
        <v>82</v>
      </c>
    </row>
    <row r="282" spans="2:10" ht="15" customHeight="1" x14ac:dyDescent="0.25">
      <c r="B282" s="249">
        <f>ROWS($B$4:B282)</f>
        <v>279</v>
      </c>
      <c r="C282" s="248">
        <f ca="1">IF(ValuesEntered,IF(Amortization[[#This Row],['#]]&lt;=DurationOfLoan,IF(ROW()-ROW(Amortization[[#Headers],[payment
date]])=1,LoanStart,IF(I281&gt;0,EDATE(C281,1),"")),""),"")</f>
        <v>53518</v>
      </c>
      <c r="D282" s="235">
        <f ca="1">IF(ROW()-ROW(Amortization[[#Headers],[opening
balance]])=1,LoanAmount,IF(Amortization[[#This Row],[payment
date]]="",0,INDEX(Amortization[], ROW()-4,8)))</f>
        <v>299741.04180358298</v>
      </c>
      <c r="E282" s="235">
        <f ca="1">IF(ValuesEntered,IF(ROW()-ROW(Amortization[[#Headers],[interest]])=1,-IPMT(InterestRate/12,1,DurationOfLoan-ROWS($C$4:C282)+1,Amortization[[#This Row],[opening
balance]]),IFERROR(-IPMT(InterestRate/12,1,Amortization[[#This Row],['#
remaining]],D283),0)),0)</f>
        <v>741.10748921072297</v>
      </c>
      <c r="F282" s="235">
        <f ca="1">IFERROR(IF(AND(ValuesEntered,Amortization[[#This Row],[payment
date]]&lt;&gt;""),-PPMT(InterestRate/12,1,DurationOfLoan-ROWS($C$4:C282)+1,Amortization[[#This Row],[opening
balance]]),""),0)</f>
        <v>3298.0461192937687</v>
      </c>
      <c r="G282" s="235">
        <f ca="1">IF(Amortization[[#This Row],[payment
date]]="",0,PropertyTaxAmount)</f>
        <v>375</v>
      </c>
      <c r="H282" s="235">
        <f ca="1">IF(Amortization[[#This Row],[payment
date]]="",0,Amortization[[#This Row],[interest]]+Amortization[[#This Row],[principal]]+Amortization[[#This Row],[property
tax]])</f>
        <v>4414.1536085044918</v>
      </c>
      <c r="I282" s="235">
        <f ca="1">IF(Amortization[[#This Row],[payment
date]]="",0,Amortization[[#This Row],[opening
balance]]-Amortization[[#This Row],[principal]])</f>
        <v>296442.9956842892</v>
      </c>
      <c r="J282" s="247">
        <f ca="1">IF(Amortization[[#This Row],[closing
balance]]&gt;0,LastRow-ROW(),0)</f>
        <v>81</v>
      </c>
    </row>
    <row r="283" spans="2:10" ht="15" customHeight="1" x14ac:dyDescent="0.25">
      <c r="B283" s="249">
        <f>ROWS($B$4:B283)</f>
        <v>280</v>
      </c>
      <c r="C283" s="248">
        <f ca="1">IF(ValuesEntered,IF(Amortization[[#This Row],['#]]&lt;=DurationOfLoan,IF(ROW()-ROW(Amortization[[#Headers],[payment
date]])=1,LoanStart,IF(I282&gt;0,EDATE(C282,1),"")),""),"")</f>
        <v>53549</v>
      </c>
      <c r="D283" s="235">
        <f ca="1">IF(ROW()-ROW(Amortization[[#Headers],[opening
balance]])=1,LoanAmount,IF(Amortization[[#This Row],[payment
date]]="",0,INDEX(Amortization[], ROW()-4,8)))</f>
        <v>296442.9956842892</v>
      </c>
      <c r="E283" s="235">
        <f ca="1">IF(ValuesEntered,IF(ROW()-ROW(Amortization[[#Headers],[interest]])=1,-IPMT(InterestRate/12,1,DurationOfLoan-ROWS($C$4:C283)+1,Amortization[[#This Row],[opening
balance]]),IFERROR(-IPMT(InterestRate/12,1,Amortization[[#This Row],['#
remaining]],D284),0)),0)</f>
        <v>732.84176112424302</v>
      </c>
      <c r="F283" s="235">
        <f ca="1">IFERROR(IF(AND(ValuesEntered,Amortization[[#This Row],[payment
date]]&lt;&gt;""),-PPMT(InterestRate/12,1,DurationOfLoan-ROWS($C$4:C283)+1,Amortization[[#This Row],[opening
balance]]),""),0)</f>
        <v>3306.291234592004</v>
      </c>
      <c r="G283" s="235">
        <f ca="1">IF(Amortization[[#This Row],[payment
date]]="",0,PropertyTaxAmount)</f>
        <v>375</v>
      </c>
      <c r="H283" s="235">
        <f ca="1">IF(Amortization[[#This Row],[payment
date]]="",0,Amortization[[#This Row],[interest]]+Amortization[[#This Row],[principal]]+Amortization[[#This Row],[property
tax]])</f>
        <v>4414.132995716247</v>
      </c>
      <c r="I283" s="235">
        <f ca="1">IF(Amortization[[#This Row],[payment
date]]="",0,Amortization[[#This Row],[opening
balance]]-Amortization[[#This Row],[principal]])</f>
        <v>293136.70444969722</v>
      </c>
      <c r="J283" s="247">
        <f ca="1">IF(Amortization[[#This Row],[closing
balance]]&gt;0,LastRow-ROW(),0)</f>
        <v>80</v>
      </c>
    </row>
    <row r="284" spans="2:10" ht="15" customHeight="1" x14ac:dyDescent="0.25">
      <c r="B284" s="249">
        <f>ROWS($B$4:B284)</f>
        <v>281</v>
      </c>
      <c r="C284" s="248">
        <f ca="1">IF(ValuesEntered,IF(Amortization[[#This Row],['#]]&lt;=DurationOfLoan,IF(ROW()-ROW(Amortization[[#Headers],[payment
date]])=1,LoanStart,IF(I283&gt;0,EDATE(C283,1),"")),""),"")</f>
        <v>53580</v>
      </c>
      <c r="D284" s="235">
        <f ca="1">IF(ROW()-ROW(Amortization[[#Headers],[opening
balance]])=1,LoanAmount,IF(Amortization[[#This Row],[payment
date]]="",0,INDEX(Amortization[], ROW()-4,8)))</f>
        <v>293136.70444969722</v>
      </c>
      <c r="E284" s="235">
        <f ca="1">IF(ValuesEntered,IF(ROW()-ROW(Amortization[[#Headers],[interest]])=1,-IPMT(InterestRate/12,1,DurationOfLoan-ROWS($C$4:C284)+1,Amortization[[#This Row],[opening
balance]]),IFERROR(-IPMT(InterestRate/12,1,Amortization[[#This Row],['#
remaining]],D285),0)),0)</f>
        <v>724.5553687175468</v>
      </c>
      <c r="F284" s="235">
        <f ca="1">IFERROR(IF(AND(ValuesEntered,Amortization[[#This Row],[payment
date]]&lt;&gt;""),-PPMT(InterestRate/12,1,DurationOfLoan-ROWS($C$4:C284)+1,Amortization[[#This Row],[opening
balance]]),""),0)</f>
        <v>3314.5569626784845</v>
      </c>
      <c r="G284" s="235">
        <f ca="1">IF(Amortization[[#This Row],[payment
date]]="",0,PropertyTaxAmount)</f>
        <v>375</v>
      </c>
      <c r="H284" s="235">
        <f ca="1">IF(Amortization[[#This Row],[payment
date]]="",0,Amortization[[#This Row],[interest]]+Amortization[[#This Row],[principal]]+Amortization[[#This Row],[property
tax]])</f>
        <v>4414.1123313960315</v>
      </c>
      <c r="I284" s="235">
        <f ca="1">IF(Amortization[[#This Row],[payment
date]]="",0,Amortization[[#This Row],[opening
balance]]-Amortization[[#This Row],[principal]])</f>
        <v>289822.14748701872</v>
      </c>
      <c r="J284" s="247">
        <f ca="1">IF(Amortization[[#This Row],[closing
balance]]&gt;0,LastRow-ROW(),0)</f>
        <v>79</v>
      </c>
    </row>
    <row r="285" spans="2:10" ht="15" customHeight="1" x14ac:dyDescent="0.25">
      <c r="B285" s="249">
        <f>ROWS($B$4:B285)</f>
        <v>282</v>
      </c>
      <c r="C285" s="248">
        <f ca="1">IF(ValuesEntered,IF(Amortization[[#This Row],['#]]&lt;=DurationOfLoan,IF(ROW()-ROW(Amortization[[#Headers],[payment
date]])=1,LoanStart,IF(I284&gt;0,EDATE(C284,1),"")),""),"")</f>
        <v>53610</v>
      </c>
      <c r="D285" s="235">
        <f ca="1">IF(ROW()-ROW(Amortization[[#Headers],[opening
balance]])=1,LoanAmount,IF(Amortization[[#This Row],[payment
date]]="",0,INDEX(Amortization[], ROW()-4,8)))</f>
        <v>289822.14748701872</v>
      </c>
      <c r="E285" s="235">
        <f ca="1">IF(ValuesEntered,IF(ROW()-ROW(Amortization[[#Headers],[interest]])=1,-IPMT(InterestRate/12,1,DurationOfLoan-ROWS($C$4:C285)+1,Amortization[[#This Row],[opening
balance]]),IFERROR(-IPMT(InterestRate/12,1,Amortization[[#This Row],['#
remaining]],D286),0)),0)</f>
        <v>716.2482603298339</v>
      </c>
      <c r="F285" s="235">
        <f ca="1">IFERROR(IF(AND(ValuesEntered,Amortization[[#This Row],[payment
date]]&lt;&gt;""),-PPMT(InterestRate/12,1,DurationOfLoan-ROWS($C$4:C285)+1,Amortization[[#This Row],[opening
balance]]),""),0)</f>
        <v>3322.8433550851792</v>
      </c>
      <c r="G285" s="235">
        <f ca="1">IF(Amortization[[#This Row],[payment
date]]="",0,PropertyTaxAmount)</f>
        <v>375</v>
      </c>
      <c r="H285" s="235">
        <f ca="1">IF(Amortization[[#This Row],[payment
date]]="",0,Amortization[[#This Row],[interest]]+Amortization[[#This Row],[principal]]+Amortization[[#This Row],[property
tax]])</f>
        <v>4414.0916154150127</v>
      </c>
      <c r="I285" s="235">
        <f ca="1">IF(Amortization[[#This Row],[payment
date]]="",0,Amortization[[#This Row],[opening
balance]]-Amortization[[#This Row],[principal]])</f>
        <v>286499.30413193355</v>
      </c>
      <c r="J285" s="247">
        <f ca="1">IF(Amortization[[#This Row],[closing
balance]]&gt;0,LastRow-ROW(),0)</f>
        <v>78</v>
      </c>
    </row>
    <row r="286" spans="2:10" ht="15" customHeight="1" x14ac:dyDescent="0.25">
      <c r="B286" s="249">
        <f>ROWS($B$4:B286)</f>
        <v>283</v>
      </c>
      <c r="C286" s="248">
        <f ca="1">IF(ValuesEntered,IF(Amortization[[#This Row],['#]]&lt;=DurationOfLoan,IF(ROW()-ROW(Amortization[[#Headers],[payment
date]])=1,LoanStart,IF(I285&gt;0,EDATE(C285,1),"")),""),"")</f>
        <v>53641</v>
      </c>
      <c r="D286" s="235">
        <f ca="1">IF(ROW()-ROW(Amortization[[#Headers],[opening
balance]])=1,LoanAmount,IF(Amortization[[#This Row],[payment
date]]="",0,INDEX(Amortization[], ROW()-4,8)))</f>
        <v>286499.30413193355</v>
      </c>
      <c r="E286" s="235">
        <f ca="1">IF(ValuesEntered,IF(ROW()-ROW(Amortization[[#Headers],[interest]])=1,-IPMT(InterestRate/12,1,DurationOfLoan-ROWS($C$4:C286)+1,Amortization[[#This Row],[opening
balance]]),IFERROR(-IPMT(InterestRate/12,1,Amortization[[#This Row],['#
remaining]],D287),0)),0)</f>
        <v>707.92038417115168</v>
      </c>
      <c r="F286" s="235">
        <f ca="1">IFERROR(IF(AND(ValuesEntered,Amortization[[#This Row],[payment
date]]&lt;&gt;""),-PPMT(InterestRate/12,1,DurationOfLoan-ROWS($C$4:C286)+1,Amortization[[#This Row],[opening
balance]]),""),0)</f>
        <v>3331.1504634728931</v>
      </c>
      <c r="G286" s="235">
        <f ca="1">IF(Amortization[[#This Row],[payment
date]]="",0,PropertyTaxAmount)</f>
        <v>375</v>
      </c>
      <c r="H286" s="235">
        <f ca="1">IF(Amortization[[#This Row],[payment
date]]="",0,Amortization[[#This Row],[interest]]+Amortization[[#This Row],[principal]]+Amortization[[#This Row],[property
tax]])</f>
        <v>4414.070847644045</v>
      </c>
      <c r="I286" s="235">
        <f ca="1">IF(Amortization[[#This Row],[payment
date]]="",0,Amortization[[#This Row],[opening
balance]]-Amortization[[#This Row],[principal]])</f>
        <v>283168.15366846067</v>
      </c>
      <c r="J286" s="247">
        <f ca="1">IF(Amortization[[#This Row],[closing
balance]]&gt;0,LastRow-ROW(),0)</f>
        <v>77</v>
      </c>
    </row>
    <row r="287" spans="2:10" ht="15" customHeight="1" x14ac:dyDescent="0.25">
      <c r="B287" s="249">
        <f>ROWS($B$4:B287)</f>
        <v>284</v>
      </c>
      <c r="C287" s="248">
        <f ca="1">IF(ValuesEntered,IF(Amortization[[#This Row],['#]]&lt;=DurationOfLoan,IF(ROW()-ROW(Amortization[[#Headers],[payment
date]])=1,LoanStart,IF(I286&gt;0,EDATE(C286,1),"")),""),"")</f>
        <v>53671</v>
      </c>
      <c r="D287" s="235">
        <f ca="1">IF(ROW()-ROW(Amortization[[#Headers],[opening
balance]])=1,LoanAmount,IF(Amortization[[#This Row],[payment
date]]="",0,INDEX(Amortization[], ROW()-4,8)))</f>
        <v>283168.15366846067</v>
      </c>
      <c r="E287" s="235">
        <f ca="1">IF(ValuesEntered,IF(ROW()-ROW(Amortization[[#Headers],[interest]])=1,-IPMT(InterestRate/12,1,DurationOfLoan-ROWS($C$4:C287)+1,Amortization[[#This Row],[opening
balance]]),IFERROR(-IPMT(InterestRate/12,1,Amortization[[#This Row],['#
remaining]],D288),0)),0)</f>
        <v>699.57168832207276</v>
      </c>
      <c r="F287" s="235">
        <f ca="1">IFERROR(IF(AND(ValuesEntered,Amortization[[#This Row],[payment
date]]&lt;&gt;""),-PPMT(InterestRate/12,1,DurationOfLoan-ROWS($C$4:C287)+1,Amortization[[#This Row],[opening
balance]]),""),0)</f>
        <v>3339.4783396315752</v>
      </c>
      <c r="G287" s="235">
        <f ca="1">IF(Amortization[[#This Row],[payment
date]]="",0,PropertyTaxAmount)</f>
        <v>375</v>
      </c>
      <c r="H287" s="235">
        <f ca="1">IF(Amortization[[#This Row],[payment
date]]="",0,Amortization[[#This Row],[interest]]+Amortization[[#This Row],[principal]]+Amortization[[#This Row],[property
tax]])</f>
        <v>4414.0500279536482</v>
      </c>
      <c r="I287" s="235">
        <f ca="1">IF(Amortization[[#This Row],[payment
date]]="",0,Amortization[[#This Row],[opening
balance]]-Amortization[[#This Row],[principal]])</f>
        <v>279828.67532882909</v>
      </c>
      <c r="J287" s="247">
        <f ca="1">IF(Amortization[[#This Row],[closing
balance]]&gt;0,LastRow-ROW(),0)</f>
        <v>76</v>
      </c>
    </row>
    <row r="288" spans="2:10" ht="15" customHeight="1" x14ac:dyDescent="0.25">
      <c r="B288" s="249">
        <f>ROWS($B$4:B288)</f>
        <v>285</v>
      </c>
      <c r="C288" s="248">
        <f ca="1">IF(ValuesEntered,IF(Amortization[[#This Row],['#]]&lt;=DurationOfLoan,IF(ROW()-ROW(Amortization[[#Headers],[payment
date]])=1,LoanStart,IF(I287&gt;0,EDATE(C287,1),"")),""),"")</f>
        <v>53702</v>
      </c>
      <c r="D288" s="235">
        <f ca="1">IF(ROW()-ROW(Amortization[[#Headers],[opening
balance]])=1,LoanAmount,IF(Amortization[[#This Row],[payment
date]]="",0,INDEX(Amortization[], ROW()-4,8)))</f>
        <v>279828.67532882909</v>
      </c>
      <c r="E288" s="235">
        <f ca="1">IF(ValuesEntered,IF(ROW()-ROW(Amortization[[#Headers],[interest]])=1,-IPMT(InterestRate/12,1,DurationOfLoan-ROWS($C$4:C288)+1,Amortization[[#This Row],[opening
balance]]),IFERROR(-IPMT(InterestRate/12,1,Amortization[[#This Row],['#
remaining]],D289),0)),0)</f>
        <v>691.20212073337109</v>
      </c>
      <c r="F288" s="235">
        <f ca="1">IFERROR(IF(AND(ValuesEntered,Amortization[[#This Row],[payment
date]]&lt;&gt;""),-PPMT(InterestRate/12,1,DurationOfLoan-ROWS($C$4:C288)+1,Amortization[[#This Row],[opening
balance]]),""),0)</f>
        <v>3347.8270354806541</v>
      </c>
      <c r="G288" s="235">
        <f ca="1">IF(Amortization[[#This Row],[payment
date]]="",0,PropertyTaxAmount)</f>
        <v>375</v>
      </c>
      <c r="H288" s="235">
        <f ca="1">IF(Amortization[[#This Row],[payment
date]]="",0,Amortization[[#This Row],[interest]]+Amortization[[#This Row],[principal]]+Amortization[[#This Row],[property
tax]])</f>
        <v>4414.0291562140246</v>
      </c>
      <c r="I288" s="235">
        <f ca="1">IF(Amortization[[#This Row],[payment
date]]="",0,Amortization[[#This Row],[opening
balance]]-Amortization[[#This Row],[principal]])</f>
        <v>276480.84829334845</v>
      </c>
      <c r="J288" s="247">
        <f ca="1">IF(Amortization[[#This Row],[closing
balance]]&gt;0,LastRow-ROW(),0)</f>
        <v>75</v>
      </c>
    </row>
    <row r="289" spans="2:10" ht="15" customHeight="1" x14ac:dyDescent="0.25">
      <c r="B289" s="249">
        <f>ROWS($B$4:B289)</f>
        <v>286</v>
      </c>
      <c r="C289" s="248">
        <f ca="1">IF(ValuesEntered,IF(Amortization[[#This Row],['#]]&lt;=DurationOfLoan,IF(ROW()-ROW(Amortization[[#Headers],[payment
date]])=1,LoanStart,IF(I288&gt;0,EDATE(C288,1),"")),""),"")</f>
        <v>53733</v>
      </c>
      <c r="D289" s="235">
        <f ca="1">IF(ROW()-ROW(Amortization[[#Headers],[opening
balance]])=1,LoanAmount,IF(Amortization[[#This Row],[payment
date]]="",0,INDEX(Amortization[], ROW()-4,8)))</f>
        <v>276480.84829334845</v>
      </c>
      <c r="E289" s="235">
        <f ca="1">IF(ValuesEntered,IF(ROW()-ROW(Amortization[[#Headers],[interest]])=1,-IPMT(InterestRate/12,1,DurationOfLoan-ROWS($C$4:C289)+1,Amortization[[#This Row],[opening
balance]]),IFERROR(-IPMT(InterestRate/12,1,Amortization[[#This Row],['#
remaining]],D290),0)),0)</f>
        <v>682.81162922569774</v>
      </c>
      <c r="F289" s="235">
        <f ca="1">IFERROR(IF(AND(ValuesEntered,Amortization[[#This Row],[payment
date]]&lt;&gt;""),-PPMT(InterestRate/12,1,DurationOfLoan-ROWS($C$4:C289)+1,Amortization[[#This Row],[opening
balance]]),""),0)</f>
        <v>3356.1966030693561</v>
      </c>
      <c r="G289" s="235">
        <f ca="1">IF(Amortization[[#This Row],[payment
date]]="",0,PropertyTaxAmount)</f>
        <v>375</v>
      </c>
      <c r="H289" s="235">
        <f ca="1">IF(Amortization[[#This Row],[payment
date]]="",0,Amortization[[#This Row],[interest]]+Amortization[[#This Row],[principal]]+Amortization[[#This Row],[property
tax]])</f>
        <v>4414.0082322950539</v>
      </c>
      <c r="I289" s="235">
        <f ca="1">IF(Amortization[[#This Row],[payment
date]]="",0,Amortization[[#This Row],[opening
balance]]-Amortization[[#This Row],[principal]])</f>
        <v>273124.65169027908</v>
      </c>
      <c r="J289" s="247">
        <f ca="1">IF(Amortization[[#This Row],[closing
balance]]&gt;0,LastRow-ROW(),0)</f>
        <v>74</v>
      </c>
    </row>
    <row r="290" spans="2:10" ht="15" customHeight="1" x14ac:dyDescent="0.25">
      <c r="B290" s="249">
        <f>ROWS($B$4:B290)</f>
        <v>287</v>
      </c>
      <c r="C290" s="248">
        <f ca="1">IF(ValuesEntered,IF(Amortization[[#This Row],['#]]&lt;=DurationOfLoan,IF(ROW()-ROW(Amortization[[#Headers],[payment
date]])=1,LoanStart,IF(I289&gt;0,EDATE(C289,1),"")),""),"")</f>
        <v>53761</v>
      </c>
      <c r="D290" s="235">
        <f ca="1">IF(ROW()-ROW(Amortization[[#Headers],[opening
balance]])=1,LoanAmount,IF(Amortization[[#This Row],[payment
date]]="",0,INDEX(Amortization[], ROW()-4,8)))</f>
        <v>273124.65169027908</v>
      </c>
      <c r="E290" s="235">
        <f ca="1">IF(ValuesEntered,IF(ROW()-ROW(Amortization[[#Headers],[interest]])=1,-IPMT(InterestRate/12,1,DurationOfLoan-ROWS($C$4:C290)+1,Amortization[[#This Row],[opening
balance]]),IFERROR(-IPMT(InterestRate/12,1,Amortization[[#This Row],['#
remaining]],D291),0)),0)</f>
        <v>674.40016148925508</v>
      </c>
      <c r="F290" s="235">
        <f ca="1">IFERROR(IF(AND(ValuesEntered,Amortization[[#This Row],[payment
date]]&lt;&gt;""),-PPMT(InterestRate/12,1,DurationOfLoan-ROWS($C$4:C290)+1,Amortization[[#This Row],[opening
balance]]),""),0)</f>
        <v>3364.5870945770293</v>
      </c>
      <c r="G290" s="235">
        <f ca="1">IF(Amortization[[#This Row],[payment
date]]="",0,PropertyTaxAmount)</f>
        <v>375</v>
      </c>
      <c r="H290" s="235">
        <f ca="1">IF(Amortization[[#This Row],[payment
date]]="",0,Amortization[[#This Row],[interest]]+Amortization[[#This Row],[principal]]+Amortization[[#This Row],[property
tax]])</f>
        <v>4413.9872560662843</v>
      </c>
      <c r="I290" s="235">
        <f ca="1">IF(Amortization[[#This Row],[payment
date]]="",0,Amortization[[#This Row],[opening
balance]]-Amortization[[#This Row],[principal]])</f>
        <v>269760.06459570205</v>
      </c>
      <c r="J290" s="247">
        <f ca="1">IF(Amortization[[#This Row],[closing
balance]]&gt;0,LastRow-ROW(),0)</f>
        <v>73</v>
      </c>
    </row>
    <row r="291" spans="2:10" ht="15" customHeight="1" x14ac:dyDescent="0.25">
      <c r="B291" s="249">
        <f>ROWS($B$4:B291)</f>
        <v>288</v>
      </c>
      <c r="C291" s="248">
        <f ca="1">IF(ValuesEntered,IF(Amortization[[#This Row],['#]]&lt;=DurationOfLoan,IF(ROW()-ROW(Amortization[[#Headers],[payment
date]])=1,LoanStart,IF(I290&gt;0,EDATE(C290,1),"")),""),"")</f>
        <v>53792</v>
      </c>
      <c r="D291" s="235">
        <f ca="1">IF(ROW()-ROW(Amortization[[#Headers],[opening
balance]])=1,LoanAmount,IF(Amortization[[#This Row],[payment
date]]="",0,INDEX(Amortization[], ROW()-4,8)))</f>
        <v>269760.06459570205</v>
      </c>
      <c r="E291" s="235">
        <f ca="1">IF(ValuesEntered,IF(ROW()-ROW(Amortization[[#Headers],[interest]])=1,-IPMT(InterestRate/12,1,DurationOfLoan-ROWS($C$4:C291)+1,Amortization[[#This Row],[opening
balance]]),IFERROR(-IPMT(InterestRate/12,1,Amortization[[#This Row],['#
remaining]],D292),0)),0)</f>
        <v>665.96766508347139</v>
      </c>
      <c r="F291" s="235">
        <f ca="1">IFERROR(IF(AND(ValuesEntered,Amortization[[#This Row],[payment
date]]&lt;&gt;""),-PPMT(InterestRate/12,1,DurationOfLoan-ROWS($C$4:C291)+1,Amortization[[#This Row],[opening
balance]]),""),0)</f>
        <v>3372.9985623134721</v>
      </c>
      <c r="G291" s="235">
        <f ca="1">IF(Amortization[[#This Row],[payment
date]]="",0,PropertyTaxAmount)</f>
        <v>375</v>
      </c>
      <c r="H291" s="235">
        <f ca="1">IF(Amortization[[#This Row],[payment
date]]="",0,Amortization[[#This Row],[interest]]+Amortization[[#This Row],[principal]]+Amortization[[#This Row],[property
tax]])</f>
        <v>4413.9662273969434</v>
      </c>
      <c r="I291" s="235">
        <f ca="1">IF(Amortization[[#This Row],[payment
date]]="",0,Amortization[[#This Row],[opening
balance]]-Amortization[[#This Row],[principal]])</f>
        <v>266387.06603338855</v>
      </c>
      <c r="J291" s="247">
        <f ca="1">IF(Amortization[[#This Row],[closing
balance]]&gt;0,LastRow-ROW(),0)</f>
        <v>72</v>
      </c>
    </row>
    <row r="292" spans="2:10" ht="15" customHeight="1" x14ac:dyDescent="0.25">
      <c r="B292" s="249">
        <f>ROWS($B$4:B292)</f>
        <v>289</v>
      </c>
      <c r="C292" s="248">
        <f ca="1">IF(ValuesEntered,IF(Amortization[[#This Row],['#]]&lt;=DurationOfLoan,IF(ROW()-ROW(Amortization[[#Headers],[payment
date]])=1,LoanStart,IF(I291&gt;0,EDATE(C291,1),"")),""),"")</f>
        <v>53822</v>
      </c>
      <c r="D292" s="235">
        <f ca="1">IF(ROW()-ROW(Amortization[[#Headers],[opening
balance]])=1,LoanAmount,IF(Amortization[[#This Row],[payment
date]]="",0,INDEX(Amortization[], ROW()-4,8)))</f>
        <v>266387.06603338855</v>
      </c>
      <c r="E292" s="235">
        <f ca="1">IF(ValuesEntered,IF(ROW()-ROW(Amortization[[#Headers],[interest]])=1,-IPMT(InterestRate/12,1,DurationOfLoan-ROWS($C$4:C292)+1,Amortization[[#This Row],[opening
balance]]),IFERROR(-IPMT(InterestRate/12,1,Amortization[[#This Row],['#
remaining]],D293),0)),0)</f>
        <v>657.51408743667332</v>
      </c>
      <c r="F292" s="235">
        <f ca="1">IFERROR(IF(AND(ValuesEntered,Amortization[[#This Row],[payment
date]]&lt;&gt;""),-PPMT(InterestRate/12,1,DurationOfLoan-ROWS($C$4:C292)+1,Amortization[[#This Row],[opening
balance]]),""),0)</f>
        <v>3381.4310587192549</v>
      </c>
      <c r="G292" s="235">
        <f ca="1">IF(Amortization[[#This Row],[payment
date]]="",0,PropertyTaxAmount)</f>
        <v>375</v>
      </c>
      <c r="H292" s="235">
        <f ca="1">IF(Amortization[[#This Row],[payment
date]]="",0,Amortization[[#This Row],[interest]]+Amortization[[#This Row],[principal]]+Amortization[[#This Row],[property
tax]])</f>
        <v>4413.9451461559283</v>
      </c>
      <c r="I292" s="235">
        <f ca="1">IF(Amortization[[#This Row],[payment
date]]="",0,Amortization[[#This Row],[opening
balance]]-Amortization[[#This Row],[principal]])</f>
        <v>263005.63497466932</v>
      </c>
      <c r="J292" s="247">
        <f ca="1">IF(Amortization[[#This Row],[closing
balance]]&gt;0,LastRow-ROW(),0)</f>
        <v>71</v>
      </c>
    </row>
    <row r="293" spans="2:10" ht="15" customHeight="1" x14ac:dyDescent="0.25">
      <c r="B293" s="249">
        <f>ROWS($B$4:B293)</f>
        <v>290</v>
      </c>
      <c r="C293" s="248">
        <f ca="1">IF(ValuesEntered,IF(Amortization[[#This Row],['#]]&lt;=DurationOfLoan,IF(ROW()-ROW(Amortization[[#Headers],[payment
date]])=1,LoanStart,IF(I292&gt;0,EDATE(C292,1),"")),""),"")</f>
        <v>53853</v>
      </c>
      <c r="D293" s="235">
        <f ca="1">IF(ROW()-ROW(Amortization[[#Headers],[opening
balance]])=1,LoanAmount,IF(Amortization[[#This Row],[payment
date]]="",0,INDEX(Amortization[], ROW()-4,8)))</f>
        <v>263005.63497466932</v>
      </c>
      <c r="E293" s="235">
        <f ca="1">IF(ValuesEntered,IF(ROW()-ROW(Amortization[[#Headers],[interest]])=1,-IPMT(InterestRate/12,1,DurationOfLoan-ROWS($C$4:C293)+1,Amortization[[#This Row],[opening
balance]]),IFERROR(-IPMT(InterestRate/12,1,Amortization[[#This Row],['#
remaining]],D294),0)),0)</f>
        <v>649.03937584575817</v>
      </c>
      <c r="F293" s="235">
        <f ca="1">IFERROR(IF(AND(ValuesEntered,Amortization[[#This Row],[payment
date]]&lt;&gt;""),-PPMT(InterestRate/12,1,DurationOfLoan-ROWS($C$4:C293)+1,Amortization[[#This Row],[opening
balance]]),""),0)</f>
        <v>3389.8846363660541</v>
      </c>
      <c r="G293" s="235">
        <f ca="1">IF(Amortization[[#This Row],[payment
date]]="",0,PropertyTaxAmount)</f>
        <v>375</v>
      </c>
      <c r="H293" s="235">
        <f ca="1">IF(Amortization[[#This Row],[payment
date]]="",0,Amortization[[#This Row],[interest]]+Amortization[[#This Row],[principal]]+Amortization[[#This Row],[property
tax]])</f>
        <v>4413.9240122118117</v>
      </c>
      <c r="I293" s="235">
        <f ca="1">IF(Amortization[[#This Row],[payment
date]]="",0,Amortization[[#This Row],[opening
balance]]-Amortization[[#This Row],[principal]])</f>
        <v>259615.75033830327</v>
      </c>
      <c r="J293" s="247">
        <f ca="1">IF(Amortization[[#This Row],[closing
balance]]&gt;0,LastRow-ROW(),0)</f>
        <v>70</v>
      </c>
    </row>
    <row r="294" spans="2:10" ht="15" customHeight="1" x14ac:dyDescent="0.25">
      <c r="B294" s="249">
        <f>ROWS($B$4:B294)</f>
        <v>291</v>
      </c>
      <c r="C294" s="248">
        <f ca="1">IF(ValuesEntered,IF(Amortization[[#This Row],['#]]&lt;=DurationOfLoan,IF(ROW()-ROW(Amortization[[#Headers],[payment
date]])=1,LoanStart,IF(I293&gt;0,EDATE(C293,1),"")),""),"")</f>
        <v>53883</v>
      </c>
      <c r="D294" s="235">
        <f ca="1">IF(ROW()-ROW(Amortization[[#Headers],[opening
balance]])=1,LoanAmount,IF(Amortization[[#This Row],[payment
date]]="",0,INDEX(Amortization[], ROW()-4,8)))</f>
        <v>259615.75033830327</v>
      </c>
      <c r="E294" s="235">
        <f ca="1">IF(ValuesEntered,IF(ROW()-ROW(Amortization[[#Headers],[interest]])=1,-IPMT(InterestRate/12,1,DurationOfLoan-ROWS($C$4:C294)+1,Amortization[[#This Row],[opening
balance]]),IFERROR(-IPMT(InterestRate/12,1,Amortization[[#This Row],['#
remaining]],D295),0)),0)</f>
        <v>640.54347747586576</v>
      </c>
      <c r="F294" s="235">
        <f ca="1">IFERROR(IF(AND(ValuesEntered,Amortization[[#This Row],[payment
date]]&lt;&gt;""),-PPMT(InterestRate/12,1,DurationOfLoan-ROWS($C$4:C294)+1,Amortization[[#This Row],[opening
balance]]),""),0)</f>
        <v>3398.3593479569686</v>
      </c>
      <c r="G294" s="235">
        <f ca="1">IF(Amortization[[#This Row],[payment
date]]="",0,PropertyTaxAmount)</f>
        <v>375</v>
      </c>
      <c r="H294" s="235">
        <f ca="1">IF(Amortization[[#This Row],[payment
date]]="",0,Amortization[[#This Row],[interest]]+Amortization[[#This Row],[principal]]+Amortization[[#This Row],[property
tax]])</f>
        <v>4413.9028254328341</v>
      </c>
      <c r="I294" s="235">
        <f ca="1">IF(Amortization[[#This Row],[payment
date]]="",0,Amortization[[#This Row],[opening
balance]]-Amortization[[#This Row],[principal]])</f>
        <v>256217.39099034629</v>
      </c>
      <c r="J294" s="247">
        <f ca="1">IF(Amortization[[#This Row],[closing
balance]]&gt;0,LastRow-ROW(),0)</f>
        <v>69</v>
      </c>
    </row>
    <row r="295" spans="2:10" ht="15" customHeight="1" x14ac:dyDescent="0.25">
      <c r="B295" s="249">
        <f>ROWS($B$4:B295)</f>
        <v>292</v>
      </c>
      <c r="C295" s="248">
        <f ca="1">IF(ValuesEntered,IF(Amortization[[#This Row],['#]]&lt;=DurationOfLoan,IF(ROW()-ROW(Amortization[[#Headers],[payment
date]])=1,LoanStart,IF(I294&gt;0,EDATE(C294,1),"")),""),"")</f>
        <v>53914</v>
      </c>
      <c r="D295" s="235">
        <f ca="1">IF(ROW()-ROW(Amortization[[#Headers],[opening
balance]])=1,LoanAmount,IF(Amortization[[#This Row],[payment
date]]="",0,INDEX(Amortization[], ROW()-4,8)))</f>
        <v>256217.39099034629</v>
      </c>
      <c r="E295" s="235">
        <f ca="1">IF(ValuesEntered,IF(ROW()-ROW(Amortization[[#Headers],[interest]])=1,-IPMT(InterestRate/12,1,DurationOfLoan-ROWS($C$4:C295)+1,Amortization[[#This Row],[opening
balance]]),IFERROR(-IPMT(InterestRate/12,1,Amortization[[#This Row],['#
remaining]],D296),0)),0)</f>
        <v>632.02633936004872</v>
      </c>
      <c r="F295" s="235">
        <f ca="1">IFERROR(IF(AND(ValuesEntered,Amortization[[#This Row],[payment
date]]&lt;&gt;""),-PPMT(InterestRate/12,1,DurationOfLoan-ROWS($C$4:C295)+1,Amortization[[#This Row],[opening
balance]]),""),0)</f>
        <v>3406.8552463268607</v>
      </c>
      <c r="G295" s="235">
        <f ca="1">IF(Amortization[[#This Row],[payment
date]]="",0,PropertyTaxAmount)</f>
        <v>375</v>
      </c>
      <c r="H295" s="235">
        <f ca="1">IF(Amortization[[#This Row],[payment
date]]="",0,Amortization[[#This Row],[interest]]+Amortization[[#This Row],[principal]]+Amortization[[#This Row],[property
tax]])</f>
        <v>4413.8815856869096</v>
      </c>
      <c r="I295" s="235">
        <f ca="1">IF(Amortization[[#This Row],[payment
date]]="",0,Amortization[[#This Row],[opening
balance]]-Amortization[[#This Row],[principal]])</f>
        <v>252810.53574401943</v>
      </c>
      <c r="J295" s="247">
        <f ca="1">IF(Amortization[[#This Row],[closing
balance]]&gt;0,LastRow-ROW(),0)</f>
        <v>68</v>
      </c>
    </row>
    <row r="296" spans="2:10" ht="15" customHeight="1" x14ac:dyDescent="0.25">
      <c r="B296" s="249">
        <f>ROWS($B$4:B296)</f>
        <v>293</v>
      </c>
      <c r="C296" s="248">
        <f ca="1">IF(ValuesEntered,IF(Amortization[[#This Row],['#]]&lt;=DurationOfLoan,IF(ROW()-ROW(Amortization[[#Headers],[payment
date]])=1,LoanStart,IF(I295&gt;0,EDATE(C295,1),"")),""),"")</f>
        <v>53945</v>
      </c>
      <c r="D296" s="235">
        <f ca="1">IF(ROW()-ROW(Amortization[[#Headers],[opening
balance]])=1,LoanAmount,IF(Amortization[[#This Row],[payment
date]]="",0,INDEX(Amortization[], ROW()-4,8)))</f>
        <v>252810.53574401943</v>
      </c>
      <c r="E296" s="235">
        <f ca="1">IF(ValuesEntered,IF(ROW()-ROW(Amortization[[#Headers],[interest]])=1,-IPMT(InterestRate/12,1,DurationOfLoan-ROWS($C$4:C296)+1,Amortization[[#This Row],[opening
balance]]),IFERROR(-IPMT(InterestRate/12,1,Amortization[[#This Row],['#
remaining]],D297),0)),0)</f>
        <v>623.48790839894195</v>
      </c>
      <c r="F296" s="235">
        <f ca="1">IFERROR(IF(AND(ValuesEntered,Amortization[[#This Row],[payment
date]]&lt;&gt;""),-PPMT(InterestRate/12,1,DurationOfLoan-ROWS($C$4:C296)+1,Amortization[[#This Row],[opening
balance]]),""),0)</f>
        <v>3415.3723844426786</v>
      </c>
      <c r="G296" s="235">
        <f ca="1">IF(Amortization[[#This Row],[payment
date]]="",0,PropertyTaxAmount)</f>
        <v>375</v>
      </c>
      <c r="H296" s="235">
        <f ca="1">IF(Amortization[[#This Row],[payment
date]]="",0,Amortization[[#This Row],[interest]]+Amortization[[#This Row],[principal]]+Amortization[[#This Row],[property
tax]])</f>
        <v>4413.8602928416203</v>
      </c>
      <c r="I296" s="235">
        <f ca="1">IF(Amortization[[#This Row],[payment
date]]="",0,Amortization[[#This Row],[opening
balance]]-Amortization[[#This Row],[principal]])</f>
        <v>249395.16335957675</v>
      </c>
      <c r="J296" s="247">
        <f ca="1">IF(Amortization[[#This Row],[closing
balance]]&gt;0,LastRow-ROW(),0)</f>
        <v>67</v>
      </c>
    </row>
    <row r="297" spans="2:10" ht="15" customHeight="1" x14ac:dyDescent="0.25">
      <c r="B297" s="249">
        <f>ROWS($B$4:B297)</f>
        <v>294</v>
      </c>
      <c r="C297" s="248">
        <f ca="1">IF(ValuesEntered,IF(Amortization[[#This Row],['#]]&lt;=DurationOfLoan,IF(ROW()-ROW(Amortization[[#Headers],[payment
date]])=1,LoanStart,IF(I296&gt;0,EDATE(C296,1),"")),""),"")</f>
        <v>53975</v>
      </c>
      <c r="D297" s="235">
        <f ca="1">IF(ROW()-ROW(Amortization[[#Headers],[opening
balance]])=1,LoanAmount,IF(Amortization[[#This Row],[payment
date]]="",0,INDEX(Amortization[], ROW()-4,8)))</f>
        <v>249395.16335957675</v>
      </c>
      <c r="E297" s="235">
        <f ca="1">IF(ValuesEntered,IF(ROW()-ROW(Amortization[[#Headers],[interest]])=1,-IPMT(InterestRate/12,1,DurationOfLoan-ROWS($C$4:C297)+1,Amortization[[#This Row],[opening
balance]]),IFERROR(-IPMT(InterestRate/12,1,Amortization[[#This Row],['#
remaining]],D298),0)),0)</f>
        <v>614.92813136043242</v>
      </c>
      <c r="F297" s="235">
        <f ca="1">IFERROR(IF(AND(ValuesEntered,Amortization[[#This Row],[payment
date]]&lt;&gt;""),-PPMT(InterestRate/12,1,DurationOfLoan-ROWS($C$4:C297)+1,Amortization[[#This Row],[opening
balance]]),""),0)</f>
        <v>3423.9108154037845</v>
      </c>
      <c r="G297" s="235">
        <f ca="1">IF(Amortization[[#This Row],[payment
date]]="",0,PropertyTaxAmount)</f>
        <v>375</v>
      </c>
      <c r="H297" s="235">
        <f ca="1">IF(Amortization[[#This Row],[payment
date]]="",0,Amortization[[#This Row],[interest]]+Amortization[[#This Row],[principal]]+Amortization[[#This Row],[property
tax]])</f>
        <v>4413.8389467642173</v>
      </c>
      <c r="I297" s="235">
        <f ca="1">IF(Amortization[[#This Row],[payment
date]]="",0,Amortization[[#This Row],[opening
balance]]-Amortization[[#This Row],[principal]])</f>
        <v>245971.25254417295</v>
      </c>
      <c r="J297" s="247">
        <f ca="1">IF(Amortization[[#This Row],[closing
balance]]&gt;0,LastRow-ROW(),0)</f>
        <v>66</v>
      </c>
    </row>
    <row r="298" spans="2:10" ht="15" customHeight="1" x14ac:dyDescent="0.25">
      <c r="B298" s="249">
        <f>ROWS($B$4:B298)</f>
        <v>295</v>
      </c>
      <c r="C298" s="248">
        <f ca="1">IF(ValuesEntered,IF(Amortization[[#This Row],['#]]&lt;=DurationOfLoan,IF(ROW()-ROW(Amortization[[#Headers],[payment
date]])=1,LoanStart,IF(I297&gt;0,EDATE(C297,1),"")),""),"")</f>
        <v>54006</v>
      </c>
      <c r="D298" s="235">
        <f ca="1">IF(ROW()-ROW(Amortization[[#Headers],[opening
balance]])=1,LoanAmount,IF(Amortization[[#This Row],[payment
date]]="",0,INDEX(Amortization[], ROW()-4,8)))</f>
        <v>245971.25254417295</v>
      </c>
      <c r="E298" s="235">
        <f ca="1">IF(ValuesEntered,IF(ROW()-ROW(Amortization[[#Headers],[interest]])=1,-IPMT(InterestRate/12,1,DurationOfLoan-ROWS($C$4:C298)+1,Amortization[[#This Row],[opening
balance]]),IFERROR(-IPMT(InterestRate/12,1,Amortization[[#This Row],['#
remaining]],D299),0)),0)</f>
        <v>606.34695487932663</v>
      </c>
      <c r="F298" s="235">
        <f ca="1">IFERROR(IF(AND(ValuesEntered,Amortization[[#This Row],[payment
date]]&lt;&gt;""),-PPMT(InterestRate/12,1,DurationOfLoan-ROWS($C$4:C298)+1,Amortization[[#This Row],[opening
balance]]),""),0)</f>
        <v>3432.4705924422942</v>
      </c>
      <c r="G298" s="235">
        <f ca="1">IF(Amortization[[#This Row],[payment
date]]="",0,PropertyTaxAmount)</f>
        <v>375</v>
      </c>
      <c r="H298" s="235">
        <f ca="1">IF(Amortization[[#This Row],[payment
date]]="",0,Amortization[[#This Row],[interest]]+Amortization[[#This Row],[principal]]+Amortization[[#This Row],[property
tax]])</f>
        <v>4413.8175473216206</v>
      </c>
      <c r="I298" s="235">
        <f ca="1">IF(Amortization[[#This Row],[payment
date]]="",0,Amortization[[#This Row],[opening
balance]]-Amortization[[#This Row],[principal]])</f>
        <v>242538.78195173066</v>
      </c>
      <c r="J298" s="247">
        <f ca="1">IF(Amortization[[#This Row],[closing
balance]]&gt;0,LastRow-ROW(),0)</f>
        <v>65</v>
      </c>
    </row>
    <row r="299" spans="2:10" ht="15" customHeight="1" x14ac:dyDescent="0.25">
      <c r="B299" s="249">
        <f>ROWS($B$4:B299)</f>
        <v>296</v>
      </c>
      <c r="C299" s="248">
        <f ca="1">IF(ValuesEntered,IF(Amortization[[#This Row],['#]]&lt;=DurationOfLoan,IF(ROW()-ROW(Amortization[[#Headers],[payment
date]])=1,LoanStart,IF(I298&gt;0,EDATE(C298,1),"")),""),"")</f>
        <v>54036</v>
      </c>
      <c r="D299" s="235">
        <f ca="1">IF(ROW()-ROW(Amortization[[#Headers],[opening
balance]])=1,LoanAmount,IF(Amortization[[#This Row],[payment
date]]="",0,INDEX(Amortization[], ROW()-4,8)))</f>
        <v>242538.78195173066</v>
      </c>
      <c r="E299" s="235">
        <f ca="1">IF(ValuesEntered,IF(ROW()-ROW(Amortization[[#Headers],[interest]])=1,-IPMT(InterestRate/12,1,DurationOfLoan-ROWS($C$4:C299)+1,Amortization[[#This Row],[opening
balance]]),IFERROR(-IPMT(InterestRate/12,1,Amortization[[#This Row],['#
remaining]],D300),0)),0)</f>
        <v>597.74432545701814</v>
      </c>
      <c r="F299" s="235">
        <f ca="1">IFERROR(IF(AND(ValuesEntered,Amortization[[#This Row],[payment
date]]&lt;&gt;""),-PPMT(InterestRate/12,1,DurationOfLoan-ROWS($C$4:C299)+1,Amortization[[#This Row],[opening
balance]]),""),0)</f>
        <v>3441.0517689233998</v>
      </c>
      <c r="G299" s="235">
        <f ca="1">IF(Amortization[[#This Row],[payment
date]]="",0,PropertyTaxAmount)</f>
        <v>375</v>
      </c>
      <c r="H299" s="235">
        <f ca="1">IF(Amortization[[#This Row],[payment
date]]="",0,Amortization[[#This Row],[interest]]+Amortization[[#This Row],[principal]]+Amortization[[#This Row],[property
tax]])</f>
        <v>4413.7960943804173</v>
      </c>
      <c r="I299" s="235">
        <f ca="1">IF(Amortization[[#This Row],[payment
date]]="",0,Amortization[[#This Row],[opening
balance]]-Amortization[[#This Row],[principal]])</f>
        <v>239097.73018280725</v>
      </c>
      <c r="J299" s="247">
        <f ca="1">IF(Amortization[[#This Row],[closing
balance]]&gt;0,LastRow-ROW(),0)</f>
        <v>64</v>
      </c>
    </row>
    <row r="300" spans="2:10" ht="15" customHeight="1" x14ac:dyDescent="0.25">
      <c r="B300" s="249">
        <f>ROWS($B$4:B300)</f>
        <v>297</v>
      </c>
      <c r="C300" s="248">
        <f ca="1">IF(ValuesEntered,IF(Amortization[[#This Row],['#]]&lt;=DurationOfLoan,IF(ROW()-ROW(Amortization[[#Headers],[payment
date]])=1,LoanStart,IF(I299&gt;0,EDATE(C299,1),"")),""),"")</f>
        <v>54067</v>
      </c>
      <c r="D300" s="235">
        <f ca="1">IF(ROW()-ROW(Amortization[[#Headers],[opening
balance]])=1,LoanAmount,IF(Amortization[[#This Row],[payment
date]]="",0,INDEX(Amortization[], ROW()-4,8)))</f>
        <v>239097.73018280725</v>
      </c>
      <c r="E300" s="235">
        <f ca="1">IF(ValuesEntered,IF(ROW()-ROW(Amortization[[#Headers],[interest]])=1,-IPMT(InterestRate/12,1,DurationOfLoan-ROWS($C$4:C300)+1,Amortization[[#This Row],[opening
balance]]),IFERROR(-IPMT(InterestRate/12,1,Amortization[[#This Row],['#
remaining]],D301),0)),0)</f>
        <v>589.12018946115393</v>
      </c>
      <c r="F300" s="235">
        <f ca="1">IFERROR(IF(AND(ValuesEntered,Amortization[[#This Row],[payment
date]]&lt;&gt;""),-PPMT(InterestRate/12,1,DurationOfLoan-ROWS($C$4:C300)+1,Amortization[[#This Row],[opening
balance]]),""),0)</f>
        <v>3449.6543983457082</v>
      </c>
      <c r="G300" s="235">
        <f ca="1">IF(Amortization[[#This Row],[payment
date]]="",0,PropertyTaxAmount)</f>
        <v>375</v>
      </c>
      <c r="H300" s="235">
        <f ca="1">IF(Amortization[[#This Row],[payment
date]]="",0,Amortization[[#This Row],[interest]]+Amortization[[#This Row],[principal]]+Amortization[[#This Row],[property
tax]])</f>
        <v>4413.7745878068617</v>
      </c>
      <c r="I300" s="235">
        <f ca="1">IF(Amortization[[#This Row],[payment
date]]="",0,Amortization[[#This Row],[opening
balance]]-Amortization[[#This Row],[principal]])</f>
        <v>235648.07578446154</v>
      </c>
      <c r="J300" s="247">
        <f ca="1">IF(Amortization[[#This Row],[closing
balance]]&gt;0,LastRow-ROW(),0)</f>
        <v>63</v>
      </c>
    </row>
    <row r="301" spans="2:10" ht="15" customHeight="1" x14ac:dyDescent="0.25">
      <c r="B301" s="249">
        <f>ROWS($B$4:B301)</f>
        <v>298</v>
      </c>
      <c r="C301" s="248">
        <f ca="1">IF(ValuesEntered,IF(Amortization[[#This Row],['#]]&lt;=DurationOfLoan,IF(ROW()-ROW(Amortization[[#Headers],[payment
date]])=1,LoanStart,IF(I300&gt;0,EDATE(C300,1),"")),""),"")</f>
        <v>54098</v>
      </c>
      <c r="D301" s="235">
        <f ca="1">IF(ROW()-ROW(Amortization[[#Headers],[opening
balance]])=1,LoanAmount,IF(Amortization[[#This Row],[payment
date]]="",0,INDEX(Amortization[], ROW()-4,8)))</f>
        <v>235648.07578446154</v>
      </c>
      <c r="E301" s="235">
        <f ca="1">IF(ValuesEntered,IF(ROW()-ROW(Amortization[[#Headers],[interest]])=1,-IPMT(InterestRate/12,1,DurationOfLoan-ROWS($C$4:C301)+1,Amortization[[#This Row],[opening
balance]]),IFERROR(-IPMT(InterestRate/12,1,Amortization[[#This Row],['#
remaining]],D302),0)),0)</f>
        <v>580.47449312529989</v>
      </c>
      <c r="F301" s="235">
        <f ca="1">IFERROR(IF(AND(ValuesEntered,Amortization[[#This Row],[payment
date]]&lt;&gt;""),-PPMT(InterestRate/12,1,DurationOfLoan-ROWS($C$4:C301)+1,Amortization[[#This Row],[opening
balance]]),""),0)</f>
        <v>3458.2785343415726</v>
      </c>
      <c r="G301" s="235">
        <f ca="1">IF(Amortization[[#This Row],[payment
date]]="",0,PropertyTaxAmount)</f>
        <v>375</v>
      </c>
      <c r="H301" s="235">
        <f ca="1">IF(Amortization[[#This Row],[payment
date]]="",0,Amortization[[#This Row],[interest]]+Amortization[[#This Row],[principal]]+Amortization[[#This Row],[property
tax]])</f>
        <v>4413.7530274668725</v>
      </c>
      <c r="I301" s="235">
        <f ca="1">IF(Amortization[[#This Row],[payment
date]]="",0,Amortization[[#This Row],[opening
balance]]-Amortization[[#This Row],[principal]])</f>
        <v>232189.79725011997</v>
      </c>
      <c r="J301" s="247">
        <f ca="1">IF(Amortization[[#This Row],[closing
balance]]&gt;0,LastRow-ROW(),0)</f>
        <v>62</v>
      </c>
    </row>
    <row r="302" spans="2:10" ht="15" customHeight="1" x14ac:dyDescent="0.25">
      <c r="B302" s="249">
        <f>ROWS($B$4:B302)</f>
        <v>299</v>
      </c>
      <c r="C302" s="248">
        <f ca="1">IF(ValuesEntered,IF(Amortization[[#This Row],['#]]&lt;=DurationOfLoan,IF(ROW()-ROW(Amortization[[#Headers],[payment
date]])=1,LoanStart,IF(I301&gt;0,EDATE(C301,1),"")),""),"")</f>
        <v>54127</v>
      </c>
      <c r="D302" s="235">
        <f ca="1">IF(ROW()-ROW(Amortization[[#Headers],[opening
balance]])=1,LoanAmount,IF(Amortization[[#This Row],[payment
date]]="",0,INDEX(Amortization[], ROW()-4,8)))</f>
        <v>232189.79725011997</v>
      </c>
      <c r="E302" s="235">
        <f ca="1">IF(ValuesEntered,IF(ROW()-ROW(Amortization[[#Headers],[interest]])=1,-IPMT(InterestRate/12,1,DurationOfLoan-ROWS($C$4:C302)+1,Amortization[[#This Row],[opening
balance]]),IFERROR(-IPMT(InterestRate/12,1,Amortization[[#This Row],['#
remaining]],D303),0)),0)</f>
        <v>571.80718254860642</v>
      </c>
      <c r="F302" s="235">
        <f ca="1">IFERROR(IF(AND(ValuesEntered,Amortization[[#This Row],[payment
date]]&lt;&gt;""),-PPMT(InterestRate/12,1,DurationOfLoan-ROWS($C$4:C302)+1,Amortization[[#This Row],[opening
balance]]),""),0)</f>
        <v>3466.9242306774254</v>
      </c>
      <c r="G302" s="235">
        <f ca="1">IF(Amortization[[#This Row],[payment
date]]="",0,PropertyTaxAmount)</f>
        <v>375</v>
      </c>
      <c r="H302" s="235">
        <f ca="1">IF(Amortization[[#This Row],[payment
date]]="",0,Amortization[[#This Row],[interest]]+Amortization[[#This Row],[principal]]+Amortization[[#This Row],[property
tax]])</f>
        <v>4413.7314132260317</v>
      </c>
      <c r="I302" s="235">
        <f ca="1">IF(Amortization[[#This Row],[payment
date]]="",0,Amortization[[#This Row],[opening
balance]]-Amortization[[#This Row],[principal]])</f>
        <v>228722.87301944254</v>
      </c>
      <c r="J302" s="247">
        <f ca="1">IF(Amortization[[#This Row],[closing
balance]]&gt;0,LastRow-ROW(),0)</f>
        <v>61</v>
      </c>
    </row>
    <row r="303" spans="2:10" ht="15" customHeight="1" x14ac:dyDescent="0.25">
      <c r="B303" s="249">
        <f>ROWS($B$4:B303)</f>
        <v>300</v>
      </c>
      <c r="C303" s="248">
        <f ca="1">IF(ValuesEntered,IF(Amortization[[#This Row],['#]]&lt;=DurationOfLoan,IF(ROW()-ROW(Amortization[[#Headers],[payment
date]])=1,LoanStart,IF(I302&gt;0,EDATE(C302,1),"")),""),"")</f>
        <v>54158</v>
      </c>
      <c r="D303" s="235">
        <f ca="1">IF(ROW()-ROW(Amortization[[#Headers],[opening
balance]])=1,LoanAmount,IF(Amortization[[#This Row],[payment
date]]="",0,INDEX(Amortization[], ROW()-4,8)))</f>
        <v>228722.87301944254</v>
      </c>
      <c r="E303" s="235">
        <f ca="1">IF(ValuesEntered,IF(ROW()-ROW(Amortization[[#Headers],[interest]])=1,-IPMT(InterestRate/12,1,DurationOfLoan-ROWS($C$4:C303)+1,Amortization[[#This Row],[opening
balance]]),IFERROR(-IPMT(InterestRate/12,1,Amortization[[#This Row],['#
remaining]],D304),0)),0)</f>
        <v>563.11820369547115</v>
      </c>
      <c r="F303" s="235">
        <f ca="1">IFERROR(IF(AND(ValuesEntered,Amortization[[#This Row],[payment
date]]&lt;&gt;""),-PPMT(InterestRate/12,1,DurationOfLoan-ROWS($C$4:C303)+1,Amortization[[#This Row],[opening
balance]]),""),0)</f>
        <v>3475.5915412541199</v>
      </c>
      <c r="G303" s="235">
        <f ca="1">IF(Amortization[[#This Row],[payment
date]]="",0,PropertyTaxAmount)</f>
        <v>375</v>
      </c>
      <c r="H303" s="235">
        <f ca="1">IF(Amortization[[#This Row],[payment
date]]="",0,Amortization[[#This Row],[interest]]+Amortization[[#This Row],[principal]]+Amortization[[#This Row],[property
tax]])</f>
        <v>4413.7097449495905</v>
      </c>
      <c r="I303" s="235">
        <f ca="1">IF(Amortization[[#This Row],[payment
date]]="",0,Amortization[[#This Row],[opening
balance]]-Amortization[[#This Row],[principal]])</f>
        <v>225247.28147818844</v>
      </c>
      <c r="J303" s="247">
        <f ca="1">IF(Amortization[[#This Row],[closing
balance]]&gt;0,LastRow-ROW(),0)</f>
        <v>60</v>
      </c>
    </row>
    <row r="304" spans="2:10" ht="15" customHeight="1" x14ac:dyDescent="0.25">
      <c r="B304" s="249">
        <f>ROWS($B$4:B304)</f>
        <v>301</v>
      </c>
      <c r="C304" s="248">
        <f ca="1">IF(ValuesEntered,IF(Amortization[[#This Row],['#]]&lt;=DurationOfLoan,IF(ROW()-ROW(Amortization[[#Headers],[payment
date]])=1,LoanStart,IF(I303&gt;0,EDATE(C303,1),"")),""),"")</f>
        <v>54188</v>
      </c>
      <c r="D304" s="235">
        <f ca="1">IF(ROW()-ROW(Amortization[[#Headers],[opening
balance]])=1,LoanAmount,IF(Amortization[[#This Row],[payment
date]]="",0,INDEX(Amortization[], ROW()-4,8)))</f>
        <v>225247.28147818844</v>
      </c>
      <c r="E304" s="235">
        <f ca="1">IF(ValuesEntered,IF(ROW()-ROW(Amortization[[#Headers],[interest]])=1,-IPMT(InterestRate/12,1,DurationOfLoan-ROWS($C$4:C304)+1,Amortization[[#This Row],[opening
balance]]),IFERROR(-IPMT(InterestRate/12,1,Amortization[[#This Row],['#
remaining]],D305),0)),0)</f>
        <v>554.40750239520298</v>
      </c>
      <c r="F304" s="235">
        <f ca="1">IFERROR(IF(AND(ValuesEntered,Amortization[[#This Row],[payment
date]]&lt;&gt;""),-PPMT(InterestRate/12,1,DurationOfLoan-ROWS($C$4:C304)+1,Amortization[[#This Row],[opening
balance]]),""),0)</f>
        <v>3484.2805201072556</v>
      </c>
      <c r="G304" s="235">
        <f ca="1">IF(Amortization[[#This Row],[payment
date]]="",0,PropertyTaxAmount)</f>
        <v>375</v>
      </c>
      <c r="H304" s="235">
        <f ca="1">IF(Amortization[[#This Row],[payment
date]]="",0,Amortization[[#This Row],[interest]]+Amortization[[#This Row],[principal]]+Amortization[[#This Row],[property
tax]])</f>
        <v>4413.6880225024588</v>
      </c>
      <c r="I304" s="235">
        <f ca="1">IF(Amortization[[#This Row],[payment
date]]="",0,Amortization[[#This Row],[opening
balance]]-Amortization[[#This Row],[principal]])</f>
        <v>221763.00095808119</v>
      </c>
      <c r="J304" s="247">
        <f ca="1">IF(Amortization[[#This Row],[closing
balance]]&gt;0,LastRow-ROW(),0)</f>
        <v>59</v>
      </c>
    </row>
    <row r="305" spans="2:10" ht="15" customHeight="1" x14ac:dyDescent="0.25">
      <c r="B305" s="249">
        <f>ROWS($B$4:B305)</f>
        <v>302</v>
      </c>
      <c r="C305" s="248">
        <f ca="1">IF(ValuesEntered,IF(Amortization[[#This Row],['#]]&lt;=DurationOfLoan,IF(ROW()-ROW(Amortization[[#Headers],[payment
date]])=1,LoanStart,IF(I304&gt;0,EDATE(C304,1),"")),""),"")</f>
        <v>54219</v>
      </c>
      <c r="D305" s="235">
        <f ca="1">IF(ROW()-ROW(Amortization[[#Headers],[opening
balance]])=1,LoanAmount,IF(Amortization[[#This Row],[payment
date]]="",0,INDEX(Amortization[], ROW()-4,8)))</f>
        <v>221763.00095808119</v>
      </c>
      <c r="E305" s="235">
        <f ca="1">IF(ValuesEntered,IF(ROW()-ROW(Amortization[[#Headers],[interest]])=1,-IPMT(InterestRate/12,1,DurationOfLoan-ROWS($C$4:C305)+1,Amortization[[#This Row],[opening
balance]]),IFERROR(-IPMT(InterestRate/12,1,Amortization[[#This Row],['#
remaining]],D306),0)),0)</f>
        <v>545.67502434168421</v>
      </c>
      <c r="F305" s="235">
        <f ca="1">IFERROR(IF(AND(ValuesEntered,Amortization[[#This Row],[payment
date]]&lt;&gt;""),-PPMT(InterestRate/12,1,DurationOfLoan-ROWS($C$4:C305)+1,Amortization[[#This Row],[opening
balance]]),""),0)</f>
        <v>3492.9912214075234</v>
      </c>
      <c r="G305" s="235">
        <f ca="1">IF(Amortization[[#This Row],[payment
date]]="",0,PropertyTaxAmount)</f>
        <v>375</v>
      </c>
      <c r="H305" s="235">
        <f ca="1">IF(Amortization[[#This Row],[payment
date]]="",0,Amortization[[#This Row],[interest]]+Amortization[[#This Row],[principal]]+Amortization[[#This Row],[property
tax]])</f>
        <v>4413.6662457492075</v>
      </c>
      <c r="I305" s="235">
        <f ca="1">IF(Amortization[[#This Row],[payment
date]]="",0,Amortization[[#This Row],[opening
balance]]-Amortization[[#This Row],[principal]])</f>
        <v>218270.00973667367</v>
      </c>
      <c r="J305" s="247">
        <f ca="1">IF(Amortization[[#This Row],[closing
balance]]&gt;0,LastRow-ROW(),0)</f>
        <v>58</v>
      </c>
    </row>
    <row r="306" spans="2:10" ht="15" customHeight="1" x14ac:dyDescent="0.25">
      <c r="B306" s="249">
        <f>ROWS($B$4:B306)</f>
        <v>303</v>
      </c>
      <c r="C306" s="248">
        <f ca="1">IF(ValuesEntered,IF(Amortization[[#This Row],['#]]&lt;=DurationOfLoan,IF(ROW()-ROW(Amortization[[#Headers],[payment
date]])=1,LoanStart,IF(I305&gt;0,EDATE(C305,1),"")),""),"")</f>
        <v>54249</v>
      </c>
      <c r="D306" s="235">
        <f ca="1">IF(ROW()-ROW(Amortization[[#Headers],[opening
balance]])=1,LoanAmount,IF(Amortization[[#This Row],[payment
date]]="",0,INDEX(Amortization[], ROW()-4,8)))</f>
        <v>218270.00973667367</v>
      </c>
      <c r="E306" s="235">
        <f ca="1">IF(ValuesEntered,IF(ROW()-ROW(Amortization[[#Headers],[interest]])=1,-IPMT(InterestRate/12,1,DurationOfLoan-ROWS($C$4:C306)+1,Amortization[[#This Row],[opening
balance]]),IFERROR(-IPMT(InterestRate/12,1,Amortization[[#This Row],['#
remaining]],D307),0)),0)</f>
        <v>536.92071509303162</v>
      </c>
      <c r="F306" s="235">
        <f ca="1">IFERROR(IF(AND(ValuesEntered,Amortization[[#This Row],[payment
date]]&lt;&gt;""),-PPMT(InterestRate/12,1,DurationOfLoan-ROWS($C$4:C306)+1,Amortization[[#This Row],[opening
balance]]),""),0)</f>
        <v>3501.7236994610425</v>
      </c>
      <c r="G306" s="235">
        <f ca="1">IF(Amortization[[#This Row],[payment
date]]="",0,PropertyTaxAmount)</f>
        <v>375</v>
      </c>
      <c r="H306" s="235">
        <f ca="1">IF(Amortization[[#This Row],[payment
date]]="",0,Amortization[[#This Row],[interest]]+Amortization[[#This Row],[principal]]+Amortization[[#This Row],[property
tax]])</f>
        <v>4413.6444145540736</v>
      </c>
      <c r="I306" s="235">
        <f ca="1">IF(Amortization[[#This Row],[payment
date]]="",0,Amortization[[#This Row],[opening
balance]]-Amortization[[#This Row],[principal]])</f>
        <v>214768.28603721265</v>
      </c>
      <c r="J306" s="247">
        <f ca="1">IF(Amortization[[#This Row],[closing
balance]]&gt;0,LastRow-ROW(),0)</f>
        <v>57</v>
      </c>
    </row>
    <row r="307" spans="2:10" ht="15" customHeight="1" x14ac:dyDescent="0.25">
      <c r="B307" s="249">
        <f>ROWS($B$4:B307)</f>
        <v>304</v>
      </c>
      <c r="C307" s="248">
        <f ca="1">IF(ValuesEntered,IF(Amortization[[#This Row],['#]]&lt;=DurationOfLoan,IF(ROW()-ROW(Amortization[[#Headers],[payment
date]])=1,LoanStart,IF(I306&gt;0,EDATE(C306,1),"")),""),"")</f>
        <v>54280</v>
      </c>
      <c r="D307" s="235">
        <f ca="1">IF(ROW()-ROW(Amortization[[#Headers],[opening
balance]])=1,LoanAmount,IF(Amortization[[#This Row],[payment
date]]="",0,INDEX(Amortization[], ROW()-4,8)))</f>
        <v>214768.28603721265</v>
      </c>
      <c r="E307" s="235">
        <f ca="1">IF(ValuesEntered,IF(ROW()-ROW(Amortization[[#Headers],[interest]])=1,-IPMT(InterestRate/12,1,DurationOfLoan-ROWS($C$4:C307)+1,Amortization[[#This Row],[opening
balance]]),IFERROR(-IPMT(InterestRate/12,1,Amortization[[#This Row],['#
remaining]],D308),0)),0)</f>
        <v>528.14452007125738</v>
      </c>
      <c r="F307" s="235">
        <f ca="1">IFERROR(IF(AND(ValuesEntered,Amortization[[#This Row],[payment
date]]&lt;&gt;""),-PPMT(InterestRate/12,1,DurationOfLoan-ROWS($C$4:C307)+1,Amortization[[#This Row],[opening
balance]]),""),0)</f>
        <v>3510.4780087096956</v>
      </c>
      <c r="G307" s="235">
        <f ca="1">IF(Amortization[[#This Row],[payment
date]]="",0,PropertyTaxAmount)</f>
        <v>375</v>
      </c>
      <c r="H307" s="235">
        <f ca="1">IF(Amortization[[#This Row],[payment
date]]="",0,Amortization[[#This Row],[interest]]+Amortization[[#This Row],[principal]]+Amortization[[#This Row],[property
tax]])</f>
        <v>4413.622528780953</v>
      </c>
      <c r="I307" s="235">
        <f ca="1">IF(Amortization[[#This Row],[payment
date]]="",0,Amortization[[#This Row],[opening
balance]]-Amortization[[#This Row],[principal]])</f>
        <v>211257.80802850294</v>
      </c>
      <c r="J307" s="247">
        <f ca="1">IF(Amortization[[#This Row],[closing
balance]]&gt;0,LastRow-ROW(),0)</f>
        <v>56</v>
      </c>
    </row>
    <row r="308" spans="2:10" ht="15" customHeight="1" x14ac:dyDescent="0.25">
      <c r="B308" s="249">
        <f>ROWS($B$4:B308)</f>
        <v>305</v>
      </c>
      <c r="C308" s="248">
        <f ca="1">IF(ValuesEntered,IF(Amortization[[#This Row],['#]]&lt;=DurationOfLoan,IF(ROW()-ROW(Amortization[[#Headers],[payment
date]])=1,LoanStart,IF(I307&gt;0,EDATE(C307,1),"")),""),"")</f>
        <v>54311</v>
      </c>
      <c r="D308" s="235">
        <f ca="1">IF(ROW()-ROW(Amortization[[#Headers],[opening
balance]])=1,LoanAmount,IF(Amortization[[#This Row],[payment
date]]="",0,INDEX(Amortization[], ROW()-4,8)))</f>
        <v>211257.80802850294</v>
      </c>
      <c r="E308" s="235">
        <f ca="1">IF(ValuesEntered,IF(ROW()-ROW(Amortization[[#Headers],[interest]])=1,-IPMT(InterestRate/12,1,DurationOfLoan-ROWS($C$4:C308)+1,Amortization[[#This Row],[opening
balance]]),IFERROR(-IPMT(InterestRate/12,1,Amortization[[#This Row],['#
remaining]],D309),0)),0)</f>
        <v>519.34638456192874</v>
      </c>
      <c r="F308" s="235">
        <f ca="1">IFERROR(IF(AND(ValuesEntered,Amortization[[#This Row],[payment
date]]&lt;&gt;""),-PPMT(InterestRate/12,1,DurationOfLoan-ROWS($C$4:C308)+1,Amortization[[#This Row],[opening
balance]]),""),0)</f>
        <v>3519.2542037314702</v>
      </c>
      <c r="G308" s="235">
        <f ca="1">IF(Amortization[[#This Row],[payment
date]]="",0,PropertyTaxAmount)</f>
        <v>375</v>
      </c>
      <c r="H308" s="235">
        <f ca="1">IF(Amortization[[#This Row],[payment
date]]="",0,Amortization[[#This Row],[interest]]+Amortization[[#This Row],[principal]]+Amortization[[#This Row],[property
tax]])</f>
        <v>4413.6005882933987</v>
      </c>
      <c r="I308" s="235">
        <f ca="1">IF(Amortization[[#This Row],[payment
date]]="",0,Amortization[[#This Row],[opening
balance]]-Amortization[[#This Row],[principal]])</f>
        <v>207738.55382477149</v>
      </c>
      <c r="J308" s="247">
        <f ca="1">IF(Amortization[[#This Row],[closing
balance]]&gt;0,LastRow-ROW(),0)</f>
        <v>55</v>
      </c>
    </row>
    <row r="309" spans="2:10" ht="15" customHeight="1" x14ac:dyDescent="0.25">
      <c r="B309" s="249">
        <f>ROWS($B$4:B309)</f>
        <v>306</v>
      </c>
      <c r="C309" s="248">
        <f ca="1">IF(ValuesEntered,IF(Amortization[[#This Row],['#]]&lt;=DurationOfLoan,IF(ROW()-ROW(Amortization[[#Headers],[payment
date]])=1,LoanStart,IF(I308&gt;0,EDATE(C308,1),"")),""),"")</f>
        <v>54341</v>
      </c>
      <c r="D309" s="235">
        <f ca="1">IF(ROW()-ROW(Amortization[[#Headers],[opening
balance]])=1,LoanAmount,IF(Amortization[[#This Row],[payment
date]]="",0,INDEX(Amortization[], ROW()-4,8)))</f>
        <v>207738.55382477149</v>
      </c>
      <c r="E309" s="235">
        <f ca="1">IF(ValuesEntered,IF(ROW()-ROW(Amortization[[#Headers],[interest]])=1,-IPMT(InterestRate/12,1,DurationOfLoan-ROWS($C$4:C309)+1,Amortization[[#This Row],[opening
balance]]),IFERROR(-IPMT(InterestRate/12,1,Amortization[[#This Row],['#
remaining]],D310),0)),0)</f>
        <v>510.52625371382675</v>
      </c>
      <c r="F309" s="235">
        <f ca="1">IFERROR(IF(AND(ValuesEntered,Amortization[[#This Row],[payment
date]]&lt;&gt;""),-PPMT(InterestRate/12,1,DurationOfLoan-ROWS($C$4:C309)+1,Amortization[[#This Row],[opening
balance]]),""),0)</f>
        <v>3528.0523392407986</v>
      </c>
      <c r="G309" s="235">
        <f ca="1">IF(Amortization[[#This Row],[payment
date]]="",0,PropertyTaxAmount)</f>
        <v>375</v>
      </c>
      <c r="H309" s="235">
        <f ca="1">IF(Amortization[[#This Row],[payment
date]]="",0,Amortization[[#This Row],[interest]]+Amortization[[#This Row],[principal]]+Amortization[[#This Row],[property
tax]])</f>
        <v>4413.5785929546255</v>
      </c>
      <c r="I309" s="235">
        <f ca="1">IF(Amortization[[#This Row],[payment
date]]="",0,Amortization[[#This Row],[opening
balance]]-Amortization[[#This Row],[principal]])</f>
        <v>204210.50148553069</v>
      </c>
      <c r="J309" s="247">
        <f ca="1">IF(Amortization[[#This Row],[closing
balance]]&gt;0,LastRow-ROW(),0)</f>
        <v>54</v>
      </c>
    </row>
    <row r="310" spans="2:10" ht="15" customHeight="1" x14ac:dyDescent="0.25">
      <c r="B310" s="249">
        <f>ROWS($B$4:B310)</f>
        <v>307</v>
      </c>
      <c r="C310" s="248">
        <f ca="1">IF(ValuesEntered,IF(Amortization[[#This Row],['#]]&lt;=DurationOfLoan,IF(ROW()-ROW(Amortization[[#Headers],[payment
date]])=1,LoanStart,IF(I309&gt;0,EDATE(C309,1),"")),""),"")</f>
        <v>54372</v>
      </c>
      <c r="D310" s="235">
        <f ca="1">IF(ROW()-ROW(Amortization[[#Headers],[opening
balance]])=1,LoanAmount,IF(Amortization[[#This Row],[payment
date]]="",0,INDEX(Amortization[], ROW()-4,8)))</f>
        <v>204210.50148553069</v>
      </c>
      <c r="E310" s="235">
        <f ca="1">IF(ValuesEntered,IF(ROW()-ROW(Amortization[[#Headers],[interest]])=1,-IPMT(InterestRate/12,1,DurationOfLoan-ROWS($C$4:C310)+1,Amortization[[#This Row],[opening
balance]]),IFERROR(-IPMT(InterestRate/12,1,Amortization[[#This Row],['#
remaining]],D311),0)),0)</f>
        <v>501.68407253860454</v>
      </c>
      <c r="F310" s="235">
        <f ca="1">IFERROR(IF(AND(ValuesEntered,Amortization[[#This Row],[payment
date]]&lt;&gt;""),-PPMT(InterestRate/12,1,DurationOfLoan-ROWS($C$4:C310)+1,Amortization[[#This Row],[opening
balance]]),""),0)</f>
        <v>3536.8724700888997</v>
      </c>
      <c r="G310" s="235">
        <f ca="1">IF(Amortization[[#This Row],[payment
date]]="",0,PropertyTaxAmount)</f>
        <v>375</v>
      </c>
      <c r="H310" s="235">
        <f ca="1">IF(Amortization[[#This Row],[payment
date]]="",0,Amortization[[#This Row],[interest]]+Amortization[[#This Row],[principal]]+Amortization[[#This Row],[property
tax]])</f>
        <v>4413.5565426275043</v>
      </c>
      <c r="I310" s="235">
        <f ca="1">IF(Amortization[[#This Row],[payment
date]]="",0,Amortization[[#This Row],[opening
balance]]-Amortization[[#This Row],[principal]])</f>
        <v>200673.62901544181</v>
      </c>
      <c r="J310" s="247">
        <f ca="1">IF(Amortization[[#This Row],[closing
balance]]&gt;0,LastRow-ROW(),0)</f>
        <v>53</v>
      </c>
    </row>
    <row r="311" spans="2:10" ht="15" customHeight="1" x14ac:dyDescent="0.25">
      <c r="B311" s="249">
        <f>ROWS($B$4:B311)</f>
        <v>308</v>
      </c>
      <c r="C311" s="248">
        <f ca="1">IF(ValuesEntered,IF(Amortization[[#This Row],['#]]&lt;=DurationOfLoan,IF(ROW()-ROW(Amortization[[#Headers],[payment
date]])=1,LoanStart,IF(I310&gt;0,EDATE(C310,1),"")),""),"")</f>
        <v>54402</v>
      </c>
      <c r="D311" s="235">
        <f ca="1">IF(ROW()-ROW(Amortization[[#Headers],[opening
balance]])=1,LoanAmount,IF(Amortization[[#This Row],[payment
date]]="",0,INDEX(Amortization[], ROW()-4,8)))</f>
        <v>200673.62901544181</v>
      </c>
      <c r="E311" s="235">
        <f ca="1">IF(ValuesEntered,IF(ROW()-ROW(Amortization[[#Headers],[interest]])=1,-IPMT(InterestRate/12,1,DurationOfLoan-ROWS($C$4:C311)+1,Amortization[[#This Row],[opening
balance]]),IFERROR(-IPMT(InterestRate/12,1,Amortization[[#This Row],['#
remaining]],D312),0)),0)</f>
        <v>492.81978591044418</v>
      </c>
      <c r="F311" s="235">
        <f ca="1">IFERROR(IF(AND(ValuesEntered,Amortization[[#This Row],[payment
date]]&lt;&gt;""),-PPMT(InterestRate/12,1,DurationOfLoan-ROWS($C$4:C311)+1,Amortization[[#This Row],[opening
balance]]),""),0)</f>
        <v>3545.7146512641229</v>
      </c>
      <c r="G311" s="235">
        <f ca="1">IF(Amortization[[#This Row],[payment
date]]="",0,PropertyTaxAmount)</f>
        <v>375</v>
      </c>
      <c r="H311" s="235">
        <f ca="1">IF(Amortization[[#This Row],[payment
date]]="",0,Amortization[[#This Row],[interest]]+Amortization[[#This Row],[principal]]+Amortization[[#This Row],[property
tax]])</f>
        <v>4413.5344371745668</v>
      </c>
      <c r="I311" s="235">
        <f ca="1">IF(Amortization[[#This Row],[payment
date]]="",0,Amortization[[#This Row],[opening
balance]]-Amortization[[#This Row],[principal]])</f>
        <v>197127.91436417768</v>
      </c>
      <c r="J311" s="247">
        <f ca="1">IF(Amortization[[#This Row],[closing
balance]]&gt;0,LastRow-ROW(),0)</f>
        <v>52</v>
      </c>
    </row>
    <row r="312" spans="2:10" ht="15" customHeight="1" x14ac:dyDescent="0.25">
      <c r="B312" s="249">
        <f>ROWS($B$4:B312)</f>
        <v>309</v>
      </c>
      <c r="C312" s="248">
        <f ca="1">IF(ValuesEntered,IF(Amortization[[#This Row],['#]]&lt;=DurationOfLoan,IF(ROW()-ROW(Amortization[[#Headers],[payment
date]])=1,LoanStart,IF(I311&gt;0,EDATE(C311,1),"")),""),"")</f>
        <v>54433</v>
      </c>
      <c r="D312" s="235">
        <f ca="1">IF(ROW()-ROW(Amortization[[#Headers],[opening
balance]])=1,LoanAmount,IF(Amortization[[#This Row],[payment
date]]="",0,INDEX(Amortization[], ROW()-4,8)))</f>
        <v>197127.91436417768</v>
      </c>
      <c r="E312" s="235">
        <f ca="1">IF(ValuesEntered,IF(ROW()-ROW(Amortization[[#Headers],[interest]])=1,-IPMT(InterestRate/12,1,DurationOfLoan-ROWS($C$4:C312)+1,Amortization[[#This Row],[opening
balance]]),IFERROR(-IPMT(InterestRate/12,1,Amortization[[#This Row],['#
remaining]],D313),0)),0)</f>
        <v>483.93333856571348</v>
      </c>
      <c r="F312" s="235">
        <f ca="1">IFERROR(IF(AND(ValuesEntered,Amortization[[#This Row],[payment
date]]&lt;&gt;""),-PPMT(InterestRate/12,1,DurationOfLoan-ROWS($C$4:C312)+1,Amortization[[#This Row],[opening
balance]]),""),0)</f>
        <v>3554.5789378922836</v>
      </c>
      <c r="G312" s="235">
        <f ca="1">IF(Amortization[[#This Row],[payment
date]]="",0,PropertyTaxAmount)</f>
        <v>375</v>
      </c>
      <c r="H312" s="235">
        <f ca="1">IF(Amortization[[#This Row],[payment
date]]="",0,Amortization[[#This Row],[interest]]+Amortization[[#This Row],[principal]]+Amortization[[#This Row],[property
tax]])</f>
        <v>4413.5122764579974</v>
      </c>
      <c r="I312" s="235">
        <f ca="1">IF(Amortization[[#This Row],[payment
date]]="",0,Amortization[[#This Row],[opening
balance]]-Amortization[[#This Row],[principal]])</f>
        <v>193573.3354262854</v>
      </c>
      <c r="J312" s="247">
        <f ca="1">IF(Amortization[[#This Row],[closing
balance]]&gt;0,LastRow-ROW(),0)</f>
        <v>51</v>
      </c>
    </row>
    <row r="313" spans="2:10" ht="15" customHeight="1" x14ac:dyDescent="0.25">
      <c r="B313" s="249">
        <f>ROWS($B$4:B313)</f>
        <v>310</v>
      </c>
      <c r="C313" s="248">
        <f ca="1">IF(ValuesEntered,IF(Amortization[[#This Row],['#]]&lt;=DurationOfLoan,IF(ROW()-ROW(Amortization[[#Headers],[payment
date]])=1,LoanStart,IF(I312&gt;0,EDATE(C312,1),"")),""),"")</f>
        <v>54464</v>
      </c>
      <c r="D313" s="235">
        <f ca="1">IF(ROW()-ROW(Amortization[[#Headers],[opening
balance]])=1,LoanAmount,IF(Amortization[[#This Row],[payment
date]]="",0,INDEX(Amortization[], ROW()-4,8)))</f>
        <v>193573.3354262854</v>
      </c>
      <c r="E313" s="235">
        <f ca="1">IF(ValuesEntered,IF(ROW()-ROW(Amortization[[#Headers],[interest]])=1,-IPMT(InterestRate/12,1,DurationOfLoan-ROWS($C$4:C313)+1,Amortization[[#This Row],[opening
balance]]),IFERROR(-IPMT(InterestRate/12,1,Amortization[[#This Row],['#
remaining]],D314),0)),0)</f>
        <v>475.02467510262096</v>
      </c>
      <c r="F313" s="235">
        <f ca="1">IFERROR(IF(AND(ValuesEntered,Amortization[[#This Row],[payment
date]]&lt;&gt;""),-PPMT(InterestRate/12,1,DurationOfLoan-ROWS($C$4:C313)+1,Amortization[[#This Row],[opening
balance]]),""),0)</f>
        <v>3563.4653852370143</v>
      </c>
      <c r="G313" s="235">
        <f ca="1">IF(Amortization[[#This Row],[payment
date]]="",0,PropertyTaxAmount)</f>
        <v>375</v>
      </c>
      <c r="H313" s="235">
        <f ca="1">IF(Amortization[[#This Row],[payment
date]]="",0,Amortization[[#This Row],[interest]]+Amortization[[#This Row],[principal]]+Amortization[[#This Row],[property
tax]])</f>
        <v>4413.4900603396354</v>
      </c>
      <c r="I313" s="235">
        <f ca="1">IF(Amortization[[#This Row],[payment
date]]="",0,Amortization[[#This Row],[opening
balance]]-Amortization[[#This Row],[principal]])</f>
        <v>190009.87004104839</v>
      </c>
      <c r="J313" s="247">
        <f ca="1">IF(Amortization[[#This Row],[closing
balance]]&gt;0,LastRow-ROW(),0)</f>
        <v>50</v>
      </c>
    </row>
    <row r="314" spans="2:10" ht="15" customHeight="1" x14ac:dyDescent="0.25">
      <c r="B314" s="249">
        <f>ROWS($B$4:B314)</f>
        <v>311</v>
      </c>
      <c r="C314" s="248">
        <f ca="1">IF(ValuesEntered,IF(Amortization[[#This Row],['#]]&lt;=DurationOfLoan,IF(ROW()-ROW(Amortization[[#Headers],[payment
date]])=1,LoanStart,IF(I313&gt;0,EDATE(C313,1),"")),""),"")</f>
        <v>54492</v>
      </c>
      <c r="D314" s="235">
        <f ca="1">IF(ROW()-ROW(Amortization[[#Headers],[opening
balance]])=1,LoanAmount,IF(Amortization[[#This Row],[payment
date]]="",0,INDEX(Amortization[], ROW()-4,8)))</f>
        <v>190009.87004104839</v>
      </c>
      <c r="E314" s="235">
        <f ca="1">IF(ValuesEntered,IF(ROW()-ROW(Amortization[[#Headers],[interest]])=1,-IPMT(InterestRate/12,1,DurationOfLoan-ROWS($C$4:C314)+1,Amortization[[#This Row],[opening
balance]]),IFERROR(-IPMT(InterestRate/12,1,Amortization[[#This Row],['#
remaining]],D315),0)),0)</f>
        <v>466.09373998087068</v>
      </c>
      <c r="F314" s="235">
        <f ca="1">IFERROR(IF(AND(ValuesEntered,Amortization[[#This Row],[payment
date]]&lt;&gt;""),-PPMT(InterestRate/12,1,DurationOfLoan-ROWS($C$4:C314)+1,Amortization[[#This Row],[opening
balance]]),""),0)</f>
        <v>3572.3740487001069</v>
      </c>
      <c r="G314" s="235">
        <f ca="1">IF(Amortization[[#This Row],[payment
date]]="",0,PropertyTaxAmount)</f>
        <v>375</v>
      </c>
      <c r="H314" s="235">
        <f ca="1">IF(Amortization[[#This Row],[payment
date]]="",0,Amortization[[#This Row],[interest]]+Amortization[[#This Row],[principal]]+Amortization[[#This Row],[property
tax]])</f>
        <v>4413.4677886809777</v>
      </c>
      <c r="I314" s="235">
        <f ca="1">IF(Amortization[[#This Row],[payment
date]]="",0,Amortization[[#This Row],[opening
balance]]-Amortization[[#This Row],[principal]])</f>
        <v>186437.49599234827</v>
      </c>
      <c r="J314" s="247">
        <f ca="1">IF(Amortization[[#This Row],[closing
balance]]&gt;0,LastRow-ROW(),0)</f>
        <v>49</v>
      </c>
    </row>
    <row r="315" spans="2:10" ht="15" customHeight="1" x14ac:dyDescent="0.25">
      <c r="B315" s="249">
        <f>ROWS($B$4:B315)</f>
        <v>312</v>
      </c>
      <c r="C315" s="248">
        <f ca="1">IF(ValuesEntered,IF(Amortization[[#This Row],['#]]&lt;=DurationOfLoan,IF(ROW()-ROW(Amortization[[#Headers],[payment
date]])=1,LoanStart,IF(I314&gt;0,EDATE(C314,1),"")),""),"")</f>
        <v>54523</v>
      </c>
      <c r="D315" s="235">
        <f ca="1">IF(ROW()-ROW(Amortization[[#Headers],[opening
balance]])=1,LoanAmount,IF(Amortization[[#This Row],[payment
date]]="",0,INDEX(Amortization[], ROW()-4,8)))</f>
        <v>186437.49599234827</v>
      </c>
      <c r="E315" s="235">
        <f ca="1">IF(ValuesEntered,IF(ROW()-ROW(Amortization[[#Headers],[interest]])=1,-IPMT(InterestRate/12,1,DurationOfLoan-ROWS($C$4:C315)+1,Amortization[[#This Row],[opening
balance]]),IFERROR(-IPMT(InterestRate/12,1,Amortization[[#This Row],['#
remaining]],D316),0)),0)</f>
        <v>457.14047752131609</v>
      </c>
      <c r="F315" s="235">
        <f ca="1">IFERROR(IF(AND(ValuesEntered,Amortization[[#This Row],[payment
date]]&lt;&gt;""),-PPMT(InterestRate/12,1,DurationOfLoan-ROWS($C$4:C315)+1,Amortization[[#This Row],[opening
balance]]),""),0)</f>
        <v>3581.3049838218567</v>
      </c>
      <c r="G315" s="235">
        <f ca="1">IF(Amortization[[#This Row],[payment
date]]="",0,PropertyTaxAmount)</f>
        <v>375</v>
      </c>
      <c r="H315" s="235">
        <f ca="1">IF(Amortization[[#This Row],[payment
date]]="",0,Amortization[[#This Row],[interest]]+Amortization[[#This Row],[principal]]+Amortization[[#This Row],[property
tax]])</f>
        <v>4413.4454613431726</v>
      </c>
      <c r="I315" s="235">
        <f ca="1">IF(Amortization[[#This Row],[payment
date]]="",0,Amortization[[#This Row],[opening
balance]]-Amortization[[#This Row],[principal]])</f>
        <v>182856.19100852642</v>
      </c>
      <c r="J315" s="247">
        <f ca="1">IF(Amortization[[#This Row],[closing
balance]]&gt;0,LastRow-ROW(),0)</f>
        <v>48</v>
      </c>
    </row>
    <row r="316" spans="2:10" ht="15" customHeight="1" x14ac:dyDescent="0.25">
      <c r="B316" s="249">
        <f>ROWS($B$4:B316)</f>
        <v>313</v>
      </c>
      <c r="C316" s="248">
        <f ca="1">IF(ValuesEntered,IF(Amortization[[#This Row],['#]]&lt;=DurationOfLoan,IF(ROW()-ROW(Amortization[[#Headers],[payment
date]])=1,LoanStart,IF(I315&gt;0,EDATE(C315,1),"")),""),"")</f>
        <v>54553</v>
      </c>
      <c r="D316" s="235">
        <f ca="1">IF(ROW()-ROW(Amortization[[#Headers],[opening
balance]])=1,LoanAmount,IF(Amortization[[#This Row],[payment
date]]="",0,INDEX(Amortization[], ROW()-4,8)))</f>
        <v>182856.19100852642</v>
      </c>
      <c r="E316" s="235">
        <f ca="1">IF(ValuesEntered,IF(ROW()-ROW(Amortization[[#Headers],[interest]])=1,-IPMT(InterestRate/12,1,DurationOfLoan-ROWS($C$4:C316)+1,Amortization[[#This Row],[opening
balance]]),IFERROR(-IPMT(InterestRate/12,1,Amortization[[#This Row],['#
remaining]],D317),0)),0)</f>
        <v>448.16483190561252</v>
      </c>
      <c r="F316" s="235">
        <f ca="1">IFERROR(IF(AND(ValuesEntered,Amortization[[#This Row],[payment
date]]&lt;&gt;""),-PPMT(InterestRate/12,1,DurationOfLoan-ROWS($C$4:C316)+1,Amortization[[#This Row],[opening
balance]]),""),0)</f>
        <v>3590.2582462814121</v>
      </c>
      <c r="G316" s="235">
        <f ca="1">IF(Amortization[[#This Row],[payment
date]]="",0,PropertyTaxAmount)</f>
        <v>375</v>
      </c>
      <c r="H316" s="235">
        <f ca="1">IF(Amortization[[#This Row],[payment
date]]="",0,Amortization[[#This Row],[interest]]+Amortization[[#This Row],[principal]]+Amortization[[#This Row],[property
tax]])</f>
        <v>4413.4230781870247</v>
      </c>
      <c r="I316" s="235">
        <f ca="1">IF(Amortization[[#This Row],[payment
date]]="",0,Amortization[[#This Row],[opening
balance]]-Amortization[[#This Row],[principal]])</f>
        <v>179265.93276224501</v>
      </c>
      <c r="J316" s="247">
        <f ca="1">IF(Amortization[[#This Row],[closing
balance]]&gt;0,LastRow-ROW(),0)</f>
        <v>47</v>
      </c>
    </row>
    <row r="317" spans="2:10" ht="15" customHeight="1" x14ac:dyDescent="0.25">
      <c r="B317" s="249">
        <f>ROWS($B$4:B317)</f>
        <v>314</v>
      </c>
      <c r="C317" s="248">
        <f ca="1">IF(ValuesEntered,IF(Amortization[[#This Row],['#]]&lt;=DurationOfLoan,IF(ROW()-ROW(Amortization[[#Headers],[payment
date]])=1,LoanStart,IF(I316&gt;0,EDATE(C316,1),"")),""),"")</f>
        <v>54584</v>
      </c>
      <c r="D317" s="235">
        <f ca="1">IF(ROW()-ROW(Amortization[[#Headers],[opening
balance]])=1,LoanAmount,IF(Amortization[[#This Row],[payment
date]]="",0,INDEX(Amortization[], ROW()-4,8)))</f>
        <v>179265.93276224501</v>
      </c>
      <c r="E317" s="235">
        <f ca="1">IF(ValuesEntered,IF(ROW()-ROW(Amortization[[#Headers],[interest]])=1,-IPMT(InterestRate/12,1,DurationOfLoan-ROWS($C$4:C317)+1,Amortization[[#This Row],[opening
balance]]),IFERROR(-IPMT(InterestRate/12,1,Amortization[[#This Row],['#
remaining]],D318),0)),0)</f>
        <v>439.16674717586977</v>
      </c>
      <c r="F317" s="235">
        <f ca="1">IFERROR(IF(AND(ValuesEntered,Amortization[[#This Row],[payment
date]]&lt;&gt;""),-PPMT(InterestRate/12,1,DurationOfLoan-ROWS($C$4:C317)+1,Amortization[[#This Row],[opening
balance]]),""),0)</f>
        <v>3599.233891897115</v>
      </c>
      <c r="G317" s="235">
        <f ca="1">IF(Amortization[[#This Row],[payment
date]]="",0,PropertyTaxAmount)</f>
        <v>375</v>
      </c>
      <c r="H317" s="235">
        <f ca="1">IF(Amortization[[#This Row],[payment
date]]="",0,Amortization[[#This Row],[interest]]+Amortization[[#This Row],[principal]]+Amortization[[#This Row],[property
tax]])</f>
        <v>4413.4006390729846</v>
      </c>
      <c r="I317" s="235">
        <f ca="1">IF(Amortization[[#This Row],[payment
date]]="",0,Amortization[[#This Row],[opening
balance]]-Amortization[[#This Row],[principal]])</f>
        <v>175666.6988703479</v>
      </c>
      <c r="J317" s="247">
        <f ca="1">IF(Amortization[[#This Row],[closing
balance]]&gt;0,LastRow-ROW(),0)</f>
        <v>46</v>
      </c>
    </row>
    <row r="318" spans="2:10" ht="15" customHeight="1" x14ac:dyDescent="0.25">
      <c r="B318" s="249">
        <f>ROWS($B$4:B318)</f>
        <v>315</v>
      </c>
      <c r="C318" s="248">
        <f ca="1">IF(ValuesEntered,IF(Amortization[[#This Row],['#]]&lt;=DurationOfLoan,IF(ROW()-ROW(Amortization[[#Headers],[payment
date]])=1,LoanStart,IF(I317&gt;0,EDATE(C317,1),"")),""),"")</f>
        <v>54614</v>
      </c>
      <c r="D318" s="235">
        <f ca="1">IF(ROW()-ROW(Amortization[[#Headers],[opening
balance]])=1,LoanAmount,IF(Amortization[[#This Row],[payment
date]]="",0,INDEX(Amortization[], ROW()-4,8)))</f>
        <v>175666.6988703479</v>
      </c>
      <c r="E318" s="235">
        <f ca="1">IF(ValuesEntered,IF(ROW()-ROW(Amortization[[#Headers],[interest]])=1,-IPMT(InterestRate/12,1,DurationOfLoan-ROWS($C$4:C318)+1,Amortization[[#This Row],[opening
balance]]),IFERROR(-IPMT(InterestRate/12,1,Amortization[[#This Row],['#
remaining]],D319),0)),0)</f>
        <v>430.14616723430265</v>
      </c>
      <c r="F318" s="235">
        <f ca="1">IFERROR(IF(AND(ValuesEntered,Amortization[[#This Row],[payment
date]]&lt;&gt;""),-PPMT(InterestRate/12,1,DurationOfLoan-ROWS($C$4:C318)+1,Amortization[[#This Row],[opening
balance]]),""),0)</f>
        <v>3608.2319766268579</v>
      </c>
      <c r="G318" s="235">
        <f ca="1">IF(Amortization[[#This Row],[payment
date]]="",0,PropertyTaxAmount)</f>
        <v>375</v>
      </c>
      <c r="H318" s="235">
        <f ca="1">IF(Amortization[[#This Row],[payment
date]]="",0,Amortization[[#This Row],[interest]]+Amortization[[#This Row],[principal]]+Amortization[[#This Row],[property
tax]])</f>
        <v>4413.3781438611604</v>
      </c>
      <c r="I318" s="235">
        <f ca="1">IF(Amortization[[#This Row],[payment
date]]="",0,Amortization[[#This Row],[opening
balance]]-Amortization[[#This Row],[principal]])</f>
        <v>172058.46689372105</v>
      </c>
      <c r="J318" s="247">
        <f ca="1">IF(Amortization[[#This Row],[closing
balance]]&gt;0,LastRow-ROW(),0)</f>
        <v>45</v>
      </c>
    </row>
    <row r="319" spans="2:10" ht="15" customHeight="1" x14ac:dyDescent="0.25">
      <c r="B319" s="249">
        <f>ROWS($B$4:B319)</f>
        <v>316</v>
      </c>
      <c r="C319" s="248">
        <f ca="1">IF(ValuesEntered,IF(Amortization[[#This Row],['#]]&lt;=DurationOfLoan,IF(ROW()-ROW(Amortization[[#Headers],[payment
date]])=1,LoanStart,IF(I318&gt;0,EDATE(C318,1),"")),""),"")</f>
        <v>54645</v>
      </c>
      <c r="D319" s="235">
        <f ca="1">IF(ROW()-ROW(Amortization[[#Headers],[opening
balance]])=1,LoanAmount,IF(Amortization[[#This Row],[payment
date]]="",0,INDEX(Amortization[], ROW()-4,8)))</f>
        <v>172058.46689372105</v>
      </c>
      <c r="E319" s="235">
        <f ca="1">IF(ValuesEntered,IF(ROW()-ROW(Amortization[[#Headers],[interest]])=1,-IPMT(InterestRate/12,1,DurationOfLoan-ROWS($C$4:C319)+1,Amortization[[#This Row],[opening
balance]]),IFERROR(-IPMT(InterestRate/12,1,Amortization[[#This Row],['#
remaining]],D320),0)),0)</f>
        <v>421.10303584288158</v>
      </c>
      <c r="F319" s="235">
        <f ca="1">IFERROR(IF(AND(ValuesEntered,Amortization[[#This Row],[payment
date]]&lt;&gt;""),-PPMT(InterestRate/12,1,DurationOfLoan-ROWS($C$4:C319)+1,Amortization[[#This Row],[opening
balance]]),""),0)</f>
        <v>3617.252556568425</v>
      </c>
      <c r="G319" s="235">
        <f ca="1">IF(Amortization[[#This Row],[payment
date]]="",0,PropertyTaxAmount)</f>
        <v>375</v>
      </c>
      <c r="H319" s="235">
        <f ca="1">IF(Amortization[[#This Row],[payment
date]]="",0,Amortization[[#This Row],[interest]]+Amortization[[#This Row],[principal]]+Amortization[[#This Row],[property
tax]])</f>
        <v>4413.3555924113061</v>
      </c>
      <c r="I319" s="235">
        <f ca="1">IF(Amortization[[#This Row],[payment
date]]="",0,Amortization[[#This Row],[opening
balance]]-Amortization[[#This Row],[principal]])</f>
        <v>168441.21433715263</v>
      </c>
      <c r="J319" s="247">
        <f ca="1">IF(Amortization[[#This Row],[closing
balance]]&gt;0,LastRow-ROW(),0)</f>
        <v>44</v>
      </c>
    </row>
    <row r="320" spans="2:10" ht="15" customHeight="1" x14ac:dyDescent="0.25">
      <c r="B320" s="249">
        <f>ROWS($B$4:B320)</f>
        <v>317</v>
      </c>
      <c r="C320" s="248">
        <f ca="1">IF(ValuesEntered,IF(Amortization[[#This Row],['#]]&lt;=DurationOfLoan,IF(ROW()-ROW(Amortization[[#Headers],[payment
date]])=1,LoanStart,IF(I319&gt;0,EDATE(C319,1),"")),""),"")</f>
        <v>54676</v>
      </c>
      <c r="D320" s="235">
        <f ca="1">IF(ROW()-ROW(Amortization[[#Headers],[opening
balance]])=1,LoanAmount,IF(Amortization[[#This Row],[payment
date]]="",0,INDEX(Amortization[], ROW()-4,8)))</f>
        <v>168441.21433715263</v>
      </c>
      <c r="E320" s="235">
        <f ca="1">IF(ValuesEntered,IF(ROW()-ROW(Amortization[[#Headers],[interest]])=1,-IPMT(InterestRate/12,1,DurationOfLoan-ROWS($C$4:C320)+1,Amortization[[#This Row],[opening
balance]]),IFERROR(-IPMT(InterestRate/12,1,Amortization[[#This Row],['#
remaining]],D321),0)),0)</f>
        <v>412.03729662298196</v>
      </c>
      <c r="F320" s="235">
        <f ca="1">IFERROR(IF(AND(ValuesEntered,Amortization[[#This Row],[payment
date]]&lt;&gt;""),-PPMT(InterestRate/12,1,DurationOfLoan-ROWS($C$4:C320)+1,Amortization[[#This Row],[opening
balance]]),""),0)</f>
        <v>3626.2956879598469</v>
      </c>
      <c r="G320" s="235">
        <f ca="1">IF(Amortization[[#This Row],[payment
date]]="",0,PropertyTaxAmount)</f>
        <v>375</v>
      </c>
      <c r="H320" s="235">
        <f ca="1">IF(Amortization[[#This Row],[payment
date]]="",0,Amortization[[#This Row],[interest]]+Amortization[[#This Row],[principal]]+Amortization[[#This Row],[property
tax]])</f>
        <v>4413.3329845828284</v>
      </c>
      <c r="I320" s="235">
        <f ca="1">IF(Amortization[[#This Row],[payment
date]]="",0,Amortization[[#This Row],[opening
balance]]-Amortization[[#This Row],[principal]])</f>
        <v>164814.91864919278</v>
      </c>
      <c r="J320" s="247">
        <f ca="1">IF(Amortization[[#This Row],[closing
balance]]&gt;0,LastRow-ROW(),0)</f>
        <v>43</v>
      </c>
    </row>
    <row r="321" spans="2:10" ht="15" customHeight="1" x14ac:dyDescent="0.25">
      <c r="B321" s="249">
        <f>ROWS($B$4:B321)</f>
        <v>318</v>
      </c>
      <c r="C321" s="248">
        <f ca="1">IF(ValuesEntered,IF(Amortization[[#This Row],['#]]&lt;=DurationOfLoan,IF(ROW()-ROW(Amortization[[#Headers],[payment
date]])=1,LoanStart,IF(I320&gt;0,EDATE(C320,1),"")),""),"")</f>
        <v>54706</v>
      </c>
      <c r="D321" s="235">
        <f ca="1">IF(ROW()-ROW(Amortization[[#Headers],[opening
balance]])=1,LoanAmount,IF(Amortization[[#This Row],[payment
date]]="",0,INDEX(Amortization[], ROW()-4,8)))</f>
        <v>164814.91864919278</v>
      </c>
      <c r="E321" s="235">
        <f ca="1">IF(ValuesEntered,IF(ROW()-ROW(Amortization[[#Headers],[interest]])=1,-IPMT(InterestRate/12,1,DurationOfLoan-ROWS($C$4:C321)+1,Amortization[[#This Row],[opening
balance]]),IFERROR(-IPMT(InterestRate/12,1,Amortization[[#This Row],['#
remaining]],D322),0)),0)</f>
        <v>402.94889305503261</v>
      </c>
      <c r="F321" s="235">
        <f ca="1">IFERROR(IF(AND(ValuesEntered,Amortization[[#This Row],[payment
date]]&lt;&gt;""),-PPMT(InterestRate/12,1,DurationOfLoan-ROWS($C$4:C321)+1,Amortization[[#This Row],[opening
balance]]),""),0)</f>
        <v>3635.361427179746</v>
      </c>
      <c r="G321" s="235">
        <f ca="1">IF(Amortization[[#This Row],[payment
date]]="",0,PropertyTaxAmount)</f>
        <v>375</v>
      </c>
      <c r="H321" s="235">
        <f ca="1">IF(Amortization[[#This Row],[payment
date]]="",0,Amortization[[#This Row],[interest]]+Amortization[[#This Row],[principal]]+Amortization[[#This Row],[property
tax]])</f>
        <v>4413.3103202347784</v>
      </c>
      <c r="I321" s="235">
        <f ca="1">IF(Amortization[[#This Row],[payment
date]]="",0,Amortization[[#This Row],[opening
balance]]-Amortization[[#This Row],[principal]])</f>
        <v>161179.55722201304</v>
      </c>
      <c r="J321" s="247">
        <f ca="1">IF(Amortization[[#This Row],[closing
balance]]&gt;0,LastRow-ROW(),0)</f>
        <v>42</v>
      </c>
    </row>
    <row r="322" spans="2:10" ht="15" customHeight="1" x14ac:dyDescent="0.25">
      <c r="B322" s="249">
        <f>ROWS($B$4:B322)</f>
        <v>319</v>
      </c>
      <c r="C322" s="248">
        <f ca="1">IF(ValuesEntered,IF(Amortization[[#This Row],['#]]&lt;=DurationOfLoan,IF(ROW()-ROW(Amortization[[#Headers],[payment
date]])=1,LoanStart,IF(I321&gt;0,EDATE(C321,1),"")),""),"")</f>
        <v>54737</v>
      </c>
      <c r="D322" s="235">
        <f ca="1">IF(ROW()-ROW(Amortization[[#Headers],[opening
balance]])=1,LoanAmount,IF(Amortization[[#This Row],[payment
date]]="",0,INDEX(Amortization[], ROW()-4,8)))</f>
        <v>161179.55722201304</v>
      </c>
      <c r="E322" s="235">
        <f ca="1">IF(ValuesEntered,IF(ROW()-ROW(Amortization[[#Headers],[interest]])=1,-IPMT(InterestRate/12,1,DurationOfLoan-ROWS($C$4:C322)+1,Amortization[[#This Row],[opening
balance]]),IFERROR(-IPMT(InterestRate/12,1,Amortization[[#This Row],['#
remaining]],D323),0)),0)</f>
        <v>393.83776847816335</v>
      </c>
      <c r="F322" s="235">
        <f ca="1">IFERROR(IF(AND(ValuesEntered,Amortization[[#This Row],[payment
date]]&lt;&gt;""),-PPMT(InterestRate/12,1,DurationOfLoan-ROWS($C$4:C322)+1,Amortization[[#This Row],[opening
balance]]),""),0)</f>
        <v>3644.4498307476956</v>
      </c>
      <c r="G322" s="235">
        <f ca="1">IF(Amortization[[#This Row],[payment
date]]="",0,PropertyTaxAmount)</f>
        <v>375</v>
      </c>
      <c r="H322" s="235">
        <f ca="1">IF(Amortization[[#This Row],[payment
date]]="",0,Amortization[[#This Row],[interest]]+Amortization[[#This Row],[principal]]+Amortization[[#This Row],[property
tax]])</f>
        <v>4413.2875992258596</v>
      </c>
      <c r="I322" s="235">
        <f ca="1">IF(Amortization[[#This Row],[payment
date]]="",0,Amortization[[#This Row],[opening
balance]]-Amortization[[#This Row],[principal]])</f>
        <v>157535.10739126534</v>
      </c>
      <c r="J322" s="247">
        <f ca="1">IF(Amortization[[#This Row],[closing
balance]]&gt;0,LastRow-ROW(),0)</f>
        <v>41</v>
      </c>
    </row>
    <row r="323" spans="2:10" ht="15" customHeight="1" x14ac:dyDescent="0.25">
      <c r="B323" s="249">
        <f>ROWS($B$4:B323)</f>
        <v>320</v>
      </c>
      <c r="C323" s="248">
        <f ca="1">IF(ValuesEntered,IF(Amortization[[#This Row],['#]]&lt;=DurationOfLoan,IF(ROW()-ROW(Amortization[[#Headers],[payment
date]])=1,LoanStart,IF(I322&gt;0,EDATE(C322,1),"")),""),"")</f>
        <v>54767</v>
      </c>
      <c r="D323" s="235">
        <f ca="1">IF(ROW()-ROW(Amortization[[#Headers],[opening
balance]])=1,LoanAmount,IF(Amortization[[#This Row],[payment
date]]="",0,INDEX(Amortization[], ROW()-4,8)))</f>
        <v>157535.10739126534</v>
      </c>
      <c r="E323" s="235">
        <f ca="1">IF(ValuesEntered,IF(ROW()-ROW(Amortization[[#Headers],[interest]])=1,-IPMT(InterestRate/12,1,DurationOfLoan-ROWS($C$4:C323)+1,Amortization[[#This Row],[opening
balance]]),IFERROR(-IPMT(InterestRate/12,1,Amortization[[#This Row],['#
remaining]],D324),0)),0)</f>
        <v>384.70386608985194</v>
      </c>
      <c r="F323" s="235">
        <f ca="1">IFERROR(IF(AND(ValuesEntered,Amortization[[#This Row],[payment
date]]&lt;&gt;""),-PPMT(InterestRate/12,1,DurationOfLoan-ROWS($C$4:C323)+1,Amortization[[#This Row],[opening
balance]]),""),0)</f>
        <v>3653.560955324564</v>
      </c>
      <c r="G323" s="235">
        <f ca="1">IF(Amortization[[#This Row],[payment
date]]="",0,PropertyTaxAmount)</f>
        <v>375</v>
      </c>
      <c r="H323" s="235">
        <f ca="1">IF(Amortization[[#This Row],[payment
date]]="",0,Amortization[[#This Row],[interest]]+Amortization[[#This Row],[principal]]+Amortization[[#This Row],[property
tax]])</f>
        <v>4413.2648214144156</v>
      </c>
      <c r="I323" s="235">
        <f ca="1">IF(Amortization[[#This Row],[payment
date]]="",0,Amortization[[#This Row],[opening
balance]]-Amortization[[#This Row],[principal]])</f>
        <v>153881.54643594078</v>
      </c>
      <c r="J323" s="247">
        <f ca="1">IF(Amortization[[#This Row],[closing
balance]]&gt;0,LastRow-ROW(),0)</f>
        <v>40</v>
      </c>
    </row>
    <row r="324" spans="2:10" ht="15" customHeight="1" x14ac:dyDescent="0.25">
      <c r="B324" s="249">
        <f>ROWS($B$4:B324)</f>
        <v>321</v>
      </c>
      <c r="C324" s="248">
        <f ca="1">IF(ValuesEntered,IF(Amortization[[#This Row],['#]]&lt;=DurationOfLoan,IF(ROW()-ROW(Amortization[[#Headers],[payment
date]])=1,LoanStart,IF(I323&gt;0,EDATE(C323,1),"")),""),"")</f>
        <v>54798</v>
      </c>
      <c r="D324" s="235">
        <f ca="1">IF(ROW()-ROW(Amortization[[#Headers],[opening
balance]])=1,LoanAmount,IF(Amortization[[#This Row],[payment
date]]="",0,INDEX(Amortization[], ROW()-4,8)))</f>
        <v>153881.54643594078</v>
      </c>
      <c r="E324" s="235">
        <f ca="1">IF(ValuesEntered,IF(ROW()-ROW(Amortization[[#Headers],[interest]])=1,-IPMT(InterestRate/12,1,DurationOfLoan-ROWS($C$4:C324)+1,Amortization[[#This Row],[opening
balance]]),IFERROR(-IPMT(InterestRate/12,1,Amortization[[#This Row],['#
remaining]],D325),0)),0)</f>
        <v>375.5471289455698</v>
      </c>
      <c r="F324" s="235">
        <f ca="1">IFERROR(IF(AND(ValuesEntered,Amortization[[#This Row],[payment
date]]&lt;&gt;""),-PPMT(InterestRate/12,1,DurationOfLoan-ROWS($C$4:C324)+1,Amortization[[#This Row],[opening
balance]]),""),0)</f>
        <v>3662.694857712876</v>
      </c>
      <c r="G324" s="235">
        <f ca="1">IF(Amortization[[#This Row],[payment
date]]="",0,PropertyTaxAmount)</f>
        <v>375</v>
      </c>
      <c r="H324" s="235">
        <f ca="1">IF(Amortization[[#This Row],[payment
date]]="",0,Amortization[[#This Row],[interest]]+Amortization[[#This Row],[principal]]+Amortization[[#This Row],[property
tax]])</f>
        <v>4413.241986658446</v>
      </c>
      <c r="I324" s="235">
        <f ca="1">IF(Amortization[[#This Row],[payment
date]]="",0,Amortization[[#This Row],[opening
balance]]-Amortization[[#This Row],[principal]])</f>
        <v>150218.85157822791</v>
      </c>
      <c r="J324" s="247">
        <f ca="1">IF(Amortization[[#This Row],[closing
balance]]&gt;0,LastRow-ROW(),0)</f>
        <v>39</v>
      </c>
    </row>
    <row r="325" spans="2:10" ht="15" customHeight="1" x14ac:dyDescent="0.25">
      <c r="B325" s="249">
        <f>ROWS($B$4:B325)</f>
        <v>322</v>
      </c>
      <c r="C325" s="248">
        <f ca="1">IF(ValuesEntered,IF(Amortization[[#This Row],['#]]&lt;=DurationOfLoan,IF(ROW()-ROW(Amortization[[#Headers],[payment
date]])=1,LoanStart,IF(I324&gt;0,EDATE(C324,1),"")),""),"")</f>
        <v>54829</v>
      </c>
      <c r="D325" s="235">
        <f ca="1">IF(ROW()-ROW(Amortization[[#Headers],[opening
balance]])=1,LoanAmount,IF(Amortization[[#This Row],[payment
date]]="",0,INDEX(Amortization[], ROW()-4,8)))</f>
        <v>150218.85157822791</v>
      </c>
      <c r="E325" s="235">
        <f ca="1">IF(ValuesEntered,IF(ROW()-ROW(Amortization[[#Headers],[interest]])=1,-IPMT(InterestRate/12,1,DurationOfLoan-ROWS($C$4:C325)+1,Amortization[[#This Row],[opening
balance]]),IFERROR(-IPMT(InterestRate/12,1,Amortization[[#This Row],['#
remaining]],D326),0)),0)</f>
        <v>366.36749995842695</v>
      </c>
      <c r="F325" s="235">
        <f ca="1">IFERROR(IF(AND(ValuesEntered,Amortization[[#This Row],[payment
date]]&lt;&gt;""),-PPMT(InterestRate/12,1,DurationOfLoan-ROWS($C$4:C325)+1,Amortization[[#This Row],[opening
balance]]),""),0)</f>
        <v>3671.8515948571585</v>
      </c>
      <c r="G325" s="235">
        <f ca="1">IF(Amortization[[#This Row],[payment
date]]="",0,PropertyTaxAmount)</f>
        <v>375</v>
      </c>
      <c r="H325" s="235">
        <f ca="1">IF(Amortization[[#This Row],[payment
date]]="",0,Amortization[[#This Row],[interest]]+Amortization[[#This Row],[principal]]+Amortization[[#This Row],[property
tax]])</f>
        <v>4413.2190948155858</v>
      </c>
      <c r="I325" s="235">
        <f ca="1">IF(Amortization[[#This Row],[payment
date]]="",0,Amortization[[#This Row],[opening
balance]]-Amortization[[#This Row],[principal]])</f>
        <v>146546.99998337077</v>
      </c>
      <c r="J325" s="247">
        <f ca="1">IF(Amortization[[#This Row],[closing
balance]]&gt;0,LastRow-ROW(),0)</f>
        <v>38</v>
      </c>
    </row>
    <row r="326" spans="2:10" ht="15" customHeight="1" x14ac:dyDescent="0.25">
      <c r="B326" s="249">
        <f>ROWS($B$4:B326)</f>
        <v>323</v>
      </c>
      <c r="C326" s="248">
        <f ca="1">IF(ValuesEntered,IF(Amortization[[#This Row],['#]]&lt;=DurationOfLoan,IF(ROW()-ROW(Amortization[[#Headers],[payment
date]])=1,LoanStart,IF(I325&gt;0,EDATE(C325,1),"")),""),"")</f>
        <v>54857</v>
      </c>
      <c r="D326" s="235">
        <f ca="1">IF(ROW()-ROW(Amortization[[#Headers],[opening
balance]])=1,LoanAmount,IF(Amortization[[#This Row],[payment
date]]="",0,INDEX(Amortization[], ROW()-4,8)))</f>
        <v>146546.99998337077</v>
      </c>
      <c r="E326" s="235">
        <f ca="1">IF(ValuesEntered,IF(ROW()-ROW(Amortization[[#Headers],[interest]])=1,-IPMT(InterestRate/12,1,DurationOfLoan-ROWS($C$4:C326)+1,Amortization[[#This Row],[opening
balance]]),IFERROR(-IPMT(InterestRate/12,1,Amortization[[#This Row],['#
remaining]],D327),0)),0)</f>
        <v>357.1649218988162</v>
      </c>
      <c r="F326" s="235">
        <f ca="1">IFERROR(IF(AND(ValuesEntered,Amortization[[#This Row],[payment
date]]&lt;&gt;""),-PPMT(InterestRate/12,1,DurationOfLoan-ROWS($C$4:C326)+1,Amortization[[#This Row],[opening
balance]]),""),0)</f>
        <v>3681.0312238443016</v>
      </c>
      <c r="G326" s="235">
        <f ca="1">IF(Amortization[[#This Row],[payment
date]]="",0,PropertyTaxAmount)</f>
        <v>375</v>
      </c>
      <c r="H326" s="235">
        <f ca="1">IF(Amortization[[#This Row],[payment
date]]="",0,Amortization[[#This Row],[interest]]+Amortization[[#This Row],[principal]]+Amortization[[#This Row],[property
tax]])</f>
        <v>4413.196145743118</v>
      </c>
      <c r="I326" s="235">
        <f ca="1">IF(Amortization[[#This Row],[payment
date]]="",0,Amortization[[#This Row],[opening
balance]]-Amortization[[#This Row],[principal]])</f>
        <v>142865.96875952647</v>
      </c>
      <c r="J326" s="247">
        <f ca="1">IF(Amortization[[#This Row],[closing
balance]]&gt;0,LastRow-ROW(),0)</f>
        <v>37</v>
      </c>
    </row>
    <row r="327" spans="2:10" ht="15" customHeight="1" x14ac:dyDescent="0.25">
      <c r="B327" s="249">
        <f>ROWS($B$4:B327)</f>
        <v>324</v>
      </c>
      <c r="C327" s="248">
        <f ca="1">IF(ValuesEntered,IF(Amortization[[#This Row],['#]]&lt;=DurationOfLoan,IF(ROW()-ROW(Amortization[[#Headers],[payment
date]])=1,LoanStart,IF(I326&gt;0,EDATE(C326,1),"")),""),"")</f>
        <v>54888</v>
      </c>
      <c r="D327" s="235">
        <f ca="1">IF(ROW()-ROW(Amortization[[#Headers],[opening
balance]])=1,LoanAmount,IF(Amortization[[#This Row],[payment
date]]="",0,INDEX(Amortization[], ROW()-4,8)))</f>
        <v>142865.96875952647</v>
      </c>
      <c r="E327" s="235">
        <f ca="1">IF(ValuesEntered,IF(ROW()-ROW(Amortization[[#Headers],[interest]])=1,-IPMT(InterestRate/12,1,DurationOfLoan-ROWS($C$4:C327)+1,Amortization[[#This Row],[opening
balance]]),IFERROR(-IPMT(InterestRate/12,1,Amortization[[#This Row],['#
remaining]],D328),0)),0)</f>
        <v>347.93933739405645</v>
      </c>
      <c r="F327" s="235">
        <f ca="1">IFERROR(IF(AND(ValuesEntered,Amortization[[#This Row],[payment
date]]&lt;&gt;""),-PPMT(InterestRate/12,1,DurationOfLoan-ROWS($C$4:C327)+1,Amortization[[#This Row],[opening
balance]]),""),0)</f>
        <v>3690.2338019039121</v>
      </c>
      <c r="G327" s="235">
        <f ca="1">IF(Amortization[[#This Row],[payment
date]]="",0,PropertyTaxAmount)</f>
        <v>375</v>
      </c>
      <c r="H327" s="235">
        <f ca="1">IF(Amortization[[#This Row],[payment
date]]="",0,Amortization[[#This Row],[interest]]+Amortization[[#This Row],[principal]]+Amortization[[#This Row],[property
tax]])</f>
        <v>4413.1731392979691</v>
      </c>
      <c r="I327" s="235">
        <f ca="1">IF(Amortization[[#This Row],[payment
date]]="",0,Amortization[[#This Row],[opening
balance]]-Amortization[[#This Row],[principal]])</f>
        <v>139175.73495762257</v>
      </c>
      <c r="J327" s="247">
        <f ca="1">IF(Amortization[[#This Row],[closing
balance]]&gt;0,LastRow-ROW(),0)</f>
        <v>36</v>
      </c>
    </row>
    <row r="328" spans="2:10" ht="15" customHeight="1" x14ac:dyDescent="0.25">
      <c r="B328" s="249">
        <f>ROWS($B$4:B328)</f>
        <v>325</v>
      </c>
      <c r="C328" s="248">
        <f ca="1">IF(ValuesEntered,IF(Amortization[[#This Row],['#]]&lt;=DurationOfLoan,IF(ROW()-ROW(Amortization[[#Headers],[payment
date]])=1,LoanStart,IF(I327&gt;0,EDATE(C327,1),"")),""),"")</f>
        <v>54918</v>
      </c>
      <c r="D328" s="235">
        <f ca="1">IF(ROW()-ROW(Amortization[[#Headers],[opening
balance]])=1,LoanAmount,IF(Amortization[[#This Row],[payment
date]]="",0,INDEX(Amortization[], ROW()-4,8)))</f>
        <v>139175.73495762257</v>
      </c>
      <c r="E328" s="235">
        <f ca="1">IF(ValuesEntered,IF(ROW()-ROW(Amortization[[#Headers],[interest]])=1,-IPMT(InterestRate/12,1,DurationOfLoan-ROWS($C$4:C328)+1,Amortization[[#This Row],[opening
balance]]),IFERROR(-IPMT(InterestRate/12,1,Amortization[[#This Row],['#
remaining]],D329),0)),0)</f>
        <v>338.69068892803472</v>
      </c>
      <c r="F328" s="235">
        <f ca="1">IFERROR(IF(AND(ValuesEntered,Amortization[[#This Row],[payment
date]]&lt;&gt;""),-PPMT(InterestRate/12,1,DurationOfLoan-ROWS($C$4:C328)+1,Amortization[[#This Row],[opening
balance]]),""),0)</f>
        <v>3699.4593864086733</v>
      </c>
      <c r="G328" s="235">
        <f ca="1">IF(Amortization[[#This Row],[payment
date]]="",0,PropertyTaxAmount)</f>
        <v>375</v>
      </c>
      <c r="H328" s="235">
        <f ca="1">IF(Amortization[[#This Row],[payment
date]]="",0,Amortization[[#This Row],[interest]]+Amortization[[#This Row],[principal]]+Amortization[[#This Row],[property
tax]])</f>
        <v>4413.1500753367081</v>
      </c>
      <c r="I328" s="235">
        <f ca="1">IF(Amortization[[#This Row],[payment
date]]="",0,Amortization[[#This Row],[opening
balance]]-Amortization[[#This Row],[principal]])</f>
        <v>135476.27557121389</v>
      </c>
      <c r="J328" s="247">
        <f ca="1">IF(Amortization[[#This Row],[closing
balance]]&gt;0,LastRow-ROW(),0)</f>
        <v>35</v>
      </c>
    </row>
    <row r="329" spans="2:10" ht="15" customHeight="1" x14ac:dyDescent="0.25">
      <c r="B329" s="249">
        <f>ROWS($B$4:B329)</f>
        <v>326</v>
      </c>
      <c r="C329" s="248">
        <f ca="1">IF(ValuesEntered,IF(Amortization[[#This Row],['#]]&lt;=DurationOfLoan,IF(ROW()-ROW(Amortization[[#Headers],[payment
date]])=1,LoanStart,IF(I328&gt;0,EDATE(C328,1),"")),""),"")</f>
        <v>54949</v>
      </c>
      <c r="D329" s="235">
        <f ca="1">IF(ROW()-ROW(Amortization[[#Headers],[opening
balance]])=1,LoanAmount,IF(Amortization[[#This Row],[payment
date]]="",0,INDEX(Amortization[], ROW()-4,8)))</f>
        <v>135476.27557121389</v>
      </c>
      <c r="E329" s="235">
        <f ca="1">IF(ValuesEntered,IF(ROW()-ROW(Amortization[[#Headers],[interest]])=1,-IPMT(InterestRate/12,1,DurationOfLoan-ROWS($C$4:C329)+1,Amortization[[#This Row],[opening
balance]]),IFERROR(-IPMT(InterestRate/12,1,Amortization[[#This Row],['#
remaining]],D330),0)),0)</f>
        <v>329.41891884084799</v>
      </c>
      <c r="F329" s="235">
        <f ca="1">IFERROR(IF(AND(ValuesEntered,Amortization[[#This Row],[payment
date]]&lt;&gt;""),-PPMT(InterestRate/12,1,DurationOfLoan-ROWS($C$4:C329)+1,Amortization[[#This Row],[opening
balance]]),""),0)</f>
        <v>3708.708034874694</v>
      </c>
      <c r="G329" s="235">
        <f ca="1">IF(Amortization[[#This Row],[payment
date]]="",0,PropertyTaxAmount)</f>
        <v>375</v>
      </c>
      <c r="H329" s="235">
        <f ca="1">IF(Amortization[[#This Row],[payment
date]]="",0,Amortization[[#This Row],[interest]]+Amortization[[#This Row],[principal]]+Amortization[[#This Row],[property
tax]])</f>
        <v>4413.1269537155422</v>
      </c>
      <c r="I329" s="235">
        <f ca="1">IF(Amortization[[#This Row],[payment
date]]="",0,Amortization[[#This Row],[opening
balance]]-Amortization[[#This Row],[principal]])</f>
        <v>131767.56753633919</v>
      </c>
      <c r="J329" s="247">
        <f ca="1">IF(Amortization[[#This Row],[closing
balance]]&gt;0,LastRow-ROW(),0)</f>
        <v>34</v>
      </c>
    </row>
    <row r="330" spans="2:10" ht="15" customHeight="1" x14ac:dyDescent="0.25">
      <c r="B330" s="249">
        <f>ROWS($B$4:B330)</f>
        <v>327</v>
      </c>
      <c r="C330" s="248">
        <f ca="1">IF(ValuesEntered,IF(Amortization[[#This Row],['#]]&lt;=DurationOfLoan,IF(ROW()-ROW(Amortization[[#Headers],[payment
date]])=1,LoanStart,IF(I329&gt;0,EDATE(C329,1),"")),""),"")</f>
        <v>54979</v>
      </c>
      <c r="D330" s="235">
        <f ca="1">IF(ROW()-ROW(Amortization[[#Headers],[opening
balance]])=1,LoanAmount,IF(Amortization[[#This Row],[payment
date]]="",0,INDEX(Amortization[], ROW()-4,8)))</f>
        <v>131767.56753633919</v>
      </c>
      <c r="E330" s="235">
        <f ca="1">IF(ValuesEntered,IF(ROW()-ROW(Amortization[[#Headers],[interest]])=1,-IPMT(InterestRate/12,1,DurationOfLoan-ROWS($C$4:C330)+1,Amortization[[#This Row],[opening
balance]]),IFERROR(-IPMT(InterestRate/12,1,Amortization[[#This Row],['#
remaining]],D331),0)),0)</f>
        <v>320.12396932844325</v>
      </c>
      <c r="F330" s="235">
        <f ca="1">IFERROR(IF(AND(ValuesEntered,Amortization[[#This Row],[payment
date]]&lt;&gt;""),-PPMT(InterestRate/12,1,DurationOfLoan-ROWS($C$4:C330)+1,Amortization[[#This Row],[opening
balance]]),""),0)</f>
        <v>3717.9798049618803</v>
      </c>
      <c r="G330" s="235">
        <f ca="1">IF(Amortization[[#This Row],[payment
date]]="",0,PropertyTaxAmount)</f>
        <v>375</v>
      </c>
      <c r="H330" s="235">
        <f ca="1">IF(Amortization[[#This Row],[payment
date]]="",0,Amortization[[#This Row],[interest]]+Amortization[[#This Row],[principal]]+Amortization[[#This Row],[property
tax]])</f>
        <v>4413.1037742903236</v>
      </c>
      <c r="I330" s="235">
        <f ca="1">IF(Amortization[[#This Row],[payment
date]]="",0,Amortization[[#This Row],[opening
balance]]-Amortization[[#This Row],[principal]])</f>
        <v>128049.58773137731</v>
      </c>
      <c r="J330" s="247">
        <f ca="1">IF(Amortization[[#This Row],[closing
balance]]&gt;0,LastRow-ROW(),0)</f>
        <v>33</v>
      </c>
    </row>
    <row r="331" spans="2:10" ht="15" customHeight="1" x14ac:dyDescent="0.25">
      <c r="B331" s="249">
        <f>ROWS($B$4:B331)</f>
        <v>328</v>
      </c>
      <c r="C331" s="248">
        <f ca="1">IF(ValuesEntered,IF(Amortization[[#This Row],['#]]&lt;=DurationOfLoan,IF(ROW()-ROW(Amortization[[#Headers],[payment
date]])=1,LoanStart,IF(I330&gt;0,EDATE(C330,1),"")),""),"")</f>
        <v>55010</v>
      </c>
      <c r="D331" s="235">
        <f ca="1">IF(ROW()-ROW(Amortization[[#Headers],[opening
balance]])=1,LoanAmount,IF(Amortization[[#This Row],[payment
date]]="",0,INDEX(Amortization[], ROW()-4,8)))</f>
        <v>128049.58773137731</v>
      </c>
      <c r="E331" s="235">
        <f ca="1">IF(ValuesEntered,IF(ROW()-ROW(Amortization[[#Headers],[interest]])=1,-IPMT(InterestRate/12,1,DurationOfLoan-ROWS($C$4:C331)+1,Amortization[[#This Row],[opening
balance]]),IFERROR(-IPMT(InterestRate/12,1,Amortization[[#This Row],['#
remaining]],D332),0)),0)</f>
        <v>310.80578244225757</v>
      </c>
      <c r="F331" s="235">
        <f ca="1">IFERROR(IF(AND(ValuesEntered,Amortization[[#This Row],[payment
date]]&lt;&gt;""),-PPMT(InterestRate/12,1,DurationOfLoan-ROWS($C$4:C331)+1,Amortization[[#This Row],[opening
balance]]),""),0)</f>
        <v>3727.2747544742851</v>
      </c>
      <c r="G331" s="235">
        <f ca="1">IF(Amortization[[#This Row],[payment
date]]="",0,PropertyTaxAmount)</f>
        <v>375</v>
      </c>
      <c r="H331" s="235">
        <f ca="1">IF(Amortization[[#This Row],[payment
date]]="",0,Amortization[[#This Row],[interest]]+Amortization[[#This Row],[principal]]+Amortization[[#This Row],[property
tax]])</f>
        <v>4413.0805369165428</v>
      </c>
      <c r="I331" s="235">
        <f ca="1">IF(Amortization[[#This Row],[payment
date]]="",0,Amortization[[#This Row],[opening
balance]]-Amortization[[#This Row],[principal]])</f>
        <v>124322.31297690302</v>
      </c>
      <c r="J331" s="247">
        <f ca="1">IF(Amortization[[#This Row],[closing
balance]]&gt;0,LastRow-ROW(),0)</f>
        <v>32</v>
      </c>
    </row>
    <row r="332" spans="2:10" ht="15" customHeight="1" x14ac:dyDescent="0.25">
      <c r="B332" s="249">
        <f>ROWS($B$4:B332)</f>
        <v>329</v>
      </c>
      <c r="C332" s="248">
        <f ca="1">IF(ValuesEntered,IF(Amortization[[#This Row],['#]]&lt;=DurationOfLoan,IF(ROW()-ROW(Amortization[[#Headers],[payment
date]])=1,LoanStart,IF(I331&gt;0,EDATE(C331,1),"")),""),"")</f>
        <v>55041</v>
      </c>
      <c r="D332" s="235">
        <f ca="1">IF(ROW()-ROW(Amortization[[#Headers],[opening
balance]])=1,LoanAmount,IF(Amortization[[#This Row],[payment
date]]="",0,INDEX(Amortization[], ROW()-4,8)))</f>
        <v>124322.31297690302</v>
      </c>
      <c r="E332" s="235">
        <f ca="1">IF(ValuesEntered,IF(ROW()-ROW(Amortization[[#Headers],[interest]])=1,-IPMT(InterestRate/12,1,DurationOfLoan-ROWS($C$4:C332)+1,Amortization[[#This Row],[opening
balance]]),IFERROR(-IPMT(InterestRate/12,1,Amortization[[#This Row],['#
remaining]],D333),0)),0)</f>
        <v>301.46430008885636</v>
      </c>
      <c r="F332" s="235">
        <f ca="1">IFERROR(IF(AND(ValuesEntered,Amortization[[#This Row],[payment
date]]&lt;&gt;""),-PPMT(InterestRate/12,1,DurationOfLoan-ROWS($C$4:C332)+1,Amortization[[#This Row],[opening
balance]]),""),0)</f>
        <v>3736.5929413604713</v>
      </c>
      <c r="G332" s="235">
        <f ca="1">IF(Amortization[[#This Row],[payment
date]]="",0,PropertyTaxAmount)</f>
        <v>375</v>
      </c>
      <c r="H332" s="235">
        <f ca="1">IF(Amortization[[#This Row],[payment
date]]="",0,Amortization[[#This Row],[interest]]+Amortization[[#This Row],[principal]]+Amortization[[#This Row],[property
tax]])</f>
        <v>4413.0572414493272</v>
      </c>
      <c r="I332" s="235">
        <f ca="1">IF(Amortization[[#This Row],[payment
date]]="",0,Amortization[[#This Row],[opening
balance]]-Amortization[[#This Row],[principal]])</f>
        <v>120585.72003554254</v>
      </c>
      <c r="J332" s="247">
        <f ca="1">IF(Amortization[[#This Row],[closing
balance]]&gt;0,LastRow-ROW(),0)</f>
        <v>31</v>
      </c>
    </row>
    <row r="333" spans="2:10" ht="15" customHeight="1" x14ac:dyDescent="0.25">
      <c r="B333" s="249">
        <f>ROWS($B$4:B333)</f>
        <v>330</v>
      </c>
      <c r="C333" s="248">
        <f ca="1">IF(ValuesEntered,IF(Amortization[[#This Row],['#]]&lt;=DurationOfLoan,IF(ROW()-ROW(Amortization[[#Headers],[payment
date]])=1,LoanStart,IF(I332&gt;0,EDATE(C332,1),"")),""),"")</f>
        <v>55071</v>
      </c>
      <c r="D333" s="235">
        <f ca="1">IF(ROW()-ROW(Amortization[[#Headers],[opening
balance]])=1,LoanAmount,IF(Amortization[[#This Row],[payment
date]]="",0,INDEX(Amortization[], ROW()-4,8)))</f>
        <v>120585.72003554254</v>
      </c>
      <c r="E333" s="235">
        <f ca="1">IF(ValuesEntered,IF(ROW()-ROW(Amortization[[#Headers],[interest]])=1,-IPMT(InterestRate/12,1,DurationOfLoan-ROWS($C$4:C333)+1,Amortization[[#This Row],[opening
balance]]),IFERROR(-IPMT(InterestRate/12,1,Amortization[[#This Row],['#
remaining]],D334),0)),0)</f>
        <v>292.09946402957166</v>
      </c>
      <c r="F333" s="235">
        <f ca="1">IFERROR(IF(AND(ValuesEntered,Amortization[[#This Row],[payment
date]]&lt;&gt;""),-PPMT(InterestRate/12,1,DurationOfLoan-ROWS($C$4:C333)+1,Amortization[[#This Row],[opening
balance]]),""),0)</f>
        <v>3745.9344237138721</v>
      </c>
      <c r="G333" s="235">
        <f ca="1">IF(Amortization[[#This Row],[payment
date]]="",0,PropertyTaxAmount)</f>
        <v>375</v>
      </c>
      <c r="H333" s="235">
        <f ca="1">IF(Amortization[[#This Row],[payment
date]]="",0,Amortization[[#This Row],[interest]]+Amortization[[#This Row],[principal]]+Amortization[[#This Row],[property
tax]])</f>
        <v>4413.0338877434442</v>
      </c>
      <c r="I333" s="235">
        <f ca="1">IF(Amortization[[#This Row],[payment
date]]="",0,Amortization[[#This Row],[opening
balance]]-Amortization[[#This Row],[principal]])</f>
        <v>116839.78561182867</v>
      </c>
      <c r="J333" s="247">
        <f ca="1">IF(Amortization[[#This Row],[closing
balance]]&gt;0,LastRow-ROW(),0)</f>
        <v>30</v>
      </c>
    </row>
    <row r="334" spans="2:10" ht="15" customHeight="1" x14ac:dyDescent="0.25">
      <c r="B334" s="249">
        <f>ROWS($B$4:B334)</f>
        <v>331</v>
      </c>
      <c r="C334" s="248">
        <f ca="1">IF(ValuesEntered,IF(Amortization[[#This Row],['#]]&lt;=DurationOfLoan,IF(ROW()-ROW(Amortization[[#Headers],[payment
date]])=1,LoanStart,IF(I333&gt;0,EDATE(C333,1),"")),""),"")</f>
        <v>55102</v>
      </c>
      <c r="D334" s="235">
        <f ca="1">IF(ROW()-ROW(Amortization[[#Headers],[opening
balance]])=1,LoanAmount,IF(Amortization[[#This Row],[payment
date]]="",0,INDEX(Amortization[], ROW()-4,8)))</f>
        <v>116839.78561182867</v>
      </c>
      <c r="E334" s="235">
        <f ca="1">IF(ValuesEntered,IF(ROW()-ROW(Amortization[[#Headers],[interest]])=1,-IPMT(InterestRate/12,1,DurationOfLoan-ROWS($C$4:C334)+1,Amortization[[#This Row],[opening
balance]]),IFERROR(-IPMT(InterestRate/12,1,Amortization[[#This Row],['#
remaining]],D335),0)),0)</f>
        <v>282.71121588013875</v>
      </c>
      <c r="F334" s="235">
        <f ca="1">IFERROR(IF(AND(ValuesEntered,Amortization[[#This Row],[payment
date]]&lt;&gt;""),-PPMT(InterestRate/12,1,DurationOfLoan-ROWS($C$4:C334)+1,Amortization[[#This Row],[opening
balance]]),""),0)</f>
        <v>3755.2992597731577</v>
      </c>
      <c r="G334" s="235">
        <f ca="1">IF(Amortization[[#This Row],[payment
date]]="",0,PropertyTaxAmount)</f>
        <v>375</v>
      </c>
      <c r="H334" s="235">
        <f ca="1">IF(Amortization[[#This Row],[payment
date]]="",0,Amortization[[#This Row],[interest]]+Amortization[[#This Row],[principal]]+Amortization[[#This Row],[property
tax]])</f>
        <v>4413.0104756532965</v>
      </c>
      <c r="I334" s="235">
        <f ca="1">IF(Amortization[[#This Row],[payment
date]]="",0,Amortization[[#This Row],[opening
balance]]-Amortization[[#This Row],[principal]])</f>
        <v>113084.48635205551</v>
      </c>
      <c r="J334" s="247">
        <f ca="1">IF(Amortization[[#This Row],[closing
balance]]&gt;0,LastRow-ROW(),0)</f>
        <v>29</v>
      </c>
    </row>
    <row r="335" spans="2:10" ht="15" customHeight="1" x14ac:dyDescent="0.25">
      <c r="B335" s="249">
        <f>ROWS($B$4:B335)</f>
        <v>332</v>
      </c>
      <c r="C335" s="248">
        <f ca="1">IF(ValuesEntered,IF(Amortization[[#This Row],['#]]&lt;=DurationOfLoan,IF(ROW()-ROW(Amortization[[#Headers],[payment
date]])=1,LoanStart,IF(I334&gt;0,EDATE(C334,1),"")),""),"")</f>
        <v>55132</v>
      </c>
      <c r="D335" s="235">
        <f ca="1">IF(ROW()-ROW(Amortization[[#Headers],[opening
balance]])=1,LoanAmount,IF(Amortization[[#This Row],[payment
date]]="",0,INDEX(Amortization[], ROW()-4,8)))</f>
        <v>113084.48635205551</v>
      </c>
      <c r="E335" s="235">
        <f ca="1">IF(ValuesEntered,IF(ROW()-ROW(Amortization[[#Headers],[interest]])=1,-IPMT(InterestRate/12,1,DurationOfLoan-ROWS($C$4:C335)+1,Amortization[[#This Row],[opening
balance]]),IFERROR(-IPMT(InterestRate/12,1,Amortization[[#This Row],['#
remaining]],D336),0)),0)</f>
        <v>273.29949711033231</v>
      </c>
      <c r="F335" s="235">
        <f ca="1">IFERROR(IF(AND(ValuesEntered,Amortization[[#This Row],[payment
date]]&lt;&gt;""),-PPMT(InterestRate/12,1,DurationOfLoan-ROWS($C$4:C335)+1,Amortization[[#This Row],[opening
balance]]),""),0)</f>
        <v>3764.6875079225897</v>
      </c>
      <c r="G335" s="235">
        <f ca="1">IF(Amortization[[#This Row],[payment
date]]="",0,PropertyTaxAmount)</f>
        <v>375</v>
      </c>
      <c r="H335" s="235">
        <f ca="1">IF(Amortization[[#This Row],[payment
date]]="",0,Amortization[[#This Row],[interest]]+Amortization[[#This Row],[principal]]+Amortization[[#This Row],[property
tax]])</f>
        <v>4412.9870050329218</v>
      </c>
      <c r="I335" s="235">
        <f ca="1">IF(Amortization[[#This Row],[payment
date]]="",0,Amortization[[#This Row],[opening
balance]]-Amortization[[#This Row],[principal]])</f>
        <v>109319.79884413292</v>
      </c>
      <c r="J335" s="247">
        <f ca="1">IF(Amortization[[#This Row],[closing
balance]]&gt;0,LastRow-ROW(),0)</f>
        <v>28</v>
      </c>
    </row>
    <row r="336" spans="2:10" ht="15" customHeight="1" x14ac:dyDescent="0.25">
      <c r="B336" s="249">
        <f>ROWS($B$4:B336)</f>
        <v>333</v>
      </c>
      <c r="C336" s="248">
        <f ca="1">IF(ValuesEntered,IF(Amortization[[#This Row],['#]]&lt;=DurationOfLoan,IF(ROW()-ROW(Amortization[[#Headers],[payment
date]])=1,LoanStart,IF(I335&gt;0,EDATE(C335,1),"")),""),"")</f>
        <v>55163</v>
      </c>
      <c r="D336" s="235">
        <f ca="1">IF(ROW()-ROW(Amortization[[#Headers],[opening
balance]])=1,LoanAmount,IF(Amortization[[#This Row],[payment
date]]="",0,INDEX(Amortization[], ROW()-4,8)))</f>
        <v>109319.79884413292</v>
      </c>
      <c r="E336" s="235">
        <f ca="1">IF(ValuesEntered,IF(ROW()-ROW(Amortization[[#Headers],[interest]])=1,-IPMT(InterestRate/12,1,DurationOfLoan-ROWS($C$4:C336)+1,Amortization[[#This Row],[opening
balance]]),IFERROR(-IPMT(InterestRate/12,1,Amortization[[#This Row],['#
remaining]],D337),0)),0)</f>
        <v>263.86424904360132</v>
      </c>
      <c r="F336" s="235">
        <f ca="1">IFERROR(IF(AND(ValuesEntered,Amortization[[#This Row],[payment
date]]&lt;&gt;""),-PPMT(InterestRate/12,1,DurationOfLoan-ROWS($C$4:C336)+1,Amortization[[#This Row],[opening
balance]]),""),0)</f>
        <v>3774.0992266923959</v>
      </c>
      <c r="G336" s="235">
        <f ca="1">IF(Amortization[[#This Row],[payment
date]]="",0,PropertyTaxAmount)</f>
        <v>375</v>
      </c>
      <c r="H336" s="235">
        <f ca="1">IF(Amortization[[#This Row],[payment
date]]="",0,Amortization[[#This Row],[interest]]+Amortization[[#This Row],[principal]]+Amortization[[#This Row],[property
tax]])</f>
        <v>4412.9634757359972</v>
      </c>
      <c r="I336" s="235">
        <f ca="1">IF(Amortization[[#This Row],[payment
date]]="",0,Amortization[[#This Row],[opening
balance]]-Amortization[[#This Row],[principal]])</f>
        <v>105545.69961744052</v>
      </c>
      <c r="J336" s="247">
        <f ca="1">IF(Amortization[[#This Row],[closing
balance]]&gt;0,LastRow-ROW(),0)</f>
        <v>27</v>
      </c>
    </row>
    <row r="337" spans="2:10" ht="15" customHeight="1" x14ac:dyDescent="0.25">
      <c r="B337" s="249">
        <f>ROWS($B$4:B337)</f>
        <v>334</v>
      </c>
      <c r="C337" s="248">
        <f ca="1">IF(ValuesEntered,IF(Amortization[[#This Row],['#]]&lt;=DurationOfLoan,IF(ROW()-ROW(Amortization[[#Headers],[payment
date]])=1,LoanStart,IF(I336&gt;0,EDATE(C336,1),"")),""),"")</f>
        <v>55194</v>
      </c>
      <c r="D337" s="235">
        <f ca="1">IF(ROW()-ROW(Amortization[[#Headers],[opening
balance]])=1,LoanAmount,IF(Amortization[[#This Row],[payment
date]]="",0,INDEX(Amortization[], ROW()-4,8)))</f>
        <v>105545.69961744052</v>
      </c>
      <c r="E337" s="235">
        <f ca="1">IF(ValuesEntered,IF(ROW()-ROW(Amortization[[#Headers],[interest]])=1,-IPMT(InterestRate/12,1,DurationOfLoan-ROWS($C$4:C337)+1,Amortization[[#This Row],[opening
balance]]),IFERROR(-IPMT(InterestRate/12,1,Amortization[[#This Row],['#
remaining]],D338),0)),0)</f>
        <v>254.40541285670349</v>
      </c>
      <c r="F337" s="235">
        <f ca="1">IFERROR(IF(AND(ValuesEntered,Amortization[[#This Row],[payment
date]]&lt;&gt;""),-PPMT(InterestRate/12,1,DurationOfLoan-ROWS($C$4:C337)+1,Amortization[[#This Row],[opening
balance]]),""),0)</f>
        <v>3783.5344747591271</v>
      </c>
      <c r="G337" s="235">
        <f ca="1">IF(Amortization[[#This Row],[payment
date]]="",0,PropertyTaxAmount)</f>
        <v>375</v>
      </c>
      <c r="H337" s="235">
        <f ca="1">IF(Amortization[[#This Row],[payment
date]]="",0,Amortization[[#This Row],[interest]]+Amortization[[#This Row],[principal]]+Amortization[[#This Row],[property
tax]])</f>
        <v>4412.9398876158302</v>
      </c>
      <c r="I337" s="235">
        <f ca="1">IF(Amortization[[#This Row],[payment
date]]="",0,Amortization[[#This Row],[opening
balance]]-Amortization[[#This Row],[principal]])</f>
        <v>101762.16514268139</v>
      </c>
      <c r="J337" s="247">
        <f ca="1">IF(Amortization[[#This Row],[closing
balance]]&gt;0,LastRow-ROW(),0)</f>
        <v>26</v>
      </c>
    </row>
    <row r="338" spans="2:10" ht="15" customHeight="1" x14ac:dyDescent="0.25">
      <c r="B338" s="249">
        <f>ROWS($B$4:B338)</f>
        <v>335</v>
      </c>
      <c r="C338" s="248">
        <f ca="1">IF(ValuesEntered,IF(Amortization[[#This Row],['#]]&lt;=DurationOfLoan,IF(ROW()-ROW(Amortization[[#Headers],[payment
date]])=1,LoanStart,IF(I337&gt;0,EDATE(C337,1),"")),""),"")</f>
        <v>55222</v>
      </c>
      <c r="D338" s="235">
        <f ca="1">IF(ROW()-ROW(Amortization[[#Headers],[opening
balance]])=1,LoanAmount,IF(Amortization[[#This Row],[payment
date]]="",0,INDEX(Amortization[], ROW()-4,8)))</f>
        <v>101762.16514268139</v>
      </c>
      <c r="E338" s="235">
        <f ca="1">IF(ValuesEntered,IF(ROW()-ROW(Amortization[[#Headers],[interest]])=1,-IPMT(InterestRate/12,1,DurationOfLoan-ROWS($C$4:C338)+1,Amortization[[#This Row],[opening
balance]]),IFERROR(-IPMT(InterestRate/12,1,Amortization[[#This Row],['#
remaining]],D339),0)),0)</f>
        <v>244.92292957933842</v>
      </c>
      <c r="F338" s="235">
        <f ca="1">IFERROR(IF(AND(ValuesEntered,Amortization[[#This Row],[payment
date]]&lt;&gt;""),-PPMT(InterestRate/12,1,DurationOfLoan-ROWS($C$4:C338)+1,Amortization[[#This Row],[opening
balance]]),""),0)</f>
        <v>3792.9933109460244</v>
      </c>
      <c r="G338" s="235">
        <f ca="1">IF(Amortization[[#This Row],[payment
date]]="",0,PropertyTaxAmount)</f>
        <v>375</v>
      </c>
      <c r="H338" s="235">
        <f ca="1">IF(Amortization[[#This Row],[payment
date]]="",0,Amortization[[#This Row],[interest]]+Amortization[[#This Row],[principal]]+Amortization[[#This Row],[property
tax]])</f>
        <v>4412.9162405253628</v>
      </c>
      <c r="I338" s="235">
        <f ca="1">IF(Amortization[[#This Row],[payment
date]]="",0,Amortization[[#This Row],[opening
balance]]-Amortization[[#This Row],[principal]])</f>
        <v>97969.171831735366</v>
      </c>
      <c r="J338" s="247">
        <f ca="1">IF(Amortization[[#This Row],[closing
balance]]&gt;0,LastRow-ROW(),0)</f>
        <v>25</v>
      </c>
    </row>
    <row r="339" spans="2:10" ht="15" customHeight="1" x14ac:dyDescent="0.25">
      <c r="B339" s="249">
        <f>ROWS($B$4:B339)</f>
        <v>336</v>
      </c>
      <c r="C339" s="248">
        <f ca="1">IF(ValuesEntered,IF(Amortization[[#This Row],['#]]&lt;=DurationOfLoan,IF(ROW()-ROW(Amortization[[#Headers],[payment
date]])=1,LoanStart,IF(I338&gt;0,EDATE(C338,1),"")),""),"")</f>
        <v>55253</v>
      </c>
      <c r="D339" s="235">
        <f ca="1">IF(ROW()-ROW(Amortization[[#Headers],[opening
balance]])=1,LoanAmount,IF(Amortization[[#This Row],[payment
date]]="",0,INDEX(Amortization[], ROW()-4,8)))</f>
        <v>97969.171831735366</v>
      </c>
      <c r="E339" s="235">
        <f ca="1">IF(ValuesEntered,IF(ROW()-ROW(Amortization[[#Headers],[interest]])=1,-IPMT(InterestRate/12,1,DurationOfLoan-ROWS($C$4:C339)+1,Amortization[[#This Row],[opening
balance]]),IFERROR(-IPMT(InterestRate/12,1,Amortization[[#This Row],['#
remaining]],D340),0)),0)</f>
        <v>235.41674009377996</v>
      </c>
      <c r="F339" s="235">
        <f ca="1">IFERROR(IF(AND(ValuesEntered,Amortization[[#This Row],[payment
date]]&lt;&gt;""),-PPMT(InterestRate/12,1,DurationOfLoan-ROWS($C$4:C339)+1,Amortization[[#This Row],[opening
balance]]),""),0)</f>
        <v>3802.47579422339</v>
      </c>
      <c r="G339" s="235">
        <f ca="1">IF(Amortization[[#This Row],[payment
date]]="",0,PropertyTaxAmount)</f>
        <v>375</v>
      </c>
      <c r="H339" s="235">
        <f ca="1">IF(Amortization[[#This Row],[payment
date]]="",0,Amortization[[#This Row],[interest]]+Amortization[[#This Row],[principal]]+Amortization[[#This Row],[property
tax]])</f>
        <v>4412.8925343171704</v>
      </c>
      <c r="I339" s="235">
        <f ca="1">IF(Amortization[[#This Row],[payment
date]]="",0,Amortization[[#This Row],[opening
balance]]-Amortization[[#This Row],[principal]])</f>
        <v>94166.696037511982</v>
      </c>
      <c r="J339" s="247">
        <f ca="1">IF(Amortization[[#This Row],[closing
balance]]&gt;0,LastRow-ROW(),0)</f>
        <v>24</v>
      </c>
    </row>
    <row r="340" spans="2:10" ht="15" customHeight="1" x14ac:dyDescent="0.25">
      <c r="B340" s="249">
        <f>ROWS($B$4:B340)</f>
        <v>337</v>
      </c>
      <c r="C340" s="248">
        <f ca="1">IF(ValuesEntered,IF(Amortization[[#This Row],['#]]&lt;=DurationOfLoan,IF(ROW()-ROW(Amortization[[#Headers],[payment
date]])=1,LoanStart,IF(I339&gt;0,EDATE(C339,1),"")),""),"")</f>
        <v>55283</v>
      </c>
      <c r="D340" s="235">
        <f ca="1">IF(ROW()-ROW(Amortization[[#Headers],[opening
balance]])=1,LoanAmount,IF(Amortization[[#This Row],[payment
date]]="",0,INDEX(Amortization[], ROW()-4,8)))</f>
        <v>94166.696037511982</v>
      </c>
      <c r="E340" s="235">
        <f ca="1">IF(ValuesEntered,IF(ROW()-ROW(Amortization[[#Headers],[interest]])=1,-IPMT(InterestRate/12,1,DurationOfLoan-ROWS($C$4:C340)+1,Amortization[[#This Row],[opening
balance]]),IFERROR(-IPMT(InterestRate/12,1,Amortization[[#This Row],['#
remaining]],D341),0)),0)</f>
        <v>225.88678513450759</v>
      </c>
      <c r="F340" s="235">
        <f ca="1">IFERROR(IF(AND(ValuesEntered,Amortization[[#This Row],[payment
date]]&lt;&gt;""),-PPMT(InterestRate/12,1,DurationOfLoan-ROWS($C$4:C340)+1,Amortization[[#This Row],[opening
balance]]),""),0)</f>
        <v>3811.9819837089485</v>
      </c>
      <c r="G340" s="235">
        <f ca="1">IF(Amortization[[#This Row],[payment
date]]="",0,PropertyTaxAmount)</f>
        <v>375</v>
      </c>
      <c r="H340" s="235">
        <f ca="1">IF(Amortization[[#This Row],[payment
date]]="",0,Amortization[[#This Row],[interest]]+Amortization[[#This Row],[principal]]+Amortization[[#This Row],[property
tax]])</f>
        <v>4412.8687688434566</v>
      </c>
      <c r="I340" s="235">
        <f ca="1">IF(Amortization[[#This Row],[payment
date]]="",0,Amortization[[#This Row],[opening
balance]]-Amortization[[#This Row],[principal]])</f>
        <v>90354.714053803036</v>
      </c>
      <c r="J340" s="247">
        <f ca="1">IF(Amortization[[#This Row],[closing
balance]]&gt;0,LastRow-ROW(),0)</f>
        <v>23</v>
      </c>
    </row>
    <row r="341" spans="2:10" ht="15" customHeight="1" x14ac:dyDescent="0.25">
      <c r="B341" s="249">
        <f>ROWS($B$4:B341)</f>
        <v>338</v>
      </c>
      <c r="C341" s="248">
        <f ca="1">IF(ValuesEntered,IF(Amortization[[#This Row],['#]]&lt;=DurationOfLoan,IF(ROW()-ROW(Amortization[[#Headers],[payment
date]])=1,LoanStart,IF(I340&gt;0,EDATE(C340,1),"")),""),"")</f>
        <v>55314</v>
      </c>
      <c r="D341" s="235">
        <f ca="1">IF(ROW()-ROW(Amortization[[#Headers],[opening
balance]])=1,LoanAmount,IF(Amortization[[#This Row],[payment
date]]="",0,INDEX(Amortization[], ROW()-4,8)))</f>
        <v>90354.714053803036</v>
      </c>
      <c r="E341" s="235">
        <f ca="1">IF(ValuesEntered,IF(ROW()-ROW(Amortization[[#Headers],[interest]])=1,-IPMT(InterestRate/12,1,DurationOfLoan-ROWS($C$4:C341)+1,Amortization[[#This Row],[opening
balance]]),IFERROR(-IPMT(InterestRate/12,1,Amortization[[#This Row],['#
remaining]],D342),0)),0)</f>
        <v>216.33300528783704</v>
      </c>
      <c r="F341" s="235">
        <f ca="1">IFERROR(IF(AND(ValuesEntered,Amortization[[#This Row],[payment
date]]&lt;&gt;""),-PPMT(InterestRate/12,1,DurationOfLoan-ROWS($C$4:C341)+1,Amortization[[#This Row],[opening
balance]]),""),0)</f>
        <v>3821.51193866822</v>
      </c>
      <c r="G341" s="235">
        <f ca="1">IF(Amortization[[#This Row],[payment
date]]="",0,PropertyTaxAmount)</f>
        <v>375</v>
      </c>
      <c r="H341" s="235">
        <f ca="1">IF(Amortization[[#This Row],[payment
date]]="",0,Amortization[[#This Row],[interest]]+Amortization[[#This Row],[principal]]+Amortization[[#This Row],[property
tax]])</f>
        <v>4412.8449439560573</v>
      </c>
      <c r="I341" s="235">
        <f ca="1">IF(Amortization[[#This Row],[payment
date]]="",0,Amortization[[#This Row],[opening
balance]]-Amortization[[#This Row],[principal]])</f>
        <v>86533.202115134816</v>
      </c>
      <c r="J341" s="247">
        <f ca="1">IF(Amortization[[#This Row],[closing
balance]]&gt;0,LastRow-ROW(),0)</f>
        <v>22</v>
      </c>
    </row>
    <row r="342" spans="2:10" ht="15" customHeight="1" x14ac:dyDescent="0.25">
      <c r="B342" s="249">
        <f>ROWS($B$4:B342)</f>
        <v>339</v>
      </c>
      <c r="C342" s="248">
        <f ca="1">IF(ValuesEntered,IF(Amortization[[#This Row],['#]]&lt;=DurationOfLoan,IF(ROW()-ROW(Amortization[[#Headers],[payment
date]])=1,LoanStart,IF(I341&gt;0,EDATE(C341,1),"")),""),"")</f>
        <v>55344</v>
      </c>
      <c r="D342" s="235">
        <f ca="1">IF(ROW()-ROW(Amortization[[#Headers],[opening
balance]])=1,LoanAmount,IF(Amortization[[#This Row],[payment
date]]="",0,INDEX(Amortization[], ROW()-4,8)))</f>
        <v>86533.202115134816</v>
      </c>
      <c r="E342" s="235">
        <f ca="1">IF(ValuesEntered,IF(ROW()-ROW(Amortization[[#Headers],[interest]])=1,-IPMT(InterestRate/12,1,DurationOfLoan-ROWS($C$4:C342)+1,Amortization[[#This Row],[opening
balance]]),IFERROR(-IPMT(InterestRate/12,1,Amortization[[#This Row],['#
remaining]],D343),0)),0)</f>
        <v>206.75534099154982</v>
      </c>
      <c r="F342" s="235">
        <f ca="1">IFERROR(IF(AND(ValuesEntered,Amortization[[#This Row],[payment
date]]&lt;&gt;""),-PPMT(InterestRate/12,1,DurationOfLoan-ROWS($C$4:C342)+1,Amortization[[#This Row],[opening
balance]]),""),0)</f>
        <v>3831.0657185148916</v>
      </c>
      <c r="G342" s="235">
        <f ca="1">IF(Amortization[[#This Row],[payment
date]]="",0,PropertyTaxAmount)</f>
        <v>375</v>
      </c>
      <c r="H342" s="235">
        <f ca="1">IF(Amortization[[#This Row],[payment
date]]="",0,Amortization[[#This Row],[interest]]+Amortization[[#This Row],[principal]]+Amortization[[#This Row],[property
tax]])</f>
        <v>4412.8210595064411</v>
      </c>
      <c r="I342" s="235">
        <f ca="1">IF(Amortization[[#This Row],[payment
date]]="",0,Amortization[[#This Row],[opening
balance]]-Amortization[[#This Row],[principal]])</f>
        <v>82702.136396619928</v>
      </c>
      <c r="J342" s="247">
        <f ca="1">IF(Amortization[[#This Row],[closing
balance]]&gt;0,LastRow-ROW(),0)</f>
        <v>21</v>
      </c>
    </row>
    <row r="343" spans="2:10" ht="15" customHeight="1" x14ac:dyDescent="0.25">
      <c r="B343" s="249">
        <f>ROWS($B$4:B343)</f>
        <v>340</v>
      </c>
      <c r="C343" s="248">
        <f ca="1">IF(ValuesEntered,IF(Amortization[[#This Row],['#]]&lt;=DurationOfLoan,IF(ROW()-ROW(Amortization[[#Headers],[payment
date]])=1,LoanStart,IF(I342&gt;0,EDATE(C342,1),"")),""),"")</f>
        <v>55375</v>
      </c>
      <c r="D343" s="235">
        <f ca="1">IF(ROW()-ROW(Amortization[[#Headers],[opening
balance]])=1,LoanAmount,IF(Amortization[[#This Row],[payment
date]]="",0,INDEX(Amortization[], ROW()-4,8)))</f>
        <v>82702.136396619928</v>
      </c>
      <c r="E343" s="235">
        <f ca="1">IF(ValuesEntered,IF(ROW()-ROW(Amortization[[#Headers],[interest]])=1,-IPMT(InterestRate/12,1,DurationOfLoan-ROWS($C$4:C343)+1,Amortization[[#This Row],[opening
balance]]),IFERROR(-IPMT(InterestRate/12,1,Amortization[[#This Row],['#
remaining]],D344),0)),0)</f>
        <v>197.15373253452188</v>
      </c>
      <c r="F343" s="235">
        <f ca="1">IFERROR(IF(AND(ValuesEntered,Amortization[[#This Row],[payment
date]]&lt;&gt;""),-PPMT(InterestRate/12,1,DurationOfLoan-ROWS($C$4:C343)+1,Amortization[[#This Row],[opening
balance]]),""),0)</f>
        <v>3840.6433828111785</v>
      </c>
      <c r="G343" s="235">
        <f ca="1">IF(Amortization[[#This Row],[payment
date]]="",0,PropertyTaxAmount)</f>
        <v>375</v>
      </c>
      <c r="H343" s="235">
        <f ca="1">IF(Amortization[[#This Row],[payment
date]]="",0,Amortization[[#This Row],[interest]]+Amortization[[#This Row],[principal]]+Amortization[[#This Row],[property
tax]])</f>
        <v>4412.7971153457001</v>
      </c>
      <c r="I343" s="235">
        <f ca="1">IF(Amortization[[#This Row],[payment
date]]="",0,Amortization[[#This Row],[opening
balance]]-Amortization[[#This Row],[principal]])</f>
        <v>78861.493013808751</v>
      </c>
      <c r="J343" s="247">
        <f ca="1">IF(Amortization[[#This Row],[closing
balance]]&gt;0,LastRow-ROW(),0)</f>
        <v>20</v>
      </c>
    </row>
    <row r="344" spans="2:10" ht="15" customHeight="1" x14ac:dyDescent="0.25">
      <c r="B344" s="249">
        <f>ROWS($B$4:B344)</f>
        <v>341</v>
      </c>
      <c r="C344" s="248">
        <f ca="1">IF(ValuesEntered,IF(Amortization[[#This Row],['#]]&lt;=DurationOfLoan,IF(ROW()-ROW(Amortization[[#Headers],[payment
date]])=1,LoanStart,IF(I343&gt;0,EDATE(C343,1),"")),""),"")</f>
        <v>55406</v>
      </c>
      <c r="D344" s="235">
        <f ca="1">IF(ROW()-ROW(Amortization[[#Headers],[opening
balance]])=1,LoanAmount,IF(Amortization[[#This Row],[payment
date]]="",0,INDEX(Amortization[], ROW()-4,8)))</f>
        <v>78861.493013808751</v>
      </c>
      <c r="E344" s="235">
        <f ca="1">IF(ValuesEntered,IF(ROW()-ROW(Amortization[[#Headers],[interest]])=1,-IPMT(InterestRate/12,1,DurationOfLoan-ROWS($C$4:C344)+1,Amortization[[#This Row],[opening
balance]]),IFERROR(-IPMT(InterestRate/12,1,Amortization[[#This Row],['#
remaining]],D345),0)),0)</f>
        <v>187.52812005635136</v>
      </c>
      <c r="F344" s="235">
        <f ca="1">IFERROR(IF(AND(ValuesEntered,Amortization[[#This Row],[payment
date]]&lt;&gt;""),-PPMT(InterestRate/12,1,DurationOfLoan-ROWS($C$4:C344)+1,Amortization[[#This Row],[opening
balance]]),""),0)</f>
        <v>3850.2449912682064</v>
      </c>
      <c r="G344" s="235">
        <f ca="1">IF(Amortization[[#This Row],[payment
date]]="",0,PropertyTaxAmount)</f>
        <v>375</v>
      </c>
      <c r="H344" s="235">
        <f ca="1">IF(Amortization[[#This Row],[payment
date]]="",0,Amortization[[#This Row],[interest]]+Amortization[[#This Row],[principal]]+Amortization[[#This Row],[property
tax]])</f>
        <v>4412.7731113245572</v>
      </c>
      <c r="I344" s="235">
        <f ca="1">IF(Amortization[[#This Row],[payment
date]]="",0,Amortization[[#This Row],[opening
balance]]-Amortization[[#This Row],[principal]])</f>
        <v>75011.248022540545</v>
      </c>
      <c r="J344" s="247">
        <f ca="1">IF(Amortization[[#This Row],[closing
balance]]&gt;0,LastRow-ROW(),0)</f>
        <v>19</v>
      </c>
    </row>
    <row r="345" spans="2:10" ht="15" customHeight="1" x14ac:dyDescent="0.25">
      <c r="B345" s="249">
        <f>ROWS($B$4:B345)</f>
        <v>342</v>
      </c>
      <c r="C345" s="248">
        <f ca="1">IF(ValuesEntered,IF(Amortization[[#This Row],['#]]&lt;=DurationOfLoan,IF(ROW()-ROW(Amortization[[#Headers],[payment
date]])=1,LoanStart,IF(I344&gt;0,EDATE(C344,1),"")),""),"")</f>
        <v>55436</v>
      </c>
      <c r="D345" s="235">
        <f ca="1">IF(ROW()-ROW(Amortization[[#Headers],[opening
balance]])=1,LoanAmount,IF(Amortization[[#This Row],[payment
date]]="",0,INDEX(Amortization[], ROW()-4,8)))</f>
        <v>75011.248022540545</v>
      </c>
      <c r="E345" s="235">
        <f ca="1">IF(ValuesEntered,IF(ROW()-ROW(Amortization[[#Headers],[interest]])=1,-IPMT(InterestRate/12,1,DurationOfLoan-ROWS($C$4:C345)+1,Amortization[[#This Row],[opening
balance]]),IFERROR(-IPMT(InterestRate/12,1,Amortization[[#This Row],['#
remaining]],D346),0)),0)</f>
        <v>177.87844354698544</v>
      </c>
      <c r="F345" s="235">
        <f ca="1">IFERROR(IF(AND(ValuesEntered,Amortization[[#This Row],[payment
date]]&lt;&gt;""),-PPMT(InterestRate/12,1,DurationOfLoan-ROWS($C$4:C345)+1,Amortization[[#This Row],[opening
balance]]),""),0)</f>
        <v>3859.8706037463771</v>
      </c>
      <c r="G345" s="235">
        <f ca="1">IF(Amortization[[#This Row],[payment
date]]="",0,PropertyTaxAmount)</f>
        <v>375</v>
      </c>
      <c r="H345" s="235">
        <f ca="1">IF(Amortization[[#This Row],[payment
date]]="",0,Amortization[[#This Row],[interest]]+Amortization[[#This Row],[principal]]+Amortization[[#This Row],[property
tax]])</f>
        <v>4412.7490472933623</v>
      </c>
      <c r="I345" s="235">
        <f ca="1">IF(Amortization[[#This Row],[payment
date]]="",0,Amortization[[#This Row],[opening
balance]]-Amortization[[#This Row],[principal]])</f>
        <v>71151.377418794174</v>
      </c>
      <c r="J345" s="247">
        <f ca="1">IF(Amortization[[#This Row],[closing
balance]]&gt;0,LastRow-ROW(),0)</f>
        <v>18</v>
      </c>
    </row>
    <row r="346" spans="2:10" ht="15" customHeight="1" x14ac:dyDescent="0.25">
      <c r="B346" s="249">
        <f>ROWS($B$4:B346)</f>
        <v>343</v>
      </c>
      <c r="C346" s="248">
        <f ca="1">IF(ValuesEntered,IF(Amortization[[#This Row],['#]]&lt;=DurationOfLoan,IF(ROW()-ROW(Amortization[[#Headers],[payment
date]])=1,LoanStart,IF(I345&gt;0,EDATE(C345,1),"")),""),"")</f>
        <v>55467</v>
      </c>
      <c r="D346" s="235">
        <f ca="1">IF(ROW()-ROW(Amortization[[#Headers],[opening
balance]])=1,LoanAmount,IF(Amortization[[#This Row],[payment
date]]="",0,INDEX(Amortization[], ROW()-4,8)))</f>
        <v>71151.377418794174</v>
      </c>
      <c r="E346" s="235">
        <f ca="1">IF(ValuesEntered,IF(ROW()-ROW(Amortization[[#Headers],[interest]])=1,-IPMT(InterestRate/12,1,DurationOfLoan-ROWS($C$4:C346)+1,Amortization[[#This Row],[opening
balance]]),IFERROR(-IPMT(InterestRate/12,1,Amortization[[#This Row],['#
remaining]],D347),0)),0)</f>
        <v>168.20464284634608</v>
      </c>
      <c r="F346" s="235">
        <f ca="1">IFERROR(IF(AND(ValuesEntered,Amortization[[#This Row],[payment
date]]&lt;&gt;""),-PPMT(InterestRate/12,1,DurationOfLoan-ROWS($C$4:C346)+1,Amortization[[#This Row],[opening
balance]]),""),0)</f>
        <v>3869.5202802557442</v>
      </c>
      <c r="G346" s="235">
        <f ca="1">IF(Amortization[[#This Row],[payment
date]]="",0,PropertyTaxAmount)</f>
        <v>375</v>
      </c>
      <c r="H346" s="235">
        <f ca="1">IF(Amortization[[#This Row],[payment
date]]="",0,Amortization[[#This Row],[interest]]+Amortization[[#This Row],[principal]]+Amortization[[#This Row],[property
tax]])</f>
        <v>4412.7249231020905</v>
      </c>
      <c r="I346" s="235">
        <f ca="1">IF(Amortization[[#This Row],[payment
date]]="",0,Amortization[[#This Row],[opening
balance]]-Amortization[[#This Row],[principal]])</f>
        <v>67281.857138538428</v>
      </c>
      <c r="J346" s="247">
        <f ca="1">IF(Amortization[[#This Row],[closing
balance]]&gt;0,LastRow-ROW(),0)</f>
        <v>17</v>
      </c>
    </row>
    <row r="347" spans="2:10" ht="15" customHeight="1" x14ac:dyDescent="0.25">
      <c r="B347" s="249">
        <f>ROWS($B$4:B347)</f>
        <v>344</v>
      </c>
      <c r="C347" s="248">
        <f ca="1">IF(ValuesEntered,IF(Amortization[[#This Row],['#]]&lt;=DurationOfLoan,IF(ROW()-ROW(Amortization[[#Headers],[payment
date]])=1,LoanStart,IF(I346&gt;0,EDATE(C346,1),"")),""),"")</f>
        <v>55497</v>
      </c>
      <c r="D347" s="235">
        <f ca="1">IF(ROW()-ROW(Amortization[[#Headers],[opening
balance]])=1,LoanAmount,IF(Amortization[[#This Row],[payment
date]]="",0,INDEX(Amortization[], ROW()-4,8)))</f>
        <v>67281.857138538428</v>
      </c>
      <c r="E347" s="235">
        <f ca="1">IF(ValuesEntered,IF(ROW()-ROW(Amortization[[#Headers],[interest]])=1,-IPMT(InterestRate/12,1,DurationOfLoan-ROWS($C$4:C347)+1,Amortization[[#This Row],[opening
balance]]),IFERROR(-IPMT(InterestRate/12,1,Amortization[[#This Row],['#
remaining]],D348),0)),0)</f>
        <v>158.50665764395512</v>
      </c>
      <c r="F347" s="235">
        <f ca="1">IFERROR(IF(AND(ValuesEntered,Amortization[[#This Row],[payment
date]]&lt;&gt;""),-PPMT(InterestRate/12,1,DurationOfLoan-ROWS($C$4:C347)+1,Amortization[[#This Row],[opening
balance]]),""),0)</f>
        <v>3879.1940809563835</v>
      </c>
      <c r="G347" s="235">
        <f ca="1">IF(Amortization[[#This Row],[payment
date]]="",0,PropertyTaxAmount)</f>
        <v>375</v>
      </c>
      <c r="H347" s="235">
        <f ca="1">IF(Amortization[[#This Row],[payment
date]]="",0,Amortization[[#This Row],[interest]]+Amortization[[#This Row],[principal]]+Amortization[[#This Row],[property
tax]])</f>
        <v>4412.7007386003388</v>
      </c>
      <c r="I347" s="235">
        <f ca="1">IF(Amortization[[#This Row],[payment
date]]="",0,Amortization[[#This Row],[opening
balance]]-Amortization[[#This Row],[principal]])</f>
        <v>63402.663057582045</v>
      </c>
      <c r="J347" s="247">
        <f ca="1">IF(Amortization[[#This Row],[closing
balance]]&gt;0,LastRow-ROW(),0)</f>
        <v>16</v>
      </c>
    </row>
    <row r="348" spans="2:10" ht="15" customHeight="1" x14ac:dyDescent="0.25">
      <c r="B348" s="249">
        <f>ROWS($B$4:B348)</f>
        <v>345</v>
      </c>
      <c r="C348" s="248">
        <f ca="1">IF(ValuesEntered,IF(Amortization[[#This Row],['#]]&lt;=DurationOfLoan,IF(ROW()-ROW(Amortization[[#Headers],[payment
date]])=1,LoanStart,IF(I347&gt;0,EDATE(C347,1),"")),""),"")</f>
        <v>55528</v>
      </c>
      <c r="D348" s="235">
        <f ca="1">IF(ROW()-ROW(Amortization[[#Headers],[opening
balance]])=1,LoanAmount,IF(Amortization[[#This Row],[payment
date]]="",0,INDEX(Amortization[], ROW()-4,8)))</f>
        <v>63402.663057582045</v>
      </c>
      <c r="E348" s="235">
        <f ca="1">IF(ValuesEntered,IF(ROW()-ROW(Amortization[[#Headers],[interest]])=1,-IPMT(InterestRate/12,1,DurationOfLoan-ROWS($C$4:C348)+1,Amortization[[#This Row],[opening
balance]]),IFERROR(-IPMT(InterestRate/12,1,Amortization[[#This Row],['#
remaining]],D349),0)),0)</f>
        <v>148.78442747855817</v>
      </c>
      <c r="F348" s="235">
        <f ca="1">IFERROR(IF(AND(ValuesEntered,Amortization[[#This Row],[payment
date]]&lt;&gt;""),-PPMT(InterestRate/12,1,DurationOfLoan-ROWS($C$4:C348)+1,Amortization[[#This Row],[opening
balance]]),""),0)</f>
        <v>3888.892066158774</v>
      </c>
      <c r="G348" s="235">
        <f ca="1">IF(Amortization[[#This Row],[payment
date]]="",0,PropertyTaxAmount)</f>
        <v>375</v>
      </c>
      <c r="H348" s="235">
        <f ca="1">IF(Amortization[[#This Row],[payment
date]]="",0,Amortization[[#This Row],[interest]]+Amortization[[#This Row],[principal]]+Amortization[[#This Row],[property
tax]])</f>
        <v>4412.676493637332</v>
      </c>
      <c r="I348" s="235">
        <f ca="1">IF(Amortization[[#This Row],[payment
date]]="",0,Amortization[[#This Row],[opening
balance]]-Amortization[[#This Row],[principal]])</f>
        <v>59513.770991423269</v>
      </c>
      <c r="J348" s="247">
        <f ca="1">IF(Amortization[[#This Row],[closing
balance]]&gt;0,LastRow-ROW(),0)</f>
        <v>15</v>
      </c>
    </row>
    <row r="349" spans="2:10" ht="15" customHeight="1" x14ac:dyDescent="0.25">
      <c r="B349" s="249">
        <f>ROWS($B$4:B349)</f>
        <v>346</v>
      </c>
      <c r="C349" s="248">
        <f ca="1">IF(ValuesEntered,IF(Amortization[[#This Row],['#]]&lt;=DurationOfLoan,IF(ROW()-ROW(Amortization[[#Headers],[payment
date]])=1,LoanStart,IF(I348&gt;0,EDATE(C348,1),"")),""),"")</f>
        <v>55559</v>
      </c>
      <c r="D349" s="235">
        <f ca="1">IF(ROW()-ROW(Amortization[[#Headers],[opening
balance]])=1,LoanAmount,IF(Amortization[[#This Row],[payment
date]]="",0,INDEX(Amortization[], ROW()-4,8)))</f>
        <v>59513.770991423269</v>
      </c>
      <c r="E349" s="235">
        <f ca="1">IF(ValuesEntered,IF(ROW()-ROW(Amortization[[#Headers],[interest]])=1,-IPMT(InterestRate/12,1,DurationOfLoan-ROWS($C$4:C349)+1,Amortization[[#This Row],[opening
balance]]),IFERROR(-IPMT(InterestRate/12,1,Amortization[[#This Row],['#
remaining]],D350),0)),0)</f>
        <v>139.03789173774774</v>
      </c>
      <c r="F349" s="235">
        <f ca="1">IFERROR(IF(AND(ValuesEntered,Amortization[[#This Row],[payment
date]]&lt;&gt;""),-PPMT(InterestRate/12,1,DurationOfLoan-ROWS($C$4:C349)+1,Amortization[[#This Row],[opening
balance]]),""),0)</f>
        <v>3898.6142963241709</v>
      </c>
      <c r="G349" s="235">
        <f ca="1">IF(Amortization[[#This Row],[payment
date]]="",0,PropertyTaxAmount)</f>
        <v>375</v>
      </c>
      <c r="H349" s="235">
        <f ca="1">IF(Amortization[[#This Row],[payment
date]]="",0,Amortization[[#This Row],[interest]]+Amortization[[#This Row],[principal]]+Amortization[[#This Row],[property
tax]])</f>
        <v>4412.6521880619184</v>
      </c>
      <c r="I349" s="235">
        <f ca="1">IF(Amortization[[#This Row],[payment
date]]="",0,Amortization[[#This Row],[opening
balance]]-Amortization[[#This Row],[principal]])</f>
        <v>55615.156695099096</v>
      </c>
      <c r="J349" s="247">
        <f ca="1">IF(Amortization[[#This Row],[closing
balance]]&gt;0,LastRow-ROW(),0)</f>
        <v>14</v>
      </c>
    </row>
    <row r="350" spans="2:10" ht="15" customHeight="1" x14ac:dyDescent="0.25">
      <c r="B350" s="249">
        <f>ROWS($B$4:B350)</f>
        <v>347</v>
      </c>
      <c r="C350" s="248">
        <f ca="1">IF(ValuesEntered,IF(Amortization[[#This Row],['#]]&lt;=DurationOfLoan,IF(ROW()-ROW(Amortization[[#Headers],[payment
date]])=1,LoanStart,IF(I349&gt;0,EDATE(C349,1),"")),""),"")</f>
        <v>55588</v>
      </c>
      <c r="D350" s="235">
        <f ca="1">IF(ROW()-ROW(Amortization[[#Headers],[opening
balance]])=1,LoanAmount,IF(Amortization[[#This Row],[payment
date]]="",0,INDEX(Amortization[], ROW()-4,8)))</f>
        <v>55615.156695099096</v>
      </c>
      <c r="E350" s="235">
        <f ca="1">IF(ValuesEntered,IF(ROW()-ROW(Amortization[[#Headers],[interest]])=1,-IPMT(InterestRate/12,1,DurationOfLoan-ROWS($C$4:C350)+1,Amortization[[#This Row],[opening
balance]]),IFERROR(-IPMT(InterestRate/12,1,Amortization[[#This Row],['#
remaining]],D351),0)),0)</f>
        <v>129.2669896575853</v>
      </c>
      <c r="F350" s="235">
        <f ca="1">IFERROR(IF(AND(ValuesEntered,Amortization[[#This Row],[payment
date]]&lt;&gt;""),-PPMT(InterestRate/12,1,DurationOfLoan-ROWS($C$4:C350)+1,Amortization[[#This Row],[opening
balance]]),""),0)</f>
        <v>3908.3608320649814</v>
      </c>
      <c r="G350" s="235">
        <f ca="1">IF(Amortization[[#This Row],[payment
date]]="",0,PropertyTaxAmount)</f>
        <v>375</v>
      </c>
      <c r="H350" s="235">
        <f ca="1">IF(Amortization[[#This Row],[payment
date]]="",0,Amortization[[#This Row],[interest]]+Amortization[[#This Row],[principal]]+Amortization[[#This Row],[property
tax]])</f>
        <v>4412.6278217225663</v>
      </c>
      <c r="I350" s="235">
        <f ca="1">IF(Amortization[[#This Row],[payment
date]]="",0,Amortization[[#This Row],[opening
balance]]-Amortization[[#This Row],[principal]])</f>
        <v>51706.795863034116</v>
      </c>
      <c r="J350" s="247">
        <f ca="1">IF(Amortization[[#This Row],[closing
balance]]&gt;0,LastRow-ROW(),0)</f>
        <v>13</v>
      </c>
    </row>
    <row r="351" spans="2:10" ht="15" customHeight="1" x14ac:dyDescent="0.25">
      <c r="B351" s="249">
        <f>ROWS($B$4:B351)</f>
        <v>348</v>
      </c>
      <c r="C351" s="248">
        <f ca="1">IF(ValuesEntered,IF(Amortization[[#This Row],['#]]&lt;=DurationOfLoan,IF(ROW()-ROW(Amortization[[#Headers],[payment
date]])=1,LoanStart,IF(I350&gt;0,EDATE(C350,1),"")),""),"")</f>
        <v>55619</v>
      </c>
      <c r="D351" s="235">
        <f ca="1">IF(ROW()-ROW(Amortization[[#Headers],[opening
balance]])=1,LoanAmount,IF(Amortization[[#This Row],[payment
date]]="",0,INDEX(Amortization[], ROW()-4,8)))</f>
        <v>51706.795863034116</v>
      </c>
      <c r="E351" s="235">
        <f ca="1">IF(ValuesEntered,IF(ROW()-ROW(Amortization[[#Headers],[interest]])=1,-IPMT(InterestRate/12,1,DurationOfLoan-ROWS($C$4:C351)+1,Amortization[[#This Row],[opening
balance]]),IFERROR(-IPMT(InterestRate/12,1,Amortization[[#This Row],['#
remaining]],D352),0)),0)</f>
        <v>119.47166032222243</v>
      </c>
      <c r="F351" s="235">
        <f ca="1">IFERROR(IF(AND(ValuesEntered,Amortization[[#This Row],[payment
date]]&lt;&gt;""),-PPMT(InterestRate/12,1,DurationOfLoan-ROWS($C$4:C351)+1,Amortization[[#This Row],[opening
balance]]),""),0)</f>
        <v>3918.131734145144</v>
      </c>
      <c r="G351" s="235">
        <f ca="1">IF(Amortization[[#This Row],[payment
date]]="",0,PropertyTaxAmount)</f>
        <v>375</v>
      </c>
      <c r="H351" s="235">
        <f ca="1">IF(Amortization[[#This Row],[payment
date]]="",0,Amortization[[#This Row],[interest]]+Amortization[[#This Row],[principal]]+Amortization[[#This Row],[property
tax]])</f>
        <v>4412.6033944673663</v>
      </c>
      <c r="I351" s="235">
        <f ca="1">IF(Amortization[[#This Row],[payment
date]]="",0,Amortization[[#This Row],[opening
balance]]-Amortization[[#This Row],[principal]])</f>
        <v>47788.664128888973</v>
      </c>
      <c r="J351" s="247">
        <f ca="1">IF(Amortization[[#This Row],[closing
balance]]&gt;0,LastRow-ROW(),0)</f>
        <v>12</v>
      </c>
    </row>
    <row r="352" spans="2:10" ht="15" customHeight="1" x14ac:dyDescent="0.25">
      <c r="B352" s="249">
        <f>ROWS($B$4:B352)</f>
        <v>349</v>
      </c>
      <c r="C352" s="248">
        <f ca="1">IF(ValuesEntered,IF(Amortization[[#This Row],['#]]&lt;=DurationOfLoan,IF(ROW()-ROW(Amortization[[#Headers],[payment
date]])=1,LoanStart,IF(I351&gt;0,EDATE(C351,1),"")),""),"")</f>
        <v>55649</v>
      </c>
      <c r="D352" s="235">
        <f ca="1">IF(ROW()-ROW(Amortization[[#Headers],[opening
balance]])=1,LoanAmount,IF(Amortization[[#This Row],[payment
date]]="",0,INDEX(Amortization[], ROW()-4,8)))</f>
        <v>47788.664128888973</v>
      </c>
      <c r="E352" s="235">
        <f ca="1">IF(ValuesEntered,IF(ROW()-ROW(Amortization[[#Headers],[interest]])=1,-IPMT(InterestRate/12,1,DurationOfLoan-ROWS($C$4:C352)+1,Amortization[[#This Row],[opening
balance]]),IFERROR(-IPMT(InterestRate/12,1,Amortization[[#This Row],['#
remaining]],D353),0)),0)</f>
        <v>109.65184266352117</v>
      </c>
      <c r="F352" s="235">
        <f ca="1">IFERROR(IF(AND(ValuesEntered,Amortization[[#This Row],[payment
date]]&lt;&gt;""),-PPMT(InterestRate/12,1,DurationOfLoan-ROWS($C$4:C352)+1,Amortization[[#This Row],[opening
balance]]),""),0)</f>
        <v>3927.9270634805071</v>
      </c>
      <c r="G352" s="235">
        <f ca="1">IF(Amortization[[#This Row],[payment
date]]="",0,PropertyTaxAmount)</f>
        <v>375</v>
      </c>
      <c r="H352" s="235">
        <f ca="1">IF(Amortization[[#This Row],[payment
date]]="",0,Amortization[[#This Row],[interest]]+Amortization[[#This Row],[principal]]+Amortization[[#This Row],[property
tax]])</f>
        <v>4412.5789061440282</v>
      </c>
      <c r="I352" s="235">
        <f ca="1">IF(Amortization[[#This Row],[payment
date]]="",0,Amortization[[#This Row],[opening
balance]]-Amortization[[#This Row],[principal]])</f>
        <v>43860.737065408466</v>
      </c>
      <c r="J352" s="247">
        <f ca="1">IF(Amortization[[#This Row],[closing
balance]]&gt;0,LastRow-ROW(),0)</f>
        <v>11</v>
      </c>
    </row>
    <row r="353" spans="2:10" ht="15" customHeight="1" x14ac:dyDescent="0.25">
      <c r="B353" s="249">
        <f>ROWS($B$4:B353)</f>
        <v>350</v>
      </c>
      <c r="C353" s="248">
        <f ca="1">IF(ValuesEntered,IF(Amortization[[#This Row],['#]]&lt;=DurationOfLoan,IF(ROW()-ROW(Amortization[[#Headers],[payment
date]])=1,LoanStart,IF(I352&gt;0,EDATE(C352,1),"")),""),"")</f>
        <v>55680</v>
      </c>
      <c r="D353" s="235">
        <f ca="1">IF(ROW()-ROW(Amortization[[#Headers],[opening
balance]])=1,LoanAmount,IF(Amortization[[#This Row],[payment
date]]="",0,INDEX(Amortization[], ROW()-4,8)))</f>
        <v>43860.737065408466</v>
      </c>
      <c r="E353" s="235">
        <f ca="1">IF(ValuesEntered,IF(ROW()-ROW(Amortization[[#Headers],[interest]])=1,-IPMT(InterestRate/12,1,DurationOfLoan-ROWS($C$4:C353)+1,Amortization[[#This Row],[opening
balance]]),IFERROR(-IPMT(InterestRate/12,1,Amortization[[#This Row],['#
remaining]],D354),0)),0)</f>
        <v>99.807475460673146</v>
      </c>
      <c r="F353" s="235">
        <f ca="1">IFERROR(IF(AND(ValuesEntered,Amortization[[#This Row],[payment
date]]&lt;&gt;""),-PPMT(InterestRate/12,1,DurationOfLoan-ROWS($C$4:C353)+1,Amortization[[#This Row],[opening
balance]]),""),0)</f>
        <v>3937.7468811392087</v>
      </c>
      <c r="G353" s="235">
        <f ca="1">IF(Amortization[[#This Row],[payment
date]]="",0,PropertyTaxAmount)</f>
        <v>375</v>
      </c>
      <c r="H353" s="235">
        <f ca="1">IF(Amortization[[#This Row],[payment
date]]="",0,Amortization[[#This Row],[interest]]+Amortization[[#This Row],[principal]]+Amortization[[#This Row],[property
tax]])</f>
        <v>4412.5543565998814</v>
      </c>
      <c r="I353" s="235">
        <f ca="1">IF(Amortization[[#This Row],[payment
date]]="",0,Amortization[[#This Row],[opening
balance]]-Amortization[[#This Row],[principal]])</f>
        <v>39922.990184269256</v>
      </c>
      <c r="J353" s="247">
        <f ca="1">IF(Amortization[[#This Row],[closing
balance]]&gt;0,LastRow-ROW(),0)</f>
        <v>10</v>
      </c>
    </row>
    <row r="354" spans="2:10" ht="15" customHeight="1" x14ac:dyDescent="0.25">
      <c r="B354" s="249">
        <f>ROWS($B$4:B354)</f>
        <v>351</v>
      </c>
      <c r="C354" s="248">
        <f ca="1">IF(ValuesEntered,IF(Amortization[[#This Row],['#]]&lt;=DurationOfLoan,IF(ROW()-ROW(Amortization[[#Headers],[payment
date]])=1,LoanStart,IF(I353&gt;0,EDATE(C353,1),"")),""),"")</f>
        <v>55710</v>
      </c>
      <c r="D354" s="235">
        <f ca="1">IF(ROW()-ROW(Amortization[[#Headers],[opening
balance]])=1,LoanAmount,IF(Amortization[[#This Row],[payment
date]]="",0,INDEX(Amortization[], ROW()-4,8)))</f>
        <v>39922.990184269256</v>
      </c>
      <c r="E354" s="235">
        <f ca="1">IF(ValuesEntered,IF(ROW()-ROW(Amortization[[#Headers],[interest]])=1,-IPMT(InterestRate/12,1,DurationOfLoan-ROWS($C$4:C354)+1,Amortization[[#This Row],[opening
balance]]),IFERROR(-IPMT(InterestRate/12,1,Amortization[[#This Row],['#
remaining]],D355),0)),0)</f>
        <v>89.938497339817999</v>
      </c>
      <c r="F354" s="235">
        <f ca="1">IFERROR(IF(AND(ValuesEntered,Amortization[[#This Row],[payment
date]]&lt;&gt;""),-PPMT(InterestRate/12,1,DurationOfLoan-ROWS($C$4:C354)+1,Amortization[[#This Row],[opening
balance]]),""),0)</f>
        <v>3947.5912483420557</v>
      </c>
      <c r="G354" s="235">
        <f ca="1">IF(Amortization[[#This Row],[payment
date]]="",0,PropertyTaxAmount)</f>
        <v>375</v>
      </c>
      <c r="H354" s="235">
        <f ca="1">IF(Amortization[[#This Row],[payment
date]]="",0,Amortization[[#This Row],[interest]]+Amortization[[#This Row],[principal]]+Amortization[[#This Row],[property
tax]])</f>
        <v>4412.5297456818735</v>
      </c>
      <c r="I354" s="235">
        <f ca="1">IF(Amortization[[#This Row],[payment
date]]="",0,Amortization[[#This Row],[opening
balance]]-Amortization[[#This Row],[principal]])</f>
        <v>35975.398935927202</v>
      </c>
      <c r="J354" s="247">
        <f ca="1">IF(Amortization[[#This Row],[closing
balance]]&gt;0,LastRow-ROW(),0)</f>
        <v>9</v>
      </c>
    </row>
    <row r="355" spans="2:10" ht="15" customHeight="1" x14ac:dyDescent="0.25">
      <c r="B355" s="249">
        <f>ROWS($B$4:B355)</f>
        <v>352</v>
      </c>
      <c r="C355" s="248">
        <f ca="1">IF(ValuesEntered,IF(Amortization[[#This Row],['#]]&lt;=DurationOfLoan,IF(ROW()-ROW(Amortization[[#Headers],[payment
date]])=1,LoanStart,IF(I354&gt;0,EDATE(C354,1),"")),""),"")</f>
        <v>55741</v>
      </c>
      <c r="D355" s="235">
        <f ca="1">IF(ROW()-ROW(Amortization[[#Headers],[opening
balance]])=1,LoanAmount,IF(Amortization[[#This Row],[payment
date]]="",0,INDEX(Amortization[], ROW()-4,8)))</f>
        <v>35975.398935927202</v>
      </c>
      <c r="E355" s="235">
        <f ca="1">IF(ValuesEntered,IF(ROW()-ROW(Amortization[[#Headers],[interest]])=1,-IPMT(InterestRate/12,1,DurationOfLoan-ROWS($C$4:C355)+1,Amortization[[#This Row],[opening
balance]]),IFERROR(-IPMT(InterestRate/12,1,Amortization[[#This Row],['#
remaining]],D356),0)),0)</f>
        <v>80.044846773660723</v>
      </c>
      <c r="F355" s="235">
        <f ca="1">IFERROR(IF(AND(ValuesEntered,Amortization[[#This Row],[payment
date]]&lt;&gt;""),-PPMT(InterestRate/12,1,DurationOfLoan-ROWS($C$4:C355)+1,Amortization[[#This Row],[opening
balance]]),""),0)</f>
        <v>3957.460226462912</v>
      </c>
      <c r="G355" s="235">
        <f ca="1">IF(Amortization[[#This Row],[payment
date]]="",0,PropertyTaxAmount)</f>
        <v>375</v>
      </c>
      <c r="H355" s="235">
        <f ca="1">IF(Amortization[[#This Row],[payment
date]]="",0,Amortization[[#This Row],[interest]]+Amortization[[#This Row],[principal]]+Amortization[[#This Row],[property
tax]])</f>
        <v>4412.5050732365726</v>
      </c>
      <c r="I355" s="235">
        <f ca="1">IF(Amortization[[#This Row],[payment
date]]="",0,Amortization[[#This Row],[opening
balance]]-Amortization[[#This Row],[principal]])</f>
        <v>32017.938709464288</v>
      </c>
      <c r="J355" s="247">
        <f ca="1">IF(Amortization[[#This Row],[closing
balance]]&gt;0,LastRow-ROW(),0)</f>
        <v>8</v>
      </c>
    </row>
    <row r="356" spans="2:10" ht="15" customHeight="1" x14ac:dyDescent="0.25">
      <c r="B356" s="249">
        <f>ROWS($B$4:B356)</f>
        <v>353</v>
      </c>
      <c r="C356" s="248">
        <f ca="1">IF(ValuesEntered,IF(Amortization[[#This Row],['#]]&lt;=DurationOfLoan,IF(ROW()-ROW(Amortization[[#Headers],[payment
date]])=1,LoanStart,IF(I355&gt;0,EDATE(C355,1),"")),""),"")</f>
        <v>55772</v>
      </c>
      <c r="D356" s="235">
        <f ca="1">IF(ROW()-ROW(Amortization[[#Headers],[opening
balance]])=1,LoanAmount,IF(Amortization[[#This Row],[payment
date]]="",0,INDEX(Amortization[], ROW()-4,8)))</f>
        <v>32017.938709464288</v>
      </c>
      <c r="E356" s="235">
        <f ca="1">IF(ValuesEntered,IF(ROW()-ROW(Amortization[[#Headers],[interest]])=1,-IPMT(InterestRate/12,1,DurationOfLoan-ROWS($C$4:C356)+1,Amortization[[#This Row],[opening
balance]]),IFERROR(-IPMT(InterestRate/12,1,Amortization[[#This Row],['#
remaining]],D357),0)),0)</f>
        <v>70.12646208108805</v>
      </c>
      <c r="F356" s="235">
        <f ca="1">IFERROR(IF(AND(ValuesEntered,Amortization[[#This Row],[payment
date]]&lt;&gt;""),-PPMT(InterestRate/12,1,DurationOfLoan-ROWS($C$4:C356)+1,Amortization[[#This Row],[opening
balance]]),""),0)</f>
        <v>3967.3538770290679</v>
      </c>
      <c r="G356" s="235">
        <f ca="1">IF(Amortization[[#This Row],[payment
date]]="",0,PropertyTaxAmount)</f>
        <v>375</v>
      </c>
      <c r="H356" s="235">
        <f ca="1">IF(Amortization[[#This Row],[payment
date]]="",0,Amortization[[#This Row],[interest]]+Amortization[[#This Row],[principal]]+Amortization[[#This Row],[property
tax]])</f>
        <v>4412.4803391101559</v>
      </c>
      <c r="I356" s="235">
        <f ca="1">IF(Amortization[[#This Row],[payment
date]]="",0,Amortization[[#This Row],[opening
balance]]-Amortization[[#This Row],[principal]])</f>
        <v>28050.584832435219</v>
      </c>
      <c r="J356" s="247">
        <f ca="1">IF(Amortization[[#This Row],[closing
balance]]&gt;0,LastRow-ROW(),0)</f>
        <v>7</v>
      </c>
    </row>
    <row r="357" spans="2:10" ht="15" customHeight="1" x14ac:dyDescent="0.25">
      <c r="B357" s="249">
        <f>ROWS($B$4:B357)</f>
        <v>354</v>
      </c>
      <c r="C357" s="248">
        <f ca="1">IF(ValuesEntered,IF(Amortization[[#This Row],['#]]&lt;=DurationOfLoan,IF(ROW()-ROW(Amortization[[#Headers],[payment
date]])=1,LoanStart,IF(I356&gt;0,EDATE(C356,1),"")),""),"")</f>
        <v>55802</v>
      </c>
      <c r="D357" s="235">
        <f ca="1">IF(ROW()-ROW(Amortization[[#Headers],[opening
balance]])=1,LoanAmount,IF(Amortization[[#This Row],[payment
date]]="",0,INDEX(Amortization[], ROW()-4,8)))</f>
        <v>28050.584832435219</v>
      </c>
      <c r="E357" s="235">
        <f ca="1">IF(ValuesEntered,IF(ROW()-ROW(Amortization[[#Headers],[interest]])=1,-IPMT(InterestRate/12,1,DurationOfLoan-ROWS($C$4:C357)+1,Amortization[[#This Row],[opening
balance]]),IFERROR(-IPMT(InterestRate/12,1,Amortization[[#This Row],['#
remaining]],D358),0)),0)</f>
        <v>60.183281426783942</v>
      </c>
      <c r="F357" s="235">
        <f ca="1">IFERROR(IF(AND(ValuesEntered,Amortization[[#This Row],[payment
date]]&lt;&gt;""),-PPMT(InterestRate/12,1,DurationOfLoan-ROWS($C$4:C357)+1,Amortization[[#This Row],[opening
balance]]),""),0)</f>
        <v>3977.2722617216409</v>
      </c>
      <c r="G357" s="235">
        <f ca="1">IF(Amortization[[#This Row],[payment
date]]="",0,PropertyTaxAmount)</f>
        <v>375</v>
      </c>
      <c r="H357" s="235">
        <f ca="1">IF(Amortization[[#This Row],[payment
date]]="",0,Amortization[[#This Row],[interest]]+Amortization[[#This Row],[principal]]+Amortization[[#This Row],[property
tax]])</f>
        <v>4412.455543148425</v>
      </c>
      <c r="I357" s="235">
        <f ca="1">IF(Amortization[[#This Row],[payment
date]]="",0,Amortization[[#This Row],[opening
balance]]-Amortization[[#This Row],[principal]])</f>
        <v>24073.312570713577</v>
      </c>
      <c r="J357" s="247">
        <f ca="1">IF(Amortization[[#This Row],[closing
balance]]&gt;0,LastRow-ROW(),0)</f>
        <v>6</v>
      </c>
    </row>
    <row r="358" spans="2:10" ht="15" customHeight="1" x14ac:dyDescent="0.25">
      <c r="B358" s="249">
        <f>ROWS($B$4:B358)</f>
        <v>355</v>
      </c>
      <c r="C358" s="248">
        <f ca="1">IF(ValuesEntered,IF(Amortization[[#This Row],['#]]&lt;=DurationOfLoan,IF(ROW()-ROW(Amortization[[#Headers],[payment
date]])=1,LoanStart,IF(I357&gt;0,EDATE(C357,1),"")),""),"")</f>
        <v>55833</v>
      </c>
      <c r="D358" s="235">
        <f ca="1">IF(ROW()-ROW(Amortization[[#Headers],[opening
balance]])=1,LoanAmount,IF(Amortization[[#This Row],[payment
date]]="",0,INDEX(Amortization[], ROW()-4,8)))</f>
        <v>24073.312570713577</v>
      </c>
      <c r="E358" s="235">
        <f ca="1">IF(ValuesEntered,IF(ROW()-ROW(Amortization[[#Headers],[interest]])=1,-IPMT(InterestRate/12,1,DurationOfLoan-ROWS($C$4:C358)+1,Amortization[[#This Row],[opening
balance]]),IFERROR(-IPMT(InterestRate/12,1,Amortization[[#This Row],['#
remaining]],D359),0)),0)</f>
        <v>50.215242820844082</v>
      </c>
      <c r="F358" s="235">
        <f ca="1">IFERROR(IF(AND(ValuesEntered,Amortization[[#This Row],[payment
date]]&lt;&gt;""),-PPMT(InterestRate/12,1,DurationOfLoan-ROWS($C$4:C358)+1,Amortization[[#This Row],[opening
balance]]),""),0)</f>
        <v>3987.2154423759448</v>
      </c>
      <c r="G358" s="235">
        <f ca="1">IF(Amortization[[#This Row],[payment
date]]="",0,PropertyTaxAmount)</f>
        <v>375</v>
      </c>
      <c r="H358" s="235">
        <f ca="1">IF(Amortization[[#This Row],[payment
date]]="",0,Amortization[[#This Row],[interest]]+Amortization[[#This Row],[principal]]+Amortization[[#This Row],[property
tax]])</f>
        <v>4412.4306851967885</v>
      </c>
      <c r="I358" s="235">
        <f ca="1">IF(Amortization[[#This Row],[payment
date]]="",0,Amortization[[#This Row],[opening
balance]]-Amortization[[#This Row],[principal]])</f>
        <v>20086.097128337631</v>
      </c>
      <c r="J358" s="247">
        <f ca="1">IF(Amortization[[#This Row],[closing
balance]]&gt;0,LastRow-ROW(),0)</f>
        <v>5</v>
      </c>
    </row>
    <row r="359" spans="2:10" ht="15" customHeight="1" x14ac:dyDescent="0.25">
      <c r="B359" s="249">
        <f>ROWS($B$4:B359)</f>
        <v>356</v>
      </c>
      <c r="C359" s="248">
        <f ca="1">IF(ValuesEntered,IF(Amortization[[#This Row],['#]]&lt;=DurationOfLoan,IF(ROW()-ROW(Amortization[[#Headers],[payment
date]])=1,LoanStart,IF(I358&gt;0,EDATE(C358,1),"")),""),"")</f>
        <v>55863</v>
      </c>
      <c r="D359" s="235">
        <f ca="1">IF(ROW()-ROW(Amortization[[#Headers],[opening
balance]])=1,LoanAmount,IF(Amortization[[#This Row],[payment
date]]="",0,INDEX(Amortization[], ROW()-4,8)))</f>
        <v>20086.097128337631</v>
      </c>
      <c r="E359" s="235">
        <f ca="1">IF(ValuesEntered,IF(ROW()-ROW(Amortization[[#Headers],[interest]])=1,-IPMT(InterestRate/12,1,DurationOfLoan-ROWS($C$4:C359)+1,Amortization[[#This Row],[opening
balance]]),IFERROR(-IPMT(InterestRate/12,1,Amortization[[#This Row],['#
remaining]],D360),0)),0)</f>
        <v>40.222284118389368</v>
      </c>
      <c r="F359" s="235">
        <f ca="1">IFERROR(IF(AND(ValuesEntered,Amortization[[#This Row],[payment
date]]&lt;&gt;""),-PPMT(InterestRate/12,1,DurationOfLoan-ROWS($C$4:C359)+1,Amortization[[#This Row],[opening
balance]]),""),0)</f>
        <v>3997.1834809818847</v>
      </c>
      <c r="G359" s="235">
        <f ca="1">IF(Amortization[[#This Row],[payment
date]]="",0,PropertyTaxAmount)</f>
        <v>375</v>
      </c>
      <c r="H359" s="235">
        <f ca="1">IF(Amortization[[#This Row],[payment
date]]="",0,Amortization[[#This Row],[interest]]+Amortization[[#This Row],[principal]]+Amortization[[#This Row],[property
tax]])</f>
        <v>4412.405765100274</v>
      </c>
      <c r="I359" s="235">
        <f ca="1">IF(Amortization[[#This Row],[payment
date]]="",0,Amortization[[#This Row],[opening
balance]]-Amortization[[#This Row],[principal]])</f>
        <v>16088.913647355746</v>
      </c>
      <c r="J359" s="247">
        <f ca="1">IF(Amortization[[#This Row],[closing
balance]]&gt;0,LastRow-ROW(),0)</f>
        <v>4</v>
      </c>
    </row>
    <row r="360" spans="2:10" ht="15" customHeight="1" x14ac:dyDescent="0.25">
      <c r="B360" s="249">
        <f>ROWS($B$4:B360)</f>
        <v>357</v>
      </c>
      <c r="C360" s="248">
        <f ca="1">IF(ValuesEntered,IF(Amortization[[#This Row],['#]]&lt;=DurationOfLoan,IF(ROW()-ROW(Amortization[[#Headers],[payment
date]])=1,LoanStart,IF(I359&gt;0,EDATE(C359,1),"")),""),"")</f>
        <v>55894</v>
      </c>
      <c r="D360" s="235">
        <f ca="1">IF(ROW()-ROW(Amortization[[#Headers],[opening
balance]])=1,LoanAmount,IF(Amortization[[#This Row],[payment
date]]="",0,INDEX(Amortization[], ROW()-4,8)))</f>
        <v>16088.913647355746</v>
      </c>
      <c r="E360" s="235">
        <f ca="1">IF(ValuesEntered,IF(ROW()-ROW(Amortization[[#Headers],[interest]])=1,-IPMT(InterestRate/12,1,DurationOfLoan-ROWS($C$4:C360)+1,Amortization[[#This Row],[opening
balance]]),IFERROR(-IPMT(InterestRate/12,1,Amortization[[#This Row],['#
remaining]],D361),0)),0)</f>
        <v>30.20434301917852</v>
      </c>
      <c r="F360" s="235">
        <f ca="1">IFERROR(IF(AND(ValuesEntered,Amortization[[#This Row],[payment
date]]&lt;&gt;""),-PPMT(InterestRate/12,1,DurationOfLoan-ROWS($C$4:C360)+1,Amortization[[#This Row],[opening
balance]]),""),0)</f>
        <v>4007.1764396843391</v>
      </c>
      <c r="G360" s="235">
        <f ca="1">IF(Amortization[[#This Row],[payment
date]]="",0,PropertyTaxAmount)</f>
        <v>375</v>
      </c>
      <c r="H360" s="235">
        <f ca="1">IF(Amortization[[#This Row],[payment
date]]="",0,Amortization[[#This Row],[interest]]+Amortization[[#This Row],[principal]]+Amortization[[#This Row],[property
tax]])</f>
        <v>4412.380782703518</v>
      </c>
      <c r="I360" s="235">
        <f ca="1">IF(Amortization[[#This Row],[payment
date]]="",0,Amortization[[#This Row],[opening
balance]]-Amortization[[#This Row],[principal]])</f>
        <v>12081.737207671407</v>
      </c>
      <c r="J360" s="247">
        <f ca="1">IF(Amortization[[#This Row],[closing
balance]]&gt;0,LastRow-ROW(),0)</f>
        <v>3</v>
      </c>
    </row>
    <row r="361" spans="2:10" ht="15" customHeight="1" x14ac:dyDescent="0.25">
      <c r="B361" s="249">
        <f>ROWS($B$4:B361)</f>
        <v>358</v>
      </c>
      <c r="C361" s="248">
        <f ca="1">IF(ValuesEntered,IF(Amortization[[#This Row],['#]]&lt;=DurationOfLoan,IF(ROW()-ROW(Amortization[[#Headers],[payment
date]])=1,LoanStart,IF(I360&gt;0,EDATE(C360,1),"")),""),"")</f>
        <v>55925</v>
      </c>
      <c r="D361" s="235">
        <f ca="1">IF(ROW()-ROW(Amortization[[#Headers],[opening
balance]])=1,LoanAmount,IF(Amortization[[#This Row],[payment
date]]="",0,INDEX(Amortization[], ROW()-4,8)))</f>
        <v>12081.737207671407</v>
      </c>
      <c r="E361" s="235">
        <f ca="1">IF(ValuesEntered,IF(ROW()-ROW(Amortization[[#Headers],[interest]])=1,-IPMT(InterestRate/12,1,DurationOfLoan-ROWS($C$4:C361)+1,Amortization[[#This Row],[opening
balance]]),IFERROR(-IPMT(InterestRate/12,1,Amortization[[#This Row],['#
remaining]],D362),0)),0)</f>
        <v>20.161357067219644</v>
      </c>
      <c r="F361" s="235">
        <f ca="1">IFERROR(IF(AND(ValuesEntered,Amortization[[#This Row],[payment
date]]&lt;&gt;""),-PPMT(InterestRate/12,1,DurationOfLoan-ROWS($C$4:C361)+1,Amortization[[#This Row],[opening
balance]]),""),0)</f>
        <v>4017.1943807835501</v>
      </c>
      <c r="G361" s="235">
        <f ca="1">IF(Amortization[[#This Row],[payment
date]]="",0,PropertyTaxAmount)</f>
        <v>375</v>
      </c>
      <c r="H361" s="235">
        <f ca="1">IF(Amortization[[#This Row],[payment
date]]="",0,Amortization[[#This Row],[interest]]+Amortization[[#This Row],[principal]]+Amortization[[#This Row],[property
tax]])</f>
        <v>4412.3557378507703</v>
      </c>
      <c r="I361" s="235">
        <f ca="1">IF(Amortization[[#This Row],[payment
date]]="",0,Amortization[[#This Row],[opening
balance]]-Amortization[[#This Row],[principal]])</f>
        <v>8064.5428268878568</v>
      </c>
      <c r="J361" s="247">
        <f ca="1">IF(Amortization[[#This Row],[closing
balance]]&gt;0,LastRow-ROW(),0)</f>
        <v>2</v>
      </c>
    </row>
    <row r="362" spans="2:10" ht="15" customHeight="1" x14ac:dyDescent="0.25">
      <c r="B362" s="249">
        <f>ROWS($B$4:B362)</f>
        <v>359</v>
      </c>
      <c r="C362" s="248">
        <f ca="1">IF(ValuesEntered,IF(Amortization[[#This Row],['#]]&lt;=DurationOfLoan,IF(ROW()-ROW(Amortization[[#Headers],[payment
date]])=1,LoanStart,IF(I361&gt;0,EDATE(C361,1),"")),""),"")</f>
        <v>55953</v>
      </c>
      <c r="D362" s="235">
        <f ca="1">IF(ROW()-ROW(Amortization[[#Headers],[opening
balance]])=1,LoanAmount,IF(Amortization[[#This Row],[payment
date]]="",0,INDEX(Amortization[], ROW()-4,8)))</f>
        <v>8064.5428268878568</v>
      </c>
      <c r="E362" s="235">
        <f ca="1">IF(ValuesEntered,IF(ROW()-ROW(Amortization[[#Headers],[interest]])=1,-IPMT(InterestRate/12,1,DurationOfLoan-ROWS($C$4:C362)+1,Amortization[[#This Row],[opening
balance]]),IFERROR(-IPMT(InterestRate/12,1,Amortization[[#This Row],['#
remaining]],D363),0)),0)</f>
        <v>10.093263650380869</v>
      </c>
      <c r="F362" s="235">
        <f ca="1">IFERROR(IF(AND(ValuesEntered,Amortization[[#This Row],[payment
date]]&lt;&gt;""),-PPMT(InterestRate/12,1,DurationOfLoan-ROWS($C$4:C362)+1,Amortization[[#This Row],[opening
balance]]),""),0)</f>
        <v>4027.2373667355091</v>
      </c>
      <c r="G362" s="235">
        <f ca="1">IF(Amortization[[#This Row],[payment
date]]="",0,PropertyTaxAmount)</f>
        <v>375</v>
      </c>
      <c r="H362" s="235">
        <f ca="1">IF(Amortization[[#This Row],[payment
date]]="",0,Amortization[[#This Row],[interest]]+Amortization[[#This Row],[principal]]+Amortization[[#This Row],[property
tax]])</f>
        <v>4412.3306303858899</v>
      </c>
      <c r="I362" s="235">
        <f ca="1">IF(Amortization[[#This Row],[payment
date]]="",0,Amortization[[#This Row],[opening
balance]]-Amortization[[#This Row],[principal]])</f>
        <v>4037.3054601523477</v>
      </c>
      <c r="J362" s="247">
        <f ca="1">IF(Amortization[[#This Row],[closing
balance]]&gt;0,LastRow-ROW(),0)</f>
        <v>1</v>
      </c>
    </row>
    <row r="363" spans="2:10" ht="15" customHeight="1" x14ac:dyDescent="0.25">
      <c r="B363" s="249">
        <f>ROWS($B$4:B363)</f>
        <v>360</v>
      </c>
      <c r="C363" s="248">
        <f ca="1">IF(ValuesEntered,IF(Amortization[[#This Row],['#]]&lt;=DurationOfLoan,IF(ROW()-ROW(Amortization[[#Headers],[payment
date]])=1,LoanStart,IF(I362&gt;0,EDATE(C362,1),"")),""),"")</f>
        <v>55984</v>
      </c>
      <c r="D363" s="235">
        <f ca="1">IF(ROW()-ROW(Amortization[[#Headers],[opening
balance]])=1,LoanAmount,IF(Amortization[[#This Row],[payment
date]]="",0,INDEX(Amortization[], ROW()-4,8)))</f>
        <v>4037.3054601523477</v>
      </c>
      <c r="E363" s="235">
        <f ca="1">IF(ValuesEntered,IF(ROW()-ROW(Amortization[[#Headers],[interest]])=1,-IPMT(InterestRate/12,1,DurationOfLoan-ROWS($C$4:C363)+1,Amortization[[#This Row],[opening
balance]]),IFERROR(-IPMT(InterestRate/12,1,Amortization[[#This Row],['#
remaining]],D364),0)),0)</f>
        <v>0</v>
      </c>
      <c r="F363" s="235">
        <f ca="1">IFERROR(IF(AND(ValuesEntered,Amortization[[#This Row],[payment
date]]&lt;&gt;""),-PPMT(InterestRate/12,1,DurationOfLoan-ROWS($C$4:C363)+1,Amortization[[#This Row],[opening
balance]]),""),0)</f>
        <v>4037.3054601523472</v>
      </c>
      <c r="G363" s="235">
        <f ca="1">IF(Amortization[[#This Row],[payment
date]]="",0,PropertyTaxAmount)</f>
        <v>375</v>
      </c>
      <c r="H363" s="235">
        <f ca="1">IF(Amortization[[#This Row],[payment
date]]="",0,Amortization[[#This Row],[interest]]+Amortization[[#This Row],[principal]]+Amortization[[#This Row],[property
tax]])</f>
        <v>4412.3054601523472</v>
      </c>
      <c r="I363" s="235">
        <f ca="1">IF(Amortization[[#This Row],[payment
date]]="",0,Amortization[[#This Row],[opening
balance]]-Amortization[[#This Row],[principal]])</f>
        <v>4.5474735088646412E-13</v>
      </c>
      <c r="J363" s="247">
        <f ca="1">IF(Amortization[[#This Row],[closing
balance]]&gt;0,LastRow-ROW(),0)</f>
        <v>0</v>
      </c>
    </row>
  </sheetData>
  <sheetProtection selectLockedCells="1"/>
  <mergeCells count="2">
    <mergeCell ref="B1:J1"/>
    <mergeCell ref="B2:J2"/>
  </mergeCells>
  <conditionalFormatting sqref="B4:J363">
    <cfRule type="expression" dxfId="0" priority="1">
      <formula>$C4=""</formula>
    </cfRule>
  </conditionalFormatting>
  <dataValidations count="11">
    <dataValidation allowBlank="1" showInputMessage="1" showErrorMessage="1" prompt="Title of this worksheet is in this and the cell below" sqref="B1:J1" xr:uid="{00000000-0002-0000-0100-00000A000000}"/>
    <dataValidation allowBlank="1" showInputMessage="1" showErrorMessage="1" prompt="Number of payments remaining are automatically updated in this column under this heading based on Loan Duration in Mortgage Calculator worksheet &amp; number of payments applied to loan" sqref="J3" xr:uid="{00000000-0002-0000-0100-000009000000}"/>
    <dataValidation allowBlank="1" showInputMessage="1" showErrorMessage="1" prompt="Closing balance adjusted for the total payment is automatically updated in this column" sqref="I3" xr:uid="{00000000-0002-0000-0100-000008000000}"/>
    <dataValidation allowBlank="1" showInputMessage="1" showErrorMessage="1" prompt="Total payment is automatically adjusted in this column based on the interest, principal and property tax amounts in column E, F and G" sqref="H3" xr:uid="{00000000-0002-0000-0100-000007000000}"/>
    <dataValidation allowBlank="1" showInputMessage="1" showErrorMessage="1" prompt="Property tax payment entered in cell E8 on Mortgage Calculator worksheet is automatically updated in this column " sqref="G3" xr:uid="{00000000-0002-0000-0100-000006000000}"/>
    <dataValidation allowBlank="1" showInputMessage="1" showErrorMessage="1" prompt="Amount of payment applied to the principal payment is automatically updated in this column" sqref="F3" xr:uid="{00000000-0002-0000-0100-000005000000}"/>
    <dataValidation allowBlank="1" showInputMessage="1" showErrorMessage="1" prompt="Interest breakdown is automatically updated in this column" sqref="E3" xr:uid="{00000000-0002-0000-0100-000004000000}"/>
    <dataValidation allowBlank="1" showInputMessage="1" showErrorMessage="1" prompt="Opening and adjusted balance as payments are applied are automatically updated in this column" sqref="D3" xr:uid="{00000000-0002-0000-0100-000003000000}"/>
    <dataValidation allowBlank="1" showInputMessage="1" showErrorMessage="1" prompt="Payment date is automatically updated in this column" sqref="C3" xr:uid="{00000000-0002-0000-0100-000002000000}"/>
    <dataValidation allowBlank="1" showInputMessage="1" showErrorMessage="1" prompt="Payment number is in this column. Add additional payments by adding a new row and entering the payment date. Columns will update automatically" sqref="B3" xr:uid="{00000000-0002-0000-0100-000001000000}"/>
    <dataValidation allowBlank="1" showInputMessage="1" showErrorMessage="1" prompt="Amortization Table calculated from Mortgage Calculator worksheet. Add additional payments by inserting new rows to this table. Enter payment date &amp; columns will update automatically" sqref="A1" xr:uid="{00000000-0002-0000-0100-000000000000}"/>
  </dataValidations>
  <printOptions horizontalCentered="1"/>
  <pageMargins left="0.25" right="0.25" top="0.75" bottom="0.75" header="0.3" footer="0.3"/>
  <pageSetup scale="74"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43</vt:i4>
      </vt:variant>
    </vt:vector>
  </HeadingPairs>
  <TitlesOfParts>
    <vt:vector size="50" baseType="lpstr">
      <vt:lpstr>Compare Periods</vt:lpstr>
      <vt:lpstr>Earnings Projection</vt:lpstr>
      <vt:lpstr>Retirement</vt:lpstr>
      <vt:lpstr>401k - Vincent</vt:lpstr>
      <vt:lpstr>401k - Sean</vt:lpstr>
      <vt:lpstr>Mortgage Calculator</vt:lpstr>
      <vt:lpstr>Amortization Table</vt:lpstr>
      <vt:lpstr>_401k_Pre_Tax</vt:lpstr>
      <vt:lpstr>_401k_Roth</vt:lpstr>
      <vt:lpstr>Assumptions</vt:lpstr>
      <vt:lpstr>Bonus_Level</vt:lpstr>
      <vt:lpstr>ColumnTitle2</vt:lpstr>
      <vt:lpstr>Company_401K_Match</vt:lpstr>
      <vt:lpstr>Dental</vt:lpstr>
      <vt:lpstr>DurationOfLoan</vt:lpstr>
      <vt:lpstr>Federal_Tax_Rate</vt:lpstr>
      <vt:lpstr>HSA</vt:lpstr>
      <vt:lpstr>interest</vt:lpstr>
      <vt:lpstr>InterestRate</vt:lpstr>
      <vt:lpstr>LoanAmount</vt:lpstr>
      <vt:lpstr>LoanStart</vt:lpstr>
      <vt:lpstr>Medical</vt:lpstr>
      <vt:lpstr>Medicare</vt:lpstr>
      <vt:lpstr>MonthlyLoanPayment</vt:lpstr>
      <vt:lpstr>NoPaymentsRemaining</vt:lpstr>
      <vt:lpstr>'401k - Sean'!nper</vt:lpstr>
      <vt:lpstr>nper</vt:lpstr>
      <vt:lpstr>OASDI</vt:lpstr>
      <vt:lpstr>Pay_Schedule</vt:lpstr>
      <vt:lpstr>'401k - Sean'!Print_Titles</vt:lpstr>
      <vt:lpstr>'401k - Vincent'!Print_Titles</vt:lpstr>
      <vt:lpstr>'Amortization Table'!Print_Titles</vt:lpstr>
      <vt:lpstr>PropertyTaxAmount</vt:lpstr>
      <vt:lpstr>'401k - Sean'!randrate</vt:lpstr>
      <vt:lpstr>randrate</vt:lpstr>
      <vt:lpstr>Sean</vt:lpstr>
      <vt:lpstr>Starting_401K_Contribution_Base</vt:lpstr>
      <vt:lpstr>Starting_Equity</vt:lpstr>
      <vt:lpstr>Starting_Level</vt:lpstr>
      <vt:lpstr>Starting_Salary</vt:lpstr>
      <vt:lpstr>State</vt:lpstr>
      <vt:lpstr>State_Tax_Rate</vt:lpstr>
      <vt:lpstr>TitleRegion1..C8</vt:lpstr>
      <vt:lpstr>TitleRegion2..E8</vt:lpstr>
      <vt:lpstr>total_interest_paid</vt:lpstr>
      <vt:lpstr>total_loan_payment</vt:lpstr>
      <vt:lpstr>total_payments</vt:lpstr>
      <vt:lpstr>ValueOfHome</vt:lpstr>
      <vt:lpstr>Vincent</vt:lpstr>
      <vt:lpstr>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Sean</dc:creator>
  <cp:lastModifiedBy>Sean Lewis</cp:lastModifiedBy>
  <dcterms:created xsi:type="dcterms:W3CDTF">2021-09-09T23:08:37Z</dcterms:created>
  <dcterms:modified xsi:type="dcterms:W3CDTF">2021-11-17T06:24:25Z</dcterms:modified>
</cp:coreProperties>
</file>