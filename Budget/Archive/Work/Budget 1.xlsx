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70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\Documents\"/>
    </mc:Choice>
  </mc:AlternateContent>
  <xr:revisionPtr revIDLastSave="0" documentId="13_ncr:11_{1F8AF463-6E05-474D-950C-558C2ED5F282}" xr6:coauthVersionLast="46" xr6:coauthVersionMax="46" xr10:uidLastSave="{00000000-0000-0000-0000-000000000000}"/>
  <bookViews>
    <workbookView xWindow="28680" yWindow="-120" windowWidth="29040" windowHeight="15990" xr2:uid="{00000000-000D-0000-FFFF-FFFF00000000}"/>
  </bookViews>
  <sheets>
    <sheet name="Summary" sheetId="11" r:id="rId1"/>
    <sheet name="Expense Calendar" sheetId="8" r:id="rId2"/>
    <sheet name="Income Calendar" sheetId="12" r:id="rId3"/>
  </sheets>
  <definedNames>
    <definedName name="allowance">Summary!$J$16</definedName>
    <definedName name="AprSun1" localSheetId="2">DATE('Income Calendar'!CalendarYear,4,1)-WEEKDAY(DATE('Income Calendar'!CalendarYear,4,1))</definedName>
    <definedName name="AprSun1">DATE(CalendarYear,4,1)-WEEKDAY(DATE(CalendarYear,4,1))</definedName>
    <definedName name="AugSun1" localSheetId="2">DATE('Income Calendar'!CalendarYear,8,1)-WEEKDAY(DATE('Income Calendar'!CalendarYear,8,1))</definedName>
    <definedName name="AugSun1">DATE(CalendarYear,8,1)-WEEKDAY(DATE(CalendarYear,8,1))</definedName>
    <definedName name="Budget">Summary!$J$11</definedName>
    <definedName name="CalendarYear" localSheetId="2">'Income Calendar'!Year1</definedName>
    <definedName name="CalendarYear">'Expense Calendar'!Year1</definedName>
    <definedName name="DecSun1" localSheetId="2">DATE('Income Calendar'!CalendarYear,12,1)-WEEKDAY(DATE('Income Calendar'!CalendarYear,12,1))</definedName>
    <definedName name="DecSun1">DATE(CalendarYear,12,1)-WEEKDAY(DATE(CalendarYear,12,1))</definedName>
    <definedName name="FebSun1" localSheetId="2">DATE('Income Calendar'!CalendarYear,2,1)-WEEKDAY(DATE('Income Calendar'!CalendarYear,2,1))</definedName>
    <definedName name="FebSun1">DATE(CalendarYear,2,1)-WEEKDAY(DATE(CalendarYear,2,1))</definedName>
    <definedName name="fixed" localSheetId="2">fixed_expenses4[#All]</definedName>
    <definedName name="fixed">fixed_expenses[#All]</definedName>
    <definedName name="income">'Income Calendar'!$N$3</definedName>
    <definedName name="JanSun1" localSheetId="2">DATE('Income Calendar'!CalendarYear,1,1)-WEEKDAY(DATE('Income Calendar'!CalendarYear,1,1))</definedName>
    <definedName name="JanSun1">DATE(CalendarYear,1,1)-WEEKDAY(DATE(CalendarYear,1,1))</definedName>
    <definedName name="JulSun1" localSheetId="2">DATE('Income Calendar'!CalendarYear,7,1)-WEEKDAY(DATE('Income Calendar'!CalendarYear,7,1))</definedName>
    <definedName name="JulSun1">DATE(CalendarYear,7,1)-WEEKDAY(DATE(CalendarYear,7,1))</definedName>
    <definedName name="JunSun1" localSheetId="2">DATE('Income Calendar'!CalendarYear,6,1)-WEEKDAY(DATE('Income Calendar'!CalendarYear,6,1))</definedName>
    <definedName name="JunSun1">DATE(CalendarYear,6,1)-WEEKDAY(DATE(CalendarYear,6,1))</definedName>
    <definedName name="MarSun1" localSheetId="2">DATE('Income Calendar'!CalendarYear,3,1)-WEEKDAY(DATE('Income Calendar'!CalendarYear,3,1))</definedName>
    <definedName name="MarSun1">DATE(CalendarYear,3,1)-WEEKDAY(DATE(CalendarYear,3,1))</definedName>
    <definedName name="MaySun1" localSheetId="2">DATE('Income Calendar'!CalendarYear,5,1)-WEEKDAY(DATE('Income Calendar'!CalendarYear,5,1))</definedName>
    <definedName name="MaySun1">DATE(CalendarYear,5,1)-WEEKDAY(DATE(CalendarYear,5,1))</definedName>
    <definedName name="Month1" localSheetId="1">'Expense Calendar'!$B$3</definedName>
    <definedName name="Month1" localSheetId="2">'Income Calendar'!$B$3</definedName>
    <definedName name="NovSun1" localSheetId="2">DATE('Income Calendar'!CalendarYear,11,1)-WEEKDAY(DATE('Income Calendar'!CalendarYear,11,1))</definedName>
    <definedName name="NovSun1">DATE(CalendarYear,11,1)-WEEKDAY(DATE(CalendarYear,11,1))</definedName>
    <definedName name="OctSun1" localSheetId="2">DATE('Income Calendar'!CalendarYear,10,1)-WEEKDAY(DATE('Income Calendar'!CalendarYear,10,1))</definedName>
    <definedName name="OctSun1">DATE(CalendarYear,10,1)-WEEKDAY(DATE(CalendarYear,10,1))</definedName>
    <definedName name="_xlnm.Print_Area" localSheetId="1">'Expense Calendar'!$B$2:$P$696</definedName>
    <definedName name="_xlnm.Print_Area" localSheetId="2">'Income Calendar'!$B$2:$P$696</definedName>
    <definedName name="SepSun1" localSheetId="2">DATE('Income Calendar'!CalendarYear,9,1)-WEEKDAY(DATE('Income Calendar'!CalendarYear,9,1))</definedName>
    <definedName name="SepSun1">DATE(CalendarYear,9,1)-WEEKDAY(DATE(CalendarYear,9,1))</definedName>
    <definedName name="StartMonth" localSheetId="2">'Income Calendar'!$B$4</definedName>
    <definedName name="StartMonth">'Expense Calendar'!$B$4</definedName>
    <definedName name="Year1" localSheetId="1">VALUE(LEFT('Expense Calendar'!$B$1,4))</definedName>
    <definedName name="Year1" localSheetId="2">VALUE(LEFT('Income Calendar'!$B$1,4))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11" l="1"/>
  <c r="G96" i="11"/>
  <c r="G95" i="11"/>
  <c r="G94" i="11"/>
  <c r="G93" i="11"/>
  <c r="G92" i="11"/>
  <c r="G87" i="11"/>
  <c r="G86" i="11"/>
  <c r="G85" i="11"/>
  <c r="G84" i="11"/>
  <c r="G80" i="11"/>
  <c r="G79" i="11"/>
  <c r="G78" i="11"/>
  <c r="G77" i="11"/>
  <c r="G76" i="11"/>
  <c r="G71" i="11"/>
  <c r="G70" i="11"/>
  <c r="G69" i="11"/>
  <c r="G68" i="11"/>
  <c r="G63" i="11"/>
  <c r="G62" i="11"/>
  <c r="G61" i="11"/>
  <c r="G60" i="11"/>
  <c r="G56" i="11"/>
  <c r="G55" i="11"/>
  <c r="G54" i="11"/>
  <c r="G53" i="11"/>
  <c r="G52" i="11"/>
  <c r="G47" i="11"/>
  <c r="G46" i="11"/>
  <c r="G45" i="11"/>
  <c r="G44" i="11"/>
  <c r="G40" i="11"/>
  <c r="G39" i="11"/>
  <c r="G38" i="11"/>
  <c r="G37" i="11"/>
  <c r="G36" i="11"/>
  <c r="G32" i="11"/>
  <c r="G31" i="11"/>
  <c r="G30" i="11"/>
  <c r="G29" i="11"/>
  <c r="G28" i="11"/>
  <c r="G23" i="11"/>
  <c r="G22" i="11"/>
  <c r="G21" i="11"/>
  <c r="G20" i="11"/>
  <c r="G15" i="11"/>
  <c r="G14" i="11"/>
  <c r="G13" i="11"/>
  <c r="G12" i="11"/>
  <c r="F15" i="11"/>
  <c r="F22" i="11"/>
  <c r="F23" i="11"/>
  <c r="F13" i="11"/>
  <c r="F12" i="11"/>
  <c r="F96" i="11"/>
  <c r="F95" i="11"/>
  <c r="F94" i="11"/>
  <c r="F93" i="11"/>
  <c r="F92" i="11"/>
  <c r="F87" i="11"/>
  <c r="F86" i="11"/>
  <c r="F85" i="11"/>
  <c r="F84" i="11"/>
  <c r="F80" i="11"/>
  <c r="F79" i="11"/>
  <c r="F78" i="11"/>
  <c r="F77" i="11"/>
  <c r="F76" i="11"/>
  <c r="F71" i="11"/>
  <c r="F70" i="11"/>
  <c r="F69" i="11"/>
  <c r="F68" i="11"/>
  <c r="F63" i="11"/>
  <c r="F62" i="11"/>
  <c r="F61" i="11"/>
  <c r="F60" i="11"/>
  <c r="F56" i="11"/>
  <c r="F55" i="11"/>
  <c r="F54" i="11"/>
  <c r="F53" i="11"/>
  <c r="F52" i="11"/>
  <c r="F47" i="11"/>
  <c r="F46" i="11"/>
  <c r="F45" i="11"/>
  <c r="F44" i="11"/>
  <c r="F40" i="11"/>
  <c r="F39" i="11"/>
  <c r="F38" i="11"/>
  <c r="F37" i="11"/>
  <c r="F36" i="11"/>
  <c r="F32" i="11"/>
  <c r="F31" i="11"/>
  <c r="F30" i="11"/>
  <c r="F29" i="11"/>
  <c r="F28" i="11"/>
  <c r="F21" i="11"/>
  <c r="F20" i="11"/>
  <c r="F14" i="11"/>
  <c r="O695" i="12"/>
  <c r="M695" i="12"/>
  <c r="K695" i="12"/>
  <c r="I695" i="12"/>
  <c r="G695" i="12"/>
  <c r="E695" i="12"/>
  <c r="C695" i="12"/>
  <c r="O694" i="12"/>
  <c r="M694" i="12"/>
  <c r="K694" i="12"/>
  <c r="I694" i="12"/>
  <c r="G694" i="12"/>
  <c r="E694" i="12"/>
  <c r="C694" i="12"/>
  <c r="O693" i="12"/>
  <c r="M693" i="12"/>
  <c r="K693" i="12"/>
  <c r="I693" i="12"/>
  <c r="G693" i="12"/>
  <c r="E693" i="12"/>
  <c r="C693" i="12"/>
  <c r="O692" i="12"/>
  <c r="M692" i="12"/>
  <c r="K692" i="12"/>
  <c r="I692" i="12"/>
  <c r="G692" i="12"/>
  <c r="E692" i="12"/>
  <c r="C692" i="12"/>
  <c r="O691" i="12"/>
  <c r="M691" i="12"/>
  <c r="K691" i="12"/>
  <c r="I691" i="12"/>
  <c r="G691" i="12"/>
  <c r="E691" i="12"/>
  <c r="C691" i="12"/>
  <c r="O686" i="12"/>
  <c r="M686" i="12"/>
  <c r="K686" i="12"/>
  <c r="I686" i="12"/>
  <c r="G686" i="12"/>
  <c r="E686" i="12"/>
  <c r="C686" i="12"/>
  <c r="O685" i="12"/>
  <c r="M685" i="12"/>
  <c r="K685" i="12"/>
  <c r="I685" i="12"/>
  <c r="G685" i="12"/>
  <c r="E685" i="12"/>
  <c r="C685" i="12"/>
  <c r="O684" i="12"/>
  <c r="M684" i="12"/>
  <c r="K684" i="12"/>
  <c r="I684" i="12"/>
  <c r="G684" i="12"/>
  <c r="E684" i="12"/>
  <c r="C684" i="12"/>
  <c r="O683" i="12"/>
  <c r="M683" i="12"/>
  <c r="K683" i="12"/>
  <c r="I683" i="12"/>
  <c r="G683" i="12"/>
  <c r="E683" i="12"/>
  <c r="C683" i="12"/>
  <c r="O682" i="12"/>
  <c r="M682" i="12"/>
  <c r="K682" i="12"/>
  <c r="I682" i="12"/>
  <c r="G682" i="12"/>
  <c r="E682" i="12"/>
  <c r="C682" i="12"/>
  <c r="O677" i="12"/>
  <c r="M677" i="12"/>
  <c r="K677" i="12"/>
  <c r="I677" i="12"/>
  <c r="G677" i="12"/>
  <c r="E677" i="12"/>
  <c r="C677" i="12"/>
  <c r="O676" i="12"/>
  <c r="M676" i="12"/>
  <c r="K676" i="12"/>
  <c r="I676" i="12"/>
  <c r="G676" i="12"/>
  <c r="E676" i="12"/>
  <c r="C676" i="12"/>
  <c r="O675" i="12"/>
  <c r="M675" i="12"/>
  <c r="K675" i="12"/>
  <c r="I675" i="12"/>
  <c r="G675" i="12"/>
  <c r="E675" i="12"/>
  <c r="C675" i="12"/>
  <c r="O674" i="12"/>
  <c r="M674" i="12"/>
  <c r="K674" i="12"/>
  <c r="I674" i="12"/>
  <c r="G674" i="12"/>
  <c r="E674" i="12"/>
  <c r="C674" i="12"/>
  <c r="O673" i="12"/>
  <c r="M673" i="12"/>
  <c r="K673" i="12"/>
  <c r="I673" i="12"/>
  <c r="G673" i="12"/>
  <c r="E673" i="12"/>
  <c r="C673" i="12"/>
  <c r="O668" i="12"/>
  <c r="M668" i="12"/>
  <c r="K668" i="12"/>
  <c r="I668" i="12"/>
  <c r="G668" i="12"/>
  <c r="E668" i="12"/>
  <c r="C668" i="12"/>
  <c r="O667" i="12"/>
  <c r="M667" i="12"/>
  <c r="K667" i="12"/>
  <c r="I667" i="12"/>
  <c r="G667" i="12"/>
  <c r="E667" i="12"/>
  <c r="C667" i="12"/>
  <c r="O666" i="12"/>
  <c r="M666" i="12"/>
  <c r="K666" i="12"/>
  <c r="I666" i="12"/>
  <c r="G666" i="12"/>
  <c r="E666" i="12"/>
  <c r="C666" i="12"/>
  <c r="O665" i="12"/>
  <c r="M665" i="12"/>
  <c r="K665" i="12"/>
  <c r="I665" i="12"/>
  <c r="G665" i="12"/>
  <c r="E665" i="12"/>
  <c r="C665" i="12"/>
  <c r="O664" i="12"/>
  <c r="M664" i="12"/>
  <c r="K664" i="12"/>
  <c r="I664" i="12"/>
  <c r="G664" i="12"/>
  <c r="E664" i="12"/>
  <c r="C664" i="12"/>
  <c r="O659" i="12"/>
  <c r="M659" i="12"/>
  <c r="K659" i="12"/>
  <c r="I659" i="12"/>
  <c r="G659" i="12"/>
  <c r="E659" i="12"/>
  <c r="C659" i="12"/>
  <c r="O658" i="12"/>
  <c r="M658" i="12"/>
  <c r="K658" i="12"/>
  <c r="I658" i="12"/>
  <c r="G658" i="12"/>
  <c r="E658" i="12"/>
  <c r="C658" i="12"/>
  <c r="O657" i="12"/>
  <c r="M657" i="12"/>
  <c r="K657" i="12"/>
  <c r="I657" i="12"/>
  <c r="G657" i="12"/>
  <c r="E657" i="12"/>
  <c r="C657" i="12"/>
  <c r="O656" i="12"/>
  <c r="M656" i="12"/>
  <c r="K656" i="12"/>
  <c r="I656" i="12"/>
  <c r="G656" i="12"/>
  <c r="E656" i="12"/>
  <c r="C656" i="12"/>
  <c r="O655" i="12"/>
  <c r="M655" i="12"/>
  <c r="K655" i="12"/>
  <c r="I655" i="12"/>
  <c r="G655" i="12"/>
  <c r="E655" i="12"/>
  <c r="C655" i="12"/>
  <c r="O650" i="12"/>
  <c r="M650" i="12"/>
  <c r="K650" i="12"/>
  <c r="I650" i="12"/>
  <c r="G650" i="12"/>
  <c r="E650" i="12"/>
  <c r="C650" i="12"/>
  <c r="O649" i="12"/>
  <c r="M649" i="12"/>
  <c r="K649" i="12"/>
  <c r="I649" i="12"/>
  <c r="G649" i="12"/>
  <c r="E649" i="12"/>
  <c r="C649" i="12"/>
  <c r="O648" i="12"/>
  <c r="M648" i="12"/>
  <c r="K648" i="12"/>
  <c r="I648" i="12"/>
  <c r="G648" i="12"/>
  <c r="E648" i="12"/>
  <c r="C648" i="12"/>
  <c r="O647" i="12"/>
  <c r="M647" i="12"/>
  <c r="K647" i="12"/>
  <c r="I647" i="12"/>
  <c r="G647" i="12"/>
  <c r="E647" i="12"/>
  <c r="C647" i="12"/>
  <c r="O646" i="12"/>
  <c r="M646" i="12"/>
  <c r="K646" i="12"/>
  <c r="I646" i="12"/>
  <c r="G646" i="12"/>
  <c r="E646" i="12"/>
  <c r="C646" i="12"/>
  <c r="O637" i="12"/>
  <c r="M637" i="12"/>
  <c r="K637" i="12"/>
  <c r="I637" i="12"/>
  <c r="G637" i="12"/>
  <c r="E637" i="12"/>
  <c r="C637" i="12"/>
  <c r="O636" i="12"/>
  <c r="M636" i="12"/>
  <c r="K636" i="12"/>
  <c r="I636" i="12"/>
  <c r="G636" i="12"/>
  <c r="E636" i="12"/>
  <c r="C636" i="12"/>
  <c r="O635" i="12"/>
  <c r="M635" i="12"/>
  <c r="K635" i="12"/>
  <c r="I635" i="12"/>
  <c r="G635" i="12"/>
  <c r="E635" i="12"/>
  <c r="C635" i="12"/>
  <c r="O634" i="12"/>
  <c r="M634" i="12"/>
  <c r="K634" i="12"/>
  <c r="I634" i="12"/>
  <c r="G634" i="12"/>
  <c r="E634" i="12"/>
  <c r="C634" i="12"/>
  <c r="O633" i="12"/>
  <c r="M633" i="12"/>
  <c r="K633" i="12"/>
  <c r="I633" i="12"/>
  <c r="G633" i="12"/>
  <c r="E633" i="12"/>
  <c r="C633" i="12"/>
  <c r="O628" i="12"/>
  <c r="M628" i="12"/>
  <c r="K628" i="12"/>
  <c r="I628" i="12"/>
  <c r="G628" i="12"/>
  <c r="E628" i="12"/>
  <c r="C628" i="12"/>
  <c r="O627" i="12"/>
  <c r="M627" i="12"/>
  <c r="K627" i="12"/>
  <c r="I627" i="12"/>
  <c r="G627" i="12"/>
  <c r="E627" i="12"/>
  <c r="C627" i="12"/>
  <c r="O626" i="12"/>
  <c r="M626" i="12"/>
  <c r="K626" i="12"/>
  <c r="I626" i="12"/>
  <c r="G626" i="12"/>
  <c r="E626" i="12"/>
  <c r="C626" i="12"/>
  <c r="O625" i="12"/>
  <c r="M625" i="12"/>
  <c r="K625" i="12"/>
  <c r="I625" i="12"/>
  <c r="G625" i="12"/>
  <c r="E625" i="12"/>
  <c r="C625" i="12"/>
  <c r="O624" i="12"/>
  <c r="M624" i="12"/>
  <c r="K624" i="12"/>
  <c r="I624" i="12"/>
  <c r="G624" i="12"/>
  <c r="E624" i="12"/>
  <c r="C624" i="12"/>
  <c r="O619" i="12"/>
  <c r="M619" i="12"/>
  <c r="K619" i="12"/>
  <c r="I619" i="12"/>
  <c r="G619" i="12"/>
  <c r="E619" i="12"/>
  <c r="C619" i="12"/>
  <c r="O618" i="12"/>
  <c r="M618" i="12"/>
  <c r="K618" i="12"/>
  <c r="I618" i="12"/>
  <c r="G618" i="12"/>
  <c r="E618" i="12"/>
  <c r="C618" i="12"/>
  <c r="O617" i="12"/>
  <c r="M617" i="12"/>
  <c r="K617" i="12"/>
  <c r="I617" i="12"/>
  <c r="G617" i="12"/>
  <c r="E617" i="12"/>
  <c r="C617" i="12"/>
  <c r="O616" i="12"/>
  <c r="M616" i="12"/>
  <c r="K616" i="12"/>
  <c r="I616" i="12"/>
  <c r="G616" i="12"/>
  <c r="E616" i="12"/>
  <c r="C616" i="12"/>
  <c r="O615" i="12"/>
  <c r="M615" i="12"/>
  <c r="K615" i="12"/>
  <c r="I615" i="12"/>
  <c r="G615" i="12"/>
  <c r="E615" i="12"/>
  <c r="C615" i="12"/>
  <c r="O610" i="12"/>
  <c r="M610" i="12"/>
  <c r="K610" i="12"/>
  <c r="I610" i="12"/>
  <c r="G610" i="12"/>
  <c r="E610" i="12"/>
  <c r="C610" i="12"/>
  <c r="O609" i="12"/>
  <c r="M609" i="12"/>
  <c r="K609" i="12"/>
  <c r="I609" i="12"/>
  <c r="G609" i="12"/>
  <c r="E609" i="12"/>
  <c r="C609" i="12"/>
  <c r="O608" i="12"/>
  <c r="M608" i="12"/>
  <c r="K608" i="12"/>
  <c r="I608" i="12"/>
  <c r="G608" i="12"/>
  <c r="E608" i="12"/>
  <c r="C608" i="12"/>
  <c r="O607" i="12"/>
  <c r="M607" i="12"/>
  <c r="K607" i="12"/>
  <c r="I607" i="12"/>
  <c r="G607" i="12"/>
  <c r="E607" i="12"/>
  <c r="C607" i="12"/>
  <c r="O606" i="12"/>
  <c r="M606" i="12"/>
  <c r="K606" i="12"/>
  <c r="I606" i="12"/>
  <c r="G606" i="12"/>
  <c r="E606" i="12"/>
  <c r="C606" i="12"/>
  <c r="O601" i="12"/>
  <c r="M601" i="12"/>
  <c r="K601" i="12"/>
  <c r="I601" i="12"/>
  <c r="G601" i="12"/>
  <c r="E601" i="12"/>
  <c r="C601" i="12"/>
  <c r="O600" i="12"/>
  <c r="M600" i="12"/>
  <c r="K600" i="12"/>
  <c r="I600" i="12"/>
  <c r="G600" i="12"/>
  <c r="E600" i="12"/>
  <c r="C600" i="12"/>
  <c r="O599" i="12"/>
  <c r="M599" i="12"/>
  <c r="K599" i="12"/>
  <c r="I599" i="12"/>
  <c r="G599" i="12"/>
  <c r="E599" i="12"/>
  <c r="C599" i="12"/>
  <c r="O598" i="12"/>
  <c r="M598" i="12"/>
  <c r="K598" i="12"/>
  <c r="I598" i="12"/>
  <c r="G598" i="12"/>
  <c r="E598" i="12"/>
  <c r="C598" i="12"/>
  <c r="O597" i="12"/>
  <c r="M597" i="12"/>
  <c r="K597" i="12"/>
  <c r="I597" i="12"/>
  <c r="G597" i="12"/>
  <c r="E597" i="12"/>
  <c r="C597" i="12"/>
  <c r="O592" i="12"/>
  <c r="M592" i="12"/>
  <c r="K592" i="12"/>
  <c r="I592" i="12"/>
  <c r="G592" i="12"/>
  <c r="E592" i="12"/>
  <c r="C592" i="12"/>
  <c r="O591" i="12"/>
  <c r="M591" i="12"/>
  <c r="K591" i="12"/>
  <c r="I591" i="12"/>
  <c r="G591" i="12"/>
  <c r="E591" i="12"/>
  <c r="C591" i="12"/>
  <c r="O590" i="12"/>
  <c r="M590" i="12"/>
  <c r="K590" i="12"/>
  <c r="I590" i="12"/>
  <c r="G590" i="12"/>
  <c r="E590" i="12"/>
  <c r="C590" i="12"/>
  <c r="O589" i="12"/>
  <c r="M589" i="12"/>
  <c r="K589" i="12"/>
  <c r="I589" i="12"/>
  <c r="G589" i="12"/>
  <c r="E589" i="12"/>
  <c r="C589" i="12"/>
  <c r="O588" i="12"/>
  <c r="M588" i="12"/>
  <c r="K588" i="12"/>
  <c r="I588" i="12"/>
  <c r="G588" i="12"/>
  <c r="E588" i="12"/>
  <c r="C588" i="12"/>
  <c r="O579" i="12"/>
  <c r="M579" i="12"/>
  <c r="K579" i="12"/>
  <c r="I579" i="12"/>
  <c r="G579" i="12"/>
  <c r="E579" i="12"/>
  <c r="C579" i="12"/>
  <c r="O578" i="12"/>
  <c r="M578" i="12"/>
  <c r="K578" i="12"/>
  <c r="I578" i="12"/>
  <c r="G578" i="12"/>
  <c r="E578" i="12"/>
  <c r="C578" i="12"/>
  <c r="O577" i="12"/>
  <c r="M577" i="12"/>
  <c r="K577" i="12"/>
  <c r="I577" i="12"/>
  <c r="G577" i="12"/>
  <c r="E577" i="12"/>
  <c r="C577" i="12"/>
  <c r="O576" i="12"/>
  <c r="M576" i="12"/>
  <c r="K576" i="12"/>
  <c r="I576" i="12"/>
  <c r="G576" i="12"/>
  <c r="E576" i="12"/>
  <c r="C576" i="12"/>
  <c r="O575" i="12"/>
  <c r="M575" i="12"/>
  <c r="K575" i="12"/>
  <c r="I575" i="12"/>
  <c r="G575" i="12"/>
  <c r="E575" i="12"/>
  <c r="C575" i="12"/>
  <c r="O570" i="12"/>
  <c r="M570" i="12"/>
  <c r="K570" i="12"/>
  <c r="I570" i="12"/>
  <c r="G570" i="12"/>
  <c r="E570" i="12"/>
  <c r="C570" i="12"/>
  <c r="O569" i="12"/>
  <c r="M569" i="12"/>
  <c r="K569" i="12"/>
  <c r="I569" i="12"/>
  <c r="G569" i="12"/>
  <c r="E569" i="12"/>
  <c r="C569" i="12"/>
  <c r="O568" i="12"/>
  <c r="M568" i="12"/>
  <c r="K568" i="12"/>
  <c r="I568" i="12"/>
  <c r="G568" i="12"/>
  <c r="E568" i="12"/>
  <c r="C568" i="12"/>
  <c r="O567" i="12"/>
  <c r="M567" i="12"/>
  <c r="K567" i="12"/>
  <c r="I567" i="12"/>
  <c r="G567" i="12"/>
  <c r="E567" i="12"/>
  <c r="C567" i="12"/>
  <c r="O566" i="12"/>
  <c r="M566" i="12"/>
  <c r="K566" i="12"/>
  <c r="I566" i="12"/>
  <c r="G566" i="12"/>
  <c r="E566" i="12"/>
  <c r="C566" i="12"/>
  <c r="O561" i="12"/>
  <c r="M561" i="12"/>
  <c r="K561" i="12"/>
  <c r="I561" i="12"/>
  <c r="G561" i="12"/>
  <c r="E561" i="12"/>
  <c r="C561" i="12"/>
  <c r="O560" i="12"/>
  <c r="M560" i="12"/>
  <c r="K560" i="12"/>
  <c r="I560" i="12"/>
  <c r="G560" i="12"/>
  <c r="E560" i="12"/>
  <c r="C560" i="12"/>
  <c r="O559" i="12"/>
  <c r="M559" i="12"/>
  <c r="K559" i="12"/>
  <c r="I559" i="12"/>
  <c r="G559" i="12"/>
  <c r="E559" i="12"/>
  <c r="C559" i="12"/>
  <c r="O558" i="12"/>
  <c r="M558" i="12"/>
  <c r="K558" i="12"/>
  <c r="I558" i="12"/>
  <c r="G558" i="12"/>
  <c r="E558" i="12"/>
  <c r="C558" i="12"/>
  <c r="O557" i="12"/>
  <c r="M557" i="12"/>
  <c r="K557" i="12"/>
  <c r="I557" i="12"/>
  <c r="G557" i="12"/>
  <c r="E557" i="12"/>
  <c r="C557" i="12"/>
  <c r="O552" i="12"/>
  <c r="M552" i="12"/>
  <c r="K552" i="12"/>
  <c r="I552" i="12"/>
  <c r="G552" i="12"/>
  <c r="E552" i="12"/>
  <c r="C552" i="12"/>
  <c r="O551" i="12"/>
  <c r="M551" i="12"/>
  <c r="K551" i="12"/>
  <c r="I551" i="12"/>
  <c r="G551" i="12"/>
  <c r="E551" i="12"/>
  <c r="C551" i="12"/>
  <c r="O550" i="12"/>
  <c r="M550" i="12"/>
  <c r="K550" i="12"/>
  <c r="I550" i="12"/>
  <c r="G550" i="12"/>
  <c r="E550" i="12"/>
  <c r="C550" i="12"/>
  <c r="O549" i="12"/>
  <c r="M549" i="12"/>
  <c r="K549" i="12"/>
  <c r="I549" i="12"/>
  <c r="G549" i="12"/>
  <c r="E549" i="12"/>
  <c r="C549" i="12"/>
  <c r="O548" i="12"/>
  <c r="M548" i="12"/>
  <c r="K548" i="12"/>
  <c r="I548" i="12"/>
  <c r="G548" i="12"/>
  <c r="E548" i="12"/>
  <c r="C548" i="12"/>
  <c r="O543" i="12"/>
  <c r="M543" i="12"/>
  <c r="K543" i="12"/>
  <c r="I543" i="12"/>
  <c r="G543" i="12"/>
  <c r="E543" i="12"/>
  <c r="C543" i="12"/>
  <c r="O542" i="12"/>
  <c r="M542" i="12"/>
  <c r="K542" i="12"/>
  <c r="I542" i="12"/>
  <c r="G542" i="12"/>
  <c r="E542" i="12"/>
  <c r="C542" i="12"/>
  <c r="O541" i="12"/>
  <c r="M541" i="12"/>
  <c r="K541" i="12"/>
  <c r="I541" i="12"/>
  <c r="G541" i="12"/>
  <c r="E541" i="12"/>
  <c r="C541" i="12"/>
  <c r="O540" i="12"/>
  <c r="M540" i="12"/>
  <c r="K540" i="12"/>
  <c r="I540" i="12"/>
  <c r="G540" i="12"/>
  <c r="E540" i="12"/>
  <c r="C540" i="12"/>
  <c r="O539" i="12"/>
  <c r="M539" i="12"/>
  <c r="K539" i="12"/>
  <c r="I539" i="12"/>
  <c r="G539" i="12"/>
  <c r="E539" i="12"/>
  <c r="C539" i="12"/>
  <c r="O534" i="12"/>
  <c r="M534" i="12"/>
  <c r="K534" i="12"/>
  <c r="I534" i="12"/>
  <c r="G534" i="12"/>
  <c r="E534" i="12"/>
  <c r="C534" i="12"/>
  <c r="O533" i="12"/>
  <c r="M533" i="12"/>
  <c r="K533" i="12"/>
  <c r="I533" i="12"/>
  <c r="G533" i="12"/>
  <c r="E533" i="12"/>
  <c r="C533" i="12"/>
  <c r="O532" i="12"/>
  <c r="M532" i="12"/>
  <c r="K532" i="12"/>
  <c r="I532" i="12"/>
  <c r="G532" i="12"/>
  <c r="E532" i="12"/>
  <c r="C532" i="12"/>
  <c r="O531" i="12"/>
  <c r="M531" i="12"/>
  <c r="K531" i="12"/>
  <c r="I531" i="12"/>
  <c r="G531" i="12"/>
  <c r="E531" i="12"/>
  <c r="C531" i="12"/>
  <c r="O530" i="12"/>
  <c r="M530" i="12"/>
  <c r="K530" i="12"/>
  <c r="I530" i="12"/>
  <c r="G530" i="12"/>
  <c r="E530" i="12"/>
  <c r="C530" i="12"/>
  <c r="O521" i="12"/>
  <c r="M521" i="12"/>
  <c r="K521" i="12"/>
  <c r="I521" i="12"/>
  <c r="G521" i="12"/>
  <c r="E521" i="12"/>
  <c r="C521" i="12"/>
  <c r="O520" i="12"/>
  <c r="M520" i="12"/>
  <c r="K520" i="12"/>
  <c r="I520" i="12"/>
  <c r="G520" i="12"/>
  <c r="E520" i="12"/>
  <c r="C520" i="12"/>
  <c r="O519" i="12"/>
  <c r="M519" i="12"/>
  <c r="K519" i="12"/>
  <c r="I519" i="12"/>
  <c r="G519" i="12"/>
  <c r="E519" i="12"/>
  <c r="C519" i="12"/>
  <c r="O518" i="12"/>
  <c r="M518" i="12"/>
  <c r="K518" i="12"/>
  <c r="I518" i="12"/>
  <c r="G518" i="12"/>
  <c r="E518" i="12"/>
  <c r="C518" i="12"/>
  <c r="O517" i="12"/>
  <c r="M517" i="12"/>
  <c r="K517" i="12"/>
  <c r="I517" i="12"/>
  <c r="G517" i="12"/>
  <c r="E517" i="12"/>
  <c r="C517" i="12"/>
  <c r="O512" i="12"/>
  <c r="M512" i="12"/>
  <c r="K512" i="12"/>
  <c r="I512" i="12"/>
  <c r="G512" i="12"/>
  <c r="E512" i="12"/>
  <c r="C512" i="12"/>
  <c r="O511" i="12"/>
  <c r="M511" i="12"/>
  <c r="K511" i="12"/>
  <c r="I511" i="12"/>
  <c r="G511" i="12"/>
  <c r="E511" i="12"/>
  <c r="C511" i="12"/>
  <c r="O510" i="12"/>
  <c r="M510" i="12"/>
  <c r="K510" i="12"/>
  <c r="I510" i="12"/>
  <c r="G510" i="12"/>
  <c r="E510" i="12"/>
  <c r="C510" i="12"/>
  <c r="O509" i="12"/>
  <c r="M509" i="12"/>
  <c r="K509" i="12"/>
  <c r="I509" i="12"/>
  <c r="G509" i="12"/>
  <c r="E509" i="12"/>
  <c r="C509" i="12"/>
  <c r="O508" i="12"/>
  <c r="M508" i="12"/>
  <c r="K508" i="12"/>
  <c r="I508" i="12"/>
  <c r="G508" i="12"/>
  <c r="E508" i="12"/>
  <c r="C508" i="12"/>
  <c r="O503" i="12"/>
  <c r="M503" i="12"/>
  <c r="K503" i="12"/>
  <c r="I503" i="12"/>
  <c r="G503" i="12"/>
  <c r="E503" i="12"/>
  <c r="C503" i="12"/>
  <c r="O502" i="12"/>
  <c r="M502" i="12"/>
  <c r="K502" i="12"/>
  <c r="I502" i="12"/>
  <c r="G502" i="12"/>
  <c r="E502" i="12"/>
  <c r="C502" i="12"/>
  <c r="O501" i="12"/>
  <c r="M501" i="12"/>
  <c r="K501" i="12"/>
  <c r="I501" i="12"/>
  <c r="G501" i="12"/>
  <c r="E501" i="12"/>
  <c r="C501" i="12"/>
  <c r="O500" i="12"/>
  <c r="M500" i="12"/>
  <c r="K500" i="12"/>
  <c r="I500" i="12"/>
  <c r="G500" i="12"/>
  <c r="E500" i="12"/>
  <c r="C500" i="12"/>
  <c r="O499" i="12"/>
  <c r="M499" i="12"/>
  <c r="K499" i="12"/>
  <c r="I499" i="12"/>
  <c r="G499" i="12"/>
  <c r="E499" i="12"/>
  <c r="C499" i="12"/>
  <c r="O494" i="12"/>
  <c r="M494" i="12"/>
  <c r="K494" i="12"/>
  <c r="I494" i="12"/>
  <c r="G494" i="12"/>
  <c r="E494" i="12"/>
  <c r="C494" i="12"/>
  <c r="O493" i="12"/>
  <c r="M493" i="12"/>
  <c r="K493" i="12"/>
  <c r="I493" i="12"/>
  <c r="G493" i="12"/>
  <c r="E493" i="12"/>
  <c r="C493" i="12"/>
  <c r="O492" i="12"/>
  <c r="M492" i="12"/>
  <c r="K492" i="12"/>
  <c r="I492" i="12"/>
  <c r="G492" i="12"/>
  <c r="E492" i="12"/>
  <c r="C492" i="12"/>
  <c r="O491" i="12"/>
  <c r="M491" i="12"/>
  <c r="K491" i="12"/>
  <c r="I491" i="12"/>
  <c r="G491" i="12"/>
  <c r="E491" i="12"/>
  <c r="C491" i="12"/>
  <c r="O490" i="12"/>
  <c r="M490" i="12"/>
  <c r="K490" i="12"/>
  <c r="I490" i="12"/>
  <c r="G490" i="12"/>
  <c r="E490" i="12"/>
  <c r="C490" i="12"/>
  <c r="O485" i="12"/>
  <c r="M485" i="12"/>
  <c r="K485" i="12"/>
  <c r="I485" i="12"/>
  <c r="G485" i="12"/>
  <c r="E485" i="12"/>
  <c r="C485" i="12"/>
  <c r="O484" i="12"/>
  <c r="M484" i="12"/>
  <c r="K484" i="12"/>
  <c r="I484" i="12"/>
  <c r="G484" i="12"/>
  <c r="E484" i="12"/>
  <c r="C484" i="12"/>
  <c r="O483" i="12"/>
  <c r="M483" i="12"/>
  <c r="K483" i="12"/>
  <c r="I483" i="12"/>
  <c r="G483" i="12"/>
  <c r="E483" i="12"/>
  <c r="C483" i="12"/>
  <c r="O482" i="12"/>
  <c r="M482" i="12"/>
  <c r="K482" i="12"/>
  <c r="I482" i="12"/>
  <c r="G482" i="12"/>
  <c r="E482" i="12"/>
  <c r="C482" i="12"/>
  <c r="O481" i="12"/>
  <c r="M481" i="12"/>
  <c r="K481" i="12"/>
  <c r="I481" i="12"/>
  <c r="G481" i="12"/>
  <c r="E481" i="12"/>
  <c r="C481" i="12"/>
  <c r="O476" i="12"/>
  <c r="M476" i="12"/>
  <c r="K476" i="12"/>
  <c r="I476" i="12"/>
  <c r="G476" i="12"/>
  <c r="E476" i="12"/>
  <c r="C476" i="12"/>
  <c r="O475" i="12"/>
  <c r="M475" i="12"/>
  <c r="K475" i="12"/>
  <c r="I475" i="12"/>
  <c r="G475" i="12"/>
  <c r="E475" i="12"/>
  <c r="C475" i="12"/>
  <c r="O474" i="12"/>
  <c r="M474" i="12"/>
  <c r="K474" i="12"/>
  <c r="I474" i="12"/>
  <c r="G474" i="12"/>
  <c r="E474" i="12"/>
  <c r="C474" i="12"/>
  <c r="O473" i="12"/>
  <c r="M473" i="12"/>
  <c r="K473" i="12"/>
  <c r="I473" i="12"/>
  <c r="G473" i="12"/>
  <c r="E473" i="12"/>
  <c r="C473" i="12"/>
  <c r="O472" i="12"/>
  <c r="M472" i="12"/>
  <c r="K472" i="12"/>
  <c r="I472" i="12"/>
  <c r="G472" i="12"/>
  <c r="E472" i="12"/>
  <c r="C472" i="12"/>
  <c r="O463" i="12"/>
  <c r="M463" i="12"/>
  <c r="K463" i="12"/>
  <c r="I463" i="12"/>
  <c r="G463" i="12"/>
  <c r="E463" i="12"/>
  <c r="C463" i="12"/>
  <c r="O462" i="12"/>
  <c r="M462" i="12"/>
  <c r="K462" i="12"/>
  <c r="I462" i="12"/>
  <c r="G462" i="12"/>
  <c r="E462" i="12"/>
  <c r="C462" i="12"/>
  <c r="O461" i="12"/>
  <c r="M461" i="12"/>
  <c r="K461" i="12"/>
  <c r="I461" i="12"/>
  <c r="G461" i="12"/>
  <c r="E461" i="12"/>
  <c r="C461" i="12"/>
  <c r="O460" i="12"/>
  <c r="M460" i="12"/>
  <c r="K460" i="12"/>
  <c r="I460" i="12"/>
  <c r="G460" i="12"/>
  <c r="E460" i="12"/>
  <c r="C460" i="12"/>
  <c r="O459" i="12"/>
  <c r="M459" i="12"/>
  <c r="K459" i="12"/>
  <c r="I459" i="12"/>
  <c r="G459" i="12"/>
  <c r="E459" i="12"/>
  <c r="C459" i="12"/>
  <c r="O454" i="12"/>
  <c r="M454" i="12"/>
  <c r="K454" i="12"/>
  <c r="I454" i="12"/>
  <c r="G454" i="12"/>
  <c r="E454" i="12"/>
  <c r="C454" i="12"/>
  <c r="O453" i="12"/>
  <c r="M453" i="12"/>
  <c r="K453" i="12"/>
  <c r="I453" i="12"/>
  <c r="G453" i="12"/>
  <c r="E453" i="12"/>
  <c r="C453" i="12"/>
  <c r="O452" i="12"/>
  <c r="M452" i="12"/>
  <c r="K452" i="12"/>
  <c r="I452" i="12"/>
  <c r="G452" i="12"/>
  <c r="E452" i="12"/>
  <c r="C452" i="12"/>
  <c r="O451" i="12"/>
  <c r="M451" i="12"/>
  <c r="K451" i="12"/>
  <c r="I451" i="12"/>
  <c r="G451" i="12"/>
  <c r="E451" i="12"/>
  <c r="C451" i="12"/>
  <c r="O450" i="12"/>
  <c r="M450" i="12"/>
  <c r="K450" i="12"/>
  <c r="I450" i="12"/>
  <c r="G450" i="12"/>
  <c r="E450" i="12"/>
  <c r="C450" i="12"/>
  <c r="O445" i="12"/>
  <c r="M445" i="12"/>
  <c r="K445" i="12"/>
  <c r="I445" i="12"/>
  <c r="G445" i="12"/>
  <c r="E445" i="12"/>
  <c r="C445" i="12"/>
  <c r="O444" i="12"/>
  <c r="M444" i="12"/>
  <c r="K444" i="12"/>
  <c r="I444" i="12"/>
  <c r="G444" i="12"/>
  <c r="E444" i="12"/>
  <c r="C444" i="12"/>
  <c r="O443" i="12"/>
  <c r="M443" i="12"/>
  <c r="K443" i="12"/>
  <c r="I443" i="12"/>
  <c r="G443" i="12"/>
  <c r="E443" i="12"/>
  <c r="C443" i="12"/>
  <c r="O442" i="12"/>
  <c r="M442" i="12"/>
  <c r="K442" i="12"/>
  <c r="I442" i="12"/>
  <c r="G442" i="12"/>
  <c r="E442" i="12"/>
  <c r="C442" i="12"/>
  <c r="O441" i="12"/>
  <c r="M441" i="12"/>
  <c r="K441" i="12"/>
  <c r="I441" i="12"/>
  <c r="G441" i="12"/>
  <c r="E441" i="12"/>
  <c r="C441" i="12"/>
  <c r="O436" i="12"/>
  <c r="M436" i="12"/>
  <c r="K436" i="12"/>
  <c r="I436" i="12"/>
  <c r="G436" i="12"/>
  <c r="E436" i="12"/>
  <c r="C436" i="12"/>
  <c r="O435" i="12"/>
  <c r="M435" i="12"/>
  <c r="K435" i="12"/>
  <c r="I435" i="12"/>
  <c r="G435" i="12"/>
  <c r="E435" i="12"/>
  <c r="C435" i="12"/>
  <c r="O434" i="12"/>
  <c r="M434" i="12"/>
  <c r="K434" i="12"/>
  <c r="I434" i="12"/>
  <c r="G434" i="12"/>
  <c r="E434" i="12"/>
  <c r="C434" i="12"/>
  <c r="O433" i="12"/>
  <c r="M433" i="12"/>
  <c r="K433" i="12"/>
  <c r="I433" i="12"/>
  <c r="G433" i="12"/>
  <c r="E433" i="12"/>
  <c r="C433" i="12"/>
  <c r="O432" i="12"/>
  <c r="M432" i="12"/>
  <c r="K432" i="12"/>
  <c r="I432" i="12"/>
  <c r="G432" i="12"/>
  <c r="E432" i="12"/>
  <c r="C432" i="12"/>
  <c r="O427" i="12"/>
  <c r="M427" i="12"/>
  <c r="K427" i="12"/>
  <c r="I427" i="12"/>
  <c r="G427" i="12"/>
  <c r="E427" i="12"/>
  <c r="C427" i="12"/>
  <c r="O426" i="12"/>
  <c r="M426" i="12"/>
  <c r="K426" i="12"/>
  <c r="I426" i="12"/>
  <c r="G426" i="12"/>
  <c r="E426" i="12"/>
  <c r="C426" i="12"/>
  <c r="O425" i="12"/>
  <c r="M425" i="12"/>
  <c r="K425" i="12"/>
  <c r="I425" i="12"/>
  <c r="G425" i="12"/>
  <c r="E425" i="12"/>
  <c r="C425" i="12"/>
  <c r="O424" i="12"/>
  <c r="M424" i="12"/>
  <c r="K424" i="12"/>
  <c r="I424" i="12"/>
  <c r="G424" i="12"/>
  <c r="E424" i="12"/>
  <c r="C424" i="12"/>
  <c r="O423" i="12"/>
  <c r="M423" i="12"/>
  <c r="K423" i="12"/>
  <c r="I423" i="12"/>
  <c r="G423" i="12"/>
  <c r="E423" i="12"/>
  <c r="C423" i="12"/>
  <c r="O418" i="12"/>
  <c r="M418" i="12"/>
  <c r="K418" i="12"/>
  <c r="I418" i="12"/>
  <c r="G418" i="12"/>
  <c r="E418" i="12"/>
  <c r="C418" i="12"/>
  <c r="O417" i="12"/>
  <c r="M417" i="12"/>
  <c r="K417" i="12"/>
  <c r="I417" i="12"/>
  <c r="G417" i="12"/>
  <c r="E417" i="12"/>
  <c r="C417" i="12"/>
  <c r="O416" i="12"/>
  <c r="M416" i="12"/>
  <c r="K416" i="12"/>
  <c r="I416" i="12"/>
  <c r="G416" i="12"/>
  <c r="E416" i="12"/>
  <c r="C416" i="12"/>
  <c r="O415" i="12"/>
  <c r="M415" i="12"/>
  <c r="K415" i="12"/>
  <c r="I415" i="12"/>
  <c r="G415" i="12"/>
  <c r="E415" i="12"/>
  <c r="C415" i="12"/>
  <c r="O414" i="12"/>
  <c r="M414" i="12"/>
  <c r="K414" i="12"/>
  <c r="I414" i="12"/>
  <c r="G414" i="12"/>
  <c r="E414" i="12"/>
  <c r="C414" i="12"/>
  <c r="O405" i="12"/>
  <c r="M405" i="12"/>
  <c r="K405" i="12"/>
  <c r="I405" i="12"/>
  <c r="G405" i="12"/>
  <c r="E405" i="12"/>
  <c r="C405" i="12"/>
  <c r="O404" i="12"/>
  <c r="M404" i="12"/>
  <c r="K404" i="12"/>
  <c r="I404" i="12"/>
  <c r="G404" i="12"/>
  <c r="E404" i="12"/>
  <c r="C404" i="12"/>
  <c r="O403" i="12"/>
  <c r="M403" i="12"/>
  <c r="K403" i="12"/>
  <c r="I403" i="12"/>
  <c r="G403" i="12"/>
  <c r="E403" i="12"/>
  <c r="C403" i="12"/>
  <c r="O402" i="12"/>
  <c r="M402" i="12"/>
  <c r="K402" i="12"/>
  <c r="I402" i="12"/>
  <c r="G402" i="12"/>
  <c r="E402" i="12"/>
  <c r="C402" i="12"/>
  <c r="O401" i="12"/>
  <c r="M401" i="12"/>
  <c r="K401" i="12"/>
  <c r="I401" i="12"/>
  <c r="G401" i="12"/>
  <c r="E401" i="12"/>
  <c r="C401" i="12"/>
  <c r="O396" i="12"/>
  <c r="M396" i="12"/>
  <c r="K396" i="12"/>
  <c r="I396" i="12"/>
  <c r="G396" i="12"/>
  <c r="E396" i="12"/>
  <c r="C396" i="12"/>
  <c r="O395" i="12"/>
  <c r="M395" i="12"/>
  <c r="K395" i="12"/>
  <c r="I395" i="12"/>
  <c r="G395" i="12"/>
  <c r="E395" i="12"/>
  <c r="C395" i="12"/>
  <c r="O394" i="12"/>
  <c r="M394" i="12"/>
  <c r="K394" i="12"/>
  <c r="I394" i="12"/>
  <c r="G394" i="12"/>
  <c r="E394" i="12"/>
  <c r="C394" i="12"/>
  <c r="O393" i="12"/>
  <c r="M393" i="12"/>
  <c r="K393" i="12"/>
  <c r="I393" i="12"/>
  <c r="G393" i="12"/>
  <c r="E393" i="12"/>
  <c r="C393" i="12"/>
  <c r="O392" i="12"/>
  <c r="M392" i="12"/>
  <c r="K392" i="12"/>
  <c r="I392" i="12"/>
  <c r="G392" i="12"/>
  <c r="E392" i="12"/>
  <c r="C392" i="12"/>
  <c r="O387" i="12"/>
  <c r="M387" i="12"/>
  <c r="K387" i="12"/>
  <c r="I387" i="12"/>
  <c r="G387" i="12"/>
  <c r="E387" i="12"/>
  <c r="C387" i="12"/>
  <c r="O386" i="12"/>
  <c r="M386" i="12"/>
  <c r="K386" i="12"/>
  <c r="I386" i="12"/>
  <c r="G386" i="12"/>
  <c r="E386" i="12"/>
  <c r="C386" i="12"/>
  <c r="O385" i="12"/>
  <c r="M385" i="12"/>
  <c r="K385" i="12"/>
  <c r="I385" i="12"/>
  <c r="G385" i="12"/>
  <c r="E385" i="12"/>
  <c r="C385" i="12"/>
  <c r="O384" i="12"/>
  <c r="M384" i="12"/>
  <c r="K384" i="12"/>
  <c r="I384" i="12"/>
  <c r="G384" i="12"/>
  <c r="E384" i="12"/>
  <c r="C384" i="12"/>
  <c r="O383" i="12"/>
  <c r="M383" i="12"/>
  <c r="K383" i="12"/>
  <c r="I383" i="12"/>
  <c r="G383" i="12"/>
  <c r="E383" i="12"/>
  <c r="C383" i="12"/>
  <c r="O378" i="12"/>
  <c r="M378" i="12"/>
  <c r="K378" i="12"/>
  <c r="I378" i="12"/>
  <c r="G378" i="12"/>
  <c r="E378" i="12"/>
  <c r="C378" i="12"/>
  <c r="O377" i="12"/>
  <c r="M377" i="12"/>
  <c r="K377" i="12"/>
  <c r="I377" i="12"/>
  <c r="G377" i="12"/>
  <c r="E377" i="12"/>
  <c r="C377" i="12"/>
  <c r="O376" i="12"/>
  <c r="M376" i="12"/>
  <c r="K376" i="12"/>
  <c r="I376" i="12"/>
  <c r="G376" i="12"/>
  <c r="E376" i="12"/>
  <c r="C376" i="12"/>
  <c r="O375" i="12"/>
  <c r="M375" i="12"/>
  <c r="K375" i="12"/>
  <c r="I375" i="12"/>
  <c r="G375" i="12"/>
  <c r="E375" i="12"/>
  <c r="C375" i="12"/>
  <c r="O374" i="12"/>
  <c r="M374" i="12"/>
  <c r="K374" i="12"/>
  <c r="I374" i="12"/>
  <c r="G374" i="12"/>
  <c r="E374" i="12"/>
  <c r="C374" i="12"/>
  <c r="O369" i="12"/>
  <c r="M369" i="12"/>
  <c r="K369" i="12"/>
  <c r="I369" i="12"/>
  <c r="G369" i="12"/>
  <c r="E369" i="12"/>
  <c r="C369" i="12"/>
  <c r="O368" i="12"/>
  <c r="M368" i="12"/>
  <c r="K368" i="12"/>
  <c r="I368" i="12"/>
  <c r="G368" i="12"/>
  <c r="E368" i="12"/>
  <c r="C368" i="12"/>
  <c r="O367" i="12"/>
  <c r="M367" i="12"/>
  <c r="K367" i="12"/>
  <c r="I367" i="12"/>
  <c r="G367" i="12"/>
  <c r="E367" i="12"/>
  <c r="C367" i="12"/>
  <c r="O366" i="12"/>
  <c r="M366" i="12"/>
  <c r="K366" i="12"/>
  <c r="I366" i="12"/>
  <c r="G366" i="12"/>
  <c r="E366" i="12"/>
  <c r="C366" i="12"/>
  <c r="O365" i="12"/>
  <c r="M365" i="12"/>
  <c r="K365" i="12"/>
  <c r="I365" i="12"/>
  <c r="G365" i="12"/>
  <c r="E365" i="12"/>
  <c r="C365" i="12"/>
  <c r="O360" i="12"/>
  <c r="M360" i="12"/>
  <c r="K360" i="12"/>
  <c r="I360" i="12"/>
  <c r="G360" i="12"/>
  <c r="E360" i="12"/>
  <c r="C360" i="12"/>
  <c r="O359" i="12"/>
  <c r="M359" i="12"/>
  <c r="K359" i="12"/>
  <c r="I359" i="12"/>
  <c r="G359" i="12"/>
  <c r="E359" i="12"/>
  <c r="C359" i="12"/>
  <c r="O358" i="12"/>
  <c r="M358" i="12"/>
  <c r="K358" i="12"/>
  <c r="I358" i="12"/>
  <c r="G358" i="12"/>
  <c r="E358" i="12"/>
  <c r="C358" i="12"/>
  <c r="O357" i="12"/>
  <c r="M357" i="12"/>
  <c r="K357" i="12"/>
  <c r="I357" i="12"/>
  <c r="G357" i="12"/>
  <c r="E357" i="12"/>
  <c r="C357" i="12"/>
  <c r="O356" i="12"/>
  <c r="M356" i="12"/>
  <c r="K356" i="12"/>
  <c r="I356" i="12"/>
  <c r="G356" i="12"/>
  <c r="E356" i="12"/>
  <c r="C356" i="12"/>
  <c r="O347" i="12"/>
  <c r="M347" i="12"/>
  <c r="K347" i="12"/>
  <c r="I347" i="12"/>
  <c r="G347" i="12"/>
  <c r="E347" i="12"/>
  <c r="C347" i="12"/>
  <c r="O346" i="12"/>
  <c r="M346" i="12"/>
  <c r="K346" i="12"/>
  <c r="I346" i="12"/>
  <c r="G346" i="12"/>
  <c r="E346" i="12"/>
  <c r="C346" i="12"/>
  <c r="O345" i="12"/>
  <c r="M345" i="12"/>
  <c r="K345" i="12"/>
  <c r="I345" i="12"/>
  <c r="G345" i="12"/>
  <c r="E345" i="12"/>
  <c r="C345" i="12"/>
  <c r="O344" i="12"/>
  <c r="M344" i="12"/>
  <c r="K344" i="12"/>
  <c r="I344" i="12"/>
  <c r="G344" i="12"/>
  <c r="E344" i="12"/>
  <c r="C344" i="12"/>
  <c r="O343" i="12"/>
  <c r="M343" i="12"/>
  <c r="K343" i="12"/>
  <c r="I343" i="12"/>
  <c r="G343" i="12"/>
  <c r="E343" i="12"/>
  <c r="C343" i="12"/>
  <c r="O338" i="12"/>
  <c r="M338" i="12"/>
  <c r="K338" i="12"/>
  <c r="I338" i="12"/>
  <c r="G338" i="12"/>
  <c r="E338" i="12"/>
  <c r="C338" i="12"/>
  <c r="O337" i="12"/>
  <c r="M337" i="12"/>
  <c r="K337" i="12"/>
  <c r="I337" i="12"/>
  <c r="G337" i="12"/>
  <c r="E337" i="12"/>
  <c r="C337" i="12"/>
  <c r="O336" i="12"/>
  <c r="M336" i="12"/>
  <c r="K336" i="12"/>
  <c r="I336" i="12"/>
  <c r="G336" i="12"/>
  <c r="E336" i="12"/>
  <c r="C336" i="12"/>
  <c r="O335" i="12"/>
  <c r="M335" i="12"/>
  <c r="K335" i="12"/>
  <c r="I335" i="12"/>
  <c r="G335" i="12"/>
  <c r="E335" i="12"/>
  <c r="C335" i="12"/>
  <c r="O334" i="12"/>
  <c r="M334" i="12"/>
  <c r="K334" i="12"/>
  <c r="I334" i="12"/>
  <c r="G334" i="12"/>
  <c r="E334" i="12"/>
  <c r="C334" i="12"/>
  <c r="O329" i="12"/>
  <c r="M329" i="12"/>
  <c r="K329" i="12"/>
  <c r="I329" i="12"/>
  <c r="G329" i="12"/>
  <c r="E329" i="12"/>
  <c r="C329" i="12"/>
  <c r="O328" i="12"/>
  <c r="M328" i="12"/>
  <c r="K328" i="12"/>
  <c r="I328" i="12"/>
  <c r="G328" i="12"/>
  <c r="E328" i="12"/>
  <c r="C328" i="12"/>
  <c r="O327" i="12"/>
  <c r="M327" i="12"/>
  <c r="K327" i="12"/>
  <c r="I327" i="12"/>
  <c r="G327" i="12"/>
  <c r="E327" i="12"/>
  <c r="C327" i="12"/>
  <c r="O326" i="12"/>
  <c r="M326" i="12"/>
  <c r="K326" i="12"/>
  <c r="I326" i="12"/>
  <c r="G326" i="12"/>
  <c r="E326" i="12"/>
  <c r="C326" i="12"/>
  <c r="O325" i="12"/>
  <c r="M325" i="12"/>
  <c r="K325" i="12"/>
  <c r="I325" i="12"/>
  <c r="G325" i="12"/>
  <c r="E325" i="12"/>
  <c r="C325" i="12"/>
  <c r="O320" i="12"/>
  <c r="M320" i="12"/>
  <c r="K320" i="12"/>
  <c r="I320" i="12"/>
  <c r="G320" i="12"/>
  <c r="E320" i="12"/>
  <c r="C320" i="12"/>
  <c r="O319" i="12"/>
  <c r="M319" i="12"/>
  <c r="K319" i="12"/>
  <c r="I319" i="12"/>
  <c r="G319" i="12"/>
  <c r="E319" i="12"/>
  <c r="C319" i="12"/>
  <c r="O318" i="12"/>
  <c r="M318" i="12"/>
  <c r="K318" i="12"/>
  <c r="I318" i="12"/>
  <c r="G318" i="12"/>
  <c r="E318" i="12"/>
  <c r="C318" i="12"/>
  <c r="O317" i="12"/>
  <c r="M317" i="12"/>
  <c r="K317" i="12"/>
  <c r="I317" i="12"/>
  <c r="G317" i="12"/>
  <c r="E317" i="12"/>
  <c r="C317" i="12"/>
  <c r="O316" i="12"/>
  <c r="M316" i="12"/>
  <c r="K316" i="12"/>
  <c r="I316" i="12"/>
  <c r="G316" i="12"/>
  <c r="E316" i="12"/>
  <c r="C316" i="12"/>
  <c r="O311" i="12"/>
  <c r="M311" i="12"/>
  <c r="K311" i="12"/>
  <c r="I311" i="12"/>
  <c r="G311" i="12"/>
  <c r="E311" i="12"/>
  <c r="C311" i="12"/>
  <c r="O310" i="12"/>
  <c r="M310" i="12"/>
  <c r="K310" i="12"/>
  <c r="I310" i="12"/>
  <c r="G310" i="12"/>
  <c r="E310" i="12"/>
  <c r="C310" i="12"/>
  <c r="O309" i="12"/>
  <c r="M309" i="12"/>
  <c r="K309" i="12"/>
  <c r="I309" i="12"/>
  <c r="G309" i="12"/>
  <c r="E309" i="12"/>
  <c r="C309" i="12"/>
  <c r="O308" i="12"/>
  <c r="M308" i="12"/>
  <c r="K308" i="12"/>
  <c r="I308" i="12"/>
  <c r="G308" i="12"/>
  <c r="E308" i="12"/>
  <c r="C308" i="12"/>
  <c r="O307" i="12"/>
  <c r="M307" i="12"/>
  <c r="K307" i="12"/>
  <c r="I307" i="12"/>
  <c r="G307" i="12"/>
  <c r="E307" i="12"/>
  <c r="C307" i="12"/>
  <c r="O302" i="12"/>
  <c r="M302" i="12"/>
  <c r="K302" i="12"/>
  <c r="I302" i="12"/>
  <c r="G302" i="12"/>
  <c r="E302" i="12"/>
  <c r="C302" i="12"/>
  <c r="O301" i="12"/>
  <c r="M301" i="12"/>
  <c r="K301" i="12"/>
  <c r="I301" i="12"/>
  <c r="G301" i="12"/>
  <c r="E301" i="12"/>
  <c r="C301" i="12"/>
  <c r="O300" i="12"/>
  <c r="M300" i="12"/>
  <c r="K300" i="12"/>
  <c r="I300" i="12"/>
  <c r="G300" i="12"/>
  <c r="E300" i="12"/>
  <c r="C300" i="12"/>
  <c r="O299" i="12"/>
  <c r="M299" i="12"/>
  <c r="K299" i="12"/>
  <c r="I299" i="12"/>
  <c r="G299" i="12"/>
  <c r="E299" i="12"/>
  <c r="C299" i="12"/>
  <c r="O298" i="12"/>
  <c r="M298" i="12"/>
  <c r="K298" i="12"/>
  <c r="I298" i="12"/>
  <c r="G298" i="12"/>
  <c r="E298" i="12"/>
  <c r="C298" i="12"/>
  <c r="O289" i="12"/>
  <c r="M289" i="12"/>
  <c r="K289" i="12"/>
  <c r="I289" i="12"/>
  <c r="G289" i="12"/>
  <c r="E289" i="12"/>
  <c r="C289" i="12"/>
  <c r="O288" i="12"/>
  <c r="M288" i="12"/>
  <c r="K288" i="12"/>
  <c r="I288" i="12"/>
  <c r="G288" i="12"/>
  <c r="E288" i="12"/>
  <c r="C288" i="12"/>
  <c r="O287" i="12"/>
  <c r="M287" i="12"/>
  <c r="K287" i="12"/>
  <c r="I287" i="12"/>
  <c r="G287" i="12"/>
  <c r="E287" i="12"/>
  <c r="C287" i="12"/>
  <c r="O286" i="12"/>
  <c r="M286" i="12"/>
  <c r="K286" i="12"/>
  <c r="I286" i="12"/>
  <c r="G286" i="12"/>
  <c r="E286" i="12"/>
  <c r="C286" i="12"/>
  <c r="O285" i="12"/>
  <c r="M285" i="12"/>
  <c r="K285" i="12"/>
  <c r="I285" i="12"/>
  <c r="G285" i="12"/>
  <c r="E285" i="12"/>
  <c r="C285" i="12"/>
  <c r="O280" i="12"/>
  <c r="M280" i="12"/>
  <c r="K280" i="12"/>
  <c r="I280" i="12"/>
  <c r="G280" i="12"/>
  <c r="E280" i="12"/>
  <c r="C280" i="12"/>
  <c r="O279" i="12"/>
  <c r="M279" i="12"/>
  <c r="K279" i="12"/>
  <c r="I279" i="12"/>
  <c r="G279" i="12"/>
  <c r="E279" i="12"/>
  <c r="C279" i="12"/>
  <c r="O278" i="12"/>
  <c r="M278" i="12"/>
  <c r="K278" i="12"/>
  <c r="I278" i="12"/>
  <c r="G278" i="12"/>
  <c r="E278" i="12"/>
  <c r="C278" i="12"/>
  <c r="O277" i="12"/>
  <c r="M277" i="12"/>
  <c r="K277" i="12"/>
  <c r="I277" i="12"/>
  <c r="G277" i="12"/>
  <c r="E277" i="12"/>
  <c r="C277" i="12"/>
  <c r="O276" i="12"/>
  <c r="M276" i="12"/>
  <c r="K276" i="12"/>
  <c r="I276" i="12"/>
  <c r="G276" i="12"/>
  <c r="E276" i="12"/>
  <c r="C276" i="12"/>
  <c r="O271" i="12"/>
  <c r="M271" i="12"/>
  <c r="K271" i="12"/>
  <c r="I271" i="12"/>
  <c r="G271" i="12"/>
  <c r="E271" i="12"/>
  <c r="C271" i="12"/>
  <c r="O270" i="12"/>
  <c r="M270" i="12"/>
  <c r="K270" i="12"/>
  <c r="I270" i="12"/>
  <c r="G270" i="12"/>
  <c r="E270" i="12"/>
  <c r="C270" i="12"/>
  <c r="O269" i="12"/>
  <c r="M269" i="12"/>
  <c r="K269" i="12"/>
  <c r="I269" i="12"/>
  <c r="G269" i="12"/>
  <c r="E269" i="12"/>
  <c r="C269" i="12"/>
  <c r="O268" i="12"/>
  <c r="M268" i="12"/>
  <c r="K268" i="12"/>
  <c r="I268" i="12"/>
  <c r="G268" i="12"/>
  <c r="E268" i="12"/>
  <c r="C268" i="12"/>
  <c r="O267" i="12"/>
  <c r="M267" i="12"/>
  <c r="K267" i="12"/>
  <c r="I267" i="12"/>
  <c r="G267" i="12"/>
  <c r="E267" i="12"/>
  <c r="C267" i="12"/>
  <c r="O262" i="12"/>
  <c r="M262" i="12"/>
  <c r="K262" i="12"/>
  <c r="I262" i="12"/>
  <c r="G262" i="12"/>
  <c r="E262" i="12"/>
  <c r="C262" i="12"/>
  <c r="O261" i="12"/>
  <c r="M261" i="12"/>
  <c r="K261" i="12"/>
  <c r="I261" i="12"/>
  <c r="G261" i="12"/>
  <c r="E261" i="12"/>
  <c r="C261" i="12"/>
  <c r="O260" i="12"/>
  <c r="M260" i="12"/>
  <c r="K260" i="12"/>
  <c r="I260" i="12"/>
  <c r="G260" i="12"/>
  <c r="E260" i="12"/>
  <c r="C260" i="12"/>
  <c r="O259" i="12"/>
  <c r="M259" i="12"/>
  <c r="K259" i="12"/>
  <c r="I259" i="12"/>
  <c r="G259" i="12"/>
  <c r="E259" i="12"/>
  <c r="C259" i="12"/>
  <c r="O258" i="12"/>
  <c r="M258" i="12"/>
  <c r="K258" i="12"/>
  <c r="I258" i="12"/>
  <c r="G258" i="12"/>
  <c r="E258" i="12"/>
  <c r="C258" i="12"/>
  <c r="O253" i="12"/>
  <c r="M253" i="12"/>
  <c r="K253" i="12"/>
  <c r="I253" i="12"/>
  <c r="G253" i="12"/>
  <c r="E253" i="12"/>
  <c r="C253" i="12"/>
  <c r="O252" i="12"/>
  <c r="M252" i="12"/>
  <c r="K252" i="12"/>
  <c r="I252" i="12"/>
  <c r="G252" i="12"/>
  <c r="E252" i="12"/>
  <c r="C252" i="12"/>
  <c r="O251" i="12"/>
  <c r="M251" i="12"/>
  <c r="K251" i="12"/>
  <c r="I251" i="12"/>
  <c r="G251" i="12"/>
  <c r="E251" i="12"/>
  <c r="C251" i="12"/>
  <c r="O250" i="12"/>
  <c r="M250" i="12"/>
  <c r="K250" i="12"/>
  <c r="I250" i="12"/>
  <c r="G250" i="12"/>
  <c r="E250" i="12"/>
  <c r="C250" i="12"/>
  <c r="O249" i="12"/>
  <c r="M249" i="12"/>
  <c r="K249" i="12"/>
  <c r="I249" i="12"/>
  <c r="G249" i="12"/>
  <c r="E249" i="12"/>
  <c r="C249" i="12"/>
  <c r="O244" i="12"/>
  <c r="M244" i="12"/>
  <c r="K244" i="12"/>
  <c r="I244" i="12"/>
  <c r="G244" i="12"/>
  <c r="E244" i="12"/>
  <c r="C244" i="12"/>
  <c r="O243" i="12"/>
  <c r="M243" i="12"/>
  <c r="K243" i="12"/>
  <c r="I243" i="12"/>
  <c r="G243" i="12"/>
  <c r="E243" i="12"/>
  <c r="C243" i="12"/>
  <c r="O242" i="12"/>
  <c r="M242" i="12"/>
  <c r="K242" i="12"/>
  <c r="I242" i="12"/>
  <c r="G242" i="12"/>
  <c r="E242" i="12"/>
  <c r="C242" i="12"/>
  <c r="O241" i="12"/>
  <c r="M241" i="12"/>
  <c r="K241" i="12"/>
  <c r="I241" i="12"/>
  <c r="G241" i="12"/>
  <c r="E241" i="12"/>
  <c r="C241" i="12"/>
  <c r="O240" i="12"/>
  <c r="M240" i="12"/>
  <c r="K240" i="12"/>
  <c r="I240" i="12"/>
  <c r="G240" i="12"/>
  <c r="E240" i="12"/>
  <c r="C240" i="12"/>
  <c r="O231" i="12"/>
  <c r="M231" i="12"/>
  <c r="K231" i="12"/>
  <c r="I231" i="12"/>
  <c r="G231" i="12"/>
  <c r="E231" i="12"/>
  <c r="C231" i="12"/>
  <c r="O230" i="12"/>
  <c r="M230" i="12"/>
  <c r="K230" i="12"/>
  <c r="I230" i="12"/>
  <c r="G230" i="12"/>
  <c r="E230" i="12"/>
  <c r="C230" i="12"/>
  <c r="O229" i="12"/>
  <c r="M229" i="12"/>
  <c r="K229" i="12"/>
  <c r="I229" i="12"/>
  <c r="G229" i="12"/>
  <c r="E229" i="12"/>
  <c r="C229" i="12"/>
  <c r="O228" i="12"/>
  <c r="M228" i="12"/>
  <c r="K228" i="12"/>
  <c r="I228" i="12"/>
  <c r="G228" i="12"/>
  <c r="E228" i="12"/>
  <c r="C228" i="12"/>
  <c r="O227" i="12"/>
  <c r="M227" i="12"/>
  <c r="K227" i="12"/>
  <c r="I227" i="12"/>
  <c r="G227" i="12"/>
  <c r="E227" i="12"/>
  <c r="C227" i="12"/>
  <c r="O222" i="12"/>
  <c r="M222" i="12"/>
  <c r="K222" i="12"/>
  <c r="I222" i="12"/>
  <c r="G222" i="12"/>
  <c r="E222" i="12"/>
  <c r="C222" i="12"/>
  <c r="O221" i="12"/>
  <c r="M221" i="12"/>
  <c r="K221" i="12"/>
  <c r="I221" i="12"/>
  <c r="G221" i="12"/>
  <c r="E221" i="12"/>
  <c r="C221" i="12"/>
  <c r="O220" i="12"/>
  <c r="M220" i="12"/>
  <c r="K220" i="12"/>
  <c r="I220" i="12"/>
  <c r="G220" i="12"/>
  <c r="E220" i="12"/>
  <c r="C220" i="12"/>
  <c r="O219" i="12"/>
  <c r="M219" i="12"/>
  <c r="K219" i="12"/>
  <c r="I219" i="12"/>
  <c r="G219" i="12"/>
  <c r="E219" i="12"/>
  <c r="C219" i="12"/>
  <c r="O218" i="12"/>
  <c r="M218" i="12"/>
  <c r="K218" i="12"/>
  <c r="I218" i="12"/>
  <c r="G218" i="12"/>
  <c r="E218" i="12"/>
  <c r="C218" i="12"/>
  <c r="O213" i="12"/>
  <c r="M213" i="12"/>
  <c r="K213" i="12"/>
  <c r="I213" i="12"/>
  <c r="G213" i="12"/>
  <c r="E213" i="12"/>
  <c r="C213" i="12"/>
  <c r="O212" i="12"/>
  <c r="M212" i="12"/>
  <c r="K212" i="12"/>
  <c r="I212" i="12"/>
  <c r="G212" i="12"/>
  <c r="E212" i="12"/>
  <c r="C212" i="12"/>
  <c r="O211" i="12"/>
  <c r="M211" i="12"/>
  <c r="K211" i="12"/>
  <c r="I211" i="12"/>
  <c r="G211" i="12"/>
  <c r="E211" i="12"/>
  <c r="C211" i="12"/>
  <c r="O210" i="12"/>
  <c r="M210" i="12"/>
  <c r="K210" i="12"/>
  <c r="I210" i="12"/>
  <c r="G210" i="12"/>
  <c r="E210" i="12"/>
  <c r="C210" i="12"/>
  <c r="O209" i="12"/>
  <c r="M209" i="12"/>
  <c r="K209" i="12"/>
  <c r="I209" i="12"/>
  <c r="G209" i="12"/>
  <c r="E209" i="12"/>
  <c r="C209" i="12"/>
  <c r="O204" i="12"/>
  <c r="M204" i="12"/>
  <c r="K204" i="12"/>
  <c r="I204" i="12"/>
  <c r="G204" i="12"/>
  <c r="E204" i="12"/>
  <c r="C204" i="12"/>
  <c r="O203" i="12"/>
  <c r="M203" i="12"/>
  <c r="K203" i="12"/>
  <c r="I203" i="12"/>
  <c r="G203" i="12"/>
  <c r="E203" i="12"/>
  <c r="C203" i="12"/>
  <c r="O202" i="12"/>
  <c r="M202" i="12"/>
  <c r="K202" i="12"/>
  <c r="I202" i="12"/>
  <c r="G202" i="12"/>
  <c r="E202" i="12"/>
  <c r="C202" i="12"/>
  <c r="O201" i="12"/>
  <c r="M201" i="12"/>
  <c r="K201" i="12"/>
  <c r="I201" i="12"/>
  <c r="G201" i="12"/>
  <c r="E201" i="12"/>
  <c r="C201" i="12"/>
  <c r="O200" i="12"/>
  <c r="M200" i="12"/>
  <c r="K200" i="12"/>
  <c r="I200" i="12"/>
  <c r="G200" i="12"/>
  <c r="E200" i="12"/>
  <c r="C200" i="12"/>
  <c r="O195" i="12"/>
  <c r="M195" i="12"/>
  <c r="K195" i="12"/>
  <c r="I195" i="12"/>
  <c r="G195" i="12"/>
  <c r="E195" i="12"/>
  <c r="C195" i="12"/>
  <c r="O194" i="12"/>
  <c r="M194" i="12"/>
  <c r="K194" i="12"/>
  <c r="I194" i="12"/>
  <c r="G194" i="12"/>
  <c r="E194" i="12"/>
  <c r="C194" i="12"/>
  <c r="O193" i="12"/>
  <c r="M193" i="12"/>
  <c r="K193" i="12"/>
  <c r="I193" i="12"/>
  <c r="G193" i="12"/>
  <c r="E193" i="12"/>
  <c r="C193" i="12"/>
  <c r="O192" i="12"/>
  <c r="M192" i="12"/>
  <c r="K192" i="12"/>
  <c r="I192" i="12"/>
  <c r="G192" i="12"/>
  <c r="E192" i="12"/>
  <c r="C192" i="12"/>
  <c r="O191" i="12"/>
  <c r="M191" i="12"/>
  <c r="K191" i="12"/>
  <c r="I191" i="12"/>
  <c r="G191" i="12"/>
  <c r="E191" i="12"/>
  <c r="C191" i="12"/>
  <c r="O186" i="12"/>
  <c r="M186" i="12"/>
  <c r="K186" i="12"/>
  <c r="I186" i="12"/>
  <c r="G186" i="12"/>
  <c r="E186" i="12"/>
  <c r="C186" i="12"/>
  <c r="O185" i="12"/>
  <c r="M185" i="12"/>
  <c r="K185" i="12"/>
  <c r="I185" i="12"/>
  <c r="G185" i="12"/>
  <c r="E185" i="12"/>
  <c r="C185" i="12"/>
  <c r="O184" i="12"/>
  <c r="M184" i="12"/>
  <c r="K184" i="12"/>
  <c r="I184" i="12"/>
  <c r="G184" i="12"/>
  <c r="E184" i="12"/>
  <c r="C184" i="12"/>
  <c r="O183" i="12"/>
  <c r="M183" i="12"/>
  <c r="K183" i="12"/>
  <c r="I183" i="12"/>
  <c r="G183" i="12"/>
  <c r="E183" i="12"/>
  <c r="C183" i="12"/>
  <c r="O182" i="12"/>
  <c r="M182" i="12"/>
  <c r="K182" i="12"/>
  <c r="I182" i="12"/>
  <c r="G182" i="12"/>
  <c r="E182" i="12"/>
  <c r="C182" i="12"/>
  <c r="O173" i="12"/>
  <c r="M173" i="12"/>
  <c r="K173" i="12"/>
  <c r="I173" i="12"/>
  <c r="G173" i="12"/>
  <c r="E173" i="12"/>
  <c r="C173" i="12"/>
  <c r="O172" i="12"/>
  <c r="M172" i="12"/>
  <c r="K172" i="12"/>
  <c r="I172" i="12"/>
  <c r="G172" i="12"/>
  <c r="E172" i="12"/>
  <c r="C172" i="12"/>
  <c r="O171" i="12"/>
  <c r="M171" i="12"/>
  <c r="K171" i="12"/>
  <c r="I171" i="12"/>
  <c r="G171" i="12"/>
  <c r="E171" i="12"/>
  <c r="C171" i="12"/>
  <c r="O170" i="12"/>
  <c r="M170" i="12"/>
  <c r="K170" i="12"/>
  <c r="I170" i="12"/>
  <c r="G170" i="12"/>
  <c r="E170" i="12"/>
  <c r="C170" i="12"/>
  <c r="O169" i="12"/>
  <c r="M169" i="12"/>
  <c r="K169" i="12"/>
  <c r="I169" i="12"/>
  <c r="G169" i="12"/>
  <c r="E169" i="12"/>
  <c r="C169" i="12"/>
  <c r="O164" i="12"/>
  <c r="M164" i="12"/>
  <c r="K164" i="12"/>
  <c r="I164" i="12"/>
  <c r="G164" i="12"/>
  <c r="E164" i="12"/>
  <c r="C164" i="12"/>
  <c r="O163" i="12"/>
  <c r="M163" i="12"/>
  <c r="K163" i="12"/>
  <c r="I163" i="12"/>
  <c r="G163" i="12"/>
  <c r="E163" i="12"/>
  <c r="C163" i="12"/>
  <c r="O162" i="12"/>
  <c r="M162" i="12"/>
  <c r="K162" i="12"/>
  <c r="I162" i="12"/>
  <c r="G162" i="12"/>
  <c r="E162" i="12"/>
  <c r="C162" i="12"/>
  <c r="O161" i="12"/>
  <c r="M161" i="12"/>
  <c r="K161" i="12"/>
  <c r="I161" i="12"/>
  <c r="G161" i="12"/>
  <c r="E161" i="12"/>
  <c r="C161" i="12"/>
  <c r="O160" i="12"/>
  <c r="M160" i="12"/>
  <c r="K160" i="12"/>
  <c r="I160" i="12"/>
  <c r="G160" i="12"/>
  <c r="E160" i="12"/>
  <c r="C160" i="12"/>
  <c r="O155" i="12"/>
  <c r="M155" i="12"/>
  <c r="K155" i="12"/>
  <c r="I155" i="12"/>
  <c r="G155" i="12"/>
  <c r="E155" i="12"/>
  <c r="C155" i="12"/>
  <c r="O154" i="12"/>
  <c r="M154" i="12"/>
  <c r="K154" i="12"/>
  <c r="I154" i="12"/>
  <c r="G154" i="12"/>
  <c r="E154" i="12"/>
  <c r="C154" i="12"/>
  <c r="O153" i="12"/>
  <c r="M153" i="12"/>
  <c r="K153" i="12"/>
  <c r="I153" i="12"/>
  <c r="G153" i="12"/>
  <c r="E153" i="12"/>
  <c r="C153" i="12"/>
  <c r="O152" i="12"/>
  <c r="M152" i="12"/>
  <c r="K152" i="12"/>
  <c r="I152" i="12"/>
  <c r="G152" i="12"/>
  <c r="E152" i="12"/>
  <c r="C152" i="12"/>
  <c r="O151" i="12"/>
  <c r="M151" i="12"/>
  <c r="K151" i="12"/>
  <c r="I151" i="12"/>
  <c r="G151" i="12"/>
  <c r="E151" i="12"/>
  <c r="C151" i="12"/>
  <c r="O146" i="12"/>
  <c r="M146" i="12"/>
  <c r="K146" i="12"/>
  <c r="I146" i="12"/>
  <c r="G146" i="12"/>
  <c r="E146" i="12"/>
  <c r="C146" i="12"/>
  <c r="O145" i="12"/>
  <c r="M145" i="12"/>
  <c r="K145" i="12"/>
  <c r="I145" i="12"/>
  <c r="G145" i="12"/>
  <c r="E145" i="12"/>
  <c r="C145" i="12"/>
  <c r="O144" i="12"/>
  <c r="M144" i="12"/>
  <c r="K144" i="12"/>
  <c r="I144" i="12"/>
  <c r="G144" i="12"/>
  <c r="E144" i="12"/>
  <c r="C144" i="12"/>
  <c r="O143" i="12"/>
  <c r="M143" i="12"/>
  <c r="K143" i="12"/>
  <c r="I143" i="12"/>
  <c r="G143" i="12"/>
  <c r="E143" i="12"/>
  <c r="C143" i="12"/>
  <c r="O142" i="12"/>
  <c r="M142" i="12"/>
  <c r="K142" i="12"/>
  <c r="I142" i="12"/>
  <c r="G142" i="12"/>
  <c r="E142" i="12"/>
  <c r="C142" i="12"/>
  <c r="O137" i="12"/>
  <c r="M137" i="12"/>
  <c r="K137" i="12"/>
  <c r="I137" i="12"/>
  <c r="G137" i="12"/>
  <c r="E137" i="12"/>
  <c r="C137" i="12"/>
  <c r="O136" i="12"/>
  <c r="M136" i="12"/>
  <c r="K136" i="12"/>
  <c r="I136" i="12"/>
  <c r="G136" i="12"/>
  <c r="E136" i="12"/>
  <c r="C136" i="12"/>
  <c r="O135" i="12"/>
  <c r="M135" i="12"/>
  <c r="K135" i="12"/>
  <c r="I135" i="12"/>
  <c r="G135" i="12"/>
  <c r="E135" i="12"/>
  <c r="C135" i="12"/>
  <c r="O134" i="12"/>
  <c r="M134" i="12"/>
  <c r="K134" i="12"/>
  <c r="I134" i="12"/>
  <c r="G134" i="12"/>
  <c r="E134" i="12"/>
  <c r="C134" i="12"/>
  <c r="O133" i="12"/>
  <c r="M133" i="12"/>
  <c r="K133" i="12"/>
  <c r="I133" i="12"/>
  <c r="G133" i="12"/>
  <c r="E133" i="12"/>
  <c r="C133" i="12"/>
  <c r="O128" i="12"/>
  <c r="M128" i="12"/>
  <c r="K128" i="12"/>
  <c r="I128" i="12"/>
  <c r="G128" i="12"/>
  <c r="E128" i="12"/>
  <c r="C128" i="12"/>
  <c r="O127" i="12"/>
  <c r="M127" i="12"/>
  <c r="K127" i="12"/>
  <c r="I127" i="12"/>
  <c r="G127" i="12"/>
  <c r="E127" i="12"/>
  <c r="C127" i="12"/>
  <c r="O126" i="12"/>
  <c r="M126" i="12"/>
  <c r="K126" i="12"/>
  <c r="I126" i="12"/>
  <c r="G126" i="12"/>
  <c r="E126" i="12"/>
  <c r="C126" i="12"/>
  <c r="O125" i="12"/>
  <c r="M125" i="12"/>
  <c r="K125" i="12"/>
  <c r="I125" i="12"/>
  <c r="G125" i="12"/>
  <c r="E125" i="12"/>
  <c r="C125" i="12"/>
  <c r="O124" i="12"/>
  <c r="M124" i="12"/>
  <c r="K124" i="12"/>
  <c r="I124" i="12"/>
  <c r="G124" i="12"/>
  <c r="E124" i="12"/>
  <c r="C124" i="12"/>
  <c r="O115" i="12"/>
  <c r="M115" i="12"/>
  <c r="K115" i="12"/>
  <c r="I115" i="12"/>
  <c r="G115" i="12"/>
  <c r="E115" i="12"/>
  <c r="C115" i="12"/>
  <c r="O114" i="12"/>
  <c r="M114" i="12"/>
  <c r="K114" i="12"/>
  <c r="I114" i="12"/>
  <c r="G114" i="12"/>
  <c r="E114" i="12"/>
  <c r="C114" i="12"/>
  <c r="O113" i="12"/>
  <c r="M113" i="12"/>
  <c r="K113" i="12"/>
  <c r="I113" i="12"/>
  <c r="G113" i="12"/>
  <c r="E113" i="12"/>
  <c r="C113" i="12"/>
  <c r="O112" i="12"/>
  <c r="M112" i="12"/>
  <c r="K112" i="12"/>
  <c r="I112" i="12"/>
  <c r="G112" i="12"/>
  <c r="E112" i="12"/>
  <c r="C112" i="12"/>
  <c r="O111" i="12"/>
  <c r="M111" i="12"/>
  <c r="K111" i="12"/>
  <c r="I111" i="12"/>
  <c r="G111" i="12"/>
  <c r="E111" i="12"/>
  <c r="C111" i="12"/>
  <c r="O106" i="12"/>
  <c r="M106" i="12"/>
  <c r="K106" i="12"/>
  <c r="I106" i="12"/>
  <c r="G106" i="12"/>
  <c r="E106" i="12"/>
  <c r="C106" i="12"/>
  <c r="O105" i="12"/>
  <c r="M105" i="12"/>
  <c r="K105" i="12"/>
  <c r="I105" i="12"/>
  <c r="G105" i="12"/>
  <c r="E105" i="12"/>
  <c r="C105" i="12"/>
  <c r="O104" i="12"/>
  <c r="M104" i="12"/>
  <c r="K104" i="12"/>
  <c r="I104" i="12"/>
  <c r="G104" i="12"/>
  <c r="E104" i="12"/>
  <c r="C104" i="12"/>
  <c r="O103" i="12"/>
  <c r="M103" i="12"/>
  <c r="K103" i="12"/>
  <c r="I103" i="12"/>
  <c r="G103" i="12"/>
  <c r="E103" i="12"/>
  <c r="C103" i="12"/>
  <c r="O102" i="12"/>
  <c r="M102" i="12"/>
  <c r="K102" i="12"/>
  <c r="I102" i="12"/>
  <c r="G102" i="12"/>
  <c r="E102" i="12"/>
  <c r="C102" i="12"/>
  <c r="O97" i="12"/>
  <c r="M97" i="12"/>
  <c r="K97" i="12"/>
  <c r="I97" i="12"/>
  <c r="G97" i="12"/>
  <c r="E97" i="12"/>
  <c r="C97" i="12"/>
  <c r="O96" i="12"/>
  <c r="M96" i="12"/>
  <c r="K96" i="12"/>
  <c r="I96" i="12"/>
  <c r="G96" i="12"/>
  <c r="E96" i="12"/>
  <c r="C96" i="12"/>
  <c r="O95" i="12"/>
  <c r="M95" i="12"/>
  <c r="K95" i="12"/>
  <c r="I95" i="12"/>
  <c r="G95" i="12"/>
  <c r="E95" i="12"/>
  <c r="C95" i="12"/>
  <c r="O94" i="12"/>
  <c r="M94" i="12"/>
  <c r="K94" i="12"/>
  <c r="I94" i="12"/>
  <c r="G94" i="12"/>
  <c r="E94" i="12"/>
  <c r="C94" i="12"/>
  <c r="O93" i="12"/>
  <c r="M93" i="12"/>
  <c r="K93" i="12"/>
  <c r="I93" i="12"/>
  <c r="G93" i="12"/>
  <c r="E93" i="12"/>
  <c r="C93" i="12"/>
  <c r="O88" i="12"/>
  <c r="M88" i="12"/>
  <c r="K88" i="12"/>
  <c r="I88" i="12"/>
  <c r="G88" i="12"/>
  <c r="E88" i="12"/>
  <c r="C88" i="12"/>
  <c r="O87" i="12"/>
  <c r="M87" i="12"/>
  <c r="K87" i="12"/>
  <c r="I87" i="12"/>
  <c r="G87" i="12"/>
  <c r="E87" i="12"/>
  <c r="C87" i="12"/>
  <c r="O86" i="12"/>
  <c r="M86" i="12"/>
  <c r="K86" i="12"/>
  <c r="I86" i="12"/>
  <c r="G86" i="12"/>
  <c r="E86" i="12"/>
  <c r="C86" i="12"/>
  <c r="O85" i="12"/>
  <c r="M85" i="12"/>
  <c r="K85" i="12"/>
  <c r="I85" i="12"/>
  <c r="G85" i="12"/>
  <c r="E85" i="12"/>
  <c r="C85" i="12"/>
  <c r="O84" i="12"/>
  <c r="M84" i="12"/>
  <c r="K84" i="12"/>
  <c r="I84" i="12"/>
  <c r="G84" i="12"/>
  <c r="E84" i="12"/>
  <c r="C84" i="12"/>
  <c r="O79" i="12"/>
  <c r="M79" i="12"/>
  <c r="K79" i="12"/>
  <c r="I79" i="12"/>
  <c r="G79" i="12"/>
  <c r="E79" i="12"/>
  <c r="C79" i="12"/>
  <c r="O78" i="12"/>
  <c r="M78" i="12"/>
  <c r="K78" i="12"/>
  <c r="I78" i="12"/>
  <c r="G78" i="12"/>
  <c r="E78" i="12"/>
  <c r="C78" i="12"/>
  <c r="O77" i="12"/>
  <c r="M77" i="12"/>
  <c r="K77" i="12"/>
  <c r="I77" i="12"/>
  <c r="G77" i="12"/>
  <c r="E77" i="12"/>
  <c r="C77" i="12"/>
  <c r="O76" i="12"/>
  <c r="M76" i="12"/>
  <c r="K76" i="12"/>
  <c r="I76" i="12"/>
  <c r="G76" i="12"/>
  <c r="E76" i="12"/>
  <c r="C76" i="12"/>
  <c r="O75" i="12"/>
  <c r="M75" i="12"/>
  <c r="K75" i="12"/>
  <c r="I75" i="12"/>
  <c r="G75" i="12"/>
  <c r="E75" i="12"/>
  <c r="C75" i="12"/>
  <c r="O70" i="12"/>
  <c r="M70" i="12"/>
  <c r="K70" i="12"/>
  <c r="I70" i="12"/>
  <c r="G70" i="12"/>
  <c r="E70" i="12"/>
  <c r="C70" i="12"/>
  <c r="O69" i="12"/>
  <c r="M69" i="12"/>
  <c r="K69" i="12"/>
  <c r="I69" i="12"/>
  <c r="G69" i="12"/>
  <c r="E69" i="12"/>
  <c r="C69" i="12"/>
  <c r="O68" i="12"/>
  <c r="M68" i="12"/>
  <c r="K68" i="12"/>
  <c r="I68" i="12"/>
  <c r="G68" i="12"/>
  <c r="E68" i="12"/>
  <c r="C68" i="12"/>
  <c r="O67" i="12"/>
  <c r="M67" i="12"/>
  <c r="K67" i="12"/>
  <c r="I67" i="12"/>
  <c r="G67" i="12"/>
  <c r="E67" i="12"/>
  <c r="C67" i="12"/>
  <c r="O66" i="12"/>
  <c r="M66" i="12"/>
  <c r="K66" i="12"/>
  <c r="I66" i="12"/>
  <c r="G66" i="12"/>
  <c r="E66" i="12"/>
  <c r="C66" i="12"/>
  <c r="O57" i="12"/>
  <c r="M57" i="12"/>
  <c r="K57" i="12"/>
  <c r="I57" i="12"/>
  <c r="G57" i="12"/>
  <c r="E57" i="12"/>
  <c r="C57" i="12"/>
  <c r="O56" i="12"/>
  <c r="M56" i="12"/>
  <c r="K56" i="12"/>
  <c r="I56" i="12"/>
  <c r="G56" i="12"/>
  <c r="E56" i="12"/>
  <c r="C56" i="12"/>
  <c r="O55" i="12"/>
  <c r="M55" i="12"/>
  <c r="K55" i="12"/>
  <c r="I55" i="12"/>
  <c r="G55" i="12"/>
  <c r="E55" i="12"/>
  <c r="C55" i="12"/>
  <c r="O54" i="12"/>
  <c r="M54" i="12"/>
  <c r="K54" i="12"/>
  <c r="I54" i="12"/>
  <c r="G54" i="12"/>
  <c r="E54" i="12"/>
  <c r="C54" i="12"/>
  <c r="O53" i="12"/>
  <c r="M53" i="12"/>
  <c r="K53" i="12"/>
  <c r="I53" i="12"/>
  <c r="G53" i="12"/>
  <c r="E53" i="12"/>
  <c r="C53" i="12"/>
  <c r="O48" i="12"/>
  <c r="M48" i="12"/>
  <c r="K48" i="12"/>
  <c r="I48" i="12"/>
  <c r="G48" i="12"/>
  <c r="E48" i="12"/>
  <c r="C48" i="12"/>
  <c r="O47" i="12"/>
  <c r="M47" i="12"/>
  <c r="K47" i="12"/>
  <c r="I47" i="12"/>
  <c r="G47" i="12"/>
  <c r="E47" i="12"/>
  <c r="C47" i="12"/>
  <c r="O46" i="12"/>
  <c r="M46" i="12"/>
  <c r="K46" i="12"/>
  <c r="I46" i="12"/>
  <c r="G46" i="12"/>
  <c r="E46" i="12"/>
  <c r="C46" i="12"/>
  <c r="O45" i="12"/>
  <c r="M45" i="12"/>
  <c r="K45" i="12"/>
  <c r="I45" i="12"/>
  <c r="G45" i="12"/>
  <c r="E45" i="12"/>
  <c r="C45" i="12"/>
  <c r="O44" i="12"/>
  <c r="M44" i="12"/>
  <c r="K44" i="12"/>
  <c r="I44" i="12"/>
  <c r="G44" i="12"/>
  <c r="E44" i="12"/>
  <c r="C44" i="12"/>
  <c r="O39" i="12"/>
  <c r="M39" i="12"/>
  <c r="K39" i="12"/>
  <c r="I39" i="12"/>
  <c r="G39" i="12"/>
  <c r="E39" i="12"/>
  <c r="C39" i="12"/>
  <c r="O38" i="12"/>
  <c r="M38" i="12"/>
  <c r="K38" i="12"/>
  <c r="I38" i="12"/>
  <c r="G38" i="12"/>
  <c r="E38" i="12"/>
  <c r="C38" i="12"/>
  <c r="O37" i="12"/>
  <c r="M37" i="12"/>
  <c r="K37" i="12"/>
  <c r="I37" i="12"/>
  <c r="G37" i="12"/>
  <c r="E37" i="12"/>
  <c r="C37" i="12"/>
  <c r="O36" i="12"/>
  <c r="M36" i="12"/>
  <c r="K36" i="12"/>
  <c r="I36" i="12"/>
  <c r="G36" i="12"/>
  <c r="E36" i="12"/>
  <c r="C36" i="12"/>
  <c r="O35" i="12"/>
  <c r="M35" i="12"/>
  <c r="K35" i="12"/>
  <c r="I35" i="12"/>
  <c r="G35" i="12"/>
  <c r="E35" i="12"/>
  <c r="C35" i="12"/>
  <c r="O30" i="12"/>
  <c r="M30" i="12"/>
  <c r="K30" i="12"/>
  <c r="I30" i="12"/>
  <c r="G30" i="12"/>
  <c r="E30" i="12"/>
  <c r="C30" i="12"/>
  <c r="O29" i="12"/>
  <c r="M29" i="12"/>
  <c r="K29" i="12"/>
  <c r="I29" i="12"/>
  <c r="G29" i="12"/>
  <c r="E29" i="12"/>
  <c r="C29" i="12"/>
  <c r="O28" i="12"/>
  <c r="M28" i="12"/>
  <c r="K28" i="12"/>
  <c r="I28" i="12"/>
  <c r="G28" i="12"/>
  <c r="E28" i="12"/>
  <c r="C28" i="12"/>
  <c r="O27" i="12"/>
  <c r="M27" i="12"/>
  <c r="K27" i="12"/>
  <c r="I27" i="12"/>
  <c r="G27" i="12"/>
  <c r="E27" i="12"/>
  <c r="C27" i="12"/>
  <c r="O26" i="12"/>
  <c r="M26" i="12"/>
  <c r="K26" i="12"/>
  <c r="I26" i="12"/>
  <c r="G26" i="12"/>
  <c r="E26" i="12"/>
  <c r="C26" i="12"/>
  <c r="O21" i="12"/>
  <c r="M21" i="12"/>
  <c r="K21" i="12"/>
  <c r="I21" i="12"/>
  <c r="G21" i="12"/>
  <c r="E21" i="12"/>
  <c r="C21" i="12"/>
  <c r="O20" i="12"/>
  <c r="M20" i="12"/>
  <c r="K20" i="12"/>
  <c r="I20" i="12"/>
  <c r="G20" i="12"/>
  <c r="E20" i="12"/>
  <c r="C20" i="12"/>
  <c r="O19" i="12"/>
  <c r="M19" i="12"/>
  <c r="K19" i="12"/>
  <c r="I19" i="12"/>
  <c r="G19" i="12"/>
  <c r="E19" i="12"/>
  <c r="C19" i="12"/>
  <c r="O18" i="12"/>
  <c r="M18" i="12"/>
  <c r="K18" i="12"/>
  <c r="I18" i="12"/>
  <c r="G18" i="12"/>
  <c r="E18" i="12"/>
  <c r="C18" i="12"/>
  <c r="O17" i="12"/>
  <c r="M17" i="12"/>
  <c r="K17" i="12"/>
  <c r="I17" i="12"/>
  <c r="G17" i="12"/>
  <c r="E17" i="12"/>
  <c r="C17" i="12"/>
  <c r="B1" i="12"/>
  <c r="L42" i="12" s="1"/>
  <c r="J2" i="1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AH2" i="11" s="1"/>
  <c r="AI2" i="11" s="1"/>
  <c r="AJ2" i="11" s="1"/>
  <c r="AK2" i="11" s="1"/>
  <c r="AL2" i="11" s="1"/>
  <c r="AM2" i="11" s="1"/>
  <c r="B1" i="8"/>
  <c r="K16" i="11" l="1"/>
  <c r="H6" i="12"/>
  <c r="F6" i="12"/>
  <c r="G12" i="12" s="1"/>
  <c r="H42" i="12"/>
  <c r="I9" i="12"/>
  <c r="I10" i="12"/>
  <c r="I11" i="12"/>
  <c r="I12" i="12"/>
  <c r="I8" i="12"/>
  <c r="K643" i="12"/>
  <c r="I643" i="12"/>
  <c r="G643" i="12"/>
  <c r="E643" i="12"/>
  <c r="F641" i="12"/>
  <c r="M585" i="12"/>
  <c r="K585" i="12"/>
  <c r="I585" i="12"/>
  <c r="G585" i="12"/>
  <c r="E585" i="12"/>
  <c r="F583" i="12"/>
  <c r="O643" i="12"/>
  <c r="G527" i="12"/>
  <c r="E527" i="12"/>
  <c r="F525" i="12"/>
  <c r="I469" i="12"/>
  <c r="E469" i="12"/>
  <c r="O585" i="12"/>
  <c r="O527" i="12"/>
  <c r="M527" i="12"/>
  <c r="G411" i="12"/>
  <c r="E411" i="12"/>
  <c r="M643" i="12"/>
  <c r="O469" i="12"/>
  <c r="F409" i="12"/>
  <c r="M469" i="12"/>
  <c r="K469" i="12"/>
  <c r="I353" i="12"/>
  <c r="G469" i="12"/>
  <c r="E353" i="12"/>
  <c r="F467" i="12"/>
  <c r="O411" i="12"/>
  <c r="M411" i="12"/>
  <c r="E237" i="12"/>
  <c r="K411" i="12"/>
  <c r="I411" i="12"/>
  <c r="M295" i="12"/>
  <c r="K527" i="12"/>
  <c r="K295" i="12"/>
  <c r="I527" i="12"/>
  <c r="I295" i="12"/>
  <c r="O353" i="12"/>
  <c r="G295" i="12"/>
  <c r="M353" i="12"/>
  <c r="K353" i="12"/>
  <c r="G353" i="12"/>
  <c r="F177" i="12"/>
  <c r="M121" i="12"/>
  <c r="O295" i="12"/>
  <c r="K121" i="12"/>
  <c r="E295" i="12"/>
  <c r="I121" i="12"/>
  <c r="O237" i="12"/>
  <c r="M237" i="12"/>
  <c r="F293" i="12"/>
  <c r="K237" i="12"/>
  <c r="I237" i="12"/>
  <c r="G237" i="12"/>
  <c r="O179" i="12"/>
  <c r="F235" i="12"/>
  <c r="M179" i="12"/>
  <c r="K179" i="12"/>
  <c r="I179" i="12"/>
  <c r="G179" i="12"/>
  <c r="E179" i="12"/>
  <c r="O5" i="12"/>
  <c r="F61" i="12"/>
  <c r="F351" i="12"/>
  <c r="O121" i="12"/>
  <c r="O63" i="12"/>
  <c r="G121" i="12"/>
  <c r="M63" i="12"/>
  <c r="I63" i="12"/>
  <c r="G8" i="12"/>
  <c r="E63" i="12"/>
  <c r="F119" i="12"/>
  <c r="G63" i="12"/>
  <c r="E121" i="12"/>
  <c r="K63" i="12"/>
  <c r="F3" i="12"/>
  <c r="I5" i="12"/>
  <c r="K5" i="12"/>
  <c r="B64" i="12"/>
  <c r="G5" i="12"/>
  <c r="M5" i="12"/>
  <c r="J64" i="12"/>
  <c r="E5" i="12"/>
  <c r="G11" i="12"/>
  <c r="D6" i="12"/>
  <c r="G10" i="12"/>
  <c r="F51" i="12"/>
  <c r="F3" i="8"/>
  <c r="J689" i="12"/>
  <c r="B622" i="12"/>
  <c r="H689" i="12"/>
  <c r="H586" i="12"/>
  <c r="D573" i="12"/>
  <c r="N564" i="12"/>
  <c r="F689" i="12"/>
  <c r="F586" i="12"/>
  <c r="B573" i="12"/>
  <c r="L564" i="12"/>
  <c r="D689" i="12"/>
  <c r="N680" i="12"/>
  <c r="D586" i="12"/>
  <c r="B689" i="12"/>
  <c r="L680" i="12"/>
  <c r="B586" i="12"/>
  <c r="H564" i="12"/>
  <c r="J680" i="12"/>
  <c r="N631" i="12"/>
  <c r="H680" i="12"/>
  <c r="L631" i="12"/>
  <c r="F680" i="12"/>
  <c r="N644" i="12"/>
  <c r="J631" i="12"/>
  <c r="D680" i="12"/>
  <c r="L644" i="12"/>
  <c r="H631" i="12"/>
  <c r="B680" i="12"/>
  <c r="J644" i="12"/>
  <c r="F631" i="12"/>
  <c r="H644" i="12"/>
  <c r="D631" i="12"/>
  <c r="N622" i="12"/>
  <c r="F644" i="12"/>
  <c r="B631" i="12"/>
  <c r="L622" i="12"/>
  <c r="D644" i="12"/>
  <c r="J622" i="12"/>
  <c r="B644" i="12"/>
  <c r="H622" i="12"/>
  <c r="N689" i="12"/>
  <c r="F622" i="12"/>
  <c r="N586" i="12"/>
  <c r="F470" i="12"/>
  <c r="B457" i="12"/>
  <c r="L448" i="12"/>
  <c r="D470" i="12"/>
  <c r="B470" i="12"/>
  <c r="H448" i="12"/>
  <c r="J564" i="12"/>
  <c r="N515" i="12"/>
  <c r="L689" i="12"/>
  <c r="F564" i="12"/>
  <c r="L515" i="12"/>
  <c r="D564" i="12"/>
  <c r="N528" i="12"/>
  <c r="B564" i="12"/>
  <c r="L528" i="12"/>
  <c r="H515" i="12"/>
  <c r="J528" i="12"/>
  <c r="F515" i="12"/>
  <c r="H528" i="12"/>
  <c r="D515" i="12"/>
  <c r="N506" i="12"/>
  <c r="L586" i="12"/>
  <c r="F528" i="12"/>
  <c r="B515" i="12"/>
  <c r="L506" i="12"/>
  <c r="D622" i="12"/>
  <c r="J586" i="12"/>
  <c r="D528" i="12"/>
  <c r="N573" i="12"/>
  <c r="B528" i="12"/>
  <c r="H506" i="12"/>
  <c r="L573" i="12"/>
  <c r="F506" i="12"/>
  <c r="J573" i="12"/>
  <c r="D506" i="12"/>
  <c r="N470" i="12"/>
  <c r="N457" i="12"/>
  <c r="F354" i="12"/>
  <c r="B341" i="12"/>
  <c r="L470" i="12"/>
  <c r="L457" i="12"/>
  <c r="D354" i="12"/>
  <c r="J470" i="12"/>
  <c r="J457" i="12"/>
  <c r="N448" i="12"/>
  <c r="B354" i="12"/>
  <c r="H470" i="12"/>
  <c r="H457" i="12"/>
  <c r="J448" i="12"/>
  <c r="N399" i="12"/>
  <c r="F457" i="12"/>
  <c r="F448" i="12"/>
  <c r="L399" i="12"/>
  <c r="D457" i="12"/>
  <c r="D448" i="12"/>
  <c r="N412" i="12"/>
  <c r="B448" i="12"/>
  <c r="L412" i="12"/>
  <c r="H399" i="12"/>
  <c r="J412" i="12"/>
  <c r="F399" i="12"/>
  <c r="H412" i="12"/>
  <c r="D399" i="12"/>
  <c r="N390" i="12"/>
  <c r="F412" i="12"/>
  <c r="B399" i="12"/>
  <c r="L390" i="12"/>
  <c r="J515" i="12"/>
  <c r="D412" i="12"/>
  <c r="H573" i="12"/>
  <c r="H296" i="12"/>
  <c r="D283" i="12"/>
  <c r="N274" i="12"/>
  <c r="F573" i="12"/>
  <c r="F296" i="12"/>
  <c r="B283" i="12"/>
  <c r="L274" i="12"/>
  <c r="B412" i="12"/>
  <c r="D296" i="12"/>
  <c r="J274" i="12"/>
  <c r="B296" i="12"/>
  <c r="J390" i="12"/>
  <c r="N354" i="12"/>
  <c r="H390" i="12"/>
  <c r="L354" i="12"/>
  <c r="D274" i="12"/>
  <c r="F390" i="12"/>
  <c r="J354" i="12"/>
  <c r="B274" i="12"/>
  <c r="D390" i="12"/>
  <c r="H354" i="12"/>
  <c r="B390" i="12"/>
  <c r="J399" i="12"/>
  <c r="N332" i="12"/>
  <c r="J506" i="12"/>
  <c r="N341" i="12"/>
  <c r="L332" i="12"/>
  <c r="B506" i="12"/>
  <c r="L341" i="12"/>
  <c r="J332" i="12"/>
  <c r="J341" i="12"/>
  <c r="H332" i="12"/>
  <c r="H341" i="12"/>
  <c r="F332" i="12"/>
  <c r="D332" i="12"/>
  <c r="J296" i="12"/>
  <c r="F238" i="12"/>
  <c r="H216" i="12"/>
  <c r="L167" i="12"/>
  <c r="B332" i="12"/>
  <c r="D238" i="12"/>
  <c r="F216" i="12"/>
  <c r="N180" i="12"/>
  <c r="J167" i="12"/>
  <c r="B238" i="12"/>
  <c r="D216" i="12"/>
  <c r="L180" i="12"/>
  <c r="H167" i="12"/>
  <c r="B216" i="12"/>
  <c r="J180" i="12"/>
  <c r="F167" i="12"/>
  <c r="H180" i="12"/>
  <c r="D167" i="12"/>
  <c r="N158" i="12"/>
  <c r="F180" i="12"/>
  <c r="B167" i="12"/>
  <c r="L158" i="12"/>
  <c r="F341" i="12"/>
  <c r="N283" i="12"/>
  <c r="D180" i="12"/>
  <c r="J158" i="12"/>
  <c r="D341" i="12"/>
  <c r="L283" i="12"/>
  <c r="B180" i="12"/>
  <c r="H158" i="12"/>
  <c r="J283" i="12"/>
  <c r="N225" i="12"/>
  <c r="F158" i="12"/>
  <c r="N122" i="12"/>
  <c r="H283" i="12"/>
  <c r="L225" i="12"/>
  <c r="D158" i="12"/>
  <c r="F283" i="12"/>
  <c r="J225" i="12"/>
  <c r="B158" i="12"/>
  <c r="H225" i="12"/>
  <c r="N238" i="12"/>
  <c r="F225" i="12"/>
  <c r="H274" i="12"/>
  <c r="L238" i="12"/>
  <c r="D225" i="12"/>
  <c r="N216" i="12"/>
  <c r="L216" i="12"/>
  <c r="L100" i="12"/>
  <c r="B6" i="12"/>
  <c r="J216" i="12"/>
  <c r="J100" i="12"/>
  <c r="N51" i="12"/>
  <c r="N109" i="12"/>
  <c r="H100" i="12"/>
  <c r="L51" i="12"/>
  <c r="L109" i="12"/>
  <c r="F100" i="12"/>
  <c r="N64" i="12"/>
  <c r="J51" i="12"/>
  <c r="L122" i="12"/>
  <c r="J109" i="12"/>
  <c r="D100" i="12"/>
  <c r="L64" i="12"/>
  <c r="H51" i="12"/>
  <c r="J122" i="12"/>
  <c r="H109" i="12"/>
  <c r="B100" i="12"/>
  <c r="B225" i="12"/>
  <c r="H122" i="12"/>
  <c r="F109" i="12"/>
  <c r="H64" i="12"/>
  <c r="D51" i="12"/>
  <c r="N42" i="12"/>
  <c r="N167" i="12"/>
  <c r="F122" i="12"/>
  <c r="D109" i="12"/>
  <c r="F64" i="12"/>
  <c r="B51" i="12"/>
  <c r="D122" i="12"/>
  <c r="B109" i="12"/>
  <c r="D64" i="12"/>
  <c r="J42" i="12"/>
  <c r="B122" i="12"/>
  <c r="J238" i="12"/>
  <c r="H238" i="12"/>
  <c r="N296" i="12"/>
  <c r="B42" i="12"/>
  <c r="F274" i="12"/>
  <c r="J6" i="12"/>
  <c r="L6" i="12"/>
  <c r="N6" i="12"/>
  <c r="G9" i="12"/>
  <c r="D42" i="12"/>
  <c r="N100" i="12"/>
  <c r="L296" i="12"/>
  <c r="F42" i="12"/>
  <c r="F641" i="8"/>
  <c r="F583" i="8"/>
  <c r="F525" i="8"/>
  <c r="F467" i="8"/>
  <c r="F409" i="8"/>
  <c r="F61" i="8"/>
  <c r="I13" i="12" l="1"/>
  <c r="B421" i="12"/>
  <c r="P522" i="12"/>
  <c r="C73" i="11" s="1"/>
  <c r="P638" i="12"/>
  <c r="C89" i="11" s="1"/>
  <c r="C12" i="12"/>
  <c r="C8" i="12"/>
  <c r="C9" i="12"/>
  <c r="C11" i="12"/>
  <c r="C10" i="12"/>
  <c r="P348" i="12"/>
  <c r="C49" i="11" s="1"/>
  <c r="B131" i="12"/>
  <c r="O10" i="12"/>
  <c r="B15" i="12"/>
  <c r="O11" i="12"/>
  <c r="O8" i="12"/>
  <c r="O12" i="12"/>
  <c r="O9" i="12"/>
  <c r="M9" i="12"/>
  <c r="M10" i="12"/>
  <c r="M11" i="12"/>
  <c r="M8" i="12"/>
  <c r="M12" i="12"/>
  <c r="B73" i="12"/>
  <c r="B479" i="12"/>
  <c r="K8" i="12"/>
  <c r="K10" i="12"/>
  <c r="K11" i="12"/>
  <c r="K12" i="12"/>
  <c r="K9" i="12"/>
  <c r="B247" i="12"/>
  <c r="B363" i="12"/>
  <c r="P696" i="12"/>
  <c r="C97" i="11" s="1"/>
  <c r="P116" i="12"/>
  <c r="C17" i="11" s="1"/>
  <c r="P406" i="12"/>
  <c r="C57" i="11" s="1"/>
  <c r="P464" i="12"/>
  <c r="C65" i="11" s="1"/>
  <c r="E12" i="12"/>
  <c r="E9" i="12"/>
  <c r="E8" i="12"/>
  <c r="E10" i="12"/>
  <c r="E11" i="12"/>
  <c r="B189" i="12"/>
  <c r="B305" i="12"/>
  <c r="B595" i="12"/>
  <c r="I49" i="12"/>
  <c r="P232" i="12"/>
  <c r="C33" i="11" s="1"/>
  <c r="P174" i="12"/>
  <c r="C25" i="11" s="1"/>
  <c r="B537" i="12"/>
  <c r="M49" i="12"/>
  <c r="B653" i="12"/>
  <c r="G13" i="12"/>
  <c r="F293" i="8"/>
  <c r="F351" i="8"/>
  <c r="F177" i="8"/>
  <c r="F235" i="8"/>
  <c r="F119" i="8"/>
  <c r="H274" i="8"/>
  <c r="N689" i="8"/>
  <c r="L689" i="8"/>
  <c r="J689" i="8"/>
  <c r="H689" i="8"/>
  <c r="F689" i="8"/>
  <c r="D689" i="8"/>
  <c r="B689" i="8"/>
  <c r="N680" i="8"/>
  <c r="L680" i="8"/>
  <c r="J680" i="8"/>
  <c r="H680" i="8"/>
  <c r="F680" i="8"/>
  <c r="D680" i="8"/>
  <c r="B680" i="8"/>
  <c r="N644" i="8"/>
  <c r="L644" i="8"/>
  <c r="J644" i="8"/>
  <c r="H644" i="8"/>
  <c r="F644" i="8"/>
  <c r="D644" i="8"/>
  <c r="B644" i="8"/>
  <c r="O643" i="8"/>
  <c r="M643" i="8"/>
  <c r="K643" i="8"/>
  <c r="I643" i="8"/>
  <c r="G643" i="8"/>
  <c r="E643" i="8"/>
  <c r="N631" i="8"/>
  <c r="L631" i="8"/>
  <c r="J631" i="8"/>
  <c r="H631" i="8"/>
  <c r="F631" i="8"/>
  <c r="D631" i="8"/>
  <c r="B631" i="8"/>
  <c r="N622" i="8"/>
  <c r="L622" i="8"/>
  <c r="J622" i="8"/>
  <c r="H622" i="8"/>
  <c r="F622" i="8"/>
  <c r="D622" i="8"/>
  <c r="B622" i="8"/>
  <c r="N586" i="8"/>
  <c r="L586" i="8"/>
  <c r="J586" i="8"/>
  <c r="H586" i="8"/>
  <c r="F586" i="8"/>
  <c r="D586" i="8"/>
  <c r="B586" i="8"/>
  <c r="O585" i="8"/>
  <c r="M585" i="8"/>
  <c r="K585" i="8"/>
  <c r="I585" i="8"/>
  <c r="G585" i="8"/>
  <c r="E585" i="8"/>
  <c r="N573" i="8"/>
  <c r="L573" i="8"/>
  <c r="J573" i="8"/>
  <c r="H573" i="8"/>
  <c r="F573" i="8"/>
  <c r="D573" i="8"/>
  <c r="B573" i="8"/>
  <c r="N564" i="8"/>
  <c r="L564" i="8"/>
  <c r="J564" i="8"/>
  <c r="H564" i="8"/>
  <c r="F564" i="8"/>
  <c r="D564" i="8"/>
  <c r="B564" i="8"/>
  <c r="N528" i="8"/>
  <c r="L528" i="8"/>
  <c r="J528" i="8"/>
  <c r="H528" i="8"/>
  <c r="F528" i="8"/>
  <c r="D528" i="8"/>
  <c r="B528" i="8"/>
  <c r="O527" i="8"/>
  <c r="M527" i="8"/>
  <c r="K527" i="8"/>
  <c r="I527" i="8"/>
  <c r="G527" i="8"/>
  <c r="E527" i="8"/>
  <c r="N515" i="8"/>
  <c r="L515" i="8"/>
  <c r="J515" i="8"/>
  <c r="H515" i="8"/>
  <c r="F515" i="8"/>
  <c r="D515" i="8"/>
  <c r="B515" i="8"/>
  <c r="A73" i="11" s="1"/>
  <c r="N506" i="8"/>
  <c r="L506" i="8"/>
  <c r="J506" i="8"/>
  <c r="H506" i="8"/>
  <c r="F506" i="8"/>
  <c r="D506" i="8"/>
  <c r="B506" i="8"/>
  <c r="A72" i="11" s="1"/>
  <c r="N470" i="8"/>
  <c r="L470" i="8"/>
  <c r="J470" i="8"/>
  <c r="H470" i="8"/>
  <c r="F470" i="8"/>
  <c r="D470" i="8"/>
  <c r="B470" i="8"/>
  <c r="A68" i="11" s="1"/>
  <c r="O469" i="8"/>
  <c r="M469" i="8"/>
  <c r="K469" i="8"/>
  <c r="I469" i="8"/>
  <c r="G469" i="8"/>
  <c r="E469" i="8"/>
  <c r="N457" i="8"/>
  <c r="L457" i="8"/>
  <c r="J457" i="8"/>
  <c r="H457" i="8"/>
  <c r="F457" i="8"/>
  <c r="D457" i="8"/>
  <c r="B457" i="8"/>
  <c r="A65" i="11" s="1"/>
  <c r="N448" i="8"/>
  <c r="L448" i="8"/>
  <c r="J448" i="8"/>
  <c r="H448" i="8"/>
  <c r="F448" i="8"/>
  <c r="D448" i="8"/>
  <c r="B448" i="8"/>
  <c r="A64" i="11" s="1"/>
  <c r="N412" i="8"/>
  <c r="L412" i="8"/>
  <c r="J412" i="8"/>
  <c r="H412" i="8"/>
  <c r="F412" i="8"/>
  <c r="D412" i="8"/>
  <c r="B412" i="8"/>
  <c r="A60" i="11" s="1"/>
  <c r="O411" i="8"/>
  <c r="M411" i="8"/>
  <c r="K411" i="8"/>
  <c r="I411" i="8"/>
  <c r="G411" i="8"/>
  <c r="E411" i="8"/>
  <c r="N399" i="8"/>
  <c r="L399" i="8"/>
  <c r="J399" i="8"/>
  <c r="H399" i="8"/>
  <c r="F399" i="8"/>
  <c r="D399" i="8"/>
  <c r="B399" i="8"/>
  <c r="A57" i="11" s="1"/>
  <c r="N390" i="8"/>
  <c r="L390" i="8"/>
  <c r="J390" i="8"/>
  <c r="H390" i="8"/>
  <c r="F390" i="8"/>
  <c r="D390" i="8"/>
  <c r="B390" i="8"/>
  <c r="A56" i="11" s="1"/>
  <c r="N354" i="8"/>
  <c r="L354" i="8"/>
  <c r="J354" i="8"/>
  <c r="H354" i="8"/>
  <c r="F354" i="8"/>
  <c r="D354" i="8"/>
  <c r="B354" i="8"/>
  <c r="A52" i="11" s="1"/>
  <c r="O353" i="8"/>
  <c r="M353" i="8"/>
  <c r="K353" i="8"/>
  <c r="I353" i="8"/>
  <c r="G353" i="8"/>
  <c r="E353" i="8"/>
  <c r="N341" i="8"/>
  <c r="L341" i="8"/>
  <c r="J341" i="8"/>
  <c r="H341" i="8"/>
  <c r="F341" i="8"/>
  <c r="D341" i="8"/>
  <c r="B341" i="8"/>
  <c r="A49" i="11" s="1"/>
  <c r="N332" i="8"/>
  <c r="L332" i="8"/>
  <c r="J332" i="8"/>
  <c r="H332" i="8"/>
  <c r="F332" i="8"/>
  <c r="D332" i="8"/>
  <c r="B332" i="8"/>
  <c r="A48" i="11" s="1"/>
  <c r="N296" i="8"/>
  <c r="L296" i="8"/>
  <c r="J296" i="8"/>
  <c r="H296" i="8"/>
  <c r="F296" i="8"/>
  <c r="D296" i="8"/>
  <c r="B296" i="8"/>
  <c r="A44" i="11" s="1"/>
  <c r="O295" i="8"/>
  <c r="M295" i="8"/>
  <c r="K295" i="8"/>
  <c r="I295" i="8"/>
  <c r="G295" i="8"/>
  <c r="E295" i="8"/>
  <c r="N283" i="8"/>
  <c r="L283" i="8"/>
  <c r="J283" i="8"/>
  <c r="H283" i="8"/>
  <c r="F283" i="8"/>
  <c r="D283" i="8"/>
  <c r="B283" i="8"/>
  <c r="A41" i="11" s="1"/>
  <c r="N274" i="8"/>
  <c r="L274" i="8"/>
  <c r="J274" i="8"/>
  <c r="F274" i="8"/>
  <c r="D274" i="8"/>
  <c r="B274" i="8"/>
  <c r="A40" i="11" s="1"/>
  <c r="N238" i="8"/>
  <c r="L238" i="8"/>
  <c r="J238" i="8"/>
  <c r="H238" i="8"/>
  <c r="F238" i="8"/>
  <c r="D238" i="8"/>
  <c r="B238" i="8"/>
  <c r="A36" i="11" s="1"/>
  <c r="N225" i="8"/>
  <c r="L225" i="8"/>
  <c r="J225" i="8"/>
  <c r="H225" i="8"/>
  <c r="F225" i="8"/>
  <c r="D225" i="8"/>
  <c r="B225" i="8"/>
  <c r="A33" i="11" s="1"/>
  <c r="N216" i="8"/>
  <c r="L216" i="8"/>
  <c r="J216" i="8"/>
  <c r="H216" i="8"/>
  <c r="F216" i="8"/>
  <c r="D216" i="8"/>
  <c r="B216" i="8"/>
  <c r="A32" i="11" s="1"/>
  <c r="N180" i="8"/>
  <c r="L180" i="8"/>
  <c r="J180" i="8"/>
  <c r="H180" i="8"/>
  <c r="F180" i="8"/>
  <c r="D180" i="8"/>
  <c r="B180" i="8"/>
  <c r="A28" i="11" s="1"/>
  <c r="N167" i="8"/>
  <c r="L167" i="8"/>
  <c r="J167" i="8"/>
  <c r="H167" i="8"/>
  <c r="F167" i="8"/>
  <c r="D167" i="8"/>
  <c r="B167" i="8"/>
  <c r="A25" i="11" s="1"/>
  <c r="N158" i="8"/>
  <c r="L158" i="8"/>
  <c r="J158" i="8"/>
  <c r="H158" i="8"/>
  <c r="F158" i="8"/>
  <c r="D158" i="8"/>
  <c r="B158" i="8"/>
  <c r="A24" i="11" s="1"/>
  <c r="N122" i="8"/>
  <c r="L122" i="8"/>
  <c r="J122" i="8"/>
  <c r="H122" i="8"/>
  <c r="F122" i="8"/>
  <c r="D122" i="8"/>
  <c r="B122" i="8"/>
  <c r="A20" i="11" s="1"/>
  <c r="O237" i="8"/>
  <c r="M237" i="8"/>
  <c r="K237" i="8"/>
  <c r="I237" i="8"/>
  <c r="G237" i="8"/>
  <c r="E237" i="8"/>
  <c r="O179" i="8"/>
  <c r="M179" i="8"/>
  <c r="K179" i="8"/>
  <c r="I179" i="8"/>
  <c r="G179" i="8"/>
  <c r="E179" i="8"/>
  <c r="O121" i="8"/>
  <c r="M121" i="8"/>
  <c r="K121" i="8"/>
  <c r="I121" i="8"/>
  <c r="G121" i="8"/>
  <c r="E121" i="8"/>
  <c r="N109" i="8"/>
  <c r="L109" i="8"/>
  <c r="J109" i="8"/>
  <c r="H109" i="8"/>
  <c r="F109" i="8"/>
  <c r="D109" i="8"/>
  <c r="B109" i="8"/>
  <c r="A17" i="11" s="1"/>
  <c r="N100" i="8"/>
  <c r="L100" i="8"/>
  <c r="J100" i="8"/>
  <c r="H100" i="8"/>
  <c r="F100" i="8"/>
  <c r="D100" i="8"/>
  <c r="B100" i="8"/>
  <c r="A16" i="11" s="1"/>
  <c r="N64" i="8"/>
  <c r="L64" i="8"/>
  <c r="J64" i="8"/>
  <c r="H64" i="8"/>
  <c r="F64" i="8"/>
  <c r="D64" i="8"/>
  <c r="B64" i="8"/>
  <c r="A12" i="11" s="1"/>
  <c r="O63" i="8"/>
  <c r="M63" i="8"/>
  <c r="K63" i="8"/>
  <c r="I63" i="8"/>
  <c r="G63" i="8"/>
  <c r="E63" i="8"/>
  <c r="I290" i="12" l="1"/>
  <c r="E513" i="12"/>
  <c r="E58" i="12"/>
  <c r="K593" i="12"/>
  <c r="C107" i="12"/>
  <c r="P107" i="12" s="1"/>
  <c r="C16" i="11" s="1"/>
  <c r="M522" i="12"/>
  <c r="I406" i="12"/>
  <c r="G593" i="12"/>
  <c r="M281" i="12"/>
  <c r="I281" i="12"/>
  <c r="C477" i="12"/>
  <c r="K361" i="12"/>
  <c r="O116" i="12"/>
  <c r="E361" i="12"/>
  <c r="O361" i="12"/>
  <c r="G696" i="12"/>
  <c r="K477" i="12"/>
  <c r="I629" i="12"/>
  <c r="O455" i="12"/>
  <c r="K58" i="12"/>
  <c r="G406" i="12"/>
  <c r="K245" i="12"/>
  <c r="M580" i="12"/>
  <c r="E477" i="12"/>
  <c r="G455" i="12"/>
  <c r="G129" i="12"/>
  <c r="G281" i="12"/>
  <c r="G638" i="12"/>
  <c r="G464" i="12"/>
  <c r="K580" i="12"/>
  <c r="I419" i="12"/>
  <c r="C464" i="12"/>
  <c r="O129" i="12"/>
  <c r="O629" i="12"/>
  <c r="E174" i="12"/>
  <c r="G165" i="12"/>
  <c r="M232" i="12"/>
  <c r="O58" i="12"/>
  <c r="G49" i="12"/>
  <c r="O593" i="12"/>
  <c r="I107" i="12"/>
  <c r="C174" i="12"/>
  <c r="I477" i="12"/>
  <c r="G513" i="12"/>
  <c r="D247" i="12"/>
  <c r="C593" i="12"/>
  <c r="G397" i="12"/>
  <c r="I165" i="12"/>
  <c r="O107" i="12"/>
  <c r="O397" i="12"/>
  <c r="E535" i="12"/>
  <c r="O165" i="12"/>
  <c r="G290" i="12"/>
  <c r="I522" i="12"/>
  <c r="G223" i="12"/>
  <c r="C687" i="12"/>
  <c r="M339" i="12"/>
  <c r="C49" i="12"/>
  <c r="M348" i="12"/>
  <c r="G58" i="12"/>
  <c r="G232" i="12"/>
  <c r="O513" i="12"/>
  <c r="M187" i="12"/>
  <c r="I571" i="12"/>
  <c r="M593" i="12"/>
  <c r="E116" i="12"/>
  <c r="E71" i="12"/>
  <c r="C455" i="12"/>
  <c r="K49" i="12"/>
  <c r="E687" i="12"/>
  <c r="E696" i="12"/>
  <c r="G116" i="12"/>
  <c r="G477" i="12"/>
  <c r="K455" i="12"/>
  <c r="M455" i="12"/>
  <c r="K339" i="12"/>
  <c r="E419" i="12"/>
  <c r="E651" i="12"/>
  <c r="E281" i="12"/>
  <c r="C348" i="12"/>
  <c r="C13" i="12"/>
  <c r="K290" i="12"/>
  <c r="C58" i="12"/>
  <c r="P58" i="12" s="1"/>
  <c r="C9" i="11" s="1"/>
  <c r="O535" i="12"/>
  <c r="M174" i="12"/>
  <c r="C535" i="12"/>
  <c r="I361" i="12"/>
  <c r="E13" i="12"/>
  <c r="K13" i="12"/>
  <c r="C638" i="12"/>
  <c r="M477" i="12"/>
  <c r="D537" i="12"/>
  <c r="C419" i="12"/>
  <c r="G629" i="12"/>
  <c r="O406" i="12"/>
  <c r="I232" i="12"/>
  <c r="O245" i="12"/>
  <c r="P245" i="12" s="1"/>
  <c r="C36" i="11" s="1"/>
  <c r="G651" i="12"/>
  <c r="E339" i="12"/>
  <c r="M223" i="12"/>
  <c r="G187" i="12"/>
  <c r="K71" i="12"/>
  <c r="C232" i="12"/>
  <c r="I638" i="12"/>
  <c r="C513" i="12"/>
  <c r="G571" i="12"/>
  <c r="I535" i="12"/>
  <c r="M397" i="12"/>
  <c r="E223" i="12"/>
  <c r="D131" i="12"/>
  <c r="G361" i="12"/>
  <c r="C187" i="12"/>
  <c r="E455" i="12"/>
  <c r="M696" i="12"/>
  <c r="K464" i="12"/>
  <c r="E580" i="12"/>
  <c r="O580" i="12"/>
  <c r="C361" i="12"/>
  <c r="O339" i="12"/>
  <c r="K281" i="12"/>
  <c r="G348" i="12"/>
  <c r="K629" i="12"/>
  <c r="C165" i="12"/>
  <c r="G522" i="12"/>
  <c r="M116" i="12"/>
  <c r="C696" i="12"/>
  <c r="C245" i="12"/>
  <c r="G107" i="12"/>
  <c r="K303" i="12"/>
  <c r="K522" i="12"/>
  <c r="O71" i="12"/>
  <c r="O464" i="12"/>
  <c r="M290" i="12"/>
  <c r="K571" i="12"/>
  <c r="I593" i="12"/>
  <c r="C651" i="12"/>
  <c r="C397" i="12"/>
  <c r="K638" i="12"/>
  <c r="O696" i="12"/>
  <c r="M535" i="12"/>
  <c r="E245" i="12"/>
  <c r="D305" i="12"/>
  <c r="D73" i="12"/>
  <c r="M361" i="12"/>
  <c r="E464" i="12"/>
  <c r="E49" i="12"/>
  <c r="O419" i="12"/>
  <c r="G339" i="12"/>
  <c r="O223" i="12"/>
  <c r="E629" i="12"/>
  <c r="O281" i="12"/>
  <c r="M107" i="12"/>
  <c r="D653" i="12"/>
  <c r="K419" i="12"/>
  <c r="C71" i="12"/>
  <c r="C571" i="12"/>
  <c r="M571" i="12"/>
  <c r="E406" i="12"/>
  <c r="K232" i="12"/>
  <c r="K535" i="12"/>
  <c r="E397" i="12"/>
  <c r="E593" i="12"/>
  <c r="M687" i="12"/>
  <c r="E522" i="12"/>
  <c r="E638" i="12"/>
  <c r="O13" i="12"/>
  <c r="M245" i="12"/>
  <c r="M638" i="12"/>
  <c r="I348" i="12"/>
  <c r="E232" i="12"/>
  <c r="I696" i="12"/>
  <c r="O522" i="12"/>
  <c r="D421" i="12"/>
  <c r="E107" i="12"/>
  <c r="G687" i="12"/>
  <c r="I687" i="12"/>
  <c r="M513" i="12"/>
  <c r="G174" i="12"/>
  <c r="M71" i="12"/>
  <c r="K107" i="12"/>
  <c r="E571" i="12"/>
  <c r="I339" i="12"/>
  <c r="C629" i="12"/>
  <c r="E165" i="12"/>
  <c r="O571" i="12"/>
  <c r="G419" i="12"/>
  <c r="O187" i="12"/>
  <c r="C406" i="12"/>
  <c r="K174" i="12"/>
  <c r="D479" i="12"/>
  <c r="D15" i="12"/>
  <c r="K116" i="12"/>
  <c r="K223" i="12"/>
  <c r="C580" i="12"/>
  <c r="P580" i="12" s="1"/>
  <c r="C81" i="11" s="1"/>
  <c r="E303" i="12"/>
  <c r="M165" i="12"/>
  <c r="I129" i="12"/>
  <c r="D595" i="12"/>
  <c r="I464" i="12"/>
  <c r="O687" i="12"/>
  <c r="C303" i="12"/>
  <c r="D189" i="12"/>
  <c r="M58" i="12"/>
  <c r="K651" i="12"/>
  <c r="E187" i="12"/>
  <c r="O49" i="12"/>
  <c r="K129" i="12"/>
  <c r="O477" i="12"/>
  <c r="E348" i="12"/>
  <c r="I455" i="12"/>
  <c r="M129" i="12"/>
  <c r="C223" i="12"/>
  <c r="M419" i="12"/>
  <c r="C281" i="12"/>
  <c r="I223" i="12"/>
  <c r="I116" i="12"/>
  <c r="G245" i="12"/>
  <c r="K406" i="12"/>
  <c r="M651" i="12"/>
  <c r="O348" i="12"/>
  <c r="O303" i="12"/>
  <c r="O290" i="12"/>
  <c r="I71" i="12"/>
  <c r="D363" i="12"/>
  <c r="K165" i="12"/>
  <c r="O174" i="12"/>
  <c r="G303" i="12"/>
  <c r="M406" i="12"/>
  <c r="K348" i="12"/>
  <c r="O638" i="12"/>
  <c r="K187" i="12"/>
  <c r="M629" i="12"/>
  <c r="M464" i="12"/>
  <c r="M303" i="12"/>
  <c r="C339" i="12"/>
  <c r="I187" i="12"/>
  <c r="G580" i="12"/>
  <c r="K397" i="12"/>
  <c r="C116" i="12"/>
  <c r="I397" i="12"/>
  <c r="K696" i="12"/>
  <c r="I580" i="12"/>
  <c r="I58" i="12"/>
  <c r="K687" i="12"/>
  <c r="E290" i="12"/>
  <c r="O232" i="12"/>
  <c r="O651" i="12"/>
  <c r="C290" i="12"/>
  <c r="C129" i="12"/>
  <c r="I513" i="12"/>
  <c r="K513" i="12"/>
  <c r="I245" i="12"/>
  <c r="I651" i="12"/>
  <c r="M13" i="12"/>
  <c r="P13" i="12" s="1"/>
  <c r="C4" i="11" s="1"/>
  <c r="I174" i="12"/>
  <c r="G535" i="12"/>
  <c r="I303" i="12"/>
  <c r="G71" i="12"/>
  <c r="C522" i="12"/>
  <c r="E129" i="12"/>
  <c r="N695" i="8"/>
  <c r="O695" i="8" s="1"/>
  <c r="N691" i="8"/>
  <c r="O691" i="8" s="1"/>
  <c r="N692" i="8"/>
  <c r="O692" i="8" s="1"/>
  <c r="N693" i="8"/>
  <c r="O693" i="8" s="1"/>
  <c r="N694" i="8"/>
  <c r="O694" i="8" s="1"/>
  <c r="B691" i="8"/>
  <c r="C691" i="8" s="1"/>
  <c r="B692" i="8"/>
  <c r="C692" i="8" s="1"/>
  <c r="B693" i="8"/>
  <c r="C693" i="8" s="1"/>
  <c r="B694" i="8"/>
  <c r="C694" i="8" s="1"/>
  <c r="B695" i="8"/>
  <c r="C695" i="8" s="1"/>
  <c r="D691" i="8"/>
  <c r="E691" i="8" s="1"/>
  <c r="D692" i="8"/>
  <c r="E692" i="8" s="1"/>
  <c r="D693" i="8"/>
  <c r="E693" i="8" s="1"/>
  <c r="D694" i="8"/>
  <c r="E694" i="8" s="1"/>
  <c r="D695" i="8"/>
  <c r="E695" i="8" s="1"/>
  <c r="F691" i="8"/>
  <c r="G691" i="8" s="1"/>
  <c r="F692" i="8"/>
  <c r="G692" i="8" s="1"/>
  <c r="F693" i="8"/>
  <c r="G693" i="8" s="1"/>
  <c r="F694" i="8"/>
  <c r="G694" i="8" s="1"/>
  <c r="F695" i="8"/>
  <c r="G695" i="8" s="1"/>
  <c r="H692" i="8"/>
  <c r="I692" i="8" s="1"/>
  <c r="H693" i="8"/>
  <c r="I693" i="8" s="1"/>
  <c r="H694" i="8"/>
  <c r="I694" i="8" s="1"/>
  <c r="H691" i="8"/>
  <c r="I691" i="8" s="1"/>
  <c r="H695" i="8"/>
  <c r="I695" i="8" s="1"/>
  <c r="L694" i="8"/>
  <c r="M694" i="8" s="1"/>
  <c r="L695" i="8"/>
  <c r="M695" i="8" s="1"/>
  <c r="L691" i="8"/>
  <c r="M691" i="8" s="1"/>
  <c r="L693" i="8"/>
  <c r="M693" i="8" s="1"/>
  <c r="L692" i="8"/>
  <c r="M692" i="8" s="1"/>
  <c r="J693" i="8"/>
  <c r="K693" i="8" s="1"/>
  <c r="J694" i="8"/>
  <c r="K694" i="8" s="1"/>
  <c r="J695" i="8"/>
  <c r="K695" i="8" s="1"/>
  <c r="J692" i="8"/>
  <c r="K692" i="8" s="1"/>
  <c r="J691" i="8"/>
  <c r="K691" i="8" s="1"/>
  <c r="B682" i="8"/>
  <c r="C682" i="8" s="1"/>
  <c r="B683" i="8"/>
  <c r="C683" i="8" s="1"/>
  <c r="B684" i="8"/>
  <c r="C684" i="8" s="1"/>
  <c r="B685" i="8"/>
  <c r="C685" i="8" s="1"/>
  <c r="B686" i="8"/>
  <c r="C686" i="8" s="1"/>
  <c r="D682" i="8"/>
  <c r="E682" i="8" s="1"/>
  <c r="D683" i="8"/>
  <c r="E683" i="8" s="1"/>
  <c r="D684" i="8"/>
  <c r="E684" i="8" s="1"/>
  <c r="D685" i="8"/>
  <c r="E685" i="8" s="1"/>
  <c r="D686" i="8"/>
  <c r="E686" i="8" s="1"/>
  <c r="F682" i="8"/>
  <c r="G682" i="8" s="1"/>
  <c r="F683" i="8"/>
  <c r="G683" i="8" s="1"/>
  <c r="F684" i="8"/>
  <c r="G684" i="8" s="1"/>
  <c r="F685" i="8"/>
  <c r="G685" i="8" s="1"/>
  <c r="F686" i="8"/>
  <c r="G686" i="8" s="1"/>
  <c r="H683" i="8"/>
  <c r="I683" i="8" s="1"/>
  <c r="H684" i="8"/>
  <c r="I684" i="8" s="1"/>
  <c r="H685" i="8"/>
  <c r="I685" i="8" s="1"/>
  <c r="H686" i="8"/>
  <c r="I686" i="8" s="1"/>
  <c r="H682" i="8"/>
  <c r="I682" i="8" s="1"/>
  <c r="J684" i="8"/>
  <c r="K684" i="8" s="1"/>
  <c r="J685" i="8"/>
  <c r="K685" i="8" s="1"/>
  <c r="J686" i="8"/>
  <c r="K686" i="8" s="1"/>
  <c r="J683" i="8"/>
  <c r="K683" i="8" s="1"/>
  <c r="J682" i="8"/>
  <c r="K682" i="8" s="1"/>
  <c r="L685" i="8"/>
  <c r="M685" i="8" s="1"/>
  <c r="L686" i="8"/>
  <c r="M686" i="8" s="1"/>
  <c r="L684" i="8"/>
  <c r="M684" i="8" s="1"/>
  <c r="L682" i="8"/>
  <c r="M682" i="8" s="1"/>
  <c r="L683" i="8"/>
  <c r="M683" i="8" s="1"/>
  <c r="N686" i="8"/>
  <c r="O686" i="8" s="1"/>
  <c r="N682" i="8"/>
  <c r="O682" i="8" s="1"/>
  <c r="N683" i="8"/>
  <c r="O683" i="8" s="1"/>
  <c r="N685" i="8"/>
  <c r="O685" i="8" s="1"/>
  <c r="N684" i="8"/>
  <c r="O684" i="8" s="1"/>
  <c r="J648" i="8"/>
  <c r="K648" i="8" s="1"/>
  <c r="J649" i="8"/>
  <c r="K649" i="8" s="1"/>
  <c r="J650" i="8"/>
  <c r="K650" i="8" s="1"/>
  <c r="J647" i="8"/>
  <c r="K647" i="8" s="1"/>
  <c r="J646" i="8"/>
  <c r="K646" i="8" s="1"/>
  <c r="L649" i="8"/>
  <c r="M649" i="8" s="1"/>
  <c r="L650" i="8"/>
  <c r="M650" i="8" s="1"/>
  <c r="L646" i="8"/>
  <c r="M646" i="8" s="1"/>
  <c r="L648" i="8"/>
  <c r="M648" i="8" s="1"/>
  <c r="L647" i="8"/>
  <c r="M647" i="8" s="1"/>
  <c r="B653" i="8"/>
  <c r="N650" i="8"/>
  <c r="O650" i="8" s="1"/>
  <c r="N646" i="8"/>
  <c r="O646" i="8" s="1"/>
  <c r="N647" i="8"/>
  <c r="O647" i="8" s="1"/>
  <c r="N648" i="8"/>
  <c r="O648" i="8" s="1"/>
  <c r="N649" i="8"/>
  <c r="O649" i="8" s="1"/>
  <c r="H647" i="8"/>
  <c r="I647" i="8" s="1"/>
  <c r="H648" i="8"/>
  <c r="I648" i="8" s="1"/>
  <c r="H649" i="8"/>
  <c r="I649" i="8" s="1"/>
  <c r="H650" i="8"/>
  <c r="I650" i="8" s="1"/>
  <c r="H646" i="8"/>
  <c r="I646" i="8" s="1"/>
  <c r="B646" i="8"/>
  <c r="C646" i="8" s="1"/>
  <c r="B647" i="8"/>
  <c r="C647" i="8" s="1"/>
  <c r="B648" i="8"/>
  <c r="C648" i="8" s="1"/>
  <c r="B649" i="8"/>
  <c r="C649" i="8" s="1"/>
  <c r="B650" i="8"/>
  <c r="C650" i="8" s="1"/>
  <c r="D646" i="8"/>
  <c r="E646" i="8" s="1"/>
  <c r="D647" i="8"/>
  <c r="E647" i="8" s="1"/>
  <c r="D648" i="8"/>
  <c r="E648" i="8" s="1"/>
  <c r="D649" i="8"/>
  <c r="E649" i="8" s="1"/>
  <c r="D650" i="8"/>
  <c r="E650" i="8" s="1"/>
  <c r="F646" i="8"/>
  <c r="G646" i="8" s="1"/>
  <c r="F647" i="8"/>
  <c r="G647" i="8" s="1"/>
  <c r="F648" i="8"/>
  <c r="G648" i="8" s="1"/>
  <c r="F649" i="8"/>
  <c r="G649" i="8" s="1"/>
  <c r="F650" i="8"/>
  <c r="G650" i="8" s="1"/>
  <c r="B633" i="8"/>
  <c r="C633" i="8" s="1"/>
  <c r="B634" i="8"/>
  <c r="C634" i="8" s="1"/>
  <c r="B635" i="8"/>
  <c r="C635" i="8" s="1"/>
  <c r="B636" i="8"/>
  <c r="C636" i="8" s="1"/>
  <c r="B637" i="8"/>
  <c r="C637" i="8" s="1"/>
  <c r="D633" i="8"/>
  <c r="E633" i="8" s="1"/>
  <c r="D634" i="8"/>
  <c r="E634" i="8" s="1"/>
  <c r="D635" i="8"/>
  <c r="E635" i="8" s="1"/>
  <c r="D636" i="8"/>
  <c r="E636" i="8" s="1"/>
  <c r="D637" i="8"/>
  <c r="E637" i="8" s="1"/>
  <c r="F633" i="8"/>
  <c r="G633" i="8" s="1"/>
  <c r="F634" i="8"/>
  <c r="G634" i="8" s="1"/>
  <c r="F635" i="8"/>
  <c r="G635" i="8" s="1"/>
  <c r="F636" i="8"/>
  <c r="G636" i="8" s="1"/>
  <c r="F637" i="8"/>
  <c r="G637" i="8" s="1"/>
  <c r="H634" i="8"/>
  <c r="I634" i="8" s="1"/>
  <c r="H635" i="8"/>
  <c r="I635" i="8" s="1"/>
  <c r="H636" i="8"/>
  <c r="I636" i="8" s="1"/>
  <c r="H637" i="8"/>
  <c r="I637" i="8" s="1"/>
  <c r="H633" i="8"/>
  <c r="I633" i="8" s="1"/>
  <c r="J635" i="8"/>
  <c r="K635" i="8" s="1"/>
  <c r="J636" i="8"/>
  <c r="K636" i="8" s="1"/>
  <c r="J637" i="8"/>
  <c r="K637" i="8" s="1"/>
  <c r="J633" i="8"/>
  <c r="K633" i="8" s="1"/>
  <c r="J634" i="8"/>
  <c r="K634" i="8" s="1"/>
  <c r="L636" i="8"/>
  <c r="M636" i="8" s="1"/>
  <c r="L637" i="8"/>
  <c r="M637" i="8" s="1"/>
  <c r="L633" i="8"/>
  <c r="M633" i="8" s="1"/>
  <c r="L635" i="8"/>
  <c r="M635" i="8" s="1"/>
  <c r="L634" i="8"/>
  <c r="M634" i="8" s="1"/>
  <c r="N637" i="8"/>
  <c r="O637" i="8" s="1"/>
  <c r="N633" i="8"/>
  <c r="O633" i="8" s="1"/>
  <c r="N634" i="8"/>
  <c r="O634" i="8" s="1"/>
  <c r="N635" i="8"/>
  <c r="O635" i="8" s="1"/>
  <c r="N636" i="8"/>
  <c r="O636" i="8" s="1"/>
  <c r="D624" i="8"/>
  <c r="E624" i="8" s="1"/>
  <c r="D625" i="8"/>
  <c r="E625" i="8" s="1"/>
  <c r="D626" i="8"/>
  <c r="E626" i="8" s="1"/>
  <c r="D627" i="8"/>
  <c r="E627" i="8" s="1"/>
  <c r="D628" i="8"/>
  <c r="E628" i="8" s="1"/>
  <c r="F624" i="8"/>
  <c r="G624" i="8" s="1"/>
  <c r="F625" i="8"/>
  <c r="G625" i="8" s="1"/>
  <c r="F626" i="8"/>
  <c r="G626" i="8" s="1"/>
  <c r="F627" i="8"/>
  <c r="G627" i="8" s="1"/>
  <c r="F628" i="8"/>
  <c r="G628" i="8" s="1"/>
  <c r="H625" i="8"/>
  <c r="I625" i="8" s="1"/>
  <c r="H626" i="8"/>
  <c r="I626" i="8" s="1"/>
  <c r="H627" i="8"/>
  <c r="I627" i="8" s="1"/>
  <c r="H628" i="8"/>
  <c r="I628" i="8" s="1"/>
  <c r="H624" i="8"/>
  <c r="I624" i="8" s="1"/>
  <c r="J626" i="8"/>
  <c r="K626" i="8" s="1"/>
  <c r="J627" i="8"/>
  <c r="K627" i="8" s="1"/>
  <c r="J628" i="8"/>
  <c r="K628" i="8" s="1"/>
  <c r="J625" i="8"/>
  <c r="K625" i="8" s="1"/>
  <c r="J624" i="8"/>
  <c r="K624" i="8" s="1"/>
  <c r="L627" i="8"/>
  <c r="M627" i="8" s="1"/>
  <c r="L628" i="8"/>
  <c r="M628" i="8" s="1"/>
  <c r="L624" i="8"/>
  <c r="M624" i="8" s="1"/>
  <c r="L625" i="8"/>
  <c r="M625" i="8" s="1"/>
  <c r="L626" i="8"/>
  <c r="M626" i="8" s="1"/>
  <c r="N628" i="8"/>
  <c r="O628" i="8" s="1"/>
  <c r="N624" i="8"/>
  <c r="O624" i="8" s="1"/>
  <c r="N625" i="8"/>
  <c r="O625" i="8" s="1"/>
  <c r="N627" i="8"/>
  <c r="O627" i="8" s="1"/>
  <c r="N626" i="8"/>
  <c r="O626" i="8" s="1"/>
  <c r="B624" i="8"/>
  <c r="C624" i="8" s="1"/>
  <c r="B625" i="8"/>
  <c r="C625" i="8" s="1"/>
  <c r="B626" i="8"/>
  <c r="C626" i="8" s="1"/>
  <c r="B627" i="8"/>
  <c r="C627" i="8" s="1"/>
  <c r="B628" i="8"/>
  <c r="C628" i="8" s="1"/>
  <c r="B588" i="8"/>
  <c r="C588" i="8" s="1"/>
  <c r="B589" i="8"/>
  <c r="C589" i="8" s="1"/>
  <c r="B590" i="8"/>
  <c r="C590" i="8" s="1"/>
  <c r="B591" i="8"/>
  <c r="C591" i="8" s="1"/>
  <c r="B592" i="8"/>
  <c r="C592" i="8" s="1"/>
  <c r="D588" i="8"/>
  <c r="E588" i="8" s="1"/>
  <c r="D589" i="8"/>
  <c r="E589" i="8" s="1"/>
  <c r="D590" i="8"/>
  <c r="E590" i="8" s="1"/>
  <c r="D591" i="8"/>
  <c r="E591" i="8" s="1"/>
  <c r="D592" i="8"/>
  <c r="E592" i="8" s="1"/>
  <c r="F588" i="8"/>
  <c r="G588" i="8" s="1"/>
  <c r="F589" i="8"/>
  <c r="G589" i="8" s="1"/>
  <c r="F590" i="8"/>
  <c r="G590" i="8" s="1"/>
  <c r="F591" i="8"/>
  <c r="G591" i="8" s="1"/>
  <c r="F592" i="8"/>
  <c r="G592" i="8" s="1"/>
  <c r="H589" i="8"/>
  <c r="I589" i="8" s="1"/>
  <c r="H590" i="8"/>
  <c r="I590" i="8" s="1"/>
  <c r="H591" i="8"/>
  <c r="I591" i="8" s="1"/>
  <c r="H592" i="8"/>
  <c r="I592" i="8" s="1"/>
  <c r="H588" i="8"/>
  <c r="I588" i="8" s="1"/>
  <c r="J590" i="8"/>
  <c r="K590" i="8" s="1"/>
  <c r="J591" i="8"/>
  <c r="K591" i="8" s="1"/>
  <c r="J592" i="8"/>
  <c r="K592" i="8" s="1"/>
  <c r="J588" i="8"/>
  <c r="K588" i="8" s="1"/>
  <c r="J589" i="8"/>
  <c r="K589" i="8" s="1"/>
  <c r="L591" i="8"/>
  <c r="M591" i="8" s="1"/>
  <c r="L592" i="8"/>
  <c r="M592" i="8" s="1"/>
  <c r="L588" i="8"/>
  <c r="M588" i="8" s="1"/>
  <c r="L589" i="8"/>
  <c r="M589" i="8" s="1"/>
  <c r="L590" i="8"/>
  <c r="M590" i="8" s="1"/>
  <c r="B595" i="8"/>
  <c r="N592" i="8"/>
  <c r="O592" i="8" s="1"/>
  <c r="N588" i="8"/>
  <c r="O588" i="8" s="1"/>
  <c r="N589" i="8"/>
  <c r="O589" i="8" s="1"/>
  <c r="N590" i="8"/>
  <c r="O590" i="8" s="1"/>
  <c r="N591" i="8"/>
  <c r="O591" i="8" s="1"/>
  <c r="B575" i="8"/>
  <c r="C575" i="8" s="1"/>
  <c r="B576" i="8"/>
  <c r="C576" i="8" s="1"/>
  <c r="B577" i="8"/>
  <c r="C577" i="8" s="1"/>
  <c r="B578" i="8"/>
  <c r="C578" i="8" s="1"/>
  <c r="B579" i="8"/>
  <c r="C579" i="8" s="1"/>
  <c r="D575" i="8"/>
  <c r="E575" i="8" s="1"/>
  <c r="D576" i="8"/>
  <c r="E576" i="8" s="1"/>
  <c r="D577" i="8"/>
  <c r="E577" i="8" s="1"/>
  <c r="D578" i="8"/>
  <c r="E578" i="8" s="1"/>
  <c r="D579" i="8"/>
  <c r="E579" i="8" s="1"/>
  <c r="F575" i="8"/>
  <c r="G575" i="8" s="1"/>
  <c r="F576" i="8"/>
  <c r="G576" i="8" s="1"/>
  <c r="F577" i="8"/>
  <c r="G577" i="8" s="1"/>
  <c r="F578" i="8"/>
  <c r="G578" i="8" s="1"/>
  <c r="F579" i="8"/>
  <c r="G579" i="8" s="1"/>
  <c r="H576" i="8"/>
  <c r="I576" i="8" s="1"/>
  <c r="H577" i="8"/>
  <c r="I577" i="8" s="1"/>
  <c r="H578" i="8"/>
  <c r="I578" i="8" s="1"/>
  <c r="H579" i="8"/>
  <c r="I579" i="8" s="1"/>
  <c r="H575" i="8"/>
  <c r="I575" i="8" s="1"/>
  <c r="J577" i="8"/>
  <c r="K577" i="8" s="1"/>
  <c r="J578" i="8"/>
  <c r="K578" i="8" s="1"/>
  <c r="J579" i="8"/>
  <c r="K579" i="8" s="1"/>
  <c r="J575" i="8"/>
  <c r="K575" i="8" s="1"/>
  <c r="J576" i="8"/>
  <c r="K576" i="8" s="1"/>
  <c r="L578" i="8"/>
  <c r="M578" i="8" s="1"/>
  <c r="L579" i="8"/>
  <c r="M579" i="8" s="1"/>
  <c r="L575" i="8"/>
  <c r="M575" i="8" s="1"/>
  <c r="L576" i="8"/>
  <c r="M576" i="8" s="1"/>
  <c r="L577" i="8"/>
  <c r="M577" i="8" s="1"/>
  <c r="N579" i="8"/>
  <c r="O579" i="8" s="1"/>
  <c r="N575" i="8"/>
  <c r="O575" i="8" s="1"/>
  <c r="N576" i="8"/>
  <c r="O576" i="8" s="1"/>
  <c r="N577" i="8"/>
  <c r="O577" i="8" s="1"/>
  <c r="N578" i="8"/>
  <c r="O578" i="8" s="1"/>
  <c r="N570" i="8"/>
  <c r="O570" i="8" s="1"/>
  <c r="N566" i="8"/>
  <c r="O566" i="8" s="1"/>
  <c r="N567" i="8"/>
  <c r="O567" i="8" s="1"/>
  <c r="N568" i="8"/>
  <c r="O568" i="8" s="1"/>
  <c r="N569" i="8"/>
  <c r="O569" i="8" s="1"/>
  <c r="B566" i="8"/>
  <c r="C566" i="8" s="1"/>
  <c r="B567" i="8"/>
  <c r="C567" i="8" s="1"/>
  <c r="B568" i="8"/>
  <c r="C568" i="8" s="1"/>
  <c r="B569" i="8"/>
  <c r="C569" i="8" s="1"/>
  <c r="B570" i="8"/>
  <c r="C570" i="8" s="1"/>
  <c r="D566" i="8"/>
  <c r="E566" i="8" s="1"/>
  <c r="D567" i="8"/>
  <c r="E567" i="8" s="1"/>
  <c r="D568" i="8"/>
  <c r="E568" i="8" s="1"/>
  <c r="D569" i="8"/>
  <c r="E569" i="8" s="1"/>
  <c r="D570" i="8"/>
  <c r="E570" i="8" s="1"/>
  <c r="F566" i="8"/>
  <c r="G566" i="8" s="1"/>
  <c r="F567" i="8"/>
  <c r="G567" i="8" s="1"/>
  <c r="F568" i="8"/>
  <c r="G568" i="8" s="1"/>
  <c r="F569" i="8"/>
  <c r="G569" i="8" s="1"/>
  <c r="F570" i="8"/>
  <c r="G570" i="8" s="1"/>
  <c r="H567" i="8"/>
  <c r="I567" i="8" s="1"/>
  <c r="H568" i="8"/>
  <c r="I568" i="8" s="1"/>
  <c r="H569" i="8"/>
  <c r="I569" i="8" s="1"/>
  <c r="H570" i="8"/>
  <c r="I570" i="8" s="1"/>
  <c r="H566" i="8"/>
  <c r="I566" i="8" s="1"/>
  <c r="J568" i="8"/>
  <c r="K568" i="8" s="1"/>
  <c r="J569" i="8"/>
  <c r="K569" i="8" s="1"/>
  <c r="J570" i="8"/>
  <c r="K570" i="8" s="1"/>
  <c r="J566" i="8"/>
  <c r="K566" i="8" s="1"/>
  <c r="J567" i="8"/>
  <c r="K567" i="8" s="1"/>
  <c r="L569" i="8"/>
  <c r="M569" i="8" s="1"/>
  <c r="L570" i="8"/>
  <c r="M570" i="8" s="1"/>
  <c r="M566" i="8"/>
  <c r="L567" i="8"/>
  <c r="M567" i="8" s="1"/>
  <c r="L568" i="8"/>
  <c r="M568" i="8" s="1"/>
  <c r="B530" i="8"/>
  <c r="C530" i="8" s="1"/>
  <c r="B531" i="8"/>
  <c r="C531" i="8" s="1"/>
  <c r="B532" i="8"/>
  <c r="C532" i="8" s="1"/>
  <c r="B533" i="8"/>
  <c r="C533" i="8" s="1"/>
  <c r="B534" i="8"/>
  <c r="C534" i="8" s="1"/>
  <c r="D530" i="8"/>
  <c r="E530" i="8" s="1"/>
  <c r="D531" i="8"/>
  <c r="E531" i="8" s="1"/>
  <c r="D532" i="8"/>
  <c r="E532" i="8" s="1"/>
  <c r="D533" i="8"/>
  <c r="E533" i="8" s="1"/>
  <c r="D534" i="8"/>
  <c r="E534" i="8" s="1"/>
  <c r="F530" i="8"/>
  <c r="G530" i="8" s="1"/>
  <c r="F531" i="8"/>
  <c r="G531" i="8" s="1"/>
  <c r="F532" i="8"/>
  <c r="G532" i="8" s="1"/>
  <c r="F533" i="8"/>
  <c r="G533" i="8" s="1"/>
  <c r="F534" i="8"/>
  <c r="G534" i="8" s="1"/>
  <c r="H531" i="8"/>
  <c r="I531" i="8" s="1"/>
  <c r="H532" i="8"/>
  <c r="I532" i="8" s="1"/>
  <c r="H533" i="8"/>
  <c r="I533" i="8" s="1"/>
  <c r="H534" i="8"/>
  <c r="I534" i="8" s="1"/>
  <c r="H530" i="8"/>
  <c r="I530" i="8" s="1"/>
  <c r="J532" i="8"/>
  <c r="K532" i="8" s="1"/>
  <c r="J533" i="8"/>
  <c r="K533" i="8" s="1"/>
  <c r="J534" i="8"/>
  <c r="K534" i="8" s="1"/>
  <c r="J530" i="8"/>
  <c r="K530" i="8" s="1"/>
  <c r="J531" i="8"/>
  <c r="K531" i="8" s="1"/>
  <c r="L533" i="8"/>
  <c r="M533" i="8" s="1"/>
  <c r="L534" i="8"/>
  <c r="M534" i="8" s="1"/>
  <c r="M530" i="8"/>
  <c r="L531" i="8"/>
  <c r="M531" i="8" s="1"/>
  <c r="L532" i="8"/>
  <c r="M532" i="8" s="1"/>
  <c r="B537" i="8"/>
  <c r="N534" i="8"/>
  <c r="O534" i="8" s="1"/>
  <c r="N530" i="8"/>
  <c r="O530" i="8" s="1"/>
  <c r="N531" i="8"/>
  <c r="O531" i="8" s="1"/>
  <c r="N532" i="8"/>
  <c r="O532" i="8" s="1"/>
  <c r="N533" i="8"/>
  <c r="O533" i="8" s="1"/>
  <c r="J519" i="8"/>
  <c r="K519" i="8" s="1"/>
  <c r="J520" i="8"/>
  <c r="K520" i="8" s="1"/>
  <c r="J521" i="8"/>
  <c r="K521" i="8" s="1"/>
  <c r="J517" i="8"/>
  <c r="K517" i="8" s="1"/>
  <c r="J518" i="8"/>
  <c r="K518" i="8" s="1"/>
  <c r="L520" i="8"/>
  <c r="M520" i="8" s="1"/>
  <c r="L521" i="8"/>
  <c r="M521" i="8" s="1"/>
  <c r="L517" i="8"/>
  <c r="M517" i="8" s="1"/>
  <c r="L518" i="8"/>
  <c r="M518" i="8" s="1"/>
  <c r="L519" i="8"/>
  <c r="M519" i="8" s="1"/>
  <c r="N521" i="8"/>
  <c r="O521" i="8" s="1"/>
  <c r="N517" i="8"/>
  <c r="O517" i="8" s="1"/>
  <c r="N518" i="8"/>
  <c r="O518" i="8" s="1"/>
  <c r="N519" i="8"/>
  <c r="O519" i="8" s="1"/>
  <c r="N520" i="8"/>
  <c r="O520" i="8" s="1"/>
  <c r="B517" i="8"/>
  <c r="C517" i="8" s="1"/>
  <c r="B518" i="8"/>
  <c r="C518" i="8" s="1"/>
  <c r="B519" i="8"/>
  <c r="C519" i="8" s="1"/>
  <c r="B520" i="8"/>
  <c r="C520" i="8" s="1"/>
  <c r="B521" i="8"/>
  <c r="C521" i="8" s="1"/>
  <c r="D517" i="8"/>
  <c r="E517" i="8" s="1"/>
  <c r="D518" i="8"/>
  <c r="E518" i="8" s="1"/>
  <c r="D519" i="8"/>
  <c r="E519" i="8" s="1"/>
  <c r="D520" i="8"/>
  <c r="E520" i="8" s="1"/>
  <c r="D521" i="8"/>
  <c r="E521" i="8" s="1"/>
  <c r="F517" i="8"/>
  <c r="G517" i="8" s="1"/>
  <c r="F518" i="8"/>
  <c r="G518" i="8" s="1"/>
  <c r="F519" i="8"/>
  <c r="G519" i="8" s="1"/>
  <c r="F520" i="8"/>
  <c r="G520" i="8" s="1"/>
  <c r="F521" i="8"/>
  <c r="G521" i="8" s="1"/>
  <c r="H518" i="8"/>
  <c r="I518" i="8" s="1"/>
  <c r="H519" i="8"/>
  <c r="I519" i="8" s="1"/>
  <c r="H520" i="8"/>
  <c r="I520" i="8" s="1"/>
  <c r="H521" i="8"/>
  <c r="I521" i="8" s="1"/>
  <c r="H517" i="8"/>
  <c r="I517" i="8" s="1"/>
  <c r="B508" i="8"/>
  <c r="C508" i="8" s="1"/>
  <c r="B509" i="8"/>
  <c r="C509" i="8" s="1"/>
  <c r="B510" i="8"/>
  <c r="C510" i="8" s="1"/>
  <c r="B511" i="8"/>
  <c r="C511" i="8" s="1"/>
  <c r="B512" i="8"/>
  <c r="C512" i="8" s="1"/>
  <c r="D508" i="8"/>
  <c r="E508" i="8" s="1"/>
  <c r="D509" i="8"/>
  <c r="E509" i="8" s="1"/>
  <c r="D510" i="8"/>
  <c r="E510" i="8" s="1"/>
  <c r="D511" i="8"/>
  <c r="E511" i="8" s="1"/>
  <c r="D512" i="8"/>
  <c r="E512" i="8" s="1"/>
  <c r="F508" i="8"/>
  <c r="G508" i="8" s="1"/>
  <c r="F509" i="8"/>
  <c r="G509" i="8" s="1"/>
  <c r="F510" i="8"/>
  <c r="G510" i="8" s="1"/>
  <c r="F511" i="8"/>
  <c r="G511" i="8" s="1"/>
  <c r="F512" i="8"/>
  <c r="G512" i="8" s="1"/>
  <c r="H509" i="8"/>
  <c r="I509" i="8" s="1"/>
  <c r="H510" i="8"/>
  <c r="I510" i="8" s="1"/>
  <c r="H511" i="8"/>
  <c r="I511" i="8" s="1"/>
  <c r="H512" i="8"/>
  <c r="I512" i="8" s="1"/>
  <c r="H508" i="8"/>
  <c r="I508" i="8" s="1"/>
  <c r="J510" i="8"/>
  <c r="K510" i="8" s="1"/>
  <c r="J511" i="8"/>
  <c r="K511" i="8" s="1"/>
  <c r="J512" i="8"/>
  <c r="K512" i="8" s="1"/>
  <c r="J508" i="8"/>
  <c r="K508" i="8" s="1"/>
  <c r="J509" i="8"/>
  <c r="K509" i="8" s="1"/>
  <c r="L511" i="8"/>
  <c r="M511" i="8" s="1"/>
  <c r="L512" i="8"/>
  <c r="M512" i="8" s="1"/>
  <c r="L508" i="8"/>
  <c r="M508" i="8" s="1"/>
  <c r="L509" i="8"/>
  <c r="M509" i="8" s="1"/>
  <c r="L510" i="8"/>
  <c r="M510" i="8" s="1"/>
  <c r="N512" i="8"/>
  <c r="O512" i="8" s="1"/>
  <c r="N508" i="8"/>
  <c r="O508" i="8" s="1"/>
  <c r="N509" i="8"/>
  <c r="O509" i="8" s="1"/>
  <c r="N510" i="8"/>
  <c r="O510" i="8" s="1"/>
  <c r="N511" i="8"/>
  <c r="O511" i="8" s="1"/>
  <c r="H473" i="8"/>
  <c r="I473" i="8" s="1"/>
  <c r="H474" i="8"/>
  <c r="I474" i="8" s="1"/>
  <c r="H475" i="8"/>
  <c r="I475" i="8" s="1"/>
  <c r="H476" i="8"/>
  <c r="I476" i="8" s="1"/>
  <c r="H472" i="8"/>
  <c r="I472" i="8" s="1"/>
  <c r="F472" i="8"/>
  <c r="G472" i="8" s="1"/>
  <c r="F473" i="8"/>
  <c r="G473" i="8" s="1"/>
  <c r="F474" i="8"/>
  <c r="G474" i="8" s="1"/>
  <c r="F475" i="8"/>
  <c r="G475" i="8" s="1"/>
  <c r="F476" i="8"/>
  <c r="G476" i="8" s="1"/>
  <c r="J474" i="8"/>
  <c r="K474" i="8" s="1"/>
  <c r="J475" i="8"/>
  <c r="K475" i="8" s="1"/>
  <c r="J476" i="8"/>
  <c r="K476" i="8" s="1"/>
  <c r="J472" i="8"/>
  <c r="K472" i="8" s="1"/>
  <c r="J473" i="8"/>
  <c r="K473" i="8" s="1"/>
  <c r="L475" i="8"/>
  <c r="M475" i="8" s="1"/>
  <c r="L476" i="8"/>
  <c r="M476" i="8" s="1"/>
  <c r="L474" i="8"/>
  <c r="M474" i="8" s="1"/>
  <c r="L472" i="8"/>
  <c r="M472" i="8" s="1"/>
  <c r="M473" i="8"/>
  <c r="B479" i="8"/>
  <c r="A69" i="11" s="1"/>
  <c r="N476" i="8"/>
  <c r="O476" i="8" s="1"/>
  <c r="N472" i="8"/>
  <c r="O472" i="8" s="1"/>
  <c r="N473" i="8"/>
  <c r="O473" i="8" s="1"/>
  <c r="N474" i="8"/>
  <c r="O474" i="8" s="1"/>
  <c r="N475" i="8"/>
  <c r="O475" i="8" s="1"/>
  <c r="B472" i="8"/>
  <c r="C472" i="8" s="1"/>
  <c r="B473" i="8"/>
  <c r="C473" i="8" s="1"/>
  <c r="B474" i="8"/>
  <c r="C474" i="8" s="1"/>
  <c r="B475" i="8"/>
  <c r="C475" i="8" s="1"/>
  <c r="B476" i="8"/>
  <c r="C476" i="8" s="1"/>
  <c r="D472" i="8"/>
  <c r="E472" i="8" s="1"/>
  <c r="D473" i="8"/>
  <c r="E473" i="8" s="1"/>
  <c r="D474" i="8"/>
  <c r="E474" i="8" s="1"/>
  <c r="D475" i="8"/>
  <c r="E475" i="8" s="1"/>
  <c r="D476" i="8"/>
  <c r="E476" i="8" s="1"/>
  <c r="B459" i="8"/>
  <c r="C459" i="8" s="1"/>
  <c r="B460" i="8"/>
  <c r="C460" i="8" s="1"/>
  <c r="B461" i="8"/>
  <c r="C461" i="8" s="1"/>
  <c r="B462" i="8"/>
  <c r="C462" i="8" s="1"/>
  <c r="B463" i="8"/>
  <c r="C463" i="8" s="1"/>
  <c r="D459" i="8"/>
  <c r="E459" i="8" s="1"/>
  <c r="D460" i="8"/>
  <c r="E460" i="8" s="1"/>
  <c r="D461" i="8"/>
  <c r="E461" i="8" s="1"/>
  <c r="D462" i="8"/>
  <c r="E462" i="8" s="1"/>
  <c r="D463" i="8"/>
  <c r="E463" i="8" s="1"/>
  <c r="F459" i="8"/>
  <c r="G459" i="8" s="1"/>
  <c r="F460" i="8"/>
  <c r="G460" i="8" s="1"/>
  <c r="F461" i="8"/>
  <c r="G461" i="8" s="1"/>
  <c r="F462" i="8"/>
  <c r="G462" i="8" s="1"/>
  <c r="F463" i="8"/>
  <c r="G463" i="8" s="1"/>
  <c r="H460" i="8"/>
  <c r="I460" i="8" s="1"/>
  <c r="H461" i="8"/>
  <c r="I461" i="8" s="1"/>
  <c r="H462" i="8"/>
  <c r="I462" i="8" s="1"/>
  <c r="H463" i="8"/>
  <c r="I463" i="8" s="1"/>
  <c r="H459" i="8"/>
  <c r="I459" i="8" s="1"/>
  <c r="J461" i="8"/>
  <c r="K461" i="8" s="1"/>
  <c r="J462" i="8"/>
  <c r="K462" i="8" s="1"/>
  <c r="J463" i="8"/>
  <c r="K463" i="8" s="1"/>
  <c r="J459" i="8"/>
  <c r="K459" i="8" s="1"/>
  <c r="J460" i="8"/>
  <c r="K460" i="8" s="1"/>
  <c r="L462" i="8"/>
  <c r="M462" i="8" s="1"/>
  <c r="L463" i="8"/>
  <c r="M463" i="8" s="1"/>
  <c r="L459" i="8"/>
  <c r="M459" i="8" s="1"/>
  <c r="L460" i="8"/>
  <c r="M460" i="8" s="1"/>
  <c r="L461" i="8"/>
  <c r="M461" i="8" s="1"/>
  <c r="N463" i="8"/>
  <c r="O463" i="8" s="1"/>
  <c r="N459" i="8"/>
  <c r="O459" i="8" s="1"/>
  <c r="N460" i="8"/>
  <c r="O460" i="8" s="1"/>
  <c r="N461" i="8"/>
  <c r="O461" i="8" s="1"/>
  <c r="N462" i="8"/>
  <c r="O462" i="8" s="1"/>
  <c r="D450" i="8"/>
  <c r="E450" i="8" s="1"/>
  <c r="D451" i="8"/>
  <c r="E451" i="8" s="1"/>
  <c r="D452" i="8"/>
  <c r="E452" i="8" s="1"/>
  <c r="D453" i="8"/>
  <c r="E453" i="8" s="1"/>
  <c r="D454" i="8"/>
  <c r="E454" i="8" s="1"/>
  <c r="F450" i="8"/>
  <c r="G450" i="8" s="1"/>
  <c r="F451" i="8"/>
  <c r="G451" i="8" s="1"/>
  <c r="F452" i="8"/>
  <c r="G452" i="8" s="1"/>
  <c r="F453" i="8"/>
  <c r="G453" i="8" s="1"/>
  <c r="F454" i="8"/>
  <c r="G454" i="8" s="1"/>
  <c r="H451" i="8"/>
  <c r="I451" i="8" s="1"/>
  <c r="H452" i="8"/>
  <c r="I452" i="8" s="1"/>
  <c r="H453" i="8"/>
  <c r="I453" i="8" s="1"/>
  <c r="H454" i="8"/>
  <c r="I454" i="8" s="1"/>
  <c r="H450" i="8"/>
  <c r="I450" i="8" s="1"/>
  <c r="J452" i="8"/>
  <c r="K452" i="8" s="1"/>
  <c r="J453" i="8"/>
  <c r="K453" i="8" s="1"/>
  <c r="J454" i="8"/>
  <c r="K454" i="8" s="1"/>
  <c r="J451" i="8"/>
  <c r="K451" i="8" s="1"/>
  <c r="J450" i="8"/>
  <c r="K450" i="8" s="1"/>
  <c r="L453" i="8"/>
  <c r="M453" i="8" s="1"/>
  <c r="L454" i="8"/>
  <c r="M454" i="8" s="1"/>
  <c r="L452" i="8"/>
  <c r="M452" i="8" s="1"/>
  <c r="L450" i="8"/>
  <c r="M450" i="8" s="1"/>
  <c r="L451" i="8"/>
  <c r="M451" i="8" s="1"/>
  <c r="N454" i="8"/>
  <c r="O454" i="8" s="1"/>
  <c r="N453" i="8"/>
  <c r="O453" i="8" s="1"/>
  <c r="N450" i="8"/>
  <c r="O450" i="8" s="1"/>
  <c r="N451" i="8"/>
  <c r="O451" i="8" s="1"/>
  <c r="N452" i="8"/>
  <c r="O452" i="8" s="1"/>
  <c r="B450" i="8"/>
  <c r="C450" i="8" s="1"/>
  <c r="B451" i="8"/>
  <c r="C451" i="8" s="1"/>
  <c r="B452" i="8"/>
  <c r="C452" i="8" s="1"/>
  <c r="B453" i="8"/>
  <c r="C453" i="8" s="1"/>
  <c r="B454" i="8"/>
  <c r="C454" i="8" s="1"/>
  <c r="B414" i="8"/>
  <c r="C414" i="8" s="1"/>
  <c r="B415" i="8"/>
  <c r="C415" i="8" s="1"/>
  <c r="B416" i="8"/>
  <c r="C416" i="8" s="1"/>
  <c r="B417" i="8"/>
  <c r="C417" i="8" s="1"/>
  <c r="B418" i="8"/>
  <c r="C418" i="8" s="1"/>
  <c r="D414" i="8"/>
  <c r="E414" i="8" s="1"/>
  <c r="D415" i="8"/>
  <c r="E415" i="8" s="1"/>
  <c r="D416" i="8"/>
  <c r="E416" i="8" s="1"/>
  <c r="D417" i="8"/>
  <c r="E417" i="8" s="1"/>
  <c r="D418" i="8"/>
  <c r="E418" i="8" s="1"/>
  <c r="F414" i="8"/>
  <c r="G414" i="8" s="1"/>
  <c r="F415" i="8"/>
  <c r="G415" i="8" s="1"/>
  <c r="F416" i="8"/>
  <c r="G416" i="8" s="1"/>
  <c r="F417" i="8"/>
  <c r="G417" i="8" s="1"/>
  <c r="F418" i="8"/>
  <c r="G418" i="8" s="1"/>
  <c r="H415" i="8"/>
  <c r="I415" i="8" s="1"/>
  <c r="H416" i="8"/>
  <c r="I416" i="8" s="1"/>
  <c r="H417" i="8"/>
  <c r="I417" i="8" s="1"/>
  <c r="H418" i="8"/>
  <c r="I418" i="8" s="1"/>
  <c r="H414" i="8"/>
  <c r="I414" i="8" s="1"/>
  <c r="J416" i="8"/>
  <c r="K416" i="8" s="1"/>
  <c r="J417" i="8"/>
  <c r="K417" i="8" s="1"/>
  <c r="J418" i="8"/>
  <c r="K418" i="8" s="1"/>
  <c r="J414" i="8"/>
  <c r="K414" i="8" s="1"/>
  <c r="J415" i="8"/>
  <c r="K415" i="8" s="1"/>
  <c r="L417" i="8"/>
  <c r="M417" i="8" s="1"/>
  <c r="L418" i="8"/>
  <c r="M418" i="8" s="1"/>
  <c r="M414" i="8"/>
  <c r="L415" i="8"/>
  <c r="M415" i="8" s="1"/>
  <c r="L416" i="8"/>
  <c r="M416" i="8" s="1"/>
  <c r="B421" i="8"/>
  <c r="A61" i="11" s="1"/>
  <c r="N418" i="8"/>
  <c r="O418" i="8" s="1"/>
  <c r="N414" i="8"/>
  <c r="O414" i="8" s="1"/>
  <c r="N415" i="8"/>
  <c r="O415" i="8" s="1"/>
  <c r="N416" i="8"/>
  <c r="O416" i="8" s="1"/>
  <c r="N417" i="8"/>
  <c r="O417" i="8" s="1"/>
  <c r="B401" i="8"/>
  <c r="C401" i="8" s="1"/>
  <c r="B402" i="8"/>
  <c r="C402" i="8" s="1"/>
  <c r="B403" i="8"/>
  <c r="C403" i="8" s="1"/>
  <c r="B404" i="8"/>
  <c r="C404" i="8" s="1"/>
  <c r="B405" i="8"/>
  <c r="C405" i="8" s="1"/>
  <c r="D401" i="8"/>
  <c r="E401" i="8" s="1"/>
  <c r="D402" i="8"/>
  <c r="E402" i="8" s="1"/>
  <c r="D403" i="8"/>
  <c r="E403" i="8" s="1"/>
  <c r="D404" i="8"/>
  <c r="E404" i="8" s="1"/>
  <c r="D405" i="8"/>
  <c r="E405" i="8" s="1"/>
  <c r="F401" i="8"/>
  <c r="G401" i="8" s="1"/>
  <c r="F402" i="8"/>
  <c r="G402" i="8" s="1"/>
  <c r="F403" i="8"/>
  <c r="G403" i="8" s="1"/>
  <c r="F404" i="8"/>
  <c r="G404" i="8" s="1"/>
  <c r="F405" i="8"/>
  <c r="G405" i="8" s="1"/>
  <c r="H402" i="8"/>
  <c r="I402" i="8" s="1"/>
  <c r="H403" i="8"/>
  <c r="I403" i="8" s="1"/>
  <c r="H404" i="8"/>
  <c r="I404" i="8" s="1"/>
  <c r="H405" i="8"/>
  <c r="I405" i="8" s="1"/>
  <c r="H401" i="8"/>
  <c r="I401" i="8" s="1"/>
  <c r="J403" i="8"/>
  <c r="K403" i="8" s="1"/>
  <c r="J404" i="8"/>
  <c r="K404" i="8" s="1"/>
  <c r="J405" i="8"/>
  <c r="K405" i="8" s="1"/>
  <c r="J401" i="8"/>
  <c r="K401" i="8" s="1"/>
  <c r="J402" i="8"/>
  <c r="K402" i="8" s="1"/>
  <c r="L404" i="8"/>
  <c r="M404" i="8" s="1"/>
  <c r="L405" i="8"/>
  <c r="M405" i="8" s="1"/>
  <c r="L401" i="8"/>
  <c r="M401" i="8" s="1"/>
  <c r="L402" i="8"/>
  <c r="M402" i="8" s="1"/>
  <c r="L403" i="8"/>
  <c r="M403" i="8" s="1"/>
  <c r="N405" i="8"/>
  <c r="O405" i="8" s="1"/>
  <c r="N401" i="8"/>
  <c r="O401" i="8" s="1"/>
  <c r="N402" i="8"/>
  <c r="O402" i="8" s="1"/>
  <c r="N403" i="8"/>
  <c r="O403" i="8" s="1"/>
  <c r="N404" i="8"/>
  <c r="O404" i="8" s="1"/>
  <c r="N396" i="8"/>
  <c r="O396" i="8" s="1"/>
  <c r="N392" i="8"/>
  <c r="O392" i="8" s="1"/>
  <c r="N393" i="8"/>
  <c r="O393" i="8" s="1"/>
  <c r="N394" i="8"/>
  <c r="O394" i="8" s="1"/>
  <c r="N395" i="8"/>
  <c r="O395" i="8" s="1"/>
  <c r="L395" i="8"/>
  <c r="M395" i="8" s="1"/>
  <c r="L396" i="8"/>
  <c r="M396" i="8" s="1"/>
  <c r="L392" i="8"/>
  <c r="M392" i="8" s="1"/>
  <c r="L394" i="8"/>
  <c r="M394" i="8" s="1"/>
  <c r="L393" i="8"/>
  <c r="M393" i="8" s="1"/>
  <c r="B392" i="8"/>
  <c r="C392" i="8" s="1"/>
  <c r="B393" i="8"/>
  <c r="C393" i="8" s="1"/>
  <c r="B394" i="8"/>
  <c r="C394" i="8" s="1"/>
  <c r="B395" i="8"/>
  <c r="C395" i="8" s="1"/>
  <c r="B396" i="8"/>
  <c r="C396" i="8" s="1"/>
  <c r="D392" i="8"/>
  <c r="E392" i="8" s="1"/>
  <c r="D393" i="8"/>
  <c r="E393" i="8" s="1"/>
  <c r="D394" i="8"/>
  <c r="E394" i="8" s="1"/>
  <c r="D395" i="8"/>
  <c r="E395" i="8" s="1"/>
  <c r="D396" i="8"/>
  <c r="E396" i="8" s="1"/>
  <c r="F392" i="8"/>
  <c r="G392" i="8" s="1"/>
  <c r="F393" i="8"/>
  <c r="G393" i="8" s="1"/>
  <c r="F394" i="8"/>
  <c r="G394" i="8" s="1"/>
  <c r="F395" i="8"/>
  <c r="G395" i="8" s="1"/>
  <c r="F396" i="8"/>
  <c r="G396" i="8" s="1"/>
  <c r="H393" i="8"/>
  <c r="I393" i="8" s="1"/>
  <c r="H394" i="8"/>
  <c r="I394" i="8" s="1"/>
  <c r="H395" i="8"/>
  <c r="I395" i="8" s="1"/>
  <c r="H396" i="8"/>
  <c r="I396" i="8" s="1"/>
  <c r="H392" i="8"/>
  <c r="I392" i="8" s="1"/>
  <c r="J394" i="8"/>
  <c r="K394" i="8" s="1"/>
  <c r="J395" i="8"/>
  <c r="K395" i="8" s="1"/>
  <c r="J396" i="8"/>
  <c r="K396" i="8" s="1"/>
  <c r="J392" i="8"/>
  <c r="K392" i="8" s="1"/>
  <c r="J393" i="8"/>
  <c r="K393" i="8" s="1"/>
  <c r="B356" i="8"/>
  <c r="C356" i="8" s="1"/>
  <c r="B357" i="8"/>
  <c r="C357" i="8" s="1"/>
  <c r="B358" i="8"/>
  <c r="C358" i="8" s="1"/>
  <c r="B359" i="8"/>
  <c r="C359" i="8" s="1"/>
  <c r="B360" i="8"/>
  <c r="C360" i="8" s="1"/>
  <c r="D356" i="8"/>
  <c r="E356" i="8" s="1"/>
  <c r="D357" i="8"/>
  <c r="E357" i="8" s="1"/>
  <c r="D358" i="8"/>
  <c r="E358" i="8" s="1"/>
  <c r="D359" i="8"/>
  <c r="E359" i="8" s="1"/>
  <c r="D360" i="8"/>
  <c r="E360" i="8" s="1"/>
  <c r="F356" i="8"/>
  <c r="G356" i="8" s="1"/>
  <c r="F357" i="8"/>
  <c r="G357" i="8" s="1"/>
  <c r="F358" i="8"/>
  <c r="G358" i="8" s="1"/>
  <c r="F359" i="8"/>
  <c r="G359" i="8" s="1"/>
  <c r="F360" i="8"/>
  <c r="G360" i="8" s="1"/>
  <c r="H357" i="8"/>
  <c r="I357" i="8" s="1"/>
  <c r="H358" i="8"/>
  <c r="I358" i="8" s="1"/>
  <c r="H359" i="8"/>
  <c r="I359" i="8" s="1"/>
  <c r="H360" i="8"/>
  <c r="I360" i="8" s="1"/>
  <c r="H356" i="8"/>
  <c r="I356" i="8" s="1"/>
  <c r="J358" i="8"/>
  <c r="K358" i="8" s="1"/>
  <c r="J359" i="8"/>
  <c r="K359" i="8" s="1"/>
  <c r="J360" i="8"/>
  <c r="K360" i="8" s="1"/>
  <c r="J357" i="8"/>
  <c r="K357" i="8" s="1"/>
  <c r="J356" i="8"/>
  <c r="K356" i="8" s="1"/>
  <c r="L359" i="8"/>
  <c r="M359" i="8" s="1"/>
  <c r="L360" i="8"/>
  <c r="M360" i="8" s="1"/>
  <c r="L358" i="8"/>
  <c r="M358" i="8" s="1"/>
  <c r="L356" i="8"/>
  <c r="M356" i="8" s="1"/>
  <c r="L357" i="8"/>
  <c r="M357" i="8" s="1"/>
  <c r="B363" i="8"/>
  <c r="A53" i="11" s="1"/>
  <c r="N360" i="8"/>
  <c r="O360" i="8" s="1"/>
  <c r="N359" i="8"/>
  <c r="O359" i="8" s="1"/>
  <c r="N356" i="8"/>
  <c r="O356" i="8" s="1"/>
  <c r="N357" i="8"/>
  <c r="O357" i="8" s="1"/>
  <c r="N358" i="8"/>
  <c r="O358" i="8" s="1"/>
  <c r="J345" i="8"/>
  <c r="K345" i="8" s="1"/>
  <c r="J346" i="8"/>
  <c r="K346" i="8" s="1"/>
  <c r="J347" i="8"/>
  <c r="K347" i="8" s="1"/>
  <c r="J343" i="8"/>
  <c r="K343" i="8" s="1"/>
  <c r="J344" i="8"/>
  <c r="K344" i="8" s="1"/>
  <c r="L346" i="8"/>
  <c r="M346" i="8" s="1"/>
  <c r="L347" i="8"/>
  <c r="M347" i="8" s="1"/>
  <c r="L343" i="8"/>
  <c r="M343" i="8" s="1"/>
  <c r="L345" i="8"/>
  <c r="M345" i="8" s="1"/>
  <c r="L344" i="8"/>
  <c r="M344" i="8" s="1"/>
  <c r="N347" i="8"/>
  <c r="O347" i="8" s="1"/>
  <c r="N343" i="8"/>
  <c r="O343" i="8" s="1"/>
  <c r="N344" i="8"/>
  <c r="O344" i="8" s="1"/>
  <c r="N345" i="8"/>
  <c r="O345" i="8" s="1"/>
  <c r="N346" i="8"/>
  <c r="O346" i="8" s="1"/>
  <c r="H344" i="8"/>
  <c r="I344" i="8" s="1"/>
  <c r="H345" i="8"/>
  <c r="I345" i="8" s="1"/>
  <c r="H346" i="8"/>
  <c r="I346" i="8" s="1"/>
  <c r="H347" i="8"/>
  <c r="I347" i="8" s="1"/>
  <c r="H343" i="8"/>
  <c r="I343" i="8" s="1"/>
  <c r="B343" i="8"/>
  <c r="C343" i="8" s="1"/>
  <c r="B344" i="8"/>
  <c r="C344" i="8" s="1"/>
  <c r="B345" i="8"/>
  <c r="C345" i="8" s="1"/>
  <c r="B346" i="8"/>
  <c r="C346" i="8" s="1"/>
  <c r="B347" i="8"/>
  <c r="C347" i="8" s="1"/>
  <c r="D343" i="8"/>
  <c r="E343" i="8" s="1"/>
  <c r="D344" i="8"/>
  <c r="E344" i="8" s="1"/>
  <c r="D345" i="8"/>
  <c r="E345" i="8" s="1"/>
  <c r="D346" i="8"/>
  <c r="E346" i="8" s="1"/>
  <c r="D347" i="8"/>
  <c r="E347" i="8" s="1"/>
  <c r="F343" i="8"/>
  <c r="G343" i="8" s="1"/>
  <c r="F344" i="8"/>
  <c r="G344" i="8" s="1"/>
  <c r="F345" i="8"/>
  <c r="G345" i="8" s="1"/>
  <c r="F346" i="8"/>
  <c r="G346" i="8" s="1"/>
  <c r="F347" i="8"/>
  <c r="G347" i="8" s="1"/>
  <c r="B334" i="8"/>
  <c r="C334" i="8" s="1"/>
  <c r="B335" i="8"/>
  <c r="C335" i="8" s="1"/>
  <c r="B336" i="8"/>
  <c r="C336" i="8" s="1"/>
  <c r="B337" i="8"/>
  <c r="C337" i="8" s="1"/>
  <c r="B338" i="8"/>
  <c r="C338" i="8" s="1"/>
  <c r="D334" i="8"/>
  <c r="E334" i="8" s="1"/>
  <c r="D335" i="8"/>
  <c r="E335" i="8" s="1"/>
  <c r="D336" i="8"/>
  <c r="E336" i="8" s="1"/>
  <c r="D337" i="8"/>
  <c r="E337" i="8" s="1"/>
  <c r="D338" i="8"/>
  <c r="E338" i="8" s="1"/>
  <c r="F334" i="8"/>
  <c r="G334" i="8" s="1"/>
  <c r="F335" i="8"/>
  <c r="G335" i="8" s="1"/>
  <c r="F336" i="8"/>
  <c r="G336" i="8" s="1"/>
  <c r="F337" i="8"/>
  <c r="G337" i="8" s="1"/>
  <c r="F338" i="8"/>
  <c r="G338" i="8" s="1"/>
  <c r="H335" i="8"/>
  <c r="I335" i="8" s="1"/>
  <c r="H336" i="8"/>
  <c r="I336" i="8" s="1"/>
  <c r="H337" i="8"/>
  <c r="I337" i="8" s="1"/>
  <c r="H338" i="8"/>
  <c r="I338" i="8" s="1"/>
  <c r="H334" i="8"/>
  <c r="I334" i="8" s="1"/>
  <c r="J336" i="8"/>
  <c r="K336" i="8" s="1"/>
  <c r="J337" i="8"/>
  <c r="K337" i="8" s="1"/>
  <c r="J338" i="8"/>
  <c r="K338" i="8" s="1"/>
  <c r="J335" i="8"/>
  <c r="K335" i="8" s="1"/>
  <c r="J334" i="8"/>
  <c r="K334" i="8" s="1"/>
  <c r="L337" i="8"/>
  <c r="M337" i="8" s="1"/>
  <c r="L338" i="8"/>
  <c r="M338" i="8" s="1"/>
  <c r="L334" i="8"/>
  <c r="M334" i="8" s="1"/>
  <c r="L335" i="8"/>
  <c r="M335" i="8" s="1"/>
  <c r="L336" i="8"/>
  <c r="M336" i="8" s="1"/>
  <c r="N338" i="8"/>
  <c r="O338" i="8" s="1"/>
  <c r="N334" i="8"/>
  <c r="O334" i="8" s="1"/>
  <c r="N335" i="8"/>
  <c r="O335" i="8" s="1"/>
  <c r="N336" i="8"/>
  <c r="O336" i="8" s="1"/>
  <c r="N337" i="8"/>
  <c r="O337" i="8" s="1"/>
  <c r="H299" i="8"/>
  <c r="I299" i="8" s="1"/>
  <c r="H300" i="8"/>
  <c r="I300" i="8" s="1"/>
  <c r="H301" i="8"/>
  <c r="I301" i="8" s="1"/>
  <c r="H302" i="8"/>
  <c r="I302" i="8" s="1"/>
  <c r="H298" i="8"/>
  <c r="I298" i="8" s="1"/>
  <c r="J300" i="8"/>
  <c r="K300" i="8" s="1"/>
  <c r="J299" i="8"/>
  <c r="K299" i="8" s="1"/>
  <c r="J301" i="8"/>
  <c r="K301" i="8" s="1"/>
  <c r="J302" i="8"/>
  <c r="K302" i="8" s="1"/>
  <c r="J298" i="8"/>
  <c r="K298" i="8" s="1"/>
  <c r="L301" i="8"/>
  <c r="M301" i="8" s="1"/>
  <c r="L302" i="8"/>
  <c r="M302" i="8" s="1"/>
  <c r="L298" i="8"/>
  <c r="M298" i="8" s="1"/>
  <c r="L299" i="8"/>
  <c r="M299" i="8" s="1"/>
  <c r="L300" i="8"/>
  <c r="M300" i="8" s="1"/>
  <c r="B305" i="8"/>
  <c r="A45" i="11" s="1"/>
  <c r="N302" i="8"/>
  <c r="O302" i="8" s="1"/>
  <c r="N298" i="8"/>
  <c r="O298" i="8" s="1"/>
  <c r="N299" i="8"/>
  <c r="O299" i="8" s="1"/>
  <c r="N300" i="8"/>
  <c r="O300" i="8" s="1"/>
  <c r="N301" i="8"/>
  <c r="O301" i="8" s="1"/>
  <c r="F298" i="8"/>
  <c r="G298" i="8" s="1"/>
  <c r="F299" i="8"/>
  <c r="G299" i="8" s="1"/>
  <c r="F300" i="8"/>
  <c r="G300" i="8" s="1"/>
  <c r="F301" i="8"/>
  <c r="G301" i="8" s="1"/>
  <c r="F302" i="8"/>
  <c r="G302" i="8" s="1"/>
  <c r="D298" i="8"/>
  <c r="E298" i="8" s="1"/>
  <c r="D299" i="8"/>
  <c r="E299" i="8" s="1"/>
  <c r="D300" i="8"/>
  <c r="E300" i="8" s="1"/>
  <c r="D301" i="8"/>
  <c r="E301" i="8" s="1"/>
  <c r="D302" i="8"/>
  <c r="E302" i="8" s="1"/>
  <c r="B298" i="8"/>
  <c r="C298" i="8" s="1"/>
  <c r="B299" i="8"/>
  <c r="C299" i="8" s="1"/>
  <c r="B300" i="8"/>
  <c r="C300" i="8" s="1"/>
  <c r="B301" i="8"/>
  <c r="C301" i="8" s="1"/>
  <c r="B302" i="8"/>
  <c r="C302" i="8" s="1"/>
  <c r="B285" i="8"/>
  <c r="C285" i="8" s="1"/>
  <c r="B286" i="8"/>
  <c r="C286" i="8" s="1"/>
  <c r="B287" i="8"/>
  <c r="C287" i="8" s="1"/>
  <c r="B288" i="8"/>
  <c r="C288" i="8" s="1"/>
  <c r="B289" i="8"/>
  <c r="C289" i="8" s="1"/>
  <c r="D285" i="8"/>
  <c r="E285" i="8" s="1"/>
  <c r="D286" i="8"/>
  <c r="E286" i="8" s="1"/>
  <c r="D287" i="8"/>
  <c r="E287" i="8" s="1"/>
  <c r="D288" i="8"/>
  <c r="E288" i="8" s="1"/>
  <c r="D289" i="8"/>
  <c r="E289" i="8" s="1"/>
  <c r="F285" i="8"/>
  <c r="G285" i="8" s="1"/>
  <c r="F286" i="8"/>
  <c r="G286" i="8" s="1"/>
  <c r="F287" i="8"/>
  <c r="G287" i="8" s="1"/>
  <c r="F288" i="8"/>
  <c r="G288" i="8" s="1"/>
  <c r="F289" i="8"/>
  <c r="G289" i="8" s="1"/>
  <c r="H286" i="8"/>
  <c r="I286" i="8" s="1"/>
  <c r="H287" i="8"/>
  <c r="I287" i="8" s="1"/>
  <c r="H288" i="8"/>
  <c r="I288" i="8" s="1"/>
  <c r="H289" i="8"/>
  <c r="I289" i="8" s="1"/>
  <c r="H285" i="8"/>
  <c r="I285" i="8" s="1"/>
  <c r="J287" i="8"/>
  <c r="K287" i="8" s="1"/>
  <c r="J288" i="8"/>
  <c r="K288" i="8" s="1"/>
  <c r="J289" i="8"/>
  <c r="K289" i="8" s="1"/>
  <c r="J286" i="8"/>
  <c r="K286" i="8" s="1"/>
  <c r="J285" i="8"/>
  <c r="K285" i="8" s="1"/>
  <c r="L288" i="8"/>
  <c r="M288" i="8" s="1"/>
  <c r="L289" i="8"/>
  <c r="M289" i="8" s="1"/>
  <c r="L285" i="8"/>
  <c r="M285" i="8" s="1"/>
  <c r="L286" i="8"/>
  <c r="M286" i="8" s="1"/>
  <c r="L287" i="8"/>
  <c r="M287" i="8" s="1"/>
  <c r="N289" i="8"/>
  <c r="O289" i="8" s="1"/>
  <c r="N285" i="8"/>
  <c r="O285" i="8" s="1"/>
  <c r="N286" i="8"/>
  <c r="O286" i="8" s="1"/>
  <c r="N287" i="8"/>
  <c r="O287" i="8" s="1"/>
  <c r="N288" i="8"/>
  <c r="O288" i="8" s="1"/>
  <c r="B276" i="8"/>
  <c r="C276" i="8" s="1"/>
  <c r="B277" i="8"/>
  <c r="C277" i="8" s="1"/>
  <c r="B278" i="8"/>
  <c r="C278" i="8" s="1"/>
  <c r="B279" i="8"/>
  <c r="C279" i="8" s="1"/>
  <c r="B280" i="8"/>
  <c r="C280" i="8" s="1"/>
  <c r="H277" i="8"/>
  <c r="I277" i="8" s="1"/>
  <c r="H278" i="8"/>
  <c r="I278" i="8" s="1"/>
  <c r="H279" i="8"/>
  <c r="I279" i="8" s="1"/>
  <c r="H280" i="8"/>
  <c r="I280" i="8" s="1"/>
  <c r="H276" i="8"/>
  <c r="I276" i="8" s="1"/>
  <c r="D276" i="8"/>
  <c r="E276" i="8" s="1"/>
  <c r="D277" i="8"/>
  <c r="E277" i="8" s="1"/>
  <c r="D278" i="8"/>
  <c r="E278" i="8" s="1"/>
  <c r="D279" i="8"/>
  <c r="E279" i="8" s="1"/>
  <c r="D280" i="8"/>
  <c r="E280" i="8" s="1"/>
  <c r="F276" i="8"/>
  <c r="G276" i="8" s="1"/>
  <c r="F277" i="8"/>
  <c r="G277" i="8" s="1"/>
  <c r="F278" i="8"/>
  <c r="G278" i="8" s="1"/>
  <c r="F279" i="8"/>
  <c r="G279" i="8" s="1"/>
  <c r="F280" i="8"/>
  <c r="G280" i="8" s="1"/>
  <c r="J278" i="8"/>
  <c r="K278" i="8" s="1"/>
  <c r="J279" i="8"/>
  <c r="K279" i="8" s="1"/>
  <c r="J280" i="8"/>
  <c r="K280" i="8" s="1"/>
  <c r="J276" i="8"/>
  <c r="K276" i="8" s="1"/>
  <c r="J277" i="8"/>
  <c r="K277" i="8" s="1"/>
  <c r="L279" i="8"/>
  <c r="M279" i="8" s="1"/>
  <c r="L280" i="8"/>
  <c r="M280" i="8" s="1"/>
  <c r="M276" i="8"/>
  <c r="L277" i="8"/>
  <c r="M277" i="8" s="1"/>
  <c r="L278" i="8"/>
  <c r="M278" i="8" s="1"/>
  <c r="N280" i="8"/>
  <c r="O280" i="8" s="1"/>
  <c r="N277" i="8"/>
  <c r="O277" i="8" s="1"/>
  <c r="N276" i="8"/>
  <c r="O276" i="8" s="1"/>
  <c r="N278" i="8"/>
  <c r="O278" i="8" s="1"/>
  <c r="N279" i="8"/>
  <c r="O279" i="8" s="1"/>
  <c r="B247" i="8"/>
  <c r="A37" i="11" s="1"/>
  <c r="N244" i="8"/>
  <c r="O244" i="8" s="1"/>
  <c r="N240" i="8"/>
  <c r="O240" i="8" s="1"/>
  <c r="N241" i="8"/>
  <c r="O241" i="8" s="1"/>
  <c r="N242" i="8"/>
  <c r="O242" i="8" s="1"/>
  <c r="N243" i="8"/>
  <c r="O243" i="8" s="1"/>
  <c r="B240" i="8"/>
  <c r="C240" i="8" s="1"/>
  <c r="B241" i="8"/>
  <c r="C241" i="8" s="1"/>
  <c r="B242" i="8"/>
  <c r="C242" i="8" s="1"/>
  <c r="B243" i="8"/>
  <c r="C243" i="8" s="1"/>
  <c r="B244" i="8"/>
  <c r="C244" i="8" s="1"/>
  <c r="D240" i="8"/>
  <c r="E240" i="8" s="1"/>
  <c r="D241" i="8"/>
  <c r="E241" i="8" s="1"/>
  <c r="D242" i="8"/>
  <c r="E242" i="8" s="1"/>
  <c r="D243" i="8"/>
  <c r="E243" i="8" s="1"/>
  <c r="D244" i="8"/>
  <c r="E244" i="8" s="1"/>
  <c r="F240" i="8"/>
  <c r="G240" i="8" s="1"/>
  <c r="F241" i="8"/>
  <c r="G241" i="8" s="1"/>
  <c r="F242" i="8"/>
  <c r="G242" i="8" s="1"/>
  <c r="F243" i="8"/>
  <c r="G243" i="8" s="1"/>
  <c r="F244" i="8"/>
  <c r="G244" i="8" s="1"/>
  <c r="L243" i="8"/>
  <c r="M243" i="8" s="1"/>
  <c r="L244" i="8"/>
  <c r="M244" i="8" s="1"/>
  <c r="L240" i="8"/>
  <c r="M240" i="8" s="1"/>
  <c r="L241" i="8"/>
  <c r="M241" i="8" s="1"/>
  <c r="L242" i="8"/>
  <c r="M242" i="8" s="1"/>
  <c r="H241" i="8"/>
  <c r="I241" i="8" s="1"/>
  <c r="H242" i="8"/>
  <c r="I242" i="8" s="1"/>
  <c r="H243" i="8"/>
  <c r="I243" i="8" s="1"/>
  <c r="H244" i="8"/>
  <c r="I244" i="8" s="1"/>
  <c r="H240" i="8"/>
  <c r="I240" i="8" s="1"/>
  <c r="J242" i="8"/>
  <c r="K242" i="8" s="1"/>
  <c r="J243" i="8"/>
  <c r="K243" i="8" s="1"/>
  <c r="J244" i="8"/>
  <c r="K244" i="8" s="1"/>
  <c r="J240" i="8"/>
  <c r="K240" i="8" s="1"/>
  <c r="J241" i="8"/>
  <c r="K241" i="8" s="1"/>
  <c r="B227" i="8"/>
  <c r="C227" i="8" s="1"/>
  <c r="B228" i="8"/>
  <c r="C228" i="8" s="1"/>
  <c r="B229" i="8"/>
  <c r="C229" i="8" s="1"/>
  <c r="B230" i="8"/>
  <c r="C230" i="8" s="1"/>
  <c r="B231" i="8"/>
  <c r="C231" i="8" s="1"/>
  <c r="D227" i="8"/>
  <c r="E227" i="8" s="1"/>
  <c r="D228" i="8"/>
  <c r="E228" i="8" s="1"/>
  <c r="D229" i="8"/>
  <c r="E229" i="8" s="1"/>
  <c r="D230" i="8"/>
  <c r="E230" i="8" s="1"/>
  <c r="D231" i="8"/>
  <c r="E231" i="8" s="1"/>
  <c r="F227" i="8"/>
  <c r="G227" i="8" s="1"/>
  <c r="F228" i="8"/>
  <c r="G228" i="8" s="1"/>
  <c r="F229" i="8"/>
  <c r="G229" i="8" s="1"/>
  <c r="F230" i="8"/>
  <c r="G230" i="8" s="1"/>
  <c r="F231" i="8"/>
  <c r="G231" i="8" s="1"/>
  <c r="H228" i="8"/>
  <c r="I228" i="8" s="1"/>
  <c r="H229" i="8"/>
  <c r="I229" i="8" s="1"/>
  <c r="H230" i="8"/>
  <c r="I230" i="8" s="1"/>
  <c r="H231" i="8"/>
  <c r="I231" i="8" s="1"/>
  <c r="H227" i="8"/>
  <c r="I227" i="8" s="1"/>
  <c r="J229" i="8"/>
  <c r="K229" i="8" s="1"/>
  <c r="J230" i="8"/>
  <c r="K230" i="8" s="1"/>
  <c r="J231" i="8"/>
  <c r="K231" i="8" s="1"/>
  <c r="J228" i="8"/>
  <c r="K228" i="8" s="1"/>
  <c r="J227" i="8"/>
  <c r="K227" i="8" s="1"/>
  <c r="L230" i="8"/>
  <c r="M230" i="8" s="1"/>
  <c r="L231" i="8"/>
  <c r="M231" i="8" s="1"/>
  <c r="L227" i="8"/>
  <c r="M227" i="8" s="1"/>
  <c r="L229" i="8"/>
  <c r="M229" i="8" s="1"/>
  <c r="L228" i="8"/>
  <c r="M228" i="8" s="1"/>
  <c r="N231" i="8"/>
  <c r="O231" i="8" s="1"/>
  <c r="N227" i="8"/>
  <c r="O227" i="8" s="1"/>
  <c r="N228" i="8"/>
  <c r="O228" i="8" s="1"/>
  <c r="N229" i="8"/>
  <c r="O229" i="8" s="1"/>
  <c r="N230" i="8"/>
  <c r="O230" i="8" s="1"/>
  <c r="J220" i="8"/>
  <c r="K220" i="8" s="1"/>
  <c r="J221" i="8"/>
  <c r="K221" i="8" s="1"/>
  <c r="J222" i="8"/>
  <c r="K222" i="8" s="1"/>
  <c r="J218" i="8"/>
  <c r="K218" i="8" s="1"/>
  <c r="J219" i="8"/>
  <c r="K219" i="8" s="1"/>
  <c r="L221" i="8"/>
  <c r="M221" i="8" s="1"/>
  <c r="L222" i="8"/>
  <c r="M222" i="8" s="1"/>
  <c r="M218" i="8"/>
  <c r="L219" i="8"/>
  <c r="M219" i="8" s="1"/>
  <c r="L220" i="8"/>
  <c r="M220" i="8" s="1"/>
  <c r="N222" i="8"/>
  <c r="O222" i="8" s="1"/>
  <c r="N219" i="8"/>
  <c r="O219" i="8" s="1"/>
  <c r="N218" i="8"/>
  <c r="O218" i="8" s="1"/>
  <c r="N220" i="8"/>
  <c r="O220" i="8" s="1"/>
  <c r="N221" i="8"/>
  <c r="O221" i="8" s="1"/>
  <c r="H219" i="8"/>
  <c r="I219" i="8" s="1"/>
  <c r="H220" i="8"/>
  <c r="I220" i="8" s="1"/>
  <c r="H221" i="8"/>
  <c r="I221" i="8" s="1"/>
  <c r="H222" i="8"/>
  <c r="I222" i="8" s="1"/>
  <c r="H218" i="8"/>
  <c r="I218" i="8" s="1"/>
  <c r="B218" i="8"/>
  <c r="C218" i="8" s="1"/>
  <c r="B219" i="8"/>
  <c r="C219" i="8" s="1"/>
  <c r="B221" i="8"/>
  <c r="C221" i="8" s="1"/>
  <c r="B220" i="8"/>
  <c r="C220" i="8" s="1"/>
  <c r="B222" i="8"/>
  <c r="C222" i="8" s="1"/>
  <c r="D218" i="8"/>
  <c r="E218" i="8" s="1"/>
  <c r="D219" i="8"/>
  <c r="E219" i="8" s="1"/>
  <c r="D220" i="8"/>
  <c r="E220" i="8" s="1"/>
  <c r="D221" i="8"/>
  <c r="E221" i="8" s="1"/>
  <c r="D222" i="8"/>
  <c r="E222" i="8" s="1"/>
  <c r="F218" i="8"/>
  <c r="G218" i="8" s="1"/>
  <c r="F219" i="8"/>
  <c r="G219" i="8" s="1"/>
  <c r="F220" i="8"/>
  <c r="G220" i="8" s="1"/>
  <c r="F221" i="8"/>
  <c r="G221" i="8" s="1"/>
  <c r="F222" i="8"/>
  <c r="G222" i="8" s="1"/>
  <c r="B182" i="8"/>
  <c r="C182" i="8" s="1"/>
  <c r="B183" i="8"/>
  <c r="C183" i="8" s="1"/>
  <c r="B184" i="8"/>
  <c r="C184" i="8" s="1"/>
  <c r="B185" i="8"/>
  <c r="C185" i="8" s="1"/>
  <c r="B186" i="8"/>
  <c r="C186" i="8" s="1"/>
  <c r="D182" i="8"/>
  <c r="E182" i="8" s="1"/>
  <c r="D183" i="8"/>
  <c r="E183" i="8" s="1"/>
  <c r="D184" i="8"/>
  <c r="E184" i="8" s="1"/>
  <c r="D185" i="8"/>
  <c r="E185" i="8" s="1"/>
  <c r="D186" i="8"/>
  <c r="E186" i="8" s="1"/>
  <c r="F182" i="8"/>
  <c r="G182" i="8" s="1"/>
  <c r="F183" i="8"/>
  <c r="G183" i="8" s="1"/>
  <c r="F184" i="8"/>
  <c r="G184" i="8" s="1"/>
  <c r="F185" i="8"/>
  <c r="G185" i="8" s="1"/>
  <c r="F186" i="8"/>
  <c r="G186" i="8" s="1"/>
  <c r="H182" i="8"/>
  <c r="I182" i="8" s="1"/>
  <c r="H183" i="8"/>
  <c r="I183" i="8" s="1"/>
  <c r="H184" i="8"/>
  <c r="I184" i="8" s="1"/>
  <c r="H185" i="8"/>
  <c r="I185" i="8" s="1"/>
  <c r="H186" i="8"/>
  <c r="I186" i="8" s="1"/>
  <c r="J184" i="8"/>
  <c r="K184" i="8" s="1"/>
  <c r="J185" i="8"/>
  <c r="K185" i="8" s="1"/>
  <c r="J183" i="8"/>
  <c r="K183" i="8" s="1"/>
  <c r="J186" i="8"/>
  <c r="K186" i="8" s="1"/>
  <c r="J182" i="8"/>
  <c r="K182" i="8" s="1"/>
  <c r="L185" i="8"/>
  <c r="M185" i="8" s="1"/>
  <c r="L186" i="8"/>
  <c r="M186" i="8" s="1"/>
  <c r="L184" i="8"/>
  <c r="M184" i="8" s="1"/>
  <c r="M182" i="8"/>
  <c r="L183" i="8"/>
  <c r="M183" i="8" s="1"/>
  <c r="B189" i="8"/>
  <c r="A29" i="11" s="1"/>
  <c r="N186" i="8"/>
  <c r="O186" i="8" s="1"/>
  <c r="N185" i="8"/>
  <c r="O185" i="8" s="1"/>
  <c r="N182" i="8"/>
  <c r="O182" i="8" s="1"/>
  <c r="N183" i="8"/>
  <c r="O183" i="8" s="1"/>
  <c r="N184" i="8"/>
  <c r="O184" i="8" s="1"/>
  <c r="F169" i="8"/>
  <c r="G169" i="8" s="1"/>
  <c r="F170" i="8"/>
  <c r="G170" i="8" s="1"/>
  <c r="F171" i="8"/>
  <c r="G171" i="8" s="1"/>
  <c r="F172" i="8"/>
  <c r="G172" i="8" s="1"/>
  <c r="F173" i="8"/>
  <c r="G173" i="8" s="1"/>
  <c r="H169" i="8"/>
  <c r="I169" i="8" s="1"/>
  <c r="H170" i="8"/>
  <c r="I170" i="8" s="1"/>
  <c r="H171" i="8"/>
  <c r="I171" i="8" s="1"/>
  <c r="H172" i="8"/>
  <c r="I172" i="8" s="1"/>
  <c r="H173" i="8"/>
  <c r="I173" i="8" s="1"/>
  <c r="J171" i="8"/>
  <c r="K171" i="8" s="1"/>
  <c r="J172" i="8"/>
  <c r="K172" i="8" s="1"/>
  <c r="J173" i="8"/>
  <c r="K173" i="8" s="1"/>
  <c r="J169" i="8"/>
  <c r="K169" i="8" s="1"/>
  <c r="J170" i="8"/>
  <c r="K170" i="8" s="1"/>
  <c r="L172" i="8"/>
  <c r="M172" i="8" s="1"/>
  <c r="L173" i="8"/>
  <c r="M173" i="8" s="1"/>
  <c r="L169" i="8"/>
  <c r="M169" i="8" s="1"/>
  <c r="L171" i="8"/>
  <c r="M171" i="8" s="1"/>
  <c r="L170" i="8"/>
  <c r="M170" i="8" s="1"/>
  <c r="N173" i="8"/>
  <c r="O173" i="8" s="1"/>
  <c r="N172" i="8"/>
  <c r="O172" i="8" s="1"/>
  <c r="N169" i="8"/>
  <c r="O169" i="8" s="1"/>
  <c r="N170" i="8"/>
  <c r="O170" i="8" s="1"/>
  <c r="N171" i="8"/>
  <c r="O171" i="8" s="1"/>
  <c r="D169" i="8"/>
  <c r="E169" i="8" s="1"/>
  <c r="D170" i="8"/>
  <c r="E170" i="8" s="1"/>
  <c r="D171" i="8"/>
  <c r="E171" i="8" s="1"/>
  <c r="D172" i="8"/>
  <c r="E172" i="8" s="1"/>
  <c r="D173" i="8"/>
  <c r="E173" i="8" s="1"/>
  <c r="B169" i="8"/>
  <c r="C169" i="8" s="1"/>
  <c r="B170" i="8"/>
  <c r="C170" i="8" s="1"/>
  <c r="B171" i="8"/>
  <c r="C171" i="8" s="1"/>
  <c r="B172" i="8"/>
  <c r="C172" i="8" s="1"/>
  <c r="B173" i="8"/>
  <c r="C173" i="8" s="1"/>
  <c r="B160" i="8"/>
  <c r="C160" i="8" s="1"/>
  <c r="B161" i="8"/>
  <c r="C161" i="8" s="1"/>
  <c r="B162" i="8"/>
  <c r="C162" i="8" s="1"/>
  <c r="B163" i="8"/>
  <c r="C163" i="8" s="1"/>
  <c r="B164" i="8"/>
  <c r="C164" i="8" s="1"/>
  <c r="D160" i="8"/>
  <c r="E160" i="8" s="1"/>
  <c r="D161" i="8"/>
  <c r="E161" i="8" s="1"/>
  <c r="D162" i="8"/>
  <c r="E162" i="8" s="1"/>
  <c r="D163" i="8"/>
  <c r="E163" i="8" s="1"/>
  <c r="D164" i="8"/>
  <c r="E164" i="8" s="1"/>
  <c r="F160" i="8"/>
  <c r="G160" i="8" s="1"/>
  <c r="F161" i="8"/>
  <c r="G161" i="8" s="1"/>
  <c r="F162" i="8"/>
  <c r="G162" i="8" s="1"/>
  <c r="F163" i="8"/>
  <c r="G163" i="8" s="1"/>
  <c r="F164" i="8"/>
  <c r="G164" i="8" s="1"/>
  <c r="H161" i="8"/>
  <c r="I161" i="8" s="1"/>
  <c r="H162" i="8"/>
  <c r="I162" i="8" s="1"/>
  <c r="H163" i="8"/>
  <c r="I163" i="8" s="1"/>
  <c r="H164" i="8"/>
  <c r="I164" i="8" s="1"/>
  <c r="H160" i="8"/>
  <c r="I160" i="8" s="1"/>
  <c r="J162" i="8"/>
  <c r="K162" i="8" s="1"/>
  <c r="J163" i="8"/>
  <c r="K163" i="8" s="1"/>
  <c r="J164" i="8"/>
  <c r="K164" i="8" s="1"/>
  <c r="J161" i="8"/>
  <c r="K161" i="8" s="1"/>
  <c r="J160" i="8"/>
  <c r="K160" i="8" s="1"/>
  <c r="L163" i="8"/>
  <c r="M163" i="8" s="1"/>
  <c r="L164" i="8"/>
  <c r="M164" i="8" s="1"/>
  <c r="L160" i="8"/>
  <c r="M160" i="8" s="1"/>
  <c r="L162" i="8"/>
  <c r="M162" i="8" s="1"/>
  <c r="L161" i="8"/>
  <c r="M161" i="8" s="1"/>
  <c r="N164" i="8"/>
  <c r="O164" i="8" s="1"/>
  <c r="N163" i="8"/>
  <c r="O163" i="8" s="1"/>
  <c r="N160" i="8"/>
  <c r="O160" i="8" s="1"/>
  <c r="N161" i="8"/>
  <c r="O161" i="8" s="1"/>
  <c r="N162" i="8"/>
  <c r="O162" i="8" s="1"/>
  <c r="B124" i="8"/>
  <c r="C124" i="8" s="1"/>
  <c r="B125" i="8"/>
  <c r="C125" i="8" s="1"/>
  <c r="B126" i="8"/>
  <c r="C126" i="8" s="1"/>
  <c r="B127" i="8"/>
  <c r="C127" i="8" s="1"/>
  <c r="B128" i="8"/>
  <c r="C128" i="8" s="1"/>
  <c r="D124" i="8"/>
  <c r="E124" i="8" s="1"/>
  <c r="D125" i="8"/>
  <c r="E125" i="8" s="1"/>
  <c r="D126" i="8"/>
  <c r="E126" i="8" s="1"/>
  <c r="D127" i="8"/>
  <c r="E127" i="8" s="1"/>
  <c r="D128" i="8"/>
  <c r="E128" i="8" s="1"/>
  <c r="F124" i="8"/>
  <c r="G124" i="8" s="1"/>
  <c r="F125" i="8"/>
  <c r="G125" i="8" s="1"/>
  <c r="F126" i="8"/>
  <c r="G126" i="8" s="1"/>
  <c r="F127" i="8"/>
  <c r="G127" i="8" s="1"/>
  <c r="F128" i="8"/>
  <c r="G128" i="8" s="1"/>
  <c r="J126" i="8"/>
  <c r="K126" i="8" s="1"/>
  <c r="J127" i="8"/>
  <c r="K127" i="8" s="1"/>
  <c r="J128" i="8"/>
  <c r="K128" i="8" s="1"/>
  <c r="J125" i="8"/>
  <c r="K125" i="8" s="1"/>
  <c r="J124" i="8"/>
  <c r="K124" i="8" s="1"/>
  <c r="H125" i="8"/>
  <c r="I125" i="8" s="1"/>
  <c r="H126" i="8"/>
  <c r="I126" i="8" s="1"/>
  <c r="H127" i="8"/>
  <c r="I127" i="8" s="1"/>
  <c r="H128" i="8"/>
  <c r="I128" i="8" s="1"/>
  <c r="H124" i="8"/>
  <c r="I124" i="8" s="1"/>
  <c r="L127" i="8"/>
  <c r="M127" i="8" s="1"/>
  <c r="L128" i="8"/>
  <c r="M128" i="8" s="1"/>
  <c r="M124" i="8"/>
  <c r="L125" i="8"/>
  <c r="M125" i="8" s="1"/>
  <c r="L126" i="8"/>
  <c r="M126" i="8" s="1"/>
  <c r="B131" i="8"/>
  <c r="A21" i="11" s="1"/>
  <c r="N128" i="8"/>
  <c r="O128" i="8" s="1"/>
  <c r="N124" i="8"/>
  <c r="O124" i="8" s="1"/>
  <c r="N125" i="8"/>
  <c r="O125" i="8" s="1"/>
  <c r="N126" i="8"/>
  <c r="O126" i="8" s="1"/>
  <c r="N127" i="8"/>
  <c r="O127" i="8" s="1"/>
  <c r="B111" i="8"/>
  <c r="C111" i="8" s="1"/>
  <c r="B112" i="8"/>
  <c r="C112" i="8" s="1"/>
  <c r="B113" i="8"/>
  <c r="C113" i="8" s="1"/>
  <c r="B114" i="8"/>
  <c r="C114" i="8" s="1"/>
  <c r="B115" i="8"/>
  <c r="C115" i="8" s="1"/>
  <c r="D111" i="8"/>
  <c r="E111" i="8" s="1"/>
  <c r="D112" i="8"/>
  <c r="E112" i="8" s="1"/>
  <c r="D113" i="8"/>
  <c r="E113" i="8" s="1"/>
  <c r="D114" i="8"/>
  <c r="E114" i="8" s="1"/>
  <c r="D115" i="8"/>
  <c r="E115" i="8" s="1"/>
  <c r="F111" i="8"/>
  <c r="G111" i="8" s="1"/>
  <c r="F112" i="8"/>
  <c r="G112" i="8" s="1"/>
  <c r="F113" i="8"/>
  <c r="G113" i="8" s="1"/>
  <c r="F114" i="8"/>
  <c r="G114" i="8" s="1"/>
  <c r="F115" i="8"/>
  <c r="G115" i="8" s="1"/>
  <c r="H112" i="8"/>
  <c r="I112" i="8" s="1"/>
  <c r="H113" i="8"/>
  <c r="I113" i="8" s="1"/>
  <c r="H114" i="8"/>
  <c r="I114" i="8" s="1"/>
  <c r="H115" i="8"/>
  <c r="I115" i="8" s="1"/>
  <c r="H111" i="8"/>
  <c r="I111" i="8" s="1"/>
  <c r="J113" i="8"/>
  <c r="K113" i="8" s="1"/>
  <c r="J114" i="8"/>
  <c r="K114" i="8" s="1"/>
  <c r="J115" i="8"/>
  <c r="K115" i="8" s="1"/>
  <c r="J111" i="8"/>
  <c r="K111" i="8" s="1"/>
  <c r="J112" i="8"/>
  <c r="K112" i="8" s="1"/>
  <c r="L114" i="8"/>
  <c r="M114" i="8" s="1"/>
  <c r="L115" i="8"/>
  <c r="M115" i="8" s="1"/>
  <c r="L111" i="8"/>
  <c r="M111" i="8" s="1"/>
  <c r="L113" i="8"/>
  <c r="M113" i="8" s="1"/>
  <c r="L112" i="8"/>
  <c r="M112" i="8" s="1"/>
  <c r="N115" i="8"/>
  <c r="O115" i="8" s="1"/>
  <c r="N111" i="8"/>
  <c r="O111" i="8" s="1"/>
  <c r="N112" i="8"/>
  <c r="O112" i="8" s="1"/>
  <c r="N113" i="8"/>
  <c r="O113" i="8" s="1"/>
  <c r="N114" i="8"/>
  <c r="O114" i="8" s="1"/>
  <c r="B102" i="8"/>
  <c r="C102" i="8" s="1"/>
  <c r="B103" i="8"/>
  <c r="C103" i="8" s="1"/>
  <c r="B104" i="8"/>
  <c r="C104" i="8" s="1"/>
  <c r="B105" i="8"/>
  <c r="C105" i="8" s="1"/>
  <c r="B106" i="8"/>
  <c r="C106" i="8" s="1"/>
  <c r="D102" i="8"/>
  <c r="E102" i="8" s="1"/>
  <c r="D103" i="8"/>
  <c r="E103" i="8" s="1"/>
  <c r="D104" i="8"/>
  <c r="E104" i="8" s="1"/>
  <c r="D105" i="8"/>
  <c r="E105" i="8" s="1"/>
  <c r="D106" i="8"/>
  <c r="E106" i="8" s="1"/>
  <c r="N106" i="8"/>
  <c r="O106" i="8" s="1"/>
  <c r="N102" i="8"/>
  <c r="O102" i="8" s="1"/>
  <c r="N103" i="8"/>
  <c r="O103" i="8" s="1"/>
  <c r="N104" i="8"/>
  <c r="O104" i="8" s="1"/>
  <c r="N105" i="8"/>
  <c r="O105" i="8" s="1"/>
  <c r="F102" i="8"/>
  <c r="G102" i="8" s="1"/>
  <c r="F103" i="8"/>
  <c r="G103" i="8" s="1"/>
  <c r="F104" i="8"/>
  <c r="G104" i="8" s="1"/>
  <c r="F105" i="8"/>
  <c r="G105" i="8" s="1"/>
  <c r="F106" i="8"/>
  <c r="G106" i="8" s="1"/>
  <c r="H103" i="8"/>
  <c r="I103" i="8" s="1"/>
  <c r="H104" i="8"/>
  <c r="I104" i="8" s="1"/>
  <c r="H105" i="8"/>
  <c r="I105" i="8" s="1"/>
  <c r="H106" i="8"/>
  <c r="I106" i="8" s="1"/>
  <c r="H102" i="8"/>
  <c r="I102" i="8" s="1"/>
  <c r="J104" i="8"/>
  <c r="K104" i="8" s="1"/>
  <c r="J105" i="8"/>
  <c r="K105" i="8" s="1"/>
  <c r="J106" i="8"/>
  <c r="K106" i="8" s="1"/>
  <c r="J102" i="8"/>
  <c r="K102" i="8" s="1"/>
  <c r="J103" i="8"/>
  <c r="K103" i="8" s="1"/>
  <c r="L105" i="8"/>
  <c r="M105" i="8" s="1"/>
  <c r="L106" i="8"/>
  <c r="M106" i="8" s="1"/>
  <c r="L104" i="8"/>
  <c r="M104" i="8" s="1"/>
  <c r="L102" i="8"/>
  <c r="M102" i="8" s="1"/>
  <c r="L103" i="8"/>
  <c r="M103" i="8" s="1"/>
  <c r="F66" i="8"/>
  <c r="G66" i="8" s="1"/>
  <c r="F67" i="8"/>
  <c r="G67" i="8" s="1"/>
  <c r="F68" i="8"/>
  <c r="G68" i="8" s="1"/>
  <c r="F69" i="8"/>
  <c r="G69" i="8" s="1"/>
  <c r="F70" i="8"/>
  <c r="G70" i="8" s="1"/>
  <c r="H67" i="8"/>
  <c r="I67" i="8" s="1"/>
  <c r="H66" i="8"/>
  <c r="I66" i="8" s="1"/>
  <c r="H68" i="8"/>
  <c r="I68" i="8" s="1"/>
  <c r="H69" i="8"/>
  <c r="I69" i="8" s="1"/>
  <c r="H70" i="8"/>
  <c r="I70" i="8" s="1"/>
  <c r="D66" i="8"/>
  <c r="E66" i="8" s="1"/>
  <c r="D67" i="8"/>
  <c r="E67" i="8" s="1"/>
  <c r="D68" i="8"/>
  <c r="E68" i="8" s="1"/>
  <c r="D69" i="8"/>
  <c r="E69" i="8" s="1"/>
  <c r="D70" i="8"/>
  <c r="E70" i="8" s="1"/>
  <c r="J68" i="8"/>
  <c r="K68" i="8" s="1"/>
  <c r="J69" i="8"/>
  <c r="K69" i="8" s="1"/>
  <c r="J70" i="8"/>
  <c r="K70" i="8" s="1"/>
  <c r="J67" i="8"/>
  <c r="K67" i="8" s="1"/>
  <c r="J66" i="8"/>
  <c r="K66" i="8" s="1"/>
  <c r="L69" i="8"/>
  <c r="M69" i="8" s="1"/>
  <c r="L70" i="8"/>
  <c r="M70" i="8" s="1"/>
  <c r="M66" i="8"/>
  <c r="L68" i="8"/>
  <c r="M68" i="8" s="1"/>
  <c r="L67" i="8"/>
  <c r="M67" i="8" s="1"/>
  <c r="B73" i="8"/>
  <c r="A13" i="11" s="1"/>
  <c r="N70" i="8"/>
  <c r="O70" i="8" s="1"/>
  <c r="N66" i="8"/>
  <c r="O66" i="8" s="1"/>
  <c r="N67" i="8"/>
  <c r="O67" i="8" s="1"/>
  <c r="N68" i="8"/>
  <c r="O68" i="8" s="1"/>
  <c r="N69" i="8"/>
  <c r="O69" i="8" s="1"/>
  <c r="B66" i="8"/>
  <c r="C66" i="8" s="1"/>
  <c r="B67" i="8"/>
  <c r="C67" i="8" s="1"/>
  <c r="B68" i="8"/>
  <c r="C68" i="8" s="1"/>
  <c r="B69" i="8"/>
  <c r="C69" i="8" s="1"/>
  <c r="B70" i="8"/>
  <c r="C70" i="8" s="1"/>
  <c r="P116" i="8"/>
  <c r="D17" i="11" s="1"/>
  <c r="P638" i="8"/>
  <c r="D89" i="11" s="1"/>
  <c r="P174" i="8"/>
  <c r="D25" i="11" s="1"/>
  <c r="P232" i="8"/>
  <c r="D33" i="11" s="1"/>
  <c r="P348" i="8"/>
  <c r="D49" i="11" s="1"/>
  <c r="P464" i="8"/>
  <c r="D65" i="11" s="1"/>
  <c r="P696" i="8"/>
  <c r="D97" i="11" s="1"/>
  <c r="P406" i="8"/>
  <c r="D57" i="11" s="1"/>
  <c r="P522" i="8"/>
  <c r="D73" i="11" s="1"/>
  <c r="P187" i="12" l="1"/>
  <c r="C28" i="11" s="1"/>
  <c r="P290" i="12"/>
  <c r="C41" i="11" s="1"/>
  <c r="P455" i="12"/>
  <c r="C64" i="11" s="1"/>
  <c r="P223" i="12"/>
  <c r="C32" i="11" s="1"/>
  <c r="P361" i="12"/>
  <c r="C52" i="11" s="1"/>
  <c r="P397" i="12"/>
  <c r="C56" i="11" s="1"/>
  <c r="P339" i="12"/>
  <c r="C48" i="11" s="1"/>
  <c r="P71" i="12"/>
  <c r="C12" i="11" s="1"/>
  <c r="C428" i="12"/>
  <c r="C254" i="12"/>
  <c r="P129" i="12"/>
  <c r="C20" i="11" s="1"/>
  <c r="P593" i="12"/>
  <c r="C84" i="11" s="1"/>
  <c r="C370" i="12"/>
  <c r="F653" i="12"/>
  <c r="P419" i="12"/>
  <c r="C60" i="11" s="1"/>
  <c r="F479" i="12"/>
  <c r="F73" i="12"/>
  <c r="C544" i="12"/>
  <c r="C138" i="12"/>
  <c r="C602" i="12"/>
  <c r="C80" i="12"/>
  <c r="F537" i="12"/>
  <c r="C660" i="12"/>
  <c r="P513" i="12"/>
  <c r="C72" i="11" s="1"/>
  <c r="F595" i="12"/>
  <c r="C486" i="12"/>
  <c r="F305" i="12"/>
  <c r="F247" i="12"/>
  <c r="P303" i="12"/>
  <c r="C44" i="11" s="1"/>
  <c r="C196" i="12"/>
  <c r="F421" i="12"/>
  <c r="P49" i="12"/>
  <c r="C8" i="11" s="1"/>
  <c r="P281" i="12"/>
  <c r="C40" i="11" s="1"/>
  <c r="F189" i="12"/>
  <c r="C312" i="12"/>
  <c r="C22" i="12"/>
  <c r="P687" i="12"/>
  <c r="C96" i="11" s="1"/>
  <c r="P535" i="12"/>
  <c r="C76" i="11" s="1"/>
  <c r="P629" i="12"/>
  <c r="C88" i="11" s="1"/>
  <c r="P571" i="12"/>
  <c r="C80" i="11" s="1"/>
  <c r="P165" i="12"/>
  <c r="C24" i="11" s="1"/>
  <c r="P477" i="12"/>
  <c r="C68" i="11" s="1"/>
  <c r="P651" i="12"/>
  <c r="C92" i="11" s="1"/>
  <c r="F363" i="12"/>
  <c r="F15" i="12"/>
  <c r="F131" i="12"/>
  <c r="G696" i="8"/>
  <c r="M696" i="8"/>
  <c r="E696" i="8"/>
  <c r="E687" i="8"/>
  <c r="I696" i="8"/>
  <c r="C696" i="8"/>
  <c r="O687" i="8"/>
  <c r="K696" i="8"/>
  <c r="O696" i="8"/>
  <c r="G687" i="8"/>
  <c r="K687" i="8"/>
  <c r="I651" i="8"/>
  <c r="C687" i="8"/>
  <c r="M687" i="8"/>
  <c r="K651" i="8"/>
  <c r="I687" i="8"/>
  <c r="G651" i="8"/>
  <c r="M651" i="8"/>
  <c r="D653" i="8"/>
  <c r="B655" i="8"/>
  <c r="C655" i="8" s="1"/>
  <c r="B656" i="8"/>
  <c r="C656" i="8" s="1"/>
  <c r="B657" i="8"/>
  <c r="C657" i="8" s="1"/>
  <c r="B658" i="8"/>
  <c r="C658" i="8" s="1"/>
  <c r="B659" i="8"/>
  <c r="C659" i="8" s="1"/>
  <c r="E651" i="8"/>
  <c r="C651" i="8"/>
  <c r="O651" i="8"/>
  <c r="O638" i="8"/>
  <c r="G638" i="8"/>
  <c r="E638" i="8"/>
  <c r="M638" i="8"/>
  <c r="K638" i="8"/>
  <c r="I638" i="8"/>
  <c r="C638" i="8"/>
  <c r="I629" i="8"/>
  <c r="O629" i="8"/>
  <c r="E629" i="8"/>
  <c r="C629" i="8"/>
  <c r="M629" i="8"/>
  <c r="G629" i="8"/>
  <c r="K629" i="8"/>
  <c r="C593" i="8"/>
  <c r="D595" i="8"/>
  <c r="B597" i="8"/>
  <c r="C597" i="8" s="1"/>
  <c r="B598" i="8"/>
  <c r="C598" i="8" s="1"/>
  <c r="B599" i="8"/>
  <c r="C599" i="8" s="1"/>
  <c r="B600" i="8"/>
  <c r="C600" i="8" s="1"/>
  <c r="B601" i="8"/>
  <c r="C601" i="8" s="1"/>
  <c r="G593" i="8"/>
  <c r="O580" i="8"/>
  <c r="M593" i="8"/>
  <c r="K593" i="8"/>
  <c r="E593" i="8"/>
  <c r="C580" i="8"/>
  <c r="P580" i="8" s="1"/>
  <c r="D81" i="11" s="1"/>
  <c r="I593" i="8"/>
  <c r="O593" i="8"/>
  <c r="G580" i="8"/>
  <c r="E571" i="8"/>
  <c r="M580" i="8"/>
  <c r="C571" i="8"/>
  <c r="K580" i="8"/>
  <c r="E580" i="8"/>
  <c r="I580" i="8"/>
  <c r="G571" i="8"/>
  <c r="K571" i="8"/>
  <c r="I571" i="8"/>
  <c r="O571" i="8"/>
  <c r="M571" i="8"/>
  <c r="D537" i="8"/>
  <c r="B539" i="8"/>
  <c r="C539" i="8" s="1"/>
  <c r="B540" i="8"/>
  <c r="C540" i="8" s="1"/>
  <c r="B541" i="8"/>
  <c r="C541" i="8" s="1"/>
  <c r="B542" i="8"/>
  <c r="C542" i="8" s="1"/>
  <c r="B543" i="8"/>
  <c r="C543" i="8" s="1"/>
  <c r="C522" i="8"/>
  <c r="G535" i="8"/>
  <c r="M535" i="8"/>
  <c r="C513" i="8"/>
  <c r="K535" i="8"/>
  <c r="E535" i="8"/>
  <c r="I535" i="8"/>
  <c r="O535" i="8"/>
  <c r="C535" i="8"/>
  <c r="E513" i="8"/>
  <c r="O522" i="8"/>
  <c r="G522" i="8"/>
  <c r="M522" i="8"/>
  <c r="E522" i="8"/>
  <c r="K522" i="8"/>
  <c r="I522" i="8"/>
  <c r="O513" i="8"/>
  <c r="K513" i="8"/>
  <c r="M513" i="8"/>
  <c r="G513" i="8"/>
  <c r="I513" i="8"/>
  <c r="E477" i="8"/>
  <c r="G477" i="8"/>
  <c r="D479" i="8"/>
  <c r="B481" i="8"/>
  <c r="C481" i="8" s="1"/>
  <c r="B482" i="8"/>
  <c r="C482" i="8" s="1"/>
  <c r="B483" i="8"/>
  <c r="C483" i="8" s="1"/>
  <c r="B484" i="8"/>
  <c r="C484" i="8" s="1"/>
  <c r="B485" i="8"/>
  <c r="C485" i="8" s="1"/>
  <c r="I477" i="8"/>
  <c r="K477" i="8"/>
  <c r="C477" i="8"/>
  <c r="O477" i="8"/>
  <c r="O464" i="8"/>
  <c r="M477" i="8"/>
  <c r="E464" i="8"/>
  <c r="M464" i="8"/>
  <c r="G464" i="8"/>
  <c r="K464" i="8"/>
  <c r="I464" i="8"/>
  <c r="C464" i="8"/>
  <c r="G455" i="8"/>
  <c r="C455" i="8"/>
  <c r="I455" i="8"/>
  <c r="O455" i="8"/>
  <c r="M455" i="8"/>
  <c r="K455" i="8"/>
  <c r="E455" i="8"/>
  <c r="D421" i="8"/>
  <c r="B423" i="8"/>
  <c r="C423" i="8" s="1"/>
  <c r="B424" i="8"/>
  <c r="C424" i="8" s="1"/>
  <c r="B425" i="8"/>
  <c r="C425" i="8" s="1"/>
  <c r="B426" i="8"/>
  <c r="C426" i="8" s="1"/>
  <c r="B427" i="8"/>
  <c r="C427" i="8" s="1"/>
  <c r="M419" i="8"/>
  <c r="G419" i="8"/>
  <c r="K419" i="8"/>
  <c r="E419" i="8"/>
  <c r="O406" i="8"/>
  <c r="I419" i="8"/>
  <c r="O419" i="8"/>
  <c r="C419" i="8"/>
  <c r="K406" i="8"/>
  <c r="M406" i="8"/>
  <c r="G406" i="8"/>
  <c r="E406" i="8"/>
  <c r="O397" i="8"/>
  <c r="I406" i="8"/>
  <c r="E397" i="8"/>
  <c r="C406" i="8"/>
  <c r="M397" i="8"/>
  <c r="G397" i="8"/>
  <c r="I397" i="8"/>
  <c r="C397" i="8"/>
  <c r="K397" i="8"/>
  <c r="D363" i="8"/>
  <c r="B365" i="8"/>
  <c r="C365" i="8" s="1"/>
  <c r="B366" i="8"/>
  <c r="C366" i="8" s="1"/>
  <c r="B367" i="8"/>
  <c r="C367" i="8" s="1"/>
  <c r="B368" i="8"/>
  <c r="C368" i="8" s="1"/>
  <c r="B369" i="8"/>
  <c r="C369" i="8" s="1"/>
  <c r="E361" i="8"/>
  <c r="M361" i="8"/>
  <c r="G361" i="8"/>
  <c r="K361" i="8"/>
  <c r="I361" i="8"/>
  <c r="O361" i="8"/>
  <c r="C361" i="8"/>
  <c r="C348" i="8"/>
  <c r="G348" i="8"/>
  <c r="O348" i="8"/>
  <c r="E348" i="8"/>
  <c r="M348" i="8"/>
  <c r="C339" i="8"/>
  <c r="I348" i="8"/>
  <c r="K348" i="8"/>
  <c r="O339" i="8"/>
  <c r="G339" i="8"/>
  <c r="K339" i="8"/>
  <c r="E339" i="8"/>
  <c r="M339" i="8"/>
  <c r="I339" i="8"/>
  <c r="C303" i="8"/>
  <c r="I303" i="8"/>
  <c r="D305" i="8"/>
  <c r="B307" i="8"/>
  <c r="C307" i="8" s="1"/>
  <c r="B308" i="8"/>
  <c r="C308" i="8" s="1"/>
  <c r="B309" i="8"/>
  <c r="C309" i="8" s="1"/>
  <c r="B310" i="8"/>
  <c r="C310" i="8" s="1"/>
  <c r="B311" i="8"/>
  <c r="C311" i="8" s="1"/>
  <c r="G303" i="8"/>
  <c r="M303" i="8"/>
  <c r="E303" i="8"/>
  <c r="E290" i="8"/>
  <c r="K303" i="8"/>
  <c r="O290" i="8"/>
  <c r="O303" i="8"/>
  <c r="G290" i="8"/>
  <c r="C290" i="8"/>
  <c r="M290" i="8"/>
  <c r="K290" i="8"/>
  <c r="I290" i="8"/>
  <c r="G281" i="8"/>
  <c r="M281" i="8"/>
  <c r="E281" i="8"/>
  <c r="I281" i="8"/>
  <c r="K281" i="8"/>
  <c r="O281" i="8"/>
  <c r="C281" i="8"/>
  <c r="D247" i="8"/>
  <c r="B249" i="8"/>
  <c r="C249" i="8" s="1"/>
  <c r="B250" i="8"/>
  <c r="C250" i="8" s="1"/>
  <c r="B251" i="8"/>
  <c r="C251" i="8" s="1"/>
  <c r="B252" i="8"/>
  <c r="C252" i="8" s="1"/>
  <c r="B253" i="8"/>
  <c r="C253" i="8" s="1"/>
  <c r="I245" i="8"/>
  <c r="E245" i="8"/>
  <c r="M245" i="8"/>
  <c r="C245" i="8"/>
  <c r="K245" i="8"/>
  <c r="O245" i="8"/>
  <c r="P245" i="8" s="1"/>
  <c r="D36" i="11" s="1"/>
  <c r="G245" i="8"/>
  <c r="O232" i="8"/>
  <c r="M232" i="8"/>
  <c r="G232" i="8"/>
  <c r="K232" i="8"/>
  <c r="K223" i="8"/>
  <c r="E232" i="8"/>
  <c r="I232" i="8"/>
  <c r="C232" i="8"/>
  <c r="O223" i="8"/>
  <c r="G223" i="8"/>
  <c r="E223" i="8"/>
  <c r="M223" i="8"/>
  <c r="C223" i="8"/>
  <c r="I223" i="8"/>
  <c r="I187" i="8"/>
  <c r="D189" i="8"/>
  <c r="B191" i="8"/>
  <c r="C191" i="8" s="1"/>
  <c r="B192" i="8"/>
  <c r="C192" i="8" s="1"/>
  <c r="B193" i="8"/>
  <c r="C193" i="8" s="1"/>
  <c r="B194" i="8"/>
  <c r="C194" i="8" s="1"/>
  <c r="B195" i="8"/>
  <c r="C195" i="8" s="1"/>
  <c r="G187" i="8"/>
  <c r="K187" i="8"/>
  <c r="E187" i="8"/>
  <c r="C187" i="8"/>
  <c r="M187" i="8"/>
  <c r="G174" i="8"/>
  <c r="O187" i="8"/>
  <c r="C174" i="8"/>
  <c r="K174" i="8"/>
  <c r="E174" i="8"/>
  <c r="E165" i="8"/>
  <c r="O174" i="8"/>
  <c r="I174" i="8"/>
  <c r="M174" i="8"/>
  <c r="G165" i="8"/>
  <c r="C165" i="8"/>
  <c r="M165" i="8"/>
  <c r="K165" i="8"/>
  <c r="I165" i="8"/>
  <c r="O165" i="8"/>
  <c r="D131" i="8"/>
  <c r="B133" i="8"/>
  <c r="C133" i="8" s="1"/>
  <c r="B134" i="8"/>
  <c r="C134" i="8" s="1"/>
  <c r="B135" i="8"/>
  <c r="C135" i="8" s="1"/>
  <c r="B136" i="8"/>
  <c r="C136" i="8" s="1"/>
  <c r="B137" i="8"/>
  <c r="C137" i="8" s="1"/>
  <c r="E129" i="8"/>
  <c r="C116" i="8"/>
  <c r="M129" i="8"/>
  <c r="G129" i="8"/>
  <c r="I129" i="8"/>
  <c r="O116" i="8"/>
  <c r="K129" i="8"/>
  <c r="O129" i="8"/>
  <c r="C129" i="8"/>
  <c r="G116" i="8"/>
  <c r="M116" i="8"/>
  <c r="K116" i="8"/>
  <c r="E116" i="8"/>
  <c r="C107" i="8"/>
  <c r="P107" i="8" s="1"/>
  <c r="D16" i="11" s="1"/>
  <c r="I116" i="8"/>
  <c r="G107" i="8"/>
  <c r="K107" i="8"/>
  <c r="O107" i="8"/>
  <c r="I107" i="8"/>
  <c r="E107" i="8"/>
  <c r="C71" i="8"/>
  <c r="M107" i="8"/>
  <c r="D73" i="8"/>
  <c r="B75" i="8"/>
  <c r="C75" i="8" s="1"/>
  <c r="B76" i="8"/>
  <c r="C76" i="8" s="1"/>
  <c r="B77" i="8"/>
  <c r="C77" i="8" s="1"/>
  <c r="B78" i="8"/>
  <c r="C78" i="8" s="1"/>
  <c r="B79" i="8"/>
  <c r="C79" i="8" s="1"/>
  <c r="M71" i="8"/>
  <c r="I71" i="8"/>
  <c r="O71" i="8"/>
  <c r="E71" i="8"/>
  <c r="K71" i="8"/>
  <c r="G71" i="8"/>
  <c r="N51" i="8"/>
  <c r="L51" i="8"/>
  <c r="J51" i="8"/>
  <c r="H51" i="8"/>
  <c r="F51" i="8"/>
  <c r="D51" i="8"/>
  <c r="B51" i="8"/>
  <c r="A9" i="11" s="1"/>
  <c r="N42" i="8"/>
  <c r="L42" i="8"/>
  <c r="J42" i="8"/>
  <c r="H42" i="8"/>
  <c r="F42" i="8"/>
  <c r="D42" i="8"/>
  <c r="B42" i="8"/>
  <c r="A8" i="11" s="1"/>
  <c r="N6" i="8"/>
  <c r="N12" i="8" s="1"/>
  <c r="L6" i="8"/>
  <c r="J6" i="8"/>
  <c r="H6" i="8"/>
  <c r="B6" i="8"/>
  <c r="A4" i="11" s="1"/>
  <c r="F6" i="8"/>
  <c r="D6" i="8"/>
  <c r="E370" i="12" l="1"/>
  <c r="P651" i="8"/>
  <c r="D92" i="11" s="1"/>
  <c r="E22" i="12"/>
  <c r="E486" i="12"/>
  <c r="E138" i="12"/>
  <c r="H421" i="12"/>
  <c r="H305" i="12"/>
  <c r="E544" i="12"/>
  <c r="H479" i="12"/>
  <c r="H537" i="12"/>
  <c r="H15" i="12"/>
  <c r="E312" i="12"/>
  <c r="E660" i="12"/>
  <c r="E196" i="12"/>
  <c r="H595" i="12"/>
  <c r="H363" i="12"/>
  <c r="H653" i="12"/>
  <c r="H189" i="12"/>
  <c r="H131" i="12"/>
  <c r="H247" i="12"/>
  <c r="E602" i="12"/>
  <c r="E80" i="12"/>
  <c r="E254" i="12"/>
  <c r="E428" i="12"/>
  <c r="H73" i="12"/>
  <c r="P687" i="8"/>
  <c r="D96" i="11" s="1"/>
  <c r="C660" i="8"/>
  <c r="F653" i="8"/>
  <c r="D655" i="8"/>
  <c r="E655" i="8" s="1"/>
  <c r="D656" i="8"/>
  <c r="E656" i="8" s="1"/>
  <c r="D657" i="8"/>
  <c r="E657" i="8" s="1"/>
  <c r="D658" i="8"/>
  <c r="E658" i="8" s="1"/>
  <c r="D659" i="8"/>
  <c r="E659" i="8" s="1"/>
  <c r="P629" i="8"/>
  <c r="D88" i="11" s="1"/>
  <c r="P593" i="8"/>
  <c r="D84" i="11" s="1"/>
  <c r="C602" i="8"/>
  <c r="F595" i="8"/>
  <c r="D597" i="8"/>
  <c r="E597" i="8" s="1"/>
  <c r="D598" i="8"/>
  <c r="E598" i="8" s="1"/>
  <c r="D599" i="8"/>
  <c r="E599" i="8" s="1"/>
  <c r="D600" i="8"/>
  <c r="E600" i="8" s="1"/>
  <c r="D601" i="8"/>
  <c r="E601" i="8" s="1"/>
  <c r="P571" i="8"/>
  <c r="D80" i="11" s="1"/>
  <c r="C544" i="8"/>
  <c r="F537" i="8"/>
  <c r="D539" i="8"/>
  <c r="E539" i="8" s="1"/>
  <c r="D540" i="8"/>
  <c r="E540" i="8" s="1"/>
  <c r="D541" i="8"/>
  <c r="E541" i="8" s="1"/>
  <c r="D542" i="8"/>
  <c r="E542" i="8" s="1"/>
  <c r="D543" i="8"/>
  <c r="E543" i="8" s="1"/>
  <c r="P535" i="8"/>
  <c r="P513" i="8"/>
  <c r="D72" i="11" s="1"/>
  <c r="P455" i="8"/>
  <c r="D64" i="11" s="1"/>
  <c r="P477" i="8"/>
  <c r="D68" i="11" s="1"/>
  <c r="C486" i="8"/>
  <c r="F479" i="8"/>
  <c r="D481" i="8"/>
  <c r="E481" i="8" s="1"/>
  <c r="D482" i="8"/>
  <c r="E482" i="8" s="1"/>
  <c r="D483" i="8"/>
  <c r="E483" i="8" s="1"/>
  <c r="D484" i="8"/>
  <c r="E484" i="8" s="1"/>
  <c r="D485" i="8"/>
  <c r="E485" i="8" s="1"/>
  <c r="P361" i="8"/>
  <c r="D52" i="11" s="1"/>
  <c r="P419" i="8"/>
  <c r="D60" i="11" s="1"/>
  <c r="C428" i="8"/>
  <c r="F421" i="8"/>
  <c r="D423" i="8"/>
  <c r="E423" i="8" s="1"/>
  <c r="D424" i="8"/>
  <c r="E424" i="8" s="1"/>
  <c r="D425" i="8"/>
  <c r="E425" i="8" s="1"/>
  <c r="D426" i="8"/>
  <c r="E426" i="8" s="1"/>
  <c r="D427" i="8"/>
  <c r="E427" i="8" s="1"/>
  <c r="P397" i="8"/>
  <c r="D56" i="11" s="1"/>
  <c r="C370" i="8"/>
  <c r="F363" i="8"/>
  <c r="D365" i="8"/>
  <c r="E365" i="8" s="1"/>
  <c r="D366" i="8"/>
  <c r="E366" i="8" s="1"/>
  <c r="D367" i="8"/>
  <c r="E367" i="8" s="1"/>
  <c r="D368" i="8"/>
  <c r="E368" i="8" s="1"/>
  <c r="D369" i="8"/>
  <c r="E369" i="8" s="1"/>
  <c r="P339" i="8"/>
  <c r="D48" i="11" s="1"/>
  <c r="P290" i="8"/>
  <c r="D41" i="11" s="1"/>
  <c r="P303" i="8"/>
  <c r="D44" i="11" s="1"/>
  <c r="C312" i="8"/>
  <c r="F305" i="8"/>
  <c r="D307" i="8"/>
  <c r="E307" i="8" s="1"/>
  <c r="D308" i="8"/>
  <c r="E308" i="8" s="1"/>
  <c r="D309" i="8"/>
  <c r="E309" i="8" s="1"/>
  <c r="D310" i="8"/>
  <c r="E310" i="8" s="1"/>
  <c r="D311" i="8"/>
  <c r="E311" i="8" s="1"/>
  <c r="P281" i="8"/>
  <c r="D40" i="11" s="1"/>
  <c r="C254" i="8"/>
  <c r="F247" i="8"/>
  <c r="D249" i="8"/>
  <c r="E249" i="8" s="1"/>
  <c r="D250" i="8"/>
  <c r="E250" i="8" s="1"/>
  <c r="D251" i="8"/>
  <c r="E251" i="8" s="1"/>
  <c r="D252" i="8"/>
  <c r="E252" i="8" s="1"/>
  <c r="D253" i="8"/>
  <c r="E253" i="8" s="1"/>
  <c r="P223" i="8"/>
  <c r="D32" i="11" s="1"/>
  <c r="P187" i="8"/>
  <c r="D28" i="11" s="1"/>
  <c r="C196" i="8"/>
  <c r="F189" i="8"/>
  <c r="D191" i="8"/>
  <c r="E191" i="8" s="1"/>
  <c r="D192" i="8"/>
  <c r="E192" i="8" s="1"/>
  <c r="D193" i="8"/>
  <c r="E193" i="8" s="1"/>
  <c r="D194" i="8"/>
  <c r="E194" i="8" s="1"/>
  <c r="D195" i="8"/>
  <c r="E195" i="8" s="1"/>
  <c r="P129" i="8"/>
  <c r="D20" i="11" s="1"/>
  <c r="P165" i="8"/>
  <c r="D24" i="11" s="1"/>
  <c r="C138" i="8"/>
  <c r="F131" i="8"/>
  <c r="D133" i="8"/>
  <c r="E133" i="8" s="1"/>
  <c r="D134" i="8"/>
  <c r="E134" i="8" s="1"/>
  <c r="D135" i="8"/>
  <c r="E135" i="8" s="1"/>
  <c r="D136" i="8"/>
  <c r="E136" i="8" s="1"/>
  <c r="D137" i="8"/>
  <c r="E137" i="8" s="1"/>
  <c r="P71" i="8"/>
  <c r="D12" i="11" s="1"/>
  <c r="C80" i="8"/>
  <c r="F73" i="8"/>
  <c r="D75" i="8"/>
  <c r="E75" i="8" s="1"/>
  <c r="D76" i="8"/>
  <c r="E76" i="8" s="1"/>
  <c r="D77" i="8"/>
  <c r="E77" i="8" s="1"/>
  <c r="D78" i="8"/>
  <c r="E78" i="8" s="1"/>
  <c r="D79" i="8"/>
  <c r="E79" i="8" s="1"/>
  <c r="L56" i="8"/>
  <c r="M56" i="8" s="1"/>
  <c r="L57" i="8"/>
  <c r="M57" i="8" s="1"/>
  <c r="L53" i="8"/>
  <c r="M53" i="8" s="1"/>
  <c r="L54" i="8"/>
  <c r="M54" i="8" s="1"/>
  <c r="L55" i="8"/>
  <c r="M55" i="8" s="1"/>
  <c r="N57" i="8"/>
  <c r="O57" i="8" s="1"/>
  <c r="N53" i="8"/>
  <c r="O53" i="8" s="1"/>
  <c r="N54" i="8"/>
  <c r="O54" i="8" s="1"/>
  <c r="N55" i="8"/>
  <c r="O55" i="8" s="1"/>
  <c r="N56" i="8"/>
  <c r="O56" i="8" s="1"/>
  <c r="J55" i="8"/>
  <c r="K55" i="8" s="1"/>
  <c r="J56" i="8"/>
  <c r="K56" i="8" s="1"/>
  <c r="J57" i="8"/>
  <c r="K57" i="8" s="1"/>
  <c r="J53" i="8"/>
  <c r="K53" i="8" s="1"/>
  <c r="J54" i="8"/>
  <c r="K54" i="8" s="1"/>
  <c r="B53" i="8"/>
  <c r="C53" i="8" s="1"/>
  <c r="B54" i="8"/>
  <c r="C54" i="8" s="1"/>
  <c r="B55" i="8"/>
  <c r="C55" i="8" s="1"/>
  <c r="B56" i="8"/>
  <c r="C56" i="8" s="1"/>
  <c r="B57" i="8"/>
  <c r="C57" i="8" s="1"/>
  <c r="D53" i="8"/>
  <c r="E53" i="8" s="1"/>
  <c r="D54" i="8"/>
  <c r="E54" i="8" s="1"/>
  <c r="D55" i="8"/>
  <c r="E55" i="8" s="1"/>
  <c r="D56" i="8"/>
  <c r="E56" i="8" s="1"/>
  <c r="D57" i="8"/>
  <c r="E57" i="8" s="1"/>
  <c r="F53" i="8"/>
  <c r="G53" i="8" s="1"/>
  <c r="F54" i="8"/>
  <c r="G54" i="8" s="1"/>
  <c r="F55" i="8"/>
  <c r="G55" i="8" s="1"/>
  <c r="F56" i="8"/>
  <c r="G56" i="8" s="1"/>
  <c r="F57" i="8"/>
  <c r="G57" i="8" s="1"/>
  <c r="H54" i="8"/>
  <c r="I54" i="8" s="1"/>
  <c r="H55" i="8"/>
  <c r="I55" i="8" s="1"/>
  <c r="H56" i="8"/>
  <c r="I56" i="8" s="1"/>
  <c r="H57" i="8"/>
  <c r="I57" i="8" s="1"/>
  <c r="H53" i="8"/>
  <c r="I53" i="8" s="1"/>
  <c r="B44" i="8"/>
  <c r="C44" i="8" s="1"/>
  <c r="B45" i="8"/>
  <c r="C45" i="8" s="1"/>
  <c r="B46" i="8"/>
  <c r="C46" i="8" s="1"/>
  <c r="B47" i="8"/>
  <c r="C47" i="8" s="1"/>
  <c r="B48" i="8"/>
  <c r="C48" i="8" s="1"/>
  <c r="D44" i="8"/>
  <c r="E44" i="8" s="1"/>
  <c r="D45" i="8"/>
  <c r="E45" i="8" s="1"/>
  <c r="D46" i="8"/>
  <c r="E46" i="8" s="1"/>
  <c r="D47" i="8"/>
  <c r="E47" i="8" s="1"/>
  <c r="D48" i="8"/>
  <c r="E48" i="8" s="1"/>
  <c r="F44" i="8"/>
  <c r="G44" i="8" s="1"/>
  <c r="F45" i="8"/>
  <c r="G45" i="8" s="1"/>
  <c r="F46" i="8"/>
  <c r="G46" i="8" s="1"/>
  <c r="F47" i="8"/>
  <c r="G47" i="8" s="1"/>
  <c r="F48" i="8"/>
  <c r="G48" i="8" s="1"/>
  <c r="H45" i="8"/>
  <c r="I45" i="8" s="1"/>
  <c r="H46" i="8"/>
  <c r="I46" i="8" s="1"/>
  <c r="H47" i="8"/>
  <c r="I47" i="8" s="1"/>
  <c r="H48" i="8"/>
  <c r="I48" i="8" s="1"/>
  <c r="H44" i="8"/>
  <c r="I44" i="8" s="1"/>
  <c r="J46" i="8"/>
  <c r="K46" i="8" s="1"/>
  <c r="J47" i="8"/>
  <c r="K47" i="8" s="1"/>
  <c r="J48" i="8"/>
  <c r="K48" i="8" s="1"/>
  <c r="J44" i="8"/>
  <c r="K44" i="8" s="1"/>
  <c r="J45" i="8"/>
  <c r="K45" i="8" s="1"/>
  <c r="L47" i="8"/>
  <c r="M47" i="8" s="1"/>
  <c r="L48" i="8"/>
  <c r="M48" i="8" s="1"/>
  <c r="L44" i="8"/>
  <c r="M44" i="8" s="1"/>
  <c r="L45" i="8"/>
  <c r="M45" i="8" s="1"/>
  <c r="L46" i="8"/>
  <c r="M46" i="8" s="1"/>
  <c r="N48" i="8"/>
  <c r="O48" i="8" s="1"/>
  <c r="N44" i="8"/>
  <c r="O44" i="8" s="1"/>
  <c r="N45" i="8"/>
  <c r="O45" i="8" s="1"/>
  <c r="N46" i="8"/>
  <c r="O46" i="8" s="1"/>
  <c r="N47" i="8"/>
  <c r="O47" i="8" s="1"/>
  <c r="B12" i="8"/>
  <c r="C12" i="8" s="1"/>
  <c r="B11" i="8"/>
  <c r="C11" i="8" s="1"/>
  <c r="B10" i="8"/>
  <c r="C10" i="8" s="1"/>
  <c r="B9" i="8"/>
  <c r="C9" i="8" s="1"/>
  <c r="B8" i="8"/>
  <c r="C8" i="8" s="1"/>
  <c r="D12" i="8"/>
  <c r="E12" i="8" s="1"/>
  <c r="D11" i="8"/>
  <c r="E11" i="8" s="1"/>
  <c r="D10" i="8"/>
  <c r="E10" i="8" s="1"/>
  <c r="D9" i="8"/>
  <c r="E9" i="8" s="1"/>
  <c r="D8" i="8"/>
  <c r="E8" i="8" s="1"/>
  <c r="F12" i="8"/>
  <c r="G12" i="8" s="1"/>
  <c r="F11" i="8"/>
  <c r="G11" i="8" s="1"/>
  <c r="F10" i="8"/>
  <c r="G10" i="8" s="1"/>
  <c r="F9" i="8"/>
  <c r="G9" i="8" s="1"/>
  <c r="F8" i="8"/>
  <c r="G8" i="8" s="1"/>
  <c r="H12" i="8"/>
  <c r="I12" i="8" s="1"/>
  <c r="H11" i="8"/>
  <c r="I11" i="8" s="1"/>
  <c r="H10" i="8"/>
  <c r="I10" i="8" s="1"/>
  <c r="H9" i="8"/>
  <c r="I9" i="8" s="1"/>
  <c r="H8" i="8"/>
  <c r="I8" i="8" s="1"/>
  <c r="J12" i="8"/>
  <c r="K12" i="8" s="1"/>
  <c r="J11" i="8"/>
  <c r="K11" i="8" s="1"/>
  <c r="J10" i="8"/>
  <c r="K10" i="8" s="1"/>
  <c r="J9" i="8"/>
  <c r="K9" i="8" s="1"/>
  <c r="J8" i="8"/>
  <c r="K8" i="8" s="1"/>
  <c r="L12" i="8"/>
  <c r="L11" i="8"/>
  <c r="L10" i="8"/>
  <c r="L9" i="8"/>
  <c r="M9" i="8" s="1"/>
  <c r="L8" i="8"/>
  <c r="N10" i="8"/>
  <c r="O10" i="8" s="1"/>
  <c r="N11" i="8"/>
  <c r="O11" i="8" s="1"/>
  <c r="N8" i="8"/>
  <c r="O8" i="8" s="1"/>
  <c r="N9" i="8"/>
  <c r="O9" i="8" s="1"/>
  <c r="O12" i="8"/>
  <c r="G196" i="12" l="1"/>
  <c r="G602" i="12"/>
  <c r="J15" i="12"/>
  <c r="G486" i="12"/>
  <c r="J247" i="12"/>
  <c r="J595" i="12"/>
  <c r="G254" i="12"/>
  <c r="G660" i="12"/>
  <c r="J73" i="12"/>
  <c r="J653" i="12"/>
  <c r="J305" i="12"/>
  <c r="G22" i="12"/>
  <c r="J131" i="12"/>
  <c r="G138" i="12"/>
  <c r="G544" i="12"/>
  <c r="J537" i="12"/>
  <c r="G312" i="12"/>
  <c r="J363" i="12"/>
  <c r="G428" i="12"/>
  <c r="J189" i="12"/>
  <c r="J421" i="12"/>
  <c r="G370" i="12"/>
  <c r="J479" i="12"/>
  <c r="G80" i="12"/>
  <c r="E660" i="8"/>
  <c r="H653" i="8"/>
  <c r="F655" i="8"/>
  <c r="G655" i="8" s="1"/>
  <c r="F656" i="8"/>
  <c r="G656" i="8" s="1"/>
  <c r="F657" i="8"/>
  <c r="G657" i="8" s="1"/>
  <c r="F658" i="8"/>
  <c r="G658" i="8" s="1"/>
  <c r="F659" i="8"/>
  <c r="G659" i="8" s="1"/>
  <c r="E602" i="8"/>
  <c r="H595" i="8"/>
  <c r="F597" i="8"/>
  <c r="G597" i="8" s="1"/>
  <c r="F598" i="8"/>
  <c r="G598" i="8" s="1"/>
  <c r="F599" i="8"/>
  <c r="G599" i="8" s="1"/>
  <c r="F600" i="8"/>
  <c r="G600" i="8" s="1"/>
  <c r="F601" i="8"/>
  <c r="G601" i="8" s="1"/>
  <c r="E544" i="8"/>
  <c r="H537" i="8"/>
  <c r="F539" i="8"/>
  <c r="G539" i="8" s="1"/>
  <c r="F540" i="8"/>
  <c r="G540" i="8" s="1"/>
  <c r="F541" i="8"/>
  <c r="G541" i="8" s="1"/>
  <c r="F542" i="8"/>
  <c r="G542" i="8" s="1"/>
  <c r="F543" i="8"/>
  <c r="G543" i="8" s="1"/>
  <c r="D76" i="11"/>
  <c r="E486" i="8"/>
  <c r="H479" i="8"/>
  <c r="F481" i="8"/>
  <c r="G481" i="8" s="1"/>
  <c r="F482" i="8"/>
  <c r="G482" i="8" s="1"/>
  <c r="F483" i="8"/>
  <c r="G483" i="8" s="1"/>
  <c r="F484" i="8"/>
  <c r="G484" i="8" s="1"/>
  <c r="F485" i="8"/>
  <c r="G485" i="8" s="1"/>
  <c r="E428" i="8"/>
  <c r="H421" i="8"/>
  <c r="F423" i="8"/>
  <c r="G423" i="8" s="1"/>
  <c r="F424" i="8"/>
  <c r="G424" i="8" s="1"/>
  <c r="F425" i="8"/>
  <c r="G425" i="8" s="1"/>
  <c r="F426" i="8"/>
  <c r="G426" i="8" s="1"/>
  <c r="F427" i="8"/>
  <c r="G427" i="8" s="1"/>
  <c r="E370" i="8"/>
  <c r="H363" i="8"/>
  <c r="F365" i="8"/>
  <c r="G365" i="8" s="1"/>
  <c r="F366" i="8"/>
  <c r="G366" i="8" s="1"/>
  <c r="F367" i="8"/>
  <c r="G367" i="8" s="1"/>
  <c r="F368" i="8"/>
  <c r="G368" i="8" s="1"/>
  <c r="F369" i="8"/>
  <c r="G369" i="8" s="1"/>
  <c r="E312" i="8"/>
  <c r="H305" i="8"/>
  <c r="F307" i="8"/>
  <c r="G307" i="8" s="1"/>
  <c r="F308" i="8"/>
  <c r="G308" i="8" s="1"/>
  <c r="F309" i="8"/>
  <c r="G309" i="8" s="1"/>
  <c r="F310" i="8"/>
  <c r="G310" i="8" s="1"/>
  <c r="F311" i="8"/>
  <c r="G311" i="8" s="1"/>
  <c r="E254" i="8"/>
  <c r="H247" i="8"/>
  <c r="F249" i="8"/>
  <c r="G249" i="8" s="1"/>
  <c r="F250" i="8"/>
  <c r="G250" i="8" s="1"/>
  <c r="F251" i="8"/>
  <c r="G251" i="8" s="1"/>
  <c r="F252" i="8"/>
  <c r="G252" i="8" s="1"/>
  <c r="F253" i="8"/>
  <c r="G253" i="8" s="1"/>
  <c r="E196" i="8"/>
  <c r="H189" i="8"/>
  <c r="F191" i="8"/>
  <c r="G191" i="8" s="1"/>
  <c r="F192" i="8"/>
  <c r="G192" i="8" s="1"/>
  <c r="F193" i="8"/>
  <c r="G193" i="8" s="1"/>
  <c r="F194" i="8"/>
  <c r="G194" i="8" s="1"/>
  <c r="F195" i="8"/>
  <c r="G195" i="8" s="1"/>
  <c r="E138" i="8"/>
  <c r="H131" i="8"/>
  <c r="F133" i="8"/>
  <c r="G133" i="8" s="1"/>
  <c r="F134" i="8"/>
  <c r="G134" i="8" s="1"/>
  <c r="F135" i="8"/>
  <c r="G135" i="8" s="1"/>
  <c r="F136" i="8"/>
  <c r="G136" i="8" s="1"/>
  <c r="F137" i="8"/>
  <c r="G137" i="8" s="1"/>
  <c r="E49" i="8"/>
  <c r="M58" i="8"/>
  <c r="C49" i="8"/>
  <c r="M49" i="8"/>
  <c r="K58" i="8"/>
  <c r="E58" i="8"/>
  <c r="O58" i="8"/>
  <c r="G49" i="8"/>
  <c r="I58" i="8"/>
  <c r="C58" i="8"/>
  <c r="E80" i="8"/>
  <c r="C13" i="8"/>
  <c r="H73" i="8"/>
  <c r="F75" i="8"/>
  <c r="G75" i="8" s="1"/>
  <c r="F76" i="8"/>
  <c r="G76" i="8" s="1"/>
  <c r="F77" i="8"/>
  <c r="G77" i="8" s="1"/>
  <c r="F78" i="8"/>
  <c r="G78" i="8" s="1"/>
  <c r="F79" i="8"/>
  <c r="G79" i="8" s="1"/>
  <c r="G58" i="8"/>
  <c r="K49" i="8"/>
  <c r="O49" i="8"/>
  <c r="I49" i="8"/>
  <c r="G13" i="8"/>
  <c r="E13" i="8"/>
  <c r="K13" i="8"/>
  <c r="I13" i="8"/>
  <c r="M11" i="8"/>
  <c r="O13" i="8"/>
  <c r="M12" i="8"/>
  <c r="M10" i="8"/>
  <c r="M8" i="8"/>
  <c r="E5" i="8"/>
  <c r="O5" i="8"/>
  <c r="G5" i="8"/>
  <c r="I5" i="8"/>
  <c r="K5" i="8"/>
  <c r="M5" i="8"/>
  <c r="I22" i="12" l="1"/>
  <c r="I312" i="12"/>
  <c r="I428" i="12"/>
  <c r="I370" i="12"/>
  <c r="L421" i="12"/>
  <c r="I254" i="12"/>
  <c r="L247" i="12"/>
  <c r="L189" i="12"/>
  <c r="L305" i="12"/>
  <c r="I80" i="12"/>
  <c r="I544" i="12"/>
  <c r="L73" i="12"/>
  <c r="L15" i="12"/>
  <c r="L479" i="12"/>
  <c r="L537" i="12"/>
  <c r="I196" i="12"/>
  <c r="L595" i="12"/>
  <c r="I486" i="12"/>
  <c r="L363" i="12"/>
  <c r="I138" i="12"/>
  <c r="I660" i="12"/>
  <c r="L131" i="12"/>
  <c r="L653" i="12"/>
  <c r="I602" i="12"/>
  <c r="G660" i="8"/>
  <c r="J653" i="8"/>
  <c r="H656" i="8"/>
  <c r="I656" i="8" s="1"/>
  <c r="H657" i="8"/>
  <c r="I657" i="8" s="1"/>
  <c r="H658" i="8"/>
  <c r="I658" i="8" s="1"/>
  <c r="H659" i="8"/>
  <c r="I659" i="8" s="1"/>
  <c r="H655" i="8"/>
  <c r="I655" i="8" s="1"/>
  <c r="G602" i="8"/>
  <c r="J595" i="8"/>
  <c r="H598" i="8"/>
  <c r="I598" i="8" s="1"/>
  <c r="H599" i="8"/>
  <c r="I599" i="8" s="1"/>
  <c r="H600" i="8"/>
  <c r="I600" i="8" s="1"/>
  <c r="H601" i="8"/>
  <c r="I601" i="8" s="1"/>
  <c r="H597" i="8"/>
  <c r="I597" i="8" s="1"/>
  <c r="G544" i="8"/>
  <c r="J537" i="8"/>
  <c r="H540" i="8"/>
  <c r="I540" i="8" s="1"/>
  <c r="H541" i="8"/>
  <c r="I541" i="8" s="1"/>
  <c r="H542" i="8"/>
  <c r="I542" i="8" s="1"/>
  <c r="H543" i="8"/>
  <c r="I543" i="8" s="1"/>
  <c r="H539" i="8"/>
  <c r="I539" i="8" s="1"/>
  <c r="G486" i="8"/>
  <c r="J479" i="8"/>
  <c r="H482" i="8"/>
  <c r="I482" i="8" s="1"/>
  <c r="H483" i="8"/>
  <c r="I483" i="8" s="1"/>
  <c r="H484" i="8"/>
  <c r="I484" i="8" s="1"/>
  <c r="H485" i="8"/>
  <c r="I485" i="8" s="1"/>
  <c r="H481" i="8"/>
  <c r="I481" i="8" s="1"/>
  <c r="G428" i="8"/>
  <c r="J421" i="8"/>
  <c r="H424" i="8"/>
  <c r="I424" i="8" s="1"/>
  <c r="H425" i="8"/>
  <c r="I425" i="8" s="1"/>
  <c r="H426" i="8"/>
  <c r="I426" i="8" s="1"/>
  <c r="H427" i="8"/>
  <c r="I427" i="8" s="1"/>
  <c r="H423" i="8"/>
  <c r="I423" i="8" s="1"/>
  <c r="G370" i="8"/>
  <c r="J363" i="8"/>
  <c r="H366" i="8"/>
  <c r="I366" i="8" s="1"/>
  <c r="H367" i="8"/>
  <c r="I367" i="8" s="1"/>
  <c r="H368" i="8"/>
  <c r="I368" i="8" s="1"/>
  <c r="H369" i="8"/>
  <c r="I369" i="8" s="1"/>
  <c r="H365" i="8"/>
  <c r="I365" i="8" s="1"/>
  <c r="G312" i="8"/>
  <c r="J305" i="8"/>
  <c r="H308" i="8"/>
  <c r="I308" i="8" s="1"/>
  <c r="H309" i="8"/>
  <c r="I309" i="8" s="1"/>
  <c r="H310" i="8"/>
  <c r="I310" i="8" s="1"/>
  <c r="H311" i="8"/>
  <c r="I311" i="8" s="1"/>
  <c r="H307" i="8"/>
  <c r="I307" i="8" s="1"/>
  <c r="G254" i="8"/>
  <c r="J247" i="8"/>
  <c r="H250" i="8"/>
  <c r="I250" i="8" s="1"/>
  <c r="H251" i="8"/>
  <c r="I251" i="8" s="1"/>
  <c r="H252" i="8"/>
  <c r="I252" i="8" s="1"/>
  <c r="H253" i="8"/>
  <c r="I253" i="8" s="1"/>
  <c r="H249" i="8"/>
  <c r="I249" i="8" s="1"/>
  <c r="G196" i="8"/>
  <c r="J189" i="8"/>
  <c r="H192" i="8"/>
  <c r="I192" i="8" s="1"/>
  <c r="H193" i="8"/>
  <c r="I193" i="8" s="1"/>
  <c r="H194" i="8"/>
  <c r="I194" i="8" s="1"/>
  <c r="H191" i="8"/>
  <c r="I191" i="8" s="1"/>
  <c r="H195" i="8"/>
  <c r="I195" i="8" s="1"/>
  <c r="G138" i="8"/>
  <c r="J131" i="8"/>
  <c r="H134" i="8"/>
  <c r="I134" i="8" s="1"/>
  <c r="H135" i="8"/>
  <c r="I135" i="8" s="1"/>
  <c r="H136" i="8"/>
  <c r="I136" i="8" s="1"/>
  <c r="H137" i="8"/>
  <c r="I137" i="8" s="1"/>
  <c r="H133" i="8"/>
  <c r="I133" i="8" s="1"/>
  <c r="G80" i="8"/>
  <c r="J73" i="8"/>
  <c r="H76" i="8"/>
  <c r="I76" i="8" s="1"/>
  <c r="H75" i="8"/>
  <c r="I75" i="8" s="1"/>
  <c r="H77" i="8"/>
  <c r="I77" i="8" s="1"/>
  <c r="H78" i="8"/>
  <c r="I78" i="8" s="1"/>
  <c r="H79" i="8"/>
  <c r="I79" i="8" s="1"/>
  <c r="M13" i="8"/>
  <c r="P13" i="8" s="1"/>
  <c r="D4" i="11" s="1"/>
  <c r="E4" i="11" s="1"/>
  <c r="B5" i="11" s="1"/>
  <c r="B15" i="8"/>
  <c r="A5" i="11" s="1"/>
  <c r="K312" i="12" l="1"/>
  <c r="K544" i="12"/>
  <c r="K602" i="12"/>
  <c r="N305" i="12"/>
  <c r="K254" i="12"/>
  <c r="K22" i="12"/>
  <c r="N247" i="12"/>
  <c r="K370" i="12"/>
  <c r="N15" i="12"/>
  <c r="N363" i="12"/>
  <c r="K660" i="12"/>
  <c r="N73" i="12"/>
  <c r="N189" i="12"/>
  <c r="N653" i="12"/>
  <c r="K428" i="12"/>
  <c r="N537" i="12"/>
  <c r="N421" i="12"/>
  <c r="K138" i="12"/>
  <c r="K486" i="12"/>
  <c r="N479" i="12"/>
  <c r="K80" i="12"/>
  <c r="N131" i="12"/>
  <c r="N595" i="12"/>
  <c r="K196" i="12"/>
  <c r="I660" i="8"/>
  <c r="L653" i="8"/>
  <c r="J657" i="8"/>
  <c r="K657" i="8" s="1"/>
  <c r="J658" i="8"/>
  <c r="K658" i="8" s="1"/>
  <c r="J659" i="8"/>
  <c r="K659" i="8" s="1"/>
  <c r="J656" i="8"/>
  <c r="K656" i="8" s="1"/>
  <c r="J655" i="8"/>
  <c r="K655" i="8" s="1"/>
  <c r="I602" i="8"/>
  <c r="L595" i="8"/>
  <c r="J599" i="8"/>
  <c r="K599" i="8" s="1"/>
  <c r="J600" i="8"/>
  <c r="K600" i="8" s="1"/>
  <c r="J601" i="8"/>
  <c r="K601" i="8" s="1"/>
  <c r="J597" i="8"/>
  <c r="K597" i="8" s="1"/>
  <c r="J598" i="8"/>
  <c r="K598" i="8" s="1"/>
  <c r="I544" i="8"/>
  <c r="L537" i="8"/>
  <c r="J541" i="8"/>
  <c r="K541" i="8" s="1"/>
  <c r="J542" i="8"/>
  <c r="K542" i="8" s="1"/>
  <c r="J543" i="8"/>
  <c r="K543" i="8" s="1"/>
  <c r="J539" i="8"/>
  <c r="K539" i="8" s="1"/>
  <c r="J540" i="8"/>
  <c r="K540" i="8" s="1"/>
  <c r="I428" i="8"/>
  <c r="I486" i="8"/>
  <c r="L479" i="8"/>
  <c r="J483" i="8"/>
  <c r="K483" i="8" s="1"/>
  <c r="J484" i="8"/>
  <c r="K484" i="8" s="1"/>
  <c r="J485" i="8"/>
  <c r="K485" i="8" s="1"/>
  <c r="J481" i="8"/>
  <c r="K481" i="8" s="1"/>
  <c r="J482" i="8"/>
  <c r="K482" i="8" s="1"/>
  <c r="L421" i="8"/>
  <c r="J425" i="8"/>
  <c r="K425" i="8" s="1"/>
  <c r="J426" i="8"/>
  <c r="K426" i="8" s="1"/>
  <c r="J427" i="8"/>
  <c r="K427" i="8" s="1"/>
  <c r="J423" i="8"/>
  <c r="K423" i="8" s="1"/>
  <c r="J424" i="8"/>
  <c r="K424" i="8" s="1"/>
  <c r="I312" i="8"/>
  <c r="I370" i="8"/>
  <c r="L363" i="8"/>
  <c r="J367" i="8"/>
  <c r="K367" i="8" s="1"/>
  <c r="J368" i="8"/>
  <c r="K368" i="8" s="1"/>
  <c r="J369" i="8"/>
  <c r="K369" i="8" s="1"/>
  <c r="J366" i="8"/>
  <c r="K366" i="8" s="1"/>
  <c r="J365" i="8"/>
  <c r="K365" i="8" s="1"/>
  <c r="L305" i="8"/>
  <c r="J309" i="8"/>
  <c r="K309" i="8" s="1"/>
  <c r="J310" i="8"/>
  <c r="K310" i="8" s="1"/>
  <c r="J311" i="8"/>
  <c r="K311" i="8" s="1"/>
  <c r="J308" i="8"/>
  <c r="K308" i="8" s="1"/>
  <c r="J307" i="8"/>
  <c r="K307" i="8" s="1"/>
  <c r="I254" i="8"/>
  <c r="L247" i="8"/>
  <c r="J251" i="8"/>
  <c r="K251" i="8" s="1"/>
  <c r="J252" i="8"/>
  <c r="K252" i="8" s="1"/>
  <c r="J253" i="8"/>
  <c r="K253" i="8" s="1"/>
  <c r="J250" i="8"/>
  <c r="K250" i="8" s="1"/>
  <c r="J249" i="8"/>
  <c r="K249" i="8" s="1"/>
  <c r="I196" i="8"/>
  <c r="L189" i="8"/>
  <c r="J193" i="8"/>
  <c r="K193" i="8" s="1"/>
  <c r="J194" i="8"/>
  <c r="K194" i="8" s="1"/>
  <c r="J192" i="8"/>
  <c r="K192" i="8" s="1"/>
  <c r="J195" i="8"/>
  <c r="K195" i="8" s="1"/>
  <c r="J191" i="8"/>
  <c r="K191" i="8" s="1"/>
  <c r="I138" i="8"/>
  <c r="L131" i="8"/>
  <c r="J135" i="8"/>
  <c r="K135" i="8" s="1"/>
  <c r="J136" i="8"/>
  <c r="K136" i="8" s="1"/>
  <c r="J137" i="8"/>
  <c r="K137" i="8" s="1"/>
  <c r="J134" i="8"/>
  <c r="K134" i="8" s="1"/>
  <c r="J133" i="8"/>
  <c r="K133" i="8" s="1"/>
  <c r="I80" i="8"/>
  <c r="L73" i="8"/>
  <c r="J77" i="8"/>
  <c r="K77" i="8" s="1"/>
  <c r="J78" i="8"/>
  <c r="K78" i="8" s="1"/>
  <c r="J79" i="8"/>
  <c r="K79" i="8" s="1"/>
  <c r="J76" i="8"/>
  <c r="K76" i="8" s="1"/>
  <c r="J75" i="8"/>
  <c r="K75" i="8" s="1"/>
  <c r="D15" i="8"/>
  <c r="B17" i="8"/>
  <c r="C17" i="8" s="1"/>
  <c r="B18" i="8"/>
  <c r="C18" i="8" s="1"/>
  <c r="B19" i="8"/>
  <c r="C19" i="8" s="1"/>
  <c r="B20" i="8"/>
  <c r="C20" i="8" s="1"/>
  <c r="B21" i="8"/>
  <c r="C21" i="8" s="1"/>
  <c r="P58" i="8"/>
  <c r="D9" i="11" s="1"/>
  <c r="P49" i="8"/>
  <c r="D8" i="11" s="1"/>
  <c r="M254" i="12" l="1"/>
  <c r="M138" i="12"/>
  <c r="M602" i="12"/>
  <c r="B24" i="12"/>
  <c r="M196" i="12"/>
  <c r="B488" i="12"/>
  <c r="M312" i="12"/>
  <c r="M486" i="12"/>
  <c r="M544" i="12"/>
  <c r="B82" i="12"/>
  <c r="M22" i="12"/>
  <c r="B314" i="12"/>
  <c r="B546" i="12"/>
  <c r="B604" i="12"/>
  <c r="B430" i="12"/>
  <c r="M80" i="12"/>
  <c r="B372" i="12"/>
  <c r="B256" i="12"/>
  <c r="M660" i="12"/>
  <c r="M370" i="12"/>
  <c r="B662" i="12"/>
  <c r="B140" i="12"/>
  <c r="B198" i="12"/>
  <c r="M428" i="12"/>
  <c r="K660" i="8"/>
  <c r="N653" i="8"/>
  <c r="L658" i="8"/>
  <c r="M658" i="8" s="1"/>
  <c r="L659" i="8"/>
  <c r="M659" i="8" s="1"/>
  <c r="M655" i="8"/>
  <c r="L656" i="8"/>
  <c r="M656" i="8" s="1"/>
  <c r="L657" i="8"/>
  <c r="M657" i="8" s="1"/>
  <c r="K602" i="8"/>
  <c r="N595" i="8"/>
  <c r="L600" i="8"/>
  <c r="M600" i="8" s="1"/>
  <c r="L601" i="8"/>
  <c r="M601" i="8" s="1"/>
  <c r="M597" i="8"/>
  <c r="L598" i="8"/>
  <c r="M598" i="8" s="1"/>
  <c r="L599" i="8"/>
  <c r="M599" i="8" s="1"/>
  <c r="K544" i="8"/>
  <c r="N537" i="8"/>
  <c r="L542" i="8"/>
  <c r="M542" i="8" s="1"/>
  <c r="L543" i="8"/>
  <c r="M543" i="8" s="1"/>
  <c r="L539" i="8"/>
  <c r="M539" i="8" s="1"/>
  <c r="L540" i="8"/>
  <c r="M540" i="8" s="1"/>
  <c r="L541" i="8"/>
  <c r="M541" i="8" s="1"/>
  <c r="K486" i="8"/>
  <c r="N479" i="8"/>
  <c r="L484" i="8"/>
  <c r="M484" i="8" s="1"/>
  <c r="L485" i="8"/>
  <c r="M485" i="8" s="1"/>
  <c r="L481" i="8"/>
  <c r="M481" i="8" s="1"/>
  <c r="L483" i="8"/>
  <c r="M483" i="8" s="1"/>
  <c r="L482" i="8"/>
  <c r="M482" i="8" s="1"/>
  <c r="K428" i="8"/>
  <c r="N421" i="8"/>
  <c r="L426" i="8"/>
  <c r="M426" i="8" s="1"/>
  <c r="L427" i="8"/>
  <c r="M427" i="8" s="1"/>
  <c r="L423" i="8"/>
  <c r="M423" i="8" s="1"/>
  <c r="L425" i="8"/>
  <c r="M425" i="8" s="1"/>
  <c r="L424" i="8"/>
  <c r="M424" i="8" s="1"/>
  <c r="K370" i="8"/>
  <c r="N363" i="8"/>
  <c r="L368" i="8"/>
  <c r="M368" i="8" s="1"/>
  <c r="L369" i="8"/>
  <c r="M369" i="8" s="1"/>
  <c r="M365" i="8"/>
  <c r="L366" i="8"/>
  <c r="M366" i="8" s="1"/>
  <c r="L367" i="8"/>
  <c r="M367" i="8" s="1"/>
  <c r="K312" i="8"/>
  <c r="N305" i="8"/>
  <c r="L310" i="8"/>
  <c r="M310" i="8" s="1"/>
  <c r="L311" i="8"/>
  <c r="M311" i="8" s="1"/>
  <c r="M307" i="8"/>
  <c r="L308" i="8"/>
  <c r="M308" i="8" s="1"/>
  <c r="L309" i="8"/>
  <c r="M309" i="8" s="1"/>
  <c r="K254" i="8"/>
  <c r="N247" i="8"/>
  <c r="L252" i="8"/>
  <c r="M252" i="8" s="1"/>
  <c r="L253" i="8"/>
  <c r="M253" i="8" s="1"/>
  <c r="L249" i="8"/>
  <c r="M249" i="8" s="1"/>
  <c r="L251" i="8"/>
  <c r="M251" i="8" s="1"/>
  <c r="L250" i="8"/>
  <c r="M250" i="8" s="1"/>
  <c r="K196" i="8"/>
  <c r="N189" i="8"/>
  <c r="L194" i="8"/>
  <c r="M194" i="8" s="1"/>
  <c r="L195" i="8"/>
  <c r="M195" i="8" s="1"/>
  <c r="L191" i="8"/>
  <c r="M191" i="8" s="1"/>
  <c r="L193" i="8"/>
  <c r="M193" i="8" s="1"/>
  <c r="L192" i="8"/>
  <c r="M192" i="8" s="1"/>
  <c r="K138" i="8"/>
  <c r="N131" i="8"/>
  <c r="L136" i="8"/>
  <c r="M136" i="8" s="1"/>
  <c r="L137" i="8"/>
  <c r="M137" i="8" s="1"/>
  <c r="L135" i="8"/>
  <c r="M135" i="8" s="1"/>
  <c r="L133" i="8"/>
  <c r="M133" i="8" s="1"/>
  <c r="L134" i="8"/>
  <c r="M134" i="8" s="1"/>
  <c r="K80" i="8"/>
  <c r="N73" i="8"/>
  <c r="L78" i="8"/>
  <c r="M78" i="8" s="1"/>
  <c r="L79" i="8"/>
  <c r="M79" i="8" s="1"/>
  <c r="L75" i="8"/>
  <c r="M75" i="8" s="1"/>
  <c r="L76" i="8"/>
  <c r="M76" i="8" s="1"/>
  <c r="L77" i="8"/>
  <c r="M77" i="8" s="1"/>
  <c r="C22" i="8"/>
  <c r="F15" i="8"/>
  <c r="F17" i="8" s="1"/>
  <c r="D17" i="8"/>
  <c r="E17" i="8" s="1"/>
  <c r="D18" i="8"/>
  <c r="E18" i="8" s="1"/>
  <c r="D19" i="8"/>
  <c r="E19" i="8" s="1"/>
  <c r="D20" i="8"/>
  <c r="E20" i="8" s="1"/>
  <c r="D21" i="8"/>
  <c r="E21" i="8" s="1"/>
  <c r="O602" i="12" l="1"/>
  <c r="P602" i="12" s="1"/>
  <c r="C85" i="11" s="1"/>
  <c r="O196" i="12"/>
  <c r="P196" i="12" s="1"/>
  <c r="C29" i="11" s="1"/>
  <c r="O370" i="12"/>
  <c r="P370" i="12" s="1"/>
  <c r="C53" i="11" s="1"/>
  <c r="D604" i="12"/>
  <c r="D372" i="12"/>
  <c r="D82" i="12"/>
  <c r="O22" i="12"/>
  <c r="P22" i="12" s="1"/>
  <c r="C5" i="11" s="1"/>
  <c r="O660" i="12"/>
  <c r="P660" i="12" s="1"/>
  <c r="C93" i="11" s="1"/>
  <c r="D24" i="12"/>
  <c r="D198" i="12"/>
  <c r="D662" i="12"/>
  <c r="O80" i="12"/>
  <c r="P80" i="12" s="1"/>
  <c r="C13" i="11" s="1"/>
  <c r="O544" i="12"/>
  <c r="P544" i="12" s="1"/>
  <c r="C77" i="11" s="1"/>
  <c r="O254" i="12"/>
  <c r="P254" i="12" s="1"/>
  <c r="C37" i="11" s="1"/>
  <c r="D546" i="12"/>
  <c r="O486" i="12"/>
  <c r="P486" i="12" s="1"/>
  <c r="C69" i="11" s="1"/>
  <c r="O428" i="12"/>
  <c r="P428" i="12" s="1"/>
  <c r="C61" i="11" s="1"/>
  <c r="O138" i="12"/>
  <c r="P138" i="12" s="1"/>
  <c r="C21" i="11" s="1"/>
  <c r="D430" i="12"/>
  <c r="O312" i="12"/>
  <c r="P312" i="12" s="1"/>
  <c r="C45" i="11" s="1"/>
  <c r="D256" i="12"/>
  <c r="D140" i="12"/>
  <c r="D314" i="12"/>
  <c r="D488" i="12"/>
  <c r="M660" i="8"/>
  <c r="B662" i="8"/>
  <c r="N659" i="8"/>
  <c r="O659" i="8" s="1"/>
  <c r="N655" i="8"/>
  <c r="O655" i="8" s="1"/>
  <c r="N656" i="8"/>
  <c r="O656" i="8" s="1"/>
  <c r="N657" i="8"/>
  <c r="O657" i="8" s="1"/>
  <c r="N658" i="8"/>
  <c r="O658" i="8" s="1"/>
  <c r="M602" i="8"/>
  <c r="B604" i="8"/>
  <c r="N601" i="8"/>
  <c r="O601" i="8" s="1"/>
  <c r="N597" i="8"/>
  <c r="O597" i="8" s="1"/>
  <c r="N598" i="8"/>
  <c r="O598" i="8" s="1"/>
  <c r="N599" i="8"/>
  <c r="O599" i="8" s="1"/>
  <c r="N600" i="8"/>
  <c r="O600" i="8" s="1"/>
  <c r="M544" i="8"/>
  <c r="B546" i="8"/>
  <c r="N543" i="8"/>
  <c r="O543" i="8" s="1"/>
  <c r="N539" i="8"/>
  <c r="O539" i="8" s="1"/>
  <c r="N540" i="8"/>
  <c r="O540" i="8" s="1"/>
  <c r="N541" i="8"/>
  <c r="O541" i="8" s="1"/>
  <c r="N542" i="8"/>
  <c r="O542" i="8" s="1"/>
  <c r="M486" i="8"/>
  <c r="B488" i="8"/>
  <c r="A70" i="11" s="1"/>
  <c r="N485" i="8"/>
  <c r="O485" i="8" s="1"/>
  <c r="N481" i="8"/>
  <c r="O481" i="8" s="1"/>
  <c r="N482" i="8"/>
  <c r="O482" i="8" s="1"/>
  <c r="N483" i="8"/>
  <c r="O483" i="8" s="1"/>
  <c r="N484" i="8"/>
  <c r="O484" i="8" s="1"/>
  <c r="M428" i="8"/>
  <c r="B430" i="8"/>
  <c r="A62" i="11" s="1"/>
  <c r="N427" i="8"/>
  <c r="O427" i="8" s="1"/>
  <c r="N423" i="8"/>
  <c r="O423" i="8" s="1"/>
  <c r="N424" i="8"/>
  <c r="O424" i="8" s="1"/>
  <c r="N425" i="8"/>
  <c r="O425" i="8" s="1"/>
  <c r="N426" i="8"/>
  <c r="O426" i="8" s="1"/>
  <c r="M370" i="8"/>
  <c r="B372" i="8"/>
  <c r="A54" i="11" s="1"/>
  <c r="N369" i="8"/>
  <c r="O369" i="8" s="1"/>
  <c r="N365" i="8"/>
  <c r="O365" i="8" s="1"/>
  <c r="N366" i="8"/>
  <c r="O366" i="8" s="1"/>
  <c r="N367" i="8"/>
  <c r="O367" i="8" s="1"/>
  <c r="N368" i="8"/>
  <c r="O368" i="8" s="1"/>
  <c r="M312" i="8"/>
  <c r="B314" i="8"/>
  <c r="A46" i="11" s="1"/>
  <c r="N311" i="8"/>
  <c r="O311" i="8" s="1"/>
  <c r="N307" i="8"/>
  <c r="O307" i="8" s="1"/>
  <c r="N308" i="8"/>
  <c r="O308" i="8" s="1"/>
  <c r="N309" i="8"/>
  <c r="O309" i="8" s="1"/>
  <c r="N310" i="8"/>
  <c r="O310" i="8" s="1"/>
  <c r="M254" i="8"/>
  <c r="B256" i="8"/>
  <c r="A38" i="11" s="1"/>
  <c r="N253" i="8"/>
  <c r="O253" i="8" s="1"/>
  <c r="N249" i="8"/>
  <c r="O249" i="8" s="1"/>
  <c r="N250" i="8"/>
  <c r="O250" i="8" s="1"/>
  <c r="N251" i="8"/>
  <c r="O251" i="8" s="1"/>
  <c r="N252" i="8"/>
  <c r="O252" i="8" s="1"/>
  <c r="M196" i="8"/>
  <c r="B198" i="8"/>
  <c r="A30" i="11" s="1"/>
  <c r="N195" i="8"/>
  <c r="O195" i="8" s="1"/>
  <c r="N194" i="8"/>
  <c r="O194" i="8" s="1"/>
  <c r="N191" i="8"/>
  <c r="O191" i="8" s="1"/>
  <c r="N192" i="8"/>
  <c r="O192" i="8" s="1"/>
  <c r="N193" i="8"/>
  <c r="O193" i="8" s="1"/>
  <c r="M138" i="8"/>
  <c r="B140" i="8"/>
  <c r="A22" i="11" s="1"/>
  <c r="N137" i="8"/>
  <c r="O137" i="8" s="1"/>
  <c r="N133" i="8"/>
  <c r="O133" i="8" s="1"/>
  <c r="N134" i="8"/>
  <c r="O134" i="8" s="1"/>
  <c r="N135" i="8"/>
  <c r="O135" i="8" s="1"/>
  <c r="N136" i="8"/>
  <c r="O136" i="8" s="1"/>
  <c r="M80" i="8"/>
  <c r="B82" i="8"/>
  <c r="A14" i="11" s="1"/>
  <c r="N79" i="8"/>
  <c r="O79" i="8" s="1"/>
  <c r="N75" i="8"/>
  <c r="O75" i="8" s="1"/>
  <c r="N76" i="8"/>
  <c r="O76" i="8" s="1"/>
  <c r="N77" i="8"/>
  <c r="O77" i="8" s="1"/>
  <c r="N78" i="8"/>
  <c r="O78" i="8" s="1"/>
  <c r="E22" i="8"/>
  <c r="H15" i="8"/>
  <c r="G17" i="8"/>
  <c r="F18" i="8"/>
  <c r="G18" i="8" s="1"/>
  <c r="F19" i="8"/>
  <c r="G19" i="8" s="1"/>
  <c r="F20" i="8"/>
  <c r="G20" i="8" s="1"/>
  <c r="F21" i="8"/>
  <c r="G21" i="8" s="1"/>
  <c r="C321" i="12" l="1"/>
  <c r="C437" i="12"/>
  <c r="C495" i="12"/>
  <c r="C553" i="12"/>
  <c r="C379" i="12"/>
  <c r="F140" i="12"/>
  <c r="F430" i="12"/>
  <c r="C669" i="12"/>
  <c r="F604" i="12"/>
  <c r="C147" i="12"/>
  <c r="F662" i="12"/>
  <c r="F24" i="12"/>
  <c r="F488" i="12"/>
  <c r="F82" i="12"/>
  <c r="C611" i="12"/>
  <c r="C263" i="12"/>
  <c r="F198" i="12"/>
  <c r="C89" i="12"/>
  <c r="F256" i="12"/>
  <c r="F314" i="12"/>
  <c r="F546" i="12"/>
  <c r="C205" i="12"/>
  <c r="F372" i="12"/>
  <c r="C31" i="12"/>
  <c r="D662" i="8"/>
  <c r="B664" i="8"/>
  <c r="C664" i="8" s="1"/>
  <c r="B665" i="8"/>
  <c r="C665" i="8" s="1"/>
  <c r="B666" i="8"/>
  <c r="C666" i="8" s="1"/>
  <c r="B667" i="8"/>
  <c r="C667" i="8" s="1"/>
  <c r="B668" i="8"/>
  <c r="C668" i="8" s="1"/>
  <c r="O660" i="8"/>
  <c r="P660" i="8" s="1"/>
  <c r="D604" i="8"/>
  <c r="B606" i="8"/>
  <c r="C606" i="8" s="1"/>
  <c r="B607" i="8"/>
  <c r="C607" i="8" s="1"/>
  <c r="B608" i="8"/>
  <c r="C608" i="8" s="1"/>
  <c r="B609" i="8"/>
  <c r="C609" i="8" s="1"/>
  <c r="B610" i="8"/>
  <c r="C610" i="8" s="1"/>
  <c r="O602" i="8"/>
  <c r="P602" i="8" s="1"/>
  <c r="D546" i="8"/>
  <c r="B548" i="8"/>
  <c r="C548" i="8" s="1"/>
  <c r="B549" i="8"/>
  <c r="C549" i="8" s="1"/>
  <c r="B550" i="8"/>
  <c r="C550" i="8" s="1"/>
  <c r="B551" i="8"/>
  <c r="C551" i="8" s="1"/>
  <c r="B552" i="8"/>
  <c r="C552" i="8" s="1"/>
  <c r="O544" i="8"/>
  <c r="P544" i="8" s="1"/>
  <c r="D488" i="8"/>
  <c r="B490" i="8"/>
  <c r="C490" i="8" s="1"/>
  <c r="B491" i="8"/>
  <c r="C491" i="8" s="1"/>
  <c r="B492" i="8"/>
  <c r="C492" i="8" s="1"/>
  <c r="B493" i="8"/>
  <c r="C493" i="8" s="1"/>
  <c r="B494" i="8"/>
  <c r="C494" i="8" s="1"/>
  <c r="O486" i="8"/>
  <c r="P486" i="8" s="1"/>
  <c r="D430" i="8"/>
  <c r="B432" i="8"/>
  <c r="C432" i="8" s="1"/>
  <c r="B433" i="8"/>
  <c r="C433" i="8" s="1"/>
  <c r="B434" i="8"/>
  <c r="C434" i="8" s="1"/>
  <c r="B435" i="8"/>
  <c r="C435" i="8" s="1"/>
  <c r="B436" i="8"/>
  <c r="C436" i="8" s="1"/>
  <c r="O428" i="8"/>
  <c r="P428" i="8" s="1"/>
  <c r="D372" i="8"/>
  <c r="B374" i="8"/>
  <c r="C374" i="8" s="1"/>
  <c r="B375" i="8"/>
  <c r="C375" i="8" s="1"/>
  <c r="B376" i="8"/>
  <c r="C376" i="8" s="1"/>
  <c r="B377" i="8"/>
  <c r="C377" i="8" s="1"/>
  <c r="B378" i="8"/>
  <c r="C378" i="8" s="1"/>
  <c r="O370" i="8"/>
  <c r="P370" i="8" s="1"/>
  <c r="D314" i="8"/>
  <c r="B316" i="8"/>
  <c r="C316" i="8" s="1"/>
  <c r="B317" i="8"/>
  <c r="C317" i="8" s="1"/>
  <c r="B318" i="8"/>
  <c r="C318" i="8" s="1"/>
  <c r="B319" i="8"/>
  <c r="C319" i="8" s="1"/>
  <c r="B320" i="8"/>
  <c r="C320" i="8" s="1"/>
  <c r="O312" i="8"/>
  <c r="P312" i="8" s="1"/>
  <c r="D256" i="8"/>
  <c r="B258" i="8"/>
  <c r="C258" i="8" s="1"/>
  <c r="B259" i="8"/>
  <c r="C259" i="8" s="1"/>
  <c r="B260" i="8"/>
  <c r="C260" i="8" s="1"/>
  <c r="B261" i="8"/>
  <c r="C261" i="8" s="1"/>
  <c r="B262" i="8"/>
  <c r="C262" i="8" s="1"/>
  <c r="O254" i="8"/>
  <c r="P254" i="8" s="1"/>
  <c r="D198" i="8"/>
  <c r="B200" i="8"/>
  <c r="C200" i="8" s="1"/>
  <c r="B201" i="8"/>
  <c r="C201" i="8" s="1"/>
  <c r="B202" i="8"/>
  <c r="C202" i="8" s="1"/>
  <c r="B203" i="8"/>
  <c r="C203" i="8" s="1"/>
  <c r="B204" i="8"/>
  <c r="C204" i="8" s="1"/>
  <c r="O196" i="8"/>
  <c r="P196" i="8" s="1"/>
  <c r="D140" i="8"/>
  <c r="B142" i="8"/>
  <c r="C142" i="8" s="1"/>
  <c r="B143" i="8"/>
  <c r="C143" i="8" s="1"/>
  <c r="B144" i="8"/>
  <c r="C144" i="8" s="1"/>
  <c r="B145" i="8"/>
  <c r="C145" i="8" s="1"/>
  <c r="B146" i="8"/>
  <c r="C146" i="8" s="1"/>
  <c r="O138" i="8"/>
  <c r="P138" i="8" s="1"/>
  <c r="D82" i="8"/>
  <c r="B84" i="8"/>
  <c r="C84" i="8" s="1"/>
  <c r="B85" i="8"/>
  <c r="C85" i="8" s="1"/>
  <c r="B86" i="8"/>
  <c r="C86" i="8" s="1"/>
  <c r="B87" i="8"/>
  <c r="C87" i="8" s="1"/>
  <c r="B88" i="8"/>
  <c r="C88" i="8" s="1"/>
  <c r="O80" i="8"/>
  <c r="P80" i="8" s="1"/>
  <c r="G22" i="8"/>
  <c r="J15" i="8"/>
  <c r="H18" i="8"/>
  <c r="I18" i="8" s="1"/>
  <c r="H19" i="8"/>
  <c r="I19" i="8" s="1"/>
  <c r="H20" i="8"/>
  <c r="I20" i="8" s="1"/>
  <c r="H21" i="8"/>
  <c r="I21" i="8" s="1"/>
  <c r="H17" i="8"/>
  <c r="I17" i="8" s="1"/>
  <c r="E495" i="12" l="1"/>
  <c r="E379" i="12"/>
  <c r="E89" i="12"/>
  <c r="H430" i="12"/>
  <c r="E553" i="12"/>
  <c r="E669" i="12"/>
  <c r="H662" i="12"/>
  <c r="E437" i="12"/>
  <c r="H198" i="12"/>
  <c r="H314" i="12"/>
  <c r="H488" i="12"/>
  <c r="E147" i="12"/>
  <c r="E205" i="12"/>
  <c r="E321" i="12"/>
  <c r="H24" i="12"/>
  <c r="H604" i="12"/>
  <c r="H256" i="12"/>
  <c r="E31" i="12"/>
  <c r="H140" i="12"/>
  <c r="H372" i="12"/>
  <c r="E263" i="12"/>
  <c r="H82" i="12"/>
  <c r="E611" i="12"/>
  <c r="H546" i="12"/>
  <c r="C669" i="8"/>
  <c r="F662" i="8"/>
  <c r="D664" i="8"/>
  <c r="E664" i="8" s="1"/>
  <c r="D665" i="8"/>
  <c r="E665" i="8" s="1"/>
  <c r="D666" i="8"/>
  <c r="E666" i="8" s="1"/>
  <c r="D667" i="8"/>
  <c r="E667" i="8" s="1"/>
  <c r="D668" i="8"/>
  <c r="E668" i="8" s="1"/>
  <c r="D93" i="11"/>
  <c r="C611" i="8"/>
  <c r="F604" i="8"/>
  <c r="D606" i="8"/>
  <c r="E606" i="8" s="1"/>
  <c r="D607" i="8"/>
  <c r="E607" i="8" s="1"/>
  <c r="D608" i="8"/>
  <c r="E608" i="8" s="1"/>
  <c r="D609" i="8"/>
  <c r="E609" i="8" s="1"/>
  <c r="D610" i="8"/>
  <c r="E610" i="8" s="1"/>
  <c r="D85" i="11"/>
  <c r="C553" i="8"/>
  <c r="F546" i="8"/>
  <c r="D548" i="8"/>
  <c r="E548" i="8" s="1"/>
  <c r="D549" i="8"/>
  <c r="E549" i="8" s="1"/>
  <c r="D550" i="8"/>
  <c r="E550" i="8" s="1"/>
  <c r="D551" i="8"/>
  <c r="E551" i="8" s="1"/>
  <c r="D552" i="8"/>
  <c r="E552" i="8" s="1"/>
  <c r="D77" i="11"/>
  <c r="C495" i="8"/>
  <c r="F488" i="8"/>
  <c r="D490" i="8"/>
  <c r="E490" i="8" s="1"/>
  <c r="D491" i="8"/>
  <c r="E491" i="8" s="1"/>
  <c r="D492" i="8"/>
  <c r="E492" i="8" s="1"/>
  <c r="D493" i="8"/>
  <c r="E493" i="8" s="1"/>
  <c r="D494" i="8"/>
  <c r="E494" i="8" s="1"/>
  <c r="D69" i="11"/>
  <c r="C437" i="8"/>
  <c r="F430" i="8"/>
  <c r="D432" i="8"/>
  <c r="E432" i="8" s="1"/>
  <c r="D433" i="8"/>
  <c r="E433" i="8" s="1"/>
  <c r="D434" i="8"/>
  <c r="E434" i="8" s="1"/>
  <c r="D435" i="8"/>
  <c r="E435" i="8" s="1"/>
  <c r="D436" i="8"/>
  <c r="E436" i="8" s="1"/>
  <c r="D61" i="11"/>
  <c r="C379" i="8"/>
  <c r="F372" i="8"/>
  <c r="D374" i="8"/>
  <c r="E374" i="8" s="1"/>
  <c r="D375" i="8"/>
  <c r="E375" i="8" s="1"/>
  <c r="D376" i="8"/>
  <c r="E376" i="8" s="1"/>
  <c r="D377" i="8"/>
  <c r="E377" i="8" s="1"/>
  <c r="D378" i="8"/>
  <c r="E378" i="8" s="1"/>
  <c r="D53" i="11"/>
  <c r="C321" i="8"/>
  <c r="F314" i="8"/>
  <c r="D316" i="8"/>
  <c r="E316" i="8" s="1"/>
  <c r="D317" i="8"/>
  <c r="E317" i="8" s="1"/>
  <c r="D318" i="8"/>
  <c r="E318" i="8" s="1"/>
  <c r="D319" i="8"/>
  <c r="E319" i="8" s="1"/>
  <c r="D320" i="8"/>
  <c r="E320" i="8" s="1"/>
  <c r="D45" i="11"/>
  <c r="C263" i="8"/>
  <c r="F256" i="8"/>
  <c r="D258" i="8"/>
  <c r="E258" i="8" s="1"/>
  <c r="D259" i="8"/>
  <c r="E259" i="8" s="1"/>
  <c r="D260" i="8"/>
  <c r="E260" i="8" s="1"/>
  <c r="D261" i="8"/>
  <c r="E261" i="8" s="1"/>
  <c r="D262" i="8"/>
  <c r="E262" i="8" s="1"/>
  <c r="D37" i="11"/>
  <c r="C205" i="8"/>
  <c r="F198" i="8"/>
  <c r="D200" i="8"/>
  <c r="E200" i="8" s="1"/>
  <c r="D201" i="8"/>
  <c r="E201" i="8" s="1"/>
  <c r="D202" i="8"/>
  <c r="E202" i="8" s="1"/>
  <c r="D203" i="8"/>
  <c r="E203" i="8" s="1"/>
  <c r="D204" i="8"/>
  <c r="E204" i="8" s="1"/>
  <c r="D29" i="11"/>
  <c r="C147" i="8"/>
  <c r="F140" i="8"/>
  <c r="D142" i="8"/>
  <c r="E142" i="8" s="1"/>
  <c r="D143" i="8"/>
  <c r="E143" i="8" s="1"/>
  <c r="D144" i="8"/>
  <c r="E144" i="8" s="1"/>
  <c r="D145" i="8"/>
  <c r="E145" i="8" s="1"/>
  <c r="D146" i="8"/>
  <c r="E146" i="8" s="1"/>
  <c r="D21" i="11"/>
  <c r="C89" i="8"/>
  <c r="F82" i="8"/>
  <c r="D84" i="8"/>
  <c r="E84" i="8" s="1"/>
  <c r="D85" i="8"/>
  <c r="E85" i="8" s="1"/>
  <c r="D86" i="8"/>
  <c r="E86" i="8" s="1"/>
  <c r="D87" i="8"/>
  <c r="E87" i="8" s="1"/>
  <c r="D88" i="8"/>
  <c r="E88" i="8" s="1"/>
  <c r="D13" i="11"/>
  <c r="I22" i="8"/>
  <c r="L15" i="8"/>
  <c r="J19" i="8"/>
  <c r="K19" i="8" s="1"/>
  <c r="J20" i="8"/>
  <c r="K20" i="8" s="1"/>
  <c r="J21" i="8"/>
  <c r="K21" i="8" s="1"/>
  <c r="J17" i="8"/>
  <c r="K17" i="8" s="1"/>
  <c r="J18" i="8"/>
  <c r="K18" i="8" s="1"/>
  <c r="G321" i="12" l="1"/>
  <c r="G31" i="12"/>
  <c r="G553" i="12"/>
  <c r="J140" i="12"/>
  <c r="G89" i="12"/>
  <c r="J314" i="12"/>
  <c r="J24" i="12"/>
  <c r="G669" i="12"/>
  <c r="J256" i="12"/>
  <c r="J662" i="12"/>
  <c r="J546" i="12"/>
  <c r="J372" i="12"/>
  <c r="G379" i="12"/>
  <c r="G263" i="12"/>
  <c r="J198" i="12"/>
  <c r="J430" i="12"/>
  <c r="G611" i="12"/>
  <c r="J604" i="12"/>
  <c r="G437" i="12"/>
  <c r="J488" i="12"/>
  <c r="J82" i="12"/>
  <c r="G495" i="12"/>
  <c r="G205" i="12"/>
  <c r="G147" i="12"/>
  <c r="E669" i="8"/>
  <c r="H662" i="8"/>
  <c r="F664" i="8"/>
  <c r="G664" i="8" s="1"/>
  <c r="F665" i="8"/>
  <c r="G665" i="8" s="1"/>
  <c r="F666" i="8"/>
  <c r="G666" i="8" s="1"/>
  <c r="F667" i="8"/>
  <c r="G667" i="8" s="1"/>
  <c r="F668" i="8"/>
  <c r="G668" i="8" s="1"/>
  <c r="E611" i="8"/>
  <c r="H604" i="8"/>
  <c r="F606" i="8"/>
  <c r="G606" i="8" s="1"/>
  <c r="F607" i="8"/>
  <c r="G607" i="8" s="1"/>
  <c r="F608" i="8"/>
  <c r="G608" i="8" s="1"/>
  <c r="F609" i="8"/>
  <c r="G609" i="8" s="1"/>
  <c r="F610" i="8"/>
  <c r="G610" i="8" s="1"/>
  <c r="E553" i="8"/>
  <c r="H546" i="8"/>
  <c r="F548" i="8"/>
  <c r="G548" i="8" s="1"/>
  <c r="F549" i="8"/>
  <c r="G549" i="8" s="1"/>
  <c r="F550" i="8"/>
  <c r="G550" i="8" s="1"/>
  <c r="F551" i="8"/>
  <c r="G551" i="8" s="1"/>
  <c r="F552" i="8"/>
  <c r="G552" i="8" s="1"/>
  <c r="E495" i="8"/>
  <c r="H488" i="8"/>
  <c r="F490" i="8"/>
  <c r="G490" i="8" s="1"/>
  <c r="F491" i="8"/>
  <c r="G491" i="8" s="1"/>
  <c r="F492" i="8"/>
  <c r="G492" i="8" s="1"/>
  <c r="F493" i="8"/>
  <c r="G493" i="8" s="1"/>
  <c r="F494" i="8"/>
  <c r="G494" i="8" s="1"/>
  <c r="E437" i="8"/>
  <c r="H430" i="8"/>
  <c r="F432" i="8"/>
  <c r="G432" i="8" s="1"/>
  <c r="F433" i="8"/>
  <c r="G433" i="8" s="1"/>
  <c r="F434" i="8"/>
  <c r="G434" i="8" s="1"/>
  <c r="F435" i="8"/>
  <c r="G435" i="8" s="1"/>
  <c r="F436" i="8"/>
  <c r="G436" i="8" s="1"/>
  <c r="E379" i="8"/>
  <c r="H372" i="8"/>
  <c r="F374" i="8"/>
  <c r="G374" i="8" s="1"/>
  <c r="F375" i="8"/>
  <c r="G375" i="8" s="1"/>
  <c r="F376" i="8"/>
  <c r="G376" i="8" s="1"/>
  <c r="F377" i="8"/>
  <c r="G377" i="8" s="1"/>
  <c r="F378" i="8"/>
  <c r="G378" i="8" s="1"/>
  <c r="E321" i="8"/>
  <c r="H314" i="8"/>
  <c r="F316" i="8"/>
  <c r="G316" i="8" s="1"/>
  <c r="F317" i="8"/>
  <c r="G317" i="8" s="1"/>
  <c r="F318" i="8"/>
  <c r="G318" i="8" s="1"/>
  <c r="F319" i="8"/>
  <c r="G319" i="8" s="1"/>
  <c r="F320" i="8"/>
  <c r="G320" i="8" s="1"/>
  <c r="E263" i="8"/>
  <c r="H256" i="8"/>
  <c r="F258" i="8"/>
  <c r="G258" i="8" s="1"/>
  <c r="F259" i="8"/>
  <c r="G259" i="8" s="1"/>
  <c r="F260" i="8"/>
  <c r="G260" i="8" s="1"/>
  <c r="F261" i="8"/>
  <c r="G261" i="8" s="1"/>
  <c r="F262" i="8"/>
  <c r="G262" i="8" s="1"/>
  <c r="E205" i="8"/>
  <c r="H198" i="8"/>
  <c r="F200" i="8"/>
  <c r="G200" i="8" s="1"/>
  <c r="F201" i="8"/>
  <c r="G201" i="8" s="1"/>
  <c r="F202" i="8"/>
  <c r="G202" i="8" s="1"/>
  <c r="F203" i="8"/>
  <c r="G203" i="8" s="1"/>
  <c r="F204" i="8"/>
  <c r="G204" i="8" s="1"/>
  <c r="E147" i="8"/>
  <c r="H140" i="8"/>
  <c r="F142" i="8"/>
  <c r="G142" i="8" s="1"/>
  <c r="F143" i="8"/>
  <c r="G143" i="8" s="1"/>
  <c r="F144" i="8"/>
  <c r="G144" i="8" s="1"/>
  <c r="F145" i="8"/>
  <c r="G145" i="8" s="1"/>
  <c r="F146" i="8"/>
  <c r="G146" i="8" s="1"/>
  <c r="E89" i="8"/>
  <c r="H82" i="8"/>
  <c r="F84" i="8"/>
  <c r="G84" i="8" s="1"/>
  <c r="F85" i="8"/>
  <c r="G85" i="8" s="1"/>
  <c r="F86" i="8"/>
  <c r="G86" i="8" s="1"/>
  <c r="F87" i="8"/>
  <c r="G87" i="8" s="1"/>
  <c r="F88" i="8"/>
  <c r="G88" i="8" s="1"/>
  <c r="K22" i="8"/>
  <c r="N15" i="8"/>
  <c r="L20" i="8"/>
  <c r="M20" i="8" s="1"/>
  <c r="L21" i="8"/>
  <c r="M21" i="8" s="1"/>
  <c r="L17" i="8"/>
  <c r="M17" i="8" s="1"/>
  <c r="L18" i="8"/>
  <c r="M18" i="8" s="1"/>
  <c r="L19" i="8"/>
  <c r="M19" i="8" s="1"/>
  <c r="I321" i="12" l="1"/>
  <c r="I89" i="12"/>
  <c r="L430" i="12"/>
  <c r="L372" i="12"/>
  <c r="I669" i="12"/>
  <c r="L314" i="12"/>
  <c r="I379" i="12"/>
  <c r="L256" i="12"/>
  <c r="I495" i="12"/>
  <c r="I263" i="12"/>
  <c r="L488" i="12"/>
  <c r="I437" i="12"/>
  <c r="L198" i="12"/>
  <c r="L546" i="12"/>
  <c r="I611" i="12"/>
  <c r="I147" i="12"/>
  <c r="L604" i="12"/>
  <c r="I205" i="12"/>
  <c r="I553" i="12"/>
  <c r="I31" i="12"/>
  <c r="L140" i="12"/>
  <c r="L82" i="12"/>
  <c r="L662" i="12"/>
  <c r="L24" i="12"/>
  <c r="G669" i="8"/>
  <c r="J662" i="8"/>
  <c r="H665" i="8"/>
  <c r="I665" i="8" s="1"/>
  <c r="H666" i="8"/>
  <c r="I666" i="8" s="1"/>
  <c r="H667" i="8"/>
  <c r="I667" i="8" s="1"/>
  <c r="H668" i="8"/>
  <c r="I668" i="8" s="1"/>
  <c r="H664" i="8"/>
  <c r="I664" i="8" s="1"/>
  <c r="G611" i="8"/>
  <c r="J604" i="8"/>
  <c r="H607" i="8"/>
  <c r="I607" i="8" s="1"/>
  <c r="H608" i="8"/>
  <c r="I608" i="8" s="1"/>
  <c r="H606" i="8"/>
  <c r="I606" i="8" s="1"/>
  <c r="H609" i="8"/>
  <c r="I609" i="8" s="1"/>
  <c r="H610" i="8"/>
  <c r="I610" i="8" s="1"/>
  <c r="G553" i="8"/>
  <c r="J546" i="8"/>
  <c r="H549" i="8"/>
  <c r="I549" i="8" s="1"/>
  <c r="H550" i="8"/>
  <c r="I550" i="8" s="1"/>
  <c r="H551" i="8"/>
  <c r="I551" i="8" s="1"/>
  <c r="H552" i="8"/>
  <c r="I552" i="8" s="1"/>
  <c r="H548" i="8"/>
  <c r="I548" i="8" s="1"/>
  <c r="G495" i="8"/>
  <c r="J488" i="8"/>
  <c r="H491" i="8"/>
  <c r="I491" i="8" s="1"/>
  <c r="H492" i="8"/>
  <c r="I492" i="8" s="1"/>
  <c r="H493" i="8"/>
  <c r="I493" i="8" s="1"/>
  <c r="H494" i="8"/>
  <c r="I494" i="8" s="1"/>
  <c r="H490" i="8"/>
  <c r="I490" i="8" s="1"/>
  <c r="G437" i="8"/>
  <c r="J430" i="8"/>
  <c r="H433" i="8"/>
  <c r="I433" i="8" s="1"/>
  <c r="H434" i="8"/>
  <c r="I434" i="8" s="1"/>
  <c r="H435" i="8"/>
  <c r="I435" i="8" s="1"/>
  <c r="H436" i="8"/>
  <c r="I436" i="8" s="1"/>
  <c r="H432" i="8"/>
  <c r="I432" i="8" s="1"/>
  <c r="G379" i="8"/>
  <c r="J372" i="8"/>
  <c r="H375" i="8"/>
  <c r="I375" i="8" s="1"/>
  <c r="H376" i="8"/>
  <c r="I376" i="8" s="1"/>
  <c r="H377" i="8"/>
  <c r="I377" i="8" s="1"/>
  <c r="H378" i="8"/>
  <c r="I378" i="8" s="1"/>
  <c r="H374" i="8"/>
  <c r="I374" i="8" s="1"/>
  <c r="G321" i="8"/>
  <c r="J314" i="8"/>
  <c r="H317" i="8"/>
  <c r="I317" i="8" s="1"/>
  <c r="H318" i="8"/>
  <c r="I318" i="8" s="1"/>
  <c r="H319" i="8"/>
  <c r="I319" i="8" s="1"/>
  <c r="H320" i="8"/>
  <c r="I320" i="8" s="1"/>
  <c r="H316" i="8"/>
  <c r="I316" i="8" s="1"/>
  <c r="G263" i="8"/>
  <c r="J256" i="8"/>
  <c r="H259" i="8"/>
  <c r="I259" i="8" s="1"/>
  <c r="H260" i="8"/>
  <c r="I260" i="8" s="1"/>
  <c r="H261" i="8"/>
  <c r="I261" i="8" s="1"/>
  <c r="H262" i="8"/>
  <c r="I262" i="8" s="1"/>
  <c r="H258" i="8"/>
  <c r="I258" i="8" s="1"/>
  <c r="G205" i="8"/>
  <c r="J198" i="8"/>
  <c r="H201" i="8"/>
  <c r="I201" i="8" s="1"/>
  <c r="H202" i="8"/>
  <c r="I202" i="8" s="1"/>
  <c r="H203" i="8"/>
  <c r="I203" i="8" s="1"/>
  <c r="H204" i="8"/>
  <c r="I204" i="8" s="1"/>
  <c r="H200" i="8"/>
  <c r="I200" i="8" s="1"/>
  <c r="G147" i="8"/>
  <c r="J140" i="8"/>
  <c r="H143" i="8"/>
  <c r="I143" i="8" s="1"/>
  <c r="H144" i="8"/>
  <c r="I144" i="8" s="1"/>
  <c r="H145" i="8"/>
  <c r="I145" i="8" s="1"/>
  <c r="H146" i="8"/>
  <c r="I146" i="8" s="1"/>
  <c r="H142" i="8"/>
  <c r="I142" i="8" s="1"/>
  <c r="G89" i="8"/>
  <c r="J82" i="8"/>
  <c r="H85" i="8"/>
  <c r="I85" i="8" s="1"/>
  <c r="H86" i="8"/>
  <c r="I86" i="8" s="1"/>
  <c r="H87" i="8"/>
  <c r="I87" i="8" s="1"/>
  <c r="H88" i="8"/>
  <c r="I88" i="8" s="1"/>
  <c r="H84" i="8"/>
  <c r="I84" i="8" s="1"/>
  <c r="M22" i="8"/>
  <c r="B24" i="8"/>
  <c r="A6" i="11" s="1"/>
  <c r="N21" i="8"/>
  <c r="O21" i="8" s="1"/>
  <c r="N17" i="8"/>
  <c r="O17" i="8" s="1"/>
  <c r="N18" i="8"/>
  <c r="O18" i="8" s="1"/>
  <c r="N19" i="8"/>
  <c r="O19" i="8" s="1"/>
  <c r="N20" i="8"/>
  <c r="O20" i="8" s="1"/>
  <c r="K553" i="12" l="1"/>
  <c r="K205" i="12"/>
  <c r="N372" i="12"/>
  <c r="K611" i="12"/>
  <c r="N198" i="12"/>
  <c r="N256" i="12"/>
  <c r="K379" i="12"/>
  <c r="K31" i="12"/>
  <c r="K89" i="12"/>
  <c r="K147" i="12"/>
  <c r="K263" i="12"/>
  <c r="N430" i="12"/>
  <c r="N24" i="12"/>
  <c r="N314" i="12"/>
  <c r="N662" i="12"/>
  <c r="N140" i="12"/>
  <c r="K437" i="12"/>
  <c r="N82" i="12"/>
  <c r="K321" i="12"/>
  <c r="N604" i="12"/>
  <c r="N546" i="12"/>
  <c r="K495" i="12"/>
  <c r="N488" i="12"/>
  <c r="K669" i="12"/>
  <c r="I669" i="8"/>
  <c r="L662" i="8"/>
  <c r="J666" i="8"/>
  <c r="K666" i="8" s="1"/>
  <c r="J667" i="8"/>
  <c r="K667" i="8" s="1"/>
  <c r="J668" i="8"/>
  <c r="K668" i="8" s="1"/>
  <c r="J665" i="8"/>
  <c r="K665" i="8" s="1"/>
  <c r="J664" i="8"/>
  <c r="K664" i="8" s="1"/>
  <c r="I611" i="8"/>
  <c r="L604" i="8"/>
  <c r="J608" i="8"/>
  <c r="K608" i="8" s="1"/>
  <c r="J609" i="8"/>
  <c r="K609" i="8" s="1"/>
  <c r="J610" i="8"/>
  <c r="K610" i="8" s="1"/>
  <c r="J607" i="8"/>
  <c r="K607" i="8" s="1"/>
  <c r="J606" i="8"/>
  <c r="K606" i="8" s="1"/>
  <c r="I553" i="8"/>
  <c r="L546" i="8"/>
  <c r="J550" i="8"/>
  <c r="K550" i="8" s="1"/>
  <c r="J551" i="8"/>
  <c r="K551" i="8" s="1"/>
  <c r="J549" i="8"/>
  <c r="K549" i="8" s="1"/>
  <c r="J552" i="8"/>
  <c r="K552" i="8" s="1"/>
  <c r="J548" i="8"/>
  <c r="K548" i="8" s="1"/>
  <c r="I495" i="8"/>
  <c r="L488" i="8"/>
  <c r="J492" i="8"/>
  <c r="K492" i="8" s="1"/>
  <c r="J493" i="8"/>
  <c r="K493" i="8" s="1"/>
  <c r="J494" i="8"/>
  <c r="K494" i="8" s="1"/>
  <c r="J490" i="8"/>
  <c r="K490" i="8" s="1"/>
  <c r="J491" i="8"/>
  <c r="K491" i="8" s="1"/>
  <c r="I437" i="8"/>
  <c r="L430" i="8"/>
  <c r="J434" i="8"/>
  <c r="K434" i="8" s="1"/>
  <c r="J435" i="8"/>
  <c r="K435" i="8" s="1"/>
  <c r="J436" i="8"/>
  <c r="K436" i="8" s="1"/>
  <c r="J433" i="8"/>
  <c r="K433" i="8" s="1"/>
  <c r="J432" i="8"/>
  <c r="K432" i="8" s="1"/>
  <c r="I321" i="8"/>
  <c r="I379" i="8"/>
  <c r="L372" i="8"/>
  <c r="J376" i="8"/>
  <c r="K376" i="8" s="1"/>
  <c r="J377" i="8"/>
  <c r="K377" i="8" s="1"/>
  <c r="J378" i="8"/>
  <c r="K378" i="8" s="1"/>
  <c r="J375" i="8"/>
  <c r="K375" i="8" s="1"/>
  <c r="J374" i="8"/>
  <c r="K374" i="8" s="1"/>
  <c r="L314" i="8"/>
  <c r="J318" i="8"/>
  <c r="K318" i="8" s="1"/>
  <c r="J319" i="8"/>
  <c r="K319" i="8" s="1"/>
  <c r="J320" i="8"/>
  <c r="K320" i="8" s="1"/>
  <c r="J317" i="8"/>
  <c r="K317" i="8" s="1"/>
  <c r="J316" i="8"/>
  <c r="K316" i="8" s="1"/>
  <c r="I263" i="8"/>
  <c r="L256" i="8"/>
  <c r="J260" i="8"/>
  <c r="K260" i="8" s="1"/>
  <c r="J261" i="8"/>
  <c r="K261" i="8" s="1"/>
  <c r="J262" i="8"/>
  <c r="K262" i="8" s="1"/>
  <c r="J259" i="8"/>
  <c r="K259" i="8" s="1"/>
  <c r="J258" i="8"/>
  <c r="K258" i="8" s="1"/>
  <c r="I205" i="8"/>
  <c r="L198" i="8"/>
  <c r="J202" i="8"/>
  <c r="K202" i="8" s="1"/>
  <c r="J203" i="8"/>
  <c r="K203" i="8" s="1"/>
  <c r="J204" i="8"/>
  <c r="K204" i="8" s="1"/>
  <c r="J201" i="8"/>
  <c r="K201" i="8" s="1"/>
  <c r="J200" i="8"/>
  <c r="K200" i="8" s="1"/>
  <c r="I147" i="8"/>
  <c r="L140" i="8"/>
  <c r="J144" i="8"/>
  <c r="K144" i="8" s="1"/>
  <c r="J145" i="8"/>
  <c r="K145" i="8" s="1"/>
  <c r="J146" i="8"/>
  <c r="K146" i="8" s="1"/>
  <c r="J142" i="8"/>
  <c r="K142" i="8" s="1"/>
  <c r="J143" i="8"/>
  <c r="K143" i="8" s="1"/>
  <c r="I89" i="8"/>
  <c r="L82" i="8"/>
  <c r="J86" i="8"/>
  <c r="K86" i="8" s="1"/>
  <c r="J87" i="8"/>
  <c r="K87" i="8" s="1"/>
  <c r="J88" i="8"/>
  <c r="K88" i="8" s="1"/>
  <c r="J84" i="8"/>
  <c r="K84" i="8" s="1"/>
  <c r="J85" i="8"/>
  <c r="K85" i="8" s="1"/>
  <c r="D24" i="8"/>
  <c r="B26" i="8"/>
  <c r="C26" i="8" s="1"/>
  <c r="B27" i="8"/>
  <c r="C27" i="8" s="1"/>
  <c r="B28" i="8"/>
  <c r="C28" i="8" s="1"/>
  <c r="B29" i="8"/>
  <c r="C29" i="8" s="1"/>
  <c r="B30" i="8"/>
  <c r="C30" i="8" s="1"/>
  <c r="O22" i="8"/>
  <c r="P22" i="8" s="1"/>
  <c r="M205" i="12" l="1"/>
  <c r="M669" i="12"/>
  <c r="B207" i="12"/>
  <c r="M437" i="12"/>
  <c r="M321" i="12"/>
  <c r="M553" i="12"/>
  <c r="M147" i="12"/>
  <c r="B323" i="12"/>
  <c r="B555" i="12"/>
  <c r="M495" i="12"/>
  <c r="M379" i="12"/>
  <c r="B149" i="12"/>
  <c r="M611" i="12"/>
  <c r="B265" i="12"/>
  <c r="B613" i="12"/>
  <c r="B671" i="12"/>
  <c r="M31" i="12"/>
  <c r="M263" i="12"/>
  <c r="B381" i="12"/>
  <c r="B497" i="12"/>
  <c r="B33" i="12"/>
  <c r="B91" i="12"/>
  <c r="B439" i="12"/>
  <c r="M89" i="12"/>
  <c r="K669" i="8"/>
  <c r="N662" i="8"/>
  <c r="L667" i="8"/>
  <c r="M667" i="8" s="1"/>
  <c r="L668" i="8"/>
  <c r="M668" i="8" s="1"/>
  <c r="L664" i="8"/>
  <c r="M664" i="8" s="1"/>
  <c r="L666" i="8"/>
  <c r="M666" i="8" s="1"/>
  <c r="L665" i="8"/>
  <c r="M665" i="8" s="1"/>
  <c r="K611" i="8"/>
  <c r="N604" i="8"/>
  <c r="L609" i="8"/>
  <c r="M609" i="8" s="1"/>
  <c r="L608" i="8"/>
  <c r="M608" i="8" s="1"/>
  <c r="L610" i="8"/>
  <c r="M610" i="8" s="1"/>
  <c r="L606" i="8"/>
  <c r="M606" i="8" s="1"/>
  <c r="L607" i="8"/>
  <c r="M607" i="8" s="1"/>
  <c r="K553" i="8"/>
  <c r="N546" i="8"/>
  <c r="L551" i="8"/>
  <c r="M551" i="8" s="1"/>
  <c r="L552" i="8"/>
  <c r="M552" i="8" s="1"/>
  <c r="M550" i="8"/>
  <c r="L548" i="8"/>
  <c r="M548" i="8" s="1"/>
  <c r="L549" i="8"/>
  <c r="M549" i="8" s="1"/>
  <c r="K379" i="8"/>
  <c r="K495" i="8"/>
  <c r="N488" i="8"/>
  <c r="L493" i="8"/>
  <c r="M493" i="8" s="1"/>
  <c r="L494" i="8"/>
  <c r="M494" i="8" s="1"/>
  <c r="M490" i="8"/>
  <c r="L491" i="8"/>
  <c r="M491" i="8" s="1"/>
  <c r="L492" i="8"/>
  <c r="M492" i="8" s="1"/>
  <c r="K437" i="8"/>
  <c r="N430" i="8"/>
  <c r="L435" i="8"/>
  <c r="M435" i="8" s="1"/>
  <c r="L436" i="8"/>
  <c r="M436" i="8" s="1"/>
  <c r="L434" i="8"/>
  <c r="M434" i="8" s="1"/>
  <c r="L432" i="8"/>
  <c r="M432" i="8" s="1"/>
  <c r="M433" i="8"/>
  <c r="N372" i="8"/>
  <c r="L377" i="8"/>
  <c r="M377" i="8" s="1"/>
  <c r="L378" i="8"/>
  <c r="M378" i="8" s="1"/>
  <c r="L376" i="8"/>
  <c r="M376" i="8" s="1"/>
  <c r="L374" i="8"/>
  <c r="M374" i="8" s="1"/>
  <c r="L375" i="8"/>
  <c r="M375" i="8" s="1"/>
  <c r="K321" i="8"/>
  <c r="N314" i="8"/>
  <c r="L319" i="8"/>
  <c r="M319" i="8" s="1"/>
  <c r="L320" i="8"/>
  <c r="M320" i="8" s="1"/>
  <c r="L316" i="8"/>
  <c r="M316" i="8" s="1"/>
  <c r="L318" i="8"/>
  <c r="M318" i="8" s="1"/>
  <c r="L317" i="8"/>
  <c r="M317" i="8" s="1"/>
  <c r="K263" i="8"/>
  <c r="N256" i="8"/>
  <c r="L261" i="8"/>
  <c r="M261" i="8" s="1"/>
  <c r="L262" i="8"/>
  <c r="M262" i="8" s="1"/>
  <c r="M258" i="8"/>
  <c r="L260" i="8"/>
  <c r="M260" i="8" s="1"/>
  <c r="L259" i="8"/>
  <c r="M259" i="8" s="1"/>
  <c r="K205" i="8"/>
  <c r="N198" i="8"/>
  <c r="L203" i="8"/>
  <c r="M203" i="8" s="1"/>
  <c r="L204" i="8"/>
  <c r="M204" i="8" s="1"/>
  <c r="M200" i="8"/>
  <c r="L201" i="8"/>
  <c r="M201" i="8" s="1"/>
  <c r="L202" i="8"/>
  <c r="M202" i="8" s="1"/>
  <c r="K147" i="8"/>
  <c r="N140" i="8"/>
  <c r="L145" i="8"/>
  <c r="M145" i="8" s="1"/>
  <c r="L146" i="8"/>
  <c r="M146" i="8" s="1"/>
  <c r="M142" i="8"/>
  <c r="L143" i="8"/>
  <c r="M143" i="8" s="1"/>
  <c r="L144" i="8"/>
  <c r="M144" i="8" s="1"/>
  <c r="K89" i="8"/>
  <c r="N82" i="8"/>
  <c r="L87" i="8"/>
  <c r="M87" i="8" s="1"/>
  <c r="L88" i="8"/>
  <c r="M88" i="8" s="1"/>
  <c r="L85" i="8"/>
  <c r="M85" i="8" s="1"/>
  <c r="M84" i="8"/>
  <c r="L86" i="8"/>
  <c r="M86" i="8" s="1"/>
  <c r="C31" i="8"/>
  <c r="F24" i="8"/>
  <c r="D26" i="8"/>
  <c r="E26" i="8" s="1"/>
  <c r="D27" i="8"/>
  <c r="E27" i="8" s="1"/>
  <c r="D28" i="8"/>
  <c r="E28" i="8" s="1"/>
  <c r="D29" i="8"/>
  <c r="E29" i="8" s="1"/>
  <c r="D30" i="8"/>
  <c r="E30" i="8" s="1"/>
  <c r="D5" i="11"/>
  <c r="E5" i="11" l="1"/>
  <c r="B6" i="11" s="1"/>
  <c r="O321" i="12"/>
  <c r="O147" i="12"/>
  <c r="P147" i="12" s="1"/>
  <c r="C22" i="11" s="1"/>
  <c r="P321" i="12"/>
  <c r="C46" i="11" s="1"/>
  <c r="O553" i="12"/>
  <c r="P553" i="12" s="1"/>
  <c r="C78" i="11" s="1"/>
  <c r="O437" i="12"/>
  <c r="P437" i="12" s="1"/>
  <c r="C62" i="11" s="1"/>
  <c r="D381" i="12"/>
  <c r="O611" i="12"/>
  <c r="P611" i="12" s="1"/>
  <c r="C86" i="11" s="1"/>
  <c r="D323" i="12"/>
  <c r="D613" i="12"/>
  <c r="O379" i="12"/>
  <c r="P379" i="12" s="1"/>
  <c r="C54" i="11" s="1"/>
  <c r="D265" i="12"/>
  <c r="O31" i="12"/>
  <c r="P31" i="12" s="1"/>
  <c r="C6" i="11" s="1"/>
  <c r="O263" i="12"/>
  <c r="P263" i="12" s="1"/>
  <c r="C38" i="11" s="1"/>
  <c r="D33" i="12"/>
  <c r="D671" i="12"/>
  <c r="D555" i="12"/>
  <c r="O205" i="12"/>
  <c r="P205" i="12" s="1"/>
  <c r="C30" i="11" s="1"/>
  <c r="O495" i="12"/>
  <c r="P495" i="12" s="1"/>
  <c r="C70" i="11" s="1"/>
  <c r="D207" i="12"/>
  <c r="D439" i="12"/>
  <c r="O89" i="12"/>
  <c r="P89" i="12" s="1"/>
  <c r="C14" i="11" s="1"/>
  <c r="O669" i="12"/>
  <c r="P669" i="12" s="1"/>
  <c r="C94" i="11" s="1"/>
  <c r="D149" i="12"/>
  <c r="D91" i="12"/>
  <c r="D497" i="12"/>
  <c r="M669" i="8"/>
  <c r="B671" i="8"/>
  <c r="N668" i="8"/>
  <c r="O668" i="8" s="1"/>
  <c r="N664" i="8"/>
  <c r="O664" i="8" s="1"/>
  <c r="N665" i="8"/>
  <c r="O665" i="8" s="1"/>
  <c r="N666" i="8"/>
  <c r="O666" i="8" s="1"/>
  <c r="N667" i="8"/>
  <c r="O667" i="8" s="1"/>
  <c r="M611" i="8"/>
  <c r="B613" i="8"/>
  <c r="N610" i="8"/>
  <c r="O610" i="8" s="1"/>
  <c r="N609" i="8"/>
  <c r="O609" i="8" s="1"/>
  <c r="N606" i="8"/>
  <c r="O606" i="8" s="1"/>
  <c r="N607" i="8"/>
  <c r="O607" i="8" s="1"/>
  <c r="N608" i="8"/>
  <c r="O608" i="8" s="1"/>
  <c r="M553" i="8"/>
  <c r="B555" i="8"/>
  <c r="N552" i="8"/>
  <c r="O552" i="8" s="1"/>
  <c r="N548" i="8"/>
  <c r="O548" i="8" s="1"/>
  <c r="N549" i="8"/>
  <c r="O549" i="8" s="1"/>
  <c r="N550" i="8"/>
  <c r="O550" i="8" s="1"/>
  <c r="N551" i="8"/>
  <c r="O551" i="8" s="1"/>
  <c r="M495" i="8"/>
  <c r="B497" i="8"/>
  <c r="A71" i="11" s="1"/>
  <c r="N494" i="8"/>
  <c r="O494" i="8" s="1"/>
  <c r="N490" i="8"/>
  <c r="O490" i="8" s="1"/>
  <c r="N491" i="8"/>
  <c r="O491" i="8" s="1"/>
  <c r="N492" i="8"/>
  <c r="O492" i="8" s="1"/>
  <c r="N493" i="8"/>
  <c r="O493" i="8" s="1"/>
  <c r="M437" i="8"/>
  <c r="B439" i="8"/>
  <c r="A63" i="11" s="1"/>
  <c r="N436" i="8"/>
  <c r="O436" i="8" s="1"/>
  <c r="N432" i="8"/>
  <c r="O432" i="8" s="1"/>
  <c r="N433" i="8"/>
  <c r="O433" i="8" s="1"/>
  <c r="N434" i="8"/>
  <c r="O434" i="8" s="1"/>
  <c r="N435" i="8"/>
  <c r="O435" i="8" s="1"/>
  <c r="M379" i="8"/>
  <c r="B381" i="8"/>
  <c r="A55" i="11" s="1"/>
  <c r="N378" i="8"/>
  <c r="O378" i="8" s="1"/>
  <c r="N374" i="8"/>
  <c r="O374" i="8" s="1"/>
  <c r="N377" i="8"/>
  <c r="O377" i="8" s="1"/>
  <c r="N375" i="8"/>
  <c r="O375" i="8" s="1"/>
  <c r="N376" i="8"/>
  <c r="O376" i="8" s="1"/>
  <c r="M321" i="8"/>
  <c r="B323" i="8"/>
  <c r="A47" i="11" s="1"/>
  <c r="N320" i="8"/>
  <c r="O320" i="8" s="1"/>
  <c r="N316" i="8"/>
  <c r="O316" i="8" s="1"/>
  <c r="N317" i="8"/>
  <c r="O317" i="8" s="1"/>
  <c r="N318" i="8"/>
  <c r="O318" i="8" s="1"/>
  <c r="N319" i="8"/>
  <c r="O319" i="8" s="1"/>
  <c r="M263" i="8"/>
  <c r="B265" i="8"/>
  <c r="A39" i="11" s="1"/>
  <c r="N262" i="8"/>
  <c r="O262" i="8" s="1"/>
  <c r="N258" i="8"/>
  <c r="O258" i="8" s="1"/>
  <c r="N259" i="8"/>
  <c r="O259" i="8" s="1"/>
  <c r="N260" i="8"/>
  <c r="O260" i="8" s="1"/>
  <c r="N261" i="8"/>
  <c r="O261" i="8" s="1"/>
  <c r="M205" i="8"/>
  <c r="B207" i="8"/>
  <c r="A31" i="11" s="1"/>
  <c r="N204" i="8"/>
  <c r="O204" i="8" s="1"/>
  <c r="N200" i="8"/>
  <c r="O200" i="8" s="1"/>
  <c r="N201" i="8"/>
  <c r="O201" i="8" s="1"/>
  <c r="N202" i="8"/>
  <c r="O202" i="8" s="1"/>
  <c r="N203" i="8"/>
  <c r="O203" i="8" s="1"/>
  <c r="M147" i="8"/>
  <c r="B149" i="8"/>
  <c r="A23" i="11" s="1"/>
  <c r="N146" i="8"/>
  <c r="O146" i="8" s="1"/>
  <c r="N142" i="8"/>
  <c r="O142" i="8" s="1"/>
  <c r="N145" i="8"/>
  <c r="O145" i="8" s="1"/>
  <c r="N143" i="8"/>
  <c r="O143" i="8" s="1"/>
  <c r="N144" i="8"/>
  <c r="O144" i="8" s="1"/>
  <c r="M89" i="8"/>
  <c r="B91" i="8"/>
  <c r="A15" i="11" s="1"/>
  <c r="N88" i="8"/>
  <c r="O88" i="8" s="1"/>
  <c r="N84" i="8"/>
  <c r="O84" i="8" s="1"/>
  <c r="N85" i="8"/>
  <c r="O85" i="8" s="1"/>
  <c r="N86" i="8"/>
  <c r="O86" i="8" s="1"/>
  <c r="N87" i="8"/>
  <c r="O87" i="8" s="1"/>
  <c r="E31" i="8"/>
  <c r="H24" i="8"/>
  <c r="F26" i="8"/>
  <c r="G26" i="8" s="1"/>
  <c r="F27" i="8"/>
  <c r="G27" i="8" s="1"/>
  <c r="F28" i="8"/>
  <c r="G28" i="8" s="1"/>
  <c r="F29" i="8"/>
  <c r="G29" i="8" s="1"/>
  <c r="F30" i="8"/>
  <c r="G30" i="8" s="1"/>
  <c r="C272" i="12" l="1"/>
  <c r="C40" i="12"/>
  <c r="C504" i="12"/>
  <c r="C678" i="12"/>
  <c r="F149" i="12"/>
  <c r="C388" i="12"/>
  <c r="C214" i="12"/>
  <c r="C156" i="12"/>
  <c r="C620" i="12"/>
  <c r="F381" i="12"/>
  <c r="F555" i="12"/>
  <c r="F33" i="12"/>
  <c r="F613" i="12"/>
  <c r="F497" i="12"/>
  <c r="C446" i="12"/>
  <c r="C562" i="12"/>
  <c r="F207" i="12"/>
  <c r="F91" i="12"/>
  <c r="C330" i="12"/>
  <c r="C98" i="12"/>
  <c r="F439" i="12"/>
  <c r="F671" i="12"/>
  <c r="F265" i="12"/>
  <c r="F323" i="12"/>
  <c r="D671" i="8"/>
  <c r="B673" i="8"/>
  <c r="C673" i="8" s="1"/>
  <c r="B674" i="8"/>
  <c r="C674" i="8" s="1"/>
  <c r="B675" i="8"/>
  <c r="C675" i="8" s="1"/>
  <c r="B676" i="8"/>
  <c r="C676" i="8" s="1"/>
  <c r="B677" i="8"/>
  <c r="C677" i="8" s="1"/>
  <c r="O669" i="8"/>
  <c r="P669" i="8" s="1"/>
  <c r="D613" i="8"/>
  <c r="B615" i="8"/>
  <c r="C615" i="8" s="1"/>
  <c r="B616" i="8"/>
  <c r="C616" i="8" s="1"/>
  <c r="B617" i="8"/>
  <c r="C617" i="8" s="1"/>
  <c r="B618" i="8"/>
  <c r="C618" i="8" s="1"/>
  <c r="B619" i="8"/>
  <c r="C619" i="8" s="1"/>
  <c r="O611" i="8"/>
  <c r="P611" i="8" s="1"/>
  <c r="D555" i="8"/>
  <c r="B557" i="8"/>
  <c r="C557" i="8" s="1"/>
  <c r="B558" i="8"/>
  <c r="C558" i="8" s="1"/>
  <c r="B559" i="8"/>
  <c r="C559" i="8" s="1"/>
  <c r="B560" i="8"/>
  <c r="C560" i="8" s="1"/>
  <c r="B561" i="8"/>
  <c r="C561" i="8" s="1"/>
  <c r="O553" i="8"/>
  <c r="P553" i="8" s="1"/>
  <c r="D497" i="8"/>
  <c r="B499" i="8"/>
  <c r="C499" i="8" s="1"/>
  <c r="B500" i="8"/>
  <c r="C500" i="8" s="1"/>
  <c r="B501" i="8"/>
  <c r="C501" i="8" s="1"/>
  <c r="B502" i="8"/>
  <c r="C502" i="8" s="1"/>
  <c r="B503" i="8"/>
  <c r="C503" i="8" s="1"/>
  <c r="O495" i="8"/>
  <c r="P495" i="8" s="1"/>
  <c r="D439" i="8"/>
  <c r="B441" i="8"/>
  <c r="C441" i="8" s="1"/>
  <c r="B442" i="8"/>
  <c r="C442" i="8" s="1"/>
  <c r="B443" i="8"/>
  <c r="C443" i="8" s="1"/>
  <c r="B444" i="8"/>
  <c r="C444" i="8" s="1"/>
  <c r="B445" i="8"/>
  <c r="C445" i="8" s="1"/>
  <c r="O437" i="8"/>
  <c r="P437" i="8" s="1"/>
  <c r="D381" i="8"/>
  <c r="B383" i="8"/>
  <c r="C383" i="8" s="1"/>
  <c r="B384" i="8"/>
  <c r="C384" i="8" s="1"/>
  <c r="B385" i="8"/>
  <c r="C385" i="8" s="1"/>
  <c r="B386" i="8"/>
  <c r="C386" i="8" s="1"/>
  <c r="B387" i="8"/>
  <c r="C387" i="8" s="1"/>
  <c r="O379" i="8"/>
  <c r="P379" i="8" s="1"/>
  <c r="D323" i="8"/>
  <c r="B325" i="8"/>
  <c r="C325" i="8" s="1"/>
  <c r="B326" i="8"/>
  <c r="C326" i="8" s="1"/>
  <c r="B327" i="8"/>
  <c r="C327" i="8" s="1"/>
  <c r="B328" i="8"/>
  <c r="C328" i="8" s="1"/>
  <c r="B329" i="8"/>
  <c r="C329" i="8" s="1"/>
  <c r="O321" i="8"/>
  <c r="P321" i="8" s="1"/>
  <c r="D265" i="8"/>
  <c r="B267" i="8"/>
  <c r="C267" i="8" s="1"/>
  <c r="B268" i="8"/>
  <c r="C268" i="8" s="1"/>
  <c r="B269" i="8"/>
  <c r="C269" i="8" s="1"/>
  <c r="B270" i="8"/>
  <c r="C270" i="8" s="1"/>
  <c r="B271" i="8"/>
  <c r="C271" i="8" s="1"/>
  <c r="O263" i="8"/>
  <c r="P263" i="8" s="1"/>
  <c r="D207" i="8"/>
  <c r="B209" i="8"/>
  <c r="C209" i="8" s="1"/>
  <c r="B210" i="8"/>
  <c r="C210" i="8" s="1"/>
  <c r="B211" i="8"/>
  <c r="C211" i="8" s="1"/>
  <c r="B212" i="8"/>
  <c r="C212" i="8" s="1"/>
  <c r="B213" i="8"/>
  <c r="C213" i="8" s="1"/>
  <c r="O205" i="8"/>
  <c r="P205" i="8" s="1"/>
  <c r="D149" i="8"/>
  <c r="B151" i="8"/>
  <c r="C151" i="8" s="1"/>
  <c r="B152" i="8"/>
  <c r="C152" i="8" s="1"/>
  <c r="B153" i="8"/>
  <c r="C153" i="8" s="1"/>
  <c r="B154" i="8"/>
  <c r="C154" i="8" s="1"/>
  <c r="B155" i="8"/>
  <c r="C155" i="8" s="1"/>
  <c r="O147" i="8"/>
  <c r="P147" i="8" s="1"/>
  <c r="D91" i="8"/>
  <c r="B93" i="8"/>
  <c r="C93" i="8" s="1"/>
  <c r="B94" i="8"/>
  <c r="C94" i="8" s="1"/>
  <c r="B95" i="8"/>
  <c r="C95" i="8" s="1"/>
  <c r="B96" i="8"/>
  <c r="C96" i="8" s="1"/>
  <c r="B97" i="8"/>
  <c r="C97" i="8" s="1"/>
  <c r="O89" i="8"/>
  <c r="P89" i="8" s="1"/>
  <c r="J24" i="8"/>
  <c r="H27" i="8"/>
  <c r="I27" i="8" s="1"/>
  <c r="H28" i="8"/>
  <c r="I28" i="8" s="1"/>
  <c r="H29" i="8"/>
  <c r="I29" i="8" s="1"/>
  <c r="H30" i="8"/>
  <c r="I30" i="8" s="1"/>
  <c r="H26" i="8"/>
  <c r="I26" i="8" s="1"/>
  <c r="G31" i="8"/>
  <c r="E620" i="12" l="1"/>
  <c r="E156" i="12"/>
  <c r="E214" i="12"/>
  <c r="E446" i="12"/>
  <c r="E388" i="12"/>
  <c r="H91" i="12"/>
  <c r="E562" i="12"/>
  <c r="H671" i="12"/>
  <c r="H497" i="12"/>
  <c r="E98" i="12"/>
  <c r="H613" i="12"/>
  <c r="H149" i="12"/>
  <c r="E678" i="12"/>
  <c r="E330" i="12"/>
  <c r="H439" i="12"/>
  <c r="H323" i="12"/>
  <c r="H207" i="12"/>
  <c r="H33" i="12"/>
  <c r="E272" i="12"/>
  <c r="H381" i="12"/>
  <c r="E40" i="12"/>
  <c r="E504" i="12"/>
  <c r="H265" i="12"/>
  <c r="H555" i="12"/>
  <c r="C678" i="8"/>
  <c r="F671" i="8"/>
  <c r="D673" i="8"/>
  <c r="E673" i="8" s="1"/>
  <c r="D674" i="8"/>
  <c r="E674" i="8" s="1"/>
  <c r="D675" i="8"/>
  <c r="E675" i="8" s="1"/>
  <c r="D676" i="8"/>
  <c r="E676" i="8" s="1"/>
  <c r="D677" i="8"/>
  <c r="E677" i="8" s="1"/>
  <c r="D94" i="11"/>
  <c r="C620" i="8"/>
  <c r="F613" i="8"/>
  <c r="D615" i="8"/>
  <c r="E615" i="8" s="1"/>
  <c r="D616" i="8"/>
  <c r="E616" i="8" s="1"/>
  <c r="D617" i="8"/>
  <c r="E617" i="8" s="1"/>
  <c r="D618" i="8"/>
  <c r="E618" i="8" s="1"/>
  <c r="D619" i="8"/>
  <c r="E619" i="8" s="1"/>
  <c r="D86" i="11"/>
  <c r="C562" i="8"/>
  <c r="F555" i="8"/>
  <c r="D557" i="8"/>
  <c r="E557" i="8" s="1"/>
  <c r="D558" i="8"/>
  <c r="E558" i="8" s="1"/>
  <c r="D559" i="8"/>
  <c r="E559" i="8" s="1"/>
  <c r="D560" i="8"/>
  <c r="E560" i="8" s="1"/>
  <c r="D561" i="8"/>
  <c r="E561" i="8" s="1"/>
  <c r="D78" i="11"/>
  <c r="C504" i="8"/>
  <c r="F497" i="8"/>
  <c r="D499" i="8"/>
  <c r="E499" i="8" s="1"/>
  <c r="D500" i="8"/>
  <c r="E500" i="8" s="1"/>
  <c r="D501" i="8"/>
  <c r="E501" i="8" s="1"/>
  <c r="D502" i="8"/>
  <c r="E502" i="8" s="1"/>
  <c r="D503" i="8"/>
  <c r="E503" i="8" s="1"/>
  <c r="D70" i="11"/>
  <c r="C446" i="8"/>
  <c r="F439" i="8"/>
  <c r="D441" i="8"/>
  <c r="E441" i="8" s="1"/>
  <c r="D442" i="8"/>
  <c r="E442" i="8" s="1"/>
  <c r="D443" i="8"/>
  <c r="E443" i="8" s="1"/>
  <c r="D444" i="8"/>
  <c r="E444" i="8" s="1"/>
  <c r="D445" i="8"/>
  <c r="E445" i="8" s="1"/>
  <c r="D62" i="11"/>
  <c r="C388" i="8"/>
  <c r="F381" i="8"/>
  <c r="D383" i="8"/>
  <c r="E383" i="8" s="1"/>
  <c r="D384" i="8"/>
  <c r="E384" i="8" s="1"/>
  <c r="D385" i="8"/>
  <c r="E385" i="8" s="1"/>
  <c r="D386" i="8"/>
  <c r="E386" i="8" s="1"/>
  <c r="D387" i="8"/>
  <c r="E387" i="8" s="1"/>
  <c r="D54" i="11"/>
  <c r="C330" i="8"/>
  <c r="F323" i="8"/>
  <c r="D325" i="8"/>
  <c r="E325" i="8" s="1"/>
  <c r="D326" i="8"/>
  <c r="E326" i="8" s="1"/>
  <c r="D327" i="8"/>
  <c r="E327" i="8" s="1"/>
  <c r="D328" i="8"/>
  <c r="E328" i="8" s="1"/>
  <c r="D329" i="8"/>
  <c r="E329" i="8" s="1"/>
  <c r="D46" i="11"/>
  <c r="C272" i="8"/>
  <c r="F265" i="8"/>
  <c r="D267" i="8"/>
  <c r="E267" i="8" s="1"/>
  <c r="D268" i="8"/>
  <c r="E268" i="8" s="1"/>
  <c r="D269" i="8"/>
  <c r="E269" i="8" s="1"/>
  <c r="D270" i="8"/>
  <c r="E270" i="8" s="1"/>
  <c r="D271" i="8"/>
  <c r="E271" i="8" s="1"/>
  <c r="D38" i="11"/>
  <c r="C214" i="8"/>
  <c r="F207" i="8"/>
  <c r="D209" i="8"/>
  <c r="E209" i="8" s="1"/>
  <c r="D210" i="8"/>
  <c r="E210" i="8" s="1"/>
  <c r="D211" i="8"/>
  <c r="E211" i="8" s="1"/>
  <c r="D212" i="8"/>
  <c r="E212" i="8" s="1"/>
  <c r="D213" i="8"/>
  <c r="E213" i="8" s="1"/>
  <c r="D30" i="11"/>
  <c r="C156" i="8"/>
  <c r="F149" i="8"/>
  <c r="D151" i="8"/>
  <c r="E151" i="8" s="1"/>
  <c r="D152" i="8"/>
  <c r="E152" i="8" s="1"/>
  <c r="D153" i="8"/>
  <c r="E153" i="8" s="1"/>
  <c r="D154" i="8"/>
  <c r="E154" i="8" s="1"/>
  <c r="D155" i="8"/>
  <c r="E155" i="8" s="1"/>
  <c r="D22" i="11"/>
  <c r="C98" i="8"/>
  <c r="F91" i="8"/>
  <c r="D93" i="8"/>
  <c r="E93" i="8" s="1"/>
  <c r="D94" i="8"/>
  <c r="E94" i="8" s="1"/>
  <c r="D95" i="8"/>
  <c r="E95" i="8" s="1"/>
  <c r="D96" i="8"/>
  <c r="E96" i="8" s="1"/>
  <c r="D97" i="8"/>
  <c r="E97" i="8" s="1"/>
  <c r="D14" i="11"/>
  <c r="I31" i="8"/>
  <c r="L24" i="8"/>
  <c r="J28" i="8"/>
  <c r="K28" i="8" s="1"/>
  <c r="J29" i="8"/>
  <c r="K29" i="8" s="1"/>
  <c r="J30" i="8"/>
  <c r="K30" i="8" s="1"/>
  <c r="J26" i="8"/>
  <c r="K26" i="8" s="1"/>
  <c r="J27" i="8"/>
  <c r="K27" i="8" s="1"/>
  <c r="G98" i="12" l="1"/>
  <c r="G214" i="12"/>
  <c r="G330" i="12"/>
  <c r="J671" i="12"/>
  <c r="J265" i="12"/>
  <c r="G272" i="12"/>
  <c r="G156" i="12"/>
  <c r="G40" i="12"/>
  <c r="J439" i="12"/>
  <c r="G620" i="12"/>
  <c r="J33" i="12"/>
  <c r="J613" i="12"/>
  <c r="G678" i="12"/>
  <c r="J555" i="12"/>
  <c r="J323" i="12"/>
  <c r="G446" i="12"/>
  <c r="G388" i="12"/>
  <c r="J207" i="12"/>
  <c r="J91" i="12"/>
  <c r="J381" i="12"/>
  <c r="G562" i="12"/>
  <c r="J149" i="12"/>
  <c r="J497" i="12"/>
  <c r="G504" i="12"/>
  <c r="E678" i="8"/>
  <c r="H671" i="8"/>
  <c r="F673" i="8"/>
  <c r="G673" i="8" s="1"/>
  <c r="F674" i="8"/>
  <c r="G674" i="8" s="1"/>
  <c r="F675" i="8"/>
  <c r="G675" i="8" s="1"/>
  <c r="F676" i="8"/>
  <c r="G676" i="8" s="1"/>
  <c r="F677" i="8"/>
  <c r="G677" i="8" s="1"/>
  <c r="E620" i="8"/>
  <c r="H613" i="8"/>
  <c r="F615" i="8"/>
  <c r="G615" i="8" s="1"/>
  <c r="F616" i="8"/>
  <c r="G616" i="8" s="1"/>
  <c r="F617" i="8"/>
  <c r="G617" i="8" s="1"/>
  <c r="F618" i="8"/>
  <c r="G618" i="8" s="1"/>
  <c r="F619" i="8"/>
  <c r="G619" i="8" s="1"/>
  <c r="E562" i="8"/>
  <c r="H555" i="8"/>
  <c r="F557" i="8"/>
  <c r="G557" i="8" s="1"/>
  <c r="F558" i="8"/>
  <c r="G558" i="8" s="1"/>
  <c r="F559" i="8"/>
  <c r="G559" i="8" s="1"/>
  <c r="F560" i="8"/>
  <c r="G560" i="8" s="1"/>
  <c r="F561" i="8"/>
  <c r="G561" i="8" s="1"/>
  <c r="E504" i="8"/>
  <c r="H497" i="8"/>
  <c r="F499" i="8"/>
  <c r="G499" i="8" s="1"/>
  <c r="F500" i="8"/>
  <c r="G500" i="8" s="1"/>
  <c r="F501" i="8"/>
  <c r="G501" i="8" s="1"/>
  <c r="F502" i="8"/>
  <c r="G502" i="8" s="1"/>
  <c r="F503" i="8"/>
  <c r="G503" i="8" s="1"/>
  <c r="E446" i="8"/>
  <c r="H439" i="8"/>
  <c r="F441" i="8"/>
  <c r="G441" i="8" s="1"/>
  <c r="F442" i="8"/>
  <c r="G442" i="8" s="1"/>
  <c r="F443" i="8"/>
  <c r="G443" i="8" s="1"/>
  <c r="F444" i="8"/>
  <c r="G444" i="8" s="1"/>
  <c r="F445" i="8"/>
  <c r="G445" i="8" s="1"/>
  <c r="E388" i="8"/>
  <c r="H381" i="8"/>
  <c r="F383" i="8"/>
  <c r="G383" i="8" s="1"/>
  <c r="F384" i="8"/>
  <c r="G384" i="8" s="1"/>
  <c r="F385" i="8"/>
  <c r="G385" i="8" s="1"/>
  <c r="F386" i="8"/>
  <c r="G386" i="8" s="1"/>
  <c r="F387" i="8"/>
  <c r="G387" i="8" s="1"/>
  <c r="E330" i="8"/>
  <c r="H323" i="8"/>
  <c r="F325" i="8"/>
  <c r="G325" i="8" s="1"/>
  <c r="F326" i="8"/>
  <c r="G326" i="8" s="1"/>
  <c r="F327" i="8"/>
  <c r="G327" i="8" s="1"/>
  <c r="F328" i="8"/>
  <c r="G328" i="8" s="1"/>
  <c r="F329" i="8"/>
  <c r="G329" i="8" s="1"/>
  <c r="E272" i="8"/>
  <c r="H265" i="8"/>
  <c r="F267" i="8"/>
  <c r="G267" i="8" s="1"/>
  <c r="F268" i="8"/>
  <c r="G268" i="8" s="1"/>
  <c r="F269" i="8"/>
  <c r="G269" i="8" s="1"/>
  <c r="F270" i="8"/>
  <c r="G270" i="8" s="1"/>
  <c r="F271" i="8"/>
  <c r="G271" i="8" s="1"/>
  <c r="E214" i="8"/>
  <c r="H207" i="8"/>
  <c r="F209" i="8"/>
  <c r="G209" i="8" s="1"/>
  <c r="F210" i="8"/>
  <c r="G210" i="8" s="1"/>
  <c r="F211" i="8"/>
  <c r="G211" i="8" s="1"/>
  <c r="F212" i="8"/>
  <c r="G212" i="8" s="1"/>
  <c r="F213" i="8"/>
  <c r="G213" i="8" s="1"/>
  <c r="E156" i="8"/>
  <c r="H149" i="8"/>
  <c r="F151" i="8"/>
  <c r="G151" i="8" s="1"/>
  <c r="F152" i="8"/>
  <c r="G152" i="8" s="1"/>
  <c r="F153" i="8"/>
  <c r="G153" i="8" s="1"/>
  <c r="F154" i="8"/>
  <c r="G154" i="8" s="1"/>
  <c r="F155" i="8"/>
  <c r="G155" i="8" s="1"/>
  <c r="E98" i="8"/>
  <c r="H91" i="8"/>
  <c r="F93" i="8"/>
  <c r="G93" i="8" s="1"/>
  <c r="F94" i="8"/>
  <c r="G94" i="8" s="1"/>
  <c r="F95" i="8"/>
  <c r="G95" i="8" s="1"/>
  <c r="F96" i="8"/>
  <c r="G96" i="8" s="1"/>
  <c r="F97" i="8"/>
  <c r="G97" i="8" s="1"/>
  <c r="K31" i="8"/>
  <c r="N24" i="8"/>
  <c r="L29" i="8"/>
  <c r="M29" i="8" s="1"/>
  <c r="L30" i="8"/>
  <c r="M30" i="8" s="1"/>
  <c r="L26" i="8"/>
  <c r="M26" i="8" s="1"/>
  <c r="L27" i="8"/>
  <c r="M27" i="8" s="1"/>
  <c r="L28" i="8"/>
  <c r="M28" i="8" s="1"/>
  <c r="I272" i="12" l="1"/>
  <c r="I504" i="12"/>
  <c r="I330" i="12"/>
  <c r="I98" i="12"/>
  <c r="L91" i="12"/>
  <c r="L149" i="12"/>
  <c r="L323" i="12"/>
  <c r="L33" i="12"/>
  <c r="L265" i="12"/>
  <c r="L555" i="12"/>
  <c r="I40" i="12"/>
  <c r="I562" i="12"/>
  <c r="I156" i="12"/>
  <c r="I214" i="12"/>
  <c r="L207" i="12"/>
  <c r="L439" i="12"/>
  <c r="L671" i="12"/>
  <c r="L381" i="12"/>
  <c r="I446" i="12"/>
  <c r="L497" i="12"/>
  <c r="I620" i="12"/>
  <c r="I678" i="12"/>
  <c r="I388" i="12"/>
  <c r="L613" i="12"/>
  <c r="G678" i="8"/>
  <c r="J671" i="8"/>
  <c r="H674" i="8"/>
  <c r="I674" i="8" s="1"/>
  <c r="H675" i="8"/>
  <c r="I675" i="8" s="1"/>
  <c r="H676" i="8"/>
  <c r="I676" i="8" s="1"/>
  <c r="H673" i="8"/>
  <c r="I673" i="8" s="1"/>
  <c r="H677" i="8"/>
  <c r="I677" i="8" s="1"/>
  <c r="G620" i="8"/>
  <c r="J613" i="8"/>
  <c r="H616" i="8"/>
  <c r="I616" i="8" s="1"/>
  <c r="H617" i="8"/>
  <c r="I617" i="8" s="1"/>
  <c r="H618" i="8"/>
  <c r="I618" i="8" s="1"/>
  <c r="H619" i="8"/>
  <c r="I619" i="8" s="1"/>
  <c r="H615" i="8"/>
  <c r="I615" i="8" s="1"/>
  <c r="G562" i="8"/>
  <c r="J555" i="8"/>
  <c r="H558" i="8"/>
  <c r="I558" i="8" s="1"/>
  <c r="H559" i="8"/>
  <c r="I559" i="8" s="1"/>
  <c r="H560" i="8"/>
  <c r="I560" i="8" s="1"/>
  <c r="H557" i="8"/>
  <c r="I557" i="8" s="1"/>
  <c r="H561" i="8"/>
  <c r="I561" i="8" s="1"/>
  <c r="G504" i="8"/>
  <c r="J497" i="8"/>
  <c r="H500" i="8"/>
  <c r="I500" i="8" s="1"/>
  <c r="H501" i="8"/>
  <c r="I501" i="8" s="1"/>
  <c r="H502" i="8"/>
  <c r="I502" i="8" s="1"/>
  <c r="H503" i="8"/>
  <c r="I503" i="8" s="1"/>
  <c r="H499" i="8"/>
  <c r="I499" i="8" s="1"/>
  <c r="G446" i="8"/>
  <c r="J439" i="8"/>
  <c r="H442" i="8"/>
  <c r="I442" i="8" s="1"/>
  <c r="H443" i="8"/>
  <c r="I443" i="8" s="1"/>
  <c r="H444" i="8"/>
  <c r="I444" i="8" s="1"/>
  <c r="H445" i="8"/>
  <c r="I445" i="8" s="1"/>
  <c r="H441" i="8"/>
  <c r="I441" i="8" s="1"/>
  <c r="G388" i="8"/>
  <c r="J381" i="8"/>
  <c r="H384" i="8"/>
  <c r="I384" i="8" s="1"/>
  <c r="H385" i="8"/>
  <c r="I385" i="8" s="1"/>
  <c r="H383" i="8"/>
  <c r="I383" i="8" s="1"/>
  <c r="H386" i="8"/>
  <c r="I386" i="8" s="1"/>
  <c r="H387" i="8"/>
  <c r="I387" i="8" s="1"/>
  <c r="G330" i="8"/>
  <c r="J323" i="8"/>
  <c r="H326" i="8"/>
  <c r="I326" i="8" s="1"/>
  <c r="H327" i="8"/>
  <c r="I327" i="8" s="1"/>
  <c r="H328" i="8"/>
  <c r="I328" i="8" s="1"/>
  <c r="H329" i="8"/>
  <c r="I329" i="8" s="1"/>
  <c r="H325" i="8"/>
  <c r="I325" i="8" s="1"/>
  <c r="G272" i="8"/>
  <c r="J265" i="8"/>
  <c r="H268" i="8"/>
  <c r="I268" i="8" s="1"/>
  <c r="H269" i="8"/>
  <c r="I269" i="8" s="1"/>
  <c r="H270" i="8"/>
  <c r="I270" i="8" s="1"/>
  <c r="H271" i="8"/>
  <c r="I271" i="8" s="1"/>
  <c r="H267" i="8"/>
  <c r="I267" i="8" s="1"/>
  <c r="G214" i="8"/>
  <c r="J207" i="8"/>
  <c r="H210" i="8"/>
  <c r="I210" i="8" s="1"/>
  <c r="H211" i="8"/>
  <c r="I211" i="8" s="1"/>
  <c r="H212" i="8"/>
  <c r="I212" i="8" s="1"/>
  <c r="H213" i="8"/>
  <c r="I213" i="8" s="1"/>
  <c r="H209" i="8"/>
  <c r="I209" i="8" s="1"/>
  <c r="G156" i="8"/>
  <c r="J149" i="8"/>
  <c r="H152" i="8"/>
  <c r="I152" i="8" s="1"/>
  <c r="H153" i="8"/>
  <c r="I153" i="8" s="1"/>
  <c r="H154" i="8"/>
  <c r="I154" i="8" s="1"/>
  <c r="H151" i="8"/>
  <c r="I151" i="8" s="1"/>
  <c r="H155" i="8"/>
  <c r="I155" i="8" s="1"/>
  <c r="J91" i="8"/>
  <c r="H94" i="8"/>
  <c r="I94" i="8" s="1"/>
  <c r="H95" i="8"/>
  <c r="I95" i="8" s="1"/>
  <c r="H96" i="8"/>
  <c r="I96" i="8" s="1"/>
  <c r="H97" i="8"/>
  <c r="I97" i="8" s="1"/>
  <c r="H93" i="8"/>
  <c r="I93" i="8" s="1"/>
  <c r="G98" i="8"/>
  <c r="M31" i="8"/>
  <c r="B33" i="8"/>
  <c r="A7" i="11" s="1"/>
  <c r="N30" i="8"/>
  <c r="O30" i="8" s="1"/>
  <c r="N26" i="8"/>
  <c r="O26" i="8" s="1"/>
  <c r="N27" i="8"/>
  <c r="O27" i="8" s="1"/>
  <c r="N28" i="8"/>
  <c r="O28" i="8" s="1"/>
  <c r="N29" i="8"/>
  <c r="O29" i="8" s="1"/>
  <c r="K678" i="12" l="1"/>
  <c r="K388" i="12"/>
  <c r="N497" i="12"/>
  <c r="N671" i="12"/>
  <c r="N265" i="12"/>
  <c r="N149" i="12"/>
  <c r="K504" i="12"/>
  <c r="N33" i="12"/>
  <c r="K156" i="12"/>
  <c r="N439" i="12"/>
  <c r="K98" i="12"/>
  <c r="N555" i="12"/>
  <c r="K40" i="12"/>
  <c r="N91" i="12"/>
  <c r="N207" i="12"/>
  <c r="K446" i="12"/>
  <c r="N323" i="12"/>
  <c r="K620" i="12"/>
  <c r="N381" i="12"/>
  <c r="K562" i="12"/>
  <c r="N613" i="12"/>
  <c r="K272" i="12"/>
  <c r="K214" i="12"/>
  <c r="K330" i="12"/>
  <c r="I678" i="8"/>
  <c r="L671" i="8"/>
  <c r="J675" i="8"/>
  <c r="K675" i="8" s="1"/>
  <c r="J676" i="8"/>
  <c r="K676" i="8" s="1"/>
  <c r="J677" i="8"/>
  <c r="K677" i="8" s="1"/>
  <c r="J674" i="8"/>
  <c r="K674" i="8" s="1"/>
  <c r="J673" i="8"/>
  <c r="K673" i="8" s="1"/>
  <c r="I620" i="8"/>
  <c r="L613" i="8"/>
  <c r="J617" i="8"/>
  <c r="K617" i="8" s="1"/>
  <c r="J618" i="8"/>
  <c r="K618" i="8" s="1"/>
  <c r="J619" i="8"/>
  <c r="K619" i="8" s="1"/>
  <c r="J616" i="8"/>
  <c r="K616" i="8" s="1"/>
  <c r="J615" i="8"/>
  <c r="K615" i="8" s="1"/>
  <c r="I562" i="8"/>
  <c r="I504" i="8"/>
  <c r="L555" i="8"/>
  <c r="J559" i="8"/>
  <c r="K559" i="8" s="1"/>
  <c r="J560" i="8"/>
  <c r="K560" i="8" s="1"/>
  <c r="J561" i="8"/>
  <c r="K561" i="8" s="1"/>
  <c r="J558" i="8"/>
  <c r="K558" i="8" s="1"/>
  <c r="J557" i="8"/>
  <c r="K557" i="8" s="1"/>
  <c r="L497" i="8"/>
  <c r="J501" i="8"/>
  <c r="K501" i="8" s="1"/>
  <c r="J502" i="8"/>
  <c r="K502" i="8" s="1"/>
  <c r="J503" i="8"/>
  <c r="K503" i="8" s="1"/>
  <c r="J499" i="8"/>
  <c r="K499" i="8" s="1"/>
  <c r="J500" i="8"/>
  <c r="K500" i="8" s="1"/>
  <c r="I446" i="8"/>
  <c r="L439" i="8"/>
  <c r="J443" i="8"/>
  <c r="K443" i="8" s="1"/>
  <c r="J444" i="8"/>
  <c r="K444" i="8" s="1"/>
  <c r="J445" i="8"/>
  <c r="K445" i="8" s="1"/>
  <c r="J441" i="8"/>
  <c r="K441" i="8" s="1"/>
  <c r="J442" i="8"/>
  <c r="K442" i="8" s="1"/>
  <c r="I388" i="8"/>
  <c r="L381" i="8"/>
  <c r="J385" i="8"/>
  <c r="K385" i="8" s="1"/>
  <c r="J386" i="8"/>
  <c r="K386" i="8" s="1"/>
  <c r="J387" i="8"/>
  <c r="K387" i="8" s="1"/>
  <c r="J384" i="8"/>
  <c r="K384" i="8" s="1"/>
  <c r="J383" i="8"/>
  <c r="K383" i="8" s="1"/>
  <c r="I330" i="8"/>
  <c r="L323" i="8"/>
  <c r="J327" i="8"/>
  <c r="K327" i="8" s="1"/>
  <c r="J328" i="8"/>
  <c r="K328" i="8" s="1"/>
  <c r="J329" i="8"/>
  <c r="K329" i="8" s="1"/>
  <c r="J325" i="8"/>
  <c r="K325" i="8" s="1"/>
  <c r="J326" i="8"/>
  <c r="K326" i="8" s="1"/>
  <c r="I272" i="8"/>
  <c r="L265" i="8"/>
  <c r="J269" i="8"/>
  <c r="K269" i="8" s="1"/>
  <c r="J270" i="8"/>
  <c r="K270" i="8" s="1"/>
  <c r="J271" i="8"/>
  <c r="K271" i="8" s="1"/>
  <c r="J268" i="8"/>
  <c r="K268" i="8" s="1"/>
  <c r="J267" i="8"/>
  <c r="K267" i="8" s="1"/>
  <c r="I214" i="8"/>
  <c r="L207" i="8"/>
  <c r="J211" i="8"/>
  <c r="K211" i="8" s="1"/>
  <c r="J212" i="8"/>
  <c r="K212" i="8" s="1"/>
  <c r="J213" i="8"/>
  <c r="K213" i="8" s="1"/>
  <c r="J209" i="8"/>
  <c r="K209" i="8" s="1"/>
  <c r="J210" i="8"/>
  <c r="K210" i="8" s="1"/>
  <c r="I156" i="8"/>
  <c r="L149" i="8"/>
  <c r="J153" i="8"/>
  <c r="K153" i="8" s="1"/>
  <c r="J154" i="8"/>
  <c r="K154" i="8" s="1"/>
  <c r="J155" i="8"/>
  <c r="K155" i="8" s="1"/>
  <c r="J152" i="8"/>
  <c r="K152" i="8" s="1"/>
  <c r="J151" i="8"/>
  <c r="K151" i="8" s="1"/>
  <c r="I98" i="8"/>
  <c r="L91" i="8"/>
  <c r="J95" i="8"/>
  <c r="K95" i="8" s="1"/>
  <c r="J96" i="8"/>
  <c r="K96" i="8" s="1"/>
  <c r="J97" i="8"/>
  <c r="K97" i="8" s="1"/>
  <c r="J93" i="8"/>
  <c r="K93" i="8" s="1"/>
  <c r="J94" i="8"/>
  <c r="K94" i="8" s="1"/>
  <c r="D33" i="8"/>
  <c r="B35" i="8"/>
  <c r="C35" i="8" s="1"/>
  <c r="B36" i="8"/>
  <c r="C36" i="8" s="1"/>
  <c r="B37" i="8"/>
  <c r="C37" i="8" s="1"/>
  <c r="B38" i="8"/>
  <c r="C38" i="8" s="1"/>
  <c r="B39" i="8"/>
  <c r="C39" i="8" s="1"/>
  <c r="O31" i="8"/>
  <c r="P31" i="8" s="1"/>
  <c r="M156" i="12" l="1"/>
  <c r="M678" i="12"/>
  <c r="M620" i="12"/>
  <c r="M562" i="12"/>
  <c r="M40" i="12"/>
  <c r="M214" i="12"/>
  <c r="M98" i="12"/>
  <c r="M388" i="12"/>
  <c r="M446" i="12"/>
  <c r="M272" i="12"/>
  <c r="M504" i="12"/>
  <c r="M330" i="12"/>
  <c r="K678" i="8"/>
  <c r="K562" i="8"/>
  <c r="N671" i="8"/>
  <c r="L676" i="8"/>
  <c r="M676" i="8" s="1"/>
  <c r="L675" i="8"/>
  <c r="M675" i="8" s="1"/>
  <c r="L677" i="8"/>
  <c r="M677" i="8" s="1"/>
  <c r="M673" i="8"/>
  <c r="L674" i="8"/>
  <c r="M674" i="8" s="1"/>
  <c r="K620" i="8"/>
  <c r="N613" i="8"/>
  <c r="L618" i="8"/>
  <c r="M618" i="8" s="1"/>
  <c r="L619" i="8"/>
  <c r="M619" i="8" s="1"/>
  <c r="L617" i="8"/>
  <c r="M617" i="8" s="1"/>
  <c r="M615" i="8"/>
  <c r="L616" i="8"/>
  <c r="M616" i="8" s="1"/>
  <c r="N555" i="8"/>
  <c r="L559" i="8"/>
  <c r="M559" i="8" s="1"/>
  <c r="L560" i="8"/>
  <c r="M560" i="8" s="1"/>
  <c r="L561" i="8"/>
  <c r="M561" i="8" s="1"/>
  <c r="L557" i="8"/>
  <c r="M557" i="8" s="1"/>
  <c r="L558" i="8"/>
  <c r="M558" i="8" s="1"/>
  <c r="K504" i="8"/>
  <c r="N497" i="8"/>
  <c r="L502" i="8"/>
  <c r="M502" i="8" s="1"/>
  <c r="L503" i="8"/>
  <c r="M503" i="8" s="1"/>
  <c r="L499" i="8"/>
  <c r="M499" i="8" s="1"/>
  <c r="L500" i="8"/>
  <c r="M500" i="8" s="1"/>
  <c r="L501" i="8"/>
  <c r="M501" i="8" s="1"/>
  <c r="K446" i="8"/>
  <c r="N439" i="8"/>
  <c r="L444" i="8"/>
  <c r="M444" i="8" s="1"/>
  <c r="L445" i="8"/>
  <c r="M445" i="8" s="1"/>
  <c r="L441" i="8"/>
  <c r="M441" i="8" s="1"/>
  <c r="L443" i="8"/>
  <c r="M443" i="8" s="1"/>
  <c r="L442" i="8"/>
  <c r="M442" i="8" s="1"/>
  <c r="K388" i="8"/>
  <c r="N381" i="8"/>
  <c r="L386" i="8"/>
  <c r="M386" i="8" s="1"/>
  <c r="L387" i="8"/>
  <c r="M387" i="8" s="1"/>
  <c r="M383" i="8"/>
  <c r="L385" i="8"/>
  <c r="M385" i="8" s="1"/>
  <c r="L384" i="8"/>
  <c r="M384" i="8" s="1"/>
  <c r="K330" i="8"/>
  <c r="N323" i="8"/>
  <c r="L328" i="8"/>
  <c r="M328" i="8" s="1"/>
  <c r="L329" i="8"/>
  <c r="M329" i="8" s="1"/>
  <c r="L327" i="8"/>
  <c r="M327" i="8" s="1"/>
  <c r="M325" i="8"/>
  <c r="L326" i="8"/>
  <c r="M326" i="8" s="1"/>
  <c r="K272" i="8"/>
  <c r="N265" i="8"/>
  <c r="L270" i="8"/>
  <c r="M270" i="8" s="1"/>
  <c r="L271" i="8"/>
  <c r="M271" i="8" s="1"/>
  <c r="L269" i="8"/>
  <c r="M269" i="8" s="1"/>
  <c r="L267" i="8"/>
  <c r="M267" i="8" s="1"/>
  <c r="L268" i="8"/>
  <c r="M268" i="8" s="1"/>
  <c r="K214" i="8"/>
  <c r="N207" i="8"/>
  <c r="L212" i="8"/>
  <c r="M212" i="8" s="1"/>
  <c r="L213" i="8"/>
  <c r="M213" i="8" s="1"/>
  <c r="L209" i="8"/>
  <c r="M209" i="8" s="1"/>
  <c r="L211" i="8"/>
  <c r="M211" i="8" s="1"/>
  <c r="L210" i="8"/>
  <c r="M210" i="8" s="1"/>
  <c r="K156" i="8"/>
  <c r="N149" i="8"/>
  <c r="L154" i="8"/>
  <c r="M154" i="8" s="1"/>
  <c r="L155" i="8"/>
  <c r="M155" i="8" s="1"/>
  <c r="L151" i="8"/>
  <c r="M151" i="8" s="1"/>
  <c r="L152" i="8"/>
  <c r="M152" i="8" s="1"/>
  <c r="L153" i="8"/>
  <c r="M153" i="8" s="1"/>
  <c r="K98" i="8"/>
  <c r="N91" i="8"/>
  <c r="L96" i="8"/>
  <c r="M96" i="8" s="1"/>
  <c r="L97" i="8"/>
  <c r="M97" i="8" s="1"/>
  <c r="L93" i="8"/>
  <c r="M93" i="8" s="1"/>
  <c r="L95" i="8"/>
  <c r="M95" i="8" s="1"/>
  <c r="L94" i="8"/>
  <c r="M94" i="8" s="1"/>
  <c r="C40" i="8"/>
  <c r="F33" i="8"/>
  <c r="F35" i="8" s="1"/>
  <c r="D35" i="8"/>
  <c r="E35" i="8" s="1"/>
  <c r="D36" i="8"/>
  <c r="E36" i="8" s="1"/>
  <c r="D37" i="8"/>
  <c r="E37" i="8" s="1"/>
  <c r="D38" i="8"/>
  <c r="E38" i="8" s="1"/>
  <c r="D39" i="8"/>
  <c r="E39" i="8" s="1"/>
  <c r="D6" i="11"/>
  <c r="E6" i="11" l="1"/>
  <c r="B7" i="11" s="1"/>
  <c r="O562" i="12"/>
  <c r="P562" i="12" s="1"/>
  <c r="L525" i="12" s="1"/>
  <c r="O388" i="12"/>
  <c r="O156" i="12"/>
  <c r="P156" i="12" s="1"/>
  <c r="O330" i="12"/>
  <c r="P330" i="12" s="1"/>
  <c r="O272" i="12"/>
  <c r="P272" i="12" s="1"/>
  <c r="O620" i="12"/>
  <c r="P620" i="12" s="1"/>
  <c r="O214" i="12"/>
  <c r="P214" i="12" s="1"/>
  <c r="O678" i="12"/>
  <c r="P678" i="12" s="1"/>
  <c r="O40" i="12"/>
  <c r="P40" i="12" s="1"/>
  <c r="C7" i="11" s="1"/>
  <c r="O504" i="12"/>
  <c r="P504" i="12" s="1"/>
  <c r="P388" i="12"/>
  <c r="O98" i="12"/>
  <c r="P98" i="12" s="1"/>
  <c r="O446" i="12"/>
  <c r="P446" i="12" s="1"/>
  <c r="M678" i="8"/>
  <c r="N677" i="8"/>
  <c r="O677" i="8" s="1"/>
  <c r="N676" i="8"/>
  <c r="O676" i="8" s="1"/>
  <c r="N673" i="8"/>
  <c r="O673" i="8" s="1"/>
  <c r="N674" i="8"/>
  <c r="O674" i="8" s="1"/>
  <c r="N675" i="8"/>
  <c r="O675" i="8" s="1"/>
  <c r="M620" i="8"/>
  <c r="N619" i="8"/>
  <c r="O619" i="8" s="1"/>
  <c r="N618" i="8"/>
  <c r="O618" i="8" s="1"/>
  <c r="N615" i="8"/>
  <c r="O615" i="8" s="1"/>
  <c r="N616" i="8"/>
  <c r="O616" i="8" s="1"/>
  <c r="N617" i="8"/>
  <c r="O617" i="8" s="1"/>
  <c r="M562" i="8"/>
  <c r="N561" i="8"/>
  <c r="O561" i="8" s="1"/>
  <c r="N560" i="8"/>
  <c r="O560" i="8" s="1"/>
  <c r="N557" i="8"/>
  <c r="O557" i="8" s="1"/>
  <c r="N558" i="8"/>
  <c r="O558" i="8" s="1"/>
  <c r="N559" i="8"/>
  <c r="O559" i="8" s="1"/>
  <c r="M504" i="8"/>
  <c r="N503" i="8"/>
  <c r="O503" i="8" s="1"/>
  <c r="N499" i="8"/>
  <c r="O499" i="8" s="1"/>
  <c r="N500" i="8"/>
  <c r="O500" i="8" s="1"/>
  <c r="N501" i="8"/>
  <c r="O501" i="8" s="1"/>
  <c r="N502" i="8"/>
  <c r="O502" i="8" s="1"/>
  <c r="M446" i="8"/>
  <c r="N445" i="8"/>
  <c r="O445" i="8" s="1"/>
  <c r="N441" i="8"/>
  <c r="O441" i="8" s="1"/>
  <c r="N442" i="8"/>
  <c r="O442" i="8" s="1"/>
  <c r="N444" i="8"/>
  <c r="O444" i="8" s="1"/>
  <c r="N443" i="8"/>
  <c r="O443" i="8" s="1"/>
  <c r="M388" i="8"/>
  <c r="N387" i="8"/>
  <c r="O387" i="8" s="1"/>
  <c r="N386" i="8"/>
  <c r="O386" i="8" s="1"/>
  <c r="N383" i="8"/>
  <c r="O383" i="8" s="1"/>
  <c r="N384" i="8"/>
  <c r="O384" i="8" s="1"/>
  <c r="N385" i="8"/>
  <c r="O385" i="8" s="1"/>
  <c r="M330" i="8"/>
  <c r="N329" i="8"/>
  <c r="O329" i="8" s="1"/>
  <c r="N325" i="8"/>
  <c r="O325" i="8" s="1"/>
  <c r="N326" i="8"/>
  <c r="O326" i="8" s="1"/>
  <c r="N327" i="8"/>
  <c r="O327" i="8" s="1"/>
  <c r="N328" i="8"/>
  <c r="O328" i="8" s="1"/>
  <c r="M272" i="8"/>
  <c r="N271" i="8"/>
  <c r="O271" i="8" s="1"/>
  <c r="N267" i="8"/>
  <c r="O267" i="8" s="1"/>
  <c r="N268" i="8"/>
  <c r="O268" i="8" s="1"/>
  <c r="N269" i="8"/>
  <c r="O269" i="8" s="1"/>
  <c r="N270" i="8"/>
  <c r="O270" i="8" s="1"/>
  <c r="M214" i="8"/>
  <c r="N213" i="8"/>
  <c r="O213" i="8" s="1"/>
  <c r="N209" i="8"/>
  <c r="O209" i="8" s="1"/>
  <c r="N210" i="8"/>
  <c r="O210" i="8" s="1"/>
  <c r="N211" i="8"/>
  <c r="O211" i="8" s="1"/>
  <c r="N212" i="8"/>
  <c r="O212" i="8" s="1"/>
  <c r="M156" i="8"/>
  <c r="N155" i="8"/>
  <c r="O155" i="8" s="1"/>
  <c r="N151" i="8"/>
  <c r="O151" i="8" s="1"/>
  <c r="N152" i="8"/>
  <c r="O152" i="8" s="1"/>
  <c r="N153" i="8"/>
  <c r="O153" i="8" s="1"/>
  <c r="N154" i="8"/>
  <c r="O154" i="8" s="1"/>
  <c r="N97" i="8"/>
  <c r="O97" i="8" s="1"/>
  <c r="N93" i="8"/>
  <c r="O93" i="8" s="1"/>
  <c r="N94" i="8"/>
  <c r="O94" i="8" s="1"/>
  <c r="N95" i="8"/>
  <c r="O95" i="8" s="1"/>
  <c r="N96" i="8"/>
  <c r="O96" i="8" s="1"/>
  <c r="M98" i="8"/>
  <c r="E40" i="8"/>
  <c r="H33" i="8"/>
  <c r="G35" i="8"/>
  <c r="F36" i="8"/>
  <c r="G36" i="8" s="1"/>
  <c r="F37" i="8"/>
  <c r="G37" i="8" s="1"/>
  <c r="F38" i="8"/>
  <c r="G38" i="8" s="1"/>
  <c r="F39" i="8"/>
  <c r="G39" i="8" s="1"/>
  <c r="C79" i="11" l="1"/>
  <c r="L351" i="12"/>
  <c r="C55" i="11"/>
  <c r="L467" i="12"/>
  <c r="C71" i="11"/>
  <c r="L641" i="12"/>
  <c r="C95" i="11"/>
  <c r="L177" i="12"/>
  <c r="C31" i="11"/>
  <c r="L583" i="12"/>
  <c r="C87" i="11"/>
  <c r="L61" i="12"/>
  <c r="C15" i="11"/>
  <c r="L235" i="12"/>
  <c r="C39" i="11"/>
  <c r="L293" i="12"/>
  <c r="C47" i="11"/>
  <c r="L119" i="12"/>
  <c r="C23" i="11"/>
  <c r="L409" i="12"/>
  <c r="C63" i="11"/>
  <c r="L3" i="12"/>
  <c r="N3" i="12"/>
  <c r="L11" i="11" s="1"/>
  <c r="K12" i="11" s="1"/>
  <c r="M12" i="11" s="1"/>
  <c r="N583" i="12"/>
  <c r="N119" i="12"/>
  <c r="N525" i="12"/>
  <c r="N409" i="12"/>
  <c r="N467" i="12"/>
  <c r="N235" i="12"/>
  <c r="N351" i="12"/>
  <c r="N293" i="12"/>
  <c r="N61" i="12"/>
  <c r="N177" i="12"/>
  <c r="N641" i="12"/>
  <c r="O678" i="8"/>
  <c r="P678" i="8" s="1"/>
  <c r="O620" i="8"/>
  <c r="P620" i="8" s="1"/>
  <c r="O562" i="8"/>
  <c r="P562" i="8" s="1"/>
  <c r="O504" i="8"/>
  <c r="P504" i="8" s="1"/>
  <c r="O446" i="8"/>
  <c r="P446" i="8" s="1"/>
  <c r="O388" i="8"/>
  <c r="P388" i="8" s="1"/>
  <c r="O330" i="8"/>
  <c r="P330" i="8" s="1"/>
  <c r="O272" i="8"/>
  <c r="P272" i="8" s="1"/>
  <c r="O214" i="8"/>
  <c r="P214" i="8" s="1"/>
  <c r="O156" i="8"/>
  <c r="P156" i="8" s="1"/>
  <c r="O98" i="8"/>
  <c r="P98" i="8" s="1"/>
  <c r="J33" i="8"/>
  <c r="H36" i="8"/>
  <c r="I36" i="8" s="1"/>
  <c r="H37" i="8"/>
  <c r="I37" i="8" s="1"/>
  <c r="H38" i="8"/>
  <c r="I38" i="8" s="1"/>
  <c r="H39" i="8"/>
  <c r="I39" i="8" s="1"/>
  <c r="H35" i="8"/>
  <c r="I35" i="8" s="1"/>
  <c r="G40" i="8"/>
  <c r="D95" i="11" l="1"/>
  <c r="L641" i="8"/>
  <c r="D87" i="11"/>
  <c r="L583" i="8"/>
  <c r="D79" i="11"/>
  <c r="L525" i="8"/>
  <c r="D71" i="11"/>
  <c r="L467" i="8"/>
  <c r="D63" i="11"/>
  <c r="L409" i="8"/>
  <c r="D55" i="11"/>
  <c r="L351" i="8"/>
  <c r="D47" i="11"/>
  <c r="L293" i="8"/>
  <c r="D39" i="11"/>
  <c r="L235" i="8"/>
  <c r="D31" i="11"/>
  <c r="L177" i="8"/>
  <c r="D23" i="11"/>
  <c r="L119" i="8"/>
  <c r="D15" i="11"/>
  <c r="L61" i="8"/>
  <c r="I40" i="8"/>
  <c r="L33" i="8"/>
  <c r="J37" i="8"/>
  <c r="K37" i="8" s="1"/>
  <c r="J38" i="8"/>
  <c r="K38" i="8" s="1"/>
  <c r="J39" i="8"/>
  <c r="K39" i="8" s="1"/>
  <c r="J35" i="8"/>
  <c r="K35" i="8" s="1"/>
  <c r="J36" i="8"/>
  <c r="K36" i="8" s="1"/>
  <c r="K40" i="8" l="1"/>
  <c r="N33" i="8"/>
  <c r="L38" i="8"/>
  <c r="M38" i="8" s="1"/>
  <c r="L39" i="8"/>
  <c r="M39" i="8" s="1"/>
  <c r="L35" i="8"/>
  <c r="M35" i="8" s="1"/>
  <c r="L36" i="8"/>
  <c r="M36" i="8" s="1"/>
  <c r="L37" i="8"/>
  <c r="M37" i="8" s="1"/>
  <c r="M40" i="8" l="1"/>
  <c r="N39" i="8"/>
  <c r="O39" i="8" s="1"/>
  <c r="N35" i="8"/>
  <c r="O35" i="8" s="1"/>
  <c r="N36" i="8"/>
  <c r="O36" i="8" s="1"/>
  <c r="N37" i="8"/>
  <c r="O37" i="8" s="1"/>
  <c r="N38" i="8"/>
  <c r="O38" i="8" s="1"/>
  <c r="O40" i="8" l="1"/>
  <c r="P40" i="8" s="1"/>
  <c r="D7" i="11" l="1"/>
  <c r="N525" i="8"/>
  <c r="L3" i="8"/>
  <c r="N467" i="8"/>
  <c r="N293" i="8"/>
  <c r="N3" i="8"/>
  <c r="N235" i="8"/>
  <c r="N61" i="8"/>
  <c r="N409" i="8"/>
  <c r="N641" i="8"/>
  <c r="N119" i="8"/>
  <c r="N177" i="8"/>
  <c r="N583" i="8"/>
  <c r="N351" i="8"/>
  <c r="E7" i="11" l="1"/>
  <c r="B8" i="11" s="1"/>
  <c r="E8" i="11" s="1"/>
  <c r="B9" i="11" s="1"/>
  <c r="E9" i="11" s="1"/>
  <c r="E10" i="11" s="1"/>
  <c r="B12" i="11" s="1"/>
  <c r="E12" i="11" s="1"/>
  <c r="B13" i="11" s="1"/>
  <c r="E13" i="11" l="1"/>
  <c r="B14" i="11" s="1"/>
  <c r="E14" i="11" l="1"/>
  <c r="B15" i="11" s="1"/>
  <c r="E15" i="11" l="1"/>
  <c r="B16" i="11" s="1"/>
  <c r="E16" i="11" l="1"/>
  <c r="B17" i="11" s="1"/>
  <c r="E17" i="11" l="1"/>
  <c r="E20" i="11" s="1"/>
  <c r="B21" i="11" l="1"/>
  <c r="E21" i="11" s="1"/>
  <c r="B22" i="11" s="1"/>
  <c r="E22" i="11" s="1"/>
  <c r="B23" i="11" l="1"/>
  <c r="E23" i="11" s="1"/>
  <c r="B24" i="11" s="1"/>
  <c r="E24" i="11" s="1"/>
  <c r="B25" i="11" s="1"/>
  <c r="E25" i="11" l="1"/>
  <c r="E28" i="11" s="1"/>
  <c r="B29" i="11" s="1"/>
  <c r="E29" i="11" l="1"/>
  <c r="B30" i="11" s="1"/>
  <c r="E30" i="11" l="1"/>
  <c r="B31" i="11" s="1"/>
  <c r="E31" i="11" l="1"/>
  <c r="B32" i="11" s="1"/>
  <c r="E32" i="11" l="1"/>
  <c r="B33" i="11" s="1"/>
  <c r="E33" i="11" l="1"/>
  <c r="E36" i="11" s="1"/>
  <c r="B37" i="11" s="1"/>
  <c r="E37" i="11" l="1"/>
  <c r="B38" i="11" s="1"/>
  <c r="E38" i="11" l="1"/>
  <c r="B39" i="11" s="1"/>
  <c r="E39" i="11" l="1"/>
  <c r="B40" i="11" s="1"/>
  <c r="E40" i="11" l="1"/>
  <c r="B41" i="11" s="1"/>
  <c r="E41" i="11" l="1"/>
  <c r="E44" i="11" s="1"/>
  <c r="B45" i="11" s="1"/>
  <c r="E45" i="11" l="1"/>
  <c r="B46" i="11" s="1"/>
  <c r="E46" i="11" l="1"/>
  <c r="B47" i="11" s="1"/>
  <c r="E47" i="11" l="1"/>
  <c r="B48" i="11" s="1"/>
  <c r="E48" i="11" l="1"/>
  <c r="B49" i="11" s="1"/>
  <c r="E49" i="11" l="1"/>
  <c r="E52" i="11" s="1"/>
  <c r="B53" i="11" s="1"/>
  <c r="E53" i="11" l="1"/>
  <c r="B54" i="11" s="1"/>
  <c r="E54" i="11" l="1"/>
  <c r="B55" i="11" s="1"/>
  <c r="E55" i="11" l="1"/>
  <c r="B56" i="11" s="1"/>
  <c r="E56" i="11" l="1"/>
  <c r="B57" i="11" s="1"/>
  <c r="E57" i="11" l="1"/>
  <c r="E60" i="11" s="1"/>
  <c r="B61" i="11" s="1"/>
  <c r="E61" i="11" l="1"/>
  <c r="B62" i="11" s="1"/>
  <c r="E62" i="11" l="1"/>
  <c r="B63" i="11" s="1"/>
  <c r="E63" i="11" l="1"/>
  <c r="B64" i="11" s="1"/>
  <c r="E64" i="11" l="1"/>
  <c r="B65" i="11" s="1"/>
  <c r="E65" i="11" l="1"/>
  <c r="E68" i="11" s="1"/>
  <c r="B69" i="11" s="1"/>
  <c r="E69" i="11" l="1"/>
  <c r="B70" i="11" s="1"/>
  <c r="E70" i="11" l="1"/>
  <c r="B71" i="11" s="1"/>
  <c r="E71" i="11" l="1"/>
  <c r="B72" i="11" s="1"/>
  <c r="E72" i="11" l="1"/>
  <c r="B73" i="11" s="1"/>
  <c r="E73" i="11" l="1"/>
  <c r="E76" i="11" s="1"/>
  <c r="B77" i="11" s="1"/>
  <c r="E77" i="11" l="1"/>
  <c r="B78" i="11" s="1"/>
  <c r="E78" i="11" l="1"/>
  <c r="B79" i="11" s="1"/>
  <c r="E79" i="11" l="1"/>
  <c r="B80" i="11" s="1"/>
  <c r="E80" i="11" l="1"/>
  <c r="B81" i="11" s="1"/>
  <c r="E81" i="11" l="1"/>
  <c r="E84" i="11" s="1"/>
  <c r="B85" i="11" s="1"/>
  <c r="E85" i="11" l="1"/>
  <c r="B86" i="11" s="1"/>
  <c r="E86" i="11" l="1"/>
  <c r="B87" i="11" s="1"/>
  <c r="E87" i="11" l="1"/>
  <c r="B88" i="11" s="1"/>
  <c r="E88" i="11" l="1"/>
  <c r="B89" i="11" s="1"/>
  <c r="E89" i="11" l="1"/>
  <c r="E92" i="11" s="1"/>
  <c r="B93" i="11" s="1"/>
  <c r="E93" i="11" l="1"/>
  <c r="B94" i="11" s="1"/>
  <c r="E94" i="11" l="1"/>
  <c r="B95" i="11" s="1"/>
  <c r="E95" i="11" l="1"/>
  <c r="B96" i="11" s="1"/>
  <c r="E96" i="11" l="1"/>
  <c r="B97" i="11" s="1"/>
  <c r="E97" i="11" l="1"/>
  <c r="K11" i="11" s="1"/>
  <c r="M11" i="11" s="1"/>
</calcChain>
</file>

<file path=xl/sharedStrings.xml><?xml version="1.0" encoding="utf-8"?>
<sst xmlns="http://schemas.openxmlformats.org/spreadsheetml/2006/main" count="3320" uniqueCount="406">
  <si>
    <t>SUNDAY</t>
  </si>
  <si>
    <t>MONDAY</t>
  </si>
  <si>
    <t>TUESDAY</t>
  </si>
  <si>
    <t>WEDNESDAY</t>
  </si>
  <si>
    <t>THURSDAY</t>
  </si>
  <si>
    <t>FRIDAY</t>
  </si>
  <si>
    <t>SATURDAY</t>
  </si>
  <si>
    <t>WEEKLY TOTAL</t>
  </si>
  <si>
    <t>TOTAL</t>
  </si>
  <si>
    <t>DESCRIPTION</t>
  </si>
  <si>
    <t>AMOUNT</t>
  </si>
  <si>
    <t>JANUARY</t>
  </si>
  <si>
    <t xml:space="preserve">MONTHLY TOTAL </t>
  </si>
  <si>
    <t xml:space="preserve">GRAND TOTAL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</si>
  <si>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</si>
  <si>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</si>
  <si>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</si>
  <si>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</si>
  <si>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</si>
  <si>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</si>
  <si>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</si>
  <si>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</si>
  <si>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</si>
  <si>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</si>
  <si>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</si>
  <si>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Electric</t>
  </si>
  <si>
    <t>EXPENSE CALENDAR</t>
  </si>
  <si>
    <t>Monthly Total is auto calculated in cell L3 and Grand Total in N3.</t>
  </si>
  <si>
    <t>Weekdays are in cells at right, cells B5 through N5, and Weekly Total label in cell P5.</t>
  </si>
  <si>
    <t>Calendar dates are in cells at right, cells B6 through O6. If it doesn’t start with number 1, then it is date of previous month.</t>
  </si>
  <si>
    <t>Description and Amount labels are in cells at right, cells B7 through O7.</t>
  </si>
  <si>
    <t>Enter Description and Amount of each expense in cells at right, cells B8 through O12. Next instruction is in cell A13.</t>
  </si>
  <si>
    <t>Total is auto calculated for each day and week in cell at right, cells C13 through P13. Next instruction is in cell A15.</t>
  </si>
  <si>
    <t>Calendar dates are in cells at right, cells B15 through O15.</t>
  </si>
  <si>
    <t>Description and Amount labels are in cells at right, cells B16 through O16.</t>
  </si>
  <si>
    <t>Enter Description and Amount of each expense in cells at right, cells B17 through O21. Next instruction is in cell A22.</t>
  </si>
  <si>
    <t>Total is auto calculated for each day and week in cell at right, cells C22 through P22. Next instruction is in cell A24.</t>
  </si>
  <si>
    <t>Calendar dates are in cells at right, cells B24 through O24.</t>
  </si>
  <si>
    <t>Description and Amount labels are in cells at right, cells B25 through O25.</t>
  </si>
  <si>
    <t>Enter Description and Amount of each expense in cells at right, cells B26 through O30. Next instruction is in cell A31.</t>
  </si>
  <si>
    <t>Total is auto calculated for each day and week in cell at right, cells C31 through P31. Next instruction is in cell A33.</t>
  </si>
  <si>
    <t>Calendar dates are in cells at right, cells B33 through O33.</t>
  </si>
  <si>
    <t>Description and Amount labels are in cells at right, cells B34 through O34.</t>
  </si>
  <si>
    <t>Enter Description and Amount of each expense in cells at right, cells B35 through O39. Next instruction is in cell A40.</t>
  </si>
  <si>
    <t>Total is auto calculated for each day and week in cell at right, cells C40 through P40. Next instruction is in cell A42.</t>
  </si>
  <si>
    <t>Calendar dates are in cells at right, cells B42 through O42.</t>
  </si>
  <si>
    <t>Description and Amount labels are in cells at right, cells B43 through O43.</t>
  </si>
  <si>
    <t>Enter Description and Amount of each expense in cells at right, cells B44 through O48. Next instruction is in cell A49.</t>
  </si>
  <si>
    <t>Total is auto calculated for each day and week in cell at right, cells C49 through P49. Next instruction is in cell A51.</t>
  </si>
  <si>
    <t>Calendar dates are in cells at right, cells B51 through O51.</t>
  </si>
  <si>
    <t>Description and Amount labels are in cells at right, cells B52 through O52.</t>
  </si>
  <si>
    <t>Enter Description and Amount of each expense in cells at right, cells B53 through O57. Next instruction is in cell A58.</t>
  </si>
  <si>
    <t>Total is auto calculated for each day and week in cell at right, cells C58 through P58. Next instruction is in cell A60.</t>
  </si>
  <si>
    <t>February label is in cell at right, Monthly Total label in cell L60, and Grand Total label in N60.</t>
  </si>
  <si>
    <t>Monthly Total is auto calculated in cell L61 and Grand Total in N61.</t>
  </si>
  <si>
    <t>Weekdays are in cells at right, cells B63 through N63, and Weekly Total label in cell P63.</t>
  </si>
  <si>
    <t>Calendar dates are in cells at right, cells B64 through O64. If it doesn’t start with number 1, then it is date of previous month.</t>
  </si>
  <si>
    <t>Description and Amount labels are in cells at right, cells B65 through O65.</t>
  </si>
  <si>
    <t>Enter Description and Amount of each expense in cells at right, cells B66 through O70. Next instruction is in cell A71.</t>
  </si>
  <si>
    <t>Total is auto calculated for each day and week in cell at right, cells C71 through P71. Next instruction is in cell A73.</t>
  </si>
  <si>
    <t>Calendar dates are in cells at right, cells B73 through O73.</t>
  </si>
  <si>
    <t>Description and Amount labels are in cells at right, cells B74 through O74.</t>
  </si>
  <si>
    <t>Enter Description and Amount of each expense in cells at right, cells B75 through O79. Next instruction is in cell A80.</t>
  </si>
  <si>
    <t>Total is auto calculated for each day and week in cell at right, cells C80 through P80. Next instruction is in cell A82.</t>
  </si>
  <si>
    <t>Calendar dates are in cells at right, cells B82 through O82.</t>
  </si>
  <si>
    <t>Description and Amount labels are in cells at right, cells B83 through O83.</t>
  </si>
  <si>
    <t>Enter Description and Amount of each expense in cells at right, cells B84 through O88. Next instruction is in cell A89.</t>
  </si>
  <si>
    <t>Total is auto calculated for each day and week in cell at right, cells C89 through P89. Next instruction is in cell A91.</t>
  </si>
  <si>
    <t>Calendar dates are in cells at right, cells B91 through O91.</t>
  </si>
  <si>
    <t>Description and Amount labels are in cells at right, cells B92 through O92.</t>
  </si>
  <si>
    <t>Enter Description and Amount of each expense in cells at right, cells B93 through O97. Next instruction is in cell A98.</t>
  </si>
  <si>
    <t>Total is auto calculated for each day and week in cell at right, cells C98 through P98. Next instruction is in cell A100.</t>
  </si>
  <si>
    <t>Calendar dates are in cells at right, cells B100 through O100.</t>
  </si>
  <si>
    <t>Description and Amount labels are in cells at right, cells B101 through O101.</t>
  </si>
  <si>
    <t>Enter Description and Amount of each expense in cells at right, cells B102 through O106. Next instruction is in cell A107.</t>
  </si>
  <si>
    <t>Total is auto calculated for each day and week in cell at right, cells C107 through P107. Next instruction is in cell A109.</t>
  </si>
  <si>
    <t>Calendar dates are in cells at right, cells B109 through O109.</t>
  </si>
  <si>
    <t>Description and Amount labels are in cells at right, cells B110 through O110.</t>
  </si>
  <si>
    <t>Enter Description and Amount of each expense in cells at right, cells B111 through O115. Next instruction is in cell A116.</t>
  </si>
  <si>
    <t>Total is auto calculated for each day and week in cell at right, cells C116 through P116. Next instruction is in cell A118.</t>
  </si>
  <si>
    <t>December label is in cell at right, Monthly Total label in cell L640, and Grand Total label in N640.</t>
  </si>
  <si>
    <t>November label is in cell at right, Monthly Total label in cell L582, and Grand Total label in N582.</t>
  </si>
  <si>
    <t>October label is in cell at right, Monthly Total label in cell L524, and Grand Total label in N524.</t>
  </si>
  <si>
    <t>September label is in cell at right, Monthly Total label in cell L466, and Grand Total label in N466.</t>
  </si>
  <si>
    <t>August label is in cell at right, Monthly Total label in cell L408, and Grand Total label in N408.</t>
  </si>
  <si>
    <t>July label is in cell at right, Monthly Total label in cell L350, and Grand Total label in N350.</t>
  </si>
  <si>
    <t>June label is in cell at right, Monthly Total label in cell L292, and Grand Total label in N292.</t>
  </si>
  <si>
    <t>May label is in cell at right, Monthly Total label in cell L234, and Grand Total label in N234.</t>
  </si>
  <si>
    <t>April label is in cell at right, Monthly Total label in cell L176, and Grand Total label in N176.</t>
  </si>
  <si>
    <t>March label is in cell at right, Monthly Total label in cell L118, and Grand Total label in N118.</t>
  </si>
  <si>
    <t>Monthly Total is auto calculated in cell L119 and Grand Total in N119.</t>
  </si>
  <si>
    <t>Monthly Total is auto calculated in cell L177 and Grand Total in N177.</t>
  </si>
  <si>
    <t>Monthly Total is auto calculated in cell L235 and Grand Total in N235.</t>
  </si>
  <si>
    <t>Monthly Total is auto calculated in cell L293 and Grand Total in N293.</t>
  </si>
  <si>
    <t>Monthly Total is auto calculated in cell L351 and Grand Total in N351.</t>
  </si>
  <si>
    <t>Monthly Total is auto calculated in cell L409 and Grand Total in N409.</t>
  </si>
  <si>
    <t>Monthly Total is auto calculated in cell L467 and Grand Total in N467.</t>
  </si>
  <si>
    <t>Monthly Total is auto calculated in cell L525 and Grand Total in N525.</t>
  </si>
  <si>
    <t>Monthly Total is auto calculated in cell L583 and Grand Total in N583.</t>
  </si>
  <si>
    <t>Monthly Total is auto calculated in cell L641 and Grand Total in N641.</t>
  </si>
  <si>
    <t>Weekdays are in cells at right, cells B643 through N643, and Weekly Total label in cell P643.</t>
  </si>
  <si>
    <t>Weekdays are in cells at right, cells B585 through N585, and Weekly Total label in cell P585.</t>
  </si>
  <si>
    <t>Weekdays are in cells at right, cells B527 through N527, and Weekly Total label in cell P527.</t>
  </si>
  <si>
    <t>Weekdays are in cells at right, cells B469 through N469, and Weekly Total label in cell P469.</t>
  </si>
  <si>
    <t>Weekdays are in cells at right, cells B411 through N411, and Weekly Total label in cell P411.</t>
  </si>
  <si>
    <t>Weekdays are in cells at right, cells B353 through N353, and Weekly Total label in cell P353.</t>
  </si>
  <si>
    <t>Weekdays are in cells at right, cells B295 through N295, and Weekly Total label in cell P295.</t>
  </si>
  <si>
    <t>Weekdays are in cells at right, cells B237 through N237, and Weekly Total label in cell P237.</t>
  </si>
  <si>
    <t>Calendar dates are in cells at right, cells B296 through O296. If it doesn’t start with number 1, then it is date of previous month</t>
  </si>
  <si>
    <t>Calendar dates are in cells at right, cells B122 through O122. If it doesn’t start with number 1, then it is date of previous month</t>
  </si>
  <si>
    <t>Weekdays are in cells at right, cells B179 through N179, and Weekly Total label in cell P179.</t>
  </si>
  <si>
    <t>Weekdays are in cells at right, cells B121 through N121, and Weekly Total label in cell P121.</t>
  </si>
  <si>
    <t>Calendar dates are in cells at right, cells B354 through O354. If it doesn’t start with number 1, then it is date of previous month</t>
  </si>
  <si>
    <t>Calendar dates are in cells at right, cells B412 through O412. If it doesn’t start with number 1, then it is date of previous month</t>
  </si>
  <si>
    <t>Calendar dates are in cells at right, cells B470 through O470. If it doesn’t start with number 1, then it is date of previous month</t>
  </si>
  <si>
    <t>Calendar dates are in cells at right, cells B528 through O528. If it doesn’t start with number 1, then it is date of previous month.</t>
  </si>
  <si>
    <t>Calendar dates are in cells at right, cells B586 through O586. If it doesn’t start with number 1, then it is date of previous month.</t>
  </si>
  <si>
    <t>Calendar dates are in cells at right, cells B644 through O644. If it doesn’t start with number 1, then it is date of previous month.</t>
  </si>
  <si>
    <t>Description and Amount labels are in cells at right, cells B690 through O690.</t>
  </si>
  <si>
    <t>Description and Amount labels are in cells at right, cells B681 through O681.</t>
  </si>
  <si>
    <t>Description and Amount labels are in cells at right, cells B672 through O672.</t>
  </si>
  <si>
    <t>Description and Amount labels are in cells at right, cells B663 through O663.</t>
  </si>
  <si>
    <t>Description and Amount labels are in cells at right, cells B654 through O654.</t>
  </si>
  <si>
    <t>Description and Amount labels are in cells at right, cells B645 through O645.</t>
  </si>
  <si>
    <t>Description and Amount labels are in cells at right, cells B632 through O632.</t>
  </si>
  <si>
    <t>Description and Amount labels are in cells at right, cells B623 through O623.</t>
  </si>
  <si>
    <t>Description and Amount labels are in cells at right, cells B614 through O614.</t>
  </si>
  <si>
    <t>Description and Amount labels are in cells at right, cells B605 through O605.</t>
  </si>
  <si>
    <t>Description and Amount labels are in cells at right, cells B596 through O596.</t>
  </si>
  <si>
    <t>Description and Amount labels are in cells at right, cells B587 through O587.</t>
  </si>
  <si>
    <t>Description and Amount labels are in cells at right, cells B574 through O574.</t>
  </si>
  <si>
    <t>Description and Amount labels are in cells at right, cells B565 through O565.</t>
  </si>
  <si>
    <t>Description and Amount labels are in cells at right, cells B556 through O556.</t>
  </si>
  <si>
    <t>Description and Amount labels are in cells at right, cells B547 through O547.</t>
  </si>
  <si>
    <t>Description and Amount labels are in cells at right, cells B538 through O538.</t>
  </si>
  <si>
    <t>Description and Amount labels are in cells at right, cells B529 through O529.</t>
  </si>
  <si>
    <t>Description and Amount labels are in cells at right, cells B516 through O516.</t>
  </si>
  <si>
    <t>Description and Amount labels are in cells at right, cells B507 through O507.</t>
  </si>
  <si>
    <t>Description and Amount labels are in cells at right, cells B498 through O498.</t>
  </si>
  <si>
    <t>Description and Amount labels are in cells at right, cells B489 through O489.</t>
  </si>
  <si>
    <t>Description and Amount labels are in cells at right, cells B480 through O480.</t>
  </si>
  <si>
    <t>Description and Amount labels are in cells at right, cells B471 through O471.</t>
  </si>
  <si>
    <t>Description and Amount labels are in cells at right, cells B458 through O458.</t>
  </si>
  <si>
    <t>Description and Amount labels are in cells at right, cells B449 through O449.</t>
  </si>
  <si>
    <t>Description and Amount labels are in cells at right, cells B440 through O440.</t>
  </si>
  <si>
    <t>Description and Amount labels are in cells at right, cells B431 through O431.</t>
  </si>
  <si>
    <t>Description and Amount labels are in cells at right, cells B422 through O422.</t>
  </si>
  <si>
    <t>Description and Amount labels are in cells at right, cells B413 through O413.</t>
  </si>
  <si>
    <t>Description and Amount labels are in cells at right, cells B400 through O400.</t>
  </si>
  <si>
    <t>Description and Amount labels are in cells at right, cells B391 through O391.</t>
  </si>
  <si>
    <t>Description and Amount labels are in cells at right, cells B382 through O382.</t>
  </si>
  <si>
    <t>Description and Amount labels are in cells at right, cells B373 through O373.</t>
  </si>
  <si>
    <t>Description and Amount labels are in cells at right, cells B364 through O364.</t>
  </si>
  <si>
    <t>Description and Amount labels are in cells at right, cells B355 through O355.</t>
  </si>
  <si>
    <t>Description and Amount labels are in cells at right, cells B342 through O342.</t>
  </si>
  <si>
    <t>Description and Amount labels are in cells at right, cells B333 through O333.</t>
  </si>
  <si>
    <t>Description and Amount labels are in cells at right, cells B324 through O324.</t>
  </si>
  <si>
    <t>Description and Amount labels are in cells at right, cells B315 through O315.</t>
  </si>
  <si>
    <t>Description and Amount labels are in cells at right, cells B306 through O306.</t>
  </si>
  <si>
    <t>Description and Amount labels are in cells at right, cells B297 through O297.</t>
  </si>
  <si>
    <t>Description and Amount labels are in cells at right, cells B284 through O284.</t>
  </si>
  <si>
    <t>Description and Amount labels are in cells at right, cells B275 through O275.</t>
  </si>
  <si>
    <t>Description and Amount labels are in cells at right, cells B266 through O266.</t>
  </si>
  <si>
    <t>Description and Amount labels are in cells at right, cells B257 through O257.</t>
  </si>
  <si>
    <t>Description and Amount labels are in cells at right, cells B248 through O248.</t>
  </si>
  <si>
    <t>Description and Amount labels are in cells at right, cells B239 through O239.</t>
  </si>
  <si>
    <t>Description and Amount labels are in cells at right, cells B226 through O226.</t>
  </si>
  <si>
    <t>Description and Amount labels are in cells at right, cells B217 through O217.</t>
  </si>
  <si>
    <t>Description and Amount labels are in cells at right, cells B208 through O208.</t>
  </si>
  <si>
    <t>Description and Amount labels are in cells at right, cells B199 through O199.</t>
  </si>
  <si>
    <t>Description and Amount labels are in cells at right, cells B190 through O190.</t>
  </si>
  <si>
    <t>Description and Amount labels are in cells at right, cells B181 through O181.</t>
  </si>
  <si>
    <t>Description and Amount labels are in cells at right, cells B168 through O168.</t>
  </si>
  <si>
    <t>Description and Amount labels are in cells at right, cells B159 through O159.</t>
  </si>
  <si>
    <t>Description and Amount labels are in cells at right, cells B150 through O150.</t>
  </si>
  <si>
    <t>Description and Amount labels are in cells at right, cells B141 through O141.</t>
  </si>
  <si>
    <t>Description and Amount labels are in cells at right, cells B132 through O132.</t>
  </si>
  <si>
    <t>Description and Amount labels are in cells at right, cells B123 through O123.</t>
  </si>
  <si>
    <t>Enter Description and Amount of each expense in cells at right, cells B124 through O128. Next instruction is in cell A129.</t>
  </si>
  <si>
    <t>Enter Description and Amount of each expense in cells at right, cells B133 through O137. Next instruction is in cell A138.</t>
  </si>
  <si>
    <t>Enter Description and Amount of each expense in cells at right, cells B142 through O146. Next instruction is in cell A147.</t>
  </si>
  <si>
    <t>Enter Description and Amount of each expense in cells at right, cells B151 through O155 Next instruction is in cell A156.</t>
  </si>
  <si>
    <t>Enter Description and Amount of each expense in cells at right, cells B160 through O164. Next instruction is in cell A165.</t>
  </si>
  <si>
    <t>Enter Description and Amount of each expense in cells at right, cells B169 through O173. Next instruction is in cell A174.</t>
  </si>
  <si>
    <t>Enter Description and Amount of each expense in cells at right, cells B182 through O186. Next instruction is in cell A187.</t>
  </si>
  <si>
    <t>Enter Description and Amount of each expense in cells at right, cells B191 through O195. Next instruction is in cell A196.</t>
  </si>
  <si>
    <t>Enter Description and Amount of each expense in cells at right, cells B200 through O204. Next instruction is in cell A205.</t>
  </si>
  <si>
    <t>Enter Description and Amount of each expense in cells at right, cells B209 through O213. Next instruction is in cell A214.</t>
  </si>
  <si>
    <t>Enter Description and Amount of each expense in cells at right, cells B227 through O231. Next instruction is in cell A232.</t>
  </si>
  <si>
    <t>Enter Description and Amount of each expense in cells at right, cells B240 through O244. Next instruction is in cell A245.</t>
  </si>
  <si>
    <t>Enter Description and Amount of each expense in cells at right, cells B249 through O253 Next instruction is in cell A254.</t>
  </si>
  <si>
    <t>Enter Description and Amount of each expense in cells at right, cells B258 through O262. Next instruction is in cell A263.</t>
  </si>
  <si>
    <t>Enter Description and Amount of each expense in cells at right, cells B267 through O271. Next instruction is in cell A272.</t>
  </si>
  <si>
    <t>Enter Description and Amount of each expense in cells at right, cells B276 through O280 Next instruction is in cell A281.</t>
  </si>
  <si>
    <t>Enter Description and Amount of each expense in cells at right, cells B285 through O289. Next instruction is in cell A290.</t>
  </si>
  <si>
    <t>Enter Description and Amount of each expense in cells at right, cells B298 through O302. Next instruction is in cell A303.</t>
  </si>
  <si>
    <t>Enter Description and Amount of each expense in cells at right, cells B307 through O311. Next instruction is in cell A312.</t>
  </si>
  <si>
    <t>Enter Description and Amount of each expense in cells at right, cells B316 through O320. Next instruction is in cell A321.</t>
  </si>
  <si>
    <t>Enter Description and Amount of each expense in cells at right, cells B325 through O329. Next instruction is in cell A330.</t>
  </si>
  <si>
    <t>Enter Description and Amount of each expense in cells at right, cells B334 through O338. Next instruction is in cell A339.</t>
  </si>
  <si>
    <t>Enter Description and Amount of each expense in cells at right, cells B343 through O347. Next instruction is in cell A348.</t>
  </si>
  <si>
    <t>Enter Description and Amount of each expense in cells at right, cells B356 through O360. Next instruction is in cell A361.</t>
  </si>
  <si>
    <t>Enter Description and Amount of each expense in cells at right, cells B365 through O369. Next instruction is in cell A370.</t>
  </si>
  <si>
    <t>Enter Description and Amount of each expense in cells at right, cells B374 through O378. Next instruction is in cell A379.</t>
  </si>
  <si>
    <t>Enter Description and Amount of each expense in cells at right, cells B383 through O387. Next instruction is in cell A388.</t>
  </si>
  <si>
    <t>Enter Description and Amount of each expense in cells at right, cells B392 through O396. Next instruction is in cell A397.</t>
  </si>
  <si>
    <t>Enter Description and Amount of each expense in cells at right, cells B401 through O405. Next instruction is in cell A406.</t>
  </si>
  <si>
    <t>Enter Description and Amount of each expense in cells at right, cells B414 through O418. Next instruction is in cell A419.</t>
  </si>
  <si>
    <t>Enter Description and Amount of each expense in cells at right, cells B423 through O427. Next instruction is in cell A428.</t>
  </si>
  <si>
    <t>Enter Description and Amount of each expense in cells at right, cells B432 through O436. Next instruction is in cell A437.</t>
  </si>
  <si>
    <t>Enter Description and Amount of each expense in cells at right, cells B441 through O445. Next instruction is in cell A446.</t>
  </si>
  <si>
    <t>Enter Description and Amount of each expense in cells at right, cells B450 through O454. Next instruction is in cell A455.</t>
  </si>
  <si>
    <t>Enter Description and Amount of each expense in cells at right, cells B459 through O463. Next instruction is in cell A464.</t>
  </si>
  <si>
    <t>Enter Description and Amount of each expense in cells at right, cells B481 through O485. Next instruction is in cell A486.</t>
  </si>
  <si>
    <t>Enter Description and Amount of each expense in cells at right, cells B490 through O494. Next instruction is in cell A495.</t>
  </si>
  <si>
    <t>Enter Description and Amount of each expense in cells at right, cells B499 through O503. Next instruction is in cell A504.</t>
  </si>
  <si>
    <t>Enter Description and Amount of each expense in cells at right, cells B508 through O512. Next instruction is in cell A513.</t>
  </si>
  <si>
    <t>Enter Description and Amount of each expense in cells at right, cells B517 through O521. Next instruction is in cell A522.</t>
  </si>
  <si>
    <t>Enter Description and Amount of each expense in cells at right, cells B530 through O534. Next instruction is in cell A535.</t>
  </si>
  <si>
    <t>Enter Description and Amount of each expense in cells at right, cells B539 through O543. Next instruction is in cell A544.</t>
  </si>
  <si>
    <t>Enter Description and Amount of each expense in cells at right, cells B548 through O552. Next instruction is in cell A553.</t>
  </si>
  <si>
    <t>Enter Description and Amount of each expense in cells at right, cells B557 through O561. Next instruction is in cell A562.</t>
  </si>
  <si>
    <t>Enter Description and Amount of each expense in cells at right, cells B566 through O570. Next instruction is in cell A571.</t>
  </si>
  <si>
    <t>Enter Description and Amount of each expense in cells at right, cells B575 through O579. Next instruction is in cell A580.</t>
  </si>
  <si>
    <t>Enter Description and Amount of each expense in cells at right, cells B588 through O592. Next instruction is in cell A593.</t>
  </si>
  <si>
    <t>Enter Description and Amount of each expense in cells at right, cells B597 through O601. Next instruction is in cell A602.</t>
  </si>
  <si>
    <t>Enter Description and Amount of each expense in cells at right, cells B606 through O610. Next instruction is in cell A611.</t>
  </si>
  <si>
    <t>Enter Description and Amount of each expense in cells at right, cells B615 through O619. Next instruction is in cell A620.</t>
  </si>
  <si>
    <t>Enter Description and Amount of each expense in cells at right, cells B624 through O628. Next instruction is in cell A629.</t>
  </si>
  <si>
    <t>Enter Description and Amount of each expense in cells at right, cells B633 through O637. Next instruction is in cell A638.</t>
  </si>
  <si>
    <t>Enter Description and Amount of each expense in cells at right, cells B655 through O659. Next instruction is in cell A660.</t>
  </si>
  <si>
    <t>Enter Description and Amount of each expense in cells at right, cells B664 through O668. Next instruction is in cell A669.</t>
  </si>
  <si>
    <t>Enter Description and Amount of each expense in cells at right, cells B673 through O677. Next instruction is in cell A678.</t>
  </si>
  <si>
    <t>Enter Description and Amount of each expense in cells at right, cells B682 through O686. Next instruction is in cell A687.</t>
  </si>
  <si>
    <t>Enter Description and Amount of each expense in cells at right, cells B691 through O695. Next instruction is in cell A696.</t>
  </si>
  <si>
    <t>Calendar dates are in cells at right, cells B131 through O131.</t>
  </si>
  <si>
    <t>Calendar dates are in cells at right, cells B140 through O140.</t>
  </si>
  <si>
    <t>Calendar dates are in cells at right, cells B149 through O149.</t>
  </si>
  <si>
    <t>Calendar dates are in cells at right, cells B158 through O158.</t>
  </si>
  <si>
    <t>Calendar dates are in cells at right, cells B167 through O167.</t>
  </si>
  <si>
    <t>Calendar dates are in cells at right, cells B189 through O189.</t>
  </si>
  <si>
    <t>Calendar dates are in cells at right, cells B198 through O198.</t>
  </si>
  <si>
    <t>Calendar dates are in cells at right, cells B207 through O207.</t>
  </si>
  <si>
    <t>Calendar dates are in cells at right, cells B216 through O216.</t>
  </si>
  <si>
    <t>Calendar dates are in cells at right, cells B225 through O225.</t>
  </si>
  <si>
    <t>Calendar dates are in cells at right, cells B247 through O247.</t>
  </si>
  <si>
    <t>Calendar dates are in cells at right, cells B256 through O256.</t>
  </si>
  <si>
    <t>Calendar dates are in cells at right, cells B265 through O265.</t>
  </si>
  <si>
    <t>Calendar dates are in cells at right, cells B274 through O274.</t>
  </si>
  <si>
    <t>Calendar dates are in cells at right, cells B283 through O283.</t>
  </si>
  <si>
    <t>Calendar dates are in cells at right, cells B305 through O305.</t>
  </si>
  <si>
    <t>Calendar dates are in cells at right, cells B314 through O314.</t>
  </si>
  <si>
    <t>Calendar dates are in cells at right, cells B323 through O323.</t>
  </si>
  <si>
    <t>Calendar dates are in cells at right, cells B332 through O332.</t>
  </si>
  <si>
    <t>Calendar dates are in cells at right, cells B341 through O341.</t>
  </si>
  <si>
    <t>Calendar dates are in cells at right, cells B363 through O363.</t>
  </si>
  <si>
    <t>Calendar dates are in cells at right, cells B372 through O372.</t>
  </si>
  <si>
    <t>Calendar dates are in cells at right, cells B381 through O381.</t>
  </si>
  <si>
    <t>Calendar dates are in cells at right, cells B390 through O390.</t>
  </si>
  <si>
    <t>Calendar dates are in cells at right, cells B399 through O399.</t>
  </si>
  <si>
    <t>Calendar dates are in cells at right, cells B421 through O421.</t>
  </si>
  <si>
    <t>Calendar dates are in cells at right, cells B430 through O430.</t>
  </si>
  <si>
    <t>Calendar dates are in cells at right, cells B439 through O439.</t>
  </si>
  <si>
    <t>Calendar dates are in cells at right, cells B448 through O448.</t>
  </si>
  <si>
    <t>Calendar dates are in cells at right, cells B457 through O457.</t>
  </si>
  <si>
    <t>Calendar dates are in cells at right, cells B479 through O479.</t>
  </si>
  <si>
    <t>Calendar dates are in cells at right, cells B488 through O488.</t>
  </si>
  <si>
    <t>Calendar dates are in cells at right, cells B497 through O497.</t>
  </si>
  <si>
    <t>Calendar dates are in cells at right, cells B506 through O506.</t>
  </si>
  <si>
    <t>Calendar dates are in cells at right, cells B515 through O515.</t>
  </si>
  <si>
    <t>Calendar dates are in cells at right, cells B537 through O537.</t>
  </si>
  <si>
    <t>Calendar dates are in cells at right, cells B546 through O546.</t>
  </si>
  <si>
    <t>Calendar dates are in cells at right, cells B555 through O555.</t>
  </si>
  <si>
    <t>Calendar dates are in cells at right, cells B564 through O564.</t>
  </si>
  <si>
    <t>Calendar dates are in cells at right, cells B573 through O573.</t>
  </si>
  <si>
    <t>Calendar dates are in cells at right, cells B595 through O595.</t>
  </si>
  <si>
    <t>Calendar dates are in cells at right, cells B604 through O604.</t>
  </si>
  <si>
    <t>Calendar dates are in cells at right, cells B613 through O613.</t>
  </si>
  <si>
    <t>Calendar dates are in cells at right, cells B622 through O622.</t>
  </si>
  <si>
    <t>Calendar dates are in cells at right, cells B631 through O631.</t>
  </si>
  <si>
    <t>Calendar dates are in cells at right, cells B653 through O653.</t>
  </si>
  <si>
    <t>Calendar dates are in cells at right, cells B662 through O662.</t>
  </si>
  <si>
    <t>Calendar dates are in cells at right, cells B671 through O671.</t>
  </si>
  <si>
    <t>Calendar dates are in cells at right, cells B680 through O680.</t>
  </si>
  <si>
    <t>Calendar dates are in cells at right, cells B689 through O689.</t>
  </si>
  <si>
    <t>Total is auto calculated for each day and week in cell at right, cells C96 through P96.</t>
  </si>
  <si>
    <t>Total is auto calculated for each day and week in cell at right, cells C687 through P687. Next instruction is in cell A689.</t>
  </si>
  <si>
    <t>Total is auto calculated for each day and week in cell at right, cells C678 through P678. Next instruction is in cell A680.</t>
  </si>
  <si>
    <t>Total is auto calculated for each day and week in cell at right, cells C669 through P669. Next instruction is in cell A671.</t>
  </si>
  <si>
    <t>Total is auto calculated for each day and week in cell at right, cells C660 through P660. Next instruction is in cell A662.</t>
  </si>
  <si>
    <t>Total is auto calculated for each day and week in cell at right, cells C651 through P651. Next instruction is in cell A653.</t>
  </si>
  <si>
    <t>Total is auto calculated for each day and week in cell at right, cells C638 through P638. Next instruction is in cell A640.</t>
  </si>
  <si>
    <t>Total is auto calculated for each day and week in cell at right, cells C629 through P629. Next instruction is in cell A631.</t>
  </si>
  <si>
    <t>Total is auto calculated for each day and week in cell at right, cells C620 through P620. Next instruction is in cell A622.</t>
  </si>
  <si>
    <t>Total is auto calculated for each day and week in cell at right, cells C611 through P611. Next instruction is in cell A613.</t>
  </si>
  <si>
    <t>Total is auto calculated for each day and week in cell at right, cells C602 through P602. Next instruction is in cell A604.</t>
  </si>
  <si>
    <t>Total is auto calculated for each day and week in cell at right, cells C593 through P593. Next instruction is in cell A595.</t>
  </si>
  <si>
    <t>Total is auto calculated for each day and week in cell at right, cells C580 through P580. Next instruction is in cell A582.</t>
  </si>
  <si>
    <t>Total is auto calculated for each day and week in cell at right, cells C571 through P571. Next instruction is in cell A573.</t>
  </si>
  <si>
    <t>Total is auto calculated for each day and week in cell at right, cells C562 through P562. Next instruction is in cell A564.</t>
  </si>
  <si>
    <t>Total is auto calculated for each day and week in cell at right, cells C553 through P553. Next instruction is in cell A555.</t>
  </si>
  <si>
    <t>Total is auto calculated for each day and week in cell at right, cells C544 through P544. Next instruction is in cell A546.</t>
  </si>
  <si>
    <t>Total is auto calculated for each day and week in cell at right, cells C535 through P535. Next instruction is in cell A537.</t>
  </si>
  <si>
    <t>Total is auto calculated for each day and week in cell at right, cells C522 through P522. Next instruction is in cell A524.</t>
  </si>
  <si>
    <t>Total is auto calculated for each day and week in cell at right, cells C513 through P513. Next instruction is in cell A515.</t>
  </si>
  <si>
    <t>Total is auto calculated for each day and week in cell at right, cells C504 through P504. Next instruction is in cell A506.</t>
  </si>
  <si>
    <t>Total is auto calculated for each day and week in cell at right, cells C495 through P495. Next instruction is in cell A497.</t>
  </si>
  <si>
    <t>Total is auto calculated for each day and week in cell at right, cells C486 through P486. Next instruction is in cell A488.</t>
  </si>
  <si>
    <t>Total is auto calculated for each day and week in cell at right, cells C477 through P477. Next instruction is in cell A479.</t>
  </si>
  <si>
    <t>Total is auto calculated for each day and week in cell at right, cells C464 through P464. Next instruction is in cell A466.</t>
  </si>
  <si>
    <t>Total is auto calculated for each day and week in cell at right, cells C455 through P455. Next instruction is in cell A457.</t>
  </si>
  <si>
    <t>Total is auto calculated for each day and week in cell at right, cells C446 through P446. Next instruction is in cell A448.</t>
  </si>
  <si>
    <t>Total is auto calculated for each day and week in cell at right, cells C437 through P437. Next instruction is in cell A439.</t>
  </si>
  <si>
    <t>Total is auto calculated for each day and week in cell at right, cells C428 through P428. Next instruction is in cell A430.</t>
  </si>
  <si>
    <t>Total is auto calculated for each day and week in cell at right, cells C419 through P419. Next instruction is in cell A421.</t>
  </si>
  <si>
    <t>Total is auto calculated for each day and week in cell at right, cells C406 through P406. Next instruction is in cell A408.</t>
  </si>
  <si>
    <t>Total is auto calculated for each day and week in cell at right, cells C397 through P397. Next instruction is in cell A399.</t>
  </si>
  <si>
    <t>Total is auto calculated for each day and week in cell at right, cells C388 through P388. Next instruction is in cell A390.</t>
  </si>
  <si>
    <t>Total is auto calculated for each day and week in cell at right, cells C379 through P379. Next instruction is in cell A381.</t>
  </si>
  <si>
    <t>Total is auto calculated for each day and week in cell at right, cells C370 through P370. Next instruction is in cell A372.</t>
  </si>
  <si>
    <t>Total is auto calculated for each day and week in cell at right, cells C361 through P361. Next instruction is in cell A363.</t>
  </si>
  <si>
    <t>Total is auto calculated for each day and week in cell at right, cells C348 through P348. Next instruction is in cell A350.</t>
  </si>
  <si>
    <t>Total is auto calculated for each day and week in cell at right, cells C339 through P339. Next instruction is in cell A341.</t>
  </si>
  <si>
    <t>Total is auto calculated for each day and week in cell at right, cells C330 through P330. Next instruction is in cell A332.</t>
  </si>
  <si>
    <t>Total is auto calculated for each day and week in cell at right, cells C321 through P321. Next instruction is in cell A323.</t>
  </si>
  <si>
    <t>Total is auto calculated for each day and week in cell at right, cells C312 through P312. Next instruction is in cell A314.</t>
  </si>
  <si>
    <t>Total is auto calculated for each day and week in cell at right, cells C303 through P303. Next instruction is in cell A305.</t>
  </si>
  <si>
    <t>Total is auto calculated for each day and week in cell at right, cells C290 through P290. Next instruction is in cell A292.</t>
  </si>
  <si>
    <t>Total is auto calculated for each day and week in cell at right, cells C281 through P281. Next instruction is in cell A283.</t>
  </si>
  <si>
    <t>Total is auto calculated for each day and week in cell at right, cells C272 through P272. Next instruction is in cell A274.</t>
  </si>
  <si>
    <t>Total is auto calculated for each day and week in cell at right, cells C263 through P263. Next instruction is in cell A265.</t>
  </si>
  <si>
    <t>Total is auto calculated for each day and week in cell at right, cells C254 through P254. Next instruction is in cell A256.</t>
  </si>
  <si>
    <t>Total is auto calculated for each day and week in cell at right, cells C245 through P245. Next instruction is in cell A247.</t>
  </si>
  <si>
    <t>Total is auto calculated for each day and week in cell at right, cells C232 through P232. Next instruction is in cell A234.</t>
  </si>
  <si>
    <t>Total is auto calculated for each day and week in cell at right, cells C223 through P223. Next instruction is in cell A225.</t>
  </si>
  <si>
    <t>Total is auto calculated for each day and week in cell at right, cells C214 through P214. Next instruction is in cell A216.</t>
  </si>
  <si>
    <t>Total is auto calculated for each day and week in cell at right, cells C205 through P205. Next instruction is in cell A207.</t>
  </si>
  <si>
    <t>Total is auto calculated for each day and week in cell at right, cells C196 through P196. Next instruction is in cell A198.</t>
  </si>
  <si>
    <t>Total is auto calculated for each day and week in cell at right, cells C187 through P187. Next instruction is in cell A189.</t>
  </si>
  <si>
    <t>Total is auto calculated for each day and week in cell at right, cells C174 through P174. Next instruction is in cell A176.</t>
  </si>
  <si>
    <t>Total is auto calculated for each day and week in cell at right, cells C165 through P165. Next instruction is in cell A167.</t>
  </si>
  <si>
    <t>Total is auto calculated for each day and week in cell at right, cells C156 through P156. Next instruction is in cell A158.</t>
  </si>
  <si>
    <t>Total is auto calculated for each day and week in cell at right, cells C147 through P147. Next instruction is in cell A149.</t>
  </si>
  <si>
    <t>Total is auto calculated for each day and week in cell at right, cells C138 through P138. Next instruction is in cell A140.</t>
  </si>
  <si>
    <t>Total is auto calculated for each day and week in cell at right, cells C129 through P129. Next instruction is in cell A131.</t>
  </si>
  <si>
    <t>TIP: Change the year in cell B1 to update the calendar year.</t>
  </si>
  <si>
    <t>January calendar is in cells B5 through O58.</t>
  </si>
  <si>
    <t>February calendar is in cells B63 through O116.</t>
  </si>
  <si>
    <t>March calendar is in cells B121 through O174.</t>
  </si>
  <si>
    <t>April calendar is in cells B179 through O232.</t>
  </si>
  <si>
    <t>Calendar dates are in cells at right, cells B180 through O180. If it doesn’t start with number 1, then it is date of previous month.</t>
  </si>
  <si>
    <t>Enter Description and Amount of each expense in cells at right, cells B218 through O222. Next instruction is in cell A223.</t>
  </si>
  <si>
    <t>May calendar is in cells B237 through O290.</t>
  </si>
  <si>
    <t>Calendar dates are in cells at right, cells B238 through O238. If it doesn’t start with number 1, then it is date of previous month.</t>
  </si>
  <si>
    <t>June calendar is in cells B295 through O348.</t>
  </si>
  <si>
    <t>July calendar is in cells B353 through O406.</t>
  </si>
  <si>
    <t>August calendar is in cells B411 through O464.</t>
  </si>
  <si>
    <t>September calendar is in cells B496 through O522.</t>
  </si>
  <si>
    <t>Enter Description and Amount of each expense in cells at right, cells B472 through O476. Next instruction is in cell A477.</t>
  </si>
  <si>
    <t>October calendar is in cells B527 through O580.</t>
  </si>
  <si>
    <t>November calendar is in cells B584 through O638.</t>
  </si>
  <si>
    <t>December calendar is in cells B642 through O696.</t>
  </si>
  <si>
    <t>Enter Description and Amount of each expense in cells at right, cells B646 through O650. Next instruction is in cell A651.</t>
  </si>
  <si>
    <t>January label is in cell at right, Monthly Total label in cell L2, Grand Total label in N2, and Tip in G2.</t>
  </si>
  <si>
    <t>Rent</t>
  </si>
  <si>
    <t>Description</t>
  </si>
  <si>
    <t>Amount</t>
  </si>
  <si>
    <t>Jan</t>
  </si>
  <si>
    <t>Income</t>
  </si>
  <si>
    <t>Fixed Expenses</t>
  </si>
  <si>
    <t>FEB</t>
  </si>
  <si>
    <t>MAR</t>
  </si>
  <si>
    <t>APR</t>
  </si>
  <si>
    <t>AUG</t>
  </si>
  <si>
    <t>SEP</t>
  </si>
  <si>
    <t>OCT</t>
  </si>
  <si>
    <t>NOV</t>
  </si>
  <si>
    <t>DEC</t>
  </si>
  <si>
    <t>Begin Cash Flow</t>
  </si>
  <si>
    <t>End Cash Flow</t>
  </si>
  <si>
    <t>*No bills can be due after the 28th due to February</t>
  </si>
  <si>
    <t>Paul Phone Bill</t>
  </si>
  <si>
    <t>Lynn Phone Bill</t>
  </si>
  <si>
    <t>Cairo Phone Bill</t>
  </si>
  <si>
    <t>Car</t>
  </si>
  <si>
    <t>*Disney Plus, Hulu, Espn, Kids Phone</t>
  </si>
  <si>
    <t>Included</t>
  </si>
  <si>
    <t>Paul Income</t>
  </si>
  <si>
    <t>Lynn Income</t>
  </si>
  <si>
    <t>Varibale Expense</t>
  </si>
  <si>
    <t>Budget</t>
  </si>
  <si>
    <t>Savings</t>
  </si>
  <si>
    <t>% Income</t>
  </si>
  <si>
    <t>Standard</t>
  </si>
  <si>
    <t>*What cash do we have in our bank right now? (Feb )</t>
  </si>
  <si>
    <t>Total</t>
  </si>
  <si>
    <t>Projected Weekly</t>
  </si>
  <si>
    <t>Monthly</t>
  </si>
  <si>
    <t>Weekly</t>
  </si>
  <si>
    <t>*without interest</t>
  </si>
  <si>
    <t>current interest rate</t>
  </si>
  <si>
    <t>Bank of America</t>
  </si>
  <si>
    <t>Leftover (Cash)</t>
  </si>
  <si>
    <t>lynnangelcontracting@gmail.com</t>
  </si>
  <si>
    <t>*Birthday</t>
  </si>
  <si>
    <t>Trip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</si>
</sst>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-&quot;$&quot;#,##0.00"/>
    <numFmt numFmtId="165" formatCode="&quot;$&quot;#,##0.00"/>
    <numFmt numFmtId="168" formatCode="0.0%"/>
    <numFmt numFmtId="170" formatCode="_(* #,##0_);_(* \(#,##0\);_(* &quot;-&quot;??_);_(@_)"/>
  </numFmts>
  <fonts count="30" x14ac:knownFonts="1">
    <font>
      <sz val="8"/>
      <color theme="1" tint="0.14996795556505021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3" tint="-0.249977111117893"/>
      <name val="Bookman Old Style"/>
      <family val="1"/>
      <scheme val="major"/>
    </font>
    <font>
      <sz val="9"/>
      <color theme="0"/>
      <name val="Arial"/>
      <family val="2"/>
      <scheme val="minor"/>
    </font>
    <font>
      <b/>
      <sz val="8"/>
      <color theme="0"/>
      <name val="Bookman Old Style"/>
      <family val="1"/>
      <scheme val="major"/>
    </font>
    <font>
      <sz val="12"/>
      <color theme="0"/>
      <name val="Bookman Old Style"/>
      <family val="1"/>
      <scheme val="major"/>
    </font>
    <font>
      <b/>
      <sz val="12"/>
      <color theme="0"/>
      <name val="Bookman Old Style"/>
      <family val="1"/>
      <scheme val="major"/>
    </font>
    <font>
      <sz val="14"/>
      <color theme="0"/>
      <name val="Bookman Old Style"/>
      <family val="1"/>
      <scheme val="major"/>
    </font>
    <font>
      <b/>
      <sz val="9"/>
      <color theme="1" tint="0.34998626667073579"/>
      <name val="Bookman Old Style"/>
      <family val="1"/>
      <scheme val="major"/>
    </font>
    <font>
      <sz val="8"/>
      <color theme="1" tint="0.14996795556505021"/>
      <name val="Arial"/>
      <family val="2"/>
      <scheme val="minor"/>
    </font>
    <font>
      <sz val="28"/>
      <color theme="3" tint="0.39994506668294322"/>
      <name val="Bookman Old Style"/>
      <family val="1"/>
      <scheme val="major"/>
    </font>
    <font>
      <sz val="8"/>
      <color theme="1" tint="0.499984740745262"/>
      <name val="Arial"/>
      <family val="2"/>
      <scheme val="minor"/>
    </font>
    <font>
      <sz val="28"/>
      <color theme="3"/>
      <name val="Bookman Old Style"/>
      <family val="1"/>
      <scheme val="major"/>
    </font>
    <font>
      <sz val="8"/>
      <color theme="1" tint="0.34998626667073579"/>
      <name val="Arial"/>
      <family val="2"/>
      <scheme val="minor"/>
    </font>
    <font>
      <sz val="28"/>
      <color theme="1" tint="0.34998626667073579"/>
      <name val="Bookman Old Style"/>
      <family val="1"/>
      <scheme val="major"/>
    </font>
    <font>
      <sz val="11"/>
      <color theme="0"/>
      <name val="Calibri"/>
      <family val="2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rgb="FF3F3F76"/>
      <name val="Arial"/>
      <family val="2"/>
      <scheme val="minor"/>
    </font>
    <font>
      <b/>
      <sz val="9"/>
      <color rgb="FF3F3F3F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A7D00"/>
      <name val="Arial"/>
      <family val="2"/>
      <scheme val="minor"/>
    </font>
    <font>
      <u/>
      <sz val="8"/>
      <color theme="1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dotted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dotted">
        <color theme="0" tint="-0.14996795556505021"/>
      </left>
      <right/>
      <top style="thin">
        <color theme="0" tint="-0.14996795556505021"/>
      </top>
      <bottom style="dotted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dotted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14996795556505021"/>
      </left>
      <right style="dotted">
        <color theme="0" tint="-0.14996795556505021"/>
      </right>
      <top style="thin">
        <color theme="0" tint="-0.14996795556505021"/>
      </top>
      <bottom style="dotted">
        <color theme="0" tint="-0.1499679555650502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dotted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 style="thin">
        <color theme="0" tint="-0.24994659260841701"/>
      </right>
      <top style="thin">
        <color theme="1" tint="0.499984740745262"/>
      </top>
      <bottom/>
      <diagonal/>
    </border>
    <border>
      <left/>
      <right style="thin">
        <color theme="3" tint="0.39994506668294322"/>
      </right>
      <top style="thin">
        <color theme="1" tint="0.499984740745262"/>
      </top>
      <bottom/>
      <diagonal/>
    </border>
    <border>
      <left style="thin">
        <color theme="3" tint="0.39994506668294322"/>
      </left>
      <right/>
      <top style="thin">
        <color theme="1" tint="0.499984740745262"/>
      </top>
      <bottom/>
      <diagonal/>
    </border>
    <border>
      <left style="thin">
        <color theme="0" tint="-0.24994659260841701"/>
      </left>
      <right style="thin">
        <color theme="3" tint="0.39994506668294322"/>
      </right>
      <top style="thin">
        <color theme="1" tint="0.499984740745262"/>
      </top>
      <bottom/>
      <diagonal/>
    </border>
    <border>
      <left style="thin">
        <color theme="3" tint="0.39994506668294322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14996795556505021"/>
      </left>
      <right style="dotted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 tint="0.499984740745262"/>
      </top>
      <bottom style="thin">
        <color theme="0" tint="-0.34998626667073579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 style="thin">
        <color theme="0" tint="-0.24994659260841701"/>
      </top>
      <bottom/>
      <diagonal/>
    </border>
    <border>
      <left style="dotted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/>
      <diagonal/>
    </border>
  </borders>
  <cellStyleXfs count="12">
    <xf numFmtId="0" fontId="0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 applyNumberFormat="0" applyFill="0" applyBorder="0" applyProtection="0">
      <alignment horizontal="right"/>
    </xf>
    <xf numFmtId="0" fontId="13" fillId="0" borderId="0" applyNumberFormat="0" applyFill="0" applyBorder="0" applyAlignment="0" applyProtection="0"/>
    <xf numFmtId="0" fontId="18" fillId="7" borderId="0" applyNumberFormat="0" applyBorder="0" applyAlignment="0" applyProtection="0"/>
    <xf numFmtId="0" fontId="19" fillId="8" borderId="37" applyNumberFormat="0" applyAlignment="0" applyProtection="0"/>
    <xf numFmtId="0" fontId="20" fillId="9" borderId="38" applyNumberFormat="0" applyAlignment="0" applyProtection="0"/>
    <xf numFmtId="0" fontId="21" fillId="9" borderId="37" applyNumberFormat="0" applyAlignment="0" applyProtection="0"/>
    <xf numFmtId="0" fontId="22" fillId="10" borderId="39" applyNumberFormat="0" applyAlignment="0" applyProtection="0"/>
    <xf numFmtId="0" fontId="11" fillId="11" borderId="40" applyNumberFormat="0" applyFont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>
      <alignment vertical="center"/>
    </xf>
    <xf numFmtId="14" fontId="0" fillId="0" borderId="0" xfId="0" applyNumberFormat="1" applyAlignment="1">
      <alignment horizontal="right"/>
    </xf>
    <xf numFmtId="14" fontId="0" fillId="0" borderId="0" xfId="0" applyNumberFormat="1">
      <alignment vertical="center"/>
    </xf>
    <xf numFmtId="0" fontId="0" fillId="0" borderId="0" xfId="0" applyNumberFormat="1" applyAlignment="1">
      <alignment horizontal="right"/>
    </xf>
    <xf numFmtId="0" fontId="4" fillId="2" borderId="7" xfId="0" applyNumberFormat="1" applyFont="1" applyFill="1" applyBorder="1" applyAlignment="1">
      <alignment horizontal="centerContinuous" vertical="center"/>
    </xf>
    <xf numFmtId="0" fontId="4" fillId="2" borderId="15" xfId="0" applyNumberFormat="1" applyFont="1" applyFill="1" applyBorder="1" applyAlignment="1">
      <alignment horizontal="centerContinuous" vertical="center"/>
    </xf>
    <xf numFmtId="0" fontId="4" fillId="2" borderId="6" xfId="0" applyNumberFormat="1" applyFont="1" applyFill="1" applyBorder="1" applyAlignment="1">
      <alignment horizontal="centerContinuous" vertical="center"/>
    </xf>
    <xf numFmtId="0" fontId="4" fillId="2" borderId="8" xfId="0" applyNumberFormat="1" applyFont="1" applyFill="1" applyBorder="1" applyAlignment="1">
      <alignment horizontal="centerContinuous" vertical="center"/>
    </xf>
    <xf numFmtId="0" fontId="4" fillId="2" borderId="13" xfId="0" applyNumberFormat="1" applyFont="1" applyFill="1" applyBorder="1" applyAlignment="1">
      <alignment horizontal="centerContinuous" vertical="center"/>
    </xf>
    <xf numFmtId="0" fontId="4" fillId="2" borderId="18" xfId="0" applyNumberFormat="1" applyFont="1" applyFill="1" applyBorder="1" applyAlignment="1">
      <alignment horizontal="centerContinuous" vertical="center"/>
    </xf>
    <xf numFmtId="0" fontId="4" fillId="2" borderId="19" xfId="0" applyNumberFormat="1" applyFont="1" applyFill="1" applyBorder="1" applyAlignment="1">
      <alignment horizontal="centerContinuous" vertical="center"/>
    </xf>
    <xf numFmtId="0" fontId="11" fillId="0" borderId="9" xfId="0" applyNumberFormat="1" applyFont="1" applyBorder="1" applyAlignment="1">
      <alignment vertical="center"/>
    </xf>
    <xf numFmtId="164" fontId="6" fillId="3" borderId="5" xfId="0" applyNumberFormat="1" applyFont="1" applyFill="1" applyBorder="1" applyAlignment="1" applyProtection="1">
      <alignment vertical="center"/>
      <protection locked="0"/>
    </xf>
    <xf numFmtId="0" fontId="4" fillId="2" borderId="29" xfId="0" applyNumberFormat="1" applyFont="1" applyFill="1" applyBorder="1" applyAlignment="1">
      <alignment horizontal="centerContinuous" vertical="center"/>
    </xf>
    <xf numFmtId="0" fontId="4" fillId="2" borderId="30" xfId="0" applyNumberFormat="1" applyFont="1" applyFill="1" applyBorder="1" applyAlignment="1">
      <alignment horizontal="centerContinuous" vertical="center"/>
    </xf>
    <xf numFmtId="0" fontId="1" fillId="2" borderId="34" xfId="0" applyFont="1" applyFill="1" applyBorder="1" applyAlignment="1">
      <alignment vertical="center"/>
    </xf>
    <xf numFmtId="164" fontId="1" fillId="2" borderId="34" xfId="0" applyNumberFormat="1" applyFont="1" applyFill="1" applyBorder="1" applyAlignment="1">
      <alignment vertical="center"/>
    </xf>
    <xf numFmtId="0" fontId="1" fillId="2" borderId="35" xfId="0" applyNumberFormat="1" applyFont="1" applyFill="1" applyBorder="1" applyAlignment="1">
      <alignment vertical="center"/>
    </xf>
    <xf numFmtId="164" fontId="1" fillId="2" borderId="35" xfId="0" applyNumberFormat="1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164" fontId="6" fillId="4" borderId="5" xfId="0" applyNumberFormat="1" applyFont="1" applyFill="1" applyBorder="1" applyAlignment="1" applyProtection="1">
      <alignment vertical="center"/>
      <protection locked="0"/>
    </xf>
    <xf numFmtId="165" fontId="6" fillId="4" borderId="3" xfId="0" applyNumberFormat="1" applyFont="1" applyFill="1" applyBorder="1" applyAlignment="1" applyProtection="1">
      <alignment horizontal="right" vertical="center"/>
    </xf>
    <xf numFmtId="165" fontId="6" fillId="4" borderId="31" xfId="0" applyNumberFormat="1" applyFont="1" applyFill="1" applyBorder="1" applyAlignment="1" applyProtection="1">
      <alignment horizontal="right" vertical="center"/>
    </xf>
    <xf numFmtId="165" fontId="6" fillId="4" borderId="31" xfId="0" applyNumberFormat="1" applyFont="1" applyFill="1" applyBorder="1" applyAlignment="1">
      <alignment vertical="center"/>
    </xf>
    <xf numFmtId="164" fontId="6" fillId="4" borderId="14" xfId="0" applyNumberFormat="1" applyFont="1" applyFill="1" applyBorder="1" applyAlignment="1" applyProtection="1">
      <alignment vertical="center"/>
      <protection locked="0"/>
    </xf>
    <xf numFmtId="0" fontId="7" fillId="5" borderId="0" xfId="0" applyFont="1" applyFill="1">
      <alignment vertical="center"/>
    </xf>
    <xf numFmtId="0" fontId="9" fillId="5" borderId="0" xfId="0" applyFont="1" applyFill="1" applyAlignment="1">
      <alignment vertical="center"/>
    </xf>
    <xf numFmtId="0" fontId="7" fillId="5" borderId="0" xfId="0" applyFont="1" applyFill="1" applyAlignment="1">
      <alignment horizontal="right"/>
    </xf>
    <xf numFmtId="0" fontId="2" fillId="5" borderId="33" xfId="0" applyFont="1" applyFill="1" applyBorder="1" applyAlignment="1">
      <alignment horizontal="center" vertical="center"/>
    </xf>
    <xf numFmtId="0" fontId="15" fillId="0" borderId="28" xfId="3" applyNumberFormat="1" applyFont="1" applyBorder="1" applyAlignment="1">
      <alignment vertical="center"/>
    </xf>
    <xf numFmtId="0" fontId="15" fillId="0" borderId="17" xfId="3" applyNumberFormat="1" applyFont="1" applyBorder="1" applyAlignment="1">
      <alignment horizontal="right" vertical="center"/>
    </xf>
    <xf numFmtId="0" fontId="15" fillId="0" borderId="4" xfId="3" applyNumberFormat="1" applyFont="1" applyBorder="1" applyAlignment="1">
      <alignment vertical="center"/>
    </xf>
    <xf numFmtId="0" fontId="15" fillId="0" borderId="36" xfId="3" applyNumberFormat="1" applyFont="1" applyBorder="1" applyAlignment="1">
      <alignment horizontal="right" vertical="center"/>
    </xf>
    <xf numFmtId="0" fontId="15" fillId="0" borderId="1" xfId="3" applyNumberFormat="1" applyFont="1" applyBorder="1" applyAlignment="1">
      <alignment horizontal="right" vertical="center"/>
    </xf>
    <xf numFmtId="0" fontId="15" fillId="0" borderId="32" xfId="3" applyNumberFormat="1" applyFont="1" applyBorder="1" applyAlignment="1">
      <alignment horizontal="right" vertical="center"/>
    </xf>
    <xf numFmtId="0" fontId="15" fillId="0" borderId="16" xfId="3" applyNumberFormat="1" applyFont="1" applyBorder="1" applyAlignment="1">
      <alignment vertical="center"/>
    </xf>
    <xf numFmtId="0" fontId="2" fillId="6" borderId="33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0" fillId="0" borderId="0" xfId="2" applyAlignment="1">
      <alignment horizontal="right"/>
    </xf>
    <xf numFmtId="7" fontId="8" fillId="4" borderId="10" xfId="0" applyNumberFormat="1" applyFont="1" applyFill="1" applyBorder="1" applyAlignment="1">
      <alignment horizontal="right" vertical="center"/>
    </xf>
    <xf numFmtId="7" fontId="8" fillId="4" borderId="12" xfId="0" applyNumberFormat="1" applyFont="1" applyFill="1" applyBorder="1" applyAlignment="1">
      <alignment horizontal="right" vertical="center"/>
    </xf>
    <xf numFmtId="7" fontId="8" fillId="4" borderId="11" xfId="0" applyNumberFormat="1" applyFont="1" applyFill="1" applyBorder="1" applyAlignment="1">
      <alignment horizontal="right" vertical="center"/>
    </xf>
    <xf numFmtId="0" fontId="14" fillId="0" borderId="0" xfId="1" applyFont="1" applyAlignment="1">
      <alignment horizontal="left"/>
    </xf>
    <xf numFmtId="0" fontId="2" fillId="0" borderId="0" xfId="0" applyFont="1" applyBorder="1" applyAlignment="1">
      <alignment horizont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16" fillId="0" borderId="0" xfId="1" applyFont="1" applyAlignment="1">
      <alignment horizontal="left"/>
    </xf>
    <xf numFmtId="0" fontId="5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indent="3"/>
    </xf>
    <xf numFmtId="0" fontId="0" fillId="12" borderId="0" xfId="0" applyFill="1" applyBorder="1" applyAlignment="1">
      <alignment horizontal="left" indent="1"/>
    </xf>
    <xf numFmtId="44" fontId="0" fillId="12" borderId="0" xfId="0" applyNumberFormat="1" applyFill="1" applyBorder="1" applyAlignment="1"/>
    <xf numFmtId="165" fontId="11" fillId="0" borderId="2" xfId="0" applyNumberFormat="1" applyFont="1" applyBorder="1" applyAlignment="1" applyProtection="1">
      <alignment horizontal="right" vertical="center"/>
    </xf>
    <xf numFmtId="0" fontId="0" fillId="0" borderId="0" xfId="0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applyFill="1">
      <alignment vertical="center"/>
    </xf>
    <xf numFmtId="0" fontId="11" fillId="0" borderId="42" xfId="0" applyFont="1" applyBorder="1" applyAlignment="1">
      <alignment horizontal="center" vertical="center"/>
    </xf>
    <xf numFmtId="0" fontId="11" fillId="0" borderId="42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25" fillId="8" borderId="37" xfId="5" applyFont="1" applyAlignment="1">
      <alignment vertical="center"/>
    </xf>
    <xf numFmtId="0" fontId="25" fillId="8" borderId="37" xfId="5" applyFont="1" applyAlignment="1">
      <alignment horizontal="center" vertical="center"/>
    </xf>
    <xf numFmtId="165" fontId="26" fillId="9" borderId="38" xfId="6" applyNumberFormat="1" applyFont="1" applyAlignment="1">
      <alignment horizontal="center" vertical="center"/>
    </xf>
    <xf numFmtId="0" fontId="25" fillId="8" borderId="43" xfId="5" applyFont="1" applyBorder="1" applyAlignment="1">
      <alignment horizontal="center" vertical="center"/>
    </xf>
    <xf numFmtId="165" fontId="27" fillId="9" borderId="38" xfId="6" applyNumberFormat="1" applyFont="1" applyAlignment="1">
      <alignment horizontal="center" vertical="center"/>
    </xf>
    <xf numFmtId="0" fontId="25" fillId="8" borderId="0" xfId="5" applyFont="1" applyBorder="1" applyAlignment="1">
      <alignment horizontal="center" vertical="center"/>
    </xf>
    <xf numFmtId="0" fontId="28" fillId="9" borderId="37" xfId="7" applyFont="1" applyAlignment="1">
      <alignment horizontal="center" vertical="center"/>
    </xf>
    <xf numFmtId="0" fontId="22" fillId="10" borderId="39" xfId="8" applyAlignment="1">
      <alignment vertical="center"/>
    </xf>
    <xf numFmtId="165" fontId="19" fillId="8" borderId="37" xfId="5" applyNumberFormat="1" applyAlignment="1">
      <alignment vertical="center"/>
    </xf>
    <xf numFmtId="165" fontId="19" fillId="8" borderId="37" xfId="5" applyNumberFormat="1" applyAlignment="1">
      <alignment horizontal="center" vertical="center"/>
    </xf>
    <xf numFmtId="165" fontId="23" fillId="0" borderId="0" xfId="10" applyNumberFormat="1" applyAlignment="1">
      <alignment horizontal="center" vertical="center"/>
    </xf>
    <xf numFmtId="7" fontId="23" fillId="0" borderId="0" xfId="10" applyNumberFormat="1" applyAlignment="1">
      <alignment horizontal="center" vertical="center"/>
    </xf>
    <xf numFmtId="168" fontId="23" fillId="0" borderId="0" xfId="10" applyNumberFormat="1" applyAlignment="1">
      <alignment horizontal="center" vertical="center"/>
    </xf>
    <xf numFmtId="7" fontId="19" fillId="8" borderId="37" xfId="5" applyNumberFormat="1" applyAlignment="1">
      <alignment horizontal="center" vertical="center"/>
    </xf>
    <xf numFmtId="168" fontId="19" fillId="8" borderId="37" xfId="5" applyNumberFormat="1" applyAlignment="1">
      <alignment horizontal="center" vertical="center"/>
    </xf>
    <xf numFmtId="0" fontId="25" fillId="11" borderId="40" xfId="9" applyFont="1" applyAlignment="1">
      <alignment horizontal="center" vertical="center"/>
    </xf>
    <xf numFmtId="0" fontId="0" fillId="11" borderId="40" xfId="9" applyFont="1" applyAlignment="1">
      <alignment horizontal="center" vertical="center"/>
    </xf>
    <xf numFmtId="0" fontId="27" fillId="9" borderId="37" xfId="7" applyFont="1" applyAlignment="1">
      <alignment horizontal="center" vertical="center"/>
    </xf>
    <xf numFmtId="170" fontId="19" fillId="8" borderId="37" xfId="5" applyNumberFormat="1" applyAlignmen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65" fontId="19" fillId="12" borderId="37" xfId="5" applyNumberFormat="1" applyFill="1" applyAlignment="1">
      <alignment horizontal="center" vertical="center"/>
    </xf>
    <xf numFmtId="0" fontId="19" fillId="12" borderId="37" xfId="5" applyFill="1" applyAlignment="1">
      <alignment horizontal="center" vertical="center"/>
    </xf>
    <xf numFmtId="165" fontId="18" fillId="12" borderId="37" xfId="4" applyNumberFormat="1" applyFill="1" applyBorder="1" applyAlignment="1">
      <alignment horizontal="center" vertical="center"/>
    </xf>
    <xf numFmtId="0" fontId="24" fillId="12" borderId="41" xfId="0" applyFont="1" applyFill="1" applyBorder="1" applyAlignment="1">
      <alignment horizontal="center" vertical="center"/>
    </xf>
    <xf numFmtId="0" fontId="29" fillId="0" borderId="0" xfId="11" applyFill="1">
      <alignment vertical="center"/>
    </xf>
  </cellXfs>
  <cellStyles count="12">
    <cellStyle name="Calculation" xfId="7" builtinId="22"/>
    <cellStyle name="Check Cell" xfId="8" builtinId="23"/>
    <cellStyle name="Explanatory Text" xfId="10" builtinId="53"/>
    <cellStyle name="Heading 1" xfId="1" builtinId="16" customBuiltin="1"/>
    <cellStyle name="Heading 2" xfId="2" builtinId="17" customBuiltin="1"/>
    <cellStyle name="Heading 3" xfId="3" builtinId="18" customBuiltin="1"/>
    <cellStyle name="Hyperlink" xfId="11" builtinId="8"/>
    <cellStyle name="Input" xfId="5" builtinId="20"/>
    <cellStyle name="Neutral" xfId="4" builtinId="28"/>
    <cellStyle name="Normal" xfId="0" builtinId="0" customBuiltin="1"/>
    <cellStyle name="Note" xfId="9" builtinId="10"/>
    <cellStyle name="Output" xfId="6" builtinId="21"/>
  </cellStyles>
  <dxfs count="446"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 tint="-0.24994659260841701"/>
      </font>
      <border>
        <vertical/>
        <horizontal/>
      </border>
    </dxf>
    <dxf>
      <font>
        <color theme="0"/>
      </font>
      <fill>
        <patternFill>
          <bgColor theme="4" tint="-0.499984740745262"/>
        </patternFill>
      </fill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font>
        <color theme="0" tint="-0.24994659260841701"/>
      </font>
      <border>
        <vertical/>
        <horizontal/>
      </border>
    </dxf>
    <dxf>
      <numFmt numFmtId="34" formatCode="_(&quot;$&quot;* #,##0.00_);_(&quot;$&quot;* \(#,##0.00\);_(&quot;$&quot;* &quot;-&quot;??_);_(@_)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1" justifyLastLine="0" shrinkToFit="0" readingOrder="0"/>
    </dxf>
    <dxf>
      <numFmt numFmtId="34" formatCode="_(&quot;$&quot;* #,##0.00_);_(&quot;$&quot;* \(#,##0.00\);_(&quot;$&quot;* &quot;-&quot;??_);_(@_)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FD1D4-9A04-4284-B735-199481699EB8}" name="fixed_expenses" displayName="fixed_expenses" ref="T5:V18" totalsRowShown="0">
  <autoFilter ref="T5:V18" xr:uid="{5D70A1BF-1763-4657-B4D6-BF1C40771938}"/>
  <tableColumns count="3">
    <tableColumn id="1" xr3:uid="{BED4475E-5E57-42C5-8609-565AA1565E8B}" name="Description" dataDxfId="445"/>
    <tableColumn id="2" xr3:uid="{B9B612A4-6458-4112-8E74-8AB7446E2BB7}" name="Amount" dataDxfId="444"/>
    <tableColumn id="3" xr3:uid="{D53884FF-2EB3-4AB3-843F-01CE37E271C0}" name="Included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AA4F27-AFE5-4863-AC7E-B159CDA3C4B9}" name="fixed_expenses4" displayName="fixed_expenses4" ref="T5:U7" totalsRowShown="0">
  <autoFilter ref="T5:U7" xr:uid="{5D70A1BF-1763-4657-B4D6-BF1C40771938}"/>
  <tableColumns count="2">
    <tableColumn id="1" xr3:uid="{84BEEFC3-E07D-4575-8C2A-66D97F816BF8}" name="Description" dataDxfId="443"/>
    <tableColumn id="2" xr3:uid="{8DD63B3C-564F-48B2-A3AC-5DFCE01BDFCD}" name="Amount" dataDxfId="44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radeshow">
  <a:themeElements>
    <a:clrScheme name="Expense Calendar">
      <a:dk1>
        <a:srgbClr val="000000"/>
      </a:dk1>
      <a:lt1>
        <a:srgbClr val="FFFFFF"/>
      </a:lt1>
      <a:dk2>
        <a:srgbClr val="635C50"/>
      </a:dk2>
      <a:lt2>
        <a:srgbClr val="E8E7E5"/>
      </a:lt2>
      <a:accent1>
        <a:srgbClr val="84C183"/>
      </a:accent1>
      <a:accent2>
        <a:srgbClr val="F4D647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B580A1"/>
      </a:folHlink>
    </a:clrScheme>
    <a:fontScheme name="Expense Calendar">
      <a:majorFont>
        <a:latin typeface="Bookman Old Style"/>
        <a:ea typeface=""/>
        <a:cs typeface=""/>
      </a:majorFont>
      <a:minorFont>
        <a:latin typeface="Arial"/>
        <a:ea typeface=""/>
        <a:cs typeface=""/>
      </a:minorFont>
    </a:fontScheme>
    <a:fmtScheme name="Tradeshow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300000"/>
              </a:schemeClr>
            </a:gs>
            <a:gs pos="35000">
              <a:schemeClr val="phClr">
                <a:tint val="45000"/>
                <a:satMod val="300000"/>
              </a:schemeClr>
            </a:gs>
            <a:gs pos="69000">
              <a:schemeClr val="phClr">
                <a:tint val="45000"/>
                <a:satMod val="350000"/>
              </a:schemeClr>
            </a:gs>
            <a:gs pos="100000">
              <a:schemeClr val="phClr">
                <a:tint val="60000"/>
                <a:satMod val="350000"/>
              </a:schemeClr>
            </a:gs>
          </a:gsLst>
          <a:path path="circle">
            <a:fillToRect l="50000" t="50000" r="100000" b="100000"/>
          </a:path>
        </a:gradFill>
        <a:gradFill rotWithShape="1">
          <a:gsLst>
            <a:gs pos="0">
              <a:schemeClr val="phClr">
                <a:shade val="47500"/>
                <a:satMod val="137000"/>
              </a:schemeClr>
            </a:gs>
            <a:gs pos="55000">
              <a:schemeClr val="phClr">
                <a:shade val="69000"/>
                <a:satMod val="137000"/>
              </a:schemeClr>
            </a:gs>
            <a:gs pos="100000">
              <a:schemeClr val="phClr">
                <a:shade val="98000"/>
                <a:satMod val="137000"/>
              </a:schemeClr>
            </a:gs>
          </a:gsLst>
          <a:lin ang="162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38475" cap="flat" cmpd="sng" algn="ctr">
          <a:solidFill>
            <a:schemeClr val="phClr"/>
          </a:solidFill>
          <a:prstDash val="solid"/>
        </a:ln>
        <a:ln w="548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4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>
              <a:rot lat="0" lon="0" rev="3600000"/>
            </a:lightRig>
          </a:scene3d>
          <a:sp3d contourW="31750" prstMaterial="flat">
            <a:bevelT w="127000" h="254000" prst="angle"/>
            <a:contourClr>
              <a:schemeClr val="phClr">
                <a:shade val="2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20000">
              <a:schemeClr val="phClr">
                <a:tint val="80000"/>
                <a:lumMod val="100000"/>
              </a:schemeClr>
            </a:gs>
            <a:gs pos="100000">
              <a:schemeClr val="phClr">
                <a:tint val="100000"/>
                <a:lumMod val="80000"/>
              </a:schemeClr>
            </a:gs>
          </a:gsLst>
          <a:path path="circle">
            <a:fillToRect l="50000" t="20000" r="100000" b="100000"/>
          </a:path>
        </a:gradFill>
        <a:gradFill rotWithShape="1">
          <a:gsLst>
            <a:gs pos="0">
              <a:schemeClr val="phClr">
                <a:tint val="100000"/>
                <a:lumMod val="100000"/>
              </a:schemeClr>
            </a:gs>
            <a:gs pos="100000">
              <a:schemeClr val="phClr">
                <a:shade val="100000"/>
                <a:lumMod val="60000"/>
              </a:schemeClr>
            </a:gs>
          </a:gsLst>
          <a:path path="circle">
            <a:fillToRect l="50000" t="2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ynnangelcontractin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C09D-696E-40D1-89F9-7756EB7CDF8C}">
  <sheetPr>
    <tabColor theme="4"/>
  </sheetPr>
  <dimension ref="A1:AM97"/>
  <sheetViews>
    <sheetView tabSelected="1" zoomScale="115" zoomScaleNormal="115" workbookViewId="0"/>
  </sheetViews>
  <sheetFormatPr defaultRowHeight="11.25" x14ac:dyDescent="0.2"/>
  <cols>
    <col min="1" max="1" width="19" customWidth="1"/>
    <col min="2" max="10" width="16.1640625" customWidth="1"/>
    <col min="11" max="11" width="20" bestFit="1" customWidth="1"/>
    <col min="12" max="51" width="16.1640625" customWidth="1"/>
  </cols>
  <sheetData>
    <row r="1" spans="1:39" ht="16.5" customHeight="1" x14ac:dyDescent="0.2">
      <c r="A1" s="106" t="s">
        <v>403</v>
      </c>
      <c r="AJ1" t="s">
        <v>380</v>
      </c>
    </row>
    <row r="2" spans="1:39" s="72" customFormat="1" ht="15.75" thickBot="1" x14ac:dyDescent="0.25">
      <c r="A2" s="74"/>
      <c r="B2" s="105" t="s">
        <v>367</v>
      </c>
      <c r="D2" s="73"/>
      <c r="I2" s="20">
        <v>1</v>
      </c>
      <c r="J2" s="19">
        <f>I2+1</f>
        <v>2</v>
      </c>
      <c r="K2" s="19">
        <f t="shared" ref="K2:AM2" si="0">J2+1</f>
        <v>3</v>
      </c>
      <c r="L2" s="19">
        <f t="shared" si="0"/>
        <v>4</v>
      </c>
      <c r="M2" s="19">
        <f t="shared" si="0"/>
        <v>5</v>
      </c>
      <c r="N2" s="19">
        <f t="shared" si="0"/>
        <v>6</v>
      </c>
      <c r="O2" s="19">
        <f t="shared" si="0"/>
        <v>7</v>
      </c>
      <c r="P2" s="19">
        <f t="shared" si="0"/>
        <v>8</v>
      </c>
      <c r="Q2" s="19">
        <f t="shared" si="0"/>
        <v>9</v>
      </c>
      <c r="R2" s="19">
        <f t="shared" si="0"/>
        <v>10</v>
      </c>
      <c r="S2" s="19">
        <f t="shared" si="0"/>
        <v>11</v>
      </c>
      <c r="T2" s="19">
        <f t="shared" si="0"/>
        <v>12</v>
      </c>
      <c r="U2" s="19">
        <f t="shared" si="0"/>
        <v>13</v>
      </c>
      <c r="V2" s="19">
        <f t="shared" si="0"/>
        <v>14</v>
      </c>
      <c r="W2" s="19">
        <f t="shared" si="0"/>
        <v>15</v>
      </c>
      <c r="X2" s="19">
        <f t="shared" si="0"/>
        <v>16</v>
      </c>
      <c r="Y2" s="19">
        <f t="shared" si="0"/>
        <v>17</v>
      </c>
      <c r="Z2" s="19">
        <f t="shared" si="0"/>
        <v>18</v>
      </c>
      <c r="AA2" s="19">
        <f t="shared" si="0"/>
        <v>19</v>
      </c>
      <c r="AB2" s="19">
        <f t="shared" si="0"/>
        <v>20</v>
      </c>
      <c r="AC2" s="19">
        <f t="shared" si="0"/>
        <v>21</v>
      </c>
      <c r="AD2" s="19">
        <f t="shared" si="0"/>
        <v>22</v>
      </c>
      <c r="AE2" s="19">
        <f t="shared" si="0"/>
        <v>23</v>
      </c>
      <c r="AF2" s="19">
        <f t="shared" si="0"/>
        <v>24</v>
      </c>
      <c r="AG2" s="19">
        <f t="shared" si="0"/>
        <v>25</v>
      </c>
      <c r="AH2" s="19">
        <f t="shared" si="0"/>
        <v>26</v>
      </c>
      <c r="AI2" s="19">
        <f t="shared" si="0"/>
        <v>27</v>
      </c>
      <c r="AJ2" s="19">
        <f t="shared" si="0"/>
        <v>28</v>
      </c>
      <c r="AK2" s="19">
        <f t="shared" si="0"/>
        <v>29</v>
      </c>
      <c r="AL2" s="19">
        <f t="shared" si="0"/>
        <v>30</v>
      </c>
      <c r="AM2" s="19">
        <f t="shared" si="0"/>
        <v>31</v>
      </c>
    </row>
    <row r="3" spans="1:39" x14ac:dyDescent="0.2">
      <c r="B3" s="81" t="s">
        <v>378</v>
      </c>
      <c r="C3" s="82" t="s">
        <v>368</v>
      </c>
      <c r="D3" s="82" t="s">
        <v>369</v>
      </c>
      <c r="E3" s="82" t="s">
        <v>379</v>
      </c>
      <c r="I3" s="78"/>
      <c r="J3" s="79"/>
      <c r="K3" s="79" t="s">
        <v>364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 t="s">
        <v>381</v>
      </c>
      <c r="X3" s="79"/>
      <c r="Y3" s="79"/>
      <c r="Z3" s="79"/>
      <c r="AA3" s="79"/>
      <c r="AB3" s="79" t="s">
        <v>382</v>
      </c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</row>
    <row r="4" spans="1:39" ht="12" x14ac:dyDescent="0.2">
      <c r="A4">
        <f ca="1">'Expense Calendar'!B6</f>
        <v>27</v>
      </c>
      <c r="B4" s="75"/>
      <c r="C4" s="76">
        <f ca="1">'Income Calendar'!P13</f>
        <v>800</v>
      </c>
      <c r="D4" s="76">
        <f ca="1">'Expense Calendar'!P13</f>
        <v>0</v>
      </c>
      <c r="E4" s="83">
        <f ca="1">C4-D4</f>
        <v>800</v>
      </c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 t="s">
        <v>25</v>
      </c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</row>
    <row r="5" spans="1:39" ht="12" x14ac:dyDescent="0.2">
      <c r="A5">
        <f ca="1">'Expense Calendar'!B15</f>
        <v>3</v>
      </c>
      <c r="B5" s="75">
        <f ca="1">E4</f>
        <v>800</v>
      </c>
      <c r="C5" s="76">
        <f>'Income Calendar'!P22</f>
        <v>800</v>
      </c>
      <c r="D5" s="76">
        <f ca="1">'Expense Calendar'!P22</f>
        <v>1200</v>
      </c>
      <c r="E5" s="85">
        <f ca="1">C5-D5+B5</f>
        <v>400</v>
      </c>
      <c r="I5" s="78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</row>
    <row r="6" spans="1:39" ht="12" x14ac:dyDescent="0.2">
      <c r="A6">
        <f ca="1">'Expense Calendar'!B24</f>
        <v>10</v>
      </c>
      <c r="B6" s="75">
        <f t="shared" ref="B6:B9" ca="1" si="1">E5</f>
        <v>400</v>
      </c>
      <c r="C6" s="76">
        <f>'Income Calendar'!P31</f>
        <v>800</v>
      </c>
      <c r="D6" s="76">
        <f ca="1">'Expense Calendar'!P31</f>
        <v>110</v>
      </c>
      <c r="E6" s="85">
        <f t="shared" ref="E6:E9" ca="1" si="2">C6-D6+B6</f>
        <v>1090</v>
      </c>
      <c r="I6" s="78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</row>
    <row r="7" spans="1:39" ht="12" x14ac:dyDescent="0.2">
      <c r="A7">
        <f ca="1">'Expense Calendar'!B33</f>
        <v>17</v>
      </c>
      <c r="B7" s="75">
        <f t="shared" ca="1" si="1"/>
        <v>1090</v>
      </c>
      <c r="C7" s="76">
        <f>'Income Calendar'!P40</f>
        <v>1570</v>
      </c>
      <c r="D7" s="76">
        <f ca="1">'Expense Calendar'!P40</f>
        <v>0</v>
      </c>
      <c r="E7" s="85">
        <f t="shared" ca="1" si="2"/>
        <v>2660</v>
      </c>
      <c r="I7" s="78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</row>
    <row r="8" spans="1:39" ht="12" x14ac:dyDescent="0.2">
      <c r="A8">
        <f ca="1">'Expense Calendar'!B42</f>
        <v>24</v>
      </c>
      <c r="B8" s="75">
        <f t="shared" ca="1" si="1"/>
        <v>2660</v>
      </c>
      <c r="C8" s="76">
        <f ca="1">'Income Calendar'!P49</f>
        <v>800</v>
      </c>
      <c r="D8" s="76">
        <f ca="1">'Expense Calendar'!P49</f>
        <v>0</v>
      </c>
      <c r="E8" s="85">
        <f t="shared" ca="1" si="2"/>
        <v>3460</v>
      </c>
    </row>
    <row r="9" spans="1:39" ht="12.75" thickBot="1" x14ac:dyDescent="0.25">
      <c r="A9">
        <f ca="1">'Expense Calendar'!B51</f>
        <v>31</v>
      </c>
      <c r="B9" s="75">
        <f t="shared" ca="1" si="1"/>
        <v>3460</v>
      </c>
      <c r="C9" s="76">
        <f ca="1">'Income Calendar'!P58</f>
        <v>0</v>
      </c>
      <c r="D9" s="76">
        <f ca="1">'Expense Calendar'!P58</f>
        <v>0</v>
      </c>
      <c r="E9" s="85">
        <f t="shared" ca="1" si="2"/>
        <v>3460</v>
      </c>
    </row>
    <row r="10" spans="1:39" ht="16.5" thickTop="1" thickBot="1" x14ac:dyDescent="0.25">
      <c r="B10" s="105" t="s">
        <v>370</v>
      </c>
      <c r="C10" s="72"/>
      <c r="D10" s="72"/>
      <c r="E10" s="104">
        <f ca="1">E9</f>
        <v>3460</v>
      </c>
      <c r="F10" t="s">
        <v>394</v>
      </c>
      <c r="J10" s="88" t="s">
        <v>390</v>
      </c>
      <c r="K10" s="88" t="s">
        <v>402</v>
      </c>
      <c r="L10" s="88" t="s">
        <v>368</v>
      </c>
      <c r="M10" s="88" t="s">
        <v>392</v>
      </c>
    </row>
    <row r="11" spans="1:39" ht="14.25" x14ac:dyDescent="0.2">
      <c r="B11" s="81" t="s">
        <v>378</v>
      </c>
      <c r="C11" s="82" t="s">
        <v>368</v>
      </c>
      <c r="D11" s="82" t="s">
        <v>369</v>
      </c>
      <c r="E11" s="82" t="s">
        <v>379</v>
      </c>
      <c r="F11" s="84" t="s">
        <v>389</v>
      </c>
      <c r="G11" s="86" t="s">
        <v>391</v>
      </c>
      <c r="I11" s="96" t="s">
        <v>396</v>
      </c>
      <c r="J11" s="102">
        <v>200</v>
      </c>
      <c r="K11" s="90">
        <f ca="1">E97</f>
        <v>28882</v>
      </c>
      <c r="L11" s="94">
        <f ca="1">income</f>
        <v>62420</v>
      </c>
      <c r="M11" s="95">
        <f ca="1">K11/L11</f>
        <v>0.46270426145466198</v>
      </c>
    </row>
    <row r="12" spans="1:39" ht="14.25" x14ac:dyDescent="0.2">
      <c r="A12">
        <f ca="1">'Expense Calendar'!B64</f>
        <v>31</v>
      </c>
      <c r="B12" s="75">
        <f ca="1">E10</f>
        <v>3460</v>
      </c>
      <c r="C12" s="76">
        <f ca="1">'Income Calendar'!P71</f>
        <v>1570</v>
      </c>
      <c r="D12" s="76">
        <f ca="1">'Expense Calendar'!P71</f>
        <v>1432</v>
      </c>
      <c r="E12" s="83">
        <f ca="1">C12-D12+B12</f>
        <v>3598</v>
      </c>
      <c r="F12" s="87">
        <f>-1*Budget</f>
        <v>-200</v>
      </c>
      <c r="G12" s="98">
        <f>allowance*-1</f>
        <v>-50</v>
      </c>
      <c r="I12" s="97" t="s">
        <v>393</v>
      </c>
      <c r="J12" s="91">
        <v>524.24489795918225</v>
      </c>
      <c r="K12" s="92">
        <f ca="1">L11*0.2</f>
        <v>12484</v>
      </c>
      <c r="M12" s="93">
        <f ca="1">K12/L11</f>
        <v>0.2</v>
      </c>
    </row>
    <row r="13" spans="1:39" ht="14.25" x14ac:dyDescent="0.2">
      <c r="A13">
        <f ca="1">'Expense Calendar'!B73</f>
        <v>7</v>
      </c>
      <c r="B13" s="75">
        <f ca="1">E12+F12+G12</f>
        <v>3348</v>
      </c>
      <c r="C13" s="76">
        <f>'Income Calendar'!P80</f>
        <v>800</v>
      </c>
      <c r="D13" s="76">
        <f ca="1">'Expense Calendar'!P80</f>
        <v>0</v>
      </c>
      <c r="E13" s="83">
        <f ca="1">C13-D13+B13</f>
        <v>4148</v>
      </c>
      <c r="F13" s="87">
        <f>-1*Budget</f>
        <v>-200</v>
      </c>
      <c r="G13" s="98">
        <f>allowance*-1</f>
        <v>-50</v>
      </c>
      <c r="I13" s="97" t="s">
        <v>397</v>
      </c>
      <c r="J13" s="89">
        <f>Budget*4</f>
        <v>800</v>
      </c>
    </row>
    <row r="14" spans="1:39" ht="12.75" thickBot="1" x14ac:dyDescent="0.25">
      <c r="A14">
        <f ca="1">'Expense Calendar'!B82</f>
        <v>14</v>
      </c>
      <c r="B14" s="75">
        <f t="shared" ref="B14:B17" ca="1" si="3">E13+F13+G13</f>
        <v>3898</v>
      </c>
      <c r="C14" s="76">
        <f>'Income Calendar'!P89</f>
        <v>1570</v>
      </c>
      <c r="D14" s="76">
        <f ca="1">'Expense Calendar'!P89</f>
        <v>342</v>
      </c>
      <c r="E14" s="83">
        <f t="shared" ref="E14:E17" ca="1" si="4">C14-D14+B14</f>
        <v>5126</v>
      </c>
      <c r="F14" s="87">
        <f>-1*Budget</f>
        <v>-200</v>
      </c>
      <c r="G14" s="98">
        <f>allowance*-1</f>
        <v>-50</v>
      </c>
    </row>
    <row r="15" spans="1:39" ht="16.5" thickTop="1" thickBot="1" x14ac:dyDescent="0.25">
      <c r="A15">
        <f ca="1">'Expense Calendar'!B91</f>
        <v>21</v>
      </c>
      <c r="B15" s="75">
        <f t="shared" ca="1" si="3"/>
        <v>4876</v>
      </c>
      <c r="C15" s="76">
        <f>'Income Calendar'!P98</f>
        <v>800</v>
      </c>
      <c r="D15" s="76">
        <f ca="1">'Expense Calendar'!P98</f>
        <v>0</v>
      </c>
      <c r="E15" s="83">
        <f t="shared" ca="1" si="4"/>
        <v>5676</v>
      </c>
      <c r="F15" s="87">
        <f>-1*Budget</f>
        <v>-200</v>
      </c>
      <c r="G15" s="98">
        <f>allowance*-1</f>
        <v>-50</v>
      </c>
      <c r="J15" s="88" t="s">
        <v>391</v>
      </c>
      <c r="K15" s="88" t="s">
        <v>395</v>
      </c>
    </row>
    <row r="16" spans="1:39" ht="15" thickTop="1" x14ac:dyDescent="0.2">
      <c r="A16">
        <f ca="1">'Expense Calendar'!B100</f>
        <v>28</v>
      </c>
      <c r="B16" s="75">
        <f t="shared" ca="1" si="3"/>
        <v>5426</v>
      </c>
      <c r="C16" s="76">
        <f ca="1">'Income Calendar'!P107</f>
        <v>0</v>
      </c>
      <c r="D16" s="76">
        <f ca="1">'Expense Calendar'!P107</f>
        <v>0</v>
      </c>
      <c r="E16" s="83">
        <f t="shared" ca="1" si="4"/>
        <v>5426</v>
      </c>
      <c r="F16" s="87"/>
      <c r="G16" s="87"/>
      <c r="I16" s="97" t="s">
        <v>398</v>
      </c>
      <c r="J16" s="103">
        <v>50</v>
      </c>
      <c r="K16" s="99">
        <f>SUM(G12:G17,G20:G25,G28:G33,G36:G41,G44:G49,G52:G57,G60:G65,G68:G73,G76:G81,G84:G89,G92:G97)*-1</f>
        <v>2450</v>
      </c>
      <c r="L16" t="s">
        <v>399</v>
      </c>
    </row>
    <row r="17" spans="1:13" ht="12" x14ac:dyDescent="0.2">
      <c r="A17">
        <f ca="1">'Expense Calendar'!B109</f>
        <v>7</v>
      </c>
      <c r="B17" s="75">
        <f t="shared" ca="1" si="3"/>
        <v>5426</v>
      </c>
      <c r="C17" s="76">
        <f ca="1">'Income Calendar'!P116</f>
        <v>0</v>
      </c>
      <c r="D17" s="76">
        <f ca="1">'Expense Calendar'!P116</f>
        <v>0</v>
      </c>
      <c r="E17" s="83">
        <f t="shared" ca="1" si="4"/>
        <v>5426</v>
      </c>
      <c r="F17" s="87"/>
      <c r="G17" s="87"/>
      <c r="K17" s="101" t="s">
        <v>400</v>
      </c>
      <c r="L17" s="100">
        <v>5.0000000000000001E-4</v>
      </c>
      <c r="M17" t="s">
        <v>401</v>
      </c>
    </row>
    <row r="18" spans="1:13" ht="15.75" thickBot="1" x14ac:dyDescent="0.25">
      <c r="B18" s="105" t="s">
        <v>371</v>
      </c>
      <c r="C18" s="72"/>
      <c r="D18" s="72"/>
      <c r="E18" s="72"/>
    </row>
    <row r="19" spans="1:13" x14ac:dyDescent="0.2">
      <c r="B19" s="81" t="s">
        <v>378</v>
      </c>
      <c r="C19" s="82" t="s">
        <v>368</v>
      </c>
      <c r="D19" s="82" t="s">
        <v>369</v>
      </c>
      <c r="E19" s="82" t="s">
        <v>379</v>
      </c>
      <c r="F19" s="84" t="s">
        <v>389</v>
      </c>
      <c r="G19" s="86" t="s">
        <v>391</v>
      </c>
    </row>
    <row r="20" spans="1:13" ht="12" x14ac:dyDescent="0.2">
      <c r="A20">
        <f ca="1">'Expense Calendar'!B122</f>
        <v>28</v>
      </c>
      <c r="B20" s="75"/>
      <c r="C20" s="76">
        <f ca="1">'Income Calendar'!P129</f>
        <v>1570</v>
      </c>
      <c r="D20" s="76">
        <f ca="1">'Expense Calendar'!P129</f>
        <v>1432</v>
      </c>
      <c r="E20" s="83">
        <f ca="1">C20-D20+E17</f>
        <v>5564</v>
      </c>
      <c r="F20" s="87">
        <f>-1*Budget</f>
        <v>-200</v>
      </c>
      <c r="G20" s="98">
        <f>allowance*-1</f>
        <v>-50</v>
      </c>
    </row>
    <row r="21" spans="1:13" ht="12" x14ac:dyDescent="0.2">
      <c r="A21">
        <f ca="1">'Expense Calendar'!B131</f>
        <v>7</v>
      </c>
      <c r="B21" s="75">
        <f ca="1">E20+F20+G20</f>
        <v>5314</v>
      </c>
      <c r="C21" s="76">
        <f>'Income Calendar'!P138</f>
        <v>800</v>
      </c>
      <c r="D21" s="76">
        <f ca="1">'Expense Calendar'!P138</f>
        <v>0</v>
      </c>
      <c r="E21" s="83">
        <f ca="1">C21-D21+B21</f>
        <v>6114</v>
      </c>
      <c r="F21" s="87">
        <f>-1*Budget</f>
        <v>-200</v>
      </c>
      <c r="G21" s="98">
        <f>allowance*-1</f>
        <v>-50</v>
      </c>
    </row>
    <row r="22" spans="1:13" ht="12" x14ac:dyDescent="0.2">
      <c r="A22">
        <f ca="1">'Expense Calendar'!B140</f>
        <v>14</v>
      </c>
      <c r="B22" s="75">
        <f t="shared" ref="B22:B25" ca="1" si="5">E21+F21+G21</f>
        <v>5864</v>
      </c>
      <c r="C22" s="76">
        <f>'Income Calendar'!P147</f>
        <v>1570</v>
      </c>
      <c r="D22" s="76">
        <f ca="1">'Expense Calendar'!P147</f>
        <v>342</v>
      </c>
      <c r="E22" s="83">
        <f t="shared" ref="E22:E25" ca="1" si="6">C22-D22+B22</f>
        <v>7092</v>
      </c>
      <c r="F22" s="87">
        <f>-1*Budget</f>
        <v>-200</v>
      </c>
      <c r="G22" s="98">
        <f>allowance*-1</f>
        <v>-50</v>
      </c>
    </row>
    <row r="23" spans="1:13" ht="12" x14ac:dyDescent="0.2">
      <c r="A23">
        <f ca="1">'Expense Calendar'!B149</f>
        <v>21</v>
      </c>
      <c r="B23" s="75">
        <f t="shared" ca="1" si="5"/>
        <v>6842</v>
      </c>
      <c r="C23" s="76">
        <f>'Income Calendar'!P156</f>
        <v>800</v>
      </c>
      <c r="D23" s="76">
        <f ca="1">'Expense Calendar'!P156</f>
        <v>0</v>
      </c>
      <c r="E23" s="83">
        <f t="shared" ca="1" si="6"/>
        <v>7642</v>
      </c>
      <c r="F23" s="87">
        <f>-1*Budget</f>
        <v>-200</v>
      </c>
      <c r="G23" s="98">
        <f>allowance*-1</f>
        <v>-50</v>
      </c>
    </row>
    <row r="24" spans="1:13" ht="12" x14ac:dyDescent="0.2">
      <c r="A24">
        <f ca="1">'Expense Calendar'!B158</f>
        <v>28</v>
      </c>
      <c r="B24" s="75">
        <f t="shared" ca="1" si="5"/>
        <v>7392</v>
      </c>
      <c r="C24" s="76">
        <f ca="1">'Income Calendar'!P165</f>
        <v>0</v>
      </c>
      <c r="D24" s="76">
        <f ca="1">'Expense Calendar'!P165</f>
        <v>0</v>
      </c>
      <c r="E24" s="83">
        <f t="shared" ca="1" si="6"/>
        <v>7392</v>
      </c>
      <c r="F24" s="87"/>
      <c r="G24" s="87"/>
    </row>
    <row r="25" spans="1:13" ht="12" x14ac:dyDescent="0.2">
      <c r="A25">
        <f ca="1">'Expense Calendar'!B167</f>
        <v>4</v>
      </c>
      <c r="B25" s="75">
        <f t="shared" ca="1" si="5"/>
        <v>7392</v>
      </c>
      <c r="C25" s="76">
        <f ca="1">'Income Calendar'!P174</f>
        <v>0</v>
      </c>
      <c r="D25" s="76">
        <f ca="1">'Expense Calendar'!P174</f>
        <v>0</v>
      </c>
      <c r="E25" s="83">
        <f t="shared" ca="1" si="6"/>
        <v>7392</v>
      </c>
      <c r="F25" s="87"/>
      <c r="G25" s="87"/>
    </row>
    <row r="26" spans="1:13" ht="15.75" thickBot="1" x14ac:dyDescent="0.25">
      <c r="B26" s="105" t="s">
        <v>372</v>
      </c>
      <c r="C26" s="72"/>
      <c r="D26" s="72"/>
      <c r="E26" s="72"/>
    </row>
    <row r="27" spans="1:13" x14ac:dyDescent="0.2">
      <c r="B27" s="81" t="s">
        <v>378</v>
      </c>
      <c r="C27" s="82" t="s">
        <v>368</v>
      </c>
      <c r="D27" s="82" t="s">
        <v>369</v>
      </c>
      <c r="E27" s="82" t="s">
        <v>379</v>
      </c>
      <c r="F27" s="84" t="s">
        <v>389</v>
      </c>
      <c r="G27" s="86" t="s">
        <v>391</v>
      </c>
    </row>
    <row r="28" spans="1:13" ht="12" x14ac:dyDescent="0.2">
      <c r="A28">
        <f ca="1">'Expense Calendar'!B180</f>
        <v>28</v>
      </c>
      <c r="B28" s="75"/>
      <c r="C28" s="76">
        <f ca="1">'Income Calendar'!P187</f>
        <v>1570</v>
      </c>
      <c r="D28" s="76">
        <f ca="1">'Expense Calendar'!P187</f>
        <v>1432</v>
      </c>
      <c r="E28" s="83">
        <f ca="1">C28-D28+E25</f>
        <v>7530</v>
      </c>
      <c r="F28" s="87">
        <f>-1*Budget</f>
        <v>-200</v>
      </c>
      <c r="G28" s="98">
        <f>allowance*-1</f>
        <v>-50</v>
      </c>
    </row>
    <row r="29" spans="1:13" ht="12" x14ac:dyDescent="0.2">
      <c r="A29">
        <f ca="1">'Expense Calendar'!B189</f>
        <v>4</v>
      </c>
      <c r="B29" s="75">
        <f ca="1">E28+F28+G28</f>
        <v>7280</v>
      </c>
      <c r="C29" s="76">
        <f>'Income Calendar'!P196</f>
        <v>800</v>
      </c>
      <c r="D29" s="76">
        <f ca="1">'Expense Calendar'!P196</f>
        <v>0</v>
      </c>
      <c r="E29" s="83">
        <f ca="1">C29-D29+B29</f>
        <v>8080</v>
      </c>
      <c r="F29" s="87">
        <f>-1*Budget</f>
        <v>-200</v>
      </c>
      <c r="G29" s="98">
        <f>allowance*-1</f>
        <v>-50</v>
      </c>
    </row>
    <row r="30" spans="1:13" ht="12" x14ac:dyDescent="0.2">
      <c r="A30">
        <f ca="1">'Expense Calendar'!B198</f>
        <v>11</v>
      </c>
      <c r="B30" s="75">
        <f t="shared" ref="B30:B33" ca="1" si="7">E29+F29+G29</f>
        <v>7830</v>
      </c>
      <c r="C30" s="76">
        <f>'Income Calendar'!P205</f>
        <v>1570</v>
      </c>
      <c r="D30" s="76">
        <f ca="1">'Expense Calendar'!P205</f>
        <v>342</v>
      </c>
      <c r="E30" s="83">
        <f t="shared" ref="E30:E33" ca="1" si="8">C30-D30+B30</f>
        <v>9058</v>
      </c>
      <c r="F30" s="87">
        <f>-1*Budget</f>
        <v>-200</v>
      </c>
      <c r="G30" s="98">
        <f>allowance*-1</f>
        <v>-50</v>
      </c>
    </row>
    <row r="31" spans="1:13" ht="12" x14ac:dyDescent="0.2">
      <c r="A31">
        <f ca="1">'Expense Calendar'!B207</f>
        <v>18</v>
      </c>
      <c r="B31" s="75">
        <f t="shared" ca="1" si="7"/>
        <v>8808</v>
      </c>
      <c r="C31" s="76">
        <f>'Income Calendar'!P214</f>
        <v>800</v>
      </c>
      <c r="D31" s="76">
        <f ca="1">'Expense Calendar'!P214</f>
        <v>0</v>
      </c>
      <c r="E31" s="83">
        <f t="shared" ca="1" si="8"/>
        <v>9608</v>
      </c>
      <c r="F31" s="87">
        <f>-1*Budget</f>
        <v>-200</v>
      </c>
      <c r="G31" s="98">
        <f>allowance*-1</f>
        <v>-50</v>
      </c>
    </row>
    <row r="32" spans="1:13" ht="12" x14ac:dyDescent="0.2">
      <c r="A32">
        <f ca="1">'Expense Calendar'!B216</f>
        <v>25</v>
      </c>
      <c r="B32" s="75">
        <f t="shared" ca="1" si="7"/>
        <v>9358</v>
      </c>
      <c r="C32" s="76">
        <f ca="1">'Income Calendar'!P223</f>
        <v>1570</v>
      </c>
      <c r="D32" s="76">
        <f ca="1">'Expense Calendar'!P223</f>
        <v>232</v>
      </c>
      <c r="E32" s="83">
        <f t="shared" ca="1" si="8"/>
        <v>10696</v>
      </c>
      <c r="F32" s="87">
        <f>-1*Budget</f>
        <v>-200</v>
      </c>
      <c r="G32" s="98">
        <f>allowance*-1</f>
        <v>-50</v>
      </c>
    </row>
    <row r="33" spans="1:9" ht="12" x14ac:dyDescent="0.2">
      <c r="A33">
        <f ca="1">'Expense Calendar'!B225</f>
        <v>2</v>
      </c>
      <c r="B33" s="75">
        <f t="shared" ca="1" si="7"/>
        <v>10446</v>
      </c>
      <c r="C33" s="76">
        <f ca="1">'Income Calendar'!P232</f>
        <v>0</v>
      </c>
      <c r="D33" s="76">
        <f ca="1">'Expense Calendar'!P232</f>
        <v>0</v>
      </c>
      <c r="E33" s="83">
        <f t="shared" ca="1" si="8"/>
        <v>10446</v>
      </c>
      <c r="F33" s="87"/>
      <c r="G33" s="87"/>
    </row>
    <row r="34" spans="1:9" ht="15.75" thickBot="1" x14ac:dyDescent="0.25">
      <c r="B34" s="105" t="s">
        <v>17</v>
      </c>
      <c r="C34" s="72"/>
      <c r="D34" s="72"/>
      <c r="E34" s="72"/>
    </row>
    <row r="35" spans="1:9" x14ac:dyDescent="0.2">
      <c r="B35" s="81" t="s">
        <v>378</v>
      </c>
      <c r="C35" s="82" t="s">
        <v>368</v>
      </c>
      <c r="D35" s="82" t="s">
        <v>369</v>
      </c>
      <c r="E35" s="82" t="s">
        <v>379</v>
      </c>
      <c r="F35" s="84" t="s">
        <v>389</v>
      </c>
      <c r="G35" s="86" t="s">
        <v>391</v>
      </c>
    </row>
    <row r="36" spans="1:9" ht="12" x14ac:dyDescent="0.2">
      <c r="A36">
        <f ca="1">'Expense Calendar'!B238</f>
        <v>25</v>
      </c>
      <c r="B36" s="75"/>
      <c r="C36" s="76">
        <f ca="1">'Income Calendar'!P245</f>
        <v>0</v>
      </c>
      <c r="D36" s="76">
        <f ca="1">'Expense Calendar'!P245</f>
        <v>0</v>
      </c>
      <c r="E36" s="83">
        <f ca="1">C36-D36+E33</f>
        <v>10446</v>
      </c>
      <c r="F36" s="87">
        <f>-1*Budget</f>
        <v>-200</v>
      </c>
      <c r="G36" s="98">
        <f>allowance*-1</f>
        <v>-50</v>
      </c>
    </row>
    <row r="37" spans="1:9" ht="12" x14ac:dyDescent="0.2">
      <c r="A37">
        <f ca="1">'Expense Calendar'!B247</f>
        <v>2</v>
      </c>
      <c r="B37" s="75">
        <f ca="1">E36+F36+G36</f>
        <v>10196</v>
      </c>
      <c r="C37" s="76">
        <f>'Income Calendar'!P254</f>
        <v>1570</v>
      </c>
      <c r="D37" s="76">
        <f ca="1">'Expense Calendar'!P254</f>
        <v>1200</v>
      </c>
      <c r="E37" s="83">
        <f ca="1">C37-D37+B37</f>
        <v>10566</v>
      </c>
      <c r="F37" s="87">
        <f>-1*Budget</f>
        <v>-200</v>
      </c>
      <c r="G37" s="98">
        <f>allowance*-1</f>
        <v>-50</v>
      </c>
    </row>
    <row r="38" spans="1:9" ht="12" x14ac:dyDescent="0.2">
      <c r="A38">
        <f ca="1">'Expense Calendar'!B256</f>
        <v>9</v>
      </c>
      <c r="B38" s="75">
        <f t="shared" ref="B38:B41" ca="1" si="9">E37+F37+G37</f>
        <v>10316</v>
      </c>
      <c r="C38" s="76">
        <f>'Income Calendar'!P263</f>
        <v>800</v>
      </c>
      <c r="D38" s="76">
        <f ca="1">'Expense Calendar'!P263</f>
        <v>342</v>
      </c>
      <c r="E38" s="83">
        <f t="shared" ref="E38:E41" ca="1" si="10">C38-D38+B38</f>
        <v>10774</v>
      </c>
      <c r="F38" s="87">
        <f>-1*Budget</f>
        <v>-200</v>
      </c>
      <c r="G38" s="98">
        <f>allowance*-1</f>
        <v>-50</v>
      </c>
    </row>
    <row r="39" spans="1:9" ht="12" x14ac:dyDescent="0.2">
      <c r="A39">
        <f ca="1">'Expense Calendar'!B265</f>
        <v>16</v>
      </c>
      <c r="B39" s="75">
        <f t="shared" ca="1" si="9"/>
        <v>10524</v>
      </c>
      <c r="C39" s="76">
        <f>'Income Calendar'!P272</f>
        <v>1570</v>
      </c>
      <c r="D39" s="76">
        <f ca="1">'Expense Calendar'!P272</f>
        <v>0</v>
      </c>
      <c r="E39" s="83">
        <f t="shared" ca="1" si="10"/>
        <v>12094</v>
      </c>
      <c r="F39" s="87">
        <f>-1*Budget</f>
        <v>-200</v>
      </c>
      <c r="G39" s="98">
        <f>allowance*-1</f>
        <v>-50</v>
      </c>
    </row>
    <row r="40" spans="1:9" ht="12" x14ac:dyDescent="0.2">
      <c r="A40">
        <f ca="1">'Expense Calendar'!B274</f>
        <v>23</v>
      </c>
      <c r="B40" s="75">
        <f t="shared" ca="1" si="9"/>
        <v>11844</v>
      </c>
      <c r="C40" s="76">
        <f ca="1">'Income Calendar'!P281</f>
        <v>800</v>
      </c>
      <c r="D40" s="76">
        <f ca="1">'Expense Calendar'!P281</f>
        <v>232</v>
      </c>
      <c r="E40" s="83">
        <f t="shared" ca="1" si="10"/>
        <v>12412</v>
      </c>
      <c r="F40" s="87">
        <f>-1*Budget</f>
        <v>-200</v>
      </c>
      <c r="G40" s="98">
        <f>allowance*-1</f>
        <v>-50</v>
      </c>
    </row>
    <row r="41" spans="1:9" ht="12" x14ac:dyDescent="0.2">
      <c r="A41">
        <f ca="1">'Expense Calendar'!B283</f>
        <v>30</v>
      </c>
      <c r="B41" s="75">
        <f t="shared" ca="1" si="9"/>
        <v>12162</v>
      </c>
      <c r="C41" s="76">
        <f ca="1">'Income Calendar'!P290</f>
        <v>0</v>
      </c>
      <c r="D41" s="76">
        <f ca="1">'Expense Calendar'!P290</f>
        <v>0</v>
      </c>
      <c r="E41" s="83">
        <f t="shared" ca="1" si="10"/>
        <v>12162</v>
      </c>
      <c r="F41" s="87"/>
      <c r="G41" s="87"/>
    </row>
    <row r="42" spans="1:9" ht="15.75" thickBot="1" x14ac:dyDescent="0.25">
      <c r="B42" s="105" t="s">
        <v>18</v>
      </c>
      <c r="C42" s="72"/>
      <c r="D42" s="72"/>
      <c r="E42" s="72"/>
    </row>
    <row r="43" spans="1:9" x14ac:dyDescent="0.2">
      <c r="B43" s="81" t="s">
        <v>378</v>
      </c>
      <c r="C43" s="82" t="s">
        <v>368</v>
      </c>
      <c r="D43" s="82" t="s">
        <v>369</v>
      </c>
      <c r="E43" s="82" t="s">
        <v>379</v>
      </c>
      <c r="F43" s="84" t="s">
        <v>389</v>
      </c>
      <c r="G43" s="86" t="s">
        <v>391</v>
      </c>
      <c r="H43" s="86" t="s">
        <v>405</v>
      </c>
    </row>
    <row r="44" spans="1:9" ht="12" x14ac:dyDescent="0.2">
      <c r="A44">
        <f ca="1">'Expense Calendar'!B296</f>
        <v>30</v>
      </c>
      <c r="B44" s="75"/>
      <c r="C44" s="76">
        <f ca="1">'Income Calendar'!P303</f>
        <v>1570</v>
      </c>
      <c r="D44" s="76">
        <f ca="1">'Expense Calendar'!P303</f>
        <v>1200</v>
      </c>
      <c r="E44" s="83">
        <f ca="1">C44-D44+E41</f>
        <v>12532</v>
      </c>
      <c r="F44" s="87">
        <f>-1*Budget</f>
        <v>-200</v>
      </c>
      <c r="G44" s="98">
        <f>allowance*-1</f>
        <v>-50</v>
      </c>
      <c r="H44" s="98"/>
    </row>
    <row r="45" spans="1:9" ht="12" x14ac:dyDescent="0.2">
      <c r="A45">
        <f ca="1">'Expense Calendar'!B305</f>
        <v>6</v>
      </c>
      <c r="B45" s="75">
        <f ca="1">E44+F44+G44</f>
        <v>12282</v>
      </c>
      <c r="C45" s="76">
        <f>'Income Calendar'!P312</f>
        <v>800</v>
      </c>
      <c r="D45" s="76">
        <f ca="1">'Expense Calendar'!P312</f>
        <v>232</v>
      </c>
      <c r="E45" s="83">
        <f ca="1">C45-D45+B45</f>
        <v>12850</v>
      </c>
      <c r="F45" s="87">
        <f>-1*Budget</f>
        <v>-200</v>
      </c>
      <c r="G45" s="98">
        <f>allowance*-1</f>
        <v>-50</v>
      </c>
      <c r="H45" s="98"/>
    </row>
    <row r="46" spans="1:9" ht="12" x14ac:dyDescent="0.2">
      <c r="A46">
        <f ca="1">'Expense Calendar'!B314</f>
        <v>13</v>
      </c>
      <c r="B46" s="75">
        <f t="shared" ref="B46:B49" ca="1" si="11">E45+F45+G45</f>
        <v>12600</v>
      </c>
      <c r="C46" s="76">
        <f>'Income Calendar'!P321</f>
        <v>1570</v>
      </c>
      <c r="D46" s="76">
        <f ca="1">'Expense Calendar'!P321</f>
        <v>110</v>
      </c>
      <c r="E46" s="83">
        <f t="shared" ref="E46:E49" ca="1" si="12">C46-D46+B46</f>
        <v>14060</v>
      </c>
      <c r="F46" s="87">
        <f>-1*Budget</f>
        <v>-200</v>
      </c>
      <c r="G46" s="98">
        <f>allowance*-1</f>
        <v>-50</v>
      </c>
      <c r="H46" s="98"/>
    </row>
    <row r="47" spans="1:9" ht="12" x14ac:dyDescent="0.2">
      <c r="A47">
        <f ca="1">'Expense Calendar'!B323</f>
        <v>20</v>
      </c>
      <c r="B47" s="75">
        <f t="shared" ca="1" si="11"/>
        <v>13810</v>
      </c>
      <c r="C47" s="76">
        <f>'Income Calendar'!P330</f>
        <v>800</v>
      </c>
      <c r="D47" s="76">
        <f ca="1">'Expense Calendar'!P330</f>
        <v>232</v>
      </c>
      <c r="E47" s="83">
        <f t="shared" ca="1" si="12"/>
        <v>14378</v>
      </c>
      <c r="F47" s="87">
        <f>-1*Budget</f>
        <v>-200</v>
      </c>
      <c r="G47" s="98">
        <f>allowance*-1</f>
        <v>-50</v>
      </c>
      <c r="H47" s="98">
        <v>0</v>
      </c>
      <c r="I47" t="s">
        <v>404</v>
      </c>
    </row>
    <row r="48" spans="1:9" ht="12" x14ac:dyDescent="0.2">
      <c r="A48">
        <f ca="1">'Expense Calendar'!B332</f>
        <v>27</v>
      </c>
      <c r="B48" s="75">
        <f ca="1">E47+F47+G47+H47</f>
        <v>14128</v>
      </c>
      <c r="C48" s="76">
        <f ca="1">'Income Calendar'!P339</f>
        <v>0</v>
      </c>
      <c r="D48" s="76">
        <f ca="1">'Expense Calendar'!P339</f>
        <v>0</v>
      </c>
      <c r="E48" s="83">
        <f t="shared" ca="1" si="12"/>
        <v>14128</v>
      </c>
      <c r="F48" s="87"/>
      <c r="G48" s="87"/>
      <c r="H48" s="87"/>
    </row>
    <row r="49" spans="1:8" ht="12" x14ac:dyDescent="0.2">
      <c r="A49">
        <f ca="1">'Expense Calendar'!B341</f>
        <v>4</v>
      </c>
      <c r="B49" s="75">
        <f t="shared" ca="1" si="11"/>
        <v>14128</v>
      </c>
      <c r="C49" s="76">
        <f ca="1">'Income Calendar'!P348</f>
        <v>0</v>
      </c>
      <c r="D49" s="76">
        <f ca="1">'Expense Calendar'!P348</f>
        <v>0</v>
      </c>
      <c r="E49" s="83">
        <f t="shared" ca="1" si="12"/>
        <v>14128</v>
      </c>
      <c r="F49" s="87"/>
      <c r="G49" s="87"/>
      <c r="H49" s="87"/>
    </row>
    <row r="50" spans="1:8" ht="15.75" thickBot="1" x14ac:dyDescent="0.25">
      <c r="B50" s="105" t="s">
        <v>19</v>
      </c>
      <c r="C50" s="72"/>
      <c r="D50" s="72"/>
      <c r="E50" s="72"/>
    </row>
    <row r="51" spans="1:8" x14ac:dyDescent="0.2">
      <c r="B51" s="81" t="s">
        <v>378</v>
      </c>
      <c r="C51" s="82" t="s">
        <v>368</v>
      </c>
      <c r="D51" s="82" t="s">
        <v>369</v>
      </c>
      <c r="E51" s="82" t="s">
        <v>379</v>
      </c>
      <c r="F51" s="84" t="s">
        <v>389</v>
      </c>
      <c r="G51" s="86" t="s">
        <v>391</v>
      </c>
    </row>
    <row r="52" spans="1:8" ht="12" x14ac:dyDescent="0.2">
      <c r="A52">
        <f ca="1">'Expense Calendar'!B354</f>
        <v>27</v>
      </c>
      <c r="B52" s="75"/>
      <c r="C52" s="76">
        <f ca="1">'Income Calendar'!P361</f>
        <v>1570</v>
      </c>
      <c r="D52" s="76">
        <f ca="1">'Expense Calendar'!P361</f>
        <v>1200</v>
      </c>
      <c r="E52" s="83">
        <f ca="1">C52-D52+E49</f>
        <v>14498</v>
      </c>
      <c r="F52" s="87">
        <f>-1*Budget</f>
        <v>-200</v>
      </c>
      <c r="G52" s="98">
        <f>allowance*-1</f>
        <v>-50</v>
      </c>
    </row>
    <row r="53" spans="1:8" ht="12" x14ac:dyDescent="0.2">
      <c r="A53">
        <f ca="1">'Expense Calendar'!B363</f>
        <v>4</v>
      </c>
      <c r="B53" s="75">
        <f ca="1">E52+F52+G52</f>
        <v>14248</v>
      </c>
      <c r="C53" s="76">
        <f>'Income Calendar'!P370</f>
        <v>800</v>
      </c>
      <c r="D53" s="76">
        <f ca="1">'Expense Calendar'!P370</f>
        <v>232</v>
      </c>
      <c r="E53" s="83">
        <f ca="1">C53-D53+B53</f>
        <v>14816</v>
      </c>
      <c r="F53" s="87">
        <f>-1*Budget</f>
        <v>-200</v>
      </c>
      <c r="G53" s="98">
        <f>allowance*-1</f>
        <v>-50</v>
      </c>
    </row>
    <row r="54" spans="1:8" ht="12" x14ac:dyDescent="0.2">
      <c r="A54">
        <f ca="1">'Expense Calendar'!B372</f>
        <v>11</v>
      </c>
      <c r="B54" s="75">
        <f t="shared" ref="B54:B57" ca="1" si="13">E53+F53+G53</f>
        <v>14566</v>
      </c>
      <c r="C54" s="76">
        <f>'Income Calendar'!P379</f>
        <v>1570</v>
      </c>
      <c r="D54" s="76">
        <f ca="1">'Expense Calendar'!P379</f>
        <v>110</v>
      </c>
      <c r="E54" s="83">
        <f t="shared" ref="E54:E57" ca="1" si="14">C54-D54+B54</f>
        <v>16026</v>
      </c>
      <c r="F54" s="87">
        <f>-1*Budget</f>
        <v>-200</v>
      </c>
      <c r="G54" s="98">
        <f>allowance*-1</f>
        <v>-50</v>
      </c>
    </row>
    <row r="55" spans="1:8" ht="12" x14ac:dyDescent="0.2">
      <c r="A55">
        <f ca="1">'Expense Calendar'!B381</f>
        <v>18</v>
      </c>
      <c r="B55" s="75">
        <f t="shared" ca="1" si="13"/>
        <v>15776</v>
      </c>
      <c r="C55" s="76">
        <f>'Income Calendar'!P388</f>
        <v>800</v>
      </c>
      <c r="D55" s="76">
        <f ca="1">'Expense Calendar'!P388</f>
        <v>232</v>
      </c>
      <c r="E55" s="83">
        <f t="shared" ca="1" si="14"/>
        <v>16344</v>
      </c>
      <c r="F55" s="87">
        <f>-1*Budget</f>
        <v>-200</v>
      </c>
      <c r="G55" s="98">
        <f>allowance*-1</f>
        <v>-50</v>
      </c>
    </row>
    <row r="56" spans="1:8" ht="12" x14ac:dyDescent="0.2">
      <c r="A56">
        <f ca="1">'Expense Calendar'!B390</f>
        <v>25</v>
      </c>
      <c r="B56" s="75">
        <f t="shared" ca="1" si="13"/>
        <v>16094</v>
      </c>
      <c r="C56" s="76">
        <f ca="1">'Income Calendar'!P397</f>
        <v>1570</v>
      </c>
      <c r="D56" s="76">
        <f ca="1">'Expense Calendar'!P397</f>
        <v>0</v>
      </c>
      <c r="E56" s="83">
        <f t="shared" ca="1" si="14"/>
        <v>17664</v>
      </c>
      <c r="F56" s="87">
        <f>-1*Budget</f>
        <v>-200</v>
      </c>
      <c r="G56" s="98">
        <f>allowance*-1</f>
        <v>-50</v>
      </c>
    </row>
    <row r="57" spans="1:8" ht="12" x14ac:dyDescent="0.2">
      <c r="A57">
        <f ca="1">'Expense Calendar'!B399</f>
        <v>1</v>
      </c>
      <c r="B57" s="75">
        <f t="shared" ca="1" si="13"/>
        <v>17414</v>
      </c>
      <c r="C57" s="76">
        <f ca="1">'Income Calendar'!P406</f>
        <v>0</v>
      </c>
      <c r="D57" s="76">
        <f ca="1">'Expense Calendar'!P406</f>
        <v>0</v>
      </c>
      <c r="E57" s="83">
        <f t="shared" ca="1" si="14"/>
        <v>17414</v>
      </c>
      <c r="F57" s="87"/>
      <c r="G57" s="87"/>
    </row>
    <row r="58" spans="1:8" ht="15.75" thickBot="1" x14ac:dyDescent="0.25">
      <c r="B58" s="105" t="s">
        <v>373</v>
      </c>
      <c r="C58" s="72"/>
      <c r="D58" s="72"/>
      <c r="E58" s="72"/>
    </row>
    <row r="59" spans="1:8" x14ac:dyDescent="0.2">
      <c r="B59" s="81" t="s">
        <v>378</v>
      </c>
      <c r="C59" s="82" t="s">
        <v>368</v>
      </c>
      <c r="D59" s="82" t="s">
        <v>369</v>
      </c>
      <c r="E59" s="82" t="s">
        <v>379</v>
      </c>
      <c r="F59" s="84" t="s">
        <v>389</v>
      </c>
      <c r="G59" s="86" t="s">
        <v>391</v>
      </c>
    </row>
    <row r="60" spans="1:8" ht="12" x14ac:dyDescent="0.2">
      <c r="A60">
        <f ca="1">'Expense Calendar'!B412</f>
        <v>1</v>
      </c>
      <c r="B60" s="75"/>
      <c r="C60" s="76">
        <f ca="1">'Income Calendar'!P419</f>
        <v>800</v>
      </c>
      <c r="D60" s="76">
        <f ca="1">'Expense Calendar'!P419</f>
        <v>1432</v>
      </c>
      <c r="E60" s="83">
        <f ca="1">C60-D60+E57</f>
        <v>16782</v>
      </c>
      <c r="F60" s="87">
        <f>-1*Budget</f>
        <v>-200</v>
      </c>
      <c r="G60" s="98">
        <f>allowance*-1</f>
        <v>-50</v>
      </c>
    </row>
    <row r="61" spans="1:8" ht="12" x14ac:dyDescent="0.2">
      <c r="A61">
        <f ca="1">'Expense Calendar'!B421</f>
        <v>8</v>
      </c>
      <c r="B61" s="75">
        <f ca="1">E60+F60+G60</f>
        <v>16532</v>
      </c>
      <c r="C61" s="76">
        <f>'Income Calendar'!P428</f>
        <v>1570</v>
      </c>
      <c r="D61" s="76">
        <f ca="1">'Expense Calendar'!P428</f>
        <v>0</v>
      </c>
      <c r="E61" s="83">
        <f ca="1">C61-D61+B61</f>
        <v>18102</v>
      </c>
      <c r="F61" s="87">
        <f>-1*Budget</f>
        <v>-200</v>
      </c>
      <c r="G61" s="98">
        <f>allowance*-1</f>
        <v>-50</v>
      </c>
    </row>
    <row r="62" spans="1:8" s="77" customFormat="1" ht="12" x14ac:dyDescent="0.2">
      <c r="A62" s="77">
        <f ca="1">'Expense Calendar'!B430</f>
        <v>15</v>
      </c>
      <c r="B62" s="75">
        <f t="shared" ref="B62:B65" ca="1" si="15">E61+F61+G61</f>
        <v>17852</v>
      </c>
      <c r="C62" s="76">
        <f>'Income Calendar'!P437</f>
        <v>800</v>
      </c>
      <c r="D62" s="76">
        <f ca="1">'Expense Calendar'!P437</f>
        <v>342</v>
      </c>
      <c r="E62" s="83">
        <f t="shared" ref="E62:E65" ca="1" si="16">C62-D62+B62</f>
        <v>18310</v>
      </c>
      <c r="F62" s="87">
        <f>-1*Budget</f>
        <v>-200</v>
      </c>
      <c r="G62" s="98">
        <f>allowance*-1</f>
        <v>-50</v>
      </c>
    </row>
    <row r="63" spans="1:8" ht="12" x14ac:dyDescent="0.2">
      <c r="A63">
        <f ca="1">'Expense Calendar'!B439</f>
        <v>22</v>
      </c>
      <c r="B63" s="75">
        <f t="shared" ca="1" si="15"/>
        <v>18060</v>
      </c>
      <c r="C63" s="76">
        <f>'Income Calendar'!P446</f>
        <v>1570</v>
      </c>
      <c r="D63" s="76">
        <f ca="1">'Expense Calendar'!P446</f>
        <v>0</v>
      </c>
      <c r="E63" s="83">
        <f t="shared" ca="1" si="16"/>
        <v>19630</v>
      </c>
      <c r="F63" s="87">
        <f>-1*Budget</f>
        <v>-200</v>
      </c>
      <c r="G63" s="98">
        <f>allowance*-1</f>
        <v>-50</v>
      </c>
    </row>
    <row r="64" spans="1:8" ht="12" x14ac:dyDescent="0.2">
      <c r="A64">
        <f ca="1">'Expense Calendar'!B448</f>
        <v>29</v>
      </c>
      <c r="B64" s="75">
        <f t="shared" ca="1" si="15"/>
        <v>19380</v>
      </c>
      <c r="C64" s="76">
        <f ca="1">'Income Calendar'!P455</f>
        <v>0</v>
      </c>
      <c r="D64" s="76">
        <f ca="1">'Expense Calendar'!P455</f>
        <v>0</v>
      </c>
      <c r="E64" s="83">
        <f t="shared" ca="1" si="16"/>
        <v>19380</v>
      </c>
      <c r="F64" s="87"/>
      <c r="G64" s="87"/>
    </row>
    <row r="65" spans="1:7" ht="12" x14ac:dyDescent="0.2">
      <c r="A65">
        <f ca="1">'Expense Calendar'!B457</f>
        <v>5</v>
      </c>
      <c r="B65" s="75">
        <f t="shared" ca="1" si="15"/>
        <v>19380</v>
      </c>
      <c r="C65" s="76">
        <f ca="1">'Income Calendar'!P464</f>
        <v>0</v>
      </c>
      <c r="D65" s="76">
        <f ca="1">'Expense Calendar'!P464</f>
        <v>0</v>
      </c>
      <c r="E65" s="83">
        <f t="shared" ca="1" si="16"/>
        <v>19380</v>
      </c>
      <c r="F65" s="87"/>
      <c r="G65" s="87"/>
    </row>
    <row r="66" spans="1:7" ht="15.75" thickBot="1" x14ac:dyDescent="0.25">
      <c r="B66" s="105" t="s">
        <v>374</v>
      </c>
      <c r="C66" s="72"/>
      <c r="D66" s="72"/>
      <c r="E66" s="72"/>
    </row>
    <row r="67" spans="1:7" x14ac:dyDescent="0.2">
      <c r="B67" s="81" t="s">
        <v>378</v>
      </c>
      <c r="C67" s="82" t="s">
        <v>368</v>
      </c>
      <c r="D67" s="82" t="s">
        <v>369</v>
      </c>
      <c r="E67" s="82" t="s">
        <v>379</v>
      </c>
      <c r="F67" s="84" t="s">
        <v>389</v>
      </c>
      <c r="G67" s="86" t="s">
        <v>391</v>
      </c>
    </row>
    <row r="68" spans="1:7" ht="12" x14ac:dyDescent="0.2">
      <c r="A68">
        <f ca="1">'Expense Calendar'!B470</f>
        <v>29</v>
      </c>
      <c r="B68" s="75"/>
      <c r="C68" s="76">
        <f ca="1">'Income Calendar'!P477</f>
        <v>800</v>
      </c>
      <c r="D68" s="76">
        <f ca="1">'Expense Calendar'!P477</f>
        <v>1432</v>
      </c>
      <c r="E68" s="83">
        <f ca="1">C68-D68+E65</f>
        <v>18748</v>
      </c>
      <c r="F68" s="87">
        <f>-1*Budget</f>
        <v>-200</v>
      </c>
      <c r="G68" s="98">
        <f>allowance*-1</f>
        <v>-50</v>
      </c>
    </row>
    <row r="69" spans="1:7" ht="12" x14ac:dyDescent="0.2">
      <c r="A69">
        <f ca="1">'Expense Calendar'!B479</f>
        <v>5</v>
      </c>
      <c r="B69" s="75">
        <f ca="1">E68+F68+G68</f>
        <v>18498</v>
      </c>
      <c r="C69" s="76">
        <f>'Income Calendar'!P486</f>
        <v>1570</v>
      </c>
      <c r="D69" s="76">
        <f ca="1">'Expense Calendar'!P486</f>
        <v>0</v>
      </c>
      <c r="E69" s="83">
        <f ca="1">C69-D69+B69</f>
        <v>20068</v>
      </c>
      <c r="F69" s="87">
        <f>-1*Budget</f>
        <v>-200</v>
      </c>
      <c r="G69" s="98">
        <f>allowance*-1</f>
        <v>-50</v>
      </c>
    </row>
    <row r="70" spans="1:7" ht="12" x14ac:dyDescent="0.2">
      <c r="A70">
        <f ca="1">'Expense Calendar'!B488</f>
        <v>12</v>
      </c>
      <c r="B70" s="75">
        <f t="shared" ref="B70:B73" ca="1" si="17">E69+F69+G69</f>
        <v>19818</v>
      </c>
      <c r="C70" s="76">
        <f>'Income Calendar'!P495</f>
        <v>800</v>
      </c>
      <c r="D70" s="76">
        <f ca="1">'Expense Calendar'!P495</f>
        <v>342</v>
      </c>
      <c r="E70" s="83">
        <f t="shared" ref="E70:E73" ca="1" si="18">C70-D70+B70</f>
        <v>20276</v>
      </c>
      <c r="F70" s="87">
        <f>-1*Budget</f>
        <v>-200</v>
      </c>
      <c r="G70" s="98">
        <f>allowance*-1</f>
        <v>-50</v>
      </c>
    </row>
    <row r="71" spans="1:7" ht="12" x14ac:dyDescent="0.2">
      <c r="A71">
        <f ca="1">'Expense Calendar'!B497</f>
        <v>19</v>
      </c>
      <c r="B71" s="75">
        <f t="shared" ca="1" si="17"/>
        <v>20026</v>
      </c>
      <c r="C71" s="76">
        <f>'Income Calendar'!P504</f>
        <v>1570</v>
      </c>
      <c r="D71" s="76">
        <f ca="1">'Expense Calendar'!P504</f>
        <v>0</v>
      </c>
      <c r="E71" s="83">
        <f t="shared" ca="1" si="18"/>
        <v>21596</v>
      </c>
      <c r="F71" s="87">
        <f>-1*Budget</f>
        <v>-200</v>
      </c>
      <c r="G71" s="98">
        <f>allowance*-1</f>
        <v>-50</v>
      </c>
    </row>
    <row r="72" spans="1:7" ht="12" x14ac:dyDescent="0.2">
      <c r="A72">
        <f ca="1">'Expense Calendar'!B506</f>
        <v>26</v>
      </c>
      <c r="B72" s="75">
        <f t="shared" ca="1" si="17"/>
        <v>21346</v>
      </c>
      <c r="C72" s="76">
        <f ca="1">'Income Calendar'!P513</f>
        <v>0</v>
      </c>
      <c r="D72" s="76">
        <f ca="1">'Expense Calendar'!P513</f>
        <v>0</v>
      </c>
      <c r="E72" s="83">
        <f t="shared" ca="1" si="18"/>
        <v>21346</v>
      </c>
      <c r="F72" s="87"/>
      <c r="G72" s="87"/>
    </row>
    <row r="73" spans="1:7" ht="12" x14ac:dyDescent="0.2">
      <c r="A73">
        <f ca="1">'Expense Calendar'!B515</f>
        <v>3</v>
      </c>
      <c r="B73" s="75">
        <f t="shared" ca="1" si="17"/>
        <v>21346</v>
      </c>
      <c r="C73" s="76">
        <f ca="1">'Income Calendar'!P522</f>
        <v>0</v>
      </c>
      <c r="D73" s="76">
        <f ca="1">'Expense Calendar'!P522</f>
        <v>0</v>
      </c>
      <c r="E73" s="83">
        <f t="shared" ca="1" si="18"/>
        <v>21346</v>
      </c>
      <c r="F73" s="87"/>
      <c r="G73" s="87"/>
    </row>
    <row r="74" spans="1:7" ht="15.75" thickBot="1" x14ac:dyDescent="0.25">
      <c r="B74" s="105" t="s">
        <v>375</v>
      </c>
      <c r="C74" s="72"/>
      <c r="D74" s="72"/>
      <c r="E74" s="72"/>
    </row>
    <row r="75" spans="1:7" x14ac:dyDescent="0.2">
      <c r="B75" s="81" t="s">
        <v>378</v>
      </c>
      <c r="C75" s="82" t="s">
        <v>368</v>
      </c>
      <c r="D75" s="82" t="s">
        <v>369</v>
      </c>
      <c r="E75" s="82" t="s">
        <v>379</v>
      </c>
      <c r="F75" s="84" t="s">
        <v>389</v>
      </c>
      <c r="G75" s="86" t="s">
        <v>391</v>
      </c>
    </row>
    <row r="76" spans="1:7" ht="12" x14ac:dyDescent="0.2">
      <c r="B76" s="75"/>
      <c r="C76" s="76">
        <f ca="1">'Income Calendar'!P535</f>
        <v>800</v>
      </c>
      <c r="D76" s="76">
        <f ca="1">'Expense Calendar'!P535</f>
        <v>232</v>
      </c>
      <c r="E76" s="83">
        <f ca="1">C76-D76+E73</f>
        <v>21914</v>
      </c>
      <c r="F76" s="87">
        <f>-1*Budget</f>
        <v>-200</v>
      </c>
      <c r="G76" s="98">
        <f>allowance*-1</f>
        <v>-50</v>
      </c>
    </row>
    <row r="77" spans="1:7" ht="12" x14ac:dyDescent="0.2">
      <c r="B77" s="75">
        <f ca="1">E76+F76+G76</f>
        <v>21664</v>
      </c>
      <c r="C77" s="76">
        <f>'Income Calendar'!P544</f>
        <v>1570</v>
      </c>
      <c r="D77" s="76">
        <f ca="1">'Expense Calendar'!P544</f>
        <v>1200</v>
      </c>
      <c r="E77" s="83">
        <f ca="1">C77-D77+B77</f>
        <v>22034</v>
      </c>
      <c r="F77" s="87">
        <f>-1*Budget</f>
        <v>-200</v>
      </c>
      <c r="G77" s="98">
        <f>allowance*-1</f>
        <v>-50</v>
      </c>
    </row>
    <row r="78" spans="1:7" ht="12" x14ac:dyDescent="0.2">
      <c r="B78" s="75">
        <f t="shared" ref="B78:B81" ca="1" si="19">E77+F77+G77</f>
        <v>21784</v>
      </c>
      <c r="C78" s="76">
        <f>'Income Calendar'!P553</f>
        <v>800</v>
      </c>
      <c r="D78" s="76">
        <f ca="1">'Expense Calendar'!P553</f>
        <v>342</v>
      </c>
      <c r="E78" s="83">
        <f t="shared" ref="E78:E81" ca="1" si="20">C78-D78+B78</f>
        <v>22242</v>
      </c>
      <c r="F78" s="87">
        <f>-1*Budget</f>
        <v>-200</v>
      </c>
      <c r="G78" s="98">
        <f>allowance*-1</f>
        <v>-50</v>
      </c>
    </row>
    <row r="79" spans="1:7" ht="12" x14ac:dyDescent="0.2">
      <c r="B79" s="75">
        <f t="shared" ca="1" si="19"/>
        <v>21992</v>
      </c>
      <c r="C79" s="76">
        <f>'Income Calendar'!P562</f>
        <v>1570</v>
      </c>
      <c r="D79" s="76">
        <f ca="1">'Expense Calendar'!P562</f>
        <v>0</v>
      </c>
      <c r="E79" s="83">
        <f t="shared" ca="1" si="20"/>
        <v>23562</v>
      </c>
      <c r="F79" s="87">
        <f>-1*Budget</f>
        <v>-200</v>
      </c>
      <c r="G79" s="98">
        <f>allowance*-1</f>
        <v>-50</v>
      </c>
    </row>
    <row r="80" spans="1:7" ht="12" x14ac:dyDescent="0.2">
      <c r="B80" s="75">
        <f t="shared" ca="1" si="19"/>
        <v>23312</v>
      </c>
      <c r="C80" s="76">
        <f ca="1">'Income Calendar'!P571</f>
        <v>800</v>
      </c>
      <c r="D80" s="76">
        <f ca="1">'Expense Calendar'!P571</f>
        <v>232</v>
      </c>
      <c r="E80" s="83">
        <f t="shared" ca="1" si="20"/>
        <v>23880</v>
      </c>
      <c r="F80" s="87">
        <f>-1*Budget</f>
        <v>-200</v>
      </c>
      <c r="G80" s="98">
        <f>allowance*-1</f>
        <v>-50</v>
      </c>
    </row>
    <row r="81" spans="2:7" ht="12" x14ac:dyDescent="0.2">
      <c r="B81" s="75">
        <f t="shared" ca="1" si="19"/>
        <v>23630</v>
      </c>
      <c r="C81" s="76">
        <f ca="1">'Income Calendar'!P580</f>
        <v>0</v>
      </c>
      <c r="D81" s="76">
        <f ca="1">'Expense Calendar'!P580</f>
        <v>0</v>
      </c>
      <c r="E81" s="83">
        <f t="shared" ca="1" si="20"/>
        <v>23630</v>
      </c>
      <c r="F81" s="87"/>
      <c r="G81" s="87"/>
    </row>
    <row r="82" spans="2:7" ht="15.75" thickBot="1" x14ac:dyDescent="0.25">
      <c r="B82" s="105" t="s">
        <v>376</v>
      </c>
      <c r="C82" s="72"/>
      <c r="D82" s="72"/>
      <c r="E82" s="72"/>
    </row>
    <row r="83" spans="2:7" x14ac:dyDescent="0.2">
      <c r="B83" s="81" t="s">
        <v>378</v>
      </c>
      <c r="C83" s="82" t="s">
        <v>368</v>
      </c>
      <c r="D83" s="82" t="s">
        <v>369</v>
      </c>
      <c r="E83" s="82" t="s">
        <v>379</v>
      </c>
      <c r="F83" s="84" t="s">
        <v>389</v>
      </c>
      <c r="G83" s="86" t="s">
        <v>391</v>
      </c>
    </row>
    <row r="84" spans="2:7" ht="12" x14ac:dyDescent="0.2">
      <c r="B84" s="75"/>
      <c r="C84" s="76">
        <f ca="1">'Income Calendar'!P593</f>
        <v>1570</v>
      </c>
      <c r="D84" s="76">
        <f ca="1">'Expense Calendar'!P593</f>
        <v>1200</v>
      </c>
      <c r="E84" s="83">
        <f ca="1">C84-D84+E81</f>
        <v>24000</v>
      </c>
      <c r="F84" s="87">
        <f>-1*Budget</f>
        <v>-200</v>
      </c>
      <c r="G84" s="98">
        <f>allowance*-1</f>
        <v>-50</v>
      </c>
    </row>
    <row r="85" spans="2:7" ht="12" x14ac:dyDescent="0.2">
      <c r="B85" s="75">
        <f ca="1">E84+F84+G84</f>
        <v>23750</v>
      </c>
      <c r="C85" s="76">
        <f>'Income Calendar'!P602</f>
        <v>800</v>
      </c>
      <c r="D85" s="76">
        <f ca="1">'Expense Calendar'!P602</f>
        <v>232</v>
      </c>
      <c r="E85" s="83">
        <f ca="1">C85-D85+B85</f>
        <v>24318</v>
      </c>
      <c r="F85" s="87">
        <f>-1*Budget</f>
        <v>-200</v>
      </c>
      <c r="G85" s="98">
        <f>allowance*-1</f>
        <v>-50</v>
      </c>
    </row>
    <row r="86" spans="2:7" ht="12" x14ac:dyDescent="0.2">
      <c r="B86" s="75">
        <f t="shared" ref="B86:B89" ca="1" si="21">E85+F85+G85</f>
        <v>24068</v>
      </c>
      <c r="C86" s="76">
        <f>'Income Calendar'!P611</f>
        <v>1570</v>
      </c>
      <c r="D86" s="76">
        <f ca="1">'Expense Calendar'!P611</f>
        <v>110</v>
      </c>
      <c r="E86" s="83">
        <f t="shared" ref="E86:E89" ca="1" si="22">C86-D86+B86</f>
        <v>25528</v>
      </c>
      <c r="F86" s="87">
        <f>-1*Budget</f>
        <v>-200</v>
      </c>
      <c r="G86" s="98">
        <f>allowance*-1</f>
        <v>-50</v>
      </c>
    </row>
    <row r="87" spans="2:7" ht="12" x14ac:dyDescent="0.2">
      <c r="B87" s="75">
        <f t="shared" ca="1" si="21"/>
        <v>25278</v>
      </c>
      <c r="C87" s="76">
        <f>'Income Calendar'!P620</f>
        <v>800</v>
      </c>
      <c r="D87" s="76">
        <f ca="1">'Expense Calendar'!P620</f>
        <v>232</v>
      </c>
      <c r="E87" s="83">
        <f t="shared" ca="1" si="22"/>
        <v>25846</v>
      </c>
      <c r="F87" s="87">
        <f>-1*Budget</f>
        <v>-200</v>
      </c>
      <c r="G87" s="98">
        <f>allowance*-1</f>
        <v>-50</v>
      </c>
    </row>
    <row r="88" spans="2:7" ht="12" x14ac:dyDescent="0.2">
      <c r="B88" s="75">
        <f t="shared" ca="1" si="21"/>
        <v>25596</v>
      </c>
      <c r="C88" s="76">
        <f ca="1">'Income Calendar'!P629</f>
        <v>0</v>
      </c>
      <c r="D88" s="76">
        <f ca="1">'Expense Calendar'!P629</f>
        <v>0</v>
      </c>
      <c r="E88" s="83">
        <f t="shared" ca="1" si="22"/>
        <v>25596</v>
      </c>
      <c r="F88" s="87"/>
      <c r="G88" s="87"/>
    </row>
    <row r="89" spans="2:7" ht="12" x14ac:dyDescent="0.2">
      <c r="B89" s="75">
        <f t="shared" ca="1" si="21"/>
        <v>25596</v>
      </c>
      <c r="C89" s="76">
        <f ca="1">'Income Calendar'!P638</f>
        <v>0</v>
      </c>
      <c r="D89" s="76">
        <f ca="1">'Expense Calendar'!P638</f>
        <v>0</v>
      </c>
      <c r="E89" s="83">
        <f t="shared" ca="1" si="22"/>
        <v>25596</v>
      </c>
      <c r="F89" s="87"/>
      <c r="G89" s="87"/>
    </row>
    <row r="90" spans="2:7" ht="15.75" thickBot="1" x14ac:dyDescent="0.25">
      <c r="B90" s="105" t="s">
        <v>377</v>
      </c>
      <c r="C90" s="72"/>
      <c r="D90" s="72"/>
      <c r="E90" s="72"/>
    </row>
    <row r="91" spans="2:7" x14ac:dyDescent="0.2">
      <c r="B91" s="81" t="s">
        <v>378</v>
      </c>
      <c r="C91" s="82" t="s">
        <v>368</v>
      </c>
      <c r="D91" s="82" t="s">
        <v>369</v>
      </c>
      <c r="E91" s="82" t="s">
        <v>379</v>
      </c>
      <c r="F91" s="84" t="s">
        <v>389</v>
      </c>
      <c r="G91" s="86" t="s">
        <v>391</v>
      </c>
    </row>
    <row r="92" spans="2:7" ht="12" x14ac:dyDescent="0.2">
      <c r="B92" s="75"/>
      <c r="C92" s="76">
        <f ca="1">'Income Calendar'!P651</f>
        <v>1570</v>
      </c>
      <c r="D92" s="76">
        <f ca="1">'Expense Calendar'!P651</f>
        <v>1200</v>
      </c>
      <c r="E92" s="83">
        <f ca="1">C92-D92+E89</f>
        <v>25966</v>
      </c>
      <c r="F92" s="87">
        <f>-1*Budget</f>
        <v>-200</v>
      </c>
      <c r="G92" s="98">
        <f>allowance*-1</f>
        <v>-50</v>
      </c>
    </row>
    <row r="93" spans="2:7" ht="12" x14ac:dyDescent="0.2">
      <c r="B93" s="75">
        <f ca="1">E92+F92+G92</f>
        <v>25716</v>
      </c>
      <c r="C93" s="76">
        <f>'Income Calendar'!P660</f>
        <v>800</v>
      </c>
      <c r="D93" s="76">
        <f ca="1">'Expense Calendar'!P660</f>
        <v>232</v>
      </c>
      <c r="E93" s="83">
        <f ca="1">C93-D93+B93</f>
        <v>26284</v>
      </c>
      <c r="F93" s="87">
        <f>-1*Budget</f>
        <v>-200</v>
      </c>
      <c r="G93" s="98">
        <f>allowance*-1</f>
        <v>-50</v>
      </c>
    </row>
    <row r="94" spans="2:7" ht="12" x14ac:dyDescent="0.2">
      <c r="B94" s="75">
        <f t="shared" ref="B94:B97" ca="1" si="23">E93+F93+G93</f>
        <v>26034</v>
      </c>
      <c r="C94" s="76">
        <f>'Income Calendar'!P669</f>
        <v>1570</v>
      </c>
      <c r="D94" s="76">
        <f ca="1">'Expense Calendar'!P669</f>
        <v>110</v>
      </c>
      <c r="E94" s="83">
        <f t="shared" ref="E94:E97" ca="1" si="24">C94-D94+B94</f>
        <v>27494</v>
      </c>
      <c r="F94" s="87">
        <f>-1*Budget</f>
        <v>-200</v>
      </c>
      <c r="G94" s="98">
        <f>allowance*-1</f>
        <v>-50</v>
      </c>
    </row>
    <row r="95" spans="2:7" ht="12" x14ac:dyDescent="0.2">
      <c r="B95" s="75">
        <f t="shared" ca="1" si="23"/>
        <v>27244</v>
      </c>
      <c r="C95" s="76">
        <f>'Income Calendar'!P678</f>
        <v>800</v>
      </c>
      <c r="D95" s="76">
        <f ca="1">'Expense Calendar'!P678</f>
        <v>232</v>
      </c>
      <c r="E95" s="83">
        <f t="shared" ca="1" si="24"/>
        <v>27812</v>
      </c>
      <c r="F95" s="87">
        <f>-1*Budget</f>
        <v>-200</v>
      </c>
      <c r="G95" s="98">
        <f>allowance*-1</f>
        <v>-50</v>
      </c>
    </row>
    <row r="96" spans="2:7" ht="12" x14ac:dyDescent="0.2">
      <c r="B96" s="75">
        <f t="shared" ca="1" si="23"/>
        <v>27562</v>
      </c>
      <c r="C96" s="76">
        <f ca="1">'Income Calendar'!P687</f>
        <v>1570</v>
      </c>
      <c r="D96" s="76">
        <f ca="1">'Expense Calendar'!P687</f>
        <v>0</v>
      </c>
      <c r="E96" s="83">
        <f t="shared" ca="1" si="24"/>
        <v>29132</v>
      </c>
      <c r="F96" s="87">
        <f>-1*Budget</f>
        <v>-200</v>
      </c>
      <c r="G96" s="98">
        <f>allowance*-1</f>
        <v>-50</v>
      </c>
    </row>
    <row r="97" spans="2:7" ht="12" x14ac:dyDescent="0.2">
      <c r="B97" s="75">
        <f t="shared" ca="1" si="23"/>
        <v>28882</v>
      </c>
      <c r="C97" s="76">
        <f ca="1">'Income Calendar'!P696</f>
        <v>0</v>
      </c>
      <c r="D97" s="76">
        <f ca="1">'Expense Calendar'!P696</f>
        <v>0</v>
      </c>
      <c r="E97" s="83">
        <f t="shared" ca="1" si="24"/>
        <v>28882</v>
      </c>
      <c r="F97" s="87"/>
      <c r="G97" s="87"/>
    </row>
  </sheetData>
  <conditionalFormatting sqref="I3">
    <cfRule type="expression" dxfId="441" priority="7">
      <formula>I1&gt;15</formula>
    </cfRule>
  </conditionalFormatting>
  <conditionalFormatting sqref="I4">
    <cfRule type="expression" dxfId="440" priority="8">
      <formula>I1&gt;15</formula>
    </cfRule>
  </conditionalFormatting>
  <conditionalFormatting sqref="I5">
    <cfRule type="expression" dxfId="439" priority="9">
      <formula>I1&gt;15</formula>
    </cfRule>
  </conditionalFormatting>
  <conditionalFormatting sqref="I6">
    <cfRule type="expression" dxfId="438" priority="10">
      <formula>I1&gt;15</formula>
    </cfRule>
  </conditionalFormatting>
  <conditionalFormatting sqref="I7">
    <cfRule type="expression" dxfId="437" priority="11">
      <formula>I1&gt;15</formula>
    </cfRule>
  </conditionalFormatting>
  <conditionalFormatting sqref="J3:AM3">
    <cfRule type="expression" dxfId="436" priority="1">
      <formula>J1&gt;15</formula>
    </cfRule>
  </conditionalFormatting>
  <conditionalFormatting sqref="J4:AM4">
    <cfRule type="expression" dxfId="435" priority="2">
      <formula>J1&gt;15</formula>
    </cfRule>
  </conditionalFormatting>
  <conditionalFormatting sqref="J5:AM5">
    <cfRule type="expression" dxfId="434" priority="3">
      <formula>J1&gt;15</formula>
    </cfRule>
  </conditionalFormatting>
  <conditionalFormatting sqref="J6:AM6">
    <cfRule type="expression" dxfId="433" priority="4">
      <formula>J1&gt;15</formula>
    </cfRule>
  </conditionalFormatting>
  <conditionalFormatting sqref="J7:AM7">
    <cfRule type="expression" dxfId="432" priority="5">
      <formula>J1&gt;15</formula>
    </cfRule>
  </conditionalFormatting>
  <hyperlinks>
    <hyperlink ref="A1" r:id="rId1" xr:uid="{89B0573E-C435-4EBC-83FA-E3F87DD16C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  <pageSetUpPr autoPageBreaks="0"/>
  </sheetPr>
  <dimension ref="A1:V696"/>
  <sheetViews>
    <sheetView showGridLines="0" zoomScaleNormal="100" workbookViewId="0">
      <selection activeCell="T12" sqref="T12:U13"/>
    </sheetView>
  </sheetViews>
  <sheetFormatPr defaultRowHeight="11.25" x14ac:dyDescent="0.2"/>
  <cols>
    <col min="1" max="1" width="2.83203125" style="43" customWidth="1"/>
    <col min="2" max="2" width="13.1640625" style="1" customWidth="1"/>
    <col min="3" max="3" width="13.1640625" style="5" customWidth="1"/>
    <col min="4" max="4" width="13.1640625" style="1" customWidth="1"/>
    <col min="5" max="5" width="13.1640625" style="5" customWidth="1"/>
    <col min="6" max="6" width="13.1640625" style="1" customWidth="1"/>
    <col min="7" max="7" width="13.1640625" style="5" customWidth="1"/>
    <col min="8" max="8" width="13.1640625" style="1" customWidth="1"/>
    <col min="9" max="9" width="13.1640625" style="5" customWidth="1"/>
    <col min="10" max="10" width="13.1640625" style="1" customWidth="1"/>
    <col min="11" max="11" width="13.1640625" style="5" customWidth="1"/>
    <col min="12" max="12" width="13.1640625" style="1" customWidth="1"/>
    <col min="13" max="13" width="13.1640625" style="5" customWidth="1"/>
    <col min="14" max="14" width="13.1640625" style="1" customWidth="1"/>
    <col min="15" max="15" width="13.1640625" style="5" customWidth="1"/>
    <col min="16" max="16" width="16.6640625" style="1" customWidth="1"/>
    <col min="17" max="17" width="2.83203125" customWidth="1"/>
    <col min="20" max="20" width="17.5" bestFit="1" customWidth="1"/>
    <col min="21" max="21" width="10.33203125" customWidth="1"/>
    <col min="22" max="22" width="31.5" bestFit="1" customWidth="1"/>
  </cols>
  <sheetData>
    <row r="1" spans="1:22" ht="18" customHeight="1" x14ac:dyDescent="0.25">
      <c r="B1" s="32">
        <f ca="1">YEAR(TODAY())</f>
        <v>2021</v>
      </c>
      <c r="C1" s="32" t="s">
        <v>26</v>
      </c>
      <c r="D1" s="32"/>
      <c r="E1" s="32"/>
      <c r="F1" s="32"/>
      <c r="G1" s="33"/>
      <c r="H1" s="31"/>
      <c r="I1" s="33"/>
      <c r="J1" s="31"/>
      <c r="K1" s="33"/>
      <c r="L1" s="31"/>
      <c r="M1" s="33"/>
      <c r="N1" s="31"/>
      <c r="O1" s="33"/>
      <c r="P1" s="31"/>
    </row>
    <row r="2" spans="1:22" ht="30" customHeight="1" x14ac:dyDescent="0.2">
      <c r="A2" s="43" t="s">
        <v>363</v>
      </c>
      <c r="B2" s="49" t="s">
        <v>11</v>
      </c>
      <c r="C2" s="49"/>
      <c r="D2" s="49"/>
      <c r="E2" s="49"/>
      <c r="F2"/>
      <c r="G2" s="68" t="s">
        <v>345</v>
      </c>
      <c r="H2" s="68"/>
      <c r="I2" s="4"/>
      <c r="J2"/>
      <c r="K2" s="4"/>
      <c r="L2" s="45" t="s">
        <v>12</v>
      </c>
      <c r="M2" s="45"/>
      <c r="N2" s="45" t="s">
        <v>13</v>
      </c>
      <c r="O2" s="45"/>
      <c r="P2"/>
    </row>
    <row r="3" spans="1:22" ht="25.5" customHeight="1" x14ac:dyDescent="0.2">
      <c r="A3" s="43" t="s">
        <v>27</v>
      </c>
      <c r="B3" s="49"/>
      <c r="C3" s="49"/>
      <c r="D3" s="49"/>
      <c r="E3" s="49"/>
      <c r="F3" s="3">
        <f ca="1">IFERROR(WEEKDAY(DATEVALUE(B2&amp;" 1, "&amp;Year1)),"")</f>
        <v>6</v>
      </c>
      <c r="G3" s="68"/>
      <c r="H3" s="68"/>
      <c r="I3" s="7"/>
      <c r="J3" s="8"/>
      <c r="K3" s="4"/>
      <c r="L3" s="46">
        <f ca="1">SUM(P13,P22,P31,P40,P49,P58)</f>
        <v>1310</v>
      </c>
      <c r="M3" s="47"/>
      <c r="N3" s="46">
        <f ca="1">SUM(P:P)</f>
        <v>21288</v>
      </c>
      <c r="O3" s="48"/>
      <c r="P3"/>
    </row>
    <row r="4" spans="1:22" ht="9" customHeight="1" x14ac:dyDescent="0.2">
      <c r="A4" s="43" t="s">
        <v>346</v>
      </c>
      <c r="B4" s="50">
        <v>1</v>
      </c>
      <c r="C4" s="50"/>
      <c r="D4" s="50">
        <v>2</v>
      </c>
      <c r="E4" s="50"/>
      <c r="F4" s="50">
        <v>3</v>
      </c>
      <c r="G4" s="50"/>
      <c r="H4" s="50">
        <v>4</v>
      </c>
      <c r="I4" s="50"/>
      <c r="J4" s="50">
        <v>5</v>
      </c>
      <c r="K4" s="50"/>
      <c r="L4" s="50">
        <v>6</v>
      </c>
      <c r="M4" s="50"/>
      <c r="N4" s="50">
        <v>7</v>
      </c>
      <c r="O4" s="50"/>
      <c r="P4" s="2"/>
    </row>
    <row r="5" spans="1:22" ht="15" customHeight="1" x14ac:dyDescent="0.2">
      <c r="A5" s="43" t="s">
        <v>28</v>
      </c>
      <c r="B5" s="51" t="s">
        <v>0</v>
      </c>
      <c r="C5" s="52"/>
      <c r="D5" s="53" t="s">
        <v>1</v>
      </c>
      <c r="E5" s="54" t="e">
        <f ca="1">IF(WEEKDAY(DATEVALUE(Month1&amp;" 1, "&amp;Year1))=COLUMN(#REF!),1,IF(LEN(C5)&gt;0,C5+1,""))</f>
        <v>#VALUE!</v>
      </c>
      <c r="F5" s="52" t="s">
        <v>2</v>
      </c>
      <c r="G5" s="52" t="e">
        <f ca="1">IF(WEEKDAY(DATEVALUE(Month1&amp;" 1, "&amp;Year1))=COLUMN(#REF!),1,IF(LEN(E5)&gt;0,E5+1,""))</f>
        <v>#VALUE!</v>
      </c>
      <c r="H5" s="53" t="s">
        <v>3</v>
      </c>
      <c r="I5" s="54" t="e">
        <f ca="1">IF(WEEKDAY(DATEVALUE(Month1&amp;" 1, "&amp;Year1))=COLUMN(#REF!),1,IF(LEN(G5)&gt;0,G5+1,""))</f>
        <v>#VALUE!</v>
      </c>
      <c r="J5" s="55" t="s">
        <v>4</v>
      </c>
      <c r="K5" s="56" t="e">
        <f ca="1">IF(WEEKDAY(DATEVALUE(Month1&amp;" 1, "&amp;Year1))=COLUMN(#REF!),1,IF(LEN(I5)&gt;0,I5+1,""))</f>
        <v>#VALUE!</v>
      </c>
      <c r="L5" s="57" t="s">
        <v>5</v>
      </c>
      <c r="M5" s="58" t="e">
        <f ca="1">IF(WEEKDAY(DATEVALUE(Month1&amp;" 1, "&amp;Year1))=COLUMN(#REF!),1,IF(LEN(K5)&gt;0,K5+1,""))</f>
        <v>#VALUE!</v>
      </c>
      <c r="N5" s="57" t="s">
        <v>6</v>
      </c>
      <c r="O5" s="58" t="e">
        <f ca="1">IF(WEEKDAY(DATEVALUE(Month1&amp;" 1, "&amp;Year1))=COLUMN(#REF!),1,IF(LEN(M5)&gt;0,M5+1,""))</f>
        <v>#VALUE!</v>
      </c>
      <c r="P5" s="34" t="s">
        <v>7</v>
      </c>
      <c r="T5" t="s">
        <v>365</v>
      </c>
      <c r="U5" t="s">
        <v>366</v>
      </c>
      <c r="V5" t="s">
        <v>386</v>
      </c>
    </row>
    <row r="6" spans="1:22" ht="15" customHeight="1" x14ac:dyDescent="0.2">
      <c r="A6" s="43" t="s">
        <v>29</v>
      </c>
      <c r="B6" s="14">
        <f ca="1">DAY(IF(DAY(JanSun1)=1,JanSun1-6,JanSun1+1))</f>
        <v>27</v>
      </c>
      <c r="C6" s="16"/>
      <c r="D6" s="19">
        <f ca="1">DAY(IF(DAY(JanSun1)=1,JanSun1-5,JanSun1+2))</f>
        <v>28</v>
      </c>
      <c r="E6" s="16"/>
      <c r="F6" s="19">
        <f ca="1">DAY(IF(DAY(JanSun1)=1,JanSun1-4,JanSun1+3))</f>
        <v>29</v>
      </c>
      <c r="G6" s="16"/>
      <c r="H6" s="19">
        <f ca="1">DAY(IF(DAY(JanSun1)=1,JanSun1-3,JanSun1+4))</f>
        <v>30</v>
      </c>
      <c r="I6" s="16"/>
      <c r="J6" s="19">
        <f ca="1">DAY(IF(DAY(JanSun1)=1,JanSun1-2,JanSun1+5))</f>
        <v>31</v>
      </c>
      <c r="K6" s="16"/>
      <c r="L6" s="19">
        <f ca="1">DAY(IF(DAY(JanSun1)=1,JanSun1-1,JanSun1+6))</f>
        <v>1</v>
      </c>
      <c r="M6" s="16"/>
      <c r="N6" s="20">
        <f ca="1">DAY(IF(DAY(JanSun1)=1,JanSun1,JanSun1+7))</f>
        <v>2</v>
      </c>
      <c r="O6" s="15"/>
      <c r="P6" s="21"/>
      <c r="T6" s="69" t="s">
        <v>381</v>
      </c>
      <c r="U6" s="70">
        <v>60</v>
      </c>
    </row>
    <row r="7" spans="1:22" ht="11.25" customHeight="1" x14ac:dyDescent="0.2">
      <c r="A7" s="43" t="s">
        <v>30</v>
      </c>
      <c r="B7" s="41" t="s">
        <v>9</v>
      </c>
      <c r="C7" s="36" t="s">
        <v>10</v>
      </c>
      <c r="D7" s="35" t="s">
        <v>9</v>
      </c>
      <c r="E7" s="36" t="s">
        <v>10</v>
      </c>
      <c r="F7" s="35" t="s">
        <v>9</v>
      </c>
      <c r="G7" s="36" t="s">
        <v>10</v>
      </c>
      <c r="H7" s="35" t="s">
        <v>9</v>
      </c>
      <c r="I7" s="36" t="s">
        <v>10</v>
      </c>
      <c r="J7" s="35" t="s">
        <v>9</v>
      </c>
      <c r="K7" s="36" t="s">
        <v>10</v>
      </c>
      <c r="L7" s="35" t="s">
        <v>9</v>
      </c>
      <c r="M7" s="36" t="s">
        <v>10</v>
      </c>
      <c r="N7" s="37" t="s">
        <v>9</v>
      </c>
      <c r="O7" s="38" t="s">
        <v>10</v>
      </c>
      <c r="P7" s="22"/>
      <c r="T7" s="69" t="s">
        <v>383</v>
      </c>
      <c r="U7" s="70">
        <v>115</v>
      </c>
      <c r="V7" t="s">
        <v>385</v>
      </c>
    </row>
    <row r="8" spans="1:22" ht="11.25" customHeight="1" x14ac:dyDescent="0.2">
      <c r="A8" s="43" t="s">
        <v>31</v>
      </c>
      <c r="B8" s="17" t="str">
        <f ca="1">IF(HLOOKUP(B6,Summary!$I$2:$AM$7,2,0)=0,"",HLOOKUP(B6,Summary!$I$2:$AM$7,2,0))</f>
        <v/>
      </c>
      <c r="C8" s="71" t="str">
        <f ca="1">IFERROR(VLOOKUP(B8,fixed_expenses[],2,0),"")</f>
        <v/>
      </c>
      <c r="D8" s="17" t="str">
        <f ca="1">IF(HLOOKUP(D6,Summary!$I$2:$AM$7,2,0)=0,"",HLOOKUP(D6,Summary!$I$2:$AM$7,2,0))</f>
        <v/>
      </c>
      <c r="E8" s="71" t="str">
        <f ca="1">IFERROR(VLOOKUP(D8,fixed_expenses[],2,0),"")</f>
        <v/>
      </c>
      <c r="F8" s="17" t="str">
        <f ca="1">IF(HLOOKUP(F6,Summary!$I$2:$AM$7,2,0)=0,"",HLOOKUP(F6,Summary!$I$2:$AM$7,2,0))</f>
        <v/>
      </c>
      <c r="G8" s="71" t="str">
        <f ca="1">IFERROR(VLOOKUP(F8,fixed_expenses[],2,0),"")</f>
        <v/>
      </c>
      <c r="H8" s="17" t="str">
        <f ca="1">IF(HLOOKUP(H6,Summary!$I$2:$AM$7,2,0)=0,"",HLOOKUP(H6,Summary!$I$2:$AM$7,2,0))</f>
        <v/>
      </c>
      <c r="I8" s="71" t="str">
        <f ca="1">IFERROR(VLOOKUP(H8,fixed_expenses[],2,0),"")</f>
        <v/>
      </c>
      <c r="J8" s="17" t="str">
        <f ca="1">IF(HLOOKUP(J6,Summary!$I$2:$AM$7,2,0)=0,"",HLOOKUP(J6,Summary!$I$2:$AM$7,2,0))</f>
        <v/>
      </c>
      <c r="K8" s="71" t="str">
        <f ca="1">IFERROR(VLOOKUP(J8,fixed_expenses[],2,0),"")</f>
        <v/>
      </c>
      <c r="L8" s="17" t="str">
        <f ca="1">IF(HLOOKUP(L6,Summary!$I$2:$AM$7,2,0)=0,"",HLOOKUP(L6,Summary!$I$2:$AM$7,2,0))</f>
        <v/>
      </c>
      <c r="M8" s="71" t="str">
        <f ca="1">IFERROR(VLOOKUP(L8,fixed_expenses[],2,0),"")</f>
        <v/>
      </c>
      <c r="N8" s="17" t="str">
        <f ca="1">IF(HLOOKUP(N6,Summary!$I$2:$AM$7,2,0)=0,"",HLOOKUP(N6,Summary!$I$2:$AM$7,2,0))</f>
        <v/>
      </c>
      <c r="O8" s="71" t="str">
        <f ca="1">IFERROR(VLOOKUP(N8,fixed_expenses[],2,0),"")</f>
        <v/>
      </c>
      <c r="P8" s="22"/>
      <c r="T8" s="69" t="s">
        <v>25</v>
      </c>
      <c r="U8" s="70">
        <v>50</v>
      </c>
    </row>
    <row r="9" spans="1:22" ht="11.25" customHeight="1" x14ac:dyDescent="0.2">
      <c r="B9" s="17" t="str">
        <f ca="1">IF(HLOOKUP(B6,Summary!$I$2:$AM$7,3,0)=0,"",HLOOKUP(B6,Summary!$I$2:$AM$7,3,0))</f>
        <v/>
      </c>
      <c r="C9" s="71" t="str">
        <f ca="1">IFERROR(VLOOKUP(B9,fixed_expenses[],2,0),"")</f>
        <v/>
      </c>
      <c r="D9" s="17" t="str">
        <f ca="1">IF(HLOOKUP(D6,Summary!$I$2:$AM$7,3,0)=0,"",HLOOKUP(D6,Summary!$I$2:$AM$7,3,0))</f>
        <v/>
      </c>
      <c r="E9" s="71" t="str">
        <f ca="1">IFERROR(VLOOKUP(D9,fixed_expenses[],2,0),"")</f>
        <v/>
      </c>
      <c r="F9" s="17" t="str">
        <f ca="1">IF(HLOOKUP(F6,Summary!$I$2:$AM$7,3,0)=0,"",HLOOKUP(F6,Summary!$I$2:$AM$7,3,0))</f>
        <v/>
      </c>
      <c r="G9" s="71" t="str">
        <f ca="1">IFERROR(VLOOKUP(F9,fixed_expenses[],2,0),"")</f>
        <v/>
      </c>
      <c r="H9" s="17" t="str">
        <f ca="1">IF(HLOOKUP(H6,Summary!$I$2:$AM$7,3,0)=0,"",HLOOKUP(H6,Summary!$I$2:$AM$7,3,0))</f>
        <v/>
      </c>
      <c r="I9" s="71" t="str">
        <f ca="1">IFERROR(VLOOKUP(H9,fixed_expenses[],2,0),"")</f>
        <v/>
      </c>
      <c r="J9" s="17" t="str">
        <f ca="1">IF(HLOOKUP(J6,Summary!$I$2:$AM$7,3,0)=0,"",HLOOKUP(J6,Summary!$I$2:$AM$7,3,0))</f>
        <v/>
      </c>
      <c r="K9" s="71" t="str">
        <f ca="1">IFERROR(VLOOKUP(J9,fixed_expenses[],2,0),"")</f>
        <v/>
      </c>
      <c r="L9" s="17" t="str">
        <f ca="1">IF(HLOOKUP(L6,Summary!$I$2:$AM$7,3,0)=0,"",HLOOKUP(L6,Summary!$I$2:$AM$7,3,0))</f>
        <v/>
      </c>
      <c r="M9" s="71" t="str">
        <f ca="1">IFERROR(VLOOKUP(L9,fixed_expenses[],2,0),"")</f>
        <v/>
      </c>
      <c r="N9" s="17" t="str">
        <f ca="1">IF(HLOOKUP(N6,Summary!$I$2:$AM$7,3,0)=0,"",HLOOKUP(N6,Summary!$I$2:$AM$7,3,0))</f>
        <v/>
      </c>
      <c r="O9" s="71" t="str">
        <f ca="1">IFERROR(VLOOKUP(N9,fixed_expenses[],2,0),"")</f>
        <v/>
      </c>
      <c r="P9" s="22"/>
      <c r="T9" s="69" t="s">
        <v>364</v>
      </c>
      <c r="U9" s="70">
        <v>1200</v>
      </c>
    </row>
    <row r="10" spans="1:22" ht="11.25" customHeight="1" x14ac:dyDescent="0.2">
      <c r="B10" s="17" t="str">
        <f ca="1">IF(HLOOKUP(B6,Summary!$I$2:$AM$7,4,0)=0,"",HLOOKUP(B6,Summary!$I$2:$AM$7,4,0))</f>
        <v/>
      </c>
      <c r="C10" s="71" t="str">
        <f ca="1">IFERROR(VLOOKUP(B10,fixed_expenses[],2,0),"")</f>
        <v/>
      </c>
      <c r="D10" s="17" t="str">
        <f ca="1">IF(HLOOKUP(D6,Summary!$I$2:$AM$7,4,0)=0,"",HLOOKUP(D6,Summary!$I$2:$AM$7,4,0))</f>
        <v/>
      </c>
      <c r="E10" s="71" t="str">
        <f ca="1">IFERROR(VLOOKUP(D10,fixed_expenses[],2,0),"")</f>
        <v/>
      </c>
      <c r="F10" s="17" t="str">
        <f ca="1">IF(HLOOKUP(F6,Summary!$I$2:$AM$7,4,0)=0,"",HLOOKUP(F6,Summary!$I$2:$AM$7,4,0))</f>
        <v/>
      </c>
      <c r="G10" s="71" t="str">
        <f ca="1">IFERROR(VLOOKUP(F10,fixed_expenses[],2,0),"")</f>
        <v/>
      </c>
      <c r="H10" s="17" t="str">
        <f ca="1">IF(HLOOKUP(H6,Summary!$I$2:$AM$7,4,0)=0,"",HLOOKUP(H6,Summary!$I$2:$AM$7,4,0))</f>
        <v/>
      </c>
      <c r="I10" s="71" t="str">
        <f ca="1">IFERROR(VLOOKUP(H10,fixed_expenses[],2,0),"")</f>
        <v/>
      </c>
      <c r="J10" s="17" t="str">
        <f ca="1">IF(HLOOKUP(J6,Summary!$I$2:$AM$7,4,0)=0,"",HLOOKUP(J6,Summary!$I$2:$AM$7,4,0))</f>
        <v/>
      </c>
      <c r="K10" s="71" t="str">
        <f ca="1">IFERROR(VLOOKUP(J10,fixed_expenses[],2,0),"")</f>
        <v/>
      </c>
      <c r="L10" s="17" t="str">
        <f ca="1">IF(HLOOKUP(L6,Summary!$I$2:$AM$7,4,0)=0,"",HLOOKUP(L6,Summary!$I$2:$AM$7,4,0))</f>
        <v/>
      </c>
      <c r="M10" s="71" t="str">
        <f ca="1">IFERROR(VLOOKUP(L10,fixed_expenses[],2,0),"")</f>
        <v/>
      </c>
      <c r="N10" s="17" t="str">
        <f ca="1">IF(HLOOKUP(N6,Summary!$I$2:$AM$7,4,0)=0,"",HLOOKUP(N6,Summary!$I$2:$AM$7,4,0))</f>
        <v/>
      </c>
      <c r="O10" s="71" t="str">
        <f ca="1">IFERROR(VLOOKUP(N10,fixed_expenses[],2,0),"")</f>
        <v/>
      </c>
      <c r="P10" s="22"/>
      <c r="T10" s="69" t="s">
        <v>384</v>
      </c>
      <c r="U10" s="70">
        <v>232</v>
      </c>
    </row>
    <row r="11" spans="1:22" ht="11.25" customHeight="1" x14ac:dyDescent="0.2">
      <c r="B11" s="17" t="str">
        <f ca="1">IF(HLOOKUP(B6,Summary!$I$2:$AM$7,5,0)=0,"",HLOOKUP(B6,Summary!$I$2:$AM$7,5,0))</f>
        <v/>
      </c>
      <c r="C11" s="71" t="str">
        <f ca="1">IFERROR(VLOOKUP(B11,fixed_expenses[],2,0),"")</f>
        <v/>
      </c>
      <c r="D11" s="17" t="str">
        <f ca="1">IF(HLOOKUP(D6,Summary!$I$2:$AM$7,5,0)=0,"",HLOOKUP(D6,Summary!$I$2:$AM$7,5,0))</f>
        <v/>
      </c>
      <c r="E11" s="71" t="str">
        <f ca="1">IFERROR(VLOOKUP(D11,fixed_expenses[],2,0),"")</f>
        <v/>
      </c>
      <c r="F11" s="17" t="str">
        <f ca="1">IF(HLOOKUP(F6,Summary!$I$2:$AM$7,5,0)=0,"",HLOOKUP(F6,Summary!$I$2:$AM$7,5,0))</f>
        <v/>
      </c>
      <c r="G11" s="71" t="str">
        <f ca="1">IFERROR(VLOOKUP(F11,fixed_expenses[],2,0),"")</f>
        <v/>
      </c>
      <c r="H11" s="17" t="str">
        <f ca="1">IF(HLOOKUP(H6,Summary!$I$2:$AM$7,5,0)=0,"",HLOOKUP(H6,Summary!$I$2:$AM$7,5,0))</f>
        <v/>
      </c>
      <c r="I11" s="71" t="str">
        <f ca="1">IFERROR(VLOOKUP(H11,fixed_expenses[],2,0),"")</f>
        <v/>
      </c>
      <c r="J11" s="17" t="str">
        <f ca="1">IF(HLOOKUP(J6,Summary!$I$2:$AM$7,5,0)=0,"",HLOOKUP(J6,Summary!$I$2:$AM$7,5,0))</f>
        <v/>
      </c>
      <c r="K11" s="71" t="str">
        <f ca="1">IFERROR(VLOOKUP(J11,fixed_expenses[],2,0),"")</f>
        <v/>
      </c>
      <c r="L11" s="17" t="str">
        <f ca="1">IF(HLOOKUP(L6,Summary!$I$2:$AM$7,5,0)=0,"",HLOOKUP(L6,Summary!$I$2:$AM$7,5,0))</f>
        <v/>
      </c>
      <c r="M11" s="71" t="str">
        <f ca="1">IFERROR(VLOOKUP(L11,fixed_expenses[],2,0),"")</f>
        <v/>
      </c>
      <c r="N11" s="17" t="str">
        <f ca="1">IF(HLOOKUP(N6,Summary!$I$2:$AM$7,5,0)=0,"",HLOOKUP(N6,Summary!$I$2:$AM$7,5,0))</f>
        <v/>
      </c>
      <c r="O11" s="71" t="str">
        <f ca="1">IFERROR(VLOOKUP(N11,fixed_expenses[],2,0),"")</f>
        <v/>
      </c>
      <c r="P11" s="22"/>
      <c r="T11" s="69"/>
      <c r="U11" s="70"/>
    </row>
    <row r="12" spans="1:22" ht="11.25" customHeight="1" x14ac:dyDescent="0.2">
      <c r="B12" s="17" t="str">
        <f ca="1">IF(HLOOKUP(B6,Summary!$I$2:$AM$7,6,0)=0,"",HLOOKUP(B6,Summary!$I$2:$AM$7,6,0))</f>
        <v/>
      </c>
      <c r="C12" s="71" t="str">
        <f ca="1">IFERROR(VLOOKUP(B12,fixed_expenses[],2,0),"")</f>
        <v/>
      </c>
      <c r="D12" s="17" t="str">
        <f ca="1">IF(HLOOKUP(D6,Summary!$I$2:$AM$7,6,0)=0,"",HLOOKUP(D6,Summary!$I$2:$AM$7,6,0))</f>
        <v/>
      </c>
      <c r="E12" s="71" t="str">
        <f ca="1">IFERROR(VLOOKUP(D12,fixed_expenses[],2,0),"")</f>
        <v/>
      </c>
      <c r="F12" s="17" t="str">
        <f ca="1">IF(HLOOKUP(F6,Summary!$I$2:$AM$7,6,0)=0,"",HLOOKUP(F6,Summary!$I$2:$AM$7,6,0))</f>
        <v/>
      </c>
      <c r="G12" s="71" t="str">
        <f ca="1">IFERROR(VLOOKUP(F12,fixed_expenses[],2,0),"")</f>
        <v/>
      </c>
      <c r="H12" s="17" t="str">
        <f ca="1">IF(HLOOKUP(H6,Summary!$I$2:$AM$7,6,0)=0,"",HLOOKUP(H6,Summary!$I$2:$AM$7,6,0))</f>
        <v/>
      </c>
      <c r="I12" s="71" t="str">
        <f ca="1">IFERROR(VLOOKUP(H12,fixed_expenses[],2,0),"")</f>
        <v/>
      </c>
      <c r="J12" s="17" t="str">
        <f ca="1">IF(HLOOKUP(J6,Summary!$I$2:$AM$7,6,0)=0,"",HLOOKUP(J6,Summary!$I$2:$AM$7,6,0))</f>
        <v/>
      </c>
      <c r="K12" s="71" t="str">
        <f ca="1">IFERROR(VLOOKUP(J12,fixed_expenses[],2,0),"")</f>
        <v/>
      </c>
      <c r="L12" s="17" t="str">
        <f ca="1">IF(HLOOKUP(L6,Summary!$I$2:$AM$7,6,0)=0,"",HLOOKUP(L6,Summary!$I$2:$AM$7,6,0))</f>
        <v/>
      </c>
      <c r="M12" s="71" t="str">
        <f ca="1">IFERROR(VLOOKUP(L12,fixed_expenses[],2,0),"")</f>
        <v/>
      </c>
      <c r="N12" s="17" t="str">
        <f ca="1">IF(HLOOKUP(N6,Summary!$I$2:$AM$7,6,0)=0,"",HLOOKUP(N6,Summary!$I$2:$AM$7,6,0))</f>
        <v/>
      </c>
      <c r="O12" s="71" t="str">
        <f ca="1">IFERROR(VLOOKUP(N12,fixed_expenses[],2,0),"")</f>
        <v/>
      </c>
      <c r="P12" s="22"/>
      <c r="T12" s="69"/>
      <c r="U12" s="70"/>
    </row>
    <row r="13" spans="1:22" ht="11.25" customHeight="1" x14ac:dyDescent="0.2">
      <c r="A13" s="43" t="s">
        <v>32</v>
      </c>
      <c r="B13" s="26" t="s">
        <v>8</v>
      </c>
      <c r="C13" s="27">
        <f ca="1">SUM(C8:C12)</f>
        <v>0</v>
      </c>
      <c r="D13" s="26"/>
      <c r="E13" s="27">
        <f ca="1">SUM(E8:E12)</f>
        <v>0</v>
      </c>
      <c r="F13" s="26"/>
      <c r="G13" s="27">
        <f ca="1">SUM(G8:G12)</f>
        <v>0</v>
      </c>
      <c r="H13" s="26"/>
      <c r="I13" s="27">
        <f ca="1">SUM(I8:I12)</f>
        <v>0</v>
      </c>
      <c r="J13" s="26"/>
      <c r="K13" s="27">
        <f ca="1">SUM(K8:K12)</f>
        <v>0</v>
      </c>
      <c r="L13" s="26"/>
      <c r="M13" s="27">
        <f ca="1">SUM(M8:M12)</f>
        <v>0</v>
      </c>
      <c r="N13" s="26"/>
      <c r="O13" s="28">
        <f ca="1">SUM(O8:O12)</f>
        <v>0</v>
      </c>
      <c r="P13" s="29">
        <f ca="1">SUMIF(B6:N6,"&lt;8",C13:O13)</f>
        <v>0</v>
      </c>
      <c r="T13" s="69"/>
      <c r="U13" s="70"/>
    </row>
    <row r="14" spans="1:22" ht="11.25" customHeight="1" x14ac:dyDescent="0.2">
      <c r="B14" s="6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6"/>
      <c r="T14" s="69"/>
      <c r="U14" s="70"/>
    </row>
    <row r="15" spans="1:22" ht="15" customHeight="1" x14ac:dyDescent="0.2">
      <c r="A15" s="43" t="s">
        <v>33</v>
      </c>
      <c r="B15" s="12">
        <f ca="1">N6+1</f>
        <v>3</v>
      </c>
      <c r="C15" s="13"/>
      <c r="D15" s="12">
        <f ca="1">B15+1</f>
        <v>4</v>
      </c>
      <c r="E15" s="13"/>
      <c r="F15" s="12">
        <f ca="1">D15+1</f>
        <v>5</v>
      </c>
      <c r="G15" s="13"/>
      <c r="H15" s="12">
        <f ca="1">F15+1</f>
        <v>6</v>
      </c>
      <c r="I15" s="13"/>
      <c r="J15" s="12">
        <f ca="1">H15+1</f>
        <v>7</v>
      </c>
      <c r="K15" s="13"/>
      <c r="L15" s="12">
        <f ca="1">J15+1</f>
        <v>8</v>
      </c>
      <c r="M15" s="13"/>
      <c r="N15" s="12">
        <f ca="1">L15+1</f>
        <v>9</v>
      </c>
      <c r="O15" s="13"/>
      <c r="P15" s="23"/>
      <c r="T15" s="69"/>
      <c r="U15" s="70"/>
    </row>
    <row r="16" spans="1:22" ht="11.25" customHeight="1" x14ac:dyDescent="0.2">
      <c r="A16" s="43" t="s">
        <v>34</v>
      </c>
      <c r="B16" s="37" t="s">
        <v>9</v>
      </c>
      <c r="C16" s="39" t="s">
        <v>10</v>
      </c>
      <c r="D16" s="37" t="s">
        <v>9</v>
      </c>
      <c r="E16" s="39" t="s">
        <v>10</v>
      </c>
      <c r="F16" s="37" t="s">
        <v>9</v>
      </c>
      <c r="G16" s="39" t="s">
        <v>10</v>
      </c>
      <c r="H16" s="37" t="s">
        <v>9</v>
      </c>
      <c r="I16" s="39" t="s">
        <v>10</v>
      </c>
      <c r="J16" s="37" t="s">
        <v>9</v>
      </c>
      <c r="K16" s="39" t="s">
        <v>10</v>
      </c>
      <c r="L16" s="37" t="s">
        <v>9</v>
      </c>
      <c r="M16" s="39" t="s">
        <v>10</v>
      </c>
      <c r="N16" s="37" t="s">
        <v>9</v>
      </c>
      <c r="O16" s="40" t="s">
        <v>10</v>
      </c>
      <c r="P16" s="22"/>
      <c r="T16" s="69"/>
      <c r="U16" s="70"/>
    </row>
    <row r="17" spans="1:21" ht="11.25" customHeight="1" x14ac:dyDescent="0.2">
      <c r="A17" s="43" t="s">
        <v>35</v>
      </c>
      <c r="B17" s="17" t="str">
        <f ca="1">IF(HLOOKUP(B15,Summary!$I$2:$AM$7,2,0)=0,"",HLOOKUP(B15,Summary!$I$2:$AM$7,2,0))</f>
        <v>Rent</v>
      </c>
      <c r="C17" s="71">
        <f ca="1">IFERROR(VLOOKUP(B17,fixed_expenses[],2,0),"")</f>
        <v>1200</v>
      </c>
      <c r="D17" s="17" t="str">
        <f ca="1">IF(HLOOKUP(D15,Summary!$I$2:$AM$7,2,0)=0,"",HLOOKUP(D15,Summary!$I$2:$AM$7,2,0))</f>
        <v/>
      </c>
      <c r="E17" s="71" t="str">
        <f ca="1">IFERROR(VLOOKUP(D17,fixed_expenses[],2,0),"")</f>
        <v/>
      </c>
      <c r="F17" s="17" t="str">
        <f ca="1">IF(HLOOKUP(F15,Summary!$I$2:$AM$7,2,0)=0,"",HLOOKUP(F15,Summary!$I$2:$AM$7,2,0))</f>
        <v/>
      </c>
      <c r="G17" s="71" t="str">
        <f ca="1">IFERROR(VLOOKUP(F17,fixed_expenses[],2,0),"")</f>
        <v/>
      </c>
      <c r="H17" s="17" t="str">
        <f ca="1">IF(HLOOKUP(H15,Summary!$I$2:$AM$7,2,0)=0,"",HLOOKUP(H15,Summary!$I$2:$AM$7,2,0))</f>
        <v/>
      </c>
      <c r="I17" s="71" t="str">
        <f ca="1">IFERROR(VLOOKUP(H17,fixed_expenses[],2,0),"")</f>
        <v/>
      </c>
      <c r="J17" s="17" t="str">
        <f ca="1">IF(HLOOKUP(J15,Summary!$I$2:$AM$7,2,0)=0,"",HLOOKUP(J15,Summary!$I$2:$AM$7,2,0))</f>
        <v/>
      </c>
      <c r="K17" s="71" t="str">
        <f ca="1">IFERROR(VLOOKUP(J17,fixed_expenses[],2,0),"")</f>
        <v/>
      </c>
      <c r="L17" s="17" t="str">
        <f ca="1">IF(HLOOKUP(L15,Summary!$I$2:$AM$7,2,0)=0,"",HLOOKUP(L15,Summary!$I$2:$AM$7,2,0))</f>
        <v/>
      </c>
      <c r="M17" s="71" t="str">
        <f ca="1">IFERROR(VLOOKUP(L17,fixed_expenses[],2,0),"")</f>
        <v/>
      </c>
      <c r="N17" s="17" t="str">
        <f ca="1">IF(HLOOKUP(N15,Summary!$I$2:$AM$7,2,0)=0,"",HLOOKUP(N15,Summary!$I$2:$AM$7,2,0))</f>
        <v/>
      </c>
      <c r="O17" s="71" t="str">
        <f ca="1">IFERROR(VLOOKUP(N17,fixed_expenses[],2,0),"")</f>
        <v/>
      </c>
      <c r="P17" s="22"/>
      <c r="T17" s="69"/>
      <c r="U17" s="70"/>
    </row>
    <row r="18" spans="1:21" ht="11.25" customHeight="1" x14ac:dyDescent="0.2">
      <c r="B18" s="17" t="str">
        <f ca="1">IF(HLOOKUP(B15,Summary!$I$2:$AM$7,3,0)=0,"",HLOOKUP(B15,Summary!$I$2:$AM$7,3,0))</f>
        <v/>
      </c>
      <c r="C18" s="71" t="str">
        <f ca="1">IFERROR(VLOOKUP(B18,fixed_expenses[],2,0),"")</f>
        <v/>
      </c>
      <c r="D18" s="17" t="str">
        <f ca="1">IF(HLOOKUP(D15,Summary!$I$2:$AM$7,3,0)=0,"",HLOOKUP(D15,Summary!$I$2:$AM$7,3,0))</f>
        <v/>
      </c>
      <c r="E18" s="71" t="str">
        <f ca="1">IFERROR(VLOOKUP(D18,fixed_expenses[],2,0),"")</f>
        <v/>
      </c>
      <c r="F18" s="17" t="str">
        <f ca="1">IF(HLOOKUP(F15,Summary!$I$2:$AM$7,3,0)=0,"",HLOOKUP(F15,Summary!$I$2:$AM$7,3,0))</f>
        <v/>
      </c>
      <c r="G18" s="71" t="str">
        <f ca="1">IFERROR(VLOOKUP(F18,fixed_expenses[],2,0),"")</f>
        <v/>
      </c>
      <c r="H18" s="17" t="str">
        <f ca="1">IF(HLOOKUP(H15,Summary!$I$2:$AM$7,3,0)=0,"",HLOOKUP(H15,Summary!$I$2:$AM$7,3,0))</f>
        <v/>
      </c>
      <c r="I18" s="71" t="str">
        <f ca="1">IFERROR(VLOOKUP(H18,fixed_expenses[],2,0),"")</f>
        <v/>
      </c>
      <c r="J18" s="17" t="str">
        <f ca="1">IF(HLOOKUP(J15,Summary!$I$2:$AM$7,3,0)=0,"",HLOOKUP(J15,Summary!$I$2:$AM$7,3,0))</f>
        <v/>
      </c>
      <c r="K18" s="71" t="str">
        <f ca="1">IFERROR(VLOOKUP(J18,fixed_expenses[],2,0),"")</f>
        <v/>
      </c>
      <c r="L18" s="17" t="str">
        <f ca="1">IF(HLOOKUP(L15,Summary!$I$2:$AM$7,3,0)=0,"",HLOOKUP(L15,Summary!$I$2:$AM$7,3,0))</f>
        <v/>
      </c>
      <c r="M18" s="71" t="str">
        <f ca="1">IFERROR(VLOOKUP(L18,fixed_expenses[],2,0),"")</f>
        <v/>
      </c>
      <c r="N18" s="17" t="str">
        <f ca="1">IF(HLOOKUP(N15,Summary!$I$2:$AM$7,3,0)=0,"",HLOOKUP(N15,Summary!$I$2:$AM$7,3,0))</f>
        <v/>
      </c>
      <c r="O18" s="71" t="str">
        <f ca="1">IFERROR(VLOOKUP(N18,fixed_expenses[],2,0),"")</f>
        <v/>
      </c>
      <c r="P18" s="22"/>
      <c r="T18" s="69"/>
      <c r="U18" s="70"/>
    </row>
    <row r="19" spans="1:21" ht="11.25" customHeight="1" x14ac:dyDescent="0.2">
      <c r="B19" s="17" t="str">
        <f ca="1">IF(HLOOKUP(B15,Summary!$I$2:$AM$7,4,0)=0,"",HLOOKUP(B15,Summary!$I$2:$AM$7,4,0))</f>
        <v/>
      </c>
      <c r="C19" s="71" t="str">
        <f ca="1">IFERROR(VLOOKUP(B19,fixed_expenses[],2,0),"")</f>
        <v/>
      </c>
      <c r="D19" s="17" t="str">
        <f ca="1">IF(HLOOKUP(D15,Summary!$I$2:$AM$7,4,0)=0,"",HLOOKUP(D15,Summary!$I$2:$AM$7,4,0))</f>
        <v/>
      </c>
      <c r="E19" s="71" t="str">
        <f ca="1">IFERROR(VLOOKUP(D19,fixed_expenses[],2,0),"")</f>
        <v/>
      </c>
      <c r="F19" s="17" t="str">
        <f ca="1">IF(HLOOKUP(F15,Summary!$I$2:$AM$7,4,0)=0,"",HLOOKUP(F15,Summary!$I$2:$AM$7,4,0))</f>
        <v/>
      </c>
      <c r="G19" s="71" t="str">
        <f ca="1">IFERROR(VLOOKUP(F19,fixed_expenses[],2,0),"")</f>
        <v/>
      </c>
      <c r="H19" s="17" t="str">
        <f ca="1">IF(HLOOKUP(H15,Summary!$I$2:$AM$7,4,0)=0,"",HLOOKUP(H15,Summary!$I$2:$AM$7,4,0))</f>
        <v/>
      </c>
      <c r="I19" s="71" t="str">
        <f ca="1">IFERROR(VLOOKUP(H19,fixed_expenses[],2,0),"")</f>
        <v/>
      </c>
      <c r="J19" s="17" t="str">
        <f ca="1">IF(HLOOKUP(J15,Summary!$I$2:$AM$7,4,0)=0,"",HLOOKUP(J15,Summary!$I$2:$AM$7,4,0))</f>
        <v/>
      </c>
      <c r="K19" s="71" t="str">
        <f ca="1">IFERROR(VLOOKUP(J19,fixed_expenses[],2,0),"")</f>
        <v/>
      </c>
      <c r="L19" s="17" t="str">
        <f ca="1">IF(HLOOKUP(L15,Summary!$I$2:$AM$7,4,0)=0,"",HLOOKUP(L15,Summary!$I$2:$AM$7,4,0))</f>
        <v/>
      </c>
      <c r="M19" s="71" t="str">
        <f ca="1">IFERROR(VLOOKUP(L19,fixed_expenses[],2,0),"")</f>
        <v/>
      </c>
      <c r="N19" s="17" t="str">
        <f ca="1">IF(HLOOKUP(N15,Summary!$I$2:$AM$7,4,0)=0,"",HLOOKUP(N15,Summary!$I$2:$AM$7,4,0))</f>
        <v/>
      </c>
      <c r="O19" s="71" t="str">
        <f ca="1">IFERROR(VLOOKUP(N19,fixed_expenses[],2,0),"")</f>
        <v/>
      </c>
      <c r="P19" s="22"/>
    </row>
    <row r="20" spans="1:21" ht="11.25" customHeight="1" x14ac:dyDescent="0.2">
      <c r="B20" s="17" t="str">
        <f ca="1">IF(HLOOKUP(B15,Summary!$I$2:$AM$7,5,0)=0,"",HLOOKUP(B15,Summary!$I$2:$AM$7,5,0))</f>
        <v/>
      </c>
      <c r="C20" s="71" t="str">
        <f ca="1">IFERROR(VLOOKUP(B20,fixed_expenses[],2,0),"")</f>
        <v/>
      </c>
      <c r="D20" s="17" t="str">
        <f ca="1">IF(HLOOKUP(D15,Summary!$I$2:$AM$7,5,0)=0,"",HLOOKUP(D15,Summary!$I$2:$AM$7,5,0))</f>
        <v/>
      </c>
      <c r="E20" s="71" t="str">
        <f ca="1">IFERROR(VLOOKUP(D20,fixed_expenses[],2,0),"")</f>
        <v/>
      </c>
      <c r="F20" s="17" t="str">
        <f ca="1">IF(HLOOKUP(F15,Summary!$I$2:$AM$7,5,0)=0,"",HLOOKUP(F15,Summary!$I$2:$AM$7,5,0))</f>
        <v/>
      </c>
      <c r="G20" s="71" t="str">
        <f ca="1">IFERROR(VLOOKUP(F20,fixed_expenses[],2,0),"")</f>
        <v/>
      </c>
      <c r="H20" s="17" t="str">
        <f ca="1">IF(HLOOKUP(H15,Summary!$I$2:$AM$7,5,0)=0,"",HLOOKUP(H15,Summary!$I$2:$AM$7,5,0))</f>
        <v/>
      </c>
      <c r="I20" s="71" t="str">
        <f ca="1">IFERROR(VLOOKUP(H20,fixed_expenses[],2,0),"")</f>
        <v/>
      </c>
      <c r="J20" s="17" t="str">
        <f ca="1">IF(HLOOKUP(J15,Summary!$I$2:$AM$7,5,0)=0,"",HLOOKUP(J15,Summary!$I$2:$AM$7,5,0))</f>
        <v/>
      </c>
      <c r="K20" s="71" t="str">
        <f ca="1">IFERROR(VLOOKUP(J20,fixed_expenses[],2,0),"")</f>
        <v/>
      </c>
      <c r="L20" s="17" t="str">
        <f ca="1">IF(HLOOKUP(L15,Summary!$I$2:$AM$7,5,0)=0,"",HLOOKUP(L15,Summary!$I$2:$AM$7,5,0))</f>
        <v/>
      </c>
      <c r="M20" s="71" t="str">
        <f ca="1">IFERROR(VLOOKUP(L20,fixed_expenses[],2,0),"")</f>
        <v/>
      </c>
      <c r="N20" s="17" t="str">
        <f ca="1">IF(HLOOKUP(N15,Summary!$I$2:$AM$7,5,0)=0,"",HLOOKUP(N15,Summary!$I$2:$AM$7,5,0))</f>
        <v/>
      </c>
      <c r="O20" s="71" t="str">
        <f ca="1">IFERROR(VLOOKUP(N20,fixed_expenses[],2,0),"")</f>
        <v/>
      </c>
      <c r="P20" s="22"/>
    </row>
    <row r="21" spans="1:21" ht="11.25" customHeight="1" x14ac:dyDescent="0.2">
      <c r="B21" s="17" t="str">
        <f ca="1">IF(HLOOKUP(B15,Summary!$I$2:$AM$7,6,0)=0,"",HLOOKUP(B15,Summary!$I$2:$AM$7,6,0))</f>
        <v/>
      </c>
      <c r="C21" s="71" t="str">
        <f ca="1">IFERROR(VLOOKUP(B21,fixed_expenses[],2,0),"")</f>
        <v/>
      </c>
      <c r="D21" s="17" t="str">
        <f ca="1">IF(HLOOKUP(D15,Summary!$I$2:$AM$7,6,0)=0,"",HLOOKUP(D15,Summary!$I$2:$AM$7,6,0))</f>
        <v/>
      </c>
      <c r="E21" s="71" t="str">
        <f ca="1">IFERROR(VLOOKUP(D21,fixed_expenses[],2,0),"")</f>
        <v/>
      </c>
      <c r="F21" s="17" t="str">
        <f ca="1">IF(HLOOKUP(F15,Summary!$I$2:$AM$7,6,0)=0,"",HLOOKUP(F15,Summary!$I$2:$AM$7,6,0))</f>
        <v/>
      </c>
      <c r="G21" s="71" t="str">
        <f ca="1">IFERROR(VLOOKUP(F21,fixed_expenses[],2,0),"")</f>
        <v/>
      </c>
      <c r="H21" s="17" t="str">
        <f ca="1">IF(HLOOKUP(H15,Summary!$I$2:$AM$7,6,0)=0,"",HLOOKUP(H15,Summary!$I$2:$AM$7,6,0))</f>
        <v/>
      </c>
      <c r="I21" s="71" t="str">
        <f ca="1">IFERROR(VLOOKUP(H21,fixed_expenses[],2,0),"")</f>
        <v/>
      </c>
      <c r="J21" s="17" t="str">
        <f ca="1">IF(HLOOKUP(J15,Summary!$I$2:$AM$7,6,0)=0,"",HLOOKUP(J15,Summary!$I$2:$AM$7,6,0))</f>
        <v/>
      </c>
      <c r="K21" s="71" t="str">
        <f ca="1">IFERROR(VLOOKUP(J21,fixed_expenses[],2,0),"")</f>
        <v/>
      </c>
      <c r="L21" s="17" t="str">
        <f ca="1">IF(HLOOKUP(L15,Summary!$I$2:$AM$7,6,0)=0,"",HLOOKUP(L15,Summary!$I$2:$AM$7,6,0))</f>
        <v/>
      </c>
      <c r="M21" s="71" t="str">
        <f ca="1">IFERROR(VLOOKUP(L21,fixed_expenses[],2,0),"")</f>
        <v/>
      </c>
      <c r="N21" s="17" t="str">
        <f ca="1">IF(HLOOKUP(N15,Summary!$I$2:$AM$7,6,0)=0,"",HLOOKUP(N15,Summary!$I$2:$AM$7,6,0))</f>
        <v/>
      </c>
      <c r="O21" s="71" t="str">
        <f ca="1">IFERROR(VLOOKUP(N21,fixed_expenses[],2,0),"")</f>
        <v/>
      </c>
      <c r="P21" s="22"/>
    </row>
    <row r="22" spans="1:21" ht="11.25" customHeight="1" x14ac:dyDescent="0.2">
      <c r="A22" s="43" t="s">
        <v>36</v>
      </c>
      <c r="B22" s="26" t="s">
        <v>8</v>
      </c>
      <c r="C22" s="27">
        <f ca="1">SUM(C17:C21)</f>
        <v>1200</v>
      </c>
      <c r="D22" s="26"/>
      <c r="E22" s="27">
        <f ca="1">SUM(E17:E21)</f>
        <v>0</v>
      </c>
      <c r="F22" s="26"/>
      <c r="G22" s="27">
        <f ca="1">SUM(G17:G21)</f>
        <v>0</v>
      </c>
      <c r="H22" s="26"/>
      <c r="I22" s="27">
        <f ca="1">SUM(I17:I21)</f>
        <v>0</v>
      </c>
      <c r="J22" s="26"/>
      <c r="K22" s="27">
        <f ca="1">SUM(K17:K21)</f>
        <v>0</v>
      </c>
      <c r="L22" s="26"/>
      <c r="M22" s="27">
        <f ca="1">SUM(M17:M21)</f>
        <v>0</v>
      </c>
      <c r="N22" s="26"/>
      <c r="O22" s="28">
        <f ca="1">SUM(O17:O21)</f>
        <v>0</v>
      </c>
      <c r="P22" s="29">
        <f ca="1">SUM(C22,E22,G22,I22,K22,M22,O22)</f>
        <v>1200</v>
      </c>
    </row>
    <row r="23" spans="1:21" ht="11.25" customHeight="1" x14ac:dyDescent="0.2">
      <c r="B23" s="6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6"/>
    </row>
    <row r="24" spans="1:21" ht="15" customHeight="1" x14ac:dyDescent="0.2">
      <c r="A24" s="43" t="s">
        <v>37</v>
      </c>
      <c r="B24" s="12">
        <f ca="1">N15+1</f>
        <v>10</v>
      </c>
      <c r="C24" s="13"/>
      <c r="D24" s="12">
        <f ca="1">B24+1</f>
        <v>11</v>
      </c>
      <c r="E24" s="13"/>
      <c r="F24" s="12">
        <f ca="1">D24+1</f>
        <v>12</v>
      </c>
      <c r="G24" s="13"/>
      <c r="H24" s="12">
        <f ca="1">F24+1</f>
        <v>13</v>
      </c>
      <c r="I24" s="13"/>
      <c r="J24" s="12">
        <f ca="1">H24+1</f>
        <v>14</v>
      </c>
      <c r="K24" s="13"/>
      <c r="L24" s="12">
        <f ca="1">J24+1</f>
        <v>15</v>
      </c>
      <c r="M24" s="13"/>
      <c r="N24" s="12">
        <f ca="1">L24+1</f>
        <v>16</v>
      </c>
      <c r="O24" s="13"/>
      <c r="P24" s="24"/>
    </row>
    <row r="25" spans="1:21" ht="11.25" customHeight="1" x14ac:dyDescent="0.2">
      <c r="A25" s="43" t="s">
        <v>38</v>
      </c>
      <c r="B25" s="37" t="s">
        <v>9</v>
      </c>
      <c r="C25" s="39" t="s">
        <v>10</v>
      </c>
      <c r="D25" s="37" t="s">
        <v>9</v>
      </c>
      <c r="E25" s="39" t="s">
        <v>10</v>
      </c>
      <c r="F25" s="37" t="s">
        <v>9</v>
      </c>
      <c r="G25" s="39" t="s">
        <v>10</v>
      </c>
      <c r="H25" s="37" t="s">
        <v>9</v>
      </c>
      <c r="I25" s="39" t="s">
        <v>10</v>
      </c>
      <c r="J25" s="37" t="s">
        <v>9</v>
      </c>
      <c r="K25" s="39" t="s">
        <v>10</v>
      </c>
      <c r="L25" s="37" t="s">
        <v>9</v>
      </c>
      <c r="M25" s="39" t="s">
        <v>10</v>
      </c>
      <c r="N25" s="37" t="s">
        <v>9</v>
      </c>
      <c r="O25" s="40" t="s">
        <v>10</v>
      </c>
      <c r="P25" s="22"/>
    </row>
    <row r="26" spans="1:21" ht="11.25" customHeight="1" x14ac:dyDescent="0.2">
      <c r="A26" s="43" t="s">
        <v>39</v>
      </c>
      <c r="B26" s="17" t="str">
        <f ca="1">IF(HLOOKUP(B24,Summary!$I$2:$AM$7,2,0)=0,"",HLOOKUP(B24,Summary!$I$2:$AM$7,2,0))</f>
        <v/>
      </c>
      <c r="C26" s="71" t="str">
        <f ca="1">IFERROR(VLOOKUP(B26,fixed_expenses[],2,0),"")</f>
        <v/>
      </c>
      <c r="D26" s="17" t="str">
        <f ca="1">IF(HLOOKUP(D24,Summary!$I$2:$AM$7,2,0)=0,"",HLOOKUP(D24,Summary!$I$2:$AM$7,2,0))</f>
        <v/>
      </c>
      <c r="E26" s="71" t="str">
        <f ca="1">IFERROR(VLOOKUP(D26,fixed_expenses[],2,0),"")</f>
        <v/>
      </c>
      <c r="F26" s="17" t="str">
        <f ca="1">IF(HLOOKUP(F24,Summary!$I$2:$AM$7,2,0)=0,"",HLOOKUP(F24,Summary!$I$2:$AM$7,2,0))</f>
        <v/>
      </c>
      <c r="G26" s="71" t="str">
        <f ca="1">IFERROR(VLOOKUP(F26,fixed_expenses[],2,0),"")</f>
        <v/>
      </c>
      <c r="H26" s="17" t="str">
        <f ca="1">IF(HLOOKUP(H24,Summary!$I$2:$AM$7,2,0)=0,"",HLOOKUP(H24,Summary!$I$2:$AM$7,2,0))</f>
        <v/>
      </c>
      <c r="I26" s="71" t="str">
        <f ca="1">IFERROR(VLOOKUP(H26,fixed_expenses[],2,0),"")</f>
        <v/>
      </c>
      <c r="J26" s="17" t="str">
        <f ca="1">IF(HLOOKUP(J24,Summary!$I$2:$AM$7,2,0)=0,"",HLOOKUP(J24,Summary!$I$2:$AM$7,2,0))</f>
        <v/>
      </c>
      <c r="K26" s="71" t="str">
        <f ca="1">IFERROR(VLOOKUP(J26,fixed_expenses[],2,0),"")</f>
        <v/>
      </c>
      <c r="L26" s="17" t="str">
        <f ca="1">IF(HLOOKUP(L24,Summary!$I$2:$AM$7,2,0)=0,"",HLOOKUP(L24,Summary!$I$2:$AM$7,2,0))</f>
        <v>Paul Phone Bill</v>
      </c>
      <c r="M26" s="71">
        <f ca="1">IFERROR(VLOOKUP(L26,fixed_expenses[],2,0),"")</f>
        <v>60</v>
      </c>
      <c r="N26" s="17" t="str">
        <f ca="1">IF(HLOOKUP(N24,Summary!$I$2:$AM$7,2,0)=0,"",HLOOKUP(N24,Summary!$I$2:$AM$7,2,0))</f>
        <v/>
      </c>
      <c r="O26" s="71" t="str">
        <f ca="1">IFERROR(VLOOKUP(N26,fixed_expenses[],2,0),"")</f>
        <v/>
      </c>
      <c r="P26" s="22"/>
    </row>
    <row r="27" spans="1:21" ht="11.25" customHeight="1" x14ac:dyDescent="0.2">
      <c r="B27" s="17" t="str">
        <f ca="1">IF(HLOOKUP(B24,Summary!$I$2:$AM$7,3,0)=0,"",HLOOKUP(B24,Summary!$I$2:$AM$7,3,0))</f>
        <v/>
      </c>
      <c r="C27" s="71" t="str">
        <f ca="1">IFERROR(VLOOKUP(B27,fixed_expenses[],2,0),"")</f>
        <v/>
      </c>
      <c r="D27" s="17" t="str">
        <f ca="1">IF(HLOOKUP(D24,Summary!$I$2:$AM$7,3,0)=0,"",HLOOKUP(D24,Summary!$I$2:$AM$7,3,0))</f>
        <v/>
      </c>
      <c r="E27" s="71" t="str">
        <f ca="1">IFERROR(VLOOKUP(D27,fixed_expenses[],2,0),"")</f>
        <v/>
      </c>
      <c r="F27" s="17" t="str">
        <f ca="1">IF(HLOOKUP(F24,Summary!$I$2:$AM$7,3,0)=0,"",HLOOKUP(F24,Summary!$I$2:$AM$7,3,0))</f>
        <v/>
      </c>
      <c r="G27" s="71" t="str">
        <f ca="1">IFERROR(VLOOKUP(F27,fixed_expenses[],2,0),"")</f>
        <v/>
      </c>
      <c r="H27" s="17" t="str">
        <f ca="1">IF(HLOOKUP(H24,Summary!$I$2:$AM$7,3,0)=0,"",HLOOKUP(H24,Summary!$I$2:$AM$7,3,0))</f>
        <v/>
      </c>
      <c r="I27" s="71" t="str">
        <f ca="1">IFERROR(VLOOKUP(H27,fixed_expenses[],2,0),"")</f>
        <v/>
      </c>
      <c r="J27" s="17" t="str">
        <f ca="1">IF(HLOOKUP(J24,Summary!$I$2:$AM$7,3,0)=0,"",HLOOKUP(J24,Summary!$I$2:$AM$7,3,0))</f>
        <v/>
      </c>
      <c r="K27" s="71" t="str">
        <f ca="1">IFERROR(VLOOKUP(J27,fixed_expenses[],2,0),"")</f>
        <v/>
      </c>
      <c r="L27" s="17" t="str">
        <f ca="1">IF(HLOOKUP(L24,Summary!$I$2:$AM$7,3,0)=0,"",HLOOKUP(L24,Summary!$I$2:$AM$7,3,0))</f>
        <v>Electric</v>
      </c>
      <c r="M27" s="71">
        <f ca="1">IFERROR(VLOOKUP(L27,fixed_expenses[],2,0),"")</f>
        <v>50</v>
      </c>
      <c r="N27" s="17" t="str">
        <f ca="1">IF(HLOOKUP(N24,Summary!$I$2:$AM$7,3,0)=0,"",HLOOKUP(N24,Summary!$I$2:$AM$7,3,0))</f>
        <v/>
      </c>
      <c r="O27" s="71" t="str">
        <f ca="1">IFERROR(VLOOKUP(N27,fixed_expenses[],2,0),"")</f>
        <v/>
      </c>
      <c r="P27" s="22"/>
    </row>
    <row r="28" spans="1:21" ht="11.25" customHeight="1" x14ac:dyDescent="0.2">
      <c r="B28" s="17" t="str">
        <f ca="1">IF(HLOOKUP(B24,Summary!$I$2:$AM$7,4,0)=0,"",HLOOKUP(B24,Summary!$I$2:$AM$7,4,0))</f>
        <v/>
      </c>
      <c r="C28" s="71" t="str">
        <f ca="1">IFERROR(VLOOKUP(B28,fixed_expenses[],2,0),"")</f>
        <v/>
      </c>
      <c r="D28" s="17" t="str">
        <f ca="1">IF(HLOOKUP(D24,Summary!$I$2:$AM$7,4,0)=0,"",HLOOKUP(D24,Summary!$I$2:$AM$7,4,0))</f>
        <v/>
      </c>
      <c r="E28" s="71" t="str">
        <f ca="1">IFERROR(VLOOKUP(D28,fixed_expenses[],2,0),"")</f>
        <v/>
      </c>
      <c r="F28" s="17" t="str">
        <f ca="1">IF(HLOOKUP(F24,Summary!$I$2:$AM$7,4,0)=0,"",HLOOKUP(F24,Summary!$I$2:$AM$7,4,0))</f>
        <v/>
      </c>
      <c r="G28" s="71" t="str">
        <f ca="1">IFERROR(VLOOKUP(F28,fixed_expenses[],2,0),"")</f>
        <v/>
      </c>
      <c r="H28" s="17" t="str">
        <f ca="1">IF(HLOOKUP(H24,Summary!$I$2:$AM$7,4,0)=0,"",HLOOKUP(H24,Summary!$I$2:$AM$7,4,0))</f>
        <v/>
      </c>
      <c r="I28" s="71" t="str">
        <f ca="1">IFERROR(VLOOKUP(H28,fixed_expenses[],2,0),"")</f>
        <v/>
      </c>
      <c r="J28" s="17" t="str">
        <f ca="1">IF(HLOOKUP(J24,Summary!$I$2:$AM$7,4,0)=0,"",HLOOKUP(J24,Summary!$I$2:$AM$7,4,0))</f>
        <v/>
      </c>
      <c r="K28" s="71" t="str">
        <f ca="1">IFERROR(VLOOKUP(J28,fixed_expenses[],2,0),"")</f>
        <v/>
      </c>
      <c r="L28" s="17" t="str">
        <f ca="1">IF(HLOOKUP(L24,Summary!$I$2:$AM$7,4,0)=0,"",HLOOKUP(L24,Summary!$I$2:$AM$7,4,0))</f>
        <v/>
      </c>
      <c r="M28" s="71" t="str">
        <f ca="1">IFERROR(VLOOKUP(L28,fixed_expenses[],2,0),"")</f>
        <v/>
      </c>
      <c r="N28" s="17" t="str">
        <f ca="1">IF(HLOOKUP(N24,Summary!$I$2:$AM$7,4,0)=0,"",HLOOKUP(N24,Summary!$I$2:$AM$7,4,0))</f>
        <v/>
      </c>
      <c r="O28" s="71" t="str">
        <f ca="1">IFERROR(VLOOKUP(N28,fixed_expenses[],2,0),"")</f>
        <v/>
      </c>
      <c r="P28" s="22"/>
    </row>
    <row r="29" spans="1:21" ht="11.25" customHeight="1" x14ac:dyDescent="0.2">
      <c r="B29" s="17" t="str">
        <f ca="1">IF(HLOOKUP(B24,Summary!$I$2:$AM$7,5,0)=0,"",HLOOKUP(B24,Summary!$I$2:$AM$7,5,0))</f>
        <v/>
      </c>
      <c r="C29" s="71" t="str">
        <f ca="1">IFERROR(VLOOKUP(B29,fixed_expenses[],2,0),"")</f>
        <v/>
      </c>
      <c r="D29" s="17" t="str">
        <f ca="1">IF(HLOOKUP(D24,Summary!$I$2:$AM$7,5,0)=0,"",HLOOKUP(D24,Summary!$I$2:$AM$7,5,0))</f>
        <v/>
      </c>
      <c r="E29" s="71" t="str">
        <f ca="1">IFERROR(VLOOKUP(D29,fixed_expenses[],2,0),"")</f>
        <v/>
      </c>
      <c r="F29" s="17" t="str">
        <f ca="1">IF(HLOOKUP(F24,Summary!$I$2:$AM$7,5,0)=0,"",HLOOKUP(F24,Summary!$I$2:$AM$7,5,0))</f>
        <v/>
      </c>
      <c r="G29" s="71" t="str">
        <f ca="1">IFERROR(VLOOKUP(F29,fixed_expenses[],2,0),"")</f>
        <v/>
      </c>
      <c r="H29" s="17" t="str">
        <f ca="1">IF(HLOOKUP(H24,Summary!$I$2:$AM$7,5,0)=0,"",HLOOKUP(H24,Summary!$I$2:$AM$7,5,0))</f>
        <v/>
      </c>
      <c r="I29" s="71" t="str">
        <f ca="1">IFERROR(VLOOKUP(H29,fixed_expenses[],2,0),"")</f>
        <v/>
      </c>
      <c r="J29" s="17" t="str">
        <f ca="1">IF(HLOOKUP(J24,Summary!$I$2:$AM$7,5,0)=0,"",HLOOKUP(J24,Summary!$I$2:$AM$7,5,0))</f>
        <v/>
      </c>
      <c r="K29" s="71" t="str">
        <f ca="1">IFERROR(VLOOKUP(J29,fixed_expenses[],2,0),"")</f>
        <v/>
      </c>
      <c r="L29" s="17" t="str">
        <f ca="1">IF(HLOOKUP(L24,Summary!$I$2:$AM$7,5,0)=0,"",HLOOKUP(L24,Summary!$I$2:$AM$7,5,0))</f>
        <v/>
      </c>
      <c r="M29" s="71" t="str">
        <f ca="1">IFERROR(VLOOKUP(L29,fixed_expenses[],2,0),"")</f>
        <v/>
      </c>
      <c r="N29" s="17" t="str">
        <f ca="1">IF(HLOOKUP(N24,Summary!$I$2:$AM$7,5,0)=0,"",HLOOKUP(N24,Summary!$I$2:$AM$7,5,0))</f>
        <v/>
      </c>
      <c r="O29" s="71" t="str">
        <f ca="1">IFERROR(VLOOKUP(N29,fixed_expenses[],2,0),"")</f>
        <v/>
      </c>
      <c r="P29" s="22"/>
    </row>
    <row r="30" spans="1:21" ht="11.25" customHeight="1" x14ac:dyDescent="0.2">
      <c r="B30" s="17" t="str">
        <f ca="1">IF(HLOOKUP(B24,Summary!$I$2:$AM$7,6,0)=0,"",HLOOKUP(B24,Summary!$I$2:$AM$7,6,0))</f>
        <v/>
      </c>
      <c r="C30" s="71" t="str">
        <f ca="1">IFERROR(VLOOKUP(B30,fixed_expenses[],2,0),"")</f>
        <v/>
      </c>
      <c r="D30" s="17" t="str">
        <f ca="1">IF(HLOOKUP(D24,Summary!$I$2:$AM$7,6,0)=0,"",HLOOKUP(D24,Summary!$I$2:$AM$7,6,0))</f>
        <v/>
      </c>
      <c r="E30" s="71" t="str">
        <f ca="1">IFERROR(VLOOKUP(D30,fixed_expenses[],2,0),"")</f>
        <v/>
      </c>
      <c r="F30" s="17" t="str">
        <f ca="1">IF(HLOOKUP(F24,Summary!$I$2:$AM$7,6,0)=0,"",HLOOKUP(F24,Summary!$I$2:$AM$7,6,0))</f>
        <v/>
      </c>
      <c r="G30" s="71" t="str">
        <f ca="1">IFERROR(VLOOKUP(F30,fixed_expenses[],2,0),"")</f>
        <v/>
      </c>
      <c r="H30" s="17" t="str">
        <f ca="1">IF(HLOOKUP(H24,Summary!$I$2:$AM$7,6,0)=0,"",HLOOKUP(H24,Summary!$I$2:$AM$7,6,0))</f>
        <v/>
      </c>
      <c r="I30" s="71" t="str">
        <f ca="1">IFERROR(VLOOKUP(H30,fixed_expenses[],2,0),"")</f>
        <v/>
      </c>
      <c r="J30" s="17" t="str">
        <f ca="1">IF(HLOOKUP(J24,Summary!$I$2:$AM$7,6,0)=0,"",HLOOKUP(J24,Summary!$I$2:$AM$7,6,0))</f>
        <v/>
      </c>
      <c r="K30" s="71" t="str">
        <f ca="1">IFERROR(VLOOKUP(J30,fixed_expenses[],2,0),"")</f>
        <v/>
      </c>
      <c r="L30" s="17" t="str">
        <f ca="1">IF(HLOOKUP(L24,Summary!$I$2:$AM$7,6,0)=0,"",HLOOKUP(L24,Summary!$I$2:$AM$7,6,0))</f>
        <v/>
      </c>
      <c r="M30" s="71" t="str">
        <f ca="1">IFERROR(VLOOKUP(L30,fixed_expenses[],2,0),"")</f>
        <v/>
      </c>
      <c r="N30" s="17" t="str">
        <f ca="1">IF(HLOOKUP(N24,Summary!$I$2:$AM$7,6,0)=0,"",HLOOKUP(N24,Summary!$I$2:$AM$7,6,0))</f>
        <v/>
      </c>
      <c r="O30" s="71" t="str">
        <f ca="1">IFERROR(VLOOKUP(N30,fixed_expenses[],2,0),"")</f>
        <v/>
      </c>
      <c r="P30" s="22"/>
    </row>
    <row r="31" spans="1:21" ht="11.25" customHeight="1" x14ac:dyDescent="0.2">
      <c r="A31" s="43" t="s">
        <v>40</v>
      </c>
      <c r="B31" s="30" t="s">
        <v>8</v>
      </c>
      <c r="C31" s="27">
        <f ca="1">SUM(C26:C30)</f>
        <v>0</v>
      </c>
      <c r="D31" s="26"/>
      <c r="E31" s="27">
        <f ca="1">SUM(E26:E30)</f>
        <v>0</v>
      </c>
      <c r="F31" s="26"/>
      <c r="G31" s="27">
        <f ca="1">SUM(G26:G30)</f>
        <v>0</v>
      </c>
      <c r="H31" s="26"/>
      <c r="I31" s="27">
        <f ca="1">SUM(I26:I30)</f>
        <v>0</v>
      </c>
      <c r="J31" s="26"/>
      <c r="K31" s="27">
        <f ca="1">SUM(K26:K30)</f>
        <v>0</v>
      </c>
      <c r="L31" s="26"/>
      <c r="M31" s="27">
        <f ca="1">SUM(M26:M30)</f>
        <v>110</v>
      </c>
      <c r="N31" s="26"/>
      <c r="O31" s="28">
        <f ca="1">SUM(O26:O30)</f>
        <v>0</v>
      </c>
      <c r="P31" s="29">
        <f ca="1">SUM(C31,E31,G31,I31,K31,M31,O31)</f>
        <v>110</v>
      </c>
    </row>
    <row r="32" spans="1:21" ht="11.25" customHeight="1" x14ac:dyDescent="0.2">
      <c r="B32" s="6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6"/>
    </row>
    <row r="33" spans="1:16" ht="15" customHeight="1" x14ac:dyDescent="0.2">
      <c r="A33" s="43" t="s">
        <v>41</v>
      </c>
      <c r="B33" s="12">
        <f ca="1">N24+1</f>
        <v>17</v>
      </c>
      <c r="C33" s="13"/>
      <c r="D33" s="12">
        <f ca="1">B33+1</f>
        <v>18</v>
      </c>
      <c r="E33" s="13"/>
      <c r="F33" s="12">
        <f ca="1">D33+1</f>
        <v>19</v>
      </c>
      <c r="G33" s="13"/>
      <c r="H33" s="12">
        <f ca="1">F33+1</f>
        <v>20</v>
      </c>
      <c r="I33" s="13"/>
      <c r="J33" s="12">
        <f ca="1">H33+1</f>
        <v>21</v>
      </c>
      <c r="K33" s="13"/>
      <c r="L33" s="12">
        <f ca="1">J33+1</f>
        <v>22</v>
      </c>
      <c r="M33" s="13"/>
      <c r="N33" s="12">
        <f ca="1">L33+1</f>
        <v>23</v>
      </c>
      <c r="O33" s="13"/>
      <c r="P33" s="24"/>
    </row>
    <row r="34" spans="1:16" ht="11.25" customHeight="1" x14ac:dyDescent="0.2">
      <c r="A34" s="43" t="s">
        <v>42</v>
      </c>
      <c r="B34" s="37" t="s">
        <v>9</v>
      </c>
      <c r="C34" s="39" t="s">
        <v>10</v>
      </c>
      <c r="D34" s="37" t="s">
        <v>9</v>
      </c>
      <c r="E34" s="39" t="s">
        <v>10</v>
      </c>
      <c r="F34" s="37" t="s">
        <v>9</v>
      </c>
      <c r="G34" s="39" t="s">
        <v>10</v>
      </c>
      <c r="H34" s="37" t="s">
        <v>9</v>
      </c>
      <c r="I34" s="39" t="s">
        <v>10</v>
      </c>
      <c r="J34" s="37" t="s">
        <v>9</v>
      </c>
      <c r="K34" s="39" t="s">
        <v>10</v>
      </c>
      <c r="L34" s="37" t="s">
        <v>9</v>
      </c>
      <c r="M34" s="39" t="s">
        <v>10</v>
      </c>
      <c r="N34" s="37" t="s">
        <v>9</v>
      </c>
      <c r="O34" s="40" t="s">
        <v>10</v>
      </c>
      <c r="P34" s="22"/>
    </row>
    <row r="35" spans="1:16" ht="11.25" customHeight="1" x14ac:dyDescent="0.2">
      <c r="A35" s="43" t="s">
        <v>43</v>
      </c>
      <c r="B35" s="17" t="str">
        <f ca="1">IF(HLOOKUP(B33,Summary!$I$2:$AM$7,2,0)=0,"",HLOOKUP(B33,Summary!$I$2:$AM$7,2,0))</f>
        <v/>
      </c>
      <c r="C35" s="71" t="str">
        <f ca="1">IFERROR(VLOOKUP(B35,fixed_expenses[],2,0),"")</f>
        <v/>
      </c>
      <c r="D35" s="17" t="str">
        <f ca="1">IF(HLOOKUP(D33,Summary!$I$2:$AM$7,2,0)=0,"",HLOOKUP(D33,Summary!$I$2:$AM$7,2,0))</f>
        <v/>
      </c>
      <c r="E35" s="71" t="str">
        <f ca="1">IFERROR(VLOOKUP(D35,fixed_expenses[],2,0),"")</f>
        <v/>
      </c>
      <c r="F35" s="17" t="str">
        <f ca="1">IF(HLOOKUP(F33,Summary!$I$2:$AM$7,2,0)=0,"",HLOOKUP(F33,Summary!$I$2:$AM$7,2,0))</f>
        <v/>
      </c>
      <c r="G35" s="71" t="str">
        <f ca="1">IFERROR(VLOOKUP(F35,fixed_expenses[],2,0),"")</f>
        <v/>
      </c>
      <c r="H35" s="17" t="str">
        <f ca="1">IF(HLOOKUP(H33,Summary!$I$2:$AM$7,2,0)=0,"",HLOOKUP(H33,Summary!$I$2:$AM$7,2,0))</f>
        <v>Lynn Phone Bill</v>
      </c>
      <c r="I35" s="71" t="str">
        <f ca="1">IFERROR(VLOOKUP(H35,fixed_expenses[],2,0),"")</f>
        <v/>
      </c>
      <c r="J35" s="17" t="str">
        <f ca="1">IF(HLOOKUP(J33,Summary!$I$2:$AM$7,2,0)=0,"",HLOOKUP(J33,Summary!$I$2:$AM$7,2,0))</f>
        <v/>
      </c>
      <c r="K35" s="71" t="str">
        <f ca="1">IFERROR(VLOOKUP(J35,fixed_expenses[],2,0),"")</f>
        <v/>
      </c>
      <c r="L35" s="17" t="str">
        <f ca="1">IF(HLOOKUP(L33,Summary!$I$2:$AM$7,2,0)=0,"",HLOOKUP(L33,Summary!$I$2:$AM$7,2,0))</f>
        <v/>
      </c>
      <c r="M35" s="71" t="str">
        <f ca="1">IFERROR(VLOOKUP(L35,fixed_expenses[],2,0),"")</f>
        <v/>
      </c>
      <c r="N35" s="17" t="str">
        <f ca="1">IF(HLOOKUP(N33,Summary!$I$2:$AM$7,2,0)=0,"",HLOOKUP(N33,Summary!$I$2:$AM$7,2,0))</f>
        <v/>
      </c>
      <c r="O35" s="71" t="str">
        <f ca="1">IFERROR(VLOOKUP(N35,fixed_expenses[],2,0),"")</f>
        <v/>
      </c>
      <c r="P35" s="22"/>
    </row>
    <row r="36" spans="1:16" ht="11.25" customHeight="1" x14ac:dyDescent="0.2">
      <c r="B36" s="17" t="str">
        <f ca="1">IF(HLOOKUP(B33,Summary!$I$2:$AM$7,3,0)=0,"",HLOOKUP(B33,Summary!$I$2:$AM$7,3,0))</f>
        <v/>
      </c>
      <c r="C36" s="71" t="str">
        <f ca="1">IFERROR(VLOOKUP(B36,fixed_expenses[],2,0),"")</f>
        <v/>
      </c>
      <c r="D36" s="17" t="str">
        <f ca="1">IF(HLOOKUP(D33,Summary!$I$2:$AM$7,3,0)=0,"",HLOOKUP(D33,Summary!$I$2:$AM$7,3,0))</f>
        <v/>
      </c>
      <c r="E36" s="71" t="str">
        <f ca="1">IFERROR(VLOOKUP(D36,fixed_expenses[],2,0),"")</f>
        <v/>
      </c>
      <c r="F36" s="17" t="str">
        <f ca="1">IF(HLOOKUP(F33,Summary!$I$2:$AM$7,3,0)=0,"",HLOOKUP(F33,Summary!$I$2:$AM$7,3,0))</f>
        <v/>
      </c>
      <c r="G36" s="71" t="str">
        <f ca="1">IFERROR(VLOOKUP(F36,fixed_expenses[],2,0),"")</f>
        <v/>
      </c>
      <c r="H36" s="17" t="str">
        <f ca="1">IF(HLOOKUP(H33,Summary!$I$2:$AM$7,3,0)=0,"",HLOOKUP(H33,Summary!$I$2:$AM$7,3,0))</f>
        <v/>
      </c>
      <c r="I36" s="71" t="str">
        <f ca="1">IFERROR(VLOOKUP(H36,fixed_expenses[],2,0),"")</f>
        <v/>
      </c>
      <c r="J36" s="17" t="str">
        <f ca="1">IF(HLOOKUP(J33,Summary!$I$2:$AM$7,3,0)=0,"",HLOOKUP(J33,Summary!$I$2:$AM$7,3,0))</f>
        <v/>
      </c>
      <c r="K36" s="71" t="str">
        <f ca="1">IFERROR(VLOOKUP(J36,fixed_expenses[],2,0),"")</f>
        <v/>
      </c>
      <c r="L36" s="17" t="str">
        <f ca="1">IF(HLOOKUP(L33,Summary!$I$2:$AM$7,3,0)=0,"",HLOOKUP(L33,Summary!$I$2:$AM$7,3,0))</f>
        <v/>
      </c>
      <c r="M36" s="71" t="str">
        <f ca="1">IFERROR(VLOOKUP(L36,fixed_expenses[],2,0),"")</f>
        <v/>
      </c>
      <c r="N36" s="17" t="str">
        <f ca="1">IF(HLOOKUP(N33,Summary!$I$2:$AM$7,3,0)=0,"",HLOOKUP(N33,Summary!$I$2:$AM$7,3,0))</f>
        <v/>
      </c>
      <c r="O36" s="71" t="str">
        <f ca="1">IFERROR(VLOOKUP(N36,fixed_expenses[],2,0),"")</f>
        <v/>
      </c>
      <c r="P36" s="22"/>
    </row>
    <row r="37" spans="1:16" ht="11.25" customHeight="1" x14ac:dyDescent="0.2">
      <c r="B37" s="17" t="str">
        <f ca="1">IF(HLOOKUP(B33,Summary!$I$2:$AM$7,4,0)=0,"",HLOOKUP(B33,Summary!$I$2:$AM$7,4,0))</f>
        <v/>
      </c>
      <c r="C37" s="71" t="str">
        <f ca="1">IFERROR(VLOOKUP(B37,fixed_expenses[],2,0),"")</f>
        <v/>
      </c>
      <c r="D37" s="17" t="str">
        <f ca="1">IF(HLOOKUP(D33,Summary!$I$2:$AM$7,4,0)=0,"",HLOOKUP(D33,Summary!$I$2:$AM$7,4,0))</f>
        <v/>
      </c>
      <c r="E37" s="71" t="str">
        <f ca="1">IFERROR(VLOOKUP(D37,fixed_expenses[],2,0),"")</f>
        <v/>
      </c>
      <c r="F37" s="17" t="str">
        <f ca="1">IF(HLOOKUP(F33,Summary!$I$2:$AM$7,4,0)=0,"",HLOOKUP(F33,Summary!$I$2:$AM$7,4,0))</f>
        <v/>
      </c>
      <c r="G37" s="71" t="str">
        <f ca="1">IFERROR(VLOOKUP(F37,fixed_expenses[],2,0),"")</f>
        <v/>
      </c>
      <c r="H37" s="17" t="str">
        <f ca="1">IF(HLOOKUP(H33,Summary!$I$2:$AM$7,4,0)=0,"",HLOOKUP(H33,Summary!$I$2:$AM$7,4,0))</f>
        <v/>
      </c>
      <c r="I37" s="71" t="str">
        <f ca="1">IFERROR(VLOOKUP(H37,fixed_expenses[],2,0),"")</f>
        <v/>
      </c>
      <c r="J37" s="17" t="str">
        <f ca="1">IF(HLOOKUP(J33,Summary!$I$2:$AM$7,4,0)=0,"",HLOOKUP(J33,Summary!$I$2:$AM$7,4,0))</f>
        <v/>
      </c>
      <c r="K37" s="71" t="str">
        <f ca="1">IFERROR(VLOOKUP(J37,fixed_expenses[],2,0),"")</f>
        <v/>
      </c>
      <c r="L37" s="17" t="str">
        <f ca="1">IF(HLOOKUP(L33,Summary!$I$2:$AM$7,4,0)=0,"",HLOOKUP(L33,Summary!$I$2:$AM$7,4,0))</f>
        <v/>
      </c>
      <c r="M37" s="71" t="str">
        <f ca="1">IFERROR(VLOOKUP(L37,fixed_expenses[],2,0),"")</f>
        <v/>
      </c>
      <c r="N37" s="17" t="str">
        <f ca="1">IF(HLOOKUP(N33,Summary!$I$2:$AM$7,4,0)=0,"",HLOOKUP(N33,Summary!$I$2:$AM$7,4,0))</f>
        <v/>
      </c>
      <c r="O37" s="71" t="str">
        <f ca="1">IFERROR(VLOOKUP(N37,fixed_expenses[],2,0),"")</f>
        <v/>
      </c>
      <c r="P37" s="22"/>
    </row>
    <row r="38" spans="1:16" ht="11.25" customHeight="1" x14ac:dyDescent="0.2">
      <c r="B38" s="17" t="str">
        <f ca="1">IF(HLOOKUP(B33,Summary!$I$2:$AM$7,5,0)=0,"",HLOOKUP(B33,Summary!$I$2:$AM$7,5,0))</f>
        <v/>
      </c>
      <c r="C38" s="71" t="str">
        <f ca="1">IFERROR(VLOOKUP(B38,fixed_expenses[],2,0),"")</f>
        <v/>
      </c>
      <c r="D38" s="17" t="str">
        <f ca="1">IF(HLOOKUP(D33,Summary!$I$2:$AM$7,5,0)=0,"",HLOOKUP(D33,Summary!$I$2:$AM$7,5,0))</f>
        <v/>
      </c>
      <c r="E38" s="71" t="str">
        <f ca="1">IFERROR(VLOOKUP(D38,fixed_expenses[],2,0),"")</f>
        <v/>
      </c>
      <c r="F38" s="17" t="str">
        <f ca="1">IF(HLOOKUP(F33,Summary!$I$2:$AM$7,5,0)=0,"",HLOOKUP(F33,Summary!$I$2:$AM$7,5,0))</f>
        <v/>
      </c>
      <c r="G38" s="71" t="str">
        <f ca="1">IFERROR(VLOOKUP(F38,fixed_expenses[],2,0),"")</f>
        <v/>
      </c>
      <c r="H38" s="17" t="str">
        <f ca="1">IF(HLOOKUP(H33,Summary!$I$2:$AM$7,5,0)=0,"",HLOOKUP(H33,Summary!$I$2:$AM$7,5,0))</f>
        <v/>
      </c>
      <c r="I38" s="71" t="str">
        <f ca="1">IFERROR(VLOOKUP(H38,fixed_expenses[],2,0),"")</f>
        <v/>
      </c>
      <c r="J38" s="17" t="str">
        <f ca="1">IF(HLOOKUP(J33,Summary!$I$2:$AM$7,5,0)=0,"",HLOOKUP(J33,Summary!$I$2:$AM$7,5,0))</f>
        <v/>
      </c>
      <c r="K38" s="71" t="str">
        <f ca="1">IFERROR(VLOOKUP(J38,fixed_expenses[],2,0),"")</f>
        <v/>
      </c>
      <c r="L38" s="17" t="str">
        <f ca="1">IF(HLOOKUP(L33,Summary!$I$2:$AM$7,5,0)=0,"",HLOOKUP(L33,Summary!$I$2:$AM$7,5,0))</f>
        <v/>
      </c>
      <c r="M38" s="71" t="str">
        <f ca="1">IFERROR(VLOOKUP(L38,fixed_expenses[],2,0),"")</f>
        <v/>
      </c>
      <c r="N38" s="17" t="str">
        <f ca="1">IF(HLOOKUP(N33,Summary!$I$2:$AM$7,5,0)=0,"",HLOOKUP(N33,Summary!$I$2:$AM$7,5,0))</f>
        <v/>
      </c>
      <c r="O38" s="71" t="str">
        <f ca="1">IFERROR(VLOOKUP(N38,fixed_expenses[],2,0),"")</f>
        <v/>
      </c>
      <c r="P38" s="22"/>
    </row>
    <row r="39" spans="1:16" ht="11.25" customHeight="1" x14ac:dyDescent="0.2">
      <c r="B39" s="17" t="str">
        <f ca="1">IF(HLOOKUP(B33,Summary!$I$2:$AM$7,6,0)=0,"",HLOOKUP(B33,Summary!$I$2:$AM$7,6,0))</f>
        <v/>
      </c>
      <c r="C39" s="71" t="str">
        <f ca="1">IFERROR(VLOOKUP(B39,fixed_expenses[],2,0),"")</f>
        <v/>
      </c>
      <c r="D39" s="17" t="str">
        <f ca="1">IF(HLOOKUP(D33,Summary!$I$2:$AM$7,6,0)=0,"",HLOOKUP(D33,Summary!$I$2:$AM$7,6,0))</f>
        <v/>
      </c>
      <c r="E39" s="71" t="str">
        <f ca="1">IFERROR(VLOOKUP(D39,fixed_expenses[],2,0),"")</f>
        <v/>
      </c>
      <c r="F39" s="17" t="str">
        <f ca="1">IF(HLOOKUP(F33,Summary!$I$2:$AM$7,6,0)=0,"",HLOOKUP(F33,Summary!$I$2:$AM$7,6,0))</f>
        <v/>
      </c>
      <c r="G39" s="71" t="str">
        <f ca="1">IFERROR(VLOOKUP(F39,fixed_expenses[],2,0),"")</f>
        <v/>
      </c>
      <c r="H39" s="17" t="str">
        <f ca="1">IF(HLOOKUP(H33,Summary!$I$2:$AM$7,6,0)=0,"",HLOOKUP(H33,Summary!$I$2:$AM$7,6,0))</f>
        <v/>
      </c>
      <c r="I39" s="71" t="str">
        <f ca="1">IFERROR(VLOOKUP(H39,fixed_expenses[],2,0),"")</f>
        <v/>
      </c>
      <c r="J39" s="17" t="str">
        <f ca="1">IF(HLOOKUP(J33,Summary!$I$2:$AM$7,6,0)=0,"",HLOOKUP(J33,Summary!$I$2:$AM$7,6,0))</f>
        <v/>
      </c>
      <c r="K39" s="71" t="str">
        <f ca="1">IFERROR(VLOOKUP(J39,fixed_expenses[],2,0),"")</f>
        <v/>
      </c>
      <c r="L39" s="17" t="str">
        <f ca="1">IF(HLOOKUP(L33,Summary!$I$2:$AM$7,6,0)=0,"",HLOOKUP(L33,Summary!$I$2:$AM$7,6,0))</f>
        <v/>
      </c>
      <c r="M39" s="71" t="str">
        <f ca="1">IFERROR(VLOOKUP(L39,fixed_expenses[],2,0),"")</f>
        <v/>
      </c>
      <c r="N39" s="17" t="str">
        <f ca="1">IF(HLOOKUP(N33,Summary!$I$2:$AM$7,6,0)=0,"",HLOOKUP(N33,Summary!$I$2:$AM$7,6,0))</f>
        <v/>
      </c>
      <c r="O39" s="71" t="str">
        <f ca="1">IFERROR(VLOOKUP(N39,fixed_expenses[],2,0),"")</f>
        <v/>
      </c>
      <c r="P39" s="22"/>
    </row>
    <row r="40" spans="1:16" ht="11.25" customHeight="1" x14ac:dyDescent="0.2">
      <c r="A40" s="43" t="s">
        <v>44</v>
      </c>
      <c r="B40" s="26" t="s">
        <v>8</v>
      </c>
      <c r="C40" s="27">
        <f ca="1">SUM(C35:C39)</f>
        <v>0</v>
      </c>
      <c r="D40" s="26"/>
      <c r="E40" s="27">
        <f ca="1">SUM(E35:E39)</f>
        <v>0</v>
      </c>
      <c r="F40" s="26"/>
      <c r="G40" s="27">
        <f ca="1">SUM(G35:G39)</f>
        <v>0</v>
      </c>
      <c r="H40" s="26"/>
      <c r="I40" s="27">
        <f ca="1">SUM(I35:I39)</f>
        <v>0</v>
      </c>
      <c r="J40" s="26"/>
      <c r="K40" s="27">
        <f ca="1">SUM(K35:K39)</f>
        <v>0</v>
      </c>
      <c r="L40" s="26"/>
      <c r="M40" s="27">
        <f ca="1">SUM(M35:M39)</f>
        <v>0</v>
      </c>
      <c r="N40" s="26"/>
      <c r="O40" s="28">
        <f ca="1">SUM(O35:O39)</f>
        <v>0</v>
      </c>
      <c r="P40" s="29">
        <f ca="1">SUM(C40,E40,G40,I40,K40,M40,O40)</f>
        <v>0</v>
      </c>
    </row>
    <row r="41" spans="1:16" ht="11.25" customHeight="1" x14ac:dyDescent="0.2">
      <c r="B41" s="6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6"/>
    </row>
    <row r="42" spans="1:16" ht="15" customHeight="1" x14ac:dyDescent="0.2">
      <c r="A42" s="43" t="s">
        <v>45</v>
      </c>
      <c r="B42" s="12">
        <f ca="1">DAY(IF(DAY(JanSun1)=1,JanSun1+22,JanSun1+29))</f>
        <v>24</v>
      </c>
      <c r="C42" s="13"/>
      <c r="D42" s="12">
        <f ca="1">DAY(IF(DAY(JanSun1)=1,JanSun1+23,JanSun1+30))</f>
        <v>25</v>
      </c>
      <c r="E42" s="13"/>
      <c r="F42" s="12">
        <f ca="1">DAY(IF(DAY(JanSun1)=1,JanSun1+24,JanSun1+31))</f>
        <v>26</v>
      </c>
      <c r="G42" s="13"/>
      <c r="H42" s="12">
        <f ca="1">DAY(IF(DAY(JanSun1)=1,JanSun1+25,JanSun1+32))</f>
        <v>27</v>
      </c>
      <c r="I42" s="13"/>
      <c r="J42" s="12">
        <f ca="1">DAY(IF(DAY(JanSun1)=1,JanSun1+26,JanSun1+33))</f>
        <v>28</v>
      </c>
      <c r="K42" s="13"/>
      <c r="L42" s="12">
        <f ca="1">DAY(IF(DAY(JanSun1)=1,JanSun1+27,JanSun1+34))</f>
        <v>29</v>
      </c>
      <c r="M42" s="13"/>
      <c r="N42" s="12">
        <f ca="1">DAY(IF(DAY(JanSun1)=1,JanSun1+28,JanSun1+35))</f>
        <v>30</v>
      </c>
      <c r="O42" s="13"/>
      <c r="P42" s="25"/>
    </row>
    <row r="43" spans="1:16" ht="11.25" customHeight="1" x14ac:dyDescent="0.2">
      <c r="A43" s="43" t="s">
        <v>46</v>
      </c>
      <c r="B43" s="37" t="s">
        <v>9</v>
      </c>
      <c r="C43" s="39" t="s">
        <v>10</v>
      </c>
      <c r="D43" s="37" t="s">
        <v>9</v>
      </c>
      <c r="E43" s="39" t="s">
        <v>10</v>
      </c>
      <c r="F43" s="37" t="s">
        <v>9</v>
      </c>
      <c r="G43" s="39" t="s">
        <v>10</v>
      </c>
      <c r="H43" s="37" t="s">
        <v>9</v>
      </c>
      <c r="I43" s="39" t="s">
        <v>10</v>
      </c>
      <c r="J43" s="37" t="s">
        <v>9</v>
      </c>
      <c r="K43" s="39" t="s">
        <v>10</v>
      </c>
      <c r="L43" s="37" t="s">
        <v>9</v>
      </c>
      <c r="M43" s="39" t="s">
        <v>10</v>
      </c>
      <c r="N43" s="37" t="s">
        <v>9</v>
      </c>
      <c r="O43" s="40" t="s">
        <v>10</v>
      </c>
      <c r="P43" s="22"/>
    </row>
    <row r="44" spans="1:16" ht="11.25" customHeight="1" x14ac:dyDescent="0.2">
      <c r="A44" s="43" t="s">
        <v>47</v>
      </c>
      <c r="B44" s="17" t="str">
        <f ca="1">IF(HLOOKUP(B42,Summary!$I$2:$AM$7,2,0)=0,"",HLOOKUP(B42,Summary!$I$2:$AM$7,2,0))</f>
        <v/>
      </c>
      <c r="C44" s="71" t="str">
        <f ca="1">IFERROR(VLOOKUP(B44,fixed_expenses[],2,0),"")</f>
        <v/>
      </c>
      <c r="D44" s="17" t="str">
        <f ca="1">IF(HLOOKUP(D42,Summary!$I$2:$AM$7,2,0)=0,"",HLOOKUP(D42,Summary!$I$2:$AM$7,2,0))</f>
        <v/>
      </c>
      <c r="E44" s="71" t="str">
        <f ca="1">IFERROR(VLOOKUP(D44,fixed_expenses[],2,0),"")</f>
        <v/>
      </c>
      <c r="F44" s="17" t="str">
        <f ca="1">IF(HLOOKUP(F42,Summary!$I$2:$AM$7,2,0)=0,"",HLOOKUP(F42,Summary!$I$2:$AM$7,2,0))</f>
        <v/>
      </c>
      <c r="G44" s="71" t="str">
        <f ca="1">IFERROR(VLOOKUP(F44,fixed_expenses[],2,0),"")</f>
        <v/>
      </c>
      <c r="H44" s="17" t="str">
        <f ca="1">IF(HLOOKUP(H42,Summary!$I$2:$AM$7,2,0)=0,"",HLOOKUP(H42,Summary!$I$2:$AM$7,2,0))</f>
        <v/>
      </c>
      <c r="I44" s="71" t="str">
        <f ca="1">IFERROR(VLOOKUP(H44,fixed_expenses[],2,0),"")</f>
        <v/>
      </c>
      <c r="J44" s="17" t="str">
        <f ca="1">IF(HLOOKUP(J42,Summary!$I$2:$AM$7,2,0)=0,"",HLOOKUP(J42,Summary!$I$2:$AM$7,2,0))</f>
        <v/>
      </c>
      <c r="K44" s="71" t="str">
        <f ca="1">IFERROR(VLOOKUP(J44,fixed_expenses[],2,0),"")</f>
        <v/>
      </c>
      <c r="L44" s="17" t="str">
        <f ca="1">IF(HLOOKUP(L42,Summary!$I$2:$AM$7,2,0)=0,"",HLOOKUP(L42,Summary!$I$2:$AM$7,2,0))</f>
        <v/>
      </c>
      <c r="M44" s="71" t="str">
        <f ca="1">IFERROR(VLOOKUP(L44,fixed_expenses[],2,0),"")</f>
        <v/>
      </c>
      <c r="N44" s="17" t="str">
        <f ca="1">IF(HLOOKUP(N42,Summary!$I$2:$AM$7,2,0)=0,"",HLOOKUP(N42,Summary!$I$2:$AM$7,2,0))</f>
        <v/>
      </c>
      <c r="O44" s="71" t="str">
        <f ca="1">IFERROR(VLOOKUP(N44,fixed_expenses[],2,0),"")</f>
        <v/>
      </c>
      <c r="P44" s="22"/>
    </row>
    <row r="45" spans="1:16" ht="11.25" customHeight="1" x14ac:dyDescent="0.2">
      <c r="B45" s="17" t="str">
        <f ca="1">IF(HLOOKUP(B42,Summary!$I$2:$AM$7,3,0)=0,"",HLOOKUP(B42,Summary!$I$2:$AM$7,3,0))</f>
        <v/>
      </c>
      <c r="C45" s="71" t="str">
        <f ca="1">IFERROR(VLOOKUP(B45,fixed_expenses[],2,0),"")</f>
        <v/>
      </c>
      <c r="D45" s="17" t="str">
        <f ca="1">IF(HLOOKUP(D42,Summary!$I$2:$AM$7,3,0)=0,"",HLOOKUP(D42,Summary!$I$2:$AM$7,3,0))</f>
        <v/>
      </c>
      <c r="E45" s="71" t="str">
        <f ca="1">IFERROR(VLOOKUP(D45,fixed_expenses[],2,0),"")</f>
        <v/>
      </c>
      <c r="F45" s="17" t="str">
        <f ca="1">IF(HLOOKUP(F42,Summary!$I$2:$AM$7,3,0)=0,"",HLOOKUP(F42,Summary!$I$2:$AM$7,3,0))</f>
        <v/>
      </c>
      <c r="G45" s="71" t="str">
        <f ca="1">IFERROR(VLOOKUP(F45,fixed_expenses[],2,0),"")</f>
        <v/>
      </c>
      <c r="H45" s="17" t="str">
        <f ca="1">IF(HLOOKUP(H42,Summary!$I$2:$AM$7,3,0)=0,"",HLOOKUP(H42,Summary!$I$2:$AM$7,3,0))</f>
        <v/>
      </c>
      <c r="I45" s="71" t="str">
        <f ca="1">IFERROR(VLOOKUP(H45,fixed_expenses[],2,0),"")</f>
        <v/>
      </c>
      <c r="J45" s="17" t="str">
        <f ca="1">IF(HLOOKUP(J42,Summary!$I$2:$AM$7,3,0)=0,"",HLOOKUP(J42,Summary!$I$2:$AM$7,3,0))</f>
        <v/>
      </c>
      <c r="K45" s="71" t="str">
        <f ca="1">IFERROR(VLOOKUP(J45,fixed_expenses[],2,0),"")</f>
        <v/>
      </c>
      <c r="L45" s="17" t="str">
        <f ca="1">IF(HLOOKUP(L42,Summary!$I$2:$AM$7,3,0)=0,"",HLOOKUP(L42,Summary!$I$2:$AM$7,3,0))</f>
        <v/>
      </c>
      <c r="M45" s="71" t="str">
        <f ca="1">IFERROR(VLOOKUP(L45,fixed_expenses[],2,0),"")</f>
        <v/>
      </c>
      <c r="N45" s="17" t="str">
        <f ca="1">IF(HLOOKUP(N42,Summary!$I$2:$AM$7,3,0)=0,"",HLOOKUP(N42,Summary!$I$2:$AM$7,3,0))</f>
        <v/>
      </c>
      <c r="O45" s="71" t="str">
        <f ca="1">IFERROR(VLOOKUP(N45,fixed_expenses[],2,0),"")</f>
        <v/>
      </c>
      <c r="P45" s="22"/>
    </row>
    <row r="46" spans="1:16" ht="11.25" customHeight="1" x14ac:dyDescent="0.2">
      <c r="B46" s="17" t="str">
        <f ca="1">IF(HLOOKUP(B42,Summary!$I$2:$AM$7,4,0)=0,"",HLOOKUP(B42,Summary!$I$2:$AM$7,4,0))</f>
        <v/>
      </c>
      <c r="C46" s="71" t="str">
        <f ca="1">IFERROR(VLOOKUP(B46,fixed_expenses[],2,0),"")</f>
        <v/>
      </c>
      <c r="D46" s="17" t="str">
        <f ca="1">IF(HLOOKUP(D42,Summary!$I$2:$AM$7,4,0)=0,"",HLOOKUP(D42,Summary!$I$2:$AM$7,4,0))</f>
        <v/>
      </c>
      <c r="E46" s="71" t="str">
        <f ca="1">IFERROR(VLOOKUP(D46,fixed_expenses[],2,0),"")</f>
        <v/>
      </c>
      <c r="F46" s="17" t="str">
        <f ca="1">IF(HLOOKUP(F42,Summary!$I$2:$AM$7,4,0)=0,"",HLOOKUP(F42,Summary!$I$2:$AM$7,4,0))</f>
        <v/>
      </c>
      <c r="G46" s="71" t="str">
        <f ca="1">IFERROR(VLOOKUP(F46,fixed_expenses[],2,0),"")</f>
        <v/>
      </c>
      <c r="H46" s="17" t="str">
        <f ca="1">IF(HLOOKUP(H42,Summary!$I$2:$AM$7,4,0)=0,"",HLOOKUP(H42,Summary!$I$2:$AM$7,4,0))</f>
        <v/>
      </c>
      <c r="I46" s="71" t="str">
        <f ca="1">IFERROR(VLOOKUP(H46,fixed_expenses[],2,0),"")</f>
        <v/>
      </c>
      <c r="J46" s="17" t="str">
        <f ca="1">IF(HLOOKUP(J42,Summary!$I$2:$AM$7,4,0)=0,"",HLOOKUP(J42,Summary!$I$2:$AM$7,4,0))</f>
        <v/>
      </c>
      <c r="K46" s="71" t="str">
        <f ca="1">IFERROR(VLOOKUP(J46,fixed_expenses[],2,0),"")</f>
        <v/>
      </c>
      <c r="L46" s="17" t="str">
        <f ca="1">IF(HLOOKUP(L42,Summary!$I$2:$AM$7,4,0)=0,"",HLOOKUP(L42,Summary!$I$2:$AM$7,4,0))</f>
        <v/>
      </c>
      <c r="M46" s="71" t="str">
        <f ca="1">IFERROR(VLOOKUP(L46,fixed_expenses[],2,0),"")</f>
        <v/>
      </c>
      <c r="N46" s="17" t="str">
        <f ca="1">IF(HLOOKUP(N42,Summary!$I$2:$AM$7,4,0)=0,"",HLOOKUP(N42,Summary!$I$2:$AM$7,4,0))</f>
        <v/>
      </c>
      <c r="O46" s="71" t="str">
        <f ca="1">IFERROR(VLOOKUP(N46,fixed_expenses[],2,0),"")</f>
        <v/>
      </c>
      <c r="P46" s="22"/>
    </row>
    <row r="47" spans="1:16" ht="11.25" customHeight="1" x14ac:dyDescent="0.2">
      <c r="B47" s="17" t="str">
        <f ca="1">IF(HLOOKUP(B42,Summary!$I$2:$AM$7,5,0)=0,"",HLOOKUP(B42,Summary!$I$2:$AM$7,5,0))</f>
        <v/>
      </c>
      <c r="C47" s="71" t="str">
        <f ca="1">IFERROR(VLOOKUP(B47,fixed_expenses[],2,0),"")</f>
        <v/>
      </c>
      <c r="D47" s="17" t="str">
        <f ca="1">IF(HLOOKUP(D42,Summary!$I$2:$AM$7,5,0)=0,"",HLOOKUP(D42,Summary!$I$2:$AM$7,5,0))</f>
        <v/>
      </c>
      <c r="E47" s="71" t="str">
        <f ca="1">IFERROR(VLOOKUP(D47,fixed_expenses[],2,0),"")</f>
        <v/>
      </c>
      <c r="F47" s="17" t="str">
        <f ca="1">IF(HLOOKUP(F42,Summary!$I$2:$AM$7,5,0)=0,"",HLOOKUP(F42,Summary!$I$2:$AM$7,5,0))</f>
        <v/>
      </c>
      <c r="G47" s="71" t="str">
        <f ca="1">IFERROR(VLOOKUP(F47,fixed_expenses[],2,0),"")</f>
        <v/>
      </c>
      <c r="H47" s="17" t="str">
        <f ca="1">IF(HLOOKUP(H42,Summary!$I$2:$AM$7,5,0)=0,"",HLOOKUP(H42,Summary!$I$2:$AM$7,5,0))</f>
        <v/>
      </c>
      <c r="I47" s="71" t="str">
        <f ca="1">IFERROR(VLOOKUP(H47,fixed_expenses[],2,0),"")</f>
        <v/>
      </c>
      <c r="J47" s="17" t="str">
        <f ca="1">IF(HLOOKUP(J42,Summary!$I$2:$AM$7,5,0)=0,"",HLOOKUP(J42,Summary!$I$2:$AM$7,5,0))</f>
        <v/>
      </c>
      <c r="K47" s="71" t="str">
        <f ca="1">IFERROR(VLOOKUP(J47,fixed_expenses[],2,0),"")</f>
        <v/>
      </c>
      <c r="L47" s="17" t="str">
        <f ca="1">IF(HLOOKUP(L42,Summary!$I$2:$AM$7,5,0)=0,"",HLOOKUP(L42,Summary!$I$2:$AM$7,5,0))</f>
        <v/>
      </c>
      <c r="M47" s="71" t="str">
        <f ca="1">IFERROR(VLOOKUP(L47,fixed_expenses[],2,0),"")</f>
        <v/>
      </c>
      <c r="N47" s="17" t="str">
        <f ca="1">IF(HLOOKUP(N42,Summary!$I$2:$AM$7,5,0)=0,"",HLOOKUP(N42,Summary!$I$2:$AM$7,5,0))</f>
        <v/>
      </c>
      <c r="O47" s="71" t="str">
        <f ca="1">IFERROR(VLOOKUP(N47,fixed_expenses[],2,0),"")</f>
        <v/>
      </c>
      <c r="P47" s="22"/>
    </row>
    <row r="48" spans="1:16" ht="11.25" customHeight="1" x14ac:dyDescent="0.2">
      <c r="B48" s="17" t="str">
        <f ca="1">IF(HLOOKUP(B42,Summary!$I$2:$AM$7,6,0)=0,"",HLOOKUP(B42,Summary!$I$2:$AM$7,6,0))</f>
        <v/>
      </c>
      <c r="C48" s="71" t="str">
        <f ca="1">IFERROR(VLOOKUP(B48,fixed_expenses[],2,0),"")</f>
        <v/>
      </c>
      <c r="D48" s="17" t="str">
        <f ca="1">IF(HLOOKUP(D42,Summary!$I$2:$AM$7,6,0)=0,"",HLOOKUP(D42,Summary!$I$2:$AM$7,6,0))</f>
        <v/>
      </c>
      <c r="E48" s="71" t="str">
        <f ca="1">IFERROR(VLOOKUP(D48,fixed_expenses[],2,0),"")</f>
        <v/>
      </c>
      <c r="F48" s="17" t="str">
        <f ca="1">IF(HLOOKUP(F42,Summary!$I$2:$AM$7,6,0)=0,"",HLOOKUP(F42,Summary!$I$2:$AM$7,6,0))</f>
        <v/>
      </c>
      <c r="G48" s="71" t="str">
        <f ca="1">IFERROR(VLOOKUP(F48,fixed_expenses[],2,0),"")</f>
        <v/>
      </c>
      <c r="H48" s="17" t="str">
        <f ca="1">IF(HLOOKUP(H42,Summary!$I$2:$AM$7,6,0)=0,"",HLOOKUP(H42,Summary!$I$2:$AM$7,6,0))</f>
        <v/>
      </c>
      <c r="I48" s="71" t="str">
        <f ca="1">IFERROR(VLOOKUP(H48,fixed_expenses[],2,0),"")</f>
        <v/>
      </c>
      <c r="J48" s="17" t="str">
        <f ca="1">IF(HLOOKUP(J42,Summary!$I$2:$AM$7,6,0)=0,"",HLOOKUP(J42,Summary!$I$2:$AM$7,6,0))</f>
        <v/>
      </c>
      <c r="K48" s="71" t="str">
        <f ca="1">IFERROR(VLOOKUP(J48,fixed_expenses[],2,0),"")</f>
        <v/>
      </c>
      <c r="L48" s="17" t="str">
        <f ca="1">IF(HLOOKUP(L42,Summary!$I$2:$AM$7,6,0)=0,"",HLOOKUP(L42,Summary!$I$2:$AM$7,6,0))</f>
        <v/>
      </c>
      <c r="M48" s="71" t="str">
        <f ca="1">IFERROR(VLOOKUP(L48,fixed_expenses[],2,0),"")</f>
        <v/>
      </c>
      <c r="N48" s="17" t="str">
        <f ca="1">IF(HLOOKUP(N42,Summary!$I$2:$AM$7,6,0)=0,"",HLOOKUP(N42,Summary!$I$2:$AM$7,6,0))</f>
        <v/>
      </c>
      <c r="O48" s="71" t="str">
        <f ca="1">IFERROR(VLOOKUP(N48,fixed_expenses[],2,0),"")</f>
        <v/>
      </c>
      <c r="P48" s="22"/>
    </row>
    <row r="49" spans="1:16" ht="11.25" customHeight="1" x14ac:dyDescent="0.2">
      <c r="A49" s="43" t="s">
        <v>48</v>
      </c>
      <c r="B49" s="26" t="s">
        <v>8</v>
      </c>
      <c r="C49" s="27">
        <f ca="1">SUM(C44:C48)</f>
        <v>0</v>
      </c>
      <c r="D49" s="26"/>
      <c r="E49" s="27">
        <f ca="1">SUM(E44:E48)</f>
        <v>0</v>
      </c>
      <c r="F49" s="26"/>
      <c r="G49" s="27">
        <f ca="1">SUM(G44:G48)</f>
        <v>0</v>
      </c>
      <c r="H49" s="26"/>
      <c r="I49" s="27">
        <f ca="1">SUM(I44:I48)</f>
        <v>0</v>
      </c>
      <c r="J49" s="18"/>
      <c r="K49" s="27">
        <f ca="1">SUM(K44:K48)</f>
        <v>0</v>
      </c>
      <c r="L49" s="18"/>
      <c r="M49" s="27">
        <f ca="1">SUM(M44:M48)</f>
        <v>0</v>
      </c>
      <c r="N49" s="18"/>
      <c r="O49" s="28">
        <f ca="1">SUM(O44:O48)</f>
        <v>0</v>
      </c>
      <c r="P49" s="29">
        <f ca="1">SUMIF(B42:N42,"&gt;="&amp;15,C49:O49)</f>
        <v>0</v>
      </c>
    </row>
    <row r="50" spans="1:16" ht="11.25" customHeight="1" x14ac:dyDescent="0.2">
      <c r="B50" s="6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6"/>
    </row>
    <row r="51" spans="1:16" ht="15" customHeight="1" x14ac:dyDescent="0.2">
      <c r="A51" s="43" t="s">
        <v>49</v>
      </c>
      <c r="B51" s="12">
        <f ca="1">DAY(IF(DAY(JanSun1)=1,JanSun1+29,JanSun1+36))</f>
        <v>31</v>
      </c>
      <c r="C51" s="11"/>
      <c r="D51" s="12">
        <f ca="1">DAY(IF(DAY(JanSun1)=1,JanSun1+30,JanSun1+37))</f>
        <v>1</v>
      </c>
      <c r="E51" s="13"/>
      <c r="F51" s="10">
        <f ca="1">DAY(IF(DAY(JanSun1)=1,JanSun1+31,JanSun1+38))</f>
        <v>2</v>
      </c>
      <c r="G51" s="13"/>
      <c r="H51" s="12">
        <f ca="1">DAY(IF(DAY(JanSun1)=1,JanSun1+32,JanSun1+39))</f>
        <v>3</v>
      </c>
      <c r="I51" s="13"/>
      <c r="J51" s="12">
        <f ca="1">DAY(IF(DAY(JanSun1)=1,JanSun1+33,JanSun1+40))</f>
        <v>4</v>
      </c>
      <c r="K51" s="13"/>
      <c r="L51" s="12">
        <f ca="1">DAY(IF(DAY(JanSun1)=1,JanSun1+34,JanSun1+41))</f>
        <v>5</v>
      </c>
      <c r="M51" s="13"/>
      <c r="N51" s="12">
        <f ca="1">DAY(IF(DAY(JanSun1)=1,JanSun1+35,JanSun1+42))</f>
        <v>6</v>
      </c>
      <c r="O51" s="13"/>
      <c r="P51" s="25"/>
    </row>
    <row r="52" spans="1:16" ht="11.25" customHeight="1" x14ac:dyDescent="0.2">
      <c r="A52" s="43" t="s">
        <v>50</v>
      </c>
      <c r="B52" s="37" t="s">
        <v>9</v>
      </c>
      <c r="C52" s="39" t="s">
        <v>10</v>
      </c>
      <c r="D52" s="37" t="s">
        <v>9</v>
      </c>
      <c r="E52" s="39" t="s">
        <v>10</v>
      </c>
      <c r="F52" s="37" t="s">
        <v>9</v>
      </c>
      <c r="G52" s="39" t="s">
        <v>10</v>
      </c>
      <c r="H52" s="37" t="s">
        <v>9</v>
      </c>
      <c r="I52" s="39" t="s">
        <v>10</v>
      </c>
      <c r="J52" s="37" t="s">
        <v>9</v>
      </c>
      <c r="K52" s="39" t="s">
        <v>10</v>
      </c>
      <c r="L52" s="37" t="s">
        <v>9</v>
      </c>
      <c r="M52" s="39" t="s">
        <v>10</v>
      </c>
      <c r="N52" s="37" t="s">
        <v>9</v>
      </c>
      <c r="O52" s="40" t="s">
        <v>10</v>
      </c>
      <c r="P52" s="22"/>
    </row>
    <row r="53" spans="1:16" ht="11.25" customHeight="1" x14ac:dyDescent="0.2">
      <c r="A53" s="43" t="s">
        <v>51</v>
      </c>
      <c r="B53" s="17" t="str">
        <f ca="1">IF(HLOOKUP(B51,Summary!$I$2:$AM$7,2,0)=0,"",HLOOKUP(B51,Summary!$I$2:$AM$7,2,0))</f>
        <v/>
      </c>
      <c r="C53" s="71" t="str">
        <f ca="1">IFERROR(VLOOKUP(B53,fixed_expenses[],2,0),"")</f>
        <v/>
      </c>
      <c r="D53" s="17" t="str">
        <f ca="1">IF(HLOOKUP(D51,Summary!$I$2:$AM$7,2,0)=0,"",HLOOKUP(D51,Summary!$I$2:$AM$7,2,0))</f>
        <v/>
      </c>
      <c r="E53" s="71" t="str">
        <f ca="1">IFERROR(VLOOKUP(D53,fixed_expenses[],2,0),"")</f>
        <v/>
      </c>
      <c r="F53" s="17" t="str">
        <f ca="1">IF(HLOOKUP(F51,Summary!$I$2:$AM$7,2,0)=0,"",HLOOKUP(F51,Summary!$I$2:$AM$7,2,0))</f>
        <v/>
      </c>
      <c r="G53" s="71" t="str">
        <f ca="1">IFERROR(VLOOKUP(F53,fixed_expenses[],2,0),"")</f>
        <v/>
      </c>
      <c r="H53" s="17" t="str">
        <f ca="1">IF(HLOOKUP(H51,Summary!$I$2:$AM$7,2,0)=0,"",HLOOKUP(H51,Summary!$I$2:$AM$7,2,0))</f>
        <v>Rent</v>
      </c>
      <c r="I53" s="71">
        <f ca="1">IFERROR(VLOOKUP(H53,fixed_expenses[],2,0),"")</f>
        <v>1200</v>
      </c>
      <c r="J53" s="17" t="str">
        <f ca="1">IF(HLOOKUP(J51,Summary!$I$2:$AM$7,2,0)=0,"",HLOOKUP(J51,Summary!$I$2:$AM$7,2,0))</f>
        <v/>
      </c>
      <c r="K53" s="71" t="str">
        <f ca="1">IFERROR(VLOOKUP(J53,fixed_expenses[],2,0),"")</f>
        <v/>
      </c>
      <c r="L53" s="17" t="str">
        <f ca="1">IF(HLOOKUP(L51,Summary!$I$2:$AM$7,2,0)=0,"",HLOOKUP(L51,Summary!$I$2:$AM$7,2,0))</f>
        <v/>
      </c>
      <c r="M53" s="71" t="str">
        <f ca="1">IFERROR(VLOOKUP(L53,fixed_expenses[],2,0),"")</f>
        <v/>
      </c>
      <c r="N53" s="17" t="str">
        <f ca="1">IF(HLOOKUP(N51,Summary!$I$2:$AM$7,2,0)=0,"",HLOOKUP(N51,Summary!$I$2:$AM$7,2,0))</f>
        <v/>
      </c>
      <c r="O53" s="71" t="str">
        <f ca="1">IFERROR(VLOOKUP(N53,fixed_expenses[],2,0),"")</f>
        <v/>
      </c>
      <c r="P53" s="22"/>
    </row>
    <row r="54" spans="1:16" ht="11.25" customHeight="1" x14ac:dyDescent="0.2">
      <c r="B54" s="17" t="str">
        <f ca="1">IF(HLOOKUP(B51,Summary!$I$2:$AM$7,3,0)=0,"",HLOOKUP(B51,Summary!$I$2:$AM$7,3,0))</f>
        <v/>
      </c>
      <c r="C54" s="71" t="str">
        <f ca="1">IFERROR(VLOOKUP(B54,fixed_expenses[],2,0),"")</f>
        <v/>
      </c>
      <c r="D54" s="17" t="str">
        <f ca="1">IF(HLOOKUP(D51,Summary!$I$2:$AM$7,3,0)=0,"",HLOOKUP(D51,Summary!$I$2:$AM$7,3,0))</f>
        <v/>
      </c>
      <c r="E54" s="71" t="str">
        <f ca="1">IFERROR(VLOOKUP(D54,fixed_expenses[],2,0),"")</f>
        <v/>
      </c>
      <c r="F54" s="17" t="str">
        <f ca="1">IF(HLOOKUP(F51,Summary!$I$2:$AM$7,3,0)=0,"",HLOOKUP(F51,Summary!$I$2:$AM$7,3,0))</f>
        <v/>
      </c>
      <c r="G54" s="71" t="str">
        <f ca="1">IFERROR(VLOOKUP(F54,fixed_expenses[],2,0),"")</f>
        <v/>
      </c>
      <c r="H54" s="17" t="str">
        <f ca="1">IF(HLOOKUP(H51,Summary!$I$2:$AM$7,3,0)=0,"",HLOOKUP(H51,Summary!$I$2:$AM$7,3,0))</f>
        <v/>
      </c>
      <c r="I54" s="71" t="str">
        <f ca="1">IFERROR(VLOOKUP(H54,fixed_expenses[],2,0),"")</f>
        <v/>
      </c>
      <c r="J54" s="17" t="str">
        <f ca="1">IF(HLOOKUP(J51,Summary!$I$2:$AM$7,3,0)=0,"",HLOOKUP(J51,Summary!$I$2:$AM$7,3,0))</f>
        <v/>
      </c>
      <c r="K54" s="71" t="str">
        <f ca="1">IFERROR(VLOOKUP(J54,fixed_expenses[],2,0),"")</f>
        <v/>
      </c>
      <c r="L54" s="17" t="str">
        <f ca="1">IF(HLOOKUP(L51,Summary!$I$2:$AM$7,3,0)=0,"",HLOOKUP(L51,Summary!$I$2:$AM$7,3,0))</f>
        <v/>
      </c>
      <c r="M54" s="71" t="str">
        <f ca="1">IFERROR(VLOOKUP(L54,fixed_expenses[],2,0),"")</f>
        <v/>
      </c>
      <c r="N54" s="17" t="str">
        <f ca="1">IF(HLOOKUP(N51,Summary!$I$2:$AM$7,3,0)=0,"",HLOOKUP(N51,Summary!$I$2:$AM$7,3,0))</f>
        <v/>
      </c>
      <c r="O54" s="71" t="str">
        <f ca="1">IFERROR(VLOOKUP(N54,fixed_expenses[],2,0),"")</f>
        <v/>
      </c>
      <c r="P54" s="22"/>
    </row>
    <row r="55" spans="1:16" ht="11.25" customHeight="1" x14ac:dyDescent="0.2">
      <c r="B55" s="17" t="str">
        <f ca="1">IF(HLOOKUP(B51,Summary!$I$2:$AM$7,4,0)=0,"",HLOOKUP(B51,Summary!$I$2:$AM$7,4,0))</f>
        <v/>
      </c>
      <c r="C55" s="71" t="str">
        <f ca="1">IFERROR(VLOOKUP(B55,fixed_expenses[],2,0),"")</f>
        <v/>
      </c>
      <c r="D55" s="17" t="str">
        <f ca="1">IF(HLOOKUP(D51,Summary!$I$2:$AM$7,4,0)=0,"",HLOOKUP(D51,Summary!$I$2:$AM$7,4,0))</f>
        <v/>
      </c>
      <c r="E55" s="71" t="str">
        <f ca="1">IFERROR(VLOOKUP(D55,fixed_expenses[],2,0),"")</f>
        <v/>
      </c>
      <c r="F55" s="17" t="str">
        <f ca="1">IF(HLOOKUP(F51,Summary!$I$2:$AM$7,4,0)=0,"",HLOOKUP(F51,Summary!$I$2:$AM$7,4,0))</f>
        <v/>
      </c>
      <c r="G55" s="71" t="str">
        <f ca="1">IFERROR(VLOOKUP(F55,fixed_expenses[],2,0),"")</f>
        <v/>
      </c>
      <c r="H55" s="17" t="str">
        <f ca="1">IF(HLOOKUP(H51,Summary!$I$2:$AM$7,4,0)=0,"",HLOOKUP(H51,Summary!$I$2:$AM$7,4,0))</f>
        <v/>
      </c>
      <c r="I55" s="71" t="str">
        <f ca="1">IFERROR(VLOOKUP(H55,fixed_expenses[],2,0),"")</f>
        <v/>
      </c>
      <c r="J55" s="17" t="str">
        <f ca="1">IF(HLOOKUP(J51,Summary!$I$2:$AM$7,4,0)=0,"",HLOOKUP(J51,Summary!$I$2:$AM$7,4,0))</f>
        <v/>
      </c>
      <c r="K55" s="71" t="str">
        <f ca="1">IFERROR(VLOOKUP(J55,fixed_expenses[],2,0),"")</f>
        <v/>
      </c>
      <c r="L55" s="17" t="str">
        <f ca="1">IF(HLOOKUP(L51,Summary!$I$2:$AM$7,4,0)=0,"",HLOOKUP(L51,Summary!$I$2:$AM$7,4,0))</f>
        <v/>
      </c>
      <c r="M55" s="71" t="str">
        <f ca="1">IFERROR(VLOOKUP(L55,fixed_expenses[],2,0),"")</f>
        <v/>
      </c>
      <c r="N55" s="17" t="str">
        <f ca="1">IF(HLOOKUP(N51,Summary!$I$2:$AM$7,4,0)=0,"",HLOOKUP(N51,Summary!$I$2:$AM$7,4,0))</f>
        <v/>
      </c>
      <c r="O55" s="71" t="str">
        <f ca="1">IFERROR(VLOOKUP(N55,fixed_expenses[],2,0),"")</f>
        <v/>
      </c>
      <c r="P55" s="22"/>
    </row>
    <row r="56" spans="1:16" ht="11.25" customHeight="1" x14ac:dyDescent="0.2">
      <c r="B56" s="17" t="str">
        <f ca="1">IF(HLOOKUP(B51,Summary!$I$2:$AM$7,5,0)=0,"",HLOOKUP(B51,Summary!$I$2:$AM$7,5,0))</f>
        <v/>
      </c>
      <c r="C56" s="71" t="str">
        <f ca="1">IFERROR(VLOOKUP(B56,fixed_expenses[],2,0),"")</f>
        <v/>
      </c>
      <c r="D56" s="17" t="str">
        <f ca="1">IF(HLOOKUP(D51,Summary!$I$2:$AM$7,5,0)=0,"",HLOOKUP(D51,Summary!$I$2:$AM$7,5,0))</f>
        <v/>
      </c>
      <c r="E56" s="71" t="str">
        <f ca="1">IFERROR(VLOOKUP(D56,fixed_expenses[],2,0),"")</f>
        <v/>
      </c>
      <c r="F56" s="17" t="str">
        <f ca="1">IF(HLOOKUP(F51,Summary!$I$2:$AM$7,5,0)=0,"",HLOOKUP(F51,Summary!$I$2:$AM$7,5,0))</f>
        <v/>
      </c>
      <c r="G56" s="71" t="str">
        <f ca="1">IFERROR(VLOOKUP(F56,fixed_expenses[],2,0),"")</f>
        <v/>
      </c>
      <c r="H56" s="17" t="str">
        <f ca="1">IF(HLOOKUP(H51,Summary!$I$2:$AM$7,5,0)=0,"",HLOOKUP(H51,Summary!$I$2:$AM$7,5,0))</f>
        <v/>
      </c>
      <c r="I56" s="71" t="str">
        <f ca="1">IFERROR(VLOOKUP(H56,fixed_expenses[],2,0),"")</f>
        <v/>
      </c>
      <c r="J56" s="17" t="str">
        <f ca="1">IF(HLOOKUP(J51,Summary!$I$2:$AM$7,5,0)=0,"",HLOOKUP(J51,Summary!$I$2:$AM$7,5,0))</f>
        <v/>
      </c>
      <c r="K56" s="71" t="str">
        <f ca="1">IFERROR(VLOOKUP(J56,fixed_expenses[],2,0),"")</f>
        <v/>
      </c>
      <c r="L56" s="17" t="str">
        <f ca="1">IF(HLOOKUP(L51,Summary!$I$2:$AM$7,5,0)=0,"",HLOOKUP(L51,Summary!$I$2:$AM$7,5,0))</f>
        <v/>
      </c>
      <c r="M56" s="71" t="str">
        <f ca="1">IFERROR(VLOOKUP(L56,fixed_expenses[],2,0),"")</f>
        <v/>
      </c>
      <c r="N56" s="17" t="str">
        <f ca="1">IF(HLOOKUP(N51,Summary!$I$2:$AM$7,5,0)=0,"",HLOOKUP(N51,Summary!$I$2:$AM$7,5,0))</f>
        <v/>
      </c>
      <c r="O56" s="71" t="str">
        <f ca="1">IFERROR(VLOOKUP(N56,fixed_expenses[],2,0),"")</f>
        <v/>
      </c>
      <c r="P56" s="22"/>
    </row>
    <row r="57" spans="1:16" ht="11.25" customHeight="1" x14ac:dyDescent="0.2">
      <c r="B57" s="17" t="str">
        <f ca="1">IF(HLOOKUP(B51,Summary!$I$2:$AM$7,6,0)=0,"",HLOOKUP(B51,Summary!$I$2:$AM$7,6,0))</f>
        <v/>
      </c>
      <c r="C57" s="71" t="str">
        <f ca="1">IFERROR(VLOOKUP(B57,fixed_expenses[],2,0),"")</f>
        <v/>
      </c>
      <c r="D57" s="17" t="str">
        <f ca="1">IF(HLOOKUP(D51,Summary!$I$2:$AM$7,6,0)=0,"",HLOOKUP(D51,Summary!$I$2:$AM$7,6,0))</f>
        <v/>
      </c>
      <c r="E57" s="71" t="str">
        <f ca="1">IFERROR(VLOOKUP(D57,fixed_expenses[],2,0),"")</f>
        <v/>
      </c>
      <c r="F57" s="17" t="str">
        <f ca="1">IF(HLOOKUP(F51,Summary!$I$2:$AM$7,6,0)=0,"",HLOOKUP(F51,Summary!$I$2:$AM$7,6,0))</f>
        <v/>
      </c>
      <c r="G57" s="71" t="str">
        <f ca="1">IFERROR(VLOOKUP(F57,fixed_expenses[],2,0),"")</f>
        <v/>
      </c>
      <c r="H57" s="17" t="str">
        <f ca="1">IF(HLOOKUP(H51,Summary!$I$2:$AM$7,6,0)=0,"",HLOOKUP(H51,Summary!$I$2:$AM$7,6,0))</f>
        <v/>
      </c>
      <c r="I57" s="71" t="str">
        <f ca="1">IFERROR(VLOOKUP(H57,fixed_expenses[],2,0),"")</f>
        <v/>
      </c>
      <c r="J57" s="17" t="str">
        <f ca="1">IF(HLOOKUP(J51,Summary!$I$2:$AM$7,6,0)=0,"",HLOOKUP(J51,Summary!$I$2:$AM$7,6,0))</f>
        <v/>
      </c>
      <c r="K57" s="71" t="str">
        <f ca="1">IFERROR(VLOOKUP(J57,fixed_expenses[],2,0),"")</f>
        <v/>
      </c>
      <c r="L57" s="17" t="str">
        <f ca="1">IF(HLOOKUP(L51,Summary!$I$2:$AM$7,6,0)=0,"",HLOOKUP(L51,Summary!$I$2:$AM$7,6,0))</f>
        <v/>
      </c>
      <c r="M57" s="71" t="str">
        <f ca="1">IFERROR(VLOOKUP(L57,fixed_expenses[],2,0),"")</f>
        <v/>
      </c>
      <c r="N57" s="17" t="str">
        <f ca="1">IF(HLOOKUP(N51,Summary!$I$2:$AM$7,6,0)=0,"",HLOOKUP(N51,Summary!$I$2:$AM$7,6,0))</f>
        <v/>
      </c>
      <c r="O57" s="71" t="str">
        <f ca="1">IFERROR(VLOOKUP(N57,fixed_expenses[],2,0),"")</f>
        <v/>
      </c>
      <c r="P57" s="22"/>
    </row>
    <row r="58" spans="1:16" ht="11.25" customHeight="1" x14ac:dyDescent="0.2">
      <c r="A58" s="43" t="s">
        <v>52</v>
      </c>
      <c r="B58" s="26" t="s">
        <v>8</v>
      </c>
      <c r="C58" s="27">
        <f ca="1">SUM(C53:C57)</f>
        <v>0</v>
      </c>
      <c r="D58" s="18"/>
      <c r="E58" s="27">
        <f ca="1">SUM(E53:E57)</f>
        <v>0</v>
      </c>
      <c r="F58" s="18"/>
      <c r="G58" s="27">
        <f ca="1">SUM(G53:G57)</f>
        <v>0</v>
      </c>
      <c r="H58" s="18"/>
      <c r="I58" s="27">
        <f ca="1">SUM(I53:I57)</f>
        <v>1200</v>
      </c>
      <c r="J58" s="18"/>
      <c r="K58" s="27">
        <f ca="1">SUM(K53:K57)</f>
        <v>0</v>
      </c>
      <c r="L58" s="18"/>
      <c r="M58" s="27">
        <f ca="1">SUM(M53:M57)</f>
        <v>0</v>
      </c>
      <c r="N58" s="18"/>
      <c r="O58" s="28">
        <f ca="1">SUM(O53:O57)</f>
        <v>0</v>
      </c>
      <c r="P58" s="29">
        <f ca="1">SUMIF(B51:N51,"&gt;="&amp;15,C58:O58)</f>
        <v>0</v>
      </c>
    </row>
    <row r="59" spans="1:16" ht="18" customHeight="1" x14ac:dyDescent="0.2">
      <c r="B59" s="6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6"/>
    </row>
    <row r="60" spans="1:16" ht="12" customHeight="1" x14ac:dyDescent="0.2">
      <c r="A60" s="43" t="s">
        <v>53</v>
      </c>
      <c r="B60" s="49" t="s">
        <v>14</v>
      </c>
      <c r="C60" s="49"/>
      <c r="D60" s="49"/>
      <c r="E60" s="49"/>
      <c r="F60"/>
      <c r="G60" s="4"/>
      <c r="H60"/>
      <c r="I60" s="4"/>
      <c r="J60"/>
      <c r="K60" s="4"/>
      <c r="L60" s="45" t="s">
        <v>12</v>
      </c>
      <c r="M60" s="45"/>
      <c r="N60" s="45" t="s">
        <v>13</v>
      </c>
      <c r="O60" s="45"/>
      <c r="P60"/>
    </row>
    <row r="61" spans="1:16" ht="25.5" customHeight="1" x14ac:dyDescent="0.2">
      <c r="A61" s="43" t="s">
        <v>54</v>
      </c>
      <c r="B61" s="49"/>
      <c r="C61" s="49"/>
      <c r="D61" s="49"/>
      <c r="E61" s="49"/>
      <c r="F61" s="3">
        <f ca="1">IFERROR(WEEKDAY(DATEVALUE(B60&amp;" 1, "&amp;Year1)),"")</f>
        <v>2</v>
      </c>
      <c r="G61" s="4"/>
      <c r="H61"/>
      <c r="I61" s="7"/>
      <c r="J61" s="8"/>
      <c r="K61" s="4"/>
      <c r="L61" s="46">
        <f ca="1">SUM(P71,P80,P89,P98,P107,P116)</f>
        <v>1774</v>
      </c>
      <c r="M61" s="47"/>
      <c r="N61" s="46">
        <f ca="1">SUM(P:P)</f>
        <v>21288</v>
      </c>
      <c r="O61" s="48"/>
      <c r="P61"/>
    </row>
    <row r="62" spans="1:16" ht="9" customHeight="1" x14ac:dyDescent="0.2">
      <c r="A62" s="43" t="s">
        <v>347</v>
      </c>
      <c r="B62" s="50">
        <v>1</v>
      </c>
      <c r="C62" s="50"/>
      <c r="D62" s="50">
        <v>2</v>
      </c>
      <c r="E62" s="50"/>
      <c r="F62" s="50">
        <v>3</v>
      </c>
      <c r="G62" s="50"/>
      <c r="H62" s="50">
        <v>4</v>
      </c>
      <c r="I62" s="50"/>
      <c r="J62" s="50">
        <v>5</v>
      </c>
      <c r="K62" s="50"/>
      <c r="L62" s="50">
        <v>6</v>
      </c>
      <c r="M62" s="50"/>
      <c r="N62" s="50">
        <v>7</v>
      </c>
      <c r="O62" s="50"/>
      <c r="P62" s="2"/>
    </row>
    <row r="63" spans="1:16" ht="15" customHeight="1" x14ac:dyDescent="0.2">
      <c r="A63" s="43" t="s">
        <v>55</v>
      </c>
      <c r="B63" s="51" t="s">
        <v>0</v>
      </c>
      <c r="C63" s="52"/>
      <c r="D63" s="53" t="s">
        <v>1</v>
      </c>
      <c r="E63" s="54" t="e">
        <f ca="1">IF(WEEKDAY(DATEVALUE(Month1&amp;" 1, "&amp;Year1))=COLUMN(#REF!),1,IF(LEN(C63)&gt;0,C63+1,""))</f>
        <v>#VALUE!</v>
      </c>
      <c r="F63" s="52" t="s">
        <v>2</v>
      </c>
      <c r="G63" s="52" t="e">
        <f ca="1">IF(WEEKDAY(DATEVALUE(Month1&amp;" 1, "&amp;Year1))=COLUMN(#REF!),1,IF(LEN(E63)&gt;0,E63+1,""))</f>
        <v>#VALUE!</v>
      </c>
      <c r="H63" s="53" t="s">
        <v>3</v>
      </c>
      <c r="I63" s="54" t="e">
        <f ca="1">IF(WEEKDAY(DATEVALUE(Month1&amp;" 1, "&amp;Year1))=COLUMN(#REF!),1,IF(LEN(G63)&gt;0,G63+1,""))</f>
        <v>#VALUE!</v>
      </c>
      <c r="J63" s="55" t="s">
        <v>4</v>
      </c>
      <c r="K63" s="56" t="e">
        <f ca="1">IF(WEEKDAY(DATEVALUE(Month1&amp;" 1, "&amp;Year1))=COLUMN(#REF!),1,IF(LEN(I63)&gt;0,I63+1,""))</f>
        <v>#VALUE!</v>
      </c>
      <c r="L63" s="57" t="s">
        <v>5</v>
      </c>
      <c r="M63" s="58" t="e">
        <f ca="1">IF(WEEKDAY(DATEVALUE(Month1&amp;" 1, "&amp;Year1))=COLUMN(#REF!),1,IF(LEN(K63)&gt;0,K63+1,""))</f>
        <v>#VALUE!</v>
      </c>
      <c r="N63" s="57" t="s">
        <v>6</v>
      </c>
      <c r="O63" s="58" t="e">
        <f ca="1">IF(WEEKDAY(DATEVALUE(Month1&amp;" 1, "&amp;Year1))=COLUMN(#REF!),1,IF(LEN(M63)&gt;0,M63+1,""))</f>
        <v>#VALUE!</v>
      </c>
      <c r="P63" s="34" t="s">
        <v>7</v>
      </c>
    </row>
    <row r="64" spans="1:16" ht="15" customHeight="1" x14ac:dyDescent="0.2">
      <c r="A64" s="43" t="s">
        <v>56</v>
      </c>
      <c r="B64" s="14">
        <f ca="1">DAY(IF(DAY(FebSun1)=1,FebSun1-6,FebSun1+1))</f>
        <v>31</v>
      </c>
      <c r="C64" s="16"/>
      <c r="D64" s="19">
        <f ca="1">DAY(IF(DAY(FebSun1)=1,FebSun1-5,FebSun1+2))</f>
        <v>1</v>
      </c>
      <c r="E64" s="16"/>
      <c r="F64" s="19">
        <f ca="1">DAY(IF(DAY(FebSun1)=1,FebSun1-4,FebSun1+3))</f>
        <v>2</v>
      </c>
      <c r="G64" s="16"/>
      <c r="H64" s="19">
        <f ca="1">DAY(IF(DAY(FebSun1)=1,FebSun1-3,FebSun1+4))</f>
        <v>3</v>
      </c>
      <c r="I64" s="16"/>
      <c r="J64" s="19">
        <f ca="1">DAY(IF(DAY(FebSun1)=1,FebSun1-2,FebSun1+5))</f>
        <v>4</v>
      </c>
      <c r="K64" s="16"/>
      <c r="L64" s="19">
        <f ca="1">DAY(IF(DAY(FebSun1)=1,FebSun1-1,FebSun1+6))</f>
        <v>5</v>
      </c>
      <c r="M64" s="16"/>
      <c r="N64" s="20">
        <f ca="1">DAY(IF(DAY(FebSun1)=1,FebSun1,FebSun1+7))</f>
        <v>6</v>
      </c>
      <c r="O64" s="15"/>
      <c r="P64" s="21"/>
    </row>
    <row r="65" spans="1:16" ht="11.25" customHeight="1" x14ac:dyDescent="0.2">
      <c r="A65" s="43" t="s">
        <v>57</v>
      </c>
      <c r="B65" s="41" t="s">
        <v>9</v>
      </c>
      <c r="C65" s="36" t="s">
        <v>10</v>
      </c>
      <c r="D65" s="35" t="s">
        <v>9</v>
      </c>
      <c r="E65" s="36" t="s">
        <v>10</v>
      </c>
      <c r="F65" s="35" t="s">
        <v>9</v>
      </c>
      <c r="G65" s="36" t="s">
        <v>10</v>
      </c>
      <c r="H65" s="35" t="s">
        <v>9</v>
      </c>
      <c r="I65" s="36" t="s">
        <v>10</v>
      </c>
      <c r="J65" s="35" t="s">
        <v>9</v>
      </c>
      <c r="K65" s="36" t="s">
        <v>10</v>
      </c>
      <c r="L65" s="35" t="s">
        <v>9</v>
      </c>
      <c r="M65" s="36" t="s">
        <v>10</v>
      </c>
      <c r="N65" s="37" t="s">
        <v>9</v>
      </c>
      <c r="O65" s="38" t="s">
        <v>10</v>
      </c>
      <c r="P65" s="22"/>
    </row>
    <row r="66" spans="1:16" ht="11.25" customHeight="1" x14ac:dyDescent="0.2">
      <c r="A66" s="43" t="s">
        <v>58</v>
      </c>
      <c r="B66" s="17" t="str">
        <f ca="1">IF(HLOOKUP(B64,Summary!$I$2:$AM$7,2,0)=0,"",HLOOKUP(B64,Summary!$I$2:$AM$7,2,0))</f>
        <v/>
      </c>
      <c r="C66" s="71" t="str">
        <f ca="1">IFERROR(VLOOKUP(B66,fixed_expenses[],2,0),"")</f>
        <v/>
      </c>
      <c r="D66" s="17" t="str">
        <f ca="1">IF(HLOOKUP(D64,Summary!$I$2:$AM$7,2,0)=0,"",HLOOKUP(D64,Summary!$I$2:$AM$7,2,0))</f>
        <v/>
      </c>
      <c r="E66" s="71" t="str">
        <f ca="1">IFERROR(VLOOKUP(D66,fixed_expenses[],2,0),"")</f>
        <v/>
      </c>
      <c r="F66" s="17" t="str">
        <f ca="1">IF(HLOOKUP(F64,Summary!$I$2:$AM$7,2,0)=0,"",HLOOKUP(F64,Summary!$I$2:$AM$7,2,0))</f>
        <v/>
      </c>
      <c r="G66" s="71" t="str">
        <f ca="1">IFERROR(VLOOKUP(F66,fixed_expenses[],2,0),"")</f>
        <v/>
      </c>
      <c r="H66" s="17" t="str">
        <f ca="1">IF(HLOOKUP(H64,Summary!$I$2:$AM$7,2,0)=0,"",HLOOKUP(H64,Summary!$I$2:$AM$7,2,0))</f>
        <v>Rent</v>
      </c>
      <c r="I66" s="71">
        <f ca="1">IFERROR(VLOOKUP(H66,fixed_expenses[],2,0),"")</f>
        <v>1200</v>
      </c>
      <c r="J66" s="17" t="str">
        <f ca="1">IF(HLOOKUP(J64,Summary!$I$2:$AM$7,2,0)=0,"",HLOOKUP(J64,Summary!$I$2:$AM$7,2,0))</f>
        <v/>
      </c>
      <c r="K66" s="71" t="str">
        <f ca="1">IFERROR(VLOOKUP(J66,fixed_expenses[],2,0),"")</f>
        <v/>
      </c>
      <c r="L66" s="17" t="s">
        <v>384</v>
      </c>
      <c r="M66" s="71">
        <f>IFERROR(VLOOKUP(L66,fixed_expenses[],2,0),"")</f>
        <v>232</v>
      </c>
      <c r="N66" s="17" t="str">
        <f ca="1">IF(HLOOKUP(N64,Summary!$I$2:$AM$7,2,0)=0,"",HLOOKUP(N64,Summary!$I$2:$AM$7,2,0))</f>
        <v/>
      </c>
      <c r="O66" s="71" t="str">
        <f ca="1">IFERROR(VLOOKUP(N66,fixed_expenses[],2,0),"")</f>
        <v/>
      </c>
      <c r="P66" s="22"/>
    </row>
    <row r="67" spans="1:16" x14ac:dyDescent="0.2">
      <c r="B67" s="17" t="str">
        <f ca="1">IF(HLOOKUP(B64,Summary!$I$2:$AM$7,3,0)=0,"",HLOOKUP(B64,Summary!$I$2:$AM$7,3,0))</f>
        <v/>
      </c>
      <c r="C67" s="71" t="str">
        <f ca="1">IFERROR(VLOOKUP(B67,fixed_expenses[],2,0),"")</f>
        <v/>
      </c>
      <c r="D67" s="17" t="str">
        <f ca="1">IF(HLOOKUP(D64,Summary!$I$2:$AM$7,3,0)=0,"",HLOOKUP(D64,Summary!$I$2:$AM$7,3,0))</f>
        <v/>
      </c>
      <c r="E67" s="71" t="str">
        <f ca="1">IFERROR(VLOOKUP(D67,fixed_expenses[],2,0),"")</f>
        <v/>
      </c>
      <c r="F67" s="17" t="str">
        <f ca="1">IF(HLOOKUP(F64,Summary!$I$2:$AM$7,3,0)=0,"",HLOOKUP(F64,Summary!$I$2:$AM$7,3,0))</f>
        <v/>
      </c>
      <c r="G67" s="71" t="str">
        <f ca="1">IFERROR(VLOOKUP(F67,fixed_expenses[],2,0),"")</f>
        <v/>
      </c>
      <c r="H67" s="17" t="str">
        <f ca="1">IF(HLOOKUP(H64,Summary!$I$2:$AM$7,3,0)=0,"",HLOOKUP(H64,Summary!$I$2:$AM$7,3,0))</f>
        <v/>
      </c>
      <c r="I67" s="71" t="str">
        <f ca="1">IFERROR(VLOOKUP(H67,fixed_expenses[],2,0),"")</f>
        <v/>
      </c>
      <c r="J67" s="17" t="str">
        <f ca="1">IF(HLOOKUP(J64,Summary!$I$2:$AM$7,3,0)=0,"",HLOOKUP(J64,Summary!$I$2:$AM$7,3,0))</f>
        <v/>
      </c>
      <c r="K67" s="71" t="str">
        <f ca="1">IFERROR(VLOOKUP(J67,fixed_expenses[],2,0),"")</f>
        <v/>
      </c>
      <c r="L67" s="17" t="str">
        <f ca="1">IF(HLOOKUP(L64,Summary!$I$2:$AM$7,3,0)=0,"",HLOOKUP(L64,Summary!$I$2:$AM$7,3,0))</f>
        <v/>
      </c>
      <c r="M67" s="71" t="str">
        <f ca="1">IFERROR(VLOOKUP(L67,fixed_expenses[],2,0),"")</f>
        <v/>
      </c>
      <c r="N67" s="17" t="str">
        <f ca="1">IF(HLOOKUP(N64,Summary!$I$2:$AM$7,3,0)=0,"",HLOOKUP(N64,Summary!$I$2:$AM$7,3,0))</f>
        <v/>
      </c>
      <c r="O67" s="71" t="str">
        <f ca="1">IFERROR(VLOOKUP(N67,fixed_expenses[],2,0),"")</f>
        <v/>
      </c>
      <c r="P67" s="22"/>
    </row>
    <row r="68" spans="1:16" x14ac:dyDescent="0.2">
      <c r="B68" s="17" t="str">
        <f ca="1">IF(HLOOKUP(B64,Summary!$I$2:$AM$7,4,0)=0,"",HLOOKUP(B64,Summary!$I$2:$AM$7,4,0))</f>
        <v/>
      </c>
      <c r="C68" s="71" t="str">
        <f ca="1">IFERROR(VLOOKUP(B68,fixed_expenses[],2,0),"")</f>
        <v/>
      </c>
      <c r="D68" s="17" t="str">
        <f ca="1">IF(HLOOKUP(D64,Summary!$I$2:$AM$7,4,0)=0,"",HLOOKUP(D64,Summary!$I$2:$AM$7,4,0))</f>
        <v/>
      </c>
      <c r="E68" s="71" t="str">
        <f ca="1">IFERROR(VLOOKUP(D68,fixed_expenses[],2,0),"")</f>
        <v/>
      </c>
      <c r="F68" s="17" t="str">
        <f ca="1">IF(HLOOKUP(F64,Summary!$I$2:$AM$7,4,0)=0,"",HLOOKUP(F64,Summary!$I$2:$AM$7,4,0))</f>
        <v/>
      </c>
      <c r="G68" s="71" t="str">
        <f ca="1">IFERROR(VLOOKUP(F68,fixed_expenses[],2,0),"")</f>
        <v/>
      </c>
      <c r="H68" s="17" t="str">
        <f ca="1">IF(HLOOKUP(H64,Summary!$I$2:$AM$7,4,0)=0,"",HLOOKUP(H64,Summary!$I$2:$AM$7,4,0))</f>
        <v/>
      </c>
      <c r="I68" s="71" t="str">
        <f ca="1">IFERROR(VLOOKUP(H68,fixed_expenses[],2,0),"")</f>
        <v/>
      </c>
      <c r="J68" s="17" t="str">
        <f ca="1">IF(HLOOKUP(J64,Summary!$I$2:$AM$7,4,0)=0,"",HLOOKUP(J64,Summary!$I$2:$AM$7,4,0))</f>
        <v/>
      </c>
      <c r="K68" s="71" t="str">
        <f ca="1">IFERROR(VLOOKUP(J68,fixed_expenses[],2,0),"")</f>
        <v/>
      </c>
      <c r="L68" s="17" t="str">
        <f ca="1">IF(HLOOKUP(L64,Summary!$I$2:$AM$7,4,0)=0,"",HLOOKUP(L64,Summary!$I$2:$AM$7,4,0))</f>
        <v/>
      </c>
      <c r="M68" s="71" t="str">
        <f ca="1">IFERROR(VLOOKUP(L68,fixed_expenses[],2,0),"")</f>
        <v/>
      </c>
      <c r="N68" s="17" t="str">
        <f ca="1">IF(HLOOKUP(N64,Summary!$I$2:$AM$7,4,0)=0,"",HLOOKUP(N64,Summary!$I$2:$AM$7,4,0))</f>
        <v/>
      </c>
      <c r="O68" s="71" t="str">
        <f ca="1">IFERROR(VLOOKUP(N68,fixed_expenses[],2,0),"")</f>
        <v/>
      </c>
      <c r="P68" s="22"/>
    </row>
    <row r="69" spans="1:16" x14ac:dyDescent="0.2">
      <c r="B69" s="17" t="str">
        <f ca="1">IF(HLOOKUP(B64,Summary!$I$2:$AM$7,5,0)=0,"",HLOOKUP(B64,Summary!$I$2:$AM$7,5,0))</f>
        <v/>
      </c>
      <c r="C69" s="71" t="str">
        <f ca="1">IFERROR(VLOOKUP(B69,fixed_expenses[],2,0),"")</f>
        <v/>
      </c>
      <c r="D69" s="17" t="str">
        <f ca="1">IF(HLOOKUP(D64,Summary!$I$2:$AM$7,5,0)=0,"",HLOOKUP(D64,Summary!$I$2:$AM$7,5,0))</f>
        <v/>
      </c>
      <c r="E69" s="71" t="str">
        <f ca="1">IFERROR(VLOOKUP(D69,fixed_expenses[],2,0),"")</f>
        <v/>
      </c>
      <c r="F69" s="17" t="str">
        <f ca="1">IF(HLOOKUP(F64,Summary!$I$2:$AM$7,5,0)=0,"",HLOOKUP(F64,Summary!$I$2:$AM$7,5,0))</f>
        <v/>
      </c>
      <c r="G69" s="71" t="str">
        <f ca="1">IFERROR(VLOOKUP(F69,fixed_expenses[],2,0),"")</f>
        <v/>
      </c>
      <c r="H69" s="17" t="str">
        <f ca="1">IF(HLOOKUP(H64,Summary!$I$2:$AM$7,5,0)=0,"",HLOOKUP(H64,Summary!$I$2:$AM$7,5,0))</f>
        <v/>
      </c>
      <c r="I69" s="71" t="str">
        <f ca="1">IFERROR(VLOOKUP(H69,fixed_expenses[],2,0),"")</f>
        <v/>
      </c>
      <c r="J69" s="17" t="str">
        <f ca="1">IF(HLOOKUP(J64,Summary!$I$2:$AM$7,5,0)=0,"",HLOOKUP(J64,Summary!$I$2:$AM$7,5,0))</f>
        <v/>
      </c>
      <c r="K69" s="71" t="str">
        <f ca="1">IFERROR(VLOOKUP(J69,fixed_expenses[],2,0),"")</f>
        <v/>
      </c>
      <c r="L69" s="17" t="str">
        <f ca="1">IF(HLOOKUP(L64,Summary!$I$2:$AM$7,5,0)=0,"",HLOOKUP(L64,Summary!$I$2:$AM$7,5,0))</f>
        <v/>
      </c>
      <c r="M69" s="71" t="str">
        <f ca="1">IFERROR(VLOOKUP(L69,fixed_expenses[],2,0),"")</f>
        <v/>
      </c>
      <c r="N69" s="17" t="str">
        <f ca="1">IF(HLOOKUP(N64,Summary!$I$2:$AM$7,5,0)=0,"",HLOOKUP(N64,Summary!$I$2:$AM$7,5,0))</f>
        <v/>
      </c>
      <c r="O69" s="71" t="str">
        <f ca="1">IFERROR(VLOOKUP(N69,fixed_expenses[],2,0),"")</f>
        <v/>
      </c>
      <c r="P69" s="22"/>
    </row>
    <row r="70" spans="1:16" x14ac:dyDescent="0.2">
      <c r="B70" s="17" t="str">
        <f ca="1">IF(HLOOKUP(B64,Summary!$I$2:$AM$7,6,0)=0,"",HLOOKUP(B64,Summary!$I$2:$AM$7,6,0))</f>
        <v/>
      </c>
      <c r="C70" s="71" t="str">
        <f ca="1">IFERROR(VLOOKUP(B70,fixed_expenses[],2,0),"")</f>
        <v/>
      </c>
      <c r="D70" s="17" t="str">
        <f ca="1">IF(HLOOKUP(D64,Summary!$I$2:$AM$7,6,0)=0,"",HLOOKUP(D64,Summary!$I$2:$AM$7,6,0))</f>
        <v/>
      </c>
      <c r="E70" s="71" t="str">
        <f ca="1">IFERROR(VLOOKUP(D70,fixed_expenses[],2,0),"")</f>
        <v/>
      </c>
      <c r="F70" s="17" t="str">
        <f ca="1">IF(HLOOKUP(F64,Summary!$I$2:$AM$7,6,0)=0,"",HLOOKUP(F64,Summary!$I$2:$AM$7,6,0))</f>
        <v/>
      </c>
      <c r="G70" s="71" t="str">
        <f ca="1">IFERROR(VLOOKUP(F70,fixed_expenses[],2,0),"")</f>
        <v/>
      </c>
      <c r="H70" s="17" t="str">
        <f ca="1">IF(HLOOKUP(H64,Summary!$I$2:$AM$7,6,0)=0,"",HLOOKUP(H64,Summary!$I$2:$AM$7,6,0))</f>
        <v/>
      </c>
      <c r="I70" s="71" t="str">
        <f ca="1">IFERROR(VLOOKUP(H70,fixed_expenses[],2,0),"")</f>
        <v/>
      </c>
      <c r="J70" s="17" t="str">
        <f ca="1">IF(HLOOKUP(J64,Summary!$I$2:$AM$7,6,0)=0,"",HLOOKUP(J64,Summary!$I$2:$AM$7,6,0))</f>
        <v/>
      </c>
      <c r="K70" s="71" t="str">
        <f ca="1">IFERROR(VLOOKUP(J70,fixed_expenses[],2,0),"")</f>
        <v/>
      </c>
      <c r="L70" s="17" t="str">
        <f ca="1">IF(HLOOKUP(L64,Summary!$I$2:$AM$7,6,0)=0,"",HLOOKUP(L64,Summary!$I$2:$AM$7,6,0))</f>
        <v/>
      </c>
      <c r="M70" s="71" t="str">
        <f ca="1">IFERROR(VLOOKUP(L70,fixed_expenses[],2,0),"")</f>
        <v/>
      </c>
      <c r="N70" s="17" t="str">
        <f ca="1">IF(HLOOKUP(N64,Summary!$I$2:$AM$7,6,0)=0,"",HLOOKUP(N64,Summary!$I$2:$AM$7,6,0))</f>
        <v/>
      </c>
      <c r="O70" s="71" t="str">
        <f ca="1">IFERROR(VLOOKUP(N70,fixed_expenses[],2,0),"")</f>
        <v/>
      </c>
      <c r="P70" s="22"/>
    </row>
    <row r="71" spans="1:16" ht="11.25" customHeight="1" x14ac:dyDescent="0.2">
      <c r="A71" s="43" t="s">
        <v>59</v>
      </c>
      <c r="B71" s="26" t="s">
        <v>8</v>
      </c>
      <c r="C71" s="27">
        <f ca="1">SUM(C66:C70)</f>
        <v>0</v>
      </c>
      <c r="D71" s="18"/>
      <c r="E71" s="27">
        <f ca="1">SUM(E66:E70)</f>
        <v>0</v>
      </c>
      <c r="F71" s="18"/>
      <c r="G71" s="27">
        <f ca="1">SUM(G66:G70)</f>
        <v>0</v>
      </c>
      <c r="H71" s="18"/>
      <c r="I71" s="27">
        <f ca="1">SUM(I66:I70)</f>
        <v>1200</v>
      </c>
      <c r="J71" s="26"/>
      <c r="K71" s="27">
        <f ca="1">SUM(K66:K70)</f>
        <v>0</v>
      </c>
      <c r="L71" s="26"/>
      <c r="M71" s="27">
        <f ca="1">SUM(M66:M70)</f>
        <v>232</v>
      </c>
      <c r="N71" s="26"/>
      <c r="O71" s="28">
        <f ca="1">SUM(O66:O70)</f>
        <v>0</v>
      </c>
      <c r="P71" s="29">
        <f ca="1">SUMIF(B64:N64,"&lt;8",C71:O71)</f>
        <v>1432</v>
      </c>
    </row>
    <row r="72" spans="1:16" x14ac:dyDescent="0.2">
      <c r="B72" s="6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6"/>
    </row>
    <row r="73" spans="1:16" ht="15" customHeight="1" x14ac:dyDescent="0.2">
      <c r="A73" s="43" t="s">
        <v>60</v>
      </c>
      <c r="B73" s="12">
        <f ca="1">N64+1</f>
        <v>7</v>
      </c>
      <c r="C73" s="13"/>
      <c r="D73" s="12">
        <f ca="1">B73+1</f>
        <v>8</v>
      </c>
      <c r="E73" s="13"/>
      <c r="F73" s="12">
        <f ca="1">D73+1</f>
        <v>9</v>
      </c>
      <c r="G73" s="13"/>
      <c r="H73" s="12">
        <f ca="1">F73+1</f>
        <v>10</v>
      </c>
      <c r="I73" s="13"/>
      <c r="J73" s="12">
        <f ca="1">H73+1</f>
        <v>11</v>
      </c>
      <c r="K73" s="13"/>
      <c r="L73" s="12">
        <f ca="1">J73+1</f>
        <v>12</v>
      </c>
      <c r="M73" s="13"/>
      <c r="N73" s="12">
        <f ca="1">L73+1</f>
        <v>13</v>
      </c>
      <c r="O73" s="13"/>
      <c r="P73" s="23"/>
    </row>
    <row r="74" spans="1:16" ht="11.25" customHeight="1" x14ac:dyDescent="0.2">
      <c r="A74" s="43" t="s">
        <v>61</v>
      </c>
      <c r="B74" s="37" t="s">
        <v>9</v>
      </c>
      <c r="C74" s="39" t="s">
        <v>10</v>
      </c>
      <c r="D74" s="37" t="s">
        <v>9</v>
      </c>
      <c r="E74" s="39" t="s">
        <v>10</v>
      </c>
      <c r="F74" s="37" t="s">
        <v>9</v>
      </c>
      <c r="G74" s="39" t="s">
        <v>10</v>
      </c>
      <c r="H74" s="37" t="s">
        <v>9</v>
      </c>
      <c r="I74" s="39" t="s">
        <v>10</v>
      </c>
      <c r="J74" s="37" t="s">
        <v>9</v>
      </c>
      <c r="K74" s="39" t="s">
        <v>10</v>
      </c>
      <c r="L74" s="37" t="s">
        <v>9</v>
      </c>
      <c r="M74" s="39" t="s">
        <v>10</v>
      </c>
      <c r="N74" s="37" t="s">
        <v>9</v>
      </c>
      <c r="O74" s="40" t="s">
        <v>10</v>
      </c>
      <c r="P74" s="22"/>
    </row>
    <row r="75" spans="1:16" ht="11.25" customHeight="1" x14ac:dyDescent="0.2">
      <c r="A75" s="43" t="s">
        <v>62</v>
      </c>
      <c r="B75" s="17" t="str">
        <f ca="1">IF(HLOOKUP(B73,Summary!$I$2:$AM$7,2,0)=0,"",HLOOKUP(B73,Summary!$I$2:$AM$7,2,0))</f>
        <v/>
      </c>
      <c r="C75" s="71" t="str">
        <f ca="1">IFERROR(VLOOKUP(B75,fixed_expenses[],2,0),"")</f>
        <v/>
      </c>
      <c r="D75" s="17" t="str">
        <f ca="1">IF(HLOOKUP(D73,Summary!$I$2:$AM$7,2,0)=0,"",HLOOKUP(D73,Summary!$I$2:$AM$7,2,0))</f>
        <v/>
      </c>
      <c r="E75" s="71" t="str">
        <f ca="1">IFERROR(VLOOKUP(D75,fixed_expenses[],2,0),"")</f>
        <v/>
      </c>
      <c r="F75" s="17" t="str">
        <f ca="1">IF(HLOOKUP(F73,Summary!$I$2:$AM$7,2,0)=0,"",HLOOKUP(F73,Summary!$I$2:$AM$7,2,0))</f>
        <v/>
      </c>
      <c r="G75" s="71" t="str">
        <f ca="1">IFERROR(VLOOKUP(F75,fixed_expenses[],2,0),"")</f>
        <v/>
      </c>
      <c r="H75" s="17" t="str">
        <f ca="1">IF(HLOOKUP(H73,Summary!$I$2:$AM$7,2,0)=0,"",HLOOKUP(H73,Summary!$I$2:$AM$7,2,0))</f>
        <v/>
      </c>
      <c r="I75" s="71" t="str">
        <f ca="1">IFERROR(VLOOKUP(H75,fixed_expenses[],2,0),"")</f>
        <v/>
      </c>
      <c r="J75" s="17" t="str">
        <f ca="1">IF(HLOOKUP(J73,Summary!$I$2:$AM$7,2,0)=0,"",HLOOKUP(J73,Summary!$I$2:$AM$7,2,0))</f>
        <v/>
      </c>
      <c r="K75" s="71" t="str">
        <f ca="1">IFERROR(VLOOKUP(J75,fixed_expenses[],2,0),"")</f>
        <v/>
      </c>
      <c r="L75" s="17" t="str">
        <f ca="1">IF(HLOOKUP(L73,Summary!$I$2:$AM$7,2,0)=0,"",HLOOKUP(L73,Summary!$I$2:$AM$7,2,0))</f>
        <v/>
      </c>
      <c r="M75" s="71" t="str">
        <f ca="1">IFERROR(VLOOKUP(L75,fixed_expenses[],2,0),"")</f>
        <v/>
      </c>
      <c r="N75" s="17" t="str">
        <f ca="1">IF(HLOOKUP(N73,Summary!$I$2:$AM$7,2,0)=0,"",HLOOKUP(N73,Summary!$I$2:$AM$7,2,0))</f>
        <v/>
      </c>
      <c r="O75" s="71" t="str">
        <f ca="1">IFERROR(VLOOKUP(N75,fixed_expenses[],2,0),"")</f>
        <v/>
      </c>
      <c r="P75" s="22"/>
    </row>
    <row r="76" spans="1:16" x14ac:dyDescent="0.2">
      <c r="B76" s="17" t="str">
        <f ca="1">IF(HLOOKUP(B73,Summary!$I$2:$AM$7,3,0)=0,"",HLOOKUP(B73,Summary!$I$2:$AM$7,3,0))</f>
        <v/>
      </c>
      <c r="C76" s="71" t="str">
        <f ca="1">IFERROR(VLOOKUP(B76,fixed_expenses[],2,0),"")</f>
        <v/>
      </c>
      <c r="D76" s="17" t="str">
        <f ca="1">IF(HLOOKUP(D73,Summary!$I$2:$AM$7,3,0)=0,"",HLOOKUP(D73,Summary!$I$2:$AM$7,3,0))</f>
        <v/>
      </c>
      <c r="E76" s="71" t="str">
        <f ca="1">IFERROR(VLOOKUP(D76,fixed_expenses[],2,0),"")</f>
        <v/>
      </c>
      <c r="F76" s="17" t="str">
        <f ca="1">IF(HLOOKUP(F73,Summary!$I$2:$AM$7,3,0)=0,"",HLOOKUP(F73,Summary!$I$2:$AM$7,3,0))</f>
        <v/>
      </c>
      <c r="G76" s="71" t="str">
        <f ca="1">IFERROR(VLOOKUP(F76,fixed_expenses[],2,0),"")</f>
        <v/>
      </c>
      <c r="H76" s="17" t="str">
        <f ca="1">IF(HLOOKUP(H73,Summary!$I$2:$AM$7,3,0)=0,"",HLOOKUP(H73,Summary!$I$2:$AM$7,3,0))</f>
        <v/>
      </c>
      <c r="I76" s="71" t="str">
        <f ca="1">IFERROR(VLOOKUP(H76,fixed_expenses[],2,0),"")</f>
        <v/>
      </c>
      <c r="J76" s="17" t="str">
        <f ca="1">IF(HLOOKUP(J73,Summary!$I$2:$AM$7,3,0)=0,"",HLOOKUP(J73,Summary!$I$2:$AM$7,3,0))</f>
        <v/>
      </c>
      <c r="K76" s="71" t="str">
        <f ca="1">IFERROR(VLOOKUP(J76,fixed_expenses[],2,0),"")</f>
        <v/>
      </c>
      <c r="L76" s="17" t="str">
        <f ca="1">IF(HLOOKUP(L73,Summary!$I$2:$AM$7,3,0)=0,"",HLOOKUP(L73,Summary!$I$2:$AM$7,3,0))</f>
        <v/>
      </c>
      <c r="M76" s="71" t="str">
        <f ca="1">IFERROR(VLOOKUP(L76,fixed_expenses[],2,0),"")</f>
        <v/>
      </c>
      <c r="N76" s="17" t="str">
        <f ca="1">IF(HLOOKUP(N73,Summary!$I$2:$AM$7,3,0)=0,"",HLOOKUP(N73,Summary!$I$2:$AM$7,3,0))</f>
        <v/>
      </c>
      <c r="O76" s="71" t="str">
        <f ca="1">IFERROR(VLOOKUP(N76,fixed_expenses[],2,0),"")</f>
        <v/>
      </c>
      <c r="P76" s="22"/>
    </row>
    <row r="77" spans="1:16" x14ac:dyDescent="0.2">
      <c r="B77" s="17" t="str">
        <f ca="1">IF(HLOOKUP(B73,Summary!$I$2:$AM$7,4,0)=0,"",HLOOKUP(B73,Summary!$I$2:$AM$7,4,0))</f>
        <v/>
      </c>
      <c r="C77" s="71" t="str">
        <f ca="1">IFERROR(VLOOKUP(B77,fixed_expenses[],2,0),"")</f>
        <v/>
      </c>
      <c r="D77" s="17" t="str">
        <f ca="1">IF(HLOOKUP(D73,Summary!$I$2:$AM$7,4,0)=0,"",HLOOKUP(D73,Summary!$I$2:$AM$7,4,0))</f>
        <v/>
      </c>
      <c r="E77" s="71" t="str">
        <f ca="1">IFERROR(VLOOKUP(D77,fixed_expenses[],2,0),"")</f>
        <v/>
      </c>
      <c r="F77" s="17" t="str">
        <f ca="1">IF(HLOOKUP(F73,Summary!$I$2:$AM$7,4,0)=0,"",HLOOKUP(F73,Summary!$I$2:$AM$7,4,0))</f>
        <v/>
      </c>
      <c r="G77" s="71" t="str">
        <f ca="1">IFERROR(VLOOKUP(F77,fixed_expenses[],2,0),"")</f>
        <v/>
      </c>
      <c r="H77" s="17" t="str">
        <f ca="1">IF(HLOOKUP(H73,Summary!$I$2:$AM$7,4,0)=0,"",HLOOKUP(H73,Summary!$I$2:$AM$7,4,0))</f>
        <v/>
      </c>
      <c r="I77" s="71" t="str">
        <f ca="1">IFERROR(VLOOKUP(H77,fixed_expenses[],2,0),"")</f>
        <v/>
      </c>
      <c r="J77" s="17" t="str">
        <f ca="1">IF(HLOOKUP(J73,Summary!$I$2:$AM$7,4,0)=0,"",HLOOKUP(J73,Summary!$I$2:$AM$7,4,0))</f>
        <v/>
      </c>
      <c r="K77" s="71" t="str">
        <f ca="1">IFERROR(VLOOKUP(J77,fixed_expenses[],2,0),"")</f>
        <v/>
      </c>
      <c r="L77" s="17" t="str">
        <f ca="1">IF(HLOOKUP(L73,Summary!$I$2:$AM$7,4,0)=0,"",HLOOKUP(L73,Summary!$I$2:$AM$7,4,0))</f>
        <v/>
      </c>
      <c r="M77" s="71" t="str">
        <f ca="1">IFERROR(VLOOKUP(L77,fixed_expenses[],2,0),"")</f>
        <v/>
      </c>
      <c r="N77" s="17" t="str">
        <f ca="1">IF(HLOOKUP(N73,Summary!$I$2:$AM$7,4,0)=0,"",HLOOKUP(N73,Summary!$I$2:$AM$7,4,0))</f>
        <v/>
      </c>
      <c r="O77" s="71" t="str">
        <f ca="1">IFERROR(VLOOKUP(N77,fixed_expenses[],2,0),"")</f>
        <v/>
      </c>
      <c r="P77" s="22"/>
    </row>
    <row r="78" spans="1:16" x14ac:dyDescent="0.2">
      <c r="B78" s="17" t="str">
        <f ca="1">IF(HLOOKUP(B73,Summary!$I$2:$AM$7,5,0)=0,"",HLOOKUP(B73,Summary!$I$2:$AM$7,5,0))</f>
        <v/>
      </c>
      <c r="C78" s="71" t="str">
        <f ca="1">IFERROR(VLOOKUP(B78,fixed_expenses[],2,0),"")</f>
        <v/>
      </c>
      <c r="D78" s="17" t="str">
        <f ca="1">IF(HLOOKUP(D73,Summary!$I$2:$AM$7,5,0)=0,"",HLOOKUP(D73,Summary!$I$2:$AM$7,5,0))</f>
        <v/>
      </c>
      <c r="E78" s="71" t="str">
        <f ca="1">IFERROR(VLOOKUP(D78,fixed_expenses[],2,0),"")</f>
        <v/>
      </c>
      <c r="F78" s="17" t="str">
        <f ca="1">IF(HLOOKUP(F73,Summary!$I$2:$AM$7,5,0)=0,"",HLOOKUP(F73,Summary!$I$2:$AM$7,5,0))</f>
        <v/>
      </c>
      <c r="G78" s="71" t="str">
        <f ca="1">IFERROR(VLOOKUP(F78,fixed_expenses[],2,0),"")</f>
        <v/>
      </c>
      <c r="H78" s="17" t="str">
        <f ca="1">IF(HLOOKUP(H73,Summary!$I$2:$AM$7,5,0)=0,"",HLOOKUP(H73,Summary!$I$2:$AM$7,5,0))</f>
        <v/>
      </c>
      <c r="I78" s="71" t="str">
        <f ca="1">IFERROR(VLOOKUP(H78,fixed_expenses[],2,0),"")</f>
        <v/>
      </c>
      <c r="J78" s="17" t="str">
        <f ca="1">IF(HLOOKUP(J73,Summary!$I$2:$AM$7,5,0)=0,"",HLOOKUP(J73,Summary!$I$2:$AM$7,5,0))</f>
        <v/>
      </c>
      <c r="K78" s="71" t="str">
        <f ca="1">IFERROR(VLOOKUP(J78,fixed_expenses[],2,0),"")</f>
        <v/>
      </c>
      <c r="L78" s="17" t="str">
        <f ca="1">IF(HLOOKUP(L73,Summary!$I$2:$AM$7,5,0)=0,"",HLOOKUP(L73,Summary!$I$2:$AM$7,5,0))</f>
        <v/>
      </c>
      <c r="M78" s="71" t="str">
        <f ca="1">IFERROR(VLOOKUP(L78,fixed_expenses[],2,0),"")</f>
        <v/>
      </c>
      <c r="N78" s="17" t="str">
        <f ca="1">IF(HLOOKUP(N73,Summary!$I$2:$AM$7,5,0)=0,"",HLOOKUP(N73,Summary!$I$2:$AM$7,5,0))</f>
        <v/>
      </c>
      <c r="O78" s="71" t="str">
        <f ca="1">IFERROR(VLOOKUP(N78,fixed_expenses[],2,0),"")</f>
        <v/>
      </c>
      <c r="P78" s="22"/>
    </row>
    <row r="79" spans="1:16" x14ac:dyDescent="0.2">
      <c r="B79" s="17" t="str">
        <f ca="1">IF(HLOOKUP(B73,Summary!$I$2:$AM$7,6,0)=0,"",HLOOKUP(B73,Summary!$I$2:$AM$7,6,0))</f>
        <v/>
      </c>
      <c r="C79" s="71" t="str">
        <f ca="1">IFERROR(VLOOKUP(B79,fixed_expenses[],2,0),"")</f>
        <v/>
      </c>
      <c r="D79" s="17" t="str">
        <f ca="1">IF(HLOOKUP(D73,Summary!$I$2:$AM$7,6,0)=0,"",HLOOKUP(D73,Summary!$I$2:$AM$7,6,0))</f>
        <v/>
      </c>
      <c r="E79" s="71" t="str">
        <f ca="1">IFERROR(VLOOKUP(D79,fixed_expenses[],2,0),"")</f>
        <v/>
      </c>
      <c r="F79" s="17" t="str">
        <f ca="1">IF(HLOOKUP(F73,Summary!$I$2:$AM$7,6,0)=0,"",HLOOKUP(F73,Summary!$I$2:$AM$7,6,0))</f>
        <v/>
      </c>
      <c r="G79" s="71" t="str">
        <f ca="1">IFERROR(VLOOKUP(F79,fixed_expenses[],2,0),"")</f>
        <v/>
      </c>
      <c r="H79" s="17" t="str">
        <f ca="1">IF(HLOOKUP(H73,Summary!$I$2:$AM$7,6,0)=0,"",HLOOKUP(H73,Summary!$I$2:$AM$7,6,0))</f>
        <v/>
      </c>
      <c r="I79" s="71" t="str">
        <f ca="1">IFERROR(VLOOKUP(H79,fixed_expenses[],2,0),"")</f>
        <v/>
      </c>
      <c r="J79" s="17" t="str">
        <f ca="1">IF(HLOOKUP(J73,Summary!$I$2:$AM$7,6,0)=0,"",HLOOKUP(J73,Summary!$I$2:$AM$7,6,0))</f>
        <v/>
      </c>
      <c r="K79" s="71" t="str">
        <f ca="1">IFERROR(VLOOKUP(J79,fixed_expenses[],2,0),"")</f>
        <v/>
      </c>
      <c r="L79" s="17" t="str">
        <f ca="1">IF(HLOOKUP(L73,Summary!$I$2:$AM$7,6,0)=0,"",HLOOKUP(L73,Summary!$I$2:$AM$7,6,0))</f>
        <v/>
      </c>
      <c r="M79" s="71" t="str">
        <f ca="1">IFERROR(VLOOKUP(L79,fixed_expenses[],2,0),"")</f>
        <v/>
      </c>
      <c r="N79" s="17" t="str">
        <f ca="1">IF(HLOOKUP(N73,Summary!$I$2:$AM$7,6,0)=0,"",HLOOKUP(N73,Summary!$I$2:$AM$7,6,0))</f>
        <v/>
      </c>
      <c r="O79" s="71" t="str">
        <f ca="1">IFERROR(VLOOKUP(N79,fixed_expenses[],2,0),"")</f>
        <v/>
      </c>
      <c r="P79" s="22"/>
    </row>
    <row r="80" spans="1:16" ht="11.25" customHeight="1" x14ac:dyDescent="0.2">
      <c r="A80" s="43" t="s">
        <v>63</v>
      </c>
      <c r="B80" s="26" t="s">
        <v>8</v>
      </c>
      <c r="C80" s="27">
        <f ca="1">SUM(C75:C79)</f>
        <v>0</v>
      </c>
      <c r="D80" s="26"/>
      <c r="E80" s="27">
        <f ca="1">SUM(E75:E79)</f>
        <v>0</v>
      </c>
      <c r="F80" s="26"/>
      <c r="G80" s="27">
        <f ca="1">SUM(G75:G79)</f>
        <v>0</v>
      </c>
      <c r="H80" s="26"/>
      <c r="I80" s="27">
        <f ca="1">SUM(I75:I79)</f>
        <v>0</v>
      </c>
      <c r="J80" s="26"/>
      <c r="K80" s="27">
        <f ca="1">SUM(K75:K79)</f>
        <v>0</v>
      </c>
      <c r="L80" s="26"/>
      <c r="M80" s="27">
        <f ca="1">SUM(M75:M79)</f>
        <v>0</v>
      </c>
      <c r="N80" s="26"/>
      <c r="O80" s="28">
        <f ca="1">SUM(O75:O79)</f>
        <v>0</v>
      </c>
      <c r="P80" s="29">
        <f ca="1">SUM(C80,E80,G80,I80,K80,M80,O80)</f>
        <v>0</v>
      </c>
    </row>
    <row r="81" spans="1:16" x14ac:dyDescent="0.2">
      <c r="B81" s="6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6"/>
    </row>
    <row r="82" spans="1:16" ht="15" customHeight="1" x14ac:dyDescent="0.2">
      <c r="A82" s="43" t="s">
        <v>64</v>
      </c>
      <c r="B82" s="12">
        <f ca="1">N73+1</f>
        <v>14</v>
      </c>
      <c r="C82" s="13"/>
      <c r="D82" s="12">
        <f ca="1">B82+1</f>
        <v>15</v>
      </c>
      <c r="E82" s="13"/>
      <c r="F82" s="12">
        <f ca="1">D82+1</f>
        <v>16</v>
      </c>
      <c r="G82" s="13"/>
      <c r="H82" s="12">
        <f ca="1">F82+1</f>
        <v>17</v>
      </c>
      <c r="I82" s="13"/>
      <c r="J82" s="12">
        <f ca="1">H82+1</f>
        <v>18</v>
      </c>
      <c r="K82" s="13"/>
      <c r="L82" s="12">
        <f ca="1">J82+1</f>
        <v>19</v>
      </c>
      <c r="M82" s="13"/>
      <c r="N82" s="12">
        <f ca="1">L82+1</f>
        <v>20</v>
      </c>
      <c r="O82" s="13"/>
      <c r="P82" s="24"/>
    </row>
    <row r="83" spans="1:16" ht="11.25" customHeight="1" x14ac:dyDescent="0.2">
      <c r="A83" s="43" t="s">
        <v>65</v>
      </c>
      <c r="B83" s="37" t="s">
        <v>9</v>
      </c>
      <c r="C83" s="39" t="s">
        <v>10</v>
      </c>
      <c r="D83" s="37" t="s">
        <v>9</v>
      </c>
      <c r="E83" s="39" t="s">
        <v>10</v>
      </c>
      <c r="F83" s="37" t="s">
        <v>9</v>
      </c>
      <c r="G83" s="39" t="s">
        <v>10</v>
      </c>
      <c r="H83" s="37" t="s">
        <v>9</v>
      </c>
      <c r="I83" s="39" t="s">
        <v>10</v>
      </c>
      <c r="J83" s="37" t="s">
        <v>9</v>
      </c>
      <c r="K83" s="39" t="s">
        <v>10</v>
      </c>
      <c r="L83" s="37" t="s">
        <v>9</v>
      </c>
      <c r="M83" s="39" t="s">
        <v>10</v>
      </c>
      <c r="N83" s="37" t="s">
        <v>9</v>
      </c>
      <c r="O83" s="40" t="s">
        <v>10</v>
      </c>
      <c r="P83" s="22"/>
    </row>
    <row r="84" spans="1:16" ht="11.25" customHeight="1" x14ac:dyDescent="0.2">
      <c r="A84" s="43" t="s">
        <v>66</v>
      </c>
      <c r="B84" s="17" t="str">
        <f ca="1">IF(HLOOKUP(B82,Summary!$I$2:$AM$7,2,0)=0,"",HLOOKUP(B82,Summary!$I$2:$AM$7,2,0))</f>
        <v/>
      </c>
      <c r="C84" s="71" t="str">
        <f ca="1">IFERROR(VLOOKUP(B84,fixed_expenses[],2,0),"")</f>
        <v/>
      </c>
      <c r="D84" s="17" t="str">
        <f ca="1">IF(HLOOKUP(D82,Summary!$I$2:$AM$7,2,0)=0,"",HLOOKUP(D82,Summary!$I$2:$AM$7,2,0))</f>
        <v>Paul Phone Bill</v>
      </c>
      <c r="E84" s="71">
        <f ca="1">IFERROR(VLOOKUP(D84,fixed_expenses[],2,0),"")</f>
        <v>60</v>
      </c>
      <c r="F84" s="17" t="str">
        <f ca="1">IF(HLOOKUP(F82,Summary!$I$2:$AM$7,2,0)=0,"",HLOOKUP(F82,Summary!$I$2:$AM$7,2,0))</f>
        <v/>
      </c>
      <c r="G84" s="71" t="str">
        <f ca="1">IFERROR(VLOOKUP(F84,fixed_expenses[],2,0),"")</f>
        <v/>
      </c>
      <c r="H84" s="17" t="str">
        <f ca="1">IF(HLOOKUP(H82,Summary!$I$2:$AM$7,2,0)=0,"",HLOOKUP(H82,Summary!$I$2:$AM$7,2,0))</f>
        <v/>
      </c>
      <c r="I84" s="71" t="str">
        <f ca="1">IFERROR(VLOOKUP(H84,fixed_expenses[],2,0),"")</f>
        <v/>
      </c>
      <c r="J84" s="17" t="str">
        <f ca="1">IF(HLOOKUP(J82,Summary!$I$2:$AM$7,2,0)=0,"",HLOOKUP(J82,Summary!$I$2:$AM$7,2,0))</f>
        <v/>
      </c>
      <c r="K84" s="71" t="str">
        <f ca="1">IFERROR(VLOOKUP(J84,fixed_expenses[],2,0),"")</f>
        <v/>
      </c>
      <c r="L84" s="17" t="s">
        <v>384</v>
      </c>
      <c r="M84" s="71">
        <f>IFERROR(VLOOKUP(L84,fixed_expenses[],2,0),"")</f>
        <v>232</v>
      </c>
      <c r="N84" s="17" t="str">
        <f ca="1">IF(HLOOKUP(N82,Summary!$I$2:$AM$7,2,0)=0,"",HLOOKUP(N82,Summary!$I$2:$AM$7,2,0))</f>
        <v>Lynn Phone Bill</v>
      </c>
      <c r="O84" s="71" t="str">
        <f ca="1">IFERROR(VLOOKUP(N84,fixed_expenses[],2,0),"")</f>
        <v/>
      </c>
      <c r="P84" s="22"/>
    </row>
    <row r="85" spans="1:16" ht="11.25" customHeight="1" x14ac:dyDescent="0.2">
      <c r="B85" s="17" t="str">
        <f ca="1">IF(HLOOKUP(B82,Summary!$I$2:$AM$7,3,0)=0,"",HLOOKUP(B82,Summary!$I$2:$AM$7,3,0))</f>
        <v/>
      </c>
      <c r="C85" s="71" t="str">
        <f ca="1">IFERROR(VLOOKUP(B85,fixed_expenses[],2,0),"")</f>
        <v/>
      </c>
      <c r="D85" s="17" t="str">
        <f ca="1">IF(HLOOKUP(D82,Summary!$I$2:$AM$7,3,0)=0,"",HLOOKUP(D82,Summary!$I$2:$AM$7,3,0))</f>
        <v>Electric</v>
      </c>
      <c r="E85" s="71">
        <f ca="1">IFERROR(VLOOKUP(D85,fixed_expenses[],2,0),"")</f>
        <v>50</v>
      </c>
      <c r="F85" s="17" t="str">
        <f ca="1">IF(HLOOKUP(F82,Summary!$I$2:$AM$7,3,0)=0,"",HLOOKUP(F82,Summary!$I$2:$AM$7,3,0))</f>
        <v/>
      </c>
      <c r="G85" s="71" t="str">
        <f ca="1">IFERROR(VLOOKUP(F85,fixed_expenses[],2,0),"")</f>
        <v/>
      </c>
      <c r="H85" s="17" t="str">
        <f ca="1">IF(HLOOKUP(H82,Summary!$I$2:$AM$7,3,0)=0,"",HLOOKUP(H82,Summary!$I$2:$AM$7,3,0))</f>
        <v/>
      </c>
      <c r="I85" s="71" t="str">
        <f ca="1">IFERROR(VLOOKUP(H85,fixed_expenses[],2,0),"")</f>
        <v/>
      </c>
      <c r="J85" s="17" t="str">
        <f ca="1">IF(HLOOKUP(J82,Summary!$I$2:$AM$7,3,0)=0,"",HLOOKUP(J82,Summary!$I$2:$AM$7,3,0))</f>
        <v/>
      </c>
      <c r="K85" s="71" t="str">
        <f ca="1">IFERROR(VLOOKUP(J85,fixed_expenses[],2,0),"")</f>
        <v/>
      </c>
      <c r="L85" s="17" t="str">
        <f ca="1">IF(HLOOKUP(L82,Summary!$I$2:$AM$7,3,0)=0,"",HLOOKUP(L82,Summary!$I$2:$AM$7,3,0))</f>
        <v/>
      </c>
      <c r="M85" s="71" t="str">
        <f ca="1">IFERROR(VLOOKUP(L85,fixed_expenses[],2,0),"")</f>
        <v/>
      </c>
      <c r="N85" s="17" t="str">
        <f ca="1">IF(HLOOKUP(N82,Summary!$I$2:$AM$7,3,0)=0,"",HLOOKUP(N82,Summary!$I$2:$AM$7,3,0))</f>
        <v/>
      </c>
      <c r="O85" s="71" t="str">
        <f ca="1">IFERROR(VLOOKUP(N85,fixed_expenses[],2,0),"")</f>
        <v/>
      </c>
      <c r="P85" s="22"/>
    </row>
    <row r="86" spans="1:16" ht="11.25" customHeight="1" x14ac:dyDescent="0.2">
      <c r="B86" s="17" t="str">
        <f ca="1">IF(HLOOKUP(B82,Summary!$I$2:$AM$7,4,0)=0,"",HLOOKUP(B82,Summary!$I$2:$AM$7,4,0))</f>
        <v/>
      </c>
      <c r="C86" s="71" t="str">
        <f ca="1">IFERROR(VLOOKUP(B86,fixed_expenses[],2,0),"")</f>
        <v/>
      </c>
      <c r="D86" s="17" t="str">
        <f ca="1">IF(HLOOKUP(D82,Summary!$I$2:$AM$7,4,0)=0,"",HLOOKUP(D82,Summary!$I$2:$AM$7,4,0))</f>
        <v/>
      </c>
      <c r="E86" s="71" t="str">
        <f ca="1">IFERROR(VLOOKUP(D86,fixed_expenses[],2,0),"")</f>
        <v/>
      </c>
      <c r="F86" s="17" t="str">
        <f ca="1">IF(HLOOKUP(F82,Summary!$I$2:$AM$7,4,0)=0,"",HLOOKUP(F82,Summary!$I$2:$AM$7,4,0))</f>
        <v/>
      </c>
      <c r="G86" s="71" t="str">
        <f ca="1">IFERROR(VLOOKUP(F86,fixed_expenses[],2,0),"")</f>
        <v/>
      </c>
      <c r="H86" s="17" t="str">
        <f ca="1">IF(HLOOKUP(H82,Summary!$I$2:$AM$7,4,0)=0,"",HLOOKUP(H82,Summary!$I$2:$AM$7,4,0))</f>
        <v/>
      </c>
      <c r="I86" s="71" t="str">
        <f ca="1">IFERROR(VLOOKUP(H86,fixed_expenses[],2,0),"")</f>
        <v/>
      </c>
      <c r="J86" s="17" t="str">
        <f ca="1">IF(HLOOKUP(J82,Summary!$I$2:$AM$7,4,0)=0,"",HLOOKUP(J82,Summary!$I$2:$AM$7,4,0))</f>
        <v/>
      </c>
      <c r="K86" s="71" t="str">
        <f ca="1">IFERROR(VLOOKUP(J86,fixed_expenses[],2,0),"")</f>
        <v/>
      </c>
      <c r="L86" s="17" t="str">
        <f ca="1">IF(HLOOKUP(L82,Summary!$I$2:$AM$7,4,0)=0,"",HLOOKUP(L82,Summary!$I$2:$AM$7,4,0))</f>
        <v/>
      </c>
      <c r="M86" s="71" t="str">
        <f ca="1">IFERROR(VLOOKUP(L86,fixed_expenses[],2,0),"")</f>
        <v/>
      </c>
      <c r="N86" s="17" t="str">
        <f ca="1">IF(HLOOKUP(N82,Summary!$I$2:$AM$7,4,0)=0,"",HLOOKUP(N82,Summary!$I$2:$AM$7,4,0))</f>
        <v/>
      </c>
      <c r="O86" s="71" t="str">
        <f ca="1">IFERROR(VLOOKUP(N86,fixed_expenses[],2,0),"")</f>
        <v/>
      </c>
      <c r="P86" s="22"/>
    </row>
    <row r="87" spans="1:16" ht="11.25" customHeight="1" x14ac:dyDescent="0.2">
      <c r="B87" s="17" t="str">
        <f ca="1">IF(HLOOKUP(B82,Summary!$I$2:$AM$7,5,0)=0,"",HLOOKUP(B82,Summary!$I$2:$AM$7,5,0))</f>
        <v/>
      </c>
      <c r="C87" s="71" t="str">
        <f ca="1">IFERROR(VLOOKUP(B87,fixed_expenses[],2,0),"")</f>
        <v/>
      </c>
      <c r="D87" s="17" t="str">
        <f ca="1">IF(HLOOKUP(D82,Summary!$I$2:$AM$7,5,0)=0,"",HLOOKUP(D82,Summary!$I$2:$AM$7,5,0))</f>
        <v/>
      </c>
      <c r="E87" s="71" t="str">
        <f ca="1">IFERROR(VLOOKUP(D87,fixed_expenses[],2,0),"")</f>
        <v/>
      </c>
      <c r="F87" s="17" t="str">
        <f ca="1">IF(HLOOKUP(F82,Summary!$I$2:$AM$7,5,0)=0,"",HLOOKUP(F82,Summary!$I$2:$AM$7,5,0))</f>
        <v/>
      </c>
      <c r="G87" s="71" t="str">
        <f ca="1">IFERROR(VLOOKUP(F87,fixed_expenses[],2,0),"")</f>
        <v/>
      </c>
      <c r="H87" s="17" t="str">
        <f ca="1">IF(HLOOKUP(H82,Summary!$I$2:$AM$7,5,0)=0,"",HLOOKUP(H82,Summary!$I$2:$AM$7,5,0))</f>
        <v/>
      </c>
      <c r="I87" s="71" t="str">
        <f ca="1">IFERROR(VLOOKUP(H87,fixed_expenses[],2,0),"")</f>
        <v/>
      </c>
      <c r="J87" s="17" t="str">
        <f ca="1">IF(HLOOKUP(J82,Summary!$I$2:$AM$7,5,0)=0,"",HLOOKUP(J82,Summary!$I$2:$AM$7,5,0))</f>
        <v/>
      </c>
      <c r="K87" s="71" t="str">
        <f ca="1">IFERROR(VLOOKUP(J87,fixed_expenses[],2,0),"")</f>
        <v/>
      </c>
      <c r="L87" s="17" t="str">
        <f ca="1">IF(HLOOKUP(L82,Summary!$I$2:$AM$7,5,0)=0,"",HLOOKUP(L82,Summary!$I$2:$AM$7,5,0))</f>
        <v/>
      </c>
      <c r="M87" s="71" t="str">
        <f ca="1">IFERROR(VLOOKUP(L87,fixed_expenses[],2,0),"")</f>
        <v/>
      </c>
      <c r="N87" s="17" t="str">
        <f ca="1">IF(HLOOKUP(N82,Summary!$I$2:$AM$7,5,0)=0,"",HLOOKUP(N82,Summary!$I$2:$AM$7,5,0))</f>
        <v/>
      </c>
      <c r="O87" s="71" t="str">
        <f ca="1">IFERROR(VLOOKUP(N87,fixed_expenses[],2,0),"")</f>
        <v/>
      </c>
      <c r="P87" s="22"/>
    </row>
    <row r="88" spans="1:16" ht="11.25" customHeight="1" x14ac:dyDescent="0.2">
      <c r="B88" s="17" t="str">
        <f ca="1">IF(HLOOKUP(B82,Summary!$I$2:$AM$7,6,0)=0,"",HLOOKUP(B82,Summary!$I$2:$AM$7,6,0))</f>
        <v/>
      </c>
      <c r="C88" s="71" t="str">
        <f ca="1">IFERROR(VLOOKUP(B88,fixed_expenses[],2,0),"")</f>
        <v/>
      </c>
      <c r="D88" s="17" t="str">
        <f ca="1">IF(HLOOKUP(D82,Summary!$I$2:$AM$7,6,0)=0,"",HLOOKUP(D82,Summary!$I$2:$AM$7,6,0))</f>
        <v/>
      </c>
      <c r="E88" s="71" t="str">
        <f ca="1">IFERROR(VLOOKUP(D88,fixed_expenses[],2,0),"")</f>
        <v/>
      </c>
      <c r="F88" s="17" t="str">
        <f ca="1">IF(HLOOKUP(F82,Summary!$I$2:$AM$7,6,0)=0,"",HLOOKUP(F82,Summary!$I$2:$AM$7,6,0))</f>
        <v/>
      </c>
      <c r="G88" s="71" t="str">
        <f ca="1">IFERROR(VLOOKUP(F88,fixed_expenses[],2,0),"")</f>
        <v/>
      </c>
      <c r="H88" s="17" t="str">
        <f ca="1">IF(HLOOKUP(H82,Summary!$I$2:$AM$7,6,0)=0,"",HLOOKUP(H82,Summary!$I$2:$AM$7,6,0))</f>
        <v/>
      </c>
      <c r="I88" s="71" t="str">
        <f ca="1">IFERROR(VLOOKUP(H88,fixed_expenses[],2,0),"")</f>
        <v/>
      </c>
      <c r="J88" s="17" t="str">
        <f ca="1">IF(HLOOKUP(J82,Summary!$I$2:$AM$7,6,0)=0,"",HLOOKUP(J82,Summary!$I$2:$AM$7,6,0))</f>
        <v/>
      </c>
      <c r="K88" s="71" t="str">
        <f ca="1">IFERROR(VLOOKUP(J88,fixed_expenses[],2,0),"")</f>
        <v/>
      </c>
      <c r="L88" s="17" t="str">
        <f ca="1">IF(HLOOKUP(L82,Summary!$I$2:$AM$7,6,0)=0,"",HLOOKUP(L82,Summary!$I$2:$AM$7,6,0))</f>
        <v/>
      </c>
      <c r="M88" s="71" t="str">
        <f ca="1">IFERROR(VLOOKUP(L88,fixed_expenses[],2,0),"")</f>
        <v/>
      </c>
      <c r="N88" s="17" t="str">
        <f ca="1">IF(HLOOKUP(N82,Summary!$I$2:$AM$7,6,0)=0,"",HLOOKUP(N82,Summary!$I$2:$AM$7,6,0))</f>
        <v/>
      </c>
      <c r="O88" s="71" t="str">
        <f ca="1">IFERROR(VLOOKUP(N88,fixed_expenses[],2,0),"")</f>
        <v/>
      </c>
      <c r="P88" s="22"/>
    </row>
    <row r="89" spans="1:16" ht="11.25" customHeight="1" x14ac:dyDescent="0.2">
      <c r="A89" s="43" t="s">
        <v>67</v>
      </c>
      <c r="B89" s="30" t="s">
        <v>8</v>
      </c>
      <c r="C89" s="27">
        <f ca="1">SUM(C84:C88)</f>
        <v>0</v>
      </c>
      <c r="D89" s="26"/>
      <c r="E89" s="27">
        <f ca="1">SUM(E84:E88)</f>
        <v>110</v>
      </c>
      <c r="F89" s="26"/>
      <c r="G89" s="27">
        <f ca="1">SUM(G84:G88)</f>
        <v>0</v>
      </c>
      <c r="H89" s="26"/>
      <c r="I89" s="27">
        <f ca="1">SUM(I84:I88)</f>
        <v>0</v>
      </c>
      <c r="J89" s="26"/>
      <c r="K89" s="27">
        <f ca="1">SUM(K84:K88)</f>
        <v>0</v>
      </c>
      <c r="L89" s="26"/>
      <c r="M89" s="27">
        <f ca="1">SUM(M84:M88)</f>
        <v>232</v>
      </c>
      <c r="N89" s="26"/>
      <c r="O89" s="28">
        <f ca="1">SUM(O84:O88)</f>
        <v>0</v>
      </c>
      <c r="P89" s="29">
        <f ca="1">SUM(C89,E89,G89,I89,K89,M89,O89)</f>
        <v>342</v>
      </c>
    </row>
    <row r="90" spans="1:16" x14ac:dyDescent="0.2">
      <c r="B90" s="6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6"/>
    </row>
    <row r="91" spans="1:16" ht="15" customHeight="1" x14ac:dyDescent="0.2">
      <c r="A91" s="43" t="s">
        <v>68</v>
      </c>
      <c r="B91" s="12">
        <f ca="1">N82+1</f>
        <v>21</v>
      </c>
      <c r="C91" s="13"/>
      <c r="D91" s="12">
        <f ca="1">B91+1</f>
        <v>22</v>
      </c>
      <c r="E91" s="13"/>
      <c r="F91" s="12">
        <f ca="1">D91+1</f>
        <v>23</v>
      </c>
      <c r="G91" s="13"/>
      <c r="H91" s="12">
        <f ca="1">F91+1</f>
        <v>24</v>
      </c>
      <c r="I91" s="13"/>
      <c r="J91" s="12">
        <f ca="1">H91+1</f>
        <v>25</v>
      </c>
      <c r="K91" s="13"/>
      <c r="L91" s="12">
        <f ca="1">J91+1</f>
        <v>26</v>
      </c>
      <c r="M91" s="13"/>
      <c r="N91" s="12">
        <f ca="1">L91+1</f>
        <v>27</v>
      </c>
      <c r="O91" s="13"/>
      <c r="P91" s="24"/>
    </row>
    <row r="92" spans="1:16" ht="11.25" customHeight="1" x14ac:dyDescent="0.2">
      <c r="A92" s="43" t="s">
        <v>69</v>
      </c>
      <c r="B92" s="37" t="s">
        <v>9</v>
      </c>
      <c r="C92" s="39" t="s">
        <v>10</v>
      </c>
      <c r="D92" s="37" t="s">
        <v>9</v>
      </c>
      <c r="E92" s="39" t="s">
        <v>10</v>
      </c>
      <c r="F92" s="37" t="s">
        <v>9</v>
      </c>
      <c r="G92" s="39" t="s">
        <v>10</v>
      </c>
      <c r="H92" s="37" t="s">
        <v>9</v>
      </c>
      <c r="I92" s="39" t="s">
        <v>10</v>
      </c>
      <c r="J92" s="37" t="s">
        <v>9</v>
      </c>
      <c r="K92" s="39" t="s">
        <v>10</v>
      </c>
      <c r="L92" s="37" t="s">
        <v>9</v>
      </c>
      <c r="M92" s="39" t="s">
        <v>10</v>
      </c>
      <c r="N92" s="37" t="s">
        <v>9</v>
      </c>
      <c r="O92" s="40" t="s">
        <v>10</v>
      </c>
      <c r="P92" s="22"/>
    </row>
    <row r="93" spans="1:16" ht="11.25" customHeight="1" x14ac:dyDescent="0.2">
      <c r="A93" s="43" t="s">
        <v>70</v>
      </c>
      <c r="B93" s="17" t="str">
        <f ca="1">IF(HLOOKUP(B91,Summary!$I$2:$AM$7,2,0)=0,"",HLOOKUP(B91,Summary!$I$2:$AM$7,2,0))</f>
        <v/>
      </c>
      <c r="C93" s="71" t="str">
        <f ca="1">IFERROR(VLOOKUP(B93,fixed_expenses[],2,0),"")</f>
        <v/>
      </c>
      <c r="D93" s="17" t="str">
        <f ca="1">IF(HLOOKUP(D91,Summary!$I$2:$AM$7,2,0)=0,"",HLOOKUP(D91,Summary!$I$2:$AM$7,2,0))</f>
        <v/>
      </c>
      <c r="E93" s="71" t="str">
        <f ca="1">IFERROR(VLOOKUP(D93,fixed_expenses[],2,0),"")</f>
        <v/>
      </c>
      <c r="F93" s="17" t="str">
        <f ca="1">IF(HLOOKUP(F91,Summary!$I$2:$AM$7,2,0)=0,"",HLOOKUP(F91,Summary!$I$2:$AM$7,2,0))</f>
        <v/>
      </c>
      <c r="G93" s="71" t="str">
        <f ca="1">IFERROR(VLOOKUP(F93,fixed_expenses[],2,0),"")</f>
        <v/>
      </c>
      <c r="H93" s="17" t="str">
        <f ca="1">IF(HLOOKUP(H91,Summary!$I$2:$AM$7,2,0)=0,"",HLOOKUP(H91,Summary!$I$2:$AM$7,2,0))</f>
        <v/>
      </c>
      <c r="I93" s="71" t="str">
        <f ca="1">IFERROR(VLOOKUP(H93,fixed_expenses[],2,0),"")</f>
        <v/>
      </c>
      <c r="J93" s="17" t="str">
        <f ca="1">IF(HLOOKUP(J91,Summary!$I$2:$AM$7,2,0)=0,"",HLOOKUP(J91,Summary!$I$2:$AM$7,2,0))</f>
        <v/>
      </c>
      <c r="K93" s="71" t="str">
        <f ca="1">IFERROR(VLOOKUP(J93,fixed_expenses[],2,0),"")</f>
        <v/>
      </c>
      <c r="L93" s="17" t="str">
        <f ca="1">IF(HLOOKUP(L91,Summary!$I$2:$AM$7,2,0)=0,"",HLOOKUP(L91,Summary!$I$2:$AM$7,2,0))</f>
        <v/>
      </c>
      <c r="M93" s="71" t="str">
        <f ca="1">IFERROR(VLOOKUP(L93,fixed_expenses[],2,0),"")</f>
        <v/>
      </c>
      <c r="N93" s="17" t="str">
        <f ca="1">IF(HLOOKUP(N91,Summary!$I$2:$AM$7,2,0)=0,"",HLOOKUP(N91,Summary!$I$2:$AM$7,2,0))</f>
        <v/>
      </c>
      <c r="O93" s="71" t="str">
        <f ca="1">IFERROR(VLOOKUP(N93,fixed_expenses[],2,0),"")</f>
        <v/>
      </c>
      <c r="P93" s="22"/>
    </row>
    <row r="94" spans="1:16" ht="11.25" customHeight="1" x14ac:dyDescent="0.2">
      <c r="B94" s="17" t="str">
        <f ca="1">IF(HLOOKUP(B91,Summary!$I$2:$AM$7,3,0)=0,"",HLOOKUP(B91,Summary!$I$2:$AM$7,3,0))</f>
        <v/>
      </c>
      <c r="C94" s="71" t="str">
        <f ca="1">IFERROR(VLOOKUP(B94,fixed_expenses[],2,0),"")</f>
        <v/>
      </c>
      <c r="D94" s="17" t="str">
        <f ca="1">IF(HLOOKUP(D91,Summary!$I$2:$AM$7,3,0)=0,"",HLOOKUP(D91,Summary!$I$2:$AM$7,3,0))</f>
        <v/>
      </c>
      <c r="E94" s="71" t="str">
        <f ca="1">IFERROR(VLOOKUP(D94,fixed_expenses[],2,0),"")</f>
        <v/>
      </c>
      <c r="F94" s="17" t="str">
        <f ca="1">IF(HLOOKUP(F91,Summary!$I$2:$AM$7,3,0)=0,"",HLOOKUP(F91,Summary!$I$2:$AM$7,3,0))</f>
        <v/>
      </c>
      <c r="G94" s="71" t="str">
        <f ca="1">IFERROR(VLOOKUP(F94,fixed_expenses[],2,0),"")</f>
        <v/>
      </c>
      <c r="H94" s="17" t="str">
        <f ca="1">IF(HLOOKUP(H91,Summary!$I$2:$AM$7,3,0)=0,"",HLOOKUP(H91,Summary!$I$2:$AM$7,3,0))</f>
        <v/>
      </c>
      <c r="I94" s="71" t="str">
        <f ca="1">IFERROR(VLOOKUP(H94,fixed_expenses[],2,0),"")</f>
        <v/>
      </c>
      <c r="J94" s="17" t="str">
        <f ca="1">IF(HLOOKUP(J91,Summary!$I$2:$AM$7,3,0)=0,"",HLOOKUP(J91,Summary!$I$2:$AM$7,3,0))</f>
        <v/>
      </c>
      <c r="K94" s="71" t="str">
        <f ca="1">IFERROR(VLOOKUP(J94,fixed_expenses[],2,0),"")</f>
        <v/>
      </c>
      <c r="L94" s="17" t="str">
        <f ca="1">IF(HLOOKUP(L91,Summary!$I$2:$AM$7,3,0)=0,"",HLOOKUP(L91,Summary!$I$2:$AM$7,3,0))</f>
        <v/>
      </c>
      <c r="M94" s="71" t="str">
        <f ca="1">IFERROR(VLOOKUP(L94,fixed_expenses[],2,0),"")</f>
        <v/>
      </c>
      <c r="N94" s="17" t="str">
        <f ca="1">IF(HLOOKUP(N91,Summary!$I$2:$AM$7,3,0)=0,"",HLOOKUP(N91,Summary!$I$2:$AM$7,3,0))</f>
        <v/>
      </c>
      <c r="O94" s="71" t="str">
        <f ca="1">IFERROR(VLOOKUP(N94,fixed_expenses[],2,0),"")</f>
        <v/>
      </c>
      <c r="P94" s="22"/>
    </row>
    <row r="95" spans="1:16" ht="11.25" customHeight="1" x14ac:dyDescent="0.2">
      <c r="B95" s="17" t="str">
        <f ca="1">IF(HLOOKUP(B91,Summary!$I$2:$AM$7,4,0)=0,"",HLOOKUP(B91,Summary!$I$2:$AM$7,4,0))</f>
        <v/>
      </c>
      <c r="C95" s="71" t="str">
        <f ca="1">IFERROR(VLOOKUP(B95,fixed_expenses[],2,0),"")</f>
        <v/>
      </c>
      <c r="D95" s="17" t="str">
        <f ca="1">IF(HLOOKUP(D91,Summary!$I$2:$AM$7,4,0)=0,"",HLOOKUP(D91,Summary!$I$2:$AM$7,4,0))</f>
        <v/>
      </c>
      <c r="E95" s="71" t="str">
        <f ca="1">IFERROR(VLOOKUP(D95,fixed_expenses[],2,0),"")</f>
        <v/>
      </c>
      <c r="F95" s="17" t="str">
        <f ca="1">IF(HLOOKUP(F91,Summary!$I$2:$AM$7,4,0)=0,"",HLOOKUP(F91,Summary!$I$2:$AM$7,4,0))</f>
        <v/>
      </c>
      <c r="G95" s="71" t="str">
        <f ca="1">IFERROR(VLOOKUP(F95,fixed_expenses[],2,0),"")</f>
        <v/>
      </c>
      <c r="H95" s="17" t="str">
        <f ca="1">IF(HLOOKUP(H91,Summary!$I$2:$AM$7,4,0)=0,"",HLOOKUP(H91,Summary!$I$2:$AM$7,4,0))</f>
        <v/>
      </c>
      <c r="I95" s="71" t="str">
        <f ca="1">IFERROR(VLOOKUP(H95,fixed_expenses[],2,0),"")</f>
        <v/>
      </c>
      <c r="J95" s="17" t="str">
        <f ca="1">IF(HLOOKUP(J91,Summary!$I$2:$AM$7,4,0)=0,"",HLOOKUP(J91,Summary!$I$2:$AM$7,4,0))</f>
        <v/>
      </c>
      <c r="K95" s="71" t="str">
        <f ca="1">IFERROR(VLOOKUP(J95,fixed_expenses[],2,0),"")</f>
        <v/>
      </c>
      <c r="L95" s="17" t="str">
        <f ca="1">IF(HLOOKUP(L91,Summary!$I$2:$AM$7,4,0)=0,"",HLOOKUP(L91,Summary!$I$2:$AM$7,4,0))</f>
        <v/>
      </c>
      <c r="M95" s="71" t="str">
        <f ca="1">IFERROR(VLOOKUP(L95,fixed_expenses[],2,0),"")</f>
        <v/>
      </c>
      <c r="N95" s="17" t="str">
        <f ca="1">IF(HLOOKUP(N91,Summary!$I$2:$AM$7,4,0)=0,"",HLOOKUP(N91,Summary!$I$2:$AM$7,4,0))</f>
        <v/>
      </c>
      <c r="O95" s="71" t="str">
        <f ca="1">IFERROR(VLOOKUP(N95,fixed_expenses[],2,0),"")</f>
        <v/>
      </c>
      <c r="P95" s="22"/>
    </row>
    <row r="96" spans="1:16" ht="11.25" customHeight="1" x14ac:dyDescent="0.2">
      <c r="B96" s="17" t="str">
        <f ca="1">IF(HLOOKUP(B91,Summary!$I$2:$AM$7,5,0)=0,"",HLOOKUP(B91,Summary!$I$2:$AM$7,5,0))</f>
        <v/>
      </c>
      <c r="C96" s="71" t="str">
        <f ca="1">IFERROR(VLOOKUP(B96,fixed_expenses[],2,0),"")</f>
        <v/>
      </c>
      <c r="D96" s="17" t="str">
        <f ca="1">IF(HLOOKUP(D91,Summary!$I$2:$AM$7,5,0)=0,"",HLOOKUP(D91,Summary!$I$2:$AM$7,5,0))</f>
        <v/>
      </c>
      <c r="E96" s="71" t="str">
        <f ca="1">IFERROR(VLOOKUP(D96,fixed_expenses[],2,0),"")</f>
        <v/>
      </c>
      <c r="F96" s="17" t="str">
        <f ca="1">IF(HLOOKUP(F91,Summary!$I$2:$AM$7,5,0)=0,"",HLOOKUP(F91,Summary!$I$2:$AM$7,5,0))</f>
        <v/>
      </c>
      <c r="G96" s="71" t="str">
        <f ca="1">IFERROR(VLOOKUP(F96,fixed_expenses[],2,0),"")</f>
        <v/>
      </c>
      <c r="H96" s="17" t="str">
        <f ca="1">IF(HLOOKUP(H91,Summary!$I$2:$AM$7,5,0)=0,"",HLOOKUP(H91,Summary!$I$2:$AM$7,5,0))</f>
        <v/>
      </c>
      <c r="I96" s="71" t="str">
        <f ca="1">IFERROR(VLOOKUP(H96,fixed_expenses[],2,0),"")</f>
        <v/>
      </c>
      <c r="J96" s="17" t="str">
        <f ca="1">IF(HLOOKUP(J91,Summary!$I$2:$AM$7,5,0)=0,"",HLOOKUP(J91,Summary!$I$2:$AM$7,5,0))</f>
        <v/>
      </c>
      <c r="K96" s="71" t="str">
        <f ca="1">IFERROR(VLOOKUP(J96,fixed_expenses[],2,0),"")</f>
        <v/>
      </c>
      <c r="L96" s="17" t="str">
        <f ca="1">IF(HLOOKUP(L91,Summary!$I$2:$AM$7,5,0)=0,"",HLOOKUP(L91,Summary!$I$2:$AM$7,5,0))</f>
        <v/>
      </c>
      <c r="M96" s="71" t="str">
        <f ca="1">IFERROR(VLOOKUP(L96,fixed_expenses[],2,0),"")</f>
        <v/>
      </c>
      <c r="N96" s="17" t="str">
        <f ca="1">IF(HLOOKUP(N91,Summary!$I$2:$AM$7,5,0)=0,"",HLOOKUP(N91,Summary!$I$2:$AM$7,5,0))</f>
        <v/>
      </c>
      <c r="O96" s="71" t="str">
        <f ca="1">IFERROR(VLOOKUP(N96,fixed_expenses[],2,0),"")</f>
        <v/>
      </c>
      <c r="P96" s="22"/>
    </row>
    <row r="97" spans="1:16" ht="11.25" customHeight="1" x14ac:dyDescent="0.2">
      <c r="B97" s="17" t="str">
        <f ca="1">IF(HLOOKUP(B91,Summary!$I$2:$AM$7,6,0)=0,"",HLOOKUP(B91,Summary!$I$2:$AM$7,6,0))</f>
        <v/>
      </c>
      <c r="C97" s="71" t="str">
        <f ca="1">IFERROR(VLOOKUP(B97,fixed_expenses[],2,0),"")</f>
        <v/>
      </c>
      <c r="D97" s="17" t="str">
        <f ca="1">IF(HLOOKUP(D91,Summary!$I$2:$AM$7,6,0)=0,"",HLOOKUP(D91,Summary!$I$2:$AM$7,6,0))</f>
        <v/>
      </c>
      <c r="E97" s="71" t="str">
        <f ca="1">IFERROR(VLOOKUP(D97,fixed_expenses[],2,0),"")</f>
        <v/>
      </c>
      <c r="F97" s="17" t="str">
        <f ca="1">IF(HLOOKUP(F91,Summary!$I$2:$AM$7,6,0)=0,"",HLOOKUP(F91,Summary!$I$2:$AM$7,6,0))</f>
        <v/>
      </c>
      <c r="G97" s="71" t="str">
        <f ca="1">IFERROR(VLOOKUP(F97,fixed_expenses[],2,0),"")</f>
        <v/>
      </c>
      <c r="H97" s="17" t="str">
        <f ca="1">IF(HLOOKUP(H91,Summary!$I$2:$AM$7,6,0)=0,"",HLOOKUP(H91,Summary!$I$2:$AM$7,6,0))</f>
        <v/>
      </c>
      <c r="I97" s="71" t="str">
        <f ca="1">IFERROR(VLOOKUP(H97,fixed_expenses[],2,0),"")</f>
        <v/>
      </c>
      <c r="J97" s="17" t="str">
        <f ca="1">IF(HLOOKUP(J91,Summary!$I$2:$AM$7,6,0)=0,"",HLOOKUP(J91,Summary!$I$2:$AM$7,6,0))</f>
        <v/>
      </c>
      <c r="K97" s="71" t="str">
        <f ca="1">IFERROR(VLOOKUP(J97,fixed_expenses[],2,0),"")</f>
        <v/>
      </c>
      <c r="L97" s="17" t="str">
        <f ca="1">IF(HLOOKUP(L91,Summary!$I$2:$AM$7,6,0)=0,"",HLOOKUP(L91,Summary!$I$2:$AM$7,6,0))</f>
        <v/>
      </c>
      <c r="M97" s="71" t="str">
        <f ca="1">IFERROR(VLOOKUP(L97,fixed_expenses[],2,0),"")</f>
        <v/>
      </c>
      <c r="N97" s="17" t="str">
        <f ca="1">IF(HLOOKUP(N91,Summary!$I$2:$AM$7,6,0)=0,"",HLOOKUP(N91,Summary!$I$2:$AM$7,6,0))</f>
        <v/>
      </c>
      <c r="O97" s="71" t="str">
        <f ca="1">IFERROR(VLOOKUP(N97,fixed_expenses[],2,0),"")</f>
        <v/>
      </c>
      <c r="P97" s="22"/>
    </row>
    <row r="98" spans="1:16" ht="11.25" customHeight="1" x14ac:dyDescent="0.2">
      <c r="A98" s="43" t="s">
        <v>71</v>
      </c>
      <c r="B98" s="26" t="s">
        <v>8</v>
      </c>
      <c r="C98" s="27">
        <f ca="1">SUM(C93:C97)</f>
        <v>0</v>
      </c>
      <c r="D98" s="26"/>
      <c r="E98" s="27">
        <f ca="1">SUM(E93:E97)</f>
        <v>0</v>
      </c>
      <c r="F98" s="26"/>
      <c r="G98" s="27">
        <f ca="1">SUM(G93:G97)</f>
        <v>0</v>
      </c>
      <c r="H98" s="26"/>
      <c r="I98" s="27">
        <f ca="1">SUM(I93:I97)</f>
        <v>0</v>
      </c>
      <c r="J98" s="26"/>
      <c r="K98" s="27">
        <f ca="1">SUM(K93:K97)</f>
        <v>0</v>
      </c>
      <c r="L98" s="26"/>
      <c r="M98" s="27">
        <f ca="1">SUM(M93:M97)</f>
        <v>0</v>
      </c>
      <c r="N98" s="26"/>
      <c r="O98" s="28">
        <f ca="1">SUM(O93:O97)</f>
        <v>0</v>
      </c>
      <c r="P98" s="29">
        <f ca="1">SUM(C98,E98,G98,I98,K98,M98,O98)</f>
        <v>0</v>
      </c>
    </row>
    <row r="99" spans="1:16" x14ac:dyDescent="0.2">
      <c r="B99" s="6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6"/>
    </row>
    <row r="100" spans="1:16" ht="15" customHeight="1" x14ac:dyDescent="0.2">
      <c r="A100" s="43" t="s">
        <v>72</v>
      </c>
      <c r="B100" s="12">
        <f ca="1">DAY(IF(DAY(FebSun1)=1,FebSun1+22,FebSun1+29))</f>
        <v>28</v>
      </c>
      <c r="C100" s="13"/>
      <c r="D100" s="12">
        <f ca="1">DAY(IF(DAY(FebSun1)=1,FebSun1+23,FebSun1+30))</f>
        <v>1</v>
      </c>
      <c r="E100" s="13"/>
      <c r="F100" s="12">
        <f ca="1">DAY(IF(DAY(FebSun1)=1,FebSun1+24,FebSun1+31))</f>
        <v>2</v>
      </c>
      <c r="G100" s="13"/>
      <c r="H100" s="12">
        <f ca="1">DAY(IF(DAY(FebSun1)=1,FebSun1+25,FebSun1+32))</f>
        <v>3</v>
      </c>
      <c r="I100" s="13"/>
      <c r="J100" s="12">
        <f ca="1">DAY(IF(DAY(FebSun1)=1,FebSun1+26,FebSun1+33))</f>
        <v>4</v>
      </c>
      <c r="K100" s="13"/>
      <c r="L100" s="12">
        <f ca="1">DAY(IF(DAY(FebSun1)=1,FebSun1+27,FebSun1+34))</f>
        <v>5</v>
      </c>
      <c r="M100" s="13"/>
      <c r="N100" s="12">
        <f ca="1">DAY(IF(DAY(FebSun1)=1,FebSun1+28,FebSun1+35))</f>
        <v>6</v>
      </c>
      <c r="O100" s="13"/>
      <c r="P100" s="25"/>
    </row>
    <row r="101" spans="1:16" ht="11.25" customHeight="1" x14ac:dyDescent="0.2">
      <c r="A101" s="43" t="s">
        <v>73</v>
      </c>
      <c r="B101" s="37" t="s">
        <v>9</v>
      </c>
      <c r="C101" s="39" t="s">
        <v>10</v>
      </c>
      <c r="D101" s="37" t="s">
        <v>9</v>
      </c>
      <c r="E101" s="39" t="s">
        <v>10</v>
      </c>
      <c r="F101" s="37" t="s">
        <v>9</v>
      </c>
      <c r="G101" s="39" t="s">
        <v>10</v>
      </c>
      <c r="H101" s="37" t="s">
        <v>9</v>
      </c>
      <c r="I101" s="39" t="s">
        <v>10</v>
      </c>
      <c r="J101" s="37" t="s">
        <v>9</v>
      </c>
      <c r="K101" s="39" t="s">
        <v>10</v>
      </c>
      <c r="L101" s="37" t="s">
        <v>9</v>
      </c>
      <c r="M101" s="39" t="s">
        <v>10</v>
      </c>
      <c r="N101" s="37" t="s">
        <v>9</v>
      </c>
      <c r="O101" s="40" t="s">
        <v>10</v>
      </c>
      <c r="P101" s="22"/>
    </row>
    <row r="102" spans="1:16" ht="11.25" customHeight="1" x14ac:dyDescent="0.2">
      <c r="A102" s="43" t="s">
        <v>74</v>
      </c>
      <c r="B102" s="17" t="str">
        <f ca="1">IF(HLOOKUP(B100,Summary!$I$2:$AM$7,2,0)=0,"",HLOOKUP(B100,Summary!$I$2:$AM$7,2,0))</f>
        <v/>
      </c>
      <c r="C102" s="71" t="str">
        <f ca="1">IFERROR(VLOOKUP(B102,fixed_expenses[],2,0),"")</f>
        <v/>
      </c>
      <c r="D102" s="17" t="str">
        <f ca="1">IF(HLOOKUP(D100,Summary!$I$2:$AM$7,2,0)=0,"",HLOOKUP(D100,Summary!$I$2:$AM$7,2,0))</f>
        <v/>
      </c>
      <c r="E102" s="71" t="str">
        <f ca="1">IFERROR(VLOOKUP(D102,fixed_expenses[],2,0),"")</f>
        <v/>
      </c>
      <c r="F102" s="17" t="str">
        <f ca="1">IF(HLOOKUP(F100,Summary!$I$2:$AM$7,2,0)=0,"",HLOOKUP(F100,Summary!$I$2:$AM$7,2,0))</f>
        <v/>
      </c>
      <c r="G102" s="71" t="str">
        <f ca="1">IFERROR(VLOOKUP(F102,fixed_expenses[],2,0),"")</f>
        <v/>
      </c>
      <c r="H102" s="17" t="str">
        <f ca="1">IF(HLOOKUP(H100,Summary!$I$2:$AM$7,2,0)=0,"",HLOOKUP(H100,Summary!$I$2:$AM$7,2,0))</f>
        <v>Rent</v>
      </c>
      <c r="I102" s="71">
        <f ca="1">IFERROR(VLOOKUP(H102,fixed_expenses[],2,0),"")</f>
        <v>1200</v>
      </c>
      <c r="J102" s="17" t="str">
        <f ca="1">IF(HLOOKUP(J100,Summary!$I$2:$AM$7,2,0)=0,"",HLOOKUP(J100,Summary!$I$2:$AM$7,2,0))</f>
        <v/>
      </c>
      <c r="K102" s="71" t="str">
        <f ca="1">IFERROR(VLOOKUP(J102,fixed_expenses[],2,0),"")</f>
        <v/>
      </c>
      <c r="L102" s="17" t="str">
        <f ca="1">IF(HLOOKUP(L100,Summary!$I$2:$AM$7,2,0)=0,"",HLOOKUP(L100,Summary!$I$2:$AM$7,2,0))</f>
        <v/>
      </c>
      <c r="M102" s="71" t="str">
        <f ca="1">IFERROR(VLOOKUP(L102,fixed_expenses[],2,0),"")</f>
        <v/>
      </c>
      <c r="N102" s="17" t="str">
        <f ca="1">IF(HLOOKUP(N100,Summary!$I$2:$AM$7,2,0)=0,"",HLOOKUP(N100,Summary!$I$2:$AM$7,2,0))</f>
        <v/>
      </c>
      <c r="O102" s="71" t="str">
        <f ca="1">IFERROR(VLOOKUP(N102,fixed_expenses[],2,0),"")</f>
        <v/>
      </c>
      <c r="P102" s="22"/>
    </row>
    <row r="103" spans="1:16" ht="11.25" customHeight="1" x14ac:dyDescent="0.2">
      <c r="B103" s="17" t="str">
        <f ca="1">IF(HLOOKUP(B100,Summary!$I$2:$AM$7,3,0)=0,"",HLOOKUP(B100,Summary!$I$2:$AM$7,3,0))</f>
        <v/>
      </c>
      <c r="C103" s="71" t="str">
        <f ca="1">IFERROR(VLOOKUP(B103,fixed_expenses[],2,0),"")</f>
        <v/>
      </c>
      <c r="D103" s="17" t="str">
        <f ca="1">IF(HLOOKUP(D100,Summary!$I$2:$AM$7,3,0)=0,"",HLOOKUP(D100,Summary!$I$2:$AM$7,3,0))</f>
        <v/>
      </c>
      <c r="E103" s="71" t="str">
        <f ca="1">IFERROR(VLOOKUP(D103,fixed_expenses[],2,0),"")</f>
        <v/>
      </c>
      <c r="F103" s="17" t="str">
        <f ca="1">IF(HLOOKUP(F100,Summary!$I$2:$AM$7,3,0)=0,"",HLOOKUP(F100,Summary!$I$2:$AM$7,3,0))</f>
        <v/>
      </c>
      <c r="G103" s="71" t="str">
        <f ca="1">IFERROR(VLOOKUP(F103,fixed_expenses[],2,0),"")</f>
        <v/>
      </c>
      <c r="H103" s="17" t="str">
        <f ca="1">IF(HLOOKUP(H100,Summary!$I$2:$AM$7,3,0)=0,"",HLOOKUP(H100,Summary!$I$2:$AM$7,3,0))</f>
        <v/>
      </c>
      <c r="I103" s="71" t="str">
        <f ca="1">IFERROR(VLOOKUP(H103,fixed_expenses[],2,0),"")</f>
        <v/>
      </c>
      <c r="J103" s="17" t="str">
        <f ca="1">IF(HLOOKUP(J100,Summary!$I$2:$AM$7,3,0)=0,"",HLOOKUP(J100,Summary!$I$2:$AM$7,3,0))</f>
        <v/>
      </c>
      <c r="K103" s="71" t="str">
        <f ca="1">IFERROR(VLOOKUP(J103,fixed_expenses[],2,0),"")</f>
        <v/>
      </c>
      <c r="L103" s="17" t="str">
        <f ca="1">IF(HLOOKUP(L100,Summary!$I$2:$AM$7,3,0)=0,"",HLOOKUP(L100,Summary!$I$2:$AM$7,3,0))</f>
        <v/>
      </c>
      <c r="M103" s="71" t="str">
        <f ca="1">IFERROR(VLOOKUP(L103,fixed_expenses[],2,0),"")</f>
        <v/>
      </c>
      <c r="N103" s="17" t="str">
        <f ca="1">IF(HLOOKUP(N100,Summary!$I$2:$AM$7,3,0)=0,"",HLOOKUP(N100,Summary!$I$2:$AM$7,3,0))</f>
        <v/>
      </c>
      <c r="O103" s="71" t="str">
        <f ca="1">IFERROR(VLOOKUP(N103,fixed_expenses[],2,0),"")</f>
        <v/>
      </c>
      <c r="P103" s="22"/>
    </row>
    <row r="104" spans="1:16" ht="11.25" customHeight="1" x14ac:dyDescent="0.2">
      <c r="B104" s="17" t="str">
        <f ca="1">IF(HLOOKUP(B100,Summary!$I$2:$AM$7,4,0)=0,"",HLOOKUP(B100,Summary!$I$2:$AM$7,4,0))</f>
        <v/>
      </c>
      <c r="C104" s="71" t="str">
        <f ca="1">IFERROR(VLOOKUP(B104,fixed_expenses[],2,0),"")</f>
        <v/>
      </c>
      <c r="D104" s="17" t="str">
        <f ca="1">IF(HLOOKUP(D100,Summary!$I$2:$AM$7,4,0)=0,"",HLOOKUP(D100,Summary!$I$2:$AM$7,4,0))</f>
        <v/>
      </c>
      <c r="E104" s="71" t="str">
        <f ca="1">IFERROR(VLOOKUP(D104,fixed_expenses[],2,0),"")</f>
        <v/>
      </c>
      <c r="F104" s="17" t="str">
        <f ca="1">IF(HLOOKUP(F100,Summary!$I$2:$AM$7,4,0)=0,"",HLOOKUP(F100,Summary!$I$2:$AM$7,4,0))</f>
        <v/>
      </c>
      <c r="G104" s="71" t="str">
        <f ca="1">IFERROR(VLOOKUP(F104,fixed_expenses[],2,0),"")</f>
        <v/>
      </c>
      <c r="H104" s="17" t="str">
        <f ca="1">IF(HLOOKUP(H100,Summary!$I$2:$AM$7,4,0)=0,"",HLOOKUP(H100,Summary!$I$2:$AM$7,4,0))</f>
        <v/>
      </c>
      <c r="I104" s="71" t="str">
        <f ca="1">IFERROR(VLOOKUP(H104,fixed_expenses[],2,0),"")</f>
        <v/>
      </c>
      <c r="J104" s="17" t="str">
        <f ca="1">IF(HLOOKUP(J100,Summary!$I$2:$AM$7,4,0)=0,"",HLOOKUP(J100,Summary!$I$2:$AM$7,4,0))</f>
        <v/>
      </c>
      <c r="K104" s="71" t="str">
        <f ca="1">IFERROR(VLOOKUP(J104,fixed_expenses[],2,0),"")</f>
        <v/>
      </c>
      <c r="L104" s="17" t="str">
        <f ca="1">IF(HLOOKUP(L100,Summary!$I$2:$AM$7,4,0)=0,"",HLOOKUP(L100,Summary!$I$2:$AM$7,4,0))</f>
        <v/>
      </c>
      <c r="M104" s="71" t="str">
        <f ca="1">IFERROR(VLOOKUP(L104,fixed_expenses[],2,0),"")</f>
        <v/>
      </c>
      <c r="N104" s="17" t="str">
        <f ca="1">IF(HLOOKUP(N100,Summary!$I$2:$AM$7,4,0)=0,"",HLOOKUP(N100,Summary!$I$2:$AM$7,4,0))</f>
        <v/>
      </c>
      <c r="O104" s="71" t="str">
        <f ca="1">IFERROR(VLOOKUP(N104,fixed_expenses[],2,0),"")</f>
        <v/>
      </c>
      <c r="P104" s="22"/>
    </row>
    <row r="105" spans="1:16" ht="11.25" customHeight="1" x14ac:dyDescent="0.2">
      <c r="B105" s="17" t="str">
        <f ca="1">IF(HLOOKUP(B100,Summary!$I$2:$AM$7,5,0)=0,"",HLOOKUP(B100,Summary!$I$2:$AM$7,5,0))</f>
        <v/>
      </c>
      <c r="C105" s="71" t="str">
        <f ca="1">IFERROR(VLOOKUP(B105,fixed_expenses[],2,0),"")</f>
        <v/>
      </c>
      <c r="D105" s="17" t="str">
        <f ca="1">IF(HLOOKUP(D100,Summary!$I$2:$AM$7,5,0)=0,"",HLOOKUP(D100,Summary!$I$2:$AM$7,5,0))</f>
        <v/>
      </c>
      <c r="E105" s="71" t="str">
        <f ca="1">IFERROR(VLOOKUP(D105,fixed_expenses[],2,0),"")</f>
        <v/>
      </c>
      <c r="F105" s="17" t="str">
        <f ca="1">IF(HLOOKUP(F100,Summary!$I$2:$AM$7,5,0)=0,"",HLOOKUP(F100,Summary!$I$2:$AM$7,5,0))</f>
        <v/>
      </c>
      <c r="G105" s="71" t="str">
        <f ca="1">IFERROR(VLOOKUP(F105,fixed_expenses[],2,0),"")</f>
        <v/>
      </c>
      <c r="H105" s="17" t="str">
        <f ca="1">IF(HLOOKUP(H100,Summary!$I$2:$AM$7,5,0)=0,"",HLOOKUP(H100,Summary!$I$2:$AM$7,5,0))</f>
        <v/>
      </c>
      <c r="I105" s="71" t="str">
        <f ca="1">IFERROR(VLOOKUP(H105,fixed_expenses[],2,0),"")</f>
        <v/>
      </c>
      <c r="J105" s="17" t="str">
        <f ca="1">IF(HLOOKUP(J100,Summary!$I$2:$AM$7,5,0)=0,"",HLOOKUP(J100,Summary!$I$2:$AM$7,5,0))</f>
        <v/>
      </c>
      <c r="K105" s="71" t="str">
        <f ca="1">IFERROR(VLOOKUP(J105,fixed_expenses[],2,0),"")</f>
        <v/>
      </c>
      <c r="L105" s="17" t="str">
        <f ca="1">IF(HLOOKUP(L100,Summary!$I$2:$AM$7,5,0)=0,"",HLOOKUP(L100,Summary!$I$2:$AM$7,5,0))</f>
        <v/>
      </c>
      <c r="M105" s="71" t="str">
        <f ca="1">IFERROR(VLOOKUP(L105,fixed_expenses[],2,0),"")</f>
        <v/>
      </c>
      <c r="N105" s="17" t="str">
        <f ca="1">IF(HLOOKUP(N100,Summary!$I$2:$AM$7,5,0)=0,"",HLOOKUP(N100,Summary!$I$2:$AM$7,5,0))</f>
        <v/>
      </c>
      <c r="O105" s="71" t="str">
        <f ca="1">IFERROR(VLOOKUP(N105,fixed_expenses[],2,0),"")</f>
        <v/>
      </c>
      <c r="P105" s="22"/>
    </row>
    <row r="106" spans="1:16" ht="11.25" customHeight="1" x14ac:dyDescent="0.2">
      <c r="B106" s="17" t="str">
        <f ca="1">IF(HLOOKUP(B100,Summary!$I$2:$AM$7,6,0)=0,"",HLOOKUP(B100,Summary!$I$2:$AM$7,6,0))</f>
        <v/>
      </c>
      <c r="C106" s="71" t="str">
        <f ca="1">IFERROR(VLOOKUP(B106,fixed_expenses[],2,0),"")</f>
        <v/>
      </c>
      <c r="D106" s="17" t="str">
        <f ca="1">IF(HLOOKUP(D100,Summary!$I$2:$AM$7,6,0)=0,"",HLOOKUP(D100,Summary!$I$2:$AM$7,6,0))</f>
        <v/>
      </c>
      <c r="E106" s="71" t="str">
        <f ca="1">IFERROR(VLOOKUP(D106,fixed_expenses[],2,0),"")</f>
        <v/>
      </c>
      <c r="F106" s="17" t="str">
        <f ca="1">IF(HLOOKUP(F100,Summary!$I$2:$AM$7,6,0)=0,"",HLOOKUP(F100,Summary!$I$2:$AM$7,6,0))</f>
        <v/>
      </c>
      <c r="G106" s="71" t="str">
        <f ca="1">IFERROR(VLOOKUP(F106,fixed_expenses[],2,0),"")</f>
        <v/>
      </c>
      <c r="H106" s="17" t="str">
        <f ca="1">IF(HLOOKUP(H100,Summary!$I$2:$AM$7,6,0)=0,"",HLOOKUP(H100,Summary!$I$2:$AM$7,6,0))</f>
        <v/>
      </c>
      <c r="I106" s="71" t="str">
        <f ca="1">IFERROR(VLOOKUP(H106,fixed_expenses[],2,0),"")</f>
        <v/>
      </c>
      <c r="J106" s="17" t="str">
        <f ca="1">IF(HLOOKUP(J100,Summary!$I$2:$AM$7,6,0)=0,"",HLOOKUP(J100,Summary!$I$2:$AM$7,6,0))</f>
        <v/>
      </c>
      <c r="K106" s="71" t="str">
        <f ca="1">IFERROR(VLOOKUP(J106,fixed_expenses[],2,0),"")</f>
        <v/>
      </c>
      <c r="L106" s="17" t="str">
        <f ca="1">IF(HLOOKUP(L100,Summary!$I$2:$AM$7,6,0)=0,"",HLOOKUP(L100,Summary!$I$2:$AM$7,6,0))</f>
        <v/>
      </c>
      <c r="M106" s="71" t="str">
        <f ca="1">IFERROR(VLOOKUP(L106,fixed_expenses[],2,0),"")</f>
        <v/>
      </c>
      <c r="N106" s="17" t="str">
        <f ca="1">IF(HLOOKUP(N100,Summary!$I$2:$AM$7,6,0)=0,"",HLOOKUP(N100,Summary!$I$2:$AM$7,6,0))</f>
        <v/>
      </c>
      <c r="O106" s="71" t="str">
        <f ca="1">IFERROR(VLOOKUP(N106,fixed_expenses[],2,0),"")</f>
        <v/>
      </c>
      <c r="P106" s="22"/>
    </row>
    <row r="107" spans="1:16" ht="11.25" customHeight="1" x14ac:dyDescent="0.2">
      <c r="A107" s="43" t="s">
        <v>75</v>
      </c>
      <c r="B107" s="26" t="s">
        <v>8</v>
      </c>
      <c r="C107" s="27">
        <f ca="1">SUM(C102:C106)</f>
        <v>0</v>
      </c>
      <c r="D107" s="26"/>
      <c r="E107" s="27">
        <f ca="1">SUM(E102:E106)</f>
        <v>0</v>
      </c>
      <c r="F107" s="26"/>
      <c r="G107" s="27">
        <f ca="1">SUM(G102:G106)</f>
        <v>0</v>
      </c>
      <c r="H107" s="26"/>
      <c r="I107" s="27">
        <f ca="1">SUM(I102:I106)</f>
        <v>1200</v>
      </c>
      <c r="J107" s="18"/>
      <c r="K107" s="27">
        <f ca="1">SUM(K102:K106)</f>
        <v>0</v>
      </c>
      <c r="L107" s="18"/>
      <c r="M107" s="27">
        <f ca="1">SUM(M102:M106)</f>
        <v>0</v>
      </c>
      <c r="N107" s="18"/>
      <c r="O107" s="28">
        <f ca="1">SUM(O102:O106)</f>
        <v>0</v>
      </c>
      <c r="P107" s="29">
        <f ca="1">SUMIF(B100:N100,"&gt;="&amp;15,C107:O107)</f>
        <v>0</v>
      </c>
    </row>
    <row r="108" spans="1:16" x14ac:dyDescent="0.2">
      <c r="B108" s="6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6"/>
    </row>
    <row r="109" spans="1:16" ht="15" customHeight="1" x14ac:dyDescent="0.2">
      <c r="A109" s="43" t="s">
        <v>76</v>
      </c>
      <c r="B109" s="12">
        <f ca="1">DAY(IF(DAY(FebSun1)=1,FebSun1+29,FebSun1+36))</f>
        <v>7</v>
      </c>
      <c r="C109" s="11"/>
      <c r="D109" s="12">
        <f ca="1">DAY(IF(DAY(FebSun1)=1,FebSun1+30,FebSun1+37))</f>
        <v>8</v>
      </c>
      <c r="E109" s="13"/>
      <c r="F109" s="10">
        <f ca="1">DAY(IF(DAY(FebSun1)=1,FebSun1+31,FebSun1+38))</f>
        <v>9</v>
      </c>
      <c r="G109" s="13"/>
      <c r="H109" s="12">
        <f ca="1">DAY(IF(DAY(FebSun1)=1,FebSun1+32,FebSun1+39))</f>
        <v>10</v>
      </c>
      <c r="I109" s="13"/>
      <c r="J109" s="12">
        <f ca="1">DAY(IF(DAY(FebSun1)=1,FebSun1+33,FebSun1+40))</f>
        <v>11</v>
      </c>
      <c r="K109" s="13"/>
      <c r="L109" s="12">
        <f ca="1">DAY(IF(DAY(FebSun1)=1,FebSun1+34,FebSun1+41))</f>
        <v>12</v>
      </c>
      <c r="M109" s="13"/>
      <c r="N109" s="12">
        <f ca="1">DAY(IF(DAY(FebSun1)=1,FebSun1+35,FebSun1+42))</f>
        <v>13</v>
      </c>
      <c r="O109" s="13"/>
      <c r="P109" s="25"/>
    </row>
    <row r="110" spans="1:16" ht="11.25" customHeight="1" x14ac:dyDescent="0.2">
      <c r="A110" s="43" t="s">
        <v>77</v>
      </c>
      <c r="B110" s="37" t="s">
        <v>9</v>
      </c>
      <c r="C110" s="39" t="s">
        <v>10</v>
      </c>
      <c r="D110" s="37" t="s">
        <v>9</v>
      </c>
      <c r="E110" s="39" t="s">
        <v>10</v>
      </c>
      <c r="F110" s="37" t="s">
        <v>9</v>
      </c>
      <c r="G110" s="39" t="s">
        <v>10</v>
      </c>
      <c r="H110" s="37" t="s">
        <v>9</v>
      </c>
      <c r="I110" s="39" t="s">
        <v>10</v>
      </c>
      <c r="J110" s="37" t="s">
        <v>9</v>
      </c>
      <c r="K110" s="39" t="s">
        <v>10</v>
      </c>
      <c r="L110" s="37" t="s">
        <v>9</v>
      </c>
      <c r="M110" s="39" t="s">
        <v>10</v>
      </c>
      <c r="N110" s="37" t="s">
        <v>9</v>
      </c>
      <c r="O110" s="40" t="s">
        <v>10</v>
      </c>
      <c r="P110" s="22"/>
    </row>
    <row r="111" spans="1:16" ht="11.25" customHeight="1" x14ac:dyDescent="0.2">
      <c r="A111" s="43" t="s">
        <v>78</v>
      </c>
      <c r="B111" s="17" t="str">
        <f ca="1">IF(HLOOKUP(B109,Summary!$I$2:$AM$7,2,0)=0,"",HLOOKUP(B109,Summary!$I$2:$AM$7,2,0))</f>
        <v/>
      </c>
      <c r="C111" s="71" t="str">
        <f ca="1">IFERROR(VLOOKUP(B111,fixed_expenses[],2,0),"")</f>
        <v/>
      </c>
      <c r="D111" s="17" t="str">
        <f ca="1">IF(HLOOKUP(D109,Summary!$I$2:$AM$7,2,0)=0,"",HLOOKUP(D109,Summary!$I$2:$AM$7,2,0))</f>
        <v/>
      </c>
      <c r="E111" s="71" t="str">
        <f ca="1">IFERROR(VLOOKUP(D111,fixed_expenses[],2,0),"")</f>
        <v/>
      </c>
      <c r="F111" s="17" t="str">
        <f ca="1">IF(HLOOKUP(F109,Summary!$I$2:$AM$7,2,0)=0,"",HLOOKUP(F109,Summary!$I$2:$AM$7,2,0))</f>
        <v/>
      </c>
      <c r="G111" s="71" t="str">
        <f ca="1">IFERROR(VLOOKUP(F111,fixed_expenses[],2,0),"")</f>
        <v/>
      </c>
      <c r="H111" s="17" t="str">
        <f ca="1">IF(HLOOKUP(H109,Summary!$I$2:$AM$7,2,0)=0,"",HLOOKUP(H109,Summary!$I$2:$AM$7,2,0))</f>
        <v/>
      </c>
      <c r="I111" s="71" t="str">
        <f ca="1">IFERROR(VLOOKUP(H111,fixed_expenses[],2,0),"")</f>
        <v/>
      </c>
      <c r="J111" s="17" t="str">
        <f ca="1">IF(HLOOKUP(J109,Summary!$I$2:$AM$7,2,0)=0,"",HLOOKUP(J109,Summary!$I$2:$AM$7,2,0))</f>
        <v/>
      </c>
      <c r="K111" s="71" t="str">
        <f ca="1">IFERROR(VLOOKUP(J111,fixed_expenses[],2,0),"")</f>
        <v/>
      </c>
      <c r="L111" s="17" t="str">
        <f ca="1">IF(HLOOKUP(L109,Summary!$I$2:$AM$7,2,0)=0,"",HLOOKUP(L109,Summary!$I$2:$AM$7,2,0))</f>
        <v/>
      </c>
      <c r="M111" s="71" t="str">
        <f ca="1">IFERROR(VLOOKUP(L111,fixed_expenses[],2,0),"")</f>
        <v/>
      </c>
      <c r="N111" s="17" t="str">
        <f ca="1">IF(HLOOKUP(N109,Summary!$I$2:$AM$7,2,0)=0,"",HLOOKUP(N109,Summary!$I$2:$AM$7,2,0))</f>
        <v/>
      </c>
      <c r="O111" s="71" t="str">
        <f ca="1">IFERROR(VLOOKUP(N111,fixed_expenses[],2,0),"")</f>
        <v/>
      </c>
      <c r="P111" s="22"/>
    </row>
    <row r="112" spans="1:16" ht="11.25" customHeight="1" x14ac:dyDescent="0.2">
      <c r="B112" s="17" t="str">
        <f ca="1">IF(HLOOKUP(B109,Summary!$I$2:$AM$7,3,0)=0,"",HLOOKUP(B109,Summary!$I$2:$AM$7,3,0))</f>
        <v/>
      </c>
      <c r="C112" s="71" t="str">
        <f ca="1">IFERROR(VLOOKUP(B112,fixed_expenses[],2,0),"")</f>
        <v/>
      </c>
      <c r="D112" s="17" t="str">
        <f ca="1">IF(HLOOKUP(D109,Summary!$I$2:$AM$7,3,0)=0,"",HLOOKUP(D109,Summary!$I$2:$AM$7,3,0))</f>
        <v/>
      </c>
      <c r="E112" s="71" t="str">
        <f ca="1">IFERROR(VLOOKUP(D112,fixed_expenses[],2,0),"")</f>
        <v/>
      </c>
      <c r="F112" s="17" t="str">
        <f ca="1">IF(HLOOKUP(F109,Summary!$I$2:$AM$7,3,0)=0,"",HLOOKUP(F109,Summary!$I$2:$AM$7,3,0))</f>
        <v/>
      </c>
      <c r="G112" s="71" t="str">
        <f ca="1">IFERROR(VLOOKUP(F112,fixed_expenses[],2,0),"")</f>
        <v/>
      </c>
      <c r="H112" s="17" t="str">
        <f ca="1">IF(HLOOKUP(H109,Summary!$I$2:$AM$7,3,0)=0,"",HLOOKUP(H109,Summary!$I$2:$AM$7,3,0))</f>
        <v/>
      </c>
      <c r="I112" s="71" t="str">
        <f ca="1">IFERROR(VLOOKUP(H112,fixed_expenses[],2,0),"")</f>
        <v/>
      </c>
      <c r="J112" s="17" t="str">
        <f ca="1">IF(HLOOKUP(J109,Summary!$I$2:$AM$7,3,0)=0,"",HLOOKUP(J109,Summary!$I$2:$AM$7,3,0))</f>
        <v/>
      </c>
      <c r="K112" s="71" t="str">
        <f ca="1">IFERROR(VLOOKUP(J112,fixed_expenses[],2,0),"")</f>
        <v/>
      </c>
      <c r="L112" s="17" t="str">
        <f ca="1">IF(HLOOKUP(L109,Summary!$I$2:$AM$7,3,0)=0,"",HLOOKUP(L109,Summary!$I$2:$AM$7,3,0))</f>
        <v/>
      </c>
      <c r="M112" s="71" t="str">
        <f ca="1">IFERROR(VLOOKUP(L112,fixed_expenses[],2,0),"")</f>
        <v/>
      </c>
      <c r="N112" s="17" t="str">
        <f ca="1">IF(HLOOKUP(N109,Summary!$I$2:$AM$7,3,0)=0,"",HLOOKUP(N109,Summary!$I$2:$AM$7,3,0))</f>
        <v/>
      </c>
      <c r="O112" s="71" t="str">
        <f ca="1">IFERROR(VLOOKUP(N112,fixed_expenses[],2,0),"")</f>
        <v/>
      </c>
      <c r="P112" s="22"/>
    </row>
    <row r="113" spans="1:16" ht="11.25" customHeight="1" x14ac:dyDescent="0.2">
      <c r="B113" s="17" t="str">
        <f ca="1">IF(HLOOKUP(B109,Summary!$I$2:$AM$7,4,0)=0,"",HLOOKUP(B109,Summary!$I$2:$AM$7,4,0))</f>
        <v/>
      </c>
      <c r="C113" s="71" t="str">
        <f ca="1">IFERROR(VLOOKUP(B113,fixed_expenses[],2,0),"")</f>
        <v/>
      </c>
      <c r="D113" s="17" t="str">
        <f ca="1">IF(HLOOKUP(D109,Summary!$I$2:$AM$7,4,0)=0,"",HLOOKUP(D109,Summary!$I$2:$AM$7,4,0))</f>
        <v/>
      </c>
      <c r="E113" s="71" t="str">
        <f ca="1">IFERROR(VLOOKUP(D113,fixed_expenses[],2,0),"")</f>
        <v/>
      </c>
      <c r="F113" s="17" t="str">
        <f ca="1">IF(HLOOKUP(F109,Summary!$I$2:$AM$7,4,0)=0,"",HLOOKUP(F109,Summary!$I$2:$AM$7,4,0))</f>
        <v/>
      </c>
      <c r="G113" s="71" t="str">
        <f ca="1">IFERROR(VLOOKUP(F113,fixed_expenses[],2,0),"")</f>
        <v/>
      </c>
      <c r="H113" s="17" t="str">
        <f ca="1">IF(HLOOKUP(H109,Summary!$I$2:$AM$7,4,0)=0,"",HLOOKUP(H109,Summary!$I$2:$AM$7,4,0))</f>
        <v/>
      </c>
      <c r="I113" s="71" t="str">
        <f ca="1">IFERROR(VLOOKUP(H113,fixed_expenses[],2,0),"")</f>
        <v/>
      </c>
      <c r="J113" s="17" t="str">
        <f ca="1">IF(HLOOKUP(J109,Summary!$I$2:$AM$7,4,0)=0,"",HLOOKUP(J109,Summary!$I$2:$AM$7,4,0))</f>
        <v/>
      </c>
      <c r="K113" s="71" t="str">
        <f ca="1">IFERROR(VLOOKUP(J113,fixed_expenses[],2,0),"")</f>
        <v/>
      </c>
      <c r="L113" s="17" t="str">
        <f ca="1">IF(HLOOKUP(L109,Summary!$I$2:$AM$7,4,0)=0,"",HLOOKUP(L109,Summary!$I$2:$AM$7,4,0))</f>
        <v/>
      </c>
      <c r="M113" s="71" t="str">
        <f ca="1">IFERROR(VLOOKUP(L113,fixed_expenses[],2,0),"")</f>
        <v/>
      </c>
      <c r="N113" s="17" t="str">
        <f ca="1">IF(HLOOKUP(N109,Summary!$I$2:$AM$7,4,0)=0,"",HLOOKUP(N109,Summary!$I$2:$AM$7,4,0))</f>
        <v/>
      </c>
      <c r="O113" s="71" t="str">
        <f ca="1">IFERROR(VLOOKUP(N113,fixed_expenses[],2,0),"")</f>
        <v/>
      </c>
      <c r="P113" s="22"/>
    </row>
    <row r="114" spans="1:16" ht="11.25" customHeight="1" x14ac:dyDescent="0.2">
      <c r="B114" s="17" t="str">
        <f ca="1">IF(HLOOKUP(B109,Summary!$I$2:$AM$7,5,0)=0,"",HLOOKUP(B109,Summary!$I$2:$AM$7,5,0))</f>
        <v/>
      </c>
      <c r="C114" s="71" t="str">
        <f ca="1">IFERROR(VLOOKUP(B114,fixed_expenses[],2,0),"")</f>
        <v/>
      </c>
      <c r="D114" s="17" t="str">
        <f ca="1">IF(HLOOKUP(D109,Summary!$I$2:$AM$7,5,0)=0,"",HLOOKUP(D109,Summary!$I$2:$AM$7,5,0))</f>
        <v/>
      </c>
      <c r="E114" s="71" t="str">
        <f ca="1">IFERROR(VLOOKUP(D114,fixed_expenses[],2,0),"")</f>
        <v/>
      </c>
      <c r="F114" s="17" t="str">
        <f ca="1">IF(HLOOKUP(F109,Summary!$I$2:$AM$7,5,0)=0,"",HLOOKUP(F109,Summary!$I$2:$AM$7,5,0))</f>
        <v/>
      </c>
      <c r="G114" s="71" t="str">
        <f ca="1">IFERROR(VLOOKUP(F114,fixed_expenses[],2,0),"")</f>
        <v/>
      </c>
      <c r="H114" s="17" t="str">
        <f ca="1">IF(HLOOKUP(H109,Summary!$I$2:$AM$7,5,0)=0,"",HLOOKUP(H109,Summary!$I$2:$AM$7,5,0))</f>
        <v/>
      </c>
      <c r="I114" s="71" t="str">
        <f ca="1">IFERROR(VLOOKUP(H114,fixed_expenses[],2,0),"")</f>
        <v/>
      </c>
      <c r="J114" s="17" t="str">
        <f ca="1">IF(HLOOKUP(J109,Summary!$I$2:$AM$7,5,0)=0,"",HLOOKUP(J109,Summary!$I$2:$AM$7,5,0))</f>
        <v/>
      </c>
      <c r="K114" s="71" t="str">
        <f ca="1">IFERROR(VLOOKUP(J114,fixed_expenses[],2,0),"")</f>
        <v/>
      </c>
      <c r="L114" s="17" t="str">
        <f ca="1">IF(HLOOKUP(L109,Summary!$I$2:$AM$7,5,0)=0,"",HLOOKUP(L109,Summary!$I$2:$AM$7,5,0))</f>
        <v/>
      </c>
      <c r="M114" s="71" t="str">
        <f ca="1">IFERROR(VLOOKUP(L114,fixed_expenses[],2,0),"")</f>
        <v/>
      </c>
      <c r="N114" s="17" t="str">
        <f ca="1">IF(HLOOKUP(N109,Summary!$I$2:$AM$7,5,0)=0,"",HLOOKUP(N109,Summary!$I$2:$AM$7,5,0))</f>
        <v/>
      </c>
      <c r="O114" s="71" t="str">
        <f ca="1">IFERROR(VLOOKUP(N114,fixed_expenses[],2,0),"")</f>
        <v/>
      </c>
      <c r="P114" s="22"/>
    </row>
    <row r="115" spans="1:16" ht="11.25" customHeight="1" x14ac:dyDescent="0.2">
      <c r="B115" s="17" t="str">
        <f ca="1">IF(HLOOKUP(B109,Summary!$I$2:$AM$7,6,0)=0,"",HLOOKUP(B109,Summary!$I$2:$AM$7,6,0))</f>
        <v/>
      </c>
      <c r="C115" s="71" t="str">
        <f ca="1">IFERROR(VLOOKUP(B115,fixed_expenses[],2,0),"")</f>
        <v/>
      </c>
      <c r="D115" s="17" t="str">
        <f ca="1">IF(HLOOKUP(D109,Summary!$I$2:$AM$7,6,0)=0,"",HLOOKUP(D109,Summary!$I$2:$AM$7,6,0))</f>
        <v/>
      </c>
      <c r="E115" s="71" t="str">
        <f ca="1">IFERROR(VLOOKUP(D115,fixed_expenses[],2,0),"")</f>
        <v/>
      </c>
      <c r="F115" s="17" t="str">
        <f ca="1">IF(HLOOKUP(F109,Summary!$I$2:$AM$7,6,0)=0,"",HLOOKUP(F109,Summary!$I$2:$AM$7,6,0))</f>
        <v/>
      </c>
      <c r="G115" s="71" t="str">
        <f ca="1">IFERROR(VLOOKUP(F115,fixed_expenses[],2,0),"")</f>
        <v/>
      </c>
      <c r="H115" s="17" t="str">
        <f ca="1">IF(HLOOKUP(H109,Summary!$I$2:$AM$7,6,0)=0,"",HLOOKUP(H109,Summary!$I$2:$AM$7,6,0))</f>
        <v/>
      </c>
      <c r="I115" s="71" t="str">
        <f ca="1">IFERROR(VLOOKUP(H115,fixed_expenses[],2,0),"")</f>
        <v/>
      </c>
      <c r="J115" s="17" t="str">
        <f ca="1">IF(HLOOKUP(J109,Summary!$I$2:$AM$7,6,0)=0,"",HLOOKUP(J109,Summary!$I$2:$AM$7,6,0))</f>
        <v/>
      </c>
      <c r="K115" s="71" t="str">
        <f ca="1">IFERROR(VLOOKUP(J115,fixed_expenses[],2,0),"")</f>
        <v/>
      </c>
      <c r="L115" s="17" t="str">
        <f ca="1">IF(HLOOKUP(L109,Summary!$I$2:$AM$7,6,0)=0,"",HLOOKUP(L109,Summary!$I$2:$AM$7,6,0))</f>
        <v/>
      </c>
      <c r="M115" s="71" t="str">
        <f ca="1">IFERROR(VLOOKUP(L115,fixed_expenses[],2,0),"")</f>
        <v/>
      </c>
      <c r="N115" s="17" t="str">
        <f ca="1">IF(HLOOKUP(N109,Summary!$I$2:$AM$7,6,0)=0,"",HLOOKUP(N109,Summary!$I$2:$AM$7,6,0))</f>
        <v/>
      </c>
      <c r="O115" s="71" t="str">
        <f ca="1">IFERROR(VLOOKUP(N115,fixed_expenses[],2,0),"")</f>
        <v/>
      </c>
      <c r="P115" s="22"/>
    </row>
    <row r="116" spans="1:16" ht="11.25" customHeight="1" x14ac:dyDescent="0.2">
      <c r="A116" s="43" t="s">
        <v>79</v>
      </c>
      <c r="B116" s="26" t="s">
        <v>8</v>
      </c>
      <c r="C116" s="27">
        <f ca="1">SUM(C111:C115)</f>
        <v>0</v>
      </c>
      <c r="D116" s="18"/>
      <c r="E116" s="27">
        <f ca="1">SUM(E111:E115)</f>
        <v>0</v>
      </c>
      <c r="F116" s="18"/>
      <c r="G116" s="27">
        <f ca="1">SUM(G111:G115)</f>
        <v>0</v>
      </c>
      <c r="H116" s="18"/>
      <c r="I116" s="27">
        <f ca="1">SUM(I111:I115)</f>
        <v>0</v>
      </c>
      <c r="J116" s="18"/>
      <c r="K116" s="27">
        <f ca="1">SUM(K111:K115)</f>
        <v>0</v>
      </c>
      <c r="L116" s="18"/>
      <c r="M116" s="27">
        <f ca="1">SUM(M111:M115)</f>
        <v>0</v>
      </c>
      <c r="N116" s="18"/>
      <c r="O116" s="28">
        <f ca="1">SUM(O111:O115)</f>
        <v>0</v>
      </c>
      <c r="P116" s="29">
        <f ca="1">SUMIF(B109:N109,"&gt;="&amp;15,C116:O116)</f>
        <v>0</v>
      </c>
    </row>
    <row r="117" spans="1:16" ht="17.25" customHeight="1" x14ac:dyDescent="0.2"/>
    <row r="118" spans="1:16" ht="12" customHeight="1" x14ac:dyDescent="0.2">
      <c r="A118" s="43" t="s">
        <v>89</v>
      </c>
      <c r="B118" s="59" t="s">
        <v>15</v>
      </c>
      <c r="C118" s="59"/>
      <c r="D118" s="59"/>
      <c r="E118" s="59"/>
      <c r="F118"/>
      <c r="G118" s="4"/>
      <c r="H118"/>
      <c r="I118" s="4"/>
      <c r="J118"/>
      <c r="K118" s="4"/>
      <c r="L118" s="45" t="s">
        <v>12</v>
      </c>
      <c r="M118" s="45"/>
      <c r="N118" s="45" t="s">
        <v>13</v>
      </c>
      <c r="O118" s="45"/>
      <c r="P118"/>
    </row>
    <row r="119" spans="1:16" ht="25.5" customHeight="1" x14ac:dyDescent="0.2">
      <c r="A119" s="43" t="s">
        <v>90</v>
      </c>
      <c r="B119" s="59"/>
      <c r="C119" s="59"/>
      <c r="D119" s="59"/>
      <c r="E119" s="59"/>
      <c r="F119" s="3">
        <f ca="1">IFERROR(WEEKDAY(DATEVALUE(B118&amp;" 1, "&amp;Year1)),"")</f>
        <v>2</v>
      </c>
      <c r="G119" s="4"/>
      <c r="H119"/>
      <c r="I119" s="7"/>
      <c r="J119" s="8"/>
      <c r="K119" s="4"/>
      <c r="L119" s="46">
        <f ca="1">SUM(P129,P138,P147,P156,P165,P174)</f>
        <v>1774</v>
      </c>
      <c r="M119" s="47"/>
      <c r="N119" s="46">
        <f ca="1">SUM(P:P)</f>
        <v>21288</v>
      </c>
      <c r="O119" s="48"/>
      <c r="P119"/>
    </row>
    <row r="120" spans="1:16" ht="9" customHeight="1" x14ac:dyDescent="0.2">
      <c r="A120" s="43" t="s">
        <v>348</v>
      </c>
      <c r="B120" s="50">
        <v>1</v>
      </c>
      <c r="C120" s="50"/>
      <c r="D120" s="50">
        <v>2</v>
      </c>
      <c r="E120" s="50"/>
      <c r="F120" s="50">
        <v>3</v>
      </c>
      <c r="G120" s="50"/>
      <c r="H120" s="50">
        <v>4</v>
      </c>
      <c r="I120" s="50"/>
      <c r="J120" s="50">
        <v>5</v>
      </c>
      <c r="K120" s="50"/>
      <c r="L120" s="50">
        <v>6</v>
      </c>
      <c r="M120" s="50"/>
      <c r="N120" s="50">
        <v>7</v>
      </c>
      <c r="O120" s="50"/>
      <c r="P120" s="2"/>
    </row>
    <row r="121" spans="1:16" ht="15" customHeight="1" x14ac:dyDescent="0.2">
      <c r="A121" s="43" t="s">
        <v>111</v>
      </c>
      <c r="B121" s="60" t="s">
        <v>0</v>
      </c>
      <c r="C121" s="61"/>
      <c r="D121" s="62" t="s">
        <v>1</v>
      </c>
      <c r="E121" s="63" t="e">
        <f ca="1">IF(WEEKDAY(DATEVALUE(Month1&amp;" 1, "&amp;Year1))=COLUMN(#REF!),1,IF(LEN(C121)&gt;0,C121+1,""))</f>
        <v>#VALUE!</v>
      </c>
      <c r="F121" s="61" t="s">
        <v>2</v>
      </c>
      <c r="G121" s="61" t="e">
        <f ca="1">IF(WEEKDAY(DATEVALUE(Month1&amp;" 1, "&amp;Year1))=COLUMN(#REF!),1,IF(LEN(E121)&gt;0,E121+1,""))</f>
        <v>#VALUE!</v>
      </c>
      <c r="H121" s="62" t="s">
        <v>3</v>
      </c>
      <c r="I121" s="63" t="e">
        <f ca="1">IF(WEEKDAY(DATEVALUE(Month1&amp;" 1, "&amp;Year1))=COLUMN(#REF!),1,IF(LEN(G121)&gt;0,G121+1,""))</f>
        <v>#VALUE!</v>
      </c>
      <c r="J121" s="64" t="s">
        <v>4</v>
      </c>
      <c r="K121" s="65" t="e">
        <f ca="1">IF(WEEKDAY(DATEVALUE(Month1&amp;" 1, "&amp;Year1))=COLUMN(#REF!),1,IF(LEN(I121)&gt;0,I121+1,""))</f>
        <v>#VALUE!</v>
      </c>
      <c r="L121" s="66" t="s">
        <v>5</v>
      </c>
      <c r="M121" s="67" t="e">
        <f ca="1">IF(WEEKDAY(DATEVALUE(Month1&amp;" 1, "&amp;Year1))=COLUMN(#REF!),1,IF(LEN(K121)&gt;0,K121+1,""))</f>
        <v>#VALUE!</v>
      </c>
      <c r="N121" s="66" t="s">
        <v>6</v>
      </c>
      <c r="O121" s="67" t="e">
        <f ca="1">IF(WEEKDAY(DATEVALUE(Month1&amp;" 1, "&amp;Year1))=COLUMN(#REF!),1,IF(LEN(M121)&gt;0,M121+1,""))</f>
        <v>#VALUE!</v>
      </c>
      <c r="P121" s="42" t="s">
        <v>7</v>
      </c>
    </row>
    <row r="122" spans="1:16" ht="15" customHeight="1" x14ac:dyDescent="0.2">
      <c r="A122" s="43" t="s">
        <v>109</v>
      </c>
      <c r="B122" s="14">
        <f ca="1">DAY(IF(DAY(MarSun1)=1,MarSun1-6,MarSun1+1))</f>
        <v>28</v>
      </c>
      <c r="C122" s="16"/>
      <c r="D122" s="19">
        <f ca="1">DAY(IF(DAY(MarSun1)=1,MarSun1-5,MarSun1+2))</f>
        <v>1</v>
      </c>
      <c r="E122" s="16"/>
      <c r="F122" s="19">
        <f ca="1">DAY(IF(DAY(MarSun1)=1,MarSun1-4,MarSun1+3))</f>
        <v>2</v>
      </c>
      <c r="G122" s="16"/>
      <c r="H122" s="19">
        <f ca="1">DAY(IF(DAY(MarSun1)=1,MarSun1-3,MarSun1+4))</f>
        <v>3</v>
      </c>
      <c r="I122" s="16"/>
      <c r="J122" s="19">
        <f ca="1">DAY(IF(DAY(MarSun1)=1,MarSun1-2,MarSun1+5))</f>
        <v>4</v>
      </c>
      <c r="K122" s="16"/>
      <c r="L122" s="19">
        <f ca="1">DAY(IF(DAY(MarSun1)=1,MarSun1-1,MarSun1+6))</f>
        <v>5</v>
      </c>
      <c r="M122" s="16"/>
      <c r="N122" s="20">
        <f ca="1">DAY(IF(DAY(MarSun1)=1,MarSun1,MarSun1+7))</f>
        <v>6</v>
      </c>
      <c r="O122" s="15"/>
      <c r="P122" s="21"/>
    </row>
    <row r="123" spans="1:16" ht="11.25" customHeight="1" x14ac:dyDescent="0.2">
      <c r="A123" s="43" t="s">
        <v>177</v>
      </c>
      <c r="B123" s="41" t="s">
        <v>9</v>
      </c>
      <c r="C123" s="36" t="s">
        <v>10</v>
      </c>
      <c r="D123" s="35" t="s">
        <v>9</v>
      </c>
      <c r="E123" s="36" t="s">
        <v>10</v>
      </c>
      <c r="F123" s="35" t="s">
        <v>9</v>
      </c>
      <c r="G123" s="36" t="s">
        <v>10</v>
      </c>
      <c r="H123" s="35" t="s">
        <v>9</v>
      </c>
      <c r="I123" s="36" t="s">
        <v>10</v>
      </c>
      <c r="J123" s="35" t="s">
        <v>9</v>
      </c>
      <c r="K123" s="36" t="s">
        <v>10</v>
      </c>
      <c r="L123" s="35" t="s">
        <v>9</v>
      </c>
      <c r="M123" s="36" t="s">
        <v>10</v>
      </c>
      <c r="N123" s="37" t="s">
        <v>9</v>
      </c>
      <c r="O123" s="38" t="s">
        <v>10</v>
      </c>
      <c r="P123" s="22"/>
    </row>
    <row r="124" spans="1:16" ht="11.25" customHeight="1" x14ac:dyDescent="0.2">
      <c r="A124" s="43" t="s">
        <v>178</v>
      </c>
      <c r="B124" s="17" t="str">
        <f ca="1">IF(HLOOKUP(B122,Summary!$I$2:$AM$7,2,0)=0,"",HLOOKUP(B122,Summary!$I$2:$AM$7,2,0))</f>
        <v/>
      </c>
      <c r="C124" s="71" t="str">
        <f ca="1">IFERROR(VLOOKUP(B124,fixed_expenses[],2,0),"")</f>
        <v/>
      </c>
      <c r="D124" s="17" t="str">
        <f ca="1">IF(HLOOKUP(D122,Summary!$I$2:$AM$7,2,0)=0,"",HLOOKUP(D122,Summary!$I$2:$AM$7,2,0))</f>
        <v/>
      </c>
      <c r="E124" s="71" t="str">
        <f ca="1">IFERROR(VLOOKUP(D124,fixed_expenses[],2,0),"")</f>
        <v/>
      </c>
      <c r="F124" s="17" t="str">
        <f ca="1">IF(HLOOKUP(F122,Summary!$I$2:$AM$7,2,0)=0,"",HLOOKUP(F122,Summary!$I$2:$AM$7,2,0))</f>
        <v/>
      </c>
      <c r="G124" s="71" t="str">
        <f ca="1">IFERROR(VLOOKUP(F124,fixed_expenses[],2,0),"")</f>
        <v/>
      </c>
      <c r="H124" s="17" t="str">
        <f ca="1">IF(HLOOKUP(H122,Summary!$I$2:$AM$7,2,0)=0,"",HLOOKUP(H122,Summary!$I$2:$AM$7,2,0))</f>
        <v>Rent</v>
      </c>
      <c r="I124" s="71">
        <f ca="1">IFERROR(VLOOKUP(H124,fixed_expenses[],2,0),"")</f>
        <v>1200</v>
      </c>
      <c r="J124" s="17" t="str">
        <f ca="1">IF(HLOOKUP(J122,Summary!$I$2:$AM$7,2,0)=0,"",HLOOKUP(J122,Summary!$I$2:$AM$7,2,0))</f>
        <v/>
      </c>
      <c r="K124" s="71" t="str">
        <f ca="1">IFERROR(VLOOKUP(J124,fixed_expenses[],2,0),"")</f>
        <v/>
      </c>
      <c r="L124" s="17" t="s">
        <v>384</v>
      </c>
      <c r="M124" s="71">
        <f>IFERROR(VLOOKUP(L124,fixed_expenses[],2,0),"")</f>
        <v>232</v>
      </c>
      <c r="N124" s="17" t="str">
        <f ca="1">IF(HLOOKUP(N122,Summary!$I$2:$AM$7,2,0)=0,"",HLOOKUP(N122,Summary!$I$2:$AM$7,2,0))</f>
        <v/>
      </c>
      <c r="O124" s="71" t="str">
        <f ca="1">IFERROR(VLOOKUP(N124,fixed_expenses[],2,0),"")</f>
        <v/>
      </c>
      <c r="P124" s="22"/>
    </row>
    <row r="125" spans="1:16" ht="11.25" customHeight="1" x14ac:dyDescent="0.2">
      <c r="B125" s="17" t="str">
        <f ca="1">IF(HLOOKUP(B122,Summary!$I$2:$AM$7,3,0)=0,"",HLOOKUP(B122,Summary!$I$2:$AM$7,3,0))</f>
        <v/>
      </c>
      <c r="C125" s="71" t="str">
        <f ca="1">IFERROR(VLOOKUP(B125,fixed_expenses[],2,0),"")</f>
        <v/>
      </c>
      <c r="D125" s="17" t="str">
        <f ca="1">IF(HLOOKUP(D122,Summary!$I$2:$AM$7,3,0)=0,"",HLOOKUP(D122,Summary!$I$2:$AM$7,3,0))</f>
        <v/>
      </c>
      <c r="E125" s="71" t="str">
        <f ca="1">IFERROR(VLOOKUP(D125,fixed_expenses[],2,0),"")</f>
        <v/>
      </c>
      <c r="F125" s="17" t="str">
        <f ca="1">IF(HLOOKUP(F122,Summary!$I$2:$AM$7,3,0)=0,"",HLOOKUP(F122,Summary!$I$2:$AM$7,3,0))</f>
        <v/>
      </c>
      <c r="G125" s="71" t="str">
        <f ca="1">IFERROR(VLOOKUP(F125,fixed_expenses[],2,0),"")</f>
        <v/>
      </c>
      <c r="H125" s="17" t="str">
        <f ca="1">IF(HLOOKUP(H122,Summary!$I$2:$AM$7,3,0)=0,"",HLOOKUP(H122,Summary!$I$2:$AM$7,3,0))</f>
        <v/>
      </c>
      <c r="I125" s="71" t="str">
        <f ca="1">IFERROR(VLOOKUP(H125,fixed_expenses[],2,0),"")</f>
        <v/>
      </c>
      <c r="J125" s="17" t="str">
        <f ca="1">IF(HLOOKUP(J122,Summary!$I$2:$AM$7,3,0)=0,"",HLOOKUP(J122,Summary!$I$2:$AM$7,3,0))</f>
        <v/>
      </c>
      <c r="K125" s="71" t="str">
        <f ca="1">IFERROR(VLOOKUP(J125,fixed_expenses[],2,0),"")</f>
        <v/>
      </c>
      <c r="L125" s="17" t="str">
        <f ca="1">IF(HLOOKUP(L122,Summary!$I$2:$AM$7,3,0)=0,"",HLOOKUP(L122,Summary!$I$2:$AM$7,3,0))</f>
        <v/>
      </c>
      <c r="M125" s="71" t="str">
        <f ca="1">IFERROR(VLOOKUP(L125,fixed_expenses[],2,0),"")</f>
        <v/>
      </c>
      <c r="N125" s="17" t="str">
        <f ca="1">IF(HLOOKUP(N122,Summary!$I$2:$AM$7,3,0)=0,"",HLOOKUP(N122,Summary!$I$2:$AM$7,3,0))</f>
        <v/>
      </c>
      <c r="O125" s="71" t="str">
        <f ca="1">IFERROR(VLOOKUP(N125,fixed_expenses[],2,0),"")</f>
        <v/>
      </c>
      <c r="P125" s="22"/>
    </row>
    <row r="126" spans="1:16" ht="11.25" customHeight="1" x14ac:dyDescent="0.2">
      <c r="B126" s="17" t="str">
        <f ca="1">IF(HLOOKUP(B122,Summary!$I$2:$AM$7,4,0)=0,"",HLOOKUP(B122,Summary!$I$2:$AM$7,4,0))</f>
        <v/>
      </c>
      <c r="C126" s="71" t="str">
        <f ca="1">IFERROR(VLOOKUP(B126,fixed_expenses[],2,0),"")</f>
        <v/>
      </c>
      <c r="D126" s="17" t="str">
        <f ca="1">IF(HLOOKUP(D122,Summary!$I$2:$AM$7,4,0)=0,"",HLOOKUP(D122,Summary!$I$2:$AM$7,4,0))</f>
        <v/>
      </c>
      <c r="E126" s="71" t="str">
        <f ca="1">IFERROR(VLOOKUP(D126,fixed_expenses[],2,0),"")</f>
        <v/>
      </c>
      <c r="F126" s="17" t="str">
        <f ca="1">IF(HLOOKUP(F122,Summary!$I$2:$AM$7,4,0)=0,"",HLOOKUP(F122,Summary!$I$2:$AM$7,4,0))</f>
        <v/>
      </c>
      <c r="G126" s="71" t="str">
        <f ca="1">IFERROR(VLOOKUP(F126,fixed_expenses[],2,0),"")</f>
        <v/>
      </c>
      <c r="H126" s="17" t="str">
        <f ca="1">IF(HLOOKUP(H122,Summary!$I$2:$AM$7,4,0)=0,"",HLOOKUP(H122,Summary!$I$2:$AM$7,4,0))</f>
        <v/>
      </c>
      <c r="I126" s="71" t="str">
        <f ca="1">IFERROR(VLOOKUP(H126,fixed_expenses[],2,0),"")</f>
        <v/>
      </c>
      <c r="J126" s="17" t="str">
        <f ca="1">IF(HLOOKUP(J122,Summary!$I$2:$AM$7,4,0)=0,"",HLOOKUP(J122,Summary!$I$2:$AM$7,4,0))</f>
        <v/>
      </c>
      <c r="K126" s="71" t="str">
        <f ca="1">IFERROR(VLOOKUP(J126,fixed_expenses[],2,0),"")</f>
        <v/>
      </c>
      <c r="L126" s="17" t="str">
        <f ca="1">IF(HLOOKUP(L122,Summary!$I$2:$AM$7,4,0)=0,"",HLOOKUP(L122,Summary!$I$2:$AM$7,4,0))</f>
        <v/>
      </c>
      <c r="M126" s="71" t="str">
        <f ca="1">IFERROR(VLOOKUP(L126,fixed_expenses[],2,0),"")</f>
        <v/>
      </c>
      <c r="N126" s="17" t="str">
        <f ca="1">IF(HLOOKUP(N122,Summary!$I$2:$AM$7,4,0)=0,"",HLOOKUP(N122,Summary!$I$2:$AM$7,4,0))</f>
        <v/>
      </c>
      <c r="O126" s="71" t="str">
        <f ca="1">IFERROR(VLOOKUP(N126,fixed_expenses[],2,0),"")</f>
        <v/>
      </c>
      <c r="P126" s="22"/>
    </row>
    <row r="127" spans="1:16" ht="11.25" customHeight="1" x14ac:dyDescent="0.2">
      <c r="B127" s="17" t="str">
        <f ca="1">IF(HLOOKUP(B122,Summary!$I$2:$AM$7,5,0)=0,"",HLOOKUP(B122,Summary!$I$2:$AM$7,5,0))</f>
        <v/>
      </c>
      <c r="C127" s="71" t="str">
        <f ca="1">IFERROR(VLOOKUP(B127,fixed_expenses[],2,0),"")</f>
        <v/>
      </c>
      <c r="D127" s="17" t="str">
        <f ca="1">IF(HLOOKUP(D122,Summary!$I$2:$AM$7,5,0)=0,"",HLOOKUP(D122,Summary!$I$2:$AM$7,5,0))</f>
        <v/>
      </c>
      <c r="E127" s="71" t="str">
        <f ca="1">IFERROR(VLOOKUP(D127,fixed_expenses[],2,0),"")</f>
        <v/>
      </c>
      <c r="F127" s="17" t="str">
        <f ca="1">IF(HLOOKUP(F122,Summary!$I$2:$AM$7,5,0)=0,"",HLOOKUP(F122,Summary!$I$2:$AM$7,5,0))</f>
        <v/>
      </c>
      <c r="G127" s="71" t="str">
        <f ca="1">IFERROR(VLOOKUP(F127,fixed_expenses[],2,0),"")</f>
        <v/>
      </c>
      <c r="H127" s="17" t="str">
        <f ca="1">IF(HLOOKUP(H122,Summary!$I$2:$AM$7,5,0)=0,"",HLOOKUP(H122,Summary!$I$2:$AM$7,5,0))</f>
        <v/>
      </c>
      <c r="I127" s="71" t="str">
        <f ca="1">IFERROR(VLOOKUP(H127,fixed_expenses[],2,0),"")</f>
        <v/>
      </c>
      <c r="J127" s="17" t="str">
        <f ca="1">IF(HLOOKUP(J122,Summary!$I$2:$AM$7,5,0)=0,"",HLOOKUP(J122,Summary!$I$2:$AM$7,5,0))</f>
        <v/>
      </c>
      <c r="K127" s="71" t="str">
        <f ca="1">IFERROR(VLOOKUP(J127,fixed_expenses[],2,0),"")</f>
        <v/>
      </c>
      <c r="L127" s="17" t="str">
        <f ca="1">IF(HLOOKUP(L122,Summary!$I$2:$AM$7,5,0)=0,"",HLOOKUP(L122,Summary!$I$2:$AM$7,5,0))</f>
        <v/>
      </c>
      <c r="M127" s="71" t="str">
        <f ca="1">IFERROR(VLOOKUP(L127,fixed_expenses[],2,0),"")</f>
        <v/>
      </c>
      <c r="N127" s="17" t="str">
        <f ca="1">IF(HLOOKUP(N122,Summary!$I$2:$AM$7,5,0)=0,"",HLOOKUP(N122,Summary!$I$2:$AM$7,5,0))</f>
        <v/>
      </c>
      <c r="O127" s="71" t="str">
        <f ca="1">IFERROR(VLOOKUP(N127,fixed_expenses[],2,0),"")</f>
        <v/>
      </c>
      <c r="P127" s="22"/>
    </row>
    <row r="128" spans="1:16" ht="11.25" customHeight="1" x14ac:dyDescent="0.2">
      <c r="B128" s="17" t="str">
        <f ca="1">IF(HLOOKUP(B122,Summary!$I$2:$AM$7,6,0)=0,"",HLOOKUP(B122,Summary!$I$2:$AM$7,6,0))</f>
        <v/>
      </c>
      <c r="C128" s="71" t="str">
        <f ca="1">IFERROR(VLOOKUP(B128,fixed_expenses[],2,0),"")</f>
        <v/>
      </c>
      <c r="D128" s="17" t="str">
        <f ca="1">IF(HLOOKUP(D122,Summary!$I$2:$AM$7,6,0)=0,"",HLOOKUP(D122,Summary!$I$2:$AM$7,6,0))</f>
        <v/>
      </c>
      <c r="E128" s="71" t="str">
        <f ca="1">IFERROR(VLOOKUP(D128,fixed_expenses[],2,0),"")</f>
        <v/>
      </c>
      <c r="F128" s="17" t="str">
        <f ca="1">IF(HLOOKUP(F122,Summary!$I$2:$AM$7,6,0)=0,"",HLOOKUP(F122,Summary!$I$2:$AM$7,6,0))</f>
        <v/>
      </c>
      <c r="G128" s="71" t="str">
        <f ca="1">IFERROR(VLOOKUP(F128,fixed_expenses[],2,0),"")</f>
        <v/>
      </c>
      <c r="H128" s="17" t="str">
        <f ca="1">IF(HLOOKUP(H122,Summary!$I$2:$AM$7,6,0)=0,"",HLOOKUP(H122,Summary!$I$2:$AM$7,6,0))</f>
        <v/>
      </c>
      <c r="I128" s="71" t="str">
        <f ca="1">IFERROR(VLOOKUP(H128,fixed_expenses[],2,0),"")</f>
        <v/>
      </c>
      <c r="J128" s="17" t="str">
        <f ca="1">IF(HLOOKUP(J122,Summary!$I$2:$AM$7,6,0)=0,"",HLOOKUP(J122,Summary!$I$2:$AM$7,6,0))</f>
        <v/>
      </c>
      <c r="K128" s="71" t="str">
        <f ca="1">IFERROR(VLOOKUP(J128,fixed_expenses[],2,0),"")</f>
        <v/>
      </c>
      <c r="L128" s="17" t="str">
        <f ca="1">IF(HLOOKUP(L122,Summary!$I$2:$AM$7,6,0)=0,"",HLOOKUP(L122,Summary!$I$2:$AM$7,6,0))</f>
        <v/>
      </c>
      <c r="M128" s="71" t="str">
        <f ca="1">IFERROR(VLOOKUP(L128,fixed_expenses[],2,0),"")</f>
        <v/>
      </c>
      <c r="N128" s="17" t="str">
        <f ca="1">IF(HLOOKUP(N122,Summary!$I$2:$AM$7,6,0)=0,"",HLOOKUP(N122,Summary!$I$2:$AM$7,6,0))</f>
        <v/>
      </c>
      <c r="O128" s="71" t="str">
        <f ca="1">IFERROR(VLOOKUP(N128,fixed_expenses[],2,0),"")</f>
        <v/>
      </c>
      <c r="P128" s="22"/>
    </row>
    <row r="129" spans="1:16" ht="11.25" customHeight="1" x14ac:dyDescent="0.2">
      <c r="A129" s="43" t="s">
        <v>344</v>
      </c>
      <c r="B129" s="26" t="s">
        <v>8</v>
      </c>
      <c r="C129" s="27">
        <f ca="1">SUM(C124:C128)</f>
        <v>0</v>
      </c>
      <c r="D129" s="18"/>
      <c r="E129" s="27">
        <f ca="1">SUM(E124:E128)</f>
        <v>0</v>
      </c>
      <c r="F129" s="18"/>
      <c r="G129" s="27">
        <f ca="1">SUM(G124:G128)</f>
        <v>0</v>
      </c>
      <c r="H129" s="18"/>
      <c r="I129" s="27">
        <f ca="1">SUM(I124:I128)</f>
        <v>1200</v>
      </c>
      <c r="J129" s="26"/>
      <c r="K129" s="27">
        <f ca="1">SUM(K124:K128)</f>
        <v>0</v>
      </c>
      <c r="L129" s="26"/>
      <c r="M129" s="27">
        <f ca="1">SUM(M124:M128)</f>
        <v>232</v>
      </c>
      <c r="N129" s="26"/>
      <c r="O129" s="28">
        <f ca="1">SUM(O124:O128)</f>
        <v>0</v>
      </c>
      <c r="P129" s="29">
        <f ca="1">SUMIF(B122:N122,"&lt;8",C129:O129)</f>
        <v>1432</v>
      </c>
    </row>
    <row r="130" spans="1:16" x14ac:dyDescent="0.2">
      <c r="B130" s="6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6"/>
    </row>
    <row r="131" spans="1:16" ht="15" customHeight="1" x14ac:dyDescent="0.2">
      <c r="A131" s="44" t="s">
        <v>235</v>
      </c>
      <c r="B131" s="12">
        <f ca="1">N122+1</f>
        <v>7</v>
      </c>
      <c r="C131" s="13"/>
      <c r="D131" s="12">
        <f ca="1">B131+1</f>
        <v>8</v>
      </c>
      <c r="E131" s="13"/>
      <c r="F131" s="12">
        <f ca="1">D131+1</f>
        <v>9</v>
      </c>
      <c r="G131" s="13"/>
      <c r="H131" s="12">
        <f ca="1">F131+1</f>
        <v>10</v>
      </c>
      <c r="I131" s="13"/>
      <c r="J131" s="12">
        <f ca="1">H131+1</f>
        <v>11</v>
      </c>
      <c r="K131" s="13"/>
      <c r="L131" s="12">
        <f ca="1">J131+1</f>
        <v>12</v>
      </c>
      <c r="M131" s="13"/>
      <c r="N131" s="12">
        <f ca="1">L131+1</f>
        <v>13</v>
      </c>
      <c r="O131" s="13"/>
      <c r="P131" s="23"/>
    </row>
    <row r="132" spans="1:16" ht="11.25" customHeight="1" x14ac:dyDescent="0.2">
      <c r="A132" s="43" t="s">
        <v>176</v>
      </c>
      <c r="B132" s="37" t="s">
        <v>9</v>
      </c>
      <c r="C132" s="39" t="s">
        <v>10</v>
      </c>
      <c r="D132" s="37" t="s">
        <v>9</v>
      </c>
      <c r="E132" s="39" t="s">
        <v>10</v>
      </c>
      <c r="F132" s="37" t="s">
        <v>9</v>
      </c>
      <c r="G132" s="39" t="s">
        <v>10</v>
      </c>
      <c r="H132" s="37" t="s">
        <v>9</v>
      </c>
      <c r="I132" s="39" t="s">
        <v>10</v>
      </c>
      <c r="J132" s="37" t="s">
        <v>9</v>
      </c>
      <c r="K132" s="39" t="s">
        <v>10</v>
      </c>
      <c r="L132" s="37" t="s">
        <v>9</v>
      </c>
      <c r="M132" s="39" t="s">
        <v>10</v>
      </c>
      <c r="N132" s="37" t="s">
        <v>9</v>
      </c>
      <c r="O132" s="40" t="s">
        <v>10</v>
      </c>
      <c r="P132" s="22"/>
    </row>
    <row r="133" spans="1:16" ht="11.25" customHeight="1" x14ac:dyDescent="0.2">
      <c r="A133" s="43" t="s">
        <v>179</v>
      </c>
      <c r="B133" s="17" t="str">
        <f ca="1">IF(HLOOKUP(B131,Summary!$I$2:$AM$7,2,0)=0,"",HLOOKUP(B131,Summary!$I$2:$AM$7,2,0))</f>
        <v/>
      </c>
      <c r="C133" s="71" t="str">
        <f ca="1">IFERROR(VLOOKUP(B133,fixed_expenses[],2,0),"")</f>
        <v/>
      </c>
      <c r="D133" s="17" t="str">
        <f ca="1">IF(HLOOKUP(D131,Summary!$I$2:$AM$7,2,0)=0,"",HLOOKUP(D131,Summary!$I$2:$AM$7,2,0))</f>
        <v/>
      </c>
      <c r="E133" s="71" t="str">
        <f ca="1">IFERROR(VLOOKUP(D133,fixed_expenses[],2,0),"")</f>
        <v/>
      </c>
      <c r="F133" s="17" t="str">
        <f ca="1">IF(HLOOKUP(F131,Summary!$I$2:$AM$7,2,0)=0,"",HLOOKUP(F131,Summary!$I$2:$AM$7,2,0))</f>
        <v/>
      </c>
      <c r="G133" s="71" t="str">
        <f ca="1">IFERROR(VLOOKUP(F133,fixed_expenses[],2,0),"")</f>
        <v/>
      </c>
      <c r="H133" s="17" t="str">
        <f ca="1">IF(HLOOKUP(H131,Summary!$I$2:$AM$7,2,0)=0,"",HLOOKUP(H131,Summary!$I$2:$AM$7,2,0))</f>
        <v/>
      </c>
      <c r="I133" s="71" t="str">
        <f ca="1">IFERROR(VLOOKUP(H133,fixed_expenses[],2,0),"")</f>
        <v/>
      </c>
      <c r="J133" s="17" t="str">
        <f ca="1">IF(HLOOKUP(J131,Summary!$I$2:$AM$7,2,0)=0,"",HLOOKUP(J131,Summary!$I$2:$AM$7,2,0))</f>
        <v/>
      </c>
      <c r="K133" s="71" t="str">
        <f ca="1">IFERROR(VLOOKUP(J133,fixed_expenses[],2,0),"")</f>
        <v/>
      </c>
      <c r="L133" s="17" t="str">
        <f ca="1">IF(HLOOKUP(L131,Summary!$I$2:$AM$7,2,0)=0,"",HLOOKUP(L131,Summary!$I$2:$AM$7,2,0))</f>
        <v/>
      </c>
      <c r="M133" s="71" t="str">
        <f ca="1">IFERROR(VLOOKUP(L133,fixed_expenses[],2,0),"")</f>
        <v/>
      </c>
      <c r="N133" s="17" t="str">
        <f ca="1">IF(HLOOKUP(N131,Summary!$I$2:$AM$7,2,0)=0,"",HLOOKUP(N131,Summary!$I$2:$AM$7,2,0))</f>
        <v/>
      </c>
      <c r="O133" s="71" t="str">
        <f ca="1">IFERROR(VLOOKUP(N133,fixed_expenses[],2,0),"")</f>
        <v/>
      </c>
      <c r="P133" s="22"/>
    </row>
    <row r="134" spans="1:16" ht="11.25" customHeight="1" x14ac:dyDescent="0.2">
      <c r="B134" s="17" t="str">
        <f ca="1">IF(HLOOKUP(B131,Summary!$I$2:$AM$7,3,0)=0,"",HLOOKUP(B131,Summary!$I$2:$AM$7,3,0))</f>
        <v/>
      </c>
      <c r="C134" s="71" t="str">
        <f ca="1">IFERROR(VLOOKUP(B134,fixed_expenses[],2,0),"")</f>
        <v/>
      </c>
      <c r="D134" s="17" t="str">
        <f ca="1">IF(HLOOKUP(D131,Summary!$I$2:$AM$7,3,0)=0,"",HLOOKUP(D131,Summary!$I$2:$AM$7,3,0))</f>
        <v/>
      </c>
      <c r="E134" s="71" t="str">
        <f ca="1">IFERROR(VLOOKUP(D134,fixed_expenses[],2,0),"")</f>
        <v/>
      </c>
      <c r="F134" s="17" t="str">
        <f ca="1">IF(HLOOKUP(F131,Summary!$I$2:$AM$7,3,0)=0,"",HLOOKUP(F131,Summary!$I$2:$AM$7,3,0))</f>
        <v/>
      </c>
      <c r="G134" s="71" t="str">
        <f ca="1">IFERROR(VLOOKUP(F134,fixed_expenses[],2,0),"")</f>
        <v/>
      </c>
      <c r="H134" s="17" t="str">
        <f ca="1">IF(HLOOKUP(H131,Summary!$I$2:$AM$7,3,0)=0,"",HLOOKUP(H131,Summary!$I$2:$AM$7,3,0))</f>
        <v/>
      </c>
      <c r="I134" s="71" t="str">
        <f ca="1">IFERROR(VLOOKUP(H134,fixed_expenses[],2,0),"")</f>
        <v/>
      </c>
      <c r="J134" s="17" t="str">
        <f ca="1">IF(HLOOKUP(J131,Summary!$I$2:$AM$7,3,0)=0,"",HLOOKUP(J131,Summary!$I$2:$AM$7,3,0))</f>
        <v/>
      </c>
      <c r="K134" s="71" t="str">
        <f ca="1">IFERROR(VLOOKUP(J134,fixed_expenses[],2,0),"")</f>
        <v/>
      </c>
      <c r="L134" s="17" t="str">
        <f ca="1">IF(HLOOKUP(L131,Summary!$I$2:$AM$7,3,0)=0,"",HLOOKUP(L131,Summary!$I$2:$AM$7,3,0))</f>
        <v/>
      </c>
      <c r="M134" s="71" t="str">
        <f ca="1">IFERROR(VLOOKUP(L134,fixed_expenses[],2,0),"")</f>
        <v/>
      </c>
      <c r="N134" s="17" t="str">
        <f ca="1">IF(HLOOKUP(N131,Summary!$I$2:$AM$7,3,0)=0,"",HLOOKUP(N131,Summary!$I$2:$AM$7,3,0))</f>
        <v/>
      </c>
      <c r="O134" s="71" t="str">
        <f ca="1">IFERROR(VLOOKUP(N134,fixed_expenses[],2,0),"")</f>
        <v/>
      </c>
      <c r="P134" s="22"/>
    </row>
    <row r="135" spans="1:16" ht="11.25" customHeight="1" x14ac:dyDescent="0.2">
      <c r="B135" s="17" t="str">
        <f ca="1">IF(HLOOKUP(B131,Summary!$I$2:$AM$7,4,0)=0,"",HLOOKUP(B131,Summary!$I$2:$AM$7,4,0))</f>
        <v/>
      </c>
      <c r="C135" s="71" t="str">
        <f ca="1">IFERROR(VLOOKUP(B135,fixed_expenses[],2,0),"")</f>
        <v/>
      </c>
      <c r="D135" s="17" t="str">
        <f ca="1">IF(HLOOKUP(D131,Summary!$I$2:$AM$7,4,0)=0,"",HLOOKUP(D131,Summary!$I$2:$AM$7,4,0))</f>
        <v/>
      </c>
      <c r="E135" s="71" t="str">
        <f ca="1">IFERROR(VLOOKUP(D135,fixed_expenses[],2,0),"")</f>
        <v/>
      </c>
      <c r="F135" s="17" t="str">
        <f ca="1">IF(HLOOKUP(F131,Summary!$I$2:$AM$7,4,0)=0,"",HLOOKUP(F131,Summary!$I$2:$AM$7,4,0))</f>
        <v/>
      </c>
      <c r="G135" s="71" t="str">
        <f ca="1">IFERROR(VLOOKUP(F135,fixed_expenses[],2,0),"")</f>
        <v/>
      </c>
      <c r="H135" s="17" t="str">
        <f ca="1">IF(HLOOKUP(H131,Summary!$I$2:$AM$7,4,0)=0,"",HLOOKUP(H131,Summary!$I$2:$AM$7,4,0))</f>
        <v/>
      </c>
      <c r="I135" s="71" t="str">
        <f ca="1">IFERROR(VLOOKUP(H135,fixed_expenses[],2,0),"")</f>
        <v/>
      </c>
      <c r="J135" s="17" t="str">
        <f ca="1">IF(HLOOKUP(J131,Summary!$I$2:$AM$7,4,0)=0,"",HLOOKUP(J131,Summary!$I$2:$AM$7,4,0))</f>
        <v/>
      </c>
      <c r="K135" s="71" t="str">
        <f ca="1">IFERROR(VLOOKUP(J135,fixed_expenses[],2,0),"")</f>
        <v/>
      </c>
      <c r="L135" s="17" t="str">
        <f ca="1">IF(HLOOKUP(L131,Summary!$I$2:$AM$7,4,0)=0,"",HLOOKUP(L131,Summary!$I$2:$AM$7,4,0))</f>
        <v/>
      </c>
      <c r="M135" s="71" t="str">
        <f ca="1">IFERROR(VLOOKUP(L135,fixed_expenses[],2,0),"")</f>
        <v/>
      </c>
      <c r="N135" s="17" t="str">
        <f ca="1">IF(HLOOKUP(N131,Summary!$I$2:$AM$7,4,0)=0,"",HLOOKUP(N131,Summary!$I$2:$AM$7,4,0))</f>
        <v/>
      </c>
      <c r="O135" s="71" t="str">
        <f ca="1">IFERROR(VLOOKUP(N135,fixed_expenses[],2,0),"")</f>
        <v/>
      </c>
      <c r="P135" s="22"/>
    </row>
    <row r="136" spans="1:16" ht="11.25" customHeight="1" x14ac:dyDescent="0.2">
      <c r="B136" s="17" t="str">
        <f ca="1">IF(HLOOKUP(B131,Summary!$I$2:$AM$7,5,0)=0,"",HLOOKUP(B131,Summary!$I$2:$AM$7,5,0))</f>
        <v/>
      </c>
      <c r="C136" s="71" t="str">
        <f ca="1">IFERROR(VLOOKUP(B136,fixed_expenses[],2,0),"")</f>
        <v/>
      </c>
      <c r="D136" s="17" t="str">
        <f ca="1">IF(HLOOKUP(D131,Summary!$I$2:$AM$7,5,0)=0,"",HLOOKUP(D131,Summary!$I$2:$AM$7,5,0))</f>
        <v/>
      </c>
      <c r="E136" s="71" t="str">
        <f ca="1">IFERROR(VLOOKUP(D136,fixed_expenses[],2,0),"")</f>
        <v/>
      </c>
      <c r="F136" s="17" t="str">
        <f ca="1">IF(HLOOKUP(F131,Summary!$I$2:$AM$7,5,0)=0,"",HLOOKUP(F131,Summary!$I$2:$AM$7,5,0))</f>
        <v/>
      </c>
      <c r="G136" s="71" t="str">
        <f ca="1">IFERROR(VLOOKUP(F136,fixed_expenses[],2,0),"")</f>
        <v/>
      </c>
      <c r="H136" s="17" t="str">
        <f ca="1">IF(HLOOKUP(H131,Summary!$I$2:$AM$7,5,0)=0,"",HLOOKUP(H131,Summary!$I$2:$AM$7,5,0))</f>
        <v/>
      </c>
      <c r="I136" s="71" t="str">
        <f ca="1">IFERROR(VLOOKUP(H136,fixed_expenses[],2,0),"")</f>
        <v/>
      </c>
      <c r="J136" s="17" t="str">
        <f ca="1">IF(HLOOKUP(J131,Summary!$I$2:$AM$7,5,0)=0,"",HLOOKUP(J131,Summary!$I$2:$AM$7,5,0))</f>
        <v/>
      </c>
      <c r="K136" s="71" t="str">
        <f ca="1">IFERROR(VLOOKUP(J136,fixed_expenses[],2,0),"")</f>
        <v/>
      </c>
      <c r="L136" s="17" t="str">
        <f ca="1">IF(HLOOKUP(L131,Summary!$I$2:$AM$7,5,0)=0,"",HLOOKUP(L131,Summary!$I$2:$AM$7,5,0))</f>
        <v/>
      </c>
      <c r="M136" s="71" t="str">
        <f ca="1">IFERROR(VLOOKUP(L136,fixed_expenses[],2,0),"")</f>
        <v/>
      </c>
      <c r="N136" s="17" t="str">
        <f ca="1">IF(HLOOKUP(N131,Summary!$I$2:$AM$7,5,0)=0,"",HLOOKUP(N131,Summary!$I$2:$AM$7,5,0))</f>
        <v/>
      </c>
      <c r="O136" s="71" t="str">
        <f ca="1">IFERROR(VLOOKUP(N136,fixed_expenses[],2,0),"")</f>
        <v/>
      </c>
      <c r="P136" s="22"/>
    </row>
    <row r="137" spans="1:16" ht="11.25" customHeight="1" x14ac:dyDescent="0.2">
      <c r="B137" s="17" t="str">
        <f ca="1">IF(HLOOKUP(B131,Summary!$I$2:$AM$7,6,0)=0,"",HLOOKUP(B131,Summary!$I$2:$AM$7,6,0))</f>
        <v/>
      </c>
      <c r="C137" s="71" t="str">
        <f ca="1">IFERROR(VLOOKUP(B137,fixed_expenses[],2,0),"")</f>
        <v/>
      </c>
      <c r="D137" s="17" t="str">
        <f ca="1">IF(HLOOKUP(D131,Summary!$I$2:$AM$7,6,0)=0,"",HLOOKUP(D131,Summary!$I$2:$AM$7,6,0))</f>
        <v/>
      </c>
      <c r="E137" s="71" t="str">
        <f ca="1">IFERROR(VLOOKUP(D137,fixed_expenses[],2,0),"")</f>
        <v/>
      </c>
      <c r="F137" s="17" t="str">
        <f ca="1">IF(HLOOKUP(F131,Summary!$I$2:$AM$7,6,0)=0,"",HLOOKUP(F131,Summary!$I$2:$AM$7,6,0))</f>
        <v/>
      </c>
      <c r="G137" s="71" t="str">
        <f ca="1">IFERROR(VLOOKUP(F137,fixed_expenses[],2,0),"")</f>
        <v/>
      </c>
      <c r="H137" s="17" t="str">
        <f ca="1">IF(HLOOKUP(H131,Summary!$I$2:$AM$7,6,0)=0,"",HLOOKUP(H131,Summary!$I$2:$AM$7,6,0))</f>
        <v/>
      </c>
      <c r="I137" s="71" t="str">
        <f ca="1">IFERROR(VLOOKUP(H137,fixed_expenses[],2,0),"")</f>
        <v/>
      </c>
      <c r="J137" s="17" t="str">
        <f ca="1">IF(HLOOKUP(J131,Summary!$I$2:$AM$7,6,0)=0,"",HLOOKUP(J131,Summary!$I$2:$AM$7,6,0))</f>
        <v/>
      </c>
      <c r="K137" s="71" t="str">
        <f ca="1">IFERROR(VLOOKUP(J137,fixed_expenses[],2,0),"")</f>
        <v/>
      </c>
      <c r="L137" s="17" t="str">
        <f ca="1">IF(HLOOKUP(L131,Summary!$I$2:$AM$7,6,0)=0,"",HLOOKUP(L131,Summary!$I$2:$AM$7,6,0))</f>
        <v/>
      </c>
      <c r="M137" s="71" t="str">
        <f ca="1">IFERROR(VLOOKUP(L137,fixed_expenses[],2,0),"")</f>
        <v/>
      </c>
      <c r="N137" s="17" t="str">
        <f ca="1">IF(HLOOKUP(N131,Summary!$I$2:$AM$7,6,0)=0,"",HLOOKUP(N131,Summary!$I$2:$AM$7,6,0))</f>
        <v/>
      </c>
      <c r="O137" s="71" t="str">
        <f ca="1">IFERROR(VLOOKUP(N137,fixed_expenses[],2,0),"")</f>
        <v/>
      </c>
      <c r="P137" s="22"/>
    </row>
    <row r="138" spans="1:16" ht="11.25" customHeight="1" x14ac:dyDescent="0.2">
      <c r="A138" s="43" t="s">
        <v>343</v>
      </c>
      <c r="B138" s="26" t="s">
        <v>8</v>
      </c>
      <c r="C138" s="27">
        <f ca="1">SUM(C133:C137)</f>
        <v>0</v>
      </c>
      <c r="D138" s="26"/>
      <c r="E138" s="27">
        <f ca="1">SUM(E133:E137)</f>
        <v>0</v>
      </c>
      <c r="F138" s="26"/>
      <c r="G138" s="27">
        <f ca="1">SUM(G133:G137)</f>
        <v>0</v>
      </c>
      <c r="H138" s="26"/>
      <c r="I138" s="27">
        <f ca="1">SUM(I133:I137)</f>
        <v>0</v>
      </c>
      <c r="J138" s="26"/>
      <c r="K138" s="27">
        <f ca="1">SUM(K133:K137)</f>
        <v>0</v>
      </c>
      <c r="L138" s="26"/>
      <c r="M138" s="27">
        <f ca="1">SUM(M133:M137)</f>
        <v>0</v>
      </c>
      <c r="N138" s="26"/>
      <c r="O138" s="28">
        <f ca="1">SUM(O133:O137)</f>
        <v>0</v>
      </c>
      <c r="P138" s="29">
        <f ca="1">SUM(C138,E138,G138,I138,K138,M138,O138)</f>
        <v>0</v>
      </c>
    </row>
    <row r="139" spans="1:16" x14ac:dyDescent="0.2">
      <c r="B139" s="6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6"/>
    </row>
    <row r="140" spans="1:16" ht="15" customHeight="1" x14ac:dyDescent="0.2">
      <c r="A140" s="43" t="s">
        <v>236</v>
      </c>
      <c r="B140" s="12">
        <f ca="1">N131+1</f>
        <v>14</v>
      </c>
      <c r="C140" s="13"/>
      <c r="D140" s="12">
        <f ca="1">B140+1</f>
        <v>15</v>
      </c>
      <c r="E140" s="13"/>
      <c r="F140" s="12">
        <f ca="1">D140+1</f>
        <v>16</v>
      </c>
      <c r="G140" s="13"/>
      <c r="H140" s="12">
        <f ca="1">F140+1</f>
        <v>17</v>
      </c>
      <c r="I140" s="13"/>
      <c r="J140" s="12">
        <f ca="1">H140+1</f>
        <v>18</v>
      </c>
      <c r="K140" s="13"/>
      <c r="L140" s="12">
        <f ca="1">J140+1</f>
        <v>19</v>
      </c>
      <c r="M140" s="13"/>
      <c r="N140" s="12">
        <f ca="1">L140+1</f>
        <v>20</v>
      </c>
      <c r="O140" s="13"/>
      <c r="P140" s="24"/>
    </row>
    <row r="141" spans="1:16" ht="11.25" customHeight="1" x14ac:dyDescent="0.2">
      <c r="A141" s="43" t="s">
        <v>175</v>
      </c>
      <c r="B141" s="37" t="s">
        <v>9</v>
      </c>
      <c r="C141" s="39" t="s">
        <v>10</v>
      </c>
      <c r="D141" s="37" t="s">
        <v>9</v>
      </c>
      <c r="E141" s="39" t="s">
        <v>10</v>
      </c>
      <c r="F141" s="37" t="s">
        <v>9</v>
      </c>
      <c r="G141" s="39" t="s">
        <v>10</v>
      </c>
      <c r="H141" s="37" t="s">
        <v>9</v>
      </c>
      <c r="I141" s="39" t="s">
        <v>10</v>
      </c>
      <c r="J141" s="37" t="s">
        <v>9</v>
      </c>
      <c r="K141" s="39" t="s">
        <v>10</v>
      </c>
      <c r="L141" s="37" t="s">
        <v>9</v>
      </c>
      <c r="M141" s="39" t="s">
        <v>10</v>
      </c>
      <c r="N141" s="37" t="s">
        <v>9</v>
      </c>
      <c r="O141" s="40" t="s">
        <v>10</v>
      </c>
      <c r="P141" s="22"/>
    </row>
    <row r="142" spans="1:16" ht="11.25" customHeight="1" x14ac:dyDescent="0.2">
      <c r="A142" s="43" t="s">
        <v>180</v>
      </c>
      <c r="B142" s="17" t="str">
        <f ca="1">IF(HLOOKUP(B140,Summary!$I$2:$AM$7,2,0)=0,"",HLOOKUP(B140,Summary!$I$2:$AM$7,2,0))</f>
        <v/>
      </c>
      <c r="C142" s="71" t="str">
        <f ca="1">IFERROR(VLOOKUP(B142,fixed_expenses[],2,0),"")</f>
        <v/>
      </c>
      <c r="D142" s="17" t="str">
        <f ca="1">IF(HLOOKUP(D140,Summary!$I$2:$AM$7,2,0)=0,"",HLOOKUP(D140,Summary!$I$2:$AM$7,2,0))</f>
        <v>Paul Phone Bill</v>
      </c>
      <c r="E142" s="71">
        <f ca="1">IFERROR(VLOOKUP(D142,fixed_expenses[],2,0),"")</f>
        <v>60</v>
      </c>
      <c r="F142" s="17" t="str">
        <f ca="1">IF(HLOOKUP(F140,Summary!$I$2:$AM$7,2,0)=0,"",HLOOKUP(F140,Summary!$I$2:$AM$7,2,0))</f>
        <v/>
      </c>
      <c r="G142" s="71" t="str">
        <f ca="1">IFERROR(VLOOKUP(F142,fixed_expenses[],2,0),"")</f>
        <v/>
      </c>
      <c r="H142" s="17" t="str">
        <f ca="1">IF(HLOOKUP(H140,Summary!$I$2:$AM$7,2,0)=0,"",HLOOKUP(H140,Summary!$I$2:$AM$7,2,0))</f>
        <v/>
      </c>
      <c r="I142" s="71" t="str">
        <f ca="1">IFERROR(VLOOKUP(H142,fixed_expenses[],2,0),"")</f>
        <v/>
      </c>
      <c r="J142" s="17" t="str">
        <f ca="1">IF(HLOOKUP(J140,Summary!$I$2:$AM$7,2,0)=0,"",HLOOKUP(J140,Summary!$I$2:$AM$7,2,0))</f>
        <v/>
      </c>
      <c r="K142" s="71" t="str">
        <f ca="1">IFERROR(VLOOKUP(J142,fixed_expenses[],2,0),"")</f>
        <v/>
      </c>
      <c r="L142" s="17" t="s">
        <v>384</v>
      </c>
      <c r="M142" s="71">
        <f>IFERROR(VLOOKUP(L142,fixed_expenses[],2,0),"")</f>
        <v>232</v>
      </c>
      <c r="N142" s="17" t="str">
        <f ca="1">IF(HLOOKUP(N140,Summary!$I$2:$AM$7,2,0)=0,"",HLOOKUP(N140,Summary!$I$2:$AM$7,2,0))</f>
        <v>Lynn Phone Bill</v>
      </c>
      <c r="O142" s="71" t="str">
        <f ca="1">IFERROR(VLOOKUP(N142,fixed_expenses[],2,0),"")</f>
        <v/>
      </c>
      <c r="P142" s="22"/>
    </row>
    <row r="143" spans="1:16" ht="11.25" customHeight="1" x14ac:dyDescent="0.2">
      <c r="B143" s="17" t="str">
        <f ca="1">IF(HLOOKUP(B140,Summary!$I$2:$AM$7,3,0)=0,"",HLOOKUP(B140,Summary!$I$2:$AM$7,3,0))</f>
        <v/>
      </c>
      <c r="C143" s="71" t="str">
        <f ca="1">IFERROR(VLOOKUP(B143,fixed_expenses[],2,0),"")</f>
        <v/>
      </c>
      <c r="D143" s="17" t="str">
        <f ca="1">IF(HLOOKUP(D140,Summary!$I$2:$AM$7,3,0)=0,"",HLOOKUP(D140,Summary!$I$2:$AM$7,3,0))</f>
        <v>Electric</v>
      </c>
      <c r="E143" s="71">
        <f ca="1">IFERROR(VLOOKUP(D143,fixed_expenses[],2,0),"")</f>
        <v>50</v>
      </c>
      <c r="F143" s="17" t="str">
        <f ca="1">IF(HLOOKUP(F140,Summary!$I$2:$AM$7,3,0)=0,"",HLOOKUP(F140,Summary!$I$2:$AM$7,3,0))</f>
        <v/>
      </c>
      <c r="G143" s="71" t="str">
        <f ca="1">IFERROR(VLOOKUP(F143,fixed_expenses[],2,0),"")</f>
        <v/>
      </c>
      <c r="H143" s="17" t="str">
        <f ca="1">IF(HLOOKUP(H140,Summary!$I$2:$AM$7,3,0)=0,"",HLOOKUP(H140,Summary!$I$2:$AM$7,3,0))</f>
        <v/>
      </c>
      <c r="I143" s="71" t="str">
        <f ca="1">IFERROR(VLOOKUP(H143,fixed_expenses[],2,0),"")</f>
        <v/>
      </c>
      <c r="J143" s="17" t="str">
        <f ca="1">IF(HLOOKUP(J140,Summary!$I$2:$AM$7,3,0)=0,"",HLOOKUP(J140,Summary!$I$2:$AM$7,3,0))</f>
        <v/>
      </c>
      <c r="K143" s="71" t="str">
        <f ca="1">IFERROR(VLOOKUP(J143,fixed_expenses[],2,0),"")</f>
        <v/>
      </c>
      <c r="L143" s="17" t="str">
        <f ca="1">IF(HLOOKUP(L140,Summary!$I$2:$AM$7,3,0)=0,"",HLOOKUP(L140,Summary!$I$2:$AM$7,3,0))</f>
        <v/>
      </c>
      <c r="M143" s="71" t="str">
        <f ca="1">IFERROR(VLOOKUP(L143,fixed_expenses[],2,0),"")</f>
        <v/>
      </c>
      <c r="N143" s="17" t="str">
        <f ca="1">IF(HLOOKUP(N140,Summary!$I$2:$AM$7,3,0)=0,"",HLOOKUP(N140,Summary!$I$2:$AM$7,3,0))</f>
        <v/>
      </c>
      <c r="O143" s="71" t="str">
        <f ca="1">IFERROR(VLOOKUP(N143,fixed_expenses[],2,0),"")</f>
        <v/>
      </c>
      <c r="P143" s="22"/>
    </row>
    <row r="144" spans="1:16" ht="11.25" customHeight="1" x14ac:dyDescent="0.2">
      <c r="B144" s="17" t="str">
        <f ca="1">IF(HLOOKUP(B140,Summary!$I$2:$AM$7,4,0)=0,"",HLOOKUP(B140,Summary!$I$2:$AM$7,4,0))</f>
        <v/>
      </c>
      <c r="C144" s="71" t="str">
        <f ca="1">IFERROR(VLOOKUP(B144,fixed_expenses[],2,0),"")</f>
        <v/>
      </c>
      <c r="D144" s="17" t="str">
        <f ca="1">IF(HLOOKUP(D140,Summary!$I$2:$AM$7,4,0)=0,"",HLOOKUP(D140,Summary!$I$2:$AM$7,4,0))</f>
        <v/>
      </c>
      <c r="E144" s="71" t="str">
        <f ca="1">IFERROR(VLOOKUP(D144,fixed_expenses[],2,0),"")</f>
        <v/>
      </c>
      <c r="F144" s="17" t="str">
        <f ca="1">IF(HLOOKUP(F140,Summary!$I$2:$AM$7,4,0)=0,"",HLOOKUP(F140,Summary!$I$2:$AM$7,4,0))</f>
        <v/>
      </c>
      <c r="G144" s="71" t="str">
        <f ca="1">IFERROR(VLOOKUP(F144,fixed_expenses[],2,0),"")</f>
        <v/>
      </c>
      <c r="H144" s="17" t="str">
        <f ca="1">IF(HLOOKUP(H140,Summary!$I$2:$AM$7,4,0)=0,"",HLOOKUP(H140,Summary!$I$2:$AM$7,4,0))</f>
        <v/>
      </c>
      <c r="I144" s="71" t="str">
        <f ca="1">IFERROR(VLOOKUP(H144,fixed_expenses[],2,0),"")</f>
        <v/>
      </c>
      <c r="J144" s="17" t="str">
        <f ca="1">IF(HLOOKUP(J140,Summary!$I$2:$AM$7,4,0)=0,"",HLOOKUP(J140,Summary!$I$2:$AM$7,4,0))</f>
        <v/>
      </c>
      <c r="K144" s="71" t="str">
        <f ca="1">IFERROR(VLOOKUP(J144,fixed_expenses[],2,0),"")</f>
        <v/>
      </c>
      <c r="L144" s="17" t="str">
        <f ca="1">IF(HLOOKUP(L140,Summary!$I$2:$AM$7,4,0)=0,"",HLOOKUP(L140,Summary!$I$2:$AM$7,4,0))</f>
        <v/>
      </c>
      <c r="M144" s="71" t="str">
        <f ca="1">IFERROR(VLOOKUP(L144,fixed_expenses[],2,0),"")</f>
        <v/>
      </c>
      <c r="N144" s="17" t="str">
        <f ca="1">IF(HLOOKUP(N140,Summary!$I$2:$AM$7,4,0)=0,"",HLOOKUP(N140,Summary!$I$2:$AM$7,4,0))</f>
        <v/>
      </c>
      <c r="O144" s="71" t="str">
        <f ca="1">IFERROR(VLOOKUP(N144,fixed_expenses[],2,0),"")</f>
        <v/>
      </c>
      <c r="P144" s="22"/>
    </row>
    <row r="145" spans="1:16" ht="11.25" customHeight="1" x14ac:dyDescent="0.2">
      <c r="B145" s="17" t="str">
        <f ca="1">IF(HLOOKUP(B140,Summary!$I$2:$AM$7,5,0)=0,"",HLOOKUP(B140,Summary!$I$2:$AM$7,5,0))</f>
        <v/>
      </c>
      <c r="C145" s="71" t="str">
        <f ca="1">IFERROR(VLOOKUP(B145,fixed_expenses[],2,0),"")</f>
        <v/>
      </c>
      <c r="D145" s="17" t="str">
        <f ca="1">IF(HLOOKUP(D140,Summary!$I$2:$AM$7,5,0)=0,"",HLOOKUP(D140,Summary!$I$2:$AM$7,5,0))</f>
        <v/>
      </c>
      <c r="E145" s="71" t="str">
        <f ca="1">IFERROR(VLOOKUP(D145,fixed_expenses[],2,0),"")</f>
        <v/>
      </c>
      <c r="F145" s="17" t="str">
        <f ca="1">IF(HLOOKUP(F140,Summary!$I$2:$AM$7,5,0)=0,"",HLOOKUP(F140,Summary!$I$2:$AM$7,5,0))</f>
        <v/>
      </c>
      <c r="G145" s="71" t="str">
        <f ca="1">IFERROR(VLOOKUP(F145,fixed_expenses[],2,0),"")</f>
        <v/>
      </c>
      <c r="H145" s="17" t="str">
        <f ca="1">IF(HLOOKUP(H140,Summary!$I$2:$AM$7,5,0)=0,"",HLOOKUP(H140,Summary!$I$2:$AM$7,5,0))</f>
        <v/>
      </c>
      <c r="I145" s="71" t="str">
        <f ca="1">IFERROR(VLOOKUP(H145,fixed_expenses[],2,0),"")</f>
        <v/>
      </c>
      <c r="J145" s="17" t="str">
        <f ca="1">IF(HLOOKUP(J140,Summary!$I$2:$AM$7,5,0)=0,"",HLOOKUP(J140,Summary!$I$2:$AM$7,5,0))</f>
        <v/>
      </c>
      <c r="K145" s="71" t="str">
        <f ca="1">IFERROR(VLOOKUP(J145,fixed_expenses[],2,0),"")</f>
        <v/>
      </c>
      <c r="L145" s="17" t="str">
        <f ca="1">IF(HLOOKUP(L140,Summary!$I$2:$AM$7,5,0)=0,"",HLOOKUP(L140,Summary!$I$2:$AM$7,5,0))</f>
        <v/>
      </c>
      <c r="M145" s="71" t="str">
        <f ca="1">IFERROR(VLOOKUP(L145,fixed_expenses[],2,0),"")</f>
        <v/>
      </c>
      <c r="N145" s="17" t="str">
        <f ca="1">IF(HLOOKUP(N140,Summary!$I$2:$AM$7,5,0)=0,"",HLOOKUP(N140,Summary!$I$2:$AM$7,5,0))</f>
        <v/>
      </c>
      <c r="O145" s="71" t="str">
        <f ca="1">IFERROR(VLOOKUP(N145,fixed_expenses[],2,0),"")</f>
        <v/>
      </c>
      <c r="P145" s="22"/>
    </row>
    <row r="146" spans="1:16" ht="11.25" customHeight="1" x14ac:dyDescent="0.2">
      <c r="B146" s="17" t="str">
        <f ca="1">IF(HLOOKUP(B140,Summary!$I$2:$AM$7,6,0)=0,"",HLOOKUP(B140,Summary!$I$2:$AM$7,6,0))</f>
        <v/>
      </c>
      <c r="C146" s="71" t="str">
        <f ca="1">IFERROR(VLOOKUP(B146,fixed_expenses[],2,0),"")</f>
        <v/>
      </c>
      <c r="D146" s="17" t="str">
        <f ca="1">IF(HLOOKUP(D140,Summary!$I$2:$AM$7,6,0)=0,"",HLOOKUP(D140,Summary!$I$2:$AM$7,6,0))</f>
        <v/>
      </c>
      <c r="E146" s="71" t="str">
        <f ca="1">IFERROR(VLOOKUP(D146,fixed_expenses[],2,0),"")</f>
        <v/>
      </c>
      <c r="F146" s="17" t="str">
        <f ca="1">IF(HLOOKUP(F140,Summary!$I$2:$AM$7,6,0)=0,"",HLOOKUP(F140,Summary!$I$2:$AM$7,6,0))</f>
        <v/>
      </c>
      <c r="G146" s="71" t="str">
        <f ca="1">IFERROR(VLOOKUP(F146,fixed_expenses[],2,0),"")</f>
        <v/>
      </c>
      <c r="H146" s="17" t="str">
        <f ca="1">IF(HLOOKUP(H140,Summary!$I$2:$AM$7,6,0)=0,"",HLOOKUP(H140,Summary!$I$2:$AM$7,6,0))</f>
        <v/>
      </c>
      <c r="I146" s="71" t="str">
        <f ca="1">IFERROR(VLOOKUP(H146,fixed_expenses[],2,0),"")</f>
        <v/>
      </c>
      <c r="J146" s="17" t="str">
        <f ca="1">IF(HLOOKUP(J140,Summary!$I$2:$AM$7,6,0)=0,"",HLOOKUP(J140,Summary!$I$2:$AM$7,6,0))</f>
        <v/>
      </c>
      <c r="K146" s="71" t="str">
        <f ca="1">IFERROR(VLOOKUP(J146,fixed_expenses[],2,0),"")</f>
        <v/>
      </c>
      <c r="L146" s="17" t="str">
        <f ca="1">IF(HLOOKUP(L140,Summary!$I$2:$AM$7,6,0)=0,"",HLOOKUP(L140,Summary!$I$2:$AM$7,6,0))</f>
        <v/>
      </c>
      <c r="M146" s="71" t="str">
        <f ca="1">IFERROR(VLOOKUP(L146,fixed_expenses[],2,0),"")</f>
        <v/>
      </c>
      <c r="N146" s="17" t="str">
        <f ca="1">IF(HLOOKUP(N140,Summary!$I$2:$AM$7,6,0)=0,"",HLOOKUP(N140,Summary!$I$2:$AM$7,6,0))</f>
        <v/>
      </c>
      <c r="O146" s="71" t="str">
        <f ca="1">IFERROR(VLOOKUP(N146,fixed_expenses[],2,0),"")</f>
        <v/>
      </c>
      <c r="P146" s="22"/>
    </row>
    <row r="147" spans="1:16" ht="11.25" customHeight="1" x14ac:dyDescent="0.2">
      <c r="A147" s="43" t="s">
        <v>342</v>
      </c>
      <c r="B147" s="30" t="s">
        <v>8</v>
      </c>
      <c r="C147" s="27">
        <f ca="1">SUM(C142:C146)</f>
        <v>0</v>
      </c>
      <c r="D147" s="26"/>
      <c r="E147" s="27">
        <f ca="1">SUM(E142:E146)</f>
        <v>110</v>
      </c>
      <c r="F147" s="26"/>
      <c r="G147" s="27">
        <f ca="1">SUM(G142:G146)</f>
        <v>0</v>
      </c>
      <c r="H147" s="26"/>
      <c r="I147" s="27">
        <f ca="1">SUM(I142:I146)</f>
        <v>0</v>
      </c>
      <c r="J147" s="26"/>
      <c r="K147" s="27">
        <f ca="1">SUM(K142:K146)</f>
        <v>0</v>
      </c>
      <c r="L147" s="26"/>
      <c r="M147" s="27">
        <f ca="1">SUM(M142:M146)</f>
        <v>232</v>
      </c>
      <c r="N147" s="26"/>
      <c r="O147" s="28">
        <f ca="1">SUM(O142:O146)</f>
        <v>0</v>
      </c>
      <c r="P147" s="29">
        <f ca="1">SUM(C147,E147,G147,I147,K147,M147,O147)</f>
        <v>342</v>
      </c>
    </row>
    <row r="148" spans="1:16" x14ac:dyDescent="0.2">
      <c r="B148" s="6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6"/>
    </row>
    <row r="149" spans="1:16" ht="15" customHeight="1" x14ac:dyDescent="0.2">
      <c r="A149" s="43" t="s">
        <v>237</v>
      </c>
      <c r="B149" s="12">
        <f ca="1">N140+1</f>
        <v>21</v>
      </c>
      <c r="C149" s="13"/>
      <c r="D149" s="12">
        <f ca="1">B149+1</f>
        <v>22</v>
      </c>
      <c r="E149" s="13"/>
      <c r="F149" s="12">
        <f ca="1">D149+1</f>
        <v>23</v>
      </c>
      <c r="G149" s="13"/>
      <c r="H149" s="12">
        <f ca="1">F149+1</f>
        <v>24</v>
      </c>
      <c r="I149" s="13"/>
      <c r="J149" s="12">
        <f ca="1">H149+1</f>
        <v>25</v>
      </c>
      <c r="K149" s="13"/>
      <c r="L149" s="12">
        <f ca="1">J149+1</f>
        <v>26</v>
      </c>
      <c r="M149" s="13"/>
      <c r="N149" s="12">
        <f ca="1">L149+1</f>
        <v>27</v>
      </c>
      <c r="O149" s="13"/>
      <c r="P149" s="24"/>
    </row>
    <row r="150" spans="1:16" ht="11.25" customHeight="1" x14ac:dyDescent="0.2">
      <c r="A150" s="43" t="s">
        <v>174</v>
      </c>
      <c r="B150" s="37" t="s">
        <v>9</v>
      </c>
      <c r="C150" s="39" t="s">
        <v>10</v>
      </c>
      <c r="D150" s="37" t="s">
        <v>9</v>
      </c>
      <c r="E150" s="39" t="s">
        <v>10</v>
      </c>
      <c r="F150" s="37" t="s">
        <v>9</v>
      </c>
      <c r="G150" s="39" t="s">
        <v>10</v>
      </c>
      <c r="H150" s="37" t="s">
        <v>9</v>
      </c>
      <c r="I150" s="39" t="s">
        <v>10</v>
      </c>
      <c r="J150" s="37" t="s">
        <v>9</v>
      </c>
      <c r="K150" s="39" t="s">
        <v>10</v>
      </c>
      <c r="L150" s="37" t="s">
        <v>9</v>
      </c>
      <c r="M150" s="39" t="s">
        <v>10</v>
      </c>
      <c r="N150" s="37" t="s">
        <v>9</v>
      </c>
      <c r="O150" s="40" t="s">
        <v>10</v>
      </c>
      <c r="P150" s="22"/>
    </row>
    <row r="151" spans="1:16" ht="11.25" customHeight="1" x14ac:dyDescent="0.2">
      <c r="A151" s="43" t="s">
        <v>181</v>
      </c>
      <c r="B151" s="17" t="str">
        <f ca="1">IF(HLOOKUP(B149,Summary!$I$2:$AM$7,2,0)=0,"",HLOOKUP(B149,Summary!$I$2:$AM$7,2,0))</f>
        <v/>
      </c>
      <c r="C151" s="71" t="str">
        <f ca="1">IFERROR(VLOOKUP(B151,fixed_expenses[],2,0),"")</f>
        <v/>
      </c>
      <c r="D151" s="17" t="str">
        <f ca="1">IF(HLOOKUP(D149,Summary!$I$2:$AM$7,2,0)=0,"",HLOOKUP(D149,Summary!$I$2:$AM$7,2,0))</f>
        <v/>
      </c>
      <c r="E151" s="71" t="str">
        <f ca="1">IFERROR(VLOOKUP(D151,fixed_expenses[],2,0),"")</f>
        <v/>
      </c>
      <c r="F151" s="17" t="str">
        <f ca="1">IF(HLOOKUP(F149,Summary!$I$2:$AM$7,2,0)=0,"",HLOOKUP(F149,Summary!$I$2:$AM$7,2,0))</f>
        <v/>
      </c>
      <c r="G151" s="71" t="str">
        <f ca="1">IFERROR(VLOOKUP(F151,fixed_expenses[],2,0),"")</f>
        <v/>
      </c>
      <c r="H151" s="17" t="str">
        <f ca="1">IF(HLOOKUP(H149,Summary!$I$2:$AM$7,2,0)=0,"",HLOOKUP(H149,Summary!$I$2:$AM$7,2,0))</f>
        <v/>
      </c>
      <c r="I151" s="71" t="str">
        <f ca="1">IFERROR(VLOOKUP(H151,fixed_expenses[],2,0),"")</f>
        <v/>
      </c>
      <c r="J151" s="17" t="str">
        <f ca="1">IF(HLOOKUP(J149,Summary!$I$2:$AM$7,2,0)=0,"",HLOOKUP(J149,Summary!$I$2:$AM$7,2,0))</f>
        <v/>
      </c>
      <c r="K151" s="71" t="str">
        <f ca="1">IFERROR(VLOOKUP(J151,fixed_expenses[],2,0),"")</f>
        <v/>
      </c>
      <c r="L151" s="17" t="str">
        <f ca="1">IF(HLOOKUP(L149,Summary!$I$2:$AM$7,2,0)=0,"",HLOOKUP(L149,Summary!$I$2:$AM$7,2,0))</f>
        <v/>
      </c>
      <c r="M151" s="71" t="str">
        <f ca="1">IFERROR(VLOOKUP(L151,fixed_expenses[],2,0),"")</f>
        <v/>
      </c>
      <c r="N151" s="17" t="str">
        <f ca="1">IF(HLOOKUP(N149,Summary!$I$2:$AM$7,2,0)=0,"",HLOOKUP(N149,Summary!$I$2:$AM$7,2,0))</f>
        <v/>
      </c>
      <c r="O151" s="71" t="str">
        <f ca="1">IFERROR(VLOOKUP(N151,fixed_expenses[],2,0),"")</f>
        <v/>
      </c>
      <c r="P151" s="22"/>
    </row>
    <row r="152" spans="1:16" ht="11.25" customHeight="1" x14ac:dyDescent="0.2">
      <c r="B152" s="17" t="str">
        <f ca="1">IF(HLOOKUP(B149,Summary!$I$2:$AM$7,3,0)=0,"",HLOOKUP(B149,Summary!$I$2:$AM$7,3,0))</f>
        <v/>
      </c>
      <c r="C152" s="71" t="str">
        <f ca="1">IFERROR(VLOOKUP(B152,fixed_expenses[],2,0),"")</f>
        <v/>
      </c>
      <c r="D152" s="17" t="str">
        <f ca="1">IF(HLOOKUP(D149,Summary!$I$2:$AM$7,3,0)=0,"",HLOOKUP(D149,Summary!$I$2:$AM$7,3,0))</f>
        <v/>
      </c>
      <c r="E152" s="71" t="str">
        <f ca="1">IFERROR(VLOOKUP(D152,fixed_expenses[],2,0),"")</f>
        <v/>
      </c>
      <c r="F152" s="17" t="str">
        <f ca="1">IF(HLOOKUP(F149,Summary!$I$2:$AM$7,3,0)=0,"",HLOOKUP(F149,Summary!$I$2:$AM$7,3,0))</f>
        <v/>
      </c>
      <c r="G152" s="71" t="str">
        <f ca="1">IFERROR(VLOOKUP(F152,fixed_expenses[],2,0),"")</f>
        <v/>
      </c>
      <c r="H152" s="17" t="str">
        <f ca="1">IF(HLOOKUP(H149,Summary!$I$2:$AM$7,3,0)=0,"",HLOOKUP(H149,Summary!$I$2:$AM$7,3,0))</f>
        <v/>
      </c>
      <c r="I152" s="71" t="str">
        <f ca="1">IFERROR(VLOOKUP(H152,fixed_expenses[],2,0),"")</f>
        <v/>
      </c>
      <c r="J152" s="17" t="str">
        <f ca="1">IF(HLOOKUP(J149,Summary!$I$2:$AM$7,3,0)=0,"",HLOOKUP(J149,Summary!$I$2:$AM$7,3,0))</f>
        <v/>
      </c>
      <c r="K152" s="71" t="str">
        <f ca="1">IFERROR(VLOOKUP(J152,fixed_expenses[],2,0),"")</f>
        <v/>
      </c>
      <c r="L152" s="17" t="str">
        <f ca="1">IF(HLOOKUP(L149,Summary!$I$2:$AM$7,3,0)=0,"",HLOOKUP(L149,Summary!$I$2:$AM$7,3,0))</f>
        <v/>
      </c>
      <c r="M152" s="71" t="str">
        <f ca="1">IFERROR(VLOOKUP(L152,fixed_expenses[],2,0),"")</f>
        <v/>
      </c>
      <c r="N152" s="17" t="str">
        <f ca="1">IF(HLOOKUP(N149,Summary!$I$2:$AM$7,3,0)=0,"",HLOOKUP(N149,Summary!$I$2:$AM$7,3,0))</f>
        <v/>
      </c>
      <c r="O152" s="71" t="str">
        <f ca="1">IFERROR(VLOOKUP(N152,fixed_expenses[],2,0),"")</f>
        <v/>
      </c>
      <c r="P152" s="22"/>
    </row>
    <row r="153" spans="1:16" ht="11.25" customHeight="1" x14ac:dyDescent="0.2">
      <c r="B153" s="17" t="str">
        <f ca="1">IF(HLOOKUP(B149,Summary!$I$2:$AM$7,4,0)=0,"",HLOOKUP(B149,Summary!$I$2:$AM$7,4,0))</f>
        <v/>
      </c>
      <c r="C153" s="71" t="str">
        <f ca="1">IFERROR(VLOOKUP(B153,fixed_expenses[],2,0),"")</f>
        <v/>
      </c>
      <c r="D153" s="17" t="str">
        <f ca="1">IF(HLOOKUP(D149,Summary!$I$2:$AM$7,4,0)=0,"",HLOOKUP(D149,Summary!$I$2:$AM$7,4,0))</f>
        <v/>
      </c>
      <c r="E153" s="71" t="str">
        <f ca="1">IFERROR(VLOOKUP(D153,fixed_expenses[],2,0),"")</f>
        <v/>
      </c>
      <c r="F153" s="17" t="str">
        <f ca="1">IF(HLOOKUP(F149,Summary!$I$2:$AM$7,4,0)=0,"",HLOOKUP(F149,Summary!$I$2:$AM$7,4,0))</f>
        <v/>
      </c>
      <c r="G153" s="71" t="str">
        <f ca="1">IFERROR(VLOOKUP(F153,fixed_expenses[],2,0),"")</f>
        <v/>
      </c>
      <c r="H153" s="17" t="str">
        <f ca="1">IF(HLOOKUP(H149,Summary!$I$2:$AM$7,4,0)=0,"",HLOOKUP(H149,Summary!$I$2:$AM$7,4,0))</f>
        <v/>
      </c>
      <c r="I153" s="71" t="str">
        <f ca="1">IFERROR(VLOOKUP(H153,fixed_expenses[],2,0),"")</f>
        <v/>
      </c>
      <c r="J153" s="17" t="str">
        <f ca="1">IF(HLOOKUP(J149,Summary!$I$2:$AM$7,4,0)=0,"",HLOOKUP(J149,Summary!$I$2:$AM$7,4,0))</f>
        <v/>
      </c>
      <c r="K153" s="71" t="str">
        <f ca="1">IFERROR(VLOOKUP(J153,fixed_expenses[],2,0),"")</f>
        <v/>
      </c>
      <c r="L153" s="17" t="str">
        <f ca="1">IF(HLOOKUP(L149,Summary!$I$2:$AM$7,4,0)=0,"",HLOOKUP(L149,Summary!$I$2:$AM$7,4,0))</f>
        <v/>
      </c>
      <c r="M153" s="71" t="str">
        <f ca="1">IFERROR(VLOOKUP(L153,fixed_expenses[],2,0),"")</f>
        <v/>
      </c>
      <c r="N153" s="17" t="str">
        <f ca="1">IF(HLOOKUP(N149,Summary!$I$2:$AM$7,4,0)=0,"",HLOOKUP(N149,Summary!$I$2:$AM$7,4,0))</f>
        <v/>
      </c>
      <c r="O153" s="71" t="str">
        <f ca="1">IFERROR(VLOOKUP(N153,fixed_expenses[],2,0),"")</f>
        <v/>
      </c>
      <c r="P153" s="22"/>
    </row>
    <row r="154" spans="1:16" ht="11.25" customHeight="1" x14ac:dyDescent="0.2">
      <c r="B154" s="17" t="str">
        <f ca="1">IF(HLOOKUP(B149,Summary!$I$2:$AM$7,5,0)=0,"",HLOOKUP(B149,Summary!$I$2:$AM$7,5,0))</f>
        <v/>
      </c>
      <c r="C154" s="71" t="str">
        <f ca="1">IFERROR(VLOOKUP(B154,fixed_expenses[],2,0),"")</f>
        <v/>
      </c>
      <c r="D154" s="17" t="str">
        <f ca="1">IF(HLOOKUP(D149,Summary!$I$2:$AM$7,5,0)=0,"",HLOOKUP(D149,Summary!$I$2:$AM$7,5,0))</f>
        <v/>
      </c>
      <c r="E154" s="71" t="str">
        <f ca="1">IFERROR(VLOOKUP(D154,fixed_expenses[],2,0),"")</f>
        <v/>
      </c>
      <c r="F154" s="17" t="str">
        <f ca="1">IF(HLOOKUP(F149,Summary!$I$2:$AM$7,5,0)=0,"",HLOOKUP(F149,Summary!$I$2:$AM$7,5,0))</f>
        <v/>
      </c>
      <c r="G154" s="71" t="str">
        <f ca="1">IFERROR(VLOOKUP(F154,fixed_expenses[],2,0),"")</f>
        <v/>
      </c>
      <c r="H154" s="17" t="str">
        <f ca="1">IF(HLOOKUP(H149,Summary!$I$2:$AM$7,5,0)=0,"",HLOOKUP(H149,Summary!$I$2:$AM$7,5,0))</f>
        <v/>
      </c>
      <c r="I154" s="71" t="str">
        <f ca="1">IFERROR(VLOOKUP(H154,fixed_expenses[],2,0),"")</f>
        <v/>
      </c>
      <c r="J154" s="17" t="str">
        <f ca="1">IF(HLOOKUP(J149,Summary!$I$2:$AM$7,5,0)=0,"",HLOOKUP(J149,Summary!$I$2:$AM$7,5,0))</f>
        <v/>
      </c>
      <c r="K154" s="71" t="str">
        <f ca="1">IFERROR(VLOOKUP(J154,fixed_expenses[],2,0),"")</f>
        <v/>
      </c>
      <c r="L154" s="17" t="str">
        <f ca="1">IF(HLOOKUP(L149,Summary!$I$2:$AM$7,5,0)=0,"",HLOOKUP(L149,Summary!$I$2:$AM$7,5,0))</f>
        <v/>
      </c>
      <c r="M154" s="71" t="str">
        <f ca="1">IFERROR(VLOOKUP(L154,fixed_expenses[],2,0),"")</f>
        <v/>
      </c>
      <c r="N154" s="17" t="str">
        <f ca="1">IF(HLOOKUP(N149,Summary!$I$2:$AM$7,5,0)=0,"",HLOOKUP(N149,Summary!$I$2:$AM$7,5,0))</f>
        <v/>
      </c>
      <c r="O154" s="71" t="str">
        <f ca="1">IFERROR(VLOOKUP(N154,fixed_expenses[],2,0),"")</f>
        <v/>
      </c>
      <c r="P154" s="22"/>
    </row>
    <row r="155" spans="1:16" ht="11.25" customHeight="1" x14ac:dyDescent="0.2">
      <c r="B155" s="17" t="str">
        <f ca="1">IF(HLOOKUP(B149,Summary!$I$2:$AM$7,6,0)=0,"",HLOOKUP(B149,Summary!$I$2:$AM$7,6,0))</f>
        <v/>
      </c>
      <c r="C155" s="71" t="str">
        <f ca="1">IFERROR(VLOOKUP(B155,fixed_expenses[],2,0),"")</f>
        <v/>
      </c>
      <c r="D155" s="17" t="str">
        <f ca="1">IF(HLOOKUP(D149,Summary!$I$2:$AM$7,6,0)=0,"",HLOOKUP(D149,Summary!$I$2:$AM$7,6,0))</f>
        <v/>
      </c>
      <c r="E155" s="71" t="str">
        <f ca="1">IFERROR(VLOOKUP(D155,fixed_expenses[],2,0),"")</f>
        <v/>
      </c>
      <c r="F155" s="17" t="str">
        <f ca="1">IF(HLOOKUP(F149,Summary!$I$2:$AM$7,6,0)=0,"",HLOOKUP(F149,Summary!$I$2:$AM$7,6,0))</f>
        <v/>
      </c>
      <c r="G155" s="71" t="str">
        <f ca="1">IFERROR(VLOOKUP(F155,fixed_expenses[],2,0),"")</f>
        <v/>
      </c>
      <c r="H155" s="17" t="str">
        <f ca="1">IF(HLOOKUP(H149,Summary!$I$2:$AM$7,6,0)=0,"",HLOOKUP(H149,Summary!$I$2:$AM$7,6,0))</f>
        <v/>
      </c>
      <c r="I155" s="71" t="str">
        <f ca="1">IFERROR(VLOOKUP(H155,fixed_expenses[],2,0),"")</f>
        <v/>
      </c>
      <c r="J155" s="17" t="str">
        <f ca="1">IF(HLOOKUP(J149,Summary!$I$2:$AM$7,6,0)=0,"",HLOOKUP(J149,Summary!$I$2:$AM$7,6,0))</f>
        <v/>
      </c>
      <c r="K155" s="71" t="str">
        <f ca="1">IFERROR(VLOOKUP(J155,fixed_expenses[],2,0),"")</f>
        <v/>
      </c>
      <c r="L155" s="17" t="str">
        <f ca="1">IF(HLOOKUP(L149,Summary!$I$2:$AM$7,6,0)=0,"",HLOOKUP(L149,Summary!$I$2:$AM$7,6,0))</f>
        <v/>
      </c>
      <c r="M155" s="71" t="str">
        <f ca="1">IFERROR(VLOOKUP(L155,fixed_expenses[],2,0),"")</f>
        <v/>
      </c>
      <c r="N155" s="17" t="str">
        <f ca="1">IF(HLOOKUP(N149,Summary!$I$2:$AM$7,6,0)=0,"",HLOOKUP(N149,Summary!$I$2:$AM$7,6,0))</f>
        <v/>
      </c>
      <c r="O155" s="71" t="str">
        <f ca="1">IFERROR(VLOOKUP(N155,fixed_expenses[],2,0),"")</f>
        <v/>
      </c>
      <c r="P155" s="22"/>
    </row>
    <row r="156" spans="1:16" ht="11.25" customHeight="1" x14ac:dyDescent="0.2">
      <c r="A156" s="43" t="s">
        <v>341</v>
      </c>
      <c r="B156" s="26" t="s">
        <v>8</v>
      </c>
      <c r="C156" s="27">
        <f ca="1">SUM(C151:C155)</f>
        <v>0</v>
      </c>
      <c r="D156" s="26"/>
      <c r="E156" s="27">
        <f ca="1">SUM(E151:E155)</f>
        <v>0</v>
      </c>
      <c r="F156" s="26"/>
      <c r="G156" s="27">
        <f ca="1">SUM(G151:G155)</f>
        <v>0</v>
      </c>
      <c r="H156" s="26"/>
      <c r="I156" s="27">
        <f ca="1">SUM(I151:I155)</f>
        <v>0</v>
      </c>
      <c r="J156" s="26"/>
      <c r="K156" s="27">
        <f ca="1">SUM(K151:K155)</f>
        <v>0</v>
      </c>
      <c r="L156" s="26"/>
      <c r="M156" s="27">
        <f ca="1">SUM(M151:M155)</f>
        <v>0</v>
      </c>
      <c r="N156" s="26"/>
      <c r="O156" s="28">
        <f ca="1">SUM(O151:O155)</f>
        <v>0</v>
      </c>
      <c r="P156" s="29">
        <f ca="1">SUM(C156,E156,G156,I156,K156,M156,O156)</f>
        <v>0</v>
      </c>
    </row>
    <row r="157" spans="1:16" x14ac:dyDescent="0.2">
      <c r="B157" s="6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6"/>
    </row>
    <row r="158" spans="1:16" ht="15" customHeight="1" x14ac:dyDescent="0.2">
      <c r="A158" s="43" t="s">
        <v>238</v>
      </c>
      <c r="B158" s="12">
        <f ca="1">DAY(IF(DAY(MarSun1)=1,MarSun1+22,MarSun1+29))</f>
        <v>28</v>
      </c>
      <c r="C158" s="13"/>
      <c r="D158" s="12">
        <f ca="1">DAY(IF(DAY(MarSun1)=1,MarSun1+23,MarSun1+30))</f>
        <v>29</v>
      </c>
      <c r="E158" s="13"/>
      <c r="F158" s="12">
        <f ca="1">DAY(IF(DAY(MarSun1)=1,MarSun1+24,MarSun1+31))</f>
        <v>30</v>
      </c>
      <c r="G158" s="13"/>
      <c r="H158" s="12">
        <f ca="1">DAY(IF(DAY(MarSun1)=1,MarSun1+25,MarSun1+32))</f>
        <v>31</v>
      </c>
      <c r="I158" s="13"/>
      <c r="J158" s="12">
        <f ca="1">DAY(IF(DAY(MarSun1)=1,MarSun1+26,MarSun1+33))</f>
        <v>1</v>
      </c>
      <c r="K158" s="13"/>
      <c r="L158" s="12">
        <f ca="1">DAY(IF(DAY(MarSun1)=1,MarSun1+27,MarSun1+34))</f>
        <v>2</v>
      </c>
      <c r="M158" s="13"/>
      <c r="N158" s="12">
        <f ca="1">DAY(IF(DAY(MarSun1)=1,MarSun1+28,MarSun1+35))</f>
        <v>3</v>
      </c>
      <c r="O158" s="13"/>
      <c r="P158" s="25"/>
    </row>
    <row r="159" spans="1:16" ht="11.25" customHeight="1" x14ac:dyDescent="0.2">
      <c r="A159" s="43" t="s">
        <v>173</v>
      </c>
      <c r="B159" s="37" t="s">
        <v>9</v>
      </c>
      <c r="C159" s="39" t="s">
        <v>10</v>
      </c>
      <c r="D159" s="37" t="s">
        <v>9</v>
      </c>
      <c r="E159" s="39" t="s">
        <v>10</v>
      </c>
      <c r="F159" s="37" t="s">
        <v>9</v>
      </c>
      <c r="G159" s="39" t="s">
        <v>10</v>
      </c>
      <c r="H159" s="37" t="s">
        <v>9</v>
      </c>
      <c r="I159" s="39" t="s">
        <v>10</v>
      </c>
      <c r="J159" s="37" t="s">
        <v>9</v>
      </c>
      <c r="K159" s="39" t="s">
        <v>10</v>
      </c>
      <c r="L159" s="37" t="s">
        <v>9</v>
      </c>
      <c r="M159" s="39" t="s">
        <v>10</v>
      </c>
      <c r="N159" s="37" t="s">
        <v>9</v>
      </c>
      <c r="O159" s="40" t="s">
        <v>10</v>
      </c>
      <c r="P159" s="22"/>
    </row>
    <row r="160" spans="1:16" ht="11.25" customHeight="1" x14ac:dyDescent="0.2">
      <c r="A160" s="43" t="s">
        <v>182</v>
      </c>
      <c r="B160" s="17" t="str">
        <f ca="1">IF(HLOOKUP(B158,Summary!$I$2:$AM$7,2,0)=0,"",HLOOKUP(B158,Summary!$I$2:$AM$7,2,0))</f>
        <v/>
      </c>
      <c r="C160" s="71" t="str">
        <f ca="1">IFERROR(VLOOKUP(B160,fixed_expenses[],2,0),"")</f>
        <v/>
      </c>
      <c r="D160" s="17" t="str">
        <f ca="1">IF(HLOOKUP(D158,Summary!$I$2:$AM$7,2,0)=0,"",HLOOKUP(D158,Summary!$I$2:$AM$7,2,0))</f>
        <v/>
      </c>
      <c r="E160" s="71" t="str">
        <f ca="1">IFERROR(VLOOKUP(D160,fixed_expenses[],2,0),"")</f>
        <v/>
      </c>
      <c r="F160" s="17" t="str">
        <f ca="1">IF(HLOOKUP(F158,Summary!$I$2:$AM$7,2,0)=0,"",HLOOKUP(F158,Summary!$I$2:$AM$7,2,0))</f>
        <v/>
      </c>
      <c r="G160" s="71" t="str">
        <f ca="1">IFERROR(VLOOKUP(F160,fixed_expenses[],2,0),"")</f>
        <v/>
      </c>
      <c r="H160" s="17" t="str">
        <f ca="1">IF(HLOOKUP(H158,Summary!$I$2:$AM$7,2,0)=0,"",HLOOKUP(H158,Summary!$I$2:$AM$7,2,0))</f>
        <v/>
      </c>
      <c r="I160" s="71" t="str">
        <f ca="1">IFERROR(VLOOKUP(H160,fixed_expenses[],2,0),"")</f>
        <v/>
      </c>
      <c r="J160" s="17" t="str">
        <f ca="1">IF(HLOOKUP(J158,Summary!$I$2:$AM$7,2,0)=0,"",HLOOKUP(J158,Summary!$I$2:$AM$7,2,0))</f>
        <v/>
      </c>
      <c r="K160" s="71" t="str">
        <f ca="1">IFERROR(VLOOKUP(J160,fixed_expenses[],2,0),"")</f>
        <v/>
      </c>
      <c r="L160" s="17" t="str">
        <f ca="1">IF(HLOOKUP(L158,Summary!$I$2:$AM$7,2,0)=0,"",HLOOKUP(L158,Summary!$I$2:$AM$7,2,0))</f>
        <v/>
      </c>
      <c r="M160" s="71" t="str">
        <f ca="1">IFERROR(VLOOKUP(L160,fixed_expenses[],2,0),"")</f>
        <v/>
      </c>
      <c r="N160" s="17" t="str">
        <f ca="1">IF(HLOOKUP(N158,Summary!$I$2:$AM$7,2,0)=0,"",HLOOKUP(N158,Summary!$I$2:$AM$7,2,0))</f>
        <v>Rent</v>
      </c>
      <c r="O160" s="71">
        <f ca="1">IFERROR(VLOOKUP(N160,fixed_expenses[],2,0),"")</f>
        <v>1200</v>
      </c>
      <c r="P160" s="22"/>
    </row>
    <row r="161" spans="1:16" ht="11.25" customHeight="1" x14ac:dyDescent="0.2">
      <c r="B161" s="17" t="str">
        <f ca="1">IF(HLOOKUP(B158,Summary!$I$2:$AM$7,3,0)=0,"",HLOOKUP(B158,Summary!$I$2:$AM$7,3,0))</f>
        <v/>
      </c>
      <c r="C161" s="71" t="str">
        <f ca="1">IFERROR(VLOOKUP(B161,fixed_expenses[],2,0),"")</f>
        <v/>
      </c>
      <c r="D161" s="17" t="str">
        <f ca="1">IF(HLOOKUP(D158,Summary!$I$2:$AM$7,3,0)=0,"",HLOOKUP(D158,Summary!$I$2:$AM$7,3,0))</f>
        <v/>
      </c>
      <c r="E161" s="71" t="str">
        <f ca="1">IFERROR(VLOOKUP(D161,fixed_expenses[],2,0),"")</f>
        <v/>
      </c>
      <c r="F161" s="17" t="str">
        <f ca="1">IF(HLOOKUP(F158,Summary!$I$2:$AM$7,3,0)=0,"",HLOOKUP(F158,Summary!$I$2:$AM$7,3,0))</f>
        <v/>
      </c>
      <c r="G161" s="71" t="str">
        <f ca="1">IFERROR(VLOOKUP(F161,fixed_expenses[],2,0),"")</f>
        <v/>
      </c>
      <c r="H161" s="17" t="str">
        <f ca="1">IF(HLOOKUP(H158,Summary!$I$2:$AM$7,3,0)=0,"",HLOOKUP(H158,Summary!$I$2:$AM$7,3,0))</f>
        <v/>
      </c>
      <c r="I161" s="71" t="str">
        <f ca="1">IFERROR(VLOOKUP(H161,fixed_expenses[],2,0),"")</f>
        <v/>
      </c>
      <c r="J161" s="17" t="str">
        <f ca="1">IF(HLOOKUP(J158,Summary!$I$2:$AM$7,3,0)=0,"",HLOOKUP(J158,Summary!$I$2:$AM$7,3,0))</f>
        <v/>
      </c>
      <c r="K161" s="71" t="str">
        <f ca="1">IFERROR(VLOOKUP(J161,fixed_expenses[],2,0),"")</f>
        <v/>
      </c>
      <c r="L161" s="17" t="str">
        <f ca="1">IF(HLOOKUP(L158,Summary!$I$2:$AM$7,3,0)=0,"",HLOOKUP(L158,Summary!$I$2:$AM$7,3,0))</f>
        <v/>
      </c>
      <c r="M161" s="71" t="str">
        <f ca="1">IFERROR(VLOOKUP(L161,fixed_expenses[],2,0),"")</f>
        <v/>
      </c>
      <c r="N161" s="17" t="str">
        <f ca="1">IF(HLOOKUP(N158,Summary!$I$2:$AM$7,3,0)=0,"",HLOOKUP(N158,Summary!$I$2:$AM$7,3,0))</f>
        <v/>
      </c>
      <c r="O161" s="71" t="str">
        <f ca="1">IFERROR(VLOOKUP(N161,fixed_expenses[],2,0),"")</f>
        <v/>
      </c>
      <c r="P161" s="22"/>
    </row>
    <row r="162" spans="1:16" ht="11.25" customHeight="1" x14ac:dyDescent="0.2">
      <c r="B162" s="17" t="str">
        <f ca="1">IF(HLOOKUP(B158,Summary!$I$2:$AM$7,4,0)=0,"",HLOOKUP(B158,Summary!$I$2:$AM$7,4,0))</f>
        <v/>
      </c>
      <c r="C162" s="71" t="str">
        <f ca="1">IFERROR(VLOOKUP(B162,fixed_expenses[],2,0),"")</f>
        <v/>
      </c>
      <c r="D162" s="17" t="str">
        <f ca="1">IF(HLOOKUP(D158,Summary!$I$2:$AM$7,4,0)=0,"",HLOOKUP(D158,Summary!$I$2:$AM$7,4,0))</f>
        <v/>
      </c>
      <c r="E162" s="71" t="str">
        <f ca="1">IFERROR(VLOOKUP(D162,fixed_expenses[],2,0),"")</f>
        <v/>
      </c>
      <c r="F162" s="17" t="str">
        <f ca="1">IF(HLOOKUP(F158,Summary!$I$2:$AM$7,4,0)=0,"",HLOOKUP(F158,Summary!$I$2:$AM$7,4,0))</f>
        <v/>
      </c>
      <c r="G162" s="71" t="str">
        <f ca="1">IFERROR(VLOOKUP(F162,fixed_expenses[],2,0),"")</f>
        <v/>
      </c>
      <c r="H162" s="17" t="str">
        <f ca="1">IF(HLOOKUP(H158,Summary!$I$2:$AM$7,4,0)=0,"",HLOOKUP(H158,Summary!$I$2:$AM$7,4,0))</f>
        <v/>
      </c>
      <c r="I162" s="71" t="str">
        <f ca="1">IFERROR(VLOOKUP(H162,fixed_expenses[],2,0),"")</f>
        <v/>
      </c>
      <c r="J162" s="17" t="str">
        <f ca="1">IF(HLOOKUP(J158,Summary!$I$2:$AM$7,4,0)=0,"",HLOOKUP(J158,Summary!$I$2:$AM$7,4,0))</f>
        <v/>
      </c>
      <c r="K162" s="71" t="str">
        <f ca="1">IFERROR(VLOOKUP(J162,fixed_expenses[],2,0),"")</f>
        <v/>
      </c>
      <c r="L162" s="17" t="str">
        <f ca="1">IF(HLOOKUP(L158,Summary!$I$2:$AM$7,4,0)=0,"",HLOOKUP(L158,Summary!$I$2:$AM$7,4,0))</f>
        <v/>
      </c>
      <c r="M162" s="71" t="str">
        <f ca="1">IFERROR(VLOOKUP(L162,fixed_expenses[],2,0),"")</f>
        <v/>
      </c>
      <c r="N162" s="17" t="str">
        <f ca="1">IF(HLOOKUP(N158,Summary!$I$2:$AM$7,4,0)=0,"",HLOOKUP(N158,Summary!$I$2:$AM$7,4,0))</f>
        <v/>
      </c>
      <c r="O162" s="71" t="str">
        <f ca="1">IFERROR(VLOOKUP(N162,fixed_expenses[],2,0),"")</f>
        <v/>
      </c>
      <c r="P162" s="22"/>
    </row>
    <row r="163" spans="1:16" ht="11.25" customHeight="1" x14ac:dyDescent="0.2">
      <c r="B163" s="17" t="str">
        <f ca="1">IF(HLOOKUP(B158,Summary!$I$2:$AM$7,5,0)=0,"",HLOOKUP(B158,Summary!$I$2:$AM$7,5,0))</f>
        <v/>
      </c>
      <c r="C163" s="71" t="str">
        <f ca="1">IFERROR(VLOOKUP(B163,fixed_expenses[],2,0),"")</f>
        <v/>
      </c>
      <c r="D163" s="17" t="str">
        <f ca="1">IF(HLOOKUP(D158,Summary!$I$2:$AM$7,5,0)=0,"",HLOOKUP(D158,Summary!$I$2:$AM$7,5,0))</f>
        <v/>
      </c>
      <c r="E163" s="71" t="str">
        <f ca="1">IFERROR(VLOOKUP(D163,fixed_expenses[],2,0),"")</f>
        <v/>
      </c>
      <c r="F163" s="17" t="str">
        <f ca="1">IF(HLOOKUP(F158,Summary!$I$2:$AM$7,5,0)=0,"",HLOOKUP(F158,Summary!$I$2:$AM$7,5,0))</f>
        <v/>
      </c>
      <c r="G163" s="71" t="str">
        <f ca="1">IFERROR(VLOOKUP(F163,fixed_expenses[],2,0),"")</f>
        <v/>
      </c>
      <c r="H163" s="17" t="str">
        <f ca="1">IF(HLOOKUP(H158,Summary!$I$2:$AM$7,5,0)=0,"",HLOOKUP(H158,Summary!$I$2:$AM$7,5,0))</f>
        <v/>
      </c>
      <c r="I163" s="71" t="str">
        <f ca="1">IFERROR(VLOOKUP(H163,fixed_expenses[],2,0),"")</f>
        <v/>
      </c>
      <c r="J163" s="17" t="str">
        <f ca="1">IF(HLOOKUP(J158,Summary!$I$2:$AM$7,5,0)=0,"",HLOOKUP(J158,Summary!$I$2:$AM$7,5,0))</f>
        <v/>
      </c>
      <c r="K163" s="71" t="str">
        <f ca="1">IFERROR(VLOOKUP(J163,fixed_expenses[],2,0),"")</f>
        <v/>
      </c>
      <c r="L163" s="17" t="str">
        <f ca="1">IF(HLOOKUP(L158,Summary!$I$2:$AM$7,5,0)=0,"",HLOOKUP(L158,Summary!$I$2:$AM$7,5,0))</f>
        <v/>
      </c>
      <c r="M163" s="71" t="str">
        <f ca="1">IFERROR(VLOOKUP(L163,fixed_expenses[],2,0),"")</f>
        <v/>
      </c>
      <c r="N163" s="17" t="str">
        <f ca="1">IF(HLOOKUP(N158,Summary!$I$2:$AM$7,5,0)=0,"",HLOOKUP(N158,Summary!$I$2:$AM$7,5,0))</f>
        <v/>
      </c>
      <c r="O163" s="71" t="str">
        <f ca="1">IFERROR(VLOOKUP(N163,fixed_expenses[],2,0),"")</f>
        <v/>
      </c>
      <c r="P163" s="22"/>
    </row>
    <row r="164" spans="1:16" ht="11.25" customHeight="1" x14ac:dyDescent="0.2">
      <c r="B164" s="17" t="str">
        <f ca="1">IF(HLOOKUP(B158,Summary!$I$2:$AM$7,6,0)=0,"",HLOOKUP(B158,Summary!$I$2:$AM$7,6,0))</f>
        <v/>
      </c>
      <c r="C164" s="71" t="str">
        <f ca="1">IFERROR(VLOOKUP(B164,fixed_expenses[],2,0),"")</f>
        <v/>
      </c>
      <c r="D164" s="17" t="str">
        <f ca="1">IF(HLOOKUP(D158,Summary!$I$2:$AM$7,6,0)=0,"",HLOOKUP(D158,Summary!$I$2:$AM$7,6,0))</f>
        <v/>
      </c>
      <c r="E164" s="71" t="str">
        <f ca="1">IFERROR(VLOOKUP(D164,fixed_expenses[],2,0),"")</f>
        <v/>
      </c>
      <c r="F164" s="17" t="str">
        <f ca="1">IF(HLOOKUP(F158,Summary!$I$2:$AM$7,6,0)=0,"",HLOOKUP(F158,Summary!$I$2:$AM$7,6,0))</f>
        <v/>
      </c>
      <c r="G164" s="71" t="str">
        <f ca="1">IFERROR(VLOOKUP(F164,fixed_expenses[],2,0),"")</f>
        <v/>
      </c>
      <c r="H164" s="17" t="str">
        <f ca="1">IF(HLOOKUP(H158,Summary!$I$2:$AM$7,6,0)=0,"",HLOOKUP(H158,Summary!$I$2:$AM$7,6,0))</f>
        <v/>
      </c>
      <c r="I164" s="71" t="str">
        <f ca="1">IFERROR(VLOOKUP(H164,fixed_expenses[],2,0),"")</f>
        <v/>
      </c>
      <c r="J164" s="17" t="str">
        <f ca="1">IF(HLOOKUP(J158,Summary!$I$2:$AM$7,6,0)=0,"",HLOOKUP(J158,Summary!$I$2:$AM$7,6,0))</f>
        <v/>
      </c>
      <c r="K164" s="71" t="str">
        <f ca="1">IFERROR(VLOOKUP(J164,fixed_expenses[],2,0),"")</f>
        <v/>
      </c>
      <c r="L164" s="17" t="str">
        <f ca="1">IF(HLOOKUP(L158,Summary!$I$2:$AM$7,6,0)=0,"",HLOOKUP(L158,Summary!$I$2:$AM$7,6,0))</f>
        <v/>
      </c>
      <c r="M164" s="71" t="str">
        <f ca="1">IFERROR(VLOOKUP(L164,fixed_expenses[],2,0),"")</f>
        <v/>
      </c>
      <c r="N164" s="17" t="str">
        <f ca="1">IF(HLOOKUP(N158,Summary!$I$2:$AM$7,6,0)=0,"",HLOOKUP(N158,Summary!$I$2:$AM$7,6,0))</f>
        <v/>
      </c>
      <c r="O164" s="71" t="str">
        <f ca="1">IFERROR(VLOOKUP(N164,fixed_expenses[],2,0),"")</f>
        <v/>
      </c>
      <c r="P164" s="22"/>
    </row>
    <row r="165" spans="1:16" ht="11.25" customHeight="1" x14ac:dyDescent="0.2">
      <c r="A165" s="43" t="s">
        <v>340</v>
      </c>
      <c r="B165" s="26" t="s">
        <v>8</v>
      </c>
      <c r="C165" s="27">
        <f ca="1">SUM(C160:C164)</f>
        <v>0</v>
      </c>
      <c r="D165" s="26"/>
      <c r="E165" s="27">
        <f ca="1">SUM(E160:E164)</f>
        <v>0</v>
      </c>
      <c r="F165" s="26"/>
      <c r="G165" s="27">
        <f ca="1">SUM(G160:G164)</f>
        <v>0</v>
      </c>
      <c r="H165" s="26"/>
      <c r="I165" s="27">
        <f ca="1">SUM(I160:I164)</f>
        <v>0</v>
      </c>
      <c r="J165" s="26"/>
      <c r="K165" s="27">
        <f ca="1">SUM(K160:K164)</f>
        <v>0</v>
      </c>
      <c r="L165" s="26"/>
      <c r="M165" s="27">
        <f ca="1">SUM(M160:M164)</f>
        <v>0</v>
      </c>
      <c r="N165" s="26"/>
      <c r="O165" s="28">
        <f ca="1">SUM(O160:O164)</f>
        <v>1200</v>
      </c>
      <c r="P165" s="29">
        <f ca="1">SUMIF(B158:N158,"&gt;="&amp;15,C165:O165)</f>
        <v>0</v>
      </c>
    </row>
    <row r="166" spans="1:16" x14ac:dyDescent="0.2">
      <c r="B166" s="6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6"/>
    </row>
    <row r="167" spans="1:16" ht="15" customHeight="1" x14ac:dyDescent="0.2">
      <c r="A167" s="43" t="s">
        <v>239</v>
      </c>
      <c r="B167" s="12">
        <f ca="1">DAY(IF(DAY(MarSun1)=1,MarSun1+29,MarSun1+36))</f>
        <v>4</v>
      </c>
      <c r="C167" s="11"/>
      <c r="D167" s="12">
        <f ca="1">DAY(IF(DAY(MarSun1)=1,MarSun1+30,MarSun1+37))</f>
        <v>5</v>
      </c>
      <c r="E167" s="13"/>
      <c r="F167" s="10">
        <f ca="1">DAY(IF(DAY(MarSun1)=1,MarSun1+31,MarSun1+38))</f>
        <v>6</v>
      </c>
      <c r="G167" s="13"/>
      <c r="H167" s="12">
        <f ca="1">DAY(IF(DAY(MarSun1)=1,MarSun1+32,MarSun1+39))</f>
        <v>7</v>
      </c>
      <c r="I167" s="13"/>
      <c r="J167" s="12">
        <f ca="1">DAY(IF(DAY(MarSun1)=1,MarSun1+33,MarSun1+40))</f>
        <v>8</v>
      </c>
      <c r="K167" s="13"/>
      <c r="L167" s="12">
        <f ca="1">DAY(IF(DAY(MarSun1)=1,MarSun1+34,MarSun1+41))</f>
        <v>9</v>
      </c>
      <c r="M167" s="13"/>
      <c r="N167" s="12">
        <f ca="1">DAY(IF(DAY(MarSun1)=1,MarSun1+35,MarSun1+42))</f>
        <v>10</v>
      </c>
      <c r="O167" s="13"/>
      <c r="P167" s="25"/>
    </row>
    <row r="168" spans="1:16" ht="11.25" customHeight="1" x14ac:dyDescent="0.2">
      <c r="A168" s="43" t="s">
        <v>172</v>
      </c>
      <c r="B168" s="37" t="s">
        <v>9</v>
      </c>
      <c r="C168" s="39" t="s">
        <v>10</v>
      </c>
      <c r="D168" s="37" t="s">
        <v>9</v>
      </c>
      <c r="E168" s="39" t="s">
        <v>10</v>
      </c>
      <c r="F168" s="37" t="s">
        <v>9</v>
      </c>
      <c r="G168" s="39" t="s">
        <v>10</v>
      </c>
      <c r="H168" s="37" t="s">
        <v>9</v>
      </c>
      <c r="I168" s="39" t="s">
        <v>10</v>
      </c>
      <c r="J168" s="37" t="s">
        <v>9</v>
      </c>
      <c r="K168" s="39" t="s">
        <v>10</v>
      </c>
      <c r="L168" s="37" t="s">
        <v>9</v>
      </c>
      <c r="M168" s="39" t="s">
        <v>10</v>
      </c>
      <c r="N168" s="37" t="s">
        <v>9</v>
      </c>
      <c r="O168" s="40" t="s">
        <v>10</v>
      </c>
      <c r="P168" s="22"/>
    </row>
    <row r="169" spans="1:16" ht="11.25" customHeight="1" x14ac:dyDescent="0.2">
      <c r="A169" s="43" t="s">
        <v>183</v>
      </c>
      <c r="B169" s="17" t="str">
        <f ca="1">IF(HLOOKUP(B167,Summary!$I$2:$AM$7,2,0)=0,"",HLOOKUP(B167,Summary!$I$2:$AM$7,2,0))</f>
        <v/>
      </c>
      <c r="C169" s="71" t="str">
        <f ca="1">IFERROR(VLOOKUP(B169,fixed_expenses[],2,0),"")</f>
        <v/>
      </c>
      <c r="D169" s="17" t="str">
        <f ca="1">IF(HLOOKUP(D167,Summary!$I$2:$AM$7,2,0)=0,"",HLOOKUP(D167,Summary!$I$2:$AM$7,2,0))</f>
        <v/>
      </c>
      <c r="E169" s="71" t="str">
        <f ca="1">IFERROR(VLOOKUP(D169,fixed_expenses[],2,0),"")</f>
        <v/>
      </c>
      <c r="F169" s="17" t="str">
        <f ca="1">IF(HLOOKUP(F167,Summary!$I$2:$AM$7,2,0)=0,"",HLOOKUP(F167,Summary!$I$2:$AM$7,2,0))</f>
        <v/>
      </c>
      <c r="G169" s="71" t="str">
        <f ca="1">IFERROR(VLOOKUP(F169,fixed_expenses[],2,0),"")</f>
        <v/>
      </c>
      <c r="H169" s="17" t="str">
        <f ca="1">IF(HLOOKUP(H167,Summary!$I$2:$AM$7,2,0)=0,"",HLOOKUP(H167,Summary!$I$2:$AM$7,2,0))</f>
        <v/>
      </c>
      <c r="I169" s="71" t="str">
        <f ca="1">IFERROR(VLOOKUP(H169,fixed_expenses[],2,0),"")</f>
        <v/>
      </c>
      <c r="J169" s="17" t="str">
        <f ca="1">IF(HLOOKUP(J167,Summary!$I$2:$AM$7,2,0)=0,"",HLOOKUP(J167,Summary!$I$2:$AM$7,2,0))</f>
        <v/>
      </c>
      <c r="K169" s="71" t="str">
        <f ca="1">IFERROR(VLOOKUP(J169,fixed_expenses[],2,0),"")</f>
        <v/>
      </c>
      <c r="L169" s="17" t="str">
        <f ca="1">IF(HLOOKUP(L167,Summary!$I$2:$AM$7,2,0)=0,"",HLOOKUP(L167,Summary!$I$2:$AM$7,2,0))</f>
        <v/>
      </c>
      <c r="M169" s="71" t="str">
        <f ca="1">IFERROR(VLOOKUP(L169,fixed_expenses[],2,0),"")</f>
        <v/>
      </c>
      <c r="N169" s="17" t="str">
        <f ca="1">IF(HLOOKUP(N167,Summary!$I$2:$AM$7,2,0)=0,"",HLOOKUP(N167,Summary!$I$2:$AM$7,2,0))</f>
        <v/>
      </c>
      <c r="O169" s="71" t="str">
        <f ca="1">IFERROR(VLOOKUP(N169,fixed_expenses[],2,0),"")</f>
        <v/>
      </c>
      <c r="P169" s="22"/>
    </row>
    <row r="170" spans="1:16" ht="11.25" customHeight="1" x14ac:dyDescent="0.2">
      <c r="B170" s="17" t="str">
        <f ca="1">IF(HLOOKUP(B167,Summary!$I$2:$AM$7,3,0)=0,"",HLOOKUP(B167,Summary!$I$2:$AM$7,3,0))</f>
        <v/>
      </c>
      <c r="C170" s="71" t="str">
        <f ca="1">IFERROR(VLOOKUP(B170,fixed_expenses[],2,0),"")</f>
        <v/>
      </c>
      <c r="D170" s="17" t="str">
        <f ca="1">IF(HLOOKUP(D167,Summary!$I$2:$AM$7,3,0)=0,"",HLOOKUP(D167,Summary!$I$2:$AM$7,3,0))</f>
        <v/>
      </c>
      <c r="E170" s="71" t="str">
        <f ca="1">IFERROR(VLOOKUP(D170,fixed_expenses[],2,0),"")</f>
        <v/>
      </c>
      <c r="F170" s="17" t="str">
        <f ca="1">IF(HLOOKUP(F167,Summary!$I$2:$AM$7,3,0)=0,"",HLOOKUP(F167,Summary!$I$2:$AM$7,3,0))</f>
        <v/>
      </c>
      <c r="G170" s="71" t="str">
        <f ca="1">IFERROR(VLOOKUP(F170,fixed_expenses[],2,0),"")</f>
        <v/>
      </c>
      <c r="H170" s="17" t="str">
        <f ca="1">IF(HLOOKUP(H167,Summary!$I$2:$AM$7,3,0)=0,"",HLOOKUP(H167,Summary!$I$2:$AM$7,3,0))</f>
        <v/>
      </c>
      <c r="I170" s="71" t="str">
        <f ca="1">IFERROR(VLOOKUP(H170,fixed_expenses[],2,0),"")</f>
        <v/>
      </c>
      <c r="J170" s="17" t="str">
        <f ca="1">IF(HLOOKUP(J167,Summary!$I$2:$AM$7,3,0)=0,"",HLOOKUP(J167,Summary!$I$2:$AM$7,3,0))</f>
        <v/>
      </c>
      <c r="K170" s="71" t="str">
        <f ca="1">IFERROR(VLOOKUP(J170,fixed_expenses[],2,0),"")</f>
        <v/>
      </c>
      <c r="L170" s="17" t="str">
        <f ca="1">IF(HLOOKUP(L167,Summary!$I$2:$AM$7,3,0)=0,"",HLOOKUP(L167,Summary!$I$2:$AM$7,3,0))</f>
        <v/>
      </c>
      <c r="M170" s="71" t="str">
        <f ca="1">IFERROR(VLOOKUP(L170,fixed_expenses[],2,0),"")</f>
        <v/>
      </c>
      <c r="N170" s="17" t="str">
        <f ca="1">IF(HLOOKUP(N167,Summary!$I$2:$AM$7,3,0)=0,"",HLOOKUP(N167,Summary!$I$2:$AM$7,3,0))</f>
        <v/>
      </c>
      <c r="O170" s="71" t="str">
        <f ca="1">IFERROR(VLOOKUP(N170,fixed_expenses[],2,0),"")</f>
        <v/>
      </c>
      <c r="P170" s="22"/>
    </row>
    <row r="171" spans="1:16" ht="11.25" customHeight="1" x14ac:dyDescent="0.2">
      <c r="B171" s="17" t="str">
        <f ca="1">IF(HLOOKUP(B167,Summary!$I$2:$AM$7,4,0)=0,"",HLOOKUP(B167,Summary!$I$2:$AM$7,4,0))</f>
        <v/>
      </c>
      <c r="C171" s="71" t="str">
        <f ca="1">IFERROR(VLOOKUP(B171,fixed_expenses[],2,0),"")</f>
        <v/>
      </c>
      <c r="D171" s="17" t="str">
        <f ca="1">IF(HLOOKUP(D167,Summary!$I$2:$AM$7,4,0)=0,"",HLOOKUP(D167,Summary!$I$2:$AM$7,4,0))</f>
        <v/>
      </c>
      <c r="E171" s="71" t="str">
        <f ca="1">IFERROR(VLOOKUP(D171,fixed_expenses[],2,0),"")</f>
        <v/>
      </c>
      <c r="F171" s="17" t="str">
        <f ca="1">IF(HLOOKUP(F167,Summary!$I$2:$AM$7,4,0)=0,"",HLOOKUP(F167,Summary!$I$2:$AM$7,4,0))</f>
        <v/>
      </c>
      <c r="G171" s="71" t="str">
        <f ca="1">IFERROR(VLOOKUP(F171,fixed_expenses[],2,0),"")</f>
        <v/>
      </c>
      <c r="H171" s="17" t="str">
        <f ca="1">IF(HLOOKUP(H167,Summary!$I$2:$AM$7,4,0)=0,"",HLOOKUP(H167,Summary!$I$2:$AM$7,4,0))</f>
        <v/>
      </c>
      <c r="I171" s="71" t="str">
        <f ca="1">IFERROR(VLOOKUP(H171,fixed_expenses[],2,0),"")</f>
        <v/>
      </c>
      <c r="J171" s="17" t="str">
        <f ca="1">IF(HLOOKUP(J167,Summary!$I$2:$AM$7,4,0)=0,"",HLOOKUP(J167,Summary!$I$2:$AM$7,4,0))</f>
        <v/>
      </c>
      <c r="K171" s="71" t="str">
        <f ca="1">IFERROR(VLOOKUP(J171,fixed_expenses[],2,0),"")</f>
        <v/>
      </c>
      <c r="L171" s="17" t="str">
        <f ca="1">IF(HLOOKUP(L167,Summary!$I$2:$AM$7,4,0)=0,"",HLOOKUP(L167,Summary!$I$2:$AM$7,4,0))</f>
        <v/>
      </c>
      <c r="M171" s="71" t="str">
        <f ca="1">IFERROR(VLOOKUP(L171,fixed_expenses[],2,0),"")</f>
        <v/>
      </c>
      <c r="N171" s="17" t="str">
        <f ca="1">IF(HLOOKUP(N167,Summary!$I$2:$AM$7,4,0)=0,"",HLOOKUP(N167,Summary!$I$2:$AM$7,4,0))</f>
        <v/>
      </c>
      <c r="O171" s="71" t="str">
        <f ca="1">IFERROR(VLOOKUP(N171,fixed_expenses[],2,0),"")</f>
        <v/>
      </c>
      <c r="P171" s="22"/>
    </row>
    <row r="172" spans="1:16" ht="11.25" customHeight="1" x14ac:dyDescent="0.2">
      <c r="B172" s="17" t="str">
        <f ca="1">IF(HLOOKUP(B167,Summary!$I$2:$AM$7,5,0)=0,"",HLOOKUP(B167,Summary!$I$2:$AM$7,5,0))</f>
        <v/>
      </c>
      <c r="C172" s="71" t="str">
        <f ca="1">IFERROR(VLOOKUP(B172,fixed_expenses[],2,0),"")</f>
        <v/>
      </c>
      <c r="D172" s="17" t="str">
        <f ca="1">IF(HLOOKUP(D167,Summary!$I$2:$AM$7,5,0)=0,"",HLOOKUP(D167,Summary!$I$2:$AM$7,5,0))</f>
        <v/>
      </c>
      <c r="E172" s="71" t="str">
        <f ca="1">IFERROR(VLOOKUP(D172,fixed_expenses[],2,0),"")</f>
        <v/>
      </c>
      <c r="F172" s="17" t="str">
        <f ca="1">IF(HLOOKUP(F167,Summary!$I$2:$AM$7,5,0)=0,"",HLOOKUP(F167,Summary!$I$2:$AM$7,5,0))</f>
        <v/>
      </c>
      <c r="G172" s="71" t="str">
        <f ca="1">IFERROR(VLOOKUP(F172,fixed_expenses[],2,0),"")</f>
        <v/>
      </c>
      <c r="H172" s="17" t="str">
        <f ca="1">IF(HLOOKUP(H167,Summary!$I$2:$AM$7,5,0)=0,"",HLOOKUP(H167,Summary!$I$2:$AM$7,5,0))</f>
        <v/>
      </c>
      <c r="I172" s="71" t="str">
        <f ca="1">IFERROR(VLOOKUP(H172,fixed_expenses[],2,0),"")</f>
        <v/>
      </c>
      <c r="J172" s="17" t="str">
        <f ca="1">IF(HLOOKUP(J167,Summary!$I$2:$AM$7,5,0)=0,"",HLOOKUP(J167,Summary!$I$2:$AM$7,5,0))</f>
        <v/>
      </c>
      <c r="K172" s="71" t="str">
        <f ca="1">IFERROR(VLOOKUP(J172,fixed_expenses[],2,0),"")</f>
        <v/>
      </c>
      <c r="L172" s="17" t="str">
        <f ca="1">IF(HLOOKUP(L167,Summary!$I$2:$AM$7,5,0)=0,"",HLOOKUP(L167,Summary!$I$2:$AM$7,5,0))</f>
        <v/>
      </c>
      <c r="M172" s="71" t="str">
        <f ca="1">IFERROR(VLOOKUP(L172,fixed_expenses[],2,0),"")</f>
        <v/>
      </c>
      <c r="N172" s="17" t="str">
        <f ca="1">IF(HLOOKUP(N167,Summary!$I$2:$AM$7,5,0)=0,"",HLOOKUP(N167,Summary!$I$2:$AM$7,5,0))</f>
        <v/>
      </c>
      <c r="O172" s="71" t="str">
        <f ca="1">IFERROR(VLOOKUP(N172,fixed_expenses[],2,0),"")</f>
        <v/>
      </c>
      <c r="P172" s="22"/>
    </row>
    <row r="173" spans="1:16" ht="11.25" customHeight="1" x14ac:dyDescent="0.2">
      <c r="B173" s="17" t="str">
        <f ca="1">IF(HLOOKUP(B167,Summary!$I$2:$AM$7,6,0)=0,"",HLOOKUP(B167,Summary!$I$2:$AM$7,6,0))</f>
        <v/>
      </c>
      <c r="C173" s="71" t="str">
        <f ca="1">IFERROR(VLOOKUP(B173,fixed_expenses[],2,0),"")</f>
        <v/>
      </c>
      <c r="D173" s="17" t="str">
        <f ca="1">IF(HLOOKUP(D167,Summary!$I$2:$AM$7,6,0)=0,"",HLOOKUP(D167,Summary!$I$2:$AM$7,6,0))</f>
        <v/>
      </c>
      <c r="E173" s="71" t="str">
        <f ca="1">IFERROR(VLOOKUP(D173,fixed_expenses[],2,0),"")</f>
        <v/>
      </c>
      <c r="F173" s="17" t="str">
        <f ca="1">IF(HLOOKUP(F167,Summary!$I$2:$AM$7,6,0)=0,"",HLOOKUP(F167,Summary!$I$2:$AM$7,6,0))</f>
        <v/>
      </c>
      <c r="G173" s="71" t="str">
        <f ca="1">IFERROR(VLOOKUP(F173,fixed_expenses[],2,0),"")</f>
        <v/>
      </c>
      <c r="H173" s="17" t="str">
        <f ca="1">IF(HLOOKUP(H167,Summary!$I$2:$AM$7,6,0)=0,"",HLOOKUP(H167,Summary!$I$2:$AM$7,6,0))</f>
        <v/>
      </c>
      <c r="I173" s="71" t="str">
        <f ca="1">IFERROR(VLOOKUP(H173,fixed_expenses[],2,0),"")</f>
        <v/>
      </c>
      <c r="J173" s="17" t="str">
        <f ca="1">IF(HLOOKUP(J167,Summary!$I$2:$AM$7,6,0)=0,"",HLOOKUP(J167,Summary!$I$2:$AM$7,6,0))</f>
        <v/>
      </c>
      <c r="K173" s="71" t="str">
        <f ca="1">IFERROR(VLOOKUP(J173,fixed_expenses[],2,0),"")</f>
        <v/>
      </c>
      <c r="L173" s="17" t="str">
        <f ca="1">IF(HLOOKUP(L167,Summary!$I$2:$AM$7,6,0)=0,"",HLOOKUP(L167,Summary!$I$2:$AM$7,6,0))</f>
        <v/>
      </c>
      <c r="M173" s="71" t="str">
        <f ca="1">IFERROR(VLOOKUP(L173,fixed_expenses[],2,0),"")</f>
        <v/>
      </c>
      <c r="N173" s="17" t="str">
        <f ca="1">IF(HLOOKUP(N167,Summary!$I$2:$AM$7,6,0)=0,"",HLOOKUP(N167,Summary!$I$2:$AM$7,6,0))</f>
        <v/>
      </c>
      <c r="O173" s="71" t="str">
        <f ca="1">IFERROR(VLOOKUP(N173,fixed_expenses[],2,0),"")</f>
        <v/>
      </c>
      <c r="P173" s="22"/>
    </row>
    <row r="174" spans="1:16" ht="11.25" customHeight="1" x14ac:dyDescent="0.2">
      <c r="A174" s="43" t="s">
        <v>339</v>
      </c>
      <c r="B174" s="26" t="s">
        <v>8</v>
      </c>
      <c r="C174" s="27">
        <f ca="1">SUM(C169:C173)</f>
        <v>0</v>
      </c>
      <c r="D174" s="18"/>
      <c r="E174" s="27">
        <f ca="1">SUM(E169:E173)</f>
        <v>0</v>
      </c>
      <c r="F174" s="18"/>
      <c r="G174" s="27">
        <f ca="1">SUM(G169:G173)</f>
        <v>0</v>
      </c>
      <c r="H174" s="18"/>
      <c r="I174" s="27">
        <f ca="1">SUM(I169:I173)</f>
        <v>0</v>
      </c>
      <c r="J174" s="18"/>
      <c r="K174" s="27">
        <f ca="1">SUM(K169:K173)</f>
        <v>0</v>
      </c>
      <c r="L174" s="18"/>
      <c r="M174" s="27">
        <f ca="1">SUM(M169:M173)</f>
        <v>0</v>
      </c>
      <c r="N174" s="18"/>
      <c r="O174" s="28">
        <f ca="1">SUM(O169:O173)</f>
        <v>0</v>
      </c>
      <c r="P174" s="29">
        <f ca="1">SUMIF(B167:N167,"&gt;="&amp;15,C174:O174)</f>
        <v>0</v>
      </c>
    </row>
    <row r="175" spans="1:16" ht="17.25" customHeight="1" x14ac:dyDescent="0.2"/>
    <row r="176" spans="1:16" ht="12" customHeight="1" x14ac:dyDescent="0.2">
      <c r="A176" s="43" t="s">
        <v>88</v>
      </c>
      <c r="B176" s="59" t="s">
        <v>16</v>
      </c>
      <c r="C176" s="59"/>
      <c r="D176" s="59"/>
      <c r="E176" s="59"/>
      <c r="F176"/>
      <c r="G176" s="4"/>
      <c r="H176"/>
      <c r="I176" s="4"/>
      <c r="J176"/>
      <c r="K176" s="4"/>
      <c r="L176" s="45" t="s">
        <v>12</v>
      </c>
      <c r="M176" s="45"/>
      <c r="N176" s="45" t="s">
        <v>13</v>
      </c>
      <c r="O176" s="45"/>
      <c r="P176"/>
    </row>
    <row r="177" spans="1:16" ht="25.5" customHeight="1" x14ac:dyDescent="0.2">
      <c r="A177" s="43" t="s">
        <v>91</v>
      </c>
      <c r="B177" s="59"/>
      <c r="C177" s="59"/>
      <c r="D177" s="59"/>
      <c r="E177" s="59"/>
      <c r="F177" s="3">
        <f ca="1">IFERROR(WEEKDAY(DATEVALUE(B176&amp;" 1, "&amp;Year1)),"")</f>
        <v>5</v>
      </c>
      <c r="G177" s="4"/>
      <c r="H177"/>
      <c r="I177" s="7"/>
      <c r="J177" s="8"/>
      <c r="K177" s="4"/>
      <c r="L177" s="46">
        <f ca="1">SUM(P187,P196,P205,P214,P223,P232)</f>
        <v>2006</v>
      </c>
      <c r="M177" s="47"/>
      <c r="N177" s="46">
        <f ca="1">SUM(P:P)</f>
        <v>21288</v>
      </c>
      <c r="O177" s="48"/>
      <c r="P177"/>
    </row>
    <row r="178" spans="1:16" ht="9" customHeight="1" x14ac:dyDescent="0.2">
      <c r="A178" s="43" t="s">
        <v>349</v>
      </c>
      <c r="B178" s="50">
        <v>1</v>
      </c>
      <c r="C178" s="50"/>
      <c r="D178" s="50">
        <v>2</v>
      </c>
      <c r="E178" s="50"/>
      <c r="F178" s="50">
        <v>3</v>
      </c>
      <c r="G178" s="50"/>
      <c r="H178" s="50">
        <v>4</v>
      </c>
      <c r="I178" s="50"/>
      <c r="J178" s="50">
        <v>5</v>
      </c>
      <c r="K178" s="50"/>
      <c r="L178" s="50">
        <v>6</v>
      </c>
      <c r="M178" s="50"/>
      <c r="N178" s="50">
        <v>7</v>
      </c>
      <c r="O178" s="50"/>
      <c r="P178" s="2"/>
    </row>
    <row r="179" spans="1:16" ht="15" customHeight="1" x14ac:dyDescent="0.2">
      <c r="A179" s="43" t="s">
        <v>110</v>
      </c>
      <c r="B179" s="60" t="s">
        <v>0</v>
      </c>
      <c r="C179" s="61"/>
      <c r="D179" s="62" t="s">
        <v>1</v>
      </c>
      <c r="E179" s="63" t="e">
        <f ca="1">IF(WEEKDAY(DATEVALUE(Month1&amp;" 1, "&amp;Year1))=COLUMN(#REF!),1,IF(LEN(C179)&gt;0,C179+1,""))</f>
        <v>#VALUE!</v>
      </c>
      <c r="F179" s="61" t="s">
        <v>2</v>
      </c>
      <c r="G179" s="61" t="e">
        <f ca="1">IF(WEEKDAY(DATEVALUE(Month1&amp;" 1, "&amp;Year1))=COLUMN(#REF!),1,IF(LEN(E179)&gt;0,E179+1,""))</f>
        <v>#VALUE!</v>
      </c>
      <c r="H179" s="62" t="s">
        <v>3</v>
      </c>
      <c r="I179" s="63" t="e">
        <f ca="1">IF(WEEKDAY(DATEVALUE(Month1&amp;" 1, "&amp;Year1))=COLUMN(#REF!),1,IF(LEN(G179)&gt;0,G179+1,""))</f>
        <v>#VALUE!</v>
      </c>
      <c r="J179" s="64" t="s">
        <v>4</v>
      </c>
      <c r="K179" s="65" t="e">
        <f ca="1">IF(WEEKDAY(DATEVALUE(Month1&amp;" 1, "&amp;Year1))=COLUMN(#REF!),1,IF(LEN(I179)&gt;0,I179+1,""))</f>
        <v>#VALUE!</v>
      </c>
      <c r="L179" s="66" t="s">
        <v>5</v>
      </c>
      <c r="M179" s="67" t="e">
        <f ca="1">IF(WEEKDAY(DATEVALUE(Month1&amp;" 1, "&amp;Year1))=COLUMN(#REF!),1,IF(LEN(K179)&gt;0,K179+1,""))</f>
        <v>#VALUE!</v>
      </c>
      <c r="N179" s="66" t="s">
        <v>6</v>
      </c>
      <c r="O179" s="67" t="e">
        <f ca="1">IF(WEEKDAY(DATEVALUE(Month1&amp;" 1, "&amp;Year1))=COLUMN(#REF!),1,IF(LEN(M179)&gt;0,M179+1,""))</f>
        <v>#VALUE!</v>
      </c>
      <c r="P179" s="42" t="s">
        <v>7</v>
      </c>
    </row>
    <row r="180" spans="1:16" ht="15" customHeight="1" x14ac:dyDescent="0.2">
      <c r="A180" s="43" t="s">
        <v>350</v>
      </c>
      <c r="B180" s="14">
        <f ca="1">DAY(IF(DAY(AprSun1)=1,AprSun1-6,AprSun1+1))</f>
        <v>28</v>
      </c>
      <c r="C180" s="16"/>
      <c r="D180" s="19">
        <f ca="1">DAY(IF(DAY(AprSun1)=1,AprSun1-5,AprSun1+2))</f>
        <v>29</v>
      </c>
      <c r="E180" s="16"/>
      <c r="F180" s="19">
        <f ca="1">DAY(IF(DAY(AprSun1)=1,AprSun1-4,AprSun1+3))</f>
        <v>30</v>
      </c>
      <c r="G180" s="16"/>
      <c r="H180" s="19">
        <f ca="1">DAY(IF(DAY(AprSun1)=1,AprSun1-3,AprSun1+4))</f>
        <v>31</v>
      </c>
      <c r="I180" s="16"/>
      <c r="J180" s="19">
        <f ca="1">DAY(IF(DAY(AprSun1)=1,AprSun1-2,AprSun1+5))</f>
        <v>1</v>
      </c>
      <c r="K180" s="16"/>
      <c r="L180" s="19">
        <f ca="1">DAY(IF(DAY(AprSun1)=1,AprSun1-1,AprSun1+6))</f>
        <v>2</v>
      </c>
      <c r="M180" s="16"/>
      <c r="N180" s="20">
        <f ca="1">DAY(IF(DAY(AprSun1)=1,AprSun1,AprSun1+7))</f>
        <v>3</v>
      </c>
      <c r="O180" s="15"/>
      <c r="P180" s="21"/>
    </row>
    <row r="181" spans="1:16" ht="11.25" customHeight="1" x14ac:dyDescent="0.2">
      <c r="A181" s="43" t="s">
        <v>171</v>
      </c>
      <c r="B181" s="41" t="s">
        <v>9</v>
      </c>
      <c r="C181" s="36" t="s">
        <v>10</v>
      </c>
      <c r="D181" s="35" t="s">
        <v>9</v>
      </c>
      <c r="E181" s="36" t="s">
        <v>10</v>
      </c>
      <c r="F181" s="35" t="s">
        <v>9</v>
      </c>
      <c r="G181" s="36" t="s">
        <v>10</v>
      </c>
      <c r="H181" s="35" t="s">
        <v>9</v>
      </c>
      <c r="I181" s="36" t="s">
        <v>10</v>
      </c>
      <c r="J181" s="35" t="s">
        <v>9</v>
      </c>
      <c r="K181" s="36" t="s">
        <v>10</v>
      </c>
      <c r="L181" s="35" t="s">
        <v>9</v>
      </c>
      <c r="M181" s="36" t="s">
        <v>10</v>
      </c>
      <c r="N181" s="37" t="s">
        <v>9</v>
      </c>
      <c r="O181" s="38" t="s">
        <v>10</v>
      </c>
      <c r="P181" s="22"/>
    </row>
    <row r="182" spans="1:16" ht="11.25" customHeight="1" x14ac:dyDescent="0.2">
      <c r="A182" s="43" t="s">
        <v>184</v>
      </c>
      <c r="B182" s="17" t="str">
        <f ca="1">IF(HLOOKUP(B180,Summary!$I$2:$AM$7,2,0)=0,"",HLOOKUP(B180,Summary!$I$2:$AM$7,2,0))</f>
        <v/>
      </c>
      <c r="C182" s="71" t="str">
        <f ca="1">IFERROR(VLOOKUP(B182,fixed_expenses[],2,0),"")</f>
        <v/>
      </c>
      <c r="D182" s="17" t="str">
        <f ca="1">IF(HLOOKUP(D180,Summary!$I$2:$AM$7,2,0)=0,"",HLOOKUP(D180,Summary!$I$2:$AM$7,2,0))</f>
        <v/>
      </c>
      <c r="E182" s="71" t="str">
        <f ca="1">IFERROR(VLOOKUP(D182,fixed_expenses[],2,0),"")</f>
        <v/>
      </c>
      <c r="F182" s="17" t="str">
        <f ca="1">IF(HLOOKUP(F180,Summary!$I$2:$AM$7,2,0)=0,"",HLOOKUP(F180,Summary!$I$2:$AM$7,2,0))</f>
        <v/>
      </c>
      <c r="G182" s="71" t="str">
        <f ca="1">IFERROR(VLOOKUP(F182,fixed_expenses[],2,0),"")</f>
        <v/>
      </c>
      <c r="H182" s="17" t="str">
        <f ca="1">IF(HLOOKUP(H180,Summary!$I$2:$AM$7,2,0)=0,"",HLOOKUP(H180,Summary!$I$2:$AM$7,2,0))</f>
        <v/>
      </c>
      <c r="I182" s="71" t="str">
        <f ca="1">IFERROR(VLOOKUP(H182,fixed_expenses[],2,0),"")</f>
        <v/>
      </c>
      <c r="J182" s="17" t="str">
        <f ca="1">IF(HLOOKUP(J180,Summary!$I$2:$AM$7,2,0)=0,"",HLOOKUP(J180,Summary!$I$2:$AM$7,2,0))</f>
        <v/>
      </c>
      <c r="K182" s="71" t="str">
        <f ca="1">IFERROR(VLOOKUP(J182,fixed_expenses[],2,0),"")</f>
        <v/>
      </c>
      <c r="L182" s="17" t="s">
        <v>384</v>
      </c>
      <c r="M182" s="71">
        <f>IFERROR(VLOOKUP(L182,fixed_expenses[],2,0),"")</f>
        <v>232</v>
      </c>
      <c r="N182" s="17" t="str">
        <f ca="1">IF(HLOOKUP(N180,Summary!$I$2:$AM$7,2,0)=0,"",HLOOKUP(N180,Summary!$I$2:$AM$7,2,0))</f>
        <v>Rent</v>
      </c>
      <c r="O182" s="71">
        <f ca="1">IFERROR(VLOOKUP(N182,fixed_expenses[],2,0),"")</f>
        <v>1200</v>
      </c>
      <c r="P182" s="22"/>
    </row>
    <row r="183" spans="1:16" ht="11.25" customHeight="1" x14ac:dyDescent="0.2">
      <c r="B183" s="17" t="str">
        <f ca="1">IF(HLOOKUP(B180,Summary!$I$2:$AM$7,3,0)=0,"",HLOOKUP(B180,Summary!$I$2:$AM$7,3,0))</f>
        <v/>
      </c>
      <c r="C183" s="71" t="str">
        <f ca="1">IFERROR(VLOOKUP(B183,fixed_expenses[],2,0),"")</f>
        <v/>
      </c>
      <c r="D183" s="17" t="str">
        <f ca="1">IF(HLOOKUP(D180,Summary!$I$2:$AM$7,3,0)=0,"",HLOOKUP(D180,Summary!$I$2:$AM$7,3,0))</f>
        <v/>
      </c>
      <c r="E183" s="71" t="str">
        <f ca="1">IFERROR(VLOOKUP(D183,fixed_expenses[],2,0),"")</f>
        <v/>
      </c>
      <c r="F183" s="17" t="str">
        <f ca="1">IF(HLOOKUP(F180,Summary!$I$2:$AM$7,3,0)=0,"",HLOOKUP(F180,Summary!$I$2:$AM$7,3,0))</f>
        <v/>
      </c>
      <c r="G183" s="71" t="str">
        <f ca="1">IFERROR(VLOOKUP(F183,fixed_expenses[],2,0),"")</f>
        <v/>
      </c>
      <c r="H183" s="17" t="str">
        <f ca="1">IF(HLOOKUP(H180,Summary!$I$2:$AM$7,3,0)=0,"",HLOOKUP(H180,Summary!$I$2:$AM$7,3,0))</f>
        <v/>
      </c>
      <c r="I183" s="71" t="str">
        <f ca="1">IFERROR(VLOOKUP(H183,fixed_expenses[],2,0),"")</f>
        <v/>
      </c>
      <c r="J183" s="17" t="str">
        <f ca="1">IF(HLOOKUP(J180,Summary!$I$2:$AM$7,3,0)=0,"",HLOOKUP(J180,Summary!$I$2:$AM$7,3,0))</f>
        <v/>
      </c>
      <c r="K183" s="71" t="str">
        <f ca="1">IFERROR(VLOOKUP(J183,fixed_expenses[],2,0),"")</f>
        <v/>
      </c>
      <c r="L183" s="17" t="str">
        <f ca="1">IF(HLOOKUP(L180,Summary!$I$2:$AM$7,3,0)=0,"",HLOOKUP(L180,Summary!$I$2:$AM$7,3,0))</f>
        <v/>
      </c>
      <c r="M183" s="71" t="str">
        <f ca="1">IFERROR(VLOOKUP(L183,fixed_expenses[],2,0),"")</f>
        <v/>
      </c>
      <c r="N183" s="17" t="str">
        <f ca="1">IF(HLOOKUP(N180,Summary!$I$2:$AM$7,3,0)=0,"",HLOOKUP(N180,Summary!$I$2:$AM$7,3,0))</f>
        <v/>
      </c>
      <c r="O183" s="71" t="str">
        <f ca="1">IFERROR(VLOOKUP(N183,fixed_expenses[],2,0),"")</f>
        <v/>
      </c>
      <c r="P183" s="22"/>
    </row>
    <row r="184" spans="1:16" ht="11.25" customHeight="1" x14ac:dyDescent="0.2">
      <c r="B184" s="17" t="str">
        <f ca="1">IF(HLOOKUP(B180,Summary!$I$2:$AM$7,4,0)=0,"",HLOOKUP(B180,Summary!$I$2:$AM$7,4,0))</f>
        <v/>
      </c>
      <c r="C184" s="71" t="str">
        <f ca="1">IFERROR(VLOOKUP(B184,fixed_expenses[],2,0),"")</f>
        <v/>
      </c>
      <c r="D184" s="17" t="str">
        <f ca="1">IF(HLOOKUP(D180,Summary!$I$2:$AM$7,4,0)=0,"",HLOOKUP(D180,Summary!$I$2:$AM$7,4,0))</f>
        <v/>
      </c>
      <c r="E184" s="71" t="str">
        <f ca="1">IFERROR(VLOOKUP(D184,fixed_expenses[],2,0),"")</f>
        <v/>
      </c>
      <c r="F184" s="17" t="str">
        <f ca="1">IF(HLOOKUP(F180,Summary!$I$2:$AM$7,4,0)=0,"",HLOOKUP(F180,Summary!$I$2:$AM$7,4,0))</f>
        <v/>
      </c>
      <c r="G184" s="71" t="str">
        <f ca="1">IFERROR(VLOOKUP(F184,fixed_expenses[],2,0),"")</f>
        <v/>
      </c>
      <c r="H184" s="17" t="str">
        <f ca="1">IF(HLOOKUP(H180,Summary!$I$2:$AM$7,4,0)=0,"",HLOOKUP(H180,Summary!$I$2:$AM$7,4,0))</f>
        <v/>
      </c>
      <c r="I184" s="71" t="str">
        <f ca="1">IFERROR(VLOOKUP(H184,fixed_expenses[],2,0),"")</f>
        <v/>
      </c>
      <c r="J184" s="17" t="str">
        <f ca="1">IF(HLOOKUP(J180,Summary!$I$2:$AM$7,4,0)=0,"",HLOOKUP(J180,Summary!$I$2:$AM$7,4,0))</f>
        <v/>
      </c>
      <c r="K184" s="71" t="str">
        <f ca="1">IFERROR(VLOOKUP(J184,fixed_expenses[],2,0),"")</f>
        <v/>
      </c>
      <c r="L184" s="17" t="str">
        <f ca="1">IF(HLOOKUP(L180,Summary!$I$2:$AM$7,4,0)=0,"",HLOOKUP(L180,Summary!$I$2:$AM$7,4,0))</f>
        <v/>
      </c>
      <c r="M184" s="71" t="str">
        <f ca="1">IFERROR(VLOOKUP(L184,fixed_expenses[],2,0),"")</f>
        <v/>
      </c>
      <c r="N184" s="17" t="str">
        <f ca="1">IF(HLOOKUP(N180,Summary!$I$2:$AM$7,4,0)=0,"",HLOOKUP(N180,Summary!$I$2:$AM$7,4,0))</f>
        <v/>
      </c>
      <c r="O184" s="71" t="str">
        <f ca="1">IFERROR(VLOOKUP(N184,fixed_expenses[],2,0),"")</f>
        <v/>
      </c>
      <c r="P184" s="22"/>
    </row>
    <row r="185" spans="1:16" ht="11.25" customHeight="1" x14ac:dyDescent="0.2">
      <c r="B185" s="17" t="str">
        <f ca="1">IF(HLOOKUP(B180,Summary!$I$2:$AM$7,5,0)=0,"",HLOOKUP(B180,Summary!$I$2:$AM$7,5,0))</f>
        <v/>
      </c>
      <c r="C185" s="71" t="str">
        <f ca="1">IFERROR(VLOOKUP(B185,fixed_expenses[],2,0),"")</f>
        <v/>
      </c>
      <c r="D185" s="17" t="str">
        <f ca="1">IF(HLOOKUP(D180,Summary!$I$2:$AM$7,5,0)=0,"",HLOOKUP(D180,Summary!$I$2:$AM$7,5,0))</f>
        <v/>
      </c>
      <c r="E185" s="71" t="str">
        <f ca="1">IFERROR(VLOOKUP(D185,fixed_expenses[],2,0),"")</f>
        <v/>
      </c>
      <c r="F185" s="17" t="str">
        <f ca="1">IF(HLOOKUP(F180,Summary!$I$2:$AM$7,5,0)=0,"",HLOOKUP(F180,Summary!$I$2:$AM$7,5,0))</f>
        <v/>
      </c>
      <c r="G185" s="71" t="str">
        <f ca="1">IFERROR(VLOOKUP(F185,fixed_expenses[],2,0),"")</f>
        <v/>
      </c>
      <c r="H185" s="17" t="str">
        <f ca="1">IF(HLOOKUP(H180,Summary!$I$2:$AM$7,5,0)=0,"",HLOOKUP(H180,Summary!$I$2:$AM$7,5,0))</f>
        <v/>
      </c>
      <c r="I185" s="71" t="str">
        <f ca="1">IFERROR(VLOOKUP(H185,fixed_expenses[],2,0),"")</f>
        <v/>
      </c>
      <c r="J185" s="17" t="str">
        <f ca="1">IF(HLOOKUP(J180,Summary!$I$2:$AM$7,5,0)=0,"",HLOOKUP(J180,Summary!$I$2:$AM$7,5,0))</f>
        <v/>
      </c>
      <c r="K185" s="71" t="str">
        <f ca="1">IFERROR(VLOOKUP(J185,fixed_expenses[],2,0),"")</f>
        <v/>
      </c>
      <c r="L185" s="17" t="str">
        <f ca="1">IF(HLOOKUP(L180,Summary!$I$2:$AM$7,5,0)=0,"",HLOOKUP(L180,Summary!$I$2:$AM$7,5,0))</f>
        <v/>
      </c>
      <c r="M185" s="71" t="str">
        <f ca="1">IFERROR(VLOOKUP(L185,fixed_expenses[],2,0),"")</f>
        <v/>
      </c>
      <c r="N185" s="17" t="str">
        <f ca="1">IF(HLOOKUP(N180,Summary!$I$2:$AM$7,5,0)=0,"",HLOOKUP(N180,Summary!$I$2:$AM$7,5,0))</f>
        <v/>
      </c>
      <c r="O185" s="71" t="str">
        <f ca="1">IFERROR(VLOOKUP(N185,fixed_expenses[],2,0),"")</f>
        <v/>
      </c>
      <c r="P185" s="22"/>
    </row>
    <row r="186" spans="1:16" ht="11.25" customHeight="1" x14ac:dyDescent="0.2">
      <c r="B186" s="17" t="str">
        <f ca="1">IF(HLOOKUP(B180,Summary!$I$2:$AM$7,6,0)=0,"",HLOOKUP(B180,Summary!$I$2:$AM$7,6,0))</f>
        <v/>
      </c>
      <c r="C186" s="71" t="str">
        <f ca="1">IFERROR(VLOOKUP(B186,fixed_expenses[],2,0),"")</f>
        <v/>
      </c>
      <c r="D186" s="17" t="str">
        <f ca="1">IF(HLOOKUP(D180,Summary!$I$2:$AM$7,6,0)=0,"",HLOOKUP(D180,Summary!$I$2:$AM$7,6,0))</f>
        <v/>
      </c>
      <c r="E186" s="71" t="str">
        <f ca="1">IFERROR(VLOOKUP(D186,fixed_expenses[],2,0),"")</f>
        <v/>
      </c>
      <c r="F186" s="17" t="str">
        <f ca="1">IF(HLOOKUP(F180,Summary!$I$2:$AM$7,6,0)=0,"",HLOOKUP(F180,Summary!$I$2:$AM$7,6,0))</f>
        <v/>
      </c>
      <c r="G186" s="71" t="str">
        <f ca="1">IFERROR(VLOOKUP(F186,fixed_expenses[],2,0),"")</f>
        <v/>
      </c>
      <c r="H186" s="17" t="str">
        <f ca="1">IF(HLOOKUP(H180,Summary!$I$2:$AM$7,6,0)=0,"",HLOOKUP(H180,Summary!$I$2:$AM$7,6,0))</f>
        <v/>
      </c>
      <c r="I186" s="71" t="str">
        <f ca="1">IFERROR(VLOOKUP(H186,fixed_expenses[],2,0),"")</f>
        <v/>
      </c>
      <c r="J186" s="17" t="str">
        <f ca="1">IF(HLOOKUP(J180,Summary!$I$2:$AM$7,6,0)=0,"",HLOOKUP(J180,Summary!$I$2:$AM$7,6,0))</f>
        <v/>
      </c>
      <c r="K186" s="71" t="str">
        <f ca="1">IFERROR(VLOOKUP(J186,fixed_expenses[],2,0),"")</f>
        <v/>
      </c>
      <c r="L186" s="17" t="str">
        <f ca="1">IF(HLOOKUP(L180,Summary!$I$2:$AM$7,6,0)=0,"",HLOOKUP(L180,Summary!$I$2:$AM$7,6,0))</f>
        <v/>
      </c>
      <c r="M186" s="71" t="str">
        <f ca="1">IFERROR(VLOOKUP(L186,fixed_expenses[],2,0),"")</f>
        <v/>
      </c>
      <c r="N186" s="17" t="str">
        <f ca="1">IF(HLOOKUP(N180,Summary!$I$2:$AM$7,6,0)=0,"",HLOOKUP(N180,Summary!$I$2:$AM$7,6,0))</f>
        <v/>
      </c>
      <c r="O186" s="71" t="str">
        <f ca="1">IFERROR(VLOOKUP(N186,fixed_expenses[],2,0),"")</f>
        <v/>
      </c>
      <c r="P186" s="22"/>
    </row>
    <row r="187" spans="1:16" ht="11.25" customHeight="1" x14ac:dyDescent="0.2">
      <c r="A187" s="43" t="s">
        <v>338</v>
      </c>
      <c r="B187" s="26" t="s">
        <v>8</v>
      </c>
      <c r="C187" s="27">
        <f ca="1">SUM(C182:C186)</f>
        <v>0</v>
      </c>
      <c r="D187" s="26"/>
      <c r="E187" s="27">
        <f ca="1">SUM(E182:E186)</f>
        <v>0</v>
      </c>
      <c r="F187" s="26"/>
      <c r="G187" s="27">
        <f ca="1">SUM(G182:G186)</f>
        <v>0</v>
      </c>
      <c r="H187" s="26"/>
      <c r="I187" s="27">
        <f ca="1">SUM(I182:I186)</f>
        <v>0</v>
      </c>
      <c r="J187" s="26"/>
      <c r="K187" s="27">
        <f ca="1">SUM(K182:K186)</f>
        <v>0</v>
      </c>
      <c r="L187" s="26"/>
      <c r="M187" s="27">
        <f ca="1">SUM(M182:M186)</f>
        <v>232</v>
      </c>
      <c r="N187" s="26"/>
      <c r="O187" s="28">
        <f ca="1">SUM(O182:O186)</f>
        <v>1200</v>
      </c>
      <c r="P187" s="29">
        <f ca="1">SUMIF(B180:N180,"&lt;8",C187:O187)</f>
        <v>1432</v>
      </c>
    </row>
    <row r="188" spans="1:16" x14ac:dyDescent="0.2">
      <c r="B188" s="6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6"/>
    </row>
    <row r="189" spans="1:16" ht="15" customHeight="1" x14ac:dyDescent="0.2">
      <c r="A189" s="43" t="s">
        <v>240</v>
      </c>
      <c r="B189" s="12">
        <f ca="1">N180+1</f>
        <v>4</v>
      </c>
      <c r="C189" s="13"/>
      <c r="D189" s="12">
        <f ca="1">B189+1</f>
        <v>5</v>
      </c>
      <c r="E189" s="13"/>
      <c r="F189" s="12">
        <f ca="1">D189+1</f>
        <v>6</v>
      </c>
      <c r="G189" s="13"/>
      <c r="H189" s="12">
        <f ca="1">F189+1</f>
        <v>7</v>
      </c>
      <c r="I189" s="13"/>
      <c r="J189" s="12">
        <f ca="1">H189+1</f>
        <v>8</v>
      </c>
      <c r="K189" s="13"/>
      <c r="L189" s="12">
        <f ca="1">J189+1</f>
        <v>9</v>
      </c>
      <c r="M189" s="13"/>
      <c r="N189" s="12">
        <f ca="1">L189+1</f>
        <v>10</v>
      </c>
      <c r="O189" s="13"/>
      <c r="P189" s="23"/>
    </row>
    <row r="190" spans="1:16" ht="11.25" customHeight="1" x14ac:dyDescent="0.2">
      <c r="A190" s="43" t="s">
        <v>170</v>
      </c>
      <c r="B190" s="37" t="s">
        <v>9</v>
      </c>
      <c r="C190" s="39" t="s">
        <v>10</v>
      </c>
      <c r="D190" s="37" t="s">
        <v>9</v>
      </c>
      <c r="E190" s="39" t="s">
        <v>10</v>
      </c>
      <c r="F190" s="37" t="s">
        <v>9</v>
      </c>
      <c r="G190" s="39" t="s">
        <v>10</v>
      </c>
      <c r="H190" s="37" t="s">
        <v>9</v>
      </c>
      <c r="I190" s="39" t="s">
        <v>10</v>
      </c>
      <c r="J190" s="37" t="s">
        <v>9</v>
      </c>
      <c r="K190" s="39" t="s">
        <v>10</v>
      </c>
      <c r="L190" s="37" t="s">
        <v>9</v>
      </c>
      <c r="M190" s="39" t="s">
        <v>10</v>
      </c>
      <c r="N190" s="37" t="s">
        <v>9</v>
      </c>
      <c r="O190" s="40" t="s">
        <v>10</v>
      </c>
      <c r="P190" s="22"/>
    </row>
    <row r="191" spans="1:16" ht="11.25" customHeight="1" x14ac:dyDescent="0.2">
      <c r="A191" s="43" t="s">
        <v>185</v>
      </c>
      <c r="B191" s="17" t="str">
        <f ca="1">IF(HLOOKUP(B189,Summary!$I$2:$AM$7,2,0)=0,"",HLOOKUP(B189,Summary!$I$2:$AM$7,2,0))</f>
        <v/>
      </c>
      <c r="C191" s="71" t="str">
        <f ca="1">IFERROR(VLOOKUP(B191,fixed_expenses[],2,0),"")</f>
        <v/>
      </c>
      <c r="D191" s="17" t="str">
        <f ca="1">IF(HLOOKUP(D189,Summary!$I$2:$AM$7,2,0)=0,"",HLOOKUP(D189,Summary!$I$2:$AM$7,2,0))</f>
        <v/>
      </c>
      <c r="E191" s="71" t="str">
        <f ca="1">IFERROR(VLOOKUP(D191,fixed_expenses[],2,0),"")</f>
        <v/>
      </c>
      <c r="F191" s="17" t="str">
        <f ca="1">IF(HLOOKUP(F189,Summary!$I$2:$AM$7,2,0)=0,"",HLOOKUP(F189,Summary!$I$2:$AM$7,2,0))</f>
        <v/>
      </c>
      <c r="G191" s="71" t="str">
        <f ca="1">IFERROR(VLOOKUP(F191,fixed_expenses[],2,0),"")</f>
        <v/>
      </c>
      <c r="H191" s="17" t="str">
        <f ca="1">IF(HLOOKUP(H189,Summary!$I$2:$AM$7,2,0)=0,"",HLOOKUP(H189,Summary!$I$2:$AM$7,2,0))</f>
        <v/>
      </c>
      <c r="I191" s="71" t="str">
        <f ca="1">IFERROR(VLOOKUP(H191,fixed_expenses[],2,0),"")</f>
        <v/>
      </c>
      <c r="J191" s="17" t="str">
        <f ca="1">IF(HLOOKUP(J189,Summary!$I$2:$AM$7,2,0)=0,"",HLOOKUP(J189,Summary!$I$2:$AM$7,2,0))</f>
        <v/>
      </c>
      <c r="K191" s="71" t="str">
        <f ca="1">IFERROR(VLOOKUP(J191,fixed_expenses[],2,0),"")</f>
        <v/>
      </c>
      <c r="L191" s="17" t="str">
        <f ca="1">IF(HLOOKUP(L189,Summary!$I$2:$AM$7,2,0)=0,"",HLOOKUP(L189,Summary!$I$2:$AM$7,2,0))</f>
        <v/>
      </c>
      <c r="M191" s="71" t="str">
        <f ca="1">IFERROR(VLOOKUP(L191,fixed_expenses[],2,0),"")</f>
        <v/>
      </c>
      <c r="N191" s="17" t="str">
        <f ca="1">IF(HLOOKUP(N189,Summary!$I$2:$AM$7,2,0)=0,"",HLOOKUP(N189,Summary!$I$2:$AM$7,2,0))</f>
        <v/>
      </c>
      <c r="O191" s="71" t="str">
        <f ca="1">IFERROR(VLOOKUP(N191,fixed_expenses[],2,0),"")</f>
        <v/>
      </c>
      <c r="P191" s="22"/>
    </row>
    <row r="192" spans="1:16" ht="11.25" customHeight="1" x14ac:dyDescent="0.2">
      <c r="B192" s="17" t="str">
        <f ca="1">IF(HLOOKUP(B189,Summary!$I$2:$AM$7,3,0)=0,"",HLOOKUP(B189,Summary!$I$2:$AM$7,3,0))</f>
        <v/>
      </c>
      <c r="C192" s="71" t="str">
        <f ca="1">IFERROR(VLOOKUP(B192,fixed_expenses[],2,0),"")</f>
        <v/>
      </c>
      <c r="D192" s="17" t="str">
        <f ca="1">IF(HLOOKUP(D189,Summary!$I$2:$AM$7,3,0)=0,"",HLOOKUP(D189,Summary!$I$2:$AM$7,3,0))</f>
        <v/>
      </c>
      <c r="E192" s="71" t="str">
        <f ca="1">IFERROR(VLOOKUP(D192,fixed_expenses[],2,0),"")</f>
        <v/>
      </c>
      <c r="F192" s="17" t="str">
        <f ca="1">IF(HLOOKUP(F189,Summary!$I$2:$AM$7,3,0)=0,"",HLOOKUP(F189,Summary!$I$2:$AM$7,3,0))</f>
        <v/>
      </c>
      <c r="G192" s="71" t="str">
        <f ca="1">IFERROR(VLOOKUP(F192,fixed_expenses[],2,0),"")</f>
        <v/>
      </c>
      <c r="H192" s="17" t="str">
        <f ca="1">IF(HLOOKUP(H189,Summary!$I$2:$AM$7,3,0)=0,"",HLOOKUP(H189,Summary!$I$2:$AM$7,3,0))</f>
        <v/>
      </c>
      <c r="I192" s="71" t="str">
        <f ca="1">IFERROR(VLOOKUP(H192,fixed_expenses[],2,0),"")</f>
        <v/>
      </c>
      <c r="J192" s="17" t="str">
        <f ca="1">IF(HLOOKUP(J189,Summary!$I$2:$AM$7,3,0)=0,"",HLOOKUP(J189,Summary!$I$2:$AM$7,3,0))</f>
        <v/>
      </c>
      <c r="K192" s="71" t="str">
        <f ca="1">IFERROR(VLOOKUP(J192,fixed_expenses[],2,0),"")</f>
        <v/>
      </c>
      <c r="L192" s="17" t="str">
        <f ca="1">IF(HLOOKUP(L189,Summary!$I$2:$AM$7,3,0)=0,"",HLOOKUP(L189,Summary!$I$2:$AM$7,3,0))</f>
        <v/>
      </c>
      <c r="M192" s="71" t="str">
        <f ca="1">IFERROR(VLOOKUP(L192,fixed_expenses[],2,0),"")</f>
        <v/>
      </c>
      <c r="N192" s="17" t="str">
        <f ca="1">IF(HLOOKUP(N189,Summary!$I$2:$AM$7,3,0)=0,"",HLOOKUP(N189,Summary!$I$2:$AM$7,3,0))</f>
        <v/>
      </c>
      <c r="O192" s="71" t="str">
        <f ca="1">IFERROR(VLOOKUP(N192,fixed_expenses[],2,0),"")</f>
        <v/>
      </c>
      <c r="P192" s="22"/>
    </row>
    <row r="193" spans="1:16" ht="11.25" customHeight="1" x14ac:dyDescent="0.2">
      <c r="B193" s="17" t="str">
        <f ca="1">IF(HLOOKUP(B189,Summary!$I$2:$AM$7,4,0)=0,"",HLOOKUP(B189,Summary!$I$2:$AM$7,4,0))</f>
        <v/>
      </c>
      <c r="C193" s="71" t="str">
        <f ca="1">IFERROR(VLOOKUP(B193,fixed_expenses[],2,0),"")</f>
        <v/>
      </c>
      <c r="D193" s="17" t="str">
        <f ca="1">IF(HLOOKUP(D189,Summary!$I$2:$AM$7,4,0)=0,"",HLOOKUP(D189,Summary!$I$2:$AM$7,4,0))</f>
        <v/>
      </c>
      <c r="E193" s="71" t="str">
        <f ca="1">IFERROR(VLOOKUP(D193,fixed_expenses[],2,0),"")</f>
        <v/>
      </c>
      <c r="F193" s="17" t="str">
        <f ca="1">IF(HLOOKUP(F189,Summary!$I$2:$AM$7,4,0)=0,"",HLOOKUP(F189,Summary!$I$2:$AM$7,4,0))</f>
        <v/>
      </c>
      <c r="G193" s="71" t="str">
        <f ca="1">IFERROR(VLOOKUP(F193,fixed_expenses[],2,0),"")</f>
        <v/>
      </c>
      <c r="H193" s="17" t="str">
        <f ca="1">IF(HLOOKUP(H189,Summary!$I$2:$AM$7,4,0)=0,"",HLOOKUP(H189,Summary!$I$2:$AM$7,4,0))</f>
        <v/>
      </c>
      <c r="I193" s="71" t="str">
        <f ca="1">IFERROR(VLOOKUP(H193,fixed_expenses[],2,0),"")</f>
        <v/>
      </c>
      <c r="J193" s="17" t="str">
        <f ca="1">IF(HLOOKUP(J189,Summary!$I$2:$AM$7,4,0)=0,"",HLOOKUP(J189,Summary!$I$2:$AM$7,4,0))</f>
        <v/>
      </c>
      <c r="K193" s="71" t="str">
        <f ca="1">IFERROR(VLOOKUP(J193,fixed_expenses[],2,0),"")</f>
        <v/>
      </c>
      <c r="L193" s="17" t="str">
        <f ca="1">IF(HLOOKUP(L189,Summary!$I$2:$AM$7,4,0)=0,"",HLOOKUP(L189,Summary!$I$2:$AM$7,4,0))</f>
        <v/>
      </c>
      <c r="M193" s="71" t="str">
        <f ca="1">IFERROR(VLOOKUP(L193,fixed_expenses[],2,0),"")</f>
        <v/>
      </c>
      <c r="N193" s="17" t="str">
        <f ca="1">IF(HLOOKUP(N189,Summary!$I$2:$AM$7,4,0)=0,"",HLOOKUP(N189,Summary!$I$2:$AM$7,4,0))</f>
        <v/>
      </c>
      <c r="O193" s="71" t="str">
        <f ca="1">IFERROR(VLOOKUP(N193,fixed_expenses[],2,0),"")</f>
        <v/>
      </c>
      <c r="P193" s="22"/>
    </row>
    <row r="194" spans="1:16" ht="11.25" customHeight="1" x14ac:dyDescent="0.2">
      <c r="B194" s="17" t="str">
        <f ca="1">IF(HLOOKUP(B189,Summary!$I$2:$AM$7,5,0)=0,"",HLOOKUP(B189,Summary!$I$2:$AM$7,5,0))</f>
        <v/>
      </c>
      <c r="C194" s="71" t="str">
        <f ca="1">IFERROR(VLOOKUP(B194,fixed_expenses[],2,0),"")</f>
        <v/>
      </c>
      <c r="D194" s="17" t="str">
        <f ca="1">IF(HLOOKUP(D189,Summary!$I$2:$AM$7,5,0)=0,"",HLOOKUP(D189,Summary!$I$2:$AM$7,5,0))</f>
        <v/>
      </c>
      <c r="E194" s="71" t="str">
        <f ca="1">IFERROR(VLOOKUP(D194,fixed_expenses[],2,0),"")</f>
        <v/>
      </c>
      <c r="F194" s="17" t="str">
        <f ca="1">IF(HLOOKUP(F189,Summary!$I$2:$AM$7,5,0)=0,"",HLOOKUP(F189,Summary!$I$2:$AM$7,5,0))</f>
        <v/>
      </c>
      <c r="G194" s="71" t="str">
        <f ca="1">IFERROR(VLOOKUP(F194,fixed_expenses[],2,0),"")</f>
        <v/>
      </c>
      <c r="H194" s="17" t="str">
        <f ca="1">IF(HLOOKUP(H189,Summary!$I$2:$AM$7,5,0)=0,"",HLOOKUP(H189,Summary!$I$2:$AM$7,5,0))</f>
        <v/>
      </c>
      <c r="I194" s="71" t="str">
        <f ca="1">IFERROR(VLOOKUP(H194,fixed_expenses[],2,0),"")</f>
        <v/>
      </c>
      <c r="J194" s="17" t="str">
        <f ca="1">IF(HLOOKUP(J189,Summary!$I$2:$AM$7,5,0)=0,"",HLOOKUP(J189,Summary!$I$2:$AM$7,5,0))</f>
        <v/>
      </c>
      <c r="K194" s="71" t="str">
        <f ca="1">IFERROR(VLOOKUP(J194,fixed_expenses[],2,0),"")</f>
        <v/>
      </c>
      <c r="L194" s="17" t="str">
        <f ca="1">IF(HLOOKUP(L189,Summary!$I$2:$AM$7,5,0)=0,"",HLOOKUP(L189,Summary!$I$2:$AM$7,5,0))</f>
        <v/>
      </c>
      <c r="M194" s="71" t="str">
        <f ca="1">IFERROR(VLOOKUP(L194,fixed_expenses[],2,0),"")</f>
        <v/>
      </c>
      <c r="N194" s="17" t="str">
        <f ca="1">IF(HLOOKUP(N189,Summary!$I$2:$AM$7,5,0)=0,"",HLOOKUP(N189,Summary!$I$2:$AM$7,5,0))</f>
        <v/>
      </c>
      <c r="O194" s="71" t="str">
        <f ca="1">IFERROR(VLOOKUP(N194,fixed_expenses[],2,0),"")</f>
        <v/>
      </c>
      <c r="P194" s="22"/>
    </row>
    <row r="195" spans="1:16" ht="11.25" customHeight="1" x14ac:dyDescent="0.2">
      <c r="B195" s="17" t="str">
        <f ca="1">IF(HLOOKUP(B189,Summary!$I$2:$AM$7,6,0)=0,"",HLOOKUP(B189,Summary!$I$2:$AM$7,6,0))</f>
        <v/>
      </c>
      <c r="C195" s="71" t="str">
        <f ca="1">IFERROR(VLOOKUP(B195,fixed_expenses[],2,0),"")</f>
        <v/>
      </c>
      <c r="D195" s="17" t="str">
        <f ca="1">IF(HLOOKUP(D189,Summary!$I$2:$AM$7,6,0)=0,"",HLOOKUP(D189,Summary!$I$2:$AM$7,6,0))</f>
        <v/>
      </c>
      <c r="E195" s="71" t="str">
        <f ca="1">IFERROR(VLOOKUP(D195,fixed_expenses[],2,0),"")</f>
        <v/>
      </c>
      <c r="F195" s="17" t="str">
        <f ca="1">IF(HLOOKUP(F189,Summary!$I$2:$AM$7,6,0)=0,"",HLOOKUP(F189,Summary!$I$2:$AM$7,6,0))</f>
        <v/>
      </c>
      <c r="G195" s="71" t="str">
        <f ca="1">IFERROR(VLOOKUP(F195,fixed_expenses[],2,0),"")</f>
        <v/>
      </c>
      <c r="H195" s="17" t="str">
        <f ca="1">IF(HLOOKUP(H189,Summary!$I$2:$AM$7,6,0)=0,"",HLOOKUP(H189,Summary!$I$2:$AM$7,6,0))</f>
        <v/>
      </c>
      <c r="I195" s="71" t="str">
        <f ca="1">IFERROR(VLOOKUP(H195,fixed_expenses[],2,0),"")</f>
        <v/>
      </c>
      <c r="J195" s="17" t="str">
        <f ca="1">IF(HLOOKUP(J189,Summary!$I$2:$AM$7,6,0)=0,"",HLOOKUP(J189,Summary!$I$2:$AM$7,6,0))</f>
        <v/>
      </c>
      <c r="K195" s="71" t="str">
        <f ca="1">IFERROR(VLOOKUP(J195,fixed_expenses[],2,0),"")</f>
        <v/>
      </c>
      <c r="L195" s="17" t="str">
        <f ca="1">IF(HLOOKUP(L189,Summary!$I$2:$AM$7,6,0)=0,"",HLOOKUP(L189,Summary!$I$2:$AM$7,6,0))</f>
        <v/>
      </c>
      <c r="M195" s="71" t="str">
        <f ca="1">IFERROR(VLOOKUP(L195,fixed_expenses[],2,0),"")</f>
        <v/>
      </c>
      <c r="N195" s="17" t="str">
        <f ca="1">IF(HLOOKUP(N189,Summary!$I$2:$AM$7,6,0)=0,"",HLOOKUP(N189,Summary!$I$2:$AM$7,6,0))</f>
        <v/>
      </c>
      <c r="O195" s="71" t="str">
        <f ca="1">IFERROR(VLOOKUP(N195,fixed_expenses[],2,0),"")</f>
        <v/>
      </c>
      <c r="P195" s="22"/>
    </row>
    <row r="196" spans="1:16" ht="11.25" customHeight="1" x14ac:dyDescent="0.2">
      <c r="A196" s="43" t="s">
        <v>337</v>
      </c>
      <c r="B196" s="26" t="s">
        <v>8</v>
      </c>
      <c r="C196" s="27">
        <f ca="1">SUM(C191:C195)</f>
        <v>0</v>
      </c>
      <c r="D196" s="26"/>
      <c r="E196" s="27">
        <f ca="1">SUM(E191:E195)</f>
        <v>0</v>
      </c>
      <c r="F196" s="26"/>
      <c r="G196" s="27">
        <f ca="1">SUM(G191:G195)</f>
        <v>0</v>
      </c>
      <c r="H196" s="26"/>
      <c r="I196" s="27">
        <f ca="1">SUM(I191:I195)</f>
        <v>0</v>
      </c>
      <c r="J196" s="26"/>
      <c r="K196" s="27">
        <f ca="1">SUM(K191:K195)</f>
        <v>0</v>
      </c>
      <c r="L196" s="26"/>
      <c r="M196" s="27">
        <f ca="1">SUM(M191:M195)</f>
        <v>0</v>
      </c>
      <c r="N196" s="26"/>
      <c r="O196" s="28">
        <f ca="1">SUM(O191:O195)</f>
        <v>0</v>
      </c>
      <c r="P196" s="29">
        <f ca="1">SUM(C196,E196,G196,I196,K196,M196,O196)</f>
        <v>0</v>
      </c>
    </row>
    <row r="197" spans="1:16" x14ac:dyDescent="0.2">
      <c r="B197" s="6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6"/>
    </row>
    <row r="198" spans="1:16" ht="15" customHeight="1" x14ac:dyDescent="0.2">
      <c r="A198" s="43" t="s">
        <v>241</v>
      </c>
      <c r="B198" s="12">
        <f ca="1">N189+1</f>
        <v>11</v>
      </c>
      <c r="C198" s="13"/>
      <c r="D198" s="12">
        <f ca="1">B198+1</f>
        <v>12</v>
      </c>
      <c r="E198" s="13"/>
      <c r="F198" s="12">
        <f ca="1">D198+1</f>
        <v>13</v>
      </c>
      <c r="G198" s="13"/>
      <c r="H198" s="12">
        <f ca="1">F198+1</f>
        <v>14</v>
      </c>
      <c r="I198" s="13"/>
      <c r="J198" s="12">
        <f ca="1">H198+1</f>
        <v>15</v>
      </c>
      <c r="K198" s="13"/>
      <c r="L198" s="12">
        <f ca="1">J198+1</f>
        <v>16</v>
      </c>
      <c r="M198" s="13"/>
      <c r="N198" s="12">
        <f ca="1">L198+1</f>
        <v>17</v>
      </c>
      <c r="O198" s="13"/>
      <c r="P198" s="24"/>
    </row>
    <row r="199" spans="1:16" ht="11.25" customHeight="1" x14ac:dyDescent="0.2">
      <c r="A199" s="43" t="s">
        <v>169</v>
      </c>
      <c r="B199" s="37" t="s">
        <v>9</v>
      </c>
      <c r="C199" s="39" t="s">
        <v>10</v>
      </c>
      <c r="D199" s="37" t="s">
        <v>9</v>
      </c>
      <c r="E199" s="39" t="s">
        <v>10</v>
      </c>
      <c r="F199" s="37" t="s">
        <v>9</v>
      </c>
      <c r="G199" s="39" t="s">
        <v>10</v>
      </c>
      <c r="H199" s="37" t="s">
        <v>9</v>
      </c>
      <c r="I199" s="39" t="s">
        <v>10</v>
      </c>
      <c r="J199" s="37" t="s">
        <v>9</v>
      </c>
      <c r="K199" s="39" t="s">
        <v>10</v>
      </c>
      <c r="L199" s="37" t="s">
        <v>9</v>
      </c>
      <c r="M199" s="39" t="s">
        <v>10</v>
      </c>
      <c r="N199" s="37" t="s">
        <v>9</v>
      </c>
      <c r="O199" s="40" t="s">
        <v>10</v>
      </c>
      <c r="P199" s="22"/>
    </row>
    <row r="200" spans="1:16" ht="11.25" customHeight="1" x14ac:dyDescent="0.2">
      <c r="A200" s="43" t="s">
        <v>186</v>
      </c>
      <c r="B200" s="17" t="str">
        <f ca="1">IF(HLOOKUP(B198,Summary!$I$2:$AM$7,2,0)=0,"",HLOOKUP(B198,Summary!$I$2:$AM$7,2,0))</f>
        <v/>
      </c>
      <c r="C200" s="71" t="str">
        <f ca="1">IFERROR(VLOOKUP(B200,fixed_expenses[],2,0),"")</f>
        <v/>
      </c>
      <c r="D200" s="17" t="str">
        <f ca="1">IF(HLOOKUP(D198,Summary!$I$2:$AM$7,2,0)=0,"",HLOOKUP(D198,Summary!$I$2:$AM$7,2,0))</f>
        <v/>
      </c>
      <c r="E200" s="71" t="str">
        <f ca="1">IFERROR(VLOOKUP(D200,fixed_expenses[],2,0),"")</f>
        <v/>
      </c>
      <c r="F200" s="17" t="str">
        <f ca="1">IF(HLOOKUP(F198,Summary!$I$2:$AM$7,2,0)=0,"",HLOOKUP(F198,Summary!$I$2:$AM$7,2,0))</f>
        <v/>
      </c>
      <c r="G200" s="71" t="str">
        <f ca="1">IFERROR(VLOOKUP(F200,fixed_expenses[],2,0),"")</f>
        <v/>
      </c>
      <c r="H200" s="17" t="str">
        <f ca="1">IF(HLOOKUP(H198,Summary!$I$2:$AM$7,2,0)=0,"",HLOOKUP(H198,Summary!$I$2:$AM$7,2,0))</f>
        <v/>
      </c>
      <c r="I200" s="71" t="str">
        <f ca="1">IFERROR(VLOOKUP(H200,fixed_expenses[],2,0),"")</f>
        <v/>
      </c>
      <c r="J200" s="17" t="str">
        <f ca="1">IF(HLOOKUP(J198,Summary!$I$2:$AM$7,2,0)=0,"",HLOOKUP(J198,Summary!$I$2:$AM$7,2,0))</f>
        <v>Paul Phone Bill</v>
      </c>
      <c r="K200" s="71">
        <f ca="1">IFERROR(VLOOKUP(J200,fixed_expenses[],2,0),"")</f>
        <v>60</v>
      </c>
      <c r="L200" s="17" t="s">
        <v>384</v>
      </c>
      <c r="M200" s="71">
        <f>IFERROR(VLOOKUP(L200,fixed_expenses[],2,0),"")</f>
        <v>232</v>
      </c>
      <c r="N200" s="17" t="str">
        <f ca="1">IF(HLOOKUP(N198,Summary!$I$2:$AM$7,2,0)=0,"",HLOOKUP(N198,Summary!$I$2:$AM$7,2,0))</f>
        <v/>
      </c>
      <c r="O200" s="71" t="str">
        <f ca="1">IFERROR(VLOOKUP(N200,fixed_expenses[],2,0),"")</f>
        <v/>
      </c>
      <c r="P200" s="22"/>
    </row>
    <row r="201" spans="1:16" ht="11.25" customHeight="1" x14ac:dyDescent="0.2">
      <c r="B201" s="17" t="str">
        <f ca="1">IF(HLOOKUP(B198,Summary!$I$2:$AM$7,3,0)=0,"",HLOOKUP(B198,Summary!$I$2:$AM$7,3,0))</f>
        <v/>
      </c>
      <c r="C201" s="71" t="str">
        <f ca="1">IFERROR(VLOOKUP(B201,fixed_expenses[],2,0),"")</f>
        <v/>
      </c>
      <c r="D201" s="17" t="str">
        <f ca="1">IF(HLOOKUP(D198,Summary!$I$2:$AM$7,3,0)=0,"",HLOOKUP(D198,Summary!$I$2:$AM$7,3,0))</f>
        <v/>
      </c>
      <c r="E201" s="71" t="str">
        <f ca="1">IFERROR(VLOOKUP(D201,fixed_expenses[],2,0),"")</f>
        <v/>
      </c>
      <c r="F201" s="17" t="str">
        <f ca="1">IF(HLOOKUP(F198,Summary!$I$2:$AM$7,3,0)=0,"",HLOOKUP(F198,Summary!$I$2:$AM$7,3,0))</f>
        <v/>
      </c>
      <c r="G201" s="71" t="str">
        <f ca="1">IFERROR(VLOOKUP(F201,fixed_expenses[],2,0),"")</f>
        <v/>
      </c>
      <c r="H201" s="17" t="str">
        <f ca="1">IF(HLOOKUP(H198,Summary!$I$2:$AM$7,3,0)=0,"",HLOOKUP(H198,Summary!$I$2:$AM$7,3,0))</f>
        <v/>
      </c>
      <c r="I201" s="71" t="str">
        <f ca="1">IFERROR(VLOOKUP(H201,fixed_expenses[],2,0),"")</f>
        <v/>
      </c>
      <c r="J201" s="17" t="str">
        <f ca="1">IF(HLOOKUP(J198,Summary!$I$2:$AM$7,3,0)=0,"",HLOOKUP(J198,Summary!$I$2:$AM$7,3,0))</f>
        <v>Electric</v>
      </c>
      <c r="K201" s="71">
        <f ca="1">IFERROR(VLOOKUP(J201,fixed_expenses[],2,0),"")</f>
        <v>50</v>
      </c>
      <c r="L201" s="17" t="str">
        <f ca="1">IF(HLOOKUP(L198,Summary!$I$2:$AM$7,3,0)=0,"",HLOOKUP(L198,Summary!$I$2:$AM$7,3,0))</f>
        <v/>
      </c>
      <c r="M201" s="71" t="str">
        <f ca="1">IFERROR(VLOOKUP(L201,fixed_expenses[],2,0),"")</f>
        <v/>
      </c>
      <c r="N201" s="17" t="str">
        <f ca="1">IF(HLOOKUP(N198,Summary!$I$2:$AM$7,3,0)=0,"",HLOOKUP(N198,Summary!$I$2:$AM$7,3,0))</f>
        <v/>
      </c>
      <c r="O201" s="71" t="str">
        <f ca="1">IFERROR(VLOOKUP(N201,fixed_expenses[],2,0),"")</f>
        <v/>
      </c>
      <c r="P201" s="22"/>
    </row>
    <row r="202" spans="1:16" ht="11.25" customHeight="1" x14ac:dyDescent="0.2">
      <c r="B202" s="17" t="str">
        <f ca="1">IF(HLOOKUP(B198,Summary!$I$2:$AM$7,4,0)=0,"",HLOOKUP(B198,Summary!$I$2:$AM$7,4,0))</f>
        <v/>
      </c>
      <c r="C202" s="71" t="str">
        <f ca="1">IFERROR(VLOOKUP(B202,fixed_expenses[],2,0),"")</f>
        <v/>
      </c>
      <c r="D202" s="17" t="str">
        <f ca="1">IF(HLOOKUP(D198,Summary!$I$2:$AM$7,4,0)=0,"",HLOOKUP(D198,Summary!$I$2:$AM$7,4,0))</f>
        <v/>
      </c>
      <c r="E202" s="71" t="str">
        <f ca="1">IFERROR(VLOOKUP(D202,fixed_expenses[],2,0),"")</f>
        <v/>
      </c>
      <c r="F202" s="17" t="str">
        <f ca="1">IF(HLOOKUP(F198,Summary!$I$2:$AM$7,4,0)=0,"",HLOOKUP(F198,Summary!$I$2:$AM$7,4,0))</f>
        <v/>
      </c>
      <c r="G202" s="71" t="str">
        <f ca="1">IFERROR(VLOOKUP(F202,fixed_expenses[],2,0),"")</f>
        <v/>
      </c>
      <c r="H202" s="17" t="str">
        <f ca="1">IF(HLOOKUP(H198,Summary!$I$2:$AM$7,4,0)=0,"",HLOOKUP(H198,Summary!$I$2:$AM$7,4,0))</f>
        <v/>
      </c>
      <c r="I202" s="71" t="str">
        <f ca="1">IFERROR(VLOOKUP(H202,fixed_expenses[],2,0),"")</f>
        <v/>
      </c>
      <c r="J202" s="17" t="str">
        <f ca="1">IF(HLOOKUP(J198,Summary!$I$2:$AM$7,4,0)=0,"",HLOOKUP(J198,Summary!$I$2:$AM$7,4,0))</f>
        <v/>
      </c>
      <c r="K202" s="71" t="str">
        <f ca="1">IFERROR(VLOOKUP(J202,fixed_expenses[],2,0),"")</f>
        <v/>
      </c>
      <c r="L202" s="17" t="str">
        <f ca="1">IF(HLOOKUP(L198,Summary!$I$2:$AM$7,4,0)=0,"",HLOOKUP(L198,Summary!$I$2:$AM$7,4,0))</f>
        <v/>
      </c>
      <c r="M202" s="71" t="str">
        <f ca="1">IFERROR(VLOOKUP(L202,fixed_expenses[],2,0),"")</f>
        <v/>
      </c>
      <c r="N202" s="17" t="str">
        <f ca="1">IF(HLOOKUP(N198,Summary!$I$2:$AM$7,4,0)=0,"",HLOOKUP(N198,Summary!$I$2:$AM$7,4,0))</f>
        <v/>
      </c>
      <c r="O202" s="71" t="str">
        <f ca="1">IFERROR(VLOOKUP(N202,fixed_expenses[],2,0),"")</f>
        <v/>
      </c>
      <c r="P202" s="22"/>
    </row>
    <row r="203" spans="1:16" ht="11.25" customHeight="1" x14ac:dyDescent="0.2">
      <c r="B203" s="17" t="str">
        <f ca="1">IF(HLOOKUP(B198,Summary!$I$2:$AM$7,5,0)=0,"",HLOOKUP(B198,Summary!$I$2:$AM$7,5,0))</f>
        <v/>
      </c>
      <c r="C203" s="71" t="str">
        <f ca="1">IFERROR(VLOOKUP(B203,fixed_expenses[],2,0),"")</f>
        <v/>
      </c>
      <c r="D203" s="17" t="str">
        <f ca="1">IF(HLOOKUP(D198,Summary!$I$2:$AM$7,5,0)=0,"",HLOOKUP(D198,Summary!$I$2:$AM$7,5,0))</f>
        <v/>
      </c>
      <c r="E203" s="71" t="str">
        <f ca="1">IFERROR(VLOOKUP(D203,fixed_expenses[],2,0),"")</f>
        <v/>
      </c>
      <c r="F203" s="17" t="str">
        <f ca="1">IF(HLOOKUP(F198,Summary!$I$2:$AM$7,5,0)=0,"",HLOOKUP(F198,Summary!$I$2:$AM$7,5,0))</f>
        <v/>
      </c>
      <c r="G203" s="71" t="str">
        <f ca="1">IFERROR(VLOOKUP(F203,fixed_expenses[],2,0),"")</f>
        <v/>
      </c>
      <c r="H203" s="17" t="str">
        <f ca="1">IF(HLOOKUP(H198,Summary!$I$2:$AM$7,5,0)=0,"",HLOOKUP(H198,Summary!$I$2:$AM$7,5,0))</f>
        <v/>
      </c>
      <c r="I203" s="71" t="str">
        <f ca="1">IFERROR(VLOOKUP(H203,fixed_expenses[],2,0),"")</f>
        <v/>
      </c>
      <c r="J203" s="17" t="str">
        <f ca="1">IF(HLOOKUP(J198,Summary!$I$2:$AM$7,5,0)=0,"",HLOOKUP(J198,Summary!$I$2:$AM$7,5,0))</f>
        <v/>
      </c>
      <c r="K203" s="71" t="str">
        <f ca="1">IFERROR(VLOOKUP(J203,fixed_expenses[],2,0),"")</f>
        <v/>
      </c>
      <c r="L203" s="17" t="str">
        <f ca="1">IF(HLOOKUP(L198,Summary!$I$2:$AM$7,5,0)=0,"",HLOOKUP(L198,Summary!$I$2:$AM$7,5,0))</f>
        <v/>
      </c>
      <c r="M203" s="71" t="str">
        <f ca="1">IFERROR(VLOOKUP(L203,fixed_expenses[],2,0),"")</f>
        <v/>
      </c>
      <c r="N203" s="17" t="str">
        <f ca="1">IF(HLOOKUP(N198,Summary!$I$2:$AM$7,5,0)=0,"",HLOOKUP(N198,Summary!$I$2:$AM$7,5,0))</f>
        <v/>
      </c>
      <c r="O203" s="71" t="str">
        <f ca="1">IFERROR(VLOOKUP(N203,fixed_expenses[],2,0),"")</f>
        <v/>
      </c>
      <c r="P203" s="22"/>
    </row>
    <row r="204" spans="1:16" ht="11.25" customHeight="1" x14ac:dyDescent="0.2">
      <c r="B204" s="17" t="str">
        <f ca="1">IF(HLOOKUP(B198,Summary!$I$2:$AM$7,6,0)=0,"",HLOOKUP(B198,Summary!$I$2:$AM$7,6,0))</f>
        <v/>
      </c>
      <c r="C204" s="71" t="str">
        <f ca="1">IFERROR(VLOOKUP(B204,fixed_expenses[],2,0),"")</f>
        <v/>
      </c>
      <c r="D204" s="17" t="str">
        <f ca="1">IF(HLOOKUP(D198,Summary!$I$2:$AM$7,6,0)=0,"",HLOOKUP(D198,Summary!$I$2:$AM$7,6,0))</f>
        <v/>
      </c>
      <c r="E204" s="71" t="str">
        <f ca="1">IFERROR(VLOOKUP(D204,fixed_expenses[],2,0),"")</f>
        <v/>
      </c>
      <c r="F204" s="17" t="str">
        <f ca="1">IF(HLOOKUP(F198,Summary!$I$2:$AM$7,6,0)=0,"",HLOOKUP(F198,Summary!$I$2:$AM$7,6,0))</f>
        <v/>
      </c>
      <c r="G204" s="71" t="str">
        <f ca="1">IFERROR(VLOOKUP(F204,fixed_expenses[],2,0),"")</f>
        <v/>
      </c>
      <c r="H204" s="17" t="str">
        <f ca="1">IF(HLOOKUP(H198,Summary!$I$2:$AM$7,6,0)=0,"",HLOOKUP(H198,Summary!$I$2:$AM$7,6,0))</f>
        <v/>
      </c>
      <c r="I204" s="71" t="str">
        <f ca="1">IFERROR(VLOOKUP(H204,fixed_expenses[],2,0),"")</f>
        <v/>
      </c>
      <c r="J204" s="17" t="str">
        <f ca="1">IF(HLOOKUP(J198,Summary!$I$2:$AM$7,6,0)=0,"",HLOOKUP(J198,Summary!$I$2:$AM$7,6,0))</f>
        <v/>
      </c>
      <c r="K204" s="71" t="str">
        <f ca="1">IFERROR(VLOOKUP(J204,fixed_expenses[],2,0),"")</f>
        <v/>
      </c>
      <c r="L204" s="17" t="str">
        <f ca="1">IF(HLOOKUP(L198,Summary!$I$2:$AM$7,6,0)=0,"",HLOOKUP(L198,Summary!$I$2:$AM$7,6,0))</f>
        <v/>
      </c>
      <c r="M204" s="71" t="str">
        <f ca="1">IFERROR(VLOOKUP(L204,fixed_expenses[],2,0),"")</f>
        <v/>
      </c>
      <c r="N204" s="17" t="str">
        <f ca="1">IF(HLOOKUP(N198,Summary!$I$2:$AM$7,6,0)=0,"",HLOOKUP(N198,Summary!$I$2:$AM$7,6,0))</f>
        <v/>
      </c>
      <c r="O204" s="71" t="str">
        <f ca="1">IFERROR(VLOOKUP(N204,fixed_expenses[],2,0),"")</f>
        <v/>
      </c>
      <c r="P204" s="22"/>
    </row>
    <row r="205" spans="1:16" ht="11.25" customHeight="1" x14ac:dyDescent="0.2">
      <c r="A205" s="43" t="s">
        <v>336</v>
      </c>
      <c r="B205" s="30" t="s">
        <v>8</v>
      </c>
      <c r="C205" s="27">
        <f ca="1">SUM(C200:C204)</f>
        <v>0</v>
      </c>
      <c r="D205" s="26"/>
      <c r="E205" s="27">
        <f ca="1">SUM(E200:E204)</f>
        <v>0</v>
      </c>
      <c r="F205" s="26"/>
      <c r="G205" s="27">
        <f ca="1">SUM(G200:G204)</f>
        <v>0</v>
      </c>
      <c r="H205" s="26"/>
      <c r="I205" s="27">
        <f ca="1">SUM(I200:I204)</f>
        <v>0</v>
      </c>
      <c r="J205" s="26"/>
      <c r="K205" s="27">
        <f ca="1">SUM(K200:K204)</f>
        <v>110</v>
      </c>
      <c r="L205" s="26"/>
      <c r="M205" s="27">
        <f ca="1">SUM(M200:M204)</f>
        <v>232</v>
      </c>
      <c r="N205" s="26"/>
      <c r="O205" s="28">
        <f ca="1">SUM(O200:O204)</f>
        <v>0</v>
      </c>
      <c r="P205" s="29">
        <f ca="1">SUM(C205,E205,G205,I205,K205,M205,O205)</f>
        <v>342</v>
      </c>
    </row>
    <row r="206" spans="1:16" x14ac:dyDescent="0.2">
      <c r="B206" s="6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6"/>
    </row>
    <row r="207" spans="1:16" ht="15" customHeight="1" x14ac:dyDescent="0.2">
      <c r="A207" s="43" t="s">
        <v>242</v>
      </c>
      <c r="B207" s="12">
        <f ca="1">N198+1</f>
        <v>18</v>
      </c>
      <c r="C207" s="13"/>
      <c r="D207" s="12">
        <f ca="1">B207+1</f>
        <v>19</v>
      </c>
      <c r="E207" s="13"/>
      <c r="F207" s="12">
        <f ca="1">D207+1</f>
        <v>20</v>
      </c>
      <c r="G207" s="13"/>
      <c r="H207" s="12">
        <f ca="1">F207+1</f>
        <v>21</v>
      </c>
      <c r="I207" s="13"/>
      <c r="J207" s="12">
        <f ca="1">H207+1</f>
        <v>22</v>
      </c>
      <c r="K207" s="13"/>
      <c r="L207" s="12">
        <f ca="1">J207+1</f>
        <v>23</v>
      </c>
      <c r="M207" s="13"/>
      <c r="N207" s="12">
        <f ca="1">L207+1</f>
        <v>24</v>
      </c>
      <c r="O207" s="13"/>
      <c r="P207" s="24"/>
    </row>
    <row r="208" spans="1:16" ht="11.25" customHeight="1" x14ac:dyDescent="0.2">
      <c r="A208" s="43" t="s">
        <v>168</v>
      </c>
      <c r="B208" s="37" t="s">
        <v>9</v>
      </c>
      <c r="C208" s="39" t="s">
        <v>10</v>
      </c>
      <c r="D208" s="37" t="s">
        <v>9</v>
      </c>
      <c r="E208" s="39" t="s">
        <v>10</v>
      </c>
      <c r="F208" s="37" t="s">
        <v>9</v>
      </c>
      <c r="G208" s="39" t="s">
        <v>10</v>
      </c>
      <c r="H208" s="37" t="s">
        <v>9</v>
      </c>
      <c r="I208" s="39" t="s">
        <v>10</v>
      </c>
      <c r="J208" s="37" t="s">
        <v>9</v>
      </c>
      <c r="K208" s="39" t="s">
        <v>10</v>
      </c>
      <c r="L208" s="37" t="s">
        <v>9</v>
      </c>
      <c r="M208" s="39" t="s">
        <v>10</v>
      </c>
      <c r="N208" s="37" t="s">
        <v>9</v>
      </c>
      <c r="O208" s="40" t="s">
        <v>10</v>
      </c>
      <c r="P208" s="22"/>
    </row>
    <row r="209" spans="1:16" ht="11.25" customHeight="1" x14ac:dyDescent="0.2">
      <c r="A209" s="43" t="s">
        <v>187</v>
      </c>
      <c r="B209" s="17" t="str">
        <f ca="1">IF(HLOOKUP(B207,Summary!$I$2:$AM$7,2,0)=0,"",HLOOKUP(B207,Summary!$I$2:$AM$7,2,0))</f>
        <v/>
      </c>
      <c r="C209" s="71" t="str">
        <f ca="1">IFERROR(VLOOKUP(B209,fixed_expenses[],2,0),"")</f>
        <v/>
      </c>
      <c r="D209" s="17" t="str">
        <f ca="1">IF(HLOOKUP(D207,Summary!$I$2:$AM$7,2,0)=0,"",HLOOKUP(D207,Summary!$I$2:$AM$7,2,0))</f>
        <v/>
      </c>
      <c r="E209" s="71" t="str">
        <f ca="1">IFERROR(VLOOKUP(D209,fixed_expenses[],2,0),"")</f>
        <v/>
      </c>
      <c r="F209" s="17" t="str">
        <f ca="1">IF(HLOOKUP(F207,Summary!$I$2:$AM$7,2,0)=0,"",HLOOKUP(F207,Summary!$I$2:$AM$7,2,0))</f>
        <v>Lynn Phone Bill</v>
      </c>
      <c r="G209" s="71" t="str">
        <f ca="1">IFERROR(VLOOKUP(F209,fixed_expenses[],2,0),"")</f>
        <v/>
      </c>
      <c r="H209" s="17" t="str">
        <f ca="1">IF(HLOOKUP(H207,Summary!$I$2:$AM$7,2,0)=0,"",HLOOKUP(H207,Summary!$I$2:$AM$7,2,0))</f>
        <v/>
      </c>
      <c r="I209" s="71" t="str">
        <f ca="1">IFERROR(VLOOKUP(H209,fixed_expenses[],2,0),"")</f>
        <v/>
      </c>
      <c r="J209" s="17" t="str">
        <f ca="1">IF(HLOOKUP(J207,Summary!$I$2:$AM$7,2,0)=0,"",HLOOKUP(J207,Summary!$I$2:$AM$7,2,0))</f>
        <v/>
      </c>
      <c r="K209" s="71" t="str">
        <f ca="1">IFERROR(VLOOKUP(J209,fixed_expenses[],2,0),"")</f>
        <v/>
      </c>
      <c r="L209" s="17" t="str">
        <f ca="1">IF(HLOOKUP(L207,Summary!$I$2:$AM$7,2,0)=0,"",HLOOKUP(L207,Summary!$I$2:$AM$7,2,0))</f>
        <v/>
      </c>
      <c r="M209" s="71" t="str">
        <f ca="1">IFERROR(VLOOKUP(L209,fixed_expenses[],2,0),"")</f>
        <v/>
      </c>
      <c r="N209" s="17" t="str">
        <f ca="1">IF(HLOOKUP(N207,Summary!$I$2:$AM$7,2,0)=0,"",HLOOKUP(N207,Summary!$I$2:$AM$7,2,0))</f>
        <v/>
      </c>
      <c r="O209" s="71" t="str">
        <f ca="1">IFERROR(VLOOKUP(N209,fixed_expenses[],2,0),"")</f>
        <v/>
      </c>
      <c r="P209" s="22"/>
    </row>
    <row r="210" spans="1:16" ht="11.25" customHeight="1" x14ac:dyDescent="0.2">
      <c r="B210" s="17" t="str">
        <f ca="1">IF(HLOOKUP(B207,Summary!$I$2:$AM$7,3,0)=0,"",HLOOKUP(B207,Summary!$I$2:$AM$7,3,0))</f>
        <v/>
      </c>
      <c r="C210" s="71" t="str">
        <f ca="1">IFERROR(VLOOKUP(B210,fixed_expenses[],2,0),"")</f>
        <v/>
      </c>
      <c r="D210" s="17" t="str">
        <f ca="1">IF(HLOOKUP(D207,Summary!$I$2:$AM$7,3,0)=0,"",HLOOKUP(D207,Summary!$I$2:$AM$7,3,0))</f>
        <v/>
      </c>
      <c r="E210" s="71" t="str">
        <f ca="1">IFERROR(VLOOKUP(D210,fixed_expenses[],2,0),"")</f>
        <v/>
      </c>
      <c r="F210" s="17" t="str">
        <f ca="1">IF(HLOOKUP(F207,Summary!$I$2:$AM$7,3,0)=0,"",HLOOKUP(F207,Summary!$I$2:$AM$7,3,0))</f>
        <v/>
      </c>
      <c r="G210" s="71" t="str">
        <f ca="1">IFERROR(VLOOKUP(F210,fixed_expenses[],2,0),"")</f>
        <v/>
      </c>
      <c r="H210" s="17" t="str">
        <f ca="1">IF(HLOOKUP(H207,Summary!$I$2:$AM$7,3,0)=0,"",HLOOKUP(H207,Summary!$I$2:$AM$7,3,0))</f>
        <v/>
      </c>
      <c r="I210" s="71" t="str">
        <f ca="1">IFERROR(VLOOKUP(H210,fixed_expenses[],2,0),"")</f>
        <v/>
      </c>
      <c r="J210" s="17" t="str">
        <f ca="1">IF(HLOOKUP(J207,Summary!$I$2:$AM$7,3,0)=0,"",HLOOKUP(J207,Summary!$I$2:$AM$7,3,0))</f>
        <v/>
      </c>
      <c r="K210" s="71" t="str">
        <f ca="1">IFERROR(VLOOKUP(J210,fixed_expenses[],2,0),"")</f>
        <v/>
      </c>
      <c r="L210" s="17" t="str">
        <f ca="1">IF(HLOOKUP(L207,Summary!$I$2:$AM$7,3,0)=0,"",HLOOKUP(L207,Summary!$I$2:$AM$7,3,0))</f>
        <v/>
      </c>
      <c r="M210" s="71" t="str">
        <f ca="1">IFERROR(VLOOKUP(L210,fixed_expenses[],2,0),"")</f>
        <v/>
      </c>
      <c r="N210" s="17" t="str">
        <f ca="1">IF(HLOOKUP(N207,Summary!$I$2:$AM$7,3,0)=0,"",HLOOKUP(N207,Summary!$I$2:$AM$7,3,0))</f>
        <v/>
      </c>
      <c r="O210" s="71" t="str">
        <f ca="1">IFERROR(VLOOKUP(N210,fixed_expenses[],2,0),"")</f>
        <v/>
      </c>
      <c r="P210" s="22"/>
    </row>
    <row r="211" spans="1:16" ht="11.25" customHeight="1" x14ac:dyDescent="0.2">
      <c r="B211" s="17" t="str">
        <f ca="1">IF(HLOOKUP(B207,Summary!$I$2:$AM$7,4,0)=0,"",HLOOKUP(B207,Summary!$I$2:$AM$7,4,0))</f>
        <v/>
      </c>
      <c r="C211" s="71" t="str">
        <f ca="1">IFERROR(VLOOKUP(B211,fixed_expenses[],2,0),"")</f>
        <v/>
      </c>
      <c r="D211" s="17" t="str">
        <f ca="1">IF(HLOOKUP(D207,Summary!$I$2:$AM$7,4,0)=0,"",HLOOKUP(D207,Summary!$I$2:$AM$7,4,0))</f>
        <v/>
      </c>
      <c r="E211" s="71" t="str">
        <f ca="1">IFERROR(VLOOKUP(D211,fixed_expenses[],2,0),"")</f>
        <v/>
      </c>
      <c r="F211" s="17" t="str">
        <f ca="1">IF(HLOOKUP(F207,Summary!$I$2:$AM$7,4,0)=0,"",HLOOKUP(F207,Summary!$I$2:$AM$7,4,0))</f>
        <v/>
      </c>
      <c r="G211" s="71" t="str">
        <f ca="1">IFERROR(VLOOKUP(F211,fixed_expenses[],2,0),"")</f>
        <v/>
      </c>
      <c r="H211" s="17" t="str">
        <f ca="1">IF(HLOOKUP(H207,Summary!$I$2:$AM$7,4,0)=0,"",HLOOKUP(H207,Summary!$I$2:$AM$7,4,0))</f>
        <v/>
      </c>
      <c r="I211" s="71" t="str">
        <f ca="1">IFERROR(VLOOKUP(H211,fixed_expenses[],2,0),"")</f>
        <v/>
      </c>
      <c r="J211" s="17" t="str">
        <f ca="1">IF(HLOOKUP(J207,Summary!$I$2:$AM$7,4,0)=0,"",HLOOKUP(J207,Summary!$I$2:$AM$7,4,0))</f>
        <v/>
      </c>
      <c r="K211" s="71" t="str">
        <f ca="1">IFERROR(VLOOKUP(J211,fixed_expenses[],2,0),"")</f>
        <v/>
      </c>
      <c r="L211" s="17" t="str">
        <f ca="1">IF(HLOOKUP(L207,Summary!$I$2:$AM$7,4,0)=0,"",HLOOKUP(L207,Summary!$I$2:$AM$7,4,0))</f>
        <v/>
      </c>
      <c r="M211" s="71" t="str">
        <f ca="1">IFERROR(VLOOKUP(L211,fixed_expenses[],2,0),"")</f>
        <v/>
      </c>
      <c r="N211" s="17" t="str">
        <f ca="1">IF(HLOOKUP(N207,Summary!$I$2:$AM$7,4,0)=0,"",HLOOKUP(N207,Summary!$I$2:$AM$7,4,0))</f>
        <v/>
      </c>
      <c r="O211" s="71" t="str">
        <f ca="1">IFERROR(VLOOKUP(N211,fixed_expenses[],2,0),"")</f>
        <v/>
      </c>
      <c r="P211" s="22"/>
    </row>
    <row r="212" spans="1:16" ht="11.25" customHeight="1" x14ac:dyDescent="0.2">
      <c r="B212" s="17" t="str">
        <f ca="1">IF(HLOOKUP(B207,Summary!$I$2:$AM$7,5,0)=0,"",HLOOKUP(B207,Summary!$I$2:$AM$7,5,0))</f>
        <v/>
      </c>
      <c r="C212" s="71" t="str">
        <f ca="1">IFERROR(VLOOKUP(B212,fixed_expenses[],2,0),"")</f>
        <v/>
      </c>
      <c r="D212" s="17" t="str">
        <f ca="1">IF(HLOOKUP(D207,Summary!$I$2:$AM$7,5,0)=0,"",HLOOKUP(D207,Summary!$I$2:$AM$7,5,0))</f>
        <v/>
      </c>
      <c r="E212" s="71" t="str">
        <f ca="1">IFERROR(VLOOKUP(D212,fixed_expenses[],2,0),"")</f>
        <v/>
      </c>
      <c r="F212" s="17" t="str">
        <f ca="1">IF(HLOOKUP(F207,Summary!$I$2:$AM$7,5,0)=0,"",HLOOKUP(F207,Summary!$I$2:$AM$7,5,0))</f>
        <v/>
      </c>
      <c r="G212" s="71" t="str">
        <f ca="1">IFERROR(VLOOKUP(F212,fixed_expenses[],2,0),"")</f>
        <v/>
      </c>
      <c r="H212" s="17" t="str">
        <f ca="1">IF(HLOOKUP(H207,Summary!$I$2:$AM$7,5,0)=0,"",HLOOKUP(H207,Summary!$I$2:$AM$7,5,0))</f>
        <v/>
      </c>
      <c r="I212" s="71" t="str">
        <f ca="1">IFERROR(VLOOKUP(H212,fixed_expenses[],2,0),"")</f>
        <v/>
      </c>
      <c r="J212" s="17" t="str">
        <f ca="1">IF(HLOOKUP(J207,Summary!$I$2:$AM$7,5,0)=0,"",HLOOKUP(J207,Summary!$I$2:$AM$7,5,0))</f>
        <v/>
      </c>
      <c r="K212" s="71" t="str">
        <f ca="1">IFERROR(VLOOKUP(J212,fixed_expenses[],2,0),"")</f>
        <v/>
      </c>
      <c r="L212" s="17" t="str">
        <f ca="1">IF(HLOOKUP(L207,Summary!$I$2:$AM$7,5,0)=0,"",HLOOKUP(L207,Summary!$I$2:$AM$7,5,0))</f>
        <v/>
      </c>
      <c r="M212" s="71" t="str">
        <f ca="1">IFERROR(VLOOKUP(L212,fixed_expenses[],2,0),"")</f>
        <v/>
      </c>
      <c r="N212" s="17" t="str">
        <f ca="1">IF(HLOOKUP(N207,Summary!$I$2:$AM$7,5,0)=0,"",HLOOKUP(N207,Summary!$I$2:$AM$7,5,0))</f>
        <v/>
      </c>
      <c r="O212" s="71" t="str">
        <f ca="1">IFERROR(VLOOKUP(N212,fixed_expenses[],2,0),"")</f>
        <v/>
      </c>
      <c r="P212" s="22"/>
    </row>
    <row r="213" spans="1:16" ht="11.25" customHeight="1" x14ac:dyDescent="0.2">
      <c r="B213" s="17" t="str">
        <f ca="1">IF(HLOOKUP(B207,Summary!$I$2:$AM$7,6,0)=0,"",HLOOKUP(B207,Summary!$I$2:$AM$7,6,0))</f>
        <v/>
      </c>
      <c r="C213" s="71" t="str">
        <f ca="1">IFERROR(VLOOKUP(B213,fixed_expenses[],2,0),"")</f>
        <v/>
      </c>
      <c r="D213" s="17" t="str">
        <f ca="1">IF(HLOOKUP(D207,Summary!$I$2:$AM$7,6,0)=0,"",HLOOKUP(D207,Summary!$I$2:$AM$7,6,0))</f>
        <v/>
      </c>
      <c r="E213" s="71" t="str">
        <f ca="1">IFERROR(VLOOKUP(D213,fixed_expenses[],2,0),"")</f>
        <v/>
      </c>
      <c r="F213" s="17" t="str">
        <f ca="1">IF(HLOOKUP(F207,Summary!$I$2:$AM$7,6,0)=0,"",HLOOKUP(F207,Summary!$I$2:$AM$7,6,0))</f>
        <v/>
      </c>
      <c r="G213" s="71" t="str">
        <f ca="1">IFERROR(VLOOKUP(F213,fixed_expenses[],2,0),"")</f>
        <v/>
      </c>
      <c r="H213" s="17" t="str">
        <f ca="1">IF(HLOOKUP(H207,Summary!$I$2:$AM$7,6,0)=0,"",HLOOKUP(H207,Summary!$I$2:$AM$7,6,0))</f>
        <v/>
      </c>
      <c r="I213" s="71" t="str">
        <f ca="1">IFERROR(VLOOKUP(H213,fixed_expenses[],2,0),"")</f>
        <v/>
      </c>
      <c r="J213" s="17" t="str">
        <f ca="1">IF(HLOOKUP(J207,Summary!$I$2:$AM$7,6,0)=0,"",HLOOKUP(J207,Summary!$I$2:$AM$7,6,0))</f>
        <v/>
      </c>
      <c r="K213" s="71" t="str">
        <f ca="1">IFERROR(VLOOKUP(J213,fixed_expenses[],2,0),"")</f>
        <v/>
      </c>
      <c r="L213" s="17" t="str">
        <f ca="1">IF(HLOOKUP(L207,Summary!$I$2:$AM$7,6,0)=0,"",HLOOKUP(L207,Summary!$I$2:$AM$7,6,0))</f>
        <v/>
      </c>
      <c r="M213" s="71" t="str">
        <f ca="1">IFERROR(VLOOKUP(L213,fixed_expenses[],2,0),"")</f>
        <v/>
      </c>
      <c r="N213" s="17" t="str">
        <f ca="1">IF(HLOOKUP(N207,Summary!$I$2:$AM$7,6,0)=0,"",HLOOKUP(N207,Summary!$I$2:$AM$7,6,0))</f>
        <v/>
      </c>
      <c r="O213" s="71" t="str">
        <f ca="1">IFERROR(VLOOKUP(N213,fixed_expenses[],2,0),"")</f>
        <v/>
      </c>
      <c r="P213" s="22"/>
    </row>
    <row r="214" spans="1:16" ht="11.25" customHeight="1" x14ac:dyDescent="0.2">
      <c r="A214" s="43" t="s">
        <v>335</v>
      </c>
      <c r="B214" s="26" t="s">
        <v>8</v>
      </c>
      <c r="C214" s="27">
        <f ca="1">SUM(C209:C213)</f>
        <v>0</v>
      </c>
      <c r="D214" s="26"/>
      <c r="E214" s="27">
        <f ca="1">SUM(E209:E213)</f>
        <v>0</v>
      </c>
      <c r="F214" s="26"/>
      <c r="G214" s="27">
        <f ca="1">SUM(G209:G213)</f>
        <v>0</v>
      </c>
      <c r="H214" s="26"/>
      <c r="I214" s="27">
        <f ca="1">SUM(I209:I213)</f>
        <v>0</v>
      </c>
      <c r="J214" s="26"/>
      <c r="K214" s="27">
        <f ca="1">SUM(K209:K213)</f>
        <v>0</v>
      </c>
      <c r="L214" s="26"/>
      <c r="M214" s="27">
        <f ca="1">SUM(M209:M213)</f>
        <v>0</v>
      </c>
      <c r="N214" s="26"/>
      <c r="O214" s="28">
        <f ca="1">SUM(O209:O213)</f>
        <v>0</v>
      </c>
      <c r="P214" s="29">
        <f ca="1">SUM(C214,E214,G214,I214,K214,M214,O214)</f>
        <v>0</v>
      </c>
    </row>
    <row r="215" spans="1:16" x14ac:dyDescent="0.2">
      <c r="B215" s="6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6"/>
    </row>
    <row r="216" spans="1:16" ht="15" customHeight="1" x14ac:dyDescent="0.2">
      <c r="A216" s="43" t="s">
        <v>243</v>
      </c>
      <c r="B216" s="12">
        <f ca="1">DAY(IF(DAY(AprSun1)=1,AprSun1+22,AprSun1+29))</f>
        <v>25</v>
      </c>
      <c r="C216" s="13"/>
      <c r="D216" s="12">
        <f ca="1">DAY(IF(DAY(AprSun1)=1,AprSun1+23,AprSun1+30))</f>
        <v>26</v>
      </c>
      <c r="E216" s="13"/>
      <c r="F216" s="12">
        <f ca="1">DAY(IF(DAY(AprSun1)=1,AprSun1+24,AprSun1+31))</f>
        <v>27</v>
      </c>
      <c r="G216" s="13"/>
      <c r="H216" s="12">
        <f ca="1">DAY(IF(DAY(AprSun1)=1,AprSun1+25,AprSun1+32))</f>
        <v>28</v>
      </c>
      <c r="I216" s="13"/>
      <c r="J216" s="12">
        <f ca="1">DAY(IF(DAY(AprSun1)=1,AprSun1+26,AprSun1+33))</f>
        <v>29</v>
      </c>
      <c r="K216" s="13"/>
      <c r="L216" s="12">
        <f ca="1">DAY(IF(DAY(AprSun1)=1,AprSun1+27,AprSun1+34))</f>
        <v>30</v>
      </c>
      <c r="M216" s="13"/>
      <c r="N216" s="12">
        <f ca="1">DAY(IF(DAY(AprSun1)=1,AprSun1+28,AprSun1+35))</f>
        <v>1</v>
      </c>
      <c r="O216" s="13"/>
      <c r="P216" s="25"/>
    </row>
    <row r="217" spans="1:16" ht="11.25" customHeight="1" x14ac:dyDescent="0.2">
      <c r="A217" s="43" t="s">
        <v>167</v>
      </c>
      <c r="B217" s="37" t="s">
        <v>9</v>
      </c>
      <c r="C217" s="39" t="s">
        <v>10</v>
      </c>
      <c r="D217" s="37" t="s">
        <v>9</v>
      </c>
      <c r="E217" s="39" t="s">
        <v>10</v>
      </c>
      <c r="F217" s="37" t="s">
        <v>9</v>
      </c>
      <c r="G217" s="39" t="s">
        <v>10</v>
      </c>
      <c r="H217" s="37" t="s">
        <v>9</v>
      </c>
      <c r="I217" s="39" t="s">
        <v>10</v>
      </c>
      <c r="J217" s="37" t="s">
        <v>9</v>
      </c>
      <c r="K217" s="39" t="s">
        <v>10</v>
      </c>
      <c r="L217" s="37" t="s">
        <v>9</v>
      </c>
      <c r="M217" s="39" t="s">
        <v>10</v>
      </c>
      <c r="N217" s="37" t="s">
        <v>9</v>
      </c>
      <c r="O217" s="40" t="s">
        <v>10</v>
      </c>
      <c r="P217" s="22"/>
    </row>
    <row r="218" spans="1:16" ht="11.25" customHeight="1" x14ac:dyDescent="0.2">
      <c r="A218" s="43" t="s">
        <v>351</v>
      </c>
      <c r="B218" s="17" t="str">
        <f ca="1">IF(HLOOKUP(B216,Summary!$I$2:$AM$7,2,0)=0,"",HLOOKUP(B216,Summary!$I$2:$AM$7,2,0))</f>
        <v/>
      </c>
      <c r="C218" s="71" t="str">
        <f ca="1">IFERROR(VLOOKUP(B218,fixed_expenses[],2,0),"")</f>
        <v/>
      </c>
      <c r="D218" s="17" t="str">
        <f ca="1">IF(HLOOKUP(D216,Summary!$I$2:$AM$7,2,0)=0,"",HLOOKUP(D216,Summary!$I$2:$AM$7,2,0))</f>
        <v/>
      </c>
      <c r="E218" s="71" t="str">
        <f ca="1">IFERROR(VLOOKUP(D218,fixed_expenses[],2,0),"")</f>
        <v/>
      </c>
      <c r="F218" s="17" t="str">
        <f ca="1">IF(HLOOKUP(F216,Summary!$I$2:$AM$7,2,0)=0,"",HLOOKUP(F216,Summary!$I$2:$AM$7,2,0))</f>
        <v/>
      </c>
      <c r="G218" s="71" t="str">
        <f ca="1">IFERROR(VLOOKUP(F218,fixed_expenses[],2,0),"")</f>
        <v/>
      </c>
      <c r="H218" s="17" t="str">
        <f ca="1">IF(HLOOKUP(H216,Summary!$I$2:$AM$7,2,0)=0,"",HLOOKUP(H216,Summary!$I$2:$AM$7,2,0))</f>
        <v/>
      </c>
      <c r="I218" s="71" t="str">
        <f ca="1">IFERROR(VLOOKUP(H218,fixed_expenses[],2,0),"")</f>
        <v/>
      </c>
      <c r="J218" s="17" t="str">
        <f ca="1">IF(HLOOKUP(J216,Summary!$I$2:$AM$7,2,0)=0,"",HLOOKUP(J216,Summary!$I$2:$AM$7,2,0))</f>
        <v/>
      </c>
      <c r="K218" s="71" t="str">
        <f ca="1">IFERROR(VLOOKUP(J218,fixed_expenses[],2,0),"")</f>
        <v/>
      </c>
      <c r="L218" s="17" t="s">
        <v>384</v>
      </c>
      <c r="M218" s="71">
        <f>IFERROR(VLOOKUP(L218,fixed_expenses[],2,0),"")</f>
        <v>232</v>
      </c>
      <c r="N218" s="17" t="str">
        <f ca="1">IF(HLOOKUP(N216,Summary!$I$2:$AM$7,2,0)=0,"",HLOOKUP(N216,Summary!$I$2:$AM$7,2,0))</f>
        <v/>
      </c>
      <c r="O218" s="71" t="str">
        <f ca="1">IFERROR(VLOOKUP(N218,fixed_expenses[],2,0),"")</f>
        <v/>
      </c>
      <c r="P218" s="22"/>
    </row>
    <row r="219" spans="1:16" ht="11.25" customHeight="1" x14ac:dyDescent="0.2">
      <c r="B219" s="17" t="str">
        <f ca="1">IF(HLOOKUP(B216,Summary!$I$2:$AM$7,3,0)=0,"",HLOOKUP(B216,Summary!$I$2:$AM$7,3,0))</f>
        <v/>
      </c>
      <c r="C219" s="71" t="str">
        <f ca="1">IFERROR(VLOOKUP(B219,fixed_expenses[],2,0),"")</f>
        <v/>
      </c>
      <c r="D219" s="17" t="str">
        <f ca="1">IF(HLOOKUP(D216,Summary!$I$2:$AM$7,3,0)=0,"",HLOOKUP(D216,Summary!$I$2:$AM$7,3,0))</f>
        <v/>
      </c>
      <c r="E219" s="71" t="str">
        <f ca="1">IFERROR(VLOOKUP(D219,fixed_expenses[],2,0),"")</f>
        <v/>
      </c>
      <c r="F219" s="17" t="str">
        <f ca="1">IF(HLOOKUP(F216,Summary!$I$2:$AM$7,3,0)=0,"",HLOOKUP(F216,Summary!$I$2:$AM$7,3,0))</f>
        <v/>
      </c>
      <c r="G219" s="71" t="str">
        <f ca="1">IFERROR(VLOOKUP(F219,fixed_expenses[],2,0),"")</f>
        <v/>
      </c>
      <c r="H219" s="17" t="str">
        <f ca="1">IF(HLOOKUP(H216,Summary!$I$2:$AM$7,3,0)=0,"",HLOOKUP(H216,Summary!$I$2:$AM$7,3,0))</f>
        <v/>
      </c>
      <c r="I219" s="71" t="str">
        <f ca="1">IFERROR(VLOOKUP(H219,fixed_expenses[],2,0),"")</f>
        <v/>
      </c>
      <c r="J219" s="17" t="str">
        <f ca="1">IF(HLOOKUP(J216,Summary!$I$2:$AM$7,3,0)=0,"",HLOOKUP(J216,Summary!$I$2:$AM$7,3,0))</f>
        <v/>
      </c>
      <c r="K219" s="71" t="str">
        <f ca="1">IFERROR(VLOOKUP(J219,fixed_expenses[],2,0),"")</f>
        <v/>
      </c>
      <c r="L219" s="17" t="str">
        <f ca="1">IF(HLOOKUP(L216,Summary!$I$2:$AM$7,3,0)=0,"",HLOOKUP(L216,Summary!$I$2:$AM$7,3,0))</f>
        <v/>
      </c>
      <c r="M219" s="71" t="str">
        <f ca="1">IFERROR(VLOOKUP(L219,fixed_expenses[],2,0),"")</f>
        <v/>
      </c>
      <c r="N219" s="17" t="str">
        <f ca="1">IF(HLOOKUP(N216,Summary!$I$2:$AM$7,3,0)=0,"",HLOOKUP(N216,Summary!$I$2:$AM$7,3,0))</f>
        <v/>
      </c>
      <c r="O219" s="71" t="str">
        <f ca="1">IFERROR(VLOOKUP(N219,fixed_expenses[],2,0),"")</f>
        <v/>
      </c>
      <c r="P219" s="22"/>
    </row>
    <row r="220" spans="1:16" ht="11.25" customHeight="1" x14ac:dyDescent="0.2">
      <c r="B220" s="17" t="str">
        <f ca="1">IF(HLOOKUP(B216,Summary!$I$2:$AM$7,4,0)=0,"",HLOOKUP(B216,Summary!$I$2:$AM$7,4,0))</f>
        <v/>
      </c>
      <c r="C220" s="71" t="str">
        <f ca="1">IFERROR(VLOOKUP(B220,fixed_expenses[],2,0),"")</f>
        <v/>
      </c>
      <c r="D220" s="17" t="str">
        <f ca="1">IF(HLOOKUP(D216,Summary!$I$2:$AM$7,4,0)=0,"",HLOOKUP(D216,Summary!$I$2:$AM$7,4,0))</f>
        <v/>
      </c>
      <c r="E220" s="71" t="str">
        <f ca="1">IFERROR(VLOOKUP(D220,fixed_expenses[],2,0),"")</f>
        <v/>
      </c>
      <c r="F220" s="17" t="str">
        <f ca="1">IF(HLOOKUP(F216,Summary!$I$2:$AM$7,4,0)=0,"",HLOOKUP(F216,Summary!$I$2:$AM$7,4,0))</f>
        <v/>
      </c>
      <c r="G220" s="71" t="str">
        <f ca="1">IFERROR(VLOOKUP(F220,fixed_expenses[],2,0),"")</f>
        <v/>
      </c>
      <c r="H220" s="17" t="str">
        <f ca="1">IF(HLOOKUP(H216,Summary!$I$2:$AM$7,4,0)=0,"",HLOOKUP(H216,Summary!$I$2:$AM$7,4,0))</f>
        <v/>
      </c>
      <c r="I220" s="71" t="str">
        <f ca="1">IFERROR(VLOOKUP(H220,fixed_expenses[],2,0),"")</f>
        <v/>
      </c>
      <c r="J220" s="17" t="str">
        <f ca="1">IF(HLOOKUP(J216,Summary!$I$2:$AM$7,4,0)=0,"",HLOOKUP(J216,Summary!$I$2:$AM$7,4,0))</f>
        <v/>
      </c>
      <c r="K220" s="71" t="str">
        <f ca="1">IFERROR(VLOOKUP(J220,fixed_expenses[],2,0),"")</f>
        <v/>
      </c>
      <c r="L220" s="17" t="str">
        <f ca="1">IF(HLOOKUP(L216,Summary!$I$2:$AM$7,4,0)=0,"",HLOOKUP(L216,Summary!$I$2:$AM$7,4,0))</f>
        <v/>
      </c>
      <c r="M220" s="71" t="str">
        <f ca="1">IFERROR(VLOOKUP(L220,fixed_expenses[],2,0),"")</f>
        <v/>
      </c>
      <c r="N220" s="17" t="str">
        <f ca="1">IF(HLOOKUP(N216,Summary!$I$2:$AM$7,4,0)=0,"",HLOOKUP(N216,Summary!$I$2:$AM$7,4,0))</f>
        <v/>
      </c>
      <c r="O220" s="71" t="str">
        <f ca="1">IFERROR(VLOOKUP(N220,fixed_expenses[],2,0),"")</f>
        <v/>
      </c>
      <c r="P220" s="22"/>
    </row>
    <row r="221" spans="1:16" ht="11.25" customHeight="1" x14ac:dyDescent="0.2">
      <c r="B221" s="17" t="str">
        <f ca="1">IF(HLOOKUP(B216,Summary!$I$2:$AM$7,5,0)=0,"",HLOOKUP(B216,Summary!$I$2:$AM$7,5,0))</f>
        <v/>
      </c>
      <c r="C221" s="71" t="str">
        <f ca="1">IFERROR(VLOOKUP(B221,fixed_expenses[],2,0),"")</f>
        <v/>
      </c>
      <c r="D221" s="17" t="str">
        <f ca="1">IF(HLOOKUP(D216,Summary!$I$2:$AM$7,5,0)=0,"",HLOOKUP(D216,Summary!$I$2:$AM$7,5,0))</f>
        <v/>
      </c>
      <c r="E221" s="71" t="str">
        <f ca="1">IFERROR(VLOOKUP(D221,fixed_expenses[],2,0),"")</f>
        <v/>
      </c>
      <c r="F221" s="17" t="str">
        <f ca="1">IF(HLOOKUP(F216,Summary!$I$2:$AM$7,5,0)=0,"",HLOOKUP(F216,Summary!$I$2:$AM$7,5,0))</f>
        <v/>
      </c>
      <c r="G221" s="71" t="str">
        <f ca="1">IFERROR(VLOOKUP(F221,fixed_expenses[],2,0),"")</f>
        <v/>
      </c>
      <c r="H221" s="17" t="str">
        <f ca="1">IF(HLOOKUP(H216,Summary!$I$2:$AM$7,5,0)=0,"",HLOOKUP(H216,Summary!$I$2:$AM$7,5,0))</f>
        <v/>
      </c>
      <c r="I221" s="71" t="str">
        <f ca="1">IFERROR(VLOOKUP(H221,fixed_expenses[],2,0),"")</f>
        <v/>
      </c>
      <c r="J221" s="17" t="str">
        <f ca="1">IF(HLOOKUP(J216,Summary!$I$2:$AM$7,5,0)=0,"",HLOOKUP(J216,Summary!$I$2:$AM$7,5,0))</f>
        <v/>
      </c>
      <c r="K221" s="71" t="str">
        <f ca="1">IFERROR(VLOOKUP(J221,fixed_expenses[],2,0),"")</f>
        <v/>
      </c>
      <c r="L221" s="17" t="str">
        <f ca="1">IF(HLOOKUP(L216,Summary!$I$2:$AM$7,5,0)=0,"",HLOOKUP(L216,Summary!$I$2:$AM$7,5,0))</f>
        <v/>
      </c>
      <c r="M221" s="71" t="str">
        <f ca="1">IFERROR(VLOOKUP(L221,fixed_expenses[],2,0),"")</f>
        <v/>
      </c>
      <c r="N221" s="17" t="str">
        <f ca="1">IF(HLOOKUP(N216,Summary!$I$2:$AM$7,5,0)=0,"",HLOOKUP(N216,Summary!$I$2:$AM$7,5,0))</f>
        <v/>
      </c>
      <c r="O221" s="71" t="str">
        <f ca="1">IFERROR(VLOOKUP(N221,fixed_expenses[],2,0),"")</f>
        <v/>
      </c>
      <c r="P221" s="22"/>
    </row>
    <row r="222" spans="1:16" ht="11.25" customHeight="1" x14ac:dyDescent="0.2">
      <c r="B222" s="17" t="str">
        <f ca="1">IF(HLOOKUP(B216,Summary!$I$2:$AM$7,6,0)=0,"",HLOOKUP(B216,Summary!$I$2:$AM$7,6,0))</f>
        <v/>
      </c>
      <c r="C222" s="71" t="str">
        <f ca="1">IFERROR(VLOOKUP(B222,fixed_expenses[],2,0),"")</f>
        <v/>
      </c>
      <c r="D222" s="17" t="str">
        <f ca="1">IF(HLOOKUP(D216,Summary!$I$2:$AM$7,6,0)=0,"",HLOOKUP(D216,Summary!$I$2:$AM$7,6,0))</f>
        <v/>
      </c>
      <c r="E222" s="71" t="str">
        <f ca="1">IFERROR(VLOOKUP(D222,fixed_expenses[],2,0),"")</f>
        <v/>
      </c>
      <c r="F222" s="17" t="str">
        <f ca="1">IF(HLOOKUP(F216,Summary!$I$2:$AM$7,6,0)=0,"",HLOOKUP(F216,Summary!$I$2:$AM$7,6,0))</f>
        <v/>
      </c>
      <c r="G222" s="71" t="str">
        <f ca="1">IFERROR(VLOOKUP(F222,fixed_expenses[],2,0),"")</f>
        <v/>
      </c>
      <c r="H222" s="17" t="str">
        <f ca="1">IF(HLOOKUP(H216,Summary!$I$2:$AM$7,6,0)=0,"",HLOOKUP(H216,Summary!$I$2:$AM$7,6,0))</f>
        <v/>
      </c>
      <c r="I222" s="71" t="str">
        <f ca="1">IFERROR(VLOOKUP(H222,fixed_expenses[],2,0),"")</f>
        <v/>
      </c>
      <c r="J222" s="17" t="str">
        <f ca="1">IF(HLOOKUP(J216,Summary!$I$2:$AM$7,6,0)=0,"",HLOOKUP(J216,Summary!$I$2:$AM$7,6,0))</f>
        <v/>
      </c>
      <c r="K222" s="71" t="str">
        <f ca="1">IFERROR(VLOOKUP(J222,fixed_expenses[],2,0),"")</f>
        <v/>
      </c>
      <c r="L222" s="17" t="str">
        <f ca="1">IF(HLOOKUP(L216,Summary!$I$2:$AM$7,6,0)=0,"",HLOOKUP(L216,Summary!$I$2:$AM$7,6,0))</f>
        <v/>
      </c>
      <c r="M222" s="71" t="str">
        <f ca="1">IFERROR(VLOOKUP(L222,fixed_expenses[],2,0),"")</f>
        <v/>
      </c>
      <c r="N222" s="17" t="str">
        <f ca="1">IF(HLOOKUP(N216,Summary!$I$2:$AM$7,6,0)=0,"",HLOOKUP(N216,Summary!$I$2:$AM$7,6,0))</f>
        <v/>
      </c>
      <c r="O222" s="71" t="str">
        <f ca="1">IFERROR(VLOOKUP(N222,fixed_expenses[],2,0),"")</f>
        <v/>
      </c>
      <c r="P222" s="22"/>
    </row>
    <row r="223" spans="1:16" ht="11.25" customHeight="1" x14ac:dyDescent="0.2">
      <c r="A223" s="43" t="s">
        <v>334</v>
      </c>
      <c r="B223" s="26" t="s">
        <v>8</v>
      </c>
      <c r="C223" s="27">
        <f ca="1">SUM(C218:C222)</f>
        <v>0</v>
      </c>
      <c r="D223" s="26"/>
      <c r="E223" s="27">
        <f ca="1">SUM(E218:E222)</f>
        <v>0</v>
      </c>
      <c r="F223" s="18"/>
      <c r="G223" s="27">
        <f ca="1">SUM(G218:G222)</f>
        <v>0</v>
      </c>
      <c r="H223" s="18"/>
      <c r="I223" s="27">
        <f ca="1">SUM(I218:I222)</f>
        <v>0</v>
      </c>
      <c r="J223" s="18"/>
      <c r="K223" s="27">
        <f ca="1">SUM(K218:K222)</f>
        <v>0</v>
      </c>
      <c r="L223" s="18"/>
      <c r="M223" s="27">
        <f ca="1">SUM(M218:M222)</f>
        <v>232</v>
      </c>
      <c r="N223" s="18"/>
      <c r="O223" s="28">
        <f ca="1">SUM(O218:O222)</f>
        <v>0</v>
      </c>
      <c r="P223" s="29">
        <f ca="1">SUMIF(B216:N216,"&gt;="&amp;15,C223:O223)</f>
        <v>232</v>
      </c>
    </row>
    <row r="224" spans="1:16" x14ac:dyDescent="0.2">
      <c r="B224" s="6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6"/>
    </row>
    <row r="225" spans="1:16" ht="15" customHeight="1" x14ac:dyDescent="0.2">
      <c r="A225" s="43" t="s">
        <v>244</v>
      </c>
      <c r="B225" s="12">
        <f ca="1">DAY(IF(DAY(AprSun1)=1,AprSun1+29,AprSun1+36))</f>
        <v>2</v>
      </c>
      <c r="C225" s="11"/>
      <c r="D225" s="12">
        <f ca="1">DAY(IF(DAY(AprSun1)=1,AprSun1+30,AprSun1+37))</f>
        <v>3</v>
      </c>
      <c r="E225" s="13"/>
      <c r="F225" s="10">
        <f ca="1">DAY(IF(DAY(AprSun1)=1,AprSun1+31,AprSun1+38))</f>
        <v>4</v>
      </c>
      <c r="G225" s="13"/>
      <c r="H225" s="12">
        <f ca="1">DAY(IF(DAY(AprSun1)=1,AprSun1+32,AprSun1+39))</f>
        <v>5</v>
      </c>
      <c r="I225" s="13"/>
      <c r="J225" s="12">
        <f ca="1">DAY(IF(DAY(AprSun1)=1,AprSun1+33,AprSun1+40))</f>
        <v>6</v>
      </c>
      <c r="K225" s="13"/>
      <c r="L225" s="12">
        <f ca="1">DAY(IF(DAY(AprSun1)=1,AprSun1+34,AprSun1+41))</f>
        <v>7</v>
      </c>
      <c r="M225" s="13"/>
      <c r="N225" s="12">
        <f ca="1">DAY(IF(DAY(AprSun1)=1,AprSun1+35,AprSun1+42))</f>
        <v>8</v>
      </c>
      <c r="O225" s="13"/>
      <c r="P225" s="25"/>
    </row>
    <row r="226" spans="1:16" ht="11.25" customHeight="1" x14ac:dyDescent="0.2">
      <c r="A226" s="43" t="s">
        <v>166</v>
      </c>
      <c r="B226" s="37" t="s">
        <v>9</v>
      </c>
      <c r="C226" s="39" t="s">
        <v>10</v>
      </c>
      <c r="D226" s="37" t="s">
        <v>9</v>
      </c>
      <c r="E226" s="39" t="s">
        <v>10</v>
      </c>
      <c r="F226" s="37" t="s">
        <v>9</v>
      </c>
      <c r="G226" s="39" t="s">
        <v>10</v>
      </c>
      <c r="H226" s="37" t="s">
        <v>9</v>
      </c>
      <c r="I226" s="39" t="s">
        <v>10</v>
      </c>
      <c r="J226" s="37" t="s">
        <v>9</v>
      </c>
      <c r="K226" s="39" t="s">
        <v>10</v>
      </c>
      <c r="L226" s="37" t="s">
        <v>9</v>
      </c>
      <c r="M226" s="39" t="s">
        <v>10</v>
      </c>
      <c r="N226" s="37" t="s">
        <v>9</v>
      </c>
      <c r="O226" s="40" t="s">
        <v>10</v>
      </c>
      <c r="P226" s="22"/>
    </row>
    <row r="227" spans="1:16" ht="11.25" customHeight="1" x14ac:dyDescent="0.2">
      <c r="A227" s="43" t="s">
        <v>188</v>
      </c>
      <c r="B227" s="17" t="str">
        <f ca="1">IF(HLOOKUP(B225,Summary!$I$2:$AM$7,2,0)=0,"",HLOOKUP(B225,Summary!$I$2:$AM$7,2,0))</f>
        <v/>
      </c>
      <c r="C227" s="71" t="str">
        <f ca="1">IFERROR(VLOOKUP(B227,fixed_expenses[],2,0),"")</f>
        <v/>
      </c>
      <c r="D227" s="17" t="str">
        <f ca="1">IF(HLOOKUP(D225,Summary!$I$2:$AM$7,2,0)=0,"",HLOOKUP(D225,Summary!$I$2:$AM$7,2,0))</f>
        <v>Rent</v>
      </c>
      <c r="E227" s="71">
        <f ca="1">IFERROR(VLOOKUP(D227,fixed_expenses[],2,0),"")</f>
        <v>1200</v>
      </c>
      <c r="F227" s="17" t="str">
        <f ca="1">IF(HLOOKUP(F225,Summary!$I$2:$AM$7,2,0)=0,"",HLOOKUP(F225,Summary!$I$2:$AM$7,2,0))</f>
        <v/>
      </c>
      <c r="G227" s="71" t="str">
        <f ca="1">IFERROR(VLOOKUP(F227,fixed_expenses[],2,0),"")</f>
        <v/>
      </c>
      <c r="H227" s="17" t="str">
        <f ca="1">IF(HLOOKUP(H225,Summary!$I$2:$AM$7,2,0)=0,"",HLOOKUP(H225,Summary!$I$2:$AM$7,2,0))</f>
        <v/>
      </c>
      <c r="I227" s="71" t="str">
        <f ca="1">IFERROR(VLOOKUP(H227,fixed_expenses[],2,0),"")</f>
        <v/>
      </c>
      <c r="J227" s="17" t="str">
        <f ca="1">IF(HLOOKUP(J225,Summary!$I$2:$AM$7,2,0)=0,"",HLOOKUP(J225,Summary!$I$2:$AM$7,2,0))</f>
        <v/>
      </c>
      <c r="K227" s="71" t="str">
        <f ca="1">IFERROR(VLOOKUP(J227,fixed_expenses[],2,0),"")</f>
        <v/>
      </c>
      <c r="L227" s="17" t="str">
        <f ca="1">IF(HLOOKUP(L225,Summary!$I$2:$AM$7,2,0)=0,"",HLOOKUP(L225,Summary!$I$2:$AM$7,2,0))</f>
        <v/>
      </c>
      <c r="M227" s="71" t="str">
        <f ca="1">IFERROR(VLOOKUP(L227,fixed_expenses[],2,0),"")</f>
        <v/>
      </c>
      <c r="N227" s="17" t="str">
        <f ca="1">IF(HLOOKUP(N225,Summary!$I$2:$AM$7,2,0)=0,"",HLOOKUP(N225,Summary!$I$2:$AM$7,2,0))</f>
        <v/>
      </c>
      <c r="O227" s="71" t="str">
        <f ca="1">IFERROR(VLOOKUP(N227,fixed_expenses[],2,0),"")</f>
        <v/>
      </c>
      <c r="P227" s="22"/>
    </row>
    <row r="228" spans="1:16" ht="11.25" customHeight="1" x14ac:dyDescent="0.2">
      <c r="B228" s="17" t="str">
        <f ca="1">IF(HLOOKUP(B225,Summary!$I$2:$AM$7,3,0)=0,"",HLOOKUP(B225,Summary!$I$2:$AM$7,3,0))</f>
        <v/>
      </c>
      <c r="C228" s="71" t="str">
        <f ca="1">IFERROR(VLOOKUP(B228,fixed_expenses[],2,0),"")</f>
        <v/>
      </c>
      <c r="D228" s="17" t="str">
        <f ca="1">IF(HLOOKUP(D225,Summary!$I$2:$AM$7,3,0)=0,"",HLOOKUP(D225,Summary!$I$2:$AM$7,3,0))</f>
        <v/>
      </c>
      <c r="E228" s="71" t="str">
        <f ca="1">IFERROR(VLOOKUP(D228,fixed_expenses[],2,0),"")</f>
        <v/>
      </c>
      <c r="F228" s="17" t="str">
        <f ca="1">IF(HLOOKUP(F225,Summary!$I$2:$AM$7,3,0)=0,"",HLOOKUP(F225,Summary!$I$2:$AM$7,3,0))</f>
        <v/>
      </c>
      <c r="G228" s="71" t="str">
        <f ca="1">IFERROR(VLOOKUP(F228,fixed_expenses[],2,0),"")</f>
        <v/>
      </c>
      <c r="H228" s="17" t="str">
        <f ca="1">IF(HLOOKUP(H225,Summary!$I$2:$AM$7,3,0)=0,"",HLOOKUP(H225,Summary!$I$2:$AM$7,3,0))</f>
        <v/>
      </c>
      <c r="I228" s="71" t="str">
        <f ca="1">IFERROR(VLOOKUP(H228,fixed_expenses[],2,0),"")</f>
        <v/>
      </c>
      <c r="J228" s="17" t="str">
        <f ca="1">IF(HLOOKUP(J225,Summary!$I$2:$AM$7,3,0)=0,"",HLOOKUP(J225,Summary!$I$2:$AM$7,3,0))</f>
        <v/>
      </c>
      <c r="K228" s="71" t="str">
        <f ca="1">IFERROR(VLOOKUP(J228,fixed_expenses[],2,0),"")</f>
        <v/>
      </c>
      <c r="L228" s="17" t="str">
        <f ca="1">IF(HLOOKUP(L225,Summary!$I$2:$AM$7,3,0)=0,"",HLOOKUP(L225,Summary!$I$2:$AM$7,3,0))</f>
        <v/>
      </c>
      <c r="M228" s="71" t="str">
        <f ca="1">IFERROR(VLOOKUP(L228,fixed_expenses[],2,0),"")</f>
        <v/>
      </c>
      <c r="N228" s="17" t="str">
        <f ca="1">IF(HLOOKUP(N225,Summary!$I$2:$AM$7,3,0)=0,"",HLOOKUP(N225,Summary!$I$2:$AM$7,3,0))</f>
        <v/>
      </c>
      <c r="O228" s="71" t="str">
        <f ca="1">IFERROR(VLOOKUP(N228,fixed_expenses[],2,0),"")</f>
        <v/>
      </c>
      <c r="P228" s="22"/>
    </row>
    <row r="229" spans="1:16" ht="11.25" customHeight="1" x14ac:dyDescent="0.2">
      <c r="B229" s="17" t="str">
        <f ca="1">IF(HLOOKUP(B225,Summary!$I$2:$AM$7,4,0)=0,"",HLOOKUP(B225,Summary!$I$2:$AM$7,4,0))</f>
        <v/>
      </c>
      <c r="C229" s="71" t="str">
        <f ca="1">IFERROR(VLOOKUP(B229,fixed_expenses[],2,0),"")</f>
        <v/>
      </c>
      <c r="D229" s="17" t="str">
        <f ca="1">IF(HLOOKUP(D225,Summary!$I$2:$AM$7,4,0)=0,"",HLOOKUP(D225,Summary!$I$2:$AM$7,4,0))</f>
        <v/>
      </c>
      <c r="E229" s="71" t="str">
        <f ca="1">IFERROR(VLOOKUP(D229,fixed_expenses[],2,0),"")</f>
        <v/>
      </c>
      <c r="F229" s="17" t="str">
        <f ca="1">IF(HLOOKUP(F225,Summary!$I$2:$AM$7,4,0)=0,"",HLOOKUP(F225,Summary!$I$2:$AM$7,4,0))</f>
        <v/>
      </c>
      <c r="G229" s="71" t="str">
        <f ca="1">IFERROR(VLOOKUP(F229,fixed_expenses[],2,0),"")</f>
        <v/>
      </c>
      <c r="H229" s="17" t="str">
        <f ca="1">IF(HLOOKUP(H225,Summary!$I$2:$AM$7,4,0)=0,"",HLOOKUP(H225,Summary!$I$2:$AM$7,4,0))</f>
        <v/>
      </c>
      <c r="I229" s="71" t="str">
        <f ca="1">IFERROR(VLOOKUP(H229,fixed_expenses[],2,0),"")</f>
        <v/>
      </c>
      <c r="J229" s="17" t="str">
        <f ca="1">IF(HLOOKUP(J225,Summary!$I$2:$AM$7,4,0)=0,"",HLOOKUP(J225,Summary!$I$2:$AM$7,4,0))</f>
        <v/>
      </c>
      <c r="K229" s="71" t="str">
        <f ca="1">IFERROR(VLOOKUP(J229,fixed_expenses[],2,0),"")</f>
        <v/>
      </c>
      <c r="L229" s="17" t="str">
        <f ca="1">IF(HLOOKUP(L225,Summary!$I$2:$AM$7,4,0)=0,"",HLOOKUP(L225,Summary!$I$2:$AM$7,4,0))</f>
        <v/>
      </c>
      <c r="M229" s="71" t="str">
        <f ca="1">IFERROR(VLOOKUP(L229,fixed_expenses[],2,0),"")</f>
        <v/>
      </c>
      <c r="N229" s="17" t="str">
        <f ca="1">IF(HLOOKUP(N225,Summary!$I$2:$AM$7,4,0)=0,"",HLOOKUP(N225,Summary!$I$2:$AM$7,4,0))</f>
        <v/>
      </c>
      <c r="O229" s="71" t="str">
        <f ca="1">IFERROR(VLOOKUP(N229,fixed_expenses[],2,0),"")</f>
        <v/>
      </c>
      <c r="P229" s="22"/>
    </row>
    <row r="230" spans="1:16" ht="11.25" customHeight="1" x14ac:dyDescent="0.2">
      <c r="B230" s="17" t="str">
        <f ca="1">IF(HLOOKUP(B225,Summary!$I$2:$AM$7,5,0)=0,"",HLOOKUP(B225,Summary!$I$2:$AM$7,5,0))</f>
        <v/>
      </c>
      <c r="C230" s="71" t="str">
        <f ca="1">IFERROR(VLOOKUP(B230,fixed_expenses[],2,0),"")</f>
        <v/>
      </c>
      <c r="D230" s="17" t="str">
        <f ca="1">IF(HLOOKUP(D225,Summary!$I$2:$AM$7,5,0)=0,"",HLOOKUP(D225,Summary!$I$2:$AM$7,5,0))</f>
        <v/>
      </c>
      <c r="E230" s="71" t="str">
        <f ca="1">IFERROR(VLOOKUP(D230,fixed_expenses[],2,0),"")</f>
        <v/>
      </c>
      <c r="F230" s="17" t="str">
        <f ca="1">IF(HLOOKUP(F225,Summary!$I$2:$AM$7,5,0)=0,"",HLOOKUP(F225,Summary!$I$2:$AM$7,5,0))</f>
        <v/>
      </c>
      <c r="G230" s="71" t="str">
        <f ca="1">IFERROR(VLOOKUP(F230,fixed_expenses[],2,0),"")</f>
        <v/>
      </c>
      <c r="H230" s="17" t="str">
        <f ca="1">IF(HLOOKUP(H225,Summary!$I$2:$AM$7,5,0)=0,"",HLOOKUP(H225,Summary!$I$2:$AM$7,5,0))</f>
        <v/>
      </c>
      <c r="I230" s="71" t="str">
        <f ca="1">IFERROR(VLOOKUP(H230,fixed_expenses[],2,0),"")</f>
        <v/>
      </c>
      <c r="J230" s="17" t="str">
        <f ca="1">IF(HLOOKUP(J225,Summary!$I$2:$AM$7,5,0)=0,"",HLOOKUP(J225,Summary!$I$2:$AM$7,5,0))</f>
        <v/>
      </c>
      <c r="K230" s="71" t="str">
        <f ca="1">IFERROR(VLOOKUP(J230,fixed_expenses[],2,0),"")</f>
        <v/>
      </c>
      <c r="L230" s="17" t="str">
        <f ca="1">IF(HLOOKUP(L225,Summary!$I$2:$AM$7,5,0)=0,"",HLOOKUP(L225,Summary!$I$2:$AM$7,5,0))</f>
        <v/>
      </c>
      <c r="M230" s="71" t="str">
        <f ca="1">IFERROR(VLOOKUP(L230,fixed_expenses[],2,0),"")</f>
        <v/>
      </c>
      <c r="N230" s="17" t="str">
        <f ca="1">IF(HLOOKUP(N225,Summary!$I$2:$AM$7,5,0)=0,"",HLOOKUP(N225,Summary!$I$2:$AM$7,5,0))</f>
        <v/>
      </c>
      <c r="O230" s="71" t="str">
        <f ca="1">IFERROR(VLOOKUP(N230,fixed_expenses[],2,0),"")</f>
        <v/>
      </c>
      <c r="P230" s="22"/>
    </row>
    <row r="231" spans="1:16" ht="11.25" customHeight="1" x14ac:dyDescent="0.2">
      <c r="B231" s="17" t="str">
        <f ca="1">IF(HLOOKUP(B225,Summary!$I$2:$AM$7,6,0)=0,"",HLOOKUP(B225,Summary!$I$2:$AM$7,6,0))</f>
        <v/>
      </c>
      <c r="C231" s="71" t="str">
        <f ca="1">IFERROR(VLOOKUP(B231,fixed_expenses[],2,0),"")</f>
        <v/>
      </c>
      <c r="D231" s="17" t="str">
        <f ca="1">IF(HLOOKUP(D225,Summary!$I$2:$AM$7,6,0)=0,"",HLOOKUP(D225,Summary!$I$2:$AM$7,6,0))</f>
        <v/>
      </c>
      <c r="E231" s="71" t="str">
        <f ca="1">IFERROR(VLOOKUP(D231,fixed_expenses[],2,0),"")</f>
        <v/>
      </c>
      <c r="F231" s="17" t="str">
        <f ca="1">IF(HLOOKUP(F225,Summary!$I$2:$AM$7,6,0)=0,"",HLOOKUP(F225,Summary!$I$2:$AM$7,6,0))</f>
        <v/>
      </c>
      <c r="G231" s="71" t="str">
        <f ca="1">IFERROR(VLOOKUP(F231,fixed_expenses[],2,0),"")</f>
        <v/>
      </c>
      <c r="H231" s="17" t="str">
        <f ca="1">IF(HLOOKUP(H225,Summary!$I$2:$AM$7,6,0)=0,"",HLOOKUP(H225,Summary!$I$2:$AM$7,6,0))</f>
        <v/>
      </c>
      <c r="I231" s="71" t="str">
        <f ca="1">IFERROR(VLOOKUP(H231,fixed_expenses[],2,0),"")</f>
        <v/>
      </c>
      <c r="J231" s="17" t="str">
        <f ca="1">IF(HLOOKUP(J225,Summary!$I$2:$AM$7,6,0)=0,"",HLOOKUP(J225,Summary!$I$2:$AM$7,6,0))</f>
        <v/>
      </c>
      <c r="K231" s="71" t="str">
        <f ca="1">IFERROR(VLOOKUP(J231,fixed_expenses[],2,0),"")</f>
        <v/>
      </c>
      <c r="L231" s="17" t="str">
        <f ca="1">IF(HLOOKUP(L225,Summary!$I$2:$AM$7,6,0)=0,"",HLOOKUP(L225,Summary!$I$2:$AM$7,6,0))</f>
        <v/>
      </c>
      <c r="M231" s="71" t="str">
        <f ca="1">IFERROR(VLOOKUP(L231,fixed_expenses[],2,0),"")</f>
        <v/>
      </c>
      <c r="N231" s="17" t="str">
        <f ca="1">IF(HLOOKUP(N225,Summary!$I$2:$AM$7,6,0)=0,"",HLOOKUP(N225,Summary!$I$2:$AM$7,6,0))</f>
        <v/>
      </c>
      <c r="O231" s="71" t="str">
        <f ca="1">IFERROR(VLOOKUP(N231,fixed_expenses[],2,0),"")</f>
        <v/>
      </c>
      <c r="P231" s="22"/>
    </row>
    <row r="232" spans="1:16" ht="11.25" customHeight="1" x14ac:dyDescent="0.2">
      <c r="A232" s="43" t="s">
        <v>333</v>
      </c>
      <c r="B232" s="26" t="s">
        <v>8</v>
      </c>
      <c r="C232" s="27">
        <f ca="1">SUM(C227:C231)</f>
        <v>0</v>
      </c>
      <c r="D232" s="18"/>
      <c r="E232" s="27">
        <f ca="1">SUM(E227:E231)</f>
        <v>1200</v>
      </c>
      <c r="F232" s="18"/>
      <c r="G232" s="27">
        <f ca="1">SUM(G227:G231)</f>
        <v>0</v>
      </c>
      <c r="H232" s="18"/>
      <c r="I232" s="27">
        <f ca="1">SUM(I227:I231)</f>
        <v>0</v>
      </c>
      <c r="J232" s="18"/>
      <c r="K232" s="27">
        <f ca="1">SUM(K227:K231)</f>
        <v>0</v>
      </c>
      <c r="L232" s="18"/>
      <c r="M232" s="27">
        <f ca="1">SUM(M227:M231)</f>
        <v>0</v>
      </c>
      <c r="N232" s="18"/>
      <c r="O232" s="28">
        <f ca="1">SUM(O227:O231)</f>
        <v>0</v>
      </c>
      <c r="P232" s="29">
        <f ca="1">SUMIF(B225:N225,"&gt;="&amp;15,C232:O232)</f>
        <v>0</v>
      </c>
    </row>
    <row r="233" spans="1:16" ht="17.25" customHeight="1" x14ac:dyDescent="0.2"/>
    <row r="234" spans="1:16" ht="12" customHeight="1" x14ac:dyDescent="0.2">
      <c r="A234" s="43" t="s">
        <v>87</v>
      </c>
      <c r="B234" s="59" t="s">
        <v>17</v>
      </c>
      <c r="C234" s="59"/>
      <c r="D234" s="59"/>
      <c r="E234" s="59"/>
      <c r="F234"/>
      <c r="G234" s="4"/>
      <c r="H234"/>
      <c r="I234" s="4"/>
      <c r="J234"/>
      <c r="K234" s="4"/>
      <c r="L234" s="45" t="s">
        <v>12</v>
      </c>
      <c r="M234" s="45"/>
      <c r="N234" s="45" t="s">
        <v>13</v>
      </c>
      <c r="O234" s="45"/>
      <c r="P234"/>
    </row>
    <row r="235" spans="1:16" ht="25.5" customHeight="1" x14ac:dyDescent="0.2">
      <c r="A235" s="43" t="s">
        <v>92</v>
      </c>
      <c r="B235" s="59"/>
      <c r="C235" s="59"/>
      <c r="D235" s="59"/>
      <c r="E235" s="59"/>
      <c r="F235" s="3">
        <f ca="1">IFERROR(WEEKDAY(DATEVALUE(B234&amp;" 1, "&amp;Year1)),"")</f>
        <v>7</v>
      </c>
      <c r="G235" s="4"/>
      <c r="H235"/>
      <c r="I235" s="7"/>
      <c r="J235" s="8"/>
      <c r="K235" s="4"/>
      <c r="L235" s="46">
        <f ca="1">SUM(P245,P254,P263,P272,P281,P290)</f>
        <v>1774</v>
      </c>
      <c r="M235" s="47"/>
      <c r="N235" s="46">
        <f ca="1">SUM(P:P)</f>
        <v>21288</v>
      </c>
      <c r="O235" s="48"/>
      <c r="P235"/>
    </row>
    <row r="236" spans="1:16" ht="9" customHeight="1" x14ac:dyDescent="0.2">
      <c r="A236" s="43" t="s">
        <v>352</v>
      </c>
      <c r="B236" s="50">
        <v>1</v>
      </c>
      <c r="C236" s="50"/>
      <c r="D236" s="50">
        <v>2</v>
      </c>
      <c r="E236" s="50"/>
      <c r="F236" s="50">
        <v>3</v>
      </c>
      <c r="G236" s="50"/>
      <c r="H236" s="50">
        <v>4</v>
      </c>
      <c r="I236" s="50"/>
      <c r="J236" s="50">
        <v>5</v>
      </c>
      <c r="K236" s="50"/>
      <c r="L236" s="50">
        <v>6</v>
      </c>
      <c r="M236" s="50"/>
      <c r="N236" s="50">
        <v>7</v>
      </c>
      <c r="O236" s="50"/>
      <c r="P236" s="2"/>
    </row>
    <row r="237" spans="1:16" ht="15" customHeight="1" x14ac:dyDescent="0.2">
      <c r="A237" s="43" t="s">
        <v>107</v>
      </c>
      <c r="B237" s="60" t="s">
        <v>0</v>
      </c>
      <c r="C237" s="61"/>
      <c r="D237" s="62" t="s">
        <v>1</v>
      </c>
      <c r="E237" s="63" t="e">
        <f ca="1">IF(WEEKDAY(DATEVALUE(Month1&amp;" 1, "&amp;Year1))=COLUMN(#REF!),1,IF(LEN(C237)&gt;0,C237+1,""))</f>
        <v>#VALUE!</v>
      </c>
      <c r="F237" s="61" t="s">
        <v>2</v>
      </c>
      <c r="G237" s="61" t="e">
        <f ca="1">IF(WEEKDAY(DATEVALUE(Month1&amp;" 1, "&amp;Year1))=COLUMN(#REF!),1,IF(LEN(E237)&gt;0,E237+1,""))</f>
        <v>#VALUE!</v>
      </c>
      <c r="H237" s="62" t="s">
        <v>3</v>
      </c>
      <c r="I237" s="63" t="e">
        <f ca="1">IF(WEEKDAY(DATEVALUE(Month1&amp;" 1, "&amp;Year1))=COLUMN(#REF!),1,IF(LEN(G237)&gt;0,G237+1,""))</f>
        <v>#VALUE!</v>
      </c>
      <c r="J237" s="64" t="s">
        <v>4</v>
      </c>
      <c r="K237" s="65" t="e">
        <f ca="1">IF(WEEKDAY(DATEVALUE(Month1&amp;" 1, "&amp;Year1))=COLUMN(#REF!),1,IF(LEN(I237)&gt;0,I237+1,""))</f>
        <v>#VALUE!</v>
      </c>
      <c r="L237" s="66" t="s">
        <v>5</v>
      </c>
      <c r="M237" s="67" t="e">
        <f ca="1">IF(WEEKDAY(DATEVALUE(Month1&amp;" 1, "&amp;Year1))=COLUMN(#REF!),1,IF(LEN(K237)&gt;0,K237+1,""))</f>
        <v>#VALUE!</v>
      </c>
      <c r="N237" s="66" t="s">
        <v>6</v>
      </c>
      <c r="O237" s="67" t="e">
        <f ca="1">IF(WEEKDAY(DATEVALUE(Month1&amp;" 1, "&amp;Year1))=COLUMN(#REF!),1,IF(LEN(M237)&gt;0,M237+1,""))</f>
        <v>#VALUE!</v>
      </c>
      <c r="P237" s="42" t="s">
        <v>7</v>
      </c>
    </row>
    <row r="238" spans="1:16" ht="15" customHeight="1" x14ac:dyDescent="0.2">
      <c r="A238" s="43" t="s">
        <v>353</v>
      </c>
      <c r="B238" s="14">
        <f ca="1">DAY(IF(DAY(MaySun1)=1,MaySun1-6,MaySun1+1))</f>
        <v>25</v>
      </c>
      <c r="C238" s="16"/>
      <c r="D238" s="19">
        <f ca="1">DAY(IF(DAY(MaySun1)=1,MaySun1-5,MaySun1+2))</f>
        <v>26</v>
      </c>
      <c r="E238" s="16"/>
      <c r="F238" s="19">
        <f ca="1">DAY(IF(DAY(MaySun1)=1,MaySun1-4,MaySun1+3))</f>
        <v>27</v>
      </c>
      <c r="G238" s="16"/>
      <c r="H238" s="19">
        <f ca="1">DAY(IF(DAY(MaySun1)=1,MaySun1-3,MaySun1+4))</f>
        <v>28</v>
      </c>
      <c r="I238" s="16"/>
      <c r="J238" s="19">
        <f ca="1">DAY(IF(DAY(MaySun1)=1,MaySun1-2,MaySun1+5))</f>
        <v>29</v>
      </c>
      <c r="K238" s="16"/>
      <c r="L238" s="19">
        <f ca="1">DAY(IF(DAY(MaySun1)=1,MaySun1-1,MaySun1+6))</f>
        <v>30</v>
      </c>
      <c r="M238" s="16"/>
      <c r="N238" s="20">
        <f ca="1">DAY(IF(DAY(MaySun1)=1,MaySun1,MaySun1+7))</f>
        <v>1</v>
      </c>
      <c r="O238" s="15"/>
      <c r="P238" s="21"/>
    </row>
    <row r="239" spans="1:16" ht="11.25" customHeight="1" x14ac:dyDescent="0.2">
      <c r="A239" s="43" t="s">
        <v>165</v>
      </c>
      <c r="B239" s="41" t="s">
        <v>9</v>
      </c>
      <c r="C239" s="36" t="s">
        <v>10</v>
      </c>
      <c r="D239" s="35" t="s">
        <v>9</v>
      </c>
      <c r="E239" s="36" t="s">
        <v>10</v>
      </c>
      <c r="F239" s="35" t="s">
        <v>9</v>
      </c>
      <c r="G239" s="36" t="s">
        <v>10</v>
      </c>
      <c r="H239" s="35" t="s">
        <v>9</v>
      </c>
      <c r="I239" s="36" t="s">
        <v>10</v>
      </c>
      <c r="J239" s="35" t="s">
        <v>9</v>
      </c>
      <c r="K239" s="36" t="s">
        <v>10</v>
      </c>
      <c r="L239" s="35" t="s">
        <v>9</v>
      </c>
      <c r="M239" s="36" t="s">
        <v>10</v>
      </c>
      <c r="N239" s="37" t="s">
        <v>9</v>
      </c>
      <c r="O239" s="38" t="s">
        <v>10</v>
      </c>
      <c r="P239" s="22"/>
    </row>
    <row r="240" spans="1:16" ht="11.25" customHeight="1" x14ac:dyDescent="0.2">
      <c r="A240" s="43" t="s">
        <v>189</v>
      </c>
      <c r="B240" s="17" t="str">
        <f ca="1">IF(HLOOKUP(B238,Summary!$I$2:$AM$7,2,0)=0,"",HLOOKUP(B238,Summary!$I$2:$AM$7,2,0))</f>
        <v/>
      </c>
      <c r="C240" s="71" t="str">
        <f ca="1">IFERROR(VLOOKUP(B240,fixed_expenses[],2,0),"")</f>
        <v/>
      </c>
      <c r="D240" s="17" t="str">
        <f ca="1">IF(HLOOKUP(D238,Summary!$I$2:$AM$7,2,0)=0,"",HLOOKUP(D238,Summary!$I$2:$AM$7,2,0))</f>
        <v/>
      </c>
      <c r="E240" s="71" t="str">
        <f ca="1">IFERROR(VLOOKUP(D240,fixed_expenses[],2,0),"")</f>
        <v/>
      </c>
      <c r="F240" s="17" t="str">
        <f ca="1">IF(HLOOKUP(F238,Summary!$I$2:$AM$7,2,0)=0,"",HLOOKUP(F238,Summary!$I$2:$AM$7,2,0))</f>
        <v/>
      </c>
      <c r="G240" s="71" t="str">
        <f ca="1">IFERROR(VLOOKUP(F240,fixed_expenses[],2,0),"")</f>
        <v/>
      </c>
      <c r="H240" s="17" t="str">
        <f ca="1">IF(HLOOKUP(H238,Summary!$I$2:$AM$7,2,0)=0,"",HLOOKUP(H238,Summary!$I$2:$AM$7,2,0))</f>
        <v/>
      </c>
      <c r="I240" s="71" t="str">
        <f ca="1">IFERROR(VLOOKUP(H240,fixed_expenses[],2,0),"")</f>
        <v/>
      </c>
      <c r="J240" s="17" t="str">
        <f ca="1">IF(HLOOKUP(J238,Summary!$I$2:$AM$7,2,0)=0,"",HLOOKUP(J238,Summary!$I$2:$AM$7,2,0))</f>
        <v/>
      </c>
      <c r="K240" s="71" t="str">
        <f ca="1">IFERROR(VLOOKUP(J240,fixed_expenses[],2,0),"")</f>
        <v/>
      </c>
      <c r="L240" s="17" t="str">
        <f ca="1">IF(HLOOKUP(L238,Summary!$I$2:$AM$7,2,0)=0,"",HLOOKUP(L238,Summary!$I$2:$AM$7,2,0))</f>
        <v/>
      </c>
      <c r="M240" s="71" t="str">
        <f ca="1">IFERROR(VLOOKUP(L240,fixed_expenses[],2,0),"")</f>
        <v/>
      </c>
      <c r="N240" s="17" t="str">
        <f ca="1">IF(HLOOKUP(N238,Summary!$I$2:$AM$7,2,0)=0,"",HLOOKUP(N238,Summary!$I$2:$AM$7,2,0))</f>
        <v/>
      </c>
      <c r="O240" s="71" t="str">
        <f ca="1">IFERROR(VLOOKUP(N240,fixed_expenses[],2,0),"")</f>
        <v/>
      </c>
      <c r="P240" s="22"/>
    </row>
    <row r="241" spans="1:16" ht="11.25" customHeight="1" x14ac:dyDescent="0.2">
      <c r="B241" s="17" t="str">
        <f ca="1">IF(HLOOKUP(B238,Summary!$I$2:$AM$7,3,0)=0,"",HLOOKUP(B238,Summary!$I$2:$AM$7,3,0))</f>
        <v/>
      </c>
      <c r="C241" s="71" t="str">
        <f ca="1">IFERROR(VLOOKUP(B241,fixed_expenses[],2,0),"")</f>
        <v/>
      </c>
      <c r="D241" s="17" t="str">
        <f ca="1">IF(HLOOKUP(D238,Summary!$I$2:$AM$7,3,0)=0,"",HLOOKUP(D238,Summary!$I$2:$AM$7,3,0))</f>
        <v/>
      </c>
      <c r="E241" s="71" t="str">
        <f ca="1">IFERROR(VLOOKUP(D241,fixed_expenses[],2,0),"")</f>
        <v/>
      </c>
      <c r="F241" s="17" t="str">
        <f ca="1">IF(HLOOKUP(F238,Summary!$I$2:$AM$7,3,0)=0,"",HLOOKUP(F238,Summary!$I$2:$AM$7,3,0))</f>
        <v/>
      </c>
      <c r="G241" s="71" t="str">
        <f ca="1">IFERROR(VLOOKUP(F241,fixed_expenses[],2,0),"")</f>
        <v/>
      </c>
      <c r="H241" s="17" t="str">
        <f ca="1">IF(HLOOKUP(H238,Summary!$I$2:$AM$7,3,0)=0,"",HLOOKUP(H238,Summary!$I$2:$AM$7,3,0))</f>
        <v/>
      </c>
      <c r="I241" s="71" t="str">
        <f ca="1">IFERROR(VLOOKUP(H241,fixed_expenses[],2,0),"")</f>
        <v/>
      </c>
      <c r="J241" s="17" t="str">
        <f ca="1">IF(HLOOKUP(J238,Summary!$I$2:$AM$7,3,0)=0,"",HLOOKUP(J238,Summary!$I$2:$AM$7,3,0))</f>
        <v/>
      </c>
      <c r="K241" s="71" t="str">
        <f ca="1">IFERROR(VLOOKUP(J241,fixed_expenses[],2,0),"")</f>
        <v/>
      </c>
      <c r="L241" s="17" t="str">
        <f ca="1">IF(HLOOKUP(L238,Summary!$I$2:$AM$7,3,0)=0,"",HLOOKUP(L238,Summary!$I$2:$AM$7,3,0))</f>
        <v/>
      </c>
      <c r="M241" s="71" t="str">
        <f ca="1">IFERROR(VLOOKUP(L241,fixed_expenses[],2,0),"")</f>
        <v/>
      </c>
      <c r="N241" s="17" t="str">
        <f ca="1">IF(HLOOKUP(N238,Summary!$I$2:$AM$7,3,0)=0,"",HLOOKUP(N238,Summary!$I$2:$AM$7,3,0))</f>
        <v/>
      </c>
      <c r="O241" s="71" t="str">
        <f ca="1">IFERROR(VLOOKUP(N241,fixed_expenses[],2,0),"")</f>
        <v/>
      </c>
      <c r="P241" s="22"/>
    </row>
    <row r="242" spans="1:16" ht="11.25" customHeight="1" x14ac:dyDescent="0.2">
      <c r="B242" s="17" t="str">
        <f ca="1">IF(HLOOKUP(B238,Summary!$I$2:$AM$7,4,0)=0,"",HLOOKUP(B238,Summary!$I$2:$AM$7,4,0))</f>
        <v/>
      </c>
      <c r="C242" s="71" t="str">
        <f ca="1">IFERROR(VLOOKUP(B242,fixed_expenses[],2,0),"")</f>
        <v/>
      </c>
      <c r="D242" s="17" t="str">
        <f ca="1">IF(HLOOKUP(D238,Summary!$I$2:$AM$7,4,0)=0,"",HLOOKUP(D238,Summary!$I$2:$AM$7,4,0))</f>
        <v/>
      </c>
      <c r="E242" s="71" t="str">
        <f ca="1">IFERROR(VLOOKUP(D242,fixed_expenses[],2,0),"")</f>
        <v/>
      </c>
      <c r="F242" s="17" t="str">
        <f ca="1">IF(HLOOKUP(F238,Summary!$I$2:$AM$7,4,0)=0,"",HLOOKUP(F238,Summary!$I$2:$AM$7,4,0))</f>
        <v/>
      </c>
      <c r="G242" s="71" t="str">
        <f ca="1">IFERROR(VLOOKUP(F242,fixed_expenses[],2,0),"")</f>
        <v/>
      </c>
      <c r="H242" s="17" t="str">
        <f ca="1">IF(HLOOKUP(H238,Summary!$I$2:$AM$7,4,0)=0,"",HLOOKUP(H238,Summary!$I$2:$AM$7,4,0))</f>
        <v/>
      </c>
      <c r="I242" s="71" t="str">
        <f ca="1">IFERROR(VLOOKUP(H242,fixed_expenses[],2,0),"")</f>
        <v/>
      </c>
      <c r="J242" s="17" t="str">
        <f ca="1">IF(HLOOKUP(J238,Summary!$I$2:$AM$7,4,0)=0,"",HLOOKUP(J238,Summary!$I$2:$AM$7,4,0))</f>
        <v/>
      </c>
      <c r="K242" s="71" t="str">
        <f ca="1">IFERROR(VLOOKUP(J242,fixed_expenses[],2,0),"")</f>
        <v/>
      </c>
      <c r="L242" s="17" t="str">
        <f ca="1">IF(HLOOKUP(L238,Summary!$I$2:$AM$7,4,0)=0,"",HLOOKUP(L238,Summary!$I$2:$AM$7,4,0))</f>
        <v/>
      </c>
      <c r="M242" s="71" t="str">
        <f ca="1">IFERROR(VLOOKUP(L242,fixed_expenses[],2,0),"")</f>
        <v/>
      </c>
      <c r="N242" s="17" t="str">
        <f ca="1">IF(HLOOKUP(N238,Summary!$I$2:$AM$7,4,0)=0,"",HLOOKUP(N238,Summary!$I$2:$AM$7,4,0))</f>
        <v/>
      </c>
      <c r="O242" s="71" t="str">
        <f ca="1">IFERROR(VLOOKUP(N242,fixed_expenses[],2,0),"")</f>
        <v/>
      </c>
      <c r="P242" s="22"/>
    </row>
    <row r="243" spans="1:16" ht="11.25" customHeight="1" x14ac:dyDescent="0.2">
      <c r="B243" s="17" t="str">
        <f ca="1">IF(HLOOKUP(B238,Summary!$I$2:$AM$7,5,0)=0,"",HLOOKUP(B238,Summary!$I$2:$AM$7,5,0))</f>
        <v/>
      </c>
      <c r="C243" s="71" t="str">
        <f ca="1">IFERROR(VLOOKUP(B243,fixed_expenses[],2,0),"")</f>
        <v/>
      </c>
      <c r="D243" s="17" t="str">
        <f ca="1">IF(HLOOKUP(D238,Summary!$I$2:$AM$7,5,0)=0,"",HLOOKUP(D238,Summary!$I$2:$AM$7,5,0))</f>
        <v/>
      </c>
      <c r="E243" s="71" t="str">
        <f ca="1">IFERROR(VLOOKUP(D243,fixed_expenses[],2,0),"")</f>
        <v/>
      </c>
      <c r="F243" s="17" t="str">
        <f ca="1">IF(HLOOKUP(F238,Summary!$I$2:$AM$7,5,0)=0,"",HLOOKUP(F238,Summary!$I$2:$AM$7,5,0))</f>
        <v/>
      </c>
      <c r="G243" s="71" t="str">
        <f ca="1">IFERROR(VLOOKUP(F243,fixed_expenses[],2,0),"")</f>
        <v/>
      </c>
      <c r="H243" s="17" t="str">
        <f ca="1">IF(HLOOKUP(H238,Summary!$I$2:$AM$7,5,0)=0,"",HLOOKUP(H238,Summary!$I$2:$AM$7,5,0))</f>
        <v/>
      </c>
      <c r="I243" s="71" t="str">
        <f ca="1">IFERROR(VLOOKUP(H243,fixed_expenses[],2,0),"")</f>
        <v/>
      </c>
      <c r="J243" s="17" t="str">
        <f ca="1">IF(HLOOKUP(J238,Summary!$I$2:$AM$7,5,0)=0,"",HLOOKUP(J238,Summary!$I$2:$AM$7,5,0))</f>
        <v/>
      </c>
      <c r="K243" s="71" t="str">
        <f ca="1">IFERROR(VLOOKUP(J243,fixed_expenses[],2,0),"")</f>
        <v/>
      </c>
      <c r="L243" s="17" t="str">
        <f ca="1">IF(HLOOKUP(L238,Summary!$I$2:$AM$7,5,0)=0,"",HLOOKUP(L238,Summary!$I$2:$AM$7,5,0))</f>
        <v/>
      </c>
      <c r="M243" s="71" t="str">
        <f ca="1">IFERROR(VLOOKUP(L243,fixed_expenses[],2,0),"")</f>
        <v/>
      </c>
      <c r="N243" s="17" t="str">
        <f ca="1">IF(HLOOKUP(N238,Summary!$I$2:$AM$7,5,0)=0,"",HLOOKUP(N238,Summary!$I$2:$AM$7,5,0))</f>
        <v/>
      </c>
      <c r="O243" s="71" t="str">
        <f ca="1">IFERROR(VLOOKUP(N243,fixed_expenses[],2,0),"")</f>
        <v/>
      </c>
      <c r="P243" s="22"/>
    </row>
    <row r="244" spans="1:16" ht="11.25" customHeight="1" x14ac:dyDescent="0.2">
      <c r="B244" s="17" t="str">
        <f ca="1">IF(HLOOKUP(B238,Summary!$I$2:$AM$7,6,0)=0,"",HLOOKUP(B238,Summary!$I$2:$AM$7,6,0))</f>
        <v/>
      </c>
      <c r="C244" s="71" t="str">
        <f ca="1">IFERROR(VLOOKUP(B244,fixed_expenses[],2,0),"")</f>
        <v/>
      </c>
      <c r="D244" s="17" t="str">
        <f ca="1">IF(HLOOKUP(D238,Summary!$I$2:$AM$7,6,0)=0,"",HLOOKUP(D238,Summary!$I$2:$AM$7,6,0))</f>
        <v/>
      </c>
      <c r="E244" s="71" t="str">
        <f ca="1">IFERROR(VLOOKUP(D244,fixed_expenses[],2,0),"")</f>
        <v/>
      </c>
      <c r="F244" s="17" t="str">
        <f ca="1">IF(HLOOKUP(F238,Summary!$I$2:$AM$7,6,0)=0,"",HLOOKUP(F238,Summary!$I$2:$AM$7,6,0))</f>
        <v/>
      </c>
      <c r="G244" s="71" t="str">
        <f ca="1">IFERROR(VLOOKUP(F244,fixed_expenses[],2,0),"")</f>
        <v/>
      </c>
      <c r="H244" s="17" t="str">
        <f ca="1">IF(HLOOKUP(H238,Summary!$I$2:$AM$7,6,0)=0,"",HLOOKUP(H238,Summary!$I$2:$AM$7,6,0))</f>
        <v/>
      </c>
      <c r="I244" s="71" t="str">
        <f ca="1">IFERROR(VLOOKUP(H244,fixed_expenses[],2,0),"")</f>
        <v/>
      </c>
      <c r="J244" s="17" t="str">
        <f ca="1">IF(HLOOKUP(J238,Summary!$I$2:$AM$7,6,0)=0,"",HLOOKUP(J238,Summary!$I$2:$AM$7,6,0))</f>
        <v/>
      </c>
      <c r="K244" s="71" t="str">
        <f ca="1">IFERROR(VLOOKUP(J244,fixed_expenses[],2,0),"")</f>
        <v/>
      </c>
      <c r="L244" s="17" t="str">
        <f ca="1">IF(HLOOKUP(L238,Summary!$I$2:$AM$7,6,0)=0,"",HLOOKUP(L238,Summary!$I$2:$AM$7,6,0))</f>
        <v/>
      </c>
      <c r="M244" s="71" t="str">
        <f ca="1">IFERROR(VLOOKUP(L244,fixed_expenses[],2,0),"")</f>
        <v/>
      </c>
      <c r="N244" s="17" t="str">
        <f ca="1">IF(HLOOKUP(N238,Summary!$I$2:$AM$7,6,0)=0,"",HLOOKUP(N238,Summary!$I$2:$AM$7,6,0))</f>
        <v/>
      </c>
      <c r="O244" s="71" t="str">
        <f ca="1">IFERROR(VLOOKUP(N244,fixed_expenses[],2,0),"")</f>
        <v/>
      </c>
      <c r="P244" s="22"/>
    </row>
    <row r="245" spans="1:16" ht="11.25" customHeight="1" x14ac:dyDescent="0.2">
      <c r="A245" s="43" t="s">
        <v>332</v>
      </c>
      <c r="B245" s="26" t="s">
        <v>8</v>
      </c>
      <c r="C245" s="27">
        <f ca="1">SUM(C240:C244)</f>
        <v>0</v>
      </c>
      <c r="D245" s="18"/>
      <c r="E245" s="27">
        <f ca="1">SUM(E240:E244)</f>
        <v>0</v>
      </c>
      <c r="F245" s="26"/>
      <c r="G245" s="27">
        <f ca="1">SUM(G240:G244)</f>
        <v>0</v>
      </c>
      <c r="H245" s="26"/>
      <c r="I245" s="27">
        <f ca="1">SUM(I240:I244)</f>
        <v>0</v>
      </c>
      <c r="J245" s="26"/>
      <c r="K245" s="27">
        <f ca="1">SUM(K240:K244)</f>
        <v>0</v>
      </c>
      <c r="L245" s="26"/>
      <c r="M245" s="27">
        <f ca="1">SUM(M240:M244)</f>
        <v>0</v>
      </c>
      <c r="N245" s="26"/>
      <c r="O245" s="28">
        <f ca="1">SUM(O240:O244)</f>
        <v>0</v>
      </c>
      <c r="P245" s="29">
        <f ca="1">SUMIF(B238:N238,"&lt;8",C245:O245)</f>
        <v>0</v>
      </c>
    </row>
    <row r="246" spans="1:16" x14ac:dyDescent="0.2">
      <c r="B246" s="6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6"/>
    </row>
    <row r="247" spans="1:16" ht="15" customHeight="1" x14ac:dyDescent="0.2">
      <c r="A247" s="43" t="s">
        <v>245</v>
      </c>
      <c r="B247" s="12">
        <f ca="1">N238+1</f>
        <v>2</v>
      </c>
      <c r="C247" s="13"/>
      <c r="D247" s="12">
        <f ca="1">B247+1</f>
        <v>3</v>
      </c>
      <c r="E247" s="13"/>
      <c r="F247" s="12">
        <f ca="1">D247+1</f>
        <v>4</v>
      </c>
      <c r="G247" s="13"/>
      <c r="H247" s="12">
        <f ca="1">F247+1</f>
        <v>5</v>
      </c>
      <c r="I247" s="13"/>
      <c r="J247" s="12">
        <f ca="1">H247+1</f>
        <v>6</v>
      </c>
      <c r="K247" s="13"/>
      <c r="L247" s="12">
        <f ca="1">J247+1</f>
        <v>7</v>
      </c>
      <c r="M247" s="13"/>
      <c r="N247" s="12">
        <f ca="1">L247+1</f>
        <v>8</v>
      </c>
      <c r="O247" s="13"/>
      <c r="P247" s="23"/>
    </row>
    <row r="248" spans="1:16" ht="11.25" customHeight="1" x14ac:dyDescent="0.2">
      <c r="A248" s="43" t="s">
        <v>164</v>
      </c>
      <c r="B248" s="37" t="s">
        <v>9</v>
      </c>
      <c r="C248" s="39" t="s">
        <v>10</v>
      </c>
      <c r="D248" s="37" t="s">
        <v>9</v>
      </c>
      <c r="E248" s="39" t="s">
        <v>10</v>
      </c>
      <c r="F248" s="37" t="s">
        <v>9</v>
      </c>
      <c r="G248" s="39" t="s">
        <v>10</v>
      </c>
      <c r="H248" s="37" t="s">
        <v>9</v>
      </c>
      <c r="I248" s="39" t="s">
        <v>10</v>
      </c>
      <c r="J248" s="37" t="s">
        <v>9</v>
      </c>
      <c r="K248" s="39" t="s">
        <v>10</v>
      </c>
      <c r="L248" s="37" t="s">
        <v>9</v>
      </c>
      <c r="M248" s="39" t="s">
        <v>10</v>
      </c>
      <c r="N248" s="37" t="s">
        <v>9</v>
      </c>
      <c r="O248" s="40" t="s">
        <v>10</v>
      </c>
      <c r="P248" s="22"/>
    </row>
    <row r="249" spans="1:16" ht="11.25" customHeight="1" x14ac:dyDescent="0.2">
      <c r="A249" s="43" t="s">
        <v>190</v>
      </c>
      <c r="B249" s="17" t="str">
        <f ca="1">IF(HLOOKUP(B247,Summary!$I$2:$AM$7,2,0)=0,"",HLOOKUP(B247,Summary!$I$2:$AM$7,2,0))</f>
        <v/>
      </c>
      <c r="C249" s="71" t="str">
        <f ca="1">IFERROR(VLOOKUP(B249,fixed_expenses[],2,0),"")</f>
        <v/>
      </c>
      <c r="D249" s="17" t="str">
        <f ca="1">IF(HLOOKUP(D247,Summary!$I$2:$AM$7,2,0)=0,"",HLOOKUP(D247,Summary!$I$2:$AM$7,2,0))</f>
        <v>Rent</v>
      </c>
      <c r="E249" s="71">
        <f ca="1">IFERROR(VLOOKUP(D249,fixed_expenses[],2,0),"")</f>
        <v>1200</v>
      </c>
      <c r="F249" s="17" t="str">
        <f ca="1">IF(HLOOKUP(F247,Summary!$I$2:$AM$7,2,0)=0,"",HLOOKUP(F247,Summary!$I$2:$AM$7,2,0))</f>
        <v/>
      </c>
      <c r="G249" s="71" t="str">
        <f ca="1">IFERROR(VLOOKUP(F249,fixed_expenses[],2,0),"")</f>
        <v/>
      </c>
      <c r="H249" s="17" t="str">
        <f ca="1">IF(HLOOKUP(H247,Summary!$I$2:$AM$7,2,0)=0,"",HLOOKUP(H247,Summary!$I$2:$AM$7,2,0))</f>
        <v/>
      </c>
      <c r="I249" s="71" t="str">
        <f ca="1">IFERROR(VLOOKUP(H249,fixed_expenses[],2,0),"")</f>
        <v/>
      </c>
      <c r="J249" s="17" t="str">
        <f ca="1">IF(HLOOKUP(J247,Summary!$I$2:$AM$7,2,0)=0,"",HLOOKUP(J247,Summary!$I$2:$AM$7,2,0))</f>
        <v/>
      </c>
      <c r="K249" s="71" t="str">
        <f ca="1">IFERROR(VLOOKUP(J249,fixed_expenses[],2,0),"")</f>
        <v/>
      </c>
      <c r="L249" s="17" t="str">
        <f ca="1">IF(HLOOKUP(L247,Summary!$I$2:$AM$7,2,0)=0,"",HLOOKUP(L247,Summary!$I$2:$AM$7,2,0))</f>
        <v/>
      </c>
      <c r="M249" s="71" t="str">
        <f ca="1">IFERROR(VLOOKUP(L249,fixed_expenses[],2,0),"")</f>
        <v/>
      </c>
      <c r="N249" s="17" t="str">
        <f ca="1">IF(HLOOKUP(N247,Summary!$I$2:$AM$7,2,0)=0,"",HLOOKUP(N247,Summary!$I$2:$AM$7,2,0))</f>
        <v/>
      </c>
      <c r="O249" s="71" t="str">
        <f ca="1">IFERROR(VLOOKUP(N249,fixed_expenses[],2,0),"")</f>
        <v/>
      </c>
      <c r="P249" s="22"/>
    </row>
    <row r="250" spans="1:16" ht="11.25" customHeight="1" x14ac:dyDescent="0.2">
      <c r="B250" s="17" t="str">
        <f ca="1">IF(HLOOKUP(B247,Summary!$I$2:$AM$7,3,0)=0,"",HLOOKUP(B247,Summary!$I$2:$AM$7,3,0))</f>
        <v/>
      </c>
      <c r="C250" s="71" t="str">
        <f ca="1">IFERROR(VLOOKUP(B250,fixed_expenses[],2,0),"")</f>
        <v/>
      </c>
      <c r="D250" s="17" t="str">
        <f ca="1">IF(HLOOKUP(D247,Summary!$I$2:$AM$7,3,0)=0,"",HLOOKUP(D247,Summary!$I$2:$AM$7,3,0))</f>
        <v/>
      </c>
      <c r="E250" s="71" t="str">
        <f ca="1">IFERROR(VLOOKUP(D250,fixed_expenses[],2,0),"")</f>
        <v/>
      </c>
      <c r="F250" s="17" t="str">
        <f ca="1">IF(HLOOKUP(F247,Summary!$I$2:$AM$7,3,0)=0,"",HLOOKUP(F247,Summary!$I$2:$AM$7,3,0))</f>
        <v/>
      </c>
      <c r="G250" s="71" t="str">
        <f ca="1">IFERROR(VLOOKUP(F250,fixed_expenses[],2,0),"")</f>
        <v/>
      </c>
      <c r="H250" s="17" t="str">
        <f ca="1">IF(HLOOKUP(H247,Summary!$I$2:$AM$7,3,0)=0,"",HLOOKUP(H247,Summary!$I$2:$AM$7,3,0))</f>
        <v/>
      </c>
      <c r="I250" s="71" t="str">
        <f ca="1">IFERROR(VLOOKUP(H250,fixed_expenses[],2,0),"")</f>
        <v/>
      </c>
      <c r="J250" s="17" t="str">
        <f ca="1">IF(HLOOKUP(J247,Summary!$I$2:$AM$7,3,0)=0,"",HLOOKUP(J247,Summary!$I$2:$AM$7,3,0))</f>
        <v/>
      </c>
      <c r="K250" s="71" t="str">
        <f ca="1">IFERROR(VLOOKUP(J250,fixed_expenses[],2,0),"")</f>
        <v/>
      </c>
      <c r="L250" s="17" t="str">
        <f ca="1">IF(HLOOKUP(L247,Summary!$I$2:$AM$7,3,0)=0,"",HLOOKUP(L247,Summary!$I$2:$AM$7,3,0))</f>
        <v/>
      </c>
      <c r="M250" s="71" t="str">
        <f ca="1">IFERROR(VLOOKUP(L250,fixed_expenses[],2,0),"")</f>
        <v/>
      </c>
      <c r="N250" s="17" t="str">
        <f ca="1">IF(HLOOKUP(N247,Summary!$I$2:$AM$7,3,0)=0,"",HLOOKUP(N247,Summary!$I$2:$AM$7,3,0))</f>
        <v/>
      </c>
      <c r="O250" s="71" t="str">
        <f ca="1">IFERROR(VLOOKUP(N250,fixed_expenses[],2,0),"")</f>
        <v/>
      </c>
      <c r="P250" s="22"/>
    </row>
    <row r="251" spans="1:16" ht="11.25" customHeight="1" x14ac:dyDescent="0.2">
      <c r="B251" s="17" t="str">
        <f ca="1">IF(HLOOKUP(B247,Summary!$I$2:$AM$7,4,0)=0,"",HLOOKUP(B247,Summary!$I$2:$AM$7,4,0))</f>
        <v/>
      </c>
      <c r="C251" s="71" t="str">
        <f ca="1">IFERROR(VLOOKUP(B251,fixed_expenses[],2,0),"")</f>
        <v/>
      </c>
      <c r="D251" s="17" t="str">
        <f ca="1">IF(HLOOKUP(D247,Summary!$I$2:$AM$7,4,0)=0,"",HLOOKUP(D247,Summary!$I$2:$AM$7,4,0))</f>
        <v/>
      </c>
      <c r="E251" s="71" t="str">
        <f ca="1">IFERROR(VLOOKUP(D251,fixed_expenses[],2,0),"")</f>
        <v/>
      </c>
      <c r="F251" s="17" t="str">
        <f ca="1">IF(HLOOKUP(F247,Summary!$I$2:$AM$7,4,0)=0,"",HLOOKUP(F247,Summary!$I$2:$AM$7,4,0))</f>
        <v/>
      </c>
      <c r="G251" s="71" t="str">
        <f ca="1">IFERROR(VLOOKUP(F251,fixed_expenses[],2,0),"")</f>
        <v/>
      </c>
      <c r="H251" s="17" t="str">
        <f ca="1">IF(HLOOKUP(H247,Summary!$I$2:$AM$7,4,0)=0,"",HLOOKUP(H247,Summary!$I$2:$AM$7,4,0))</f>
        <v/>
      </c>
      <c r="I251" s="71" t="str">
        <f ca="1">IFERROR(VLOOKUP(H251,fixed_expenses[],2,0),"")</f>
        <v/>
      </c>
      <c r="J251" s="17" t="str">
        <f ca="1">IF(HLOOKUP(J247,Summary!$I$2:$AM$7,4,0)=0,"",HLOOKUP(J247,Summary!$I$2:$AM$7,4,0))</f>
        <v/>
      </c>
      <c r="K251" s="71" t="str">
        <f ca="1">IFERROR(VLOOKUP(J251,fixed_expenses[],2,0),"")</f>
        <v/>
      </c>
      <c r="L251" s="17" t="str">
        <f ca="1">IF(HLOOKUP(L247,Summary!$I$2:$AM$7,4,0)=0,"",HLOOKUP(L247,Summary!$I$2:$AM$7,4,0))</f>
        <v/>
      </c>
      <c r="M251" s="71" t="str">
        <f ca="1">IFERROR(VLOOKUP(L251,fixed_expenses[],2,0),"")</f>
        <v/>
      </c>
      <c r="N251" s="17" t="str">
        <f ca="1">IF(HLOOKUP(N247,Summary!$I$2:$AM$7,4,0)=0,"",HLOOKUP(N247,Summary!$I$2:$AM$7,4,0))</f>
        <v/>
      </c>
      <c r="O251" s="71" t="str">
        <f ca="1">IFERROR(VLOOKUP(N251,fixed_expenses[],2,0),"")</f>
        <v/>
      </c>
      <c r="P251" s="22"/>
    </row>
    <row r="252" spans="1:16" ht="11.25" customHeight="1" x14ac:dyDescent="0.2">
      <c r="B252" s="17" t="str">
        <f ca="1">IF(HLOOKUP(B247,Summary!$I$2:$AM$7,5,0)=0,"",HLOOKUP(B247,Summary!$I$2:$AM$7,5,0))</f>
        <v/>
      </c>
      <c r="C252" s="71" t="str">
        <f ca="1">IFERROR(VLOOKUP(B252,fixed_expenses[],2,0),"")</f>
        <v/>
      </c>
      <c r="D252" s="17" t="str">
        <f ca="1">IF(HLOOKUP(D247,Summary!$I$2:$AM$7,5,0)=0,"",HLOOKUP(D247,Summary!$I$2:$AM$7,5,0))</f>
        <v/>
      </c>
      <c r="E252" s="71" t="str">
        <f ca="1">IFERROR(VLOOKUP(D252,fixed_expenses[],2,0),"")</f>
        <v/>
      </c>
      <c r="F252" s="17" t="str">
        <f ca="1">IF(HLOOKUP(F247,Summary!$I$2:$AM$7,5,0)=0,"",HLOOKUP(F247,Summary!$I$2:$AM$7,5,0))</f>
        <v/>
      </c>
      <c r="G252" s="71" t="str">
        <f ca="1">IFERROR(VLOOKUP(F252,fixed_expenses[],2,0),"")</f>
        <v/>
      </c>
      <c r="H252" s="17" t="str">
        <f ca="1">IF(HLOOKUP(H247,Summary!$I$2:$AM$7,5,0)=0,"",HLOOKUP(H247,Summary!$I$2:$AM$7,5,0))</f>
        <v/>
      </c>
      <c r="I252" s="71" t="str">
        <f ca="1">IFERROR(VLOOKUP(H252,fixed_expenses[],2,0),"")</f>
        <v/>
      </c>
      <c r="J252" s="17" t="str">
        <f ca="1">IF(HLOOKUP(J247,Summary!$I$2:$AM$7,5,0)=0,"",HLOOKUP(J247,Summary!$I$2:$AM$7,5,0))</f>
        <v/>
      </c>
      <c r="K252" s="71" t="str">
        <f ca="1">IFERROR(VLOOKUP(J252,fixed_expenses[],2,0),"")</f>
        <v/>
      </c>
      <c r="L252" s="17" t="str">
        <f ca="1">IF(HLOOKUP(L247,Summary!$I$2:$AM$7,5,0)=0,"",HLOOKUP(L247,Summary!$I$2:$AM$7,5,0))</f>
        <v/>
      </c>
      <c r="M252" s="71" t="str">
        <f ca="1">IFERROR(VLOOKUP(L252,fixed_expenses[],2,0),"")</f>
        <v/>
      </c>
      <c r="N252" s="17" t="str">
        <f ca="1">IF(HLOOKUP(N247,Summary!$I$2:$AM$7,5,0)=0,"",HLOOKUP(N247,Summary!$I$2:$AM$7,5,0))</f>
        <v/>
      </c>
      <c r="O252" s="71" t="str">
        <f ca="1">IFERROR(VLOOKUP(N252,fixed_expenses[],2,0),"")</f>
        <v/>
      </c>
      <c r="P252" s="22"/>
    </row>
    <row r="253" spans="1:16" ht="11.25" customHeight="1" x14ac:dyDescent="0.2">
      <c r="B253" s="17" t="str">
        <f ca="1">IF(HLOOKUP(B247,Summary!$I$2:$AM$7,6,0)=0,"",HLOOKUP(B247,Summary!$I$2:$AM$7,6,0))</f>
        <v/>
      </c>
      <c r="C253" s="71" t="str">
        <f ca="1">IFERROR(VLOOKUP(B253,fixed_expenses[],2,0),"")</f>
        <v/>
      </c>
      <c r="D253" s="17" t="str">
        <f ca="1">IF(HLOOKUP(D247,Summary!$I$2:$AM$7,6,0)=0,"",HLOOKUP(D247,Summary!$I$2:$AM$7,6,0))</f>
        <v/>
      </c>
      <c r="E253" s="71" t="str">
        <f ca="1">IFERROR(VLOOKUP(D253,fixed_expenses[],2,0),"")</f>
        <v/>
      </c>
      <c r="F253" s="17" t="str">
        <f ca="1">IF(HLOOKUP(F247,Summary!$I$2:$AM$7,6,0)=0,"",HLOOKUP(F247,Summary!$I$2:$AM$7,6,0))</f>
        <v/>
      </c>
      <c r="G253" s="71" t="str">
        <f ca="1">IFERROR(VLOOKUP(F253,fixed_expenses[],2,0),"")</f>
        <v/>
      </c>
      <c r="H253" s="17" t="str">
        <f ca="1">IF(HLOOKUP(H247,Summary!$I$2:$AM$7,6,0)=0,"",HLOOKUP(H247,Summary!$I$2:$AM$7,6,0))</f>
        <v/>
      </c>
      <c r="I253" s="71" t="str">
        <f ca="1">IFERROR(VLOOKUP(H253,fixed_expenses[],2,0),"")</f>
        <v/>
      </c>
      <c r="J253" s="17" t="str">
        <f ca="1">IF(HLOOKUP(J247,Summary!$I$2:$AM$7,6,0)=0,"",HLOOKUP(J247,Summary!$I$2:$AM$7,6,0))</f>
        <v/>
      </c>
      <c r="K253" s="71" t="str">
        <f ca="1">IFERROR(VLOOKUP(J253,fixed_expenses[],2,0),"")</f>
        <v/>
      </c>
      <c r="L253" s="17" t="str">
        <f ca="1">IF(HLOOKUP(L247,Summary!$I$2:$AM$7,6,0)=0,"",HLOOKUP(L247,Summary!$I$2:$AM$7,6,0))</f>
        <v/>
      </c>
      <c r="M253" s="71" t="str">
        <f ca="1">IFERROR(VLOOKUP(L253,fixed_expenses[],2,0),"")</f>
        <v/>
      </c>
      <c r="N253" s="17" t="str">
        <f ca="1">IF(HLOOKUP(N247,Summary!$I$2:$AM$7,6,0)=0,"",HLOOKUP(N247,Summary!$I$2:$AM$7,6,0))</f>
        <v/>
      </c>
      <c r="O253" s="71" t="str">
        <f ca="1">IFERROR(VLOOKUP(N253,fixed_expenses[],2,0),"")</f>
        <v/>
      </c>
      <c r="P253" s="22"/>
    </row>
    <row r="254" spans="1:16" ht="11.25" customHeight="1" x14ac:dyDescent="0.2">
      <c r="A254" s="43" t="s">
        <v>331</v>
      </c>
      <c r="B254" s="26" t="s">
        <v>8</v>
      </c>
      <c r="C254" s="27">
        <f ca="1">SUM(C249:C253)</f>
        <v>0</v>
      </c>
      <c r="D254" s="26"/>
      <c r="E254" s="27">
        <f ca="1">SUM(E249:E253)</f>
        <v>1200</v>
      </c>
      <c r="F254" s="26"/>
      <c r="G254" s="27">
        <f ca="1">SUM(G249:G253)</f>
        <v>0</v>
      </c>
      <c r="H254" s="26"/>
      <c r="I254" s="27">
        <f ca="1">SUM(I249:I253)</f>
        <v>0</v>
      </c>
      <c r="J254" s="26"/>
      <c r="K254" s="27">
        <f ca="1">SUM(K249:K253)</f>
        <v>0</v>
      </c>
      <c r="L254" s="26"/>
      <c r="M254" s="27">
        <f ca="1">SUM(M249:M253)</f>
        <v>0</v>
      </c>
      <c r="N254" s="26"/>
      <c r="O254" s="28">
        <f ca="1">SUM(O249:O253)</f>
        <v>0</v>
      </c>
      <c r="P254" s="29">
        <f ca="1">SUM(C254,E254,G254,I254,K254,M254,O254)</f>
        <v>1200</v>
      </c>
    </row>
    <row r="255" spans="1:16" x14ac:dyDescent="0.2">
      <c r="B255" s="6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6"/>
    </row>
    <row r="256" spans="1:16" ht="15" customHeight="1" x14ac:dyDescent="0.2">
      <c r="A256" s="43" t="s">
        <v>246</v>
      </c>
      <c r="B256" s="12">
        <f ca="1">N247+1</f>
        <v>9</v>
      </c>
      <c r="C256" s="13"/>
      <c r="D256" s="12">
        <f ca="1">B256+1</f>
        <v>10</v>
      </c>
      <c r="E256" s="13"/>
      <c r="F256" s="12">
        <f ca="1">D256+1</f>
        <v>11</v>
      </c>
      <c r="G256" s="13"/>
      <c r="H256" s="12">
        <f ca="1">F256+1</f>
        <v>12</v>
      </c>
      <c r="I256" s="13"/>
      <c r="J256" s="12">
        <f ca="1">H256+1</f>
        <v>13</v>
      </c>
      <c r="K256" s="13"/>
      <c r="L256" s="12">
        <f ca="1">J256+1</f>
        <v>14</v>
      </c>
      <c r="M256" s="13"/>
      <c r="N256" s="12">
        <f ca="1">L256+1</f>
        <v>15</v>
      </c>
      <c r="O256" s="13"/>
      <c r="P256" s="24"/>
    </row>
    <row r="257" spans="1:16" ht="11.25" customHeight="1" x14ac:dyDescent="0.2">
      <c r="A257" s="43" t="s">
        <v>163</v>
      </c>
      <c r="B257" s="37" t="s">
        <v>9</v>
      </c>
      <c r="C257" s="39" t="s">
        <v>10</v>
      </c>
      <c r="D257" s="37" t="s">
        <v>9</v>
      </c>
      <c r="E257" s="39" t="s">
        <v>10</v>
      </c>
      <c r="F257" s="37" t="s">
        <v>9</v>
      </c>
      <c r="G257" s="39" t="s">
        <v>10</v>
      </c>
      <c r="H257" s="37" t="s">
        <v>9</v>
      </c>
      <c r="I257" s="39" t="s">
        <v>10</v>
      </c>
      <c r="J257" s="37" t="s">
        <v>9</v>
      </c>
      <c r="K257" s="39" t="s">
        <v>10</v>
      </c>
      <c r="L257" s="37" t="s">
        <v>9</v>
      </c>
      <c r="M257" s="39" t="s">
        <v>10</v>
      </c>
      <c r="N257" s="37" t="s">
        <v>9</v>
      </c>
      <c r="O257" s="40" t="s">
        <v>10</v>
      </c>
      <c r="P257" s="22"/>
    </row>
    <row r="258" spans="1:16" ht="11.25" customHeight="1" x14ac:dyDescent="0.2">
      <c r="A258" s="43" t="s">
        <v>191</v>
      </c>
      <c r="B258" s="17" t="str">
        <f ca="1">IF(HLOOKUP(B256,Summary!$I$2:$AM$7,2,0)=0,"",HLOOKUP(B256,Summary!$I$2:$AM$7,2,0))</f>
        <v/>
      </c>
      <c r="C258" s="71" t="str">
        <f ca="1">IFERROR(VLOOKUP(B258,fixed_expenses[],2,0),"")</f>
        <v/>
      </c>
      <c r="D258" s="17" t="str">
        <f ca="1">IF(HLOOKUP(D256,Summary!$I$2:$AM$7,2,0)=0,"",HLOOKUP(D256,Summary!$I$2:$AM$7,2,0))</f>
        <v/>
      </c>
      <c r="E258" s="71" t="str">
        <f ca="1">IFERROR(VLOOKUP(D258,fixed_expenses[],2,0),"")</f>
        <v/>
      </c>
      <c r="F258" s="17" t="str">
        <f ca="1">IF(HLOOKUP(F256,Summary!$I$2:$AM$7,2,0)=0,"",HLOOKUP(F256,Summary!$I$2:$AM$7,2,0))</f>
        <v/>
      </c>
      <c r="G258" s="71" t="str">
        <f ca="1">IFERROR(VLOOKUP(F258,fixed_expenses[],2,0),"")</f>
        <v/>
      </c>
      <c r="H258" s="17" t="str">
        <f ca="1">IF(HLOOKUP(H256,Summary!$I$2:$AM$7,2,0)=0,"",HLOOKUP(H256,Summary!$I$2:$AM$7,2,0))</f>
        <v/>
      </c>
      <c r="I258" s="71" t="str">
        <f ca="1">IFERROR(VLOOKUP(H258,fixed_expenses[],2,0),"")</f>
        <v/>
      </c>
      <c r="J258" s="17" t="str">
        <f ca="1">IF(HLOOKUP(J256,Summary!$I$2:$AM$7,2,0)=0,"",HLOOKUP(J256,Summary!$I$2:$AM$7,2,0))</f>
        <v/>
      </c>
      <c r="K258" s="71" t="str">
        <f ca="1">IFERROR(VLOOKUP(J258,fixed_expenses[],2,0),"")</f>
        <v/>
      </c>
      <c r="L258" s="17" t="s">
        <v>384</v>
      </c>
      <c r="M258" s="71">
        <f>IFERROR(VLOOKUP(L258,fixed_expenses[],2,0),"")</f>
        <v>232</v>
      </c>
      <c r="N258" s="17" t="str">
        <f ca="1">IF(HLOOKUP(N256,Summary!$I$2:$AM$7,2,0)=0,"",HLOOKUP(N256,Summary!$I$2:$AM$7,2,0))</f>
        <v>Paul Phone Bill</v>
      </c>
      <c r="O258" s="71">
        <f ca="1">IFERROR(VLOOKUP(N258,fixed_expenses[],2,0),"")</f>
        <v>60</v>
      </c>
      <c r="P258" s="22"/>
    </row>
    <row r="259" spans="1:16" ht="11.25" customHeight="1" x14ac:dyDescent="0.2">
      <c r="B259" s="17" t="str">
        <f ca="1">IF(HLOOKUP(B256,Summary!$I$2:$AM$7,3,0)=0,"",HLOOKUP(B256,Summary!$I$2:$AM$7,3,0))</f>
        <v/>
      </c>
      <c r="C259" s="71" t="str">
        <f ca="1">IFERROR(VLOOKUP(B259,fixed_expenses[],2,0),"")</f>
        <v/>
      </c>
      <c r="D259" s="17" t="str">
        <f ca="1">IF(HLOOKUP(D256,Summary!$I$2:$AM$7,3,0)=0,"",HLOOKUP(D256,Summary!$I$2:$AM$7,3,0))</f>
        <v/>
      </c>
      <c r="E259" s="71" t="str">
        <f ca="1">IFERROR(VLOOKUP(D259,fixed_expenses[],2,0),"")</f>
        <v/>
      </c>
      <c r="F259" s="17" t="str">
        <f ca="1">IF(HLOOKUP(F256,Summary!$I$2:$AM$7,3,0)=0,"",HLOOKUP(F256,Summary!$I$2:$AM$7,3,0))</f>
        <v/>
      </c>
      <c r="G259" s="71" t="str">
        <f ca="1">IFERROR(VLOOKUP(F259,fixed_expenses[],2,0),"")</f>
        <v/>
      </c>
      <c r="H259" s="17" t="str">
        <f ca="1">IF(HLOOKUP(H256,Summary!$I$2:$AM$7,3,0)=0,"",HLOOKUP(H256,Summary!$I$2:$AM$7,3,0))</f>
        <v/>
      </c>
      <c r="I259" s="71" t="str">
        <f ca="1">IFERROR(VLOOKUP(H259,fixed_expenses[],2,0),"")</f>
        <v/>
      </c>
      <c r="J259" s="17" t="str">
        <f ca="1">IF(HLOOKUP(J256,Summary!$I$2:$AM$7,3,0)=0,"",HLOOKUP(J256,Summary!$I$2:$AM$7,3,0))</f>
        <v/>
      </c>
      <c r="K259" s="71" t="str">
        <f ca="1">IFERROR(VLOOKUP(J259,fixed_expenses[],2,0),"")</f>
        <v/>
      </c>
      <c r="L259" s="17" t="str">
        <f ca="1">IF(HLOOKUP(L256,Summary!$I$2:$AM$7,3,0)=0,"",HLOOKUP(L256,Summary!$I$2:$AM$7,3,0))</f>
        <v/>
      </c>
      <c r="M259" s="71" t="str">
        <f ca="1">IFERROR(VLOOKUP(L259,fixed_expenses[],2,0),"")</f>
        <v/>
      </c>
      <c r="N259" s="17" t="str">
        <f ca="1">IF(HLOOKUP(N256,Summary!$I$2:$AM$7,3,0)=0,"",HLOOKUP(N256,Summary!$I$2:$AM$7,3,0))</f>
        <v>Electric</v>
      </c>
      <c r="O259" s="71">
        <f ca="1">IFERROR(VLOOKUP(N259,fixed_expenses[],2,0),"")</f>
        <v>50</v>
      </c>
      <c r="P259" s="22"/>
    </row>
    <row r="260" spans="1:16" ht="11.25" customHeight="1" x14ac:dyDescent="0.2">
      <c r="B260" s="17" t="str">
        <f ca="1">IF(HLOOKUP(B256,Summary!$I$2:$AM$7,4,0)=0,"",HLOOKUP(B256,Summary!$I$2:$AM$7,4,0))</f>
        <v/>
      </c>
      <c r="C260" s="71" t="str">
        <f ca="1">IFERROR(VLOOKUP(B260,fixed_expenses[],2,0),"")</f>
        <v/>
      </c>
      <c r="D260" s="17" t="str">
        <f ca="1">IF(HLOOKUP(D256,Summary!$I$2:$AM$7,4,0)=0,"",HLOOKUP(D256,Summary!$I$2:$AM$7,4,0))</f>
        <v/>
      </c>
      <c r="E260" s="71" t="str">
        <f ca="1">IFERROR(VLOOKUP(D260,fixed_expenses[],2,0),"")</f>
        <v/>
      </c>
      <c r="F260" s="17" t="str">
        <f ca="1">IF(HLOOKUP(F256,Summary!$I$2:$AM$7,4,0)=0,"",HLOOKUP(F256,Summary!$I$2:$AM$7,4,0))</f>
        <v/>
      </c>
      <c r="G260" s="71" t="str">
        <f ca="1">IFERROR(VLOOKUP(F260,fixed_expenses[],2,0),"")</f>
        <v/>
      </c>
      <c r="H260" s="17" t="str">
        <f ca="1">IF(HLOOKUP(H256,Summary!$I$2:$AM$7,4,0)=0,"",HLOOKUP(H256,Summary!$I$2:$AM$7,4,0))</f>
        <v/>
      </c>
      <c r="I260" s="71" t="str">
        <f ca="1">IFERROR(VLOOKUP(H260,fixed_expenses[],2,0),"")</f>
        <v/>
      </c>
      <c r="J260" s="17" t="str">
        <f ca="1">IF(HLOOKUP(J256,Summary!$I$2:$AM$7,4,0)=0,"",HLOOKUP(J256,Summary!$I$2:$AM$7,4,0))</f>
        <v/>
      </c>
      <c r="K260" s="71" t="str">
        <f ca="1">IFERROR(VLOOKUP(J260,fixed_expenses[],2,0),"")</f>
        <v/>
      </c>
      <c r="L260" s="17" t="str">
        <f ca="1">IF(HLOOKUP(L256,Summary!$I$2:$AM$7,4,0)=0,"",HLOOKUP(L256,Summary!$I$2:$AM$7,4,0))</f>
        <v/>
      </c>
      <c r="M260" s="71" t="str">
        <f ca="1">IFERROR(VLOOKUP(L260,fixed_expenses[],2,0),"")</f>
        <v/>
      </c>
      <c r="N260" s="17" t="str">
        <f ca="1">IF(HLOOKUP(N256,Summary!$I$2:$AM$7,4,0)=0,"",HLOOKUP(N256,Summary!$I$2:$AM$7,4,0))</f>
        <v/>
      </c>
      <c r="O260" s="71" t="str">
        <f ca="1">IFERROR(VLOOKUP(N260,fixed_expenses[],2,0),"")</f>
        <v/>
      </c>
      <c r="P260" s="22"/>
    </row>
    <row r="261" spans="1:16" ht="11.25" customHeight="1" x14ac:dyDescent="0.2">
      <c r="B261" s="17" t="str">
        <f ca="1">IF(HLOOKUP(B256,Summary!$I$2:$AM$7,5,0)=0,"",HLOOKUP(B256,Summary!$I$2:$AM$7,5,0))</f>
        <v/>
      </c>
      <c r="C261" s="71" t="str">
        <f ca="1">IFERROR(VLOOKUP(B261,fixed_expenses[],2,0),"")</f>
        <v/>
      </c>
      <c r="D261" s="17" t="str">
        <f ca="1">IF(HLOOKUP(D256,Summary!$I$2:$AM$7,5,0)=0,"",HLOOKUP(D256,Summary!$I$2:$AM$7,5,0))</f>
        <v/>
      </c>
      <c r="E261" s="71" t="str">
        <f ca="1">IFERROR(VLOOKUP(D261,fixed_expenses[],2,0),"")</f>
        <v/>
      </c>
      <c r="F261" s="17" t="str">
        <f ca="1">IF(HLOOKUP(F256,Summary!$I$2:$AM$7,5,0)=0,"",HLOOKUP(F256,Summary!$I$2:$AM$7,5,0))</f>
        <v/>
      </c>
      <c r="G261" s="71" t="str">
        <f ca="1">IFERROR(VLOOKUP(F261,fixed_expenses[],2,0),"")</f>
        <v/>
      </c>
      <c r="H261" s="17" t="str">
        <f ca="1">IF(HLOOKUP(H256,Summary!$I$2:$AM$7,5,0)=0,"",HLOOKUP(H256,Summary!$I$2:$AM$7,5,0))</f>
        <v/>
      </c>
      <c r="I261" s="71" t="str">
        <f ca="1">IFERROR(VLOOKUP(H261,fixed_expenses[],2,0),"")</f>
        <v/>
      </c>
      <c r="J261" s="17" t="str">
        <f ca="1">IF(HLOOKUP(J256,Summary!$I$2:$AM$7,5,0)=0,"",HLOOKUP(J256,Summary!$I$2:$AM$7,5,0))</f>
        <v/>
      </c>
      <c r="K261" s="71" t="str">
        <f ca="1">IFERROR(VLOOKUP(J261,fixed_expenses[],2,0),"")</f>
        <v/>
      </c>
      <c r="L261" s="17" t="str">
        <f ca="1">IF(HLOOKUP(L256,Summary!$I$2:$AM$7,5,0)=0,"",HLOOKUP(L256,Summary!$I$2:$AM$7,5,0))</f>
        <v/>
      </c>
      <c r="M261" s="71" t="str">
        <f ca="1">IFERROR(VLOOKUP(L261,fixed_expenses[],2,0),"")</f>
        <v/>
      </c>
      <c r="N261" s="17" t="str">
        <f ca="1">IF(HLOOKUP(N256,Summary!$I$2:$AM$7,5,0)=0,"",HLOOKUP(N256,Summary!$I$2:$AM$7,5,0))</f>
        <v/>
      </c>
      <c r="O261" s="71" t="str">
        <f ca="1">IFERROR(VLOOKUP(N261,fixed_expenses[],2,0),"")</f>
        <v/>
      </c>
      <c r="P261" s="22"/>
    </row>
    <row r="262" spans="1:16" ht="11.25" customHeight="1" x14ac:dyDescent="0.2">
      <c r="B262" s="17" t="str">
        <f ca="1">IF(HLOOKUP(B256,Summary!$I$2:$AM$7,6,0)=0,"",HLOOKUP(B256,Summary!$I$2:$AM$7,6,0))</f>
        <v/>
      </c>
      <c r="C262" s="71" t="str">
        <f ca="1">IFERROR(VLOOKUP(B262,fixed_expenses[],2,0),"")</f>
        <v/>
      </c>
      <c r="D262" s="17" t="str">
        <f ca="1">IF(HLOOKUP(D256,Summary!$I$2:$AM$7,6,0)=0,"",HLOOKUP(D256,Summary!$I$2:$AM$7,6,0))</f>
        <v/>
      </c>
      <c r="E262" s="71" t="str">
        <f ca="1">IFERROR(VLOOKUP(D262,fixed_expenses[],2,0),"")</f>
        <v/>
      </c>
      <c r="F262" s="17" t="str">
        <f ca="1">IF(HLOOKUP(F256,Summary!$I$2:$AM$7,6,0)=0,"",HLOOKUP(F256,Summary!$I$2:$AM$7,6,0))</f>
        <v/>
      </c>
      <c r="G262" s="71" t="str">
        <f ca="1">IFERROR(VLOOKUP(F262,fixed_expenses[],2,0),"")</f>
        <v/>
      </c>
      <c r="H262" s="17" t="str">
        <f ca="1">IF(HLOOKUP(H256,Summary!$I$2:$AM$7,6,0)=0,"",HLOOKUP(H256,Summary!$I$2:$AM$7,6,0))</f>
        <v/>
      </c>
      <c r="I262" s="71" t="str">
        <f ca="1">IFERROR(VLOOKUP(H262,fixed_expenses[],2,0),"")</f>
        <v/>
      </c>
      <c r="J262" s="17" t="str">
        <f ca="1">IF(HLOOKUP(J256,Summary!$I$2:$AM$7,6,0)=0,"",HLOOKUP(J256,Summary!$I$2:$AM$7,6,0))</f>
        <v/>
      </c>
      <c r="K262" s="71" t="str">
        <f ca="1">IFERROR(VLOOKUP(J262,fixed_expenses[],2,0),"")</f>
        <v/>
      </c>
      <c r="L262" s="17" t="str">
        <f ca="1">IF(HLOOKUP(L256,Summary!$I$2:$AM$7,6,0)=0,"",HLOOKUP(L256,Summary!$I$2:$AM$7,6,0))</f>
        <v/>
      </c>
      <c r="M262" s="71" t="str">
        <f ca="1">IFERROR(VLOOKUP(L262,fixed_expenses[],2,0),"")</f>
        <v/>
      </c>
      <c r="N262" s="17" t="str">
        <f ca="1">IF(HLOOKUP(N256,Summary!$I$2:$AM$7,6,0)=0,"",HLOOKUP(N256,Summary!$I$2:$AM$7,6,0))</f>
        <v/>
      </c>
      <c r="O262" s="71" t="str">
        <f ca="1">IFERROR(VLOOKUP(N262,fixed_expenses[],2,0),"")</f>
        <v/>
      </c>
      <c r="P262" s="22"/>
    </row>
    <row r="263" spans="1:16" ht="11.25" customHeight="1" x14ac:dyDescent="0.2">
      <c r="A263" s="43" t="s">
        <v>330</v>
      </c>
      <c r="B263" s="30" t="s">
        <v>8</v>
      </c>
      <c r="C263" s="27">
        <f ca="1">SUM(C258:C262)</f>
        <v>0</v>
      </c>
      <c r="D263" s="26"/>
      <c r="E263" s="27">
        <f ca="1">SUM(E258:E262)</f>
        <v>0</v>
      </c>
      <c r="F263" s="26"/>
      <c r="G263" s="27">
        <f ca="1">SUM(G258:G262)</f>
        <v>0</v>
      </c>
      <c r="H263" s="26"/>
      <c r="I263" s="27">
        <f ca="1">SUM(I258:I262)</f>
        <v>0</v>
      </c>
      <c r="J263" s="26"/>
      <c r="K263" s="27">
        <f ca="1">SUM(K258:K262)</f>
        <v>0</v>
      </c>
      <c r="L263" s="26"/>
      <c r="M263" s="27">
        <f ca="1">SUM(M258:M262)</f>
        <v>232</v>
      </c>
      <c r="N263" s="26"/>
      <c r="O263" s="28">
        <f ca="1">SUM(O258:O262)</f>
        <v>110</v>
      </c>
      <c r="P263" s="29">
        <f ca="1">SUM(C263,E263,G263,I263,K263,M263,O263)</f>
        <v>342</v>
      </c>
    </row>
    <row r="264" spans="1:16" x14ac:dyDescent="0.2">
      <c r="B264" s="6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6"/>
    </row>
    <row r="265" spans="1:16" ht="15" customHeight="1" x14ac:dyDescent="0.2">
      <c r="A265" s="43" t="s">
        <v>247</v>
      </c>
      <c r="B265" s="12">
        <f ca="1">N256+1</f>
        <v>16</v>
      </c>
      <c r="C265" s="13"/>
      <c r="D265" s="12">
        <f ca="1">B265+1</f>
        <v>17</v>
      </c>
      <c r="E265" s="13"/>
      <c r="F265" s="12">
        <f ca="1">D265+1</f>
        <v>18</v>
      </c>
      <c r="G265" s="13"/>
      <c r="H265" s="12">
        <f ca="1">F265+1</f>
        <v>19</v>
      </c>
      <c r="I265" s="13"/>
      <c r="J265" s="12">
        <f ca="1">H265+1</f>
        <v>20</v>
      </c>
      <c r="K265" s="13"/>
      <c r="L265" s="12">
        <f ca="1">J265+1</f>
        <v>21</v>
      </c>
      <c r="M265" s="13"/>
      <c r="N265" s="12">
        <f ca="1">L265+1</f>
        <v>22</v>
      </c>
      <c r="O265" s="13"/>
      <c r="P265" s="24"/>
    </row>
    <row r="266" spans="1:16" ht="11.25" customHeight="1" x14ac:dyDescent="0.2">
      <c r="A266" s="43" t="s">
        <v>162</v>
      </c>
      <c r="B266" s="37" t="s">
        <v>9</v>
      </c>
      <c r="C266" s="39" t="s">
        <v>10</v>
      </c>
      <c r="D266" s="37" t="s">
        <v>9</v>
      </c>
      <c r="E266" s="39" t="s">
        <v>10</v>
      </c>
      <c r="F266" s="37" t="s">
        <v>9</v>
      </c>
      <c r="G266" s="39" t="s">
        <v>10</v>
      </c>
      <c r="H266" s="37" t="s">
        <v>9</v>
      </c>
      <c r="I266" s="39" t="s">
        <v>10</v>
      </c>
      <c r="J266" s="37" t="s">
        <v>9</v>
      </c>
      <c r="K266" s="39" t="s">
        <v>10</v>
      </c>
      <c r="L266" s="37" t="s">
        <v>9</v>
      </c>
      <c r="M266" s="39" t="s">
        <v>10</v>
      </c>
      <c r="N266" s="37" t="s">
        <v>9</v>
      </c>
      <c r="O266" s="40" t="s">
        <v>10</v>
      </c>
      <c r="P266" s="22"/>
    </row>
    <row r="267" spans="1:16" ht="11.25" customHeight="1" x14ac:dyDescent="0.2">
      <c r="A267" s="43" t="s">
        <v>192</v>
      </c>
      <c r="B267" s="17" t="str">
        <f ca="1">IF(HLOOKUP(B265,Summary!$I$2:$AM$7,2,0)=0,"",HLOOKUP(B265,Summary!$I$2:$AM$7,2,0))</f>
        <v/>
      </c>
      <c r="C267" s="71" t="str">
        <f ca="1">IFERROR(VLOOKUP(B267,fixed_expenses[],2,0),"")</f>
        <v/>
      </c>
      <c r="D267" s="17" t="str">
        <f ca="1">IF(HLOOKUP(D265,Summary!$I$2:$AM$7,2,0)=0,"",HLOOKUP(D265,Summary!$I$2:$AM$7,2,0))</f>
        <v/>
      </c>
      <c r="E267" s="71" t="str">
        <f ca="1">IFERROR(VLOOKUP(D267,fixed_expenses[],2,0),"")</f>
        <v/>
      </c>
      <c r="F267" s="17" t="str">
        <f ca="1">IF(HLOOKUP(F265,Summary!$I$2:$AM$7,2,0)=0,"",HLOOKUP(F265,Summary!$I$2:$AM$7,2,0))</f>
        <v/>
      </c>
      <c r="G267" s="71" t="str">
        <f ca="1">IFERROR(VLOOKUP(F267,fixed_expenses[],2,0),"")</f>
        <v/>
      </c>
      <c r="H267" s="17" t="str">
        <f ca="1">IF(HLOOKUP(H265,Summary!$I$2:$AM$7,2,0)=0,"",HLOOKUP(H265,Summary!$I$2:$AM$7,2,0))</f>
        <v/>
      </c>
      <c r="I267" s="71" t="str">
        <f ca="1">IFERROR(VLOOKUP(H267,fixed_expenses[],2,0),"")</f>
        <v/>
      </c>
      <c r="J267" s="17" t="str">
        <f ca="1">IF(HLOOKUP(J265,Summary!$I$2:$AM$7,2,0)=0,"",HLOOKUP(J265,Summary!$I$2:$AM$7,2,0))</f>
        <v>Lynn Phone Bill</v>
      </c>
      <c r="K267" s="71" t="str">
        <f ca="1">IFERROR(VLOOKUP(J267,fixed_expenses[],2,0),"")</f>
        <v/>
      </c>
      <c r="L267" s="17" t="str">
        <f ca="1">IF(HLOOKUP(L265,Summary!$I$2:$AM$7,2,0)=0,"",HLOOKUP(L265,Summary!$I$2:$AM$7,2,0))</f>
        <v/>
      </c>
      <c r="M267" s="71" t="str">
        <f ca="1">IFERROR(VLOOKUP(L267,fixed_expenses[],2,0),"")</f>
        <v/>
      </c>
      <c r="N267" s="17" t="str">
        <f ca="1">IF(HLOOKUP(N265,Summary!$I$2:$AM$7,2,0)=0,"",HLOOKUP(N265,Summary!$I$2:$AM$7,2,0))</f>
        <v/>
      </c>
      <c r="O267" s="71" t="str">
        <f ca="1">IFERROR(VLOOKUP(N267,fixed_expenses[],2,0),"")</f>
        <v/>
      </c>
      <c r="P267" s="22"/>
    </row>
    <row r="268" spans="1:16" ht="11.25" customHeight="1" x14ac:dyDescent="0.2">
      <c r="B268" s="17" t="str">
        <f ca="1">IF(HLOOKUP(B265,Summary!$I$2:$AM$7,3,0)=0,"",HLOOKUP(B265,Summary!$I$2:$AM$7,3,0))</f>
        <v/>
      </c>
      <c r="C268" s="71" t="str">
        <f ca="1">IFERROR(VLOOKUP(B268,fixed_expenses[],2,0),"")</f>
        <v/>
      </c>
      <c r="D268" s="17" t="str">
        <f ca="1">IF(HLOOKUP(D265,Summary!$I$2:$AM$7,3,0)=0,"",HLOOKUP(D265,Summary!$I$2:$AM$7,3,0))</f>
        <v/>
      </c>
      <c r="E268" s="71" t="str">
        <f ca="1">IFERROR(VLOOKUP(D268,fixed_expenses[],2,0),"")</f>
        <v/>
      </c>
      <c r="F268" s="17" t="str">
        <f ca="1">IF(HLOOKUP(F265,Summary!$I$2:$AM$7,3,0)=0,"",HLOOKUP(F265,Summary!$I$2:$AM$7,3,0))</f>
        <v/>
      </c>
      <c r="G268" s="71" t="str">
        <f ca="1">IFERROR(VLOOKUP(F268,fixed_expenses[],2,0),"")</f>
        <v/>
      </c>
      <c r="H268" s="17" t="str">
        <f ca="1">IF(HLOOKUP(H265,Summary!$I$2:$AM$7,3,0)=0,"",HLOOKUP(H265,Summary!$I$2:$AM$7,3,0))</f>
        <v/>
      </c>
      <c r="I268" s="71" t="str">
        <f ca="1">IFERROR(VLOOKUP(H268,fixed_expenses[],2,0),"")</f>
        <v/>
      </c>
      <c r="J268" s="17" t="str">
        <f ca="1">IF(HLOOKUP(J265,Summary!$I$2:$AM$7,3,0)=0,"",HLOOKUP(J265,Summary!$I$2:$AM$7,3,0))</f>
        <v/>
      </c>
      <c r="K268" s="71" t="str">
        <f ca="1">IFERROR(VLOOKUP(J268,fixed_expenses[],2,0),"")</f>
        <v/>
      </c>
      <c r="L268" s="17" t="str">
        <f ca="1">IF(HLOOKUP(L265,Summary!$I$2:$AM$7,3,0)=0,"",HLOOKUP(L265,Summary!$I$2:$AM$7,3,0))</f>
        <v/>
      </c>
      <c r="M268" s="71" t="str">
        <f ca="1">IFERROR(VLOOKUP(L268,fixed_expenses[],2,0),"")</f>
        <v/>
      </c>
      <c r="N268" s="17" t="str">
        <f ca="1">IF(HLOOKUP(N265,Summary!$I$2:$AM$7,3,0)=0,"",HLOOKUP(N265,Summary!$I$2:$AM$7,3,0))</f>
        <v/>
      </c>
      <c r="O268" s="71" t="str">
        <f ca="1">IFERROR(VLOOKUP(N268,fixed_expenses[],2,0),"")</f>
        <v/>
      </c>
      <c r="P268" s="22"/>
    </row>
    <row r="269" spans="1:16" ht="11.25" customHeight="1" x14ac:dyDescent="0.2">
      <c r="B269" s="17" t="str">
        <f ca="1">IF(HLOOKUP(B265,Summary!$I$2:$AM$7,4,0)=0,"",HLOOKUP(B265,Summary!$I$2:$AM$7,4,0))</f>
        <v/>
      </c>
      <c r="C269" s="71" t="str">
        <f ca="1">IFERROR(VLOOKUP(B269,fixed_expenses[],2,0),"")</f>
        <v/>
      </c>
      <c r="D269" s="17" t="str">
        <f ca="1">IF(HLOOKUP(D265,Summary!$I$2:$AM$7,4,0)=0,"",HLOOKUP(D265,Summary!$I$2:$AM$7,4,0))</f>
        <v/>
      </c>
      <c r="E269" s="71" t="str">
        <f ca="1">IFERROR(VLOOKUP(D269,fixed_expenses[],2,0),"")</f>
        <v/>
      </c>
      <c r="F269" s="17" t="str">
        <f ca="1">IF(HLOOKUP(F265,Summary!$I$2:$AM$7,4,0)=0,"",HLOOKUP(F265,Summary!$I$2:$AM$7,4,0))</f>
        <v/>
      </c>
      <c r="G269" s="71" t="str">
        <f ca="1">IFERROR(VLOOKUP(F269,fixed_expenses[],2,0),"")</f>
        <v/>
      </c>
      <c r="H269" s="17" t="str">
        <f ca="1">IF(HLOOKUP(H265,Summary!$I$2:$AM$7,4,0)=0,"",HLOOKUP(H265,Summary!$I$2:$AM$7,4,0))</f>
        <v/>
      </c>
      <c r="I269" s="71" t="str">
        <f ca="1">IFERROR(VLOOKUP(H269,fixed_expenses[],2,0),"")</f>
        <v/>
      </c>
      <c r="J269" s="17" t="str">
        <f ca="1">IF(HLOOKUP(J265,Summary!$I$2:$AM$7,4,0)=0,"",HLOOKUP(J265,Summary!$I$2:$AM$7,4,0))</f>
        <v/>
      </c>
      <c r="K269" s="71" t="str">
        <f ca="1">IFERROR(VLOOKUP(J269,fixed_expenses[],2,0),"")</f>
        <v/>
      </c>
      <c r="L269" s="17" t="str">
        <f ca="1">IF(HLOOKUP(L265,Summary!$I$2:$AM$7,4,0)=0,"",HLOOKUP(L265,Summary!$I$2:$AM$7,4,0))</f>
        <v/>
      </c>
      <c r="M269" s="71" t="str">
        <f ca="1">IFERROR(VLOOKUP(L269,fixed_expenses[],2,0),"")</f>
        <v/>
      </c>
      <c r="N269" s="17" t="str">
        <f ca="1">IF(HLOOKUP(N265,Summary!$I$2:$AM$7,4,0)=0,"",HLOOKUP(N265,Summary!$I$2:$AM$7,4,0))</f>
        <v/>
      </c>
      <c r="O269" s="71" t="str">
        <f ca="1">IFERROR(VLOOKUP(N269,fixed_expenses[],2,0),"")</f>
        <v/>
      </c>
      <c r="P269" s="22"/>
    </row>
    <row r="270" spans="1:16" ht="11.25" customHeight="1" x14ac:dyDescent="0.2">
      <c r="B270" s="17" t="str">
        <f ca="1">IF(HLOOKUP(B265,Summary!$I$2:$AM$7,5,0)=0,"",HLOOKUP(B265,Summary!$I$2:$AM$7,5,0))</f>
        <v/>
      </c>
      <c r="C270" s="71" t="str">
        <f ca="1">IFERROR(VLOOKUP(B270,fixed_expenses[],2,0),"")</f>
        <v/>
      </c>
      <c r="D270" s="17" t="str">
        <f ca="1">IF(HLOOKUP(D265,Summary!$I$2:$AM$7,5,0)=0,"",HLOOKUP(D265,Summary!$I$2:$AM$7,5,0))</f>
        <v/>
      </c>
      <c r="E270" s="71" t="str">
        <f ca="1">IFERROR(VLOOKUP(D270,fixed_expenses[],2,0),"")</f>
        <v/>
      </c>
      <c r="F270" s="17" t="str">
        <f ca="1">IF(HLOOKUP(F265,Summary!$I$2:$AM$7,5,0)=0,"",HLOOKUP(F265,Summary!$I$2:$AM$7,5,0))</f>
        <v/>
      </c>
      <c r="G270" s="71" t="str">
        <f ca="1">IFERROR(VLOOKUP(F270,fixed_expenses[],2,0),"")</f>
        <v/>
      </c>
      <c r="H270" s="17" t="str">
        <f ca="1">IF(HLOOKUP(H265,Summary!$I$2:$AM$7,5,0)=0,"",HLOOKUP(H265,Summary!$I$2:$AM$7,5,0))</f>
        <v/>
      </c>
      <c r="I270" s="71" t="str">
        <f ca="1">IFERROR(VLOOKUP(H270,fixed_expenses[],2,0),"")</f>
        <v/>
      </c>
      <c r="J270" s="17" t="str">
        <f ca="1">IF(HLOOKUP(J265,Summary!$I$2:$AM$7,5,0)=0,"",HLOOKUP(J265,Summary!$I$2:$AM$7,5,0))</f>
        <v/>
      </c>
      <c r="K270" s="71" t="str">
        <f ca="1">IFERROR(VLOOKUP(J270,fixed_expenses[],2,0),"")</f>
        <v/>
      </c>
      <c r="L270" s="17" t="str">
        <f ca="1">IF(HLOOKUP(L265,Summary!$I$2:$AM$7,5,0)=0,"",HLOOKUP(L265,Summary!$I$2:$AM$7,5,0))</f>
        <v/>
      </c>
      <c r="M270" s="71" t="str">
        <f ca="1">IFERROR(VLOOKUP(L270,fixed_expenses[],2,0),"")</f>
        <v/>
      </c>
      <c r="N270" s="17" t="str">
        <f ca="1">IF(HLOOKUP(N265,Summary!$I$2:$AM$7,5,0)=0,"",HLOOKUP(N265,Summary!$I$2:$AM$7,5,0))</f>
        <v/>
      </c>
      <c r="O270" s="71" t="str">
        <f ca="1">IFERROR(VLOOKUP(N270,fixed_expenses[],2,0),"")</f>
        <v/>
      </c>
      <c r="P270" s="22"/>
    </row>
    <row r="271" spans="1:16" ht="11.25" customHeight="1" x14ac:dyDescent="0.2">
      <c r="B271" s="17" t="str">
        <f ca="1">IF(HLOOKUP(B265,Summary!$I$2:$AM$7,6,0)=0,"",HLOOKUP(B265,Summary!$I$2:$AM$7,6,0))</f>
        <v/>
      </c>
      <c r="C271" s="71" t="str">
        <f ca="1">IFERROR(VLOOKUP(B271,fixed_expenses[],2,0),"")</f>
        <v/>
      </c>
      <c r="D271" s="17" t="str">
        <f ca="1">IF(HLOOKUP(D265,Summary!$I$2:$AM$7,6,0)=0,"",HLOOKUP(D265,Summary!$I$2:$AM$7,6,0))</f>
        <v/>
      </c>
      <c r="E271" s="71" t="str">
        <f ca="1">IFERROR(VLOOKUP(D271,fixed_expenses[],2,0),"")</f>
        <v/>
      </c>
      <c r="F271" s="17" t="str">
        <f ca="1">IF(HLOOKUP(F265,Summary!$I$2:$AM$7,6,0)=0,"",HLOOKUP(F265,Summary!$I$2:$AM$7,6,0))</f>
        <v/>
      </c>
      <c r="G271" s="71" t="str">
        <f ca="1">IFERROR(VLOOKUP(F271,fixed_expenses[],2,0),"")</f>
        <v/>
      </c>
      <c r="H271" s="17" t="str">
        <f ca="1">IF(HLOOKUP(H265,Summary!$I$2:$AM$7,6,0)=0,"",HLOOKUP(H265,Summary!$I$2:$AM$7,6,0))</f>
        <v/>
      </c>
      <c r="I271" s="71" t="str">
        <f ca="1">IFERROR(VLOOKUP(H271,fixed_expenses[],2,0),"")</f>
        <v/>
      </c>
      <c r="J271" s="17" t="str">
        <f ca="1">IF(HLOOKUP(J265,Summary!$I$2:$AM$7,6,0)=0,"",HLOOKUP(J265,Summary!$I$2:$AM$7,6,0))</f>
        <v/>
      </c>
      <c r="K271" s="71" t="str">
        <f ca="1">IFERROR(VLOOKUP(J271,fixed_expenses[],2,0),"")</f>
        <v/>
      </c>
      <c r="L271" s="17" t="str">
        <f ca="1">IF(HLOOKUP(L265,Summary!$I$2:$AM$7,6,0)=0,"",HLOOKUP(L265,Summary!$I$2:$AM$7,6,0))</f>
        <v/>
      </c>
      <c r="M271" s="71" t="str">
        <f ca="1">IFERROR(VLOOKUP(L271,fixed_expenses[],2,0),"")</f>
        <v/>
      </c>
      <c r="N271" s="17" t="str">
        <f ca="1">IF(HLOOKUP(N265,Summary!$I$2:$AM$7,6,0)=0,"",HLOOKUP(N265,Summary!$I$2:$AM$7,6,0))</f>
        <v/>
      </c>
      <c r="O271" s="71" t="str">
        <f ca="1">IFERROR(VLOOKUP(N271,fixed_expenses[],2,0),"")</f>
        <v/>
      </c>
      <c r="P271" s="22"/>
    </row>
    <row r="272" spans="1:16" ht="11.25" customHeight="1" x14ac:dyDescent="0.2">
      <c r="A272" s="43" t="s">
        <v>329</v>
      </c>
      <c r="B272" s="26" t="s">
        <v>8</v>
      </c>
      <c r="C272" s="27">
        <f ca="1">SUM(C267:C271)</f>
        <v>0</v>
      </c>
      <c r="D272" s="26"/>
      <c r="E272" s="27">
        <f ca="1">SUM(E267:E271)</f>
        <v>0</v>
      </c>
      <c r="F272" s="26"/>
      <c r="G272" s="27">
        <f ca="1">SUM(G267:G271)</f>
        <v>0</v>
      </c>
      <c r="H272" s="26"/>
      <c r="I272" s="27">
        <f ca="1">SUM(I267:I271)</f>
        <v>0</v>
      </c>
      <c r="J272" s="26"/>
      <c r="K272" s="27">
        <f ca="1">SUM(K267:K271)</f>
        <v>0</v>
      </c>
      <c r="L272" s="26"/>
      <c r="M272" s="27">
        <f ca="1">SUM(M267:M271)</f>
        <v>0</v>
      </c>
      <c r="N272" s="26"/>
      <c r="O272" s="28">
        <f ca="1">SUM(O267:O271)</f>
        <v>0</v>
      </c>
      <c r="P272" s="29">
        <f ca="1">SUM(C272,E272,G272,I272,K272,M272,O272)</f>
        <v>0</v>
      </c>
    </row>
    <row r="273" spans="1:16" x14ac:dyDescent="0.2">
      <c r="B273" s="6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6"/>
    </row>
    <row r="274" spans="1:16" ht="15" customHeight="1" x14ac:dyDescent="0.2">
      <c r="A274" s="43" t="s">
        <v>248</v>
      </c>
      <c r="B274" s="12">
        <f ca="1">DAY(IF(DAY(MaySun1)=1,MaySun1+22,MaySun1+29))</f>
        <v>23</v>
      </c>
      <c r="C274" s="13"/>
      <c r="D274" s="12">
        <f ca="1">DAY(IF(DAY(MaySun1)=1,MaySun1+23,MaySun1+30))</f>
        <v>24</v>
      </c>
      <c r="E274" s="13"/>
      <c r="F274" s="12">
        <f ca="1">DAY(IF(DAY(MaySun1)=1,MaySun1+24,MaySun1+31))</f>
        <v>25</v>
      </c>
      <c r="G274" s="13"/>
      <c r="H274" s="12">
        <f ca="1">DAY(IF(DAY(MaySun1)=1,MaySun1+25,MaySun1+32))</f>
        <v>26</v>
      </c>
      <c r="I274" s="13"/>
      <c r="J274" s="12">
        <f ca="1">DAY(IF(DAY(MaySun1)=1,MaySun1+26,MaySun1+33))</f>
        <v>27</v>
      </c>
      <c r="K274" s="13"/>
      <c r="L274" s="12">
        <f ca="1">DAY(IF(DAY(MaySun1)=1,MaySun1+27,MaySun1+34))</f>
        <v>28</v>
      </c>
      <c r="M274" s="13"/>
      <c r="N274" s="12">
        <f ca="1">DAY(IF(DAY(MaySun1)=1,MaySun1+28,MaySun1+35))</f>
        <v>29</v>
      </c>
      <c r="O274" s="13"/>
      <c r="P274" s="25"/>
    </row>
    <row r="275" spans="1:16" ht="11.25" customHeight="1" x14ac:dyDescent="0.2">
      <c r="A275" s="43" t="s">
        <v>161</v>
      </c>
      <c r="B275" s="37" t="s">
        <v>9</v>
      </c>
      <c r="C275" s="39" t="s">
        <v>10</v>
      </c>
      <c r="D275" s="37" t="s">
        <v>9</v>
      </c>
      <c r="E275" s="39" t="s">
        <v>10</v>
      </c>
      <c r="F275" s="37" t="s">
        <v>9</v>
      </c>
      <c r="G275" s="39" t="s">
        <v>10</v>
      </c>
      <c r="H275" s="37" t="s">
        <v>9</v>
      </c>
      <c r="I275" s="39" t="s">
        <v>10</v>
      </c>
      <c r="J275" s="37" t="s">
        <v>9</v>
      </c>
      <c r="K275" s="39" t="s">
        <v>10</v>
      </c>
      <c r="L275" s="37" t="s">
        <v>9</v>
      </c>
      <c r="M275" s="39" t="s">
        <v>10</v>
      </c>
      <c r="N275" s="37" t="s">
        <v>9</v>
      </c>
      <c r="O275" s="40" t="s">
        <v>10</v>
      </c>
      <c r="P275" s="22"/>
    </row>
    <row r="276" spans="1:16" ht="11.25" customHeight="1" x14ac:dyDescent="0.2">
      <c r="A276" s="43" t="s">
        <v>193</v>
      </c>
      <c r="B276" s="17" t="str">
        <f ca="1">IF(HLOOKUP(B274,Summary!$I$2:$AM$7,2,0)=0,"",HLOOKUP(B274,Summary!$I$2:$AM$7,2,0))</f>
        <v/>
      </c>
      <c r="C276" s="71" t="str">
        <f ca="1">IFERROR(VLOOKUP(B276,fixed_expenses[],2,0),"")</f>
        <v/>
      </c>
      <c r="D276" s="17" t="str">
        <f ca="1">IF(HLOOKUP(D274,Summary!$I$2:$AM$7,2,0)=0,"",HLOOKUP(D274,Summary!$I$2:$AM$7,2,0))</f>
        <v/>
      </c>
      <c r="E276" s="71" t="str">
        <f ca="1">IFERROR(VLOOKUP(D276,fixed_expenses[],2,0),"")</f>
        <v/>
      </c>
      <c r="F276" s="17" t="str">
        <f ca="1">IF(HLOOKUP(F274,Summary!$I$2:$AM$7,2,0)=0,"",HLOOKUP(F274,Summary!$I$2:$AM$7,2,0))</f>
        <v/>
      </c>
      <c r="G276" s="71" t="str">
        <f ca="1">IFERROR(VLOOKUP(F276,fixed_expenses[],2,0),"")</f>
        <v/>
      </c>
      <c r="H276" s="17" t="str">
        <f ca="1">IF(HLOOKUP(H274,Summary!$I$2:$AM$7,2,0)=0,"",HLOOKUP(H274,Summary!$I$2:$AM$7,2,0))</f>
        <v/>
      </c>
      <c r="I276" s="71" t="str">
        <f ca="1">IFERROR(VLOOKUP(H276,fixed_expenses[],2,0),"")</f>
        <v/>
      </c>
      <c r="J276" s="17" t="str">
        <f ca="1">IF(HLOOKUP(J274,Summary!$I$2:$AM$7,2,0)=0,"",HLOOKUP(J274,Summary!$I$2:$AM$7,2,0))</f>
        <v/>
      </c>
      <c r="K276" s="71" t="str">
        <f ca="1">IFERROR(VLOOKUP(J276,fixed_expenses[],2,0),"")</f>
        <v/>
      </c>
      <c r="L276" s="17" t="s">
        <v>384</v>
      </c>
      <c r="M276" s="71">
        <f>IFERROR(VLOOKUP(L276,fixed_expenses[],2,0),"")</f>
        <v>232</v>
      </c>
      <c r="N276" s="17" t="str">
        <f ca="1">IF(HLOOKUP(N274,Summary!$I$2:$AM$7,2,0)=0,"",HLOOKUP(N274,Summary!$I$2:$AM$7,2,0))</f>
        <v/>
      </c>
      <c r="O276" s="71" t="str">
        <f ca="1">IFERROR(VLOOKUP(N276,fixed_expenses[],2,0),"")</f>
        <v/>
      </c>
      <c r="P276" s="22"/>
    </row>
    <row r="277" spans="1:16" ht="11.25" customHeight="1" x14ac:dyDescent="0.2">
      <c r="B277" s="17" t="str">
        <f ca="1">IF(HLOOKUP(B274,Summary!$I$2:$AM$7,3,0)=0,"",HLOOKUP(B274,Summary!$I$2:$AM$7,3,0))</f>
        <v/>
      </c>
      <c r="C277" s="71" t="str">
        <f ca="1">IFERROR(VLOOKUP(B277,fixed_expenses[],2,0),"")</f>
        <v/>
      </c>
      <c r="D277" s="17" t="str">
        <f ca="1">IF(HLOOKUP(D274,Summary!$I$2:$AM$7,3,0)=0,"",HLOOKUP(D274,Summary!$I$2:$AM$7,3,0))</f>
        <v/>
      </c>
      <c r="E277" s="71" t="str">
        <f ca="1">IFERROR(VLOOKUP(D277,fixed_expenses[],2,0),"")</f>
        <v/>
      </c>
      <c r="F277" s="17" t="str">
        <f ca="1">IF(HLOOKUP(F274,Summary!$I$2:$AM$7,3,0)=0,"",HLOOKUP(F274,Summary!$I$2:$AM$7,3,0))</f>
        <v/>
      </c>
      <c r="G277" s="71" t="str">
        <f ca="1">IFERROR(VLOOKUP(F277,fixed_expenses[],2,0),"")</f>
        <v/>
      </c>
      <c r="H277" s="17" t="str">
        <f ca="1">IF(HLOOKUP(H274,Summary!$I$2:$AM$7,3,0)=0,"",HLOOKUP(H274,Summary!$I$2:$AM$7,3,0))</f>
        <v/>
      </c>
      <c r="I277" s="71" t="str">
        <f ca="1">IFERROR(VLOOKUP(H277,fixed_expenses[],2,0),"")</f>
        <v/>
      </c>
      <c r="J277" s="17" t="str">
        <f ca="1">IF(HLOOKUP(J274,Summary!$I$2:$AM$7,3,0)=0,"",HLOOKUP(J274,Summary!$I$2:$AM$7,3,0))</f>
        <v/>
      </c>
      <c r="K277" s="71" t="str">
        <f ca="1">IFERROR(VLOOKUP(J277,fixed_expenses[],2,0),"")</f>
        <v/>
      </c>
      <c r="L277" s="17" t="str">
        <f ca="1">IF(HLOOKUP(L274,Summary!$I$2:$AM$7,3,0)=0,"",HLOOKUP(L274,Summary!$I$2:$AM$7,3,0))</f>
        <v/>
      </c>
      <c r="M277" s="71" t="str">
        <f ca="1">IFERROR(VLOOKUP(L277,fixed_expenses[],2,0),"")</f>
        <v/>
      </c>
      <c r="N277" s="17" t="str">
        <f ca="1">IF(HLOOKUP(N274,Summary!$I$2:$AM$7,3,0)=0,"",HLOOKUP(N274,Summary!$I$2:$AM$7,3,0))</f>
        <v/>
      </c>
      <c r="O277" s="71" t="str">
        <f ca="1">IFERROR(VLOOKUP(N277,fixed_expenses[],2,0),"")</f>
        <v/>
      </c>
      <c r="P277" s="22"/>
    </row>
    <row r="278" spans="1:16" ht="11.25" customHeight="1" x14ac:dyDescent="0.2">
      <c r="B278" s="17" t="str">
        <f ca="1">IF(HLOOKUP(B274,Summary!$I$2:$AM$7,4,0)=0,"",HLOOKUP(B274,Summary!$I$2:$AM$7,4,0))</f>
        <v/>
      </c>
      <c r="C278" s="71" t="str">
        <f ca="1">IFERROR(VLOOKUP(B278,fixed_expenses[],2,0),"")</f>
        <v/>
      </c>
      <c r="D278" s="17" t="str">
        <f ca="1">IF(HLOOKUP(D274,Summary!$I$2:$AM$7,4,0)=0,"",HLOOKUP(D274,Summary!$I$2:$AM$7,4,0))</f>
        <v/>
      </c>
      <c r="E278" s="71" t="str">
        <f ca="1">IFERROR(VLOOKUP(D278,fixed_expenses[],2,0),"")</f>
        <v/>
      </c>
      <c r="F278" s="17" t="str">
        <f ca="1">IF(HLOOKUP(F274,Summary!$I$2:$AM$7,4,0)=0,"",HLOOKUP(F274,Summary!$I$2:$AM$7,4,0))</f>
        <v/>
      </c>
      <c r="G278" s="71" t="str">
        <f ca="1">IFERROR(VLOOKUP(F278,fixed_expenses[],2,0),"")</f>
        <v/>
      </c>
      <c r="H278" s="17" t="str">
        <f ca="1">IF(HLOOKUP(H274,Summary!$I$2:$AM$7,4,0)=0,"",HLOOKUP(H274,Summary!$I$2:$AM$7,4,0))</f>
        <v/>
      </c>
      <c r="I278" s="71" t="str">
        <f ca="1">IFERROR(VLOOKUP(H278,fixed_expenses[],2,0),"")</f>
        <v/>
      </c>
      <c r="J278" s="17" t="str">
        <f ca="1">IF(HLOOKUP(J274,Summary!$I$2:$AM$7,4,0)=0,"",HLOOKUP(J274,Summary!$I$2:$AM$7,4,0))</f>
        <v/>
      </c>
      <c r="K278" s="71" t="str">
        <f ca="1">IFERROR(VLOOKUP(J278,fixed_expenses[],2,0),"")</f>
        <v/>
      </c>
      <c r="L278" s="17" t="str">
        <f ca="1">IF(HLOOKUP(L274,Summary!$I$2:$AM$7,4,0)=0,"",HLOOKUP(L274,Summary!$I$2:$AM$7,4,0))</f>
        <v/>
      </c>
      <c r="M278" s="71" t="str">
        <f ca="1">IFERROR(VLOOKUP(L278,fixed_expenses[],2,0),"")</f>
        <v/>
      </c>
      <c r="N278" s="17" t="str">
        <f ca="1">IF(HLOOKUP(N274,Summary!$I$2:$AM$7,4,0)=0,"",HLOOKUP(N274,Summary!$I$2:$AM$7,4,0))</f>
        <v/>
      </c>
      <c r="O278" s="71" t="str">
        <f ca="1">IFERROR(VLOOKUP(N278,fixed_expenses[],2,0),"")</f>
        <v/>
      </c>
      <c r="P278" s="22"/>
    </row>
    <row r="279" spans="1:16" ht="11.25" customHeight="1" x14ac:dyDescent="0.2">
      <c r="B279" s="17" t="str">
        <f ca="1">IF(HLOOKUP(B274,Summary!$I$2:$AM$7,5,0)=0,"",HLOOKUP(B274,Summary!$I$2:$AM$7,5,0))</f>
        <v/>
      </c>
      <c r="C279" s="71" t="str">
        <f ca="1">IFERROR(VLOOKUP(B279,fixed_expenses[],2,0),"")</f>
        <v/>
      </c>
      <c r="D279" s="17" t="str">
        <f ca="1">IF(HLOOKUP(D274,Summary!$I$2:$AM$7,5,0)=0,"",HLOOKUP(D274,Summary!$I$2:$AM$7,5,0))</f>
        <v/>
      </c>
      <c r="E279" s="71" t="str">
        <f ca="1">IFERROR(VLOOKUP(D279,fixed_expenses[],2,0),"")</f>
        <v/>
      </c>
      <c r="F279" s="17" t="str">
        <f ca="1">IF(HLOOKUP(F274,Summary!$I$2:$AM$7,5,0)=0,"",HLOOKUP(F274,Summary!$I$2:$AM$7,5,0))</f>
        <v/>
      </c>
      <c r="G279" s="71" t="str">
        <f ca="1">IFERROR(VLOOKUP(F279,fixed_expenses[],2,0),"")</f>
        <v/>
      </c>
      <c r="H279" s="17" t="str">
        <f ca="1">IF(HLOOKUP(H274,Summary!$I$2:$AM$7,5,0)=0,"",HLOOKUP(H274,Summary!$I$2:$AM$7,5,0))</f>
        <v/>
      </c>
      <c r="I279" s="71" t="str">
        <f ca="1">IFERROR(VLOOKUP(H279,fixed_expenses[],2,0),"")</f>
        <v/>
      </c>
      <c r="J279" s="17" t="str">
        <f ca="1">IF(HLOOKUP(J274,Summary!$I$2:$AM$7,5,0)=0,"",HLOOKUP(J274,Summary!$I$2:$AM$7,5,0))</f>
        <v/>
      </c>
      <c r="K279" s="71" t="str">
        <f ca="1">IFERROR(VLOOKUP(J279,fixed_expenses[],2,0),"")</f>
        <v/>
      </c>
      <c r="L279" s="17" t="str">
        <f ca="1">IF(HLOOKUP(L274,Summary!$I$2:$AM$7,5,0)=0,"",HLOOKUP(L274,Summary!$I$2:$AM$7,5,0))</f>
        <v/>
      </c>
      <c r="M279" s="71" t="str">
        <f ca="1">IFERROR(VLOOKUP(L279,fixed_expenses[],2,0),"")</f>
        <v/>
      </c>
      <c r="N279" s="17" t="str">
        <f ca="1">IF(HLOOKUP(N274,Summary!$I$2:$AM$7,5,0)=0,"",HLOOKUP(N274,Summary!$I$2:$AM$7,5,0))</f>
        <v/>
      </c>
      <c r="O279" s="71" t="str">
        <f ca="1">IFERROR(VLOOKUP(N279,fixed_expenses[],2,0),"")</f>
        <v/>
      </c>
      <c r="P279" s="22"/>
    </row>
    <row r="280" spans="1:16" ht="11.25" customHeight="1" x14ac:dyDescent="0.2">
      <c r="B280" s="17" t="str">
        <f ca="1">IF(HLOOKUP(B274,Summary!$I$2:$AM$7,6,0)=0,"",HLOOKUP(B274,Summary!$I$2:$AM$7,6,0))</f>
        <v/>
      </c>
      <c r="C280" s="71" t="str">
        <f ca="1">IFERROR(VLOOKUP(B280,fixed_expenses[],2,0),"")</f>
        <v/>
      </c>
      <c r="D280" s="17" t="str">
        <f ca="1">IF(HLOOKUP(D274,Summary!$I$2:$AM$7,6,0)=0,"",HLOOKUP(D274,Summary!$I$2:$AM$7,6,0))</f>
        <v/>
      </c>
      <c r="E280" s="71" t="str">
        <f ca="1">IFERROR(VLOOKUP(D280,fixed_expenses[],2,0),"")</f>
        <v/>
      </c>
      <c r="F280" s="17" t="str">
        <f ca="1">IF(HLOOKUP(F274,Summary!$I$2:$AM$7,6,0)=0,"",HLOOKUP(F274,Summary!$I$2:$AM$7,6,0))</f>
        <v/>
      </c>
      <c r="G280" s="71" t="str">
        <f ca="1">IFERROR(VLOOKUP(F280,fixed_expenses[],2,0),"")</f>
        <v/>
      </c>
      <c r="H280" s="17" t="str">
        <f ca="1">IF(HLOOKUP(H274,Summary!$I$2:$AM$7,6,0)=0,"",HLOOKUP(H274,Summary!$I$2:$AM$7,6,0))</f>
        <v/>
      </c>
      <c r="I280" s="71" t="str">
        <f ca="1">IFERROR(VLOOKUP(H280,fixed_expenses[],2,0),"")</f>
        <v/>
      </c>
      <c r="J280" s="17" t="str">
        <f ca="1">IF(HLOOKUP(J274,Summary!$I$2:$AM$7,6,0)=0,"",HLOOKUP(J274,Summary!$I$2:$AM$7,6,0))</f>
        <v/>
      </c>
      <c r="K280" s="71" t="str">
        <f ca="1">IFERROR(VLOOKUP(J280,fixed_expenses[],2,0),"")</f>
        <v/>
      </c>
      <c r="L280" s="17" t="str">
        <f ca="1">IF(HLOOKUP(L274,Summary!$I$2:$AM$7,6,0)=0,"",HLOOKUP(L274,Summary!$I$2:$AM$7,6,0))</f>
        <v/>
      </c>
      <c r="M280" s="71" t="str">
        <f ca="1">IFERROR(VLOOKUP(L280,fixed_expenses[],2,0),"")</f>
        <v/>
      </c>
      <c r="N280" s="17" t="str">
        <f ca="1">IF(HLOOKUP(N274,Summary!$I$2:$AM$7,6,0)=0,"",HLOOKUP(N274,Summary!$I$2:$AM$7,6,0))</f>
        <v/>
      </c>
      <c r="O280" s="71" t="str">
        <f ca="1">IFERROR(VLOOKUP(N280,fixed_expenses[],2,0),"")</f>
        <v/>
      </c>
      <c r="P280" s="22"/>
    </row>
    <row r="281" spans="1:16" ht="11.25" customHeight="1" x14ac:dyDescent="0.2">
      <c r="A281" s="43" t="s">
        <v>328</v>
      </c>
      <c r="B281" s="26" t="s">
        <v>8</v>
      </c>
      <c r="C281" s="27">
        <f ca="1">SUM(C276:C280)</f>
        <v>0</v>
      </c>
      <c r="D281" s="26"/>
      <c r="E281" s="27">
        <f ca="1">SUM(E276:E280)</f>
        <v>0</v>
      </c>
      <c r="F281" s="26"/>
      <c r="G281" s="27">
        <f ca="1">SUM(G276:G280)</f>
        <v>0</v>
      </c>
      <c r="H281" s="26"/>
      <c r="I281" s="27">
        <f ca="1">SUM(I276:I280)</f>
        <v>0</v>
      </c>
      <c r="J281" s="26"/>
      <c r="K281" s="27">
        <f ca="1">SUM(K276:K280)</f>
        <v>0</v>
      </c>
      <c r="L281" s="18"/>
      <c r="M281" s="27">
        <f ca="1">SUM(M276:M280)</f>
        <v>232</v>
      </c>
      <c r="N281" s="18"/>
      <c r="O281" s="28">
        <f ca="1">SUM(O276:O280)</f>
        <v>0</v>
      </c>
      <c r="P281" s="29">
        <f ca="1">SUMIF(B274:N274,"&gt;="&amp;15,C281:O281)</f>
        <v>232</v>
      </c>
    </row>
    <row r="282" spans="1:16" x14ac:dyDescent="0.2">
      <c r="B282" s="6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6"/>
    </row>
    <row r="283" spans="1:16" ht="15" customHeight="1" x14ac:dyDescent="0.2">
      <c r="A283" s="43" t="s">
        <v>249</v>
      </c>
      <c r="B283" s="12">
        <f ca="1">DAY(IF(DAY(MaySun1)=1,MaySun1+29,MaySun1+36))</f>
        <v>30</v>
      </c>
      <c r="C283" s="11"/>
      <c r="D283" s="12">
        <f ca="1">DAY(IF(DAY(MaySun1)=1,MaySun1+30,MaySun1+37))</f>
        <v>31</v>
      </c>
      <c r="E283" s="13"/>
      <c r="F283" s="10">
        <f ca="1">DAY(IF(DAY(MaySun1)=1,MaySun1+31,MaySun1+38))</f>
        <v>1</v>
      </c>
      <c r="G283" s="13"/>
      <c r="H283" s="12">
        <f ca="1">DAY(IF(DAY(MaySun1)=1,MaySun1+32,MaySun1+39))</f>
        <v>2</v>
      </c>
      <c r="I283" s="13"/>
      <c r="J283" s="12">
        <f ca="1">DAY(IF(DAY(MaySun1)=1,MaySun1+33,MaySun1+40))</f>
        <v>3</v>
      </c>
      <c r="K283" s="13"/>
      <c r="L283" s="12">
        <f ca="1">DAY(IF(DAY(MaySun1)=1,MaySun1+34,MaySun1+41))</f>
        <v>4</v>
      </c>
      <c r="M283" s="13"/>
      <c r="N283" s="12">
        <f ca="1">DAY(IF(DAY(MaySun1)=1,MaySun1+35,MaySun1+42))</f>
        <v>5</v>
      </c>
      <c r="O283" s="13"/>
      <c r="P283" s="25"/>
    </row>
    <row r="284" spans="1:16" ht="11.25" customHeight="1" x14ac:dyDescent="0.2">
      <c r="A284" s="43" t="s">
        <v>160</v>
      </c>
      <c r="B284" s="37" t="s">
        <v>9</v>
      </c>
      <c r="C284" s="39" t="s">
        <v>10</v>
      </c>
      <c r="D284" s="37" t="s">
        <v>9</v>
      </c>
      <c r="E284" s="39" t="s">
        <v>10</v>
      </c>
      <c r="F284" s="37" t="s">
        <v>9</v>
      </c>
      <c r="G284" s="39" t="s">
        <v>10</v>
      </c>
      <c r="H284" s="37" t="s">
        <v>9</v>
      </c>
      <c r="I284" s="39" t="s">
        <v>10</v>
      </c>
      <c r="J284" s="37" t="s">
        <v>9</v>
      </c>
      <c r="K284" s="39" t="s">
        <v>10</v>
      </c>
      <c r="L284" s="37" t="s">
        <v>9</v>
      </c>
      <c r="M284" s="39" t="s">
        <v>10</v>
      </c>
      <c r="N284" s="37" t="s">
        <v>9</v>
      </c>
      <c r="O284" s="40" t="s">
        <v>10</v>
      </c>
      <c r="P284" s="22"/>
    </row>
    <row r="285" spans="1:16" ht="11.25" customHeight="1" x14ac:dyDescent="0.2">
      <c r="A285" s="43" t="s">
        <v>194</v>
      </c>
      <c r="B285" s="17" t="str">
        <f ca="1">IF(HLOOKUP(B283,Summary!$I$2:$AM$7,2,0)=0,"",HLOOKUP(B283,Summary!$I$2:$AM$7,2,0))</f>
        <v/>
      </c>
      <c r="C285" s="71" t="str">
        <f ca="1">IFERROR(VLOOKUP(B285,fixed_expenses[],2,0),"")</f>
        <v/>
      </c>
      <c r="D285" s="17" t="str">
        <f ca="1">IF(HLOOKUP(D283,Summary!$I$2:$AM$7,2,0)=0,"",HLOOKUP(D283,Summary!$I$2:$AM$7,2,0))</f>
        <v/>
      </c>
      <c r="E285" s="71" t="str">
        <f ca="1">IFERROR(VLOOKUP(D285,fixed_expenses[],2,0),"")</f>
        <v/>
      </c>
      <c r="F285" s="17" t="str">
        <f ca="1">IF(HLOOKUP(F283,Summary!$I$2:$AM$7,2,0)=0,"",HLOOKUP(F283,Summary!$I$2:$AM$7,2,0))</f>
        <v/>
      </c>
      <c r="G285" s="71" t="str">
        <f ca="1">IFERROR(VLOOKUP(F285,fixed_expenses[],2,0),"")</f>
        <v/>
      </c>
      <c r="H285" s="17" t="str">
        <f ca="1">IF(HLOOKUP(H283,Summary!$I$2:$AM$7,2,0)=0,"",HLOOKUP(H283,Summary!$I$2:$AM$7,2,0))</f>
        <v/>
      </c>
      <c r="I285" s="71" t="str">
        <f ca="1">IFERROR(VLOOKUP(H285,fixed_expenses[],2,0),"")</f>
        <v/>
      </c>
      <c r="J285" s="17" t="str">
        <f ca="1">IF(HLOOKUP(J283,Summary!$I$2:$AM$7,2,0)=0,"",HLOOKUP(J283,Summary!$I$2:$AM$7,2,0))</f>
        <v>Rent</v>
      </c>
      <c r="K285" s="71">
        <f ca="1">IFERROR(VLOOKUP(J285,fixed_expenses[],2,0),"")</f>
        <v>1200</v>
      </c>
      <c r="L285" s="17" t="str">
        <f ca="1">IF(HLOOKUP(L283,Summary!$I$2:$AM$7,2,0)=0,"",HLOOKUP(L283,Summary!$I$2:$AM$7,2,0))</f>
        <v/>
      </c>
      <c r="M285" s="71" t="str">
        <f ca="1">IFERROR(VLOOKUP(L285,fixed_expenses[],2,0),"")</f>
        <v/>
      </c>
      <c r="N285" s="17" t="str">
        <f ca="1">IF(HLOOKUP(N283,Summary!$I$2:$AM$7,2,0)=0,"",HLOOKUP(N283,Summary!$I$2:$AM$7,2,0))</f>
        <v/>
      </c>
      <c r="O285" s="71" t="str">
        <f ca="1">IFERROR(VLOOKUP(N285,fixed_expenses[],2,0),"")</f>
        <v/>
      </c>
      <c r="P285" s="22"/>
    </row>
    <row r="286" spans="1:16" ht="11.25" customHeight="1" x14ac:dyDescent="0.2">
      <c r="B286" s="17" t="str">
        <f ca="1">IF(HLOOKUP(B283,Summary!$I$2:$AM$7,3,0)=0,"",HLOOKUP(B283,Summary!$I$2:$AM$7,3,0))</f>
        <v/>
      </c>
      <c r="C286" s="71" t="str">
        <f ca="1">IFERROR(VLOOKUP(B286,fixed_expenses[],2,0),"")</f>
        <v/>
      </c>
      <c r="D286" s="17" t="str">
        <f ca="1">IF(HLOOKUP(D283,Summary!$I$2:$AM$7,3,0)=0,"",HLOOKUP(D283,Summary!$I$2:$AM$7,3,0))</f>
        <v/>
      </c>
      <c r="E286" s="71" t="str">
        <f ca="1">IFERROR(VLOOKUP(D286,fixed_expenses[],2,0),"")</f>
        <v/>
      </c>
      <c r="F286" s="17" t="str">
        <f ca="1">IF(HLOOKUP(F283,Summary!$I$2:$AM$7,3,0)=0,"",HLOOKUP(F283,Summary!$I$2:$AM$7,3,0))</f>
        <v/>
      </c>
      <c r="G286" s="71" t="str">
        <f ca="1">IFERROR(VLOOKUP(F286,fixed_expenses[],2,0),"")</f>
        <v/>
      </c>
      <c r="H286" s="17" t="str">
        <f ca="1">IF(HLOOKUP(H283,Summary!$I$2:$AM$7,3,0)=0,"",HLOOKUP(H283,Summary!$I$2:$AM$7,3,0))</f>
        <v/>
      </c>
      <c r="I286" s="71" t="str">
        <f ca="1">IFERROR(VLOOKUP(H286,fixed_expenses[],2,0),"")</f>
        <v/>
      </c>
      <c r="J286" s="17" t="str">
        <f ca="1">IF(HLOOKUP(J283,Summary!$I$2:$AM$7,3,0)=0,"",HLOOKUP(J283,Summary!$I$2:$AM$7,3,0))</f>
        <v/>
      </c>
      <c r="K286" s="71" t="str">
        <f ca="1">IFERROR(VLOOKUP(J286,fixed_expenses[],2,0),"")</f>
        <v/>
      </c>
      <c r="L286" s="17" t="str">
        <f ca="1">IF(HLOOKUP(L283,Summary!$I$2:$AM$7,3,0)=0,"",HLOOKUP(L283,Summary!$I$2:$AM$7,3,0))</f>
        <v/>
      </c>
      <c r="M286" s="71" t="str">
        <f ca="1">IFERROR(VLOOKUP(L286,fixed_expenses[],2,0),"")</f>
        <v/>
      </c>
      <c r="N286" s="17" t="str">
        <f ca="1">IF(HLOOKUP(N283,Summary!$I$2:$AM$7,3,0)=0,"",HLOOKUP(N283,Summary!$I$2:$AM$7,3,0))</f>
        <v/>
      </c>
      <c r="O286" s="71" t="str">
        <f ca="1">IFERROR(VLOOKUP(N286,fixed_expenses[],2,0),"")</f>
        <v/>
      </c>
      <c r="P286" s="22"/>
    </row>
    <row r="287" spans="1:16" ht="11.25" customHeight="1" x14ac:dyDescent="0.2">
      <c r="B287" s="17" t="str">
        <f ca="1">IF(HLOOKUP(B283,Summary!$I$2:$AM$7,4,0)=0,"",HLOOKUP(B283,Summary!$I$2:$AM$7,4,0))</f>
        <v/>
      </c>
      <c r="C287" s="71" t="str">
        <f ca="1">IFERROR(VLOOKUP(B287,fixed_expenses[],2,0),"")</f>
        <v/>
      </c>
      <c r="D287" s="17" t="str">
        <f ca="1">IF(HLOOKUP(D283,Summary!$I$2:$AM$7,4,0)=0,"",HLOOKUP(D283,Summary!$I$2:$AM$7,4,0))</f>
        <v/>
      </c>
      <c r="E287" s="71" t="str">
        <f ca="1">IFERROR(VLOOKUP(D287,fixed_expenses[],2,0),"")</f>
        <v/>
      </c>
      <c r="F287" s="17" t="str">
        <f ca="1">IF(HLOOKUP(F283,Summary!$I$2:$AM$7,4,0)=0,"",HLOOKUP(F283,Summary!$I$2:$AM$7,4,0))</f>
        <v/>
      </c>
      <c r="G287" s="71" t="str">
        <f ca="1">IFERROR(VLOOKUP(F287,fixed_expenses[],2,0),"")</f>
        <v/>
      </c>
      <c r="H287" s="17" t="str">
        <f ca="1">IF(HLOOKUP(H283,Summary!$I$2:$AM$7,4,0)=0,"",HLOOKUP(H283,Summary!$I$2:$AM$7,4,0))</f>
        <v/>
      </c>
      <c r="I287" s="71" t="str">
        <f ca="1">IFERROR(VLOOKUP(H287,fixed_expenses[],2,0),"")</f>
        <v/>
      </c>
      <c r="J287" s="17" t="str">
        <f ca="1">IF(HLOOKUP(J283,Summary!$I$2:$AM$7,4,0)=0,"",HLOOKUP(J283,Summary!$I$2:$AM$7,4,0))</f>
        <v/>
      </c>
      <c r="K287" s="71" t="str">
        <f ca="1">IFERROR(VLOOKUP(J287,fixed_expenses[],2,0),"")</f>
        <v/>
      </c>
      <c r="L287" s="17" t="str">
        <f ca="1">IF(HLOOKUP(L283,Summary!$I$2:$AM$7,4,0)=0,"",HLOOKUP(L283,Summary!$I$2:$AM$7,4,0))</f>
        <v/>
      </c>
      <c r="M287" s="71" t="str">
        <f ca="1">IFERROR(VLOOKUP(L287,fixed_expenses[],2,0),"")</f>
        <v/>
      </c>
      <c r="N287" s="17" t="str">
        <f ca="1">IF(HLOOKUP(N283,Summary!$I$2:$AM$7,4,0)=0,"",HLOOKUP(N283,Summary!$I$2:$AM$7,4,0))</f>
        <v/>
      </c>
      <c r="O287" s="71" t="str">
        <f ca="1">IFERROR(VLOOKUP(N287,fixed_expenses[],2,0),"")</f>
        <v/>
      </c>
      <c r="P287" s="22"/>
    </row>
    <row r="288" spans="1:16" ht="11.25" customHeight="1" x14ac:dyDescent="0.2">
      <c r="B288" s="17" t="str">
        <f ca="1">IF(HLOOKUP(B283,Summary!$I$2:$AM$7,5,0)=0,"",HLOOKUP(B283,Summary!$I$2:$AM$7,5,0))</f>
        <v/>
      </c>
      <c r="C288" s="71" t="str">
        <f ca="1">IFERROR(VLOOKUP(B288,fixed_expenses[],2,0),"")</f>
        <v/>
      </c>
      <c r="D288" s="17" t="str">
        <f ca="1">IF(HLOOKUP(D283,Summary!$I$2:$AM$7,5,0)=0,"",HLOOKUP(D283,Summary!$I$2:$AM$7,5,0))</f>
        <v/>
      </c>
      <c r="E288" s="71" t="str">
        <f ca="1">IFERROR(VLOOKUP(D288,fixed_expenses[],2,0),"")</f>
        <v/>
      </c>
      <c r="F288" s="17" t="str">
        <f ca="1">IF(HLOOKUP(F283,Summary!$I$2:$AM$7,5,0)=0,"",HLOOKUP(F283,Summary!$I$2:$AM$7,5,0))</f>
        <v/>
      </c>
      <c r="G288" s="71" t="str">
        <f ca="1">IFERROR(VLOOKUP(F288,fixed_expenses[],2,0),"")</f>
        <v/>
      </c>
      <c r="H288" s="17" t="str">
        <f ca="1">IF(HLOOKUP(H283,Summary!$I$2:$AM$7,5,0)=0,"",HLOOKUP(H283,Summary!$I$2:$AM$7,5,0))</f>
        <v/>
      </c>
      <c r="I288" s="71" t="str">
        <f ca="1">IFERROR(VLOOKUP(H288,fixed_expenses[],2,0),"")</f>
        <v/>
      </c>
      <c r="J288" s="17" t="str">
        <f ca="1">IF(HLOOKUP(J283,Summary!$I$2:$AM$7,5,0)=0,"",HLOOKUP(J283,Summary!$I$2:$AM$7,5,0))</f>
        <v/>
      </c>
      <c r="K288" s="71" t="str">
        <f ca="1">IFERROR(VLOOKUP(J288,fixed_expenses[],2,0),"")</f>
        <v/>
      </c>
      <c r="L288" s="17" t="str">
        <f ca="1">IF(HLOOKUP(L283,Summary!$I$2:$AM$7,5,0)=0,"",HLOOKUP(L283,Summary!$I$2:$AM$7,5,0))</f>
        <v/>
      </c>
      <c r="M288" s="71" t="str">
        <f ca="1">IFERROR(VLOOKUP(L288,fixed_expenses[],2,0),"")</f>
        <v/>
      </c>
      <c r="N288" s="17" t="str">
        <f ca="1">IF(HLOOKUP(N283,Summary!$I$2:$AM$7,5,0)=0,"",HLOOKUP(N283,Summary!$I$2:$AM$7,5,0))</f>
        <v/>
      </c>
      <c r="O288" s="71" t="str">
        <f ca="1">IFERROR(VLOOKUP(N288,fixed_expenses[],2,0),"")</f>
        <v/>
      </c>
      <c r="P288" s="22"/>
    </row>
    <row r="289" spans="1:16" ht="11.25" customHeight="1" x14ac:dyDescent="0.2">
      <c r="B289" s="17" t="str">
        <f ca="1">IF(HLOOKUP(B283,Summary!$I$2:$AM$7,6,0)=0,"",HLOOKUP(B283,Summary!$I$2:$AM$7,6,0))</f>
        <v/>
      </c>
      <c r="C289" s="71" t="str">
        <f ca="1">IFERROR(VLOOKUP(B289,fixed_expenses[],2,0),"")</f>
        <v/>
      </c>
      <c r="D289" s="17" t="str">
        <f ca="1">IF(HLOOKUP(D283,Summary!$I$2:$AM$7,6,0)=0,"",HLOOKUP(D283,Summary!$I$2:$AM$7,6,0))</f>
        <v/>
      </c>
      <c r="E289" s="71" t="str">
        <f ca="1">IFERROR(VLOOKUP(D289,fixed_expenses[],2,0),"")</f>
        <v/>
      </c>
      <c r="F289" s="17" t="str">
        <f ca="1">IF(HLOOKUP(F283,Summary!$I$2:$AM$7,6,0)=0,"",HLOOKUP(F283,Summary!$I$2:$AM$7,6,0))</f>
        <v/>
      </c>
      <c r="G289" s="71" t="str">
        <f ca="1">IFERROR(VLOOKUP(F289,fixed_expenses[],2,0),"")</f>
        <v/>
      </c>
      <c r="H289" s="17" t="str">
        <f ca="1">IF(HLOOKUP(H283,Summary!$I$2:$AM$7,6,0)=0,"",HLOOKUP(H283,Summary!$I$2:$AM$7,6,0))</f>
        <v/>
      </c>
      <c r="I289" s="71" t="str">
        <f ca="1">IFERROR(VLOOKUP(H289,fixed_expenses[],2,0),"")</f>
        <v/>
      </c>
      <c r="J289" s="17" t="str">
        <f ca="1">IF(HLOOKUP(J283,Summary!$I$2:$AM$7,6,0)=0,"",HLOOKUP(J283,Summary!$I$2:$AM$7,6,0))</f>
        <v/>
      </c>
      <c r="K289" s="71" t="str">
        <f ca="1">IFERROR(VLOOKUP(J289,fixed_expenses[],2,0),"")</f>
        <v/>
      </c>
      <c r="L289" s="17" t="str">
        <f ca="1">IF(HLOOKUP(L283,Summary!$I$2:$AM$7,6,0)=0,"",HLOOKUP(L283,Summary!$I$2:$AM$7,6,0))</f>
        <v/>
      </c>
      <c r="M289" s="71" t="str">
        <f ca="1">IFERROR(VLOOKUP(L289,fixed_expenses[],2,0),"")</f>
        <v/>
      </c>
      <c r="N289" s="17" t="str">
        <f ca="1">IF(HLOOKUP(N283,Summary!$I$2:$AM$7,6,0)=0,"",HLOOKUP(N283,Summary!$I$2:$AM$7,6,0))</f>
        <v/>
      </c>
      <c r="O289" s="71" t="str">
        <f ca="1">IFERROR(VLOOKUP(N289,fixed_expenses[],2,0),"")</f>
        <v/>
      </c>
      <c r="P289" s="22"/>
    </row>
    <row r="290" spans="1:16" ht="11.25" customHeight="1" x14ac:dyDescent="0.2">
      <c r="A290" s="43" t="s">
        <v>327</v>
      </c>
      <c r="B290" s="26" t="s">
        <v>8</v>
      </c>
      <c r="C290" s="27">
        <f ca="1">SUM(C285:C289)</f>
        <v>0</v>
      </c>
      <c r="D290" s="18"/>
      <c r="E290" s="27">
        <f ca="1">SUM(E285:E289)</f>
        <v>0</v>
      </c>
      <c r="F290" s="18"/>
      <c r="G290" s="27">
        <f ca="1">SUM(G285:G289)</f>
        <v>0</v>
      </c>
      <c r="H290" s="18"/>
      <c r="I290" s="27">
        <f ca="1">SUM(I285:I289)</f>
        <v>0</v>
      </c>
      <c r="J290" s="18"/>
      <c r="K290" s="27">
        <f ca="1">SUM(K285:K289)</f>
        <v>1200</v>
      </c>
      <c r="L290" s="18"/>
      <c r="M290" s="27">
        <f ca="1">SUM(M285:M289)</f>
        <v>0</v>
      </c>
      <c r="N290" s="18"/>
      <c r="O290" s="28">
        <f ca="1">SUM(O285:O289)</f>
        <v>0</v>
      </c>
      <c r="P290" s="29">
        <f ca="1">SUMIF(B283:N283,"&gt;="&amp;15,C290:O290)</f>
        <v>0</v>
      </c>
    </row>
    <row r="291" spans="1:16" ht="17.25" customHeight="1" x14ac:dyDescent="0.2"/>
    <row r="292" spans="1:16" ht="12" customHeight="1" x14ac:dyDescent="0.2">
      <c r="A292" s="43" t="s">
        <v>86</v>
      </c>
      <c r="B292" s="59" t="s">
        <v>18</v>
      </c>
      <c r="C292" s="59"/>
      <c r="D292" s="59"/>
      <c r="E292" s="59"/>
      <c r="F292"/>
      <c r="G292" s="4"/>
      <c r="H292"/>
      <c r="I292" s="4"/>
      <c r="J292"/>
      <c r="K292" s="4"/>
      <c r="L292" s="45" t="s">
        <v>12</v>
      </c>
      <c r="M292" s="45"/>
      <c r="N292" s="45" t="s">
        <v>13</v>
      </c>
      <c r="O292" s="45"/>
      <c r="P292"/>
    </row>
    <row r="293" spans="1:16" ht="25.5" customHeight="1" x14ac:dyDescent="0.2">
      <c r="A293" s="43" t="s">
        <v>93</v>
      </c>
      <c r="B293" s="59"/>
      <c r="C293" s="59"/>
      <c r="D293" s="59"/>
      <c r="E293" s="59"/>
      <c r="F293" s="3">
        <f ca="1">IFERROR(WEEKDAY(DATEVALUE(B292&amp;" 1, "&amp;Year1)),"")</f>
        <v>3</v>
      </c>
      <c r="G293" s="4"/>
      <c r="H293"/>
      <c r="I293" s="7"/>
      <c r="J293" s="8"/>
      <c r="K293" s="4"/>
      <c r="L293" s="46">
        <f ca="1">SUM(P303,P312,P321,P330,P339,P348)</f>
        <v>1774</v>
      </c>
      <c r="M293" s="47"/>
      <c r="N293" s="46">
        <f ca="1">SUM(P:P)</f>
        <v>21288</v>
      </c>
      <c r="O293" s="48"/>
      <c r="P293"/>
    </row>
    <row r="294" spans="1:16" ht="9" customHeight="1" x14ac:dyDescent="0.2">
      <c r="A294" s="43" t="s">
        <v>354</v>
      </c>
      <c r="B294" s="50">
        <v>1</v>
      </c>
      <c r="C294" s="50"/>
      <c r="D294" s="50">
        <v>2</v>
      </c>
      <c r="E294" s="50"/>
      <c r="F294" s="50">
        <v>3</v>
      </c>
      <c r="G294" s="50"/>
      <c r="H294" s="50">
        <v>4</v>
      </c>
      <c r="I294" s="50"/>
      <c r="J294" s="50">
        <v>5</v>
      </c>
      <c r="K294" s="50"/>
      <c r="L294" s="50">
        <v>6</v>
      </c>
      <c r="M294" s="50"/>
      <c r="N294" s="50">
        <v>7</v>
      </c>
      <c r="O294" s="50"/>
      <c r="P294" s="2"/>
    </row>
    <row r="295" spans="1:16" ht="15" customHeight="1" x14ac:dyDescent="0.2">
      <c r="A295" s="43" t="s">
        <v>106</v>
      </c>
      <c r="B295" s="60" t="s">
        <v>0</v>
      </c>
      <c r="C295" s="61"/>
      <c r="D295" s="62" t="s">
        <v>1</v>
      </c>
      <c r="E295" s="63" t="e">
        <f ca="1">IF(WEEKDAY(DATEVALUE(Month1&amp;" 1, "&amp;Year1))=COLUMN(#REF!),1,IF(LEN(C295)&gt;0,C295+1,""))</f>
        <v>#VALUE!</v>
      </c>
      <c r="F295" s="61" t="s">
        <v>2</v>
      </c>
      <c r="G295" s="61" t="e">
        <f ca="1">IF(WEEKDAY(DATEVALUE(Month1&amp;" 1, "&amp;Year1))=COLUMN(#REF!),1,IF(LEN(E295)&gt;0,E295+1,""))</f>
        <v>#VALUE!</v>
      </c>
      <c r="H295" s="62" t="s">
        <v>3</v>
      </c>
      <c r="I295" s="63" t="e">
        <f ca="1">IF(WEEKDAY(DATEVALUE(Month1&amp;" 1, "&amp;Year1))=COLUMN(#REF!),1,IF(LEN(G295)&gt;0,G295+1,""))</f>
        <v>#VALUE!</v>
      </c>
      <c r="J295" s="64" t="s">
        <v>4</v>
      </c>
      <c r="K295" s="65" t="e">
        <f ca="1">IF(WEEKDAY(DATEVALUE(Month1&amp;" 1, "&amp;Year1))=COLUMN(#REF!),1,IF(LEN(I295)&gt;0,I295+1,""))</f>
        <v>#VALUE!</v>
      </c>
      <c r="L295" s="66" t="s">
        <v>5</v>
      </c>
      <c r="M295" s="67" t="e">
        <f ca="1">IF(WEEKDAY(DATEVALUE(Month1&amp;" 1, "&amp;Year1))=COLUMN(#REF!),1,IF(LEN(K295)&gt;0,K295+1,""))</f>
        <v>#VALUE!</v>
      </c>
      <c r="N295" s="66" t="s">
        <v>6</v>
      </c>
      <c r="O295" s="67" t="e">
        <f ca="1">IF(WEEKDAY(DATEVALUE(Month1&amp;" 1, "&amp;Year1))=COLUMN(#REF!),1,IF(LEN(M295)&gt;0,M295+1,""))</f>
        <v>#VALUE!</v>
      </c>
      <c r="P295" s="42" t="s">
        <v>7</v>
      </c>
    </row>
    <row r="296" spans="1:16" ht="15" customHeight="1" x14ac:dyDescent="0.2">
      <c r="A296" s="43" t="s">
        <v>108</v>
      </c>
      <c r="B296" s="14">
        <f ca="1">DAY(IF(DAY(JunSun1)=1,JunSun1-6,JunSun1+1))</f>
        <v>30</v>
      </c>
      <c r="C296" s="16"/>
      <c r="D296" s="19">
        <f ca="1">DAY(IF(DAY(JunSun1)=1,JunSun1-5,JunSun1+2))</f>
        <v>31</v>
      </c>
      <c r="E296" s="16"/>
      <c r="F296" s="19">
        <f ca="1">DAY(IF(DAY(JunSun1)=1,JunSun1-4,JunSun1+3))</f>
        <v>1</v>
      </c>
      <c r="G296" s="16"/>
      <c r="H296" s="19">
        <f ca="1">DAY(IF(DAY(JunSun1)=1,JunSun1-3,JunSun1+4))</f>
        <v>2</v>
      </c>
      <c r="I296" s="16"/>
      <c r="J296" s="19">
        <f ca="1">DAY(IF(DAY(JunSun1)=1,JunSun1-2,JunSun1+5))</f>
        <v>3</v>
      </c>
      <c r="K296" s="16"/>
      <c r="L296" s="19">
        <f ca="1">DAY(IF(DAY(JunSun1)=1,JunSun1-1,JunSun1+6))</f>
        <v>4</v>
      </c>
      <c r="M296" s="16"/>
      <c r="N296" s="20">
        <f ca="1">DAY(IF(DAY(JunSun1)=1,JunSun1,JunSun1+7))</f>
        <v>5</v>
      </c>
      <c r="O296" s="15"/>
      <c r="P296" s="21"/>
    </row>
    <row r="297" spans="1:16" ht="11.25" customHeight="1" x14ac:dyDescent="0.2">
      <c r="A297" s="43" t="s">
        <v>159</v>
      </c>
      <c r="B297" s="41" t="s">
        <v>9</v>
      </c>
      <c r="C297" s="36" t="s">
        <v>10</v>
      </c>
      <c r="D297" s="35" t="s">
        <v>9</v>
      </c>
      <c r="E297" s="36" t="s">
        <v>10</v>
      </c>
      <c r="F297" s="35" t="s">
        <v>9</v>
      </c>
      <c r="G297" s="36" t="s">
        <v>10</v>
      </c>
      <c r="H297" s="35" t="s">
        <v>9</v>
      </c>
      <c r="I297" s="36" t="s">
        <v>10</v>
      </c>
      <c r="J297" s="35" t="s">
        <v>9</v>
      </c>
      <c r="K297" s="36" t="s">
        <v>10</v>
      </c>
      <c r="L297" s="35" t="s">
        <v>9</v>
      </c>
      <c r="M297" s="36" t="s">
        <v>10</v>
      </c>
      <c r="N297" s="37" t="s">
        <v>9</v>
      </c>
      <c r="O297" s="38" t="s">
        <v>10</v>
      </c>
      <c r="P297" s="22"/>
    </row>
    <row r="298" spans="1:16" ht="11.25" customHeight="1" x14ac:dyDescent="0.2">
      <c r="A298" s="43" t="s">
        <v>195</v>
      </c>
      <c r="B298" s="17" t="str">
        <f ca="1">IF(HLOOKUP(B296,Summary!$I$2:$AM$7,2,0)=0,"",HLOOKUP(B296,Summary!$I$2:$AM$7,2,0))</f>
        <v/>
      </c>
      <c r="C298" s="71" t="str">
        <f ca="1">IFERROR(VLOOKUP(B298,fixed_expenses[],2,0),"")</f>
        <v/>
      </c>
      <c r="D298" s="17" t="str">
        <f ca="1">IF(HLOOKUP(D296,Summary!$I$2:$AM$7,2,0)=0,"",HLOOKUP(D296,Summary!$I$2:$AM$7,2,0))</f>
        <v/>
      </c>
      <c r="E298" s="71" t="str">
        <f ca="1">IFERROR(VLOOKUP(D298,fixed_expenses[],2,0),"")</f>
        <v/>
      </c>
      <c r="F298" s="17" t="str">
        <f ca="1">IF(HLOOKUP(F296,Summary!$I$2:$AM$7,2,0)=0,"",HLOOKUP(F296,Summary!$I$2:$AM$7,2,0))</f>
        <v/>
      </c>
      <c r="G298" s="71" t="str">
        <f ca="1">IFERROR(VLOOKUP(F298,fixed_expenses[],2,0),"")</f>
        <v/>
      </c>
      <c r="H298" s="17" t="str">
        <f ca="1">IF(HLOOKUP(H296,Summary!$I$2:$AM$7,2,0)=0,"",HLOOKUP(H296,Summary!$I$2:$AM$7,2,0))</f>
        <v/>
      </c>
      <c r="I298" s="71" t="str">
        <f ca="1">IFERROR(VLOOKUP(H298,fixed_expenses[],2,0),"")</f>
        <v/>
      </c>
      <c r="J298" s="17" t="str">
        <f ca="1">IF(HLOOKUP(J296,Summary!$I$2:$AM$7,2,0)=0,"",HLOOKUP(J296,Summary!$I$2:$AM$7,2,0))</f>
        <v>Rent</v>
      </c>
      <c r="K298" s="71">
        <f ca="1">IFERROR(VLOOKUP(J298,fixed_expenses[],2,0),"")</f>
        <v>1200</v>
      </c>
      <c r="L298" s="17" t="str">
        <f ca="1">IF(HLOOKUP(L296,Summary!$I$2:$AM$7,2,0)=0,"",HLOOKUP(L296,Summary!$I$2:$AM$7,2,0))</f>
        <v/>
      </c>
      <c r="M298" s="71" t="str">
        <f ca="1">IFERROR(VLOOKUP(L298,fixed_expenses[],2,0),"")</f>
        <v/>
      </c>
      <c r="N298" s="17" t="str">
        <f ca="1">IF(HLOOKUP(N296,Summary!$I$2:$AM$7,2,0)=0,"",HLOOKUP(N296,Summary!$I$2:$AM$7,2,0))</f>
        <v/>
      </c>
      <c r="O298" s="71" t="str">
        <f ca="1">IFERROR(VLOOKUP(N298,fixed_expenses[],2,0),"")</f>
        <v/>
      </c>
      <c r="P298" s="22"/>
    </row>
    <row r="299" spans="1:16" ht="11.25" customHeight="1" x14ac:dyDescent="0.2">
      <c r="B299" s="17" t="str">
        <f ca="1">IF(HLOOKUP(B296,Summary!$I$2:$AM$7,3,0)=0,"",HLOOKUP(B296,Summary!$I$2:$AM$7,3,0))</f>
        <v/>
      </c>
      <c r="C299" s="71" t="str">
        <f ca="1">IFERROR(VLOOKUP(B299,fixed_expenses[],2,0),"")</f>
        <v/>
      </c>
      <c r="D299" s="17" t="str">
        <f ca="1">IF(HLOOKUP(D296,Summary!$I$2:$AM$7,3,0)=0,"",HLOOKUP(D296,Summary!$I$2:$AM$7,3,0))</f>
        <v/>
      </c>
      <c r="E299" s="71" t="str">
        <f ca="1">IFERROR(VLOOKUP(D299,fixed_expenses[],2,0),"")</f>
        <v/>
      </c>
      <c r="F299" s="17" t="str">
        <f ca="1">IF(HLOOKUP(F296,Summary!$I$2:$AM$7,3,0)=0,"",HLOOKUP(F296,Summary!$I$2:$AM$7,3,0))</f>
        <v/>
      </c>
      <c r="G299" s="71" t="str">
        <f ca="1">IFERROR(VLOOKUP(F299,fixed_expenses[],2,0),"")</f>
        <v/>
      </c>
      <c r="H299" s="17" t="str">
        <f ca="1">IF(HLOOKUP(H296,Summary!$I$2:$AM$7,3,0)=0,"",HLOOKUP(H296,Summary!$I$2:$AM$7,3,0))</f>
        <v/>
      </c>
      <c r="I299" s="71" t="str">
        <f ca="1">IFERROR(VLOOKUP(H299,fixed_expenses[],2,0),"")</f>
        <v/>
      </c>
      <c r="J299" s="17" t="str">
        <f ca="1">IF(HLOOKUP(J296,Summary!$I$2:$AM$7,3,0)=0,"",HLOOKUP(J296,Summary!$I$2:$AM$7,3,0))</f>
        <v/>
      </c>
      <c r="K299" s="71" t="str">
        <f ca="1">IFERROR(VLOOKUP(J299,fixed_expenses[],2,0),"")</f>
        <v/>
      </c>
      <c r="L299" s="17" t="str">
        <f ca="1">IF(HLOOKUP(L296,Summary!$I$2:$AM$7,3,0)=0,"",HLOOKUP(L296,Summary!$I$2:$AM$7,3,0))</f>
        <v/>
      </c>
      <c r="M299" s="71" t="str">
        <f ca="1">IFERROR(VLOOKUP(L299,fixed_expenses[],2,0),"")</f>
        <v/>
      </c>
      <c r="N299" s="17" t="str">
        <f ca="1">IF(HLOOKUP(N296,Summary!$I$2:$AM$7,3,0)=0,"",HLOOKUP(N296,Summary!$I$2:$AM$7,3,0))</f>
        <v/>
      </c>
      <c r="O299" s="71" t="str">
        <f ca="1">IFERROR(VLOOKUP(N299,fixed_expenses[],2,0),"")</f>
        <v/>
      </c>
      <c r="P299" s="22"/>
    </row>
    <row r="300" spans="1:16" ht="11.25" customHeight="1" x14ac:dyDescent="0.2">
      <c r="B300" s="17" t="str">
        <f ca="1">IF(HLOOKUP(B296,Summary!$I$2:$AM$7,4,0)=0,"",HLOOKUP(B296,Summary!$I$2:$AM$7,4,0))</f>
        <v/>
      </c>
      <c r="C300" s="71" t="str">
        <f ca="1">IFERROR(VLOOKUP(B300,fixed_expenses[],2,0),"")</f>
        <v/>
      </c>
      <c r="D300" s="17" t="str">
        <f ca="1">IF(HLOOKUP(D296,Summary!$I$2:$AM$7,4,0)=0,"",HLOOKUP(D296,Summary!$I$2:$AM$7,4,0))</f>
        <v/>
      </c>
      <c r="E300" s="71" t="str">
        <f ca="1">IFERROR(VLOOKUP(D300,fixed_expenses[],2,0),"")</f>
        <v/>
      </c>
      <c r="F300" s="17" t="str">
        <f ca="1">IF(HLOOKUP(F296,Summary!$I$2:$AM$7,4,0)=0,"",HLOOKUP(F296,Summary!$I$2:$AM$7,4,0))</f>
        <v/>
      </c>
      <c r="G300" s="71" t="str">
        <f ca="1">IFERROR(VLOOKUP(F300,fixed_expenses[],2,0),"")</f>
        <v/>
      </c>
      <c r="H300" s="17" t="str">
        <f ca="1">IF(HLOOKUP(H296,Summary!$I$2:$AM$7,4,0)=0,"",HLOOKUP(H296,Summary!$I$2:$AM$7,4,0))</f>
        <v/>
      </c>
      <c r="I300" s="71" t="str">
        <f ca="1">IFERROR(VLOOKUP(H300,fixed_expenses[],2,0),"")</f>
        <v/>
      </c>
      <c r="J300" s="17" t="str">
        <f ca="1">IF(HLOOKUP(J296,Summary!$I$2:$AM$7,4,0)=0,"",HLOOKUP(J296,Summary!$I$2:$AM$7,4,0))</f>
        <v/>
      </c>
      <c r="K300" s="71" t="str">
        <f ca="1">IFERROR(VLOOKUP(J300,fixed_expenses[],2,0),"")</f>
        <v/>
      </c>
      <c r="L300" s="17" t="str">
        <f ca="1">IF(HLOOKUP(L296,Summary!$I$2:$AM$7,4,0)=0,"",HLOOKUP(L296,Summary!$I$2:$AM$7,4,0))</f>
        <v/>
      </c>
      <c r="M300" s="71" t="str">
        <f ca="1">IFERROR(VLOOKUP(L300,fixed_expenses[],2,0),"")</f>
        <v/>
      </c>
      <c r="N300" s="17" t="str">
        <f ca="1">IF(HLOOKUP(N296,Summary!$I$2:$AM$7,4,0)=0,"",HLOOKUP(N296,Summary!$I$2:$AM$7,4,0))</f>
        <v/>
      </c>
      <c r="O300" s="71" t="str">
        <f ca="1">IFERROR(VLOOKUP(N300,fixed_expenses[],2,0),"")</f>
        <v/>
      </c>
      <c r="P300" s="22"/>
    </row>
    <row r="301" spans="1:16" ht="11.25" customHeight="1" x14ac:dyDescent="0.2">
      <c r="B301" s="17" t="str">
        <f ca="1">IF(HLOOKUP(B296,Summary!$I$2:$AM$7,5,0)=0,"",HLOOKUP(B296,Summary!$I$2:$AM$7,5,0))</f>
        <v/>
      </c>
      <c r="C301" s="71" t="str">
        <f ca="1">IFERROR(VLOOKUP(B301,fixed_expenses[],2,0),"")</f>
        <v/>
      </c>
      <c r="D301" s="17" t="str">
        <f ca="1">IF(HLOOKUP(D296,Summary!$I$2:$AM$7,5,0)=0,"",HLOOKUP(D296,Summary!$I$2:$AM$7,5,0))</f>
        <v/>
      </c>
      <c r="E301" s="71" t="str">
        <f ca="1">IFERROR(VLOOKUP(D301,fixed_expenses[],2,0),"")</f>
        <v/>
      </c>
      <c r="F301" s="17" t="str">
        <f ca="1">IF(HLOOKUP(F296,Summary!$I$2:$AM$7,5,0)=0,"",HLOOKUP(F296,Summary!$I$2:$AM$7,5,0))</f>
        <v/>
      </c>
      <c r="G301" s="71" t="str">
        <f ca="1">IFERROR(VLOOKUP(F301,fixed_expenses[],2,0),"")</f>
        <v/>
      </c>
      <c r="H301" s="17" t="str">
        <f ca="1">IF(HLOOKUP(H296,Summary!$I$2:$AM$7,5,0)=0,"",HLOOKUP(H296,Summary!$I$2:$AM$7,5,0))</f>
        <v/>
      </c>
      <c r="I301" s="71" t="str">
        <f ca="1">IFERROR(VLOOKUP(H301,fixed_expenses[],2,0),"")</f>
        <v/>
      </c>
      <c r="J301" s="17" t="str">
        <f ca="1">IF(HLOOKUP(J296,Summary!$I$2:$AM$7,5,0)=0,"",HLOOKUP(J296,Summary!$I$2:$AM$7,5,0))</f>
        <v/>
      </c>
      <c r="K301" s="71" t="str">
        <f ca="1">IFERROR(VLOOKUP(J301,fixed_expenses[],2,0),"")</f>
        <v/>
      </c>
      <c r="L301" s="17" t="str">
        <f ca="1">IF(HLOOKUP(L296,Summary!$I$2:$AM$7,5,0)=0,"",HLOOKUP(L296,Summary!$I$2:$AM$7,5,0))</f>
        <v/>
      </c>
      <c r="M301" s="71" t="str">
        <f ca="1">IFERROR(VLOOKUP(L301,fixed_expenses[],2,0),"")</f>
        <v/>
      </c>
      <c r="N301" s="17" t="str">
        <f ca="1">IF(HLOOKUP(N296,Summary!$I$2:$AM$7,5,0)=0,"",HLOOKUP(N296,Summary!$I$2:$AM$7,5,0))</f>
        <v/>
      </c>
      <c r="O301" s="71" t="str">
        <f ca="1">IFERROR(VLOOKUP(N301,fixed_expenses[],2,0),"")</f>
        <v/>
      </c>
      <c r="P301" s="22"/>
    </row>
    <row r="302" spans="1:16" ht="11.25" customHeight="1" x14ac:dyDescent="0.2">
      <c r="B302" s="17" t="str">
        <f ca="1">IF(HLOOKUP(B296,Summary!$I$2:$AM$7,6,0)=0,"",HLOOKUP(B296,Summary!$I$2:$AM$7,6,0))</f>
        <v/>
      </c>
      <c r="C302" s="71" t="str">
        <f ca="1">IFERROR(VLOOKUP(B302,fixed_expenses[],2,0),"")</f>
        <v/>
      </c>
      <c r="D302" s="17" t="str">
        <f ca="1">IF(HLOOKUP(D296,Summary!$I$2:$AM$7,6,0)=0,"",HLOOKUP(D296,Summary!$I$2:$AM$7,6,0))</f>
        <v/>
      </c>
      <c r="E302" s="71" t="str">
        <f ca="1">IFERROR(VLOOKUP(D302,fixed_expenses[],2,0),"")</f>
        <v/>
      </c>
      <c r="F302" s="17" t="str">
        <f ca="1">IF(HLOOKUP(F296,Summary!$I$2:$AM$7,6,0)=0,"",HLOOKUP(F296,Summary!$I$2:$AM$7,6,0))</f>
        <v/>
      </c>
      <c r="G302" s="71" t="str">
        <f ca="1">IFERROR(VLOOKUP(F302,fixed_expenses[],2,0),"")</f>
        <v/>
      </c>
      <c r="H302" s="17" t="str">
        <f ca="1">IF(HLOOKUP(H296,Summary!$I$2:$AM$7,6,0)=0,"",HLOOKUP(H296,Summary!$I$2:$AM$7,6,0))</f>
        <v/>
      </c>
      <c r="I302" s="71" t="str">
        <f ca="1">IFERROR(VLOOKUP(H302,fixed_expenses[],2,0),"")</f>
        <v/>
      </c>
      <c r="J302" s="17" t="str">
        <f ca="1">IF(HLOOKUP(J296,Summary!$I$2:$AM$7,6,0)=0,"",HLOOKUP(J296,Summary!$I$2:$AM$7,6,0))</f>
        <v/>
      </c>
      <c r="K302" s="71" t="str">
        <f ca="1">IFERROR(VLOOKUP(J302,fixed_expenses[],2,0),"")</f>
        <v/>
      </c>
      <c r="L302" s="17" t="str">
        <f ca="1">IF(HLOOKUP(L296,Summary!$I$2:$AM$7,6,0)=0,"",HLOOKUP(L296,Summary!$I$2:$AM$7,6,0))</f>
        <v/>
      </c>
      <c r="M302" s="71" t="str">
        <f ca="1">IFERROR(VLOOKUP(L302,fixed_expenses[],2,0),"")</f>
        <v/>
      </c>
      <c r="N302" s="17" t="str">
        <f ca="1">IF(HLOOKUP(N296,Summary!$I$2:$AM$7,6,0)=0,"",HLOOKUP(N296,Summary!$I$2:$AM$7,6,0))</f>
        <v/>
      </c>
      <c r="O302" s="71" t="str">
        <f ca="1">IFERROR(VLOOKUP(N302,fixed_expenses[],2,0),"")</f>
        <v/>
      </c>
      <c r="P302" s="22"/>
    </row>
    <row r="303" spans="1:16" ht="11.25" customHeight="1" x14ac:dyDescent="0.2">
      <c r="A303" s="43" t="s">
        <v>326</v>
      </c>
      <c r="B303" s="26" t="s">
        <v>8</v>
      </c>
      <c r="C303" s="27">
        <f ca="1">SUM(C298:C302)</f>
        <v>0</v>
      </c>
      <c r="D303" s="18"/>
      <c r="E303" s="27">
        <f ca="1">SUM(E298:E302)</f>
        <v>0</v>
      </c>
      <c r="F303" s="18"/>
      <c r="G303" s="27">
        <f ca="1">SUM(G298:G302)</f>
        <v>0</v>
      </c>
      <c r="H303" s="18"/>
      <c r="I303" s="27">
        <f ca="1">SUM(I298:I302)</f>
        <v>0</v>
      </c>
      <c r="J303" s="18"/>
      <c r="K303" s="27">
        <f ca="1">SUM(K298:K302)</f>
        <v>1200</v>
      </c>
      <c r="L303" s="26"/>
      <c r="M303" s="27">
        <f ca="1">SUM(M298:M302)</f>
        <v>0</v>
      </c>
      <c r="N303" s="26"/>
      <c r="O303" s="28">
        <f ca="1">SUM(O298:O302)</f>
        <v>0</v>
      </c>
      <c r="P303" s="29">
        <f ca="1">SUMIF(B296:N296,"&lt;8",C303:O303)</f>
        <v>1200</v>
      </c>
    </row>
    <row r="304" spans="1:16" x14ac:dyDescent="0.2">
      <c r="B304" s="6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6"/>
    </row>
    <row r="305" spans="1:16" ht="15" customHeight="1" x14ac:dyDescent="0.2">
      <c r="A305" s="43" t="s">
        <v>250</v>
      </c>
      <c r="B305" s="12">
        <f ca="1">N296+1</f>
        <v>6</v>
      </c>
      <c r="C305" s="13"/>
      <c r="D305" s="12">
        <f ca="1">B305+1</f>
        <v>7</v>
      </c>
      <c r="E305" s="13"/>
      <c r="F305" s="12">
        <f ca="1">D305+1</f>
        <v>8</v>
      </c>
      <c r="G305" s="13"/>
      <c r="H305" s="12">
        <f ca="1">F305+1</f>
        <v>9</v>
      </c>
      <c r="I305" s="13"/>
      <c r="J305" s="12">
        <f ca="1">H305+1</f>
        <v>10</v>
      </c>
      <c r="K305" s="13"/>
      <c r="L305" s="12">
        <f ca="1">J305+1</f>
        <v>11</v>
      </c>
      <c r="M305" s="13"/>
      <c r="N305" s="12">
        <f ca="1">L305+1</f>
        <v>12</v>
      </c>
      <c r="O305" s="13"/>
      <c r="P305" s="23"/>
    </row>
    <row r="306" spans="1:16" ht="11.25" customHeight="1" x14ac:dyDescent="0.2">
      <c r="A306" s="43" t="s">
        <v>158</v>
      </c>
      <c r="B306" s="37" t="s">
        <v>9</v>
      </c>
      <c r="C306" s="39" t="s">
        <v>10</v>
      </c>
      <c r="D306" s="37" t="s">
        <v>9</v>
      </c>
      <c r="E306" s="39" t="s">
        <v>10</v>
      </c>
      <c r="F306" s="37" t="s">
        <v>9</v>
      </c>
      <c r="G306" s="39" t="s">
        <v>10</v>
      </c>
      <c r="H306" s="37" t="s">
        <v>9</v>
      </c>
      <c r="I306" s="39" t="s">
        <v>10</v>
      </c>
      <c r="J306" s="37" t="s">
        <v>9</v>
      </c>
      <c r="K306" s="39" t="s">
        <v>10</v>
      </c>
      <c r="L306" s="37" t="s">
        <v>9</v>
      </c>
      <c r="M306" s="39" t="s">
        <v>10</v>
      </c>
      <c r="N306" s="37" t="s">
        <v>9</v>
      </c>
      <c r="O306" s="40" t="s">
        <v>10</v>
      </c>
      <c r="P306" s="22"/>
    </row>
    <row r="307" spans="1:16" ht="11.25" customHeight="1" x14ac:dyDescent="0.2">
      <c r="A307" s="43" t="s">
        <v>196</v>
      </c>
      <c r="B307" s="17" t="str">
        <f ca="1">IF(HLOOKUP(B305,Summary!$I$2:$AM$7,2,0)=0,"",HLOOKUP(B305,Summary!$I$2:$AM$7,2,0))</f>
        <v/>
      </c>
      <c r="C307" s="71" t="str">
        <f ca="1">IFERROR(VLOOKUP(B307,fixed_expenses[],2,0),"")</f>
        <v/>
      </c>
      <c r="D307" s="17" t="str">
        <f ca="1">IF(HLOOKUP(D305,Summary!$I$2:$AM$7,2,0)=0,"",HLOOKUP(D305,Summary!$I$2:$AM$7,2,0))</f>
        <v/>
      </c>
      <c r="E307" s="71" t="str">
        <f ca="1">IFERROR(VLOOKUP(D307,fixed_expenses[],2,0),"")</f>
        <v/>
      </c>
      <c r="F307" s="17" t="str">
        <f ca="1">IF(HLOOKUP(F305,Summary!$I$2:$AM$7,2,0)=0,"",HLOOKUP(F305,Summary!$I$2:$AM$7,2,0))</f>
        <v/>
      </c>
      <c r="G307" s="71" t="str">
        <f ca="1">IFERROR(VLOOKUP(F307,fixed_expenses[],2,0),"")</f>
        <v/>
      </c>
      <c r="H307" s="17" t="str">
        <f ca="1">IF(HLOOKUP(H305,Summary!$I$2:$AM$7,2,0)=0,"",HLOOKUP(H305,Summary!$I$2:$AM$7,2,0))</f>
        <v/>
      </c>
      <c r="I307" s="71" t="str">
        <f ca="1">IFERROR(VLOOKUP(H307,fixed_expenses[],2,0),"")</f>
        <v/>
      </c>
      <c r="J307" s="17" t="str">
        <f ca="1">IF(HLOOKUP(J305,Summary!$I$2:$AM$7,2,0)=0,"",HLOOKUP(J305,Summary!$I$2:$AM$7,2,0))</f>
        <v/>
      </c>
      <c r="K307" s="71" t="str">
        <f ca="1">IFERROR(VLOOKUP(J307,fixed_expenses[],2,0),"")</f>
        <v/>
      </c>
      <c r="L307" s="17" t="s">
        <v>384</v>
      </c>
      <c r="M307" s="71">
        <f>IFERROR(VLOOKUP(L307,fixed_expenses[],2,0),"")</f>
        <v>232</v>
      </c>
      <c r="N307" s="17" t="str">
        <f ca="1">IF(HLOOKUP(N305,Summary!$I$2:$AM$7,2,0)=0,"",HLOOKUP(N305,Summary!$I$2:$AM$7,2,0))</f>
        <v/>
      </c>
      <c r="O307" s="71" t="str">
        <f ca="1">IFERROR(VLOOKUP(N307,fixed_expenses[],2,0),"")</f>
        <v/>
      </c>
      <c r="P307" s="22"/>
    </row>
    <row r="308" spans="1:16" ht="11.25" customHeight="1" x14ac:dyDescent="0.2">
      <c r="B308" s="17" t="str">
        <f ca="1">IF(HLOOKUP(B305,Summary!$I$2:$AM$7,3,0)=0,"",HLOOKUP(B305,Summary!$I$2:$AM$7,3,0))</f>
        <v/>
      </c>
      <c r="C308" s="71" t="str">
        <f ca="1">IFERROR(VLOOKUP(B308,fixed_expenses[],2,0),"")</f>
        <v/>
      </c>
      <c r="D308" s="17" t="str">
        <f ca="1">IF(HLOOKUP(D305,Summary!$I$2:$AM$7,3,0)=0,"",HLOOKUP(D305,Summary!$I$2:$AM$7,3,0))</f>
        <v/>
      </c>
      <c r="E308" s="71" t="str">
        <f ca="1">IFERROR(VLOOKUP(D308,fixed_expenses[],2,0),"")</f>
        <v/>
      </c>
      <c r="F308" s="17" t="str">
        <f ca="1">IF(HLOOKUP(F305,Summary!$I$2:$AM$7,3,0)=0,"",HLOOKUP(F305,Summary!$I$2:$AM$7,3,0))</f>
        <v/>
      </c>
      <c r="G308" s="71" t="str">
        <f ca="1">IFERROR(VLOOKUP(F308,fixed_expenses[],2,0),"")</f>
        <v/>
      </c>
      <c r="H308" s="17" t="str">
        <f ca="1">IF(HLOOKUP(H305,Summary!$I$2:$AM$7,3,0)=0,"",HLOOKUP(H305,Summary!$I$2:$AM$7,3,0))</f>
        <v/>
      </c>
      <c r="I308" s="71" t="str">
        <f ca="1">IFERROR(VLOOKUP(H308,fixed_expenses[],2,0),"")</f>
        <v/>
      </c>
      <c r="J308" s="17" t="str">
        <f ca="1">IF(HLOOKUP(J305,Summary!$I$2:$AM$7,3,0)=0,"",HLOOKUP(J305,Summary!$I$2:$AM$7,3,0))</f>
        <v/>
      </c>
      <c r="K308" s="71" t="str">
        <f ca="1">IFERROR(VLOOKUP(J308,fixed_expenses[],2,0),"")</f>
        <v/>
      </c>
      <c r="L308" s="17" t="str">
        <f ca="1">IF(HLOOKUP(L305,Summary!$I$2:$AM$7,3,0)=0,"",HLOOKUP(L305,Summary!$I$2:$AM$7,3,0))</f>
        <v/>
      </c>
      <c r="M308" s="71" t="str">
        <f ca="1">IFERROR(VLOOKUP(L308,fixed_expenses[],2,0),"")</f>
        <v/>
      </c>
      <c r="N308" s="17" t="str">
        <f ca="1">IF(HLOOKUP(N305,Summary!$I$2:$AM$7,3,0)=0,"",HLOOKUP(N305,Summary!$I$2:$AM$7,3,0))</f>
        <v/>
      </c>
      <c r="O308" s="71" t="str">
        <f ca="1">IFERROR(VLOOKUP(N308,fixed_expenses[],2,0),"")</f>
        <v/>
      </c>
      <c r="P308" s="22"/>
    </row>
    <row r="309" spans="1:16" ht="11.25" customHeight="1" x14ac:dyDescent="0.2">
      <c r="B309" s="17" t="str">
        <f ca="1">IF(HLOOKUP(B305,Summary!$I$2:$AM$7,4,0)=0,"",HLOOKUP(B305,Summary!$I$2:$AM$7,4,0))</f>
        <v/>
      </c>
      <c r="C309" s="71" t="str">
        <f ca="1">IFERROR(VLOOKUP(B309,fixed_expenses[],2,0),"")</f>
        <v/>
      </c>
      <c r="D309" s="17" t="str">
        <f ca="1">IF(HLOOKUP(D305,Summary!$I$2:$AM$7,4,0)=0,"",HLOOKUP(D305,Summary!$I$2:$AM$7,4,0))</f>
        <v/>
      </c>
      <c r="E309" s="71" t="str">
        <f ca="1">IFERROR(VLOOKUP(D309,fixed_expenses[],2,0),"")</f>
        <v/>
      </c>
      <c r="F309" s="17" t="str">
        <f ca="1">IF(HLOOKUP(F305,Summary!$I$2:$AM$7,4,0)=0,"",HLOOKUP(F305,Summary!$I$2:$AM$7,4,0))</f>
        <v/>
      </c>
      <c r="G309" s="71" t="str">
        <f ca="1">IFERROR(VLOOKUP(F309,fixed_expenses[],2,0),"")</f>
        <v/>
      </c>
      <c r="H309" s="17" t="str">
        <f ca="1">IF(HLOOKUP(H305,Summary!$I$2:$AM$7,4,0)=0,"",HLOOKUP(H305,Summary!$I$2:$AM$7,4,0))</f>
        <v/>
      </c>
      <c r="I309" s="71" t="str">
        <f ca="1">IFERROR(VLOOKUP(H309,fixed_expenses[],2,0),"")</f>
        <v/>
      </c>
      <c r="J309" s="17" t="str">
        <f ca="1">IF(HLOOKUP(J305,Summary!$I$2:$AM$7,4,0)=0,"",HLOOKUP(J305,Summary!$I$2:$AM$7,4,0))</f>
        <v/>
      </c>
      <c r="K309" s="71" t="str">
        <f ca="1">IFERROR(VLOOKUP(J309,fixed_expenses[],2,0),"")</f>
        <v/>
      </c>
      <c r="L309" s="17" t="str">
        <f ca="1">IF(HLOOKUP(L305,Summary!$I$2:$AM$7,4,0)=0,"",HLOOKUP(L305,Summary!$I$2:$AM$7,4,0))</f>
        <v/>
      </c>
      <c r="M309" s="71" t="str">
        <f ca="1">IFERROR(VLOOKUP(L309,fixed_expenses[],2,0),"")</f>
        <v/>
      </c>
      <c r="N309" s="17" t="str">
        <f ca="1">IF(HLOOKUP(N305,Summary!$I$2:$AM$7,4,0)=0,"",HLOOKUP(N305,Summary!$I$2:$AM$7,4,0))</f>
        <v/>
      </c>
      <c r="O309" s="71" t="str">
        <f ca="1">IFERROR(VLOOKUP(N309,fixed_expenses[],2,0),"")</f>
        <v/>
      </c>
      <c r="P309" s="22"/>
    </row>
    <row r="310" spans="1:16" ht="11.25" customHeight="1" x14ac:dyDescent="0.2">
      <c r="B310" s="17" t="str">
        <f ca="1">IF(HLOOKUP(B305,Summary!$I$2:$AM$7,5,0)=0,"",HLOOKUP(B305,Summary!$I$2:$AM$7,5,0))</f>
        <v/>
      </c>
      <c r="C310" s="71" t="str">
        <f ca="1">IFERROR(VLOOKUP(B310,fixed_expenses[],2,0),"")</f>
        <v/>
      </c>
      <c r="D310" s="17" t="str">
        <f ca="1">IF(HLOOKUP(D305,Summary!$I$2:$AM$7,5,0)=0,"",HLOOKUP(D305,Summary!$I$2:$AM$7,5,0))</f>
        <v/>
      </c>
      <c r="E310" s="71" t="str">
        <f ca="1">IFERROR(VLOOKUP(D310,fixed_expenses[],2,0),"")</f>
        <v/>
      </c>
      <c r="F310" s="17" t="str">
        <f ca="1">IF(HLOOKUP(F305,Summary!$I$2:$AM$7,5,0)=0,"",HLOOKUP(F305,Summary!$I$2:$AM$7,5,0))</f>
        <v/>
      </c>
      <c r="G310" s="71" t="str">
        <f ca="1">IFERROR(VLOOKUP(F310,fixed_expenses[],2,0),"")</f>
        <v/>
      </c>
      <c r="H310" s="17" t="str">
        <f ca="1">IF(HLOOKUP(H305,Summary!$I$2:$AM$7,5,0)=0,"",HLOOKUP(H305,Summary!$I$2:$AM$7,5,0))</f>
        <v/>
      </c>
      <c r="I310" s="71" t="str">
        <f ca="1">IFERROR(VLOOKUP(H310,fixed_expenses[],2,0),"")</f>
        <v/>
      </c>
      <c r="J310" s="17" t="str">
        <f ca="1">IF(HLOOKUP(J305,Summary!$I$2:$AM$7,5,0)=0,"",HLOOKUP(J305,Summary!$I$2:$AM$7,5,0))</f>
        <v/>
      </c>
      <c r="K310" s="71" t="str">
        <f ca="1">IFERROR(VLOOKUP(J310,fixed_expenses[],2,0),"")</f>
        <v/>
      </c>
      <c r="L310" s="17" t="str">
        <f ca="1">IF(HLOOKUP(L305,Summary!$I$2:$AM$7,5,0)=0,"",HLOOKUP(L305,Summary!$I$2:$AM$7,5,0))</f>
        <v/>
      </c>
      <c r="M310" s="71" t="str">
        <f ca="1">IFERROR(VLOOKUP(L310,fixed_expenses[],2,0),"")</f>
        <v/>
      </c>
      <c r="N310" s="17" t="str">
        <f ca="1">IF(HLOOKUP(N305,Summary!$I$2:$AM$7,5,0)=0,"",HLOOKUP(N305,Summary!$I$2:$AM$7,5,0))</f>
        <v/>
      </c>
      <c r="O310" s="71" t="str">
        <f ca="1">IFERROR(VLOOKUP(N310,fixed_expenses[],2,0),"")</f>
        <v/>
      </c>
      <c r="P310" s="22"/>
    </row>
    <row r="311" spans="1:16" ht="11.25" customHeight="1" x14ac:dyDescent="0.2">
      <c r="B311" s="17" t="str">
        <f ca="1">IF(HLOOKUP(B305,Summary!$I$2:$AM$7,6,0)=0,"",HLOOKUP(B305,Summary!$I$2:$AM$7,6,0))</f>
        <v/>
      </c>
      <c r="C311" s="71" t="str">
        <f ca="1">IFERROR(VLOOKUP(B311,fixed_expenses[],2,0),"")</f>
        <v/>
      </c>
      <c r="D311" s="17" t="str">
        <f ca="1">IF(HLOOKUP(D305,Summary!$I$2:$AM$7,6,0)=0,"",HLOOKUP(D305,Summary!$I$2:$AM$7,6,0))</f>
        <v/>
      </c>
      <c r="E311" s="71" t="str">
        <f ca="1">IFERROR(VLOOKUP(D311,fixed_expenses[],2,0),"")</f>
        <v/>
      </c>
      <c r="F311" s="17" t="str">
        <f ca="1">IF(HLOOKUP(F305,Summary!$I$2:$AM$7,6,0)=0,"",HLOOKUP(F305,Summary!$I$2:$AM$7,6,0))</f>
        <v/>
      </c>
      <c r="G311" s="71" t="str">
        <f ca="1">IFERROR(VLOOKUP(F311,fixed_expenses[],2,0),"")</f>
        <v/>
      </c>
      <c r="H311" s="17" t="str">
        <f ca="1">IF(HLOOKUP(H305,Summary!$I$2:$AM$7,6,0)=0,"",HLOOKUP(H305,Summary!$I$2:$AM$7,6,0))</f>
        <v/>
      </c>
      <c r="I311" s="71" t="str">
        <f ca="1">IFERROR(VLOOKUP(H311,fixed_expenses[],2,0),"")</f>
        <v/>
      </c>
      <c r="J311" s="17" t="str">
        <f ca="1">IF(HLOOKUP(J305,Summary!$I$2:$AM$7,6,0)=0,"",HLOOKUP(J305,Summary!$I$2:$AM$7,6,0))</f>
        <v/>
      </c>
      <c r="K311" s="71" t="str">
        <f ca="1">IFERROR(VLOOKUP(J311,fixed_expenses[],2,0),"")</f>
        <v/>
      </c>
      <c r="L311" s="17" t="str">
        <f ca="1">IF(HLOOKUP(L305,Summary!$I$2:$AM$7,6,0)=0,"",HLOOKUP(L305,Summary!$I$2:$AM$7,6,0))</f>
        <v/>
      </c>
      <c r="M311" s="71" t="str">
        <f ca="1">IFERROR(VLOOKUP(L311,fixed_expenses[],2,0),"")</f>
        <v/>
      </c>
      <c r="N311" s="17" t="str">
        <f ca="1">IF(HLOOKUP(N305,Summary!$I$2:$AM$7,6,0)=0,"",HLOOKUP(N305,Summary!$I$2:$AM$7,6,0))</f>
        <v/>
      </c>
      <c r="O311" s="71" t="str">
        <f ca="1">IFERROR(VLOOKUP(N311,fixed_expenses[],2,0),"")</f>
        <v/>
      </c>
      <c r="P311" s="22"/>
    </row>
    <row r="312" spans="1:16" ht="11.25" customHeight="1" x14ac:dyDescent="0.2">
      <c r="A312" s="43" t="s">
        <v>325</v>
      </c>
      <c r="B312" s="26" t="s">
        <v>8</v>
      </c>
      <c r="C312" s="27">
        <f ca="1">SUM(C307:C311)</f>
        <v>0</v>
      </c>
      <c r="D312" s="26"/>
      <c r="E312" s="27">
        <f ca="1">SUM(E307:E311)</f>
        <v>0</v>
      </c>
      <c r="F312" s="26"/>
      <c r="G312" s="27">
        <f ca="1">SUM(G307:G311)</f>
        <v>0</v>
      </c>
      <c r="H312" s="26"/>
      <c r="I312" s="27">
        <f ca="1">SUM(I307:I311)</f>
        <v>0</v>
      </c>
      <c r="J312" s="26"/>
      <c r="K312" s="27">
        <f ca="1">SUM(K307:K311)</f>
        <v>0</v>
      </c>
      <c r="L312" s="26"/>
      <c r="M312" s="27">
        <f ca="1">SUM(M307:M311)</f>
        <v>232</v>
      </c>
      <c r="N312" s="26"/>
      <c r="O312" s="28">
        <f ca="1">SUM(O307:O311)</f>
        <v>0</v>
      </c>
      <c r="P312" s="29">
        <f ca="1">SUM(C312,E312,G312,I312,K312,M312,O312)</f>
        <v>232</v>
      </c>
    </row>
    <row r="313" spans="1:16" x14ac:dyDescent="0.2">
      <c r="B313" s="6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6"/>
    </row>
    <row r="314" spans="1:16" ht="15" customHeight="1" x14ac:dyDescent="0.2">
      <c r="A314" s="43" t="s">
        <v>251</v>
      </c>
      <c r="B314" s="12">
        <f ca="1">N305+1</f>
        <v>13</v>
      </c>
      <c r="C314" s="13"/>
      <c r="D314" s="12">
        <f ca="1">B314+1</f>
        <v>14</v>
      </c>
      <c r="E314" s="13"/>
      <c r="F314" s="12">
        <f ca="1">D314+1</f>
        <v>15</v>
      </c>
      <c r="G314" s="13"/>
      <c r="H314" s="12">
        <f ca="1">F314+1</f>
        <v>16</v>
      </c>
      <c r="I314" s="13"/>
      <c r="J314" s="12">
        <f ca="1">H314+1</f>
        <v>17</v>
      </c>
      <c r="K314" s="13"/>
      <c r="L314" s="12">
        <f ca="1">J314+1</f>
        <v>18</v>
      </c>
      <c r="M314" s="13"/>
      <c r="N314" s="12">
        <f ca="1">L314+1</f>
        <v>19</v>
      </c>
      <c r="O314" s="13"/>
      <c r="P314" s="24"/>
    </row>
    <row r="315" spans="1:16" ht="11.25" customHeight="1" x14ac:dyDescent="0.2">
      <c r="A315" s="43" t="s">
        <v>157</v>
      </c>
      <c r="B315" s="37" t="s">
        <v>9</v>
      </c>
      <c r="C315" s="39" t="s">
        <v>10</v>
      </c>
      <c r="D315" s="37" t="s">
        <v>9</v>
      </c>
      <c r="E315" s="39" t="s">
        <v>10</v>
      </c>
      <c r="F315" s="37" t="s">
        <v>9</v>
      </c>
      <c r="G315" s="39" t="s">
        <v>10</v>
      </c>
      <c r="H315" s="37" t="s">
        <v>9</v>
      </c>
      <c r="I315" s="39" t="s">
        <v>10</v>
      </c>
      <c r="J315" s="37" t="s">
        <v>9</v>
      </c>
      <c r="K315" s="39" t="s">
        <v>10</v>
      </c>
      <c r="L315" s="37" t="s">
        <v>9</v>
      </c>
      <c r="M315" s="39" t="s">
        <v>10</v>
      </c>
      <c r="N315" s="37" t="s">
        <v>9</v>
      </c>
      <c r="O315" s="40" t="s">
        <v>10</v>
      </c>
      <c r="P315" s="22"/>
    </row>
    <row r="316" spans="1:16" ht="11.25" customHeight="1" x14ac:dyDescent="0.2">
      <c r="A316" s="43" t="s">
        <v>197</v>
      </c>
      <c r="B316" s="17" t="str">
        <f ca="1">IF(HLOOKUP(B314,Summary!$I$2:$AM$7,2,0)=0,"",HLOOKUP(B314,Summary!$I$2:$AM$7,2,0))</f>
        <v/>
      </c>
      <c r="C316" s="71" t="str">
        <f ca="1">IFERROR(VLOOKUP(B316,fixed_expenses[],2,0),"")</f>
        <v/>
      </c>
      <c r="D316" s="17" t="str">
        <f ca="1">IF(HLOOKUP(D314,Summary!$I$2:$AM$7,2,0)=0,"",HLOOKUP(D314,Summary!$I$2:$AM$7,2,0))</f>
        <v/>
      </c>
      <c r="E316" s="71" t="str">
        <f ca="1">IFERROR(VLOOKUP(D316,fixed_expenses[],2,0),"")</f>
        <v/>
      </c>
      <c r="F316" s="17" t="str">
        <f ca="1">IF(HLOOKUP(F314,Summary!$I$2:$AM$7,2,0)=0,"",HLOOKUP(F314,Summary!$I$2:$AM$7,2,0))</f>
        <v>Paul Phone Bill</v>
      </c>
      <c r="G316" s="71">
        <f ca="1">IFERROR(VLOOKUP(F316,fixed_expenses[],2,0),"")</f>
        <v>60</v>
      </c>
      <c r="H316" s="17" t="str">
        <f ca="1">IF(HLOOKUP(H314,Summary!$I$2:$AM$7,2,0)=0,"",HLOOKUP(H314,Summary!$I$2:$AM$7,2,0))</f>
        <v/>
      </c>
      <c r="I316" s="71" t="str">
        <f ca="1">IFERROR(VLOOKUP(H316,fixed_expenses[],2,0),"")</f>
        <v/>
      </c>
      <c r="J316" s="17" t="str">
        <f ca="1">IF(HLOOKUP(J314,Summary!$I$2:$AM$7,2,0)=0,"",HLOOKUP(J314,Summary!$I$2:$AM$7,2,0))</f>
        <v/>
      </c>
      <c r="K316" s="71" t="str">
        <f ca="1">IFERROR(VLOOKUP(J316,fixed_expenses[],2,0),"")</f>
        <v/>
      </c>
      <c r="L316" s="17" t="str">
        <f ca="1">IF(HLOOKUP(L314,Summary!$I$2:$AM$7,2,0)=0,"",HLOOKUP(L314,Summary!$I$2:$AM$7,2,0))</f>
        <v/>
      </c>
      <c r="M316" s="71" t="str">
        <f ca="1">IFERROR(VLOOKUP(L316,fixed_expenses[],2,0),"")</f>
        <v/>
      </c>
      <c r="N316" s="17" t="str">
        <f ca="1">IF(HLOOKUP(N314,Summary!$I$2:$AM$7,2,0)=0,"",HLOOKUP(N314,Summary!$I$2:$AM$7,2,0))</f>
        <v/>
      </c>
      <c r="O316" s="71" t="str">
        <f ca="1">IFERROR(VLOOKUP(N316,fixed_expenses[],2,0),"")</f>
        <v/>
      </c>
      <c r="P316" s="22"/>
    </row>
    <row r="317" spans="1:16" ht="11.25" customHeight="1" x14ac:dyDescent="0.2">
      <c r="B317" s="17" t="str">
        <f ca="1">IF(HLOOKUP(B314,Summary!$I$2:$AM$7,3,0)=0,"",HLOOKUP(B314,Summary!$I$2:$AM$7,3,0))</f>
        <v/>
      </c>
      <c r="C317" s="71" t="str">
        <f ca="1">IFERROR(VLOOKUP(B317,fixed_expenses[],2,0),"")</f>
        <v/>
      </c>
      <c r="D317" s="17" t="str">
        <f ca="1">IF(HLOOKUP(D314,Summary!$I$2:$AM$7,3,0)=0,"",HLOOKUP(D314,Summary!$I$2:$AM$7,3,0))</f>
        <v/>
      </c>
      <c r="E317" s="71" t="str">
        <f ca="1">IFERROR(VLOOKUP(D317,fixed_expenses[],2,0),"")</f>
        <v/>
      </c>
      <c r="F317" s="17" t="str">
        <f ca="1">IF(HLOOKUP(F314,Summary!$I$2:$AM$7,3,0)=0,"",HLOOKUP(F314,Summary!$I$2:$AM$7,3,0))</f>
        <v>Electric</v>
      </c>
      <c r="G317" s="71">
        <f ca="1">IFERROR(VLOOKUP(F317,fixed_expenses[],2,0),"")</f>
        <v>50</v>
      </c>
      <c r="H317" s="17" t="str">
        <f ca="1">IF(HLOOKUP(H314,Summary!$I$2:$AM$7,3,0)=0,"",HLOOKUP(H314,Summary!$I$2:$AM$7,3,0))</f>
        <v/>
      </c>
      <c r="I317" s="71" t="str">
        <f ca="1">IFERROR(VLOOKUP(H317,fixed_expenses[],2,0),"")</f>
        <v/>
      </c>
      <c r="J317" s="17" t="str">
        <f ca="1">IF(HLOOKUP(J314,Summary!$I$2:$AM$7,3,0)=0,"",HLOOKUP(J314,Summary!$I$2:$AM$7,3,0))</f>
        <v/>
      </c>
      <c r="K317" s="71" t="str">
        <f ca="1">IFERROR(VLOOKUP(J317,fixed_expenses[],2,0),"")</f>
        <v/>
      </c>
      <c r="L317" s="17" t="str">
        <f ca="1">IF(HLOOKUP(L314,Summary!$I$2:$AM$7,3,0)=0,"",HLOOKUP(L314,Summary!$I$2:$AM$7,3,0))</f>
        <v/>
      </c>
      <c r="M317" s="71" t="str">
        <f ca="1">IFERROR(VLOOKUP(L317,fixed_expenses[],2,0),"")</f>
        <v/>
      </c>
      <c r="N317" s="17" t="str">
        <f ca="1">IF(HLOOKUP(N314,Summary!$I$2:$AM$7,3,0)=0,"",HLOOKUP(N314,Summary!$I$2:$AM$7,3,0))</f>
        <v/>
      </c>
      <c r="O317" s="71" t="str">
        <f ca="1">IFERROR(VLOOKUP(N317,fixed_expenses[],2,0),"")</f>
        <v/>
      </c>
      <c r="P317" s="22"/>
    </row>
    <row r="318" spans="1:16" ht="11.25" customHeight="1" x14ac:dyDescent="0.2">
      <c r="B318" s="17" t="str">
        <f ca="1">IF(HLOOKUP(B314,Summary!$I$2:$AM$7,4,0)=0,"",HLOOKUP(B314,Summary!$I$2:$AM$7,4,0))</f>
        <v/>
      </c>
      <c r="C318" s="71" t="str">
        <f ca="1">IFERROR(VLOOKUP(B318,fixed_expenses[],2,0),"")</f>
        <v/>
      </c>
      <c r="D318" s="17" t="str">
        <f ca="1">IF(HLOOKUP(D314,Summary!$I$2:$AM$7,4,0)=0,"",HLOOKUP(D314,Summary!$I$2:$AM$7,4,0))</f>
        <v/>
      </c>
      <c r="E318" s="71" t="str">
        <f ca="1">IFERROR(VLOOKUP(D318,fixed_expenses[],2,0),"")</f>
        <v/>
      </c>
      <c r="F318" s="17" t="str">
        <f ca="1">IF(HLOOKUP(F314,Summary!$I$2:$AM$7,4,0)=0,"",HLOOKUP(F314,Summary!$I$2:$AM$7,4,0))</f>
        <v/>
      </c>
      <c r="G318" s="71" t="str">
        <f ca="1">IFERROR(VLOOKUP(F318,fixed_expenses[],2,0),"")</f>
        <v/>
      </c>
      <c r="H318" s="17" t="str">
        <f ca="1">IF(HLOOKUP(H314,Summary!$I$2:$AM$7,4,0)=0,"",HLOOKUP(H314,Summary!$I$2:$AM$7,4,0))</f>
        <v/>
      </c>
      <c r="I318" s="71" t="str">
        <f ca="1">IFERROR(VLOOKUP(H318,fixed_expenses[],2,0),"")</f>
        <v/>
      </c>
      <c r="J318" s="17" t="str">
        <f ca="1">IF(HLOOKUP(J314,Summary!$I$2:$AM$7,4,0)=0,"",HLOOKUP(J314,Summary!$I$2:$AM$7,4,0))</f>
        <v/>
      </c>
      <c r="K318" s="71" t="str">
        <f ca="1">IFERROR(VLOOKUP(J318,fixed_expenses[],2,0),"")</f>
        <v/>
      </c>
      <c r="L318" s="17" t="str">
        <f ca="1">IF(HLOOKUP(L314,Summary!$I$2:$AM$7,4,0)=0,"",HLOOKUP(L314,Summary!$I$2:$AM$7,4,0))</f>
        <v/>
      </c>
      <c r="M318" s="71" t="str">
        <f ca="1">IFERROR(VLOOKUP(L318,fixed_expenses[],2,0),"")</f>
        <v/>
      </c>
      <c r="N318" s="17" t="str">
        <f ca="1">IF(HLOOKUP(N314,Summary!$I$2:$AM$7,4,0)=0,"",HLOOKUP(N314,Summary!$I$2:$AM$7,4,0))</f>
        <v/>
      </c>
      <c r="O318" s="71" t="str">
        <f ca="1">IFERROR(VLOOKUP(N318,fixed_expenses[],2,0),"")</f>
        <v/>
      </c>
      <c r="P318" s="22"/>
    </row>
    <row r="319" spans="1:16" ht="11.25" customHeight="1" x14ac:dyDescent="0.2">
      <c r="B319" s="17" t="str">
        <f ca="1">IF(HLOOKUP(B314,Summary!$I$2:$AM$7,5,0)=0,"",HLOOKUP(B314,Summary!$I$2:$AM$7,5,0))</f>
        <v/>
      </c>
      <c r="C319" s="71" t="str">
        <f ca="1">IFERROR(VLOOKUP(B319,fixed_expenses[],2,0),"")</f>
        <v/>
      </c>
      <c r="D319" s="17" t="str">
        <f ca="1">IF(HLOOKUP(D314,Summary!$I$2:$AM$7,5,0)=0,"",HLOOKUP(D314,Summary!$I$2:$AM$7,5,0))</f>
        <v/>
      </c>
      <c r="E319" s="71" t="str">
        <f ca="1">IFERROR(VLOOKUP(D319,fixed_expenses[],2,0),"")</f>
        <v/>
      </c>
      <c r="F319" s="17" t="str">
        <f ca="1">IF(HLOOKUP(F314,Summary!$I$2:$AM$7,5,0)=0,"",HLOOKUP(F314,Summary!$I$2:$AM$7,5,0))</f>
        <v/>
      </c>
      <c r="G319" s="71" t="str">
        <f ca="1">IFERROR(VLOOKUP(F319,fixed_expenses[],2,0),"")</f>
        <v/>
      </c>
      <c r="H319" s="17" t="str">
        <f ca="1">IF(HLOOKUP(H314,Summary!$I$2:$AM$7,5,0)=0,"",HLOOKUP(H314,Summary!$I$2:$AM$7,5,0))</f>
        <v/>
      </c>
      <c r="I319" s="71" t="str">
        <f ca="1">IFERROR(VLOOKUP(H319,fixed_expenses[],2,0),"")</f>
        <v/>
      </c>
      <c r="J319" s="17" t="str">
        <f ca="1">IF(HLOOKUP(J314,Summary!$I$2:$AM$7,5,0)=0,"",HLOOKUP(J314,Summary!$I$2:$AM$7,5,0))</f>
        <v/>
      </c>
      <c r="K319" s="71" t="str">
        <f ca="1">IFERROR(VLOOKUP(J319,fixed_expenses[],2,0),"")</f>
        <v/>
      </c>
      <c r="L319" s="17" t="str">
        <f ca="1">IF(HLOOKUP(L314,Summary!$I$2:$AM$7,5,0)=0,"",HLOOKUP(L314,Summary!$I$2:$AM$7,5,0))</f>
        <v/>
      </c>
      <c r="M319" s="71" t="str">
        <f ca="1">IFERROR(VLOOKUP(L319,fixed_expenses[],2,0),"")</f>
        <v/>
      </c>
      <c r="N319" s="17" t="str">
        <f ca="1">IF(HLOOKUP(N314,Summary!$I$2:$AM$7,5,0)=0,"",HLOOKUP(N314,Summary!$I$2:$AM$7,5,0))</f>
        <v/>
      </c>
      <c r="O319" s="71" t="str">
        <f ca="1">IFERROR(VLOOKUP(N319,fixed_expenses[],2,0),"")</f>
        <v/>
      </c>
      <c r="P319" s="22"/>
    </row>
    <row r="320" spans="1:16" ht="11.25" customHeight="1" x14ac:dyDescent="0.2">
      <c r="B320" s="17" t="str">
        <f ca="1">IF(HLOOKUP(B314,Summary!$I$2:$AM$7,6,0)=0,"",HLOOKUP(B314,Summary!$I$2:$AM$7,6,0))</f>
        <v/>
      </c>
      <c r="C320" s="71" t="str">
        <f ca="1">IFERROR(VLOOKUP(B320,fixed_expenses[],2,0),"")</f>
        <v/>
      </c>
      <c r="D320" s="17" t="str">
        <f ca="1">IF(HLOOKUP(D314,Summary!$I$2:$AM$7,6,0)=0,"",HLOOKUP(D314,Summary!$I$2:$AM$7,6,0))</f>
        <v/>
      </c>
      <c r="E320" s="71" t="str">
        <f ca="1">IFERROR(VLOOKUP(D320,fixed_expenses[],2,0),"")</f>
        <v/>
      </c>
      <c r="F320" s="17" t="str">
        <f ca="1">IF(HLOOKUP(F314,Summary!$I$2:$AM$7,6,0)=0,"",HLOOKUP(F314,Summary!$I$2:$AM$7,6,0))</f>
        <v/>
      </c>
      <c r="G320" s="71" t="str">
        <f ca="1">IFERROR(VLOOKUP(F320,fixed_expenses[],2,0),"")</f>
        <v/>
      </c>
      <c r="H320" s="17" t="str">
        <f ca="1">IF(HLOOKUP(H314,Summary!$I$2:$AM$7,6,0)=0,"",HLOOKUP(H314,Summary!$I$2:$AM$7,6,0))</f>
        <v/>
      </c>
      <c r="I320" s="71" t="str">
        <f ca="1">IFERROR(VLOOKUP(H320,fixed_expenses[],2,0),"")</f>
        <v/>
      </c>
      <c r="J320" s="17" t="str">
        <f ca="1">IF(HLOOKUP(J314,Summary!$I$2:$AM$7,6,0)=0,"",HLOOKUP(J314,Summary!$I$2:$AM$7,6,0))</f>
        <v/>
      </c>
      <c r="K320" s="71" t="str">
        <f ca="1">IFERROR(VLOOKUP(J320,fixed_expenses[],2,0),"")</f>
        <v/>
      </c>
      <c r="L320" s="17" t="str">
        <f ca="1">IF(HLOOKUP(L314,Summary!$I$2:$AM$7,6,0)=0,"",HLOOKUP(L314,Summary!$I$2:$AM$7,6,0))</f>
        <v/>
      </c>
      <c r="M320" s="71" t="str">
        <f ca="1">IFERROR(VLOOKUP(L320,fixed_expenses[],2,0),"")</f>
        <v/>
      </c>
      <c r="N320" s="17" t="str">
        <f ca="1">IF(HLOOKUP(N314,Summary!$I$2:$AM$7,6,0)=0,"",HLOOKUP(N314,Summary!$I$2:$AM$7,6,0))</f>
        <v/>
      </c>
      <c r="O320" s="71" t="str">
        <f ca="1">IFERROR(VLOOKUP(N320,fixed_expenses[],2,0),"")</f>
        <v/>
      </c>
      <c r="P320" s="22"/>
    </row>
    <row r="321" spans="1:16" ht="11.25" customHeight="1" x14ac:dyDescent="0.2">
      <c r="A321" s="43" t="s">
        <v>324</v>
      </c>
      <c r="B321" s="30" t="s">
        <v>8</v>
      </c>
      <c r="C321" s="27">
        <f ca="1">SUM(C316:C320)</f>
        <v>0</v>
      </c>
      <c r="D321" s="26"/>
      <c r="E321" s="27">
        <f ca="1">SUM(E316:E320)</f>
        <v>0</v>
      </c>
      <c r="F321" s="26"/>
      <c r="G321" s="27">
        <f ca="1">SUM(G316:G320)</f>
        <v>110</v>
      </c>
      <c r="H321" s="26"/>
      <c r="I321" s="27">
        <f ca="1">SUM(I316:I320)</f>
        <v>0</v>
      </c>
      <c r="J321" s="26"/>
      <c r="K321" s="27">
        <f ca="1">SUM(K316:K320)</f>
        <v>0</v>
      </c>
      <c r="L321" s="26"/>
      <c r="M321" s="27">
        <f ca="1">SUM(M316:M320)</f>
        <v>0</v>
      </c>
      <c r="N321" s="26"/>
      <c r="O321" s="28">
        <f ca="1">SUM(O316:O320)</f>
        <v>0</v>
      </c>
      <c r="P321" s="29">
        <f ca="1">SUM(C321,E321,G321,I321,K321,M321,O321)</f>
        <v>110</v>
      </c>
    </row>
    <row r="322" spans="1:16" x14ac:dyDescent="0.2">
      <c r="B322" s="6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6"/>
    </row>
    <row r="323" spans="1:16" ht="15" customHeight="1" x14ac:dyDescent="0.2">
      <c r="A323" s="43" t="s">
        <v>252</v>
      </c>
      <c r="B323" s="12">
        <f ca="1">N314+1</f>
        <v>20</v>
      </c>
      <c r="C323" s="13"/>
      <c r="D323" s="12">
        <f ca="1">B323+1</f>
        <v>21</v>
      </c>
      <c r="E323" s="13"/>
      <c r="F323" s="12">
        <f ca="1">D323+1</f>
        <v>22</v>
      </c>
      <c r="G323" s="13"/>
      <c r="H323" s="12">
        <f ca="1">F323+1</f>
        <v>23</v>
      </c>
      <c r="I323" s="13"/>
      <c r="J323" s="12">
        <f ca="1">H323+1</f>
        <v>24</v>
      </c>
      <c r="K323" s="13"/>
      <c r="L323" s="12">
        <f ca="1">J323+1</f>
        <v>25</v>
      </c>
      <c r="M323" s="13"/>
      <c r="N323" s="12">
        <f ca="1">L323+1</f>
        <v>26</v>
      </c>
      <c r="O323" s="13"/>
      <c r="P323" s="24"/>
    </row>
    <row r="324" spans="1:16" ht="11.25" customHeight="1" x14ac:dyDescent="0.2">
      <c r="A324" s="43" t="s">
        <v>156</v>
      </c>
      <c r="B324" s="37" t="s">
        <v>9</v>
      </c>
      <c r="C324" s="39" t="s">
        <v>10</v>
      </c>
      <c r="D324" s="37" t="s">
        <v>9</v>
      </c>
      <c r="E324" s="39" t="s">
        <v>10</v>
      </c>
      <c r="F324" s="37" t="s">
        <v>9</v>
      </c>
      <c r="G324" s="39" t="s">
        <v>10</v>
      </c>
      <c r="H324" s="37" t="s">
        <v>9</v>
      </c>
      <c r="I324" s="39" t="s">
        <v>10</v>
      </c>
      <c r="J324" s="37" t="s">
        <v>9</v>
      </c>
      <c r="K324" s="39" t="s">
        <v>10</v>
      </c>
      <c r="L324" s="37" t="s">
        <v>9</v>
      </c>
      <c r="M324" s="39" t="s">
        <v>10</v>
      </c>
      <c r="N324" s="37" t="s">
        <v>9</v>
      </c>
      <c r="O324" s="40" t="s">
        <v>10</v>
      </c>
      <c r="P324" s="22"/>
    </row>
    <row r="325" spans="1:16" ht="11.25" customHeight="1" x14ac:dyDescent="0.2">
      <c r="A325" s="43" t="s">
        <v>198</v>
      </c>
      <c r="B325" s="17" t="str">
        <f ca="1">IF(HLOOKUP(B323,Summary!$I$2:$AM$7,2,0)=0,"",HLOOKUP(B323,Summary!$I$2:$AM$7,2,0))</f>
        <v>Lynn Phone Bill</v>
      </c>
      <c r="C325" s="71" t="str">
        <f ca="1">IFERROR(VLOOKUP(B325,fixed_expenses[],2,0),"")</f>
        <v/>
      </c>
      <c r="D325" s="17" t="str">
        <f ca="1">IF(HLOOKUP(D323,Summary!$I$2:$AM$7,2,0)=0,"",HLOOKUP(D323,Summary!$I$2:$AM$7,2,0))</f>
        <v/>
      </c>
      <c r="E325" s="71" t="str">
        <f ca="1">IFERROR(VLOOKUP(D325,fixed_expenses[],2,0),"")</f>
        <v/>
      </c>
      <c r="F325" s="17" t="str">
        <f ca="1">IF(HLOOKUP(F323,Summary!$I$2:$AM$7,2,0)=0,"",HLOOKUP(F323,Summary!$I$2:$AM$7,2,0))</f>
        <v/>
      </c>
      <c r="G325" s="71" t="str">
        <f ca="1">IFERROR(VLOOKUP(F325,fixed_expenses[],2,0),"")</f>
        <v/>
      </c>
      <c r="H325" s="17" t="str">
        <f ca="1">IF(HLOOKUP(H323,Summary!$I$2:$AM$7,2,0)=0,"",HLOOKUP(H323,Summary!$I$2:$AM$7,2,0))</f>
        <v/>
      </c>
      <c r="I325" s="71" t="str">
        <f ca="1">IFERROR(VLOOKUP(H325,fixed_expenses[],2,0),"")</f>
        <v/>
      </c>
      <c r="J325" s="17" t="str">
        <f ca="1">IF(HLOOKUP(J323,Summary!$I$2:$AM$7,2,0)=0,"",HLOOKUP(J323,Summary!$I$2:$AM$7,2,0))</f>
        <v/>
      </c>
      <c r="K325" s="71" t="str">
        <f ca="1">IFERROR(VLOOKUP(J325,fixed_expenses[],2,0),"")</f>
        <v/>
      </c>
      <c r="L325" s="17" t="s">
        <v>384</v>
      </c>
      <c r="M325" s="71">
        <f>IFERROR(VLOOKUP(L325,fixed_expenses[],2,0),"")</f>
        <v>232</v>
      </c>
      <c r="N325" s="17" t="str">
        <f ca="1">IF(HLOOKUP(N323,Summary!$I$2:$AM$7,2,0)=0,"",HLOOKUP(N323,Summary!$I$2:$AM$7,2,0))</f>
        <v/>
      </c>
      <c r="O325" s="71" t="str">
        <f ca="1">IFERROR(VLOOKUP(N325,fixed_expenses[],2,0),"")</f>
        <v/>
      </c>
      <c r="P325" s="22"/>
    </row>
    <row r="326" spans="1:16" ht="11.25" customHeight="1" x14ac:dyDescent="0.2">
      <c r="B326" s="17" t="str">
        <f ca="1">IF(HLOOKUP(B323,Summary!$I$2:$AM$7,3,0)=0,"",HLOOKUP(B323,Summary!$I$2:$AM$7,3,0))</f>
        <v/>
      </c>
      <c r="C326" s="71" t="str">
        <f ca="1">IFERROR(VLOOKUP(B326,fixed_expenses[],2,0),"")</f>
        <v/>
      </c>
      <c r="D326" s="17" t="str">
        <f ca="1">IF(HLOOKUP(D323,Summary!$I$2:$AM$7,3,0)=0,"",HLOOKUP(D323,Summary!$I$2:$AM$7,3,0))</f>
        <v/>
      </c>
      <c r="E326" s="71" t="str">
        <f ca="1">IFERROR(VLOOKUP(D326,fixed_expenses[],2,0),"")</f>
        <v/>
      </c>
      <c r="F326" s="17" t="str">
        <f ca="1">IF(HLOOKUP(F323,Summary!$I$2:$AM$7,3,0)=0,"",HLOOKUP(F323,Summary!$I$2:$AM$7,3,0))</f>
        <v/>
      </c>
      <c r="G326" s="71" t="str">
        <f ca="1">IFERROR(VLOOKUP(F326,fixed_expenses[],2,0),"")</f>
        <v/>
      </c>
      <c r="H326" s="17" t="str">
        <f ca="1">IF(HLOOKUP(H323,Summary!$I$2:$AM$7,3,0)=0,"",HLOOKUP(H323,Summary!$I$2:$AM$7,3,0))</f>
        <v/>
      </c>
      <c r="I326" s="71" t="str">
        <f ca="1">IFERROR(VLOOKUP(H326,fixed_expenses[],2,0),"")</f>
        <v/>
      </c>
      <c r="J326" s="17" t="str">
        <f ca="1">IF(HLOOKUP(J323,Summary!$I$2:$AM$7,3,0)=0,"",HLOOKUP(J323,Summary!$I$2:$AM$7,3,0))</f>
        <v/>
      </c>
      <c r="K326" s="71" t="str">
        <f ca="1">IFERROR(VLOOKUP(J326,fixed_expenses[],2,0),"")</f>
        <v/>
      </c>
      <c r="L326" s="17" t="str">
        <f ca="1">IF(HLOOKUP(L323,Summary!$I$2:$AM$7,3,0)=0,"",HLOOKUP(L323,Summary!$I$2:$AM$7,3,0))</f>
        <v/>
      </c>
      <c r="M326" s="71" t="str">
        <f ca="1">IFERROR(VLOOKUP(L326,fixed_expenses[],2,0),"")</f>
        <v/>
      </c>
      <c r="N326" s="17" t="str">
        <f ca="1">IF(HLOOKUP(N323,Summary!$I$2:$AM$7,3,0)=0,"",HLOOKUP(N323,Summary!$I$2:$AM$7,3,0))</f>
        <v/>
      </c>
      <c r="O326" s="71" t="str">
        <f ca="1">IFERROR(VLOOKUP(N326,fixed_expenses[],2,0),"")</f>
        <v/>
      </c>
      <c r="P326" s="22"/>
    </row>
    <row r="327" spans="1:16" ht="11.25" customHeight="1" x14ac:dyDescent="0.2">
      <c r="B327" s="17" t="str">
        <f ca="1">IF(HLOOKUP(B323,Summary!$I$2:$AM$7,4,0)=0,"",HLOOKUP(B323,Summary!$I$2:$AM$7,4,0))</f>
        <v/>
      </c>
      <c r="C327" s="71" t="str">
        <f ca="1">IFERROR(VLOOKUP(B327,fixed_expenses[],2,0),"")</f>
        <v/>
      </c>
      <c r="D327" s="17" t="str">
        <f ca="1">IF(HLOOKUP(D323,Summary!$I$2:$AM$7,4,0)=0,"",HLOOKUP(D323,Summary!$I$2:$AM$7,4,0))</f>
        <v/>
      </c>
      <c r="E327" s="71" t="str">
        <f ca="1">IFERROR(VLOOKUP(D327,fixed_expenses[],2,0),"")</f>
        <v/>
      </c>
      <c r="F327" s="17" t="str">
        <f ca="1">IF(HLOOKUP(F323,Summary!$I$2:$AM$7,4,0)=0,"",HLOOKUP(F323,Summary!$I$2:$AM$7,4,0))</f>
        <v/>
      </c>
      <c r="G327" s="71" t="str">
        <f ca="1">IFERROR(VLOOKUP(F327,fixed_expenses[],2,0),"")</f>
        <v/>
      </c>
      <c r="H327" s="17" t="str">
        <f ca="1">IF(HLOOKUP(H323,Summary!$I$2:$AM$7,4,0)=0,"",HLOOKUP(H323,Summary!$I$2:$AM$7,4,0))</f>
        <v/>
      </c>
      <c r="I327" s="71" t="str">
        <f ca="1">IFERROR(VLOOKUP(H327,fixed_expenses[],2,0),"")</f>
        <v/>
      </c>
      <c r="J327" s="17" t="str">
        <f ca="1">IF(HLOOKUP(J323,Summary!$I$2:$AM$7,4,0)=0,"",HLOOKUP(J323,Summary!$I$2:$AM$7,4,0))</f>
        <v/>
      </c>
      <c r="K327" s="71" t="str">
        <f ca="1">IFERROR(VLOOKUP(J327,fixed_expenses[],2,0),"")</f>
        <v/>
      </c>
      <c r="L327" s="17" t="str">
        <f ca="1">IF(HLOOKUP(L323,Summary!$I$2:$AM$7,4,0)=0,"",HLOOKUP(L323,Summary!$I$2:$AM$7,4,0))</f>
        <v/>
      </c>
      <c r="M327" s="71" t="str">
        <f ca="1">IFERROR(VLOOKUP(L327,fixed_expenses[],2,0),"")</f>
        <v/>
      </c>
      <c r="N327" s="17" t="str">
        <f ca="1">IF(HLOOKUP(N323,Summary!$I$2:$AM$7,4,0)=0,"",HLOOKUP(N323,Summary!$I$2:$AM$7,4,0))</f>
        <v/>
      </c>
      <c r="O327" s="71" t="str">
        <f ca="1">IFERROR(VLOOKUP(N327,fixed_expenses[],2,0),"")</f>
        <v/>
      </c>
      <c r="P327" s="22"/>
    </row>
    <row r="328" spans="1:16" ht="11.25" customHeight="1" x14ac:dyDescent="0.2">
      <c r="B328" s="17" t="str">
        <f ca="1">IF(HLOOKUP(B323,Summary!$I$2:$AM$7,5,0)=0,"",HLOOKUP(B323,Summary!$I$2:$AM$7,5,0))</f>
        <v/>
      </c>
      <c r="C328" s="71" t="str">
        <f ca="1">IFERROR(VLOOKUP(B328,fixed_expenses[],2,0),"")</f>
        <v/>
      </c>
      <c r="D328" s="17" t="str">
        <f ca="1">IF(HLOOKUP(D323,Summary!$I$2:$AM$7,5,0)=0,"",HLOOKUP(D323,Summary!$I$2:$AM$7,5,0))</f>
        <v/>
      </c>
      <c r="E328" s="71" t="str">
        <f ca="1">IFERROR(VLOOKUP(D328,fixed_expenses[],2,0),"")</f>
        <v/>
      </c>
      <c r="F328" s="17" t="str">
        <f ca="1">IF(HLOOKUP(F323,Summary!$I$2:$AM$7,5,0)=0,"",HLOOKUP(F323,Summary!$I$2:$AM$7,5,0))</f>
        <v/>
      </c>
      <c r="G328" s="71" t="str">
        <f ca="1">IFERROR(VLOOKUP(F328,fixed_expenses[],2,0),"")</f>
        <v/>
      </c>
      <c r="H328" s="17" t="str">
        <f ca="1">IF(HLOOKUP(H323,Summary!$I$2:$AM$7,5,0)=0,"",HLOOKUP(H323,Summary!$I$2:$AM$7,5,0))</f>
        <v/>
      </c>
      <c r="I328" s="71" t="str">
        <f ca="1">IFERROR(VLOOKUP(H328,fixed_expenses[],2,0),"")</f>
        <v/>
      </c>
      <c r="J328" s="17" t="str">
        <f ca="1">IF(HLOOKUP(J323,Summary!$I$2:$AM$7,5,0)=0,"",HLOOKUP(J323,Summary!$I$2:$AM$7,5,0))</f>
        <v/>
      </c>
      <c r="K328" s="71" t="str">
        <f ca="1">IFERROR(VLOOKUP(J328,fixed_expenses[],2,0),"")</f>
        <v/>
      </c>
      <c r="L328" s="17" t="str">
        <f ca="1">IF(HLOOKUP(L323,Summary!$I$2:$AM$7,5,0)=0,"",HLOOKUP(L323,Summary!$I$2:$AM$7,5,0))</f>
        <v/>
      </c>
      <c r="M328" s="71" t="str">
        <f ca="1">IFERROR(VLOOKUP(L328,fixed_expenses[],2,0),"")</f>
        <v/>
      </c>
      <c r="N328" s="17" t="str">
        <f ca="1">IF(HLOOKUP(N323,Summary!$I$2:$AM$7,5,0)=0,"",HLOOKUP(N323,Summary!$I$2:$AM$7,5,0))</f>
        <v/>
      </c>
      <c r="O328" s="71" t="str">
        <f ca="1">IFERROR(VLOOKUP(N328,fixed_expenses[],2,0),"")</f>
        <v/>
      </c>
      <c r="P328" s="22"/>
    </row>
    <row r="329" spans="1:16" ht="11.25" customHeight="1" x14ac:dyDescent="0.2">
      <c r="B329" s="17" t="str">
        <f ca="1">IF(HLOOKUP(B323,Summary!$I$2:$AM$7,6,0)=0,"",HLOOKUP(B323,Summary!$I$2:$AM$7,6,0))</f>
        <v/>
      </c>
      <c r="C329" s="71" t="str">
        <f ca="1">IFERROR(VLOOKUP(B329,fixed_expenses[],2,0),"")</f>
        <v/>
      </c>
      <c r="D329" s="17" t="str">
        <f ca="1">IF(HLOOKUP(D323,Summary!$I$2:$AM$7,6,0)=0,"",HLOOKUP(D323,Summary!$I$2:$AM$7,6,0))</f>
        <v/>
      </c>
      <c r="E329" s="71" t="str">
        <f ca="1">IFERROR(VLOOKUP(D329,fixed_expenses[],2,0),"")</f>
        <v/>
      </c>
      <c r="F329" s="17" t="str">
        <f ca="1">IF(HLOOKUP(F323,Summary!$I$2:$AM$7,6,0)=0,"",HLOOKUP(F323,Summary!$I$2:$AM$7,6,0))</f>
        <v/>
      </c>
      <c r="G329" s="71" t="str">
        <f ca="1">IFERROR(VLOOKUP(F329,fixed_expenses[],2,0),"")</f>
        <v/>
      </c>
      <c r="H329" s="17" t="str">
        <f ca="1">IF(HLOOKUP(H323,Summary!$I$2:$AM$7,6,0)=0,"",HLOOKUP(H323,Summary!$I$2:$AM$7,6,0))</f>
        <v/>
      </c>
      <c r="I329" s="71" t="str">
        <f ca="1">IFERROR(VLOOKUP(H329,fixed_expenses[],2,0),"")</f>
        <v/>
      </c>
      <c r="J329" s="17" t="str">
        <f ca="1">IF(HLOOKUP(J323,Summary!$I$2:$AM$7,6,0)=0,"",HLOOKUP(J323,Summary!$I$2:$AM$7,6,0))</f>
        <v/>
      </c>
      <c r="K329" s="71" t="str">
        <f ca="1">IFERROR(VLOOKUP(J329,fixed_expenses[],2,0),"")</f>
        <v/>
      </c>
      <c r="L329" s="17" t="str">
        <f ca="1">IF(HLOOKUP(L323,Summary!$I$2:$AM$7,6,0)=0,"",HLOOKUP(L323,Summary!$I$2:$AM$7,6,0))</f>
        <v/>
      </c>
      <c r="M329" s="71" t="str">
        <f ca="1">IFERROR(VLOOKUP(L329,fixed_expenses[],2,0),"")</f>
        <v/>
      </c>
      <c r="N329" s="17" t="str">
        <f ca="1">IF(HLOOKUP(N323,Summary!$I$2:$AM$7,6,0)=0,"",HLOOKUP(N323,Summary!$I$2:$AM$7,6,0))</f>
        <v/>
      </c>
      <c r="O329" s="71" t="str">
        <f ca="1">IFERROR(VLOOKUP(N329,fixed_expenses[],2,0),"")</f>
        <v/>
      </c>
      <c r="P329" s="22"/>
    </row>
    <row r="330" spans="1:16" ht="11.25" customHeight="1" x14ac:dyDescent="0.2">
      <c r="A330" s="43" t="s">
        <v>323</v>
      </c>
      <c r="B330" s="26" t="s">
        <v>8</v>
      </c>
      <c r="C330" s="27">
        <f ca="1">SUM(C325:C329)</f>
        <v>0</v>
      </c>
      <c r="D330" s="26"/>
      <c r="E330" s="27">
        <f ca="1">SUM(E325:E329)</f>
        <v>0</v>
      </c>
      <c r="F330" s="26"/>
      <c r="G330" s="27">
        <f ca="1">SUM(G325:G329)</f>
        <v>0</v>
      </c>
      <c r="H330" s="26"/>
      <c r="I330" s="27">
        <f ca="1">SUM(I325:I329)</f>
        <v>0</v>
      </c>
      <c r="J330" s="26"/>
      <c r="K330" s="27">
        <f ca="1">SUM(K325:K329)</f>
        <v>0</v>
      </c>
      <c r="L330" s="26"/>
      <c r="M330" s="27">
        <f ca="1">SUM(M325:M329)</f>
        <v>232</v>
      </c>
      <c r="N330" s="26"/>
      <c r="O330" s="28">
        <f ca="1">SUM(O325:O329)</f>
        <v>0</v>
      </c>
      <c r="P330" s="29">
        <f ca="1">SUM(C330,E330,G330,I330,K330,M330,O330)</f>
        <v>232</v>
      </c>
    </row>
    <row r="331" spans="1:16" x14ac:dyDescent="0.2">
      <c r="B331" s="6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6"/>
    </row>
    <row r="332" spans="1:16" ht="15" customHeight="1" x14ac:dyDescent="0.2">
      <c r="A332" s="43" t="s">
        <v>253</v>
      </c>
      <c r="B332" s="12">
        <f ca="1">DAY(IF(DAY(JunSun1)=1,JunSun1+22,JunSun1+29))</f>
        <v>27</v>
      </c>
      <c r="C332" s="13"/>
      <c r="D332" s="12">
        <f ca="1">DAY(IF(DAY(JunSun1)=1,JunSun1+23,JunSun1+30))</f>
        <v>28</v>
      </c>
      <c r="E332" s="13"/>
      <c r="F332" s="12">
        <f ca="1">DAY(IF(DAY(JunSun1)=1,JunSun1+24,JunSun1+31))</f>
        <v>29</v>
      </c>
      <c r="G332" s="13"/>
      <c r="H332" s="12">
        <f ca="1">DAY(IF(DAY(JunSun1)=1,JunSun1+25,JunSun1+32))</f>
        <v>30</v>
      </c>
      <c r="I332" s="13"/>
      <c r="J332" s="12">
        <f ca="1">DAY(IF(DAY(JunSun1)=1,JunSun1+26,JunSun1+33))</f>
        <v>1</v>
      </c>
      <c r="K332" s="13"/>
      <c r="L332" s="12">
        <f ca="1">DAY(IF(DAY(JunSun1)=1,JunSun1+27,JunSun1+34))</f>
        <v>2</v>
      </c>
      <c r="M332" s="13"/>
      <c r="N332" s="12">
        <f ca="1">DAY(IF(DAY(JunSun1)=1,JunSun1+28,JunSun1+35))</f>
        <v>3</v>
      </c>
      <c r="O332" s="13"/>
      <c r="P332" s="25"/>
    </row>
    <row r="333" spans="1:16" ht="11.25" customHeight="1" x14ac:dyDescent="0.2">
      <c r="A333" s="43" t="s">
        <v>155</v>
      </c>
      <c r="B333" s="37" t="s">
        <v>9</v>
      </c>
      <c r="C333" s="39" t="s">
        <v>10</v>
      </c>
      <c r="D333" s="37" t="s">
        <v>9</v>
      </c>
      <c r="E333" s="39" t="s">
        <v>10</v>
      </c>
      <c r="F333" s="37" t="s">
        <v>9</v>
      </c>
      <c r="G333" s="39" t="s">
        <v>10</v>
      </c>
      <c r="H333" s="37" t="s">
        <v>9</v>
      </c>
      <c r="I333" s="39" t="s">
        <v>10</v>
      </c>
      <c r="J333" s="37" t="s">
        <v>9</v>
      </c>
      <c r="K333" s="39" t="s">
        <v>10</v>
      </c>
      <c r="L333" s="37" t="s">
        <v>9</v>
      </c>
      <c r="M333" s="39" t="s">
        <v>10</v>
      </c>
      <c r="N333" s="37" t="s">
        <v>9</v>
      </c>
      <c r="O333" s="40" t="s">
        <v>10</v>
      </c>
      <c r="P333" s="22"/>
    </row>
    <row r="334" spans="1:16" ht="11.25" customHeight="1" x14ac:dyDescent="0.2">
      <c r="A334" s="43" t="s">
        <v>199</v>
      </c>
      <c r="B334" s="17" t="str">
        <f ca="1">IF(HLOOKUP(B332,Summary!$I$2:$AM$7,2,0)=0,"",HLOOKUP(B332,Summary!$I$2:$AM$7,2,0))</f>
        <v/>
      </c>
      <c r="C334" s="71" t="str">
        <f ca="1">IFERROR(VLOOKUP(B334,fixed_expenses[],2,0),"")</f>
        <v/>
      </c>
      <c r="D334" s="17" t="str">
        <f ca="1">IF(HLOOKUP(D332,Summary!$I$2:$AM$7,2,0)=0,"",HLOOKUP(D332,Summary!$I$2:$AM$7,2,0))</f>
        <v/>
      </c>
      <c r="E334" s="71" t="str">
        <f ca="1">IFERROR(VLOOKUP(D334,fixed_expenses[],2,0),"")</f>
        <v/>
      </c>
      <c r="F334" s="17" t="str">
        <f ca="1">IF(HLOOKUP(F332,Summary!$I$2:$AM$7,2,0)=0,"",HLOOKUP(F332,Summary!$I$2:$AM$7,2,0))</f>
        <v/>
      </c>
      <c r="G334" s="71" t="str">
        <f ca="1">IFERROR(VLOOKUP(F334,fixed_expenses[],2,0),"")</f>
        <v/>
      </c>
      <c r="H334" s="17" t="str">
        <f ca="1">IF(HLOOKUP(H332,Summary!$I$2:$AM$7,2,0)=0,"",HLOOKUP(H332,Summary!$I$2:$AM$7,2,0))</f>
        <v/>
      </c>
      <c r="I334" s="71" t="str">
        <f ca="1">IFERROR(VLOOKUP(H334,fixed_expenses[],2,0),"")</f>
        <v/>
      </c>
      <c r="J334" s="17" t="str">
        <f ca="1">IF(HLOOKUP(J332,Summary!$I$2:$AM$7,2,0)=0,"",HLOOKUP(J332,Summary!$I$2:$AM$7,2,0))</f>
        <v/>
      </c>
      <c r="K334" s="71" t="str">
        <f ca="1">IFERROR(VLOOKUP(J334,fixed_expenses[],2,0),"")</f>
        <v/>
      </c>
      <c r="L334" s="17" t="str">
        <f ca="1">IF(HLOOKUP(L332,Summary!$I$2:$AM$7,2,0)=0,"",HLOOKUP(L332,Summary!$I$2:$AM$7,2,0))</f>
        <v/>
      </c>
      <c r="M334" s="71" t="str">
        <f ca="1">IFERROR(VLOOKUP(L334,fixed_expenses[],2,0),"")</f>
        <v/>
      </c>
      <c r="N334" s="17" t="str">
        <f ca="1">IF(HLOOKUP(N332,Summary!$I$2:$AM$7,2,0)=0,"",HLOOKUP(N332,Summary!$I$2:$AM$7,2,0))</f>
        <v>Rent</v>
      </c>
      <c r="O334" s="71">
        <f ca="1">IFERROR(VLOOKUP(N334,fixed_expenses[],2,0),"")</f>
        <v>1200</v>
      </c>
      <c r="P334" s="22"/>
    </row>
    <row r="335" spans="1:16" ht="11.25" customHeight="1" x14ac:dyDescent="0.2">
      <c r="B335" s="17" t="str">
        <f ca="1">IF(HLOOKUP(B332,Summary!$I$2:$AM$7,3,0)=0,"",HLOOKUP(B332,Summary!$I$2:$AM$7,3,0))</f>
        <v/>
      </c>
      <c r="C335" s="71" t="str">
        <f ca="1">IFERROR(VLOOKUP(B335,fixed_expenses[],2,0),"")</f>
        <v/>
      </c>
      <c r="D335" s="17" t="str">
        <f ca="1">IF(HLOOKUP(D332,Summary!$I$2:$AM$7,3,0)=0,"",HLOOKUP(D332,Summary!$I$2:$AM$7,3,0))</f>
        <v/>
      </c>
      <c r="E335" s="71" t="str">
        <f ca="1">IFERROR(VLOOKUP(D335,fixed_expenses[],2,0),"")</f>
        <v/>
      </c>
      <c r="F335" s="17" t="str">
        <f ca="1">IF(HLOOKUP(F332,Summary!$I$2:$AM$7,3,0)=0,"",HLOOKUP(F332,Summary!$I$2:$AM$7,3,0))</f>
        <v/>
      </c>
      <c r="G335" s="71" t="str">
        <f ca="1">IFERROR(VLOOKUP(F335,fixed_expenses[],2,0),"")</f>
        <v/>
      </c>
      <c r="H335" s="17" t="str">
        <f ca="1">IF(HLOOKUP(H332,Summary!$I$2:$AM$7,3,0)=0,"",HLOOKUP(H332,Summary!$I$2:$AM$7,3,0))</f>
        <v/>
      </c>
      <c r="I335" s="71" t="str">
        <f ca="1">IFERROR(VLOOKUP(H335,fixed_expenses[],2,0),"")</f>
        <v/>
      </c>
      <c r="J335" s="17" t="str">
        <f ca="1">IF(HLOOKUP(J332,Summary!$I$2:$AM$7,3,0)=0,"",HLOOKUP(J332,Summary!$I$2:$AM$7,3,0))</f>
        <v/>
      </c>
      <c r="K335" s="71" t="str">
        <f ca="1">IFERROR(VLOOKUP(J335,fixed_expenses[],2,0),"")</f>
        <v/>
      </c>
      <c r="L335" s="17" t="str">
        <f ca="1">IF(HLOOKUP(L332,Summary!$I$2:$AM$7,3,0)=0,"",HLOOKUP(L332,Summary!$I$2:$AM$7,3,0))</f>
        <v/>
      </c>
      <c r="M335" s="71" t="str">
        <f ca="1">IFERROR(VLOOKUP(L335,fixed_expenses[],2,0),"")</f>
        <v/>
      </c>
      <c r="N335" s="17" t="str">
        <f ca="1">IF(HLOOKUP(N332,Summary!$I$2:$AM$7,3,0)=0,"",HLOOKUP(N332,Summary!$I$2:$AM$7,3,0))</f>
        <v/>
      </c>
      <c r="O335" s="71" t="str">
        <f ca="1">IFERROR(VLOOKUP(N335,fixed_expenses[],2,0),"")</f>
        <v/>
      </c>
      <c r="P335" s="22"/>
    </row>
    <row r="336" spans="1:16" ht="11.25" customHeight="1" x14ac:dyDescent="0.2">
      <c r="B336" s="17" t="str">
        <f ca="1">IF(HLOOKUP(B332,Summary!$I$2:$AM$7,4,0)=0,"",HLOOKUP(B332,Summary!$I$2:$AM$7,4,0))</f>
        <v/>
      </c>
      <c r="C336" s="71" t="str">
        <f ca="1">IFERROR(VLOOKUP(B336,fixed_expenses[],2,0),"")</f>
        <v/>
      </c>
      <c r="D336" s="17" t="str">
        <f ca="1">IF(HLOOKUP(D332,Summary!$I$2:$AM$7,4,0)=0,"",HLOOKUP(D332,Summary!$I$2:$AM$7,4,0))</f>
        <v/>
      </c>
      <c r="E336" s="71" t="str">
        <f ca="1">IFERROR(VLOOKUP(D336,fixed_expenses[],2,0),"")</f>
        <v/>
      </c>
      <c r="F336" s="17" t="str">
        <f ca="1">IF(HLOOKUP(F332,Summary!$I$2:$AM$7,4,0)=0,"",HLOOKUP(F332,Summary!$I$2:$AM$7,4,0))</f>
        <v/>
      </c>
      <c r="G336" s="71" t="str">
        <f ca="1">IFERROR(VLOOKUP(F336,fixed_expenses[],2,0),"")</f>
        <v/>
      </c>
      <c r="H336" s="17" t="str">
        <f ca="1">IF(HLOOKUP(H332,Summary!$I$2:$AM$7,4,0)=0,"",HLOOKUP(H332,Summary!$I$2:$AM$7,4,0))</f>
        <v/>
      </c>
      <c r="I336" s="71" t="str">
        <f ca="1">IFERROR(VLOOKUP(H336,fixed_expenses[],2,0),"")</f>
        <v/>
      </c>
      <c r="J336" s="17" t="str">
        <f ca="1">IF(HLOOKUP(J332,Summary!$I$2:$AM$7,4,0)=0,"",HLOOKUP(J332,Summary!$I$2:$AM$7,4,0))</f>
        <v/>
      </c>
      <c r="K336" s="71" t="str">
        <f ca="1">IFERROR(VLOOKUP(J336,fixed_expenses[],2,0),"")</f>
        <v/>
      </c>
      <c r="L336" s="17" t="str">
        <f ca="1">IF(HLOOKUP(L332,Summary!$I$2:$AM$7,4,0)=0,"",HLOOKUP(L332,Summary!$I$2:$AM$7,4,0))</f>
        <v/>
      </c>
      <c r="M336" s="71" t="str">
        <f ca="1">IFERROR(VLOOKUP(L336,fixed_expenses[],2,0),"")</f>
        <v/>
      </c>
      <c r="N336" s="17" t="str">
        <f ca="1">IF(HLOOKUP(N332,Summary!$I$2:$AM$7,4,0)=0,"",HLOOKUP(N332,Summary!$I$2:$AM$7,4,0))</f>
        <v/>
      </c>
      <c r="O336" s="71" t="str">
        <f ca="1">IFERROR(VLOOKUP(N336,fixed_expenses[],2,0),"")</f>
        <v/>
      </c>
      <c r="P336" s="22"/>
    </row>
    <row r="337" spans="1:16" ht="11.25" customHeight="1" x14ac:dyDescent="0.2">
      <c r="B337" s="17" t="str">
        <f ca="1">IF(HLOOKUP(B332,Summary!$I$2:$AM$7,5,0)=0,"",HLOOKUP(B332,Summary!$I$2:$AM$7,5,0))</f>
        <v/>
      </c>
      <c r="C337" s="71" t="str">
        <f ca="1">IFERROR(VLOOKUP(B337,fixed_expenses[],2,0),"")</f>
        <v/>
      </c>
      <c r="D337" s="17" t="str">
        <f ca="1">IF(HLOOKUP(D332,Summary!$I$2:$AM$7,5,0)=0,"",HLOOKUP(D332,Summary!$I$2:$AM$7,5,0))</f>
        <v/>
      </c>
      <c r="E337" s="71" t="str">
        <f ca="1">IFERROR(VLOOKUP(D337,fixed_expenses[],2,0),"")</f>
        <v/>
      </c>
      <c r="F337" s="17" t="str">
        <f ca="1">IF(HLOOKUP(F332,Summary!$I$2:$AM$7,5,0)=0,"",HLOOKUP(F332,Summary!$I$2:$AM$7,5,0))</f>
        <v/>
      </c>
      <c r="G337" s="71" t="str">
        <f ca="1">IFERROR(VLOOKUP(F337,fixed_expenses[],2,0),"")</f>
        <v/>
      </c>
      <c r="H337" s="17" t="str">
        <f ca="1">IF(HLOOKUP(H332,Summary!$I$2:$AM$7,5,0)=0,"",HLOOKUP(H332,Summary!$I$2:$AM$7,5,0))</f>
        <v/>
      </c>
      <c r="I337" s="71" t="str">
        <f ca="1">IFERROR(VLOOKUP(H337,fixed_expenses[],2,0),"")</f>
        <v/>
      </c>
      <c r="J337" s="17" t="str">
        <f ca="1">IF(HLOOKUP(J332,Summary!$I$2:$AM$7,5,0)=0,"",HLOOKUP(J332,Summary!$I$2:$AM$7,5,0))</f>
        <v/>
      </c>
      <c r="K337" s="71" t="str">
        <f ca="1">IFERROR(VLOOKUP(J337,fixed_expenses[],2,0),"")</f>
        <v/>
      </c>
      <c r="L337" s="17" t="str">
        <f ca="1">IF(HLOOKUP(L332,Summary!$I$2:$AM$7,5,0)=0,"",HLOOKUP(L332,Summary!$I$2:$AM$7,5,0))</f>
        <v/>
      </c>
      <c r="M337" s="71" t="str">
        <f ca="1">IFERROR(VLOOKUP(L337,fixed_expenses[],2,0),"")</f>
        <v/>
      </c>
      <c r="N337" s="17" t="str">
        <f ca="1">IF(HLOOKUP(N332,Summary!$I$2:$AM$7,5,0)=0,"",HLOOKUP(N332,Summary!$I$2:$AM$7,5,0))</f>
        <v/>
      </c>
      <c r="O337" s="71" t="str">
        <f ca="1">IFERROR(VLOOKUP(N337,fixed_expenses[],2,0),"")</f>
        <v/>
      </c>
      <c r="P337" s="22"/>
    </row>
    <row r="338" spans="1:16" ht="11.25" customHeight="1" x14ac:dyDescent="0.2">
      <c r="B338" s="17" t="str">
        <f ca="1">IF(HLOOKUP(B332,Summary!$I$2:$AM$7,6,0)=0,"",HLOOKUP(B332,Summary!$I$2:$AM$7,6,0))</f>
        <v/>
      </c>
      <c r="C338" s="71" t="str">
        <f ca="1">IFERROR(VLOOKUP(B338,fixed_expenses[],2,0),"")</f>
        <v/>
      </c>
      <c r="D338" s="17" t="str">
        <f ca="1">IF(HLOOKUP(D332,Summary!$I$2:$AM$7,6,0)=0,"",HLOOKUP(D332,Summary!$I$2:$AM$7,6,0))</f>
        <v/>
      </c>
      <c r="E338" s="71" t="str">
        <f ca="1">IFERROR(VLOOKUP(D338,fixed_expenses[],2,0),"")</f>
        <v/>
      </c>
      <c r="F338" s="17" t="str">
        <f ca="1">IF(HLOOKUP(F332,Summary!$I$2:$AM$7,6,0)=0,"",HLOOKUP(F332,Summary!$I$2:$AM$7,6,0))</f>
        <v/>
      </c>
      <c r="G338" s="71" t="str">
        <f ca="1">IFERROR(VLOOKUP(F338,fixed_expenses[],2,0),"")</f>
        <v/>
      </c>
      <c r="H338" s="17" t="str">
        <f ca="1">IF(HLOOKUP(H332,Summary!$I$2:$AM$7,6,0)=0,"",HLOOKUP(H332,Summary!$I$2:$AM$7,6,0))</f>
        <v/>
      </c>
      <c r="I338" s="71" t="str">
        <f ca="1">IFERROR(VLOOKUP(H338,fixed_expenses[],2,0),"")</f>
        <v/>
      </c>
      <c r="J338" s="17" t="str">
        <f ca="1">IF(HLOOKUP(J332,Summary!$I$2:$AM$7,6,0)=0,"",HLOOKUP(J332,Summary!$I$2:$AM$7,6,0))</f>
        <v/>
      </c>
      <c r="K338" s="71" t="str">
        <f ca="1">IFERROR(VLOOKUP(J338,fixed_expenses[],2,0),"")</f>
        <v/>
      </c>
      <c r="L338" s="17" t="str">
        <f ca="1">IF(HLOOKUP(L332,Summary!$I$2:$AM$7,6,0)=0,"",HLOOKUP(L332,Summary!$I$2:$AM$7,6,0))</f>
        <v/>
      </c>
      <c r="M338" s="71" t="str">
        <f ca="1">IFERROR(VLOOKUP(L338,fixed_expenses[],2,0),"")</f>
        <v/>
      </c>
      <c r="N338" s="17" t="str">
        <f ca="1">IF(HLOOKUP(N332,Summary!$I$2:$AM$7,6,0)=0,"",HLOOKUP(N332,Summary!$I$2:$AM$7,6,0))</f>
        <v/>
      </c>
      <c r="O338" s="71" t="str">
        <f ca="1">IFERROR(VLOOKUP(N338,fixed_expenses[],2,0),"")</f>
        <v/>
      </c>
      <c r="P338" s="22"/>
    </row>
    <row r="339" spans="1:16" ht="11.25" customHeight="1" x14ac:dyDescent="0.2">
      <c r="A339" s="43" t="s">
        <v>322</v>
      </c>
      <c r="B339" s="26" t="s">
        <v>8</v>
      </c>
      <c r="C339" s="27">
        <f ca="1">SUM(C334:C338)</f>
        <v>0</v>
      </c>
      <c r="D339" s="26"/>
      <c r="E339" s="27">
        <f ca="1">SUM(E334:E338)</f>
        <v>0</v>
      </c>
      <c r="F339" s="26"/>
      <c r="G339" s="27">
        <f ca="1">SUM(G334:G338)</f>
        <v>0</v>
      </c>
      <c r="H339" s="26"/>
      <c r="I339" s="27">
        <f ca="1">SUM(I334:I338)</f>
        <v>0</v>
      </c>
      <c r="J339" s="26"/>
      <c r="K339" s="27">
        <f ca="1">SUM(K334:K338)</f>
        <v>0</v>
      </c>
      <c r="L339" s="26"/>
      <c r="M339" s="27">
        <f ca="1">SUM(M334:M338)</f>
        <v>0</v>
      </c>
      <c r="N339" s="26"/>
      <c r="O339" s="28">
        <f ca="1">SUM(O334:O338)</f>
        <v>1200</v>
      </c>
      <c r="P339" s="29">
        <f ca="1">SUMIF(B332:N332,"&gt;="&amp;15,C339:O339)</f>
        <v>0</v>
      </c>
    </row>
    <row r="340" spans="1:16" x14ac:dyDescent="0.2">
      <c r="B340" s="6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6"/>
    </row>
    <row r="341" spans="1:16" ht="15" customHeight="1" x14ac:dyDescent="0.2">
      <c r="A341" s="43" t="s">
        <v>254</v>
      </c>
      <c r="B341" s="12">
        <f ca="1">DAY(IF(DAY(JunSun1)=1,JunSun1+29,JunSun1+36))</f>
        <v>4</v>
      </c>
      <c r="C341" s="11"/>
      <c r="D341" s="12">
        <f ca="1">DAY(IF(DAY(JunSun1)=1,JunSun1+30,JunSun1+37))</f>
        <v>5</v>
      </c>
      <c r="E341" s="13"/>
      <c r="F341" s="10">
        <f ca="1">DAY(IF(DAY(JunSun1)=1,JunSun1+31,JunSun1+38))</f>
        <v>6</v>
      </c>
      <c r="G341" s="13"/>
      <c r="H341" s="12">
        <f ca="1">DAY(IF(DAY(JunSun1)=1,JunSun1+32,JunSun1+39))</f>
        <v>7</v>
      </c>
      <c r="I341" s="13"/>
      <c r="J341" s="12">
        <f ca="1">DAY(IF(DAY(JunSun1)=1,JunSun1+33,JunSun1+40))</f>
        <v>8</v>
      </c>
      <c r="K341" s="13"/>
      <c r="L341" s="12">
        <f ca="1">DAY(IF(DAY(JunSun1)=1,JunSun1+34,JunSun1+41))</f>
        <v>9</v>
      </c>
      <c r="M341" s="13"/>
      <c r="N341" s="12">
        <f ca="1">DAY(IF(DAY(JunSun1)=1,JunSun1+35,JunSun1+42))</f>
        <v>10</v>
      </c>
      <c r="O341" s="13"/>
      <c r="P341" s="25"/>
    </row>
    <row r="342" spans="1:16" ht="11.25" customHeight="1" x14ac:dyDescent="0.2">
      <c r="A342" s="43" t="s">
        <v>154</v>
      </c>
      <c r="B342" s="37" t="s">
        <v>9</v>
      </c>
      <c r="C342" s="39" t="s">
        <v>10</v>
      </c>
      <c r="D342" s="37" t="s">
        <v>9</v>
      </c>
      <c r="E342" s="39" t="s">
        <v>10</v>
      </c>
      <c r="F342" s="37" t="s">
        <v>9</v>
      </c>
      <c r="G342" s="39" t="s">
        <v>10</v>
      </c>
      <c r="H342" s="37" t="s">
        <v>9</v>
      </c>
      <c r="I342" s="39" t="s">
        <v>10</v>
      </c>
      <c r="J342" s="37" t="s">
        <v>9</v>
      </c>
      <c r="K342" s="39" t="s">
        <v>10</v>
      </c>
      <c r="L342" s="37" t="s">
        <v>9</v>
      </c>
      <c r="M342" s="39" t="s">
        <v>10</v>
      </c>
      <c r="N342" s="37" t="s">
        <v>9</v>
      </c>
      <c r="O342" s="40" t="s">
        <v>10</v>
      </c>
      <c r="P342" s="22"/>
    </row>
    <row r="343" spans="1:16" ht="11.25" customHeight="1" x14ac:dyDescent="0.2">
      <c r="A343" s="43" t="s">
        <v>200</v>
      </c>
      <c r="B343" s="17" t="str">
        <f ca="1">IF(HLOOKUP(B341,Summary!$I$2:$AM$7,2,0)=0,"",HLOOKUP(B341,Summary!$I$2:$AM$7,2,0))</f>
        <v/>
      </c>
      <c r="C343" s="71" t="str">
        <f ca="1">IFERROR(VLOOKUP(B343,fixed_expenses[],2,0),"")</f>
        <v/>
      </c>
      <c r="D343" s="17" t="str">
        <f ca="1">IF(HLOOKUP(D341,Summary!$I$2:$AM$7,2,0)=0,"",HLOOKUP(D341,Summary!$I$2:$AM$7,2,0))</f>
        <v/>
      </c>
      <c r="E343" s="71" t="str">
        <f ca="1">IFERROR(VLOOKUP(D343,fixed_expenses[],2,0),"")</f>
        <v/>
      </c>
      <c r="F343" s="17" t="str">
        <f ca="1">IF(HLOOKUP(F341,Summary!$I$2:$AM$7,2,0)=0,"",HLOOKUP(F341,Summary!$I$2:$AM$7,2,0))</f>
        <v/>
      </c>
      <c r="G343" s="71" t="str">
        <f ca="1">IFERROR(VLOOKUP(F343,fixed_expenses[],2,0),"")</f>
        <v/>
      </c>
      <c r="H343" s="17" t="str">
        <f ca="1">IF(HLOOKUP(H341,Summary!$I$2:$AM$7,2,0)=0,"",HLOOKUP(H341,Summary!$I$2:$AM$7,2,0))</f>
        <v/>
      </c>
      <c r="I343" s="71" t="str">
        <f ca="1">IFERROR(VLOOKUP(H343,fixed_expenses[],2,0),"")</f>
        <v/>
      </c>
      <c r="J343" s="17" t="str">
        <f ca="1">IF(HLOOKUP(J341,Summary!$I$2:$AM$7,2,0)=0,"",HLOOKUP(J341,Summary!$I$2:$AM$7,2,0))</f>
        <v/>
      </c>
      <c r="K343" s="71" t="str">
        <f ca="1">IFERROR(VLOOKUP(J343,fixed_expenses[],2,0),"")</f>
        <v/>
      </c>
      <c r="L343" s="17" t="str">
        <f ca="1">IF(HLOOKUP(L341,Summary!$I$2:$AM$7,2,0)=0,"",HLOOKUP(L341,Summary!$I$2:$AM$7,2,0))</f>
        <v/>
      </c>
      <c r="M343" s="71" t="str">
        <f ca="1">IFERROR(VLOOKUP(L343,fixed_expenses[],2,0),"")</f>
        <v/>
      </c>
      <c r="N343" s="17" t="str">
        <f ca="1">IF(HLOOKUP(N341,Summary!$I$2:$AM$7,2,0)=0,"",HLOOKUP(N341,Summary!$I$2:$AM$7,2,0))</f>
        <v/>
      </c>
      <c r="O343" s="71" t="str">
        <f ca="1">IFERROR(VLOOKUP(N343,fixed_expenses[],2,0),"")</f>
        <v/>
      </c>
      <c r="P343" s="22"/>
    </row>
    <row r="344" spans="1:16" ht="11.25" customHeight="1" x14ac:dyDescent="0.2">
      <c r="B344" s="17" t="str">
        <f ca="1">IF(HLOOKUP(B341,Summary!$I$2:$AM$7,3,0)=0,"",HLOOKUP(B341,Summary!$I$2:$AM$7,3,0))</f>
        <v/>
      </c>
      <c r="C344" s="71" t="str">
        <f ca="1">IFERROR(VLOOKUP(B344,fixed_expenses[],2,0),"")</f>
        <v/>
      </c>
      <c r="D344" s="17" t="str">
        <f ca="1">IF(HLOOKUP(D341,Summary!$I$2:$AM$7,3,0)=0,"",HLOOKUP(D341,Summary!$I$2:$AM$7,3,0))</f>
        <v/>
      </c>
      <c r="E344" s="71" t="str">
        <f ca="1">IFERROR(VLOOKUP(D344,fixed_expenses[],2,0),"")</f>
        <v/>
      </c>
      <c r="F344" s="17" t="str">
        <f ca="1">IF(HLOOKUP(F341,Summary!$I$2:$AM$7,3,0)=0,"",HLOOKUP(F341,Summary!$I$2:$AM$7,3,0))</f>
        <v/>
      </c>
      <c r="G344" s="71" t="str">
        <f ca="1">IFERROR(VLOOKUP(F344,fixed_expenses[],2,0),"")</f>
        <v/>
      </c>
      <c r="H344" s="17" t="str">
        <f ca="1">IF(HLOOKUP(H341,Summary!$I$2:$AM$7,3,0)=0,"",HLOOKUP(H341,Summary!$I$2:$AM$7,3,0))</f>
        <v/>
      </c>
      <c r="I344" s="71" t="str">
        <f ca="1">IFERROR(VLOOKUP(H344,fixed_expenses[],2,0),"")</f>
        <v/>
      </c>
      <c r="J344" s="17" t="str">
        <f ca="1">IF(HLOOKUP(J341,Summary!$I$2:$AM$7,3,0)=0,"",HLOOKUP(J341,Summary!$I$2:$AM$7,3,0))</f>
        <v/>
      </c>
      <c r="K344" s="71" t="str">
        <f ca="1">IFERROR(VLOOKUP(J344,fixed_expenses[],2,0),"")</f>
        <v/>
      </c>
      <c r="L344" s="17" t="str">
        <f ca="1">IF(HLOOKUP(L341,Summary!$I$2:$AM$7,3,0)=0,"",HLOOKUP(L341,Summary!$I$2:$AM$7,3,0))</f>
        <v/>
      </c>
      <c r="M344" s="71" t="str">
        <f ca="1">IFERROR(VLOOKUP(L344,fixed_expenses[],2,0),"")</f>
        <v/>
      </c>
      <c r="N344" s="17" t="str">
        <f ca="1">IF(HLOOKUP(N341,Summary!$I$2:$AM$7,3,0)=0,"",HLOOKUP(N341,Summary!$I$2:$AM$7,3,0))</f>
        <v/>
      </c>
      <c r="O344" s="71" t="str">
        <f ca="1">IFERROR(VLOOKUP(N344,fixed_expenses[],2,0),"")</f>
        <v/>
      </c>
      <c r="P344" s="22"/>
    </row>
    <row r="345" spans="1:16" ht="11.25" customHeight="1" x14ac:dyDescent="0.2">
      <c r="B345" s="17" t="str">
        <f ca="1">IF(HLOOKUP(B341,Summary!$I$2:$AM$7,4,0)=0,"",HLOOKUP(B341,Summary!$I$2:$AM$7,4,0))</f>
        <v/>
      </c>
      <c r="C345" s="71" t="str">
        <f ca="1">IFERROR(VLOOKUP(B345,fixed_expenses[],2,0),"")</f>
        <v/>
      </c>
      <c r="D345" s="17" t="str">
        <f ca="1">IF(HLOOKUP(D341,Summary!$I$2:$AM$7,4,0)=0,"",HLOOKUP(D341,Summary!$I$2:$AM$7,4,0))</f>
        <v/>
      </c>
      <c r="E345" s="71" t="str">
        <f ca="1">IFERROR(VLOOKUP(D345,fixed_expenses[],2,0),"")</f>
        <v/>
      </c>
      <c r="F345" s="17" t="str">
        <f ca="1">IF(HLOOKUP(F341,Summary!$I$2:$AM$7,4,0)=0,"",HLOOKUP(F341,Summary!$I$2:$AM$7,4,0))</f>
        <v/>
      </c>
      <c r="G345" s="71" t="str">
        <f ca="1">IFERROR(VLOOKUP(F345,fixed_expenses[],2,0),"")</f>
        <v/>
      </c>
      <c r="H345" s="17" t="str">
        <f ca="1">IF(HLOOKUP(H341,Summary!$I$2:$AM$7,4,0)=0,"",HLOOKUP(H341,Summary!$I$2:$AM$7,4,0))</f>
        <v/>
      </c>
      <c r="I345" s="71" t="str">
        <f ca="1">IFERROR(VLOOKUP(H345,fixed_expenses[],2,0),"")</f>
        <v/>
      </c>
      <c r="J345" s="17" t="str">
        <f ca="1">IF(HLOOKUP(J341,Summary!$I$2:$AM$7,4,0)=0,"",HLOOKUP(J341,Summary!$I$2:$AM$7,4,0))</f>
        <v/>
      </c>
      <c r="K345" s="71" t="str">
        <f ca="1">IFERROR(VLOOKUP(J345,fixed_expenses[],2,0),"")</f>
        <v/>
      </c>
      <c r="L345" s="17" t="str">
        <f ca="1">IF(HLOOKUP(L341,Summary!$I$2:$AM$7,4,0)=0,"",HLOOKUP(L341,Summary!$I$2:$AM$7,4,0))</f>
        <v/>
      </c>
      <c r="M345" s="71" t="str">
        <f ca="1">IFERROR(VLOOKUP(L345,fixed_expenses[],2,0),"")</f>
        <v/>
      </c>
      <c r="N345" s="17" t="str">
        <f ca="1">IF(HLOOKUP(N341,Summary!$I$2:$AM$7,4,0)=0,"",HLOOKUP(N341,Summary!$I$2:$AM$7,4,0))</f>
        <v/>
      </c>
      <c r="O345" s="71" t="str">
        <f ca="1">IFERROR(VLOOKUP(N345,fixed_expenses[],2,0),"")</f>
        <v/>
      </c>
      <c r="P345" s="22"/>
    </row>
    <row r="346" spans="1:16" ht="11.25" customHeight="1" x14ac:dyDescent="0.2">
      <c r="B346" s="17" t="str">
        <f ca="1">IF(HLOOKUP(B341,Summary!$I$2:$AM$7,5,0)=0,"",HLOOKUP(B341,Summary!$I$2:$AM$7,5,0))</f>
        <v/>
      </c>
      <c r="C346" s="71" t="str">
        <f ca="1">IFERROR(VLOOKUP(B346,fixed_expenses[],2,0),"")</f>
        <v/>
      </c>
      <c r="D346" s="17" t="str">
        <f ca="1">IF(HLOOKUP(D341,Summary!$I$2:$AM$7,5,0)=0,"",HLOOKUP(D341,Summary!$I$2:$AM$7,5,0))</f>
        <v/>
      </c>
      <c r="E346" s="71" t="str">
        <f ca="1">IFERROR(VLOOKUP(D346,fixed_expenses[],2,0),"")</f>
        <v/>
      </c>
      <c r="F346" s="17" t="str">
        <f ca="1">IF(HLOOKUP(F341,Summary!$I$2:$AM$7,5,0)=0,"",HLOOKUP(F341,Summary!$I$2:$AM$7,5,0))</f>
        <v/>
      </c>
      <c r="G346" s="71" t="str">
        <f ca="1">IFERROR(VLOOKUP(F346,fixed_expenses[],2,0),"")</f>
        <v/>
      </c>
      <c r="H346" s="17" t="str">
        <f ca="1">IF(HLOOKUP(H341,Summary!$I$2:$AM$7,5,0)=0,"",HLOOKUP(H341,Summary!$I$2:$AM$7,5,0))</f>
        <v/>
      </c>
      <c r="I346" s="71" t="str">
        <f ca="1">IFERROR(VLOOKUP(H346,fixed_expenses[],2,0),"")</f>
        <v/>
      </c>
      <c r="J346" s="17" t="str">
        <f ca="1">IF(HLOOKUP(J341,Summary!$I$2:$AM$7,5,0)=0,"",HLOOKUP(J341,Summary!$I$2:$AM$7,5,0))</f>
        <v/>
      </c>
      <c r="K346" s="71" t="str">
        <f ca="1">IFERROR(VLOOKUP(J346,fixed_expenses[],2,0),"")</f>
        <v/>
      </c>
      <c r="L346" s="17" t="str">
        <f ca="1">IF(HLOOKUP(L341,Summary!$I$2:$AM$7,5,0)=0,"",HLOOKUP(L341,Summary!$I$2:$AM$7,5,0))</f>
        <v/>
      </c>
      <c r="M346" s="71" t="str">
        <f ca="1">IFERROR(VLOOKUP(L346,fixed_expenses[],2,0),"")</f>
        <v/>
      </c>
      <c r="N346" s="17" t="str">
        <f ca="1">IF(HLOOKUP(N341,Summary!$I$2:$AM$7,5,0)=0,"",HLOOKUP(N341,Summary!$I$2:$AM$7,5,0))</f>
        <v/>
      </c>
      <c r="O346" s="71" t="str">
        <f ca="1">IFERROR(VLOOKUP(N346,fixed_expenses[],2,0),"")</f>
        <v/>
      </c>
      <c r="P346" s="22"/>
    </row>
    <row r="347" spans="1:16" ht="11.25" customHeight="1" x14ac:dyDescent="0.2">
      <c r="B347" s="17" t="str">
        <f ca="1">IF(HLOOKUP(B341,Summary!$I$2:$AM$7,6,0)=0,"",HLOOKUP(B341,Summary!$I$2:$AM$7,6,0))</f>
        <v/>
      </c>
      <c r="C347" s="71" t="str">
        <f ca="1">IFERROR(VLOOKUP(B347,fixed_expenses[],2,0),"")</f>
        <v/>
      </c>
      <c r="D347" s="17" t="str">
        <f ca="1">IF(HLOOKUP(D341,Summary!$I$2:$AM$7,6,0)=0,"",HLOOKUP(D341,Summary!$I$2:$AM$7,6,0))</f>
        <v/>
      </c>
      <c r="E347" s="71" t="str">
        <f ca="1">IFERROR(VLOOKUP(D347,fixed_expenses[],2,0),"")</f>
        <v/>
      </c>
      <c r="F347" s="17" t="str">
        <f ca="1">IF(HLOOKUP(F341,Summary!$I$2:$AM$7,6,0)=0,"",HLOOKUP(F341,Summary!$I$2:$AM$7,6,0))</f>
        <v/>
      </c>
      <c r="G347" s="71" t="str">
        <f ca="1">IFERROR(VLOOKUP(F347,fixed_expenses[],2,0),"")</f>
        <v/>
      </c>
      <c r="H347" s="17" t="str">
        <f ca="1">IF(HLOOKUP(H341,Summary!$I$2:$AM$7,6,0)=0,"",HLOOKUP(H341,Summary!$I$2:$AM$7,6,0))</f>
        <v/>
      </c>
      <c r="I347" s="71" t="str">
        <f ca="1">IFERROR(VLOOKUP(H347,fixed_expenses[],2,0),"")</f>
        <v/>
      </c>
      <c r="J347" s="17" t="str">
        <f ca="1">IF(HLOOKUP(J341,Summary!$I$2:$AM$7,6,0)=0,"",HLOOKUP(J341,Summary!$I$2:$AM$7,6,0))</f>
        <v/>
      </c>
      <c r="K347" s="71" t="str">
        <f ca="1">IFERROR(VLOOKUP(J347,fixed_expenses[],2,0),"")</f>
        <v/>
      </c>
      <c r="L347" s="17" t="str">
        <f ca="1">IF(HLOOKUP(L341,Summary!$I$2:$AM$7,6,0)=0,"",HLOOKUP(L341,Summary!$I$2:$AM$7,6,0))</f>
        <v/>
      </c>
      <c r="M347" s="71" t="str">
        <f ca="1">IFERROR(VLOOKUP(L347,fixed_expenses[],2,0),"")</f>
        <v/>
      </c>
      <c r="N347" s="17" t="str">
        <f ca="1">IF(HLOOKUP(N341,Summary!$I$2:$AM$7,6,0)=0,"",HLOOKUP(N341,Summary!$I$2:$AM$7,6,0))</f>
        <v/>
      </c>
      <c r="O347" s="71" t="str">
        <f ca="1">IFERROR(VLOOKUP(N347,fixed_expenses[],2,0),"")</f>
        <v/>
      </c>
      <c r="P347" s="22"/>
    </row>
    <row r="348" spans="1:16" ht="11.25" customHeight="1" x14ac:dyDescent="0.2">
      <c r="A348" s="43" t="s">
        <v>321</v>
      </c>
      <c r="B348" s="26" t="s">
        <v>8</v>
      </c>
      <c r="C348" s="27">
        <f ca="1">SUM(C343:C347)</f>
        <v>0</v>
      </c>
      <c r="D348" s="18"/>
      <c r="E348" s="27">
        <f ca="1">SUM(E343:E347)</f>
        <v>0</v>
      </c>
      <c r="F348" s="18"/>
      <c r="G348" s="27">
        <f ca="1">SUM(G343:G347)</f>
        <v>0</v>
      </c>
      <c r="H348" s="18"/>
      <c r="I348" s="27">
        <f ca="1">SUM(I343:I347)</f>
        <v>0</v>
      </c>
      <c r="J348" s="18"/>
      <c r="K348" s="27">
        <f ca="1">SUM(K343:K347)</f>
        <v>0</v>
      </c>
      <c r="L348" s="18"/>
      <c r="M348" s="27">
        <f ca="1">SUM(M343:M347)</f>
        <v>0</v>
      </c>
      <c r="N348" s="18"/>
      <c r="O348" s="28">
        <f ca="1">SUM(O343:O347)</f>
        <v>0</v>
      </c>
      <c r="P348" s="29">
        <f ca="1">SUMIF(B341:N341,"&gt;="&amp;15,C348:O348)</f>
        <v>0</v>
      </c>
    </row>
    <row r="349" spans="1:16" ht="17.25" customHeight="1" x14ac:dyDescent="0.2"/>
    <row r="350" spans="1:16" ht="12" customHeight="1" x14ac:dyDescent="0.2">
      <c r="A350" s="43" t="s">
        <v>85</v>
      </c>
      <c r="B350" s="59" t="s">
        <v>19</v>
      </c>
      <c r="C350" s="59"/>
      <c r="D350" s="59"/>
      <c r="E350" s="59"/>
      <c r="F350"/>
      <c r="G350" s="4"/>
      <c r="H350"/>
      <c r="I350" s="4"/>
      <c r="J350"/>
      <c r="K350" s="4"/>
      <c r="L350" s="45" t="s">
        <v>12</v>
      </c>
      <c r="M350" s="45"/>
      <c r="N350" s="45" t="s">
        <v>13</v>
      </c>
      <c r="O350" s="45"/>
      <c r="P350"/>
    </row>
    <row r="351" spans="1:16" ht="25.5" customHeight="1" x14ac:dyDescent="0.2">
      <c r="A351" s="43" t="s">
        <v>94</v>
      </c>
      <c r="B351" s="59"/>
      <c r="C351" s="59"/>
      <c r="D351" s="59"/>
      <c r="E351" s="59"/>
      <c r="F351" s="3">
        <f ca="1">IFERROR(WEEKDAY(DATEVALUE(B350&amp;" 1, "&amp;Year1)),"")</f>
        <v>5</v>
      </c>
      <c r="G351" s="4"/>
      <c r="H351"/>
      <c r="I351" s="7"/>
      <c r="J351" s="8"/>
      <c r="K351" s="4"/>
      <c r="L351" s="46">
        <f ca="1">SUM(P361,P370,P379,P388,P397,P406)</f>
        <v>1774</v>
      </c>
      <c r="M351" s="47"/>
      <c r="N351" s="46">
        <f ca="1">SUM(P:P)</f>
        <v>21288</v>
      </c>
      <c r="O351" s="48"/>
      <c r="P351"/>
    </row>
    <row r="352" spans="1:16" ht="9" customHeight="1" x14ac:dyDescent="0.2">
      <c r="A352" s="43" t="s">
        <v>355</v>
      </c>
      <c r="B352" s="50">
        <v>1</v>
      </c>
      <c r="C352" s="50"/>
      <c r="D352" s="50">
        <v>2</v>
      </c>
      <c r="E352" s="50"/>
      <c r="F352" s="50">
        <v>3</v>
      </c>
      <c r="G352" s="50"/>
      <c r="H352" s="50">
        <v>4</v>
      </c>
      <c r="I352" s="50"/>
      <c r="J352" s="50">
        <v>5</v>
      </c>
      <c r="K352" s="50"/>
      <c r="L352" s="50">
        <v>6</v>
      </c>
      <c r="M352" s="50"/>
      <c r="N352" s="50">
        <v>7</v>
      </c>
      <c r="O352" s="50"/>
      <c r="P352" s="2"/>
    </row>
    <row r="353" spans="1:16" ht="15" customHeight="1" x14ac:dyDescent="0.2">
      <c r="A353" s="43" t="s">
        <v>105</v>
      </c>
      <c r="B353" s="60" t="s">
        <v>0</v>
      </c>
      <c r="C353" s="61"/>
      <c r="D353" s="62" t="s">
        <v>1</v>
      </c>
      <c r="E353" s="63" t="e">
        <f ca="1">IF(WEEKDAY(DATEVALUE(Month1&amp;" 1, "&amp;Year1))=COLUMN(#REF!),1,IF(LEN(C353)&gt;0,C353+1,""))</f>
        <v>#VALUE!</v>
      </c>
      <c r="F353" s="61" t="s">
        <v>2</v>
      </c>
      <c r="G353" s="61" t="e">
        <f ca="1">IF(WEEKDAY(DATEVALUE(Month1&amp;" 1, "&amp;Year1))=COLUMN(#REF!),1,IF(LEN(E353)&gt;0,E353+1,""))</f>
        <v>#VALUE!</v>
      </c>
      <c r="H353" s="62" t="s">
        <v>3</v>
      </c>
      <c r="I353" s="63" t="e">
        <f ca="1">IF(WEEKDAY(DATEVALUE(Month1&amp;" 1, "&amp;Year1))=COLUMN(#REF!),1,IF(LEN(G353)&gt;0,G353+1,""))</f>
        <v>#VALUE!</v>
      </c>
      <c r="J353" s="64" t="s">
        <v>4</v>
      </c>
      <c r="K353" s="65" t="e">
        <f ca="1">IF(WEEKDAY(DATEVALUE(Month1&amp;" 1, "&amp;Year1))=COLUMN(#REF!),1,IF(LEN(I353)&gt;0,I353+1,""))</f>
        <v>#VALUE!</v>
      </c>
      <c r="L353" s="66" t="s">
        <v>5</v>
      </c>
      <c r="M353" s="67" t="e">
        <f ca="1">IF(WEEKDAY(DATEVALUE(Month1&amp;" 1, "&amp;Year1))=COLUMN(#REF!),1,IF(LEN(K353)&gt;0,K353+1,""))</f>
        <v>#VALUE!</v>
      </c>
      <c r="N353" s="66" t="s">
        <v>6</v>
      </c>
      <c r="O353" s="67" t="e">
        <f ca="1">IF(WEEKDAY(DATEVALUE(Month1&amp;" 1, "&amp;Year1))=COLUMN(#REF!),1,IF(LEN(M353)&gt;0,M353+1,""))</f>
        <v>#VALUE!</v>
      </c>
      <c r="P353" s="42" t="s">
        <v>7</v>
      </c>
    </row>
    <row r="354" spans="1:16" ht="15" customHeight="1" x14ac:dyDescent="0.2">
      <c r="A354" s="43" t="s">
        <v>112</v>
      </c>
      <c r="B354" s="14">
        <f ca="1">DAY(IF(DAY(JulSun1)=1,JulSun1-6,JulSun1+1))</f>
        <v>27</v>
      </c>
      <c r="C354" s="16"/>
      <c r="D354" s="19">
        <f ca="1">DAY(IF(DAY(JulSun1)=1,JulSun1-5,JulSun1+2))</f>
        <v>28</v>
      </c>
      <c r="E354" s="16"/>
      <c r="F354" s="19">
        <f ca="1">DAY(IF(DAY(JulSun1)=1,JulSun1-4,JulSun1+3))</f>
        <v>29</v>
      </c>
      <c r="G354" s="16"/>
      <c r="H354" s="19">
        <f ca="1">DAY(IF(DAY(JulSun1)=1,JulSun1-3,JulSun1+4))</f>
        <v>30</v>
      </c>
      <c r="I354" s="16"/>
      <c r="J354" s="19">
        <f ca="1">DAY(IF(DAY(JulSun1)=1,JulSun1-2,JulSun1+5))</f>
        <v>1</v>
      </c>
      <c r="K354" s="16"/>
      <c r="L354" s="19">
        <f ca="1">DAY(IF(DAY(JulSun1)=1,JulSun1-1,JulSun1+6))</f>
        <v>2</v>
      </c>
      <c r="M354" s="16"/>
      <c r="N354" s="20">
        <f ca="1">DAY(IF(DAY(JulSun1)=1,JulSun1,JulSun1+7))</f>
        <v>3</v>
      </c>
      <c r="O354" s="15"/>
      <c r="P354" s="21"/>
    </row>
    <row r="355" spans="1:16" ht="11.25" customHeight="1" x14ac:dyDescent="0.2">
      <c r="A355" s="43" t="s">
        <v>153</v>
      </c>
      <c r="B355" s="41" t="s">
        <v>9</v>
      </c>
      <c r="C355" s="36" t="s">
        <v>10</v>
      </c>
      <c r="D355" s="35" t="s">
        <v>9</v>
      </c>
      <c r="E355" s="36" t="s">
        <v>10</v>
      </c>
      <c r="F355" s="35" t="s">
        <v>9</v>
      </c>
      <c r="G355" s="36" t="s">
        <v>10</v>
      </c>
      <c r="H355" s="35" t="s">
        <v>9</v>
      </c>
      <c r="I355" s="36" t="s">
        <v>10</v>
      </c>
      <c r="J355" s="35" t="s">
        <v>9</v>
      </c>
      <c r="K355" s="36" t="s">
        <v>10</v>
      </c>
      <c r="L355" s="35" t="s">
        <v>9</v>
      </c>
      <c r="M355" s="36" t="s">
        <v>10</v>
      </c>
      <c r="N355" s="37" t="s">
        <v>9</v>
      </c>
      <c r="O355" s="38" t="s">
        <v>10</v>
      </c>
      <c r="P355" s="22"/>
    </row>
    <row r="356" spans="1:16" ht="11.25" customHeight="1" x14ac:dyDescent="0.2">
      <c r="A356" s="43" t="s">
        <v>201</v>
      </c>
      <c r="B356" s="17" t="str">
        <f ca="1">IF(HLOOKUP(B354,Summary!$I$2:$AM$7,2,0)=0,"",HLOOKUP(B354,Summary!$I$2:$AM$7,2,0))</f>
        <v/>
      </c>
      <c r="C356" s="71" t="str">
        <f ca="1">IFERROR(VLOOKUP(B356,fixed_expenses[],2,0),"")</f>
        <v/>
      </c>
      <c r="D356" s="17" t="str">
        <f ca="1">IF(HLOOKUP(D354,Summary!$I$2:$AM$7,2,0)=0,"",HLOOKUP(D354,Summary!$I$2:$AM$7,2,0))</f>
        <v/>
      </c>
      <c r="E356" s="71" t="str">
        <f ca="1">IFERROR(VLOOKUP(D356,fixed_expenses[],2,0),"")</f>
        <v/>
      </c>
      <c r="F356" s="17" t="str">
        <f ca="1">IF(HLOOKUP(F354,Summary!$I$2:$AM$7,2,0)=0,"",HLOOKUP(F354,Summary!$I$2:$AM$7,2,0))</f>
        <v/>
      </c>
      <c r="G356" s="71" t="str">
        <f ca="1">IFERROR(VLOOKUP(F356,fixed_expenses[],2,0),"")</f>
        <v/>
      </c>
      <c r="H356" s="17" t="str">
        <f ca="1">IF(HLOOKUP(H354,Summary!$I$2:$AM$7,2,0)=0,"",HLOOKUP(H354,Summary!$I$2:$AM$7,2,0))</f>
        <v/>
      </c>
      <c r="I356" s="71" t="str">
        <f ca="1">IFERROR(VLOOKUP(H356,fixed_expenses[],2,0),"")</f>
        <v/>
      </c>
      <c r="J356" s="17" t="str">
        <f ca="1">IF(HLOOKUP(J354,Summary!$I$2:$AM$7,2,0)=0,"",HLOOKUP(J354,Summary!$I$2:$AM$7,2,0))</f>
        <v/>
      </c>
      <c r="K356" s="71" t="str">
        <f ca="1">IFERROR(VLOOKUP(J356,fixed_expenses[],2,0),"")</f>
        <v/>
      </c>
      <c r="L356" s="17" t="str">
        <f ca="1">IF(HLOOKUP(L354,Summary!$I$2:$AM$7,2,0)=0,"",HLOOKUP(L354,Summary!$I$2:$AM$7,2,0))</f>
        <v/>
      </c>
      <c r="M356" s="71" t="str">
        <f ca="1">IFERROR(VLOOKUP(L356,fixed_expenses[],2,0),"")</f>
        <v/>
      </c>
      <c r="N356" s="17" t="str">
        <f ca="1">IF(HLOOKUP(N354,Summary!$I$2:$AM$7,2,0)=0,"",HLOOKUP(N354,Summary!$I$2:$AM$7,2,0))</f>
        <v>Rent</v>
      </c>
      <c r="O356" s="71">
        <f ca="1">IFERROR(VLOOKUP(N356,fixed_expenses[],2,0),"")</f>
        <v>1200</v>
      </c>
      <c r="P356" s="22"/>
    </row>
    <row r="357" spans="1:16" ht="11.25" customHeight="1" x14ac:dyDescent="0.2">
      <c r="B357" s="17" t="str">
        <f ca="1">IF(HLOOKUP(B354,Summary!$I$2:$AM$7,3,0)=0,"",HLOOKUP(B354,Summary!$I$2:$AM$7,3,0))</f>
        <v/>
      </c>
      <c r="C357" s="71" t="str">
        <f ca="1">IFERROR(VLOOKUP(B357,fixed_expenses[],2,0),"")</f>
        <v/>
      </c>
      <c r="D357" s="17" t="str">
        <f ca="1">IF(HLOOKUP(D354,Summary!$I$2:$AM$7,3,0)=0,"",HLOOKUP(D354,Summary!$I$2:$AM$7,3,0))</f>
        <v/>
      </c>
      <c r="E357" s="71" t="str">
        <f ca="1">IFERROR(VLOOKUP(D357,fixed_expenses[],2,0),"")</f>
        <v/>
      </c>
      <c r="F357" s="17" t="str">
        <f ca="1">IF(HLOOKUP(F354,Summary!$I$2:$AM$7,3,0)=0,"",HLOOKUP(F354,Summary!$I$2:$AM$7,3,0))</f>
        <v/>
      </c>
      <c r="G357" s="71" t="str">
        <f ca="1">IFERROR(VLOOKUP(F357,fixed_expenses[],2,0),"")</f>
        <v/>
      </c>
      <c r="H357" s="17" t="str">
        <f ca="1">IF(HLOOKUP(H354,Summary!$I$2:$AM$7,3,0)=0,"",HLOOKUP(H354,Summary!$I$2:$AM$7,3,0))</f>
        <v/>
      </c>
      <c r="I357" s="71" t="str">
        <f ca="1">IFERROR(VLOOKUP(H357,fixed_expenses[],2,0),"")</f>
        <v/>
      </c>
      <c r="J357" s="17" t="str">
        <f ca="1">IF(HLOOKUP(J354,Summary!$I$2:$AM$7,3,0)=0,"",HLOOKUP(J354,Summary!$I$2:$AM$7,3,0))</f>
        <v/>
      </c>
      <c r="K357" s="71" t="str">
        <f ca="1">IFERROR(VLOOKUP(J357,fixed_expenses[],2,0),"")</f>
        <v/>
      </c>
      <c r="L357" s="17" t="str">
        <f ca="1">IF(HLOOKUP(L354,Summary!$I$2:$AM$7,3,0)=0,"",HLOOKUP(L354,Summary!$I$2:$AM$7,3,0))</f>
        <v/>
      </c>
      <c r="M357" s="71" t="str">
        <f ca="1">IFERROR(VLOOKUP(L357,fixed_expenses[],2,0),"")</f>
        <v/>
      </c>
      <c r="N357" s="17" t="str">
        <f ca="1">IF(HLOOKUP(N354,Summary!$I$2:$AM$7,3,0)=0,"",HLOOKUP(N354,Summary!$I$2:$AM$7,3,0))</f>
        <v/>
      </c>
      <c r="O357" s="71" t="str">
        <f ca="1">IFERROR(VLOOKUP(N357,fixed_expenses[],2,0),"")</f>
        <v/>
      </c>
      <c r="P357" s="22"/>
    </row>
    <row r="358" spans="1:16" ht="11.25" customHeight="1" x14ac:dyDescent="0.2">
      <c r="B358" s="17" t="str">
        <f ca="1">IF(HLOOKUP(B354,Summary!$I$2:$AM$7,4,0)=0,"",HLOOKUP(B354,Summary!$I$2:$AM$7,4,0))</f>
        <v/>
      </c>
      <c r="C358" s="71" t="str">
        <f ca="1">IFERROR(VLOOKUP(B358,fixed_expenses[],2,0),"")</f>
        <v/>
      </c>
      <c r="D358" s="17" t="str">
        <f ca="1">IF(HLOOKUP(D354,Summary!$I$2:$AM$7,4,0)=0,"",HLOOKUP(D354,Summary!$I$2:$AM$7,4,0))</f>
        <v/>
      </c>
      <c r="E358" s="71" t="str">
        <f ca="1">IFERROR(VLOOKUP(D358,fixed_expenses[],2,0),"")</f>
        <v/>
      </c>
      <c r="F358" s="17" t="str">
        <f ca="1">IF(HLOOKUP(F354,Summary!$I$2:$AM$7,4,0)=0,"",HLOOKUP(F354,Summary!$I$2:$AM$7,4,0))</f>
        <v/>
      </c>
      <c r="G358" s="71" t="str">
        <f ca="1">IFERROR(VLOOKUP(F358,fixed_expenses[],2,0),"")</f>
        <v/>
      </c>
      <c r="H358" s="17" t="str">
        <f ca="1">IF(HLOOKUP(H354,Summary!$I$2:$AM$7,4,0)=0,"",HLOOKUP(H354,Summary!$I$2:$AM$7,4,0))</f>
        <v/>
      </c>
      <c r="I358" s="71" t="str">
        <f ca="1">IFERROR(VLOOKUP(H358,fixed_expenses[],2,0),"")</f>
        <v/>
      </c>
      <c r="J358" s="17" t="str">
        <f ca="1">IF(HLOOKUP(J354,Summary!$I$2:$AM$7,4,0)=0,"",HLOOKUP(J354,Summary!$I$2:$AM$7,4,0))</f>
        <v/>
      </c>
      <c r="K358" s="71" t="str">
        <f ca="1">IFERROR(VLOOKUP(J358,fixed_expenses[],2,0),"")</f>
        <v/>
      </c>
      <c r="L358" s="17" t="str">
        <f ca="1">IF(HLOOKUP(L354,Summary!$I$2:$AM$7,4,0)=0,"",HLOOKUP(L354,Summary!$I$2:$AM$7,4,0))</f>
        <v/>
      </c>
      <c r="M358" s="71" t="str">
        <f ca="1">IFERROR(VLOOKUP(L358,fixed_expenses[],2,0),"")</f>
        <v/>
      </c>
      <c r="N358" s="17" t="str">
        <f ca="1">IF(HLOOKUP(N354,Summary!$I$2:$AM$7,4,0)=0,"",HLOOKUP(N354,Summary!$I$2:$AM$7,4,0))</f>
        <v/>
      </c>
      <c r="O358" s="71" t="str">
        <f ca="1">IFERROR(VLOOKUP(N358,fixed_expenses[],2,0),"")</f>
        <v/>
      </c>
      <c r="P358" s="22"/>
    </row>
    <row r="359" spans="1:16" ht="11.25" customHeight="1" x14ac:dyDescent="0.2">
      <c r="B359" s="17" t="str">
        <f ca="1">IF(HLOOKUP(B354,Summary!$I$2:$AM$7,5,0)=0,"",HLOOKUP(B354,Summary!$I$2:$AM$7,5,0))</f>
        <v/>
      </c>
      <c r="C359" s="71" t="str">
        <f ca="1">IFERROR(VLOOKUP(B359,fixed_expenses[],2,0),"")</f>
        <v/>
      </c>
      <c r="D359" s="17" t="str">
        <f ca="1">IF(HLOOKUP(D354,Summary!$I$2:$AM$7,5,0)=0,"",HLOOKUP(D354,Summary!$I$2:$AM$7,5,0))</f>
        <v/>
      </c>
      <c r="E359" s="71" t="str">
        <f ca="1">IFERROR(VLOOKUP(D359,fixed_expenses[],2,0),"")</f>
        <v/>
      </c>
      <c r="F359" s="17" t="str">
        <f ca="1">IF(HLOOKUP(F354,Summary!$I$2:$AM$7,5,0)=0,"",HLOOKUP(F354,Summary!$I$2:$AM$7,5,0))</f>
        <v/>
      </c>
      <c r="G359" s="71" t="str">
        <f ca="1">IFERROR(VLOOKUP(F359,fixed_expenses[],2,0),"")</f>
        <v/>
      </c>
      <c r="H359" s="17" t="str">
        <f ca="1">IF(HLOOKUP(H354,Summary!$I$2:$AM$7,5,0)=0,"",HLOOKUP(H354,Summary!$I$2:$AM$7,5,0))</f>
        <v/>
      </c>
      <c r="I359" s="71" t="str">
        <f ca="1">IFERROR(VLOOKUP(H359,fixed_expenses[],2,0),"")</f>
        <v/>
      </c>
      <c r="J359" s="17" t="str">
        <f ca="1">IF(HLOOKUP(J354,Summary!$I$2:$AM$7,5,0)=0,"",HLOOKUP(J354,Summary!$I$2:$AM$7,5,0))</f>
        <v/>
      </c>
      <c r="K359" s="71" t="str">
        <f ca="1">IFERROR(VLOOKUP(J359,fixed_expenses[],2,0),"")</f>
        <v/>
      </c>
      <c r="L359" s="17" t="str">
        <f ca="1">IF(HLOOKUP(L354,Summary!$I$2:$AM$7,5,0)=0,"",HLOOKUP(L354,Summary!$I$2:$AM$7,5,0))</f>
        <v/>
      </c>
      <c r="M359" s="71" t="str">
        <f ca="1">IFERROR(VLOOKUP(L359,fixed_expenses[],2,0),"")</f>
        <v/>
      </c>
      <c r="N359" s="17" t="str">
        <f ca="1">IF(HLOOKUP(N354,Summary!$I$2:$AM$7,5,0)=0,"",HLOOKUP(N354,Summary!$I$2:$AM$7,5,0))</f>
        <v/>
      </c>
      <c r="O359" s="71" t="str">
        <f ca="1">IFERROR(VLOOKUP(N359,fixed_expenses[],2,0),"")</f>
        <v/>
      </c>
      <c r="P359" s="22"/>
    </row>
    <row r="360" spans="1:16" ht="11.25" customHeight="1" x14ac:dyDescent="0.2">
      <c r="B360" s="17" t="str">
        <f ca="1">IF(HLOOKUP(B354,Summary!$I$2:$AM$7,6,0)=0,"",HLOOKUP(B354,Summary!$I$2:$AM$7,6,0))</f>
        <v/>
      </c>
      <c r="C360" s="71" t="str">
        <f ca="1">IFERROR(VLOOKUP(B360,fixed_expenses[],2,0),"")</f>
        <v/>
      </c>
      <c r="D360" s="17" t="str">
        <f ca="1">IF(HLOOKUP(D354,Summary!$I$2:$AM$7,6,0)=0,"",HLOOKUP(D354,Summary!$I$2:$AM$7,6,0))</f>
        <v/>
      </c>
      <c r="E360" s="71" t="str">
        <f ca="1">IFERROR(VLOOKUP(D360,fixed_expenses[],2,0),"")</f>
        <v/>
      </c>
      <c r="F360" s="17" t="str">
        <f ca="1">IF(HLOOKUP(F354,Summary!$I$2:$AM$7,6,0)=0,"",HLOOKUP(F354,Summary!$I$2:$AM$7,6,0))</f>
        <v/>
      </c>
      <c r="G360" s="71" t="str">
        <f ca="1">IFERROR(VLOOKUP(F360,fixed_expenses[],2,0),"")</f>
        <v/>
      </c>
      <c r="H360" s="17" t="str">
        <f ca="1">IF(HLOOKUP(H354,Summary!$I$2:$AM$7,6,0)=0,"",HLOOKUP(H354,Summary!$I$2:$AM$7,6,0))</f>
        <v/>
      </c>
      <c r="I360" s="71" t="str">
        <f ca="1">IFERROR(VLOOKUP(H360,fixed_expenses[],2,0),"")</f>
        <v/>
      </c>
      <c r="J360" s="17" t="str">
        <f ca="1">IF(HLOOKUP(J354,Summary!$I$2:$AM$7,6,0)=0,"",HLOOKUP(J354,Summary!$I$2:$AM$7,6,0))</f>
        <v/>
      </c>
      <c r="K360" s="71" t="str">
        <f ca="1">IFERROR(VLOOKUP(J360,fixed_expenses[],2,0),"")</f>
        <v/>
      </c>
      <c r="L360" s="17" t="str">
        <f ca="1">IF(HLOOKUP(L354,Summary!$I$2:$AM$7,6,0)=0,"",HLOOKUP(L354,Summary!$I$2:$AM$7,6,0))</f>
        <v/>
      </c>
      <c r="M360" s="71" t="str">
        <f ca="1">IFERROR(VLOOKUP(L360,fixed_expenses[],2,0),"")</f>
        <v/>
      </c>
      <c r="N360" s="17" t="str">
        <f ca="1">IF(HLOOKUP(N354,Summary!$I$2:$AM$7,6,0)=0,"",HLOOKUP(N354,Summary!$I$2:$AM$7,6,0))</f>
        <v/>
      </c>
      <c r="O360" s="71" t="str">
        <f ca="1">IFERROR(VLOOKUP(N360,fixed_expenses[],2,0),"")</f>
        <v/>
      </c>
      <c r="P360" s="22"/>
    </row>
    <row r="361" spans="1:16" ht="11.25" customHeight="1" x14ac:dyDescent="0.2">
      <c r="A361" s="43" t="s">
        <v>320</v>
      </c>
      <c r="B361" s="26" t="s">
        <v>8</v>
      </c>
      <c r="C361" s="27">
        <f ca="1">SUM(C356:C360)</f>
        <v>0</v>
      </c>
      <c r="D361" s="26"/>
      <c r="E361" s="27">
        <f ca="1">SUM(E356:E360)</f>
        <v>0</v>
      </c>
      <c r="F361" s="26"/>
      <c r="G361" s="27">
        <f ca="1">SUM(G356:G360)</f>
        <v>0</v>
      </c>
      <c r="H361" s="26"/>
      <c r="I361" s="27">
        <f ca="1">SUM(I356:I360)</f>
        <v>0</v>
      </c>
      <c r="J361" s="26"/>
      <c r="K361" s="27">
        <f ca="1">SUM(K356:K360)</f>
        <v>0</v>
      </c>
      <c r="L361" s="26"/>
      <c r="M361" s="27">
        <f ca="1">SUM(M356:M360)</f>
        <v>0</v>
      </c>
      <c r="N361" s="26"/>
      <c r="O361" s="28">
        <f ca="1">SUM(O356:O360)</f>
        <v>1200</v>
      </c>
      <c r="P361" s="29">
        <f ca="1">SUMIF(B354:N354,"&lt;8",C361:O361)</f>
        <v>1200</v>
      </c>
    </row>
    <row r="362" spans="1:16" x14ac:dyDescent="0.2">
      <c r="B362" s="6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6"/>
    </row>
    <row r="363" spans="1:16" ht="15" customHeight="1" x14ac:dyDescent="0.2">
      <c r="A363" s="43" t="s">
        <v>255</v>
      </c>
      <c r="B363" s="12">
        <f ca="1">N354+1</f>
        <v>4</v>
      </c>
      <c r="C363" s="13"/>
      <c r="D363" s="12">
        <f ca="1">B363+1</f>
        <v>5</v>
      </c>
      <c r="E363" s="13"/>
      <c r="F363" s="12">
        <f ca="1">D363+1</f>
        <v>6</v>
      </c>
      <c r="G363" s="13"/>
      <c r="H363" s="12">
        <f ca="1">F363+1</f>
        <v>7</v>
      </c>
      <c r="I363" s="13"/>
      <c r="J363" s="12">
        <f ca="1">H363+1</f>
        <v>8</v>
      </c>
      <c r="K363" s="13"/>
      <c r="L363" s="12">
        <f ca="1">J363+1</f>
        <v>9</v>
      </c>
      <c r="M363" s="13"/>
      <c r="N363" s="12">
        <f ca="1">L363+1</f>
        <v>10</v>
      </c>
      <c r="O363" s="13"/>
      <c r="P363" s="23"/>
    </row>
    <row r="364" spans="1:16" ht="11.25" customHeight="1" x14ac:dyDescent="0.2">
      <c r="A364" s="43" t="s">
        <v>152</v>
      </c>
      <c r="B364" s="37" t="s">
        <v>9</v>
      </c>
      <c r="C364" s="39" t="s">
        <v>10</v>
      </c>
      <c r="D364" s="37" t="s">
        <v>9</v>
      </c>
      <c r="E364" s="39" t="s">
        <v>10</v>
      </c>
      <c r="F364" s="37" t="s">
        <v>9</v>
      </c>
      <c r="G364" s="39" t="s">
        <v>10</v>
      </c>
      <c r="H364" s="37" t="s">
        <v>9</v>
      </c>
      <c r="I364" s="39" t="s">
        <v>10</v>
      </c>
      <c r="J364" s="37" t="s">
        <v>9</v>
      </c>
      <c r="K364" s="39" t="s">
        <v>10</v>
      </c>
      <c r="L364" s="37" t="s">
        <v>9</v>
      </c>
      <c r="M364" s="39" t="s">
        <v>10</v>
      </c>
      <c r="N364" s="37" t="s">
        <v>9</v>
      </c>
      <c r="O364" s="40" t="s">
        <v>10</v>
      </c>
      <c r="P364" s="22"/>
    </row>
    <row r="365" spans="1:16" ht="11.25" customHeight="1" x14ac:dyDescent="0.2">
      <c r="A365" s="43" t="s">
        <v>202</v>
      </c>
      <c r="B365" s="17" t="str">
        <f ca="1">IF(HLOOKUP(B363,Summary!$I$2:$AM$7,2,0)=0,"",HLOOKUP(B363,Summary!$I$2:$AM$7,2,0))</f>
        <v/>
      </c>
      <c r="C365" s="71" t="str">
        <f ca="1">IFERROR(VLOOKUP(B365,fixed_expenses[],2,0),"")</f>
        <v/>
      </c>
      <c r="D365" s="17" t="str">
        <f ca="1">IF(HLOOKUP(D363,Summary!$I$2:$AM$7,2,0)=0,"",HLOOKUP(D363,Summary!$I$2:$AM$7,2,0))</f>
        <v/>
      </c>
      <c r="E365" s="71" t="str">
        <f ca="1">IFERROR(VLOOKUP(D365,fixed_expenses[],2,0),"")</f>
        <v/>
      </c>
      <c r="F365" s="17" t="str">
        <f ca="1">IF(HLOOKUP(F363,Summary!$I$2:$AM$7,2,0)=0,"",HLOOKUP(F363,Summary!$I$2:$AM$7,2,0))</f>
        <v/>
      </c>
      <c r="G365" s="71" t="str">
        <f ca="1">IFERROR(VLOOKUP(F365,fixed_expenses[],2,0),"")</f>
        <v/>
      </c>
      <c r="H365" s="17" t="str">
        <f ca="1">IF(HLOOKUP(H363,Summary!$I$2:$AM$7,2,0)=0,"",HLOOKUP(H363,Summary!$I$2:$AM$7,2,0))</f>
        <v/>
      </c>
      <c r="I365" s="71" t="str">
        <f ca="1">IFERROR(VLOOKUP(H365,fixed_expenses[],2,0),"")</f>
        <v/>
      </c>
      <c r="J365" s="17" t="str">
        <f ca="1">IF(HLOOKUP(J363,Summary!$I$2:$AM$7,2,0)=0,"",HLOOKUP(J363,Summary!$I$2:$AM$7,2,0))</f>
        <v/>
      </c>
      <c r="K365" s="71" t="str">
        <f ca="1">IFERROR(VLOOKUP(J365,fixed_expenses[],2,0),"")</f>
        <v/>
      </c>
      <c r="L365" s="17" t="s">
        <v>384</v>
      </c>
      <c r="M365" s="71">
        <f>IFERROR(VLOOKUP(L365,fixed_expenses[],2,0),"")</f>
        <v>232</v>
      </c>
      <c r="N365" s="17" t="str">
        <f ca="1">IF(HLOOKUP(N363,Summary!$I$2:$AM$7,2,0)=0,"",HLOOKUP(N363,Summary!$I$2:$AM$7,2,0))</f>
        <v/>
      </c>
      <c r="O365" s="71" t="str">
        <f ca="1">IFERROR(VLOOKUP(N365,fixed_expenses[],2,0),"")</f>
        <v/>
      </c>
      <c r="P365" s="22"/>
    </row>
    <row r="366" spans="1:16" ht="11.25" customHeight="1" x14ac:dyDescent="0.2">
      <c r="B366" s="17" t="str">
        <f ca="1">IF(HLOOKUP(B363,Summary!$I$2:$AM$7,3,0)=0,"",HLOOKUP(B363,Summary!$I$2:$AM$7,3,0))</f>
        <v/>
      </c>
      <c r="C366" s="71" t="str">
        <f ca="1">IFERROR(VLOOKUP(B366,fixed_expenses[],2,0),"")</f>
        <v/>
      </c>
      <c r="D366" s="17" t="str">
        <f ca="1">IF(HLOOKUP(D363,Summary!$I$2:$AM$7,3,0)=0,"",HLOOKUP(D363,Summary!$I$2:$AM$7,3,0))</f>
        <v/>
      </c>
      <c r="E366" s="71" t="str">
        <f ca="1">IFERROR(VLOOKUP(D366,fixed_expenses[],2,0),"")</f>
        <v/>
      </c>
      <c r="F366" s="17" t="str">
        <f ca="1">IF(HLOOKUP(F363,Summary!$I$2:$AM$7,3,0)=0,"",HLOOKUP(F363,Summary!$I$2:$AM$7,3,0))</f>
        <v/>
      </c>
      <c r="G366" s="71" t="str">
        <f ca="1">IFERROR(VLOOKUP(F366,fixed_expenses[],2,0),"")</f>
        <v/>
      </c>
      <c r="H366" s="17" t="str">
        <f ca="1">IF(HLOOKUP(H363,Summary!$I$2:$AM$7,3,0)=0,"",HLOOKUP(H363,Summary!$I$2:$AM$7,3,0))</f>
        <v/>
      </c>
      <c r="I366" s="71" t="str">
        <f ca="1">IFERROR(VLOOKUP(H366,fixed_expenses[],2,0),"")</f>
        <v/>
      </c>
      <c r="J366" s="17" t="str">
        <f ca="1">IF(HLOOKUP(J363,Summary!$I$2:$AM$7,3,0)=0,"",HLOOKUP(J363,Summary!$I$2:$AM$7,3,0))</f>
        <v/>
      </c>
      <c r="K366" s="71" t="str">
        <f ca="1">IFERROR(VLOOKUP(J366,fixed_expenses[],2,0),"")</f>
        <v/>
      </c>
      <c r="L366" s="17" t="str">
        <f ca="1">IF(HLOOKUP(L363,Summary!$I$2:$AM$7,3,0)=0,"",HLOOKUP(L363,Summary!$I$2:$AM$7,3,0))</f>
        <v/>
      </c>
      <c r="M366" s="71" t="str">
        <f ca="1">IFERROR(VLOOKUP(L366,fixed_expenses[],2,0),"")</f>
        <v/>
      </c>
      <c r="N366" s="17" t="str">
        <f ca="1">IF(HLOOKUP(N363,Summary!$I$2:$AM$7,3,0)=0,"",HLOOKUP(N363,Summary!$I$2:$AM$7,3,0))</f>
        <v/>
      </c>
      <c r="O366" s="71" t="str">
        <f ca="1">IFERROR(VLOOKUP(N366,fixed_expenses[],2,0),"")</f>
        <v/>
      </c>
      <c r="P366" s="22"/>
    </row>
    <row r="367" spans="1:16" ht="11.25" customHeight="1" x14ac:dyDescent="0.2">
      <c r="B367" s="17" t="str">
        <f ca="1">IF(HLOOKUP(B363,Summary!$I$2:$AM$7,4,0)=0,"",HLOOKUP(B363,Summary!$I$2:$AM$7,4,0))</f>
        <v/>
      </c>
      <c r="C367" s="71" t="str">
        <f ca="1">IFERROR(VLOOKUP(B367,fixed_expenses[],2,0),"")</f>
        <v/>
      </c>
      <c r="D367" s="17" t="str">
        <f ca="1">IF(HLOOKUP(D363,Summary!$I$2:$AM$7,4,0)=0,"",HLOOKUP(D363,Summary!$I$2:$AM$7,4,0))</f>
        <v/>
      </c>
      <c r="E367" s="71" t="str">
        <f ca="1">IFERROR(VLOOKUP(D367,fixed_expenses[],2,0),"")</f>
        <v/>
      </c>
      <c r="F367" s="17" t="str">
        <f ca="1">IF(HLOOKUP(F363,Summary!$I$2:$AM$7,4,0)=0,"",HLOOKUP(F363,Summary!$I$2:$AM$7,4,0))</f>
        <v/>
      </c>
      <c r="G367" s="71" t="str">
        <f ca="1">IFERROR(VLOOKUP(F367,fixed_expenses[],2,0),"")</f>
        <v/>
      </c>
      <c r="H367" s="17" t="str">
        <f ca="1">IF(HLOOKUP(H363,Summary!$I$2:$AM$7,4,0)=0,"",HLOOKUP(H363,Summary!$I$2:$AM$7,4,0))</f>
        <v/>
      </c>
      <c r="I367" s="71" t="str">
        <f ca="1">IFERROR(VLOOKUP(H367,fixed_expenses[],2,0),"")</f>
        <v/>
      </c>
      <c r="J367" s="17" t="str">
        <f ca="1">IF(HLOOKUP(J363,Summary!$I$2:$AM$7,4,0)=0,"",HLOOKUP(J363,Summary!$I$2:$AM$7,4,0))</f>
        <v/>
      </c>
      <c r="K367" s="71" t="str">
        <f ca="1">IFERROR(VLOOKUP(J367,fixed_expenses[],2,0),"")</f>
        <v/>
      </c>
      <c r="L367" s="17" t="str">
        <f ca="1">IF(HLOOKUP(L363,Summary!$I$2:$AM$7,4,0)=0,"",HLOOKUP(L363,Summary!$I$2:$AM$7,4,0))</f>
        <v/>
      </c>
      <c r="M367" s="71" t="str">
        <f ca="1">IFERROR(VLOOKUP(L367,fixed_expenses[],2,0),"")</f>
        <v/>
      </c>
      <c r="N367" s="17" t="str">
        <f ca="1">IF(HLOOKUP(N363,Summary!$I$2:$AM$7,4,0)=0,"",HLOOKUP(N363,Summary!$I$2:$AM$7,4,0))</f>
        <v/>
      </c>
      <c r="O367" s="71" t="str">
        <f ca="1">IFERROR(VLOOKUP(N367,fixed_expenses[],2,0),"")</f>
        <v/>
      </c>
      <c r="P367" s="22"/>
    </row>
    <row r="368" spans="1:16" ht="11.25" customHeight="1" x14ac:dyDescent="0.2">
      <c r="B368" s="17" t="str">
        <f ca="1">IF(HLOOKUP(B363,Summary!$I$2:$AM$7,5,0)=0,"",HLOOKUP(B363,Summary!$I$2:$AM$7,5,0))</f>
        <v/>
      </c>
      <c r="C368" s="71" t="str">
        <f ca="1">IFERROR(VLOOKUP(B368,fixed_expenses[],2,0),"")</f>
        <v/>
      </c>
      <c r="D368" s="17" t="str">
        <f ca="1">IF(HLOOKUP(D363,Summary!$I$2:$AM$7,5,0)=0,"",HLOOKUP(D363,Summary!$I$2:$AM$7,5,0))</f>
        <v/>
      </c>
      <c r="E368" s="71" t="str">
        <f ca="1">IFERROR(VLOOKUP(D368,fixed_expenses[],2,0),"")</f>
        <v/>
      </c>
      <c r="F368" s="17" t="str">
        <f ca="1">IF(HLOOKUP(F363,Summary!$I$2:$AM$7,5,0)=0,"",HLOOKUP(F363,Summary!$I$2:$AM$7,5,0))</f>
        <v/>
      </c>
      <c r="G368" s="71" t="str">
        <f ca="1">IFERROR(VLOOKUP(F368,fixed_expenses[],2,0),"")</f>
        <v/>
      </c>
      <c r="H368" s="17" t="str">
        <f ca="1">IF(HLOOKUP(H363,Summary!$I$2:$AM$7,5,0)=0,"",HLOOKUP(H363,Summary!$I$2:$AM$7,5,0))</f>
        <v/>
      </c>
      <c r="I368" s="71" t="str">
        <f ca="1">IFERROR(VLOOKUP(H368,fixed_expenses[],2,0),"")</f>
        <v/>
      </c>
      <c r="J368" s="17" t="str">
        <f ca="1">IF(HLOOKUP(J363,Summary!$I$2:$AM$7,5,0)=0,"",HLOOKUP(J363,Summary!$I$2:$AM$7,5,0))</f>
        <v/>
      </c>
      <c r="K368" s="71" t="str">
        <f ca="1">IFERROR(VLOOKUP(J368,fixed_expenses[],2,0),"")</f>
        <v/>
      </c>
      <c r="L368" s="17" t="str">
        <f ca="1">IF(HLOOKUP(L363,Summary!$I$2:$AM$7,5,0)=0,"",HLOOKUP(L363,Summary!$I$2:$AM$7,5,0))</f>
        <v/>
      </c>
      <c r="M368" s="71" t="str">
        <f ca="1">IFERROR(VLOOKUP(L368,fixed_expenses[],2,0),"")</f>
        <v/>
      </c>
      <c r="N368" s="17" t="str">
        <f ca="1">IF(HLOOKUP(N363,Summary!$I$2:$AM$7,5,0)=0,"",HLOOKUP(N363,Summary!$I$2:$AM$7,5,0))</f>
        <v/>
      </c>
      <c r="O368" s="71" t="str">
        <f ca="1">IFERROR(VLOOKUP(N368,fixed_expenses[],2,0),"")</f>
        <v/>
      </c>
      <c r="P368" s="22"/>
    </row>
    <row r="369" spans="1:16" ht="11.25" customHeight="1" x14ac:dyDescent="0.2">
      <c r="B369" s="17" t="str">
        <f ca="1">IF(HLOOKUP(B363,Summary!$I$2:$AM$7,6,0)=0,"",HLOOKUP(B363,Summary!$I$2:$AM$7,6,0))</f>
        <v/>
      </c>
      <c r="C369" s="71" t="str">
        <f ca="1">IFERROR(VLOOKUP(B369,fixed_expenses[],2,0),"")</f>
        <v/>
      </c>
      <c r="D369" s="17" t="str">
        <f ca="1">IF(HLOOKUP(D363,Summary!$I$2:$AM$7,6,0)=0,"",HLOOKUP(D363,Summary!$I$2:$AM$7,6,0))</f>
        <v/>
      </c>
      <c r="E369" s="71" t="str">
        <f ca="1">IFERROR(VLOOKUP(D369,fixed_expenses[],2,0),"")</f>
        <v/>
      </c>
      <c r="F369" s="17" t="str">
        <f ca="1">IF(HLOOKUP(F363,Summary!$I$2:$AM$7,6,0)=0,"",HLOOKUP(F363,Summary!$I$2:$AM$7,6,0))</f>
        <v/>
      </c>
      <c r="G369" s="71" t="str">
        <f ca="1">IFERROR(VLOOKUP(F369,fixed_expenses[],2,0),"")</f>
        <v/>
      </c>
      <c r="H369" s="17" t="str">
        <f ca="1">IF(HLOOKUP(H363,Summary!$I$2:$AM$7,6,0)=0,"",HLOOKUP(H363,Summary!$I$2:$AM$7,6,0))</f>
        <v/>
      </c>
      <c r="I369" s="71" t="str">
        <f ca="1">IFERROR(VLOOKUP(H369,fixed_expenses[],2,0),"")</f>
        <v/>
      </c>
      <c r="J369" s="17" t="str">
        <f ca="1">IF(HLOOKUP(J363,Summary!$I$2:$AM$7,6,0)=0,"",HLOOKUP(J363,Summary!$I$2:$AM$7,6,0))</f>
        <v/>
      </c>
      <c r="K369" s="71" t="str">
        <f ca="1">IFERROR(VLOOKUP(J369,fixed_expenses[],2,0),"")</f>
        <v/>
      </c>
      <c r="L369" s="17" t="str">
        <f ca="1">IF(HLOOKUP(L363,Summary!$I$2:$AM$7,6,0)=0,"",HLOOKUP(L363,Summary!$I$2:$AM$7,6,0))</f>
        <v/>
      </c>
      <c r="M369" s="71" t="str">
        <f ca="1">IFERROR(VLOOKUP(L369,fixed_expenses[],2,0),"")</f>
        <v/>
      </c>
      <c r="N369" s="17" t="str">
        <f ca="1">IF(HLOOKUP(N363,Summary!$I$2:$AM$7,6,0)=0,"",HLOOKUP(N363,Summary!$I$2:$AM$7,6,0))</f>
        <v/>
      </c>
      <c r="O369" s="71" t="str">
        <f ca="1">IFERROR(VLOOKUP(N369,fixed_expenses[],2,0),"")</f>
        <v/>
      </c>
      <c r="P369" s="22"/>
    </row>
    <row r="370" spans="1:16" ht="11.25" customHeight="1" x14ac:dyDescent="0.2">
      <c r="A370" s="43" t="s">
        <v>319</v>
      </c>
      <c r="B370" s="26" t="s">
        <v>8</v>
      </c>
      <c r="C370" s="27">
        <f ca="1">SUM(C365:C369)</f>
        <v>0</v>
      </c>
      <c r="D370" s="26"/>
      <c r="E370" s="27">
        <f ca="1">SUM(E365:E369)</f>
        <v>0</v>
      </c>
      <c r="F370" s="26"/>
      <c r="G370" s="27">
        <f ca="1">SUM(G365:G369)</f>
        <v>0</v>
      </c>
      <c r="H370" s="26"/>
      <c r="I370" s="27">
        <f ca="1">SUM(I365:I369)</f>
        <v>0</v>
      </c>
      <c r="J370" s="26"/>
      <c r="K370" s="27">
        <f ca="1">SUM(K365:K369)</f>
        <v>0</v>
      </c>
      <c r="L370" s="26"/>
      <c r="M370" s="27">
        <f ca="1">SUM(M365:M369)</f>
        <v>232</v>
      </c>
      <c r="N370" s="26"/>
      <c r="O370" s="28">
        <f ca="1">SUM(O365:O369)</f>
        <v>0</v>
      </c>
      <c r="P370" s="29">
        <f ca="1">SUM(C370,E370,G370,I370,K370,M370,O370)</f>
        <v>232</v>
      </c>
    </row>
    <row r="371" spans="1:16" x14ac:dyDescent="0.2">
      <c r="B371" s="6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6"/>
    </row>
    <row r="372" spans="1:16" ht="15" customHeight="1" x14ac:dyDescent="0.2">
      <c r="A372" s="43" t="s">
        <v>256</v>
      </c>
      <c r="B372" s="12">
        <f ca="1">N363+1</f>
        <v>11</v>
      </c>
      <c r="C372" s="13"/>
      <c r="D372" s="12">
        <f ca="1">B372+1</f>
        <v>12</v>
      </c>
      <c r="E372" s="13"/>
      <c r="F372" s="12">
        <f ca="1">D372+1</f>
        <v>13</v>
      </c>
      <c r="G372" s="13"/>
      <c r="H372" s="12">
        <f ca="1">F372+1</f>
        <v>14</v>
      </c>
      <c r="I372" s="13"/>
      <c r="J372" s="12">
        <f ca="1">H372+1</f>
        <v>15</v>
      </c>
      <c r="K372" s="13"/>
      <c r="L372" s="12">
        <f ca="1">J372+1</f>
        <v>16</v>
      </c>
      <c r="M372" s="13"/>
      <c r="N372" s="12">
        <f ca="1">L372+1</f>
        <v>17</v>
      </c>
      <c r="O372" s="13"/>
      <c r="P372" s="24"/>
    </row>
    <row r="373" spans="1:16" ht="11.25" customHeight="1" x14ac:dyDescent="0.2">
      <c r="A373" s="43" t="s">
        <v>151</v>
      </c>
      <c r="B373" s="37" t="s">
        <v>9</v>
      </c>
      <c r="C373" s="39" t="s">
        <v>10</v>
      </c>
      <c r="D373" s="37" t="s">
        <v>9</v>
      </c>
      <c r="E373" s="39" t="s">
        <v>10</v>
      </c>
      <c r="F373" s="37" t="s">
        <v>9</v>
      </c>
      <c r="G373" s="39" t="s">
        <v>10</v>
      </c>
      <c r="H373" s="37" t="s">
        <v>9</v>
      </c>
      <c r="I373" s="39" t="s">
        <v>10</v>
      </c>
      <c r="J373" s="37" t="s">
        <v>9</v>
      </c>
      <c r="K373" s="39" t="s">
        <v>10</v>
      </c>
      <c r="L373" s="37" t="s">
        <v>9</v>
      </c>
      <c r="M373" s="39" t="s">
        <v>10</v>
      </c>
      <c r="N373" s="37" t="s">
        <v>9</v>
      </c>
      <c r="O373" s="40" t="s">
        <v>10</v>
      </c>
      <c r="P373" s="22"/>
    </row>
    <row r="374" spans="1:16" ht="11.25" customHeight="1" x14ac:dyDescent="0.2">
      <c r="A374" s="43" t="s">
        <v>203</v>
      </c>
      <c r="B374" s="17" t="str">
        <f ca="1">IF(HLOOKUP(B372,Summary!$I$2:$AM$7,2,0)=0,"",HLOOKUP(B372,Summary!$I$2:$AM$7,2,0))</f>
        <v/>
      </c>
      <c r="C374" s="71" t="str">
        <f ca="1">IFERROR(VLOOKUP(B374,fixed_expenses[],2,0),"")</f>
        <v/>
      </c>
      <c r="D374" s="17" t="str">
        <f ca="1">IF(HLOOKUP(D372,Summary!$I$2:$AM$7,2,0)=0,"",HLOOKUP(D372,Summary!$I$2:$AM$7,2,0))</f>
        <v/>
      </c>
      <c r="E374" s="71" t="str">
        <f ca="1">IFERROR(VLOOKUP(D374,fixed_expenses[],2,0),"")</f>
        <v/>
      </c>
      <c r="F374" s="17" t="str">
        <f ca="1">IF(HLOOKUP(F372,Summary!$I$2:$AM$7,2,0)=0,"",HLOOKUP(F372,Summary!$I$2:$AM$7,2,0))</f>
        <v/>
      </c>
      <c r="G374" s="71" t="str">
        <f ca="1">IFERROR(VLOOKUP(F374,fixed_expenses[],2,0),"")</f>
        <v/>
      </c>
      <c r="H374" s="17" t="str">
        <f ca="1">IF(HLOOKUP(H372,Summary!$I$2:$AM$7,2,0)=0,"",HLOOKUP(H372,Summary!$I$2:$AM$7,2,0))</f>
        <v/>
      </c>
      <c r="I374" s="71" t="str">
        <f ca="1">IFERROR(VLOOKUP(H374,fixed_expenses[],2,0),"")</f>
        <v/>
      </c>
      <c r="J374" s="17" t="str">
        <f ca="1">IF(HLOOKUP(J372,Summary!$I$2:$AM$7,2,0)=0,"",HLOOKUP(J372,Summary!$I$2:$AM$7,2,0))</f>
        <v>Paul Phone Bill</v>
      </c>
      <c r="K374" s="71">
        <f ca="1">IFERROR(VLOOKUP(J374,fixed_expenses[],2,0),"")</f>
        <v>60</v>
      </c>
      <c r="L374" s="17" t="str">
        <f ca="1">IF(HLOOKUP(L372,Summary!$I$2:$AM$7,2,0)=0,"",HLOOKUP(L372,Summary!$I$2:$AM$7,2,0))</f>
        <v/>
      </c>
      <c r="M374" s="71" t="str">
        <f ca="1">IFERROR(VLOOKUP(L374,fixed_expenses[],2,0),"")</f>
        <v/>
      </c>
      <c r="N374" s="17" t="str">
        <f ca="1">IF(HLOOKUP(N372,Summary!$I$2:$AM$7,2,0)=0,"",HLOOKUP(N372,Summary!$I$2:$AM$7,2,0))</f>
        <v/>
      </c>
      <c r="O374" s="71" t="str">
        <f ca="1">IFERROR(VLOOKUP(N374,fixed_expenses[],2,0),"")</f>
        <v/>
      </c>
      <c r="P374" s="22"/>
    </row>
    <row r="375" spans="1:16" ht="11.25" customHeight="1" x14ac:dyDescent="0.2">
      <c r="B375" s="17" t="str">
        <f ca="1">IF(HLOOKUP(B372,Summary!$I$2:$AM$7,3,0)=0,"",HLOOKUP(B372,Summary!$I$2:$AM$7,3,0))</f>
        <v/>
      </c>
      <c r="C375" s="71" t="str">
        <f ca="1">IFERROR(VLOOKUP(B375,fixed_expenses[],2,0),"")</f>
        <v/>
      </c>
      <c r="D375" s="17" t="str">
        <f ca="1">IF(HLOOKUP(D372,Summary!$I$2:$AM$7,3,0)=0,"",HLOOKUP(D372,Summary!$I$2:$AM$7,3,0))</f>
        <v/>
      </c>
      <c r="E375" s="71" t="str">
        <f ca="1">IFERROR(VLOOKUP(D375,fixed_expenses[],2,0),"")</f>
        <v/>
      </c>
      <c r="F375" s="17" t="str">
        <f ca="1">IF(HLOOKUP(F372,Summary!$I$2:$AM$7,3,0)=0,"",HLOOKUP(F372,Summary!$I$2:$AM$7,3,0))</f>
        <v/>
      </c>
      <c r="G375" s="71" t="str">
        <f ca="1">IFERROR(VLOOKUP(F375,fixed_expenses[],2,0),"")</f>
        <v/>
      </c>
      <c r="H375" s="17" t="str">
        <f ca="1">IF(HLOOKUP(H372,Summary!$I$2:$AM$7,3,0)=0,"",HLOOKUP(H372,Summary!$I$2:$AM$7,3,0))</f>
        <v/>
      </c>
      <c r="I375" s="71" t="str">
        <f ca="1">IFERROR(VLOOKUP(H375,fixed_expenses[],2,0),"")</f>
        <v/>
      </c>
      <c r="J375" s="17" t="str">
        <f ca="1">IF(HLOOKUP(J372,Summary!$I$2:$AM$7,3,0)=0,"",HLOOKUP(J372,Summary!$I$2:$AM$7,3,0))</f>
        <v>Electric</v>
      </c>
      <c r="K375" s="71">
        <f ca="1">IFERROR(VLOOKUP(J375,fixed_expenses[],2,0),"")</f>
        <v>50</v>
      </c>
      <c r="L375" s="17" t="str">
        <f ca="1">IF(HLOOKUP(L372,Summary!$I$2:$AM$7,3,0)=0,"",HLOOKUP(L372,Summary!$I$2:$AM$7,3,0))</f>
        <v/>
      </c>
      <c r="M375" s="71" t="str">
        <f ca="1">IFERROR(VLOOKUP(L375,fixed_expenses[],2,0),"")</f>
        <v/>
      </c>
      <c r="N375" s="17" t="str">
        <f ca="1">IF(HLOOKUP(N372,Summary!$I$2:$AM$7,3,0)=0,"",HLOOKUP(N372,Summary!$I$2:$AM$7,3,0))</f>
        <v/>
      </c>
      <c r="O375" s="71" t="str">
        <f ca="1">IFERROR(VLOOKUP(N375,fixed_expenses[],2,0),"")</f>
        <v/>
      </c>
      <c r="P375" s="22"/>
    </row>
    <row r="376" spans="1:16" ht="11.25" customHeight="1" x14ac:dyDescent="0.2">
      <c r="B376" s="17" t="str">
        <f ca="1">IF(HLOOKUP(B372,Summary!$I$2:$AM$7,4,0)=0,"",HLOOKUP(B372,Summary!$I$2:$AM$7,4,0))</f>
        <v/>
      </c>
      <c r="C376" s="71" t="str">
        <f ca="1">IFERROR(VLOOKUP(B376,fixed_expenses[],2,0),"")</f>
        <v/>
      </c>
      <c r="D376" s="17" t="str">
        <f ca="1">IF(HLOOKUP(D372,Summary!$I$2:$AM$7,4,0)=0,"",HLOOKUP(D372,Summary!$I$2:$AM$7,4,0))</f>
        <v/>
      </c>
      <c r="E376" s="71" t="str">
        <f ca="1">IFERROR(VLOOKUP(D376,fixed_expenses[],2,0),"")</f>
        <v/>
      </c>
      <c r="F376" s="17" t="str">
        <f ca="1">IF(HLOOKUP(F372,Summary!$I$2:$AM$7,4,0)=0,"",HLOOKUP(F372,Summary!$I$2:$AM$7,4,0))</f>
        <v/>
      </c>
      <c r="G376" s="71" t="str">
        <f ca="1">IFERROR(VLOOKUP(F376,fixed_expenses[],2,0),"")</f>
        <v/>
      </c>
      <c r="H376" s="17" t="str">
        <f ca="1">IF(HLOOKUP(H372,Summary!$I$2:$AM$7,4,0)=0,"",HLOOKUP(H372,Summary!$I$2:$AM$7,4,0))</f>
        <v/>
      </c>
      <c r="I376" s="71" t="str">
        <f ca="1">IFERROR(VLOOKUP(H376,fixed_expenses[],2,0),"")</f>
        <v/>
      </c>
      <c r="J376" s="17" t="str">
        <f ca="1">IF(HLOOKUP(J372,Summary!$I$2:$AM$7,4,0)=0,"",HLOOKUP(J372,Summary!$I$2:$AM$7,4,0))</f>
        <v/>
      </c>
      <c r="K376" s="71" t="str">
        <f ca="1">IFERROR(VLOOKUP(J376,fixed_expenses[],2,0),"")</f>
        <v/>
      </c>
      <c r="L376" s="17" t="str">
        <f ca="1">IF(HLOOKUP(L372,Summary!$I$2:$AM$7,4,0)=0,"",HLOOKUP(L372,Summary!$I$2:$AM$7,4,0))</f>
        <v/>
      </c>
      <c r="M376" s="71" t="str">
        <f ca="1">IFERROR(VLOOKUP(L376,fixed_expenses[],2,0),"")</f>
        <v/>
      </c>
      <c r="N376" s="17" t="str">
        <f ca="1">IF(HLOOKUP(N372,Summary!$I$2:$AM$7,4,0)=0,"",HLOOKUP(N372,Summary!$I$2:$AM$7,4,0))</f>
        <v/>
      </c>
      <c r="O376" s="71" t="str">
        <f ca="1">IFERROR(VLOOKUP(N376,fixed_expenses[],2,0),"")</f>
        <v/>
      </c>
      <c r="P376" s="22"/>
    </row>
    <row r="377" spans="1:16" ht="11.25" customHeight="1" x14ac:dyDescent="0.2">
      <c r="B377" s="17" t="str">
        <f ca="1">IF(HLOOKUP(B372,Summary!$I$2:$AM$7,5,0)=0,"",HLOOKUP(B372,Summary!$I$2:$AM$7,5,0))</f>
        <v/>
      </c>
      <c r="C377" s="71" t="str">
        <f ca="1">IFERROR(VLOOKUP(B377,fixed_expenses[],2,0),"")</f>
        <v/>
      </c>
      <c r="D377" s="17" t="str">
        <f ca="1">IF(HLOOKUP(D372,Summary!$I$2:$AM$7,5,0)=0,"",HLOOKUP(D372,Summary!$I$2:$AM$7,5,0))</f>
        <v/>
      </c>
      <c r="E377" s="71" t="str">
        <f ca="1">IFERROR(VLOOKUP(D377,fixed_expenses[],2,0),"")</f>
        <v/>
      </c>
      <c r="F377" s="17" t="str">
        <f ca="1">IF(HLOOKUP(F372,Summary!$I$2:$AM$7,5,0)=0,"",HLOOKUP(F372,Summary!$I$2:$AM$7,5,0))</f>
        <v/>
      </c>
      <c r="G377" s="71" t="str">
        <f ca="1">IFERROR(VLOOKUP(F377,fixed_expenses[],2,0),"")</f>
        <v/>
      </c>
      <c r="H377" s="17" t="str">
        <f ca="1">IF(HLOOKUP(H372,Summary!$I$2:$AM$7,5,0)=0,"",HLOOKUP(H372,Summary!$I$2:$AM$7,5,0))</f>
        <v/>
      </c>
      <c r="I377" s="71" t="str">
        <f ca="1">IFERROR(VLOOKUP(H377,fixed_expenses[],2,0),"")</f>
        <v/>
      </c>
      <c r="J377" s="17" t="str">
        <f ca="1">IF(HLOOKUP(J372,Summary!$I$2:$AM$7,5,0)=0,"",HLOOKUP(J372,Summary!$I$2:$AM$7,5,0))</f>
        <v/>
      </c>
      <c r="K377" s="71" t="str">
        <f ca="1">IFERROR(VLOOKUP(J377,fixed_expenses[],2,0),"")</f>
        <v/>
      </c>
      <c r="L377" s="17" t="str">
        <f ca="1">IF(HLOOKUP(L372,Summary!$I$2:$AM$7,5,0)=0,"",HLOOKUP(L372,Summary!$I$2:$AM$7,5,0))</f>
        <v/>
      </c>
      <c r="M377" s="71" t="str">
        <f ca="1">IFERROR(VLOOKUP(L377,fixed_expenses[],2,0),"")</f>
        <v/>
      </c>
      <c r="N377" s="17" t="str">
        <f ca="1">IF(HLOOKUP(N372,Summary!$I$2:$AM$7,5,0)=0,"",HLOOKUP(N372,Summary!$I$2:$AM$7,5,0))</f>
        <v/>
      </c>
      <c r="O377" s="71" t="str">
        <f ca="1">IFERROR(VLOOKUP(N377,fixed_expenses[],2,0),"")</f>
        <v/>
      </c>
      <c r="P377" s="22"/>
    </row>
    <row r="378" spans="1:16" ht="11.25" customHeight="1" x14ac:dyDescent="0.2">
      <c r="B378" s="17" t="str">
        <f ca="1">IF(HLOOKUP(B372,Summary!$I$2:$AM$7,6,0)=0,"",HLOOKUP(B372,Summary!$I$2:$AM$7,6,0))</f>
        <v/>
      </c>
      <c r="C378" s="71" t="str">
        <f ca="1">IFERROR(VLOOKUP(B378,fixed_expenses[],2,0),"")</f>
        <v/>
      </c>
      <c r="D378" s="17" t="str">
        <f ca="1">IF(HLOOKUP(D372,Summary!$I$2:$AM$7,6,0)=0,"",HLOOKUP(D372,Summary!$I$2:$AM$7,6,0))</f>
        <v/>
      </c>
      <c r="E378" s="71" t="str">
        <f ca="1">IFERROR(VLOOKUP(D378,fixed_expenses[],2,0),"")</f>
        <v/>
      </c>
      <c r="F378" s="17" t="str">
        <f ca="1">IF(HLOOKUP(F372,Summary!$I$2:$AM$7,6,0)=0,"",HLOOKUP(F372,Summary!$I$2:$AM$7,6,0))</f>
        <v/>
      </c>
      <c r="G378" s="71" t="str">
        <f ca="1">IFERROR(VLOOKUP(F378,fixed_expenses[],2,0),"")</f>
        <v/>
      </c>
      <c r="H378" s="17" t="str">
        <f ca="1">IF(HLOOKUP(H372,Summary!$I$2:$AM$7,6,0)=0,"",HLOOKUP(H372,Summary!$I$2:$AM$7,6,0))</f>
        <v/>
      </c>
      <c r="I378" s="71" t="str">
        <f ca="1">IFERROR(VLOOKUP(H378,fixed_expenses[],2,0),"")</f>
        <v/>
      </c>
      <c r="J378" s="17" t="str">
        <f ca="1">IF(HLOOKUP(J372,Summary!$I$2:$AM$7,6,0)=0,"",HLOOKUP(J372,Summary!$I$2:$AM$7,6,0))</f>
        <v/>
      </c>
      <c r="K378" s="71" t="str">
        <f ca="1">IFERROR(VLOOKUP(J378,fixed_expenses[],2,0),"")</f>
        <v/>
      </c>
      <c r="L378" s="17" t="str">
        <f ca="1">IF(HLOOKUP(L372,Summary!$I$2:$AM$7,6,0)=0,"",HLOOKUP(L372,Summary!$I$2:$AM$7,6,0))</f>
        <v/>
      </c>
      <c r="M378" s="71" t="str">
        <f ca="1">IFERROR(VLOOKUP(L378,fixed_expenses[],2,0),"")</f>
        <v/>
      </c>
      <c r="N378" s="17" t="str">
        <f ca="1">IF(HLOOKUP(N372,Summary!$I$2:$AM$7,6,0)=0,"",HLOOKUP(N372,Summary!$I$2:$AM$7,6,0))</f>
        <v/>
      </c>
      <c r="O378" s="71" t="str">
        <f ca="1">IFERROR(VLOOKUP(N378,fixed_expenses[],2,0),"")</f>
        <v/>
      </c>
      <c r="P378" s="22"/>
    </row>
    <row r="379" spans="1:16" ht="11.25" customHeight="1" x14ac:dyDescent="0.2">
      <c r="A379" s="43" t="s">
        <v>318</v>
      </c>
      <c r="B379" s="30" t="s">
        <v>8</v>
      </c>
      <c r="C379" s="27">
        <f ca="1">SUM(C374:C378)</f>
        <v>0</v>
      </c>
      <c r="D379" s="26"/>
      <c r="E379" s="27">
        <f ca="1">SUM(E374:E378)</f>
        <v>0</v>
      </c>
      <c r="F379" s="26"/>
      <c r="G379" s="27">
        <f ca="1">SUM(G374:G378)</f>
        <v>0</v>
      </c>
      <c r="H379" s="26"/>
      <c r="I379" s="27">
        <f ca="1">SUM(I374:I378)</f>
        <v>0</v>
      </c>
      <c r="J379" s="26"/>
      <c r="K379" s="27">
        <f ca="1">SUM(K374:K378)</f>
        <v>110</v>
      </c>
      <c r="L379" s="26"/>
      <c r="M379" s="27">
        <f ca="1">SUM(M374:M378)</f>
        <v>0</v>
      </c>
      <c r="N379" s="26"/>
      <c r="O379" s="28">
        <f ca="1">SUM(O374:O378)</f>
        <v>0</v>
      </c>
      <c r="P379" s="29">
        <f ca="1">SUM(C379,E379,G379,I379,K379,M379,O379)</f>
        <v>110</v>
      </c>
    </row>
    <row r="380" spans="1:16" x14ac:dyDescent="0.2">
      <c r="B380" s="6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6"/>
    </row>
    <row r="381" spans="1:16" ht="15" customHeight="1" x14ac:dyDescent="0.2">
      <c r="A381" s="43" t="s">
        <v>257</v>
      </c>
      <c r="B381" s="12">
        <f ca="1">N372+1</f>
        <v>18</v>
      </c>
      <c r="C381" s="13"/>
      <c r="D381" s="12">
        <f ca="1">B381+1</f>
        <v>19</v>
      </c>
      <c r="E381" s="13"/>
      <c r="F381" s="12">
        <f ca="1">D381+1</f>
        <v>20</v>
      </c>
      <c r="G381" s="13"/>
      <c r="H381" s="12">
        <f ca="1">F381+1</f>
        <v>21</v>
      </c>
      <c r="I381" s="13"/>
      <c r="J381" s="12">
        <f ca="1">H381+1</f>
        <v>22</v>
      </c>
      <c r="K381" s="13"/>
      <c r="L381" s="12">
        <f ca="1">J381+1</f>
        <v>23</v>
      </c>
      <c r="M381" s="13"/>
      <c r="N381" s="12">
        <f ca="1">L381+1</f>
        <v>24</v>
      </c>
      <c r="O381" s="13"/>
      <c r="P381" s="24"/>
    </row>
    <row r="382" spans="1:16" ht="11.25" customHeight="1" x14ac:dyDescent="0.2">
      <c r="A382" s="43" t="s">
        <v>150</v>
      </c>
      <c r="B382" s="37" t="s">
        <v>9</v>
      </c>
      <c r="C382" s="39" t="s">
        <v>10</v>
      </c>
      <c r="D382" s="37" t="s">
        <v>9</v>
      </c>
      <c r="E382" s="39" t="s">
        <v>10</v>
      </c>
      <c r="F382" s="37" t="s">
        <v>9</v>
      </c>
      <c r="G382" s="39" t="s">
        <v>10</v>
      </c>
      <c r="H382" s="37" t="s">
        <v>9</v>
      </c>
      <c r="I382" s="39" t="s">
        <v>10</v>
      </c>
      <c r="J382" s="37" t="s">
        <v>9</v>
      </c>
      <c r="K382" s="39" t="s">
        <v>10</v>
      </c>
      <c r="L382" s="37" t="s">
        <v>9</v>
      </c>
      <c r="M382" s="39" t="s">
        <v>10</v>
      </c>
      <c r="N382" s="37" t="s">
        <v>9</v>
      </c>
      <c r="O382" s="40" t="s">
        <v>10</v>
      </c>
      <c r="P382" s="22"/>
    </row>
    <row r="383" spans="1:16" ht="11.25" customHeight="1" x14ac:dyDescent="0.2">
      <c r="A383" s="43" t="s">
        <v>204</v>
      </c>
      <c r="B383" s="17" t="str">
        <f ca="1">IF(HLOOKUP(B381,Summary!$I$2:$AM$7,2,0)=0,"",HLOOKUP(B381,Summary!$I$2:$AM$7,2,0))</f>
        <v/>
      </c>
      <c r="C383" s="71" t="str">
        <f ca="1">IFERROR(VLOOKUP(B383,fixed_expenses[],2,0),"")</f>
        <v/>
      </c>
      <c r="D383" s="17" t="str">
        <f ca="1">IF(HLOOKUP(D381,Summary!$I$2:$AM$7,2,0)=0,"",HLOOKUP(D381,Summary!$I$2:$AM$7,2,0))</f>
        <v/>
      </c>
      <c r="E383" s="71" t="str">
        <f ca="1">IFERROR(VLOOKUP(D383,fixed_expenses[],2,0),"")</f>
        <v/>
      </c>
      <c r="F383" s="17" t="str">
        <f ca="1">IF(HLOOKUP(F381,Summary!$I$2:$AM$7,2,0)=0,"",HLOOKUP(F381,Summary!$I$2:$AM$7,2,0))</f>
        <v>Lynn Phone Bill</v>
      </c>
      <c r="G383" s="71" t="str">
        <f ca="1">IFERROR(VLOOKUP(F383,fixed_expenses[],2,0),"")</f>
        <v/>
      </c>
      <c r="H383" s="17" t="str">
        <f ca="1">IF(HLOOKUP(H381,Summary!$I$2:$AM$7,2,0)=0,"",HLOOKUP(H381,Summary!$I$2:$AM$7,2,0))</f>
        <v/>
      </c>
      <c r="I383" s="71" t="str">
        <f ca="1">IFERROR(VLOOKUP(H383,fixed_expenses[],2,0),"")</f>
        <v/>
      </c>
      <c r="J383" s="17" t="str">
        <f ca="1">IF(HLOOKUP(J381,Summary!$I$2:$AM$7,2,0)=0,"",HLOOKUP(J381,Summary!$I$2:$AM$7,2,0))</f>
        <v/>
      </c>
      <c r="K383" s="71" t="str">
        <f ca="1">IFERROR(VLOOKUP(J383,fixed_expenses[],2,0),"")</f>
        <v/>
      </c>
      <c r="L383" s="17" t="s">
        <v>384</v>
      </c>
      <c r="M383" s="71">
        <f>IFERROR(VLOOKUP(L383,fixed_expenses[],2,0),"")</f>
        <v>232</v>
      </c>
      <c r="N383" s="17" t="str">
        <f ca="1">IF(HLOOKUP(N381,Summary!$I$2:$AM$7,2,0)=0,"",HLOOKUP(N381,Summary!$I$2:$AM$7,2,0))</f>
        <v/>
      </c>
      <c r="O383" s="71" t="str">
        <f ca="1">IFERROR(VLOOKUP(N383,fixed_expenses[],2,0),"")</f>
        <v/>
      </c>
      <c r="P383" s="22"/>
    </row>
    <row r="384" spans="1:16" ht="11.25" customHeight="1" x14ac:dyDescent="0.2">
      <c r="B384" s="17" t="str">
        <f ca="1">IF(HLOOKUP(B381,Summary!$I$2:$AM$7,3,0)=0,"",HLOOKUP(B381,Summary!$I$2:$AM$7,3,0))</f>
        <v/>
      </c>
      <c r="C384" s="71" t="str">
        <f ca="1">IFERROR(VLOOKUP(B384,fixed_expenses[],2,0),"")</f>
        <v/>
      </c>
      <c r="D384" s="17" t="str">
        <f ca="1">IF(HLOOKUP(D381,Summary!$I$2:$AM$7,3,0)=0,"",HLOOKUP(D381,Summary!$I$2:$AM$7,3,0))</f>
        <v/>
      </c>
      <c r="E384" s="71" t="str">
        <f ca="1">IFERROR(VLOOKUP(D384,fixed_expenses[],2,0),"")</f>
        <v/>
      </c>
      <c r="F384" s="17" t="str">
        <f ca="1">IF(HLOOKUP(F381,Summary!$I$2:$AM$7,3,0)=0,"",HLOOKUP(F381,Summary!$I$2:$AM$7,3,0))</f>
        <v/>
      </c>
      <c r="G384" s="71" t="str">
        <f ca="1">IFERROR(VLOOKUP(F384,fixed_expenses[],2,0),"")</f>
        <v/>
      </c>
      <c r="H384" s="17" t="str">
        <f ca="1">IF(HLOOKUP(H381,Summary!$I$2:$AM$7,3,0)=0,"",HLOOKUP(H381,Summary!$I$2:$AM$7,3,0))</f>
        <v/>
      </c>
      <c r="I384" s="71" t="str">
        <f ca="1">IFERROR(VLOOKUP(H384,fixed_expenses[],2,0),"")</f>
        <v/>
      </c>
      <c r="J384" s="17" t="str">
        <f ca="1">IF(HLOOKUP(J381,Summary!$I$2:$AM$7,3,0)=0,"",HLOOKUP(J381,Summary!$I$2:$AM$7,3,0))</f>
        <v/>
      </c>
      <c r="K384" s="71" t="str">
        <f ca="1">IFERROR(VLOOKUP(J384,fixed_expenses[],2,0),"")</f>
        <v/>
      </c>
      <c r="L384" s="17" t="str">
        <f ca="1">IF(HLOOKUP(L381,Summary!$I$2:$AM$7,3,0)=0,"",HLOOKUP(L381,Summary!$I$2:$AM$7,3,0))</f>
        <v/>
      </c>
      <c r="M384" s="71" t="str">
        <f ca="1">IFERROR(VLOOKUP(L384,fixed_expenses[],2,0),"")</f>
        <v/>
      </c>
      <c r="N384" s="17" t="str">
        <f ca="1">IF(HLOOKUP(N381,Summary!$I$2:$AM$7,3,0)=0,"",HLOOKUP(N381,Summary!$I$2:$AM$7,3,0))</f>
        <v/>
      </c>
      <c r="O384" s="71" t="str">
        <f ca="1">IFERROR(VLOOKUP(N384,fixed_expenses[],2,0),"")</f>
        <v/>
      </c>
      <c r="P384" s="22"/>
    </row>
    <row r="385" spans="1:16" ht="11.25" customHeight="1" x14ac:dyDescent="0.2">
      <c r="B385" s="17" t="str">
        <f ca="1">IF(HLOOKUP(B381,Summary!$I$2:$AM$7,4,0)=0,"",HLOOKUP(B381,Summary!$I$2:$AM$7,4,0))</f>
        <v/>
      </c>
      <c r="C385" s="71" t="str">
        <f ca="1">IFERROR(VLOOKUP(B385,fixed_expenses[],2,0),"")</f>
        <v/>
      </c>
      <c r="D385" s="17" t="str">
        <f ca="1">IF(HLOOKUP(D381,Summary!$I$2:$AM$7,4,0)=0,"",HLOOKUP(D381,Summary!$I$2:$AM$7,4,0))</f>
        <v/>
      </c>
      <c r="E385" s="71" t="str">
        <f ca="1">IFERROR(VLOOKUP(D385,fixed_expenses[],2,0),"")</f>
        <v/>
      </c>
      <c r="F385" s="17" t="str">
        <f ca="1">IF(HLOOKUP(F381,Summary!$I$2:$AM$7,4,0)=0,"",HLOOKUP(F381,Summary!$I$2:$AM$7,4,0))</f>
        <v/>
      </c>
      <c r="G385" s="71" t="str">
        <f ca="1">IFERROR(VLOOKUP(F385,fixed_expenses[],2,0),"")</f>
        <v/>
      </c>
      <c r="H385" s="17" t="str">
        <f ca="1">IF(HLOOKUP(H381,Summary!$I$2:$AM$7,4,0)=0,"",HLOOKUP(H381,Summary!$I$2:$AM$7,4,0))</f>
        <v/>
      </c>
      <c r="I385" s="71" t="str">
        <f ca="1">IFERROR(VLOOKUP(H385,fixed_expenses[],2,0),"")</f>
        <v/>
      </c>
      <c r="J385" s="17" t="str">
        <f ca="1">IF(HLOOKUP(J381,Summary!$I$2:$AM$7,4,0)=0,"",HLOOKUP(J381,Summary!$I$2:$AM$7,4,0))</f>
        <v/>
      </c>
      <c r="K385" s="71" t="str">
        <f ca="1">IFERROR(VLOOKUP(J385,fixed_expenses[],2,0),"")</f>
        <v/>
      </c>
      <c r="L385" s="17" t="str">
        <f ca="1">IF(HLOOKUP(L381,Summary!$I$2:$AM$7,4,0)=0,"",HLOOKUP(L381,Summary!$I$2:$AM$7,4,0))</f>
        <v/>
      </c>
      <c r="M385" s="71" t="str">
        <f ca="1">IFERROR(VLOOKUP(L385,fixed_expenses[],2,0),"")</f>
        <v/>
      </c>
      <c r="N385" s="17" t="str">
        <f ca="1">IF(HLOOKUP(N381,Summary!$I$2:$AM$7,4,0)=0,"",HLOOKUP(N381,Summary!$I$2:$AM$7,4,0))</f>
        <v/>
      </c>
      <c r="O385" s="71" t="str">
        <f ca="1">IFERROR(VLOOKUP(N385,fixed_expenses[],2,0),"")</f>
        <v/>
      </c>
      <c r="P385" s="22"/>
    </row>
    <row r="386" spans="1:16" ht="11.25" customHeight="1" x14ac:dyDescent="0.2">
      <c r="B386" s="17" t="str">
        <f ca="1">IF(HLOOKUP(B381,Summary!$I$2:$AM$7,5,0)=0,"",HLOOKUP(B381,Summary!$I$2:$AM$7,5,0))</f>
        <v/>
      </c>
      <c r="C386" s="71" t="str">
        <f ca="1">IFERROR(VLOOKUP(B386,fixed_expenses[],2,0),"")</f>
        <v/>
      </c>
      <c r="D386" s="17" t="str">
        <f ca="1">IF(HLOOKUP(D381,Summary!$I$2:$AM$7,5,0)=0,"",HLOOKUP(D381,Summary!$I$2:$AM$7,5,0))</f>
        <v/>
      </c>
      <c r="E386" s="71" t="str">
        <f ca="1">IFERROR(VLOOKUP(D386,fixed_expenses[],2,0),"")</f>
        <v/>
      </c>
      <c r="F386" s="17" t="str">
        <f ca="1">IF(HLOOKUP(F381,Summary!$I$2:$AM$7,5,0)=0,"",HLOOKUP(F381,Summary!$I$2:$AM$7,5,0))</f>
        <v/>
      </c>
      <c r="G386" s="71" t="str">
        <f ca="1">IFERROR(VLOOKUP(F386,fixed_expenses[],2,0),"")</f>
        <v/>
      </c>
      <c r="H386" s="17" t="str">
        <f ca="1">IF(HLOOKUP(H381,Summary!$I$2:$AM$7,5,0)=0,"",HLOOKUP(H381,Summary!$I$2:$AM$7,5,0))</f>
        <v/>
      </c>
      <c r="I386" s="71" t="str">
        <f ca="1">IFERROR(VLOOKUP(H386,fixed_expenses[],2,0),"")</f>
        <v/>
      </c>
      <c r="J386" s="17" t="str">
        <f ca="1">IF(HLOOKUP(J381,Summary!$I$2:$AM$7,5,0)=0,"",HLOOKUP(J381,Summary!$I$2:$AM$7,5,0))</f>
        <v/>
      </c>
      <c r="K386" s="71" t="str">
        <f ca="1">IFERROR(VLOOKUP(J386,fixed_expenses[],2,0),"")</f>
        <v/>
      </c>
      <c r="L386" s="17" t="str">
        <f ca="1">IF(HLOOKUP(L381,Summary!$I$2:$AM$7,5,0)=0,"",HLOOKUP(L381,Summary!$I$2:$AM$7,5,0))</f>
        <v/>
      </c>
      <c r="M386" s="71" t="str">
        <f ca="1">IFERROR(VLOOKUP(L386,fixed_expenses[],2,0),"")</f>
        <v/>
      </c>
      <c r="N386" s="17" t="str">
        <f ca="1">IF(HLOOKUP(N381,Summary!$I$2:$AM$7,5,0)=0,"",HLOOKUP(N381,Summary!$I$2:$AM$7,5,0))</f>
        <v/>
      </c>
      <c r="O386" s="71" t="str">
        <f ca="1">IFERROR(VLOOKUP(N386,fixed_expenses[],2,0),"")</f>
        <v/>
      </c>
      <c r="P386" s="22"/>
    </row>
    <row r="387" spans="1:16" ht="11.25" customHeight="1" x14ac:dyDescent="0.2">
      <c r="B387" s="17" t="str">
        <f ca="1">IF(HLOOKUP(B381,Summary!$I$2:$AM$7,6,0)=0,"",HLOOKUP(B381,Summary!$I$2:$AM$7,6,0))</f>
        <v/>
      </c>
      <c r="C387" s="71" t="str">
        <f ca="1">IFERROR(VLOOKUP(B387,fixed_expenses[],2,0),"")</f>
        <v/>
      </c>
      <c r="D387" s="17" t="str">
        <f ca="1">IF(HLOOKUP(D381,Summary!$I$2:$AM$7,6,0)=0,"",HLOOKUP(D381,Summary!$I$2:$AM$7,6,0))</f>
        <v/>
      </c>
      <c r="E387" s="71" t="str">
        <f ca="1">IFERROR(VLOOKUP(D387,fixed_expenses[],2,0),"")</f>
        <v/>
      </c>
      <c r="F387" s="17" t="str">
        <f ca="1">IF(HLOOKUP(F381,Summary!$I$2:$AM$7,6,0)=0,"",HLOOKUP(F381,Summary!$I$2:$AM$7,6,0))</f>
        <v/>
      </c>
      <c r="G387" s="71" t="str">
        <f ca="1">IFERROR(VLOOKUP(F387,fixed_expenses[],2,0),"")</f>
        <v/>
      </c>
      <c r="H387" s="17" t="str">
        <f ca="1">IF(HLOOKUP(H381,Summary!$I$2:$AM$7,6,0)=0,"",HLOOKUP(H381,Summary!$I$2:$AM$7,6,0))</f>
        <v/>
      </c>
      <c r="I387" s="71" t="str">
        <f ca="1">IFERROR(VLOOKUP(H387,fixed_expenses[],2,0),"")</f>
        <v/>
      </c>
      <c r="J387" s="17" t="str">
        <f ca="1">IF(HLOOKUP(J381,Summary!$I$2:$AM$7,6,0)=0,"",HLOOKUP(J381,Summary!$I$2:$AM$7,6,0))</f>
        <v/>
      </c>
      <c r="K387" s="71" t="str">
        <f ca="1">IFERROR(VLOOKUP(J387,fixed_expenses[],2,0),"")</f>
        <v/>
      </c>
      <c r="L387" s="17" t="str">
        <f ca="1">IF(HLOOKUP(L381,Summary!$I$2:$AM$7,6,0)=0,"",HLOOKUP(L381,Summary!$I$2:$AM$7,6,0))</f>
        <v/>
      </c>
      <c r="M387" s="71" t="str">
        <f ca="1">IFERROR(VLOOKUP(L387,fixed_expenses[],2,0),"")</f>
        <v/>
      </c>
      <c r="N387" s="17" t="str">
        <f ca="1">IF(HLOOKUP(N381,Summary!$I$2:$AM$7,6,0)=0,"",HLOOKUP(N381,Summary!$I$2:$AM$7,6,0))</f>
        <v/>
      </c>
      <c r="O387" s="71" t="str">
        <f ca="1">IFERROR(VLOOKUP(N387,fixed_expenses[],2,0),"")</f>
        <v/>
      </c>
      <c r="P387" s="22"/>
    </row>
    <row r="388" spans="1:16" ht="11.25" customHeight="1" x14ac:dyDescent="0.2">
      <c r="A388" s="43" t="s">
        <v>317</v>
      </c>
      <c r="B388" s="26" t="s">
        <v>8</v>
      </c>
      <c r="C388" s="27">
        <f ca="1">SUM(C383:C387)</f>
        <v>0</v>
      </c>
      <c r="D388" s="26"/>
      <c r="E388" s="27">
        <f ca="1">SUM(E383:E387)</f>
        <v>0</v>
      </c>
      <c r="F388" s="26"/>
      <c r="G388" s="27">
        <f ca="1">SUM(G383:G387)</f>
        <v>0</v>
      </c>
      <c r="H388" s="26"/>
      <c r="I388" s="27">
        <f ca="1">SUM(I383:I387)</f>
        <v>0</v>
      </c>
      <c r="J388" s="26"/>
      <c r="K388" s="27">
        <f ca="1">SUM(K383:K387)</f>
        <v>0</v>
      </c>
      <c r="L388" s="26"/>
      <c r="M388" s="27">
        <f ca="1">SUM(M383:M387)</f>
        <v>232</v>
      </c>
      <c r="N388" s="26"/>
      <c r="O388" s="28">
        <f ca="1">SUM(O383:O387)</f>
        <v>0</v>
      </c>
      <c r="P388" s="29">
        <f ca="1">SUM(C388,E388,G388,I388,K388,M388,O388)</f>
        <v>232</v>
      </c>
    </row>
    <row r="389" spans="1:16" x14ac:dyDescent="0.2">
      <c r="B389" s="6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6"/>
    </row>
    <row r="390" spans="1:16" ht="15" customHeight="1" x14ac:dyDescent="0.2">
      <c r="A390" s="43" t="s">
        <v>258</v>
      </c>
      <c r="B390" s="12">
        <f ca="1">DAY(IF(DAY(JulSun1)=1,JulSun1+22,JulSun1+29))</f>
        <v>25</v>
      </c>
      <c r="C390" s="13"/>
      <c r="D390" s="12">
        <f ca="1">DAY(IF(DAY(JulSun1)=1,JulSun1+23,JulSun1+30))</f>
        <v>26</v>
      </c>
      <c r="E390" s="13"/>
      <c r="F390" s="12">
        <f ca="1">DAY(IF(DAY(JulSun1)=1,JulSun1+24,JulSun1+31))</f>
        <v>27</v>
      </c>
      <c r="G390" s="13"/>
      <c r="H390" s="12">
        <f ca="1">DAY(IF(DAY(JulSun1)=1,JulSun1+25,JulSun1+32))</f>
        <v>28</v>
      </c>
      <c r="I390" s="13"/>
      <c r="J390" s="12">
        <f ca="1">DAY(IF(DAY(JulSun1)=1,JulSun1+26,JulSun1+33))</f>
        <v>29</v>
      </c>
      <c r="K390" s="13"/>
      <c r="L390" s="12">
        <f ca="1">DAY(IF(DAY(JulSun1)=1,JulSun1+27,JulSun1+34))</f>
        <v>30</v>
      </c>
      <c r="M390" s="13"/>
      <c r="N390" s="12">
        <f ca="1">DAY(IF(DAY(JulSun1)=1,JulSun1+28,JulSun1+35))</f>
        <v>31</v>
      </c>
      <c r="O390" s="13"/>
      <c r="P390" s="25"/>
    </row>
    <row r="391" spans="1:16" ht="11.25" customHeight="1" x14ac:dyDescent="0.2">
      <c r="A391" s="43" t="s">
        <v>149</v>
      </c>
      <c r="B391" s="37" t="s">
        <v>9</v>
      </c>
      <c r="C391" s="39" t="s">
        <v>10</v>
      </c>
      <c r="D391" s="37" t="s">
        <v>9</v>
      </c>
      <c r="E391" s="39" t="s">
        <v>10</v>
      </c>
      <c r="F391" s="37" t="s">
        <v>9</v>
      </c>
      <c r="G391" s="39" t="s">
        <v>10</v>
      </c>
      <c r="H391" s="37" t="s">
        <v>9</v>
      </c>
      <c r="I391" s="39" t="s">
        <v>10</v>
      </c>
      <c r="J391" s="37" t="s">
        <v>9</v>
      </c>
      <c r="K391" s="39" t="s">
        <v>10</v>
      </c>
      <c r="L391" s="37" t="s">
        <v>9</v>
      </c>
      <c r="M391" s="39" t="s">
        <v>10</v>
      </c>
      <c r="N391" s="37" t="s">
        <v>9</v>
      </c>
      <c r="O391" s="40" t="s">
        <v>10</v>
      </c>
      <c r="P391" s="22"/>
    </row>
    <row r="392" spans="1:16" ht="11.25" customHeight="1" x14ac:dyDescent="0.2">
      <c r="A392" s="43" t="s">
        <v>205</v>
      </c>
      <c r="B392" s="17" t="str">
        <f ca="1">IF(HLOOKUP(B390,Summary!$I$2:$AM$7,2,0)=0,"",HLOOKUP(B390,Summary!$I$2:$AM$7,2,0))</f>
        <v/>
      </c>
      <c r="C392" s="71" t="str">
        <f ca="1">IFERROR(VLOOKUP(B392,fixed_expenses[],2,0),"")</f>
        <v/>
      </c>
      <c r="D392" s="17" t="str">
        <f ca="1">IF(HLOOKUP(D390,Summary!$I$2:$AM$7,2,0)=0,"",HLOOKUP(D390,Summary!$I$2:$AM$7,2,0))</f>
        <v/>
      </c>
      <c r="E392" s="71" t="str">
        <f ca="1">IFERROR(VLOOKUP(D392,fixed_expenses[],2,0),"")</f>
        <v/>
      </c>
      <c r="F392" s="17" t="str">
        <f ca="1">IF(HLOOKUP(F390,Summary!$I$2:$AM$7,2,0)=0,"",HLOOKUP(F390,Summary!$I$2:$AM$7,2,0))</f>
        <v/>
      </c>
      <c r="G392" s="71" t="str">
        <f ca="1">IFERROR(VLOOKUP(F392,fixed_expenses[],2,0),"")</f>
        <v/>
      </c>
      <c r="H392" s="17" t="str">
        <f ca="1">IF(HLOOKUP(H390,Summary!$I$2:$AM$7,2,0)=0,"",HLOOKUP(H390,Summary!$I$2:$AM$7,2,0))</f>
        <v/>
      </c>
      <c r="I392" s="71" t="str">
        <f ca="1">IFERROR(VLOOKUP(H392,fixed_expenses[],2,0),"")</f>
        <v/>
      </c>
      <c r="J392" s="17" t="str">
        <f ca="1">IF(HLOOKUP(J390,Summary!$I$2:$AM$7,2,0)=0,"",HLOOKUP(J390,Summary!$I$2:$AM$7,2,0))</f>
        <v/>
      </c>
      <c r="K392" s="71" t="str">
        <f ca="1">IFERROR(VLOOKUP(J392,fixed_expenses[],2,0),"")</f>
        <v/>
      </c>
      <c r="L392" s="17" t="str">
        <f ca="1">IF(HLOOKUP(L390,Summary!$I$2:$AM$7,2,0)=0,"",HLOOKUP(L390,Summary!$I$2:$AM$7,2,0))</f>
        <v/>
      </c>
      <c r="M392" s="71" t="str">
        <f ca="1">IFERROR(VLOOKUP(L392,fixed_expenses[],2,0),"")</f>
        <v/>
      </c>
      <c r="N392" s="17" t="str">
        <f ca="1">IF(HLOOKUP(N390,Summary!$I$2:$AM$7,2,0)=0,"",HLOOKUP(N390,Summary!$I$2:$AM$7,2,0))</f>
        <v/>
      </c>
      <c r="O392" s="71" t="str">
        <f ca="1">IFERROR(VLOOKUP(N392,fixed_expenses[],2,0),"")</f>
        <v/>
      </c>
      <c r="P392" s="22"/>
    </row>
    <row r="393" spans="1:16" ht="11.25" customHeight="1" x14ac:dyDescent="0.2">
      <c r="B393" s="17" t="str">
        <f ca="1">IF(HLOOKUP(B390,Summary!$I$2:$AM$7,3,0)=0,"",HLOOKUP(B390,Summary!$I$2:$AM$7,3,0))</f>
        <v/>
      </c>
      <c r="C393" s="71" t="str">
        <f ca="1">IFERROR(VLOOKUP(B393,fixed_expenses[],2,0),"")</f>
        <v/>
      </c>
      <c r="D393" s="17" t="str">
        <f ca="1">IF(HLOOKUP(D390,Summary!$I$2:$AM$7,3,0)=0,"",HLOOKUP(D390,Summary!$I$2:$AM$7,3,0))</f>
        <v/>
      </c>
      <c r="E393" s="71" t="str">
        <f ca="1">IFERROR(VLOOKUP(D393,fixed_expenses[],2,0),"")</f>
        <v/>
      </c>
      <c r="F393" s="17" t="str">
        <f ca="1">IF(HLOOKUP(F390,Summary!$I$2:$AM$7,3,0)=0,"",HLOOKUP(F390,Summary!$I$2:$AM$7,3,0))</f>
        <v/>
      </c>
      <c r="G393" s="71" t="str">
        <f ca="1">IFERROR(VLOOKUP(F393,fixed_expenses[],2,0),"")</f>
        <v/>
      </c>
      <c r="H393" s="17" t="str">
        <f ca="1">IF(HLOOKUP(H390,Summary!$I$2:$AM$7,3,0)=0,"",HLOOKUP(H390,Summary!$I$2:$AM$7,3,0))</f>
        <v/>
      </c>
      <c r="I393" s="71" t="str">
        <f ca="1">IFERROR(VLOOKUP(H393,fixed_expenses[],2,0),"")</f>
        <v/>
      </c>
      <c r="J393" s="17" t="str">
        <f ca="1">IF(HLOOKUP(J390,Summary!$I$2:$AM$7,3,0)=0,"",HLOOKUP(J390,Summary!$I$2:$AM$7,3,0))</f>
        <v/>
      </c>
      <c r="K393" s="71" t="str">
        <f ca="1">IFERROR(VLOOKUP(J393,fixed_expenses[],2,0),"")</f>
        <v/>
      </c>
      <c r="L393" s="17" t="str">
        <f ca="1">IF(HLOOKUP(L390,Summary!$I$2:$AM$7,3,0)=0,"",HLOOKUP(L390,Summary!$I$2:$AM$7,3,0))</f>
        <v/>
      </c>
      <c r="M393" s="71" t="str">
        <f ca="1">IFERROR(VLOOKUP(L393,fixed_expenses[],2,0),"")</f>
        <v/>
      </c>
      <c r="N393" s="17" t="str">
        <f ca="1">IF(HLOOKUP(N390,Summary!$I$2:$AM$7,3,0)=0,"",HLOOKUP(N390,Summary!$I$2:$AM$7,3,0))</f>
        <v/>
      </c>
      <c r="O393" s="71" t="str">
        <f ca="1">IFERROR(VLOOKUP(N393,fixed_expenses[],2,0),"")</f>
        <v/>
      </c>
      <c r="P393" s="22"/>
    </row>
    <row r="394" spans="1:16" ht="11.25" customHeight="1" x14ac:dyDescent="0.2">
      <c r="B394" s="17" t="str">
        <f ca="1">IF(HLOOKUP(B390,Summary!$I$2:$AM$7,4,0)=0,"",HLOOKUP(B390,Summary!$I$2:$AM$7,4,0))</f>
        <v/>
      </c>
      <c r="C394" s="71" t="str">
        <f ca="1">IFERROR(VLOOKUP(B394,fixed_expenses[],2,0),"")</f>
        <v/>
      </c>
      <c r="D394" s="17" t="str">
        <f ca="1">IF(HLOOKUP(D390,Summary!$I$2:$AM$7,4,0)=0,"",HLOOKUP(D390,Summary!$I$2:$AM$7,4,0))</f>
        <v/>
      </c>
      <c r="E394" s="71" t="str">
        <f ca="1">IFERROR(VLOOKUP(D394,fixed_expenses[],2,0),"")</f>
        <v/>
      </c>
      <c r="F394" s="17" t="str">
        <f ca="1">IF(HLOOKUP(F390,Summary!$I$2:$AM$7,4,0)=0,"",HLOOKUP(F390,Summary!$I$2:$AM$7,4,0))</f>
        <v/>
      </c>
      <c r="G394" s="71" t="str">
        <f ca="1">IFERROR(VLOOKUP(F394,fixed_expenses[],2,0),"")</f>
        <v/>
      </c>
      <c r="H394" s="17" t="str">
        <f ca="1">IF(HLOOKUP(H390,Summary!$I$2:$AM$7,4,0)=0,"",HLOOKUP(H390,Summary!$I$2:$AM$7,4,0))</f>
        <v/>
      </c>
      <c r="I394" s="71" t="str">
        <f ca="1">IFERROR(VLOOKUP(H394,fixed_expenses[],2,0),"")</f>
        <v/>
      </c>
      <c r="J394" s="17" t="str">
        <f ca="1">IF(HLOOKUP(J390,Summary!$I$2:$AM$7,4,0)=0,"",HLOOKUP(J390,Summary!$I$2:$AM$7,4,0))</f>
        <v/>
      </c>
      <c r="K394" s="71" t="str">
        <f ca="1">IFERROR(VLOOKUP(J394,fixed_expenses[],2,0),"")</f>
        <v/>
      </c>
      <c r="L394" s="17" t="str">
        <f ca="1">IF(HLOOKUP(L390,Summary!$I$2:$AM$7,4,0)=0,"",HLOOKUP(L390,Summary!$I$2:$AM$7,4,0))</f>
        <v/>
      </c>
      <c r="M394" s="71" t="str">
        <f ca="1">IFERROR(VLOOKUP(L394,fixed_expenses[],2,0),"")</f>
        <v/>
      </c>
      <c r="N394" s="17" t="str">
        <f ca="1">IF(HLOOKUP(N390,Summary!$I$2:$AM$7,4,0)=0,"",HLOOKUP(N390,Summary!$I$2:$AM$7,4,0))</f>
        <v/>
      </c>
      <c r="O394" s="71" t="str">
        <f ca="1">IFERROR(VLOOKUP(N394,fixed_expenses[],2,0),"")</f>
        <v/>
      </c>
      <c r="P394" s="22"/>
    </row>
    <row r="395" spans="1:16" ht="11.25" customHeight="1" x14ac:dyDescent="0.2">
      <c r="B395" s="17" t="str">
        <f ca="1">IF(HLOOKUP(B390,Summary!$I$2:$AM$7,5,0)=0,"",HLOOKUP(B390,Summary!$I$2:$AM$7,5,0))</f>
        <v/>
      </c>
      <c r="C395" s="71" t="str">
        <f ca="1">IFERROR(VLOOKUP(B395,fixed_expenses[],2,0),"")</f>
        <v/>
      </c>
      <c r="D395" s="17" t="str">
        <f ca="1">IF(HLOOKUP(D390,Summary!$I$2:$AM$7,5,0)=0,"",HLOOKUP(D390,Summary!$I$2:$AM$7,5,0))</f>
        <v/>
      </c>
      <c r="E395" s="71" t="str">
        <f ca="1">IFERROR(VLOOKUP(D395,fixed_expenses[],2,0),"")</f>
        <v/>
      </c>
      <c r="F395" s="17" t="str">
        <f ca="1">IF(HLOOKUP(F390,Summary!$I$2:$AM$7,5,0)=0,"",HLOOKUP(F390,Summary!$I$2:$AM$7,5,0))</f>
        <v/>
      </c>
      <c r="G395" s="71" t="str">
        <f ca="1">IFERROR(VLOOKUP(F395,fixed_expenses[],2,0),"")</f>
        <v/>
      </c>
      <c r="H395" s="17" t="str">
        <f ca="1">IF(HLOOKUP(H390,Summary!$I$2:$AM$7,5,0)=0,"",HLOOKUP(H390,Summary!$I$2:$AM$7,5,0))</f>
        <v/>
      </c>
      <c r="I395" s="71" t="str">
        <f ca="1">IFERROR(VLOOKUP(H395,fixed_expenses[],2,0),"")</f>
        <v/>
      </c>
      <c r="J395" s="17" t="str">
        <f ca="1">IF(HLOOKUP(J390,Summary!$I$2:$AM$7,5,0)=0,"",HLOOKUP(J390,Summary!$I$2:$AM$7,5,0))</f>
        <v/>
      </c>
      <c r="K395" s="71" t="str">
        <f ca="1">IFERROR(VLOOKUP(J395,fixed_expenses[],2,0),"")</f>
        <v/>
      </c>
      <c r="L395" s="17" t="str">
        <f ca="1">IF(HLOOKUP(L390,Summary!$I$2:$AM$7,5,0)=0,"",HLOOKUP(L390,Summary!$I$2:$AM$7,5,0))</f>
        <v/>
      </c>
      <c r="M395" s="71" t="str">
        <f ca="1">IFERROR(VLOOKUP(L395,fixed_expenses[],2,0),"")</f>
        <v/>
      </c>
      <c r="N395" s="17" t="str">
        <f ca="1">IF(HLOOKUP(N390,Summary!$I$2:$AM$7,5,0)=0,"",HLOOKUP(N390,Summary!$I$2:$AM$7,5,0))</f>
        <v/>
      </c>
      <c r="O395" s="71" t="str">
        <f ca="1">IFERROR(VLOOKUP(N395,fixed_expenses[],2,0),"")</f>
        <v/>
      </c>
      <c r="P395" s="22"/>
    </row>
    <row r="396" spans="1:16" ht="11.25" customHeight="1" x14ac:dyDescent="0.2">
      <c r="B396" s="17" t="str">
        <f ca="1">IF(HLOOKUP(B390,Summary!$I$2:$AM$7,6,0)=0,"",HLOOKUP(B390,Summary!$I$2:$AM$7,6,0))</f>
        <v/>
      </c>
      <c r="C396" s="71" t="str">
        <f ca="1">IFERROR(VLOOKUP(B396,fixed_expenses[],2,0),"")</f>
        <v/>
      </c>
      <c r="D396" s="17" t="str">
        <f ca="1">IF(HLOOKUP(D390,Summary!$I$2:$AM$7,6,0)=0,"",HLOOKUP(D390,Summary!$I$2:$AM$7,6,0))</f>
        <v/>
      </c>
      <c r="E396" s="71" t="str">
        <f ca="1">IFERROR(VLOOKUP(D396,fixed_expenses[],2,0),"")</f>
        <v/>
      </c>
      <c r="F396" s="17" t="str">
        <f ca="1">IF(HLOOKUP(F390,Summary!$I$2:$AM$7,6,0)=0,"",HLOOKUP(F390,Summary!$I$2:$AM$7,6,0))</f>
        <v/>
      </c>
      <c r="G396" s="71" t="str">
        <f ca="1">IFERROR(VLOOKUP(F396,fixed_expenses[],2,0),"")</f>
        <v/>
      </c>
      <c r="H396" s="17" t="str">
        <f ca="1">IF(HLOOKUP(H390,Summary!$I$2:$AM$7,6,0)=0,"",HLOOKUP(H390,Summary!$I$2:$AM$7,6,0))</f>
        <v/>
      </c>
      <c r="I396" s="71" t="str">
        <f ca="1">IFERROR(VLOOKUP(H396,fixed_expenses[],2,0),"")</f>
        <v/>
      </c>
      <c r="J396" s="17" t="str">
        <f ca="1">IF(HLOOKUP(J390,Summary!$I$2:$AM$7,6,0)=0,"",HLOOKUP(J390,Summary!$I$2:$AM$7,6,0))</f>
        <v/>
      </c>
      <c r="K396" s="71" t="str">
        <f ca="1">IFERROR(VLOOKUP(J396,fixed_expenses[],2,0),"")</f>
        <v/>
      </c>
      <c r="L396" s="17" t="str">
        <f ca="1">IF(HLOOKUP(L390,Summary!$I$2:$AM$7,6,0)=0,"",HLOOKUP(L390,Summary!$I$2:$AM$7,6,0))</f>
        <v/>
      </c>
      <c r="M396" s="71" t="str">
        <f ca="1">IFERROR(VLOOKUP(L396,fixed_expenses[],2,0),"")</f>
        <v/>
      </c>
      <c r="N396" s="17" t="str">
        <f ca="1">IF(HLOOKUP(N390,Summary!$I$2:$AM$7,6,0)=0,"",HLOOKUP(N390,Summary!$I$2:$AM$7,6,0))</f>
        <v/>
      </c>
      <c r="O396" s="71" t="str">
        <f ca="1">IFERROR(VLOOKUP(N396,fixed_expenses[],2,0),"")</f>
        <v/>
      </c>
      <c r="P396" s="22"/>
    </row>
    <row r="397" spans="1:16" ht="11.25" customHeight="1" x14ac:dyDescent="0.2">
      <c r="A397" s="43" t="s">
        <v>316</v>
      </c>
      <c r="B397" s="26" t="s">
        <v>8</v>
      </c>
      <c r="C397" s="27">
        <f ca="1">SUM(C392:C396)</f>
        <v>0</v>
      </c>
      <c r="D397" s="26"/>
      <c r="E397" s="27">
        <f ca="1">SUM(E392:E396)</f>
        <v>0</v>
      </c>
      <c r="F397" s="26"/>
      <c r="G397" s="27">
        <f ca="1">SUM(G392:G396)</f>
        <v>0</v>
      </c>
      <c r="H397" s="18"/>
      <c r="I397" s="27">
        <f ca="1">SUM(I392:I396)</f>
        <v>0</v>
      </c>
      <c r="J397" s="18"/>
      <c r="K397" s="27">
        <f ca="1">SUM(K392:K396)</f>
        <v>0</v>
      </c>
      <c r="L397" s="18"/>
      <c r="M397" s="27">
        <f ca="1">SUM(M392:M396)</f>
        <v>0</v>
      </c>
      <c r="N397" s="18"/>
      <c r="O397" s="28">
        <f ca="1">SUM(O392:O396)</f>
        <v>0</v>
      </c>
      <c r="P397" s="29">
        <f ca="1">SUMIF(B390:N390,"&gt;="&amp;15,C397:O397)</f>
        <v>0</v>
      </c>
    </row>
    <row r="398" spans="1:16" x14ac:dyDescent="0.2">
      <c r="B398" s="6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6"/>
    </row>
    <row r="399" spans="1:16" ht="15" customHeight="1" x14ac:dyDescent="0.2">
      <c r="A399" s="43" t="s">
        <v>259</v>
      </c>
      <c r="B399" s="12">
        <f ca="1">DAY(IF(DAY(JulSun1)=1,JulSun1+29,JulSun1+36))</f>
        <v>1</v>
      </c>
      <c r="C399" s="11"/>
      <c r="D399" s="12">
        <f ca="1">DAY(IF(DAY(JulSun1)=1,JulSun1+30,JulSun1+37))</f>
        <v>2</v>
      </c>
      <c r="E399" s="13"/>
      <c r="F399" s="10">
        <f ca="1">DAY(IF(DAY(JulSun1)=1,JulSun1+31,JulSun1+38))</f>
        <v>3</v>
      </c>
      <c r="G399" s="13"/>
      <c r="H399" s="12">
        <f ca="1">DAY(IF(DAY(JulSun1)=1,JulSun1+32,JulSun1+39))</f>
        <v>4</v>
      </c>
      <c r="I399" s="13"/>
      <c r="J399" s="12">
        <f ca="1">DAY(IF(DAY(JulSun1)=1,JulSun1+33,JulSun1+40))</f>
        <v>5</v>
      </c>
      <c r="K399" s="13"/>
      <c r="L399" s="12">
        <f ca="1">DAY(IF(DAY(JulSun1)=1,JulSun1+34,JulSun1+41))</f>
        <v>6</v>
      </c>
      <c r="M399" s="13"/>
      <c r="N399" s="12">
        <f ca="1">DAY(IF(DAY(JulSun1)=1,JulSun1+35,JulSun1+42))</f>
        <v>7</v>
      </c>
      <c r="O399" s="13"/>
      <c r="P399" s="25"/>
    </row>
    <row r="400" spans="1:16" ht="11.25" customHeight="1" x14ac:dyDescent="0.2">
      <c r="A400" s="43" t="s">
        <v>148</v>
      </c>
      <c r="B400" s="37" t="s">
        <v>9</v>
      </c>
      <c r="C400" s="39" t="s">
        <v>10</v>
      </c>
      <c r="D400" s="37" t="s">
        <v>9</v>
      </c>
      <c r="E400" s="39" t="s">
        <v>10</v>
      </c>
      <c r="F400" s="37" t="s">
        <v>9</v>
      </c>
      <c r="G400" s="39" t="s">
        <v>10</v>
      </c>
      <c r="H400" s="37" t="s">
        <v>9</v>
      </c>
      <c r="I400" s="39" t="s">
        <v>10</v>
      </c>
      <c r="J400" s="37" t="s">
        <v>9</v>
      </c>
      <c r="K400" s="39" t="s">
        <v>10</v>
      </c>
      <c r="L400" s="37" t="s">
        <v>9</v>
      </c>
      <c r="M400" s="39" t="s">
        <v>10</v>
      </c>
      <c r="N400" s="37" t="s">
        <v>9</v>
      </c>
      <c r="O400" s="40" t="s">
        <v>10</v>
      </c>
      <c r="P400" s="22"/>
    </row>
    <row r="401" spans="1:16" ht="11.25" customHeight="1" x14ac:dyDescent="0.2">
      <c r="A401" s="43" t="s">
        <v>206</v>
      </c>
      <c r="B401" s="17" t="str">
        <f ca="1">IF(HLOOKUP(B399,Summary!$I$2:$AM$7,2,0)=0,"",HLOOKUP(B399,Summary!$I$2:$AM$7,2,0))</f>
        <v/>
      </c>
      <c r="C401" s="71" t="str">
        <f ca="1">IFERROR(VLOOKUP(B401,fixed_expenses[],2,0),"")</f>
        <v/>
      </c>
      <c r="D401" s="17" t="str">
        <f ca="1">IF(HLOOKUP(D399,Summary!$I$2:$AM$7,2,0)=0,"",HLOOKUP(D399,Summary!$I$2:$AM$7,2,0))</f>
        <v/>
      </c>
      <c r="E401" s="71" t="str">
        <f ca="1">IFERROR(VLOOKUP(D401,fixed_expenses[],2,0),"")</f>
        <v/>
      </c>
      <c r="F401" s="17" t="str">
        <f ca="1">IF(HLOOKUP(F399,Summary!$I$2:$AM$7,2,0)=0,"",HLOOKUP(F399,Summary!$I$2:$AM$7,2,0))</f>
        <v>Rent</v>
      </c>
      <c r="G401" s="71">
        <f ca="1">IFERROR(VLOOKUP(F401,fixed_expenses[],2,0),"")</f>
        <v>1200</v>
      </c>
      <c r="H401" s="17" t="str">
        <f ca="1">IF(HLOOKUP(H399,Summary!$I$2:$AM$7,2,0)=0,"",HLOOKUP(H399,Summary!$I$2:$AM$7,2,0))</f>
        <v/>
      </c>
      <c r="I401" s="71" t="str">
        <f ca="1">IFERROR(VLOOKUP(H401,fixed_expenses[],2,0),"")</f>
        <v/>
      </c>
      <c r="J401" s="17" t="str">
        <f ca="1">IF(HLOOKUP(J399,Summary!$I$2:$AM$7,2,0)=0,"",HLOOKUP(J399,Summary!$I$2:$AM$7,2,0))</f>
        <v/>
      </c>
      <c r="K401" s="71" t="str">
        <f ca="1">IFERROR(VLOOKUP(J401,fixed_expenses[],2,0),"")</f>
        <v/>
      </c>
      <c r="L401" s="17" t="str">
        <f ca="1">IF(HLOOKUP(L399,Summary!$I$2:$AM$7,2,0)=0,"",HLOOKUP(L399,Summary!$I$2:$AM$7,2,0))</f>
        <v/>
      </c>
      <c r="M401" s="71" t="str">
        <f ca="1">IFERROR(VLOOKUP(L401,fixed_expenses[],2,0),"")</f>
        <v/>
      </c>
      <c r="N401" s="17" t="str">
        <f ca="1">IF(HLOOKUP(N399,Summary!$I$2:$AM$7,2,0)=0,"",HLOOKUP(N399,Summary!$I$2:$AM$7,2,0))</f>
        <v/>
      </c>
      <c r="O401" s="71" t="str">
        <f ca="1">IFERROR(VLOOKUP(N401,fixed_expenses[],2,0),"")</f>
        <v/>
      </c>
      <c r="P401" s="22"/>
    </row>
    <row r="402" spans="1:16" ht="11.25" customHeight="1" x14ac:dyDescent="0.2">
      <c r="B402" s="17" t="str">
        <f ca="1">IF(HLOOKUP(B399,Summary!$I$2:$AM$7,3,0)=0,"",HLOOKUP(B399,Summary!$I$2:$AM$7,3,0))</f>
        <v/>
      </c>
      <c r="C402" s="71" t="str">
        <f ca="1">IFERROR(VLOOKUP(B402,fixed_expenses[],2,0),"")</f>
        <v/>
      </c>
      <c r="D402" s="17" t="str">
        <f ca="1">IF(HLOOKUP(D399,Summary!$I$2:$AM$7,3,0)=0,"",HLOOKUP(D399,Summary!$I$2:$AM$7,3,0))</f>
        <v/>
      </c>
      <c r="E402" s="71" t="str">
        <f ca="1">IFERROR(VLOOKUP(D402,fixed_expenses[],2,0),"")</f>
        <v/>
      </c>
      <c r="F402" s="17" t="str">
        <f ca="1">IF(HLOOKUP(F399,Summary!$I$2:$AM$7,3,0)=0,"",HLOOKUP(F399,Summary!$I$2:$AM$7,3,0))</f>
        <v/>
      </c>
      <c r="G402" s="71" t="str">
        <f ca="1">IFERROR(VLOOKUP(F402,fixed_expenses[],2,0),"")</f>
        <v/>
      </c>
      <c r="H402" s="17" t="str">
        <f ca="1">IF(HLOOKUP(H399,Summary!$I$2:$AM$7,3,0)=0,"",HLOOKUP(H399,Summary!$I$2:$AM$7,3,0))</f>
        <v/>
      </c>
      <c r="I402" s="71" t="str">
        <f ca="1">IFERROR(VLOOKUP(H402,fixed_expenses[],2,0),"")</f>
        <v/>
      </c>
      <c r="J402" s="17" t="str">
        <f ca="1">IF(HLOOKUP(J399,Summary!$I$2:$AM$7,3,0)=0,"",HLOOKUP(J399,Summary!$I$2:$AM$7,3,0))</f>
        <v/>
      </c>
      <c r="K402" s="71" t="str">
        <f ca="1">IFERROR(VLOOKUP(J402,fixed_expenses[],2,0),"")</f>
        <v/>
      </c>
      <c r="L402" s="17" t="str">
        <f ca="1">IF(HLOOKUP(L399,Summary!$I$2:$AM$7,3,0)=0,"",HLOOKUP(L399,Summary!$I$2:$AM$7,3,0))</f>
        <v/>
      </c>
      <c r="M402" s="71" t="str">
        <f ca="1">IFERROR(VLOOKUP(L402,fixed_expenses[],2,0),"")</f>
        <v/>
      </c>
      <c r="N402" s="17" t="str">
        <f ca="1">IF(HLOOKUP(N399,Summary!$I$2:$AM$7,3,0)=0,"",HLOOKUP(N399,Summary!$I$2:$AM$7,3,0))</f>
        <v/>
      </c>
      <c r="O402" s="71" t="str">
        <f ca="1">IFERROR(VLOOKUP(N402,fixed_expenses[],2,0),"")</f>
        <v/>
      </c>
      <c r="P402" s="22"/>
    </row>
    <row r="403" spans="1:16" ht="11.25" customHeight="1" x14ac:dyDescent="0.2">
      <c r="B403" s="17" t="str">
        <f ca="1">IF(HLOOKUP(B399,Summary!$I$2:$AM$7,4,0)=0,"",HLOOKUP(B399,Summary!$I$2:$AM$7,4,0))</f>
        <v/>
      </c>
      <c r="C403" s="71" t="str">
        <f ca="1">IFERROR(VLOOKUP(B403,fixed_expenses[],2,0),"")</f>
        <v/>
      </c>
      <c r="D403" s="17" t="str">
        <f ca="1">IF(HLOOKUP(D399,Summary!$I$2:$AM$7,4,0)=0,"",HLOOKUP(D399,Summary!$I$2:$AM$7,4,0))</f>
        <v/>
      </c>
      <c r="E403" s="71" t="str">
        <f ca="1">IFERROR(VLOOKUP(D403,fixed_expenses[],2,0),"")</f>
        <v/>
      </c>
      <c r="F403" s="17" t="str">
        <f ca="1">IF(HLOOKUP(F399,Summary!$I$2:$AM$7,4,0)=0,"",HLOOKUP(F399,Summary!$I$2:$AM$7,4,0))</f>
        <v/>
      </c>
      <c r="G403" s="71" t="str">
        <f ca="1">IFERROR(VLOOKUP(F403,fixed_expenses[],2,0),"")</f>
        <v/>
      </c>
      <c r="H403" s="17" t="str">
        <f ca="1">IF(HLOOKUP(H399,Summary!$I$2:$AM$7,4,0)=0,"",HLOOKUP(H399,Summary!$I$2:$AM$7,4,0))</f>
        <v/>
      </c>
      <c r="I403" s="71" t="str">
        <f ca="1">IFERROR(VLOOKUP(H403,fixed_expenses[],2,0),"")</f>
        <v/>
      </c>
      <c r="J403" s="17" t="str">
        <f ca="1">IF(HLOOKUP(J399,Summary!$I$2:$AM$7,4,0)=0,"",HLOOKUP(J399,Summary!$I$2:$AM$7,4,0))</f>
        <v/>
      </c>
      <c r="K403" s="71" t="str">
        <f ca="1">IFERROR(VLOOKUP(J403,fixed_expenses[],2,0),"")</f>
        <v/>
      </c>
      <c r="L403" s="17" t="str">
        <f ca="1">IF(HLOOKUP(L399,Summary!$I$2:$AM$7,4,0)=0,"",HLOOKUP(L399,Summary!$I$2:$AM$7,4,0))</f>
        <v/>
      </c>
      <c r="M403" s="71" t="str">
        <f ca="1">IFERROR(VLOOKUP(L403,fixed_expenses[],2,0),"")</f>
        <v/>
      </c>
      <c r="N403" s="17" t="str">
        <f ca="1">IF(HLOOKUP(N399,Summary!$I$2:$AM$7,4,0)=0,"",HLOOKUP(N399,Summary!$I$2:$AM$7,4,0))</f>
        <v/>
      </c>
      <c r="O403" s="71" t="str">
        <f ca="1">IFERROR(VLOOKUP(N403,fixed_expenses[],2,0),"")</f>
        <v/>
      </c>
      <c r="P403" s="22"/>
    </row>
    <row r="404" spans="1:16" ht="11.25" customHeight="1" x14ac:dyDescent="0.2">
      <c r="B404" s="17" t="str">
        <f ca="1">IF(HLOOKUP(B399,Summary!$I$2:$AM$7,5,0)=0,"",HLOOKUP(B399,Summary!$I$2:$AM$7,5,0))</f>
        <v/>
      </c>
      <c r="C404" s="71" t="str">
        <f ca="1">IFERROR(VLOOKUP(B404,fixed_expenses[],2,0),"")</f>
        <v/>
      </c>
      <c r="D404" s="17" t="str">
        <f ca="1">IF(HLOOKUP(D399,Summary!$I$2:$AM$7,5,0)=0,"",HLOOKUP(D399,Summary!$I$2:$AM$7,5,0))</f>
        <v/>
      </c>
      <c r="E404" s="71" t="str">
        <f ca="1">IFERROR(VLOOKUP(D404,fixed_expenses[],2,0),"")</f>
        <v/>
      </c>
      <c r="F404" s="17" t="str">
        <f ca="1">IF(HLOOKUP(F399,Summary!$I$2:$AM$7,5,0)=0,"",HLOOKUP(F399,Summary!$I$2:$AM$7,5,0))</f>
        <v/>
      </c>
      <c r="G404" s="71" t="str">
        <f ca="1">IFERROR(VLOOKUP(F404,fixed_expenses[],2,0),"")</f>
        <v/>
      </c>
      <c r="H404" s="17" t="str">
        <f ca="1">IF(HLOOKUP(H399,Summary!$I$2:$AM$7,5,0)=0,"",HLOOKUP(H399,Summary!$I$2:$AM$7,5,0))</f>
        <v/>
      </c>
      <c r="I404" s="71" t="str">
        <f ca="1">IFERROR(VLOOKUP(H404,fixed_expenses[],2,0),"")</f>
        <v/>
      </c>
      <c r="J404" s="17" t="str">
        <f ca="1">IF(HLOOKUP(J399,Summary!$I$2:$AM$7,5,0)=0,"",HLOOKUP(J399,Summary!$I$2:$AM$7,5,0))</f>
        <v/>
      </c>
      <c r="K404" s="71" t="str">
        <f ca="1">IFERROR(VLOOKUP(J404,fixed_expenses[],2,0),"")</f>
        <v/>
      </c>
      <c r="L404" s="17" t="str">
        <f ca="1">IF(HLOOKUP(L399,Summary!$I$2:$AM$7,5,0)=0,"",HLOOKUP(L399,Summary!$I$2:$AM$7,5,0))</f>
        <v/>
      </c>
      <c r="M404" s="71" t="str">
        <f ca="1">IFERROR(VLOOKUP(L404,fixed_expenses[],2,0),"")</f>
        <v/>
      </c>
      <c r="N404" s="17" t="str">
        <f ca="1">IF(HLOOKUP(N399,Summary!$I$2:$AM$7,5,0)=0,"",HLOOKUP(N399,Summary!$I$2:$AM$7,5,0))</f>
        <v/>
      </c>
      <c r="O404" s="71" t="str">
        <f ca="1">IFERROR(VLOOKUP(N404,fixed_expenses[],2,0),"")</f>
        <v/>
      </c>
      <c r="P404" s="22"/>
    </row>
    <row r="405" spans="1:16" ht="11.25" customHeight="1" x14ac:dyDescent="0.2">
      <c r="B405" s="17" t="str">
        <f ca="1">IF(HLOOKUP(B399,Summary!$I$2:$AM$7,6,0)=0,"",HLOOKUP(B399,Summary!$I$2:$AM$7,6,0))</f>
        <v/>
      </c>
      <c r="C405" s="71" t="str">
        <f ca="1">IFERROR(VLOOKUP(B405,fixed_expenses[],2,0),"")</f>
        <v/>
      </c>
      <c r="D405" s="17" t="str">
        <f ca="1">IF(HLOOKUP(D399,Summary!$I$2:$AM$7,6,0)=0,"",HLOOKUP(D399,Summary!$I$2:$AM$7,6,0))</f>
        <v/>
      </c>
      <c r="E405" s="71" t="str">
        <f ca="1">IFERROR(VLOOKUP(D405,fixed_expenses[],2,0),"")</f>
        <v/>
      </c>
      <c r="F405" s="17" t="str">
        <f ca="1">IF(HLOOKUP(F399,Summary!$I$2:$AM$7,6,0)=0,"",HLOOKUP(F399,Summary!$I$2:$AM$7,6,0))</f>
        <v/>
      </c>
      <c r="G405" s="71" t="str">
        <f ca="1">IFERROR(VLOOKUP(F405,fixed_expenses[],2,0),"")</f>
        <v/>
      </c>
      <c r="H405" s="17" t="str">
        <f ca="1">IF(HLOOKUP(H399,Summary!$I$2:$AM$7,6,0)=0,"",HLOOKUP(H399,Summary!$I$2:$AM$7,6,0))</f>
        <v/>
      </c>
      <c r="I405" s="71" t="str">
        <f ca="1">IFERROR(VLOOKUP(H405,fixed_expenses[],2,0),"")</f>
        <v/>
      </c>
      <c r="J405" s="17" t="str">
        <f ca="1">IF(HLOOKUP(J399,Summary!$I$2:$AM$7,6,0)=0,"",HLOOKUP(J399,Summary!$I$2:$AM$7,6,0))</f>
        <v/>
      </c>
      <c r="K405" s="71" t="str">
        <f ca="1">IFERROR(VLOOKUP(J405,fixed_expenses[],2,0),"")</f>
        <v/>
      </c>
      <c r="L405" s="17" t="str">
        <f ca="1">IF(HLOOKUP(L399,Summary!$I$2:$AM$7,6,0)=0,"",HLOOKUP(L399,Summary!$I$2:$AM$7,6,0))</f>
        <v/>
      </c>
      <c r="M405" s="71" t="str">
        <f ca="1">IFERROR(VLOOKUP(L405,fixed_expenses[],2,0),"")</f>
        <v/>
      </c>
      <c r="N405" s="17" t="str">
        <f ca="1">IF(HLOOKUP(N399,Summary!$I$2:$AM$7,6,0)=0,"",HLOOKUP(N399,Summary!$I$2:$AM$7,6,0))</f>
        <v/>
      </c>
      <c r="O405" s="71" t="str">
        <f ca="1">IFERROR(VLOOKUP(N405,fixed_expenses[],2,0),"")</f>
        <v/>
      </c>
      <c r="P405" s="22"/>
    </row>
    <row r="406" spans="1:16" ht="11.25" customHeight="1" x14ac:dyDescent="0.2">
      <c r="A406" s="43" t="s">
        <v>315</v>
      </c>
      <c r="B406" s="26" t="s">
        <v>8</v>
      </c>
      <c r="C406" s="27">
        <f ca="1">SUM(C401:C405)</f>
        <v>0</v>
      </c>
      <c r="D406" s="18"/>
      <c r="E406" s="27">
        <f ca="1">SUM(E401:E405)</f>
        <v>0</v>
      </c>
      <c r="F406" s="18"/>
      <c r="G406" s="27">
        <f ca="1">SUM(G401:G405)</f>
        <v>1200</v>
      </c>
      <c r="H406" s="18"/>
      <c r="I406" s="27">
        <f ca="1">SUM(I401:I405)</f>
        <v>0</v>
      </c>
      <c r="J406" s="18"/>
      <c r="K406" s="27">
        <f ca="1">SUM(K401:K405)</f>
        <v>0</v>
      </c>
      <c r="L406" s="18"/>
      <c r="M406" s="27">
        <f ca="1">SUM(M401:M405)</f>
        <v>0</v>
      </c>
      <c r="N406" s="18"/>
      <c r="O406" s="28">
        <f ca="1">SUM(O401:O405)</f>
        <v>0</v>
      </c>
      <c r="P406" s="29">
        <f ca="1">SUMIF(B399:N399,"&gt;="&amp;15,C406:O406)</f>
        <v>0</v>
      </c>
    </row>
    <row r="407" spans="1:16" ht="17.25" customHeight="1" x14ac:dyDescent="0.2"/>
    <row r="408" spans="1:16" ht="12" customHeight="1" x14ac:dyDescent="0.2">
      <c r="A408" s="43" t="s">
        <v>84</v>
      </c>
      <c r="B408" s="59" t="s">
        <v>20</v>
      </c>
      <c r="C408" s="59"/>
      <c r="D408" s="59"/>
      <c r="E408" s="59"/>
      <c r="F408"/>
      <c r="G408" s="4"/>
      <c r="H408"/>
      <c r="I408" s="4"/>
      <c r="J408"/>
      <c r="K408" s="4"/>
      <c r="L408" s="45" t="s">
        <v>12</v>
      </c>
      <c r="M408" s="45"/>
      <c r="N408" s="45" t="s">
        <v>13</v>
      </c>
      <c r="O408" s="45"/>
      <c r="P408"/>
    </row>
    <row r="409" spans="1:16" ht="25.5" customHeight="1" x14ac:dyDescent="0.2">
      <c r="A409" s="43" t="s">
        <v>95</v>
      </c>
      <c r="B409" s="59"/>
      <c r="C409" s="59"/>
      <c r="D409" s="59"/>
      <c r="E409" s="59"/>
      <c r="F409" s="3">
        <f ca="1">IFERROR(WEEKDAY(DATEVALUE(B408&amp;" 1, "&amp;Year1)),"")</f>
        <v>1</v>
      </c>
      <c r="G409" s="4"/>
      <c r="H409"/>
      <c r="I409" s="7"/>
      <c r="J409" s="8"/>
      <c r="K409" s="4"/>
      <c r="L409" s="46">
        <f ca="1">SUM(P419,P428,P437,P446,P455,P464)</f>
        <v>1774</v>
      </c>
      <c r="M409" s="47"/>
      <c r="N409" s="46">
        <f ca="1">SUM(P:P)</f>
        <v>21288</v>
      </c>
      <c r="O409" s="48"/>
      <c r="P409"/>
    </row>
    <row r="410" spans="1:16" ht="9" customHeight="1" x14ac:dyDescent="0.2">
      <c r="A410" s="43" t="s">
        <v>356</v>
      </c>
      <c r="B410" s="50">
        <v>1</v>
      </c>
      <c r="C410" s="50"/>
      <c r="D410" s="50">
        <v>2</v>
      </c>
      <c r="E410" s="50"/>
      <c r="F410" s="50">
        <v>3</v>
      </c>
      <c r="G410" s="50"/>
      <c r="H410" s="50">
        <v>4</v>
      </c>
      <c r="I410" s="50"/>
      <c r="J410" s="50">
        <v>5</v>
      </c>
      <c r="K410" s="50"/>
      <c r="L410" s="50">
        <v>6</v>
      </c>
      <c r="M410" s="50"/>
      <c r="N410" s="50">
        <v>7</v>
      </c>
      <c r="O410" s="50"/>
      <c r="P410" s="2"/>
    </row>
    <row r="411" spans="1:16" ht="15" customHeight="1" x14ac:dyDescent="0.2">
      <c r="A411" s="43" t="s">
        <v>104</v>
      </c>
      <c r="B411" s="60" t="s">
        <v>0</v>
      </c>
      <c r="C411" s="61"/>
      <c r="D411" s="62" t="s">
        <v>1</v>
      </c>
      <c r="E411" s="63" t="e">
        <f ca="1">IF(WEEKDAY(DATEVALUE(Month1&amp;" 1, "&amp;Year1))=COLUMN(#REF!),1,IF(LEN(C411)&gt;0,C411+1,""))</f>
        <v>#VALUE!</v>
      </c>
      <c r="F411" s="61" t="s">
        <v>2</v>
      </c>
      <c r="G411" s="61" t="e">
        <f ca="1">IF(WEEKDAY(DATEVALUE(Month1&amp;" 1, "&amp;Year1))=COLUMN(#REF!),1,IF(LEN(E411)&gt;0,E411+1,""))</f>
        <v>#VALUE!</v>
      </c>
      <c r="H411" s="62" t="s">
        <v>3</v>
      </c>
      <c r="I411" s="63" t="e">
        <f ca="1">IF(WEEKDAY(DATEVALUE(Month1&amp;" 1, "&amp;Year1))=COLUMN(#REF!),1,IF(LEN(G411)&gt;0,G411+1,""))</f>
        <v>#VALUE!</v>
      </c>
      <c r="J411" s="64" t="s">
        <v>4</v>
      </c>
      <c r="K411" s="65" t="e">
        <f ca="1">IF(WEEKDAY(DATEVALUE(Month1&amp;" 1, "&amp;Year1))=COLUMN(#REF!),1,IF(LEN(I411)&gt;0,I411+1,""))</f>
        <v>#VALUE!</v>
      </c>
      <c r="L411" s="66" t="s">
        <v>5</v>
      </c>
      <c r="M411" s="67" t="e">
        <f ca="1">IF(WEEKDAY(DATEVALUE(Month1&amp;" 1, "&amp;Year1))=COLUMN(#REF!),1,IF(LEN(K411)&gt;0,K411+1,""))</f>
        <v>#VALUE!</v>
      </c>
      <c r="N411" s="66" t="s">
        <v>6</v>
      </c>
      <c r="O411" s="67" t="e">
        <f ca="1">IF(WEEKDAY(DATEVALUE(Month1&amp;" 1, "&amp;Year1))=COLUMN(#REF!),1,IF(LEN(M411)&gt;0,M411+1,""))</f>
        <v>#VALUE!</v>
      </c>
      <c r="P411" s="42" t="s">
        <v>7</v>
      </c>
    </row>
    <row r="412" spans="1:16" ht="15" customHeight="1" x14ac:dyDescent="0.2">
      <c r="A412" s="43" t="s">
        <v>113</v>
      </c>
      <c r="B412" s="14">
        <f ca="1">DAY(IF(DAY(AugSun1)=1,AugSun1-6,AugSun1+1))</f>
        <v>1</v>
      </c>
      <c r="C412" s="16"/>
      <c r="D412" s="19">
        <f ca="1">DAY(IF(DAY(AugSun1)=1,AugSun1-5,AugSun1+2))</f>
        <v>2</v>
      </c>
      <c r="E412" s="16"/>
      <c r="F412" s="19">
        <f ca="1">DAY(IF(DAY(AugSun1)=1,AugSun1-4,AugSun1+3))</f>
        <v>3</v>
      </c>
      <c r="G412" s="16"/>
      <c r="H412" s="19">
        <f ca="1">DAY(IF(DAY(AugSun1)=1,AugSun1-3,AugSun1+4))</f>
        <v>4</v>
      </c>
      <c r="I412" s="16"/>
      <c r="J412" s="19">
        <f ca="1">DAY(IF(DAY(AugSun1)=1,AugSun1-2,AugSun1+5))</f>
        <v>5</v>
      </c>
      <c r="K412" s="16"/>
      <c r="L412" s="19">
        <f ca="1">DAY(IF(DAY(AugSun1)=1,AugSun1-1,AugSun1+6))</f>
        <v>6</v>
      </c>
      <c r="M412" s="16"/>
      <c r="N412" s="20">
        <f ca="1">DAY(IF(DAY(AugSun1)=1,AugSun1,AugSun1+7))</f>
        <v>7</v>
      </c>
      <c r="O412" s="15"/>
      <c r="P412" s="21"/>
    </row>
    <row r="413" spans="1:16" ht="11.25" customHeight="1" x14ac:dyDescent="0.2">
      <c r="A413" s="43" t="s">
        <v>147</v>
      </c>
      <c r="B413" s="41" t="s">
        <v>9</v>
      </c>
      <c r="C413" s="36" t="s">
        <v>10</v>
      </c>
      <c r="D413" s="35" t="s">
        <v>9</v>
      </c>
      <c r="E413" s="36" t="s">
        <v>10</v>
      </c>
      <c r="F413" s="35" t="s">
        <v>9</v>
      </c>
      <c r="G413" s="36" t="s">
        <v>10</v>
      </c>
      <c r="H413" s="35" t="s">
        <v>9</v>
      </c>
      <c r="I413" s="36" t="s">
        <v>10</v>
      </c>
      <c r="J413" s="35" t="s">
        <v>9</v>
      </c>
      <c r="K413" s="36" t="s">
        <v>10</v>
      </c>
      <c r="L413" s="35" t="s">
        <v>9</v>
      </c>
      <c r="M413" s="36" t="s">
        <v>10</v>
      </c>
      <c r="N413" s="37" t="s">
        <v>9</v>
      </c>
      <c r="O413" s="38" t="s">
        <v>10</v>
      </c>
      <c r="P413" s="22"/>
    </row>
    <row r="414" spans="1:16" ht="11.25" customHeight="1" x14ac:dyDescent="0.2">
      <c r="A414" s="43" t="s">
        <v>207</v>
      </c>
      <c r="B414" s="17" t="str">
        <f ca="1">IF(HLOOKUP(B412,Summary!$I$2:$AM$7,2,0)=0,"",HLOOKUP(B412,Summary!$I$2:$AM$7,2,0))</f>
        <v/>
      </c>
      <c r="C414" s="71" t="str">
        <f ca="1">IFERROR(VLOOKUP(B414,fixed_expenses[],2,0),"")</f>
        <v/>
      </c>
      <c r="D414" s="17" t="str">
        <f ca="1">IF(HLOOKUP(D412,Summary!$I$2:$AM$7,2,0)=0,"",HLOOKUP(D412,Summary!$I$2:$AM$7,2,0))</f>
        <v/>
      </c>
      <c r="E414" s="71" t="str">
        <f ca="1">IFERROR(VLOOKUP(D414,fixed_expenses[],2,0),"")</f>
        <v/>
      </c>
      <c r="F414" s="17" t="str">
        <f ca="1">IF(HLOOKUP(F412,Summary!$I$2:$AM$7,2,0)=0,"",HLOOKUP(F412,Summary!$I$2:$AM$7,2,0))</f>
        <v>Rent</v>
      </c>
      <c r="G414" s="71">
        <f ca="1">IFERROR(VLOOKUP(F414,fixed_expenses[],2,0),"")</f>
        <v>1200</v>
      </c>
      <c r="H414" s="17" t="str">
        <f ca="1">IF(HLOOKUP(H412,Summary!$I$2:$AM$7,2,0)=0,"",HLOOKUP(H412,Summary!$I$2:$AM$7,2,0))</f>
        <v/>
      </c>
      <c r="I414" s="71" t="str">
        <f ca="1">IFERROR(VLOOKUP(H414,fixed_expenses[],2,0),"")</f>
        <v/>
      </c>
      <c r="J414" s="17" t="str">
        <f ca="1">IF(HLOOKUP(J412,Summary!$I$2:$AM$7,2,0)=0,"",HLOOKUP(J412,Summary!$I$2:$AM$7,2,0))</f>
        <v/>
      </c>
      <c r="K414" s="71" t="str">
        <f ca="1">IFERROR(VLOOKUP(J414,fixed_expenses[],2,0),"")</f>
        <v/>
      </c>
      <c r="L414" s="17" t="s">
        <v>384</v>
      </c>
      <c r="M414" s="71">
        <f>IFERROR(VLOOKUP(L414,fixed_expenses[],2,0),"")</f>
        <v>232</v>
      </c>
      <c r="N414" s="17" t="str">
        <f ca="1">IF(HLOOKUP(N412,Summary!$I$2:$AM$7,2,0)=0,"",HLOOKUP(N412,Summary!$I$2:$AM$7,2,0))</f>
        <v/>
      </c>
      <c r="O414" s="71" t="str">
        <f ca="1">IFERROR(VLOOKUP(N414,fixed_expenses[],2,0),"")</f>
        <v/>
      </c>
      <c r="P414" s="22"/>
    </row>
    <row r="415" spans="1:16" ht="11.25" customHeight="1" x14ac:dyDescent="0.2">
      <c r="B415" s="17" t="str">
        <f ca="1">IF(HLOOKUP(B412,Summary!$I$2:$AM$7,3,0)=0,"",HLOOKUP(B412,Summary!$I$2:$AM$7,3,0))</f>
        <v/>
      </c>
      <c r="C415" s="71" t="str">
        <f ca="1">IFERROR(VLOOKUP(B415,fixed_expenses[],2,0),"")</f>
        <v/>
      </c>
      <c r="D415" s="17" t="str">
        <f ca="1">IF(HLOOKUP(D412,Summary!$I$2:$AM$7,3,0)=0,"",HLOOKUP(D412,Summary!$I$2:$AM$7,3,0))</f>
        <v/>
      </c>
      <c r="E415" s="71" t="str">
        <f ca="1">IFERROR(VLOOKUP(D415,fixed_expenses[],2,0),"")</f>
        <v/>
      </c>
      <c r="F415" s="17" t="str">
        <f ca="1">IF(HLOOKUP(F412,Summary!$I$2:$AM$7,3,0)=0,"",HLOOKUP(F412,Summary!$I$2:$AM$7,3,0))</f>
        <v/>
      </c>
      <c r="G415" s="71" t="str">
        <f ca="1">IFERROR(VLOOKUP(F415,fixed_expenses[],2,0),"")</f>
        <v/>
      </c>
      <c r="H415" s="17" t="str">
        <f ca="1">IF(HLOOKUP(H412,Summary!$I$2:$AM$7,3,0)=0,"",HLOOKUP(H412,Summary!$I$2:$AM$7,3,0))</f>
        <v/>
      </c>
      <c r="I415" s="71" t="str">
        <f ca="1">IFERROR(VLOOKUP(H415,fixed_expenses[],2,0),"")</f>
        <v/>
      </c>
      <c r="J415" s="17" t="str">
        <f ca="1">IF(HLOOKUP(J412,Summary!$I$2:$AM$7,3,0)=0,"",HLOOKUP(J412,Summary!$I$2:$AM$7,3,0))</f>
        <v/>
      </c>
      <c r="K415" s="71" t="str">
        <f ca="1">IFERROR(VLOOKUP(J415,fixed_expenses[],2,0),"")</f>
        <v/>
      </c>
      <c r="L415" s="17" t="str">
        <f ca="1">IF(HLOOKUP(L412,Summary!$I$2:$AM$7,3,0)=0,"",HLOOKUP(L412,Summary!$I$2:$AM$7,3,0))</f>
        <v/>
      </c>
      <c r="M415" s="71" t="str">
        <f ca="1">IFERROR(VLOOKUP(L415,fixed_expenses[],2,0),"")</f>
        <v/>
      </c>
      <c r="N415" s="17" t="str">
        <f ca="1">IF(HLOOKUP(N412,Summary!$I$2:$AM$7,3,0)=0,"",HLOOKUP(N412,Summary!$I$2:$AM$7,3,0))</f>
        <v/>
      </c>
      <c r="O415" s="71" t="str">
        <f ca="1">IFERROR(VLOOKUP(N415,fixed_expenses[],2,0),"")</f>
        <v/>
      </c>
      <c r="P415" s="22"/>
    </row>
    <row r="416" spans="1:16" ht="11.25" customHeight="1" x14ac:dyDescent="0.2">
      <c r="B416" s="17" t="str">
        <f ca="1">IF(HLOOKUP(B412,Summary!$I$2:$AM$7,4,0)=0,"",HLOOKUP(B412,Summary!$I$2:$AM$7,4,0))</f>
        <v/>
      </c>
      <c r="C416" s="71" t="str">
        <f ca="1">IFERROR(VLOOKUP(B416,fixed_expenses[],2,0),"")</f>
        <v/>
      </c>
      <c r="D416" s="17" t="str">
        <f ca="1">IF(HLOOKUP(D412,Summary!$I$2:$AM$7,4,0)=0,"",HLOOKUP(D412,Summary!$I$2:$AM$7,4,0))</f>
        <v/>
      </c>
      <c r="E416" s="71" t="str">
        <f ca="1">IFERROR(VLOOKUP(D416,fixed_expenses[],2,0),"")</f>
        <v/>
      </c>
      <c r="F416" s="17" t="str">
        <f ca="1">IF(HLOOKUP(F412,Summary!$I$2:$AM$7,4,0)=0,"",HLOOKUP(F412,Summary!$I$2:$AM$7,4,0))</f>
        <v/>
      </c>
      <c r="G416" s="71" t="str">
        <f ca="1">IFERROR(VLOOKUP(F416,fixed_expenses[],2,0),"")</f>
        <v/>
      </c>
      <c r="H416" s="17" t="str">
        <f ca="1">IF(HLOOKUP(H412,Summary!$I$2:$AM$7,4,0)=0,"",HLOOKUP(H412,Summary!$I$2:$AM$7,4,0))</f>
        <v/>
      </c>
      <c r="I416" s="71" t="str">
        <f ca="1">IFERROR(VLOOKUP(H416,fixed_expenses[],2,0),"")</f>
        <v/>
      </c>
      <c r="J416" s="17" t="str">
        <f ca="1">IF(HLOOKUP(J412,Summary!$I$2:$AM$7,4,0)=0,"",HLOOKUP(J412,Summary!$I$2:$AM$7,4,0))</f>
        <v/>
      </c>
      <c r="K416" s="71" t="str">
        <f ca="1">IFERROR(VLOOKUP(J416,fixed_expenses[],2,0),"")</f>
        <v/>
      </c>
      <c r="L416" s="17" t="str">
        <f ca="1">IF(HLOOKUP(L412,Summary!$I$2:$AM$7,4,0)=0,"",HLOOKUP(L412,Summary!$I$2:$AM$7,4,0))</f>
        <v/>
      </c>
      <c r="M416" s="71" t="str">
        <f ca="1">IFERROR(VLOOKUP(L416,fixed_expenses[],2,0),"")</f>
        <v/>
      </c>
      <c r="N416" s="17" t="str">
        <f ca="1">IF(HLOOKUP(N412,Summary!$I$2:$AM$7,4,0)=0,"",HLOOKUP(N412,Summary!$I$2:$AM$7,4,0))</f>
        <v/>
      </c>
      <c r="O416" s="71" t="str">
        <f ca="1">IFERROR(VLOOKUP(N416,fixed_expenses[],2,0),"")</f>
        <v/>
      </c>
      <c r="P416" s="22"/>
    </row>
    <row r="417" spans="1:16" ht="11.25" customHeight="1" x14ac:dyDescent="0.2">
      <c r="B417" s="17" t="str">
        <f ca="1">IF(HLOOKUP(B412,Summary!$I$2:$AM$7,5,0)=0,"",HLOOKUP(B412,Summary!$I$2:$AM$7,5,0))</f>
        <v/>
      </c>
      <c r="C417" s="71" t="str">
        <f ca="1">IFERROR(VLOOKUP(B417,fixed_expenses[],2,0),"")</f>
        <v/>
      </c>
      <c r="D417" s="17" t="str">
        <f ca="1">IF(HLOOKUP(D412,Summary!$I$2:$AM$7,5,0)=0,"",HLOOKUP(D412,Summary!$I$2:$AM$7,5,0))</f>
        <v/>
      </c>
      <c r="E417" s="71" t="str">
        <f ca="1">IFERROR(VLOOKUP(D417,fixed_expenses[],2,0),"")</f>
        <v/>
      </c>
      <c r="F417" s="17" t="str">
        <f ca="1">IF(HLOOKUP(F412,Summary!$I$2:$AM$7,5,0)=0,"",HLOOKUP(F412,Summary!$I$2:$AM$7,5,0))</f>
        <v/>
      </c>
      <c r="G417" s="71" t="str">
        <f ca="1">IFERROR(VLOOKUP(F417,fixed_expenses[],2,0),"")</f>
        <v/>
      </c>
      <c r="H417" s="17" t="str">
        <f ca="1">IF(HLOOKUP(H412,Summary!$I$2:$AM$7,5,0)=0,"",HLOOKUP(H412,Summary!$I$2:$AM$7,5,0))</f>
        <v/>
      </c>
      <c r="I417" s="71" t="str">
        <f ca="1">IFERROR(VLOOKUP(H417,fixed_expenses[],2,0),"")</f>
        <v/>
      </c>
      <c r="J417" s="17" t="str">
        <f ca="1">IF(HLOOKUP(J412,Summary!$I$2:$AM$7,5,0)=0,"",HLOOKUP(J412,Summary!$I$2:$AM$7,5,0))</f>
        <v/>
      </c>
      <c r="K417" s="71" t="str">
        <f ca="1">IFERROR(VLOOKUP(J417,fixed_expenses[],2,0),"")</f>
        <v/>
      </c>
      <c r="L417" s="17" t="str">
        <f ca="1">IF(HLOOKUP(L412,Summary!$I$2:$AM$7,5,0)=0,"",HLOOKUP(L412,Summary!$I$2:$AM$7,5,0))</f>
        <v/>
      </c>
      <c r="M417" s="71" t="str">
        <f ca="1">IFERROR(VLOOKUP(L417,fixed_expenses[],2,0),"")</f>
        <v/>
      </c>
      <c r="N417" s="17" t="str">
        <f ca="1">IF(HLOOKUP(N412,Summary!$I$2:$AM$7,5,0)=0,"",HLOOKUP(N412,Summary!$I$2:$AM$7,5,0))</f>
        <v/>
      </c>
      <c r="O417" s="71" t="str">
        <f ca="1">IFERROR(VLOOKUP(N417,fixed_expenses[],2,0),"")</f>
        <v/>
      </c>
      <c r="P417" s="22"/>
    </row>
    <row r="418" spans="1:16" ht="11.25" customHeight="1" x14ac:dyDescent="0.2">
      <c r="B418" s="17" t="str">
        <f ca="1">IF(HLOOKUP(B412,Summary!$I$2:$AM$7,6,0)=0,"",HLOOKUP(B412,Summary!$I$2:$AM$7,6,0))</f>
        <v/>
      </c>
      <c r="C418" s="71" t="str">
        <f ca="1">IFERROR(VLOOKUP(B418,fixed_expenses[],2,0),"")</f>
        <v/>
      </c>
      <c r="D418" s="17" t="str">
        <f ca="1">IF(HLOOKUP(D412,Summary!$I$2:$AM$7,6,0)=0,"",HLOOKUP(D412,Summary!$I$2:$AM$7,6,0))</f>
        <v/>
      </c>
      <c r="E418" s="71" t="str">
        <f ca="1">IFERROR(VLOOKUP(D418,fixed_expenses[],2,0),"")</f>
        <v/>
      </c>
      <c r="F418" s="17" t="str">
        <f ca="1">IF(HLOOKUP(F412,Summary!$I$2:$AM$7,6,0)=0,"",HLOOKUP(F412,Summary!$I$2:$AM$7,6,0))</f>
        <v/>
      </c>
      <c r="G418" s="71" t="str">
        <f ca="1">IFERROR(VLOOKUP(F418,fixed_expenses[],2,0),"")</f>
        <v/>
      </c>
      <c r="H418" s="17" t="str">
        <f ca="1">IF(HLOOKUP(H412,Summary!$I$2:$AM$7,6,0)=0,"",HLOOKUP(H412,Summary!$I$2:$AM$7,6,0))</f>
        <v/>
      </c>
      <c r="I418" s="71" t="str">
        <f ca="1">IFERROR(VLOOKUP(H418,fixed_expenses[],2,0),"")</f>
        <v/>
      </c>
      <c r="J418" s="17" t="str">
        <f ca="1">IF(HLOOKUP(J412,Summary!$I$2:$AM$7,6,0)=0,"",HLOOKUP(J412,Summary!$I$2:$AM$7,6,0))</f>
        <v/>
      </c>
      <c r="K418" s="71" t="str">
        <f ca="1">IFERROR(VLOOKUP(J418,fixed_expenses[],2,0),"")</f>
        <v/>
      </c>
      <c r="L418" s="17" t="str">
        <f ca="1">IF(HLOOKUP(L412,Summary!$I$2:$AM$7,6,0)=0,"",HLOOKUP(L412,Summary!$I$2:$AM$7,6,0))</f>
        <v/>
      </c>
      <c r="M418" s="71" t="str">
        <f ca="1">IFERROR(VLOOKUP(L418,fixed_expenses[],2,0),"")</f>
        <v/>
      </c>
      <c r="N418" s="17" t="str">
        <f ca="1">IF(HLOOKUP(N412,Summary!$I$2:$AM$7,6,0)=0,"",HLOOKUP(N412,Summary!$I$2:$AM$7,6,0))</f>
        <v/>
      </c>
      <c r="O418" s="71" t="str">
        <f ca="1">IFERROR(VLOOKUP(N418,fixed_expenses[],2,0),"")</f>
        <v/>
      </c>
      <c r="P418" s="22"/>
    </row>
    <row r="419" spans="1:16" ht="11.25" customHeight="1" x14ac:dyDescent="0.2">
      <c r="A419" s="43" t="s">
        <v>314</v>
      </c>
      <c r="B419" s="26" t="s">
        <v>8</v>
      </c>
      <c r="C419" s="27">
        <f ca="1">SUM(C414:C418)</f>
        <v>0</v>
      </c>
      <c r="D419" s="18"/>
      <c r="E419" s="27">
        <f ca="1">SUM(E414:E418)</f>
        <v>0</v>
      </c>
      <c r="F419" s="18"/>
      <c r="G419" s="27">
        <f ca="1">SUM(G414:G418)</f>
        <v>1200</v>
      </c>
      <c r="H419" s="26"/>
      <c r="I419" s="27">
        <f ca="1">SUM(I414:I418)</f>
        <v>0</v>
      </c>
      <c r="J419" s="26"/>
      <c r="K419" s="27">
        <f ca="1">SUM(K414:K418)</f>
        <v>0</v>
      </c>
      <c r="L419" s="26"/>
      <c r="M419" s="27">
        <f ca="1">SUM(M414:M418)</f>
        <v>232</v>
      </c>
      <c r="N419" s="26"/>
      <c r="O419" s="28">
        <f ca="1">SUM(O414:O418)</f>
        <v>0</v>
      </c>
      <c r="P419" s="29">
        <f ca="1">SUMIF(B412:N412,"&lt;8",C419:O419)</f>
        <v>1432</v>
      </c>
    </row>
    <row r="420" spans="1:16" x14ac:dyDescent="0.2">
      <c r="B420" s="6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6"/>
    </row>
    <row r="421" spans="1:16" ht="15" customHeight="1" x14ac:dyDescent="0.2">
      <c r="A421" s="43" t="s">
        <v>260</v>
      </c>
      <c r="B421" s="12">
        <f ca="1">N412+1</f>
        <v>8</v>
      </c>
      <c r="C421" s="13"/>
      <c r="D421" s="12">
        <f ca="1">B421+1</f>
        <v>9</v>
      </c>
      <c r="E421" s="13"/>
      <c r="F421" s="12">
        <f ca="1">D421+1</f>
        <v>10</v>
      </c>
      <c r="G421" s="13"/>
      <c r="H421" s="12">
        <f ca="1">F421+1</f>
        <v>11</v>
      </c>
      <c r="I421" s="13"/>
      <c r="J421" s="12">
        <f ca="1">H421+1</f>
        <v>12</v>
      </c>
      <c r="K421" s="13"/>
      <c r="L421" s="12">
        <f ca="1">J421+1</f>
        <v>13</v>
      </c>
      <c r="M421" s="13"/>
      <c r="N421" s="12">
        <f ca="1">L421+1</f>
        <v>14</v>
      </c>
      <c r="O421" s="13"/>
      <c r="P421" s="23"/>
    </row>
    <row r="422" spans="1:16" ht="11.25" customHeight="1" x14ac:dyDescent="0.2">
      <c r="A422" s="43" t="s">
        <v>146</v>
      </c>
      <c r="B422" s="37" t="s">
        <v>9</v>
      </c>
      <c r="C422" s="39" t="s">
        <v>10</v>
      </c>
      <c r="D422" s="37" t="s">
        <v>9</v>
      </c>
      <c r="E422" s="39" t="s">
        <v>10</v>
      </c>
      <c r="F422" s="37" t="s">
        <v>9</v>
      </c>
      <c r="G422" s="39" t="s">
        <v>10</v>
      </c>
      <c r="H422" s="37" t="s">
        <v>9</v>
      </c>
      <c r="I422" s="39" t="s">
        <v>10</v>
      </c>
      <c r="J422" s="37" t="s">
        <v>9</v>
      </c>
      <c r="K422" s="39" t="s">
        <v>10</v>
      </c>
      <c r="L422" s="37" t="s">
        <v>9</v>
      </c>
      <c r="M422" s="39" t="s">
        <v>10</v>
      </c>
      <c r="N422" s="37" t="s">
        <v>9</v>
      </c>
      <c r="O422" s="40" t="s">
        <v>10</v>
      </c>
      <c r="P422" s="22"/>
    </row>
    <row r="423" spans="1:16" ht="11.25" customHeight="1" x14ac:dyDescent="0.2">
      <c r="A423" s="43" t="s">
        <v>208</v>
      </c>
      <c r="B423" s="17" t="str">
        <f ca="1">IF(HLOOKUP(B421,Summary!$I$2:$AM$7,2,0)=0,"",HLOOKUP(B421,Summary!$I$2:$AM$7,2,0))</f>
        <v/>
      </c>
      <c r="C423" s="71" t="str">
        <f ca="1">IFERROR(VLOOKUP(B423,fixed_expenses[],2,0),"")</f>
        <v/>
      </c>
      <c r="D423" s="17" t="str">
        <f ca="1">IF(HLOOKUP(D421,Summary!$I$2:$AM$7,2,0)=0,"",HLOOKUP(D421,Summary!$I$2:$AM$7,2,0))</f>
        <v/>
      </c>
      <c r="E423" s="71" t="str">
        <f ca="1">IFERROR(VLOOKUP(D423,fixed_expenses[],2,0),"")</f>
        <v/>
      </c>
      <c r="F423" s="17" t="str">
        <f ca="1">IF(HLOOKUP(F421,Summary!$I$2:$AM$7,2,0)=0,"",HLOOKUP(F421,Summary!$I$2:$AM$7,2,0))</f>
        <v/>
      </c>
      <c r="G423" s="71" t="str">
        <f ca="1">IFERROR(VLOOKUP(F423,fixed_expenses[],2,0),"")</f>
        <v/>
      </c>
      <c r="H423" s="17" t="str">
        <f ca="1">IF(HLOOKUP(H421,Summary!$I$2:$AM$7,2,0)=0,"",HLOOKUP(H421,Summary!$I$2:$AM$7,2,0))</f>
        <v/>
      </c>
      <c r="I423" s="71" t="str">
        <f ca="1">IFERROR(VLOOKUP(H423,fixed_expenses[],2,0),"")</f>
        <v/>
      </c>
      <c r="J423" s="17" t="str">
        <f ca="1">IF(HLOOKUP(J421,Summary!$I$2:$AM$7,2,0)=0,"",HLOOKUP(J421,Summary!$I$2:$AM$7,2,0))</f>
        <v/>
      </c>
      <c r="K423" s="71" t="str">
        <f ca="1">IFERROR(VLOOKUP(J423,fixed_expenses[],2,0),"")</f>
        <v/>
      </c>
      <c r="L423" s="17" t="str">
        <f ca="1">IF(HLOOKUP(L421,Summary!$I$2:$AM$7,2,0)=0,"",HLOOKUP(L421,Summary!$I$2:$AM$7,2,0))</f>
        <v/>
      </c>
      <c r="M423" s="71" t="str">
        <f ca="1">IFERROR(VLOOKUP(L423,fixed_expenses[],2,0),"")</f>
        <v/>
      </c>
      <c r="N423" s="17" t="str">
        <f ca="1">IF(HLOOKUP(N421,Summary!$I$2:$AM$7,2,0)=0,"",HLOOKUP(N421,Summary!$I$2:$AM$7,2,0))</f>
        <v/>
      </c>
      <c r="O423" s="71" t="str">
        <f ca="1">IFERROR(VLOOKUP(N423,fixed_expenses[],2,0),"")</f>
        <v/>
      </c>
      <c r="P423" s="22"/>
    </row>
    <row r="424" spans="1:16" ht="11.25" customHeight="1" x14ac:dyDescent="0.2">
      <c r="B424" s="17" t="str">
        <f ca="1">IF(HLOOKUP(B421,Summary!$I$2:$AM$7,3,0)=0,"",HLOOKUP(B421,Summary!$I$2:$AM$7,3,0))</f>
        <v/>
      </c>
      <c r="C424" s="71" t="str">
        <f ca="1">IFERROR(VLOOKUP(B424,fixed_expenses[],2,0),"")</f>
        <v/>
      </c>
      <c r="D424" s="17" t="str">
        <f ca="1">IF(HLOOKUP(D421,Summary!$I$2:$AM$7,3,0)=0,"",HLOOKUP(D421,Summary!$I$2:$AM$7,3,0))</f>
        <v/>
      </c>
      <c r="E424" s="71" t="str">
        <f ca="1">IFERROR(VLOOKUP(D424,fixed_expenses[],2,0),"")</f>
        <v/>
      </c>
      <c r="F424" s="17" t="str">
        <f ca="1">IF(HLOOKUP(F421,Summary!$I$2:$AM$7,3,0)=0,"",HLOOKUP(F421,Summary!$I$2:$AM$7,3,0))</f>
        <v/>
      </c>
      <c r="G424" s="71" t="str">
        <f ca="1">IFERROR(VLOOKUP(F424,fixed_expenses[],2,0),"")</f>
        <v/>
      </c>
      <c r="H424" s="17" t="str">
        <f ca="1">IF(HLOOKUP(H421,Summary!$I$2:$AM$7,3,0)=0,"",HLOOKUP(H421,Summary!$I$2:$AM$7,3,0))</f>
        <v/>
      </c>
      <c r="I424" s="71" t="str">
        <f ca="1">IFERROR(VLOOKUP(H424,fixed_expenses[],2,0),"")</f>
        <v/>
      </c>
      <c r="J424" s="17" t="str">
        <f ca="1">IF(HLOOKUP(J421,Summary!$I$2:$AM$7,3,0)=0,"",HLOOKUP(J421,Summary!$I$2:$AM$7,3,0))</f>
        <v/>
      </c>
      <c r="K424" s="71" t="str">
        <f ca="1">IFERROR(VLOOKUP(J424,fixed_expenses[],2,0),"")</f>
        <v/>
      </c>
      <c r="L424" s="17" t="str">
        <f ca="1">IF(HLOOKUP(L421,Summary!$I$2:$AM$7,3,0)=0,"",HLOOKUP(L421,Summary!$I$2:$AM$7,3,0))</f>
        <v/>
      </c>
      <c r="M424" s="71" t="str">
        <f ca="1">IFERROR(VLOOKUP(L424,fixed_expenses[],2,0),"")</f>
        <v/>
      </c>
      <c r="N424" s="17" t="str">
        <f ca="1">IF(HLOOKUP(N421,Summary!$I$2:$AM$7,3,0)=0,"",HLOOKUP(N421,Summary!$I$2:$AM$7,3,0))</f>
        <v/>
      </c>
      <c r="O424" s="71" t="str">
        <f ca="1">IFERROR(VLOOKUP(N424,fixed_expenses[],2,0),"")</f>
        <v/>
      </c>
      <c r="P424" s="22"/>
    </row>
    <row r="425" spans="1:16" ht="11.25" customHeight="1" x14ac:dyDescent="0.2">
      <c r="B425" s="17" t="str">
        <f ca="1">IF(HLOOKUP(B421,Summary!$I$2:$AM$7,4,0)=0,"",HLOOKUP(B421,Summary!$I$2:$AM$7,4,0))</f>
        <v/>
      </c>
      <c r="C425" s="71" t="str">
        <f ca="1">IFERROR(VLOOKUP(B425,fixed_expenses[],2,0),"")</f>
        <v/>
      </c>
      <c r="D425" s="17" t="str">
        <f ca="1">IF(HLOOKUP(D421,Summary!$I$2:$AM$7,4,0)=0,"",HLOOKUP(D421,Summary!$I$2:$AM$7,4,0))</f>
        <v/>
      </c>
      <c r="E425" s="71" t="str">
        <f ca="1">IFERROR(VLOOKUP(D425,fixed_expenses[],2,0),"")</f>
        <v/>
      </c>
      <c r="F425" s="17" t="str">
        <f ca="1">IF(HLOOKUP(F421,Summary!$I$2:$AM$7,4,0)=0,"",HLOOKUP(F421,Summary!$I$2:$AM$7,4,0))</f>
        <v/>
      </c>
      <c r="G425" s="71" t="str">
        <f ca="1">IFERROR(VLOOKUP(F425,fixed_expenses[],2,0),"")</f>
        <v/>
      </c>
      <c r="H425" s="17" t="str">
        <f ca="1">IF(HLOOKUP(H421,Summary!$I$2:$AM$7,4,0)=0,"",HLOOKUP(H421,Summary!$I$2:$AM$7,4,0))</f>
        <v/>
      </c>
      <c r="I425" s="71" t="str">
        <f ca="1">IFERROR(VLOOKUP(H425,fixed_expenses[],2,0),"")</f>
        <v/>
      </c>
      <c r="J425" s="17" t="str">
        <f ca="1">IF(HLOOKUP(J421,Summary!$I$2:$AM$7,4,0)=0,"",HLOOKUP(J421,Summary!$I$2:$AM$7,4,0))</f>
        <v/>
      </c>
      <c r="K425" s="71" t="str">
        <f ca="1">IFERROR(VLOOKUP(J425,fixed_expenses[],2,0),"")</f>
        <v/>
      </c>
      <c r="L425" s="17" t="str">
        <f ca="1">IF(HLOOKUP(L421,Summary!$I$2:$AM$7,4,0)=0,"",HLOOKUP(L421,Summary!$I$2:$AM$7,4,0))</f>
        <v/>
      </c>
      <c r="M425" s="71" t="str">
        <f ca="1">IFERROR(VLOOKUP(L425,fixed_expenses[],2,0),"")</f>
        <v/>
      </c>
      <c r="N425" s="17" t="str">
        <f ca="1">IF(HLOOKUP(N421,Summary!$I$2:$AM$7,4,0)=0,"",HLOOKUP(N421,Summary!$I$2:$AM$7,4,0))</f>
        <v/>
      </c>
      <c r="O425" s="71" t="str">
        <f ca="1">IFERROR(VLOOKUP(N425,fixed_expenses[],2,0),"")</f>
        <v/>
      </c>
      <c r="P425" s="22"/>
    </row>
    <row r="426" spans="1:16" ht="11.25" customHeight="1" x14ac:dyDescent="0.2">
      <c r="B426" s="17" t="str">
        <f ca="1">IF(HLOOKUP(B421,Summary!$I$2:$AM$7,5,0)=0,"",HLOOKUP(B421,Summary!$I$2:$AM$7,5,0))</f>
        <v/>
      </c>
      <c r="C426" s="71" t="str">
        <f ca="1">IFERROR(VLOOKUP(B426,fixed_expenses[],2,0),"")</f>
        <v/>
      </c>
      <c r="D426" s="17" t="str">
        <f ca="1">IF(HLOOKUP(D421,Summary!$I$2:$AM$7,5,0)=0,"",HLOOKUP(D421,Summary!$I$2:$AM$7,5,0))</f>
        <v/>
      </c>
      <c r="E426" s="71" t="str">
        <f ca="1">IFERROR(VLOOKUP(D426,fixed_expenses[],2,0),"")</f>
        <v/>
      </c>
      <c r="F426" s="17" t="str">
        <f ca="1">IF(HLOOKUP(F421,Summary!$I$2:$AM$7,5,0)=0,"",HLOOKUP(F421,Summary!$I$2:$AM$7,5,0))</f>
        <v/>
      </c>
      <c r="G426" s="71" t="str">
        <f ca="1">IFERROR(VLOOKUP(F426,fixed_expenses[],2,0),"")</f>
        <v/>
      </c>
      <c r="H426" s="17" t="str">
        <f ca="1">IF(HLOOKUP(H421,Summary!$I$2:$AM$7,5,0)=0,"",HLOOKUP(H421,Summary!$I$2:$AM$7,5,0))</f>
        <v/>
      </c>
      <c r="I426" s="71" t="str">
        <f ca="1">IFERROR(VLOOKUP(H426,fixed_expenses[],2,0),"")</f>
        <v/>
      </c>
      <c r="J426" s="17" t="str">
        <f ca="1">IF(HLOOKUP(J421,Summary!$I$2:$AM$7,5,0)=0,"",HLOOKUP(J421,Summary!$I$2:$AM$7,5,0))</f>
        <v/>
      </c>
      <c r="K426" s="71" t="str">
        <f ca="1">IFERROR(VLOOKUP(J426,fixed_expenses[],2,0),"")</f>
        <v/>
      </c>
      <c r="L426" s="17" t="str">
        <f ca="1">IF(HLOOKUP(L421,Summary!$I$2:$AM$7,5,0)=0,"",HLOOKUP(L421,Summary!$I$2:$AM$7,5,0))</f>
        <v/>
      </c>
      <c r="M426" s="71" t="str">
        <f ca="1">IFERROR(VLOOKUP(L426,fixed_expenses[],2,0),"")</f>
        <v/>
      </c>
      <c r="N426" s="17" t="str">
        <f ca="1">IF(HLOOKUP(N421,Summary!$I$2:$AM$7,5,0)=0,"",HLOOKUP(N421,Summary!$I$2:$AM$7,5,0))</f>
        <v/>
      </c>
      <c r="O426" s="71" t="str">
        <f ca="1">IFERROR(VLOOKUP(N426,fixed_expenses[],2,0),"")</f>
        <v/>
      </c>
      <c r="P426" s="22"/>
    </row>
    <row r="427" spans="1:16" ht="11.25" customHeight="1" x14ac:dyDescent="0.2">
      <c r="B427" s="17" t="str">
        <f ca="1">IF(HLOOKUP(B421,Summary!$I$2:$AM$7,6,0)=0,"",HLOOKUP(B421,Summary!$I$2:$AM$7,6,0))</f>
        <v/>
      </c>
      <c r="C427" s="71" t="str">
        <f ca="1">IFERROR(VLOOKUP(B427,fixed_expenses[],2,0),"")</f>
        <v/>
      </c>
      <c r="D427" s="17" t="str">
        <f ca="1">IF(HLOOKUP(D421,Summary!$I$2:$AM$7,6,0)=0,"",HLOOKUP(D421,Summary!$I$2:$AM$7,6,0))</f>
        <v/>
      </c>
      <c r="E427" s="71" t="str">
        <f ca="1">IFERROR(VLOOKUP(D427,fixed_expenses[],2,0),"")</f>
        <v/>
      </c>
      <c r="F427" s="17" t="str">
        <f ca="1">IF(HLOOKUP(F421,Summary!$I$2:$AM$7,6,0)=0,"",HLOOKUP(F421,Summary!$I$2:$AM$7,6,0))</f>
        <v/>
      </c>
      <c r="G427" s="71" t="str">
        <f ca="1">IFERROR(VLOOKUP(F427,fixed_expenses[],2,0),"")</f>
        <v/>
      </c>
      <c r="H427" s="17" t="str">
        <f ca="1">IF(HLOOKUP(H421,Summary!$I$2:$AM$7,6,0)=0,"",HLOOKUP(H421,Summary!$I$2:$AM$7,6,0))</f>
        <v/>
      </c>
      <c r="I427" s="71" t="str">
        <f ca="1">IFERROR(VLOOKUP(H427,fixed_expenses[],2,0),"")</f>
        <v/>
      </c>
      <c r="J427" s="17" t="str">
        <f ca="1">IF(HLOOKUP(J421,Summary!$I$2:$AM$7,6,0)=0,"",HLOOKUP(J421,Summary!$I$2:$AM$7,6,0))</f>
        <v/>
      </c>
      <c r="K427" s="71" t="str">
        <f ca="1">IFERROR(VLOOKUP(J427,fixed_expenses[],2,0),"")</f>
        <v/>
      </c>
      <c r="L427" s="17" t="str">
        <f ca="1">IF(HLOOKUP(L421,Summary!$I$2:$AM$7,6,0)=0,"",HLOOKUP(L421,Summary!$I$2:$AM$7,6,0))</f>
        <v/>
      </c>
      <c r="M427" s="71" t="str">
        <f ca="1">IFERROR(VLOOKUP(L427,fixed_expenses[],2,0),"")</f>
        <v/>
      </c>
      <c r="N427" s="17" t="str">
        <f ca="1">IF(HLOOKUP(N421,Summary!$I$2:$AM$7,6,0)=0,"",HLOOKUP(N421,Summary!$I$2:$AM$7,6,0))</f>
        <v/>
      </c>
      <c r="O427" s="71" t="str">
        <f ca="1">IFERROR(VLOOKUP(N427,fixed_expenses[],2,0),"")</f>
        <v/>
      </c>
      <c r="P427" s="22"/>
    </row>
    <row r="428" spans="1:16" ht="11.25" customHeight="1" x14ac:dyDescent="0.2">
      <c r="A428" s="43" t="s">
        <v>313</v>
      </c>
      <c r="B428" s="26" t="s">
        <v>8</v>
      </c>
      <c r="C428" s="27">
        <f ca="1">SUM(C423:C427)</f>
        <v>0</v>
      </c>
      <c r="D428" s="26"/>
      <c r="E428" s="27">
        <f ca="1">SUM(E423:E427)</f>
        <v>0</v>
      </c>
      <c r="F428" s="26"/>
      <c r="G428" s="27">
        <f ca="1">SUM(G423:G427)</f>
        <v>0</v>
      </c>
      <c r="H428" s="26"/>
      <c r="I428" s="27">
        <f ca="1">SUM(I423:I427)</f>
        <v>0</v>
      </c>
      <c r="J428" s="26"/>
      <c r="K428" s="27">
        <f ca="1">SUM(K423:K427)</f>
        <v>0</v>
      </c>
      <c r="L428" s="26"/>
      <c r="M428" s="27">
        <f ca="1">SUM(M423:M427)</f>
        <v>0</v>
      </c>
      <c r="N428" s="26"/>
      <c r="O428" s="28">
        <f ca="1">SUM(O423:O427)</f>
        <v>0</v>
      </c>
      <c r="P428" s="29">
        <f ca="1">SUM(C428,E428,G428,I428,K428,M428,O428)</f>
        <v>0</v>
      </c>
    </row>
    <row r="429" spans="1:16" x14ac:dyDescent="0.2">
      <c r="B429" s="6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6"/>
    </row>
    <row r="430" spans="1:16" ht="15" customHeight="1" x14ac:dyDescent="0.2">
      <c r="A430" s="43" t="s">
        <v>261</v>
      </c>
      <c r="B430" s="12">
        <f ca="1">N421+1</f>
        <v>15</v>
      </c>
      <c r="C430" s="13"/>
      <c r="D430" s="12">
        <f ca="1">B430+1</f>
        <v>16</v>
      </c>
      <c r="E430" s="13"/>
      <c r="F430" s="12">
        <f ca="1">D430+1</f>
        <v>17</v>
      </c>
      <c r="G430" s="13"/>
      <c r="H430" s="12">
        <f ca="1">F430+1</f>
        <v>18</v>
      </c>
      <c r="I430" s="13"/>
      <c r="J430" s="12">
        <f ca="1">H430+1</f>
        <v>19</v>
      </c>
      <c r="K430" s="13"/>
      <c r="L430" s="12">
        <f ca="1">J430+1</f>
        <v>20</v>
      </c>
      <c r="M430" s="13"/>
      <c r="N430" s="12">
        <f ca="1">L430+1</f>
        <v>21</v>
      </c>
      <c r="O430" s="13"/>
      <c r="P430" s="24"/>
    </row>
    <row r="431" spans="1:16" ht="11.25" customHeight="1" x14ac:dyDescent="0.2">
      <c r="A431" s="43" t="s">
        <v>145</v>
      </c>
      <c r="B431" s="37" t="s">
        <v>9</v>
      </c>
      <c r="C431" s="39" t="s">
        <v>10</v>
      </c>
      <c r="D431" s="37" t="s">
        <v>9</v>
      </c>
      <c r="E431" s="39" t="s">
        <v>10</v>
      </c>
      <c r="F431" s="37" t="s">
        <v>9</v>
      </c>
      <c r="G431" s="39" t="s">
        <v>10</v>
      </c>
      <c r="H431" s="37" t="s">
        <v>9</v>
      </c>
      <c r="I431" s="39" t="s">
        <v>10</v>
      </c>
      <c r="J431" s="37" t="s">
        <v>9</v>
      </c>
      <c r="K431" s="39" t="s">
        <v>10</v>
      </c>
      <c r="L431" s="37" t="s">
        <v>9</v>
      </c>
      <c r="M431" s="39" t="s">
        <v>10</v>
      </c>
      <c r="N431" s="37" t="s">
        <v>9</v>
      </c>
      <c r="O431" s="40" t="s">
        <v>10</v>
      </c>
      <c r="P431" s="22"/>
    </row>
    <row r="432" spans="1:16" ht="11.25" customHeight="1" x14ac:dyDescent="0.2">
      <c r="A432" s="43" t="s">
        <v>209</v>
      </c>
      <c r="B432" s="17" t="str">
        <f ca="1">IF(HLOOKUP(B430,Summary!$I$2:$AM$7,2,0)=0,"",HLOOKUP(B430,Summary!$I$2:$AM$7,2,0))</f>
        <v>Paul Phone Bill</v>
      </c>
      <c r="C432" s="71">
        <f ca="1">IFERROR(VLOOKUP(B432,fixed_expenses[],2,0),"")</f>
        <v>60</v>
      </c>
      <c r="D432" s="17" t="str">
        <f ca="1">IF(HLOOKUP(D430,Summary!$I$2:$AM$7,2,0)=0,"",HLOOKUP(D430,Summary!$I$2:$AM$7,2,0))</f>
        <v/>
      </c>
      <c r="E432" s="71" t="str">
        <f ca="1">IFERROR(VLOOKUP(D432,fixed_expenses[],2,0),"")</f>
        <v/>
      </c>
      <c r="F432" s="17" t="str">
        <f ca="1">IF(HLOOKUP(F430,Summary!$I$2:$AM$7,2,0)=0,"",HLOOKUP(F430,Summary!$I$2:$AM$7,2,0))</f>
        <v/>
      </c>
      <c r="G432" s="71" t="str">
        <f ca="1">IFERROR(VLOOKUP(F432,fixed_expenses[],2,0),"")</f>
        <v/>
      </c>
      <c r="H432" s="17" t="str">
        <f ca="1">IF(HLOOKUP(H430,Summary!$I$2:$AM$7,2,0)=0,"",HLOOKUP(H430,Summary!$I$2:$AM$7,2,0))</f>
        <v/>
      </c>
      <c r="I432" s="71" t="str">
        <f ca="1">IFERROR(VLOOKUP(H432,fixed_expenses[],2,0),"")</f>
        <v/>
      </c>
      <c r="J432" s="17" t="str">
        <f ca="1">IF(HLOOKUP(J430,Summary!$I$2:$AM$7,2,0)=0,"",HLOOKUP(J430,Summary!$I$2:$AM$7,2,0))</f>
        <v/>
      </c>
      <c r="K432" s="71" t="str">
        <f ca="1">IFERROR(VLOOKUP(J432,fixed_expenses[],2,0),"")</f>
        <v/>
      </c>
      <c r="L432" s="17" t="str">
        <f ca="1">IF(HLOOKUP(L430,Summary!$I$2:$AM$7,2,0)=0,"",HLOOKUP(L430,Summary!$I$2:$AM$7,2,0))</f>
        <v>Lynn Phone Bill</v>
      </c>
      <c r="M432" s="71" t="str">
        <f ca="1">IFERROR(VLOOKUP(L432,fixed_expenses[],2,0),"")</f>
        <v/>
      </c>
      <c r="N432" s="17" t="str">
        <f ca="1">IF(HLOOKUP(N430,Summary!$I$2:$AM$7,2,0)=0,"",HLOOKUP(N430,Summary!$I$2:$AM$7,2,0))</f>
        <v/>
      </c>
      <c r="O432" s="71" t="str">
        <f ca="1">IFERROR(VLOOKUP(N432,fixed_expenses[],2,0),"")</f>
        <v/>
      </c>
      <c r="P432" s="22"/>
    </row>
    <row r="433" spans="1:16" ht="11.25" customHeight="1" x14ac:dyDescent="0.2">
      <c r="B433" s="17" t="str">
        <f ca="1">IF(HLOOKUP(B430,Summary!$I$2:$AM$7,3,0)=0,"",HLOOKUP(B430,Summary!$I$2:$AM$7,3,0))</f>
        <v>Electric</v>
      </c>
      <c r="C433" s="71">
        <f ca="1">IFERROR(VLOOKUP(B433,fixed_expenses[],2,0),"")</f>
        <v>50</v>
      </c>
      <c r="D433" s="17" t="str">
        <f ca="1">IF(HLOOKUP(D430,Summary!$I$2:$AM$7,3,0)=0,"",HLOOKUP(D430,Summary!$I$2:$AM$7,3,0))</f>
        <v/>
      </c>
      <c r="E433" s="71" t="str">
        <f ca="1">IFERROR(VLOOKUP(D433,fixed_expenses[],2,0),"")</f>
        <v/>
      </c>
      <c r="F433" s="17" t="str">
        <f ca="1">IF(HLOOKUP(F430,Summary!$I$2:$AM$7,3,0)=0,"",HLOOKUP(F430,Summary!$I$2:$AM$7,3,0))</f>
        <v/>
      </c>
      <c r="G433" s="71" t="str">
        <f ca="1">IFERROR(VLOOKUP(F433,fixed_expenses[],2,0),"")</f>
        <v/>
      </c>
      <c r="H433" s="17" t="str">
        <f ca="1">IF(HLOOKUP(H430,Summary!$I$2:$AM$7,3,0)=0,"",HLOOKUP(H430,Summary!$I$2:$AM$7,3,0))</f>
        <v/>
      </c>
      <c r="I433" s="71" t="str">
        <f ca="1">IFERROR(VLOOKUP(H433,fixed_expenses[],2,0),"")</f>
        <v/>
      </c>
      <c r="J433" s="17" t="str">
        <f ca="1">IF(HLOOKUP(J430,Summary!$I$2:$AM$7,3,0)=0,"",HLOOKUP(J430,Summary!$I$2:$AM$7,3,0))</f>
        <v/>
      </c>
      <c r="K433" s="71" t="str">
        <f ca="1">IFERROR(VLOOKUP(J433,fixed_expenses[],2,0),"")</f>
        <v/>
      </c>
      <c r="L433" s="17" t="s">
        <v>384</v>
      </c>
      <c r="M433" s="71">
        <f>IFERROR(VLOOKUP(L433,fixed_expenses[],2,0),"")</f>
        <v>232</v>
      </c>
      <c r="N433" s="17" t="str">
        <f ca="1">IF(HLOOKUP(N430,Summary!$I$2:$AM$7,3,0)=0,"",HLOOKUP(N430,Summary!$I$2:$AM$7,3,0))</f>
        <v/>
      </c>
      <c r="O433" s="71" t="str">
        <f ca="1">IFERROR(VLOOKUP(N433,fixed_expenses[],2,0),"")</f>
        <v/>
      </c>
      <c r="P433" s="22"/>
    </row>
    <row r="434" spans="1:16" ht="11.25" customHeight="1" x14ac:dyDescent="0.2">
      <c r="B434" s="17" t="str">
        <f ca="1">IF(HLOOKUP(B430,Summary!$I$2:$AM$7,4,0)=0,"",HLOOKUP(B430,Summary!$I$2:$AM$7,4,0))</f>
        <v/>
      </c>
      <c r="C434" s="71" t="str">
        <f ca="1">IFERROR(VLOOKUP(B434,fixed_expenses[],2,0),"")</f>
        <v/>
      </c>
      <c r="D434" s="17" t="str">
        <f ca="1">IF(HLOOKUP(D430,Summary!$I$2:$AM$7,4,0)=0,"",HLOOKUP(D430,Summary!$I$2:$AM$7,4,0))</f>
        <v/>
      </c>
      <c r="E434" s="71" t="str">
        <f ca="1">IFERROR(VLOOKUP(D434,fixed_expenses[],2,0),"")</f>
        <v/>
      </c>
      <c r="F434" s="17" t="str">
        <f ca="1">IF(HLOOKUP(F430,Summary!$I$2:$AM$7,4,0)=0,"",HLOOKUP(F430,Summary!$I$2:$AM$7,4,0))</f>
        <v/>
      </c>
      <c r="G434" s="71" t="str">
        <f ca="1">IFERROR(VLOOKUP(F434,fixed_expenses[],2,0),"")</f>
        <v/>
      </c>
      <c r="H434" s="17" t="str">
        <f ca="1">IF(HLOOKUP(H430,Summary!$I$2:$AM$7,4,0)=0,"",HLOOKUP(H430,Summary!$I$2:$AM$7,4,0))</f>
        <v/>
      </c>
      <c r="I434" s="71" t="str">
        <f ca="1">IFERROR(VLOOKUP(H434,fixed_expenses[],2,0),"")</f>
        <v/>
      </c>
      <c r="J434" s="17" t="str">
        <f ca="1">IF(HLOOKUP(J430,Summary!$I$2:$AM$7,4,0)=0,"",HLOOKUP(J430,Summary!$I$2:$AM$7,4,0))</f>
        <v/>
      </c>
      <c r="K434" s="71" t="str">
        <f ca="1">IFERROR(VLOOKUP(J434,fixed_expenses[],2,0),"")</f>
        <v/>
      </c>
      <c r="L434" s="17" t="str">
        <f ca="1">IF(HLOOKUP(L430,Summary!$I$2:$AM$7,4,0)=0,"",HLOOKUP(L430,Summary!$I$2:$AM$7,4,0))</f>
        <v/>
      </c>
      <c r="M434" s="71" t="str">
        <f ca="1">IFERROR(VLOOKUP(L434,fixed_expenses[],2,0),"")</f>
        <v/>
      </c>
      <c r="N434" s="17" t="str">
        <f ca="1">IF(HLOOKUP(N430,Summary!$I$2:$AM$7,4,0)=0,"",HLOOKUP(N430,Summary!$I$2:$AM$7,4,0))</f>
        <v/>
      </c>
      <c r="O434" s="71" t="str">
        <f ca="1">IFERROR(VLOOKUP(N434,fixed_expenses[],2,0),"")</f>
        <v/>
      </c>
      <c r="P434" s="22"/>
    </row>
    <row r="435" spans="1:16" ht="11.25" customHeight="1" x14ac:dyDescent="0.2">
      <c r="B435" s="17" t="str">
        <f ca="1">IF(HLOOKUP(B430,Summary!$I$2:$AM$7,5,0)=0,"",HLOOKUP(B430,Summary!$I$2:$AM$7,5,0))</f>
        <v/>
      </c>
      <c r="C435" s="71" t="str">
        <f ca="1">IFERROR(VLOOKUP(B435,fixed_expenses[],2,0),"")</f>
        <v/>
      </c>
      <c r="D435" s="17" t="str">
        <f ca="1">IF(HLOOKUP(D430,Summary!$I$2:$AM$7,5,0)=0,"",HLOOKUP(D430,Summary!$I$2:$AM$7,5,0))</f>
        <v/>
      </c>
      <c r="E435" s="71" t="str">
        <f ca="1">IFERROR(VLOOKUP(D435,fixed_expenses[],2,0),"")</f>
        <v/>
      </c>
      <c r="F435" s="17" t="str">
        <f ca="1">IF(HLOOKUP(F430,Summary!$I$2:$AM$7,5,0)=0,"",HLOOKUP(F430,Summary!$I$2:$AM$7,5,0))</f>
        <v/>
      </c>
      <c r="G435" s="71" t="str">
        <f ca="1">IFERROR(VLOOKUP(F435,fixed_expenses[],2,0),"")</f>
        <v/>
      </c>
      <c r="H435" s="17" t="str">
        <f ca="1">IF(HLOOKUP(H430,Summary!$I$2:$AM$7,5,0)=0,"",HLOOKUP(H430,Summary!$I$2:$AM$7,5,0))</f>
        <v/>
      </c>
      <c r="I435" s="71" t="str">
        <f ca="1">IFERROR(VLOOKUP(H435,fixed_expenses[],2,0),"")</f>
        <v/>
      </c>
      <c r="J435" s="17" t="str">
        <f ca="1">IF(HLOOKUP(J430,Summary!$I$2:$AM$7,5,0)=0,"",HLOOKUP(J430,Summary!$I$2:$AM$7,5,0))</f>
        <v/>
      </c>
      <c r="K435" s="71" t="str">
        <f ca="1">IFERROR(VLOOKUP(J435,fixed_expenses[],2,0),"")</f>
        <v/>
      </c>
      <c r="L435" s="17" t="str">
        <f ca="1">IF(HLOOKUP(L430,Summary!$I$2:$AM$7,5,0)=0,"",HLOOKUP(L430,Summary!$I$2:$AM$7,5,0))</f>
        <v/>
      </c>
      <c r="M435" s="71" t="str">
        <f ca="1">IFERROR(VLOOKUP(L435,fixed_expenses[],2,0),"")</f>
        <v/>
      </c>
      <c r="N435" s="17" t="str">
        <f ca="1">IF(HLOOKUP(N430,Summary!$I$2:$AM$7,5,0)=0,"",HLOOKUP(N430,Summary!$I$2:$AM$7,5,0))</f>
        <v/>
      </c>
      <c r="O435" s="71" t="str">
        <f ca="1">IFERROR(VLOOKUP(N435,fixed_expenses[],2,0),"")</f>
        <v/>
      </c>
      <c r="P435" s="22"/>
    </row>
    <row r="436" spans="1:16" ht="11.25" customHeight="1" x14ac:dyDescent="0.2">
      <c r="B436" s="17" t="str">
        <f ca="1">IF(HLOOKUP(B430,Summary!$I$2:$AM$7,6,0)=0,"",HLOOKUP(B430,Summary!$I$2:$AM$7,6,0))</f>
        <v/>
      </c>
      <c r="C436" s="71" t="str">
        <f ca="1">IFERROR(VLOOKUP(B436,fixed_expenses[],2,0),"")</f>
        <v/>
      </c>
      <c r="D436" s="17" t="str">
        <f ca="1">IF(HLOOKUP(D430,Summary!$I$2:$AM$7,6,0)=0,"",HLOOKUP(D430,Summary!$I$2:$AM$7,6,0))</f>
        <v/>
      </c>
      <c r="E436" s="71" t="str">
        <f ca="1">IFERROR(VLOOKUP(D436,fixed_expenses[],2,0),"")</f>
        <v/>
      </c>
      <c r="F436" s="17" t="str">
        <f ca="1">IF(HLOOKUP(F430,Summary!$I$2:$AM$7,6,0)=0,"",HLOOKUP(F430,Summary!$I$2:$AM$7,6,0))</f>
        <v/>
      </c>
      <c r="G436" s="71" t="str">
        <f ca="1">IFERROR(VLOOKUP(F436,fixed_expenses[],2,0),"")</f>
        <v/>
      </c>
      <c r="H436" s="17" t="str">
        <f ca="1">IF(HLOOKUP(H430,Summary!$I$2:$AM$7,6,0)=0,"",HLOOKUP(H430,Summary!$I$2:$AM$7,6,0))</f>
        <v/>
      </c>
      <c r="I436" s="71" t="str">
        <f ca="1">IFERROR(VLOOKUP(H436,fixed_expenses[],2,0),"")</f>
        <v/>
      </c>
      <c r="J436" s="17" t="str">
        <f ca="1">IF(HLOOKUP(J430,Summary!$I$2:$AM$7,6,0)=0,"",HLOOKUP(J430,Summary!$I$2:$AM$7,6,0))</f>
        <v/>
      </c>
      <c r="K436" s="71" t="str">
        <f ca="1">IFERROR(VLOOKUP(J436,fixed_expenses[],2,0),"")</f>
        <v/>
      </c>
      <c r="L436" s="17" t="str">
        <f ca="1">IF(HLOOKUP(L430,Summary!$I$2:$AM$7,6,0)=0,"",HLOOKUP(L430,Summary!$I$2:$AM$7,6,0))</f>
        <v/>
      </c>
      <c r="M436" s="71" t="str">
        <f ca="1">IFERROR(VLOOKUP(L436,fixed_expenses[],2,0),"")</f>
        <v/>
      </c>
      <c r="N436" s="17" t="str">
        <f ca="1">IF(HLOOKUP(N430,Summary!$I$2:$AM$7,6,0)=0,"",HLOOKUP(N430,Summary!$I$2:$AM$7,6,0))</f>
        <v/>
      </c>
      <c r="O436" s="71" t="str">
        <f ca="1">IFERROR(VLOOKUP(N436,fixed_expenses[],2,0),"")</f>
        <v/>
      </c>
      <c r="P436" s="22"/>
    </row>
    <row r="437" spans="1:16" ht="11.25" customHeight="1" x14ac:dyDescent="0.2">
      <c r="A437" s="43" t="s">
        <v>312</v>
      </c>
      <c r="B437" s="30" t="s">
        <v>8</v>
      </c>
      <c r="C437" s="27">
        <f ca="1">SUM(C432:C436)</f>
        <v>110</v>
      </c>
      <c r="D437" s="26"/>
      <c r="E437" s="27">
        <f ca="1">SUM(E432:E436)</f>
        <v>0</v>
      </c>
      <c r="F437" s="26"/>
      <c r="G437" s="27">
        <f ca="1">SUM(G432:G436)</f>
        <v>0</v>
      </c>
      <c r="H437" s="26"/>
      <c r="I437" s="27">
        <f ca="1">SUM(I432:I436)</f>
        <v>0</v>
      </c>
      <c r="J437" s="26"/>
      <c r="K437" s="27">
        <f ca="1">SUM(K432:K436)</f>
        <v>0</v>
      </c>
      <c r="L437" s="26"/>
      <c r="M437" s="27">
        <f ca="1">SUM(M432:M436)</f>
        <v>232</v>
      </c>
      <c r="N437" s="26"/>
      <c r="O437" s="28">
        <f ca="1">SUM(O432:O436)</f>
        <v>0</v>
      </c>
      <c r="P437" s="29">
        <f ca="1">SUM(C437,E437,G437,I437,K437,M437,O437)</f>
        <v>342</v>
      </c>
    </row>
    <row r="438" spans="1:16" x14ac:dyDescent="0.2">
      <c r="B438" s="6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6"/>
    </row>
    <row r="439" spans="1:16" ht="15" customHeight="1" x14ac:dyDescent="0.2">
      <c r="A439" s="43" t="s">
        <v>262</v>
      </c>
      <c r="B439" s="12">
        <f ca="1">N430+1</f>
        <v>22</v>
      </c>
      <c r="C439" s="13"/>
      <c r="D439" s="12">
        <f ca="1">B439+1</f>
        <v>23</v>
      </c>
      <c r="E439" s="13"/>
      <c r="F439" s="12">
        <f ca="1">D439+1</f>
        <v>24</v>
      </c>
      <c r="G439" s="13"/>
      <c r="H439" s="12">
        <f ca="1">F439+1</f>
        <v>25</v>
      </c>
      <c r="I439" s="13"/>
      <c r="J439" s="12">
        <f ca="1">H439+1</f>
        <v>26</v>
      </c>
      <c r="K439" s="13"/>
      <c r="L439" s="12">
        <f ca="1">J439+1</f>
        <v>27</v>
      </c>
      <c r="M439" s="13"/>
      <c r="N439" s="12">
        <f ca="1">L439+1</f>
        <v>28</v>
      </c>
      <c r="O439" s="13"/>
      <c r="P439" s="24"/>
    </row>
    <row r="440" spans="1:16" ht="11.25" customHeight="1" x14ac:dyDescent="0.2">
      <c r="A440" s="43" t="s">
        <v>144</v>
      </c>
      <c r="B440" s="37" t="s">
        <v>9</v>
      </c>
      <c r="C440" s="39" t="s">
        <v>10</v>
      </c>
      <c r="D440" s="37" t="s">
        <v>9</v>
      </c>
      <c r="E440" s="39" t="s">
        <v>10</v>
      </c>
      <c r="F440" s="37" t="s">
        <v>9</v>
      </c>
      <c r="G440" s="39" t="s">
        <v>10</v>
      </c>
      <c r="H440" s="37" t="s">
        <v>9</v>
      </c>
      <c r="I440" s="39" t="s">
        <v>10</v>
      </c>
      <c r="J440" s="37" t="s">
        <v>9</v>
      </c>
      <c r="K440" s="39" t="s">
        <v>10</v>
      </c>
      <c r="L440" s="37" t="s">
        <v>9</v>
      </c>
      <c r="M440" s="39" t="s">
        <v>10</v>
      </c>
      <c r="N440" s="37" t="s">
        <v>9</v>
      </c>
      <c r="O440" s="40" t="s">
        <v>10</v>
      </c>
      <c r="P440" s="22"/>
    </row>
    <row r="441" spans="1:16" ht="11.25" customHeight="1" x14ac:dyDescent="0.2">
      <c r="A441" s="43" t="s">
        <v>210</v>
      </c>
      <c r="B441" s="17" t="str">
        <f ca="1">IF(HLOOKUP(B439,Summary!$I$2:$AM$7,2,0)=0,"",HLOOKUP(B439,Summary!$I$2:$AM$7,2,0))</f>
        <v/>
      </c>
      <c r="C441" s="71" t="str">
        <f ca="1">IFERROR(VLOOKUP(B441,fixed_expenses[],2,0),"")</f>
        <v/>
      </c>
      <c r="D441" s="17" t="str">
        <f ca="1">IF(HLOOKUP(D439,Summary!$I$2:$AM$7,2,0)=0,"",HLOOKUP(D439,Summary!$I$2:$AM$7,2,0))</f>
        <v/>
      </c>
      <c r="E441" s="71" t="str">
        <f ca="1">IFERROR(VLOOKUP(D441,fixed_expenses[],2,0),"")</f>
        <v/>
      </c>
      <c r="F441" s="17" t="str">
        <f ca="1">IF(HLOOKUP(F439,Summary!$I$2:$AM$7,2,0)=0,"",HLOOKUP(F439,Summary!$I$2:$AM$7,2,0))</f>
        <v/>
      </c>
      <c r="G441" s="71" t="str">
        <f ca="1">IFERROR(VLOOKUP(F441,fixed_expenses[],2,0),"")</f>
        <v/>
      </c>
      <c r="H441" s="17" t="str">
        <f ca="1">IF(HLOOKUP(H439,Summary!$I$2:$AM$7,2,0)=0,"",HLOOKUP(H439,Summary!$I$2:$AM$7,2,0))</f>
        <v/>
      </c>
      <c r="I441" s="71" t="str">
        <f ca="1">IFERROR(VLOOKUP(H441,fixed_expenses[],2,0),"")</f>
        <v/>
      </c>
      <c r="J441" s="17" t="str">
        <f ca="1">IF(HLOOKUP(J439,Summary!$I$2:$AM$7,2,0)=0,"",HLOOKUP(J439,Summary!$I$2:$AM$7,2,0))</f>
        <v/>
      </c>
      <c r="K441" s="71" t="str">
        <f ca="1">IFERROR(VLOOKUP(J441,fixed_expenses[],2,0),"")</f>
        <v/>
      </c>
      <c r="L441" s="17" t="str">
        <f ca="1">IF(HLOOKUP(L439,Summary!$I$2:$AM$7,2,0)=0,"",HLOOKUP(L439,Summary!$I$2:$AM$7,2,0))</f>
        <v/>
      </c>
      <c r="M441" s="71" t="str">
        <f ca="1">IFERROR(VLOOKUP(L441,fixed_expenses[],2,0),"")</f>
        <v/>
      </c>
      <c r="N441" s="17" t="str">
        <f ca="1">IF(HLOOKUP(N439,Summary!$I$2:$AM$7,2,0)=0,"",HLOOKUP(N439,Summary!$I$2:$AM$7,2,0))</f>
        <v/>
      </c>
      <c r="O441" s="71" t="str">
        <f ca="1">IFERROR(VLOOKUP(N441,fixed_expenses[],2,0),"")</f>
        <v/>
      </c>
      <c r="P441" s="22"/>
    </row>
    <row r="442" spans="1:16" ht="11.25" customHeight="1" x14ac:dyDescent="0.2">
      <c r="B442" s="17" t="str">
        <f ca="1">IF(HLOOKUP(B439,Summary!$I$2:$AM$7,3,0)=0,"",HLOOKUP(B439,Summary!$I$2:$AM$7,3,0))</f>
        <v/>
      </c>
      <c r="C442" s="71" t="str">
        <f ca="1">IFERROR(VLOOKUP(B442,fixed_expenses[],2,0),"")</f>
        <v/>
      </c>
      <c r="D442" s="17" t="str">
        <f ca="1">IF(HLOOKUP(D439,Summary!$I$2:$AM$7,3,0)=0,"",HLOOKUP(D439,Summary!$I$2:$AM$7,3,0))</f>
        <v/>
      </c>
      <c r="E442" s="71" t="str">
        <f ca="1">IFERROR(VLOOKUP(D442,fixed_expenses[],2,0),"")</f>
        <v/>
      </c>
      <c r="F442" s="17" t="str">
        <f ca="1">IF(HLOOKUP(F439,Summary!$I$2:$AM$7,3,0)=0,"",HLOOKUP(F439,Summary!$I$2:$AM$7,3,0))</f>
        <v/>
      </c>
      <c r="G442" s="71" t="str">
        <f ca="1">IFERROR(VLOOKUP(F442,fixed_expenses[],2,0),"")</f>
        <v/>
      </c>
      <c r="H442" s="17" t="str">
        <f ca="1">IF(HLOOKUP(H439,Summary!$I$2:$AM$7,3,0)=0,"",HLOOKUP(H439,Summary!$I$2:$AM$7,3,0))</f>
        <v/>
      </c>
      <c r="I442" s="71" t="str">
        <f ca="1">IFERROR(VLOOKUP(H442,fixed_expenses[],2,0),"")</f>
        <v/>
      </c>
      <c r="J442" s="17" t="str">
        <f ca="1">IF(HLOOKUP(J439,Summary!$I$2:$AM$7,3,0)=0,"",HLOOKUP(J439,Summary!$I$2:$AM$7,3,0))</f>
        <v/>
      </c>
      <c r="K442" s="71" t="str">
        <f ca="1">IFERROR(VLOOKUP(J442,fixed_expenses[],2,0),"")</f>
        <v/>
      </c>
      <c r="L442" s="17" t="str">
        <f ca="1">IF(HLOOKUP(L439,Summary!$I$2:$AM$7,3,0)=0,"",HLOOKUP(L439,Summary!$I$2:$AM$7,3,0))</f>
        <v/>
      </c>
      <c r="M442" s="71" t="str">
        <f ca="1">IFERROR(VLOOKUP(L442,fixed_expenses[],2,0),"")</f>
        <v/>
      </c>
      <c r="N442" s="17" t="str">
        <f ca="1">IF(HLOOKUP(N439,Summary!$I$2:$AM$7,3,0)=0,"",HLOOKUP(N439,Summary!$I$2:$AM$7,3,0))</f>
        <v/>
      </c>
      <c r="O442" s="71" t="str">
        <f ca="1">IFERROR(VLOOKUP(N442,fixed_expenses[],2,0),"")</f>
        <v/>
      </c>
      <c r="P442" s="22"/>
    </row>
    <row r="443" spans="1:16" ht="11.25" customHeight="1" x14ac:dyDescent="0.2">
      <c r="B443" s="17" t="str">
        <f ca="1">IF(HLOOKUP(B439,Summary!$I$2:$AM$7,4,0)=0,"",HLOOKUP(B439,Summary!$I$2:$AM$7,4,0))</f>
        <v/>
      </c>
      <c r="C443" s="71" t="str">
        <f ca="1">IFERROR(VLOOKUP(B443,fixed_expenses[],2,0),"")</f>
        <v/>
      </c>
      <c r="D443" s="17" t="str">
        <f ca="1">IF(HLOOKUP(D439,Summary!$I$2:$AM$7,4,0)=0,"",HLOOKUP(D439,Summary!$I$2:$AM$7,4,0))</f>
        <v/>
      </c>
      <c r="E443" s="71" t="str">
        <f ca="1">IFERROR(VLOOKUP(D443,fixed_expenses[],2,0),"")</f>
        <v/>
      </c>
      <c r="F443" s="17" t="str">
        <f ca="1">IF(HLOOKUP(F439,Summary!$I$2:$AM$7,4,0)=0,"",HLOOKUP(F439,Summary!$I$2:$AM$7,4,0))</f>
        <v/>
      </c>
      <c r="G443" s="71" t="str">
        <f ca="1">IFERROR(VLOOKUP(F443,fixed_expenses[],2,0),"")</f>
        <v/>
      </c>
      <c r="H443" s="17" t="str">
        <f ca="1">IF(HLOOKUP(H439,Summary!$I$2:$AM$7,4,0)=0,"",HLOOKUP(H439,Summary!$I$2:$AM$7,4,0))</f>
        <v/>
      </c>
      <c r="I443" s="71" t="str">
        <f ca="1">IFERROR(VLOOKUP(H443,fixed_expenses[],2,0),"")</f>
        <v/>
      </c>
      <c r="J443" s="17" t="str">
        <f ca="1">IF(HLOOKUP(J439,Summary!$I$2:$AM$7,4,0)=0,"",HLOOKUP(J439,Summary!$I$2:$AM$7,4,0))</f>
        <v/>
      </c>
      <c r="K443" s="71" t="str">
        <f ca="1">IFERROR(VLOOKUP(J443,fixed_expenses[],2,0),"")</f>
        <v/>
      </c>
      <c r="L443" s="17" t="str">
        <f ca="1">IF(HLOOKUP(L439,Summary!$I$2:$AM$7,4,0)=0,"",HLOOKUP(L439,Summary!$I$2:$AM$7,4,0))</f>
        <v/>
      </c>
      <c r="M443" s="71" t="str">
        <f ca="1">IFERROR(VLOOKUP(L443,fixed_expenses[],2,0),"")</f>
        <v/>
      </c>
      <c r="N443" s="17" t="str">
        <f ca="1">IF(HLOOKUP(N439,Summary!$I$2:$AM$7,4,0)=0,"",HLOOKUP(N439,Summary!$I$2:$AM$7,4,0))</f>
        <v/>
      </c>
      <c r="O443" s="71" t="str">
        <f ca="1">IFERROR(VLOOKUP(N443,fixed_expenses[],2,0),"")</f>
        <v/>
      </c>
      <c r="P443" s="22"/>
    </row>
    <row r="444" spans="1:16" ht="11.25" customHeight="1" x14ac:dyDescent="0.2">
      <c r="B444" s="17" t="str">
        <f ca="1">IF(HLOOKUP(B439,Summary!$I$2:$AM$7,5,0)=0,"",HLOOKUP(B439,Summary!$I$2:$AM$7,5,0))</f>
        <v/>
      </c>
      <c r="C444" s="71" t="str">
        <f ca="1">IFERROR(VLOOKUP(B444,fixed_expenses[],2,0),"")</f>
        <v/>
      </c>
      <c r="D444" s="17" t="str">
        <f ca="1">IF(HLOOKUP(D439,Summary!$I$2:$AM$7,5,0)=0,"",HLOOKUP(D439,Summary!$I$2:$AM$7,5,0))</f>
        <v/>
      </c>
      <c r="E444" s="71" t="str">
        <f ca="1">IFERROR(VLOOKUP(D444,fixed_expenses[],2,0),"")</f>
        <v/>
      </c>
      <c r="F444" s="17" t="str">
        <f ca="1">IF(HLOOKUP(F439,Summary!$I$2:$AM$7,5,0)=0,"",HLOOKUP(F439,Summary!$I$2:$AM$7,5,0))</f>
        <v/>
      </c>
      <c r="G444" s="71" t="str">
        <f ca="1">IFERROR(VLOOKUP(F444,fixed_expenses[],2,0),"")</f>
        <v/>
      </c>
      <c r="H444" s="17" t="str">
        <f ca="1">IF(HLOOKUP(H439,Summary!$I$2:$AM$7,5,0)=0,"",HLOOKUP(H439,Summary!$I$2:$AM$7,5,0))</f>
        <v/>
      </c>
      <c r="I444" s="71" t="str">
        <f ca="1">IFERROR(VLOOKUP(H444,fixed_expenses[],2,0),"")</f>
        <v/>
      </c>
      <c r="J444" s="17" t="str">
        <f ca="1">IF(HLOOKUP(J439,Summary!$I$2:$AM$7,5,0)=0,"",HLOOKUP(J439,Summary!$I$2:$AM$7,5,0))</f>
        <v/>
      </c>
      <c r="K444" s="71" t="str">
        <f ca="1">IFERROR(VLOOKUP(J444,fixed_expenses[],2,0),"")</f>
        <v/>
      </c>
      <c r="L444" s="17" t="str">
        <f ca="1">IF(HLOOKUP(L439,Summary!$I$2:$AM$7,5,0)=0,"",HLOOKUP(L439,Summary!$I$2:$AM$7,5,0))</f>
        <v/>
      </c>
      <c r="M444" s="71" t="str">
        <f ca="1">IFERROR(VLOOKUP(L444,fixed_expenses[],2,0),"")</f>
        <v/>
      </c>
      <c r="N444" s="17" t="str">
        <f ca="1">IF(HLOOKUP(N439,Summary!$I$2:$AM$7,5,0)=0,"",HLOOKUP(N439,Summary!$I$2:$AM$7,5,0))</f>
        <v/>
      </c>
      <c r="O444" s="71" t="str">
        <f ca="1">IFERROR(VLOOKUP(N444,fixed_expenses[],2,0),"")</f>
        <v/>
      </c>
      <c r="P444" s="22"/>
    </row>
    <row r="445" spans="1:16" ht="11.25" customHeight="1" x14ac:dyDescent="0.2">
      <c r="B445" s="17" t="str">
        <f ca="1">IF(HLOOKUP(B439,Summary!$I$2:$AM$7,6,0)=0,"",HLOOKUP(B439,Summary!$I$2:$AM$7,6,0))</f>
        <v/>
      </c>
      <c r="C445" s="71" t="str">
        <f ca="1">IFERROR(VLOOKUP(B445,fixed_expenses[],2,0),"")</f>
        <v/>
      </c>
      <c r="D445" s="17" t="str">
        <f ca="1">IF(HLOOKUP(D439,Summary!$I$2:$AM$7,6,0)=0,"",HLOOKUP(D439,Summary!$I$2:$AM$7,6,0))</f>
        <v/>
      </c>
      <c r="E445" s="71" t="str">
        <f ca="1">IFERROR(VLOOKUP(D445,fixed_expenses[],2,0),"")</f>
        <v/>
      </c>
      <c r="F445" s="17" t="str">
        <f ca="1">IF(HLOOKUP(F439,Summary!$I$2:$AM$7,6,0)=0,"",HLOOKUP(F439,Summary!$I$2:$AM$7,6,0))</f>
        <v/>
      </c>
      <c r="G445" s="71" t="str">
        <f ca="1">IFERROR(VLOOKUP(F445,fixed_expenses[],2,0),"")</f>
        <v/>
      </c>
      <c r="H445" s="17" t="str">
        <f ca="1">IF(HLOOKUP(H439,Summary!$I$2:$AM$7,6,0)=0,"",HLOOKUP(H439,Summary!$I$2:$AM$7,6,0))</f>
        <v/>
      </c>
      <c r="I445" s="71" t="str">
        <f ca="1">IFERROR(VLOOKUP(H445,fixed_expenses[],2,0),"")</f>
        <v/>
      </c>
      <c r="J445" s="17" t="str">
        <f ca="1">IF(HLOOKUP(J439,Summary!$I$2:$AM$7,6,0)=0,"",HLOOKUP(J439,Summary!$I$2:$AM$7,6,0))</f>
        <v/>
      </c>
      <c r="K445" s="71" t="str">
        <f ca="1">IFERROR(VLOOKUP(J445,fixed_expenses[],2,0),"")</f>
        <v/>
      </c>
      <c r="L445" s="17" t="str">
        <f ca="1">IF(HLOOKUP(L439,Summary!$I$2:$AM$7,6,0)=0,"",HLOOKUP(L439,Summary!$I$2:$AM$7,6,0))</f>
        <v/>
      </c>
      <c r="M445" s="71" t="str">
        <f ca="1">IFERROR(VLOOKUP(L445,fixed_expenses[],2,0),"")</f>
        <v/>
      </c>
      <c r="N445" s="17" t="str">
        <f ca="1">IF(HLOOKUP(N439,Summary!$I$2:$AM$7,6,0)=0,"",HLOOKUP(N439,Summary!$I$2:$AM$7,6,0))</f>
        <v/>
      </c>
      <c r="O445" s="71" t="str">
        <f ca="1">IFERROR(VLOOKUP(N445,fixed_expenses[],2,0),"")</f>
        <v/>
      </c>
      <c r="P445" s="22"/>
    </row>
    <row r="446" spans="1:16" ht="11.25" customHeight="1" x14ac:dyDescent="0.2">
      <c r="A446" s="43" t="s">
        <v>311</v>
      </c>
      <c r="B446" s="26" t="s">
        <v>8</v>
      </c>
      <c r="C446" s="27">
        <f ca="1">SUM(C441:C445)</f>
        <v>0</v>
      </c>
      <c r="D446" s="26"/>
      <c r="E446" s="27">
        <f ca="1">SUM(E441:E445)</f>
        <v>0</v>
      </c>
      <c r="F446" s="26"/>
      <c r="G446" s="27">
        <f ca="1">SUM(G441:G445)</f>
        <v>0</v>
      </c>
      <c r="H446" s="26"/>
      <c r="I446" s="27">
        <f ca="1">SUM(I441:I445)</f>
        <v>0</v>
      </c>
      <c r="J446" s="26"/>
      <c r="K446" s="27">
        <f ca="1">SUM(K441:K445)</f>
        <v>0</v>
      </c>
      <c r="L446" s="26"/>
      <c r="M446" s="27">
        <f ca="1">SUM(M441:M445)</f>
        <v>0</v>
      </c>
      <c r="N446" s="26"/>
      <c r="O446" s="28">
        <f ca="1">SUM(O441:O445)</f>
        <v>0</v>
      </c>
      <c r="P446" s="29">
        <f ca="1">SUM(C446,E446,G446,I446,K446,M446,O446)</f>
        <v>0</v>
      </c>
    </row>
    <row r="447" spans="1:16" x14ac:dyDescent="0.2">
      <c r="B447" s="6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6"/>
    </row>
    <row r="448" spans="1:16" ht="15" customHeight="1" x14ac:dyDescent="0.2">
      <c r="A448" s="43" t="s">
        <v>263</v>
      </c>
      <c r="B448" s="12">
        <f ca="1">DAY(IF(DAY(AugSun1)=1,AugSun1+22,AugSun1+29))</f>
        <v>29</v>
      </c>
      <c r="C448" s="13"/>
      <c r="D448" s="12">
        <f ca="1">DAY(IF(DAY(AugSun1)=1,AugSun1+23,AugSun1+30))</f>
        <v>30</v>
      </c>
      <c r="E448" s="13"/>
      <c r="F448" s="12">
        <f ca="1">DAY(IF(DAY(AugSun1)=1,AugSun1+24,AugSun1+31))</f>
        <v>31</v>
      </c>
      <c r="G448" s="13"/>
      <c r="H448" s="12">
        <f ca="1">DAY(IF(DAY(AugSun1)=1,AugSun1+25,AugSun1+32))</f>
        <v>1</v>
      </c>
      <c r="I448" s="13"/>
      <c r="J448" s="12">
        <f ca="1">DAY(IF(DAY(AugSun1)=1,AugSun1+26,AugSun1+33))</f>
        <v>2</v>
      </c>
      <c r="K448" s="13"/>
      <c r="L448" s="12">
        <f ca="1">DAY(IF(DAY(AugSun1)=1,AugSun1+27,AugSun1+34))</f>
        <v>3</v>
      </c>
      <c r="M448" s="13"/>
      <c r="N448" s="12">
        <f ca="1">DAY(IF(DAY(AugSun1)=1,AugSun1+28,AugSun1+35))</f>
        <v>4</v>
      </c>
      <c r="O448" s="13"/>
      <c r="P448" s="25"/>
    </row>
    <row r="449" spans="1:16" ht="11.25" customHeight="1" x14ac:dyDescent="0.2">
      <c r="A449" s="43" t="s">
        <v>143</v>
      </c>
      <c r="B449" s="37" t="s">
        <v>9</v>
      </c>
      <c r="C449" s="39" t="s">
        <v>10</v>
      </c>
      <c r="D449" s="37" t="s">
        <v>9</v>
      </c>
      <c r="E449" s="39" t="s">
        <v>10</v>
      </c>
      <c r="F449" s="37" t="s">
        <v>9</v>
      </c>
      <c r="G449" s="39" t="s">
        <v>10</v>
      </c>
      <c r="H449" s="37" t="s">
        <v>9</v>
      </c>
      <c r="I449" s="39" t="s">
        <v>10</v>
      </c>
      <c r="J449" s="37" t="s">
        <v>9</v>
      </c>
      <c r="K449" s="39" t="s">
        <v>10</v>
      </c>
      <c r="L449" s="37" t="s">
        <v>9</v>
      </c>
      <c r="M449" s="39" t="s">
        <v>10</v>
      </c>
      <c r="N449" s="37" t="s">
        <v>9</v>
      </c>
      <c r="O449" s="40" t="s">
        <v>10</v>
      </c>
      <c r="P449" s="22"/>
    </row>
    <row r="450" spans="1:16" ht="11.25" customHeight="1" x14ac:dyDescent="0.2">
      <c r="A450" s="43" t="s">
        <v>211</v>
      </c>
      <c r="B450" s="17" t="str">
        <f ca="1">IF(HLOOKUP(B448,Summary!$I$2:$AM$7,2,0)=0,"",HLOOKUP(B448,Summary!$I$2:$AM$7,2,0))</f>
        <v/>
      </c>
      <c r="C450" s="71" t="str">
        <f ca="1">IFERROR(VLOOKUP(B450,fixed_expenses[],2,0),"")</f>
        <v/>
      </c>
      <c r="D450" s="17" t="str">
        <f ca="1">IF(HLOOKUP(D448,Summary!$I$2:$AM$7,2,0)=0,"",HLOOKUP(D448,Summary!$I$2:$AM$7,2,0))</f>
        <v/>
      </c>
      <c r="E450" s="71" t="str">
        <f ca="1">IFERROR(VLOOKUP(D450,fixed_expenses[],2,0),"")</f>
        <v/>
      </c>
      <c r="F450" s="17" t="str">
        <f ca="1">IF(HLOOKUP(F448,Summary!$I$2:$AM$7,2,0)=0,"",HLOOKUP(F448,Summary!$I$2:$AM$7,2,0))</f>
        <v/>
      </c>
      <c r="G450" s="71" t="str">
        <f ca="1">IFERROR(VLOOKUP(F450,fixed_expenses[],2,0),"")</f>
        <v/>
      </c>
      <c r="H450" s="17" t="str">
        <f ca="1">IF(HLOOKUP(H448,Summary!$I$2:$AM$7,2,0)=0,"",HLOOKUP(H448,Summary!$I$2:$AM$7,2,0))</f>
        <v/>
      </c>
      <c r="I450" s="71" t="str">
        <f ca="1">IFERROR(VLOOKUP(H450,fixed_expenses[],2,0),"")</f>
        <v/>
      </c>
      <c r="J450" s="17" t="str">
        <f ca="1">IF(HLOOKUP(J448,Summary!$I$2:$AM$7,2,0)=0,"",HLOOKUP(J448,Summary!$I$2:$AM$7,2,0))</f>
        <v/>
      </c>
      <c r="K450" s="71" t="str">
        <f ca="1">IFERROR(VLOOKUP(J450,fixed_expenses[],2,0),"")</f>
        <v/>
      </c>
      <c r="L450" s="17" t="str">
        <f ca="1">IF(HLOOKUP(L448,Summary!$I$2:$AM$7,2,0)=0,"",HLOOKUP(L448,Summary!$I$2:$AM$7,2,0))</f>
        <v>Rent</v>
      </c>
      <c r="M450" s="71">
        <f ca="1">IFERROR(VLOOKUP(L450,fixed_expenses[],2,0),"")</f>
        <v>1200</v>
      </c>
      <c r="N450" s="17" t="str">
        <f ca="1">IF(HLOOKUP(N448,Summary!$I$2:$AM$7,2,0)=0,"",HLOOKUP(N448,Summary!$I$2:$AM$7,2,0))</f>
        <v/>
      </c>
      <c r="O450" s="71" t="str">
        <f ca="1">IFERROR(VLOOKUP(N450,fixed_expenses[],2,0),"")</f>
        <v/>
      </c>
      <c r="P450" s="22"/>
    </row>
    <row r="451" spans="1:16" ht="11.25" customHeight="1" x14ac:dyDescent="0.2">
      <c r="B451" s="17" t="str">
        <f ca="1">IF(HLOOKUP(B448,Summary!$I$2:$AM$7,3,0)=0,"",HLOOKUP(B448,Summary!$I$2:$AM$7,3,0))</f>
        <v/>
      </c>
      <c r="C451" s="71" t="str">
        <f ca="1">IFERROR(VLOOKUP(B451,fixed_expenses[],2,0),"")</f>
        <v/>
      </c>
      <c r="D451" s="17" t="str">
        <f ca="1">IF(HLOOKUP(D448,Summary!$I$2:$AM$7,3,0)=0,"",HLOOKUP(D448,Summary!$I$2:$AM$7,3,0))</f>
        <v/>
      </c>
      <c r="E451" s="71" t="str">
        <f ca="1">IFERROR(VLOOKUP(D451,fixed_expenses[],2,0),"")</f>
        <v/>
      </c>
      <c r="F451" s="17" t="str">
        <f ca="1">IF(HLOOKUP(F448,Summary!$I$2:$AM$7,3,0)=0,"",HLOOKUP(F448,Summary!$I$2:$AM$7,3,0))</f>
        <v/>
      </c>
      <c r="G451" s="71" t="str">
        <f ca="1">IFERROR(VLOOKUP(F451,fixed_expenses[],2,0),"")</f>
        <v/>
      </c>
      <c r="H451" s="17" t="str">
        <f ca="1">IF(HLOOKUP(H448,Summary!$I$2:$AM$7,3,0)=0,"",HLOOKUP(H448,Summary!$I$2:$AM$7,3,0))</f>
        <v/>
      </c>
      <c r="I451" s="71" t="str">
        <f ca="1">IFERROR(VLOOKUP(H451,fixed_expenses[],2,0),"")</f>
        <v/>
      </c>
      <c r="J451" s="17" t="str">
        <f ca="1">IF(HLOOKUP(J448,Summary!$I$2:$AM$7,3,0)=0,"",HLOOKUP(J448,Summary!$I$2:$AM$7,3,0))</f>
        <v/>
      </c>
      <c r="K451" s="71" t="str">
        <f ca="1">IFERROR(VLOOKUP(J451,fixed_expenses[],2,0),"")</f>
        <v/>
      </c>
      <c r="L451" s="17" t="str">
        <f ca="1">IF(HLOOKUP(L448,Summary!$I$2:$AM$7,3,0)=0,"",HLOOKUP(L448,Summary!$I$2:$AM$7,3,0))</f>
        <v/>
      </c>
      <c r="M451" s="71" t="str">
        <f ca="1">IFERROR(VLOOKUP(L451,fixed_expenses[],2,0),"")</f>
        <v/>
      </c>
      <c r="N451" s="17" t="str">
        <f ca="1">IF(HLOOKUP(N448,Summary!$I$2:$AM$7,3,0)=0,"",HLOOKUP(N448,Summary!$I$2:$AM$7,3,0))</f>
        <v/>
      </c>
      <c r="O451" s="71" t="str">
        <f ca="1">IFERROR(VLOOKUP(N451,fixed_expenses[],2,0),"")</f>
        <v/>
      </c>
      <c r="P451" s="22"/>
    </row>
    <row r="452" spans="1:16" ht="11.25" customHeight="1" x14ac:dyDescent="0.2">
      <c r="B452" s="17" t="str">
        <f ca="1">IF(HLOOKUP(B448,Summary!$I$2:$AM$7,4,0)=0,"",HLOOKUP(B448,Summary!$I$2:$AM$7,4,0))</f>
        <v/>
      </c>
      <c r="C452" s="71" t="str">
        <f ca="1">IFERROR(VLOOKUP(B452,fixed_expenses[],2,0),"")</f>
        <v/>
      </c>
      <c r="D452" s="17" t="str">
        <f ca="1">IF(HLOOKUP(D448,Summary!$I$2:$AM$7,4,0)=0,"",HLOOKUP(D448,Summary!$I$2:$AM$7,4,0))</f>
        <v/>
      </c>
      <c r="E452" s="71" t="str">
        <f ca="1">IFERROR(VLOOKUP(D452,fixed_expenses[],2,0),"")</f>
        <v/>
      </c>
      <c r="F452" s="17" t="str">
        <f ca="1">IF(HLOOKUP(F448,Summary!$I$2:$AM$7,4,0)=0,"",HLOOKUP(F448,Summary!$I$2:$AM$7,4,0))</f>
        <v/>
      </c>
      <c r="G452" s="71" t="str">
        <f ca="1">IFERROR(VLOOKUP(F452,fixed_expenses[],2,0),"")</f>
        <v/>
      </c>
      <c r="H452" s="17" t="str">
        <f ca="1">IF(HLOOKUP(H448,Summary!$I$2:$AM$7,4,0)=0,"",HLOOKUP(H448,Summary!$I$2:$AM$7,4,0))</f>
        <v/>
      </c>
      <c r="I452" s="71" t="str">
        <f ca="1">IFERROR(VLOOKUP(H452,fixed_expenses[],2,0),"")</f>
        <v/>
      </c>
      <c r="J452" s="17" t="str">
        <f ca="1">IF(HLOOKUP(J448,Summary!$I$2:$AM$7,4,0)=0,"",HLOOKUP(J448,Summary!$I$2:$AM$7,4,0))</f>
        <v/>
      </c>
      <c r="K452" s="71" t="str">
        <f ca="1">IFERROR(VLOOKUP(J452,fixed_expenses[],2,0),"")</f>
        <v/>
      </c>
      <c r="L452" s="17" t="str">
        <f ca="1">IF(HLOOKUP(L448,Summary!$I$2:$AM$7,4,0)=0,"",HLOOKUP(L448,Summary!$I$2:$AM$7,4,0))</f>
        <v/>
      </c>
      <c r="M452" s="71" t="str">
        <f ca="1">IFERROR(VLOOKUP(L452,fixed_expenses[],2,0),"")</f>
        <v/>
      </c>
      <c r="N452" s="17" t="str">
        <f ca="1">IF(HLOOKUP(N448,Summary!$I$2:$AM$7,4,0)=0,"",HLOOKUP(N448,Summary!$I$2:$AM$7,4,0))</f>
        <v/>
      </c>
      <c r="O452" s="71" t="str">
        <f ca="1">IFERROR(VLOOKUP(N452,fixed_expenses[],2,0),"")</f>
        <v/>
      </c>
      <c r="P452" s="22"/>
    </row>
    <row r="453" spans="1:16" ht="11.25" customHeight="1" x14ac:dyDescent="0.2">
      <c r="B453" s="17" t="str">
        <f ca="1">IF(HLOOKUP(B448,Summary!$I$2:$AM$7,5,0)=0,"",HLOOKUP(B448,Summary!$I$2:$AM$7,5,0))</f>
        <v/>
      </c>
      <c r="C453" s="71" t="str">
        <f ca="1">IFERROR(VLOOKUP(B453,fixed_expenses[],2,0),"")</f>
        <v/>
      </c>
      <c r="D453" s="17" t="str">
        <f ca="1">IF(HLOOKUP(D448,Summary!$I$2:$AM$7,5,0)=0,"",HLOOKUP(D448,Summary!$I$2:$AM$7,5,0))</f>
        <v/>
      </c>
      <c r="E453" s="71" t="str">
        <f ca="1">IFERROR(VLOOKUP(D453,fixed_expenses[],2,0),"")</f>
        <v/>
      </c>
      <c r="F453" s="17" t="str">
        <f ca="1">IF(HLOOKUP(F448,Summary!$I$2:$AM$7,5,0)=0,"",HLOOKUP(F448,Summary!$I$2:$AM$7,5,0))</f>
        <v/>
      </c>
      <c r="G453" s="71" t="str">
        <f ca="1">IFERROR(VLOOKUP(F453,fixed_expenses[],2,0),"")</f>
        <v/>
      </c>
      <c r="H453" s="17" t="str">
        <f ca="1">IF(HLOOKUP(H448,Summary!$I$2:$AM$7,5,0)=0,"",HLOOKUP(H448,Summary!$I$2:$AM$7,5,0))</f>
        <v/>
      </c>
      <c r="I453" s="71" t="str">
        <f ca="1">IFERROR(VLOOKUP(H453,fixed_expenses[],2,0),"")</f>
        <v/>
      </c>
      <c r="J453" s="17" t="str">
        <f ca="1">IF(HLOOKUP(J448,Summary!$I$2:$AM$7,5,0)=0,"",HLOOKUP(J448,Summary!$I$2:$AM$7,5,0))</f>
        <v/>
      </c>
      <c r="K453" s="71" t="str">
        <f ca="1">IFERROR(VLOOKUP(J453,fixed_expenses[],2,0),"")</f>
        <v/>
      </c>
      <c r="L453" s="17" t="str">
        <f ca="1">IF(HLOOKUP(L448,Summary!$I$2:$AM$7,5,0)=0,"",HLOOKUP(L448,Summary!$I$2:$AM$7,5,0))</f>
        <v/>
      </c>
      <c r="M453" s="71" t="str">
        <f ca="1">IFERROR(VLOOKUP(L453,fixed_expenses[],2,0),"")</f>
        <v/>
      </c>
      <c r="N453" s="17" t="str">
        <f ca="1">IF(HLOOKUP(N448,Summary!$I$2:$AM$7,5,0)=0,"",HLOOKUP(N448,Summary!$I$2:$AM$7,5,0))</f>
        <v/>
      </c>
      <c r="O453" s="71" t="str">
        <f ca="1">IFERROR(VLOOKUP(N453,fixed_expenses[],2,0),"")</f>
        <v/>
      </c>
      <c r="P453" s="22"/>
    </row>
    <row r="454" spans="1:16" ht="11.25" customHeight="1" x14ac:dyDescent="0.2">
      <c r="B454" s="17" t="str">
        <f ca="1">IF(HLOOKUP(B448,Summary!$I$2:$AM$7,6,0)=0,"",HLOOKUP(B448,Summary!$I$2:$AM$7,6,0))</f>
        <v/>
      </c>
      <c r="C454" s="71" t="str">
        <f ca="1">IFERROR(VLOOKUP(B454,fixed_expenses[],2,0),"")</f>
        <v/>
      </c>
      <c r="D454" s="17" t="str">
        <f ca="1">IF(HLOOKUP(D448,Summary!$I$2:$AM$7,6,0)=0,"",HLOOKUP(D448,Summary!$I$2:$AM$7,6,0))</f>
        <v/>
      </c>
      <c r="E454" s="71" t="str">
        <f ca="1">IFERROR(VLOOKUP(D454,fixed_expenses[],2,0),"")</f>
        <v/>
      </c>
      <c r="F454" s="17" t="str">
        <f ca="1">IF(HLOOKUP(F448,Summary!$I$2:$AM$7,6,0)=0,"",HLOOKUP(F448,Summary!$I$2:$AM$7,6,0))</f>
        <v/>
      </c>
      <c r="G454" s="71" t="str">
        <f ca="1">IFERROR(VLOOKUP(F454,fixed_expenses[],2,0),"")</f>
        <v/>
      </c>
      <c r="H454" s="17" t="str">
        <f ca="1">IF(HLOOKUP(H448,Summary!$I$2:$AM$7,6,0)=0,"",HLOOKUP(H448,Summary!$I$2:$AM$7,6,0))</f>
        <v/>
      </c>
      <c r="I454" s="71" t="str">
        <f ca="1">IFERROR(VLOOKUP(H454,fixed_expenses[],2,0),"")</f>
        <v/>
      </c>
      <c r="J454" s="17" t="str">
        <f ca="1">IF(HLOOKUP(J448,Summary!$I$2:$AM$7,6,0)=0,"",HLOOKUP(J448,Summary!$I$2:$AM$7,6,0))</f>
        <v/>
      </c>
      <c r="K454" s="71" t="str">
        <f ca="1">IFERROR(VLOOKUP(J454,fixed_expenses[],2,0),"")</f>
        <v/>
      </c>
      <c r="L454" s="17" t="str">
        <f ca="1">IF(HLOOKUP(L448,Summary!$I$2:$AM$7,6,0)=0,"",HLOOKUP(L448,Summary!$I$2:$AM$7,6,0))</f>
        <v/>
      </c>
      <c r="M454" s="71" t="str">
        <f ca="1">IFERROR(VLOOKUP(L454,fixed_expenses[],2,0),"")</f>
        <v/>
      </c>
      <c r="N454" s="17" t="str">
        <f ca="1">IF(HLOOKUP(N448,Summary!$I$2:$AM$7,6,0)=0,"",HLOOKUP(N448,Summary!$I$2:$AM$7,6,0))</f>
        <v/>
      </c>
      <c r="O454" s="71" t="str">
        <f ca="1">IFERROR(VLOOKUP(N454,fixed_expenses[],2,0),"")</f>
        <v/>
      </c>
      <c r="P454" s="22"/>
    </row>
    <row r="455" spans="1:16" ht="11.25" customHeight="1" x14ac:dyDescent="0.2">
      <c r="A455" s="43" t="s">
        <v>310</v>
      </c>
      <c r="B455" s="26" t="s">
        <v>8</v>
      </c>
      <c r="C455" s="27">
        <f ca="1">SUM(C450:C454)</f>
        <v>0</v>
      </c>
      <c r="D455" s="26"/>
      <c r="E455" s="27">
        <f ca="1">SUM(E450:E454)</f>
        <v>0</v>
      </c>
      <c r="F455" s="26"/>
      <c r="G455" s="27">
        <f ca="1">SUM(G450:G454)</f>
        <v>0</v>
      </c>
      <c r="H455" s="26"/>
      <c r="I455" s="27">
        <f ca="1">SUM(I450:I454)</f>
        <v>0</v>
      </c>
      <c r="J455" s="26"/>
      <c r="K455" s="27">
        <f ca="1">SUM(K450:K454)</f>
        <v>0</v>
      </c>
      <c r="L455" s="26"/>
      <c r="M455" s="27">
        <f ca="1">SUM(M450:M454)</f>
        <v>1200</v>
      </c>
      <c r="N455" s="18"/>
      <c r="O455" s="28">
        <f ca="1">SUM(O450:O454)</f>
        <v>0</v>
      </c>
      <c r="P455" s="29">
        <f ca="1">SUMIF(B448:N448,"&gt;="&amp;15,C455:O455)</f>
        <v>0</v>
      </c>
    </row>
    <row r="456" spans="1:16" x14ac:dyDescent="0.2">
      <c r="B456" s="6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6"/>
    </row>
    <row r="457" spans="1:16" ht="15" customHeight="1" x14ac:dyDescent="0.2">
      <c r="A457" s="43" t="s">
        <v>264</v>
      </c>
      <c r="B457" s="12">
        <f ca="1">DAY(IF(DAY(AugSun1)=1,AugSun1+29,AugSun1+36))</f>
        <v>5</v>
      </c>
      <c r="C457" s="11"/>
      <c r="D457" s="12">
        <f ca="1">DAY(IF(DAY(AugSun1)=1,AugSun1+30,AugSun1+37))</f>
        <v>6</v>
      </c>
      <c r="E457" s="13"/>
      <c r="F457" s="10">
        <f ca="1">DAY(IF(DAY(AugSun1)=1,AugSun1+31,AugSun1+38))</f>
        <v>7</v>
      </c>
      <c r="G457" s="13"/>
      <c r="H457" s="12">
        <f ca="1">DAY(IF(DAY(AugSun1)=1,AugSun1+32,AugSun1+39))</f>
        <v>8</v>
      </c>
      <c r="I457" s="13"/>
      <c r="J457" s="12">
        <f ca="1">DAY(IF(DAY(AugSun1)=1,AugSun1+33,AugSun1+40))</f>
        <v>9</v>
      </c>
      <c r="K457" s="13"/>
      <c r="L457" s="12">
        <f ca="1">DAY(IF(DAY(AugSun1)=1,AugSun1+34,AugSun1+41))</f>
        <v>10</v>
      </c>
      <c r="M457" s="13"/>
      <c r="N457" s="12">
        <f ca="1">DAY(IF(DAY(AugSun1)=1,AugSun1+35,AugSun1+42))</f>
        <v>11</v>
      </c>
      <c r="O457" s="13"/>
      <c r="P457" s="25"/>
    </row>
    <row r="458" spans="1:16" ht="11.25" customHeight="1" x14ac:dyDescent="0.2">
      <c r="A458" s="43" t="s">
        <v>142</v>
      </c>
      <c r="B458" s="37" t="s">
        <v>9</v>
      </c>
      <c r="C458" s="39" t="s">
        <v>10</v>
      </c>
      <c r="D458" s="37" t="s">
        <v>9</v>
      </c>
      <c r="E458" s="39" t="s">
        <v>10</v>
      </c>
      <c r="F458" s="37" t="s">
        <v>9</v>
      </c>
      <c r="G458" s="39" t="s">
        <v>10</v>
      </c>
      <c r="H458" s="37" t="s">
        <v>9</v>
      </c>
      <c r="I458" s="39" t="s">
        <v>10</v>
      </c>
      <c r="J458" s="37" t="s">
        <v>9</v>
      </c>
      <c r="K458" s="39" t="s">
        <v>10</v>
      </c>
      <c r="L458" s="37" t="s">
        <v>9</v>
      </c>
      <c r="M458" s="39" t="s">
        <v>10</v>
      </c>
      <c r="N458" s="37" t="s">
        <v>9</v>
      </c>
      <c r="O458" s="40" t="s">
        <v>10</v>
      </c>
      <c r="P458" s="22"/>
    </row>
    <row r="459" spans="1:16" ht="11.25" customHeight="1" x14ac:dyDescent="0.2">
      <c r="A459" s="43" t="s">
        <v>212</v>
      </c>
      <c r="B459" s="17" t="str">
        <f ca="1">IF(HLOOKUP(B457,Summary!$I$2:$AM$7,2,0)=0,"",HLOOKUP(B457,Summary!$I$2:$AM$7,2,0))</f>
        <v/>
      </c>
      <c r="C459" s="71" t="str">
        <f ca="1">IFERROR(VLOOKUP(B459,fixed_expenses[],2,0),"")</f>
        <v/>
      </c>
      <c r="D459" s="17" t="str">
        <f ca="1">IF(HLOOKUP(D457,Summary!$I$2:$AM$7,2,0)=0,"",HLOOKUP(D457,Summary!$I$2:$AM$7,2,0))</f>
        <v/>
      </c>
      <c r="E459" s="71" t="str">
        <f ca="1">IFERROR(VLOOKUP(D459,fixed_expenses[],2,0),"")</f>
        <v/>
      </c>
      <c r="F459" s="17" t="str">
        <f ca="1">IF(HLOOKUP(F457,Summary!$I$2:$AM$7,2,0)=0,"",HLOOKUP(F457,Summary!$I$2:$AM$7,2,0))</f>
        <v/>
      </c>
      <c r="G459" s="71" t="str">
        <f ca="1">IFERROR(VLOOKUP(F459,fixed_expenses[],2,0),"")</f>
        <v/>
      </c>
      <c r="H459" s="17" t="str">
        <f ca="1">IF(HLOOKUP(H457,Summary!$I$2:$AM$7,2,0)=0,"",HLOOKUP(H457,Summary!$I$2:$AM$7,2,0))</f>
        <v/>
      </c>
      <c r="I459" s="71" t="str">
        <f ca="1">IFERROR(VLOOKUP(H459,fixed_expenses[],2,0),"")</f>
        <v/>
      </c>
      <c r="J459" s="17" t="str">
        <f ca="1">IF(HLOOKUP(J457,Summary!$I$2:$AM$7,2,0)=0,"",HLOOKUP(J457,Summary!$I$2:$AM$7,2,0))</f>
        <v/>
      </c>
      <c r="K459" s="71" t="str">
        <f ca="1">IFERROR(VLOOKUP(J459,fixed_expenses[],2,0),"")</f>
        <v/>
      </c>
      <c r="L459" s="17" t="str">
        <f ca="1">IF(HLOOKUP(L457,Summary!$I$2:$AM$7,2,0)=0,"",HLOOKUP(L457,Summary!$I$2:$AM$7,2,0))</f>
        <v/>
      </c>
      <c r="M459" s="71" t="str">
        <f ca="1">IFERROR(VLOOKUP(L459,fixed_expenses[],2,0),"")</f>
        <v/>
      </c>
      <c r="N459" s="17" t="str">
        <f ca="1">IF(HLOOKUP(N457,Summary!$I$2:$AM$7,2,0)=0,"",HLOOKUP(N457,Summary!$I$2:$AM$7,2,0))</f>
        <v/>
      </c>
      <c r="O459" s="71" t="str">
        <f ca="1">IFERROR(VLOOKUP(N459,fixed_expenses[],2,0),"")</f>
        <v/>
      </c>
      <c r="P459" s="22"/>
    </row>
    <row r="460" spans="1:16" ht="11.25" customHeight="1" x14ac:dyDescent="0.2">
      <c r="B460" s="17" t="str">
        <f ca="1">IF(HLOOKUP(B457,Summary!$I$2:$AM$7,3,0)=0,"",HLOOKUP(B457,Summary!$I$2:$AM$7,3,0))</f>
        <v/>
      </c>
      <c r="C460" s="71" t="str">
        <f ca="1">IFERROR(VLOOKUP(B460,fixed_expenses[],2,0),"")</f>
        <v/>
      </c>
      <c r="D460" s="17" t="str">
        <f ca="1">IF(HLOOKUP(D457,Summary!$I$2:$AM$7,3,0)=0,"",HLOOKUP(D457,Summary!$I$2:$AM$7,3,0))</f>
        <v/>
      </c>
      <c r="E460" s="71" t="str">
        <f ca="1">IFERROR(VLOOKUP(D460,fixed_expenses[],2,0),"")</f>
        <v/>
      </c>
      <c r="F460" s="17" t="str">
        <f ca="1">IF(HLOOKUP(F457,Summary!$I$2:$AM$7,3,0)=0,"",HLOOKUP(F457,Summary!$I$2:$AM$7,3,0))</f>
        <v/>
      </c>
      <c r="G460" s="71" t="str">
        <f ca="1">IFERROR(VLOOKUP(F460,fixed_expenses[],2,0),"")</f>
        <v/>
      </c>
      <c r="H460" s="17" t="str">
        <f ca="1">IF(HLOOKUP(H457,Summary!$I$2:$AM$7,3,0)=0,"",HLOOKUP(H457,Summary!$I$2:$AM$7,3,0))</f>
        <v/>
      </c>
      <c r="I460" s="71" t="str">
        <f ca="1">IFERROR(VLOOKUP(H460,fixed_expenses[],2,0),"")</f>
        <v/>
      </c>
      <c r="J460" s="17" t="str">
        <f ca="1">IF(HLOOKUP(J457,Summary!$I$2:$AM$7,3,0)=0,"",HLOOKUP(J457,Summary!$I$2:$AM$7,3,0))</f>
        <v/>
      </c>
      <c r="K460" s="71" t="str">
        <f ca="1">IFERROR(VLOOKUP(J460,fixed_expenses[],2,0),"")</f>
        <v/>
      </c>
      <c r="L460" s="17" t="str">
        <f ca="1">IF(HLOOKUP(L457,Summary!$I$2:$AM$7,3,0)=0,"",HLOOKUP(L457,Summary!$I$2:$AM$7,3,0))</f>
        <v/>
      </c>
      <c r="M460" s="71" t="str">
        <f ca="1">IFERROR(VLOOKUP(L460,fixed_expenses[],2,0),"")</f>
        <v/>
      </c>
      <c r="N460" s="17" t="str">
        <f ca="1">IF(HLOOKUP(N457,Summary!$I$2:$AM$7,3,0)=0,"",HLOOKUP(N457,Summary!$I$2:$AM$7,3,0))</f>
        <v/>
      </c>
      <c r="O460" s="71" t="str">
        <f ca="1">IFERROR(VLOOKUP(N460,fixed_expenses[],2,0),"")</f>
        <v/>
      </c>
      <c r="P460" s="22"/>
    </row>
    <row r="461" spans="1:16" ht="11.25" customHeight="1" x14ac:dyDescent="0.2">
      <c r="B461" s="17" t="str">
        <f ca="1">IF(HLOOKUP(B457,Summary!$I$2:$AM$7,4,0)=0,"",HLOOKUP(B457,Summary!$I$2:$AM$7,4,0))</f>
        <v/>
      </c>
      <c r="C461" s="71" t="str">
        <f ca="1">IFERROR(VLOOKUP(B461,fixed_expenses[],2,0),"")</f>
        <v/>
      </c>
      <c r="D461" s="17" t="str">
        <f ca="1">IF(HLOOKUP(D457,Summary!$I$2:$AM$7,4,0)=0,"",HLOOKUP(D457,Summary!$I$2:$AM$7,4,0))</f>
        <v/>
      </c>
      <c r="E461" s="71" t="str">
        <f ca="1">IFERROR(VLOOKUP(D461,fixed_expenses[],2,0),"")</f>
        <v/>
      </c>
      <c r="F461" s="17" t="str">
        <f ca="1">IF(HLOOKUP(F457,Summary!$I$2:$AM$7,4,0)=0,"",HLOOKUP(F457,Summary!$I$2:$AM$7,4,0))</f>
        <v/>
      </c>
      <c r="G461" s="71" t="str">
        <f ca="1">IFERROR(VLOOKUP(F461,fixed_expenses[],2,0),"")</f>
        <v/>
      </c>
      <c r="H461" s="17" t="str">
        <f ca="1">IF(HLOOKUP(H457,Summary!$I$2:$AM$7,4,0)=0,"",HLOOKUP(H457,Summary!$I$2:$AM$7,4,0))</f>
        <v/>
      </c>
      <c r="I461" s="71" t="str">
        <f ca="1">IFERROR(VLOOKUP(H461,fixed_expenses[],2,0),"")</f>
        <v/>
      </c>
      <c r="J461" s="17" t="str">
        <f ca="1">IF(HLOOKUP(J457,Summary!$I$2:$AM$7,4,0)=0,"",HLOOKUP(J457,Summary!$I$2:$AM$7,4,0))</f>
        <v/>
      </c>
      <c r="K461" s="71" t="str">
        <f ca="1">IFERROR(VLOOKUP(J461,fixed_expenses[],2,0),"")</f>
        <v/>
      </c>
      <c r="L461" s="17" t="str">
        <f ca="1">IF(HLOOKUP(L457,Summary!$I$2:$AM$7,4,0)=0,"",HLOOKUP(L457,Summary!$I$2:$AM$7,4,0))</f>
        <v/>
      </c>
      <c r="M461" s="71" t="str">
        <f ca="1">IFERROR(VLOOKUP(L461,fixed_expenses[],2,0),"")</f>
        <v/>
      </c>
      <c r="N461" s="17" t="str">
        <f ca="1">IF(HLOOKUP(N457,Summary!$I$2:$AM$7,4,0)=0,"",HLOOKUP(N457,Summary!$I$2:$AM$7,4,0))</f>
        <v/>
      </c>
      <c r="O461" s="71" t="str">
        <f ca="1">IFERROR(VLOOKUP(N461,fixed_expenses[],2,0),"")</f>
        <v/>
      </c>
      <c r="P461" s="22"/>
    </row>
    <row r="462" spans="1:16" ht="11.25" customHeight="1" x14ac:dyDescent="0.2">
      <c r="B462" s="17" t="str">
        <f ca="1">IF(HLOOKUP(B457,Summary!$I$2:$AM$7,5,0)=0,"",HLOOKUP(B457,Summary!$I$2:$AM$7,5,0))</f>
        <v/>
      </c>
      <c r="C462" s="71" t="str">
        <f ca="1">IFERROR(VLOOKUP(B462,fixed_expenses[],2,0),"")</f>
        <v/>
      </c>
      <c r="D462" s="17" t="str">
        <f ca="1">IF(HLOOKUP(D457,Summary!$I$2:$AM$7,5,0)=0,"",HLOOKUP(D457,Summary!$I$2:$AM$7,5,0))</f>
        <v/>
      </c>
      <c r="E462" s="71" t="str">
        <f ca="1">IFERROR(VLOOKUP(D462,fixed_expenses[],2,0),"")</f>
        <v/>
      </c>
      <c r="F462" s="17" t="str">
        <f ca="1">IF(HLOOKUP(F457,Summary!$I$2:$AM$7,5,0)=0,"",HLOOKUP(F457,Summary!$I$2:$AM$7,5,0))</f>
        <v/>
      </c>
      <c r="G462" s="71" t="str">
        <f ca="1">IFERROR(VLOOKUP(F462,fixed_expenses[],2,0),"")</f>
        <v/>
      </c>
      <c r="H462" s="17" t="str">
        <f ca="1">IF(HLOOKUP(H457,Summary!$I$2:$AM$7,5,0)=0,"",HLOOKUP(H457,Summary!$I$2:$AM$7,5,0))</f>
        <v/>
      </c>
      <c r="I462" s="71" t="str">
        <f ca="1">IFERROR(VLOOKUP(H462,fixed_expenses[],2,0),"")</f>
        <v/>
      </c>
      <c r="J462" s="17" t="str">
        <f ca="1">IF(HLOOKUP(J457,Summary!$I$2:$AM$7,5,0)=0,"",HLOOKUP(J457,Summary!$I$2:$AM$7,5,0))</f>
        <v/>
      </c>
      <c r="K462" s="71" t="str">
        <f ca="1">IFERROR(VLOOKUP(J462,fixed_expenses[],2,0),"")</f>
        <v/>
      </c>
      <c r="L462" s="17" t="str">
        <f ca="1">IF(HLOOKUP(L457,Summary!$I$2:$AM$7,5,0)=0,"",HLOOKUP(L457,Summary!$I$2:$AM$7,5,0))</f>
        <v/>
      </c>
      <c r="M462" s="71" t="str">
        <f ca="1">IFERROR(VLOOKUP(L462,fixed_expenses[],2,0),"")</f>
        <v/>
      </c>
      <c r="N462" s="17" t="str">
        <f ca="1">IF(HLOOKUP(N457,Summary!$I$2:$AM$7,5,0)=0,"",HLOOKUP(N457,Summary!$I$2:$AM$7,5,0))</f>
        <v/>
      </c>
      <c r="O462" s="71" t="str">
        <f ca="1">IFERROR(VLOOKUP(N462,fixed_expenses[],2,0),"")</f>
        <v/>
      </c>
      <c r="P462" s="22"/>
    </row>
    <row r="463" spans="1:16" ht="11.25" customHeight="1" x14ac:dyDescent="0.2">
      <c r="B463" s="17" t="str">
        <f ca="1">IF(HLOOKUP(B457,Summary!$I$2:$AM$7,6,0)=0,"",HLOOKUP(B457,Summary!$I$2:$AM$7,6,0))</f>
        <v/>
      </c>
      <c r="C463" s="71" t="str">
        <f ca="1">IFERROR(VLOOKUP(B463,fixed_expenses[],2,0),"")</f>
        <v/>
      </c>
      <c r="D463" s="17" t="str">
        <f ca="1">IF(HLOOKUP(D457,Summary!$I$2:$AM$7,6,0)=0,"",HLOOKUP(D457,Summary!$I$2:$AM$7,6,0))</f>
        <v/>
      </c>
      <c r="E463" s="71" t="str">
        <f ca="1">IFERROR(VLOOKUP(D463,fixed_expenses[],2,0),"")</f>
        <v/>
      </c>
      <c r="F463" s="17" t="str">
        <f ca="1">IF(HLOOKUP(F457,Summary!$I$2:$AM$7,6,0)=0,"",HLOOKUP(F457,Summary!$I$2:$AM$7,6,0))</f>
        <v/>
      </c>
      <c r="G463" s="71" t="str">
        <f ca="1">IFERROR(VLOOKUP(F463,fixed_expenses[],2,0),"")</f>
        <v/>
      </c>
      <c r="H463" s="17" t="str">
        <f ca="1">IF(HLOOKUP(H457,Summary!$I$2:$AM$7,6,0)=0,"",HLOOKUP(H457,Summary!$I$2:$AM$7,6,0))</f>
        <v/>
      </c>
      <c r="I463" s="71" t="str">
        <f ca="1">IFERROR(VLOOKUP(H463,fixed_expenses[],2,0),"")</f>
        <v/>
      </c>
      <c r="J463" s="17" t="str">
        <f ca="1">IF(HLOOKUP(J457,Summary!$I$2:$AM$7,6,0)=0,"",HLOOKUP(J457,Summary!$I$2:$AM$7,6,0))</f>
        <v/>
      </c>
      <c r="K463" s="71" t="str">
        <f ca="1">IFERROR(VLOOKUP(J463,fixed_expenses[],2,0),"")</f>
        <v/>
      </c>
      <c r="L463" s="17" t="str">
        <f ca="1">IF(HLOOKUP(L457,Summary!$I$2:$AM$7,6,0)=0,"",HLOOKUP(L457,Summary!$I$2:$AM$7,6,0))</f>
        <v/>
      </c>
      <c r="M463" s="71" t="str">
        <f ca="1">IFERROR(VLOOKUP(L463,fixed_expenses[],2,0),"")</f>
        <v/>
      </c>
      <c r="N463" s="17" t="str">
        <f ca="1">IF(HLOOKUP(N457,Summary!$I$2:$AM$7,6,0)=0,"",HLOOKUP(N457,Summary!$I$2:$AM$7,6,0))</f>
        <v/>
      </c>
      <c r="O463" s="71" t="str">
        <f ca="1">IFERROR(VLOOKUP(N463,fixed_expenses[],2,0),"")</f>
        <v/>
      </c>
      <c r="P463" s="22"/>
    </row>
    <row r="464" spans="1:16" ht="11.25" customHeight="1" x14ac:dyDescent="0.2">
      <c r="A464" s="43" t="s">
        <v>309</v>
      </c>
      <c r="B464" s="26" t="s">
        <v>8</v>
      </c>
      <c r="C464" s="27">
        <f ca="1">SUM(C459:C463)</f>
        <v>0</v>
      </c>
      <c r="D464" s="18"/>
      <c r="E464" s="27">
        <f ca="1">SUM(E459:E463)</f>
        <v>0</v>
      </c>
      <c r="F464" s="18"/>
      <c r="G464" s="27">
        <f ca="1">SUM(G459:G463)</f>
        <v>0</v>
      </c>
      <c r="H464" s="18"/>
      <c r="I464" s="27">
        <f ca="1">SUM(I459:I463)</f>
        <v>0</v>
      </c>
      <c r="J464" s="18"/>
      <c r="K464" s="27">
        <f ca="1">SUM(K459:K463)</f>
        <v>0</v>
      </c>
      <c r="L464" s="18"/>
      <c r="M464" s="27">
        <f ca="1">SUM(M459:M463)</f>
        <v>0</v>
      </c>
      <c r="N464" s="18"/>
      <c r="O464" s="28">
        <f ca="1">SUM(O459:O463)</f>
        <v>0</v>
      </c>
      <c r="P464" s="29">
        <f ca="1">SUMIF(B457:N457,"&gt;="&amp;15,C464:O464)</f>
        <v>0</v>
      </c>
    </row>
    <row r="465" spans="1:16" ht="17.25" customHeight="1" x14ac:dyDescent="0.2"/>
    <row r="466" spans="1:16" ht="12" customHeight="1" x14ac:dyDescent="0.2">
      <c r="A466" s="43" t="s">
        <v>83</v>
      </c>
      <c r="B466" s="59" t="s">
        <v>21</v>
      </c>
      <c r="C466" s="59"/>
      <c r="D466" s="59"/>
      <c r="E466" s="59"/>
      <c r="F466"/>
      <c r="G466" s="4"/>
      <c r="H466"/>
      <c r="I466" s="4"/>
      <c r="J466"/>
      <c r="K466" s="4"/>
      <c r="L466" s="45" t="s">
        <v>12</v>
      </c>
      <c r="M466" s="45"/>
      <c r="N466" s="45" t="s">
        <v>13</v>
      </c>
      <c r="O466" s="45"/>
      <c r="P466"/>
    </row>
    <row r="467" spans="1:16" ht="25.5" customHeight="1" x14ac:dyDescent="0.2">
      <c r="A467" s="43" t="s">
        <v>96</v>
      </c>
      <c r="B467" s="59"/>
      <c r="C467" s="59"/>
      <c r="D467" s="59"/>
      <c r="E467" s="59"/>
      <c r="F467" s="3">
        <f ca="1">IFERROR(WEEKDAY(DATEVALUE(B466&amp;" 1, "&amp;Year1)),"")</f>
        <v>4</v>
      </c>
      <c r="G467" s="4"/>
      <c r="H467"/>
      <c r="I467" s="7"/>
      <c r="J467" s="8"/>
      <c r="K467" s="4"/>
      <c r="L467" s="46">
        <f ca="1">SUM(P477,P486,P495,P504,P513,P522)</f>
        <v>1774</v>
      </c>
      <c r="M467" s="47"/>
      <c r="N467" s="46">
        <f ca="1">SUM(P:P)</f>
        <v>21288</v>
      </c>
      <c r="O467" s="48"/>
      <c r="P467"/>
    </row>
    <row r="468" spans="1:16" ht="9" customHeight="1" x14ac:dyDescent="0.2">
      <c r="A468" s="43" t="s">
        <v>357</v>
      </c>
      <c r="B468" s="50">
        <v>1</v>
      </c>
      <c r="C468" s="50"/>
      <c r="D468" s="50">
        <v>2</v>
      </c>
      <c r="E468" s="50"/>
      <c r="F468" s="50">
        <v>3</v>
      </c>
      <c r="G468" s="50"/>
      <c r="H468" s="50">
        <v>4</v>
      </c>
      <c r="I468" s="50"/>
      <c r="J468" s="50">
        <v>5</v>
      </c>
      <c r="K468" s="50"/>
      <c r="L468" s="50">
        <v>6</v>
      </c>
      <c r="M468" s="50"/>
      <c r="N468" s="50">
        <v>7</v>
      </c>
      <c r="O468" s="50"/>
      <c r="P468" s="2"/>
    </row>
    <row r="469" spans="1:16" ht="15" customHeight="1" x14ac:dyDescent="0.2">
      <c r="A469" s="43" t="s">
        <v>103</v>
      </c>
      <c r="B469" s="60" t="s">
        <v>0</v>
      </c>
      <c r="C469" s="61"/>
      <c r="D469" s="62" t="s">
        <v>1</v>
      </c>
      <c r="E469" s="63" t="e">
        <f ca="1">IF(WEEKDAY(DATEVALUE(Month1&amp;" 1, "&amp;Year1))=COLUMN(#REF!),1,IF(LEN(C469)&gt;0,C469+1,""))</f>
        <v>#VALUE!</v>
      </c>
      <c r="F469" s="61" t="s">
        <v>2</v>
      </c>
      <c r="G469" s="61" t="e">
        <f ca="1">IF(WEEKDAY(DATEVALUE(Month1&amp;" 1, "&amp;Year1))=COLUMN(#REF!),1,IF(LEN(E469)&gt;0,E469+1,""))</f>
        <v>#VALUE!</v>
      </c>
      <c r="H469" s="62" t="s">
        <v>3</v>
      </c>
      <c r="I469" s="63" t="e">
        <f ca="1">IF(WEEKDAY(DATEVALUE(Month1&amp;" 1, "&amp;Year1))=COLUMN(#REF!),1,IF(LEN(G469)&gt;0,G469+1,""))</f>
        <v>#VALUE!</v>
      </c>
      <c r="J469" s="64" t="s">
        <v>4</v>
      </c>
      <c r="K469" s="65" t="e">
        <f ca="1">IF(WEEKDAY(DATEVALUE(Month1&amp;" 1, "&amp;Year1))=COLUMN(#REF!),1,IF(LEN(I469)&gt;0,I469+1,""))</f>
        <v>#VALUE!</v>
      </c>
      <c r="L469" s="66" t="s">
        <v>5</v>
      </c>
      <c r="M469" s="67" t="e">
        <f ca="1">IF(WEEKDAY(DATEVALUE(Month1&amp;" 1, "&amp;Year1))=COLUMN(#REF!),1,IF(LEN(K469)&gt;0,K469+1,""))</f>
        <v>#VALUE!</v>
      </c>
      <c r="N469" s="66" t="s">
        <v>6</v>
      </c>
      <c r="O469" s="67" t="e">
        <f ca="1">IF(WEEKDAY(DATEVALUE(Month1&amp;" 1, "&amp;Year1))=COLUMN(#REF!),1,IF(LEN(M469)&gt;0,M469+1,""))</f>
        <v>#VALUE!</v>
      </c>
      <c r="P469" s="42" t="s">
        <v>7</v>
      </c>
    </row>
    <row r="470" spans="1:16" ht="15" customHeight="1" x14ac:dyDescent="0.2">
      <c r="A470" s="43" t="s">
        <v>114</v>
      </c>
      <c r="B470" s="14">
        <f ca="1">DAY(IF(DAY(SepSun1)=1,SepSun1-6,SepSun1+1))</f>
        <v>29</v>
      </c>
      <c r="C470" s="16"/>
      <c r="D470" s="19">
        <f ca="1">DAY(IF(DAY(SepSun1)=1,SepSun1-5,SepSun1+2))</f>
        <v>30</v>
      </c>
      <c r="E470" s="16"/>
      <c r="F470" s="19">
        <f ca="1">DAY(IF(DAY(SepSun1)=1,SepSun1-4,SepSun1+3))</f>
        <v>31</v>
      </c>
      <c r="G470" s="16"/>
      <c r="H470" s="19">
        <f ca="1">DAY(IF(DAY(SepSun1)=1,SepSun1-3,SepSun1+4))</f>
        <v>1</v>
      </c>
      <c r="I470" s="16"/>
      <c r="J470" s="19">
        <f ca="1">DAY(IF(DAY(SepSun1)=1,SepSun1-2,SepSun1+5))</f>
        <v>2</v>
      </c>
      <c r="K470" s="16"/>
      <c r="L470" s="19">
        <f ca="1">DAY(IF(DAY(SepSun1)=1,SepSun1-1,SepSun1+6))</f>
        <v>3</v>
      </c>
      <c r="M470" s="16"/>
      <c r="N470" s="20">
        <f ca="1">DAY(IF(DAY(SepSun1)=1,SepSun1,SepSun1+7))</f>
        <v>4</v>
      </c>
      <c r="O470" s="15"/>
      <c r="P470" s="21"/>
    </row>
    <row r="471" spans="1:16" ht="11.25" customHeight="1" x14ac:dyDescent="0.2">
      <c r="A471" s="43" t="s">
        <v>141</v>
      </c>
      <c r="B471" s="41" t="s">
        <v>9</v>
      </c>
      <c r="C471" s="36" t="s">
        <v>10</v>
      </c>
      <c r="D471" s="35" t="s">
        <v>9</v>
      </c>
      <c r="E471" s="36" t="s">
        <v>10</v>
      </c>
      <c r="F471" s="35" t="s">
        <v>9</v>
      </c>
      <c r="G471" s="36" t="s">
        <v>10</v>
      </c>
      <c r="H471" s="35" t="s">
        <v>9</v>
      </c>
      <c r="I471" s="36" t="s">
        <v>10</v>
      </c>
      <c r="J471" s="35" t="s">
        <v>9</v>
      </c>
      <c r="K471" s="36" t="s">
        <v>10</v>
      </c>
      <c r="L471" s="35" t="s">
        <v>9</v>
      </c>
      <c r="M471" s="36" t="s">
        <v>10</v>
      </c>
      <c r="N471" s="37" t="s">
        <v>9</v>
      </c>
      <c r="O471" s="38" t="s">
        <v>10</v>
      </c>
      <c r="P471" s="22"/>
    </row>
    <row r="472" spans="1:16" ht="11.25" customHeight="1" x14ac:dyDescent="0.2">
      <c r="A472" s="43" t="s">
        <v>358</v>
      </c>
      <c r="B472" s="17" t="str">
        <f ca="1">IF(HLOOKUP(B470,Summary!$I$2:$AM$7,2,0)=0,"",HLOOKUP(B470,Summary!$I$2:$AM$7,2,0))</f>
        <v/>
      </c>
      <c r="C472" s="71" t="str">
        <f ca="1">IFERROR(VLOOKUP(B472,fixed_expenses[],2,0),"")</f>
        <v/>
      </c>
      <c r="D472" s="17" t="str">
        <f ca="1">IF(HLOOKUP(D470,Summary!$I$2:$AM$7,2,0)=0,"",HLOOKUP(D470,Summary!$I$2:$AM$7,2,0))</f>
        <v/>
      </c>
      <c r="E472" s="71" t="str">
        <f ca="1">IFERROR(VLOOKUP(D472,fixed_expenses[],2,0),"")</f>
        <v/>
      </c>
      <c r="F472" s="17" t="str">
        <f ca="1">IF(HLOOKUP(F470,Summary!$I$2:$AM$7,2,0)=0,"",HLOOKUP(F470,Summary!$I$2:$AM$7,2,0))</f>
        <v/>
      </c>
      <c r="G472" s="71" t="str">
        <f ca="1">IFERROR(VLOOKUP(F472,fixed_expenses[],2,0),"")</f>
        <v/>
      </c>
      <c r="H472" s="17" t="str">
        <f ca="1">IF(HLOOKUP(H470,Summary!$I$2:$AM$7,2,0)=0,"",HLOOKUP(H470,Summary!$I$2:$AM$7,2,0))</f>
        <v/>
      </c>
      <c r="I472" s="71" t="str">
        <f ca="1">IFERROR(VLOOKUP(H472,fixed_expenses[],2,0),"")</f>
        <v/>
      </c>
      <c r="J472" s="17" t="str">
        <f ca="1">IF(HLOOKUP(J470,Summary!$I$2:$AM$7,2,0)=0,"",HLOOKUP(J470,Summary!$I$2:$AM$7,2,0))</f>
        <v/>
      </c>
      <c r="K472" s="71" t="str">
        <f ca="1">IFERROR(VLOOKUP(J472,fixed_expenses[],2,0),"")</f>
        <v/>
      </c>
      <c r="L472" s="17" t="str">
        <f ca="1">IF(HLOOKUP(L470,Summary!$I$2:$AM$7,2,0)=0,"",HLOOKUP(L470,Summary!$I$2:$AM$7,2,0))</f>
        <v>Rent</v>
      </c>
      <c r="M472" s="71">
        <f ca="1">IFERROR(VLOOKUP(L472,fixed_expenses[],2,0),"")</f>
        <v>1200</v>
      </c>
      <c r="N472" s="17" t="str">
        <f ca="1">IF(HLOOKUP(N470,Summary!$I$2:$AM$7,2,0)=0,"",HLOOKUP(N470,Summary!$I$2:$AM$7,2,0))</f>
        <v/>
      </c>
      <c r="O472" s="71" t="str">
        <f ca="1">IFERROR(VLOOKUP(N472,fixed_expenses[],2,0),"")</f>
        <v/>
      </c>
      <c r="P472" s="22"/>
    </row>
    <row r="473" spans="1:16" ht="11.25" customHeight="1" x14ac:dyDescent="0.2">
      <c r="B473" s="17" t="str">
        <f ca="1">IF(HLOOKUP(B470,Summary!$I$2:$AM$7,3,0)=0,"",HLOOKUP(B470,Summary!$I$2:$AM$7,3,0))</f>
        <v/>
      </c>
      <c r="C473" s="71" t="str">
        <f ca="1">IFERROR(VLOOKUP(B473,fixed_expenses[],2,0),"")</f>
        <v/>
      </c>
      <c r="D473" s="17" t="str">
        <f ca="1">IF(HLOOKUP(D470,Summary!$I$2:$AM$7,3,0)=0,"",HLOOKUP(D470,Summary!$I$2:$AM$7,3,0))</f>
        <v/>
      </c>
      <c r="E473" s="71" t="str">
        <f ca="1">IFERROR(VLOOKUP(D473,fixed_expenses[],2,0),"")</f>
        <v/>
      </c>
      <c r="F473" s="17" t="str">
        <f ca="1">IF(HLOOKUP(F470,Summary!$I$2:$AM$7,3,0)=0,"",HLOOKUP(F470,Summary!$I$2:$AM$7,3,0))</f>
        <v/>
      </c>
      <c r="G473" s="71" t="str">
        <f ca="1">IFERROR(VLOOKUP(F473,fixed_expenses[],2,0),"")</f>
        <v/>
      </c>
      <c r="H473" s="17" t="str">
        <f ca="1">IF(HLOOKUP(H470,Summary!$I$2:$AM$7,3,0)=0,"",HLOOKUP(H470,Summary!$I$2:$AM$7,3,0))</f>
        <v/>
      </c>
      <c r="I473" s="71" t="str">
        <f ca="1">IFERROR(VLOOKUP(H473,fixed_expenses[],2,0),"")</f>
        <v/>
      </c>
      <c r="J473" s="17" t="str">
        <f ca="1">IF(HLOOKUP(J470,Summary!$I$2:$AM$7,3,0)=0,"",HLOOKUP(J470,Summary!$I$2:$AM$7,3,0))</f>
        <v/>
      </c>
      <c r="K473" s="71" t="str">
        <f ca="1">IFERROR(VLOOKUP(J473,fixed_expenses[],2,0),"")</f>
        <v/>
      </c>
      <c r="L473" s="17" t="s">
        <v>384</v>
      </c>
      <c r="M473" s="71">
        <f>IFERROR(VLOOKUP(L473,fixed_expenses[],2,0),"")</f>
        <v>232</v>
      </c>
      <c r="N473" s="17" t="str">
        <f ca="1">IF(HLOOKUP(N470,Summary!$I$2:$AM$7,3,0)=0,"",HLOOKUP(N470,Summary!$I$2:$AM$7,3,0))</f>
        <v/>
      </c>
      <c r="O473" s="71" t="str">
        <f ca="1">IFERROR(VLOOKUP(N473,fixed_expenses[],2,0),"")</f>
        <v/>
      </c>
      <c r="P473" s="22"/>
    </row>
    <row r="474" spans="1:16" ht="11.25" customHeight="1" x14ac:dyDescent="0.2">
      <c r="B474" s="17" t="str">
        <f ca="1">IF(HLOOKUP(B470,Summary!$I$2:$AM$7,4,0)=0,"",HLOOKUP(B470,Summary!$I$2:$AM$7,4,0))</f>
        <v/>
      </c>
      <c r="C474" s="71" t="str">
        <f ca="1">IFERROR(VLOOKUP(B474,fixed_expenses[],2,0),"")</f>
        <v/>
      </c>
      <c r="D474" s="17" t="str">
        <f ca="1">IF(HLOOKUP(D470,Summary!$I$2:$AM$7,4,0)=0,"",HLOOKUP(D470,Summary!$I$2:$AM$7,4,0))</f>
        <v/>
      </c>
      <c r="E474" s="71" t="str">
        <f ca="1">IFERROR(VLOOKUP(D474,fixed_expenses[],2,0),"")</f>
        <v/>
      </c>
      <c r="F474" s="17" t="str">
        <f ca="1">IF(HLOOKUP(F470,Summary!$I$2:$AM$7,4,0)=0,"",HLOOKUP(F470,Summary!$I$2:$AM$7,4,0))</f>
        <v/>
      </c>
      <c r="G474" s="71" t="str">
        <f ca="1">IFERROR(VLOOKUP(F474,fixed_expenses[],2,0),"")</f>
        <v/>
      </c>
      <c r="H474" s="17" t="str">
        <f ca="1">IF(HLOOKUP(H470,Summary!$I$2:$AM$7,4,0)=0,"",HLOOKUP(H470,Summary!$I$2:$AM$7,4,0))</f>
        <v/>
      </c>
      <c r="I474" s="71" t="str">
        <f ca="1">IFERROR(VLOOKUP(H474,fixed_expenses[],2,0),"")</f>
        <v/>
      </c>
      <c r="J474" s="17" t="str">
        <f ca="1">IF(HLOOKUP(J470,Summary!$I$2:$AM$7,4,0)=0,"",HLOOKUP(J470,Summary!$I$2:$AM$7,4,0))</f>
        <v/>
      </c>
      <c r="K474" s="71" t="str">
        <f ca="1">IFERROR(VLOOKUP(J474,fixed_expenses[],2,0),"")</f>
        <v/>
      </c>
      <c r="L474" s="17" t="str">
        <f ca="1">IF(HLOOKUP(L470,Summary!$I$2:$AM$7,4,0)=0,"",HLOOKUP(L470,Summary!$I$2:$AM$7,4,0))</f>
        <v/>
      </c>
      <c r="M474" s="71" t="str">
        <f ca="1">IFERROR(VLOOKUP(L474,fixed_expenses[],2,0),"")</f>
        <v/>
      </c>
      <c r="N474" s="17" t="str">
        <f ca="1">IF(HLOOKUP(N470,Summary!$I$2:$AM$7,4,0)=0,"",HLOOKUP(N470,Summary!$I$2:$AM$7,4,0))</f>
        <v/>
      </c>
      <c r="O474" s="71" t="str">
        <f ca="1">IFERROR(VLOOKUP(N474,fixed_expenses[],2,0),"")</f>
        <v/>
      </c>
      <c r="P474" s="22"/>
    </row>
    <row r="475" spans="1:16" ht="11.25" customHeight="1" x14ac:dyDescent="0.2">
      <c r="B475" s="17" t="str">
        <f ca="1">IF(HLOOKUP(B470,Summary!$I$2:$AM$7,5,0)=0,"",HLOOKUP(B470,Summary!$I$2:$AM$7,5,0))</f>
        <v/>
      </c>
      <c r="C475" s="71" t="str">
        <f ca="1">IFERROR(VLOOKUP(B475,fixed_expenses[],2,0),"")</f>
        <v/>
      </c>
      <c r="D475" s="17" t="str">
        <f ca="1">IF(HLOOKUP(D470,Summary!$I$2:$AM$7,5,0)=0,"",HLOOKUP(D470,Summary!$I$2:$AM$7,5,0))</f>
        <v/>
      </c>
      <c r="E475" s="71" t="str">
        <f ca="1">IFERROR(VLOOKUP(D475,fixed_expenses[],2,0),"")</f>
        <v/>
      </c>
      <c r="F475" s="17" t="str">
        <f ca="1">IF(HLOOKUP(F470,Summary!$I$2:$AM$7,5,0)=0,"",HLOOKUP(F470,Summary!$I$2:$AM$7,5,0))</f>
        <v/>
      </c>
      <c r="G475" s="71" t="str">
        <f ca="1">IFERROR(VLOOKUP(F475,fixed_expenses[],2,0),"")</f>
        <v/>
      </c>
      <c r="H475" s="17" t="str">
        <f ca="1">IF(HLOOKUP(H470,Summary!$I$2:$AM$7,5,0)=0,"",HLOOKUP(H470,Summary!$I$2:$AM$7,5,0))</f>
        <v/>
      </c>
      <c r="I475" s="71" t="str">
        <f ca="1">IFERROR(VLOOKUP(H475,fixed_expenses[],2,0),"")</f>
        <v/>
      </c>
      <c r="J475" s="17" t="str">
        <f ca="1">IF(HLOOKUP(J470,Summary!$I$2:$AM$7,5,0)=0,"",HLOOKUP(J470,Summary!$I$2:$AM$7,5,0))</f>
        <v/>
      </c>
      <c r="K475" s="71" t="str">
        <f ca="1">IFERROR(VLOOKUP(J475,fixed_expenses[],2,0),"")</f>
        <v/>
      </c>
      <c r="L475" s="17" t="str">
        <f ca="1">IF(HLOOKUP(L470,Summary!$I$2:$AM$7,5,0)=0,"",HLOOKUP(L470,Summary!$I$2:$AM$7,5,0))</f>
        <v/>
      </c>
      <c r="M475" s="71" t="str">
        <f ca="1">IFERROR(VLOOKUP(L475,fixed_expenses[],2,0),"")</f>
        <v/>
      </c>
      <c r="N475" s="17" t="str">
        <f ca="1">IF(HLOOKUP(N470,Summary!$I$2:$AM$7,5,0)=0,"",HLOOKUP(N470,Summary!$I$2:$AM$7,5,0))</f>
        <v/>
      </c>
      <c r="O475" s="71" t="str">
        <f ca="1">IFERROR(VLOOKUP(N475,fixed_expenses[],2,0),"")</f>
        <v/>
      </c>
      <c r="P475" s="22"/>
    </row>
    <row r="476" spans="1:16" ht="11.25" customHeight="1" x14ac:dyDescent="0.2">
      <c r="B476" s="17" t="str">
        <f ca="1">IF(HLOOKUP(B470,Summary!$I$2:$AM$7,6,0)=0,"",HLOOKUP(B470,Summary!$I$2:$AM$7,6,0))</f>
        <v/>
      </c>
      <c r="C476" s="71" t="str">
        <f ca="1">IFERROR(VLOOKUP(B476,fixed_expenses[],2,0),"")</f>
        <v/>
      </c>
      <c r="D476" s="17" t="str">
        <f ca="1">IF(HLOOKUP(D470,Summary!$I$2:$AM$7,6,0)=0,"",HLOOKUP(D470,Summary!$I$2:$AM$7,6,0))</f>
        <v/>
      </c>
      <c r="E476" s="71" t="str">
        <f ca="1">IFERROR(VLOOKUP(D476,fixed_expenses[],2,0),"")</f>
        <v/>
      </c>
      <c r="F476" s="17" t="str">
        <f ca="1">IF(HLOOKUP(F470,Summary!$I$2:$AM$7,6,0)=0,"",HLOOKUP(F470,Summary!$I$2:$AM$7,6,0))</f>
        <v/>
      </c>
      <c r="G476" s="71" t="str">
        <f ca="1">IFERROR(VLOOKUP(F476,fixed_expenses[],2,0),"")</f>
        <v/>
      </c>
      <c r="H476" s="17" t="str">
        <f ca="1">IF(HLOOKUP(H470,Summary!$I$2:$AM$7,6,0)=0,"",HLOOKUP(H470,Summary!$I$2:$AM$7,6,0))</f>
        <v/>
      </c>
      <c r="I476" s="71" t="str">
        <f ca="1">IFERROR(VLOOKUP(H476,fixed_expenses[],2,0),"")</f>
        <v/>
      </c>
      <c r="J476" s="17" t="str">
        <f ca="1">IF(HLOOKUP(J470,Summary!$I$2:$AM$7,6,0)=0,"",HLOOKUP(J470,Summary!$I$2:$AM$7,6,0))</f>
        <v/>
      </c>
      <c r="K476" s="71" t="str">
        <f ca="1">IFERROR(VLOOKUP(J476,fixed_expenses[],2,0),"")</f>
        <v/>
      </c>
      <c r="L476" s="17" t="str">
        <f ca="1">IF(HLOOKUP(L470,Summary!$I$2:$AM$7,6,0)=0,"",HLOOKUP(L470,Summary!$I$2:$AM$7,6,0))</f>
        <v/>
      </c>
      <c r="M476" s="71" t="str">
        <f ca="1">IFERROR(VLOOKUP(L476,fixed_expenses[],2,0),"")</f>
        <v/>
      </c>
      <c r="N476" s="17" t="str">
        <f ca="1">IF(HLOOKUP(N470,Summary!$I$2:$AM$7,6,0)=0,"",HLOOKUP(N470,Summary!$I$2:$AM$7,6,0))</f>
        <v/>
      </c>
      <c r="O476" s="71" t="str">
        <f ca="1">IFERROR(VLOOKUP(N476,fixed_expenses[],2,0),"")</f>
        <v/>
      </c>
      <c r="P476" s="22"/>
    </row>
    <row r="477" spans="1:16" ht="11.25" customHeight="1" x14ac:dyDescent="0.2">
      <c r="A477" s="43" t="s">
        <v>308</v>
      </c>
      <c r="B477" s="26" t="s">
        <v>8</v>
      </c>
      <c r="C477" s="27">
        <f ca="1">SUM(C472:C476)</f>
        <v>0</v>
      </c>
      <c r="D477" s="18"/>
      <c r="E477" s="27">
        <f ca="1">SUM(E472:E476)</f>
        <v>0</v>
      </c>
      <c r="F477" s="18"/>
      <c r="G477" s="27">
        <f ca="1">SUM(G472:G476)</f>
        <v>0</v>
      </c>
      <c r="H477" s="18"/>
      <c r="I477" s="27">
        <f ca="1">SUM(I472:I476)</f>
        <v>0</v>
      </c>
      <c r="J477" s="18"/>
      <c r="K477" s="27">
        <f ca="1">SUM(K472:K476)</f>
        <v>0</v>
      </c>
      <c r="L477" s="18"/>
      <c r="M477" s="27">
        <f ca="1">SUM(M472:M476)</f>
        <v>1432</v>
      </c>
      <c r="N477" s="26"/>
      <c r="O477" s="28">
        <f ca="1">SUM(O472:O476)</f>
        <v>0</v>
      </c>
      <c r="P477" s="29">
        <f ca="1">SUMIF(B470:N470,"&lt;8",C477:O477)</f>
        <v>1432</v>
      </c>
    </row>
    <row r="478" spans="1:16" x14ac:dyDescent="0.2">
      <c r="B478" s="6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6"/>
    </row>
    <row r="479" spans="1:16" ht="15" customHeight="1" x14ac:dyDescent="0.2">
      <c r="A479" s="43" t="s">
        <v>265</v>
      </c>
      <c r="B479" s="12">
        <f ca="1">N470+1</f>
        <v>5</v>
      </c>
      <c r="C479" s="13"/>
      <c r="D479" s="12">
        <f ca="1">B479+1</f>
        <v>6</v>
      </c>
      <c r="E479" s="13"/>
      <c r="F479" s="12">
        <f ca="1">D479+1</f>
        <v>7</v>
      </c>
      <c r="G479" s="13"/>
      <c r="H479" s="12">
        <f ca="1">F479+1</f>
        <v>8</v>
      </c>
      <c r="I479" s="13"/>
      <c r="J479" s="12">
        <f ca="1">H479+1</f>
        <v>9</v>
      </c>
      <c r="K479" s="13"/>
      <c r="L479" s="12">
        <f ca="1">J479+1</f>
        <v>10</v>
      </c>
      <c r="M479" s="13"/>
      <c r="N479" s="12">
        <f ca="1">L479+1</f>
        <v>11</v>
      </c>
      <c r="O479" s="13"/>
      <c r="P479" s="23"/>
    </row>
    <row r="480" spans="1:16" ht="11.25" customHeight="1" x14ac:dyDescent="0.2">
      <c r="A480" s="43" t="s">
        <v>140</v>
      </c>
      <c r="B480" s="37" t="s">
        <v>9</v>
      </c>
      <c r="C480" s="39" t="s">
        <v>10</v>
      </c>
      <c r="D480" s="37" t="s">
        <v>9</v>
      </c>
      <c r="E480" s="39" t="s">
        <v>10</v>
      </c>
      <c r="F480" s="37" t="s">
        <v>9</v>
      </c>
      <c r="G480" s="39" t="s">
        <v>10</v>
      </c>
      <c r="H480" s="37" t="s">
        <v>9</v>
      </c>
      <c r="I480" s="39" t="s">
        <v>10</v>
      </c>
      <c r="J480" s="37" t="s">
        <v>9</v>
      </c>
      <c r="K480" s="39" t="s">
        <v>10</v>
      </c>
      <c r="L480" s="37" t="s">
        <v>9</v>
      </c>
      <c r="M480" s="39" t="s">
        <v>10</v>
      </c>
      <c r="N480" s="37" t="s">
        <v>9</v>
      </c>
      <c r="O480" s="40" t="s">
        <v>10</v>
      </c>
      <c r="P480" s="22"/>
    </row>
    <row r="481" spans="1:16" ht="11.25" customHeight="1" x14ac:dyDescent="0.2">
      <c r="A481" s="43" t="s">
        <v>213</v>
      </c>
      <c r="B481" s="17" t="str">
        <f ca="1">IF(HLOOKUP(B479,Summary!$I$2:$AM$7,2,0)=0,"",HLOOKUP(B479,Summary!$I$2:$AM$7,2,0))</f>
        <v/>
      </c>
      <c r="C481" s="71" t="str">
        <f ca="1">IFERROR(VLOOKUP(B481,fixed_expenses[],2,0),"")</f>
        <v/>
      </c>
      <c r="D481" s="17" t="str">
        <f ca="1">IF(HLOOKUP(D479,Summary!$I$2:$AM$7,2,0)=0,"",HLOOKUP(D479,Summary!$I$2:$AM$7,2,0))</f>
        <v/>
      </c>
      <c r="E481" s="71" t="str">
        <f ca="1">IFERROR(VLOOKUP(D481,fixed_expenses[],2,0),"")</f>
        <v/>
      </c>
      <c r="F481" s="17" t="str">
        <f ca="1">IF(HLOOKUP(F479,Summary!$I$2:$AM$7,2,0)=0,"",HLOOKUP(F479,Summary!$I$2:$AM$7,2,0))</f>
        <v/>
      </c>
      <c r="G481" s="71" t="str">
        <f ca="1">IFERROR(VLOOKUP(F481,fixed_expenses[],2,0),"")</f>
        <v/>
      </c>
      <c r="H481" s="17" t="str">
        <f ca="1">IF(HLOOKUP(H479,Summary!$I$2:$AM$7,2,0)=0,"",HLOOKUP(H479,Summary!$I$2:$AM$7,2,0))</f>
        <v/>
      </c>
      <c r="I481" s="71" t="str">
        <f ca="1">IFERROR(VLOOKUP(H481,fixed_expenses[],2,0),"")</f>
        <v/>
      </c>
      <c r="J481" s="17" t="str">
        <f ca="1">IF(HLOOKUP(J479,Summary!$I$2:$AM$7,2,0)=0,"",HLOOKUP(J479,Summary!$I$2:$AM$7,2,0))</f>
        <v/>
      </c>
      <c r="K481" s="71" t="str">
        <f ca="1">IFERROR(VLOOKUP(J481,fixed_expenses[],2,0),"")</f>
        <v/>
      </c>
      <c r="L481" s="17" t="str">
        <f ca="1">IF(HLOOKUP(L479,Summary!$I$2:$AM$7,2,0)=0,"",HLOOKUP(L479,Summary!$I$2:$AM$7,2,0))</f>
        <v/>
      </c>
      <c r="M481" s="71" t="str">
        <f ca="1">IFERROR(VLOOKUP(L481,fixed_expenses[],2,0),"")</f>
        <v/>
      </c>
      <c r="N481" s="17" t="str">
        <f ca="1">IF(HLOOKUP(N479,Summary!$I$2:$AM$7,2,0)=0,"",HLOOKUP(N479,Summary!$I$2:$AM$7,2,0))</f>
        <v/>
      </c>
      <c r="O481" s="71" t="str">
        <f ca="1">IFERROR(VLOOKUP(N481,fixed_expenses[],2,0),"")</f>
        <v/>
      </c>
      <c r="P481" s="22"/>
    </row>
    <row r="482" spans="1:16" ht="11.25" customHeight="1" x14ac:dyDescent="0.2">
      <c r="B482" s="17" t="str">
        <f ca="1">IF(HLOOKUP(B479,Summary!$I$2:$AM$7,3,0)=0,"",HLOOKUP(B479,Summary!$I$2:$AM$7,3,0))</f>
        <v/>
      </c>
      <c r="C482" s="71" t="str">
        <f ca="1">IFERROR(VLOOKUP(B482,fixed_expenses[],2,0),"")</f>
        <v/>
      </c>
      <c r="D482" s="17" t="str">
        <f ca="1">IF(HLOOKUP(D479,Summary!$I$2:$AM$7,3,0)=0,"",HLOOKUP(D479,Summary!$I$2:$AM$7,3,0))</f>
        <v/>
      </c>
      <c r="E482" s="71" t="str">
        <f ca="1">IFERROR(VLOOKUP(D482,fixed_expenses[],2,0),"")</f>
        <v/>
      </c>
      <c r="F482" s="17" t="str">
        <f ca="1">IF(HLOOKUP(F479,Summary!$I$2:$AM$7,3,0)=0,"",HLOOKUP(F479,Summary!$I$2:$AM$7,3,0))</f>
        <v/>
      </c>
      <c r="G482" s="71" t="str">
        <f ca="1">IFERROR(VLOOKUP(F482,fixed_expenses[],2,0),"")</f>
        <v/>
      </c>
      <c r="H482" s="17" t="str">
        <f ca="1">IF(HLOOKUP(H479,Summary!$I$2:$AM$7,3,0)=0,"",HLOOKUP(H479,Summary!$I$2:$AM$7,3,0))</f>
        <v/>
      </c>
      <c r="I482" s="71" t="str">
        <f ca="1">IFERROR(VLOOKUP(H482,fixed_expenses[],2,0),"")</f>
        <v/>
      </c>
      <c r="J482" s="17" t="str">
        <f ca="1">IF(HLOOKUP(J479,Summary!$I$2:$AM$7,3,0)=0,"",HLOOKUP(J479,Summary!$I$2:$AM$7,3,0))</f>
        <v/>
      </c>
      <c r="K482" s="71" t="str">
        <f ca="1">IFERROR(VLOOKUP(J482,fixed_expenses[],2,0),"")</f>
        <v/>
      </c>
      <c r="L482" s="17" t="str">
        <f ca="1">IF(HLOOKUP(L479,Summary!$I$2:$AM$7,3,0)=0,"",HLOOKUP(L479,Summary!$I$2:$AM$7,3,0))</f>
        <v/>
      </c>
      <c r="M482" s="71" t="str">
        <f ca="1">IFERROR(VLOOKUP(L482,fixed_expenses[],2,0),"")</f>
        <v/>
      </c>
      <c r="N482" s="17" t="str">
        <f ca="1">IF(HLOOKUP(N479,Summary!$I$2:$AM$7,3,0)=0,"",HLOOKUP(N479,Summary!$I$2:$AM$7,3,0))</f>
        <v/>
      </c>
      <c r="O482" s="71" t="str">
        <f ca="1">IFERROR(VLOOKUP(N482,fixed_expenses[],2,0),"")</f>
        <v/>
      </c>
      <c r="P482" s="22"/>
    </row>
    <row r="483" spans="1:16" ht="11.25" customHeight="1" x14ac:dyDescent="0.2">
      <c r="B483" s="17" t="str">
        <f ca="1">IF(HLOOKUP(B479,Summary!$I$2:$AM$7,4,0)=0,"",HLOOKUP(B479,Summary!$I$2:$AM$7,4,0))</f>
        <v/>
      </c>
      <c r="C483" s="71" t="str">
        <f ca="1">IFERROR(VLOOKUP(B483,fixed_expenses[],2,0),"")</f>
        <v/>
      </c>
      <c r="D483" s="17" t="str">
        <f ca="1">IF(HLOOKUP(D479,Summary!$I$2:$AM$7,4,0)=0,"",HLOOKUP(D479,Summary!$I$2:$AM$7,4,0))</f>
        <v/>
      </c>
      <c r="E483" s="71" t="str">
        <f ca="1">IFERROR(VLOOKUP(D483,fixed_expenses[],2,0),"")</f>
        <v/>
      </c>
      <c r="F483" s="17" t="str">
        <f ca="1">IF(HLOOKUP(F479,Summary!$I$2:$AM$7,4,0)=0,"",HLOOKUP(F479,Summary!$I$2:$AM$7,4,0))</f>
        <v/>
      </c>
      <c r="G483" s="71" t="str">
        <f ca="1">IFERROR(VLOOKUP(F483,fixed_expenses[],2,0),"")</f>
        <v/>
      </c>
      <c r="H483" s="17" t="str">
        <f ca="1">IF(HLOOKUP(H479,Summary!$I$2:$AM$7,4,0)=0,"",HLOOKUP(H479,Summary!$I$2:$AM$7,4,0))</f>
        <v/>
      </c>
      <c r="I483" s="71" t="str">
        <f ca="1">IFERROR(VLOOKUP(H483,fixed_expenses[],2,0),"")</f>
        <v/>
      </c>
      <c r="J483" s="17" t="str">
        <f ca="1">IF(HLOOKUP(J479,Summary!$I$2:$AM$7,4,0)=0,"",HLOOKUP(J479,Summary!$I$2:$AM$7,4,0))</f>
        <v/>
      </c>
      <c r="K483" s="71" t="str">
        <f ca="1">IFERROR(VLOOKUP(J483,fixed_expenses[],2,0),"")</f>
        <v/>
      </c>
      <c r="L483" s="17" t="str">
        <f ca="1">IF(HLOOKUP(L479,Summary!$I$2:$AM$7,4,0)=0,"",HLOOKUP(L479,Summary!$I$2:$AM$7,4,0))</f>
        <v/>
      </c>
      <c r="M483" s="71" t="str">
        <f ca="1">IFERROR(VLOOKUP(L483,fixed_expenses[],2,0),"")</f>
        <v/>
      </c>
      <c r="N483" s="17" t="str">
        <f ca="1">IF(HLOOKUP(N479,Summary!$I$2:$AM$7,4,0)=0,"",HLOOKUP(N479,Summary!$I$2:$AM$7,4,0))</f>
        <v/>
      </c>
      <c r="O483" s="71" t="str">
        <f ca="1">IFERROR(VLOOKUP(N483,fixed_expenses[],2,0),"")</f>
        <v/>
      </c>
      <c r="P483" s="22"/>
    </row>
    <row r="484" spans="1:16" ht="11.25" customHeight="1" x14ac:dyDescent="0.2">
      <c r="B484" s="17" t="str">
        <f ca="1">IF(HLOOKUP(B479,Summary!$I$2:$AM$7,5,0)=0,"",HLOOKUP(B479,Summary!$I$2:$AM$7,5,0))</f>
        <v/>
      </c>
      <c r="C484" s="71" t="str">
        <f ca="1">IFERROR(VLOOKUP(B484,fixed_expenses[],2,0),"")</f>
        <v/>
      </c>
      <c r="D484" s="17" t="str">
        <f ca="1">IF(HLOOKUP(D479,Summary!$I$2:$AM$7,5,0)=0,"",HLOOKUP(D479,Summary!$I$2:$AM$7,5,0))</f>
        <v/>
      </c>
      <c r="E484" s="71" t="str">
        <f ca="1">IFERROR(VLOOKUP(D484,fixed_expenses[],2,0),"")</f>
        <v/>
      </c>
      <c r="F484" s="17" t="str">
        <f ca="1">IF(HLOOKUP(F479,Summary!$I$2:$AM$7,5,0)=0,"",HLOOKUP(F479,Summary!$I$2:$AM$7,5,0))</f>
        <v/>
      </c>
      <c r="G484" s="71" t="str">
        <f ca="1">IFERROR(VLOOKUP(F484,fixed_expenses[],2,0),"")</f>
        <v/>
      </c>
      <c r="H484" s="17" t="str">
        <f ca="1">IF(HLOOKUP(H479,Summary!$I$2:$AM$7,5,0)=0,"",HLOOKUP(H479,Summary!$I$2:$AM$7,5,0))</f>
        <v/>
      </c>
      <c r="I484" s="71" t="str">
        <f ca="1">IFERROR(VLOOKUP(H484,fixed_expenses[],2,0),"")</f>
        <v/>
      </c>
      <c r="J484" s="17" t="str">
        <f ca="1">IF(HLOOKUP(J479,Summary!$I$2:$AM$7,5,0)=0,"",HLOOKUP(J479,Summary!$I$2:$AM$7,5,0))</f>
        <v/>
      </c>
      <c r="K484" s="71" t="str">
        <f ca="1">IFERROR(VLOOKUP(J484,fixed_expenses[],2,0),"")</f>
        <v/>
      </c>
      <c r="L484" s="17" t="str">
        <f ca="1">IF(HLOOKUP(L479,Summary!$I$2:$AM$7,5,0)=0,"",HLOOKUP(L479,Summary!$I$2:$AM$7,5,0))</f>
        <v/>
      </c>
      <c r="M484" s="71" t="str">
        <f ca="1">IFERROR(VLOOKUP(L484,fixed_expenses[],2,0),"")</f>
        <v/>
      </c>
      <c r="N484" s="17" t="str">
        <f ca="1">IF(HLOOKUP(N479,Summary!$I$2:$AM$7,5,0)=0,"",HLOOKUP(N479,Summary!$I$2:$AM$7,5,0))</f>
        <v/>
      </c>
      <c r="O484" s="71" t="str">
        <f ca="1">IFERROR(VLOOKUP(N484,fixed_expenses[],2,0),"")</f>
        <v/>
      </c>
      <c r="P484" s="22"/>
    </row>
    <row r="485" spans="1:16" ht="11.25" customHeight="1" x14ac:dyDescent="0.2">
      <c r="B485" s="17" t="str">
        <f ca="1">IF(HLOOKUP(B479,Summary!$I$2:$AM$7,6,0)=0,"",HLOOKUP(B479,Summary!$I$2:$AM$7,6,0))</f>
        <v/>
      </c>
      <c r="C485" s="71" t="str">
        <f ca="1">IFERROR(VLOOKUP(B485,fixed_expenses[],2,0),"")</f>
        <v/>
      </c>
      <c r="D485" s="17" t="str">
        <f ca="1">IF(HLOOKUP(D479,Summary!$I$2:$AM$7,6,0)=0,"",HLOOKUP(D479,Summary!$I$2:$AM$7,6,0))</f>
        <v/>
      </c>
      <c r="E485" s="71" t="str">
        <f ca="1">IFERROR(VLOOKUP(D485,fixed_expenses[],2,0),"")</f>
        <v/>
      </c>
      <c r="F485" s="17" t="str">
        <f ca="1">IF(HLOOKUP(F479,Summary!$I$2:$AM$7,6,0)=0,"",HLOOKUP(F479,Summary!$I$2:$AM$7,6,0))</f>
        <v/>
      </c>
      <c r="G485" s="71" t="str">
        <f ca="1">IFERROR(VLOOKUP(F485,fixed_expenses[],2,0),"")</f>
        <v/>
      </c>
      <c r="H485" s="17" t="str">
        <f ca="1">IF(HLOOKUP(H479,Summary!$I$2:$AM$7,6,0)=0,"",HLOOKUP(H479,Summary!$I$2:$AM$7,6,0))</f>
        <v/>
      </c>
      <c r="I485" s="71" t="str">
        <f ca="1">IFERROR(VLOOKUP(H485,fixed_expenses[],2,0),"")</f>
        <v/>
      </c>
      <c r="J485" s="17" t="str">
        <f ca="1">IF(HLOOKUP(J479,Summary!$I$2:$AM$7,6,0)=0,"",HLOOKUP(J479,Summary!$I$2:$AM$7,6,0))</f>
        <v/>
      </c>
      <c r="K485" s="71" t="str">
        <f ca="1">IFERROR(VLOOKUP(J485,fixed_expenses[],2,0),"")</f>
        <v/>
      </c>
      <c r="L485" s="17" t="str">
        <f ca="1">IF(HLOOKUP(L479,Summary!$I$2:$AM$7,6,0)=0,"",HLOOKUP(L479,Summary!$I$2:$AM$7,6,0))</f>
        <v/>
      </c>
      <c r="M485" s="71" t="str">
        <f ca="1">IFERROR(VLOOKUP(L485,fixed_expenses[],2,0),"")</f>
        <v/>
      </c>
      <c r="N485" s="17" t="str">
        <f ca="1">IF(HLOOKUP(N479,Summary!$I$2:$AM$7,6,0)=0,"",HLOOKUP(N479,Summary!$I$2:$AM$7,6,0))</f>
        <v/>
      </c>
      <c r="O485" s="71" t="str">
        <f ca="1">IFERROR(VLOOKUP(N485,fixed_expenses[],2,0),"")</f>
        <v/>
      </c>
      <c r="P485" s="22"/>
    </row>
    <row r="486" spans="1:16" ht="11.25" customHeight="1" x14ac:dyDescent="0.2">
      <c r="A486" s="43" t="s">
        <v>307</v>
      </c>
      <c r="B486" s="26" t="s">
        <v>8</v>
      </c>
      <c r="C486" s="27">
        <f ca="1">SUM(C481:C485)</f>
        <v>0</v>
      </c>
      <c r="D486" s="26"/>
      <c r="E486" s="27">
        <f ca="1">SUM(E481:E485)</f>
        <v>0</v>
      </c>
      <c r="F486" s="26"/>
      <c r="G486" s="27">
        <f ca="1">SUM(G481:G485)</f>
        <v>0</v>
      </c>
      <c r="H486" s="26"/>
      <c r="I486" s="27">
        <f ca="1">SUM(I481:I485)</f>
        <v>0</v>
      </c>
      <c r="J486" s="26"/>
      <c r="K486" s="27">
        <f ca="1">SUM(K481:K485)</f>
        <v>0</v>
      </c>
      <c r="L486" s="26"/>
      <c r="M486" s="27">
        <f ca="1">SUM(M481:M485)</f>
        <v>0</v>
      </c>
      <c r="N486" s="26"/>
      <c r="O486" s="28">
        <f ca="1">SUM(O481:O485)</f>
        <v>0</v>
      </c>
      <c r="P486" s="29">
        <f ca="1">SUM(C486,E486,G486,I486,K486,M486,O486)</f>
        <v>0</v>
      </c>
    </row>
    <row r="487" spans="1:16" x14ac:dyDescent="0.2">
      <c r="B487" s="6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6"/>
    </row>
    <row r="488" spans="1:16" ht="15" customHeight="1" x14ac:dyDescent="0.2">
      <c r="A488" s="43" t="s">
        <v>266</v>
      </c>
      <c r="B488" s="12">
        <f ca="1">N479+1</f>
        <v>12</v>
      </c>
      <c r="C488" s="13"/>
      <c r="D488" s="12">
        <f ca="1">B488+1</f>
        <v>13</v>
      </c>
      <c r="E488" s="13"/>
      <c r="F488" s="12">
        <f ca="1">D488+1</f>
        <v>14</v>
      </c>
      <c r="G488" s="13"/>
      <c r="H488" s="12">
        <f ca="1">F488+1</f>
        <v>15</v>
      </c>
      <c r="I488" s="13"/>
      <c r="J488" s="12">
        <f ca="1">H488+1</f>
        <v>16</v>
      </c>
      <c r="K488" s="13"/>
      <c r="L488" s="12">
        <f ca="1">J488+1</f>
        <v>17</v>
      </c>
      <c r="M488" s="13"/>
      <c r="N488" s="12">
        <f ca="1">L488+1</f>
        <v>18</v>
      </c>
      <c r="O488" s="13"/>
      <c r="P488" s="24"/>
    </row>
    <row r="489" spans="1:16" ht="11.25" customHeight="1" x14ac:dyDescent="0.2">
      <c r="A489" s="43" t="s">
        <v>139</v>
      </c>
      <c r="B489" s="37" t="s">
        <v>9</v>
      </c>
      <c r="C489" s="39" t="s">
        <v>10</v>
      </c>
      <c r="D489" s="37" t="s">
        <v>9</v>
      </c>
      <c r="E489" s="39" t="s">
        <v>10</v>
      </c>
      <c r="F489" s="37" t="s">
        <v>9</v>
      </c>
      <c r="G489" s="39" t="s">
        <v>10</v>
      </c>
      <c r="H489" s="37" t="s">
        <v>9</v>
      </c>
      <c r="I489" s="39" t="s">
        <v>10</v>
      </c>
      <c r="J489" s="37" t="s">
        <v>9</v>
      </c>
      <c r="K489" s="39" t="s">
        <v>10</v>
      </c>
      <c r="L489" s="37" t="s">
        <v>9</v>
      </c>
      <c r="M489" s="39" t="s">
        <v>10</v>
      </c>
      <c r="N489" s="37" t="s">
        <v>9</v>
      </c>
      <c r="O489" s="40" t="s">
        <v>10</v>
      </c>
      <c r="P489" s="22"/>
    </row>
    <row r="490" spans="1:16" ht="11.25" customHeight="1" x14ac:dyDescent="0.2">
      <c r="A490" s="43" t="s">
        <v>214</v>
      </c>
      <c r="B490" s="17" t="str">
        <f ca="1">IF(HLOOKUP(B488,Summary!$I$2:$AM$7,2,0)=0,"",HLOOKUP(B488,Summary!$I$2:$AM$7,2,0))</f>
        <v/>
      </c>
      <c r="C490" s="71" t="str">
        <f ca="1">IFERROR(VLOOKUP(B490,fixed_expenses[],2,0),"")</f>
        <v/>
      </c>
      <c r="D490" s="17" t="str">
        <f ca="1">IF(HLOOKUP(D488,Summary!$I$2:$AM$7,2,0)=0,"",HLOOKUP(D488,Summary!$I$2:$AM$7,2,0))</f>
        <v/>
      </c>
      <c r="E490" s="71" t="str">
        <f ca="1">IFERROR(VLOOKUP(D490,fixed_expenses[],2,0),"")</f>
        <v/>
      </c>
      <c r="F490" s="17" t="str">
        <f ca="1">IF(HLOOKUP(F488,Summary!$I$2:$AM$7,2,0)=0,"",HLOOKUP(F488,Summary!$I$2:$AM$7,2,0))</f>
        <v/>
      </c>
      <c r="G490" s="71" t="str">
        <f ca="1">IFERROR(VLOOKUP(F490,fixed_expenses[],2,0),"")</f>
        <v/>
      </c>
      <c r="H490" s="17" t="str">
        <f ca="1">IF(HLOOKUP(H488,Summary!$I$2:$AM$7,2,0)=0,"",HLOOKUP(H488,Summary!$I$2:$AM$7,2,0))</f>
        <v>Paul Phone Bill</v>
      </c>
      <c r="I490" s="71">
        <f ca="1">IFERROR(VLOOKUP(H490,fixed_expenses[],2,0),"")</f>
        <v>60</v>
      </c>
      <c r="J490" s="17" t="str">
        <f ca="1">IF(HLOOKUP(J488,Summary!$I$2:$AM$7,2,0)=0,"",HLOOKUP(J488,Summary!$I$2:$AM$7,2,0))</f>
        <v/>
      </c>
      <c r="K490" s="71" t="str">
        <f ca="1">IFERROR(VLOOKUP(J490,fixed_expenses[],2,0),"")</f>
        <v/>
      </c>
      <c r="L490" s="17" t="s">
        <v>384</v>
      </c>
      <c r="M490" s="71">
        <f>IFERROR(VLOOKUP(L490,fixed_expenses[],2,0),"")</f>
        <v>232</v>
      </c>
      <c r="N490" s="17" t="str">
        <f ca="1">IF(HLOOKUP(N488,Summary!$I$2:$AM$7,2,0)=0,"",HLOOKUP(N488,Summary!$I$2:$AM$7,2,0))</f>
        <v/>
      </c>
      <c r="O490" s="71" t="str">
        <f ca="1">IFERROR(VLOOKUP(N490,fixed_expenses[],2,0),"")</f>
        <v/>
      </c>
      <c r="P490" s="22"/>
    </row>
    <row r="491" spans="1:16" ht="11.25" customHeight="1" x14ac:dyDescent="0.2">
      <c r="B491" s="17" t="str">
        <f ca="1">IF(HLOOKUP(B488,Summary!$I$2:$AM$7,3,0)=0,"",HLOOKUP(B488,Summary!$I$2:$AM$7,3,0))</f>
        <v/>
      </c>
      <c r="C491" s="71" t="str">
        <f ca="1">IFERROR(VLOOKUP(B491,fixed_expenses[],2,0),"")</f>
        <v/>
      </c>
      <c r="D491" s="17" t="str">
        <f ca="1">IF(HLOOKUP(D488,Summary!$I$2:$AM$7,3,0)=0,"",HLOOKUP(D488,Summary!$I$2:$AM$7,3,0))</f>
        <v/>
      </c>
      <c r="E491" s="71" t="str">
        <f ca="1">IFERROR(VLOOKUP(D491,fixed_expenses[],2,0),"")</f>
        <v/>
      </c>
      <c r="F491" s="17" t="str">
        <f ca="1">IF(HLOOKUP(F488,Summary!$I$2:$AM$7,3,0)=0,"",HLOOKUP(F488,Summary!$I$2:$AM$7,3,0))</f>
        <v/>
      </c>
      <c r="G491" s="71" t="str">
        <f ca="1">IFERROR(VLOOKUP(F491,fixed_expenses[],2,0),"")</f>
        <v/>
      </c>
      <c r="H491" s="17" t="str">
        <f ca="1">IF(HLOOKUP(H488,Summary!$I$2:$AM$7,3,0)=0,"",HLOOKUP(H488,Summary!$I$2:$AM$7,3,0))</f>
        <v>Electric</v>
      </c>
      <c r="I491" s="71">
        <f ca="1">IFERROR(VLOOKUP(H491,fixed_expenses[],2,0),"")</f>
        <v>50</v>
      </c>
      <c r="J491" s="17" t="str">
        <f ca="1">IF(HLOOKUP(J488,Summary!$I$2:$AM$7,3,0)=0,"",HLOOKUP(J488,Summary!$I$2:$AM$7,3,0))</f>
        <v/>
      </c>
      <c r="K491" s="71" t="str">
        <f ca="1">IFERROR(VLOOKUP(J491,fixed_expenses[],2,0),"")</f>
        <v/>
      </c>
      <c r="L491" s="17" t="str">
        <f ca="1">IF(HLOOKUP(L488,Summary!$I$2:$AM$7,3,0)=0,"",HLOOKUP(L488,Summary!$I$2:$AM$7,3,0))</f>
        <v/>
      </c>
      <c r="M491" s="71" t="str">
        <f ca="1">IFERROR(VLOOKUP(L491,fixed_expenses[],2,0),"")</f>
        <v/>
      </c>
      <c r="N491" s="17" t="str">
        <f ca="1">IF(HLOOKUP(N488,Summary!$I$2:$AM$7,3,0)=0,"",HLOOKUP(N488,Summary!$I$2:$AM$7,3,0))</f>
        <v/>
      </c>
      <c r="O491" s="71" t="str">
        <f ca="1">IFERROR(VLOOKUP(N491,fixed_expenses[],2,0),"")</f>
        <v/>
      </c>
      <c r="P491" s="22"/>
    </row>
    <row r="492" spans="1:16" ht="11.25" customHeight="1" x14ac:dyDescent="0.2">
      <c r="B492" s="17" t="str">
        <f ca="1">IF(HLOOKUP(B488,Summary!$I$2:$AM$7,4,0)=0,"",HLOOKUP(B488,Summary!$I$2:$AM$7,4,0))</f>
        <v/>
      </c>
      <c r="C492" s="71" t="str">
        <f ca="1">IFERROR(VLOOKUP(B492,fixed_expenses[],2,0),"")</f>
        <v/>
      </c>
      <c r="D492" s="17" t="str">
        <f ca="1">IF(HLOOKUP(D488,Summary!$I$2:$AM$7,4,0)=0,"",HLOOKUP(D488,Summary!$I$2:$AM$7,4,0))</f>
        <v/>
      </c>
      <c r="E492" s="71" t="str">
        <f ca="1">IFERROR(VLOOKUP(D492,fixed_expenses[],2,0),"")</f>
        <v/>
      </c>
      <c r="F492" s="17" t="str">
        <f ca="1">IF(HLOOKUP(F488,Summary!$I$2:$AM$7,4,0)=0,"",HLOOKUP(F488,Summary!$I$2:$AM$7,4,0))</f>
        <v/>
      </c>
      <c r="G492" s="71" t="str">
        <f ca="1">IFERROR(VLOOKUP(F492,fixed_expenses[],2,0),"")</f>
        <v/>
      </c>
      <c r="H492" s="17" t="str">
        <f ca="1">IF(HLOOKUP(H488,Summary!$I$2:$AM$7,4,0)=0,"",HLOOKUP(H488,Summary!$I$2:$AM$7,4,0))</f>
        <v/>
      </c>
      <c r="I492" s="71" t="str">
        <f ca="1">IFERROR(VLOOKUP(H492,fixed_expenses[],2,0),"")</f>
        <v/>
      </c>
      <c r="J492" s="17" t="str">
        <f ca="1">IF(HLOOKUP(J488,Summary!$I$2:$AM$7,4,0)=0,"",HLOOKUP(J488,Summary!$I$2:$AM$7,4,0))</f>
        <v/>
      </c>
      <c r="K492" s="71" t="str">
        <f ca="1">IFERROR(VLOOKUP(J492,fixed_expenses[],2,0),"")</f>
        <v/>
      </c>
      <c r="L492" s="17" t="str">
        <f ca="1">IF(HLOOKUP(L488,Summary!$I$2:$AM$7,4,0)=0,"",HLOOKUP(L488,Summary!$I$2:$AM$7,4,0))</f>
        <v/>
      </c>
      <c r="M492" s="71" t="str">
        <f ca="1">IFERROR(VLOOKUP(L492,fixed_expenses[],2,0),"")</f>
        <v/>
      </c>
      <c r="N492" s="17" t="str">
        <f ca="1">IF(HLOOKUP(N488,Summary!$I$2:$AM$7,4,0)=0,"",HLOOKUP(N488,Summary!$I$2:$AM$7,4,0))</f>
        <v/>
      </c>
      <c r="O492" s="71" t="str">
        <f ca="1">IFERROR(VLOOKUP(N492,fixed_expenses[],2,0),"")</f>
        <v/>
      </c>
      <c r="P492" s="22"/>
    </row>
    <row r="493" spans="1:16" ht="11.25" customHeight="1" x14ac:dyDescent="0.2">
      <c r="B493" s="17" t="str">
        <f ca="1">IF(HLOOKUP(B488,Summary!$I$2:$AM$7,5,0)=0,"",HLOOKUP(B488,Summary!$I$2:$AM$7,5,0))</f>
        <v/>
      </c>
      <c r="C493" s="71" t="str">
        <f ca="1">IFERROR(VLOOKUP(B493,fixed_expenses[],2,0),"")</f>
        <v/>
      </c>
      <c r="D493" s="17" t="str">
        <f ca="1">IF(HLOOKUP(D488,Summary!$I$2:$AM$7,5,0)=0,"",HLOOKUP(D488,Summary!$I$2:$AM$7,5,0))</f>
        <v/>
      </c>
      <c r="E493" s="71" t="str">
        <f ca="1">IFERROR(VLOOKUP(D493,fixed_expenses[],2,0),"")</f>
        <v/>
      </c>
      <c r="F493" s="17" t="str">
        <f ca="1">IF(HLOOKUP(F488,Summary!$I$2:$AM$7,5,0)=0,"",HLOOKUP(F488,Summary!$I$2:$AM$7,5,0))</f>
        <v/>
      </c>
      <c r="G493" s="71" t="str">
        <f ca="1">IFERROR(VLOOKUP(F493,fixed_expenses[],2,0),"")</f>
        <v/>
      </c>
      <c r="H493" s="17" t="str">
        <f ca="1">IF(HLOOKUP(H488,Summary!$I$2:$AM$7,5,0)=0,"",HLOOKUP(H488,Summary!$I$2:$AM$7,5,0))</f>
        <v/>
      </c>
      <c r="I493" s="71" t="str">
        <f ca="1">IFERROR(VLOOKUP(H493,fixed_expenses[],2,0),"")</f>
        <v/>
      </c>
      <c r="J493" s="17" t="str">
        <f ca="1">IF(HLOOKUP(J488,Summary!$I$2:$AM$7,5,0)=0,"",HLOOKUP(J488,Summary!$I$2:$AM$7,5,0))</f>
        <v/>
      </c>
      <c r="K493" s="71" t="str">
        <f ca="1">IFERROR(VLOOKUP(J493,fixed_expenses[],2,0),"")</f>
        <v/>
      </c>
      <c r="L493" s="17" t="str">
        <f ca="1">IF(HLOOKUP(L488,Summary!$I$2:$AM$7,5,0)=0,"",HLOOKUP(L488,Summary!$I$2:$AM$7,5,0))</f>
        <v/>
      </c>
      <c r="M493" s="71" t="str">
        <f ca="1">IFERROR(VLOOKUP(L493,fixed_expenses[],2,0),"")</f>
        <v/>
      </c>
      <c r="N493" s="17" t="str">
        <f ca="1">IF(HLOOKUP(N488,Summary!$I$2:$AM$7,5,0)=0,"",HLOOKUP(N488,Summary!$I$2:$AM$7,5,0))</f>
        <v/>
      </c>
      <c r="O493" s="71" t="str">
        <f ca="1">IFERROR(VLOOKUP(N493,fixed_expenses[],2,0),"")</f>
        <v/>
      </c>
      <c r="P493" s="22"/>
    </row>
    <row r="494" spans="1:16" ht="11.25" customHeight="1" x14ac:dyDescent="0.2">
      <c r="B494" s="17" t="str">
        <f ca="1">IF(HLOOKUP(B488,Summary!$I$2:$AM$7,6,0)=0,"",HLOOKUP(B488,Summary!$I$2:$AM$7,6,0))</f>
        <v/>
      </c>
      <c r="C494" s="71" t="str">
        <f ca="1">IFERROR(VLOOKUP(B494,fixed_expenses[],2,0),"")</f>
        <v/>
      </c>
      <c r="D494" s="17" t="str">
        <f ca="1">IF(HLOOKUP(D488,Summary!$I$2:$AM$7,6,0)=0,"",HLOOKUP(D488,Summary!$I$2:$AM$7,6,0))</f>
        <v/>
      </c>
      <c r="E494" s="71" t="str">
        <f ca="1">IFERROR(VLOOKUP(D494,fixed_expenses[],2,0),"")</f>
        <v/>
      </c>
      <c r="F494" s="17" t="str">
        <f ca="1">IF(HLOOKUP(F488,Summary!$I$2:$AM$7,6,0)=0,"",HLOOKUP(F488,Summary!$I$2:$AM$7,6,0))</f>
        <v/>
      </c>
      <c r="G494" s="71" t="str">
        <f ca="1">IFERROR(VLOOKUP(F494,fixed_expenses[],2,0),"")</f>
        <v/>
      </c>
      <c r="H494" s="17" t="str">
        <f ca="1">IF(HLOOKUP(H488,Summary!$I$2:$AM$7,6,0)=0,"",HLOOKUP(H488,Summary!$I$2:$AM$7,6,0))</f>
        <v/>
      </c>
      <c r="I494" s="71" t="str">
        <f ca="1">IFERROR(VLOOKUP(H494,fixed_expenses[],2,0),"")</f>
        <v/>
      </c>
      <c r="J494" s="17" t="str">
        <f ca="1">IF(HLOOKUP(J488,Summary!$I$2:$AM$7,6,0)=0,"",HLOOKUP(J488,Summary!$I$2:$AM$7,6,0))</f>
        <v/>
      </c>
      <c r="K494" s="71" t="str">
        <f ca="1">IFERROR(VLOOKUP(J494,fixed_expenses[],2,0),"")</f>
        <v/>
      </c>
      <c r="L494" s="17" t="str">
        <f ca="1">IF(HLOOKUP(L488,Summary!$I$2:$AM$7,6,0)=0,"",HLOOKUP(L488,Summary!$I$2:$AM$7,6,0))</f>
        <v/>
      </c>
      <c r="M494" s="71" t="str">
        <f ca="1">IFERROR(VLOOKUP(L494,fixed_expenses[],2,0),"")</f>
        <v/>
      </c>
      <c r="N494" s="17" t="str">
        <f ca="1">IF(HLOOKUP(N488,Summary!$I$2:$AM$7,6,0)=0,"",HLOOKUP(N488,Summary!$I$2:$AM$7,6,0))</f>
        <v/>
      </c>
      <c r="O494" s="71" t="str">
        <f ca="1">IFERROR(VLOOKUP(N494,fixed_expenses[],2,0),"")</f>
        <v/>
      </c>
      <c r="P494" s="22"/>
    </row>
    <row r="495" spans="1:16" ht="11.25" customHeight="1" x14ac:dyDescent="0.2">
      <c r="A495" s="43" t="s">
        <v>306</v>
      </c>
      <c r="B495" s="30" t="s">
        <v>8</v>
      </c>
      <c r="C495" s="27">
        <f ca="1">SUM(C490:C494)</f>
        <v>0</v>
      </c>
      <c r="D495" s="26"/>
      <c r="E495" s="27">
        <f ca="1">SUM(E490:E494)</f>
        <v>0</v>
      </c>
      <c r="F495" s="26"/>
      <c r="G495" s="27">
        <f ca="1">SUM(G490:G494)</f>
        <v>0</v>
      </c>
      <c r="H495" s="26"/>
      <c r="I495" s="27">
        <f ca="1">SUM(I490:I494)</f>
        <v>110</v>
      </c>
      <c r="J495" s="26"/>
      <c r="K495" s="27">
        <f ca="1">SUM(K490:K494)</f>
        <v>0</v>
      </c>
      <c r="L495" s="26"/>
      <c r="M495" s="27">
        <f ca="1">SUM(M490:M494)</f>
        <v>232</v>
      </c>
      <c r="N495" s="26"/>
      <c r="O495" s="28">
        <f ca="1">SUM(O490:O494)</f>
        <v>0</v>
      </c>
      <c r="P495" s="29">
        <f ca="1">SUM(C495,E495,G495,I495,K495,M495,O495)</f>
        <v>342</v>
      </c>
    </row>
    <row r="496" spans="1:16" x14ac:dyDescent="0.2">
      <c r="B496" s="6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6"/>
    </row>
    <row r="497" spans="1:16" ht="15" customHeight="1" x14ac:dyDescent="0.2">
      <c r="A497" s="43" t="s">
        <v>267</v>
      </c>
      <c r="B497" s="12">
        <f ca="1">N488+1</f>
        <v>19</v>
      </c>
      <c r="C497" s="13"/>
      <c r="D497" s="12">
        <f ca="1">B497+1</f>
        <v>20</v>
      </c>
      <c r="E497" s="13"/>
      <c r="F497" s="12">
        <f ca="1">D497+1</f>
        <v>21</v>
      </c>
      <c r="G497" s="13"/>
      <c r="H497" s="12">
        <f ca="1">F497+1</f>
        <v>22</v>
      </c>
      <c r="I497" s="13"/>
      <c r="J497" s="12">
        <f ca="1">H497+1</f>
        <v>23</v>
      </c>
      <c r="K497" s="13"/>
      <c r="L497" s="12">
        <f ca="1">J497+1</f>
        <v>24</v>
      </c>
      <c r="M497" s="13"/>
      <c r="N497" s="12">
        <f ca="1">L497+1</f>
        <v>25</v>
      </c>
      <c r="O497" s="13"/>
      <c r="P497" s="24"/>
    </row>
    <row r="498" spans="1:16" ht="11.25" customHeight="1" x14ac:dyDescent="0.2">
      <c r="A498" s="43" t="s">
        <v>138</v>
      </c>
      <c r="B498" s="37" t="s">
        <v>9</v>
      </c>
      <c r="C498" s="39" t="s">
        <v>10</v>
      </c>
      <c r="D498" s="37" t="s">
        <v>9</v>
      </c>
      <c r="E498" s="39" t="s">
        <v>10</v>
      </c>
      <c r="F498" s="37" t="s">
        <v>9</v>
      </c>
      <c r="G498" s="39" t="s">
        <v>10</v>
      </c>
      <c r="H498" s="37" t="s">
        <v>9</v>
      </c>
      <c r="I498" s="39" t="s">
        <v>10</v>
      </c>
      <c r="J498" s="37" t="s">
        <v>9</v>
      </c>
      <c r="K498" s="39" t="s">
        <v>10</v>
      </c>
      <c r="L498" s="37" t="s">
        <v>9</v>
      </c>
      <c r="M498" s="39" t="s">
        <v>10</v>
      </c>
      <c r="N498" s="37" t="s">
        <v>9</v>
      </c>
      <c r="O498" s="40" t="s">
        <v>10</v>
      </c>
      <c r="P498" s="22"/>
    </row>
    <row r="499" spans="1:16" ht="11.25" customHeight="1" x14ac:dyDescent="0.2">
      <c r="A499" s="43" t="s">
        <v>215</v>
      </c>
      <c r="B499" s="17" t="str">
        <f ca="1">IF(HLOOKUP(B497,Summary!$I$2:$AM$7,2,0)=0,"",HLOOKUP(B497,Summary!$I$2:$AM$7,2,0))</f>
        <v/>
      </c>
      <c r="C499" s="71" t="str">
        <f ca="1">IFERROR(VLOOKUP(B499,fixed_expenses[],2,0),"")</f>
        <v/>
      </c>
      <c r="D499" s="17" t="str">
        <f ca="1">IF(HLOOKUP(D497,Summary!$I$2:$AM$7,2,0)=0,"",HLOOKUP(D497,Summary!$I$2:$AM$7,2,0))</f>
        <v>Lynn Phone Bill</v>
      </c>
      <c r="E499" s="71" t="str">
        <f ca="1">IFERROR(VLOOKUP(D499,fixed_expenses[],2,0),"")</f>
        <v/>
      </c>
      <c r="F499" s="17" t="str">
        <f ca="1">IF(HLOOKUP(F497,Summary!$I$2:$AM$7,2,0)=0,"",HLOOKUP(F497,Summary!$I$2:$AM$7,2,0))</f>
        <v/>
      </c>
      <c r="G499" s="71" t="str">
        <f ca="1">IFERROR(VLOOKUP(F499,fixed_expenses[],2,0),"")</f>
        <v/>
      </c>
      <c r="H499" s="17" t="str">
        <f ca="1">IF(HLOOKUP(H497,Summary!$I$2:$AM$7,2,0)=0,"",HLOOKUP(H497,Summary!$I$2:$AM$7,2,0))</f>
        <v/>
      </c>
      <c r="I499" s="71" t="str">
        <f ca="1">IFERROR(VLOOKUP(H499,fixed_expenses[],2,0),"")</f>
        <v/>
      </c>
      <c r="J499" s="17" t="str">
        <f ca="1">IF(HLOOKUP(J497,Summary!$I$2:$AM$7,2,0)=0,"",HLOOKUP(J497,Summary!$I$2:$AM$7,2,0))</f>
        <v/>
      </c>
      <c r="K499" s="71" t="str">
        <f ca="1">IFERROR(VLOOKUP(J499,fixed_expenses[],2,0),"")</f>
        <v/>
      </c>
      <c r="L499" s="17" t="str">
        <f ca="1">IF(HLOOKUP(L497,Summary!$I$2:$AM$7,2,0)=0,"",HLOOKUP(L497,Summary!$I$2:$AM$7,2,0))</f>
        <v/>
      </c>
      <c r="M499" s="71" t="str">
        <f ca="1">IFERROR(VLOOKUP(L499,fixed_expenses[],2,0),"")</f>
        <v/>
      </c>
      <c r="N499" s="17" t="str">
        <f ca="1">IF(HLOOKUP(N497,Summary!$I$2:$AM$7,2,0)=0,"",HLOOKUP(N497,Summary!$I$2:$AM$7,2,0))</f>
        <v/>
      </c>
      <c r="O499" s="71" t="str">
        <f ca="1">IFERROR(VLOOKUP(N499,fixed_expenses[],2,0),"")</f>
        <v/>
      </c>
      <c r="P499" s="22"/>
    </row>
    <row r="500" spans="1:16" ht="11.25" customHeight="1" x14ac:dyDescent="0.2">
      <c r="B500" s="17" t="str">
        <f ca="1">IF(HLOOKUP(B497,Summary!$I$2:$AM$7,3,0)=0,"",HLOOKUP(B497,Summary!$I$2:$AM$7,3,0))</f>
        <v/>
      </c>
      <c r="C500" s="71" t="str">
        <f ca="1">IFERROR(VLOOKUP(B500,fixed_expenses[],2,0),"")</f>
        <v/>
      </c>
      <c r="D500" s="17" t="str">
        <f ca="1">IF(HLOOKUP(D497,Summary!$I$2:$AM$7,3,0)=0,"",HLOOKUP(D497,Summary!$I$2:$AM$7,3,0))</f>
        <v/>
      </c>
      <c r="E500" s="71" t="str">
        <f ca="1">IFERROR(VLOOKUP(D500,fixed_expenses[],2,0),"")</f>
        <v/>
      </c>
      <c r="F500" s="17" t="str">
        <f ca="1">IF(HLOOKUP(F497,Summary!$I$2:$AM$7,3,0)=0,"",HLOOKUP(F497,Summary!$I$2:$AM$7,3,0))</f>
        <v/>
      </c>
      <c r="G500" s="71" t="str">
        <f ca="1">IFERROR(VLOOKUP(F500,fixed_expenses[],2,0),"")</f>
        <v/>
      </c>
      <c r="H500" s="17" t="str">
        <f ca="1">IF(HLOOKUP(H497,Summary!$I$2:$AM$7,3,0)=0,"",HLOOKUP(H497,Summary!$I$2:$AM$7,3,0))</f>
        <v/>
      </c>
      <c r="I500" s="71" t="str">
        <f ca="1">IFERROR(VLOOKUP(H500,fixed_expenses[],2,0),"")</f>
        <v/>
      </c>
      <c r="J500" s="17" t="str">
        <f ca="1">IF(HLOOKUP(J497,Summary!$I$2:$AM$7,3,0)=0,"",HLOOKUP(J497,Summary!$I$2:$AM$7,3,0))</f>
        <v/>
      </c>
      <c r="K500" s="71" t="str">
        <f ca="1">IFERROR(VLOOKUP(J500,fixed_expenses[],2,0),"")</f>
        <v/>
      </c>
      <c r="L500" s="17" t="str">
        <f ca="1">IF(HLOOKUP(L497,Summary!$I$2:$AM$7,3,0)=0,"",HLOOKUP(L497,Summary!$I$2:$AM$7,3,0))</f>
        <v/>
      </c>
      <c r="M500" s="71" t="str">
        <f ca="1">IFERROR(VLOOKUP(L500,fixed_expenses[],2,0),"")</f>
        <v/>
      </c>
      <c r="N500" s="17" t="str">
        <f ca="1">IF(HLOOKUP(N497,Summary!$I$2:$AM$7,3,0)=0,"",HLOOKUP(N497,Summary!$I$2:$AM$7,3,0))</f>
        <v/>
      </c>
      <c r="O500" s="71" t="str">
        <f ca="1">IFERROR(VLOOKUP(N500,fixed_expenses[],2,0),"")</f>
        <v/>
      </c>
      <c r="P500" s="22"/>
    </row>
    <row r="501" spans="1:16" ht="11.25" customHeight="1" x14ac:dyDescent="0.2">
      <c r="B501" s="17" t="str">
        <f ca="1">IF(HLOOKUP(B497,Summary!$I$2:$AM$7,4,0)=0,"",HLOOKUP(B497,Summary!$I$2:$AM$7,4,0))</f>
        <v/>
      </c>
      <c r="C501" s="71" t="str">
        <f ca="1">IFERROR(VLOOKUP(B501,fixed_expenses[],2,0),"")</f>
        <v/>
      </c>
      <c r="D501" s="17" t="str">
        <f ca="1">IF(HLOOKUP(D497,Summary!$I$2:$AM$7,4,0)=0,"",HLOOKUP(D497,Summary!$I$2:$AM$7,4,0))</f>
        <v/>
      </c>
      <c r="E501" s="71" t="str">
        <f ca="1">IFERROR(VLOOKUP(D501,fixed_expenses[],2,0),"")</f>
        <v/>
      </c>
      <c r="F501" s="17" t="str">
        <f ca="1">IF(HLOOKUP(F497,Summary!$I$2:$AM$7,4,0)=0,"",HLOOKUP(F497,Summary!$I$2:$AM$7,4,0))</f>
        <v/>
      </c>
      <c r="G501" s="71" t="str">
        <f ca="1">IFERROR(VLOOKUP(F501,fixed_expenses[],2,0),"")</f>
        <v/>
      </c>
      <c r="H501" s="17" t="str">
        <f ca="1">IF(HLOOKUP(H497,Summary!$I$2:$AM$7,4,0)=0,"",HLOOKUP(H497,Summary!$I$2:$AM$7,4,0))</f>
        <v/>
      </c>
      <c r="I501" s="71" t="str">
        <f ca="1">IFERROR(VLOOKUP(H501,fixed_expenses[],2,0),"")</f>
        <v/>
      </c>
      <c r="J501" s="17" t="str">
        <f ca="1">IF(HLOOKUP(J497,Summary!$I$2:$AM$7,4,0)=0,"",HLOOKUP(J497,Summary!$I$2:$AM$7,4,0))</f>
        <v/>
      </c>
      <c r="K501" s="71" t="str">
        <f ca="1">IFERROR(VLOOKUP(J501,fixed_expenses[],2,0),"")</f>
        <v/>
      </c>
      <c r="L501" s="17" t="str">
        <f ca="1">IF(HLOOKUP(L497,Summary!$I$2:$AM$7,4,0)=0,"",HLOOKUP(L497,Summary!$I$2:$AM$7,4,0))</f>
        <v/>
      </c>
      <c r="M501" s="71" t="str">
        <f ca="1">IFERROR(VLOOKUP(L501,fixed_expenses[],2,0),"")</f>
        <v/>
      </c>
      <c r="N501" s="17" t="str">
        <f ca="1">IF(HLOOKUP(N497,Summary!$I$2:$AM$7,4,0)=0,"",HLOOKUP(N497,Summary!$I$2:$AM$7,4,0))</f>
        <v/>
      </c>
      <c r="O501" s="71" t="str">
        <f ca="1">IFERROR(VLOOKUP(N501,fixed_expenses[],2,0),"")</f>
        <v/>
      </c>
      <c r="P501" s="22"/>
    </row>
    <row r="502" spans="1:16" ht="11.25" customHeight="1" x14ac:dyDescent="0.2">
      <c r="B502" s="17" t="str">
        <f ca="1">IF(HLOOKUP(B497,Summary!$I$2:$AM$7,5,0)=0,"",HLOOKUP(B497,Summary!$I$2:$AM$7,5,0))</f>
        <v/>
      </c>
      <c r="C502" s="71" t="str">
        <f ca="1">IFERROR(VLOOKUP(B502,fixed_expenses[],2,0),"")</f>
        <v/>
      </c>
      <c r="D502" s="17" t="str">
        <f ca="1">IF(HLOOKUP(D497,Summary!$I$2:$AM$7,5,0)=0,"",HLOOKUP(D497,Summary!$I$2:$AM$7,5,0))</f>
        <v/>
      </c>
      <c r="E502" s="71" t="str">
        <f ca="1">IFERROR(VLOOKUP(D502,fixed_expenses[],2,0),"")</f>
        <v/>
      </c>
      <c r="F502" s="17" t="str">
        <f ca="1">IF(HLOOKUP(F497,Summary!$I$2:$AM$7,5,0)=0,"",HLOOKUP(F497,Summary!$I$2:$AM$7,5,0))</f>
        <v/>
      </c>
      <c r="G502" s="71" t="str">
        <f ca="1">IFERROR(VLOOKUP(F502,fixed_expenses[],2,0),"")</f>
        <v/>
      </c>
      <c r="H502" s="17" t="str">
        <f ca="1">IF(HLOOKUP(H497,Summary!$I$2:$AM$7,5,0)=0,"",HLOOKUP(H497,Summary!$I$2:$AM$7,5,0))</f>
        <v/>
      </c>
      <c r="I502" s="71" t="str">
        <f ca="1">IFERROR(VLOOKUP(H502,fixed_expenses[],2,0),"")</f>
        <v/>
      </c>
      <c r="J502" s="17" t="str">
        <f ca="1">IF(HLOOKUP(J497,Summary!$I$2:$AM$7,5,0)=0,"",HLOOKUP(J497,Summary!$I$2:$AM$7,5,0))</f>
        <v/>
      </c>
      <c r="K502" s="71" t="str">
        <f ca="1">IFERROR(VLOOKUP(J502,fixed_expenses[],2,0),"")</f>
        <v/>
      </c>
      <c r="L502" s="17" t="str">
        <f ca="1">IF(HLOOKUP(L497,Summary!$I$2:$AM$7,5,0)=0,"",HLOOKUP(L497,Summary!$I$2:$AM$7,5,0))</f>
        <v/>
      </c>
      <c r="M502" s="71" t="str">
        <f ca="1">IFERROR(VLOOKUP(L502,fixed_expenses[],2,0),"")</f>
        <v/>
      </c>
      <c r="N502" s="17" t="str">
        <f ca="1">IF(HLOOKUP(N497,Summary!$I$2:$AM$7,5,0)=0,"",HLOOKUP(N497,Summary!$I$2:$AM$7,5,0))</f>
        <v/>
      </c>
      <c r="O502" s="71" t="str">
        <f ca="1">IFERROR(VLOOKUP(N502,fixed_expenses[],2,0),"")</f>
        <v/>
      </c>
      <c r="P502" s="22"/>
    </row>
    <row r="503" spans="1:16" ht="11.25" customHeight="1" x14ac:dyDescent="0.2">
      <c r="B503" s="17" t="str">
        <f ca="1">IF(HLOOKUP(B497,Summary!$I$2:$AM$7,6,0)=0,"",HLOOKUP(B497,Summary!$I$2:$AM$7,6,0))</f>
        <v/>
      </c>
      <c r="C503" s="71" t="str">
        <f ca="1">IFERROR(VLOOKUP(B503,fixed_expenses[],2,0),"")</f>
        <v/>
      </c>
      <c r="D503" s="17" t="str">
        <f ca="1">IF(HLOOKUP(D497,Summary!$I$2:$AM$7,6,0)=0,"",HLOOKUP(D497,Summary!$I$2:$AM$7,6,0))</f>
        <v/>
      </c>
      <c r="E503" s="71" t="str">
        <f ca="1">IFERROR(VLOOKUP(D503,fixed_expenses[],2,0),"")</f>
        <v/>
      </c>
      <c r="F503" s="17" t="str">
        <f ca="1">IF(HLOOKUP(F497,Summary!$I$2:$AM$7,6,0)=0,"",HLOOKUP(F497,Summary!$I$2:$AM$7,6,0))</f>
        <v/>
      </c>
      <c r="G503" s="71" t="str">
        <f ca="1">IFERROR(VLOOKUP(F503,fixed_expenses[],2,0),"")</f>
        <v/>
      </c>
      <c r="H503" s="17" t="str">
        <f ca="1">IF(HLOOKUP(H497,Summary!$I$2:$AM$7,6,0)=0,"",HLOOKUP(H497,Summary!$I$2:$AM$7,6,0))</f>
        <v/>
      </c>
      <c r="I503" s="71" t="str">
        <f ca="1">IFERROR(VLOOKUP(H503,fixed_expenses[],2,0),"")</f>
        <v/>
      </c>
      <c r="J503" s="17" t="str">
        <f ca="1">IF(HLOOKUP(J497,Summary!$I$2:$AM$7,6,0)=0,"",HLOOKUP(J497,Summary!$I$2:$AM$7,6,0))</f>
        <v/>
      </c>
      <c r="K503" s="71" t="str">
        <f ca="1">IFERROR(VLOOKUP(J503,fixed_expenses[],2,0),"")</f>
        <v/>
      </c>
      <c r="L503" s="17" t="str">
        <f ca="1">IF(HLOOKUP(L497,Summary!$I$2:$AM$7,6,0)=0,"",HLOOKUP(L497,Summary!$I$2:$AM$7,6,0))</f>
        <v/>
      </c>
      <c r="M503" s="71" t="str">
        <f ca="1">IFERROR(VLOOKUP(L503,fixed_expenses[],2,0),"")</f>
        <v/>
      </c>
      <c r="N503" s="17" t="str">
        <f ca="1">IF(HLOOKUP(N497,Summary!$I$2:$AM$7,6,0)=0,"",HLOOKUP(N497,Summary!$I$2:$AM$7,6,0))</f>
        <v/>
      </c>
      <c r="O503" s="71" t="str">
        <f ca="1">IFERROR(VLOOKUP(N503,fixed_expenses[],2,0),"")</f>
        <v/>
      </c>
      <c r="P503" s="22"/>
    </row>
    <row r="504" spans="1:16" ht="11.25" customHeight="1" x14ac:dyDescent="0.2">
      <c r="A504" s="43" t="s">
        <v>305</v>
      </c>
      <c r="B504" s="26" t="s">
        <v>8</v>
      </c>
      <c r="C504" s="27">
        <f ca="1">SUM(C499:C503)</f>
        <v>0</v>
      </c>
      <c r="D504" s="26"/>
      <c r="E504" s="27">
        <f ca="1">SUM(E499:E503)</f>
        <v>0</v>
      </c>
      <c r="F504" s="26"/>
      <c r="G504" s="27">
        <f ca="1">SUM(G499:G503)</f>
        <v>0</v>
      </c>
      <c r="H504" s="26"/>
      <c r="I504" s="27">
        <f ca="1">SUM(I499:I503)</f>
        <v>0</v>
      </c>
      <c r="J504" s="26"/>
      <c r="K504" s="27">
        <f ca="1">SUM(K499:K503)</f>
        <v>0</v>
      </c>
      <c r="L504" s="26"/>
      <c r="M504" s="27">
        <f ca="1">SUM(M499:M503)</f>
        <v>0</v>
      </c>
      <c r="N504" s="26"/>
      <c r="O504" s="28">
        <f ca="1">SUM(O499:O503)</f>
        <v>0</v>
      </c>
      <c r="P504" s="29">
        <f ca="1">SUM(C504,E504,G504,I504,K504,M504,O504)</f>
        <v>0</v>
      </c>
    </row>
    <row r="505" spans="1:16" x14ac:dyDescent="0.2">
      <c r="B505" s="6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6"/>
    </row>
    <row r="506" spans="1:16" ht="15" customHeight="1" x14ac:dyDescent="0.2">
      <c r="A506" s="43" t="s">
        <v>268</v>
      </c>
      <c r="B506" s="12">
        <f ca="1">DAY(IF(DAY(SepSun1)=1,SepSun1+22,SepSun1+29))</f>
        <v>26</v>
      </c>
      <c r="C506" s="13"/>
      <c r="D506" s="12">
        <f ca="1">DAY(IF(DAY(SepSun1)=1,SepSun1+23,SepSun1+30))</f>
        <v>27</v>
      </c>
      <c r="E506" s="13"/>
      <c r="F506" s="12">
        <f ca="1">DAY(IF(DAY(SepSun1)=1,SepSun1+24,SepSun1+31))</f>
        <v>28</v>
      </c>
      <c r="G506" s="13"/>
      <c r="H506" s="12">
        <f ca="1">DAY(IF(DAY(SepSun1)=1,SepSun1+25,SepSun1+32))</f>
        <v>29</v>
      </c>
      <c r="I506" s="13"/>
      <c r="J506" s="12">
        <f ca="1">DAY(IF(DAY(SepSun1)=1,SepSun1+26,SepSun1+33))</f>
        <v>30</v>
      </c>
      <c r="K506" s="13"/>
      <c r="L506" s="12">
        <f ca="1">DAY(IF(DAY(SepSun1)=1,SepSun1+27,SepSun1+34))</f>
        <v>1</v>
      </c>
      <c r="M506" s="13"/>
      <c r="N506" s="12">
        <f ca="1">DAY(IF(DAY(SepSun1)=1,SepSun1+28,SepSun1+35))</f>
        <v>2</v>
      </c>
      <c r="O506" s="13"/>
      <c r="P506" s="25"/>
    </row>
    <row r="507" spans="1:16" ht="11.25" customHeight="1" x14ac:dyDescent="0.2">
      <c r="A507" s="43" t="s">
        <v>137</v>
      </c>
      <c r="B507" s="37" t="s">
        <v>9</v>
      </c>
      <c r="C507" s="39" t="s">
        <v>10</v>
      </c>
      <c r="D507" s="37" t="s">
        <v>9</v>
      </c>
      <c r="E507" s="39" t="s">
        <v>10</v>
      </c>
      <c r="F507" s="37" t="s">
        <v>9</v>
      </c>
      <c r="G507" s="39" t="s">
        <v>10</v>
      </c>
      <c r="H507" s="37" t="s">
        <v>9</v>
      </c>
      <c r="I507" s="39" t="s">
        <v>10</v>
      </c>
      <c r="J507" s="37" t="s">
        <v>9</v>
      </c>
      <c r="K507" s="39" t="s">
        <v>10</v>
      </c>
      <c r="L507" s="37" t="s">
        <v>9</v>
      </c>
      <c r="M507" s="39" t="s">
        <v>10</v>
      </c>
      <c r="N507" s="37" t="s">
        <v>9</v>
      </c>
      <c r="O507" s="40" t="s">
        <v>10</v>
      </c>
      <c r="P507" s="22"/>
    </row>
    <row r="508" spans="1:16" ht="11.25" customHeight="1" x14ac:dyDescent="0.2">
      <c r="A508" s="43" t="s">
        <v>216</v>
      </c>
      <c r="B508" s="17" t="str">
        <f ca="1">IF(HLOOKUP(B506,Summary!$I$2:$AM$7,2,0)=0,"",HLOOKUP(B506,Summary!$I$2:$AM$7,2,0))</f>
        <v/>
      </c>
      <c r="C508" s="71" t="str">
        <f ca="1">IFERROR(VLOOKUP(B508,fixed_expenses[],2,0),"")</f>
        <v/>
      </c>
      <c r="D508" s="17" t="str">
        <f ca="1">IF(HLOOKUP(D506,Summary!$I$2:$AM$7,2,0)=0,"",HLOOKUP(D506,Summary!$I$2:$AM$7,2,0))</f>
        <v/>
      </c>
      <c r="E508" s="71" t="str">
        <f ca="1">IFERROR(VLOOKUP(D508,fixed_expenses[],2,0),"")</f>
        <v/>
      </c>
      <c r="F508" s="17" t="str">
        <f ca="1">IF(HLOOKUP(F506,Summary!$I$2:$AM$7,2,0)=0,"",HLOOKUP(F506,Summary!$I$2:$AM$7,2,0))</f>
        <v/>
      </c>
      <c r="G508" s="71" t="str">
        <f ca="1">IFERROR(VLOOKUP(F508,fixed_expenses[],2,0),"")</f>
        <v/>
      </c>
      <c r="H508" s="17" t="str">
        <f ca="1">IF(HLOOKUP(H506,Summary!$I$2:$AM$7,2,0)=0,"",HLOOKUP(H506,Summary!$I$2:$AM$7,2,0))</f>
        <v/>
      </c>
      <c r="I508" s="71" t="str">
        <f ca="1">IFERROR(VLOOKUP(H508,fixed_expenses[],2,0),"")</f>
        <v/>
      </c>
      <c r="J508" s="17" t="str">
        <f ca="1">IF(HLOOKUP(J506,Summary!$I$2:$AM$7,2,0)=0,"",HLOOKUP(J506,Summary!$I$2:$AM$7,2,0))</f>
        <v/>
      </c>
      <c r="K508" s="71" t="str">
        <f ca="1">IFERROR(VLOOKUP(J508,fixed_expenses[],2,0),"")</f>
        <v/>
      </c>
      <c r="L508" s="17" t="str">
        <f ca="1">IF(HLOOKUP(L506,Summary!$I$2:$AM$7,2,0)=0,"",HLOOKUP(L506,Summary!$I$2:$AM$7,2,0))</f>
        <v/>
      </c>
      <c r="M508" s="71" t="str">
        <f ca="1">IFERROR(VLOOKUP(L508,fixed_expenses[],2,0),"")</f>
        <v/>
      </c>
      <c r="N508" s="17" t="str">
        <f ca="1">IF(HLOOKUP(N506,Summary!$I$2:$AM$7,2,0)=0,"",HLOOKUP(N506,Summary!$I$2:$AM$7,2,0))</f>
        <v/>
      </c>
      <c r="O508" s="71" t="str">
        <f ca="1">IFERROR(VLOOKUP(N508,fixed_expenses[],2,0),"")</f>
        <v/>
      </c>
      <c r="P508" s="22"/>
    </row>
    <row r="509" spans="1:16" ht="11.25" customHeight="1" x14ac:dyDescent="0.2">
      <c r="B509" s="17" t="str">
        <f ca="1">IF(HLOOKUP(B506,Summary!$I$2:$AM$7,3,0)=0,"",HLOOKUP(B506,Summary!$I$2:$AM$7,3,0))</f>
        <v/>
      </c>
      <c r="C509" s="71" t="str">
        <f ca="1">IFERROR(VLOOKUP(B509,fixed_expenses[],2,0),"")</f>
        <v/>
      </c>
      <c r="D509" s="17" t="str">
        <f ca="1">IF(HLOOKUP(D506,Summary!$I$2:$AM$7,3,0)=0,"",HLOOKUP(D506,Summary!$I$2:$AM$7,3,0))</f>
        <v/>
      </c>
      <c r="E509" s="71" t="str">
        <f ca="1">IFERROR(VLOOKUP(D509,fixed_expenses[],2,0),"")</f>
        <v/>
      </c>
      <c r="F509" s="17" t="str">
        <f ca="1">IF(HLOOKUP(F506,Summary!$I$2:$AM$7,3,0)=0,"",HLOOKUP(F506,Summary!$I$2:$AM$7,3,0))</f>
        <v/>
      </c>
      <c r="G509" s="71" t="str">
        <f ca="1">IFERROR(VLOOKUP(F509,fixed_expenses[],2,0),"")</f>
        <v/>
      </c>
      <c r="H509" s="17" t="str">
        <f ca="1">IF(HLOOKUP(H506,Summary!$I$2:$AM$7,3,0)=0,"",HLOOKUP(H506,Summary!$I$2:$AM$7,3,0))</f>
        <v/>
      </c>
      <c r="I509" s="71" t="str">
        <f ca="1">IFERROR(VLOOKUP(H509,fixed_expenses[],2,0),"")</f>
        <v/>
      </c>
      <c r="J509" s="17" t="str">
        <f ca="1">IF(HLOOKUP(J506,Summary!$I$2:$AM$7,3,0)=0,"",HLOOKUP(J506,Summary!$I$2:$AM$7,3,0))</f>
        <v/>
      </c>
      <c r="K509" s="71" t="str">
        <f ca="1">IFERROR(VLOOKUP(J509,fixed_expenses[],2,0),"")</f>
        <v/>
      </c>
      <c r="L509" s="17" t="str">
        <f ca="1">IF(HLOOKUP(L506,Summary!$I$2:$AM$7,3,0)=0,"",HLOOKUP(L506,Summary!$I$2:$AM$7,3,0))</f>
        <v/>
      </c>
      <c r="M509" s="71" t="str">
        <f ca="1">IFERROR(VLOOKUP(L509,fixed_expenses[],2,0),"")</f>
        <v/>
      </c>
      <c r="N509" s="17" t="str">
        <f ca="1">IF(HLOOKUP(N506,Summary!$I$2:$AM$7,3,0)=0,"",HLOOKUP(N506,Summary!$I$2:$AM$7,3,0))</f>
        <v/>
      </c>
      <c r="O509" s="71" t="str">
        <f ca="1">IFERROR(VLOOKUP(N509,fixed_expenses[],2,0),"")</f>
        <v/>
      </c>
      <c r="P509" s="22"/>
    </row>
    <row r="510" spans="1:16" ht="11.25" customHeight="1" x14ac:dyDescent="0.2">
      <c r="B510" s="17" t="str">
        <f ca="1">IF(HLOOKUP(B506,Summary!$I$2:$AM$7,4,0)=0,"",HLOOKUP(B506,Summary!$I$2:$AM$7,4,0))</f>
        <v/>
      </c>
      <c r="C510" s="71" t="str">
        <f ca="1">IFERROR(VLOOKUP(B510,fixed_expenses[],2,0),"")</f>
        <v/>
      </c>
      <c r="D510" s="17" t="str">
        <f ca="1">IF(HLOOKUP(D506,Summary!$I$2:$AM$7,4,0)=0,"",HLOOKUP(D506,Summary!$I$2:$AM$7,4,0))</f>
        <v/>
      </c>
      <c r="E510" s="71" t="str">
        <f ca="1">IFERROR(VLOOKUP(D510,fixed_expenses[],2,0),"")</f>
        <v/>
      </c>
      <c r="F510" s="17" t="str">
        <f ca="1">IF(HLOOKUP(F506,Summary!$I$2:$AM$7,4,0)=0,"",HLOOKUP(F506,Summary!$I$2:$AM$7,4,0))</f>
        <v/>
      </c>
      <c r="G510" s="71" t="str">
        <f ca="1">IFERROR(VLOOKUP(F510,fixed_expenses[],2,0),"")</f>
        <v/>
      </c>
      <c r="H510" s="17" t="str">
        <f ca="1">IF(HLOOKUP(H506,Summary!$I$2:$AM$7,4,0)=0,"",HLOOKUP(H506,Summary!$I$2:$AM$7,4,0))</f>
        <v/>
      </c>
      <c r="I510" s="71" t="str">
        <f ca="1">IFERROR(VLOOKUP(H510,fixed_expenses[],2,0),"")</f>
        <v/>
      </c>
      <c r="J510" s="17" t="str">
        <f ca="1">IF(HLOOKUP(J506,Summary!$I$2:$AM$7,4,0)=0,"",HLOOKUP(J506,Summary!$I$2:$AM$7,4,0))</f>
        <v/>
      </c>
      <c r="K510" s="71" t="str">
        <f ca="1">IFERROR(VLOOKUP(J510,fixed_expenses[],2,0),"")</f>
        <v/>
      </c>
      <c r="L510" s="17" t="str">
        <f ca="1">IF(HLOOKUP(L506,Summary!$I$2:$AM$7,4,0)=0,"",HLOOKUP(L506,Summary!$I$2:$AM$7,4,0))</f>
        <v/>
      </c>
      <c r="M510" s="71" t="str">
        <f ca="1">IFERROR(VLOOKUP(L510,fixed_expenses[],2,0),"")</f>
        <v/>
      </c>
      <c r="N510" s="17" t="str">
        <f ca="1">IF(HLOOKUP(N506,Summary!$I$2:$AM$7,4,0)=0,"",HLOOKUP(N506,Summary!$I$2:$AM$7,4,0))</f>
        <v/>
      </c>
      <c r="O510" s="71" t="str">
        <f ca="1">IFERROR(VLOOKUP(N510,fixed_expenses[],2,0),"")</f>
        <v/>
      </c>
      <c r="P510" s="22"/>
    </row>
    <row r="511" spans="1:16" ht="11.25" customHeight="1" x14ac:dyDescent="0.2">
      <c r="B511" s="17" t="str">
        <f ca="1">IF(HLOOKUP(B506,Summary!$I$2:$AM$7,5,0)=0,"",HLOOKUP(B506,Summary!$I$2:$AM$7,5,0))</f>
        <v/>
      </c>
      <c r="C511" s="71" t="str">
        <f ca="1">IFERROR(VLOOKUP(B511,fixed_expenses[],2,0),"")</f>
        <v/>
      </c>
      <c r="D511" s="17" t="str">
        <f ca="1">IF(HLOOKUP(D506,Summary!$I$2:$AM$7,5,0)=0,"",HLOOKUP(D506,Summary!$I$2:$AM$7,5,0))</f>
        <v/>
      </c>
      <c r="E511" s="71" t="str">
        <f ca="1">IFERROR(VLOOKUP(D511,fixed_expenses[],2,0),"")</f>
        <v/>
      </c>
      <c r="F511" s="17" t="str">
        <f ca="1">IF(HLOOKUP(F506,Summary!$I$2:$AM$7,5,0)=0,"",HLOOKUP(F506,Summary!$I$2:$AM$7,5,0))</f>
        <v/>
      </c>
      <c r="G511" s="71" t="str">
        <f ca="1">IFERROR(VLOOKUP(F511,fixed_expenses[],2,0),"")</f>
        <v/>
      </c>
      <c r="H511" s="17" t="str">
        <f ca="1">IF(HLOOKUP(H506,Summary!$I$2:$AM$7,5,0)=0,"",HLOOKUP(H506,Summary!$I$2:$AM$7,5,0))</f>
        <v/>
      </c>
      <c r="I511" s="71" t="str">
        <f ca="1">IFERROR(VLOOKUP(H511,fixed_expenses[],2,0),"")</f>
        <v/>
      </c>
      <c r="J511" s="17" t="str">
        <f ca="1">IF(HLOOKUP(J506,Summary!$I$2:$AM$7,5,0)=0,"",HLOOKUP(J506,Summary!$I$2:$AM$7,5,0))</f>
        <v/>
      </c>
      <c r="K511" s="71" t="str">
        <f ca="1">IFERROR(VLOOKUP(J511,fixed_expenses[],2,0),"")</f>
        <v/>
      </c>
      <c r="L511" s="17" t="str">
        <f ca="1">IF(HLOOKUP(L506,Summary!$I$2:$AM$7,5,0)=0,"",HLOOKUP(L506,Summary!$I$2:$AM$7,5,0))</f>
        <v/>
      </c>
      <c r="M511" s="71" t="str">
        <f ca="1">IFERROR(VLOOKUP(L511,fixed_expenses[],2,0),"")</f>
        <v/>
      </c>
      <c r="N511" s="17" t="str">
        <f ca="1">IF(HLOOKUP(N506,Summary!$I$2:$AM$7,5,0)=0,"",HLOOKUP(N506,Summary!$I$2:$AM$7,5,0))</f>
        <v/>
      </c>
      <c r="O511" s="71" t="str">
        <f ca="1">IFERROR(VLOOKUP(N511,fixed_expenses[],2,0),"")</f>
        <v/>
      </c>
      <c r="P511" s="22"/>
    </row>
    <row r="512" spans="1:16" ht="11.25" customHeight="1" x14ac:dyDescent="0.2">
      <c r="B512" s="17" t="str">
        <f ca="1">IF(HLOOKUP(B506,Summary!$I$2:$AM$7,6,0)=0,"",HLOOKUP(B506,Summary!$I$2:$AM$7,6,0))</f>
        <v/>
      </c>
      <c r="C512" s="71" t="str">
        <f ca="1">IFERROR(VLOOKUP(B512,fixed_expenses[],2,0),"")</f>
        <v/>
      </c>
      <c r="D512" s="17" t="str">
        <f ca="1">IF(HLOOKUP(D506,Summary!$I$2:$AM$7,6,0)=0,"",HLOOKUP(D506,Summary!$I$2:$AM$7,6,0))</f>
        <v/>
      </c>
      <c r="E512" s="71" t="str">
        <f ca="1">IFERROR(VLOOKUP(D512,fixed_expenses[],2,0),"")</f>
        <v/>
      </c>
      <c r="F512" s="17" t="str">
        <f ca="1">IF(HLOOKUP(F506,Summary!$I$2:$AM$7,6,0)=0,"",HLOOKUP(F506,Summary!$I$2:$AM$7,6,0))</f>
        <v/>
      </c>
      <c r="G512" s="71" t="str">
        <f ca="1">IFERROR(VLOOKUP(F512,fixed_expenses[],2,0),"")</f>
        <v/>
      </c>
      <c r="H512" s="17" t="str">
        <f ca="1">IF(HLOOKUP(H506,Summary!$I$2:$AM$7,6,0)=0,"",HLOOKUP(H506,Summary!$I$2:$AM$7,6,0))</f>
        <v/>
      </c>
      <c r="I512" s="71" t="str">
        <f ca="1">IFERROR(VLOOKUP(H512,fixed_expenses[],2,0),"")</f>
        <v/>
      </c>
      <c r="J512" s="17" t="str">
        <f ca="1">IF(HLOOKUP(J506,Summary!$I$2:$AM$7,6,0)=0,"",HLOOKUP(J506,Summary!$I$2:$AM$7,6,0))</f>
        <v/>
      </c>
      <c r="K512" s="71" t="str">
        <f ca="1">IFERROR(VLOOKUP(J512,fixed_expenses[],2,0),"")</f>
        <v/>
      </c>
      <c r="L512" s="17" t="str">
        <f ca="1">IF(HLOOKUP(L506,Summary!$I$2:$AM$7,6,0)=0,"",HLOOKUP(L506,Summary!$I$2:$AM$7,6,0))</f>
        <v/>
      </c>
      <c r="M512" s="71" t="str">
        <f ca="1">IFERROR(VLOOKUP(L512,fixed_expenses[],2,0),"")</f>
        <v/>
      </c>
      <c r="N512" s="17" t="str">
        <f ca="1">IF(HLOOKUP(N506,Summary!$I$2:$AM$7,6,0)=0,"",HLOOKUP(N506,Summary!$I$2:$AM$7,6,0))</f>
        <v/>
      </c>
      <c r="O512" s="71" t="str">
        <f ca="1">IFERROR(VLOOKUP(N512,fixed_expenses[],2,0),"")</f>
        <v/>
      </c>
      <c r="P512" s="22"/>
    </row>
    <row r="513" spans="1:16" ht="11.25" customHeight="1" x14ac:dyDescent="0.2">
      <c r="A513" s="43" t="s">
        <v>304</v>
      </c>
      <c r="B513" s="26" t="s">
        <v>8</v>
      </c>
      <c r="C513" s="27">
        <f ca="1">SUM(C508:C512)</f>
        <v>0</v>
      </c>
      <c r="D513" s="26"/>
      <c r="E513" s="27">
        <f ca="1">SUM(E508:E512)</f>
        <v>0</v>
      </c>
      <c r="F513" s="26"/>
      <c r="G513" s="27">
        <f ca="1">SUM(G508:G512)</f>
        <v>0</v>
      </c>
      <c r="H513" s="26"/>
      <c r="I513" s="27">
        <f ca="1">SUM(I508:I512)</f>
        <v>0</v>
      </c>
      <c r="J513" s="26"/>
      <c r="K513" s="27">
        <f ca="1">SUM(K508:K512)</f>
        <v>0</v>
      </c>
      <c r="L513" s="26"/>
      <c r="M513" s="27">
        <f ca="1">SUM(M508:M512)</f>
        <v>0</v>
      </c>
      <c r="N513" s="26"/>
      <c r="O513" s="28">
        <f ca="1">SUM(O508:O512)</f>
        <v>0</v>
      </c>
      <c r="P513" s="29">
        <f ca="1">SUMIF(B506:N506,"&gt;="&amp;15,C513:O513)</f>
        <v>0</v>
      </c>
    </row>
    <row r="514" spans="1:16" x14ac:dyDescent="0.2">
      <c r="B514" s="6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6"/>
    </row>
    <row r="515" spans="1:16" ht="15" customHeight="1" x14ac:dyDescent="0.2">
      <c r="A515" s="43" t="s">
        <v>269</v>
      </c>
      <c r="B515" s="12">
        <f ca="1">DAY(IF(DAY(SepSun1)=1,SepSun1+29,SepSun1+36))</f>
        <v>3</v>
      </c>
      <c r="C515" s="11"/>
      <c r="D515" s="12">
        <f ca="1">DAY(IF(DAY(SepSun1)=1,SepSun1+30,SepSun1+37))</f>
        <v>4</v>
      </c>
      <c r="E515" s="13"/>
      <c r="F515" s="10">
        <f ca="1">DAY(IF(DAY(SepSun1)=1,SepSun1+31,SepSun1+38))</f>
        <v>5</v>
      </c>
      <c r="G515" s="13"/>
      <c r="H515" s="12">
        <f ca="1">DAY(IF(DAY(SepSun1)=1,SepSun1+32,SepSun1+39))</f>
        <v>6</v>
      </c>
      <c r="I515" s="13"/>
      <c r="J515" s="12">
        <f ca="1">DAY(IF(DAY(SepSun1)=1,SepSun1+33,SepSun1+40))</f>
        <v>7</v>
      </c>
      <c r="K515" s="13"/>
      <c r="L515" s="12">
        <f ca="1">DAY(IF(DAY(SepSun1)=1,SepSun1+34,SepSun1+41))</f>
        <v>8</v>
      </c>
      <c r="M515" s="13"/>
      <c r="N515" s="12">
        <f ca="1">DAY(IF(DAY(SepSun1)=1,SepSun1+35,SepSun1+42))</f>
        <v>9</v>
      </c>
      <c r="O515" s="13"/>
      <c r="P515" s="25"/>
    </row>
    <row r="516" spans="1:16" ht="11.25" customHeight="1" x14ac:dyDescent="0.2">
      <c r="A516" s="43" t="s">
        <v>136</v>
      </c>
      <c r="B516" s="37" t="s">
        <v>9</v>
      </c>
      <c r="C516" s="39" t="s">
        <v>10</v>
      </c>
      <c r="D516" s="37" t="s">
        <v>9</v>
      </c>
      <c r="E516" s="39" t="s">
        <v>10</v>
      </c>
      <c r="F516" s="37" t="s">
        <v>9</v>
      </c>
      <c r="G516" s="39" t="s">
        <v>10</v>
      </c>
      <c r="H516" s="37" t="s">
        <v>9</v>
      </c>
      <c r="I516" s="39" t="s">
        <v>10</v>
      </c>
      <c r="J516" s="37" t="s">
        <v>9</v>
      </c>
      <c r="K516" s="39" t="s">
        <v>10</v>
      </c>
      <c r="L516" s="37" t="s">
        <v>9</v>
      </c>
      <c r="M516" s="39" t="s">
        <v>10</v>
      </c>
      <c r="N516" s="37" t="s">
        <v>9</v>
      </c>
      <c r="O516" s="40" t="s">
        <v>10</v>
      </c>
      <c r="P516" s="22"/>
    </row>
    <row r="517" spans="1:16" ht="11.25" customHeight="1" x14ac:dyDescent="0.2">
      <c r="A517" s="43" t="s">
        <v>217</v>
      </c>
      <c r="B517" s="17" t="str">
        <f ca="1">IF(HLOOKUP(B515,Summary!$I$2:$AM$7,2,0)=0,"",HLOOKUP(B515,Summary!$I$2:$AM$7,2,0))</f>
        <v>Rent</v>
      </c>
      <c r="C517" s="71">
        <f ca="1">IFERROR(VLOOKUP(B517,fixed_expenses[],2,0),"")</f>
        <v>1200</v>
      </c>
      <c r="D517" s="17" t="str">
        <f ca="1">IF(HLOOKUP(D515,Summary!$I$2:$AM$7,2,0)=0,"",HLOOKUP(D515,Summary!$I$2:$AM$7,2,0))</f>
        <v/>
      </c>
      <c r="E517" s="71" t="str">
        <f ca="1">IFERROR(VLOOKUP(D517,fixed_expenses[],2,0),"")</f>
        <v/>
      </c>
      <c r="F517" s="17" t="str">
        <f ca="1">IF(HLOOKUP(F515,Summary!$I$2:$AM$7,2,0)=0,"",HLOOKUP(F515,Summary!$I$2:$AM$7,2,0))</f>
        <v/>
      </c>
      <c r="G517" s="71" t="str">
        <f ca="1">IFERROR(VLOOKUP(F517,fixed_expenses[],2,0),"")</f>
        <v/>
      </c>
      <c r="H517" s="17" t="str">
        <f ca="1">IF(HLOOKUP(H515,Summary!$I$2:$AM$7,2,0)=0,"",HLOOKUP(H515,Summary!$I$2:$AM$7,2,0))</f>
        <v/>
      </c>
      <c r="I517" s="71" t="str">
        <f ca="1">IFERROR(VLOOKUP(H517,fixed_expenses[],2,0),"")</f>
        <v/>
      </c>
      <c r="J517" s="17" t="str">
        <f ca="1">IF(HLOOKUP(J515,Summary!$I$2:$AM$7,2,0)=0,"",HLOOKUP(J515,Summary!$I$2:$AM$7,2,0))</f>
        <v/>
      </c>
      <c r="K517" s="71" t="str">
        <f ca="1">IFERROR(VLOOKUP(J517,fixed_expenses[],2,0),"")</f>
        <v/>
      </c>
      <c r="L517" s="17" t="str">
        <f ca="1">IF(HLOOKUP(L515,Summary!$I$2:$AM$7,2,0)=0,"",HLOOKUP(L515,Summary!$I$2:$AM$7,2,0))</f>
        <v/>
      </c>
      <c r="M517" s="71" t="str">
        <f ca="1">IFERROR(VLOOKUP(L517,fixed_expenses[],2,0),"")</f>
        <v/>
      </c>
      <c r="N517" s="17" t="str">
        <f ca="1">IF(HLOOKUP(N515,Summary!$I$2:$AM$7,2,0)=0,"",HLOOKUP(N515,Summary!$I$2:$AM$7,2,0))</f>
        <v/>
      </c>
      <c r="O517" s="71" t="str">
        <f ca="1">IFERROR(VLOOKUP(N517,fixed_expenses[],2,0),"")</f>
        <v/>
      </c>
      <c r="P517" s="22"/>
    </row>
    <row r="518" spans="1:16" ht="11.25" customHeight="1" x14ac:dyDescent="0.2">
      <c r="B518" s="17" t="str">
        <f ca="1">IF(HLOOKUP(B515,Summary!$I$2:$AM$7,3,0)=0,"",HLOOKUP(B515,Summary!$I$2:$AM$7,3,0))</f>
        <v/>
      </c>
      <c r="C518" s="71" t="str">
        <f ca="1">IFERROR(VLOOKUP(B518,fixed_expenses[],2,0),"")</f>
        <v/>
      </c>
      <c r="D518" s="17" t="str">
        <f ca="1">IF(HLOOKUP(D515,Summary!$I$2:$AM$7,3,0)=0,"",HLOOKUP(D515,Summary!$I$2:$AM$7,3,0))</f>
        <v/>
      </c>
      <c r="E518" s="71" t="str">
        <f ca="1">IFERROR(VLOOKUP(D518,fixed_expenses[],2,0),"")</f>
        <v/>
      </c>
      <c r="F518" s="17" t="str">
        <f ca="1">IF(HLOOKUP(F515,Summary!$I$2:$AM$7,3,0)=0,"",HLOOKUP(F515,Summary!$I$2:$AM$7,3,0))</f>
        <v/>
      </c>
      <c r="G518" s="71" t="str">
        <f ca="1">IFERROR(VLOOKUP(F518,fixed_expenses[],2,0),"")</f>
        <v/>
      </c>
      <c r="H518" s="17" t="str">
        <f ca="1">IF(HLOOKUP(H515,Summary!$I$2:$AM$7,3,0)=0,"",HLOOKUP(H515,Summary!$I$2:$AM$7,3,0))</f>
        <v/>
      </c>
      <c r="I518" s="71" t="str">
        <f ca="1">IFERROR(VLOOKUP(H518,fixed_expenses[],2,0),"")</f>
        <v/>
      </c>
      <c r="J518" s="17" t="str">
        <f ca="1">IF(HLOOKUP(J515,Summary!$I$2:$AM$7,3,0)=0,"",HLOOKUP(J515,Summary!$I$2:$AM$7,3,0))</f>
        <v/>
      </c>
      <c r="K518" s="71" t="str">
        <f ca="1">IFERROR(VLOOKUP(J518,fixed_expenses[],2,0),"")</f>
        <v/>
      </c>
      <c r="L518" s="17" t="str">
        <f ca="1">IF(HLOOKUP(L515,Summary!$I$2:$AM$7,3,0)=0,"",HLOOKUP(L515,Summary!$I$2:$AM$7,3,0))</f>
        <v/>
      </c>
      <c r="M518" s="71" t="str">
        <f ca="1">IFERROR(VLOOKUP(L518,fixed_expenses[],2,0),"")</f>
        <v/>
      </c>
      <c r="N518" s="17" t="str">
        <f ca="1">IF(HLOOKUP(N515,Summary!$I$2:$AM$7,3,0)=0,"",HLOOKUP(N515,Summary!$I$2:$AM$7,3,0))</f>
        <v/>
      </c>
      <c r="O518" s="71" t="str">
        <f ca="1">IFERROR(VLOOKUP(N518,fixed_expenses[],2,0),"")</f>
        <v/>
      </c>
      <c r="P518" s="22"/>
    </row>
    <row r="519" spans="1:16" ht="11.25" customHeight="1" x14ac:dyDescent="0.2">
      <c r="B519" s="17" t="str">
        <f ca="1">IF(HLOOKUP(B515,Summary!$I$2:$AM$7,4,0)=0,"",HLOOKUP(B515,Summary!$I$2:$AM$7,4,0))</f>
        <v/>
      </c>
      <c r="C519" s="71" t="str">
        <f ca="1">IFERROR(VLOOKUP(B519,fixed_expenses[],2,0),"")</f>
        <v/>
      </c>
      <c r="D519" s="17" t="str">
        <f ca="1">IF(HLOOKUP(D515,Summary!$I$2:$AM$7,4,0)=0,"",HLOOKUP(D515,Summary!$I$2:$AM$7,4,0))</f>
        <v/>
      </c>
      <c r="E519" s="71" t="str">
        <f ca="1">IFERROR(VLOOKUP(D519,fixed_expenses[],2,0),"")</f>
        <v/>
      </c>
      <c r="F519" s="17" t="str">
        <f ca="1">IF(HLOOKUP(F515,Summary!$I$2:$AM$7,4,0)=0,"",HLOOKUP(F515,Summary!$I$2:$AM$7,4,0))</f>
        <v/>
      </c>
      <c r="G519" s="71" t="str">
        <f ca="1">IFERROR(VLOOKUP(F519,fixed_expenses[],2,0),"")</f>
        <v/>
      </c>
      <c r="H519" s="17" t="str">
        <f ca="1">IF(HLOOKUP(H515,Summary!$I$2:$AM$7,4,0)=0,"",HLOOKUP(H515,Summary!$I$2:$AM$7,4,0))</f>
        <v/>
      </c>
      <c r="I519" s="71" t="str">
        <f ca="1">IFERROR(VLOOKUP(H519,fixed_expenses[],2,0),"")</f>
        <v/>
      </c>
      <c r="J519" s="17" t="str">
        <f ca="1">IF(HLOOKUP(J515,Summary!$I$2:$AM$7,4,0)=0,"",HLOOKUP(J515,Summary!$I$2:$AM$7,4,0))</f>
        <v/>
      </c>
      <c r="K519" s="71" t="str">
        <f ca="1">IFERROR(VLOOKUP(J519,fixed_expenses[],2,0),"")</f>
        <v/>
      </c>
      <c r="L519" s="17" t="str">
        <f ca="1">IF(HLOOKUP(L515,Summary!$I$2:$AM$7,4,0)=0,"",HLOOKUP(L515,Summary!$I$2:$AM$7,4,0))</f>
        <v/>
      </c>
      <c r="M519" s="71" t="str">
        <f ca="1">IFERROR(VLOOKUP(L519,fixed_expenses[],2,0),"")</f>
        <v/>
      </c>
      <c r="N519" s="17" t="str">
        <f ca="1">IF(HLOOKUP(N515,Summary!$I$2:$AM$7,4,0)=0,"",HLOOKUP(N515,Summary!$I$2:$AM$7,4,0))</f>
        <v/>
      </c>
      <c r="O519" s="71" t="str">
        <f ca="1">IFERROR(VLOOKUP(N519,fixed_expenses[],2,0),"")</f>
        <v/>
      </c>
      <c r="P519" s="22"/>
    </row>
    <row r="520" spans="1:16" ht="11.25" customHeight="1" x14ac:dyDescent="0.2">
      <c r="B520" s="17" t="str">
        <f ca="1">IF(HLOOKUP(B515,Summary!$I$2:$AM$7,5,0)=0,"",HLOOKUP(B515,Summary!$I$2:$AM$7,5,0))</f>
        <v/>
      </c>
      <c r="C520" s="71" t="str">
        <f ca="1">IFERROR(VLOOKUP(B520,fixed_expenses[],2,0),"")</f>
        <v/>
      </c>
      <c r="D520" s="17" t="str">
        <f ca="1">IF(HLOOKUP(D515,Summary!$I$2:$AM$7,5,0)=0,"",HLOOKUP(D515,Summary!$I$2:$AM$7,5,0))</f>
        <v/>
      </c>
      <c r="E520" s="71" t="str">
        <f ca="1">IFERROR(VLOOKUP(D520,fixed_expenses[],2,0),"")</f>
        <v/>
      </c>
      <c r="F520" s="17" t="str">
        <f ca="1">IF(HLOOKUP(F515,Summary!$I$2:$AM$7,5,0)=0,"",HLOOKUP(F515,Summary!$I$2:$AM$7,5,0))</f>
        <v/>
      </c>
      <c r="G520" s="71" t="str">
        <f ca="1">IFERROR(VLOOKUP(F520,fixed_expenses[],2,0),"")</f>
        <v/>
      </c>
      <c r="H520" s="17" t="str">
        <f ca="1">IF(HLOOKUP(H515,Summary!$I$2:$AM$7,5,0)=0,"",HLOOKUP(H515,Summary!$I$2:$AM$7,5,0))</f>
        <v/>
      </c>
      <c r="I520" s="71" t="str">
        <f ca="1">IFERROR(VLOOKUP(H520,fixed_expenses[],2,0),"")</f>
        <v/>
      </c>
      <c r="J520" s="17" t="str">
        <f ca="1">IF(HLOOKUP(J515,Summary!$I$2:$AM$7,5,0)=0,"",HLOOKUP(J515,Summary!$I$2:$AM$7,5,0))</f>
        <v/>
      </c>
      <c r="K520" s="71" t="str">
        <f ca="1">IFERROR(VLOOKUP(J520,fixed_expenses[],2,0),"")</f>
        <v/>
      </c>
      <c r="L520" s="17" t="str">
        <f ca="1">IF(HLOOKUP(L515,Summary!$I$2:$AM$7,5,0)=0,"",HLOOKUP(L515,Summary!$I$2:$AM$7,5,0))</f>
        <v/>
      </c>
      <c r="M520" s="71" t="str">
        <f ca="1">IFERROR(VLOOKUP(L520,fixed_expenses[],2,0),"")</f>
        <v/>
      </c>
      <c r="N520" s="17" t="str">
        <f ca="1">IF(HLOOKUP(N515,Summary!$I$2:$AM$7,5,0)=0,"",HLOOKUP(N515,Summary!$I$2:$AM$7,5,0))</f>
        <v/>
      </c>
      <c r="O520" s="71" t="str">
        <f ca="1">IFERROR(VLOOKUP(N520,fixed_expenses[],2,0),"")</f>
        <v/>
      </c>
      <c r="P520" s="22"/>
    </row>
    <row r="521" spans="1:16" ht="11.25" customHeight="1" x14ac:dyDescent="0.2">
      <c r="B521" s="17" t="str">
        <f ca="1">IF(HLOOKUP(B515,Summary!$I$2:$AM$7,6,0)=0,"",HLOOKUP(B515,Summary!$I$2:$AM$7,6,0))</f>
        <v/>
      </c>
      <c r="C521" s="71" t="str">
        <f ca="1">IFERROR(VLOOKUP(B521,fixed_expenses[],2,0),"")</f>
        <v/>
      </c>
      <c r="D521" s="17" t="str">
        <f ca="1">IF(HLOOKUP(D515,Summary!$I$2:$AM$7,6,0)=0,"",HLOOKUP(D515,Summary!$I$2:$AM$7,6,0))</f>
        <v/>
      </c>
      <c r="E521" s="71" t="str">
        <f ca="1">IFERROR(VLOOKUP(D521,fixed_expenses[],2,0),"")</f>
        <v/>
      </c>
      <c r="F521" s="17" t="str">
        <f ca="1">IF(HLOOKUP(F515,Summary!$I$2:$AM$7,6,0)=0,"",HLOOKUP(F515,Summary!$I$2:$AM$7,6,0))</f>
        <v/>
      </c>
      <c r="G521" s="71" t="str">
        <f ca="1">IFERROR(VLOOKUP(F521,fixed_expenses[],2,0),"")</f>
        <v/>
      </c>
      <c r="H521" s="17" t="str">
        <f ca="1">IF(HLOOKUP(H515,Summary!$I$2:$AM$7,6,0)=0,"",HLOOKUP(H515,Summary!$I$2:$AM$7,6,0))</f>
        <v/>
      </c>
      <c r="I521" s="71" t="str">
        <f ca="1">IFERROR(VLOOKUP(H521,fixed_expenses[],2,0),"")</f>
        <v/>
      </c>
      <c r="J521" s="17" t="str">
        <f ca="1">IF(HLOOKUP(J515,Summary!$I$2:$AM$7,6,0)=0,"",HLOOKUP(J515,Summary!$I$2:$AM$7,6,0))</f>
        <v/>
      </c>
      <c r="K521" s="71" t="str">
        <f ca="1">IFERROR(VLOOKUP(J521,fixed_expenses[],2,0),"")</f>
        <v/>
      </c>
      <c r="L521" s="17" t="str">
        <f ca="1">IF(HLOOKUP(L515,Summary!$I$2:$AM$7,6,0)=0,"",HLOOKUP(L515,Summary!$I$2:$AM$7,6,0))</f>
        <v/>
      </c>
      <c r="M521" s="71" t="str">
        <f ca="1">IFERROR(VLOOKUP(L521,fixed_expenses[],2,0),"")</f>
        <v/>
      </c>
      <c r="N521" s="17" t="str">
        <f ca="1">IF(HLOOKUP(N515,Summary!$I$2:$AM$7,6,0)=0,"",HLOOKUP(N515,Summary!$I$2:$AM$7,6,0))</f>
        <v/>
      </c>
      <c r="O521" s="71" t="str">
        <f ca="1">IFERROR(VLOOKUP(N521,fixed_expenses[],2,0),"")</f>
        <v/>
      </c>
      <c r="P521" s="22"/>
    </row>
    <row r="522" spans="1:16" ht="11.25" customHeight="1" x14ac:dyDescent="0.2">
      <c r="A522" s="43" t="s">
        <v>303</v>
      </c>
      <c r="B522" s="26" t="s">
        <v>8</v>
      </c>
      <c r="C522" s="27">
        <f ca="1">SUM(C517:C521)</f>
        <v>1200</v>
      </c>
      <c r="D522" s="18"/>
      <c r="E522" s="27">
        <f ca="1">SUM(E517:E521)</f>
        <v>0</v>
      </c>
      <c r="F522" s="18"/>
      <c r="G522" s="27">
        <f ca="1">SUM(G517:G521)</f>
        <v>0</v>
      </c>
      <c r="H522" s="18"/>
      <c r="I522" s="27">
        <f ca="1">SUM(I517:I521)</f>
        <v>0</v>
      </c>
      <c r="J522" s="18"/>
      <c r="K522" s="27">
        <f ca="1">SUM(K517:K521)</f>
        <v>0</v>
      </c>
      <c r="L522" s="18"/>
      <c r="M522" s="27">
        <f ca="1">SUM(M517:M521)</f>
        <v>0</v>
      </c>
      <c r="N522" s="18"/>
      <c r="O522" s="28">
        <f ca="1">SUM(O517:O521)</f>
        <v>0</v>
      </c>
      <c r="P522" s="29">
        <f ca="1">SUMIF(B515:N515,"&gt;="&amp;15,C522:O522)</f>
        <v>0</v>
      </c>
    </row>
    <row r="523" spans="1:16" ht="17.25" customHeight="1" x14ac:dyDescent="0.2"/>
    <row r="524" spans="1:16" ht="12" customHeight="1" x14ac:dyDescent="0.2">
      <c r="A524" s="43" t="s">
        <v>82</v>
      </c>
      <c r="B524" s="59" t="s">
        <v>22</v>
      </c>
      <c r="C524" s="59"/>
      <c r="D524" s="59"/>
      <c r="E524" s="59"/>
      <c r="F524"/>
      <c r="G524" s="4"/>
      <c r="H524"/>
      <c r="I524" s="4"/>
      <c r="J524"/>
      <c r="K524" s="4"/>
      <c r="L524" s="45" t="s">
        <v>12</v>
      </c>
      <c r="M524" s="45"/>
      <c r="N524" s="45" t="s">
        <v>13</v>
      </c>
      <c r="O524" s="45"/>
      <c r="P524"/>
    </row>
    <row r="525" spans="1:16" ht="25.5" customHeight="1" x14ac:dyDescent="0.2">
      <c r="A525" s="43" t="s">
        <v>97</v>
      </c>
      <c r="B525" s="59"/>
      <c r="C525" s="59"/>
      <c r="D525" s="59"/>
      <c r="E525" s="59"/>
      <c r="F525" s="3">
        <f ca="1">IFERROR(WEEKDAY(DATEVALUE(B524&amp;" 1, "&amp;Year1)),"")</f>
        <v>6</v>
      </c>
      <c r="G525" s="4"/>
      <c r="H525"/>
      <c r="I525" s="7"/>
      <c r="J525" s="8"/>
      <c r="K525" s="4"/>
      <c r="L525" s="46">
        <f ca="1">SUM(P535,P544,P553,P562,P571,P580)</f>
        <v>2006</v>
      </c>
      <c r="M525" s="47"/>
      <c r="N525" s="46">
        <f ca="1">SUM(P:P)</f>
        <v>21288</v>
      </c>
      <c r="O525" s="48"/>
      <c r="P525"/>
    </row>
    <row r="526" spans="1:16" ht="9" customHeight="1" x14ac:dyDescent="0.2">
      <c r="A526" s="43" t="s">
        <v>359</v>
      </c>
      <c r="B526" s="50">
        <v>1</v>
      </c>
      <c r="C526" s="50"/>
      <c r="D526" s="50">
        <v>2</v>
      </c>
      <c r="E526" s="50"/>
      <c r="F526" s="50">
        <v>3</v>
      </c>
      <c r="G526" s="50"/>
      <c r="H526" s="50">
        <v>4</v>
      </c>
      <c r="I526" s="50"/>
      <c r="J526" s="50">
        <v>5</v>
      </c>
      <c r="K526" s="50"/>
      <c r="L526" s="50">
        <v>6</v>
      </c>
      <c r="M526" s="50"/>
      <c r="N526" s="50">
        <v>7</v>
      </c>
      <c r="O526" s="50"/>
      <c r="P526" s="2"/>
    </row>
    <row r="527" spans="1:16" ht="15" customHeight="1" x14ac:dyDescent="0.2">
      <c r="A527" s="43" t="s">
        <v>102</v>
      </c>
      <c r="B527" s="60" t="s">
        <v>0</v>
      </c>
      <c r="C527" s="61"/>
      <c r="D527" s="62" t="s">
        <v>1</v>
      </c>
      <c r="E527" s="63" t="e">
        <f ca="1">IF(WEEKDAY(DATEVALUE(Month1&amp;" 1, "&amp;Year1))=COLUMN(#REF!),1,IF(LEN(C527)&gt;0,C527+1,""))</f>
        <v>#VALUE!</v>
      </c>
      <c r="F527" s="61" t="s">
        <v>2</v>
      </c>
      <c r="G527" s="61" t="e">
        <f ca="1">IF(WEEKDAY(DATEVALUE(Month1&amp;" 1, "&amp;Year1))=COLUMN(#REF!),1,IF(LEN(E527)&gt;0,E527+1,""))</f>
        <v>#VALUE!</v>
      </c>
      <c r="H527" s="62" t="s">
        <v>3</v>
      </c>
      <c r="I527" s="63" t="e">
        <f ca="1">IF(WEEKDAY(DATEVALUE(Month1&amp;" 1, "&amp;Year1))=COLUMN(#REF!),1,IF(LEN(G527)&gt;0,G527+1,""))</f>
        <v>#VALUE!</v>
      </c>
      <c r="J527" s="64" t="s">
        <v>4</v>
      </c>
      <c r="K527" s="65" t="e">
        <f ca="1">IF(WEEKDAY(DATEVALUE(Month1&amp;" 1, "&amp;Year1))=COLUMN(#REF!),1,IF(LEN(I527)&gt;0,I527+1,""))</f>
        <v>#VALUE!</v>
      </c>
      <c r="L527" s="66" t="s">
        <v>5</v>
      </c>
      <c r="M527" s="67" t="e">
        <f ca="1">IF(WEEKDAY(DATEVALUE(Month1&amp;" 1, "&amp;Year1))=COLUMN(#REF!),1,IF(LEN(K527)&gt;0,K527+1,""))</f>
        <v>#VALUE!</v>
      </c>
      <c r="N527" s="66" t="s">
        <v>6</v>
      </c>
      <c r="O527" s="67" t="e">
        <f ca="1">IF(WEEKDAY(DATEVALUE(Month1&amp;" 1, "&amp;Year1))=COLUMN(#REF!),1,IF(LEN(M527)&gt;0,M527+1,""))</f>
        <v>#VALUE!</v>
      </c>
      <c r="P527" s="42" t="s">
        <v>7</v>
      </c>
    </row>
    <row r="528" spans="1:16" ht="15" customHeight="1" x14ac:dyDescent="0.2">
      <c r="A528" s="43" t="s">
        <v>115</v>
      </c>
      <c r="B528" s="14">
        <f ca="1">DAY(IF(DAY(OctSun1)=1,OctSun1-6,OctSun1+1))</f>
        <v>26</v>
      </c>
      <c r="C528" s="16"/>
      <c r="D528" s="19">
        <f ca="1">DAY(IF(DAY(OctSun1)=1,OctSun1-5,OctSun1+2))</f>
        <v>27</v>
      </c>
      <c r="E528" s="16"/>
      <c r="F528" s="19">
        <f ca="1">DAY(IF(DAY(OctSun1)=1,OctSun1-4,OctSun1+3))</f>
        <v>28</v>
      </c>
      <c r="G528" s="16"/>
      <c r="H528" s="19">
        <f ca="1">DAY(IF(DAY(OctSun1)=1,OctSun1-3,OctSun1+4))</f>
        <v>29</v>
      </c>
      <c r="I528" s="16"/>
      <c r="J528" s="19">
        <f ca="1">DAY(IF(DAY(OctSun1)=1,OctSun1-2,OctSun1+5))</f>
        <v>30</v>
      </c>
      <c r="K528" s="16"/>
      <c r="L528" s="19">
        <f ca="1">DAY(IF(DAY(OctSun1)=1,OctSun1-1,OctSun1+6))</f>
        <v>1</v>
      </c>
      <c r="M528" s="16"/>
      <c r="N528" s="20">
        <f ca="1">DAY(IF(DAY(OctSun1)=1,OctSun1,OctSun1+7))</f>
        <v>2</v>
      </c>
      <c r="O528" s="15"/>
      <c r="P528" s="21"/>
    </row>
    <row r="529" spans="1:16" ht="11.25" customHeight="1" x14ac:dyDescent="0.2">
      <c r="A529" s="43" t="s">
        <v>135</v>
      </c>
      <c r="B529" s="41" t="s">
        <v>9</v>
      </c>
      <c r="C529" s="36" t="s">
        <v>10</v>
      </c>
      <c r="D529" s="35" t="s">
        <v>9</v>
      </c>
      <c r="E529" s="36" t="s">
        <v>10</v>
      </c>
      <c r="F529" s="35" t="s">
        <v>9</v>
      </c>
      <c r="G529" s="36" t="s">
        <v>10</v>
      </c>
      <c r="H529" s="35" t="s">
        <v>9</v>
      </c>
      <c r="I529" s="36" t="s">
        <v>10</v>
      </c>
      <c r="J529" s="35" t="s">
        <v>9</v>
      </c>
      <c r="K529" s="36" t="s">
        <v>10</v>
      </c>
      <c r="L529" s="35" t="s">
        <v>9</v>
      </c>
      <c r="M529" s="36" t="s">
        <v>10</v>
      </c>
      <c r="N529" s="37" t="s">
        <v>9</v>
      </c>
      <c r="O529" s="38" t="s">
        <v>10</v>
      </c>
      <c r="P529" s="22"/>
    </row>
    <row r="530" spans="1:16" ht="11.25" customHeight="1" x14ac:dyDescent="0.2">
      <c r="A530" s="43" t="s">
        <v>218</v>
      </c>
      <c r="B530" s="17" t="str">
        <f ca="1">IF(HLOOKUP(B528,Summary!$I$2:$AM$7,2,0)=0,"",HLOOKUP(B528,Summary!$I$2:$AM$7,2,0))</f>
        <v/>
      </c>
      <c r="C530" s="71" t="str">
        <f ca="1">IFERROR(VLOOKUP(B530,fixed_expenses[],2,0),"")</f>
        <v/>
      </c>
      <c r="D530" s="17" t="str">
        <f ca="1">IF(HLOOKUP(D528,Summary!$I$2:$AM$7,2,0)=0,"",HLOOKUP(D528,Summary!$I$2:$AM$7,2,0))</f>
        <v/>
      </c>
      <c r="E530" s="71" t="str">
        <f ca="1">IFERROR(VLOOKUP(D530,fixed_expenses[],2,0),"")</f>
        <v/>
      </c>
      <c r="F530" s="17" t="str">
        <f ca="1">IF(HLOOKUP(F528,Summary!$I$2:$AM$7,2,0)=0,"",HLOOKUP(F528,Summary!$I$2:$AM$7,2,0))</f>
        <v/>
      </c>
      <c r="G530" s="71" t="str">
        <f ca="1">IFERROR(VLOOKUP(F530,fixed_expenses[],2,0),"")</f>
        <v/>
      </c>
      <c r="H530" s="17" t="str">
        <f ca="1">IF(HLOOKUP(H528,Summary!$I$2:$AM$7,2,0)=0,"",HLOOKUP(H528,Summary!$I$2:$AM$7,2,0))</f>
        <v/>
      </c>
      <c r="I530" s="71" t="str">
        <f ca="1">IFERROR(VLOOKUP(H530,fixed_expenses[],2,0),"")</f>
        <v/>
      </c>
      <c r="J530" s="17" t="str">
        <f ca="1">IF(HLOOKUP(J528,Summary!$I$2:$AM$7,2,0)=0,"",HLOOKUP(J528,Summary!$I$2:$AM$7,2,0))</f>
        <v/>
      </c>
      <c r="K530" s="71" t="str">
        <f ca="1">IFERROR(VLOOKUP(J530,fixed_expenses[],2,0),"")</f>
        <v/>
      </c>
      <c r="L530" s="17" t="s">
        <v>384</v>
      </c>
      <c r="M530" s="71">
        <f>IFERROR(VLOOKUP(L530,fixed_expenses[],2,0),"")</f>
        <v>232</v>
      </c>
      <c r="N530" s="17" t="str">
        <f ca="1">IF(HLOOKUP(N528,Summary!$I$2:$AM$7,2,0)=0,"",HLOOKUP(N528,Summary!$I$2:$AM$7,2,0))</f>
        <v/>
      </c>
      <c r="O530" s="71" t="str">
        <f ca="1">IFERROR(VLOOKUP(N530,fixed_expenses[],2,0),"")</f>
        <v/>
      </c>
      <c r="P530" s="22"/>
    </row>
    <row r="531" spans="1:16" ht="11.25" customHeight="1" x14ac:dyDescent="0.2">
      <c r="B531" s="17" t="str">
        <f ca="1">IF(HLOOKUP(B528,Summary!$I$2:$AM$7,3,0)=0,"",HLOOKUP(B528,Summary!$I$2:$AM$7,3,0))</f>
        <v/>
      </c>
      <c r="C531" s="71" t="str">
        <f ca="1">IFERROR(VLOOKUP(B531,fixed_expenses[],2,0),"")</f>
        <v/>
      </c>
      <c r="D531" s="17" t="str">
        <f ca="1">IF(HLOOKUP(D528,Summary!$I$2:$AM$7,3,0)=0,"",HLOOKUP(D528,Summary!$I$2:$AM$7,3,0))</f>
        <v/>
      </c>
      <c r="E531" s="71" t="str">
        <f ca="1">IFERROR(VLOOKUP(D531,fixed_expenses[],2,0),"")</f>
        <v/>
      </c>
      <c r="F531" s="17" t="str">
        <f ca="1">IF(HLOOKUP(F528,Summary!$I$2:$AM$7,3,0)=0,"",HLOOKUP(F528,Summary!$I$2:$AM$7,3,0))</f>
        <v/>
      </c>
      <c r="G531" s="71" t="str">
        <f ca="1">IFERROR(VLOOKUP(F531,fixed_expenses[],2,0),"")</f>
        <v/>
      </c>
      <c r="H531" s="17" t="str">
        <f ca="1">IF(HLOOKUP(H528,Summary!$I$2:$AM$7,3,0)=0,"",HLOOKUP(H528,Summary!$I$2:$AM$7,3,0))</f>
        <v/>
      </c>
      <c r="I531" s="71" t="str">
        <f ca="1">IFERROR(VLOOKUP(H531,fixed_expenses[],2,0),"")</f>
        <v/>
      </c>
      <c r="J531" s="17" t="str">
        <f ca="1">IF(HLOOKUP(J528,Summary!$I$2:$AM$7,3,0)=0,"",HLOOKUP(J528,Summary!$I$2:$AM$7,3,0))</f>
        <v/>
      </c>
      <c r="K531" s="71" t="str">
        <f ca="1">IFERROR(VLOOKUP(J531,fixed_expenses[],2,0),"")</f>
        <v/>
      </c>
      <c r="L531" s="17" t="str">
        <f ca="1">IF(HLOOKUP(L528,Summary!$I$2:$AM$7,3,0)=0,"",HLOOKUP(L528,Summary!$I$2:$AM$7,3,0))</f>
        <v/>
      </c>
      <c r="M531" s="71" t="str">
        <f ca="1">IFERROR(VLOOKUP(L531,fixed_expenses[],2,0),"")</f>
        <v/>
      </c>
      <c r="N531" s="17" t="str">
        <f ca="1">IF(HLOOKUP(N528,Summary!$I$2:$AM$7,3,0)=0,"",HLOOKUP(N528,Summary!$I$2:$AM$7,3,0))</f>
        <v/>
      </c>
      <c r="O531" s="71" t="str">
        <f ca="1">IFERROR(VLOOKUP(N531,fixed_expenses[],2,0),"")</f>
        <v/>
      </c>
      <c r="P531" s="22"/>
    </row>
    <row r="532" spans="1:16" ht="11.25" customHeight="1" x14ac:dyDescent="0.2">
      <c r="B532" s="17" t="str">
        <f ca="1">IF(HLOOKUP(B528,Summary!$I$2:$AM$7,4,0)=0,"",HLOOKUP(B528,Summary!$I$2:$AM$7,4,0))</f>
        <v/>
      </c>
      <c r="C532" s="71" t="str">
        <f ca="1">IFERROR(VLOOKUP(B532,fixed_expenses[],2,0),"")</f>
        <v/>
      </c>
      <c r="D532" s="17" t="str">
        <f ca="1">IF(HLOOKUP(D528,Summary!$I$2:$AM$7,4,0)=0,"",HLOOKUP(D528,Summary!$I$2:$AM$7,4,0))</f>
        <v/>
      </c>
      <c r="E532" s="71" t="str">
        <f ca="1">IFERROR(VLOOKUP(D532,fixed_expenses[],2,0),"")</f>
        <v/>
      </c>
      <c r="F532" s="17" t="str">
        <f ca="1">IF(HLOOKUP(F528,Summary!$I$2:$AM$7,4,0)=0,"",HLOOKUP(F528,Summary!$I$2:$AM$7,4,0))</f>
        <v/>
      </c>
      <c r="G532" s="71" t="str">
        <f ca="1">IFERROR(VLOOKUP(F532,fixed_expenses[],2,0),"")</f>
        <v/>
      </c>
      <c r="H532" s="17" t="str">
        <f ca="1">IF(HLOOKUP(H528,Summary!$I$2:$AM$7,4,0)=0,"",HLOOKUP(H528,Summary!$I$2:$AM$7,4,0))</f>
        <v/>
      </c>
      <c r="I532" s="71" t="str">
        <f ca="1">IFERROR(VLOOKUP(H532,fixed_expenses[],2,0),"")</f>
        <v/>
      </c>
      <c r="J532" s="17" t="str">
        <f ca="1">IF(HLOOKUP(J528,Summary!$I$2:$AM$7,4,0)=0,"",HLOOKUP(J528,Summary!$I$2:$AM$7,4,0))</f>
        <v/>
      </c>
      <c r="K532" s="71" t="str">
        <f ca="1">IFERROR(VLOOKUP(J532,fixed_expenses[],2,0),"")</f>
        <v/>
      </c>
      <c r="L532" s="17" t="str">
        <f ca="1">IF(HLOOKUP(L528,Summary!$I$2:$AM$7,4,0)=0,"",HLOOKUP(L528,Summary!$I$2:$AM$7,4,0))</f>
        <v/>
      </c>
      <c r="M532" s="71" t="str">
        <f ca="1">IFERROR(VLOOKUP(L532,fixed_expenses[],2,0),"")</f>
        <v/>
      </c>
      <c r="N532" s="17" t="str">
        <f ca="1">IF(HLOOKUP(N528,Summary!$I$2:$AM$7,4,0)=0,"",HLOOKUP(N528,Summary!$I$2:$AM$7,4,0))</f>
        <v/>
      </c>
      <c r="O532" s="71" t="str">
        <f ca="1">IFERROR(VLOOKUP(N532,fixed_expenses[],2,0),"")</f>
        <v/>
      </c>
      <c r="P532" s="22"/>
    </row>
    <row r="533" spans="1:16" ht="11.25" customHeight="1" x14ac:dyDescent="0.2">
      <c r="B533" s="17" t="str">
        <f ca="1">IF(HLOOKUP(B528,Summary!$I$2:$AM$7,5,0)=0,"",HLOOKUP(B528,Summary!$I$2:$AM$7,5,0))</f>
        <v/>
      </c>
      <c r="C533" s="71" t="str">
        <f ca="1">IFERROR(VLOOKUP(B533,fixed_expenses[],2,0),"")</f>
        <v/>
      </c>
      <c r="D533" s="17" t="str">
        <f ca="1">IF(HLOOKUP(D528,Summary!$I$2:$AM$7,5,0)=0,"",HLOOKUP(D528,Summary!$I$2:$AM$7,5,0))</f>
        <v/>
      </c>
      <c r="E533" s="71" t="str">
        <f ca="1">IFERROR(VLOOKUP(D533,fixed_expenses[],2,0),"")</f>
        <v/>
      </c>
      <c r="F533" s="17" t="str">
        <f ca="1">IF(HLOOKUP(F528,Summary!$I$2:$AM$7,5,0)=0,"",HLOOKUP(F528,Summary!$I$2:$AM$7,5,0))</f>
        <v/>
      </c>
      <c r="G533" s="71" t="str">
        <f ca="1">IFERROR(VLOOKUP(F533,fixed_expenses[],2,0),"")</f>
        <v/>
      </c>
      <c r="H533" s="17" t="str">
        <f ca="1">IF(HLOOKUP(H528,Summary!$I$2:$AM$7,5,0)=0,"",HLOOKUP(H528,Summary!$I$2:$AM$7,5,0))</f>
        <v/>
      </c>
      <c r="I533" s="71" t="str">
        <f ca="1">IFERROR(VLOOKUP(H533,fixed_expenses[],2,0),"")</f>
        <v/>
      </c>
      <c r="J533" s="17" t="str">
        <f ca="1">IF(HLOOKUP(J528,Summary!$I$2:$AM$7,5,0)=0,"",HLOOKUP(J528,Summary!$I$2:$AM$7,5,0))</f>
        <v/>
      </c>
      <c r="K533" s="71" t="str">
        <f ca="1">IFERROR(VLOOKUP(J533,fixed_expenses[],2,0),"")</f>
        <v/>
      </c>
      <c r="L533" s="17" t="str">
        <f ca="1">IF(HLOOKUP(L528,Summary!$I$2:$AM$7,5,0)=0,"",HLOOKUP(L528,Summary!$I$2:$AM$7,5,0))</f>
        <v/>
      </c>
      <c r="M533" s="71" t="str">
        <f ca="1">IFERROR(VLOOKUP(L533,fixed_expenses[],2,0),"")</f>
        <v/>
      </c>
      <c r="N533" s="17" t="str">
        <f ca="1">IF(HLOOKUP(N528,Summary!$I$2:$AM$7,5,0)=0,"",HLOOKUP(N528,Summary!$I$2:$AM$7,5,0))</f>
        <v/>
      </c>
      <c r="O533" s="71" t="str">
        <f ca="1">IFERROR(VLOOKUP(N533,fixed_expenses[],2,0),"")</f>
        <v/>
      </c>
      <c r="P533" s="22"/>
    </row>
    <row r="534" spans="1:16" ht="11.25" customHeight="1" x14ac:dyDescent="0.2">
      <c r="B534" s="17" t="str">
        <f ca="1">IF(HLOOKUP(B528,Summary!$I$2:$AM$7,6,0)=0,"",HLOOKUP(B528,Summary!$I$2:$AM$7,6,0))</f>
        <v/>
      </c>
      <c r="C534" s="71" t="str">
        <f ca="1">IFERROR(VLOOKUP(B534,fixed_expenses[],2,0),"")</f>
        <v/>
      </c>
      <c r="D534" s="17" t="str">
        <f ca="1">IF(HLOOKUP(D528,Summary!$I$2:$AM$7,6,0)=0,"",HLOOKUP(D528,Summary!$I$2:$AM$7,6,0))</f>
        <v/>
      </c>
      <c r="E534" s="71" t="str">
        <f ca="1">IFERROR(VLOOKUP(D534,fixed_expenses[],2,0),"")</f>
        <v/>
      </c>
      <c r="F534" s="17" t="str">
        <f ca="1">IF(HLOOKUP(F528,Summary!$I$2:$AM$7,6,0)=0,"",HLOOKUP(F528,Summary!$I$2:$AM$7,6,0))</f>
        <v/>
      </c>
      <c r="G534" s="71" t="str">
        <f ca="1">IFERROR(VLOOKUP(F534,fixed_expenses[],2,0),"")</f>
        <v/>
      </c>
      <c r="H534" s="17" t="str">
        <f ca="1">IF(HLOOKUP(H528,Summary!$I$2:$AM$7,6,0)=0,"",HLOOKUP(H528,Summary!$I$2:$AM$7,6,0))</f>
        <v/>
      </c>
      <c r="I534" s="71" t="str">
        <f ca="1">IFERROR(VLOOKUP(H534,fixed_expenses[],2,0),"")</f>
        <v/>
      </c>
      <c r="J534" s="17" t="str">
        <f ca="1">IF(HLOOKUP(J528,Summary!$I$2:$AM$7,6,0)=0,"",HLOOKUP(J528,Summary!$I$2:$AM$7,6,0))</f>
        <v/>
      </c>
      <c r="K534" s="71" t="str">
        <f ca="1">IFERROR(VLOOKUP(J534,fixed_expenses[],2,0),"")</f>
        <v/>
      </c>
      <c r="L534" s="17" t="str">
        <f ca="1">IF(HLOOKUP(L528,Summary!$I$2:$AM$7,6,0)=0,"",HLOOKUP(L528,Summary!$I$2:$AM$7,6,0))</f>
        <v/>
      </c>
      <c r="M534" s="71" t="str">
        <f ca="1">IFERROR(VLOOKUP(L534,fixed_expenses[],2,0),"")</f>
        <v/>
      </c>
      <c r="N534" s="17" t="str">
        <f ca="1">IF(HLOOKUP(N528,Summary!$I$2:$AM$7,6,0)=0,"",HLOOKUP(N528,Summary!$I$2:$AM$7,6,0))</f>
        <v/>
      </c>
      <c r="O534" s="71" t="str">
        <f ca="1">IFERROR(VLOOKUP(N534,fixed_expenses[],2,0),"")</f>
        <v/>
      </c>
      <c r="P534" s="22"/>
    </row>
    <row r="535" spans="1:16" ht="11.25" customHeight="1" x14ac:dyDescent="0.2">
      <c r="A535" s="43" t="s">
        <v>302</v>
      </c>
      <c r="B535" s="26" t="s">
        <v>8</v>
      </c>
      <c r="C535" s="27">
        <f ca="1">SUM(C530:C534)</f>
        <v>0</v>
      </c>
      <c r="D535" s="26"/>
      <c r="E535" s="27">
        <f ca="1">SUM(E530:E534)</f>
        <v>0</v>
      </c>
      <c r="F535" s="26"/>
      <c r="G535" s="27">
        <f ca="1">SUM(G530:G534)</f>
        <v>0</v>
      </c>
      <c r="H535" s="26"/>
      <c r="I535" s="27">
        <f ca="1">SUM(I530:I534)</f>
        <v>0</v>
      </c>
      <c r="J535" s="26"/>
      <c r="K535" s="27">
        <f ca="1">SUM(K530:K534)</f>
        <v>0</v>
      </c>
      <c r="L535" s="26"/>
      <c r="M535" s="27">
        <f ca="1">SUM(M530:M534)</f>
        <v>232</v>
      </c>
      <c r="N535" s="26"/>
      <c r="O535" s="28">
        <f ca="1">SUM(O530:O534)</f>
        <v>0</v>
      </c>
      <c r="P535" s="29">
        <f ca="1">SUMIF(B528:N528,"&lt;8",C535:O535)</f>
        <v>232</v>
      </c>
    </row>
    <row r="536" spans="1:16" x14ac:dyDescent="0.2">
      <c r="B536" s="6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6"/>
    </row>
    <row r="537" spans="1:16" ht="15" customHeight="1" x14ac:dyDescent="0.2">
      <c r="A537" s="43" t="s">
        <v>270</v>
      </c>
      <c r="B537" s="12">
        <f ca="1">N528+1</f>
        <v>3</v>
      </c>
      <c r="C537" s="13"/>
      <c r="D537" s="12">
        <f ca="1">B537+1</f>
        <v>4</v>
      </c>
      <c r="E537" s="13"/>
      <c r="F537" s="12">
        <f ca="1">D537+1</f>
        <v>5</v>
      </c>
      <c r="G537" s="13"/>
      <c r="H537" s="12">
        <f ca="1">F537+1</f>
        <v>6</v>
      </c>
      <c r="I537" s="13"/>
      <c r="J537" s="12">
        <f ca="1">H537+1</f>
        <v>7</v>
      </c>
      <c r="K537" s="13"/>
      <c r="L537" s="12">
        <f ca="1">J537+1</f>
        <v>8</v>
      </c>
      <c r="M537" s="13"/>
      <c r="N537" s="12">
        <f ca="1">L537+1</f>
        <v>9</v>
      </c>
      <c r="O537" s="13"/>
      <c r="P537" s="23"/>
    </row>
    <row r="538" spans="1:16" ht="11.25" customHeight="1" x14ac:dyDescent="0.2">
      <c r="A538" s="43" t="s">
        <v>134</v>
      </c>
      <c r="B538" s="37" t="s">
        <v>9</v>
      </c>
      <c r="C538" s="39" t="s">
        <v>10</v>
      </c>
      <c r="D538" s="37" t="s">
        <v>9</v>
      </c>
      <c r="E538" s="39" t="s">
        <v>10</v>
      </c>
      <c r="F538" s="37" t="s">
        <v>9</v>
      </c>
      <c r="G538" s="39" t="s">
        <v>10</v>
      </c>
      <c r="H538" s="37" t="s">
        <v>9</v>
      </c>
      <c r="I538" s="39" t="s">
        <v>10</v>
      </c>
      <c r="J538" s="37" t="s">
        <v>9</v>
      </c>
      <c r="K538" s="39" t="s">
        <v>10</v>
      </c>
      <c r="L538" s="37" t="s">
        <v>9</v>
      </c>
      <c r="M538" s="39" t="s">
        <v>10</v>
      </c>
      <c r="N538" s="37" t="s">
        <v>9</v>
      </c>
      <c r="O538" s="40" t="s">
        <v>10</v>
      </c>
      <c r="P538" s="22"/>
    </row>
    <row r="539" spans="1:16" ht="11.25" customHeight="1" x14ac:dyDescent="0.2">
      <c r="A539" s="43" t="s">
        <v>219</v>
      </c>
      <c r="B539" s="17" t="str">
        <f ca="1">IF(HLOOKUP(B537,Summary!$I$2:$AM$7,2,0)=0,"",HLOOKUP(B537,Summary!$I$2:$AM$7,2,0))</f>
        <v>Rent</v>
      </c>
      <c r="C539" s="71">
        <f ca="1">IFERROR(VLOOKUP(B539,fixed_expenses[],2,0),"")</f>
        <v>1200</v>
      </c>
      <c r="D539" s="17" t="str">
        <f ca="1">IF(HLOOKUP(D537,Summary!$I$2:$AM$7,2,0)=0,"",HLOOKUP(D537,Summary!$I$2:$AM$7,2,0))</f>
        <v/>
      </c>
      <c r="E539" s="71" t="str">
        <f ca="1">IFERROR(VLOOKUP(D539,fixed_expenses[],2,0),"")</f>
        <v/>
      </c>
      <c r="F539" s="17" t="str">
        <f ca="1">IF(HLOOKUP(F537,Summary!$I$2:$AM$7,2,0)=0,"",HLOOKUP(F537,Summary!$I$2:$AM$7,2,0))</f>
        <v/>
      </c>
      <c r="G539" s="71" t="str">
        <f ca="1">IFERROR(VLOOKUP(F539,fixed_expenses[],2,0),"")</f>
        <v/>
      </c>
      <c r="H539" s="17" t="str">
        <f ca="1">IF(HLOOKUP(H537,Summary!$I$2:$AM$7,2,0)=0,"",HLOOKUP(H537,Summary!$I$2:$AM$7,2,0))</f>
        <v/>
      </c>
      <c r="I539" s="71" t="str">
        <f ca="1">IFERROR(VLOOKUP(H539,fixed_expenses[],2,0),"")</f>
        <v/>
      </c>
      <c r="J539" s="17" t="str">
        <f ca="1">IF(HLOOKUP(J537,Summary!$I$2:$AM$7,2,0)=0,"",HLOOKUP(J537,Summary!$I$2:$AM$7,2,0))</f>
        <v/>
      </c>
      <c r="K539" s="71" t="str">
        <f ca="1">IFERROR(VLOOKUP(J539,fixed_expenses[],2,0),"")</f>
        <v/>
      </c>
      <c r="L539" s="17" t="str">
        <f ca="1">IF(HLOOKUP(L537,Summary!$I$2:$AM$7,2,0)=0,"",HLOOKUP(L537,Summary!$I$2:$AM$7,2,0))</f>
        <v/>
      </c>
      <c r="M539" s="71" t="str">
        <f ca="1">IFERROR(VLOOKUP(L539,fixed_expenses[],2,0),"")</f>
        <v/>
      </c>
      <c r="N539" s="17" t="str">
        <f ca="1">IF(HLOOKUP(N537,Summary!$I$2:$AM$7,2,0)=0,"",HLOOKUP(N537,Summary!$I$2:$AM$7,2,0))</f>
        <v/>
      </c>
      <c r="O539" s="71" t="str">
        <f ca="1">IFERROR(VLOOKUP(N539,fixed_expenses[],2,0),"")</f>
        <v/>
      </c>
      <c r="P539" s="22"/>
    </row>
    <row r="540" spans="1:16" ht="11.25" customHeight="1" x14ac:dyDescent="0.2">
      <c r="B540" s="17" t="str">
        <f ca="1">IF(HLOOKUP(B537,Summary!$I$2:$AM$7,3,0)=0,"",HLOOKUP(B537,Summary!$I$2:$AM$7,3,0))</f>
        <v/>
      </c>
      <c r="C540" s="71" t="str">
        <f ca="1">IFERROR(VLOOKUP(B540,fixed_expenses[],2,0),"")</f>
        <v/>
      </c>
      <c r="D540" s="17" t="str">
        <f ca="1">IF(HLOOKUP(D537,Summary!$I$2:$AM$7,3,0)=0,"",HLOOKUP(D537,Summary!$I$2:$AM$7,3,0))</f>
        <v/>
      </c>
      <c r="E540" s="71" t="str">
        <f ca="1">IFERROR(VLOOKUP(D540,fixed_expenses[],2,0),"")</f>
        <v/>
      </c>
      <c r="F540" s="17" t="str">
        <f ca="1">IF(HLOOKUP(F537,Summary!$I$2:$AM$7,3,0)=0,"",HLOOKUP(F537,Summary!$I$2:$AM$7,3,0))</f>
        <v/>
      </c>
      <c r="G540" s="71" t="str">
        <f ca="1">IFERROR(VLOOKUP(F540,fixed_expenses[],2,0),"")</f>
        <v/>
      </c>
      <c r="H540" s="17" t="str">
        <f ca="1">IF(HLOOKUP(H537,Summary!$I$2:$AM$7,3,0)=0,"",HLOOKUP(H537,Summary!$I$2:$AM$7,3,0))</f>
        <v/>
      </c>
      <c r="I540" s="71" t="str">
        <f ca="1">IFERROR(VLOOKUP(H540,fixed_expenses[],2,0),"")</f>
        <v/>
      </c>
      <c r="J540" s="17" t="str">
        <f ca="1">IF(HLOOKUP(J537,Summary!$I$2:$AM$7,3,0)=0,"",HLOOKUP(J537,Summary!$I$2:$AM$7,3,0))</f>
        <v/>
      </c>
      <c r="K540" s="71" t="str">
        <f ca="1">IFERROR(VLOOKUP(J540,fixed_expenses[],2,0),"")</f>
        <v/>
      </c>
      <c r="L540" s="17" t="str">
        <f ca="1">IF(HLOOKUP(L537,Summary!$I$2:$AM$7,3,0)=0,"",HLOOKUP(L537,Summary!$I$2:$AM$7,3,0))</f>
        <v/>
      </c>
      <c r="M540" s="71" t="str">
        <f ca="1">IFERROR(VLOOKUP(L540,fixed_expenses[],2,0),"")</f>
        <v/>
      </c>
      <c r="N540" s="17" t="str">
        <f ca="1">IF(HLOOKUP(N537,Summary!$I$2:$AM$7,3,0)=0,"",HLOOKUP(N537,Summary!$I$2:$AM$7,3,0))</f>
        <v/>
      </c>
      <c r="O540" s="71" t="str">
        <f ca="1">IFERROR(VLOOKUP(N540,fixed_expenses[],2,0),"")</f>
        <v/>
      </c>
      <c r="P540" s="22"/>
    </row>
    <row r="541" spans="1:16" ht="11.25" customHeight="1" x14ac:dyDescent="0.2">
      <c r="B541" s="17" t="str">
        <f ca="1">IF(HLOOKUP(B537,Summary!$I$2:$AM$7,4,0)=0,"",HLOOKUP(B537,Summary!$I$2:$AM$7,4,0))</f>
        <v/>
      </c>
      <c r="C541" s="71" t="str">
        <f ca="1">IFERROR(VLOOKUP(B541,fixed_expenses[],2,0),"")</f>
        <v/>
      </c>
      <c r="D541" s="17" t="str">
        <f ca="1">IF(HLOOKUP(D537,Summary!$I$2:$AM$7,4,0)=0,"",HLOOKUP(D537,Summary!$I$2:$AM$7,4,0))</f>
        <v/>
      </c>
      <c r="E541" s="71" t="str">
        <f ca="1">IFERROR(VLOOKUP(D541,fixed_expenses[],2,0),"")</f>
        <v/>
      </c>
      <c r="F541" s="17" t="str">
        <f ca="1">IF(HLOOKUP(F537,Summary!$I$2:$AM$7,4,0)=0,"",HLOOKUP(F537,Summary!$I$2:$AM$7,4,0))</f>
        <v/>
      </c>
      <c r="G541" s="71" t="str">
        <f ca="1">IFERROR(VLOOKUP(F541,fixed_expenses[],2,0),"")</f>
        <v/>
      </c>
      <c r="H541" s="17" t="str">
        <f ca="1">IF(HLOOKUP(H537,Summary!$I$2:$AM$7,4,0)=0,"",HLOOKUP(H537,Summary!$I$2:$AM$7,4,0))</f>
        <v/>
      </c>
      <c r="I541" s="71" t="str">
        <f ca="1">IFERROR(VLOOKUP(H541,fixed_expenses[],2,0),"")</f>
        <v/>
      </c>
      <c r="J541" s="17" t="str">
        <f ca="1">IF(HLOOKUP(J537,Summary!$I$2:$AM$7,4,0)=0,"",HLOOKUP(J537,Summary!$I$2:$AM$7,4,0))</f>
        <v/>
      </c>
      <c r="K541" s="71" t="str">
        <f ca="1">IFERROR(VLOOKUP(J541,fixed_expenses[],2,0),"")</f>
        <v/>
      </c>
      <c r="L541" s="17" t="str">
        <f ca="1">IF(HLOOKUP(L537,Summary!$I$2:$AM$7,4,0)=0,"",HLOOKUP(L537,Summary!$I$2:$AM$7,4,0))</f>
        <v/>
      </c>
      <c r="M541" s="71" t="str">
        <f ca="1">IFERROR(VLOOKUP(L541,fixed_expenses[],2,0),"")</f>
        <v/>
      </c>
      <c r="N541" s="17" t="str">
        <f ca="1">IF(HLOOKUP(N537,Summary!$I$2:$AM$7,4,0)=0,"",HLOOKUP(N537,Summary!$I$2:$AM$7,4,0))</f>
        <v/>
      </c>
      <c r="O541" s="71" t="str">
        <f ca="1">IFERROR(VLOOKUP(N541,fixed_expenses[],2,0),"")</f>
        <v/>
      </c>
      <c r="P541" s="22"/>
    </row>
    <row r="542" spans="1:16" ht="11.25" customHeight="1" x14ac:dyDescent="0.2">
      <c r="B542" s="17" t="str">
        <f ca="1">IF(HLOOKUP(B537,Summary!$I$2:$AM$7,5,0)=0,"",HLOOKUP(B537,Summary!$I$2:$AM$7,5,0))</f>
        <v/>
      </c>
      <c r="C542" s="71" t="str">
        <f ca="1">IFERROR(VLOOKUP(B542,fixed_expenses[],2,0),"")</f>
        <v/>
      </c>
      <c r="D542" s="17" t="str">
        <f ca="1">IF(HLOOKUP(D537,Summary!$I$2:$AM$7,5,0)=0,"",HLOOKUP(D537,Summary!$I$2:$AM$7,5,0))</f>
        <v/>
      </c>
      <c r="E542" s="71" t="str">
        <f ca="1">IFERROR(VLOOKUP(D542,fixed_expenses[],2,0),"")</f>
        <v/>
      </c>
      <c r="F542" s="17" t="str">
        <f ca="1">IF(HLOOKUP(F537,Summary!$I$2:$AM$7,5,0)=0,"",HLOOKUP(F537,Summary!$I$2:$AM$7,5,0))</f>
        <v/>
      </c>
      <c r="G542" s="71" t="str">
        <f ca="1">IFERROR(VLOOKUP(F542,fixed_expenses[],2,0),"")</f>
        <v/>
      </c>
      <c r="H542" s="17" t="str">
        <f ca="1">IF(HLOOKUP(H537,Summary!$I$2:$AM$7,5,0)=0,"",HLOOKUP(H537,Summary!$I$2:$AM$7,5,0))</f>
        <v/>
      </c>
      <c r="I542" s="71" t="str">
        <f ca="1">IFERROR(VLOOKUP(H542,fixed_expenses[],2,0),"")</f>
        <v/>
      </c>
      <c r="J542" s="17" t="str">
        <f ca="1">IF(HLOOKUP(J537,Summary!$I$2:$AM$7,5,0)=0,"",HLOOKUP(J537,Summary!$I$2:$AM$7,5,0))</f>
        <v/>
      </c>
      <c r="K542" s="71" t="str">
        <f ca="1">IFERROR(VLOOKUP(J542,fixed_expenses[],2,0),"")</f>
        <v/>
      </c>
      <c r="L542" s="17" t="str">
        <f ca="1">IF(HLOOKUP(L537,Summary!$I$2:$AM$7,5,0)=0,"",HLOOKUP(L537,Summary!$I$2:$AM$7,5,0))</f>
        <v/>
      </c>
      <c r="M542" s="71" t="str">
        <f ca="1">IFERROR(VLOOKUP(L542,fixed_expenses[],2,0),"")</f>
        <v/>
      </c>
      <c r="N542" s="17" t="str">
        <f ca="1">IF(HLOOKUP(N537,Summary!$I$2:$AM$7,5,0)=0,"",HLOOKUP(N537,Summary!$I$2:$AM$7,5,0))</f>
        <v/>
      </c>
      <c r="O542" s="71" t="str">
        <f ca="1">IFERROR(VLOOKUP(N542,fixed_expenses[],2,0),"")</f>
        <v/>
      </c>
      <c r="P542" s="22"/>
    </row>
    <row r="543" spans="1:16" ht="11.25" customHeight="1" x14ac:dyDescent="0.2">
      <c r="B543" s="17" t="str">
        <f ca="1">IF(HLOOKUP(B537,Summary!$I$2:$AM$7,6,0)=0,"",HLOOKUP(B537,Summary!$I$2:$AM$7,6,0))</f>
        <v/>
      </c>
      <c r="C543" s="71" t="str">
        <f ca="1">IFERROR(VLOOKUP(B543,fixed_expenses[],2,0),"")</f>
        <v/>
      </c>
      <c r="D543" s="17" t="str">
        <f ca="1">IF(HLOOKUP(D537,Summary!$I$2:$AM$7,6,0)=0,"",HLOOKUP(D537,Summary!$I$2:$AM$7,6,0))</f>
        <v/>
      </c>
      <c r="E543" s="71" t="str">
        <f ca="1">IFERROR(VLOOKUP(D543,fixed_expenses[],2,0),"")</f>
        <v/>
      </c>
      <c r="F543" s="17" t="str">
        <f ca="1">IF(HLOOKUP(F537,Summary!$I$2:$AM$7,6,0)=0,"",HLOOKUP(F537,Summary!$I$2:$AM$7,6,0))</f>
        <v/>
      </c>
      <c r="G543" s="71" t="str">
        <f ca="1">IFERROR(VLOOKUP(F543,fixed_expenses[],2,0),"")</f>
        <v/>
      </c>
      <c r="H543" s="17" t="str">
        <f ca="1">IF(HLOOKUP(H537,Summary!$I$2:$AM$7,6,0)=0,"",HLOOKUP(H537,Summary!$I$2:$AM$7,6,0))</f>
        <v/>
      </c>
      <c r="I543" s="71" t="str">
        <f ca="1">IFERROR(VLOOKUP(H543,fixed_expenses[],2,0),"")</f>
        <v/>
      </c>
      <c r="J543" s="17" t="str">
        <f ca="1">IF(HLOOKUP(J537,Summary!$I$2:$AM$7,6,0)=0,"",HLOOKUP(J537,Summary!$I$2:$AM$7,6,0))</f>
        <v/>
      </c>
      <c r="K543" s="71" t="str">
        <f ca="1">IFERROR(VLOOKUP(J543,fixed_expenses[],2,0),"")</f>
        <v/>
      </c>
      <c r="L543" s="17" t="str">
        <f ca="1">IF(HLOOKUP(L537,Summary!$I$2:$AM$7,6,0)=0,"",HLOOKUP(L537,Summary!$I$2:$AM$7,6,0))</f>
        <v/>
      </c>
      <c r="M543" s="71" t="str">
        <f ca="1">IFERROR(VLOOKUP(L543,fixed_expenses[],2,0),"")</f>
        <v/>
      </c>
      <c r="N543" s="17" t="str">
        <f ca="1">IF(HLOOKUP(N537,Summary!$I$2:$AM$7,6,0)=0,"",HLOOKUP(N537,Summary!$I$2:$AM$7,6,0))</f>
        <v/>
      </c>
      <c r="O543" s="71" t="str">
        <f ca="1">IFERROR(VLOOKUP(N543,fixed_expenses[],2,0),"")</f>
        <v/>
      </c>
      <c r="P543" s="22"/>
    </row>
    <row r="544" spans="1:16" ht="11.25" customHeight="1" x14ac:dyDescent="0.2">
      <c r="A544" s="43" t="s">
        <v>301</v>
      </c>
      <c r="B544" s="26" t="s">
        <v>8</v>
      </c>
      <c r="C544" s="27">
        <f ca="1">SUM(C539:C543)</f>
        <v>1200</v>
      </c>
      <c r="D544" s="26"/>
      <c r="E544" s="27">
        <f ca="1">SUM(E539:E543)</f>
        <v>0</v>
      </c>
      <c r="F544" s="26"/>
      <c r="G544" s="27">
        <f ca="1">SUM(G539:G543)</f>
        <v>0</v>
      </c>
      <c r="H544" s="26"/>
      <c r="I544" s="27">
        <f ca="1">SUM(I539:I543)</f>
        <v>0</v>
      </c>
      <c r="J544" s="26"/>
      <c r="K544" s="27">
        <f ca="1">SUM(K539:K543)</f>
        <v>0</v>
      </c>
      <c r="L544" s="26"/>
      <c r="M544" s="27">
        <f ca="1">SUM(M539:M543)</f>
        <v>0</v>
      </c>
      <c r="N544" s="26"/>
      <c r="O544" s="28">
        <f ca="1">SUM(O539:O543)</f>
        <v>0</v>
      </c>
      <c r="P544" s="29">
        <f ca="1">SUM(C544,E544,G544,I544,K544,M544,O544)</f>
        <v>1200</v>
      </c>
    </row>
    <row r="545" spans="1:16" x14ac:dyDescent="0.2">
      <c r="B545" s="6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6"/>
    </row>
    <row r="546" spans="1:16" ht="15" customHeight="1" x14ac:dyDescent="0.2">
      <c r="A546" s="43" t="s">
        <v>271</v>
      </c>
      <c r="B546" s="12">
        <f ca="1">N537+1</f>
        <v>10</v>
      </c>
      <c r="C546" s="13"/>
      <c r="D546" s="12">
        <f ca="1">B546+1</f>
        <v>11</v>
      </c>
      <c r="E546" s="13"/>
      <c r="F546" s="12">
        <f ca="1">D546+1</f>
        <v>12</v>
      </c>
      <c r="G546" s="13"/>
      <c r="H546" s="12">
        <f ca="1">F546+1</f>
        <v>13</v>
      </c>
      <c r="I546" s="13"/>
      <c r="J546" s="12">
        <f ca="1">H546+1</f>
        <v>14</v>
      </c>
      <c r="K546" s="13"/>
      <c r="L546" s="12">
        <f ca="1">J546+1</f>
        <v>15</v>
      </c>
      <c r="M546" s="13"/>
      <c r="N546" s="12">
        <f ca="1">L546+1</f>
        <v>16</v>
      </c>
      <c r="O546" s="13"/>
      <c r="P546" s="24"/>
    </row>
    <row r="547" spans="1:16" ht="11.25" customHeight="1" x14ac:dyDescent="0.2">
      <c r="A547" s="43" t="s">
        <v>133</v>
      </c>
      <c r="B547" s="37" t="s">
        <v>9</v>
      </c>
      <c r="C547" s="39" t="s">
        <v>10</v>
      </c>
      <c r="D547" s="37" t="s">
        <v>9</v>
      </c>
      <c r="E547" s="39" t="s">
        <v>10</v>
      </c>
      <c r="F547" s="37" t="s">
        <v>9</v>
      </c>
      <c r="G547" s="39" t="s">
        <v>10</v>
      </c>
      <c r="H547" s="37" t="s">
        <v>9</v>
      </c>
      <c r="I547" s="39" t="s">
        <v>10</v>
      </c>
      <c r="J547" s="37" t="s">
        <v>9</v>
      </c>
      <c r="K547" s="39" t="s">
        <v>10</v>
      </c>
      <c r="L547" s="37" t="s">
        <v>9</v>
      </c>
      <c r="M547" s="39" t="s">
        <v>10</v>
      </c>
      <c r="N547" s="37" t="s">
        <v>9</v>
      </c>
      <c r="O547" s="40" t="s">
        <v>10</v>
      </c>
      <c r="P547" s="22"/>
    </row>
    <row r="548" spans="1:16" ht="11.25" customHeight="1" x14ac:dyDescent="0.2">
      <c r="A548" s="43" t="s">
        <v>220</v>
      </c>
      <c r="B548" s="17" t="str">
        <f ca="1">IF(HLOOKUP(B546,Summary!$I$2:$AM$7,2,0)=0,"",HLOOKUP(B546,Summary!$I$2:$AM$7,2,0))</f>
        <v/>
      </c>
      <c r="C548" s="71" t="str">
        <f ca="1">IFERROR(VLOOKUP(B548,fixed_expenses[],2,0),"")</f>
        <v/>
      </c>
      <c r="D548" s="17" t="str">
        <f ca="1">IF(HLOOKUP(D546,Summary!$I$2:$AM$7,2,0)=0,"",HLOOKUP(D546,Summary!$I$2:$AM$7,2,0))</f>
        <v/>
      </c>
      <c r="E548" s="71" t="str">
        <f ca="1">IFERROR(VLOOKUP(D548,fixed_expenses[],2,0),"")</f>
        <v/>
      </c>
      <c r="F548" s="17" t="str">
        <f ca="1">IF(HLOOKUP(F546,Summary!$I$2:$AM$7,2,0)=0,"",HLOOKUP(F546,Summary!$I$2:$AM$7,2,0))</f>
        <v/>
      </c>
      <c r="G548" s="71" t="str">
        <f ca="1">IFERROR(VLOOKUP(F548,fixed_expenses[],2,0),"")</f>
        <v/>
      </c>
      <c r="H548" s="17" t="str">
        <f ca="1">IF(HLOOKUP(H546,Summary!$I$2:$AM$7,2,0)=0,"",HLOOKUP(H546,Summary!$I$2:$AM$7,2,0))</f>
        <v/>
      </c>
      <c r="I548" s="71" t="str">
        <f ca="1">IFERROR(VLOOKUP(H548,fixed_expenses[],2,0),"")</f>
        <v/>
      </c>
      <c r="J548" s="17" t="str">
        <f ca="1">IF(HLOOKUP(J546,Summary!$I$2:$AM$7,2,0)=0,"",HLOOKUP(J546,Summary!$I$2:$AM$7,2,0))</f>
        <v/>
      </c>
      <c r="K548" s="71" t="str">
        <f ca="1">IFERROR(VLOOKUP(J548,fixed_expenses[],2,0),"")</f>
        <v/>
      </c>
      <c r="L548" s="17" t="str">
        <f ca="1">IF(HLOOKUP(L546,Summary!$I$2:$AM$7,2,0)=0,"",HLOOKUP(L546,Summary!$I$2:$AM$7,2,0))</f>
        <v>Paul Phone Bill</v>
      </c>
      <c r="M548" s="71">
        <f ca="1">IFERROR(VLOOKUP(L548,fixed_expenses[],2,0),"")</f>
        <v>60</v>
      </c>
      <c r="N548" s="17" t="str">
        <f ca="1">IF(HLOOKUP(N546,Summary!$I$2:$AM$7,2,0)=0,"",HLOOKUP(N546,Summary!$I$2:$AM$7,2,0))</f>
        <v/>
      </c>
      <c r="O548" s="71" t="str">
        <f ca="1">IFERROR(VLOOKUP(N548,fixed_expenses[],2,0),"")</f>
        <v/>
      </c>
      <c r="P548" s="22"/>
    </row>
    <row r="549" spans="1:16" ht="11.25" customHeight="1" x14ac:dyDescent="0.2">
      <c r="B549" s="17" t="str">
        <f ca="1">IF(HLOOKUP(B546,Summary!$I$2:$AM$7,3,0)=0,"",HLOOKUP(B546,Summary!$I$2:$AM$7,3,0))</f>
        <v/>
      </c>
      <c r="C549" s="71" t="str">
        <f ca="1">IFERROR(VLOOKUP(B549,fixed_expenses[],2,0),"")</f>
        <v/>
      </c>
      <c r="D549" s="17" t="str">
        <f ca="1">IF(HLOOKUP(D546,Summary!$I$2:$AM$7,3,0)=0,"",HLOOKUP(D546,Summary!$I$2:$AM$7,3,0))</f>
        <v/>
      </c>
      <c r="E549" s="71" t="str">
        <f ca="1">IFERROR(VLOOKUP(D549,fixed_expenses[],2,0),"")</f>
        <v/>
      </c>
      <c r="F549" s="17" t="str">
        <f ca="1">IF(HLOOKUP(F546,Summary!$I$2:$AM$7,3,0)=0,"",HLOOKUP(F546,Summary!$I$2:$AM$7,3,0))</f>
        <v/>
      </c>
      <c r="G549" s="71" t="str">
        <f ca="1">IFERROR(VLOOKUP(F549,fixed_expenses[],2,0),"")</f>
        <v/>
      </c>
      <c r="H549" s="17" t="str">
        <f ca="1">IF(HLOOKUP(H546,Summary!$I$2:$AM$7,3,0)=0,"",HLOOKUP(H546,Summary!$I$2:$AM$7,3,0))</f>
        <v/>
      </c>
      <c r="I549" s="71" t="str">
        <f ca="1">IFERROR(VLOOKUP(H549,fixed_expenses[],2,0),"")</f>
        <v/>
      </c>
      <c r="J549" s="17" t="str">
        <f ca="1">IF(HLOOKUP(J546,Summary!$I$2:$AM$7,3,0)=0,"",HLOOKUP(J546,Summary!$I$2:$AM$7,3,0))</f>
        <v/>
      </c>
      <c r="K549" s="71" t="str">
        <f ca="1">IFERROR(VLOOKUP(J549,fixed_expenses[],2,0),"")</f>
        <v/>
      </c>
      <c r="L549" s="17" t="str">
        <f ca="1">IF(HLOOKUP(L546,Summary!$I$2:$AM$7,3,0)=0,"",HLOOKUP(L546,Summary!$I$2:$AM$7,3,0))</f>
        <v>Electric</v>
      </c>
      <c r="M549" s="71">
        <f ca="1">IFERROR(VLOOKUP(L549,fixed_expenses[],2,0),"")</f>
        <v>50</v>
      </c>
      <c r="N549" s="17" t="str">
        <f ca="1">IF(HLOOKUP(N546,Summary!$I$2:$AM$7,3,0)=0,"",HLOOKUP(N546,Summary!$I$2:$AM$7,3,0))</f>
        <v/>
      </c>
      <c r="O549" s="71" t="str">
        <f ca="1">IFERROR(VLOOKUP(N549,fixed_expenses[],2,0),"")</f>
        <v/>
      </c>
      <c r="P549" s="22"/>
    </row>
    <row r="550" spans="1:16" ht="11.25" customHeight="1" x14ac:dyDescent="0.2">
      <c r="B550" s="17" t="str">
        <f ca="1">IF(HLOOKUP(B546,Summary!$I$2:$AM$7,4,0)=0,"",HLOOKUP(B546,Summary!$I$2:$AM$7,4,0))</f>
        <v/>
      </c>
      <c r="C550" s="71" t="str">
        <f ca="1">IFERROR(VLOOKUP(B550,fixed_expenses[],2,0),"")</f>
        <v/>
      </c>
      <c r="D550" s="17" t="str">
        <f ca="1">IF(HLOOKUP(D546,Summary!$I$2:$AM$7,4,0)=0,"",HLOOKUP(D546,Summary!$I$2:$AM$7,4,0))</f>
        <v/>
      </c>
      <c r="E550" s="71" t="str">
        <f ca="1">IFERROR(VLOOKUP(D550,fixed_expenses[],2,0),"")</f>
        <v/>
      </c>
      <c r="F550" s="17" t="str">
        <f ca="1">IF(HLOOKUP(F546,Summary!$I$2:$AM$7,4,0)=0,"",HLOOKUP(F546,Summary!$I$2:$AM$7,4,0))</f>
        <v/>
      </c>
      <c r="G550" s="71" t="str">
        <f ca="1">IFERROR(VLOOKUP(F550,fixed_expenses[],2,0),"")</f>
        <v/>
      </c>
      <c r="H550" s="17" t="str">
        <f ca="1">IF(HLOOKUP(H546,Summary!$I$2:$AM$7,4,0)=0,"",HLOOKUP(H546,Summary!$I$2:$AM$7,4,0))</f>
        <v/>
      </c>
      <c r="I550" s="71" t="str">
        <f ca="1">IFERROR(VLOOKUP(H550,fixed_expenses[],2,0),"")</f>
        <v/>
      </c>
      <c r="J550" s="17" t="str">
        <f ca="1">IF(HLOOKUP(J546,Summary!$I$2:$AM$7,4,0)=0,"",HLOOKUP(J546,Summary!$I$2:$AM$7,4,0))</f>
        <v/>
      </c>
      <c r="K550" s="71" t="str">
        <f ca="1">IFERROR(VLOOKUP(J550,fixed_expenses[],2,0),"")</f>
        <v/>
      </c>
      <c r="L550" s="17" t="s">
        <v>384</v>
      </c>
      <c r="M550" s="71">
        <f>IFERROR(VLOOKUP(L550,fixed_expenses[],2,0),"")</f>
        <v>232</v>
      </c>
      <c r="N550" s="17" t="str">
        <f ca="1">IF(HLOOKUP(N546,Summary!$I$2:$AM$7,4,0)=0,"",HLOOKUP(N546,Summary!$I$2:$AM$7,4,0))</f>
        <v/>
      </c>
      <c r="O550" s="71" t="str">
        <f ca="1">IFERROR(VLOOKUP(N550,fixed_expenses[],2,0),"")</f>
        <v/>
      </c>
      <c r="P550" s="22"/>
    </row>
    <row r="551" spans="1:16" ht="11.25" customHeight="1" x14ac:dyDescent="0.2">
      <c r="B551" s="17" t="str">
        <f ca="1">IF(HLOOKUP(B546,Summary!$I$2:$AM$7,5,0)=0,"",HLOOKUP(B546,Summary!$I$2:$AM$7,5,0))</f>
        <v/>
      </c>
      <c r="C551" s="71" t="str">
        <f ca="1">IFERROR(VLOOKUP(B551,fixed_expenses[],2,0),"")</f>
        <v/>
      </c>
      <c r="D551" s="17" t="str">
        <f ca="1">IF(HLOOKUP(D546,Summary!$I$2:$AM$7,5,0)=0,"",HLOOKUP(D546,Summary!$I$2:$AM$7,5,0))</f>
        <v/>
      </c>
      <c r="E551" s="71" t="str">
        <f ca="1">IFERROR(VLOOKUP(D551,fixed_expenses[],2,0),"")</f>
        <v/>
      </c>
      <c r="F551" s="17" t="str">
        <f ca="1">IF(HLOOKUP(F546,Summary!$I$2:$AM$7,5,0)=0,"",HLOOKUP(F546,Summary!$I$2:$AM$7,5,0))</f>
        <v/>
      </c>
      <c r="G551" s="71" t="str">
        <f ca="1">IFERROR(VLOOKUP(F551,fixed_expenses[],2,0),"")</f>
        <v/>
      </c>
      <c r="H551" s="17" t="str">
        <f ca="1">IF(HLOOKUP(H546,Summary!$I$2:$AM$7,5,0)=0,"",HLOOKUP(H546,Summary!$I$2:$AM$7,5,0))</f>
        <v/>
      </c>
      <c r="I551" s="71" t="str">
        <f ca="1">IFERROR(VLOOKUP(H551,fixed_expenses[],2,0),"")</f>
        <v/>
      </c>
      <c r="J551" s="17" t="str">
        <f ca="1">IF(HLOOKUP(J546,Summary!$I$2:$AM$7,5,0)=0,"",HLOOKUP(J546,Summary!$I$2:$AM$7,5,0))</f>
        <v/>
      </c>
      <c r="K551" s="71" t="str">
        <f ca="1">IFERROR(VLOOKUP(J551,fixed_expenses[],2,0),"")</f>
        <v/>
      </c>
      <c r="L551" s="17" t="str">
        <f ca="1">IF(HLOOKUP(L546,Summary!$I$2:$AM$7,5,0)=0,"",HLOOKUP(L546,Summary!$I$2:$AM$7,5,0))</f>
        <v/>
      </c>
      <c r="M551" s="71" t="str">
        <f ca="1">IFERROR(VLOOKUP(L551,fixed_expenses[],2,0),"")</f>
        <v/>
      </c>
      <c r="N551" s="17" t="str">
        <f ca="1">IF(HLOOKUP(N546,Summary!$I$2:$AM$7,5,0)=0,"",HLOOKUP(N546,Summary!$I$2:$AM$7,5,0))</f>
        <v/>
      </c>
      <c r="O551" s="71" t="str">
        <f ca="1">IFERROR(VLOOKUP(N551,fixed_expenses[],2,0),"")</f>
        <v/>
      </c>
      <c r="P551" s="22"/>
    </row>
    <row r="552" spans="1:16" ht="11.25" customHeight="1" x14ac:dyDescent="0.2">
      <c r="B552" s="17" t="str">
        <f ca="1">IF(HLOOKUP(B546,Summary!$I$2:$AM$7,6,0)=0,"",HLOOKUP(B546,Summary!$I$2:$AM$7,6,0))</f>
        <v/>
      </c>
      <c r="C552" s="71" t="str">
        <f ca="1">IFERROR(VLOOKUP(B552,fixed_expenses[],2,0),"")</f>
        <v/>
      </c>
      <c r="D552" s="17" t="str">
        <f ca="1">IF(HLOOKUP(D546,Summary!$I$2:$AM$7,6,0)=0,"",HLOOKUP(D546,Summary!$I$2:$AM$7,6,0))</f>
        <v/>
      </c>
      <c r="E552" s="71" t="str">
        <f ca="1">IFERROR(VLOOKUP(D552,fixed_expenses[],2,0),"")</f>
        <v/>
      </c>
      <c r="F552" s="17" t="str">
        <f ca="1">IF(HLOOKUP(F546,Summary!$I$2:$AM$7,6,0)=0,"",HLOOKUP(F546,Summary!$I$2:$AM$7,6,0))</f>
        <v/>
      </c>
      <c r="G552" s="71" t="str">
        <f ca="1">IFERROR(VLOOKUP(F552,fixed_expenses[],2,0),"")</f>
        <v/>
      </c>
      <c r="H552" s="17" t="str">
        <f ca="1">IF(HLOOKUP(H546,Summary!$I$2:$AM$7,6,0)=0,"",HLOOKUP(H546,Summary!$I$2:$AM$7,6,0))</f>
        <v/>
      </c>
      <c r="I552" s="71" t="str">
        <f ca="1">IFERROR(VLOOKUP(H552,fixed_expenses[],2,0),"")</f>
        <v/>
      </c>
      <c r="J552" s="17" t="str">
        <f ca="1">IF(HLOOKUP(J546,Summary!$I$2:$AM$7,6,0)=0,"",HLOOKUP(J546,Summary!$I$2:$AM$7,6,0))</f>
        <v/>
      </c>
      <c r="K552" s="71" t="str">
        <f ca="1">IFERROR(VLOOKUP(J552,fixed_expenses[],2,0),"")</f>
        <v/>
      </c>
      <c r="L552" s="17" t="str">
        <f ca="1">IF(HLOOKUP(L546,Summary!$I$2:$AM$7,6,0)=0,"",HLOOKUP(L546,Summary!$I$2:$AM$7,6,0))</f>
        <v/>
      </c>
      <c r="M552" s="71" t="str">
        <f ca="1">IFERROR(VLOOKUP(L552,fixed_expenses[],2,0),"")</f>
        <v/>
      </c>
      <c r="N552" s="17" t="str">
        <f ca="1">IF(HLOOKUP(N546,Summary!$I$2:$AM$7,6,0)=0,"",HLOOKUP(N546,Summary!$I$2:$AM$7,6,0))</f>
        <v/>
      </c>
      <c r="O552" s="71" t="str">
        <f ca="1">IFERROR(VLOOKUP(N552,fixed_expenses[],2,0),"")</f>
        <v/>
      </c>
      <c r="P552" s="22"/>
    </row>
    <row r="553" spans="1:16" ht="11.25" customHeight="1" x14ac:dyDescent="0.2">
      <c r="A553" s="43" t="s">
        <v>300</v>
      </c>
      <c r="B553" s="30" t="s">
        <v>8</v>
      </c>
      <c r="C553" s="27">
        <f ca="1">SUM(C548:C552)</f>
        <v>0</v>
      </c>
      <c r="D553" s="26"/>
      <c r="E553" s="27">
        <f ca="1">SUM(E548:E552)</f>
        <v>0</v>
      </c>
      <c r="F553" s="26"/>
      <c r="G553" s="27">
        <f ca="1">SUM(G548:G552)</f>
        <v>0</v>
      </c>
      <c r="H553" s="26"/>
      <c r="I553" s="27">
        <f ca="1">SUM(I548:I552)</f>
        <v>0</v>
      </c>
      <c r="J553" s="26"/>
      <c r="K553" s="27">
        <f ca="1">SUM(K548:K552)</f>
        <v>0</v>
      </c>
      <c r="L553" s="26"/>
      <c r="M553" s="27">
        <f ca="1">SUM(M548:M552)</f>
        <v>342</v>
      </c>
      <c r="N553" s="26"/>
      <c r="O553" s="28">
        <f ca="1">SUM(O548:O552)</f>
        <v>0</v>
      </c>
      <c r="P553" s="29">
        <f ca="1">SUM(C553,E553,G553,I553,K553,M553,O553)</f>
        <v>342</v>
      </c>
    </row>
    <row r="554" spans="1:16" x14ac:dyDescent="0.2">
      <c r="B554" s="6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6"/>
    </row>
    <row r="555" spans="1:16" ht="15" customHeight="1" x14ac:dyDescent="0.2">
      <c r="A555" s="43" t="s">
        <v>272</v>
      </c>
      <c r="B555" s="12">
        <f ca="1">N546+1</f>
        <v>17</v>
      </c>
      <c r="C555" s="13"/>
      <c r="D555" s="12">
        <f ca="1">B555+1</f>
        <v>18</v>
      </c>
      <c r="E555" s="13"/>
      <c r="F555" s="12">
        <f ca="1">D555+1</f>
        <v>19</v>
      </c>
      <c r="G555" s="13"/>
      <c r="H555" s="12">
        <f ca="1">F555+1</f>
        <v>20</v>
      </c>
      <c r="I555" s="13"/>
      <c r="J555" s="12">
        <f ca="1">H555+1</f>
        <v>21</v>
      </c>
      <c r="K555" s="13"/>
      <c r="L555" s="12">
        <f ca="1">J555+1</f>
        <v>22</v>
      </c>
      <c r="M555" s="13"/>
      <c r="N555" s="12">
        <f ca="1">L555+1</f>
        <v>23</v>
      </c>
      <c r="O555" s="13"/>
      <c r="P555" s="24"/>
    </row>
    <row r="556" spans="1:16" ht="11.25" customHeight="1" x14ac:dyDescent="0.2">
      <c r="A556" s="43" t="s">
        <v>132</v>
      </c>
      <c r="B556" s="37" t="s">
        <v>9</v>
      </c>
      <c r="C556" s="39" t="s">
        <v>10</v>
      </c>
      <c r="D556" s="37" t="s">
        <v>9</v>
      </c>
      <c r="E556" s="39" t="s">
        <v>10</v>
      </c>
      <c r="F556" s="37" t="s">
        <v>9</v>
      </c>
      <c r="G556" s="39" t="s">
        <v>10</v>
      </c>
      <c r="H556" s="37" t="s">
        <v>9</v>
      </c>
      <c r="I556" s="39" t="s">
        <v>10</v>
      </c>
      <c r="J556" s="37" t="s">
        <v>9</v>
      </c>
      <c r="K556" s="39" t="s">
        <v>10</v>
      </c>
      <c r="L556" s="37" t="s">
        <v>9</v>
      </c>
      <c r="M556" s="39" t="s">
        <v>10</v>
      </c>
      <c r="N556" s="37" t="s">
        <v>9</v>
      </c>
      <c r="O556" s="40" t="s">
        <v>10</v>
      </c>
      <c r="P556" s="22"/>
    </row>
    <row r="557" spans="1:16" ht="11.25" customHeight="1" x14ac:dyDescent="0.2">
      <c r="A557" s="43" t="s">
        <v>221</v>
      </c>
      <c r="B557" s="17" t="str">
        <f ca="1">IF(HLOOKUP(B555,Summary!$I$2:$AM$7,2,0)=0,"",HLOOKUP(B555,Summary!$I$2:$AM$7,2,0))</f>
        <v/>
      </c>
      <c r="C557" s="71" t="str">
        <f ca="1">IFERROR(VLOOKUP(B557,fixed_expenses[],2,0),"")</f>
        <v/>
      </c>
      <c r="D557" s="17" t="str">
        <f ca="1">IF(HLOOKUP(D555,Summary!$I$2:$AM$7,2,0)=0,"",HLOOKUP(D555,Summary!$I$2:$AM$7,2,0))</f>
        <v/>
      </c>
      <c r="E557" s="71" t="str">
        <f ca="1">IFERROR(VLOOKUP(D557,fixed_expenses[],2,0),"")</f>
        <v/>
      </c>
      <c r="F557" s="17" t="str">
        <f ca="1">IF(HLOOKUP(F555,Summary!$I$2:$AM$7,2,0)=0,"",HLOOKUP(F555,Summary!$I$2:$AM$7,2,0))</f>
        <v/>
      </c>
      <c r="G557" s="71" t="str">
        <f ca="1">IFERROR(VLOOKUP(F557,fixed_expenses[],2,0),"")</f>
        <v/>
      </c>
      <c r="H557" s="17" t="str">
        <f ca="1">IF(HLOOKUP(H555,Summary!$I$2:$AM$7,2,0)=0,"",HLOOKUP(H555,Summary!$I$2:$AM$7,2,0))</f>
        <v>Lynn Phone Bill</v>
      </c>
      <c r="I557" s="71" t="str">
        <f ca="1">IFERROR(VLOOKUP(H557,fixed_expenses[],2,0),"")</f>
        <v/>
      </c>
      <c r="J557" s="17" t="str">
        <f ca="1">IF(HLOOKUP(J555,Summary!$I$2:$AM$7,2,0)=0,"",HLOOKUP(J555,Summary!$I$2:$AM$7,2,0))</f>
        <v/>
      </c>
      <c r="K557" s="71" t="str">
        <f ca="1">IFERROR(VLOOKUP(J557,fixed_expenses[],2,0),"")</f>
        <v/>
      </c>
      <c r="L557" s="17" t="str">
        <f ca="1">IF(HLOOKUP(L555,Summary!$I$2:$AM$7,2,0)=0,"",HLOOKUP(L555,Summary!$I$2:$AM$7,2,0))</f>
        <v/>
      </c>
      <c r="M557" s="71" t="str">
        <f ca="1">IFERROR(VLOOKUP(L557,fixed_expenses[],2,0),"")</f>
        <v/>
      </c>
      <c r="N557" s="17" t="str">
        <f ca="1">IF(HLOOKUP(N555,Summary!$I$2:$AM$7,2,0)=0,"",HLOOKUP(N555,Summary!$I$2:$AM$7,2,0))</f>
        <v/>
      </c>
      <c r="O557" s="71" t="str">
        <f ca="1">IFERROR(VLOOKUP(N557,fixed_expenses[],2,0),"")</f>
        <v/>
      </c>
      <c r="P557" s="22"/>
    </row>
    <row r="558" spans="1:16" ht="11.25" customHeight="1" x14ac:dyDescent="0.2">
      <c r="B558" s="17" t="str">
        <f ca="1">IF(HLOOKUP(B555,Summary!$I$2:$AM$7,3,0)=0,"",HLOOKUP(B555,Summary!$I$2:$AM$7,3,0))</f>
        <v/>
      </c>
      <c r="C558" s="71" t="str">
        <f ca="1">IFERROR(VLOOKUP(B558,fixed_expenses[],2,0),"")</f>
        <v/>
      </c>
      <c r="D558" s="17" t="str">
        <f ca="1">IF(HLOOKUP(D555,Summary!$I$2:$AM$7,3,0)=0,"",HLOOKUP(D555,Summary!$I$2:$AM$7,3,0))</f>
        <v/>
      </c>
      <c r="E558" s="71" t="str">
        <f ca="1">IFERROR(VLOOKUP(D558,fixed_expenses[],2,0),"")</f>
        <v/>
      </c>
      <c r="F558" s="17" t="str">
        <f ca="1">IF(HLOOKUP(F555,Summary!$I$2:$AM$7,3,0)=0,"",HLOOKUP(F555,Summary!$I$2:$AM$7,3,0))</f>
        <v/>
      </c>
      <c r="G558" s="71" t="str">
        <f ca="1">IFERROR(VLOOKUP(F558,fixed_expenses[],2,0),"")</f>
        <v/>
      </c>
      <c r="H558" s="17" t="str">
        <f ca="1">IF(HLOOKUP(H555,Summary!$I$2:$AM$7,3,0)=0,"",HLOOKUP(H555,Summary!$I$2:$AM$7,3,0))</f>
        <v/>
      </c>
      <c r="I558" s="71" t="str">
        <f ca="1">IFERROR(VLOOKUP(H558,fixed_expenses[],2,0),"")</f>
        <v/>
      </c>
      <c r="J558" s="17" t="str">
        <f ca="1">IF(HLOOKUP(J555,Summary!$I$2:$AM$7,3,0)=0,"",HLOOKUP(J555,Summary!$I$2:$AM$7,3,0))</f>
        <v/>
      </c>
      <c r="K558" s="71" t="str">
        <f ca="1">IFERROR(VLOOKUP(J558,fixed_expenses[],2,0),"")</f>
        <v/>
      </c>
      <c r="L558" s="17" t="str">
        <f ca="1">IF(HLOOKUP(L555,Summary!$I$2:$AM$7,3,0)=0,"",HLOOKUP(L555,Summary!$I$2:$AM$7,3,0))</f>
        <v/>
      </c>
      <c r="M558" s="71" t="str">
        <f ca="1">IFERROR(VLOOKUP(L558,fixed_expenses[],2,0),"")</f>
        <v/>
      </c>
      <c r="N558" s="17" t="str">
        <f ca="1">IF(HLOOKUP(N555,Summary!$I$2:$AM$7,3,0)=0,"",HLOOKUP(N555,Summary!$I$2:$AM$7,3,0))</f>
        <v/>
      </c>
      <c r="O558" s="71" t="str">
        <f ca="1">IFERROR(VLOOKUP(N558,fixed_expenses[],2,0),"")</f>
        <v/>
      </c>
      <c r="P558" s="22"/>
    </row>
    <row r="559" spans="1:16" ht="11.25" customHeight="1" x14ac:dyDescent="0.2">
      <c r="B559" s="17" t="str">
        <f ca="1">IF(HLOOKUP(B555,Summary!$I$2:$AM$7,4,0)=0,"",HLOOKUP(B555,Summary!$I$2:$AM$7,4,0))</f>
        <v/>
      </c>
      <c r="C559" s="71" t="str">
        <f ca="1">IFERROR(VLOOKUP(B559,fixed_expenses[],2,0),"")</f>
        <v/>
      </c>
      <c r="D559" s="17" t="str">
        <f ca="1">IF(HLOOKUP(D555,Summary!$I$2:$AM$7,4,0)=0,"",HLOOKUP(D555,Summary!$I$2:$AM$7,4,0))</f>
        <v/>
      </c>
      <c r="E559" s="71" t="str">
        <f ca="1">IFERROR(VLOOKUP(D559,fixed_expenses[],2,0),"")</f>
        <v/>
      </c>
      <c r="F559" s="17" t="str">
        <f ca="1">IF(HLOOKUP(F555,Summary!$I$2:$AM$7,4,0)=0,"",HLOOKUP(F555,Summary!$I$2:$AM$7,4,0))</f>
        <v/>
      </c>
      <c r="G559" s="71" t="str">
        <f ca="1">IFERROR(VLOOKUP(F559,fixed_expenses[],2,0),"")</f>
        <v/>
      </c>
      <c r="H559" s="17" t="str">
        <f ca="1">IF(HLOOKUP(H555,Summary!$I$2:$AM$7,4,0)=0,"",HLOOKUP(H555,Summary!$I$2:$AM$7,4,0))</f>
        <v/>
      </c>
      <c r="I559" s="71" t="str">
        <f ca="1">IFERROR(VLOOKUP(H559,fixed_expenses[],2,0),"")</f>
        <v/>
      </c>
      <c r="J559" s="17" t="str">
        <f ca="1">IF(HLOOKUP(J555,Summary!$I$2:$AM$7,4,0)=0,"",HLOOKUP(J555,Summary!$I$2:$AM$7,4,0))</f>
        <v/>
      </c>
      <c r="K559" s="71" t="str">
        <f ca="1">IFERROR(VLOOKUP(J559,fixed_expenses[],2,0),"")</f>
        <v/>
      </c>
      <c r="L559" s="17" t="str">
        <f ca="1">IF(HLOOKUP(L555,Summary!$I$2:$AM$7,4,0)=0,"",HLOOKUP(L555,Summary!$I$2:$AM$7,4,0))</f>
        <v/>
      </c>
      <c r="M559" s="71" t="str">
        <f ca="1">IFERROR(VLOOKUP(L559,fixed_expenses[],2,0),"")</f>
        <v/>
      </c>
      <c r="N559" s="17" t="str">
        <f ca="1">IF(HLOOKUP(N555,Summary!$I$2:$AM$7,4,0)=0,"",HLOOKUP(N555,Summary!$I$2:$AM$7,4,0))</f>
        <v/>
      </c>
      <c r="O559" s="71" t="str">
        <f ca="1">IFERROR(VLOOKUP(N559,fixed_expenses[],2,0),"")</f>
        <v/>
      </c>
      <c r="P559" s="22"/>
    </row>
    <row r="560" spans="1:16" ht="11.25" customHeight="1" x14ac:dyDescent="0.2">
      <c r="B560" s="17" t="str">
        <f ca="1">IF(HLOOKUP(B555,Summary!$I$2:$AM$7,5,0)=0,"",HLOOKUP(B555,Summary!$I$2:$AM$7,5,0))</f>
        <v/>
      </c>
      <c r="C560" s="71" t="str">
        <f ca="1">IFERROR(VLOOKUP(B560,fixed_expenses[],2,0),"")</f>
        <v/>
      </c>
      <c r="D560" s="17" t="str">
        <f ca="1">IF(HLOOKUP(D555,Summary!$I$2:$AM$7,5,0)=0,"",HLOOKUP(D555,Summary!$I$2:$AM$7,5,0))</f>
        <v/>
      </c>
      <c r="E560" s="71" t="str">
        <f ca="1">IFERROR(VLOOKUP(D560,fixed_expenses[],2,0),"")</f>
        <v/>
      </c>
      <c r="F560" s="17" t="str">
        <f ca="1">IF(HLOOKUP(F555,Summary!$I$2:$AM$7,5,0)=0,"",HLOOKUP(F555,Summary!$I$2:$AM$7,5,0))</f>
        <v/>
      </c>
      <c r="G560" s="71" t="str">
        <f ca="1">IFERROR(VLOOKUP(F560,fixed_expenses[],2,0),"")</f>
        <v/>
      </c>
      <c r="H560" s="17" t="str">
        <f ca="1">IF(HLOOKUP(H555,Summary!$I$2:$AM$7,5,0)=0,"",HLOOKUP(H555,Summary!$I$2:$AM$7,5,0))</f>
        <v/>
      </c>
      <c r="I560" s="71" t="str">
        <f ca="1">IFERROR(VLOOKUP(H560,fixed_expenses[],2,0),"")</f>
        <v/>
      </c>
      <c r="J560" s="17" t="str">
        <f ca="1">IF(HLOOKUP(J555,Summary!$I$2:$AM$7,5,0)=0,"",HLOOKUP(J555,Summary!$I$2:$AM$7,5,0))</f>
        <v/>
      </c>
      <c r="K560" s="71" t="str">
        <f ca="1">IFERROR(VLOOKUP(J560,fixed_expenses[],2,0),"")</f>
        <v/>
      </c>
      <c r="L560" s="17" t="str">
        <f ca="1">IF(HLOOKUP(L555,Summary!$I$2:$AM$7,5,0)=0,"",HLOOKUP(L555,Summary!$I$2:$AM$7,5,0))</f>
        <v/>
      </c>
      <c r="M560" s="71" t="str">
        <f ca="1">IFERROR(VLOOKUP(L560,fixed_expenses[],2,0),"")</f>
        <v/>
      </c>
      <c r="N560" s="17" t="str">
        <f ca="1">IF(HLOOKUP(N555,Summary!$I$2:$AM$7,5,0)=0,"",HLOOKUP(N555,Summary!$I$2:$AM$7,5,0))</f>
        <v/>
      </c>
      <c r="O560" s="71" t="str">
        <f ca="1">IFERROR(VLOOKUP(N560,fixed_expenses[],2,0),"")</f>
        <v/>
      </c>
      <c r="P560" s="22"/>
    </row>
    <row r="561" spans="1:16" ht="11.25" customHeight="1" x14ac:dyDescent="0.2">
      <c r="B561" s="17" t="str">
        <f ca="1">IF(HLOOKUP(B555,Summary!$I$2:$AM$7,6,0)=0,"",HLOOKUP(B555,Summary!$I$2:$AM$7,6,0))</f>
        <v/>
      </c>
      <c r="C561" s="71" t="str">
        <f ca="1">IFERROR(VLOOKUP(B561,fixed_expenses[],2,0),"")</f>
        <v/>
      </c>
      <c r="D561" s="17" t="str">
        <f ca="1">IF(HLOOKUP(D555,Summary!$I$2:$AM$7,6,0)=0,"",HLOOKUP(D555,Summary!$I$2:$AM$7,6,0))</f>
        <v/>
      </c>
      <c r="E561" s="71" t="str">
        <f ca="1">IFERROR(VLOOKUP(D561,fixed_expenses[],2,0),"")</f>
        <v/>
      </c>
      <c r="F561" s="17" t="str">
        <f ca="1">IF(HLOOKUP(F555,Summary!$I$2:$AM$7,6,0)=0,"",HLOOKUP(F555,Summary!$I$2:$AM$7,6,0))</f>
        <v/>
      </c>
      <c r="G561" s="71" t="str">
        <f ca="1">IFERROR(VLOOKUP(F561,fixed_expenses[],2,0),"")</f>
        <v/>
      </c>
      <c r="H561" s="17" t="str">
        <f ca="1">IF(HLOOKUP(H555,Summary!$I$2:$AM$7,6,0)=0,"",HLOOKUP(H555,Summary!$I$2:$AM$7,6,0))</f>
        <v/>
      </c>
      <c r="I561" s="71" t="str">
        <f ca="1">IFERROR(VLOOKUP(H561,fixed_expenses[],2,0),"")</f>
        <v/>
      </c>
      <c r="J561" s="17" t="str">
        <f ca="1">IF(HLOOKUP(J555,Summary!$I$2:$AM$7,6,0)=0,"",HLOOKUP(J555,Summary!$I$2:$AM$7,6,0))</f>
        <v/>
      </c>
      <c r="K561" s="71" t="str">
        <f ca="1">IFERROR(VLOOKUP(J561,fixed_expenses[],2,0),"")</f>
        <v/>
      </c>
      <c r="L561" s="17" t="str">
        <f ca="1">IF(HLOOKUP(L555,Summary!$I$2:$AM$7,6,0)=0,"",HLOOKUP(L555,Summary!$I$2:$AM$7,6,0))</f>
        <v/>
      </c>
      <c r="M561" s="71" t="str">
        <f ca="1">IFERROR(VLOOKUP(L561,fixed_expenses[],2,0),"")</f>
        <v/>
      </c>
      <c r="N561" s="17" t="str">
        <f ca="1">IF(HLOOKUP(N555,Summary!$I$2:$AM$7,6,0)=0,"",HLOOKUP(N555,Summary!$I$2:$AM$7,6,0))</f>
        <v/>
      </c>
      <c r="O561" s="71" t="str">
        <f ca="1">IFERROR(VLOOKUP(N561,fixed_expenses[],2,0),"")</f>
        <v/>
      </c>
      <c r="P561" s="22"/>
    </row>
    <row r="562" spans="1:16" ht="11.25" customHeight="1" x14ac:dyDescent="0.2">
      <c r="A562" s="43" t="s">
        <v>299</v>
      </c>
      <c r="B562" s="26" t="s">
        <v>8</v>
      </c>
      <c r="C562" s="27">
        <f ca="1">SUM(C557:C561)</f>
        <v>0</v>
      </c>
      <c r="D562" s="26"/>
      <c r="E562" s="27">
        <f ca="1">SUM(E557:E561)</f>
        <v>0</v>
      </c>
      <c r="F562" s="26"/>
      <c r="G562" s="27">
        <f ca="1">SUM(G557:G561)</f>
        <v>0</v>
      </c>
      <c r="H562" s="26"/>
      <c r="I562" s="27">
        <f ca="1">SUM(I557:I561)</f>
        <v>0</v>
      </c>
      <c r="J562" s="26"/>
      <c r="K562" s="27">
        <f ca="1">SUM(K557:K561)</f>
        <v>0</v>
      </c>
      <c r="L562" s="26"/>
      <c r="M562" s="27">
        <f ca="1">SUM(M557:M561)</f>
        <v>0</v>
      </c>
      <c r="N562" s="26"/>
      <c r="O562" s="28">
        <f ca="1">SUM(O557:O561)</f>
        <v>0</v>
      </c>
      <c r="P562" s="29">
        <f ca="1">SUM(C562,E562,G562,I562,K562,M562,O562)</f>
        <v>0</v>
      </c>
    </row>
    <row r="563" spans="1:16" x14ac:dyDescent="0.2">
      <c r="B563" s="6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6"/>
    </row>
    <row r="564" spans="1:16" ht="15" customHeight="1" x14ac:dyDescent="0.2">
      <c r="A564" s="43" t="s">
        <v>273</v>
      </c>
      <c r="B564" s="12">
        <f ca="1">DAY(IF(DAY(OctSun1)=1,OctSun1+22,OctSun1+29))</f>
        <v>24</v>
      </c>
      <c r="C564" s="13"/>
      <c r="D564" s="12">
        <f ca="1">DAY(IF(DAY(OctSun1)=1,OctSun1+23,OctSun1+30))</f>
        <v>25</v>
      </c>
      <c r="E564" s="13"/>
      <c r="F564" s="12">
        <f ca="1">DAY(IF(DAY(OctSun1)=1,OctSun1+24,OctSun1+31))</f>
        <v>26</v>
      </c>
      <c r="G564" s="13"/>
      <c r="H564" s="12">
        <f ca="1">DAY(IF(DAY(OctSun1)=1,OctSun1+25,OctSun1+32))</f>
        <v>27</v>
      </c>
      <c r="I564" s="13"/>
      <c r="J564" s="12">
        <f ca="1">DAY(IF(DAY(OctSun1)=1,OctSun1+26,OctSun1+33))</f>
        <v>28</v>
      </c>
      <c r="K564" s="13"/>
      <c r="L564" s="12">
        <f ca="1">DAY(IF(DAY(OctSun1)=1,OctSun1+27,OctSun1+34))</f>
        <v>29</v>
      </c>
      <c r="M564" s="13"/>
      <c r="N564" s="12">
        <f ca="1">DAY(IF(DAY(OctSun1)=1,OctSun1+28,OctSun1+35))</f>
        <v>30</v>
      </c>
      <c r="O564" s="13"/>
      <c r="P564" s="25"/>
    </row>
    <row r="565" spans="1:16" ht="11.25" customHeight="1" x14ac:dyDescent="0.2">
      <c r="A565" s="43" t="s">
        <v>131</v>
      </c>
      <c r="B565" s="37" t="s">
        <v>9</v>
      </c>
      <c r="C565" s="39" t="s">
        <v>10</v>
      </c>
      <c r="D565" s="37" t="s">
        <v>9</v>
      </c>
      <c r="E565" s="39" t="s">
        <v>10</v>
      </c>
      <c r="F565" s="37" t="s">
        <v>9</v>
      </c>
      <c r="G565" s="39" t="s">
        <v>10</v>
      </c>
      <c r="H565" s="37" t="s">
        <v>9</v>
      </c>
      <c r="I565" s="39" t="s">
        <v>10</v>
      </c>
      <c r="J565" s="37" t="s">
        <v>9</v>
      </c>
      <c r="K565" s="39" t="s">
        <v>10</v>
      </c>
      <c r="L565" s="37" t="s">
        <v>9</v>
      </c>
      <c r="M565" s="39" t="s">
        <v>10</v>
      </c>
      <c r="N565" s="37" t="s">
        <v>9</v>
      </c>
      <c r="O565" s="40" t="s">
        <v>10</v>
      </c>
      <c r="P565" s="22"/>
    </row>
    <row r="566" spans="1:16" ht="11.25" customHeight="1" x14ac:dyDescent="0.2">
      <c r="A566" s="43" t="s">
        <v>222</v>
      </c>
      <c r="B566" s="17" t="str">
        <f ca="1">IF(HLOOKUP(B564,Summary!$I$2:$AM$7,2,0)=0,"",HLOOKUP(B564,Summary!$I$2:$AM$7,2,0))</f>
        <v/>
      </c>
      <c r="C566" s="71" t="str">
        <f ca="1">IFERROR(VLOOKUP(B566,fixed_expenses[],2,0),"")</f>
        <v/>
      </c>
      <c r="D566" s="17" t="str">
        <f ca="1">IF(HLOOKUP(D564,Summary!$I$2:$AM$7,2,0)=0,"",HLOOKUP(D564,Summary!$I$2:$AM$7,2,0))</f>
        <v/>
      </c>
      <c r="E566" s="71" t="str">
        <f ca="1">IFERROR(VLOOKUP(D566,fixed_expenses[],2,0),"")</f>
        <v/>
      </c>
      <c r="F566" s="17" t="str">
        <f ca="1">IF(HLOOKUP(F564,Summary!$I$2:$AM$7,2,0)=0,"",HLOOKUP(F564,Summary!$I$2:$AM$7,2,0))</f>
        <v/>
      </c>
      <c r="G566" s="71" t="str">
        <f ca="1">IFERROR(VLOOKUP(F566,fixed_expenses[],2,0),"")</f>
        <v/>
      </c>
      <c r="H566" s="17" t="str">
        <f ca="1">IF(HLOOKUP(H564,Summary!$I$2:$AM$7,2,0)=0,"",HLOOKUP(H564,Summary!$I$2:$AM$7,2,0))</f>
        <v/>
      </c>
      <c r="I566" s="71" t="str">
        <f ca="1">IFERROR(VLOOKUP(H566,fixed_expenses[],2,0),"")</f>
        <v/>
      </c>
      <c r="J566" s="17" t="str">
        <f ca="1">IF(HLOOKUP(J564,Summary!$I$2:$AM$7,2,0)=0,"",HLOOKUP(J564,Summary!$I$2:$AM$7,2,0))</f>
        <v/>
      </c>
      <c r="K566" s="71" t="str">
        <f ca="1">IFERROR(VLOOKUP(J566,fixed_expenses[],2,0),"")</f>
        <v/>
      </c>
      <c r="L566" s="17" t="s">
        <v>384</v>
      </c>
      <c r="M566" s="71">
        <f>IFERROR(VLOOKUP(L566,fixed_expenses[],2,0),"")</f>
        <v>232</v>
      </c>
      <c r="N566" s="17" t="str">
        <f ca="1">IF(HLOOKUP(N564,Summary!$I$2:$AM$7,2,0)=0,"",HLOOKUP(N564,Summary!$I$2:$AM$7,2,0))</f>
        <v/>
      </c>
      <c r="O566" s="71" t="str">
        <f ca="1">IFERROR(VLOOKUP(N566,fixed_expenses[],2,0),"")</f>
        <v/>
      </c>
      <c r="P566" s="22"/>
    </row>
    <row r="567" spans="1:16" ht="11.25" customHeight="1" x14ac:dyDescent="0.2">
      <c r="B567" s="17" t="str">
        <f ca="1">IF(HLOOKUP(B564,Summary!$I$2:$AM$7,3,0)=0,"",HLOOKUP(B564,Summary!$I$2:$AM$7,3,0))</f>
        <v/>
      </c>
      <c r="C567" s="71" t="str">
        <f ca="1">IFERROR(VLOOKUP(B567,fixed_expenses[],2,0),"")</f>
        <v/>
      </c>
      <c r="D567" s="17" t="str">
        <f ca="1">IF(HLOOKUP(D564,Summary!$I$2:$AM$7,3,0)=0,"",HLOOKUP(D564,Summary!$I$2:$AM$7,3,0))</f>
        <v/>
      </c>
      <c r="E567" s="71" t="str">
        <f ca="1">IFERROR(VLOOKUP(D567,fixed_expenses[],2,0),"")</f>
        <v/>
      </c>
      <c r="F567" s="17" t="str">
        <f ca="1">IF(HLOOKUP(F564,Summary!$I$2:$AM$7,3,0)=0,"",HLOOKUP(F564,Summary!$I$2:$AM$7,3,0))</f>
        <v/>
      </c>
      <c r="G567" s="71" t="str">
        <f ca="1">IFERROR(VLOOKUP(F567,fixed_expenses[],2,0),"")</f>
        <v/>
      </c>
      <c r="H567" s="17" t="str">
        <f ca="1">IF(HLOOKUP(H564,Summary!$I$2:$AM$7,3,0)=0,"",HLOOKUP(H564,Summary!$I$2:$AM$7,3,0))</f>
        <v/>
      </c>
      <c r="I567" s="71" t="str">
        <f ca="1">IFERROR(VLOOKUP(H567,fixed_expenses[],2,0),"")</f>
        <v/>
      </c>
      <c r="J567" s="17" t="str">
        <f ca="1">IF(HLOOKUP(J564,Summary!$I$2:$AM$7,3,0)=0,"",HLOOKUP(J564,Summary!$I$2:$AM$7,3,0))</f>
        <v/>
      </c>
      <c r="K567" s="71" t="str">
        <f ca="1">IFERROR(VLOOKUP(J567,fixed_expenses[],2,0),"")</f>
        <v/>
      </c>
      <c r="L567" s="17" t="str">
        <f ca="1">IF(HLOOKUP(L564,Summary!$I$2:$AM$7,3,0)=0,"",HLOOKUP(L564,Summary!$I$2:$AM$7,3,0))</f>
        <v/>
      </c>
      <c r="M567" s="71" t="str">
        <f ca="1">IFERROR(VLOOKUP(L567,fixed_expenses[],2,0),"")</f>
        <v/>
      </c>
      <c r="N567" s="17" t="str">
        <f ca="1">IF(HLOOKUP(N564,Summary!$I$2:$AM$7,3,0)=0,"",HLOOKUP(N564,Summary!$I$2:$AM$7,3,0))</f>
        <v/>
      </c>
      <c r="O567" s="71" t="str">
        <f ca="1">IFERROR(VLOOKUP(N567,fixed_expenses[],2,0),"")</f>
        <v/>
      </c>
      <c r="P567" s="22"/>
    </row>
    <row r="568" spans="1:16" ht="11.25" customHeight="1" x14ac:dyDescent="0.2">
      <c r="B568" s="17" t="str">
        <f ca="1">IF(HLOOKUP(B564,Summary!$I$2:$AM$7,4,0)=0,"",HLOOKUP(B564,Summary!$I$2:$AM$7,4,0))</f>
        <v/>
      </c>
      <c r="C568" s="71" t="str">
        <f ca="1">IFERROR(VLOOKUP(B568,fixed_expenses[],2,0),"")</f>
        <v/>
      </c>
      <c r="D568" s="17" t="str">
        <f ca="1">IF(HLOOKUP(D564,Summary!$I$2:$AM$7,4,0)=0,"",HLOOKUP(D564,Summary!$I$2:$AM$7,4,0))</f>
        <v/>
      </c>
      <c r="E568" s="71" t="str">
        <f ca="1">IFERROR(VLOOKUP(D568,fixed_expenses[],2,0),"")</f>
        <v/>
      </c>
      <c r="F568" s="17" t="str">
        <f ca="1">IF(HLOOKUP(F564,Summary!$I$2:$AM$7,4,0)=0,"",HLOOKUP(F564,Summary!$I$2:$AM$7,4,0))</f>
        <v/>
      </c>
      <c r="G568" s="71" t="str">
        <f ca="1">IFERROR(VLOOKUP(F568,fixed_expenses[],2,0),"")</f>
        <v/>
      </c>
      <c r="H568" s="17" t="str">
        <f ca="1">IF(HLOOKUP(H564,Summary!$I$2:$AM$7,4,0)=0,"",HLOOKUP(H564,Summary!$I$2:$AM$7,4,0))</f>
        <v/>
      </c>
      <c r="I568" s="71" t="str">
        <f ca="1">IFERROR(VLOOKUP(H568,fixed_expenses[],2,0),"")</f>
        <v/>
      </c>
      <c r="J568" s="17" t="str">
        <f ca="1">IF(HLOOKUP(J564,Summary!$I$2:$AM$7,4,0)=0,"",HLOOKUP(J564,Summary!$I$2:$AM$7,4,0))</f>
        <v/>
      </c>
      <c r="K568" s="71" t="str">
        <f ca="1">IFERROR(VLOOKUP(J568,fixed_expenses[],2,0),"")</f>
        <v/>
      </c>
      <c r="L568" s="17" t="str">
        <f ca="1">IF(HLOOKUP(L564,Summary!$I$2:$AM$7,4,0)=0,"",HLOOKUP(L564,Summary!$I$2:$AM$7,4,0))</f>
        <v/>
      </c>
      <c r="M568" s="71" t="str">
        <f ca="1">IFERROR(VLOOKUP(L568,fixed_expenses[],2,0),"")</f>
        <v/>
      </c>
      <c r="N568" s="17" t="str">
        <f ca="1">IF(HLOOKUP(N564,Summary!$I$2:$AM$7,4,0)=0,"",HLOOKUP(N564,Summary!$I$2:$AM$7,4,0))</f>
        <v/>
      </c>
      <c r="O568" s="71" t="str">
        <f ca="1">IFERROR(VLOOKUP(N568,fixed_expenses[],2,0),"")</f>
        <v/>
      </c>
      <c r="P568" s="22"/>
    </row>
    <row r="569" spans="1:16" ht="11.25" customHeight="1" x14ac:dyDescent="0.2">
      <c r="B569" s="17" t="str">
        <f ca="1">IF(HLOOKUP(B564,Summary!$I$2:$AM$7,5,0)=0,"",HLOOKUP(B564,Summary!$I$2:$AM$7,5,0))</f>
        <v/>
      </c>
      <c r="C569" s="71" t="str">
        <f ca="1">IFERROR(VLOOKUP(B569,fixed_expenses[],2,0),"")</f>
        <v/>
      </c>
      <c r="D569" s="17" t="str">
        <f ca="1">IF(HLOOKUP(D564,Summary!$I$2:$AM$7,5,0)=0,"",HLOOKUP(D564,Summary!$I$2:$AM$7,5,0))</f>
        <v/>
      </c>
      <c r="E569" s="71" t="str">
        <f ca="1">IFERROR(VLOOKUP(D569,fixed_expenses[],2,0),"")</f>
        <v/>
      </c>
      <c r="F569" s="17" t="str">
        <f ca="1">IF(HLOOKUP(F564,Summary!$I$2:$AM$7,5,0)=0,"",HLOOKUP(F564,Summary!$I$2:$AM$7,5,0))</f>
        <v/>
      </c>
      <c r="G569" s="71" t="str">
        <f ca="1">IFERROR(VLOOKUP(F569,fixed_expenses[],2,0),"")</f>
        <v/>
      </c>
      <c r="H569" s="17" t="str">
        <f ca="1">IF(HLOOKUP(H564,Summary!$I$2:$AM$7,5,0)=0,"",HLOOKUP(H564,Summary!$I$2:$AM$7,5,0))</f>
        <v/>
      </c>
      <c r="I569" s="71" t="str">
        <f ca="1">IFERROR(VLOOKUP(H569,fixed_expenses[],2,0),"")</f>
        <v/>
      </c>
      <c r="J569" s="17" t="str">
        <f ca="1">IF(HLOOKUP(J564,Summary!$I$2:$AM$7,5,0)=0,"",HLOOKUP(J564,Summary!$I$2:$AM$7,5,0))</f>
        <v/>
      </c>
      <c r="K569" s="71" t="str">
        <f ca="1">IFERROR(VLOOKUP(J569,fixed_expenses[],2,0),"")</f>
        <v/>
      </c>
      <c r="L569" s="17" t="str">
        <f ca="1">IF(HLOOKUP(L564,Summary!$I$2:$AM$7,5,0)=0,"",HLOOKUP(L564,Summary!$I$2:$AM$7,5,0))</f>
        <v/>
      </c>
      <c r="M569" s="71" t="str">
        <f ca="1">IFERROR(VLOOKUP(L569,fixed_expenses[],2,0),"")</f>
        <v/>
      </c>
      <c r="N569" s="17" t="str">
        <f ca="1">IF(HLOOKUP(N564,Summary!$I$2:$AM$7,5,0)=0,"",HLOOKUP(N564,Summary!$I$2:$AM$7,5,0))</f>
        <v/>
      </c>
      <c r="O569" s="71" t="str">
        <f ca="1">IFERROR(VLOOKUP(N569,fixed_expenses[],2,0),"")</f>
        <v/>
      </c>
      <c r="P569" s="22"/>
    </row>
    <row r="570" spans="1:16" ht="11.25" customHeight="1" x14ac:dyDescent="0.2">
      <c r="B570" s="17" t="str">
        <f ca="1">IF(HLOOKUP(B564,Summary!$I$2:$AM$7,6,0)=0,"",HLOOKUP(B564,Summary!$I$2:$AM$7,6,0))</f>
        <v/>
      </c>
      <c r="C570" s="71" t="str">
        <f ca="1">IFERROR(VLOOKUP(B570,fixed_expenses[],2,0),"")</f>
        <v/>
      </c>
      <c r="D570" s="17" t="str">
        <f ca="1">IF(HLOOKUP(D564,Summary!$I$2:$AM$7,6,0)=0,"",HLOOKUP(D564,Summary!$I$2:$AM$7,6,0))</f>
        <v/>
      </c>
      <c r="E570" s="71" t="str">
        <f ca="1">IFERROR(VLOOKUP(D570,fixed_expenses[],2,0),"")</f>
        <v/>
      </c>
      <c r="F570" s="17" t="str">
        <f ca="1">IF(HLOOKUP(F564,Summary!$I$2:$AM$7,6,0)=0,"",HLOOKUP(F564,Summary!$I$2:$AM$7,6,0))</f>
        <v/>
      </c>
      <c r="G570" s="71" t="str">
        <f ca="1">IFERROR(VLOOKUP(F570,fixed_expenses[],2,0),"")</f>
        <v/>
      </c>
      <c r="H570" s="17" t="str">
        <f ca="1">IF(HLOOKUP(H564,Summary!$I$2:$AM$7,6,0)=0,"",HLOOKUP(H564,Summary!$I$2:$AM$7,6,0))</f>
        <v/>
      </c>
      <c r="I570" s="71" t="str">
        <f ca="1">IFERROR(VLOOKUP(H570,fixed_expenses[],2,0),"")</f>
        <v/>
      </c>
      <c r="J570" s="17" t="str">
        <f ca="1">IF(HLOOKUP(J564,Summary!$I$2:$AM$7,6,0)=0,"",HLOOKUP(J564,Summary!$I$2:$AM$7,6,0))</f>
        <v/>
      </c>
      <c r="K570" s="71" t="str">
        <f ca="1">IFERROR(VLOOKUP(J570,fixed_expenses[],2,0),"")</f>
        <v/>
      </c>
      <c r="L570" s="17" t="str">
        <f ca="1">IF(HLOOKUP(L564,Summary!$I$2:$AM$7,6,0)=0,"",HLOOKUP(L564,Summary!$I$2:$AM$7,6,0))</f>
        <v/>
      </c>
      <c r="M570" s="71" t="str">
        <f ca="1">IFERROR(VLOOKUP(L570,fixed_expenses[],2,0),"")</f>
        <v/>
      </c>
      <c r="N570" s="17" t="str">
        <f ca="1">IF(HLOOKUP(N564,Summary!$I$2:$AM$7,6,0)=0,"",HLOOKUP(N564,Summary!$I$2:$AM$7,6,0))</f>
        <v/>
      </c>
      <c r="O570" s="71" t="str">
        <f ca="1">IFERROR(VLOOKUP(N570,fixed_expenses[],2,0),"")</f>
        <v/>
      </c>
      <c r="P570" s="22"/>
    </row>
    <row r="571" spans="1:16" ht="11.25" customHeight="1" x14ac:dyDescent="0.2">
      <c r="A571" s="43" t="s">
        <v>298</v>
      </c>
      <c r="B571" s="26" t="s">
        <v>8</v>
      </c>
      <c r="C571" s="27">
        <f ca="1">SUM(C566:C570)</f>
        <v>0</v>
      </c>
      <c r="D571" s="26"/>
      <c r="E571" s="27">
        <f ca="1">SUM(E566:E570)</f>
        <v>0</v>
      </c>
      <c r="F571" s="26"/>
      <c r="G571" s="27">
        <f ca="1">SUM(G566:G570)</f>
        <v>0</v>
      </c>
      <c r="H571" s="26"/>
      <c r="I571" s="27">
        <f ca="1">SUM(I566:I570)</f>
        <v>0</v>
      </c>
      <c r="J571" s="18"/>
      <c r="K571" s="27">
        <f ca="1">SUM(K566:K570)</f>
        <v>0</v>
      </c>
      <c r="L571" s="18"/>
      <c r="M571" s="27">
        <f ca="1">SUM(M566:M570)</f>
        <v>232</v>
      </c>
      <c r="N571" s="18"/>
      <c r="O571" s="28">
        <f ca="1">SUM(O566:O570)</f>
        <v>0</v>
      </c>
      <c r="P571" s="29">
        <f ca="1">SUMIF(B564:N564,"&gt;="&amp;15,C571:O571)</f>
        <v>232</v>
      </c>
    </row>
    <row r="572" spans="1:16" x14ac:dyDescent="0.2">
      <c r="B572" s="6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6"/>
    </row>
    <row r="573" spans="1:16" ht="15" customHeight="1" x14ac:dyDescent="0.2">
      <c r="A573" s="43" t="s">
        <v>274</v>
      </c>
      <c r="B573" s="12">
        <f ca="1">DAY(IF(DAY(OctSun1)=1,OctSun1+29,OctSun1+36))</f>
        <v>31</v>
      </c>
      <c r="C573" s="11"/>
      <c r="D573" s="12">
        <f ca="1">DAY(IF(DAY(OctSun1)=1,OctSun1+30,OctSun1+37))</f>
        <v>1</v>
      </c>
      <c r="E573" s="13"/>
      <c r="F573" s="10">
        <f ca="1">DAY(IF(DAY(OctSun1)=1,OctSun1+31,OctSun1+38))</f>
        <v>2</v>
      </c>
      <c r="G573" s="13"/>
      <c r="H573" s="12">
        <f ca="1">DAY(IF(DAY(OctSun1)=1,OctSun1+32,OctSun1+39))</f>
        <v>3</v>
      </c>
      <c r="I573" s="13"/>
      <c r="J573" s="12">
        <f ca="1">DAY(IF(DAY(OctSun1)=1,OctSun1+33,OctSun1+40))</f>
        <v>4</v>
      </c>
      <c r="K573" s="13"/>
      <c r="L573" s="12">
        <f ca="1">DAY(IF(DAY(OctSun1)=1,OctSun1+34,OctSun1+41))</f>
        <v>5</v>
      </c>
      <c r="M573" s="13"/>
      <c r="N573" s="12">
        <f ca="1">DAY(IF(DAY(OctSun1)=1,OctSun1+35,OctSun1+42))</f>
        <v>6</v>
      </c>
      <c r="O573" s="13"/>
      <c r="P573" s="25"/>
    </row>
    <row r="574" spans="1:16" ht="11.25" customHeight="1" x14ac:dyDescent="0.2">
      <c r="A574" s="43" t="s">
        <v>130</v>
      </c>
      <c r="B574" s="37" t="s">
        <v>9</v>
      </c>
      <c r="C574" s="39" t="s">
        <v>10</v>
      </c>
      <c r="D574" s="37" t="s">
        <v>9</v>
      </c>
      <c r="E574" s="39" t="s">
        <v>10</v>
      </c>
      <c r="F574" s="37" t="s">
        <v>9</v>
      </c>
      <c r="G574" s="39" t="s">
        <v>10</v>
      </c>
      <c r="H574" s="37" t="s">
        <v>9</v>
      </c>
      <c r="I574" s="39" t="s">
        <v>10</v>
      </c>
      <c r="J574" s="37" t="s">
        <v>9</v>
      </c>
      <c r="K574" s="39" t="s">
        <v>10</v>
      </c>
      <c r="L574" s="37" t="s">
        <v>9</v>
      </c>
      <c r="M574" s="39" t="s">
        <v>10</v>
      </c>
      <c r="N574" s="37" t="s">
        <v>9</v>
      </c>
      <c r="O574" s="40" t="s">
        <v>10</v>
      </c>
      <c r="P574" s="22"/>
    </row>
    <row r="575" spans="1:16" ht="11.25" customHeight="1" x14ac:dyDescent="0.2">
      <c r="A575" s="43" t="s">
        <v>223</v>
      </c>
      <c r="B575" s="17" t="str">
        <f ca="1">IF(HLOOKUP(B573,Summary!$I$2:$AM$7,2,0)=0,"",HLOOKUP(B573,Summary!$I$2:$AM$7,2,0))</f>
        <v/>
      </c>
      <c r="C575" s="71" t="str">
        <f ca="1">IFERROR(VLOOKUP(B575,fixed_expenses[],2,0),"")</f>
        <v/>
      </c>
      <c r="D575" s="17" t="str">
        <f ca="1">IF(HLOOKUP(D573,Summary!$I$2:$AM$7,2,0)=0,"",HLOOKUP(D573,Summary!$I$2:$AM$7,2,0))</f>
        <v/>
      </c>
      <c r="E575" s="71" t="str">
        <f ca="1">IFERROR(VLOOKUP(D575,fixed_expenses[],2,0),"")</f>
        <v/>
      </c>
      <c r="F575" s="17" t="str">
        <f ca="1">IF(HLOOKUP(F573,Summary!$I$2:$AM$7,2,0)=0,"",HLOOKUP(F573,Summary!$I$2:$AM$7,2,0))</f>
        <v/>
      </c>
      <c r="G575" s="71" t="str">
        <f ca="1">IFERROR(VLOOKUP(F575,fixed_expenses[],2,0),"")</f>
        <v/>
      </c>
      <c r="H575" s="17" t="str">
        <f ca="1">IF(HLOOKUP(H573,Summary!$I$2:$AM$7,2,0)=0,"",HLOOKUP(H573,Summary!$I$2:$AM$7,2,0))</f>
        <v>Rent</v>
      </c>
      <c r="I575" s="71">
        <f ca="1">IFERROR(VLOOKUP(H575,fixed_expenses[],2,0),"")</f>
        <v>1200</v>
      </c>
      <c r="J575" s="17" t="str">
        <f ca="1">IF(HLOOKUP(J573,Summary!$I$2:$AM$7,2,0)=0,"",HLOOKUP(J573,Summary!$I$2:$AM$7,2,0))</f>
        <v/>
      </c>
      <c r="K575" s="71" t="str">
        <f ca="1">IFERROR(VLOOKUP(J575,fixed_expenses[],2,0),"")</f>
        <v/>
      </c>
      <c r="L575" s="17" t="str">
        <f ca="1">IF(HLOOKUP(L573,Summary!$I$2:$AM$7,2,0)=0,"",HLOOKUP(L573,Summary!$I$2:$AM$7,2,0))</f>
        <v/>
      </c>
      <c r="M575" s="71" t="str">
        <f ca="1">IFERROR(VLOOKUP(L575,fixed_expenses[],2,0),"")</f>
        <v/>
      </c>
      <c r="N575" s="17" t="str">
        <f ca="1">IF(HLOOKUP(N573,Summary!$I$2:$AM$7,2,0)=0,"",HLOOKUP(N573,Summary!$I$2:$AM$7,2,0))</f>
        <v/>
      </c>
      <c r="O575" s="71" t="str">
        <f ca="1">IFERROR(VLOOKUP(N575,fixed_expenses[],2,0),"")</f>
        <v/>
      </c>
      <c r="P575" s="22"/>
    </row>
    <row r="576" spans="1:16" ht="11.25" customHeight="1" x14ac:dyDescent="0.2">
      <c r="B576" s="17" t="str">
        <f ca="1">IF(HLOOKUP(B573,Summary!$I$2:$AM$7,3,0)=0,"",HLOOKUP(B573,Summary!$I$2:$AM$7,3,0))</f>
        <v/>
      </c>
      <c r="C576" s="71" t="str">
        <f ca="1">IFERROR(VLOOKUP(B576,fixed_expenses[],2,0),"")</f>
        <v/>
      </c>
      <c r="D576" s="17" t="str">
        <f ca="1">IF(HLOOKUP(D573,Summary!$I$2:$AM$7,3,0)=0,"",HLOOKUP(D573,Summary!$I$2:$AM$7,3,0))</f>
        <v/>
      </c>
      <c r="E576" s="71" t="str">
        <f ca="1">IFERROR(VLOOKUP(D576,fixed_expenses[],2,0),"")</f>
        <v/>
      </c>
      <c r="F576" s="17" t="str">
        <f ca="1">IF(HLOOKUP(F573,Summary!$I$2:$AM$7,3,0)=0,"",HLOOKUP(F573,Summary!$I$2:$AM$7,3,0))</f>
        <v/>
      </c>
      <c r="G576" s="71" t="str">
        <f ca="1">IFERROR(VLOOKUP(F576,fixed_expenses[],2,0),"")</f>
        <v/>
      </c>
      <c r="H576" s="17" t="str">
        <f ca="1">IF(HLOOKUP(H573,Summary!$I$2:$AM$7,3,0)=0,"",HLOOKUP(H573,Summary!$I$2:$AM$7,3,0))</f>
        <v/>
      </c>
      <c r="I576" s="71" t="str">
        <f ca="1">IFERROR(VLOOKUP(H576,fixed_expenses[],2,0),"")</f>
        <v/>
      </c>
      <c r="J576" s="17" t="str">
        <f ca="1">IF(HLOOKUP(J573,Summary!$I$2:$AM$7,3,0)=0,"",HLOOKUP(J573,Summary!$I$2:$AM$7,3,0))</f>
        <v/>
      </c>
      <c r="K576" s="71" t="str">
        <f ca="1">IFERROR(VLOOKUP(J576,fixed_expenses[],2,0),"")</f>
        <v/>
      </c>
      <c r="L576" s="17" t="str">
        <f ca="1">IF(HLOOKUP(L573,Summary!$I$2:$AM$7,3,0)=0,"",HLOOKUP(L573,Summary!$I$2:$AM$7,3,0))</f>
        <v/>
      </c>
      <c r="M576" s="71" t="str">
        <f ca="1">IFERROR(VLOOKUP(L576,fixed_expenses[],2,0),"")</f>
        <v/>
      </c>
      <c r="N576" s="17" t="str">
        <f ca="1">IF(HLOOKUP(N573,Summary!$I$2:$AM$7,3,0)=0,"",HLOOKUP(N573,Summary!$I$2:$AM$7,3,0))</f>
        <v/>
      </c>
      <c r="O576" s="71" t="str">
        <f ca="1">IFERROR(VLOOKUP(N576,fixed_expenses[],2,0),"")</f>
        <v/>
      </c>
      <c r="P576" s="22"/>
    </row>
    <row r="577" spans="1:16" ht="11.25" customHeight="1" x14ac:dyDescent="0.2">
      <c r="B577" s="17" t="str">
        <f ca="1">IF(HLOOKUP(B573,Summary!$I$2:$AM$7,4,0)=0,"",HLOOKUP(B573,Summary!$I$2:$AM$7,4,0))</f>
        <v/>
      </c>
      <c r="C577" s="71" t="str">
        <f ca="1">IFERROR(VLOOKUP(B577,fixed_expenses[],2,0),"")</f>
        <v/>
      </c>
      <c r="D577" s="17" t="str">
        <f ca="1">IF(HLOOKUP(D573,Summary!$I$2:$AM$7,4,0)=0,"",HLOOKUP(D573,Summary!$I$2:$AM$7,4,0))</f>
        <v/>
      </c>
      <c r="E577" s="71" t="str">
        <f ca="1">IFERROR(VLOOKUP(D577,fixed_expenses[],2,0),"")</f>
        <v/>
      </c>
      <c r="F577" s="17" t="str">
        <f ca="1">IF(HLOOKUP(F573,Summary!$I$2:$AM$7,4,0)=0,"",HLOOKUP(F573,Summary!$I$2:$AM$7,4,0))</f>
        <v/>
      </c>
      <c r="G577" s="71" t="str">
        <f ca="1">IFERROR(VLOOKUP(F577,fixed_expenses[],2,0),"")</f>
        <v/>
      </c>
      <c r="H577" s="17" t="str">
        <f ca="1">IF(HLOOKUP(H573,Summary!$I$2:$AM$7,4,0)=0,"",HLOOKUP(H573,Summary!$I$2:$AM$7,4,0))</f>
        <v/>
      </c>
      <c r="I577" s="71" t="str">
        <f ca="1">IFERROR(VLOOKUP(H577,fixed_expenses[],2,0),"")</f>
        <v/>
      </c>
      <c r="J577" s="17" t="str">
        <f ca="1">IF(HLOOKUP(J573,Summary!$I$2:$AM$7,4,0)=0,"",HLOOKUP(J573,Summary!$I$2:$AM$7,4,0))</f>
        <v/>
      </c>
      <c r="K577" s="71" t="str">
        <f ca="1">IFERROR(VLOOKUP(J577,fixed_expenses[],2,0),"")</f>
        <v/>
      </c>
      <c r="L577" s="17" t="str">
        <f ca="1">IF(HLOOKUP(L573,Summary!$I$2:$AM$7,4,0)=0,"",HLOOKUP(L573,Summary!$I$2:$AM$7,4,0))</f>
        <v/>
      </c>
      <c r="M577" s="71" t="str">
        <f ca="1">IFERROR(VLOOKUP(L577,fixed_expenses[],2,0),"")</f>
        <v/>
      </c>
      <c r="N577" s="17" t="str">
        <f ca="1">IF(HLOOKUP(N573,Summary!$I$2:$AM$7,4,0)=0,"",HLOOKUP(N573,Summary!$I$2:$AM$7,4,0))</f>
        <v/>
      </c>
      <c r="O577" s="71" t="str">
        <f ca="1">IFERROR(VLOOKUP(N577,fixed_expenses[],2,0),"")</f>
        <v/>
      </c>
      <c r="P577" s="22"/>
    </row>
    <row r="578" spans="1:16" ht="11.25" customHeight="1" x14ac:dyDescent="0.2">
      <c r="B578" s="17" t="str">
        <f ca="1">IF(HLOOKUP(B573,Summary!$I$2:$AM$7,5,0)=0,"",HLOOKUP(B573,Summary!$I$2:$AM$7,5,0))</f>
        <v/>
      </c>
      <c r="C578" s="71" t="str">
        <f ca="1">IFERROR(VLOOKUP(B578,fixed_expenses[],2,0),"")</f>
        <v/>
      </c>
      <c r="D578" s="17" t="str">
        <f ca="1">IF(HLOOKUP(D573,Summary!$I$2:$AM$7,5,0)=0,"",HLOOKUP(D573,Summary!$I$2:$AM$7,5,0))</f>
        <v/>
      </c>
      <c r="E578" s="71" t="str">
        <f ca="1">IFERROR(VLOOKUP(D578,fixed_expenses[],2,0),"")</f>
        <v/>
      </c>
      <c r="F578" s="17" t="str">
        <f ca="1">IF(HLOOKUP(F573,Summary!$I$2:$AM$7,5,0)=0,"",HLOOKUP(F573,Summary!$I$2:$AM$7,5,0))</f>
        <v/>
      </c>
      <c r="G578" s="71" t="str">
        <f ca="1">IFERROR(VLOOKUP(F578,fixed_expenses[],2,0),"")</f>
        <v/>
      </c>
      <c r="H578" s="17" t="str">
        <f ca="1">IF(HLOOKUP(H573,Summary!$I$2:$AM$7,5,0)=0,"",HLOOKUP(H573,Summary!$I$2:$AM$7,5,0))</f>
        <v/>
      </c>
      <c r="I578" s="71" t="str">
        <f ca="1">IFERROR(VLOOKUP(H578,fixed_expenses[],2,0),"")</f>
        <v/>
      </c>
      <c r="J578" s="17" t="str">
        <f ca="1">IF(HLOOKUP(J573,Summary!$I$2:$AM$7,5,0)=0,"",HLOOKUP(J573,Summary!$I$2:$AM$7,5,0))</f>
        <v/>
      </c>
      <c r="K578" s="71" t="str">
        <f ca="1">IFERROR(VLOOKUP(J578,fixed_expenses[],2,0),"")</f>
        <v/>
      </c>
      <c r="L578" s="17" t="str">
        <f ca="1">IF(HLOOKUP(L573,Summary!$I$2:$AM$7,5,0)=0,"",HLOOKUP(L573,Summary!$I$2:$AM$7,5,0))</f>
        <v/>
      </c>
      <c r="M578" s="71" t="str">
        <f ca="1">IFERROR(VLOOKUP(L578,fixed_expenses[],2,0),"")</f>
        <v/>
      </c>
      <c r="N578" s="17" t="str">
        <f ca="1">IF(HLOOKUP(N573,Summary!$I$2:$AM$7,5,0)=0,"",HLOOKUP(N573,Summary!$I$2:$AM$7,5,0))</f>
        <v/>
      </c>
      <c r="O578" s="71" t="str">
        <f ca="1">IFERROR(VLOOKUP(N578,fixed_expenses[],2,0),"")</f>
        <v/>
      </c>
      <c r="P578" s="22"/>
    </row>
    <row r="579" spans="1:16" ht="11.25" customHeight="1" x14ac:dyDescent="0.2">
      <c r="B579" s="17" t="str">
        <f ca="1">IF(HLOOKUP(B573,Summary!$I$2:$AM$7,6,0)=0,"",HLOOKUP(B573,Summary!$I$2:$AM$7,6,0))</f>
        <v/>
      </c>
      <c r="C579" s="71" t="str">
        <f ca="1">IFERROR(VLOOKUP(B579,fixed_expenses[],2,0),"")</f>
        <v/>
      </c>
      <c r="D579" s="17" t="str">
        <f ca="1">IF(HLOOKUP(D573,Summary!$I$2:$AM$7,6,0)=0,"",HLOOKUP(D573,Summary!$I$2:$AM$7,6,0))</f>
        <v/>
      </c>
      <c r="E579" s="71" t="str">
        <f ca="1">IFERROR(VLOOKUP(D579,fixed_expenses[],2,0),"")</f>
        <v/>
      </c>
      <c r="F579" s="17" t="str">
        <f ca="1">IF(HLOOKUP(F573,Summary!$I$2:$AM$7,6,0)=0,"",HLOOKUP(F573,Summary!$I$2:$AM$7,6,0))</f>
        <v/>
      </c>
      <c r="G579" s="71" t="str">
        <f ca="1">IFERROR(VLOOKUP(F579,fixed_expenses[],2,0),"")</f>
        <v/>
      </c>
      <c r="H579" s="17" t="str">
        <f ca="1">IF(HLOOKUP(H573,Summary!$I$2:$AM$7,6,0)=0,"",HLOOKUP(H573,Summary!$I$2:$AM$7,6,0))</f>
        <v/>
      </c>
      <c r="I579" s="71" t="str">
        <f ca="1">IFERROR(VLOOKUP(H579,fixed_expenses[],2,0),"")</f>
        <v/>
      </c>
      <c r="J579" s="17" t="str">
        <f ca="1">IF(HLOOKUP(J573,Summary!$I$2:$AM$7,6,0)=0,"",HLOOKUP(J573,Summary!$I$2:$AM$7,6,0))</f>
        <v/>
      </c>
      <c r="K579" s="71" t="str">
        <f ca="1">IFERROR(VLOOKUP(J579,fixed_expenses[],2,0),"")</f>
        <v/>
      </c>
      <c r="L579" s="17" t="str">
        <f ca="1">IF(HLOOKUP(L573,Summary!$I$2:$AM$7,6,0)=0,"",HLOOKUP(L573,Summary!$I$2:$AM$7,6,0))</f>
        <v/>
      </c>
      <c r="M579" s="71" t="str">
        <f ca="1">IFERROR(VLOOKUP(L579,fixed_expenses[],2,0),"")</f>
        <v/>
      </c>
      <c r="N579" s="17" t="str">
        <f ca="1">IF(HLOOKUP(N573,Summary!$I$2:$AM$7,6,0)=0,"",HLOOKUP(N573,Summary!$I$2:$AM$7,6,0))</f>
        <v/>
      </c>
      <c r="O579" s="71" t="str">
        <f ca="1">IFERROR(VLOOKUP(N579,fixed_expenses[],2,0),"")</f>
        <v/>
      </c>
      <c r="P579" s="22"/>
    </row>
    <row r="580" spans="1:16" ht="11.25" customHeight="1" x14ac:dyDescent="0.2">
      <c r="A580" s="43" t="s">
        <v>297</v>
      </c>
      <c r="B580" s="26" t="s">
        <v>8</v>
      </c>
      <c r="C580" s="27">
        <f ca="1">SUM(C575:C579)</f>
        <v>0</v>
      </c>
      <c r="D580" s="18"/>
      <c r="E580" s="27">
        <f ca="1">SUM(E575:E579)</f>
        <v>0</v>
      </c>
      <c r="F580" s="18"/>
      <c r="G580" s="27">
        <f ca="1">SUM(G575:G579)</f>
        <v>0</v>
      </c>
      <c r="H580" s="18"/>
      <c r="I580" s="27">
        <f ca="1">SUM(I575:I579)</f>
        <v>1200</v>
      </c>
      <c r="J580" s="18"/>
      <c r="K580" s="27">
        <f ca="1">SUM(K575:K579)</f>
        <v>0</v>
      </c>
      <c r="L580" s="18"/>
      <c r="M580" s="27">
        <f ca="1">SUM(M575:M579)</f>
        <v>0</v>
      </c>
      <c r="N580" s="18"/>
      <c r="O580" s="28">
        <f ca="1">SUM(O575:O579)</f>
        <v>0</v>
      </c>
      <c r="P580" s="29">
        <f ca="1">SUMIF(B573:N573,"&gt;="&amp;15,C580:O580)</f>
        <v>0</v>
      </c>
    </row>
    <row r="581" spans="1:16" ht="17.25" customHeight="1" x14ac:dyDescent="0.2"/>
    <row r="582" spans="1:16" ht="12" customHeight="1" x14ac:dyDescent="0.2">
      <c r="A582" s="43" t="s">
        <v>81</v>
      </c>
      <c r="B582" s="59" t="s">
        <v>23</v>
      </c>
      <c r="C582" s="59"/>
      <c r="D582" s="59"/>
      <c r="E582" s="59"/>
      <c r="F582"/>
      <c r="G582" s="4"/>
      <c r="H582"/>
      <c r="I582" s="4"/>
      <c r="J582"/>
      <c r="K582" s="4"/>
      <c r="L582" s="45" t="s">
        <v>12</v>
      </c>
      <c r="M582" s="45"/>
      <c r="N582" s="45" t="s">
        <v>13</v>
      </c>
      <c r="O582" s="45"/>
      <c r="P582"/>
    </row>
    <row r="583" spans="1:16" ht="25.5" customHeight="1" x14ac:dyDescent="0.2">
      <c r="A583" s="43" t="s">
        <v>98</v>
      </c>
      <c r="B583" s="59"/>
      <c r="C583" s="59"/>
      <c r="D583" s="59"/>
      <c r="E583" s="59"/>
      <c r="F583" s="3">
        <f ca="1">IFERROR(WEEKDAY(DATEVALUE(B582&amp;" 1, "&amp;Year1)),"")</f>
        <v>2</v>
      </c>
      <c r="G583" s="4"/>
      <c r="H583"/>
      <c r="I583" s="7"/>
      <c r="J583" s="8"/>
      <c r="K583" s="4"/>
      <c r="L583" s="46">
        <f ca="1">SUM(P593,P602,P611,P620,P629,P638)</f>
        <v>1774</v>
      </c>
      <c r="M583" s="47"/>
      <c r="N583" s="46">
        <f ca="1">SUM(P:P)</f>
        <v>21288</v>
      </c>
      <c r="O583" s="48"/>
      <c r="P583"/>
    </row>
    <row r="584" spans="1:16" ht="9" customHeight="1" x14ac:dyDescent="0.2">
      <c r="A584" s="43" t="s">
        <v>360</v>
      </c>
      <c r="B584" s="50">
        <v>1</v>
      </c>
      <c r="C584" s="50"/>
      <c r="D584" s="50">
        <v>2</v>
      </c>
      <c r="E584" s="50"/>
      <c r="F584" s="50">
        <v>3</v>
      </c>
      <c r="G584" s="50"/>
      <c r="H584" s="50">
        <v>4</v>
      </c>
      <c r="I584" s="50"/>
      <c r="J584" s="50">
        <v>5</v>
      </c>
      <c r="K584" s="50"/>
      <c r="L584" s="50">
        <v>6</v>
      </c>
      <c r="M584" s="50"/>
      <c r="N584" s="50">
        <v>7</v>
      </c>
      <c r="O584" s="50"/>
      <c r="P584" s="2"/>
    </row>
    <row r="585" spans="1:16" ht="15" customHeight="1" x14ac:dyDescent="0.2">
      <c r="A585" s="43" t="s">
        <v>101</v>
      </c>
      <c r="B585" s="60" t="s">
        <v>0</v>
      </c>
      <c r="C585" s="61"/>
      <c r="D585" s="62" t="s">
        <v>1</v>
      </c>
      <c r="E585" s="63" t="e">
        <f ca="1">IF(WEEKDAY(DATEVALUE(Month1&amp;" 1, "&amp;Year1))=COLUMN(#REF!),1,IF(LEN(C585)&gt;0,C585+1,""))</f>
        <v>#VALUE!</v>
      </c>
      <c r="F585" s="61" t="s">
        <v>2</v>
      </c>
      <c r="G585" s="61" t="e">
        <f ca="1">IF(WEEKDAY(DATEVALUE(Month1&amp;" 1, "&amp;Year1))=COLUMN(#REF!),1,IF(LEN(E585)&gt;0,E585+1,""))</f>
        <v>#VALUE!</v>
      </c>
      <c r="H585" s="62" t="s">
        <v>3</v>
      </c>
      <c r="I585" s="63" t="e">
        <f ca="1">IF(WEEKDAY(DATEVALUE(Month1&amp;" 1, "&amp;Year1))=COLUMN(#REF!),1,IF(LEN(G585)&gt;0,G585+1,""))</f>
        <v>#VALUE!</v>
      </c>
      <c r="J585" s="64" t="s">
        <v>4</v>
      </c>
      <c r="K585" s="65" t="e">
        <f ca="1">IF(WEEKDAY(DATEVALUE(Month1&amp;" 1, "&amp;Year1))=COLUMN(#REF!),1,IF(LEN(I585)&gt;0,I585+1,""))</f>
        <v>#VALUE!</v>
      </c>
      <c r="L585" s="66" t="s">
        <v>5</v>
      </c>
      <c r="M585" s="67" t="e">
        <f ca="1">IF(WEEKDAY(DATEVALUE(Month1&amp;" 1, "&amp;Year1))=COLUMN(#REF!),1,IF(LEN(K585)&gt;0,K585+1,""))</f>
        <v>#VALUE!</v>
      </c>
      <c r="N585" s="66" t="s">
        <v>6</v>
      </c>
      <c r="O585" s="67" t="e">
        <f ca="1">IF(WEEKDAY(DATEVALUE(Month1&amp;" 1, "&amp;Year1))=COLUMN(#REF!),1,IF(LEN(M585)&gt;0,M585+1,""))</f>
        <v>#VALUE!</v>
      </c>
      <c r="P585" s="42" t="s">
        <v>7</v>
      </c>
    </row>
    <row r="586" spans="1:16" ht="15" customHeight="1" x14ac:dyDescent="0.2">
      <c r="A586" s="43" t="s">
        <v>116</v>
      </c>
      <c r="B586" s="14">
        <f ca="1">DAY(IF(DAY(NovSun1)=1,NovSun1-6,NovSun1+1))</f>
        <v>31</v>
      </c>
      <c r="C586" s="16"/>
      <c r="D586" s="19">
        <f ca="1">DAY(IF(DAY(NovSun1)=1,NovSun1-5,NovSun1+2))</f>
        <v>1</v>
      </c>
      <c r="E586" s="16"/>
      <c r="F586" s="19">
        <f ca="1">DAY(IF(DAY(NovSun1)=1,NovSun1-4,NovSun1+3))</f>
        <v>2</v>
      </c>
      <c r="G586" s="16"/>
      <c r="H586" s="19">
        <f ca="1">DAY(IF(DAY(NovSun1)=1,NovSun1-3,NovSun1+4))</f>
        <v>3</v>
      </c>
      <c r="I586" s="16"/>
      <c r="J586" s="19">
        <f ca="1">DAY(IF(DAY(NovSun1)=1,NovSun1-2,NovSun1+5))</f>
        <v>4</v>
      </c>
      <c r="K586" s="16"/>
      <c r="L586" s="19">
        <f ca="1">DAY(IF(DAY(NovSun1)=1,NovSun1-1,NovSun1+6))</f>
        <v>5</v>
      </c>
      <c r="M586" s="16"/>
      <c r="N586" s="20">
        <f ca="1">DAY(IF(DAY(NovSun1)=1,NovSun1,NovSun1+7))</f>
        <v>6</v>
      </c>
      <c r="O586" s="15"/>
      <c r="P586" s="21"/>
    </row>
    <row r="587" spans="1:16" ht="11.25" customHeight="1" x14ac:dyDescent="0.2">
      <c r="A587" s="43" t="s">
        <v>129</v>
      </c>
      <c r="B587" s="41" t="s">
        <v>9</v>
      </c>
      <c r="C587" s="36" t="s">
        <v>10</v>
      </c>
      <c r="D587" s="35" t="s">
        <v>9</v>
      </c>
      <c r="E587" s="36" t="s">
        <v>10</v>
      </c>
      <c r="F587" s="35" t="s">
        <v>9</v>
      </c>
      <c r="G587" s="36" t="s">
        <v>10</v>
      </c>
      <c r="H587" s="35" t="s">
        <v>9</v>
      </c>
      <c r="I587" s="36" t="s">
        <v>10</v>
      </c>
      <c r="J587" s="35" t="s">
        <v>9</v>
      </c>
      <c r="K587" s="36" t="s">
        <v>10</v>
      </c>
      <c r="L587" s="35" t="s">
        <v>9</v>
      </c>
      <c r="M587" s="36" t="s">
        <v>10</v>
      </c>
      <c r="N587" s="37" t="s">
        <v>9</v>
      </c>
      <c r="O587" s="38" t="s">
        <v>10</v>
      </c>
      <c r="P587" s="22"/>
    </row>
    <row r="588" spans="1:16" ht="11.25" customHeight="1" x14ac:dyDescent="0.2">
      <c r="A588" s="43" t="s">
        <v>224</v>
      </c>
      <c r="B588" s="17" t="str">
        <f ca="1">IF(HLOOKUP(B586,Summary!$I$2:$AM$7,2,0)=0,"",HLOOKUP(B586,Summary!$I$2:$AM$7,2,0))</f>
        <v/>
      </c>
      <c r="C588" s="71" t="str">
        <f ca="1">IFERROR(VLOOKUP(B588,fixed_expenses[],2,0),"")</f>
        <v/>
      </c>
      <c r="D588" s="17" t="str">
        <f ca="1">IF(HLOOKUP(D586,Summary!$I$2:$AM$7,2,0)=0,"",HLOOKUP(D586,Summary!$I$2:$AM$7,2,0))</f>
        <v/>
      </c>
      <c r="E588" s="71" t="str">
        <f ca="1">IFERROR(VLOOKUP(D588,fixed_expenses[],2,0),"")</f>
        <v/>
      </c>
      <c r="F588" s="17" t="str">
        <f ca="1">IF(HLOOKUP(F586,Summary!$I$2:$AM$7,2,0)=0,"",HLOOKUP(F586,Summary!$I$2:$AM$7,2,0))</f>
        <v/>
      </c>
      <c r="G588" s="71" t="str">
        <f ca="1">IFERROR(VLOOKUP(F588,fixed_expenses[],2,0),"")</f>
        <v/>
      </c>
      <c r="H588" s="17" t="str">
        <f ca="1">IF(HLOOKUP(H586,Summary!$I$2:$AM$7,2,0)=0,"",HLOOKUP(H586,Summary!$I$2:$AM$7,2,0))</f>
        <v>Rent</v>
      </c>
      <c r="I588" s="71">
        <f ca="1">IFERROR(VLOOKUP(H588,fixed_expenses[],2,0),"")</f>
        <v>1200</v>
      </c>
      <c r="J588" s="17" t="str">
        <f ca="1">IF(HLOOKUP(J586,Summary!$I$2:$AM$7,2,0)=0,"",HLOOKUP(J586,Summary!$I$2:$AM$7,2,0))</f>
        <v/>
      </c>
      <c r="K588" s="71" t="str">
        <f ca="1">IFERROR(VLOOKUP(J588,fixed_expenses[],2,0),"")</f>
        <v/>
      </c>
      <c r="L588" s="17" t="str">
        <f ca="1">IF(HLOOKUP(L586,Summary!$I$2:$AM$7,2,0)=0,"",HLOOKUP(L586,Summary!$I$2:$AM$7,2,0))</f>
        <v/>
      </c>
      <c r="M588" s="71" t="str">
        <f ca="1">IFERROR(VLOOKUP(L588,fixed_expenses[],2,0),"")</f>
        <v/>
      </c>
      <c r="N588" s="17" t="str">
        <f ca="1">IF(HLOOKUP(N586,Summary!$I$2:$AM$7,2,0)=0,"",HLOOKUP(N586,Summary!$I$2:$AM$7,2,0))</f>
        <v/>
      </c>
      <c r="O588" s="71" t="str">
        <f ca="1">IFERROR(VLOOKUP(N588,fixed_expenses[],2,0),"")</f>
        <v/>
      </c>
      <c r="P588" s="22"/>
    </row>
    <row r="589" spans="1:16" ht="11.25" customHeight="1" x14ac:dyDescent="0.2">
      <c r="B589" s="17" t="str">
        <f ca="1">IF(HLOOKUP(B586,Summary!$I$2:$AM$7,3,0)=0,"",HLOOKUP(B586,Summary!$I$2:$AM$7,3,0))</f>
        <v/>
      </c>
      <c r="C589" s="71" t="str">
        <f ca="1">IFERROR(VLOOKUP(B589,fixed_expenses[],2,0),"")</f>
        <v/>
      </c>
      <c r="D589" s="17" t="str">
        <f ca="1">IF(HLOOKUP(D586,Summary!$I$2:$AM$7,3,0)=0,"",HLOOKUP(D586,Summary!$I$2:$AM$7,3,0))</f>
        <v/>
      </c>
      <c r="E589" s="71" t="str">
        <f ca="1">IFERROR(VLOOKUP(D589,fixed_expenses[],2,0),"")</f>
        <v/>
      </c>
      <c r="F589" s="17" t="str">
        <f ca="1">IF(HLOOKUP(F586,Summary!$I$2:$AM$7,3,0)=0,"",HLOOKUP(F586,Summary!$I$2:$AM$7,3,0))</f>
        <v/>
      </c>
      <c r="G589" s="71" t="str">
        <f ca="1">IFERROR(VLOOKUP(F589,fixed_expenses[],2,0),"")</f>
        <v/>
      </c>
      <c r="H589" s="17" t="str">
        <f ca="1">IF(HLOOKUP(H586,Summary!$I$2:$AM$7,3,0)=0,"",HLOOKUP(H586,Summary!$I$2:$AM$7,3,0))</f>
        <v/>
      </c>
      <c r="I589" s="71" t="str">
        <f ca="1">IFERROR(VLOOKUP(H589,fixed_expenses[],2,0),"")</f>
        <v/>
      </c>
      <c r="J589" s="17" t="str">
        <f ca="1">IF(HLOOKUP(J586,Summary!$I$2:$AM$7,3,0)=0,"",HLOOKUP(J586,Summary!$I$2:$AM$7,3,0))</f>
        <v/>
      </c>
      <c r="K589" s="71" t="str">
        <f ca="1">IFERROR(VLOOKUP(J589,fixed_expenses[],2,0),"")</f>
        <v/>
      </c>
      <c r="L589" s="17" t="str">
        <f ca="1">IF(HLOOKUP(L586,Summary!$I$2:$AM$7,3,0)=0,"",HLOOKUP(L586,Summary!$I$2:$AM$7,3,0))</f>
        <v/>
      </c>
      <c r="M589" s="71" t="str">
        <f ca="1">IFERROR(VLOOKUP(L589,fixed_expenses[],2,0),"")</f>
        <v/>
      </c>
      <c r="N589" s="17" t="str">
        <f ca="1">IF(HLOOKUP(N586,Summary!$I$2:$AM$7,3,0)=0,"",HLOOKUP(N586,Summary!$I$2:$AM$7,3,0))</f>
        <v/>
      </c>
      <c r="O589" s="71" t="str">
        <f ca="1">IFERROR(VLOOKUP(N589,fixed_expenses[],2,0),"")</f>
        <v/>
      </c>
      <c r="P589" s="22"/>
    </row>
    <row r="590" spans="1:16" ht="11.25" customHeight="1" x14ac:dyDescent="0.2">
      <c r="B590" s="17" t="str">
        <f ca="1">IF(HLOOKUP(B586,Summary!$I$2:$AM$7,4,0)=0,"",HLOOKUP(B586,Summary!$I$2:$AM$7,4,0))</f>
        <v/>
      </c>
      <c r="C590" s="71" t="str">
        <f ca="1">IFERROR(VLOOKUP(B590,fixed_expenses[],2,0),"")</f>
        <v/>
      </c>
      <c r="D590" s="17" t="str">
        <f ca="1">IF(HLOOKUP(D586,Summary!$I$2:$AM$7,4,0)=0,"",HLOOKUP(D586,Summary!$I$2:$AM$7,4,0))</f>
        <v/>
      </c>
      <c r="E590" s="71" t="str">
        <f ca="1">IFERROR(VLOOKUP(D590,fixed_expenses[],2,0),"")</f>
        <v/>
      </c>
      <c r="F590" s="17" t="str">
        <f ca="1">IF(HLOOKUP(F586,Summary!$I$2:$AM$7,4,0)=0,"",HLOOKUP(F586,Summary!$I$2:$AM$7,4,0))</f>
        <v/>
      </c>
      <c r="G590" s="71" t="str">
        <f ca="1">IFERROR(VLOOKUP(F590,fixed_expenses[],2,0),"")</f>
        <v/>
      </c>
      <c r="H590" s="17" t="str">
        <f ca="1">IF(HLOOKUP(H586,Summary!$I$2:$AM$7,4,0)=0,"",HLOOKUP(H586,Summary!$I$2:$AM$7,4,0))</f>
        <v/>
      </c>
      <c r="I590" s="71" t="str">
        <f ca="1">IFERROR(VLOOKUP(H590,fixed_expenses[],2,0),"")</f>
        <v/>
      </c>
      <c r="J590" s="17" t="str">
        <f ca="1">IF(HLOOKUP(J586,Summary!$I$2:$AM$7,4,0)=0,"",HLOOKUP(J586,Summary!$I$2:$AM$7,4,0))</f>
        <v/>
      </c>
      <c r="K590" s="71" t="str">
        <f ca="1">IFERROR(VLOOKUP(J590,fixed_expenses[],2,0),"")</f>
        <v/>
      </c>
      <c r="L590" s="17" t="str">
        <f ca="1">IF(HLOOKUP(L586,Summary!$I$2:$AM$7,4,0)=0,"",HLOOKUP(L586,Summary!$I$2:$AM$7,4,0))</f>
        <v/>
      </c>
      <c r="M590" s="71" t="str">
        <f ca="1">IFERROR(VLOOKUP(L590,fixed_expenses[],2,0),"")</f>
        <v/>
      </c>
      <c r="N590" s="17" t="str">
        <f ca="1">IF(HLOOKUP(N586,Summary!$I$2:$AM$7,4,0)=0,"",HLOOKUP(N586,Summary!$I$2:$AM$7,4,0))</f>
        <v/>
      </c>
      <c r="O590" s="71" t="str">
        <f ca="1">IFERROR(VLOOKUP(N590,fixed_expenses[],2,0),"")</f>
        <v/>
      </c>
      <c r="P590" s="22"/>
    </row>
    <row r="591" spans="1:16" ht="11.25" customHeight="1" x14ac:dyDescent="0.2">
      <c r="B591" s="17" t="str">
        <f ca="1">IF(HLOOKUP(B586,Summary!$I$2:$AM$7,5,0)=0,"",HLOOKUP(B586,Summary!$I$2:$AM$7,5,0))</f>
        <v/>
      </c>
      <c r="C591" s="71" t="str">
        <f ca="1">IFERROR(VLOOKUP(B591,fixed_expenses[],2,0),"")</f>
        <v/>
      </c>
      <c r="D591" s="17" t="str">
        <f ca="1">IF(HLOOKUP(D586,Summary!$I$2:$AM$7,5,0)=0,"",HLOOKUP(D586,Summary!$I$2:$AM$7,5,0))</f>
        <v/>
      </c>
      <c r="E591" s="71" t="str">
        <f ca="1">IFERROR(VLOOKUP(D591,fixed_expenses[],2,0),"")</f>
        <v/>
      </c>
      <c r="F591" s="17" t="str">
        <f ca="1">IF(HLOOKUP(F586,Summary!$I$2:$AM$7,5,0)=0,"",HLOOKUP(F586,Summary!$I$2:$AM$7,5,0))</f>
        <v/>
      </c>
      <c r="G591" s="71" t="str">
        <f ca="1">IFERROR(VLOOKUP(F591,fixed_expenses[],2,0),"")</f>
        <v/>
      </c>
      <c r="H591" s="17" t="str">
        <f ca="1">IF(HLOOKUP(H586,Summary!$I$2:$AM$7,5,0)=0,"",HLOOKUP(H586,Summary!$I$2:$AM$7,5,0))</f>
        <v/>
      </c>
      <c r="I591" s="71" t="str">
        <f ca="1">IFERROR(VLOOKUP(H591,fixed_expenses[],2,0),"")</f>
        <v/>
      </c>
      <c r="J591" s="17" t="str">
        <f ca="1">IF(HLOOKUP(J586,Summary!$I$2:$AM$7,5,0)=0,"",HLOOKUP(J586,Summary!$I$2:$AM$7,5,0))</f>
        <v/>
      </c>
      <c r="K591" s="71" t="str">
        <f ca="1">IFERROR(VLOOKUP(J591,fixed_expenses[],2,0),"")</f>
        <v/>
      </c>
      <c r="L591" s="17" t="str">
        <f ca="1">IF(HLOOKUP(L586,Summary!$I$2:$AM$7,5,0)=0,"",HLOOKUP(L586,Summary!$I$2:$AM$7,5,0))</f>
        <v/>
      </c>
      <c r="M591" s="71" t="str">
        <f ca="1">IFERROR(VLOOKUP(L591,fixed_expenses[],2,0),"")</f>
        <v/>
      </c>
      <c r="N591" s="17" t="str">
        <f ca="1">IF(HLOOKUP(N586,Summary!$I$2:$AM$7,5,0)=0,"",HLOOKUP(N586,Summary!$I$2:$AM$7,5,0))</f>
        <v/>
      </c>
      <c r="O591" s="71" t="str">
        <f ca="1">IFERROR(VLOOKUP(N591,fixed_expenses[],2,0),"")</f>
        <v/>
      </c>
      <c r="P591" s="22"/>
    </row>
    <row r="592" spans="1:16" ht="11.25" customHeight="1" x14ac:dyDescent="0.2">
      <c r="B592" s="17" t="str">
        <f ca="1">IF(HLOOKUP(B586,Summary!$I$2:$AM$7,6,0)=0,"",HLOOKUP(B586,Summary!$I$2:$AM$7,6,0))</f>
        <v/>
      </c>
      <c r="C592" s="71" t="str">
        <f ca="1">IFERROR(VLOOKUP(B592,fixed_expenses[],2,0),"")</f>
        <v/>
      </c>
      <c r="D592" s="17" t="str">
        <f ca="1">IF(HLOOKUP(D586,Summary!$I$2:$AM$7,6,0)=0,"",HLOOKUP(D586,Summary!$I$2:$AM$7,6,0))</f>
        <v/>
      </c>
      <c r="E592" s="71" t="str">
        <f ca="1">IFERROR(VLOOKUP(D592,fixed_expenses[],2,0),"")</f>
        <v/>
      </c>
      <c r="F592" s="17" t="str">
        <f ca="1">IF(HLOOKUP(F586,Summary!$I$2:$AM$7,6,0)=0,"",HLOOKUP(F586,Summary!$I$2:$AM$7,6,0))</f>
        <v/>
      </c>
      <c r="G592" s="71" t="str">
        <f ca="1">IFERROR(VLOOKUP(F592,fixed_expenses[],2,0),"")</f>
        <v/>
      </c>
      <c r="H592" s="17" t="str">
        <f ca="1">IF(HLOOKUP(H586,Summary!$I$2:$AM$7,6,0)=0,"",HLOOKUP(H586,Summary!$I$2:$AM$7,6,0))</f>
        <v/>
      </c>
      <c r="I592" s="71" t="str">
        <f ca="1">IFERROR(VLOOKUP(H592,fixed_expenses[],2,0),"")</f>
        <v/>
      </c>
      <c r="J592" s="17" t="str">
        <f ca="1">IF(HLOOKUP(J586,Summary!$I$2:$AM$7,6,0)=0,"",HLOOKUP(J586,Summary!$I$2:$AM$7,6,0))</f>
        <v/>
      </c>
      <c r="K592" s="71" t="str">
        <f ca="1">IFERROR(VLOOKUP(J592,fixed_expenses[],2,0),"")</f>
        <v/>
      </c>
      <c r="L592" s="17" t="str">
        <f ca="1">IF(HLOOKUP(L586,Summary!$I$2:$AM$7,6,0)=0,"",HLOOKUP(L586,Summary!$I$2:$AM$7,6,0))</f>
        <v/>
      </c>
      <c r="M592" s="71" t="str">
        <f ca="1">IFERROR(VLOOKUP(L592,fixed_expenses[],2,0),"")</f>
        <v/>
      </c>
      <c r="N592" s="17" t="str">
        <f ca="1">IF(HLOOKUP(N586,Summary!$I$2:$AM$7,6,0)=0,"",HLOOKUP(N586,Summary!$I$2:$AM$7,6,0))</f>
        <v/>
      </c>
      <c r="O592" s="71" t="str">
        <f ca="1">IFERROR(VLOOKUP(N592,fixed_expenses[],2,0),"")</f>
        <v/>
      </c>
      <c r="P592" s="22"/>
    </row>
    <row r="593" spans="1:16" ht="11.25" customHeight="1" x14ac:dyDescent="0.2">
      <c r="A593" s="43" t="s">
        <v>296</v>
      </c>
      <c r="B593" s="26" t="s">
        <v>8</v>
      </c>
      <c r="C593" s="27">
        <f ca="1">SUM(C588:C592)</f>
        <v>0</v>
      </c>
      <c r="D593" s="18"/>
      <c r="E593" s="27">
        <f ca="1">SUM(E588:E592)</f>
        <v>0</v>
      </c>
      <c r="F593" s="18"/>
      <c r="G593" s="27">
        <f ca="1">SUM(G588:G592)</f>
        <v>0</v>
      </c>
      <c r="H593" s="18"/>
      <c r="I593" s="27">
        <f ca="1">SUM(I588:I592)</f>
        <v>1200</v>
      </c>
      <c r="J593" s="26"/>
      <c r="K593" s="27">
        <f ca="1">SUM(K588:K592)</f>
        <v>0</v>
      </c>
      <c r="L593" s="26"/>
      <c r="M593" s="27">
        <f ca="1">SUM(M588:M592)</f>
        <v>0</v>
      </c>
      <c r="N593" s="26"/>
      <c r="O593" s="28">
        <f ca="1">SUM(O588:O592)</f>
        <v>0</v>
      </c>
      <c r="P593" s="29">
        <f ca="1">SUMIF(B586:N586,"&lt;8",C593:O593)</f>
        <v>1200</v>
      </c>
    </row>
    <row r="594" spans="1:16" x14ac:dyDescent="0.2">
      <c r="B594" s="6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6"/>
    </row>
    <row r="595" spans="1:16" ht="15" customHeight="1" x14ac:dyDescent="0.2">
      <c r="A595" s="43" t="s">
        <v>275</v>
      </c>
      <c r="B595" s="12">
        <f ca="1">N586+1</f>
        <v>7</v>
      </c>
      <c r="C595" s="13"/>
      <c r="D595" s="12">
        <f ca="1">B595+1</f>
        <v>8</v>
      </c>
      <c r="E595" s="13"/>
      <c r="F595" s="12">
        <f ca="1">D595+1</f>
        <v>9</v>
      </c>
      <c r="G595" s="13"/>
      <c r="H595" s="12">
        <f ca="1">F595+1</f>
        <v>10</v>
      </c>
      <c r="I595" s="13"/>
      <c r="J595" s="12">
        <f ca="1">H595+1</f>
        <v>11</v>
      </c>
      <c r="K595" s="13"/>
      <c r="L595" s="12">
        <f ca="1">J595+1</f>
        <v>12</v>
      </c>
      <c r="M595" s="13"/>
      <c r="N595" s="12">
        <f ca="1">L595+1</f>
        <v>13</v>
      </c>
      <c r="O595" s="13"/>
      <c r="P595" s="23"/>
    </row>
    <row r="596" spans="1:16" ht="11.25" customHeight="1" x14ac:dyDescent="0.2">
      <c r="A596" s="43" t="s">
        <v>128</v>
      </c>
      <c r="B596" s="37" t="s">
        <v>9</v>
      </c>
      <c r="C596" s="39" t="s">
        <v>10</v>
      </c>
      <c r="D596" s="37" t="s">
        <v>9</v>
      </c>
      <c r="E596" s="39" t="s">
        <v>10</v>
      </c>
      <c r="F596" s="37" t="s">
        <v>9</v>
      </c>
      <c r="G596" s="39" t="s">
        <v>10</v>
      </c>
      <c r="H596" s="37" t="s">
        <v>9</v>
      </c>
      <c r="I596" s="39" t="s">
        <v>10</v>
      </c>
      <c r="J596" s="37" t="s">
        <v>9</v>
      </c>
      <c r="K596" s="39" t="s">
        <v>10</v>
      </c>
      <c r="L596" s="37" t="s">
        <v>9</v>
      </c>
      <c r="M596" s="39" t="s">
        <v>10</v>
      </c>
      <c r="N596" s="37" t="s">
        <v>9</v>
      </c>
      <c r="O596" s="40" t="s">
        <v>10</v>
      </c>
      <c r="P596" s="22"/>
    </row>
    <row r="597" spans="1:16" ht="11.25" customHeight="1" x14ac:dyDescent="0.2">
      <c r="A597" s="43" t="s">
        <v>225</v>
      </c>
      <c r="B597" s="17" t="str">
        <f ca="1">IF(HLOOKUP(B595,Summary!$I$2:$AM$7,2,0)=0,"",HLOOKUP(B595,Summary!$I$2:$AM$7,2,0))</f>
        <v/>
      </c>
      <c r="C597" s="71" t="str">
        <f ca="1">IFERROR(VLOOKUP(B597,fixed_expenses[],2,0),"")</f>
        <v/>
      </c>
      <c r="D597" s="17" t="str">
        <f ca="1">IF(HLOOKUP(D595,Summary!$I$2:$AM$7,2,0)=0,"",HLOOKUP(D595,Summary!$I$2:$AM$7,2,0))</f>
        <v/>
      </c>
      <c r="E597" s="71" t="str">
        <f ca="1">IFERROR(VLOOKUP(D597,fixed_expenses[],2,0),"")</f>
        <v/>
      </c>
      <c r="F597" s="17" t="str">
        <f ca="1">IF(HLOOKUP(F595,Summary!$I$2:$AM$7,2,0)=0,"",HLOOKUP(F595,Summary!$I$2:$AM$7,2,0))</f>
        <v/>
      </c>
      <c r="G597" s="71" t="str">
        <f ca="1">IFERROR(VLOOKUP(F597,fixed_expenses[],2,0),"")</f>
        <v/>
      </c>
      <c r="H597" s="17" t="str">
        <f ca="1">IF(HLOOKUP(H595,Summary!$I$2:$AM$7,2,0)=0,"",HLOOKUP(H595,Summary!$I$2:$AM$7,2,0))</f>
        <v/>
      </c>
      <c r="I597" s="71" t="str">
        <f ca="1">IFERROR(VLOOKUP(H597,fixed_expenses[],2,0),"")</f>
        <v/>
      </c>
      <c r="J597" s="17" t="str">
        <f ca="1">IF(HLOOKUP(J595,Summary!$I$2:$AM$7,2,0)=0,"",HLOOKUP(J595,Summary!$I$2:$AM$7,2,0))</f>
        <v/>
      </c>
      <c r="K597" s="71" t="str">
        <f ca="1">IFERROR(VLOOKUP(J597,fixed_expenses[],2,0),"")</f>
        <v/>
      </c>
      <c r="L597" s="17" t="s">
        <v>384</v>
      </c>
      <c r="M597" s="71">
        <f>IFERROR(VLOOKUP(L597,fixed_expenses[],2,0),"")</f>
        <v>232</v>
      </c>
      <c r="N597" s="17" t="str">
        <f ca="1">IF(HLOOKUP(N595,Summary!$I$2:$AM$7,2,0)=0,"",HLOOKUP(N595,Summary!$I$2:$AM$7,2,0))</f>
        <v/>
      </c>
      <c r="O597" s="71" t="str">
        <f ca="1">IFERROR(VLOOKUP(N597,fixed_expenses[],2,0),"")</f>
        <v/>
      </c>
      <c r="P597" s="22"/>
    </row>
    <row r="598" spans="1:16" ht="11.25" customHeight="1" x14ac:dyDescent="0.2">
      <c r="B598" s="17" t="str">
        <f ca="1">IF(HLOOKUP(B595,Summary!$I$2:$AM$7,3,0)=0,"",HLOOKUP(B595,Summary!$I$2:$AM$7,3,0))</f>
        <v/>
      </c>
      <c r="C598" s="71" t="str">
        <f ca="1">IFERROR(VLOOKUP(B598,fixed_expenses[],2,0),"")</f>
        <v/>
      </c>
      <c r="D598" s="17" t="str">
        <f ca="1">IF(HLOOKUP(D595,Summary!$I$2:$AM$7,3,0)=0,"",HLOOKUP(D595,Summary!$I$2:$AM$7,3,0))</f>
        <v/>
      </c>
      <c r="E598" s="71" t="str">
        <f ca="1">IFERROR(VLOOKUP(D598,fixed_expenses[],2,0),"")</f>
        <v/>
      </c>
      <c r="F598" s="17" t="str">
        <f ca="1">IF(HLOOKUP(F595,Summary!$I$2:$AM$7,3,0)=0,"",HLOOKUP(F595,Summary!$I$2:$AM$7,3,0))</f>
        <v/>
      </c>
      <c r="G598" s="71" t="str">
        <f ca="1">IFERROR(VLOOKUP(F598,fixed_expenses[],2,0),"")</f>
        <v/>
      </c>
      <c r="H598" s="17" t="str">
        <f ca="1">IF(HLOOKUP(H595,Summary!$I$2:$AM$7,3,0)=0,"",HLOOKUP(H595,Summary!$I$2:$AM$7,3,0))</f>
        <v/>
      </c>
      <c r="I598" s="71" t="str">
        <f ca="1">IFERROR(VLOOKUP(H598,fixed_expenses[],2,0),"")</f>
        <v/>
      </c>
      <c r="J598" s="17" t="str">
        <f ca="1">IF(HLOOKUP(J595,Summary!$I$2:$AM$7,3,0)=0,"",HLOOKUP(J595,Summary!$I$2:$AM$7,3,0))</f>
        <v/>
      </c>
      <c r="K598" s="71" t="str">
        <f ca="1">IFERROR(VLOOKUP(J598,fixed_expenses[],2,0),"")</f>
        <v/>
      </c>
      <c r="L598" s="17" t="str">
        <f ca="1">IF(HLOOKUP(L595,Summary!$I$2:$AM$7,3,0)=0,"",HLOOKUP(L595,Summary!$I$2:$AM$7,3,0))</f>
        <v/>
      </c>
      <c r="M598" s="71" t="str">
        <f ca="1">IFERROR(VLOOKUP(L598,fixed_expenses[],2,0),"")</f>
        <v/>
      </c>
      <c r="N598" s="17" t="str">
        <f ca="1">IF(HLOOKUP(N595,Summary!$I$2:$AM$7,3,0)=0,"",HLOOKUP(N595,Summary!$I$2:$AM$7,3,0))</f>
        <v/>
      </c>
      <c r="O598" s="71" t="str">
        <f ca="1">IFERROR(VLOOKUP(N598,fixed_expenses[],2,0),"")</f>
        <v/>
      </c>
      <c r="P598" s="22"/>
    </row>
    <row r="599" spans="1:16" ht="11.25" customHeight="1" x14ac:dyDescent="0.2">
      <c r="B599" s="17" t="str">
        <f ca="1">IF(HLOOKUP(B595,Summary!$I$2:$AM$7,4,0)=0,"",HLOOKUP(B595,Summary!$I$2:$AM$7,4,0))</f>
        <v/>
      </c>
      <c r="C599" s="71" t="str">
        <f ca="1">IFERROR(VLOOKUP(B599,fixed_expenses[],2,0),"")</f>
        <v/>
      </c>
      <c r="D599" s="17" t="str">
        <f ca="1">IF(HLOOKUP(D595,Summary!$I$2:$AM$7,4,0)=0,"",HLOOKUP(D595,Summary!$I$2:$AM$7,4,0))</f>
        <v/>
      </c>
      <c r="E599" s="71" t="str">
        <f ca="1">IFERROR(VLOOKUP(D599,fixed_expenses[],2,0),"")</f>
        <v/>
      </c>
      <c r="F599" s="17" t="str">
        <f ca="1">IF(HLOOKUP(F595,Summary!$I$2:$AM$7,4,0)=0,"",HLOOKUP(F595,Summary!$I$2:$AM$7,4,0))</f>
        <v/>
      </c>
      <c r="G599" s="71" t="str">
        <f ca="1">IFERROR(VLOOKUP(F599,fixed_expenses[],2,0),"")</f>
        <v/>
      </c>
      <c r="H599" s="17" t="str">
        <f ca="1">IF(HLOOKUP(H595,Summary!$I$2:$AM$7,4,0)=0,"",HLOOKUP(H595,Summary!$I$2:$AM$7,4,0))</f>
        <v/>
      </c>
      <c r="I599" s="71" t="str">
        <f ca="1">IFERROR(VLOOKUP(H599,fixed_expenses[],2,0),"")</f>
        <v/>
      </c>
      <c r="J599" s="17" t="str">
        <f ca="1">IF(HLOOKUP(J595,Summary!$I$2:$AM$7,4,0)=0,"",HLOOKUP(J595,Summary!$I$2:$AM$7,4,0))</f>
        <v/>
      </c>
      <c r="K599" s="71" t="str">
        <f ca="1">IFERROR(VLOOKUP(J599,fixed_expenses[],2,0),"")</f>
        <v/>
      </c>
      <c r="L599" s="17" t="str">
        <f ca="1">IF(HLOOKUP(L595,Summary!$I$2:$AM$7,4,0)=0,"",HLOOKUP(L595,Summary!$I$2:$AM$7,4,0))</f>
        <v/>
      </c>
      <c r="M599" s="71" t="str">
        <f ca="1">IFERROR(VLOOKUP(L599,fixed_expenses[],2,0),"")</f>
        <v/>
      </c>
      <c r="N599" s="17" t="str">
        <f ca="1">IF(HLOOKUP(N595,Summary!$I$2:$AM$7,4,0)=0,"",HLOOKUP(N595,Summary!$I$2:$AM$7,4,0))</f>
        <v/>
      </c>
      <c r="O599" s="71" t="str">
        <f ca="1">IFERROR(VLOOKUP(N599,fixed_expenses[],2,0),"")</f>
        <v/>
      </c>
      <c r="P599" s="22"/>
    </row>
    <row r="600" spans="1:16" ht="11.25" customHeight="1" x14ac:dyDescent="0.2">
      <c r="B600" s="17" t="str">
        <f ca="1">IF(HLOOKUP(B595,Summary!$I$2:$AM$7,5,0)=0,"",HLOOKUP(B595,Summary!$I$2:$AM$7,5,0))</f>
        <v/>
      </c>
      <c r="C600" s="71" t="str">
        <f ca="1">IFERROR(VLOOKUP(B600,fixed_expenses[],2,0),"")</f>
        <v/>
      </c>
      <c r="D600" s="17" t="str">
        <f ca="1">IF(HLOOKUP(D595,Summary!$I$2:$AM$7,5,0)=0,"",HLOOKUP(D595,Summary!$I$2:$AM$7,5,0))</f>
        <v/>
      </c>
      <c r="E600" s="71" t="str">
        <f ca="1">IFERROR(VLOOKUP(D600,fixed_expenses[],2,0),"")</f>
        <v/>
      </c>
      <c r="F600" s="17" t="str">
        <f ca="1">IF(HLOOKUP(F595,Summary!$I$2:$AM$7,5,0)=0,"",HLOOKUP(F595,Summary!$I$2:$AM$7,5,0))</f>
        <v/>
      </c>
      <c r="G600" s="71" t="str">
        <f ca="1">IFERROR(VLOOKUP(F600,fixed_expenses[],2,0),"")</f>
        <v/>
      </c>
      <c r="H600" s="17" t="str">
        <f ca="1">IF(HLOOKUP(H595,Summary!$I$2:$AM$7,5,0)=0,"",HLOOKUP(H595,Summary!$I$2:$AM$7,5,0))</f>
        <v/>
      </c>
      <c r="I600" s="71" t="str">
        <f ca="1">IFERROR(VLOOKUP(H600,fixed_expenses[],2,0),"")</f>
        <v/>
      </c>
      <c r="J600" s="17" t="str">
        <f ca="1">IF(HLOOKUP(J595,Summary!$I$2:$AM$7,5,0)=0,"",HLOOKUP(J595,Summary!$I$2:$AM$7,5,0))</f>
        <v/>
      </c>
      <c r="K600" s="71" t="str">
        <f ca="1">IFERROR(VLOOKUP(J600,fixed_expenses[],2,0),"")</f>
        <v/>
      </c>
      <c r="L600" s="17" t="str">
        <f ca="1">IF(HLOOKUP(L595,Summary!$I$2:$AM$7,5,0)=0,"",HLOOKUP(L595,Summary!$I$2:$AM$7,5,0))</f>
        <v/>
      </c>
      <c r="M600" s="71" t="str">
        <f ca="1">IFERROR(VLOOKUP(L600,fixed_expenses[],2,0),"")</f>
        <v/>
      </c>
      <c r="N600" s="17" t="str">
        <f ca="1">IF(HLOOKUP(N595,Summary!$I$2:$AM$7,5,0)=0,"",HLOOKUP(N595,Summary!$I$2:$AM$7,5,0))</f>
        <v/>
      </c>
      <c r="O600" s="71" t="str">
        <f ca="1">IFERROR(VLOOKUP(N600,fixed_expenses[],2,0),"")</f>
        <v/>
      </c>
      <c r="P600" s="22"/>
    </row>
    <row r="601" spans="1:16" ht="11.25" customHeight="1" x14ac:dyDescent="0.2">
      <c r="B601" s="17" t="str">
        <f ca="1">IF(HLOOKUP(B595,Summary!$I$2:$AM$7,6,0)=0,"",HLOOKUP(B595,Summary!$I$2:$AM$7,6,0))</f>
        <v/>
      </c>
      <c r="C601" s="71" t="str">
        <f ca="1">IFERROR(VLOOKUP(B601,fixed_expenses[],2,0),"")</f>
        <v/>
      </c>
      <c r="D601" s="17" t="str">
        <f ca="1">IF(HLOOKUP(D595,Summary!$I$2:$AM$7,6,0)=0,"",HLOOKUP(D595,Summary!$I$2:$AM$7,6,0))</f>
        <v/>
      </c>
      <c r="E601" s="71" t="str">
        <f ca="1">IFERROR(VLOOKUP(D601,fixed_expenses[],2,0),"")</f>
        <v/>
      </c>
      <c r="F601" s="17" t="str">
        <f ca="1">IF(HLOOKUP(F595,Summary!$I$2:$AM$7,6,0)=0,"",HLOOKUP(F595,Summary!$I$2:$AM$7,6,0))</f>
        <v/>
      </c>
      <c r="G601" s="71" t="str">
        <f ca="1">IFERROR(VLOOKUP(F601,fixed_expenses[],2,0),"")</f>
        <v/>
      </c>
      <c r="H601" s="17" t="str">
        <f ca="1">IF(HLOOKUP(H595,Summary!$I$2:$AM$7,6,0)=0,"",HLOOKUP(H595,Summary!$I$2:$AM$7,6,0))</f>
        <v/>
      </c>
      <c r="I601" s="71" t="str">
        <f ca="1">IFERROR(VLOOKUP(H601,fixed_expenses[],2,0),"")</f>
        <v/>
      </c>
      <c r="J601" s="17" t="str">
        <f ca="1">IF(HLOOKUP(J595,Summary!$I$2:$AM$7,6,0)=0,"",HLOOKUP(J595,Summary!$I$2:$AM$7,6,0))</f>
        <v/>
      </c>
      <c r="K601" s="71" t="str">
        <f ca="1">IFERROR(VLOOKUP(J601,fixed_expenses[],2,0),"")</f>
        <v/>
      </c>
      <c r="L601" s="17" t="str">
        <f ca="1">IF(HLOOKUP(L595,Summary!$I$2:$AM$7,6,0)=0,"",HLOOKUP(L595,Summary!$I$2:$AM$7,6,0))</f>
        <v/>
      </c>
      <c r="M601" s="71" t="str">
        <f ca="1">IFERROR(VLOOKUP(L601,fixed_expenses[],2,0),"")</f>
        <v/>
      </c>
      <c r="N601" s="17" t="str">
        <f ca="1">IF(HLOOKUP(N595,Summary!$I$2:$AM$7,6,0)=0,"",HLOOKUP(N595,Summary!$I$2:$AM$7,6,0))</f>
        <v/>
      </c>
      <c r="O601" s="71" t="str">
        <f ca="1">IFERROR(VLOOKUP(N601,fixed_expenses[],2,0),"")</f>
        <v/>
      </c>
      <c r="P601" s="22"/>
    </row>
    <row r="602" spans="1:16" ht="11.25" customHeight="1" x14ac:dyDescent="0.2">
      <c r="A602" s="43" t="s">
        <v>295</v>
      </c>
      <c r="B602" s="26" t="s">
        <v>8</v>
      </c>
      <c r="C602" s="27">
        <f ca="1">SUM(C597:C601)</f>
        <v>0</v>
      </c>
      <c r="D602" s="26"/>
      <c r="E602" s="27">
        <f ca="1">SUM(E597:E601)</f>
        <v>0</v>
      </c>
      <c r="F602" s="26"/>
      <c r="G602" s="27">
        <f ca="1">SUM(G597:G601)</f>
        <v>0</v>
      </c>
      <c r="H602" s="26"/>
      <c r="I602" s="27">
        <f ca="1">SUM(I597:I601)</f>
        <v>0</v>
      </c>
      <c r="J602" s="26"/>
      <c r="K602" s="27">
        <f ca="1">SUM(K597:K601)</f>
        <v>0</v>
      </c>
      <c r="L602" s="26"/>
      <c r="M602" s="27">
        <f ca="1">SUM(M597:M601)</f>
        <v>232</v>
      </c>
      <c r="N602" s="26"/>
      <c r="O602" s="28">
        <f ca="1">SUM(O597:O601)</f>
        <v>0</v>
      </c>
      <c r="P602" s="29">
        <f ca="1">SUM(C602,E602,G602,I602,K602,M602,O602)</f>
        <v>232</v>
      </c>
    </row>
    <row r="603" spans="1:16" x14ac:dyDescent="0.2">
      <c r="B603" s="6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6"/>
    </row>
    <row r="604" spans="1:16" ht="15" customHeight="1" x14ac:dyDescent="0.2">
      <c r="A604" s="43" t="s">
        <v>276</v>
      </c>
      <c r="B604" s="12">
        <f ca="1">N595+1</f>
        <v>14</v>
      </c>
      <c r="C604" s="13"/>
      <c r="D604" s="12">
        <f ca="1">B604+1</f>
        <v>15</v>
      </c>
      <c r="E604" s="13"/>
      <c r="F604" s="12">
        <f ca="1">D604+1</f>
        <v>16</v>
      </c>
      <c r="G604" s="13"/>
      <c r="H604" s="12">
        <f ca="1">F604+1</f>
        <v>17</v>
      </c>
      <c r="I604" s="13"/>
      <c r="J604" s="12">
        <f ca="1">H604+1</f>
        <v>18</v>
      </c>
      <c r="K604" s="13"/>
      <c r="L604" s="12">
        <f ca="1">J604+1</f>
        <v>19</v>
      </c>
      <c r="M604" s="13"/>
      <c r="N604" s="12">
        <f ca="1">L604+1</f>
        <v>20</v>
      </c>
      <c r="O604" s="13"/>
      <c r="P604" s="24"/>
    </row>
    <row r="605" spans="1:16" ht="11.25" customHeight="1" x14ac:dyDescent="0.2">
      <c r="A605" s="43" t="s">
        <v>127</v>
      </c>
      <c r="B605" s="37" t="s">
        <v>9</v>
      </c>
      <c r="C605" s="39" t="s">
        <v>10</v>
      </c>
      <c r="D605" s="37" t="s">
        <v>9</v>
      </c>
      <c r="E605" s="39" t="s">
        <v>10</v>
      </c>
      <c r="F605" s="37" t="s">
        <v>9</v>
      </c>
      <c r="G605" s="39" t="s">
        <v>10</v>
      </c>
      <c r="H605" s="37" t="s">
        <v>9</v>
      </c>
      <c r="I605" s="39" t="s">
        <v>10</v>
      </c>
      <c r="J605" s="37" t="s">
        <v>9</v>
      </c>
      <c r="K605" s="39" t="s">
        <v>10</v>
      </c>
      <c r="L605" s="37" t="s">
        <v>9</v>
      </c>
      <c r="M605" s="39" t="s">
        <v>10</v>
      </c>
      <c r="N605" s="37" t="s">
        <v>9</v>
      </c>
      <c r="O605" s="40" t="s">
        <v>10</v>
      </c>
      <c r="P605" s="22"/>
    </row>
    <row r="606" spans="1:16" ht="11.25" customHeight="1" x14ac:dyDescent="0.2">
      <c r="A606" s="43" t="s">
        <v>226</v>
      </c>
      <c r="B606" s="17" t="str">
        <f ca="1">IF(HLOOKUP(B604,Summary!$I$2:$AM$7,2,0)=0,"",HLOOKUP(B604,Summary!$I$2:$AM$7,2,0))</f>
        <v/>
      </c>
      <c r="C606" s="71" t="str">
        <f ca="1">IFERROR(VLOOKUP(B606,fixed_expenses[],2,0),"")</f>
        <v/>
      </c>
      <c r="D606" s="17" t="str">
        <f ca="1">IF(HLOOKUP(D604,Summary!$I$2:$AM$7,2,0)=0,"",HLOOKUP(D604,Summary!$I$2:$AM$7,2,0))</f>
        <v>Paul Phone Bill</v>
      </c>
      <c r="E606" s="71">
        <f ca="1">IFERROR(VLOOKUP(D606,fixed_expenses[],2,0),"")</f>
        <v>60</v>
      </c>
      <c r="F606" s="17" t="str">
        <f ca="1">IF(HLOOKUP(F604,Summary!$I$2:$AM$7,2,0)=0,"",HLOOKUP(F604,Summary!$I$2:$AM$7,2,0))</f>
        <v/>
      </c>
      <c r="G606" s="71" t="str">
        <f ca="1">IFERROR(VLOOKUP(F606,fixed_expenses[],2,0),"")</f>
        <v/>
      </c>
      <c r="H606" s="17" t="str">
        <f ca="1">IF(HLOOKUP(H604,Summary!$I$2:$AM$7,2,0)=0,"",HLOOKUP(H604,Summary!$I$2:$AM$7,2,0))</f>
        <v/>
      </c>
      <c r="I606" s="71" t="str">
        <f ca="1">IFERROR(VLOOKUP(H606,fixed_expenses[],2,0),"")</f>
        <v/>
      </c>
      <c r="J606" s="17" t="str">
        <f ca="1">IF(HLOOKUP(J604,Summary!$I$2:$AM$7,2,0)=0,"",HLOOKUP(J604,Summary!$I$2:$AM$7,2,0))</f>
        <v/>
      </c>
      <c r="K606" s="71" t="str">
        <f ca="1">IFERROR(VLOOKUP(J606,fixed_expenses[],2,0),"")</f>
        <v/>
      </c>
      <c r="L606" s="17" t="str">
        <f ca="1">IF(HLOOKUP(L604,Summary!$I$2:$AM$7,2,0)=0,"",HLOOKUP(L604,Summary!$I$2:$AM$7,2,0))</f>
        <v/>
      </c>
      <c r="M606" s="71" t="str">
        <f ca="1">IFERROR(VLOOKUP(L606,fixed_expenses[],2,0),"")</f>
        <v/>
      </c>
      <c r="N606" s="17" t="str">
        <f ca="1">IF(HLOOKUP(N604,Summary!$I$2:$AM$7,2,0)=0,"",HLOOKUP(N604,Summary!$I$2:$AM$7,2,0))</f>
        <v>Lynn Phone Bill</v>
      </c>
      <c r="O606" s="71" t="str">
        <f ca="1">IFERROR(VLOOKUP(N606,fixed_expenses[],2,0),"")</f>
        <v/>
      </c>
      <c r="P606" s="22"/>
    </row>
    <row r="607" spans="1:16" ht="11.25" customHeight="1" x14ac:dyDescent="0.2">
      <c r="B607" s="17" t="str">
        <f ca="1">IF(HLOOKUP(B604,Summary!$I$2:$AM$7,3,0)=0,"",HLOOKUP(B604,Summary!$I$2:$AM$7,3,0))</f>
        <v/>
      </c>
      <c r="C607" s="71" t="str">
        <f ca="1">IFERROR(VLOOKUP(B607,fixed_expenses[],2,0),"")</f>
        <v/>
      </c>
      <c r="D607" s="17" t="str">
        <f ca="1">IF(HLOOKUP(D604,Summary!$I$2:$AM$7,3,0)=0,"",HLOOKUP(D604,Summary!$I$2:$AM$7,3,0))</f>
        <v>Electric</v>
      </c>
      <c r="E607" s="71">
        <f ca="1">IFERROR(VLOOKUP(D607,fixed_expenses[],2,0),"")</f>
        <v>50</v>
      </c>
      <c r="F607" s="17" t="str">
        <f ca="1">IF(HLOOKUP(F604,Summary!$I$2:$AM$7,3,0)=0,"",HLOOKUP(F604,Summary!$I$2:$AM$7,3,0))</f>
        <v/>
      </c>
      <c r="G607" s="71" t="str">
        <f ca="1">IFERROR(VLOOKUP(F607,fixed_expenses[],2,0),"")</f>
        <v/>
      </c>
      <c r="H607" s="17" t="str">
        <f ca="1">IF(HLOOKUP(H604,Summary!$I$2:$AM$7,3,0)=0,"",HLOOKUP(H604,Summary!$I$2:$AM$7,3,0))</f>
        <v/>
      </c>
      <c r="I607" s="71" t="str">
        <f ca="1">IFERROR(VLOOKUP(H607,fixed_expenses[],2,0),"")</f>
        <v/>
      </c>
      <c r="J607" s="17" t="str">
        <f ca="1">IF(HLOOKUP(J604,Summary!$I$2:$AM$7,3,0)=0,"",HLOOKUP(J604,Summary!$I$2:$AM$7,3,0))</f>
        <v/>
      </c>
      <c r="K607" s="71" t="str">
        <f ca="1">IFERROR(VLOOKUP(J607,fixed_expenses[],2,0),"")</f>
        <v/>
      </c>
      <c r="L607" s="17" t="str">
        <f ca="1">IF(HLOOKUP(L604,Summary!$I$2:$AM$7,3,0)=0,"",HLOOKUP(L604,Summary!$I$2:$AM$7,3,0))</f>
        <v/>
      </c>
      <c r="M607" s="71" t="str">
        <f ca="1">IFERROR(VLOOKUP(L607,fixed_expenses[],2,0),"")</f>
        <v/>
      </c>
      <c r="N607" s="17" t="str">
        <f ca="1">IF(HLOOKUP(N604,Summary!$I$2:$AM$7,3,0)=0,"",HLOOKUP(N604,Summary!$I$2:$AM$7,3,0))</f>
        <v/>
      </c>
      <c r="O607" s="71" t="str">
        <f ca="1">IFERROR(VLOOKUP(N607,fixed_expenses[],2,0),"")</f>
        <v/>
      </c>
      <c r="P607" s="22"/>
    </row>
    <row r="608" spans="1:16" ht="11.25" customHeight="1" x14ac:dyDescent="0.2">
      <c r="B608" s="17" t="str">
        <f ca="1">IF(HLOOKUP(B604,Summary!$I$2:$AM$7,4,0)=0,"",HLOOKUP(B604,Summary!$I$2:$AM$7,4,0))</f>
        <v/>
      </c>
      <c r="C608" s="71" t="str">
        <f ca="1">IFERROR(VLOOKUP(B608,fixed_expenses[],2,0),"")</f>
        <v/>
      </c>
      <c r="D608" s="17" t="str">
        <f ca="1">IF(HLOOKUP(D604,Summary!$I$2:$AM$7,4,0)=0,"",HLOOKUP(D604,Summary!$I$2:$AM$7,4,0))</f>
        <v/>
      </c>
      <c r="E608" s="71" t="str">
        <f ca="1">IFERROR(VLOOKUP(D608,fixed_expenses[],2,0),"")</f>
        <v/>
      </c>
      <c r="F608" s="17" t="str">
        <f ca="1">IF(HLOOKUP(F604,Summary!$I$2:$AM$7,4,0)=0,"",HLOOKUP(F604,Summary!$I$2:$AM$7,4,0))</f>
        <v/>
      </c>
      <c r="G608" s="71" t="str">
        <f ca="1">IFERROR(VLOOKUP(F608,fixed_expenses[],2,0),"")</f>
        <v/>
      </c>
      <c r="H608" s="17" t="str">
        <f ca="1">IF(HLOOKUP(H604,Summary!$I$2:$AM$7,4,0)=0,"",HLOOKUP(H604,Summary!$I$2:$AM$7,4,0))</f>
        <v/>
      </c>
      <c r="I608" s="71" t="str">
        <f ca="1">IFERROR(VLOOKUP(H608,fixed_expenses[],2,0),"")</f>
        <v/>
      </c>
      <c r="J608" s="17" t="str">
        <f ca="1">IF(HLOOKUP(J604,Summary!$I$2:$AM$7,4,0)=0,"",HLOOKUP(J604,Summary!$I$2:$AM$7,4,0))</f>
        <v/>
      </c>
      <c r="K608" s="71" t="str">
        <f ca="1">IFERROR(VLOOKUP(J608,fixed_expenses[],2,0),"")</f>
        <v/>
      </c>
      <c r="L608" s="17" t="str">
        <f ca="1">IF(HLOOKUP(L604,Summary!$I$2:$AM$7,4,0)=0,"",HLOOKUP(L604,Summary!$I$2:$AM$7,4,0))</f>
        <v/>
      </c>
      <c r="M608" s="71" t="str">
        <f ca="1">IFERROR(VLOOKUP(L608,fixed_expenses[],2,0),"")</f>
        <v/>
      </c>
      <c r="N608" s="17" t="str">
        <f ca="1">IF(HLOOKUP(N604,Summary!$I$2:$AM$7,4,0)=0,"",HLOOKUP(N604,Summary!$I$2:$AM$7,4,0))</f>
        <v/>
      </c>
      <c r="O608" s="71" t="str">
        <f ca="1">IFERROR(VLOOKUP(N608,fixed_expenses[],2,0),"")</f>
        <v/>
      </c>
      <c r="P608" s="22"/>
    </row>
    <row r="609" spans="1:16" ht="11.25" customHeight="1" x14ac:dyDescent="0.2">
      <c r="B609" s="17" t="str">
        <f ca="1">IF(HLOOKUP(B604,Summary!$I$2:$AM$7,5,0)=0,"",HLOOKUP(B604,Summary!$I$2:$AM$7,5,0))</f>
        <v/>
      </c>
      <c r="C609" s="71" t="str">
        <f ca="1">IFERROR(VLOOKUP(B609,fixed_expenses[],2,0),"")</f>
        <v/>
      </c>
      <c r="D609" s="17" t="str">
        <f ca="1">IF(HLOOKUP(D604,Summary!$I$2:$AM$7,5,0)=0,"",HLOOKUP(D604,Summary!$I$2:$AM$7,5,0))</f>
        <v/>
      </c>
      <c r="E609" s="71" t="str">
        <f ca="1">IFERROR(VLOOKUP(D609,fixed_expenses[],2,0),"")</f>
        <v/>
      </c>
      <c r="F609" s="17" t="str">
        <f ca="1">IF(HLOOKUP(F604,Summary!$I$2:$AM$7,5,0)=0,"",HLOOKUP(F604,Summary!$I$2:$AM$7,5,0))</f>
        <v/>
      </c>
      <c r="G609" s="71" t="str">
        <f ca="1">IFERROR(VLOOKUP(F609,fixed_expenses[],2,0),"")</f>
        <v/>
      </c>
      <c r="H609" s="17" t="str">
        <f ca="1">IF(HLOOKUP(H604,Summary!$I$2:$AM$7,5,0)=0,"",HLOOKUP(H604,Summary!$I$2:$AM$7,5,0))</f>
        <v/>
      </c>
      <c r="I609" s="71" t="str">
        <f ca="1">IFERROR(VLOOKUP(H609,fixed_expenses[],2,0),"")</f>
        <v/>
      </c>
      <c r="J609" s="17" t="str">
        <f ca="1">IF(HLOOKUP(J604,Summary!$I$2:$AM$7,5,0)=0,"",HLOOKUP(J604,Summary!$I$2:$AM$7,5,0))</f>
        <v/>
      </c>
      <c r="K609" s="71" t="str">
        <f ca="1">IFERROR(VLOOKUP(J609,fixed_expenses[],2,0),"")</f>
        <v/>
      </c>
      <c r="L609" s="17" t="str">
        <f ca="1">IF(HLOOKUP(L604,Summary!$I$2:$AM$7,5,0)=0,"",HLOOKUP(L604,Summary!$I$2:$AM$7,5,0))</f>
        <v/>
      </c>
      <c r="M609" s="71" t="str">
        <f ca="1">IFERROR(VLOOKUP(L609,fixed_expenses[],2,0),"")</f>
        <v/>
      </c>
      <c r="N609" s="17" t="str">
        <f ca="1">IF(HLOOKUP(N604,Summary!$I$2:$AM$7,5,0)=0,"",HLOOKUP(N604,Summary!$I$2:$AM$7,5,0))</f>
        <v/>
      </c>
      <c r="O609" s="71" t="str">
        <f ca="1">IFERROR(VLOOKUP(N609,fixed_expenses[],2,0),"")</f>
        <v/>
      </c>
      <c r="P609" s="22"/>
    </row>
    <row r="610" spans="1:16" ht="11.25" customHeight="1" x14ac:dyDescent="0.2">
      <c r="B610" s="17" t="str">
        <f ca="1">IF(HLOOKUP(B604,Summary!$I$2:$AM$7,6,0)=0,"",HLOOKUP(B604,Summary!$I$2:$AM$7,6,0))</f>
        <v/>
      </c>
      <c r="C610" s="71" t="str">
        <f ca="1">IFERROR(VLOOKUP(B610,fixed_expenses[],2,0),"")</f>
        <v/>
      </c>
      <c r="D610" s="17" t="str">
        <f ca="1">IF(HLOOKUP(D604,Summary!$I$2:$AM$7,6,0)=0,"",HLOOKUP(D604,Summary!$I$2:$AM$7,6,0))</f>
        <v/>
      </c>
      <c r="E610" s="71" t="str">
        <f ca="1">IFERROR(VLOOKUP(D610,fixed_expenses[],2,0),"")</f>
        <v/>
      </c>
      <c r="F610" s="17" t="str">
        <f ca="1">IF(HLOOKUP(F604,Summary!$I$2:$AM$7,6,0)=0,"",HLOOKUP(F604,Summary!$I$2:$AM$7,6,0))</f>
        <v/>
      </c>
      <c r="G610" s="71" t="str">
        <f ca="1">IFERROR(VLOOKUP(F610,fixed_expenses[],2,0),"")</f>
        <v/>
      </c>
      <c r="H610" s="17" t="str">
        <f ca="1">IF(HLOOKUP(H604,Summary!$I$2:$AM$7,6,0)=0,"",HLOOKUP(H604,Summary!$I$2:$AM$7,6,0))</f>
        <v/>
      </c>
      <c r="I610" s="71" t="str">
        <f ca="1">IFERROR(VLOOKUP(H610,fixed_expenses[],2,0),"")</f>
        <v/>
      </c>
      <c r="J610" s="17" t="str">
        <f ca="1">IF(HLOOKUP(J604,Summary!$I$2:$AM$7,6,0)=0,"",HLOOKUP(J604,Summary!$I$2:$AM$7,6,0))</f>
        <v/>
      </c>
      <c r="K610" s="71" t="str">
        <f ca="1">IFERROR(VLOOKUP(J610,fixed_expenses[],2,0),"")</f>
        <v/>
      </c>
      <c r="L610" s="17" t="str">
        <f ca="1">IF(HLOOKUP(L604,Summary!$I$2:$AM$7,6,0)=0,"",HLOOKUP(L604,Summary!$I$2:$AM$7,6,0))</f>
        <v/>
      </c>
      <c r="M610" s="71" t="str">
        <f ca="1">IFERROR(VLOOKUP(L610,fixed_expenses[],2,0),"")</f>
        <v/>
      </c>
      <c r="N610" s="17" t="str">
        <f ca="1">IF(HLOOKUP(N604,Summary!$I$2:$AM$7,6,0)=0,"",HLOOKUP(N604,Summary!$I$2:$AM$7,6,0))</f>
        <v/>
      </c>
      <c r="O610" s="71" t="str">
        <f ca="1">IFERROR(VLOOKUP(N610,fixed_expenses[],2,0),"")</f>
        <v/>
      </c>
      <c r="P610" s="22"/>
    </row>
    <row r="611" spans="1:16" ht="11.25" customHeight="1" x14ac:dyDescent="0.2">
      <c r="A611" s="43" t="s">
        <v>294</v>
      </c>
      <c r="B611" s="30" t="s">
        <v>8</v>
      </c>
      <c r="C611" s="27">
        <f ca="1">SUM(C606:C610)</f>
        <v>0</v>
      </c>
      <c r="D611" s="26"/>
      <c r="E611" s="27">
        <f ca="1">SUM(E606:E610)</f>
        <v>110</v>
      </c>
      <c r="F611" s="26"/>
      <c r="G611" s="27">
        <f ca="1">SUM(G606:G610)</f>
        <v>0</v>
      </c>
      <c r="H611" s="26"/>
      <c r="I611" s="27">
        <f ca="1">SUM(I606:I610)</f>
        <v>0</v>
      </c>
      <c r="J611" s="26"/>
      <c r="K611" s="27">
        <f ca="1">SUM(K606:K610)</f>
        <v>0</v>
      </c>
      <c r="L611" s="26"/>
      <c r="M611" s="27">
        <f ca="1">SUM(M606:M610)</f>
        <v>0</v>
      </c>
      <c r="N611" s="26"/>
      <c r="O611" s="28">
        <f ca="1">SUM(O606:O610)</f>
        <v>0</v>
      </c>
      <c r="P611" s="29">
        <f ca="1">SUM(C611,E611,G611,I611,K611,M611,O611)</f>
        <v>110</v>
      </c>
    </row>
    <row r="612" spans="1:16" x14ac:dyDescent="0.2">
      <c r="B612" s="6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6"/>
    </row>
    <row r="613" spans="1:16" ht="15" customHeight="1" x14ac:dyDescent="0.2">
      <c r="A613" s="43" t="s">
        <v>277</v>
      </c>
      <c r="B613" s="12">
        <f ca="1">N604+1</f>
        <v>21</v>
      </c>
      <c r="C613" s="13"/>
      <c r="D613" s="12">
        <f ca="1">B613+1</f>
        <v>22</v>
      </c>
      <c r="E613" s="13"/>
      <c r="F613" s="12">
        <f ca="1">D613+1</f>
        <v>23</v>
      </c>
      <c r="G613" s="13"/>
      <c r="H613" s="12">
        <f ca="1">F613+1</f>
        <v>24</v>
      </c>
      <c r="I613" s="13"/>
      <c r="J613" s="12">
        <f ca="1">H613+1</f>
        <v>25</v>
      </c>
      <c r="K613" s="13"/>
      <c r="L613" s="12">
        <f ca="1">J613+1</f>
        <v>26</v>
      </c>
      <c r="M613" s="13"/>
      <c r="N613" s="12">
        <f ca="1">L613+1</f>
        <v>27</v>
      </c>
      <c r="O613" s="13"/>
      <c r="P613" s="24"/>
    </row>
    <row r="614" spans="1:16" ht="11.25" customHeight="1" x14ac:dyDescent="0.2">
      <c r="A614" s="43" t="s">
        <v>126</v>
      </c>
      <c r="B614" s="37" t="s">
        <v>9</v>
      </c>
      <c r="C614" s="39" t="s">
        <v>10</v>
      </c>
      <c r="D614" s="37" t="s">
        <v>9</v>
      </c>
      <c r="E614" s="39" t="s">
        <v>10</v>
      </c>
      <c r="F614" s="37" t="s">
        <v>9</v>
      </c>
      <c r="G614" s="39" t="s">
        <v>10</v>
      </c>
      <c r="H614" s="37" t="s">
        <v>9</v>
      </c>
      <c r="I614" s="39" t="s">
        <v>10</v>
      </c>
      <c r="J614" s="37" t="s">
        <v>9</v>
      </c>
      <c r="K614" s="39" t="s">
        <v>10</v>
      </c>
      <c r="L614" s="37" t="s">
        <v>9</v>
      </c>
      <c r="M614" s="39" t="s">
        <v>10</v>
      </c>
      <c r="N614" s="37" t="s">
        <v>9</v>
      </c>
      <c r="O614" s="40" t="s">
        <v>10</v>
      </c>
      <c r="P614" s="22"/>
    </row>
    <row r="615" spans="1:16" ht="11.25" customHeight="1" x14ac:dyDescent="0.2">
      <c r="A615" s="43" t="s">
        <v>227</v>
      </c>
      <c r="B615" s="17" t="str">
        <f ca="1">IF(HLOOKUP(B613,Summary!$I$2:$AM$7,2,0)=0,"",HLOOKUP(B613,Summary!$I$2:$AM$7,2,0))</f>
        <v/>
      </c>
      <c r="C615" s="71" t="str">
        <f ca="1">IFERROR(VLOOKUP(B615,fixed_expenses[],2,0),"")</f>
        <v/>
      </c>
      <c r="D615" s="17" t="str">
        <f ca="1">IF(HLOOKUP(D613,Summary!$I$2:$AM$7,2,0)=0,"",HLOOKUP(D613,Summary!$I$2:$AM$7,2,0))</f>
        <v/>
      </c>
      <c r="E615" s="71" t="str">
        <f ca="1">IFERROR(VLOOKUP(D615,fixed_expenses[],2,0),"")</f>
        <v/>
      </c>
      <c r="F615" s="17" t="str">
        <f ca="1">IF(HLOOKUP(F613,Summary!$I$2:$AM$7,2,0)=0,"",HLOOKUP(F613,Summary!$I$2:$AM$7,2,0))</f>
        <v/>
      </c>
      <c r="G615" s="71" t="str">
        <f ca="1">IFERROR(VLOOKUP(F615,fixed_expenses[],2,0),"")</f>
        <v/>
      </c>
      <c r="H615" s="17" t="str">
        <f ca="1">IF(HLOOKUP(H613,Summary!$I$2:$AM$7,2,0)=0,"",HLOOKUP(H613,Summary!$I$2:$AM$7,2,0))</f>
        <v/>
      </c>
      <c r="I615" s="71" t="str">
        <f ca="1">IFERROR(VLOOKUP(H615,fixed_expenses[],2,0),"")</f>
        <v/>
      </c>
      <c r="J615" s="17" t="str">
        <f ca="1">IF(HLOOKUP(J613,Summary!$I$2:$AM$7,2,0)=0,"",HLOOKUP(J613,Summary!$I$2:$AM$7,2,0))</f>
        <v/>
      </c>
      <c r="K615" s="71" t="str">
        <f ca="1">IFERROR(VLOOKUP(J615,fixed_expenses[],2,0),"")</f>
        <v/>
      </c>
      <c r="L615" s="17" t="s">
        <v>384</v>
      </c>
      <c r="M615" s="71">
        <f>IFERROR(VLOOKUP(L615,fixed_expenses[],2,0),"")</f>
        <v>232</v>
      </c>
      <c r="N615" s="17" t="str">
        <f ca="1">IF(HLOOKUP(N613,Summary!$I$2:$AM$7,2,0)=0,"",HLOOKUP(N613,Summary!$I$2:$AM$7,2,0))</f>
        <v/>
      </c>
      <c r="O615" s="71" t="str">
        <f ca="1">IFERROR(VLOOKUP(N615,fixed_expenses[],2,0),"")</f>
        <v/>
      </c>
      <c r="P615" s="22"/>
    </row>
    <row r="616" spans="1:16" ht="11.25" customHeight="1" x14ac:dyDescent="0.2">
      <c r="B616" s="17" t="str">
        <f ca="1">IF(HLOOKUP(B613,Summary!$I$2:$AM$7,3,0)=0,"",HLOOKUP(B613,Summary!$I$2:$AM$7,3,0))</f>
        <v/>
      </c>
      <c r="C616" s="71" t="str">
        <f ca="1">IFERROR(VLOOKUP(B616,fixed_expenses[],2,0),"")</f>
        <v/>
      </c>
      <c r="D616" s="17" t="str">
        <f ca="1">IF(HLOOKUP(D613,Summary!$I$2:$AM$7,3,0)=0,"",HLOOKUP(D613,Summary!$I$2:$AM$7,3,0))</f>
        <v/>
      </c>
      <c r="E616" s="71" t="str">
        <f ca="1">IFERROR(VLOOKUP(D616,fixed_expenses[],2,0),"")</f>
        <v/>
      </c>
      <c r="F616" s="17" t="str">
        <f ca="1">IF(HLOOKUP(F613,Summary!$I$2:$AM$7,3,0)=0,"",HLOOKUP(F613,Summary!$I$2:$AM$7,3,0))</f>
        <v/>
      </c>
      <c r="G616" s="71" t="str">
        <f ca="1">IFERROR(VLOOKUP(F616,fixed_expenses[],2,0),"")</f>
        <v/>
      </c>
      <c r="H616" s="17" t="str">
        <f ca="1">IF(HLOOKUP(H613,Summary!$I$2:$AM$7,3,0)=0,"",HLOOKUP(H613,Summary!$I$2:$AM$7,3,0))</f>
        <v/>
      </c>
      <c r="I616" s="71" t="str">
        <f ca="1">IFERROR(VLOOKUP(H616,fixed_expenses[],2,0),"")</f>
        <v/>
      </c>
      <c r="J616" s="17" t="str">
        <f ca="1">IF(HLOOKUP(J613,Summary!$I$2:$AM$7,3,0)=0,"",HLOOKUP(J613,Summary!$I$2:$AM$7,3,0))</f>
        <v/>
      </c>
      <c r="K616" s="71" t="str">
        <f ca="1">IFERROR(VLOOKUP(J616,fixed_expenses[],2,0),"")</f>
        <v/>
      </c>
      <c r="L616" s="17" t="str">
        <f ca="1">IF(HLOOKUP(L613,Summary!$I$2:$AM$7,3,0)=0,"",HLOOKUP(L613,Summary!$I$2:$AM$7,3,0))</f>
        <v/>
      </c>
      <c r="M616" s="71" t="str">
        <f ca="1">IFERROR(VLOOKUP(L616,fixed_expenses[],2,0),"")</f>
        <v/>
      </c>
      <c r="N616" s="17" t="str">
        <f ca="1">IF(HLOOKUP(N613,Summary!$I$2:$AM$7,3,0)=0,"",HLOOKUP(N613,Summary!$I$2:$AM$7,3,0))</f>
        <v/>
      </c>
      <c r="O616" s="71" t="str">
        <f ca="1">IFERROR(VLOOKUP(N616,fixed_expenses[],2,0),"")</f>
        <v/>
      </c>
      <c r="P616" s="22"/>
    </row>
    <row r="617" spans="1:16" ht="11.25" customHeight="1" x14ac:dyDescent="0.2">
      <c r="B617" s="17" t="str">
        <f ca="1">IF(HLOOKUP(B613,Summary!$I$2:$AM$7,4,0)=0,"",HLOOKUP(B613,Summary!$I$2:$AM$7,4,0))</f>
        <v/>
      </c>
      <c r="C617" s="71" t="str">
        <f ca="1">IFERROR(VLOOKUP(B617,fixed_expenses[],2,0),"")</f>
        <v/>
      </c>
      <c r="D617" s="17" t="str">
        <f ca="1">IF(HLOOKUP(D613,Summary!$I$2:$AM$7,4,0)=0,"",HLOOKUP(D613,Summary!$I$2:$AM$7,4,0))</f>
        <v/>
      </c>
      <c r="E617" s="71" t="str">
        <f ca="1">IFERROR(VLOOKUP(D617,fixed_expenses[],2,0),"")</f>
        <v/>
      </c>
      <c r="F617" s="17" t="str">
        <f ca="1">IF(HLOOKUP(F613,Summary!$I$2:$AM$7,4,0)=0,"",HLOOKUP(F613,Summary!$I$2:$AM$7,4,0))</f>
        <v/>
      </c>
      <c r="G617" s="71" t="str">
        <f ca="1">IFERROR(VLOOKUP(F617,fixed_expenses[],2,0),"")</f>
        <v/>
      </c>
      <c r="H617" s="17" t="str">
        <f ca="1">IF(HLOOKUP(H613,Summary!$I$2:$AM$7,4,0)=0,"",HLOOKUP(H613,Summary!$I$2:$AM$7,4,0))</f>
        <v/>
      </c>
      <c r="I617" s="71" t="str">
        <f ca="1">IFERROR(VLOOKUP(H617,fixed_expenses[],2,0),"")</f>
        <v/>
      </c>
      <c r="J617" s="17" t="str">
        <f ca="1">IF(HLOOKUP(J613,Summary!$I$2:$AM$7,4,0)=0,"",HLOOKUP(J613,Summary!$I$2:$AM$7,4,0))</f>
        <v/>
      </c>
      <c r="K617" s="71" t="str">
        <f ca="1">IFERROR(VLOOKUP(J617,fixed_expenses[],2,0),"")</f>
        <v/>
      </c>
      <c r="L617" s="17" t="str">
        <f ca="1">IF(HLOOKUP(L613,Summary!$I$2:$AM$7,4,0)=0,"",HLOOKUP(L613,Summary!$I$2:$AM$7,4,0))</f>
        <v/>
      </c>
      <c r="M617" s="71" t="str">
        <f ca="1">IFERROR(VLOOKUP(L617,fixed_expenses[],2,0),"")</f>
        <v/>
      </c>
      <c r="N617" s="17" t="str">
        <f ca="1">IF(HLOOKUP(N613,Summary!$I$2:$AM$7,4,0)=0,"",HLOOKUP(N613,Summary!$I$2:$AM$7,4,0))</f>
        <v/>
      </c>
      <c r="O617" s="71" t="str">
        <f ca="1">IFERROR(VLOOKUP(N617,fixed_expenses[],2,0),"")</f>
        <v/>
      </c>
      <c r="P617" s="22"/>
    </row>
    <row r="618" spans="1:16" ht="11.25" customHeight="1" x14ac:dyDescent="0.2">
      <c r="B618" s="17" t="str">
        <f ca="1">IF(HLOOKUP(B613,Summary!$I$2:$AM$7,5,0)=0,"",HLOOKUP(B613,Summary!$I$2:$AM$7,5,0))</f>
        <v/>
      </c>
      <c r="C618" s="71" t="str">
        <f ca="1">IFERROR(VLOOKUP(B618,fixed_expenses[],2,0),"")</f>
        <v/>
      </c>
      <c r="D618" s="17" t="str">
        <f ca="1">IF(HLOOKUP(D613,Summary!$I$2:$AM$7,5,0)=0,"",HLOOKUP(D613,Summary!$I$2:$AM$7,5,0))</f>
        <v/>
      </c>
      <c r="E618" s="71" t="str">
        <f ca="1">IFERROR(VLOOKUP(D618,fixed_expenses[],2,0),"")</f>
        <v/>
      </c>
      <c r="F618" s="17" t="str">
        <f ca="1">IF(HLOOKUP(F613,Summary!$I$2:$AM$7,5,0)=0,"",HLOOKUP(F613,Summary!$I$2:$AM$7,5,0))</f>
        <v/>
      </c>
      <c r="G618" s="71" t="str">
        <f ca="1">IFERROR(VLOOKUP(F618,fixed_expenses[],2,0),"")</f>
        <v/>
      </c>
      <c r="H618" s="17" t="str">
        <f ca="1">IF(HLOOKUP(H613,Summary!$I$2:$AM$7,5,0)=0,"",HLOOKUP(H613,Summary!$I$2:$AM$7,5,0))</f>
        <v/>
      </c>
      <c r="I618" s="71" t="str">
        <f ca="1">IFERROR(VLOOKUP(H618,fixed_expenses[],2,0),"")</f>
        <v/>
      </c>
      <c r="J618" s="17" t="str">
        <f ca="1">IF(HLOOKUP(J613,Summary!$I$2:$AM$7,5,0)=0,"",HLOOKUP(J613,Summary!$I$2:$AM$7,5,0))</f>
        <v/>
      </c>
      <c r="K618" s="71" t="str">
        <f ca="1">IFERROR(VLOOKUP(J618,fixed_expenses[],2,0),"")</f>
        <v/>
      </c>
      <c r="L618" s="17" t="str">
        <f ca="1">IF(HLOOKUP(L613,Summary!$I$2:$AM$7,5,0)=0,"",HLOOKUP(L613,Summary!$I$2:$AM$7,5,0))</f>
        <v/>
      </c>
      <c r="M618" s="71" t="str">
        <f ca="1">IFERROR(VLOOKUP(L618,fixed_expenses[],2,0),"")</f>
        <v/>
      </c>
      <c r="N618" s="17" t="str">
        <f ca="1">IF(HLOOKUP(N613,Summary!$I$2:$AM$7,5,0)=0,"",HLOOKUP(N613,Summary!$I$2:$AM$7,5,0))</f>
        <v/>
      </c>
      <c r="O618" s="71" t="str">
        <f ca="1">IFERROR(VLOOKUP(N618,fixed_expenses[],2,0),"")</f>
        <v/>
      </c>
      <c r="P618" s="22"/>
    </row>
    <row r="619" spans="1:16" ht="11.25" customHeight="1" x14ac:dyDescent="0.2">
      <c r="B619" s="17" t="str">
        <f ca="1">IF(HLOOKUP(B613,Summary!$I$2:$AM$7,6,0)=0,"",HLOOKUP(B613,Summary!$I$2:$AM$7,6,0))</f>
        <v/>
      </c>
      <c r="C619" s="71" t="str">
        <f ca="1">IFERROR(VLOOKUP(B619,fixed_expenses[],2,0),"")</f>
        <v/>
      </c>
      <c r="D619" s="17" t="str">
        <f ca="1">IF(HLOOKUP(D613,Summary!$I$2:$AM$7,6,0)=0,"",HLOOKUP(D613,Summary!$I$2:$AM$7,6,0))</f>
        <v/>
      </c>
      <c r="E619" s="71" t="str">
        <f ca="1">IFERROR(VLOOKUP(D619,fixed_expenses[],2,0),"")</f>
        <v/>
      </c>
      <c r="F619" s="17" t="str">
        <f ca="1">IF(HLOOKUP(F613,Summary!$I$2:$AM$7,6,0)=0,"",HLOOKUP(F613,Summary!$I$2:$AM$7,6,0))</f>
        <v/>
      </c>
      <c r="G619" s="71" t="str">
        <f ca="1">IFERROR(VLOOKUP(F619,fixed_expenses[],2,0),"")</f>
        <v/>
      </c>
      <c r="H619" s="17" t="str">
        <f ca="1">IF(HLOOKUP(H613,Summary!$I$2:$AM$7,6,0)=0,"",HLOOKUP(H613,Summary!$I$2:$AM$7,6,0))</f>
        <v/>
      </c>
      <c r="I619" s="71" t="str">
        <f ca="1">IFERROR(VLOOKUP(H619,fixed_expenses[],2,0),"")</f>
        <v/>
      </c>
      <c r="J619" s="17" t="str">
        <f ca="1">IF(HLOOKUP(J613,Summary!$I$2:$AM$7,6,0)=0,"",HLOOKUP(J613,Summary!$I$2:$AM$7,6,0))</f>
        <v/>
      </c>
      <c r="K619" s="71" t="str">
        <f ca="1">IFERROR(VLOOKUP(J619,fixed_expenses[],2,0),"")</f>
        <v/>
      </c>
      <c r="L619" s="17" t="str">
        <f ca="1">IF(HLOOKUP(L613,Summary!$I$2:$AM$7,6,0)=0,"",HLOOKUP(L613,Summary!$I$2:$AM$7,6,0))</f>
        <v/>
      </c>
      <c r="M619" s="71" t="str">
        <f ca="1">IFERROR(VLOOKUP(L619,fixed_expenses[],2,0),"")</f>
        <v/>
      </c>
      <c r="N619" s="17" t="str">
        <f ca="1">IF(HLOOKUP(N613,Summary!$I$2:$AM$7,6,0)=0,"",HLOOKUP(N613,Summary!$I$2:$AM$7,6,0))</f>
        <v/>
      </c>
      <c r="O619" s="71" t="str">
        <f ca="1">IFERROR(VLOOKUP(N619,fixed_expenses[],2,0),"")</f>
        <v/>
      </c>
      <c r="P619" s="22"/>
    </row>
    <row r="620" spans="1:16" ht="11.25" customHeight="1" x14ac:dyDescent="0.2">
      <c r="A620" s="43" t="s">
        <v>293</v>
      </c>
      <c r="B620" s="26" t="s">
        <v>8</v>
      </c>
      <c r="C620" s="27">
        <f ca="1">SUM(C615:C619)</f>
        <v>0</v>
      </c>
      <c r="D620" s="26"/>
      <c r="E620" s="27">
        <f ca="1">SUM(E615:E619)</f>
        <v>0</v>
      </c>
      <c r="F620" s="26"/>
      <c r="G620" s="27">
        <f ca="1">SUM(G615:G619)</f>
        <v>0</v>
      </c>
      <c r="H620" s="26"/>
      <c r="I620" s="27">
        <f ca="1">SUM(I615:I619)</f>
        <v>0</v>
      </c>
      <c r="J620" s="26"/>
      <c r="K620" s="27">
        <f ca="1">SUM(K615:K619)</f>
        <v>0</v>
      </c>
      <c r="L620" s="26"/>
      <c r="M620" s="27">
        <f ca="1">SUM(M615:M619)</f>
        <v>232</v>
      </c>
      <c r="N620" s="26"/>
      <c r="O620" s="28">
        <f ca="1">SUM(O615:O619)</f>
        <v>0</v>
      </c>
      <c r="P620" s="29">
        <f ca="1">SUM(C620,E620,G620,I620,K620,M620,O620)</f>
        <v>232</v>
      </c>
    </row>
    <row r="621" spans="1:16" x14ac:dyDescent="0.2">
      <c r="B621" s="6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6"/>
    </row>
    <row r="622" spans="1:16" ht="15" customHeight="1" x14ac:dyDescent="0.2">
      <c r="A622" s="43" t="s">
        <v>278</v>
      </c>
      <c r="B622" s="12">
        <f ca="1">DAY(IF(DAY(NovSun1)=1,NovSun1+22,NovSun1+29))</f>
        <v>28</v>
      </c>
      <c r="C622" s="13"/>
      <c r="D622" s="12">
        <f ca="1">DAY(IF(DAY(NovSun1)=1,NovSun1+23,NovSun1+30))</f>
        <v>29</v>
      </c>
      <c r="E622" s="13"/>
      <c r="F622" s="12">
        <f ca="1">DAY(IF(DAY(NovSun1)=1,NovSun1+24,NovSun1+31))</f>
        <v>30</v>
      </c>
      <c r="G622" s="13"/>
      <c r="H622" s="12">
        <f ca="1">DAY(IF(DAY(NovSun1)=1,NovSun1+25,NovSun1+32))</f>
        <v>1</v>
      </c>
      <c r="I622" s="13"/>
      <c r="J622" s="12">
        <f ca="1">DAY(IF(DAY(NovSun1)=1,NovSun1+26,NovSun1+33))</f>
        <v>2</v>
      </c>
      <c r="K622" s="13"/>
      <c r="L622" s="12">
        <f ca="1">DAY(IF(DAY(NovSun1)=1,NovSun1+27,NovSun1+34))</f>
        <v>3</v>
      </c>
      <c r="M622" s="13"/>
      <c r="N622" s="12">
        <f ca="1">DAY(IF(DAY(NovSun1)=1,NovSun1+28,NovSun1+35))</f>
        <v>4</v>
      </c>
      <c r="O622" s="13"/>
      <c r="P622" s="25"/>
    </row>
    <row r="623" spans="1:16" ht="11.25" customHeight="1" x14ac:dyDescent="0.2">
      <c r="A623" s="43" t="s">
        <v>125</v>
      </c>
      <c r="B623" s="37" t="s">
        <v>9</v>
      </c>
      <c r="C623" s="39" t="s">
        <v>10</v>
      </c>
      <c r="D623" s="37" t="s">
        <v>9</v>
      </c>
      <c r="E623" s="39" t="s">
        <v>10</v>
      </c>
      <c r="F623" s="37" t="s">
        <v>9</v>
      </c>
      <c r="G623" s="39" t="s">
        <v>10</v>
      </c>
      <c r="H623" s="37" t="s">
        <v>9</v>
      </c>
      <c r="I623" s="39" t="s">
        <v>10</v>
      </c>
      <c r="J623" s="37" t="s">
        <v>9</v>
      </c>
      <c r="K623" s="39" t="s">
        <v>10</v>
      </c>
      <c r="L623" s="37" t="s">
        <v>9</v>
      </c>
      <c r="M623" s="39" t="s">
        <v>10</v>
      </c>
      <c r="N623" s="37" t="s">
        <v>9</v>
      </c>
      <c r="O623" s="40" t="s">
        <v>10</v>
      </c>
      <c r="P623" s="22"/>
    </row>
    <row r="624" spans="1:16" ht="11.25" customHeight="1" x14ac:dyDescent="0.2">
      <c r="A624" s="43" t="s">
        <v>228</v>
      </c>
      <c r="B624" s="17" t="str">
        <f ca="1">IF(HLOOKUP(B622,Summary!$I$2:$AM$7,2,0)=0,"",HLOOKUP(B622,Summary!$I$2:$AM$7,2,0))</f>
        <v/>
      </c>
      <c r="C624" s="71" t="str">
        <f ca="1">IFERROR(VLOOKUP(B624,fixed_expenses[],2,0),"")</f>
        <v/>
      </c>
      <c r="D624" s="17" t="str">
        <f ca="1">IF(HLOOKUP(D622,Summary!$I$2:$AM$7,2,0)=0,"",HLOOKUP(D622,Summary!$I$2:$AM$7,2,0))</f>
        <v/>
      </c>
      <c r="E624" s="71" t="str">
        <f ca="1">IFERROR(VLOOKUP(D624,fixed_expenses[],2,0),"")</f>
        <v/>
      </c>
      <c r="F624" s="17" t="str">
        <f ca="1">IF(HLOOKUP(F622,Summary!$I$2:$AM$7,2,0)=0,"",HLOOKUP(F622,Summary!$I$2:$AM$7,2,0))</f>
        <v/>
      </c>
      <c r="G624" s="71" t="str">
        <f ca="1">IFERROR(VLOOKUP(F624,fixed_expenses[],2,0),"")</f>
        <v/>
      </c>
      <c r="H624" s="17" t="str">
        <f ca="1">IF(HLOOKUP(H622,Summary!$I$2:$AM$7,2,0)=0,"",HLOOKUP(H622,Summary!$I$2:$AM$7,2,0))</f>
        <v/>
      </c>
      <c r="I624" s="71" t="str">
        <f ca="1">IFERROR(VLOOKUP(H624,fixed_expenses[],2,0),"")</f>
        <v/>
      </c>
      <c r="J624" s="17" t="str">
        <f ca="1">IF(HLOOKUP(J622,Summary!$I$2:$AM$7,2,0)=0,"",HLOOKUP(J622,Summary!$I$2:$AM$7,2,0))</f>
        <v/>
      </c>
      <c r="K624" s="71" t="str">
        <f ca="1">IFERROR(VLOOKUP(J624,fixed_expenses[],2,0),"")</f>
        <v/>
      </c>
      <c r="L624" s="17" t="str">
        <f ca="1">IF(HLOOKUP(L622,Summary!$I$2:$AM$7,2,0)=0,"",HLOOKUP(L622,Summary!$I$2:$AM$7,2,0))</f>
        <v>Rent</v>
      </c>
      <c r="M624" s="71">
        <f ca="1">IFERROR(VLOOKUP(L624,fixed_expenses[],2,0),"")</f>
        <v>1200</v>
      </c>
      <c r="N624" s="17" t="str">
        <f ca="1">IF(HLOOKUP(N622,Summary!$I$2:$AM$7,2,0)=0,"",HLOOKUP(N622,Summary!$I$2:$AM$7,2,0))</f>
        <v/>
      </c>
      <c r="O624" s="71" t="str">
        <f ca="1">IFERROR(VLOOKUP(N624,fixed_expenses[],2,0),"")</f>
        <v/>
      </c>
      <c r="P624" s="22"/>
    </row>
    <row r="625" spans="1:16" ht="11.25" customHeight="1" x14ac:dyDescent="0.2">
      <c r="B625" s="17" t="str">
        <f ca="1">IF(HLOOKUP(B622,Summary!$I$2:$AM$7,3,0)=0,"",HLOOKUP(B622,Summary!$I$2:$AM$7,3,0))</f>
        <v/>
      </c>
      <c r="C625" s="71" t="str">
        <f ca="1">IFERROR(VLOOKUP(B625,fixed_expenses[],2,0),"")</f>
        <v/>
      </c>
      <c r="D625" s="17" t="str">
        <f ca="1">IF(HLOOKUP(D622,Summary!$I$2:$AM$7,3,0)=0,"",HLOOKUP(D622,Summary!$I$2:$AM$7,3,0))</f>
        <v/>
      </c>
      <c r="E625" s="71" t="str">
        <f ca="1">IFERROR(VLOOKUP(D625,fixed_expenses[],2,0),"")</f>
        <v/>
      </c>
      <c r="F625" s="17" t="str">
        <f ca="1">IF(HLOOKUP(F622,Summary!$I$2:$AM$7,3,0)=0,"",HLOOKUP(F622,Summary!$I$2:$AM$7,3,0))</f>
        <v/>
      </c>
      <c r="G625" s="71" t="str">
        <f ca="1">IFERROR(VLOOKUP(F625,fixed_expenses[],2,0),"")</f>
        <v/>
      </c>
      <c r="H625" s="17" t="str">
        <f ca="1">IF(HLOOKUP(H622,Summary!$I$2:$AM$7,3,0)=0,"",HLOOKUP(H622,Summary!$I$2:$AM$7,3,0))</f>
        <v/>
      </c>
      <c r="I625" s="71" t="str">
        <f ca="1">IFERROR(VLOOKUP(H625,fixed_expenses[],2,0),"")</f>
        <v/>
      </c>
      <c r="J625" s="17" t="str">
        <f ca="1">IF(HLOOKUP(J622,Summary!$I$2:$AM$7,3,0)=0,"",HLOOKUP(J622,Summary!$I$2:$AM$7,3,0))</f>
        <v/>
      </c>
      <c r="K625" s="71" t="str">
        <f ca="1">IFERROR(VLOOKUP(J625,fixed_expenses[],2,0),"")</f>
        <v/>
      </c>
      <c r="L625" s="17" t="str">
        <f ca="1">IF(HLOOKUP(L622,Summary!$I$2:$AM$7,3,0)=0,"",HLOOKUP(L622,Summary!$I$2:$AM$7,3,0))</f>
        <v/>
      </c>
      <c r="M625" s="71" t="str">
        <f ca="1">IFERROR(VLOOKUP(L625,fixed_expenses[],2,0),"")</f>
        <v/>
      </c>
      <c r="N625" s="17" t="str">
        <f ca="1">IF(HLOOKUP(N622,Summary!$I$2:$AM$7,3,0)=0,"",HLOOKUP(N622,Summary!$I$2:$AM$7,3,0))</f>
        <v/>
      </c>
      <c r="O625" s="71" t="str">
        <f ca="1">IFERROR(VLOOKUP(N625,fixed_expenses[],2,0),"")</f>
        <v/>
      </c>
      <c r="P625" s="22"/>
    </row>
    <row r="626" spans="1:16" ht="11.25" customHeight="1" x14ac:dyDescent="0.2">
      <c r="B626" s="17" t="str">
        <f ca="1">IF(HLOOKUP(B622,Summary!$I$2:$AM$7,4,0)=0,"",HLOOKUP(B622,Summary!$I$2:$AM$7,4,0))</f>
        <v/>
      </c>
      <c r="C626" s="71" t="str">
        <f ca="1">IFERROR(VLOOKUP(B626,fixed_expenses[],2,0),"")</f>
        <v/>
      </c>
      <c r="D626" s="17" t="str">
        <f ca="1">IF(HLOOKUP(D622,Summary!$I$2:$AM$7,4,0)=0,"",HLOOKUP(D622,Summary!$I$2:$AM$7,4,0))</f>
        <v/>
      </c>
      <c r="E626" s="71" t="str">
        <f ca="1">IFERROR(VLOOKUP(D626,fixed_expenses[],2,0),"")</f>
        <v/>
      </c>
      <c r="F626" s="17" t="str">
        <f ca="1">IF(HLOOKUP(F622,Summary!$I$2:$AM$7,4,0)=0,"",HLOOKUP(F622,Summary!$I$2:$AM$7,4,0))</f>
        <v/>
      </c>
      <c r="G626" s="71" t="str">
        <f ca="1">IFERROR(VLOOKUP(F626,fixed_expenses[],2,0),"")</f>
        <v/>
      </c>
      <c r="H626" s="17" t="str">
        <f ca="1">IF(HLOOKUP(H622,Summary!$I$2:$AM$7,4,0)=0,"",HLOOKUP(H622,Summary!$I$2:$AM$7,4,0))</f>
        <v/>
      </c>
      <c r="I626" s="71" t="str">
        <f ca="1">IFERROR(VLOOKUP(H626,fixed_expenses[],2,0),"")</f>
        <v/>
      </c>
      <c r="J626" s="17" t="str">
        <f ca="1">IF(HLOOKUP(J622,Summary!$I$2:$AM$7,4,0)=0,"",HLOOKUP(J622,Summary!$I$2:$AM$7,4,0))</f>
        <v/>
      </c>
      <c r="K626" s="71" t="str">
        <f ca="1">IFERROR(VLOOKUP(J626,fixed_expenses[],2,0),"")</f>
        <v/>
      </c>
      <c r="L626" s="17" t="str">
        <f ca="1">IF(HLOOKUP(L622,Summary!$I$2:$AM$7,4,0)=0,"",HLOOKUP(L622,Summary!$I$2:$AM$7,4,0))</f>
        <v/>
      </c>
      <c r="M626" s="71" t="str">
        <f ca="1">IFERROR(VLOOKUP(L626,fixed_expenses[],2,0),"")</f>
        <v/>
      </c>
      <c r="N626" s="17" t="str">
        <f ca="1">IF(HLOOKUP(N622,Summary!$I$2:$AM$7,4,0)=0,"",HLOOKUP(N622,Summary!$I$2:$AM$7,4,0))</f>
        <v/>
      </c>
      <c r="O626" s="71" t="str">
        <f ca="1">IFERROR(VLOOKUP(N626,fixed_expenses[],2,0),"")</f>
        <v/>
      </c>
      <c r="P626" s="22"/>
    </row>
    <row r="627" spans="1:16" ht="11.25" customHeight="1" x14ac:dyDescent="0.2">
      <c r="B627" s="17" t="str">
        <f ca="1">IF(HLOOKUP(B622,Summary!$I$2:$AM$7,5,0)=0,"",HLOOKUP(B622,Summary!$I$2:$AM$7,5,0))</f>
        <v/>
      </c>
      <c r="C627" s="71" t="str">
        <f ca="1">IFERROR(VLOOKUP(B627,fixed_expenses[],2,0),"")</f>
        <v/>
      </c>
      <c r="D627" s="17" t="str">
        <f ca="1">IF(HLOOKUP(D622,Summary!$I$2:$AM$7,5,0)=0,"",HLOOKUP(D622,Summary!$I$2:$AM$7,5,0))</f>
        <v/>
      </c>
      <c r="E627" s="71" t="str">
        <f ca="1">IFERROR(VLOOKUP(D627,fixed_expenses[],2,0),"")</f>
        <v/>
      </c>
      <c r="F627" s="17" t="str">
        <f ca="1">IF(HLOOKUP(F622,Summary!$I$2:$AM$7,5,0)=0,"",HLOOKUP(F622,Summary!$I$2:$AM$7,5,0))</f>
        <v/>
      </c>
      <c r="G627" s="71" t="str">
        <f ca="1">IFERROR(VLOOKUP(F627,fixed_expenses[],2,0),"")</f>
        <v/>
      </c>
      <c r="H627" s="17" t="str">
        <f ca="1">IF(HLOOKUP(H622,Summary!$I$2:$AM$7,5,0)=0,"",HLOOKUP(H622,Summary!$I$2:$AM$7,5,0))</f>
        <v/>
      </c>
      <c r="I627" s="71" t="str">
        <f ca="1">IFERROR(VLOOKUP(H627,fixed_expenses[],2,0),"")</f>
        <v/>
      </c>
      <c r="J627" s="17" t="str">
        <f ca="1">IF(HLOOKUP(J622,Summary!$I$2:$AM$7,5,0)=0,"",HLOOKUP(J622,Summary!$I$2:$AM$7,5,0))</f>
        <v/>
      </c>
      <c r="K627" s="71" t="str">
        <f ca="1">IFERROR(VLOOKUP(J627,fixed_expenses[],2,0),"")</f>
        <v/>
      </c>
      <c r="L627" s="17" t="str">
        <f ca="1">IF(HLOOKUP(L622,Summary!$I$2:$AM$7,5,0)=0,"",HLOOKUP(L622,Summary!$I$2:$AM$7,5,0))</f>
        <v/>
      </c>
      <c r="M627" s="71" t="str">
        <f ca="1">IFERROR(VLOOKUP(L627,fixed_expenses[],2,0),"")</f>
        <v/>
      </c>
      <c r="N627" s="17" t="str">
        <f ca="1">IF(HLOOKUP(N622,Summary!$I$2:$AM$7,5,0)=0,"",HLOOKUP(N622,Summary!$I$2:$AM$7,5,0))</f>
        <v/>
      </c>
      <c r="O627" s="71" t="str">
        <f ca="1">IFERROR(VLOOKUP(N627,fixed_expenses[],2,0),"")</f>
        <v/>
      </c>
      <c r="P627" s="22"/>
    </row>
    <row r="628" spans="1:16" ht="11.25" customHeight="1" x14ac:dyDescent="0.2">
      <c r="B628" s="17" t="str">
        <f ca="1">IF(HLOOKUP(B622,Summary!$I$2:$AM$7,6,0)=0,"",HLOOKUP(B622,Summary!$I$2:$AM$7,6,0))</f>
        <v/>
      </c>
      <c r="C628" s="71" t="str">
        <f ca="1">IFERROR(VLOOKUP(B628,fixed_expenses[],2,0),"")</f>
        <v/>
      </c>
      <c r="D628" s="17" t="str">
        <f ca="1">IF(HLOOKUP(D622,Summary!$I$2:$AM$7,6,0)=0,"",HLOOKUP(D622,Summary!$I$2:$AM$7,6,0))</f>
        <v/>
      </c>
      <c r="E628" s="71" t="str">
        <f ca="1">IFERROR(VLOOKUP(D628,fixed_expenses[],2,0),"")</f>
        <v/>
      </c>
      <c r="F628" s="17" t="str">
        <f ca="1">IF(HLOOKUP(F622,Summary!$I$2:$AM$7,6,0)=0,"",HLOOKUP(F622,Summary!$I$2:$AM$7,6,0))</f>
        <v/>
      </c>
      <c r="G628" s="71" t="str">
        <f ca="1">IFERROR(VLOOKUP(F628,fixed_expenses[],2,0),"")</f>
        <v/>
      </c>
      <c r="H628" s="17" t="str">
        <f ca="1">IF(HLOOKUP(H622,Summary!$I$2:$AM$7,6,0)=0,"",HLOOKUP(H622,Summary!$I$2:$AM$7,6,0))</f>
        <v/>
      </c>
      <c r="I628" s="71" t="str">
        <f ca="1">IFERROR(VLOOKUP(H628,fixed_expenses[],2,0),"")</f>
        <v/>
      </c>
      <c r="J628" s="17" t="str">
        <f ca="1">IF(HLOOKUP(J622,Summary!$I$2:$AM$7,6,0)=0,"",HLOOKUP(J622,Summary!$I$2:$AM$7,6,0))</f>
        <v/>
      </c>
      <c r="K628" s="71" t="str">
        <f ca="1">IFERROR(VLOOKUP(J628,fixed_expenses[],2,0),"")</f>
        <v/>
      </c>
      <c r="L628" s="17" t="str">
        <f ca="1">IF(HLOOKUP(L622,Summary!$I$2:$AM$7,6,0)=0,"",HLOOKUP(L622,Summary!$I$2:$AM$7,6,0))</f>
        <v/>
      </c>
      <c r="M628" s="71" t="str">
        <f ca="1">IFERROR(VLOOKUP(L628,fixed_expenses[],2,0),"")</f>
        <v/>
      </c>
      <c r="N628" s="17" t="str">
        <f ca="1">IF(HLOOKUP(N622,Summary!$I$2:$AM$7,6,0)=0,"",HLOOKUP(N622,Summary!$I$2:$AM$7,6,0))</f>
        <v/>
      </c>
      <c r="O628" s="71" t="str">
        <f ca="1">IFERROR(VLOOKUP(N628,fixed_expenses[],2,0),"")</f>
        <v/>
      </c>
      <c r="P628" s="22"/>
    </row>
    <row r="629" spans="1:16" ht="11.25" customHeight="1" x14ac:dyDescent="0.2">
      <c r="A629" s="43" t="s">
        <v>292</v>
      </c>
      <c r="B629" s="26" t="s">
        <v>8</v>
      </c>
      <c r="C629" s="27">
        <f ca="1">SUM(C624:C628)</f>
        <v>0</v>
      </c>
      <c r="D629" s="26"/>
      <c r="E629" s="27">
        <f ca="1">SUM(E624:E628)</f>
        <v>0</v>
      </c>
      <c r="F629" s="26"/>
      <c r="G629" s="27">
        <f ca="1">SUM(G624:G628)</f>
        <v>0</v>
      </c>
      <c r="H629" s="26"/>
      <c r="I629" s="27">
        <f ca="1">SUM(I624:I628)</f>
        <v>0</v>
      </c>
      <c r="J629" s="26"/>
      <c r="K629" s="27">
        <f ca="1">SUM(K624:K628)</f>
        <v>0</v>
      </c>
      <c r="L629" s="26"/>
      <c r="M629" s="27">
        <f ca="1">SUM(M624:M628)</f>
        <v>1200</v>
      </c>
      <c r="N629" s="18"/>
      <c r="O629" s="28">
        <f ca="1">SUM(O624:O628)</f>
        <v>0</v>
      </c>
      <c r="P629" s="29">
        <f ca="1">SUMIF(B622:N622,"&gt;="&amp;15,C629:O629)</f>
        <v>0</v>
      </c>
    </row>
    <row r="630" spans="1:16" x14ac:dyDescent="0.2">
      <c r="B630" s="6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6"/>
    </row>
    <row r="631" spans="1:16" ht="15" customHeight="1" x14ac:dyDescent="0.2">
      <c r="A631" s="43" t="s">
        <v>279</v>
      </c>
      <c r="B631" s="12">
        <f ca="1">DAY(IF(DAY(NovSun1)=1,NovSun1+29,NovSun1+36))</f>
        <v>5</v>
      </c>
      <c r="C631" s="11"/>
      <c r="D631" s="12">
        <f ca="1">DAY(IF(DAY(NovSun1)=1,NovSun1+30,NovSun1+37))</f>
        <v>6</v>
      </c>
      <c r="E631" s="13"/>
      <c r="F631" s="10">
        <f ca="1">DAY(IF(DAY(NovSun1)=1,NovSun1+31,NovSun1+38))</f>
        <v>7</v>
      </c>
      <c r="G631" s="13"/>
      <c r="H631" s="12">
        <f ca="1">DAY(IF(DAY(NovSun1)=1,NovSun1+32,NovSun1+39))</f>
        <v>8</v>
      </c>
      <c r="I631" s="13"/>
      <c r="J631" s="12">
        <f ca="1">DAY(IF(DAY(NovSun1)=1,NovSun1+33,NovSun1+40))</f>
        <v>9</v>
      </c>
      <c r="K631" s="13"/>
      <c r="L631" s="12">
        <f ca="1">DAY(IF(DAY(NovSun1)=1,NovSun1+34,NovSun1+41))</f>
        <v>10</v>
      </c>
      <c r="M631" s="13"/>
      <c r="N631" s="12">
        <f ca="1">DAY(IF(DAY(NovSun1)=1,NovSun1+35,NovSun1+42))</f>
        <v>11</v>
      </c>
      <c r="O631" s="13"/>
      <c r="P631" s="25"/>
    </row>
    <row r="632" spans="1:16" ht="11.25" customHeight="1" x14ac:dyDescent="0.2">
      <c r="A632" s="43" t="s">
        <v>124</v>
      </c>
      <c r="B632" s="37" t="s">
        <v>9</v>
      </c>
      <c r="C632" s="39" t="s">
        <v>10</v>
      </c>
      <c r="D632" s="37" t="s">
        <v>9</v>
      </c>
      <c r="E632" s="39" t="s">
        <v>10</v>
      </c>
      <c r="F632" s="37" t="s">
        <v>9</v>
      </c>
      <c r="G632" s="39" t="s">
        <v>10</v>
      </c>
      <c r="H632" s="37" t="s">
        <v>9</v>
      </c>
      <c r="I632" s="39" t="s">
        <v>10</v>
      </c>
      <c r="J632" s="37" t="s">
        <v>9</v>
      </c>
      <c r="K632" s="39" t="s">
        <v>10</v>
      </c>
      <c r="L632" s="37" t="s">
        <v>9</v>
      </c>
      <c r="M632" s="39" t="s">
        <v>10</v>
      </c>
      <c r="N632" s="37" t="s">
        <v>9</v>
      </c>
      <c r="O632" s="40" t="s">
        <v>10</v>
      </c>
      <c r="P632" s="22"/>
    </row>
    <row r="633" spans="1:16" ht="11.25" customHeight="1" x14ac:dyDescent="0.2">
      <c r="A633" s="43" t="s">
        <v>229</v>
      </c>
      <c r="B633" s="17" t="str">
        <f ca="1">IF(HLOOKUP(B631,Summary!$I$2:$AM$7,2,0)=0,"",HLOOKUP(B631,Summary!$I$2:$AM$7,2,0))</f>
        <v/>
      </c>
      <c r="C633" s="71" t="str">
        <f ca="1">IFERROR(VLOOKUP(B633,fixed_expenses[],2,0),"")</f>
        <v/>
      </c>
      <c r="D633" s="17" t="str">
        <f ca="1">IF(HLOOKUP(D631,Summary!$I$2:$AM$7,2,0)=0,"",HLOOKUP(D631,Summary!$I$2:$AM$7,2,0))</f>
        <v/>
      </c>
      <c r="E633" s="71" t="str">
        <f ca="1">IFERROR(VLOOKUP(D633,fixed_expenses[],2,0),"")</f>
        <v/>
      </c>
      <c r="F633" s="17" t="str">
        <f ca="1">IF(HLOOKUP(F631,Summary!$I$2:$AM$7,2,0)=0,"",HLOOKUP(F631,Summary!$I$2:$AM$7,2,0))</f>
        <v/>
      </c>
      <c r="G633" s="71" t="str">
        <f ca="1">IFERROR(VLOOKUP(F633,fixed_expenses[],2,0),"")</f>
        <v/>
      </c>
      <c r="H633" s="17" t="str">
        <f ca="1">IF(HLOOKUP(H631,Summary!$I$2:$AM$7,2,0)=0,"",HLOOKUP(H631,Summary!$I$2:$AM$7,2,0))</f>
        <v/>
      </c>
      <c r="I633" s="71" t="str">
        <f ca="1">IFERROR(VLOOKUP(H633,fixed_expenses[],2,0),"")</f>
        <v/>
      </c>
      <c r="J633" s="17" t="str">
        <f ca="1">IF(HLOOKUP(J631,Summary!$I$2:$AM$7,2,0)=0,"",HLOOKUP(J631,Summary!$I$2:$AM$7,2,0))</f>
        <v/>
      </c>
      <c r="K633" s="71" t="str">
        <f ca="1">IFERROR(VLOOKUP(J633,fixed_expenses[],2,0),"")</f>
        <v/>
      </c>
      <c r="L633" s="17" t="str">
        <f ca="1">IF(HLOOKUP(L631,Summary!$I$2:$AM$7,2,0)=0,"",HLOOKUP(L631,Summary!$I$2:$AM$7,2,0))</f>
        <v/>
      </c>
      <c r="M633" s="71" t="str">
        <f ca="1">IFERROR(VLOOKUP(L633,fixed_expenses[],2,0),"")</f>
        <v/>
      </c>
      <c r="N633" s="17" t="str">
        <f ca="1">IF(HLOOKUP(N631,Summary!$I$2:$AM$7,2,0)=0,"",HLOOKUP(N631,Summary!$I$2:$AM$7,2,0))</f>
        <v/>
      </c>
      <c r="O633" s="71" t="str">
        <f ca="1">IFERROR(VLOOKUP(N633,fixed_expenses[],2,0),"")</f>
        <v/>
      </c>
      <c r="P633" s="22"/>
    </row>
    <row r="634" spans="1:16" ht="11.25" customHeight="1" x14ac:dyDescent="0.2">
      <c r="B634" s="17" t="str">
        <f ca="1">IF(HLOOKUP(B631,Summary!$I$2:$AM$7,3,0)=0,"",HLOOKUP(B631,Summary!$I$2:$AM$7,3,0))</f>
        <v/>
      </c>
      <c r="C634" s="71" t="str">
        <f ca="1">IFERROR(VLOOKUP(B634,fixed_expenses[],2,0),"")</f>
        <v/>
      </c>
      <c r="D634" s="17" t="str">
        <f ca="1">IF(HLOOKUP(D631,Summary!$I$2:$AM$7,3,0)=0,"",HLOOKUP(D631,Summary!$I$2:$AM$7,3,0))</f>
        <v/>
      </c>
      <c r="E634" s="71" t="str">
        <f ca="1">IFERROR(VLOOKUP(D634,fixed_expenses[],2,0),"")</f>
        <v/>
      </c>
      <c r="F634" s="17" t="str">
        <f ca="1">IF(HLOOKUP(F631,Summary!$I$2:$AM$7,3,0)=0,"",HLOOKUP(F631,Summary!$I$2:$AM$7,3,0))</f>
        <v/>
      </c>
      <c r="G634" s="71" t="str">
        <f ca="1">IFERROR(VLOOKUP(F634,fixed_expenses[],2,0),"")</f>
        <v/>
      </c>
      <c r="H634" s="17" t="str">
        <f ca="1">IF(HLOOKUP(H631,Summary!$I$2:$AM$7,3,0)=0,"",HLOOKUP(H631,Summary!$I$2:$AM$7,3,0))</f>
        <v/>
      </c>
      <c r="I634" s="71" t="str">
        <f ca="1">IFERROR(VLOOKUP(H634,fixed_expenses[],2,0),"")</f>
        <v/>
      </c>
      <c r="J634" s="17" t="str">
        <f ca="1">IF(HLOOKUP(J631,Summary!$I$2:$AM$7,3,0)=0,"",HLOOKUP(J631,Summary!$I$2:$AM$7,3,0))</f>
        <v/>
      </c>
      <c r="K634" s="71" t="str">
        <f ca="1">IFERROR(VLOOKUP(J634,fixed_expenses[],2,0),"")</f>
        <v/>
      </c>
      <c r="L634" s="17" t="str">
        <f ca="1">IF(HLOOKUP(L631,Summary!$I$2:$AM$7,3,0)=0,"",HLOOKUP(L631,Summary!$I$2:$AM$7,3,0))</f>
        <v/>
      </c>
      <c r="M634" s="71" t="str">
        <f ca="1">IFERROR(VLOOKUP(L634,fixed_expenses[],2,0),"")</f>
        <v/>
      </c>
      <c r="N634" s="17" t="str">
        <f ca="1">IF(HLOOKUP(N631,Summary!$I$2:$AM$7,3,0)=0,"",HLOOKUP(N631,Summary!$I$2:$AM$7,3,0))</f>
        <v/>
      </c>
      <c r="O634" s="71" t="str">
        <f ca="1">IFERROR(VLOOKUP(N634,fixed_expenses[],2,0),"")</f>
        <v/>
      </c>
      <c r="P634" s="22"/>
    </row>
    <row r="635" spans="1:16" ht="11.25" customHeight="1" x14ac:dyDescent="0.2">
      <c r="B635" s="17" t="str">
        <f ca="1">IF(HLOOKUP(B631,Summary!$I$2:$AM$7,4,0)=0,"",HLOOKUP(B631,Summary!$I$2:$AM$7,4,0))</f>
        <v/>
      </c>
      <c r="C635" s="71" t="str">
        <f ca="1">IFERROR(VLOOKUP(B635,fixed_expenses[],2,0),"")</f>
        <v/>
      </c>
      <c r="D635" s="17" t="str">
        <f ca="1">IF(HLOOKUP(D631,Summary!$I$2:$AM$7,4,0)=0,"",HLOOKUP(D631,Summary!$I$2:$AM$7,4,0))</f>
        <v/>
      </c>
      <c r="E635" s="71" t="str">
        <f ca="1">IFERROR(VLOOKUP(D635,fixed_expenses[],2,0),"")</f>
        <v/>
      </c>
      <c r="F635" s="17" t="str">
        <f ca="1">IF(HLOOKUP(F631,Summary!$I$2:$AM$7,4,0)=0,"",HLOOKUP(F631,Summary!$I$2:$AM$7,4,0))</f>
        <v/>
      </c>
      <c r="G635" s="71" t="str">
        <f ca="1">IFERROR(VLOOKUP(F635,fixed_expenses[],2,0),"")</f>
        <v/>
      </c>
      <c r="H635" s="17" t="str">
        <f ca="1">IF(HLOOKUP(H631,Summary!$I$2:$AM$7,4,0)=0,"",HLOOKUP(H631,Summary!$I$2:$AM$7,4,0))</f>
        <v/>
      </c>
      <c r="I635" s="71" t="str">
        <f ca="1">IFERROR(VLOOKUP(H635,fixed_expenses[],2,0),"")</f>
        <v/>
      </c>
      <c r="J635" s="17" t="str">
        <f ca="1">IF(HLOOKUP(J631,Summary!$I$2:$AM$7,4,0)=0,"",HLOOKUP(J631,Summary!$I$2:$AM$7,4,0))</f>
        <v/>
      </c>
      <c r="K635" s="71" t="str">
        <f ca="1">IFERROR(VLOOKUP(J635,fixed_expenses[],2,0),"")</f>
        <v/>
      </c>
      <c r="L635" s="17" t="str">
        <f ca="1">IF(HLOOKUP(L631,Summary!$I$2:$AM$7,4,0)=0,"",HLOOKUP(L631,Summary!$I$2:$AM$7,4,0))</f>
        <v/>
      </c>
      <c r="M635" s="71" t="str">
        <f ca="1">IFERROR(VLOOKUP(L635,fixed_expenses[],2,0),"")</f>
        <v/>
      </c>
      <c r="N635" s="17" t="str">
        <f ca="1">IF(HLOOKUP(N631,Summary!$I$2:$AM$7,4,0)=0,"",HLOOKUP(N631,Summary!$I$2:$AM$7,4,0))</f>
        <v/>
      </c>
      <c r="O635" s="71" t="str">
        <f ca="1">IFERROR(VLOOKUP(N635,fixed_expenses[],2,0),"")</f>
        <v/>
      </c>
      <c r="P635" s="22"/>
    </row>
    <row r="636" spans="1:16" ht="11.25" customHeight="1" x14ac:dyDescent="0.2">
      <c r="B636" s="17" t="str">
        <f ca="1">IF(HLOOKUP(B631,Summary!$I$2:$AM$7,5,0)=0,"",HLOOKUP(B631,Summary!$I$2:$AM$7,5,0))</f>
        <v/>
      </c>
      <c r="C636" s="71" t="str">
        <f ca="1">IFERROR(VLOOKUP(B636,fixed_expenses[],2,0),"")</f>
        <v/>
      </c>
      <c r="D636" s="17" t="str">
        <f ca="1">IF(HLOOKUP(D631,Summary!$I$2:$AM$7,5,0)=0,"",HLOOKUP(D631,Summary!$I$2:$AM$7,5,0))</f>
        <v/>
      </c>
      <c r="E636" s="71" t="str">
        <f ca="1">IFERROR(VLOOKUP(D636,fixed_expenses[],2,0),"")</f>
        <v/>
      </c>
      <c r="F636" s="17" t="str">
        <f ca="1">IF(HLOOKUP(F631,Summary!$I$2:$AM$7,5,0)=0,"",HLOOKUP(F631,Summary!$I$2:$AM$7,5,0))</f>
        <v/>
      </c>
      <c r="G636" s="71" t="str">
        <f ca="1">IFERROR(VLOOKUP(F636,fixed_expenses[],2,0),"")</f>
        <v/>
      </c>
      <c r="H636" s="17" t="str">
        <f ca="1">IF(HLOOKUP(H631,Summary!$I$2:$AM$7,5,0)=0,"",HLOOKUP(H631,Summary!$I$2:$AM$7,5,0))</f>
        <v/>
      </c>
      <c r="I636" s="71" t="str">
        <f ca="1">IFERROR(VLOOKUP(H636,fixed_expenses[],2,0),"")</f>
        <v/>
      </c>
      <c r="J636" s="17" t="str">
        <f ca="1">IF(HLOOKUP(J631,Summary!$I$2:$AM$7,5,0)=0,"",HLOOKUP(J631,Summary!$I$2:$AM$7,5,0))</f>
        <v/>
      </c>
      <c r="K636" s="71" t="str">
        <f ca="1">IFERROR(VLOOKUP(J636,fixed_expenses[],2,0),"")</f>
        <v/>
      </c>
      <c r="L636" s="17" t="str">
        <f ca="1">IF(HLOOKUP(L631,Summary!$I$2:$AM$7,5,0)=0,"",HLOOKUP(L631,Summary!$I$2:$AM$7,5,0))</f>
        <v/>
      </c>
      <c r="M636" s="71" t="str">
        <f ca="1">IFERROR(VLOOKUP(L636,fixed_expenses[],2,0),"")</f>
        <v/>
      </c>
      <c r="N636" s="17" t="str">
        <f ca="1">IF(HLOOKUP(N631,Summary!$I$2:$AM$7,5,0)=0,"",HLOOKUP(N631,Summary!$I$2:$AM$7,5,0))</f>
        <v/>
      </c>
      <c r="O636" s="71" t="str">
        <f ca="1">IFERROR(VLOOKUP(N636,fixed_expenses[],2,0),"")</f>
        <v/>
      </c>
      <c r="P636" s="22"/>
    </row>
    <row r="637" spans="1:16" ht="11.25" customHeight="1" x14ac:dyDescent="0.2">
      <c r="B637" s="17" t="str">
        <f ca="1">IF(HLOOKUP(B631,Summary!$I$2:$AM$7,6,0)=0,"",HLOOKUP(B631,Summary!$I$2:$AM$7,6,0))</f>
        <v/>
      </c>
      <c r="C637" s="71" t="str">
        <f ca="1">IFERROR(VLOOKUP(B637,fixed_expenses[],2,0),"")</f>
        <v/>
      </c>
      <c r="D637" s="17" t="str">
        <f ca="1">IF(HLOOKUP(D631,Summary!$I$2:$AM$7,6,0)=0,"",HLOOKUP(D631,Summary!$I$2:$AM$7,6,0))</f>
        <v/>
      </c>
      <c r="E637" s="71" t="str">
        <f ca="1">IFERROR(VLOOKUP(D637,fixed_expenses[],2,0),"")</f>
        <v/>
      </c>
      <c r="F637" s="17" t="str">
        <f ca="1">IF(HLOOKUP(F631,Summary!$I$2:$AM$7,6,0)=0,"",HLOOKUP(F631,Summary!$I$2:$AM$7,6,0))</f>
        <v/>
      </c>
      <c r="G637" s="71" t="str">
        <f ca="1">IFERROR(VLOOKUP(F637,fixed_expenses[],2,0),"")</f>
        <v/>
      </c>
      <c r="H637" s="17" t="str">
        <f ca="1">IF(HLOOKUP(H631,Summary!$I$2:$AM$7,6,0)=0,"",HLOOKUP(H631,Summary!$I$2:$AM$7,6,0))</f>
        <v/>
      </c>
      <c r="I637" s="71" t="str">
        <f ca="1">IFERROR(VLOOKUP(H637,fixed_expenses[],2,0),"")</f>
        <v/>
      </c>
      <c r="J637" s="17" t="str">
        <f ca="1">IF(HLOOKUP(J631,Summary!$I$2:$AM$7,6,0)=0,"",HLOOKUP(J631,Summary!$I$2:$AM$7,6,0))</f>
        <v/>
      </c>
      <c r="K637" s="71" t="str">
        <f ca="1">IFERROR(VLOOKUP(J637,fixed_expenses[],2,0),"")</f>
        <v/>
      </c>
      <c r="L637" s="17" t="str">
        <f ca="1">IF(HLOOKUP(L631,Summary!$I$2:$AM$7,6,0)=0,"",HLOOKUP(L631,Summary!$I$2:$AM$7,6,0))</f>
        <v/>
      </c>
      <c r="M637" s="71" t="str">
        <f ca="1">IFERROR(VLOOKUP(L637,fixed_expenses[],2,0),"")</f>
        <v/>
      </c>
      <c r="N637" s="17" t="str">
        <f ca="1">IF(HLOOKUP(N631,Summary!$I$2:$AM$7,6,0)=0,"",HLOOKUP(N631,Summary!$I$2:$AM$7,6,0))</f>
        <v/>
      </c>
      <c r="O637" s="71" t="str">
        <f ca="1">IFERROR(VLOOKUP(N637,fixed_expenses[],2,0),"")</f>
        <v/>
      </c>
      <c r="P637" s="22"/>
    </row>
    <row r="638" spans="1:16" ht="11.25" customHeight="1" x14ac:dyDescent="0.2">
      <c r="A638" s="43" t="s">
        <v>291</v>
      </c>
      <c r="B638" s="26" t="s">
        <v>8</v>
      </c>
      <c r="C638" s="27">
        <f ca="1">SUM(C633:C637)</f>
        <v>0</v>
      </c>
      <c r="D638" s="18"/>
      <c r="E638" s="27">
        <f ca="1">SUM(E633:E637)</f>
        <v>0</v>
      </c>
      <c r="F638" s="18"/>
      <c r="G638" s="27">
        <f ca="1">SUM(G633:G637)</f>
        <v>0</v>
      </c>
      <c r="H638" s="18"/>
      <c r="I638" s="27">
        <f ca="1">SUM(I633:I637)</f>
        <v>0</v>
      </c>
      <c r="J638" s="18"/>
      <c r="K638" s="27">
        <f ca="1">SUM(K633:K637)</f>
        <v>0</v>
      </c>
      <c r="L638" s="18"/>
      <c r="M638" s="27">
        <f ca="1">SUM(M633:M637)</f>
        <v>0</v>
      </c>
      <c r="N638" s="18"/>
      <c r="O638" s="28">
        <f ca="1">SUM(O633:O637)</f>
        <v>0</v>
      </c>
      <c r="P638" s="29">
        <f ca="1">SUMIF(B631:N631,"&gt;="&amp;15,C638:O638)</f>
        <v>0</v>
      </c>
    </row>
    <row r="639" spans="1:16" ht="17.25" customHeight="1" x14ac:dyDescent="0.2"/>
    <row r="640" spans="1:16" ht="12" customHeight="1" x14ac:dyDescent="0.2">
      <c r="A640" s="43" t="s">
        <v>80</v>
      </c>
      <c r="B640" s="59" t="s">
        <v>24</v>
      </c>
      <c r="C640" s="59"/>
      <c r="D640" s="59"/>
      <c r="E640" s="59"/>
      <c r="F640"/>
      <c r="G640" s="4"/>
      <c r="H640"/>
      <c r="I640" s="4"/>
      <c r="J640"/>
      <c r="K640" s="4"/>
      <c r="L640" s="45" t="s">
        <v>12</v>
      </c>
      <c r="M640" s="45"/>
      <c r="N640" s="45" t="s">
        <v>13</v>
      </c>
      <c r="O640" s="45"/>
      <c r="P640"/>
    </row>
    <row r="641" spans="1:16" ht="25.5" customHeight="1" x14ac:dyDescent="0.2">
      <c r="A641" s="43" t="s">
        <v>99</v>
      </c>
      <c r="B641" s="59"/>
      <c r="C641" s="59"/>
      <c r="D641" s="59"/>
      <c r="E641" s="59"/>
      <c r="F641" s="3">
        <f ca="1">IFERROR(WEEKDAY(DATEVALUE(B640&amp;" 1, "&amp;Year1)),"")</f>
        <v>4</v>
      </c>
      <c r="G641" s="4"/>
      <c r="H641"/>
      <c r="I641" s="7"/>
      <c r="J641" s="8"/>
      <c r="K641" s="4"/>
      <c r="L641" s="46">
        <f ca="1">SUM(P651,P660,P669,P678,P687,P696)</f>
        <v>1774</v>
      </c>
      <c r="M641" s="47"/>
      <c r="N641" s="46">
        <f ca="1">SUM(P:P)</f>
        <v>21288</v>
      </c>
      <c r="O641" s="48"/>
      <c r="P641"/>
    </row>
    <row r="642" spans="1:16" ht="9" customHeight="1" x14ac:dyDescent="0.2">
      <c r="A642" s="43" t="s">
        <v>361</v>
      </c>
      <c r="B642" s="50">
        <v>1</v>
      </c>
      <c r="C642" s="50"/>
      <c r="D642" s="50">
        <v>2</v>
      </c>
      <c r="E642" s="50"/>
      <c r="F642" s="50">
        <v>3</v>
      </c>
      <c r="G642" s="50"/>
      <c r="H642" s="50">
        <v>4</v>
      </c>
      <c r="I642" s="50"/>
      <c r="J642" s="50">
        <v>5</v>
      </c>
      <c r="K642" s="50"/>
      <c r="L642" s="50">
        <v>6</v>
      </c>
      <c r="M642" s="50"/>
      <c r="N642" s="50">
        <v>7</v>
      </c>
      <c r="O642" s="50"/>
      <c r="P642" s="2"/>
    </row>
    <row r="643" spans="1:16" ht="15" customHeight="1" x14ac:dyDescent="0.2">
      <c r="A643" s="43" t="s">
        <v>100</v>
      </c>
      <c r="B643" s="60" t="s">
        <v>0</v>
      </c>
      <c r="C643" s="61"/>
      <c r="D643" s="62" t="s">
        <v>1</v>
      </c>
      <c r="E643" s="63" t="e">
        <f ca="1">IF(WEEKDAY(DATEVALUE(Month1&amp;" 1, "&amp;Year1))=COLUMN(#REF!),1,IF(LEN(C643)&gt;0,C643+1,""))</f>
        <v>#VALUE!</v>
      </c>
      <c r="F643" s="61" t="s">
        <v>2</v>
      </c>
      <c r="G643" s="61" t="e">
        <f ca="1">IF(WEEKDAY(DATEVALUE(Month1&amp;" 1, "&amp;Year1))=COLUMN(#REF!),1,IF(LEN(E643)&gt;0,E643+1,""))</f>
        <v>#VALUE!</v>
      </c>
      <c r="H643" s="62" t="s">
        <v>3</v>
      </c>
      <c r="I643" s="63" t="e">
        <f ca="1">IF(WEEKDAY(DATEVALUE(Month1&amp;" 1, "&amp;Year1))=COLUMN(#REF!),1,IF(LEN(G643)&gt;0,G643+1,""))</f>
        <v>#VALUE!</v>
      </c>
      <c r="J643" s="64" t="s">
        <v>4</v>
      </c>
      <c r="K643" s="65" t="e">
        <f ca="1">IF(WEEKDAY(DATEVALUE(Month1&amp;" 1, "&amp;Year1))=COLUMN(#REF!),1,IF(LEN(I643)&gt;0,I643+1,""))</f>
        <v>#VALUE!</v>
      </c>
      <c r="L643" s="66" t="s">
        <v>5</v>
      </c>
      <c r="M643" s="67" t="e">
        <f ca="1">IF(WEEKDAY(DATEVALUE(Month1&amp;" 1, "&amp;Year1))=COLUMN(#REF!),1,IF(LEN(K643)&gt;0,K643+1,""))</f>
        <v>#VALUE!</v>
      </c>
      <c r="N643" s="66" t="s">
        <v>6</v>
      </c>
      <c r="O643" s="67" t="e">
        <f ca="1">IF(WEEKDAY(DATEVALUE(Month1&amp;" 1, "&amp;Year1))=COLUMN(#REF!),1,IF(LEN(M643)&gt;0,M643+1,""))</f>
        <v>#VALUE!</v>
      </c>
      <c r="P643" s="42" t="s">
        <v>7</v>
      </c>
    </row>
    <row r="644" spans="1:16" ht="15" customHeight="1" x14ac:dyDescent="0.2">
      <c r="A644" s="43" t="s">
        <v>117</v>
      </c>
      <c r="B644" s="14">
        <f ca="1">DAY(IF(DAY(DecSun1)=1,DecSun1-6,DecSun1+1))</f>
        <v>28</v>
      </c>
      <c r="C644" s="16"/>
      <c r="D644" s="19">
        <f ca="1">DAY(IF(DAY(DecSun1)=1,DecSun1-5,DecSun1+2))</f>
        <v>29</v>
      </c>
      <c r="E644" s="16"/>
      <c r="F644" s="19">
        <f ca="1">DAY(IF(DAY(DecSun1)=1,DecSun1-4,DecSun1+3))</f>
        <v>30</v>
      </c>
      <c r="G644" s="16"/>
      <c r="H644" s="19">
        <f ca="1">DAY(IF(DAY(DecSun1)=1,DecSun1-3,DecSun1+4))</f>
        <v>1</v>
      </c>
      <c r="I644" s="16"/>
      <c r="J644" s="19">
        <f ca="1">DAY(IF(DAY(DecSun1)=1,DecSun1-2,DecSun1+5))</f>
        <v>2</v>
      </c>
      <c r="K644" s="16"/>
      <c r="L644" s="19">
        <f ca="1">DAY(IF(DAY(DecSun1)=1,DecSun1-1,DecSun1+6))</f>
        <v>3</v>
      </c>
      <c r="M644" s="16"/>
      <c r="N644" s="20">
        <f ca="1">DAY(IF(DAY(DecSun1)=1,DecSun1,DecSun1+7))</f>
        <v>4</v>
      </c>
      <c r="O644" s="15"/>
      <c r="P644" s="21"/>
    </row>
    <row r="645" spans="1:16" ht="11.25" customHeight="1" x14ac:dyDescent="0.2">
      <c r="A645" s="43" t="s">
        <v>123</v>
      </c>
      <c r="B645" s="41" t="s">
        <v>9</v>
      </c>
      <c r="C645" s="36" t="s">
        <v>10</v>
      </c>
      <c r="D645" s="35" t="s">
        <v>9</v>
      </c>
      <c r="E645" s="36" t="s">
        <v>10</v>
      </c>
      <c r="F645" s="35" t="s">
        <v>9</v>
      </c>
      <c r="G645" s="36" t="s">
        <v>10</v>
      </c>
      <c r="H645" s="35" t="s">
        <v>9</v>
      </c>
      <c r="I645" s="36" t="s">
        <v>10</v>
      </c>
      <c r="J645" s="35" t="s">
        <v>9</v>
      </c>
      <c r="K645" s="36" t="s">
        <v>10</v>
      </c>
      <c r="L645" s="35" t="s">
        <v>9</v>
      </c>
      <c r="M645" s="36" t="s">
        <v>10</v>
      </c>
      <c r="N645" s="37" t="s">
        <v>9</v>
      </c>
      <c r="O645" s="38" t="s">
        <v>10</v>
      </c>
      <c r="P645" s="22"/>
    </row>
    <row r="646" spans="1:16" ht="11.25" customHeight="1" x14ac:dyDescent="0.2">
      <c r="A646" s="43" t="s">
        <v>362</v>
      </c>
      <c r="B646" s="17" t="str">
        <f ca="1">IF(HLOOKUP(B644,Summary!$I$2:$AM$7,2,0)=0,"",HLOOKUP(B644,Summary!$I$2:$AM$7,2,0))</f>
        <v/>
      </c>
      <c r="C646" s="71" t="str">
        <f ca="1">IFERROR(VLOOKUP(B646,fixed_expenses[],2,0),"")</f>
        <v/>
      </c>
      <c r="D646" s="17" t="str">
        <f ca="1">IF(HLOOKUP(D644,Summary!$I$2:$AM$7,2,0)=0,"",HLOOKUP(D644,Summary!$I$2:$AM$7,2,0))</f>
        <v/>
      </c>
      <c r="E646" s="71" t="str">
        <f ca="1">IFERROR(VLOOKUP(D646,fixed_expenses[],2,0),"")</f>
        <v/>
      </c>
      <c r="F646" s="17" t="str">
        <f ca="1">IF(HLOOKUP(F644,Summary!$I$2:$AM$7,2,0)=0,"",HLOOKUP(F644,Summary!$I$2:$AM$7,2,0))</f>
        <v/>
      </c>
      <c r="G646" s="71" t="str">
        <f ca="1">IFERROR(VLOOKUP(F646,fixed_expenses[],2,0),"")</f>
        <v/>
      </c>
      <c r="H646" s="17" t="str">
        <f ca="1">IF(HLOOKUP(H644,Summary!$I$2:$AM$7,2,0)=0,"",HLOOKUP(H644,Summary!$I$2:$AM$7,2,0))</f>
        <v/>
      </c>
      <c r="I646" s="71" t="str">
        <f ca="1">IFERROR(VLOOKUP(H646,fixed_expenses[],2,0),"")</f>
        <v/>
      </c>
      <c r="J646" s="17" t="str">
        <f ca="1">IF(HLOOKUP(J644,Summary!$I$2:$AM$7,2,0)=0,"",HLOOKUP(J644,Summary!$I$2:$AM$7,2,0))</f>
        <v/>
      </c>
      <c r="K646" s="71" t="str">
        <f ca="1">IFERROR(VLOOKUP(J646,fixed_expenses[],2,0),"")</f>
        <v/>
      </c>
      <c r="L646" s="17" t="str">
        <f ca="1">IF(HLOOKUP(L644,Summary!$I$2:$AM$7,2,0)=0,"",HLOOKUP(L644,Summary!$I$2:$AM$7,2,0))</f>
        <v>Rent</v>
      </c>
      <c r="M646" s="71">
        <f ca="1">IFERROR(VLOOKUP(L646,fixed_expenses[],2,0),"")</f>
        <v>1200</v>
      </c>
      <c r="N646" s="17" t="str">
        <f ca="1">IF(HLOOKUP(N644,Summary!$I$2:$AM$7,2,0)=0,"",HLOOKUP(N644,Summary!$I$2:$AM$7,2,0))</f>
        <v/>
      </c>
      <c r="O646" s="71" t="str">
        <f ca="1">IFERROR(VLOOKUP(N646,fixed_expenses[],2,0),"")</f>
        <v/>
      </c>
      <c r="P646" s="22"/>
    </row>
    <row r="647" spans="1:16" ht="11.25" customHeight="1" x14ac:dyDescent="0.2">
      <c r="B647" s="17" t="str">
        <f ca="1">IF(HLOOKUP(B644,Summary!$I$2:$AM$7,3,0)=0,"",HLOOKUP(B644,Summary!$I$2:$AM$7,3,0))</f>
        <v/>
      </c>
      <c r="C647" s="71" t="str">
        <f ca="1">IFERROR(VLOOKUP(B647,fixed_expenses[],2,0),"")</f>
        <v/>
      </c>
      <c r="D647" s="17" t="str">
        <f ca="1">IF(HLOOKUP(D644,Summary!$I$2:$AM$7,3,0)=0,"",HLOOKUP(D644,Summary!$I$2:$AM$7,3,0))</f>
        <v/>
      </c>
      <c r="E647" s="71" t="str">
        <f ca="1">IFERROR(VLOOKUP(D647,fixed_expenses[],2,0),"")</f>
        <v/>
      </c>
      <c r="F647" s="17" t="str">
        <f ca="1">IF(HLOOKUP(F644,Summary!$I$2:$AM$7,3,0)=0,"",HLOOKUP(F644,Summary!$I$2:$AM$7,3,0))</f>
        <v/>
      </c>
      <c r="G647" s="71" t="str">
        <f ca="1">IFERROR(VLOOKUP(F647,fixed_expenses[],2,0),"")</f>
        <v/>
      </c>
      <c r="H647" s="17" t="str">
        <f ca="1">IF(HLOOKUP(H644,Summary!$I$2:$AM$7,3,0)=0,"",HLOOKUP(H644,Summary!$I$2:$AM$7,3,0))</f>
        <v/>
      </c>
      <c r="I647" s="71" t="str">
        <f ca="1">IFERROR(VLOOKUP(H647,fixed_expenses[],2,0),"")</f>
        <v/>
      </c>
      <c r="J647" s="17" t="str">
        <f ca="1">IF(HLOOKUP(J644,Summary!$I$2:$AM$7,3,0)=0,"",HLOOKUP(J644,Summary!$I$2:$AM$7,3,0))</f>
        <v/>
      </c>
      <c r="K647" s="71" t="str">
        <f ca="1">IFERROR(VLOOKUP(J647,fixed_expenses[],2,0),"")</f>
        <v/>
      </c>
      <c r="L647" s="17" t="str">
        <f ca="1">IF(HLOOKUP(L644,Summary!$I$2:$AM$7,3,0)=0,"",HLOOKUP(L644,Summary!$I$2:$AM$7,3,0))</f>
        <v/>
      </c>
      <c r="M647" s="71" t="str">
        <f ca="1">IFERROR(VLOOKUP(L647,fixed_expenses[],2,0),"")</f>
        <v/>
      </c>
      <c r="N647" s="17" t="str">
        <f ca="1">IF(HLOOKUP(N644,Summary!$I$2:$AM$7,3,0)=0,"",HLOOKUP(N644,Summary!$I$2:$AM$7,3,0))</f>
        <v/>
      </c>
      <c r="O647" s="71" t="str">
        <f ca="1">IFERROR(VLOOKUP(N647,fixed_expenses[],2,0),"")</f>
        <v/>
      </c>
      <c r="P647" s="22"/>
    </row>
    <row r="648" spans="1:16" ht="11.25" customHeight="1" x14ac:dyDescent="0.2">
      <c r="B648" s="17" t="str">
        <f ca="1">IF(HLOOKUP(B644,Summary!$I$2:$AM$7,4,0)=0,"",HLOOKUP(B644,Summary!$I$2:$AM$7,4,0))</f>
        <v/>
      </c>
      <c r="C648" s="71" t="str">
        <f ca="1">IFERROR(VLOOKUP(B648,fixed_expenses[],2,0),"")</f>
        <v/>
      </c>
      <c r="D648" s="17" t="str">
        <f ca="1">IF(HLOOKUP(D644,Summary!$I$2:$AM$7,4,0)=0,"",HLOOKUP(D644,Summary!$I$2:$AM$7,4,0))</f>
        <v/>
      </c>
      <c r="E648" s="71" t="str">
        <f ca="1">IFERROR(VLOOKUP(D648,fixed_expenses[],2,0),"")</f>
        <v/>
      </c>
      <c r="F648" s="17" t="str">
        <f ca="1">IF(HLOOKUP(F644,Summary!$I$2:$AM$7,4,0)=0,"",HLOOKUP(F644,Summary!$I$2:$AM$7,4,0))</f>
        <v/>
      </c>
      <c r="G648" s="71" t="str">
        <f ca="1">IFERROR(VLOOKUP(F648,fixed_expenses[],2,0),"")</f>
        <v/>
      </c>
      <c r="H648" s="17" t="str">
        <f ca="1">IF(HLOOKUP(H644,Summary!$I$2:$AM$7,4,0)=0,"",HLOOKUP(H644,Summary!$I$2:$AM$7,4,0))</f>
        <v/>
      </c>
      <c r="I648" s="71" t="str">
        <f ca="1">IFERROR(VLOOKUP(H648,fixed_expenses[],2,0),"")</f>
        <v/>
      </c>
      <c r="J648" s="17" t="str">
        <f ca="1">IF(HLOOKUP(J644,Summary!$I$2:$AM$7,4,0)=0,"",HLOOKUP(J644,Summary!$I$2:$AM$7,4,0))</f>
        <v/>
      </c>
      <c r="K648" s="71" t="str">
        <f ca="1">IFERROR(VLOOKUP(J648,fixed_expenses[],2,0),"")</f>
        <v/>
      </c>
      <c r="L648" s="17" t="str">
        <f ca="1">IF(HLOOKUP(L644,Summary!$I$2:$AM$7,4,0)=0,"",HLOOKUP(L644,Summary!$I$2:$AM$7,4,0))</f>
        <v/>
      </c>
      <c r="M648" s="71" t="str">
        <f ca="1">IFERROR(VLOOKUP(L648,fixed_expenses[],2,0),"")</f>
        <v/>
      </c>
      <c r="N648" s="17" t="str">
        <f ca="1">IF(HLOOKUP(N644,Summary!$I$2:$AM$7,4,0)=0,"",HLOOKUP(N644,Summary!$I$2:$AM$7,4,0))</f>
        <v/>
      </c>
      <c r="O648" s="71" t="str">
        <f ca="1">IFERROR(VLOOKUP(N648,fixed_expenses[],2,0),"")</f>
        <v/>
      </c>
      <c r="P648" s="22"/>
    </row>
    <row r="649" spans="1:16" ht="11.25" customHeight="1" x14ac:dyDescent="0.2">
      <c r="B649" s="17" t="str">
        <f ca="1">IF(HLOOKUP(B644,Summary!$I$2:$AM$7,5,0)=0,"",HLOOKUP(B644,Summary!$I$2:$AM$7,5,0))</f>
        <v/>
      </c>
      <c r="C649" s="71" t="str">
        <f ca="1">IFERROR(VLOOKUP(B649,fixed_expenses[],2,0),"")</f>
        <v/>
      </c>
      <c r="D649" s="17" t="str">
        <f ca="1">IF(HLOOKUP(D644,Summary!$I$2:$AM$7,5,0)=0,"",HLOOKUP(D644,Summary!$I$2:$AM$7,5,0))</f>
        <v/>
      </c>
      <c r="E649" s="71" t="str">
        <f ca="1">IFERROR(VLOOKUP(D649,fixed_expenses[],2,0),"")</f>
        <v/>
      </c>
      <c r="F649" s="17" t="str">
        <f ca="1">IF(HLOOKUP(F644,Summary!$I$2:$AM$7,5,0)=0,"",HLOOKUP(F644,Summary!$I$2:$AM$7,5,0))</f>
        <v/>
      </c>
      <c r="G649" s="71" t="str">
        <f ca="1">IFERROR(VLOOKUP(F649,fixed_expenses[],2,0),"")</f>
        <v/>
      </c>
      <c r="H649" s="17" t="str">
        <f ca="1">IF(HLOOKUP(H644,Summary!$I$2:$AM$7,5,0)=0,"",HLOOKUP(H644,Summary!$I$2:$AM$7,5,0))</f>
        <v/>
      </c>
      <c r="I649" s="71" t="str">
        <f ca="1">IFERROR(VLOOKUP(H649,fixed_expenses[],2,0),"")</f>
        <v/>
      </c>
      <c r="J649" s="17" t="str">
        <f ca="1">IF(HLOOKUP(J644,Summary!$I$2:$AM$7,5,0)=0,"",HLOOKUP(J644,Summary!$I$2:$AM$7,5,0))</f>
        <v/>
      </c>
      <c r="K649" s="71" t="str">
        <f ca="1">IFERROR(VLOOKUP(J649,fixed_expenses[],2,0),"")</f>
        <v/>
      </c>
      <c r="L649" s="17" t="str">
        <f ca="1">IF(HLOOKUP(L644,Summary!$I$2:$AM$7,5,0)=0,"",HLOOKUP(L644,Summary!$I$2:$AM$7,5,0))</f>
        <v/>
      </c>
      <c r="M649" s="71" t="str">
        <f ca="1">IFERROR(VLOOKUP(L649,fixed_expenses[],2,0),"")</f>
        <v/>
      </c>
      <c r="N649" s="17" t="str">
        <f ca="1">IF(HLOOKUP(N644,Summary!$I$2:$AM$7,5,0)=0,"",HLOOKUP(N644,Summary!$I$2:$AM$7,5,0))</f>
        <v/>
      </c>
      <c r="O649" s="71" t="str">
        <f ca="1">IFERROR(VLOOKUP(N649,fixed_expenses[],2,0),"")</f>
        <v/>
      </c>
      <c r="P649" s="22"/>
    </row>
    <row r="650" spans="1:16" ht="11.25" customHeight="1" x14ac:dyDescent="0.2">
      <c r="B650" s="17" t="str">
        <f ca="1">IF(HLOOKUP(B644,Summary!$I$2:$AM$7,6,0)=0,"",HLOOKUP(B644,Summary!$I$2:$AM$7,6,0))</f>
        <v/>
      </c>
      <c r="C650" s="71" t="str">
        <f ca="1">IFERROR(VLOOKUP(B650,fixed_expenses[],2,0),"")</f>
        <v/>
      </c>
      <c r="D650" s="17" t="str">
        <f ca="1">IF(HLOOKUP(D644,Summary!$I$2:$AM$7,6,0)=0,"",HLOOKUP(D644,Summary!$I$2:$AM$7,6,0))</f>
        <v/>
      </c>
      <c r="E650" s="71" t="str">
        <f ca="1">IFERROR(VLOOKUP(D650,fixed_expenses[],2,0),"")</f>
        <v/>
      </c>
      <c r="F650" s="17" t="str">
        <f ca="1">IF(HLOOKUP(F644,Summary!$I$2:$AM$7,6,0)=0,"",HLOOKUP(F644,Summary!$I$2:$AM$7,6,0))</f>
        <v/>
      </c>
      <c r="G650" s="71" t="str">
        <f ca="1">IFERROR(VLOOKUP(F650,fixed_expenses[],2,0),"")</f>
        <v/>
      </c>
      <c r="H650" s="17" t="str">
        <f ca="1">IF(HLOOKUP(H644,Summary!$I$2:$AM$7,6,0)=0,"",HLOOKUP(H644,Summary!$I$2:$AM$7,6,0))</f>
        <v/>
      </c>
      <c r="I650" s="71" t="str">
        <f ca="1">IFERROR(VLOOKUP(H650,fixed_expenses[],2,0),"")</f>
        <v/>
      </c>
      <c r="J650" s="17" t="str">
        <f ca="1">IF(HLOOKUP(J644,Summary!$I$2:$AM$7,6,0)=0,"",HLOOKUP(J644,Summary!$I$2:$AM$7,6,0))</f>
        <v/>
      </c>
      <c r="K650" s="71" t="str">
        <f ca="1">IFERROR(VLOOKUP(J650,fixed_expenses[],2,0),"")</f>
        <v/>
      </c>
      <c r="L650" s="17" t="str">
        <f ca="1">IF(HLOOKUP(L644,Summary!$I$2:$AM$7,6,0)=0,"",HLOOKUP(L644,Summary!$I$2:$AM$7,6,0))</f>
        <v/>
      </c>
      <c r="M650" s="71" t="str">
        <f ca="1">IFERROR(VLOOKUP(L650,fixed_expenses[],2,0),"")</f>
        <v/>
      </c>
      <c r="N650" s="17" t="str">
        <f ca="1">IF(HLOOKUP(N644,Summary!$I$2:$AM$7,6,0)=0,"",HLOOKUP(N644,Summary!$I$2:$AM$7,6,0))</f>
        <v/>
      </c>
      <c r="O650" s="71" t="str">
        <f ca="1">IFERROR(VLOOKUP(N650,fixed_expenses[],2,0),"")</f>
        <v/>
      </c>
      <c r="P650" s="22"/>
    </row>
    <row r="651" spans="1:16" ht="11.25" customHeight="1" x14ac:dyDescent="0.2">
      <c r="A651" s="43" t="s">
        <v>290</v>
      </c>
      <c r="B651" s="26" t="s">
        <v>8</v>
      </c>
      <c r="C651" s="27">
        <f ca="1">SUM(C646:C650)</f>
        <v>0</v>
      </c>
      <c r="D651" s="26"/>
      <c r="E651" s="27">
        <f ca="1">SUM(E646:E650)</f>
        <v>0</v>
      </c>
      <c r="F651" s="26"/>
      <c r="G651" s="27">
        <f ca="1">SUM(G646:G650)</f>
        <v>0</v>
      </c>
      <c r="H651" s="26"/>
      <c r="I651" s="27">
        <f ca="1">SUM(I646:I650)</f>
        <v>0</v>
      </c>
      <c r="J651" s="26"/>
      <c r="K651" s="27">
        <f ca="1">SUM(K646:K650)</f>
        <v>0</v>
      </c>
      <c r="L651" s="26"/>
      <c r="M651" s="27">
        <f ca="1">SUM(M646:M650)</f>
        <v>1200</v>
      </c>
      <c r="N651" s="26"/>
      <c r="O651" s="28">
        <f ca="1">SUM(O646:O650)</f>
        <v>0</v>
      </c>
      <c r="P651" s="29">
        <f ca="1">SUMIF(B644:N644,"&lt;8",C651:O651)</f>
        <v>1200</v>
      </c>
    </row>
    <row r="652" spans="1:16" x14ac:dyDescent="0.2">
      <c r="B652" s="6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6"/>
    </row>
    <row r="653" spans="1:16" ht="15" customHeight="1" x14ac:dyDescent="0.2">
      <c r="A653" s="43" t="s">
        <v>280</v>
      </c>
      <c r="B653" s="12">
        <f ca="1">N644+1</f>
        <v>5</v>
      </c>
      <c r="C653" s="13"/>
      <c r="D653" s="12">
        <f ca="1">B653+1</f>
        <v>6</v>
      </c>
      <c r="E653" s="13"/>
      <c r="F653" s="12">
        <f ca="1">D653+1</f>
        <v>7</v>
      </c>
      <c r="G653" s="13"/>
      <c r="H653" s="12">
        <f ca="1">F653+1</f>
        <v>8</v>
      </c>
      <c r="I653" s="13"/>
      <c r="J653" s="12">
        <f ca="1">H653+1</f>
        <v>9</v>
      </c>
      <c r="K653" s="13"/>
      <c r="L653" s="12">
        <f ca="1">J653+1</f>
        <v>10</v>
      </c>
      <c r="M653" s="13"/>
      <c r="N653" s="12">
        <f ca="1">L653+1</f>
        <v>11</v>
      </c>
      <c r="O653" s="13"/>
      <c r="P653" s="23"/>
    </row>
    <row r="654" spans="1:16" ht="11.25" customHeight="1" x14ac:dyDescent="0.2">
      <c r="A654" s="43" t="s">
        <v>122</v>
      </c>
      <c r="B654" s="37" t="s">
        <v>9</v>
      </c>
      <c r="C654" s="39" t="s">
        <v>10</v>
      </c>
      <c r="D654" s="37" t="s">
        <v>9</v>
      </c>
      <c r="E654" s="39" t="s">
        <v>10</v>
      </c>
      <c r="F654" s="37" t="s">
        <v>9</v>
      </c>
      <c r="G654" s="39" t="s">
        <v>10</v>
      </c>
      <c r="H654" s="37" t="s">
        <v>9</v>
      </c>
      <c r="I654" s="39" t="s">
        <v>10</v>
      </c>
      <c r="J654" s="37" t="s">
        <v>9</v>
      </c>
      <c r="K654" s="39" t="s">
        <v>10</v>
      </c>
      <c r="L654" s="37" t="s">
        <v>9</v>
      </c>
      <c r="M654" s="39" t="s">
        <v>10</v>
      </c>
      <c r="N654" s="37" t="s">
        <v>9</v>
      </c>
      <c r="O654" s="40" t="s">
        <v>10</v>
      </c>
      <c r="P654" s="22"/>
    </row>
    <row r="655" spans="1:16" ht="11.25" customHeight="1" x14ac:dyDescent="0.2">
      <c r="A655" s="43" t="s">
        <v>230</v>
      </c>
      <c r="B655" s="17" t="str">
        <f ca="1">IF(HLOOKUP(B653,Summary!$I$2:$AM$7,2,0)=0,"",HLOOKUP(B653,Summary!$I$2:$AM$7,2,0))</f>
        <v/>
      </c>
      <c r="C655" s="71" t="str">
        <f ca="1">IFERROR(VLOOKUP(B655,fixed_expenses[],2,0),"")</f>
        <v/>
      </c>
      <c r="D655" s="17" t="str">
        <f ca="1">IF(HLOOKUP(D653,Summary!$I$2:$AM$7,2,0)=0,"",HLOOKUP(D653,Summary!$I$2:$AM$7,2,0))</f>
        <v/>
      </c>
      <c r="E655" s="71" t="str">
        <f ca="1">IFERROR(VLOOKUP(D655,fixed_expenses[],2,0),"")</f>
        <v/>
      </c>
      <c r="F655" s="17" t="str">
        <f ca="1">IF(HLOOKUP(F653,Summary!$I$2:$AM$7,2,0)=0,"",HLOOKUP(F653,Summary!$I$2:$AM$7,2,0))</f>
        <v/>
      </c>
      <c r="G655" s="71" t="str">
        <f ca="1">IFERROR(VLOOKUP(F655,fixed_expenses[],2,0),"")</f>
        <v/>
      </c>
      <c r="H655" s="17" t="str">
        <f ca="1">IF(HLOOKUP(H653,Summary!$I$2:$AM$7,2,0)=0,"",HLOOKUP(H653,Summary!$I$2:$AM$7,2,0))</f>
        <v/>
      </c>
      <c r="I655" s="71" t="str">
        <f ca="1">IFERROR(VLOOKUP(H655,fixed_expenses[],2,0),"")</f>
        <v/>
      </c>
      <c r="J655" s="17" t="str">
        <f ca="1">IF(HLOOKUP(J653,Summary!$I$2:$AM$7,2,0)=0,"",HLOOKUP(J653,Summary!$I$2:$AM$7,2,0))</f>
        <v/>
      </c>
      <c r="K655" s="71" t="str">
        <f ca="1">IFERROR(VLOOKUP(J655,fixed_expenses[],2,0),"")</f>
        <v/>
      </c>
      <c r="L655" s="17" t="s">
        <v>384</v>
      </c>
      <c r="M655" s="71">
        <f>IFERROR(VLOOKUP(L655,fixed_expenses[],2,0),"")</f>
        <v>232</v>
      </c>
      <c r="N655" s="17" t="str">
        <f ca="1">IF(HLOOKUP(N653,Summary!$I$2:$AM$7,2,0)=0,"",HLOOKUP(N653,Summary!$I$2:$AM$7,2,0))</f>
        <v/>
      </c>
      <c r="O655" s="71" t="str">
        <f ca="1">IFERROR(VLOOKUP(N655,fixed_expenses[],2,0),"")</f>
        <v/>
      </c>
      <c r="P655" s="22"/>
    </row>
    <row r="656" spans="1:16" ht="11.25" customHeight="1" x14ac:dyDescent="0.2">
      <c r="B656" s="17" t="str">
        <f ca="1">IF(HLOOKUP(B653,Summary!$I$2:$AM$7,3,0)=0,"",HLOOKUP(B653,Summary!$I$2:$AM$7,3,0))</f>
        <v/>
      </c>
      <c r="C656" s="71" t="str">
        <f ca="1">IFERROR(VLOOKUP(B656,fixed_expenses[],2,0),"")</f>
        <v/>
      </c>
      <c r="D656" s="17" t="str">
        <f ca="1">IF(HLOOKUP(D653,Summary!$I$2:$AM$7,3,0)=0,"",HLOOKUP(D653,Summary!$I$2:$AM$7,3,0))</f>
        <v/>
      </c>
      <c r="E656" s="71" t="str">
        <f ca="1">IFERROR(VLOOKUP(D656,fixed_expenses[],2,0),"")</f>
        <v/>
      </c>
      <c r="F656" s="17" t="str">
        <f ca="1">IF(HLOOKUP(F653,Summary!$I$2:$AM$7,3,0)=0,"",HLOOKUP(F653,Summary!$I$2:$AM$7,3,0))</f>
        <v/>
      </c>
      <c r="G656" s="71" t="str">
        <f ca="1">IFERROR(VLOOKUP(F656,fixed_expenses[],2,0),"")</f>
        <v/>
      </c>
      <c r="H656" s="17" t="str">
        <f ca="1">IF(HLOOKUP(H653,Summary!$I$2:$AM$7,3,0)=0,"",HLOOKUP(H653,Summary!$I$2:$AM$7,3,0))</f>
        <v/>
      </c>
      <c r="I656" s="71" t="str">
        <f ca="1">IFERROR(VLOOKUP(H656,fixed_expenses[],2,0),"")</f>
        <v/>
      </c>
      <c r="J656" s="17" t="str">
        <f ca="1">IF(HLOOKUP(J653,Summary!$I$2:$AM$7,3,0)=0,"",HLOOKUP(J653,Summary!$I$2:$AM$7,3,0))</f>
        <v/>
      </c>
      <c r="K656" s="71" t="str">
        <f ca="1">IFERROR(VLOOKUP(J656,fixed_expenses[],2,0),"")</f>
        <v/>
      </c>
      <c r="L656" s="17" t="str">
        <f ca="1">IF(HLOOKUP(L653,Summary!$I$2:$AM$7,3,0)=0,"",HLOOKUP(L653,Summary!$I$2:$AM$7,3,0))</f>
        <v/>
      </c>
      <c r="M656" s="71" t="str">
        <f ca="1">IFERROR(VLOOKUP(L656,fixed_expenses[],2,0),"")</f>
        <v/>
      </c>
      <c r="N656" s="17" t="str">
        <f ca="1">IF(HLOOKUP(N653,Summary!$I$2:$AM$7,3,0)=0,"",HLOOKUP(N653,Summary!$I$2:$AM$7,3,0))</f>
        <v/>
      </c>
      <c r="O656" s="71" t="str">
        <f ca="1">IFERROR(VLOOKUP(N656,fixed_expenses[],2,0),"")</f>
        <v/>
      </c>
      <c r="P656" s="22"/>
    </row>
    <row r="657" spans="1:16" ht="11.25" customHeight="1" x14ac:dyDescent="0.2">
      <c r="B657" s="17" t="str">
        <f ca="1">IF(HLOOKUP(B653,Summary!$I$2:$AM$7,4,0)=0,"",HLOOKUP(B653,Summary!$I$2:$AM$7,4,0))</f>
        <v/>
      </c>
      <c r="C657" s="71" t="str">
        <f ca="1">IFERROR(VLOOKUP(B657,fixed_expenses[],2,0),"")</f>
        <v/>
      </c>
      <c r="D657" s="17" t="str">
        <f ca="1">IF(HLOOKUP(D653,Summary!$I$2:$AM$7,4,0)=0,"",HLOOKUP(D653,Summary!$I$2:$AM$7,4,0))</f>
        <v/>
      </c>
      <c r="E657" s="71" t="str">
        <f ca="1">IFERROR(VLOOKUP(D657,fixed_expenses[],2,0),"")</f>
        <v/>
      </c>
      <c r="F657" s="17" t="str">
        <f ca="1">IF(HLOOKUP(F653,Summary!$I$2:$AM$7,4,0)=0,"",HLOOKUP(F653,Summary!$I$2:$AM$7,4,0))</f>
        <v/>
      </c>
      <c r="G657" s="71" t="str">
        <f ca="1">IFERROR(VLOOKUP(F657,fixed_expenses[],2,0),"")</f>
        <v/>
      </c>
      <c r="H657" s="17" t="str">
        <f ca="1">IF(HLOOKUP(H653,Summary!$I$2:$AM$7,4,0)=0,"",HLOOKUP(H653,Summary!$I$2:$AM$7,4,0))</f>
        <v/>
      </c>
      <c r="I657" s="71" t="str">
        <f ca="1">IFERROR(VLOOKUP(H657,fixed_expenses[],2,0),"")</f>
        <v/>
      </c>
      <c r="J657" s="17" t="str">
        <f ca="1">IF(HLOOKUP(J653,Summary!$I$2:$AM$7,4,0)=0,"",HLOOKUP(J653,Summary!$I$2:$AM$7,4,0))</f>
        <v/>
      </c>
      <c r="K657" s="71" t="str">
        <f ca="1">IFERROR(VLOOKUP(J657,fixed_expenses[],2,0),"")</f>
        <v/>
      </c>
      <c r="L657" s="17" t="str">
        <f ca="1">IF(HLOOKUP(L653,Summary!$I$2:$AM$7,4,0)=0,"",HLOOKUP(L653,Summary!$I$2:$AM$7,4,0))</f>
        <v/>
      </c>
      <c r="M657" s="71" t="str">
        <f ca="1">IFERROR(VLOOKUP(L657,fixed_expenses[],2,0),"")</f>
        <v/>
      </c>
      <c r="N657" s="17" t="str">
        <f ca="1">IF(HLOOKUP(N653,Summary!$I$2:$AM$7,4,0)=0,"",HLOOKUP(N653,Summary!$I$2:$AM$7,4,0))</f>
        <v/>
      </c>
      <c r="O657" s="71" t="str">
        <f ca="1">IFERROR(VLOOKUP(N657,fixed_expenses[],2,0),"")</f>
        <v/>
      </c>
      <c r="P657" s="22"/>
    </row>
    <row r="658" spans="1:16" ht="11.25" customHeight="1" x14ac:dyDescent="0.2">
      <c r="B658" s="17" t="str">
        <f ca="1">IF(HLOOKUP(B653,Summary!$I$2:$AM$7,5,0)=0,"",HLOOKUP(B653,Summary!$I$2:$AM$7,5,0))</f>
        <v/>
      </c>
      <c r="C658" s="71" t="str">
        <f ca="1">IFERROR(VLOOKUP(B658,fixed_expenses[],2,0),"")</f>
        <v/>
      </c>
      <c r="D658" s="17" t="str">
        <f ca="1">IF(HLOOKUP(D653,Summary!$I$2:$AM$7,5,0)=0,"",HLOOKUP(D653,Summary!$I$2:$AM$7,5,0))</f>
        <v/>
      </c>
      <c r="E658" s="71" t="str">
        <f ca="1">IFERROR(VLOOKUP(D658,fixed_expenses[],2,0),"")</f>
        <v/>
      </c>
      <c r="F658" s="17" t="str">
        <f ca="1">IF(HLOOKUP(F653,Summary!$I$2:$AM$7,5,0)=0,"",HLOOKUP(F653,Summary!$I$2:$AM$7,5,0))</f>
        <v/>
      </c>
      <c r="G658" s="71" t="str">
        <f ca="1">IFERROR(VLOOKUP(F658,fixed_expenses[],2,0),"")</f>
        <v/>
      </c>
      <c r="H658" s="17" t="str">
        <f ca="1">IF(HLOOKUP(H653,Summary!$I$2:$AM$7,5,0)=0,"",HLOOKUP(H653,Summary!$I$2:$AM$7,5,0))</f>
        <v/>
      </c>
      <c r="I658" s="71" t="str">
        <f ca="1">IFERROR(VLOOKUP(H658,fixed_expenses[],2,0),"")</f>
        <v/>
      </c>
      <c r="J658" s="17" t="str">
        <f ca="1">IF(HLOOKUP(J653,Summary!$I$2:$AM$7,5,0)=0,"",HLOOKUP(J653,Summary!$I$2:$AM$7,5,0))</f>
        <v/>
      </c>
      <c r="K658" s="71" t="str">
        <f ca="1">IFERROR(VLOOKUP(J658,fixed_expenses[],2,0),"")</f>
        <v/>
      </c>
      <c r="L658" s="17" t="str">
        <f ca="1">IF(HLOOKUP(L653,Summary!$I$2:$AM$7,5,0)=0,"",HLOOKUP(L653,Summary!$I$2:$AM$7,5,0))</f>
        <v/>
      </c>
      <c r="M658" s="71" t="str">
        <f ca="1">IFERROR(VLOOKUP(L658,fixed_expenses[],2,0),"")</f>
        <v/>
      </c>
      <c r="N658" s="17" t="str">
        <f ca="1">IF(HLOOKUP(N653,Summary!$I$2:$AM$7,5,0)=0,"",HLOOKUP(N653,Summary!$I$2:$AM$7,5,0))</f>
        <v/>
      </c>
      <c r="O658" s="71" t="str">
        <f ca="1">IFERROR(VLOOKUP(N658,fixed_expenses[],2,0),"")</f>
        <v/>
      </c>
      <c r="P658" s="22"/>
    </row>
    <row r="659" spans="1:16" ht="11.25" customHeight="1" x14ac:dyDescent="0.2">
      <c r="B659" s="17" t="str">
        <f ca="1">IF(HLOOKUP(B653,Summary!$I$2:$AM$7,6,0)=0,"",HLOOKUP(B653,Summary!$I$2:$AM$7,6,0))</f>
        <v/>
      </c>
      <c r="C659" s="71" t="str">
        <f ca="1">IFERROR(VLOOKUP(B659,fixed_expenses[],2,0),"")</f>
        <v/>
      </c>
      <c r="D659" s="17" t="str">
        <f ca="1">IF(HLOOKUP(D653,Summary!$I$2:$AM$7,6,0)=0,"",HLOOKUP(D653,Summary!$I$2:$AM$7,6,0))</f>
        <v/>
      </c>
      <c r="E659" s="71" t="str">
        <f ca="1">IFERROR(VLOOKUP(D659,fixed_expenses[],2,0),"")</f>
        <v/>
      </c>
      <c r="F659" s="17" t="str">
        <f ca="1">IF(HLOOKUP(F653,Summary!$I$2:$AM$7,6,0)=0,"",HLOOKUP(F653,Summary!$I$2:$AM$7,6,0))</f>
        <v/>
      </c>
      <c r="G659" s="71" t="str">
        <f ca="1">IFERROR(VLOOKUP(F659,fixed_expenses[],2,0),"")</f>
        <v/>
      </c>
      <c r="H659" s="17" t="str">
        <f ca="1">IF(HLOOKUP(H653,Summary!$I$2:$AM$7,6,0)=0,"",HLOOKUP(H653,Summary!$I$2:$AM$7,6,0))</f>
        <v/>
      </c>
      <c r="I659" s="71" t="str">
        <f ca="1">IFERROR(VLOOKUP(H659,fixed_expenses[],2,0),"")</f>
        <v/>
      </c>
      <c r="J659" s="17" t="str">
        <f ca="1">IF(HLOOKUP(J653,Summary!$I$2:$AM$7,6,0)=0,"",HLOOKUP(J653,Summary!$I$2:$AM$7,6,0))</f>
        <v/>
      </c>
      <c r="K659" s="71" t="str">
        <f ca="1">IFERROR(VLOOKUP(J659,fixed_expenses[],2,0),"")</f>
        <v/>
      </c>
      <c r="L659" s="17" t="str">
        <f ca="1">IF(HLOOKUP(L653,Summary!$I$2:$AM$7,6,0)=0,"",HLOOKUP(L653,Summary!$I$2:$AM$7,6,0))</f>
        <v/>
      </c>
      <c r="M659" s="71" t="str">
        <f ca="1">IFERROR(VLOOKUP(L659,fixed_expenses[],2,0),"")</f>
        <v/>
      </c>
      <c r="N659" s="17" t="str">
        <f ca="1">IF(HLOOKUP(N653,Summary!$I$2:$AM$7,6,0)=0,"",HLOOKUP(N653,Summary!$I$2:$AM$7,6,0))</f>
        <v/>
      </c>
      <c r="O659" s="71" t="str">
        <f ca="1">IFERROR(VLOOKUP(N659,fixed_expenses[],2,0),"")</f>
        <v/>
      </c>
      <c r="P659" s="22"/>
    </row>
    <row r="660" spans="1:16" ht="11.25" customHeight="1" x14ac:dyDescent="0.2">
      <c r="A660" s="43" t="s">
        <v>289</v>
      </c>
      <c r="B660" s="26" t="s">
        <v>8</v>
      </c>
      <c r="C660" s="27">
        <f ca="1">SUM(C655:C659)</f>
        <v>0</v>
      </c>
      <c r="D660" s="26"/>
      <c r="E660" s="27">
        <f ca="1">SUM(E655:E659)</f>
        <v>0</v>
      </c>
      <c r="F660" s="26"/>
      <c r="G660" s="27">
        <f ca="1">SUM(G655:G659)</f>
        <v>0</v>
      </c>
      <c r="H660" s="26"/>
      <c r="I660" s="27">
        <f ca="1">SUM(I655:I659)</f>
        <v>0</v>
      </c>
      <c r="J660" s="26"/>
      <c r="K660" s="27">
        <f ca="1">SUM(K655:K659)</f>
        <v>0</v>
      </c>
      <c r="L660" s="26"/>
      <c r="M660" s="27">
        <f ca="1">SUM(M655:M659)</f>
        <v>232</v>
      </c>
      <c r="N660" s="26"/>
      <c r="O660" s="28">
        <f ca="1">SUM(O655:O659)</f>
        <v>0</v>
      </c>
      <c r="P660" s="29">
        <f ca="1">SUM(C660,E660,G660,I660,K660,M660,O660)</f>
        <v>232</v>
      </c>
    </row>
    <row r="661" spans="1:16" x14ac:dyDescent="0.2">
      <c r="B661" s="6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6"/>
    </row>
    <row r="662" spans="1:16" ht="15" customHeight="1" x14ac:dyDescent="0.2">
      <c r="A662" s="43" t="s">
        <v>281</v>
      </c>
      <c r="B662" s="12">
        <f ca="1">N653+1</f>
        <v>12</v>
      </c>
      <c r="C662" s="13"/>
      <c r="D662" s="12">
        <f ca="1">B662+1</f>
        <v>13</v>
      </c>
      <c r="E662" s="13"/>
      <c r="F662" s="12">
        <f ca="1">D662+1</f>
        <v>14</v>
      </c>
      <c r="G662" s="13"/>
      <c r="H662" s="12">
        <f ca="1">F662+1</f>
        <v>15</v>
      </c>
      <c r="I662" s="13"/>
      <c r="J662" s="12">
        <f ca="1">H662+1</f>
        <v>16</v>
      </c>
      <c r="K662" s="13"/>
      <c r="L662" s="12">
        <f ca="1">J662+1</f>
        <v>17</v>
      </c>
      <c r="M662" s="13"/>
      <c r="N662" s="12">
        <f ca="1">L662+1</f>
        <v>18</v>
      </c>
      <c r="O662" s="13"/>
      <c r="P662" s="24"/>
    </row>
    <row r="663" spans="1:16" ht="11.25" customHeight="1" x14ac:dyDescent="0.2">
      <c r="A663" s="43" t="s">
        <v>121</v>
      </c>
      <c r="B663" s="37" t="s">
        <v>9</v>
      </c>
      <c r="C663" s="39" t="s">
        <v>10</v>
      </c>
      <c r="D663" s="37" t="s">
        <v>9</v>
      </c>
      <c r="E663" s="39" t="s">
        <v>10</v>
      </c>
      <c r="F663" s="37" t="s">
        <v>9</v>
      </c>
      <c r="G663" s="39" t="s">
        <v>10</v>
      </c>
      <c r="H663" s="37" t="s">
        <v>9</v>
      </c>
      <c r="I663" s="39" t="s">
        <v>10</v>
      </c>
      <c r="J663" s="37" t="s">
        <v>9</v>
      </c>
      <c r="K663" s="39" t="s">
        <v>10</v>
      </c>
      <c r="L663" s="37" t="s">
        <v>9</v>
      </c>
      <c r="M663" s="39" t="s">
        <v>10</v>
      </c>
      <c r="N663" s="37" t="s">
        <v>9</v>
      </c>
      <c r="O663" s="40" t="s">
        <v>10</v>
      </c>
      <c r="P663" s="22"/>
    </row>
    <row r="664" spans="1:16" ht="11.25" customHeight="1" x14ac:dyDescent="0.2">
      <c r="A664" s="43" t="s">
        <v>231</v>
      </c>
      <c r="B664" s="17" t="str">
        <f ca="1">IF(HLOOKUP(B662,Summary!$I$2:$AM$7,2,0)=0,"",HLOOKUP(B662,Summary!$I$2:$AM$7,2,0))</f>
        <v/>
      </c>
      <c r="C664" s="71" t="str">
        <f ca="1">IFERROR(VLOOKUP(B664,fixed_expenses[],2,0),"")</f>
        <v/>
      </c>
      <c r="D664" s="17" t="str">
        <f ca="1">IF(HLOOKUP(D662,Summary!$I$2:$AM$7,2,0)=0,"",HLOOKUP(D662,Summary!$I$2:$AM$7,2,0))</f>
        <v/>
      </c>
      <c r="E664" s="71" t="str">
        <f ca="1">IFERROR(VLOOKUP(D664,fixed_expenses[],2,0),"")</f>
        <v/>
      </c>
      <c r="F664" s="17" t="str">
        <f ca="1">IF(HLOOKUP(F662,Summary!$I$2:$AM$7,2,0)=0,"",HLOOKUP(F662,Summary!$I$2:$AM$7,2,0))</f>
        <v/>
      </c>
      <c r="G664" s="71" t="str">
        <f ca="1">IFERROR(VLOOKUP(F664,fixed_expenses[],2,0),"")</f>
        <v/>
      </c>
      <c r="H664" s="17" t="str">
        <f ca="1">IF(HLOOKUP(H662,Summary!$I$2:$AM$7,2,0)=0,"",HLOOKUP(H662,Summary!$I$2:$AM$7,2,0))</f>
        <v>Paul Phone Bill</v>
      </c>
      <c r="I664" s="71">
        <f ca="1">IFERROR(VLOOKUP(H664,fixed_expenses[],2,0),"")</f>
        <v>60</v>
      </c>
      <c r="J664" s="17" t="str">
        <f ca="1">IF(HLOOKUP(J662,Summary!$I$2:$AM$7,2,0)=0,"",HLOOKUP(J662,Summary!$I$2:$AM$7,2,0))</f>
        <v/>
      </c>
      <c r="K664" s="71" t="str">
        <f ca="1">IFERROR(VLOOKUP(J664,fixed_expenses[],2,0),"")</f>
        <v/>
      </c>
      <c r="L664" s="17" t="str">
        <f ca="1">IF(HLOOKUP(L662,Summary!$I$2:$AM$7,2,0)=0,"",HLOOKUP(L662,Summary!$I$2:$AM$7,2,0))</f>
        <v/>
      </c>
      <c r="M664" s="71" t="str">
        <f ca="1">IFERROR(VLOOKUP(L664,fixed_expenses[],2,0),"")</f>
        <v/>
      </c>
      <c r="N664" s="17" t="str">
        <f ca="1">IF(HLOOKUP(N662,Summary!$I$2:$AM$7,2,0)=0,"",HLOOKUP(N662,Summary!$I$2:$AM$7,2,0))</f>
        <v/>
      </c>
      <c r="O664" s="71" t="str">
        <f ca="1">IFERROR(VLOOKUP(N664,fixed_expenses[],2,0),"")</f>
        <v/>
      </c>
      <c r="P664" s="22"/>
    </row>
    <row r="665" spans="1:16" ht="11.25" customHeight="1" x14ac:dyDescent="0.2">
      <c r="B665" s="17" t="str">
        <f ca="1">IF(HLOOKUP(B662,Summary!$I$2:$AM$7,3,0)=0,"",HLOOKUP(B662,Summary!$I$2:$AM$7,3,0))</f>
        <v/>
      </c>
      <c r="C665" s="71" t="str">
        <f ca="1">IFERROR(VLOOKUP(B665,fixed_expenses[],2,0),"")</f>
        <v/>
      </c>
      <c r="D665" s="17" t="str">
        <f ca="1">IF(HLOOKUP(D662,Summary!$I$2:$AM$7,3,0)=0,"",HLOOKUP(D662,Summary!$I$2:$AM$7,3,0))</f>
        <v/>
      </c>
      <c r="E665" s="71" t="str">
        <f ca="1">IFERROR(VLOOKUP(D665,fixed_expenses[],2,0),"")</f>
        <v/>
      </c>
      <c r="F665" s="17" t="str">
        <f ca="1">IF(HLOOKUP(F662,Summary!$I$2:$AM$7,3,0)=0,"",HLOOKUP(F662,Summary!$I$2:$AM$7,3,0))</f>
        <v/>
      </c>
      <c r="G665" s="71" t="str">
        <f ca="1">IFERROR(VLOOKUP(F665,fixed_expenses[],2,0),"")</f>
        <v/>
      </c>
      <c r="H665" s="17" t="str">
        <f ca="1">IF(HLOOKUP(H662,Summary!$I$2:$AM$7,3,0)=0,"",HLOOKUP(H662,Summary!$I$2:$AM$7,3,0))</f>
        <v>Electric</v>
      </c>
      <c r="I665" s="71">
        <f ca="1">IFERROR(VLOOKUP(H665,fixed_expenses[],2,0),"")</f>
        <v>50</v>
      </c>
      <c r="J665" s="17" t="str">
        <f ca="1">IF(HLOOKUP(J662,Summary!$I$2:$AM$7,3,0)=0,"",HLOOKUP(J662,Summary!$I$2:$AM$7,3,0))</f>
        <v/>
      </c>
      <c r="K665" s="71" t="str">
        <f ca="1">IFERROR(VLOOKUP(J665,fixed_expenses[],2,0),"")</f>
        <v/>
      </c>
      <c r="L665" s="17" t="str">
        <f ca="1">IF(HLOOKUP(L662,Summary!$I$2:$AM$7,3,0)=0,"",HLOOKUP(L662,Summary!$I$2:$AM$7,3,0))</f>
        <v/>
      </c>
      <c r="M665" s="71" t="str">
        <f ca="1">IFERROR(VLOOKUP(L665,fixed_expenses[],2,0),"")</f>
        <v/>
      </c>
      <c r="N665" s="17" t="str">
        <f ca="1">IF(HLOOKUP(N662,Summary!$I$2:$AM$7,3,0)=0,"",HLOOKUP(N662,Summary!$I$2:$AM$7,3,0))</f>
        <v/>
      </c>
      <c r="O665" s="71" t="str">
        <f ca="1">IFERROR(VLOOKUP(N665,fixed_expenses[],2,0),"")</f>
        <v/>
      </c>
      <c r="P665" s="22"/>
    </row>
    <row r="666" spans="1:16" ht="11.25" customHeight="1" x14ac:dyDescent="0.2">
      <c r="B666" s="17" t="str">
        <f ca="1">IF(HLOOKUP(B662,Summary!$I$2:$AM$7,4,0)=0,"",HLOOKUP(B662,Summary!$I$2:$AM$7,4,0))</f>
        <v/>
      </c>
      <c r="C666" s="71" t="str">
        <f ca="1">IFERROR(VLOOKUP(B666,fixed_expenses[],2,0),"")</f>
        <v/>
      </c>
      <c r="D666" s="17" t="str">
        <f ca="1">IF(HLOOKUP(D662,Summary!$I$2:$AM$7,4,0)=0,"",HLOOKUP(D662,Summary!$I$2:$AM$7,4,0))</f>
        <v/>
      </c>
      <c r="E666" s="71" t="str">
        <f ca="1">IFERROR(VLOOKUP(D666,fixed_expenses[],2,0),"")</f>
        <v/>
      </c>
      <c r="F666" s="17" t="str">
        <f ca="1">IF(HLOOKUP(F662,Summary!$I$2:$AM$7,4,0)=0,"",HLOOKUP(F662,Summary!$I$2:$AM$7,4,0))</f>
        <v/>
      </c>
      <c r="G666" s="71" t="str">
        <f ca="1">IFERROR(VLOOKUP(F666,fixed_expenses[],2,0),"")</f>
        <v/>
      </c>
      <c r="H666" s="17" t="str">
        <f ca="1">IF(HLOOKUP(H662,Summary!$I$2:$AM$7,4,0)=0,"",HLOOKUP(H662,Summary!$I$2:$AM$7,4,0))</f>
        <v/>
      </c>
      <c r="I666" s="71" t="str">
        <f ca="1">IFERROR(VLOOKUP(H666,fixed_expenses[],2,0),"")</f>
        <v/>
      </c>
      <c r="J666" s="17" t="str">
        <f ca="1">IF(HLOOKUP(J662,Summary!$I$2:$AM$7,4,0)=0,"",HLOOKUP(J662,Summary!$I$2:$AM$7,4,0))</f>
        <v/>
      </c>
      <c r="K666" s="71" t="str">
        <f ca="1">IFERROR(VLOOKUP(J666,fixed_expenses[],2,0),"")</f>
        <v/>
      </c>
      <c r="L666" s="17" t="str">
        <f ca="1">IF(HLOOKUP(L662,Summary!$I$2:$AM$7,4,0)=0,"",HLOOKUP(L662,Summary!$I$2:$AM$7,4,0))</f>
        <v/>
      </c>
      <c r="M666" s="71" t="str">
        <f ca="1">IFERROR(VLOOKUP(L666,fixed_expenses[],2,0),"")</f>
        <v/>
      </c>
      <c r="N666" s="17" t="str">
        <f ca="1">IF(HLOOKUP(N662,Summary!$I$2:$AM$7,4,0)=0,"",HLOOKUP(N662,Summary!$I$2:$AM$7,4,0))</f>
        <v/>
      </c>
      <c r="O666" s="71" t="str">
        <f ca="1">IFERROR(VLOOKUP(N666,fixed_expenses[],2,0),"")</f>
        <v/>
      </c>
      <c r="P666" s="22"/>
    </row>
    <row r="667" spans="1:16" ht="11.25" customHeight="1" x14ac:dyDescent="0.2">
      <c r="B667" s="17" t="str">
        <f ca="1">IF(HLOOKUP(B662,Summary!$I$2:$AM$7,5,0)=0,"",HLOOKUP(B662,Summary!$I$2:$AM$7,5,0))</f>
        <v/>
      </c>
      <c r="C667" s="71" t="str">
        <f ca="1">IFERROR(VLOOKUP(B667,fixed_expenses[],2,0),"")</f>
        <v/>
      </c>
      <c r="D667" s="17" t="str">
        <f ca="1">IF(HLOOKUP(D662,Summary!$I$2:$AM$7,5,0)=0,"",HLOOKUP(D662,Summary!$I$2:$AM$7,5,0))</f>
        <v/>
      </c>
      <c r="E667" s="71" t="str">
        <f ca="1">IFERROR(VLOOKUP(D667,fixed_expenses[],2,0),"")</f>
        <v/>
      </c>
      <c r="F667" s="17" t="str">
        <f ca="1">IF(HLOOKUP(F662,Summary!$I$2:$AM$7,5,0)=0,"",HLOOKUP(F662,Summary!$I$2:$AM$7,5,0))</f>
        <v/>
      </c>
      <c r="G667" s="71" t="str">
        <f ca="1">IFERROR(VLOOKUP(F667,fixed_expenses[],2,0),"")</f>
        <v/>
      </c>
      <c r="H667" s="17" t="str">
        <f ca="1">IF(HLOOKUP(H662,Summary!$I$2:$AM$7,5,0)=0,"",HLOOKUP(H662,Summary!$I$2:$AM$7,5,0))</f>
        <v/>
      </c>
      <c r="I667" s="71" t="str">
        <f ca="1">IFERROR(VLOOKUP(H667,fixed_expenses[],2,0),"")</f>
        <v/>
      </c>
      <c r="J667" s="17" t="str">
        <f ca="1">IF(HLOOKUP(J662,Summary!$I$2:$AM$7,5,0)=0,"",HLOOKUP(J662,Summary!$I$2:$AM$7,5,0))</f>
        <v/>
      </c>
      <c r="K667" s="71" t="str">
        <f ca="1">IFERROR(VLOOKUP(J667,fixed_expenses[],2,0),"")</f>
        <v/>
      </c>
      <c r="L667" s="17" t="str">
        <f ca="1">IF(HLOOKUP(L662,Summary!$I$2:$AM$7,5,0)=0,"",HLOOKUP(L662,Summary!$I$2:$AM$7,5,0))</f>
        <v/>
      </c>
      <c r="M667" s="71" t="str">
        <f ca="1">IFERROR(VLOOKUP(L667,fixed_expenses[],2,0),"")</f>
        <v/>
      </c>
      <c r="N667" s="17" t="str">
        <f ca="1">IF(HLOOKUP(N662,Summary!$I$2:$AM$7,5,0)=0,"",HLOOKUP(N662,Summary!$I$2:$AM$7,5,0))</f>
        <v/>
      </c>
      <c r="O667" s="71" t="str">
        <f ca="1">IFERROR(VLOOKUP(N667,fixed_expenses[],2,0),"")</f>
        <v/>
      </c>
      <c r="P667" s="22"/>
    </row>
    <row r="668" spans="1:16" ht="11.25" customHeight="1" x14ac:dyDescent="0.2">
      <c r="B668" s="17" t="str">
        <f ca="1">IF(HLOOKUP(B662,Summary!$I$2:$AM$7,6,0)=0,"",HLOOKUP(B662,Summary!$I$2:$AM$7,6,0))</f>
        <v/>
      </c>
      <c r="C668" s="71" t="str">
        <f ca="1">IFERROR(VLOOKUP(B668,fixed_expenses[],2,0),"")</f>
        <v/>
      </c>
      <c r="D668" s="17" t="str">
        <f ca="1">IF(HLOOKUP(D662,Summary!$I$2:$AM$7,6,0)=0,"",HLOOKUP(D662,Summary!$I$2:$AM$7,6,0))</f>
        <v/>
      </c>
      <c r="E668" s="71" t="str">
        <f ca="1">IFERROR(VLOOKUP(D668,fixed_expenses[],2,0),"")</f>
        <v/>
      </c>
      <c r="F668" s="17" t="str">
        <f ca="1">IF(HLOOKUP(F662,Summary!$I$2:$AM$7,6,0)=0,"",HLOOKUP(F662,Summary!$I$2:$AM$7,6,0))</f>
        <v/>
      </c>
      <c r="G668" s="71" t="str">
        <f ca="1">IFERROR(VLOOKUP(F668,fixed_expenses[],2,0),"")</f>
        <v/>
      </c>
      <c r="H668" s="17" t="str">
        <f ca="1">IF(HLOOKUP(H662,Summary!$I$2:$AM$7,6,0)=0,"",HLOOKUP(H662,Summary!$I$2:$AM$7,6,0))</f>
        <v/>
      </c>
      <c r="I668" s="71" t="str">
        <f ca="1">IFERROR(VLOOKUP(H668,fixed_expenses[],2,0),"")</f>
        <v/>
      </c>
      <c r="J668" s="17" t="str">
        <f ca="1">IF(HLOOKUP(J662,Summary!$I$2:$AM$7,6,0)=0,"",HLOOKUP(J662,Summary!$I$2:$AM$7,6,0))</f>
        <v/>
      </c>
      <c r="K668" s="71" t="str">
        <f ca="1">IFERROR(VLOOKUP(J668,fixed_expenses[],2,0),"")</f>
        <v/>
      </c>
      <c r="L668" s="17" t="str">
        <f ca="1">IF(HLOOKUP(L662,Summary!$I$2:$AM$7,6,0)=0,"",HLOOKUP(L662,Summary!$I$2:$AM$7,6,0))</f>
        <v/>
      </c>
      <c r="M668" s="71" t="str">
        <f ca="1">IFERROR(VLOOKUP(L668,fixed_expenses[],2,0),"")</f>
        <v/>
      </c>
      <c r="N668" s="17" t="str">
        <f ca="1">IF(HLOOKUP(N662,Summary!$I$2:$AM$7,6,0)=0,"",HLOOKUP(N662,Summary!$I$2:$AM$7,6,0))</f>
        <v/>
      </c>
      <c r="O668" s="71" t="str">
        <f ca="1">IFERROR(VLOOKUP(N668,fixed_expenses[],2,0),"")</f>
        <v/>
      </c>
      <c r="P668" s="22"/>
    </row>
    <row r="669" spans="1:16" ht="11.25" customHeight="1" x14ac:dyDescent="0.2">
      <c r="A669" s="43" t="s">
        <v>288</v>
      </c>
      <c r="B669" s="30" t="s">
        <v>8</v>
      </c>
      <c r="C669" s="27">
        <f ca="1">SUM(C664:C668)</f>
        <v>0</v>
      </c>
      <c r="D669" s="26"/>
      <c r="E669" s="27">
        <f ca="1">SUM(E664:E668)</f>
        <v>0</v>
      </c>
      <c r="F669" s="26"/>
      <c r="G669" s="27">
        <f ca="1">SUM(G664:G668)</f>
        <v>0</v>
      </c>
      <c r="H669" s="26"/>
      <c r="I669" s="27">
        <f ca="1">SUM(I664:I668)</f>
        <v>110</v>
      </c>
      <c r="J669" s="26"/>
      <c r="K669" s="27">
        <f ca="1">SUM(K664:K668)</f>
        <v>0</v>
      </c>
      <c r="L669" s="26"/>
      <c r="M669" s="27">
        <f ca="1">SUM(M664:M668)</f>
        <v>0</v>
      </c>
      <c r="N669" s="26"/>
      <c r="O669" s="28">
        <f ca="1">SUM(O664:O668)</f>
        <v>0</v>
      </c>
      <c r="P669" s="29">
        <f ca="1">SUM(C669,E669,G669,I669,K669,M669,O669)</f>
        <v>110</v>
      </c>
    </row>
    <row r="670" spans="1:16" x14ac:dyDescent="0.2">
      <c r="B670" s="6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6"/>
    </row>
    <row r="671" spans="1:16" ht="15" customHeight="1" x14ac:dyDescent="0.2">
      <c r="A671" s="43" t="s">
        <v>282</v>
      </c>
      <c r="B671" s="12">
        <f ca="1">N662+1</f>
        <v>19</v>
      </c>
      <c r="C671" s="13"/>
      <c r="D671" s="12">
        <f ca="1">B671+1</f>
        <v>20</v>
      </c>
      <c r="E671" s="13"/>
      <c r="F671" s="12">
        <f ca="1">D671+1</f>
        <v>21</v>
      </c>
      <c r="G671" s="13"/>
      <c r="H671" s="12">
        <f ca="1">F671+1</f>
        <v>22</v>
      </c>
      <c r="I671" s="13"/>
      <c r="J671" s="12">
        <f ca="1">H671+1</f>
        <v>23</v>
      </c>
      <c r="K671" s="13"/>
      <c r="L671" s="12">
        <f ca="1">J671+1</f>
        <v>24</v>
      </c>
      <c r="M671" s="13"/>
      <c r="N671" s="12">
        <f ca="1">L671+1</f>
        <v>25</v>
      </c>
      <c r="O671" s="13"/>
      <c r="P671" s="24"/>
    </row>
    <row r="672" spans="1:16" ht="11.25" customHeight="1" x14ac:dyDescent="0.2">
      <c r="A672" s="43" t="s">
        <v>120</v>
      </c>
      <c r="B672" s="37" t="s">
        <v>9</v>
      </c>
      <c r="C672" s="39" t="s">
        <v>10</v>
      </c>
      <c r="D672" s="37" t="s">
        <v>9</v>
      </c>
      <c r="E672" s="39" t="s">
        <v>10</v>
      </c>
      <c r="F672" s="37" t="s">
        <v>9</v>
      </c>
      <c r="G672" s="39" t="s">
        <v>10</v>
      </c>
      <c r="H672" s="37" t="s">
        <v>9</v>
      </c>
      <c r="I672" s="39" t="s">
        <v>10</v>
      </c>
      <c r="J672" s="37" t="s">
        <v>9</v>
      </c>
      <c r="K672" s="39" t="s">
        <v>10</v>
      </c>
      <c r="L672" s="37" t="s">
        <v>9</v>
      </c>
      <c r="M672" s="39" t="s">
        <v>10</v>
      </c>
      <c r="N672" s="37" t="s">
        <v>9</v>
      </c>
      <c r="O672" s="40" t="s">
        <v>10</v>
      </c>
      <c r="P672" s="22"/>
    </row>
    <row r="673" spans="1:16" ht="11.25" customHeight="1" x14ac:dyDescent="0.2">
      <c r="A673" s="43" t="s">
        <v>232</v>
      </c>
      <c r="B673" s="17" t="str">
        <f ca="1">IF(HLOOKUP(B671,Summary!$I$2:$AM$7,2,0)=0,"",HLOOKUP(B671,Summary!$I$2:$AM$7,2,0))</f>
        <v/>
      </c>
      <c r="C673" s="71" t="str">
        <f ca="1">IFERROR(VLOOKUP(B673,fixed_expenses[],2,0),"")</f>
        <v/>
      </c>
      <c r="D673" s="17" t="str">
        <f ca="1">IF(HLOOKUP(D671,Summary!$I$2:$AM$7,2,0)=0,"",HLOOKUP(D671,Summary!$I$2:$AM$7,2,0))</f>
        <v>Lynn Phone Bill</v>
      </c>
      <c r="E673" s="71" t="str">
        <f ca="1">IFERROR(VLOOKUP(D673,fixed_expenses[],2,0),"")</f>
        <v/>
      </c>
      <c r="F673" s="17" t="str">
        <f ca="1">IF(HLOOKUP(F671,Summary!$I$2:$AM$7,2,0)=0,"",HLOOKUP(F671,Summary!$I$2:$AM$7,2,0))</f>
        <v/>
      </c>
      <c r="G673" s="71" t="str">
        <f ca="1">IFERROR(VLOOKUP(F673,fixed_expenses[],2,0),"")</f>
        <v/>
      </c>
      <c r="H673" s="17" t="str">
        <f ca="1">IF(HLOOKUP(H671,Summary!$I$2:$AM$7,2,0)=0,"",HLOOKUP(H671,Summary!$I$2:$AM$7,2,0))</f>
        <v/>
      </c>
      <c r="I673" s="71" t="str">
        <f ca="1">IFERROR(VLOOKUP(H673,fixed_expenses[],2,0),"")</f>
        <v/>
      </c>
      <c r="J673" s="17" t="str">
        <f ca="1">IF(HLOOKUP(J671,Summary!$I$2:$AM$7,2,0)=0,"",HLOOKUP(J671,Summary!$I$2:$AM$7,2,0))</f>
        <v/>
      </c>
      <c r="K673" s="71" t="str">
        <f ca="1">IFERROR(VLOOKUP(J673,fixed_expenses[],2,0),"")</f>
        <v/>
      </c>
      <c r="L673" s="17" t="s">
        <v>384</v>
      </c>
      <c r="M673" s="71">
        <f>IFERROR(VLOOKUP(L673,fixed_expenses[],2,0),"")</f>
        <v>232</v>
      </c>
      <c r="N673" s="17" t="str">
        <f ca="1">IF(HLOOKUP(N671,Summary!$I$2:$AM$7,2,0)=0,"",HLOOKUP(N671,Summary!$I$2:$AM$7,2,0))</f>
        <v/>
      </c>
      <c r="O673" s="71" t="str">
        <f ca="1">IFERROR(VLOOKUP(N673,fixed_expenses[],2,0),"")</f>
        <v/>
      </c>
      <c r="P673" s="22"/>
    </row>
    <row r="674" spans="1:16" ht="11.25" customHeight="1" x14ac:dyDescent="0.2">
      <c r="B674" s="17" t="str">
        <f ca="1">IF(HLOOKUP(B671,Summary!$I$2:$AM$7,3,0)=0,"",HLOOKUP(B671,Summary!$I$2:$AM$7,3,0))</f>
        <v/>
      </c>
      <c r="C674" s="71" t="str">
        <f ca="1">IFERROR(VLOOKUP(B674,fixed_expenses[],2,0),"")</f>
        <v/>
      </c>
      <c r="D674" s="17" t="str">
        <f ca="1">IF(HLOOKUP(D671,Summary!$I$2:$AM$7,3,0)=0,"",HLOOKUP(D671,Summary!$I$2:$AM$7,3,0))</f>
        <v/>
      </c>
      <c r="E674" s="71" t="str">
        <f ca="1">IFERROR(VLOOKUP(D674,fixed_expenses[],2,0),"")</f>
        <v/>
      </c>
      <c r="F674" s="17" t="str">
        <f ca="1">IF(HLOOKUP(F671,Summary!$I$2:$AM$7,3,0)=0,"",HLOOKUP(F671,Summary!$I$2:$AM$7,3,0))</f>
        <v/>
      </c>
      <c r="G674" s="71" t="str">
        <f ca="1">IFERROR(VLOOKUP(F674,fixed_expenses[],2,0),"")</f>
        <v/>
      </c>
      <c r="H674" s="17" t="str">
        <f ca="1">IF(HLOOKUP(H671,Summary!$I$2:$AM$7,3,0)=0,"",HLOOKUP(H671,Summary!$I$2:$AM$7,3,0))</f>
        <v/>
      </c>
      <c r="I674" s="71" t="str">
        <f ca="1">IFERROR(VLOOKUP(H674,fixed_expenses[],2,0),"")</f>
        <v/>
      </c>
      <c r="J674" s="17" t="str">
        <f ca="1">IF(HLOOKUP(J671,Summary!$I$2:$AM$7,3,0)=0,"",HLOOKUP(J671,Summary!$I$2:$AM$7,3,0))</f>
        <v/>
      </c>
      <c r="K674" s="71" t="str">
        <f ca="1">IFERROR(VLOOKUP(J674,fixed_expenses[],2,0),"")</f>
        <v/>
      </c>
      <c r="L674" s="17" t="str">
        <f ca="1">IF(HLOOKUP(L671,Summary!$I$2:$AM$7,3,0)=0,"",HLOOKUP(L671,Summary!$I$2:$AM$7,3,0))</f>
        <v/>
      </c>
      <c r="M674" s="71" t="str">
        <f ca="1">IFERROR(VLOOKUP(L674,fixed_expenses[],2,0),"")</f>
        <v/>
      </c>
      <c r="N674" s="17" t="str">
        <f ca="1">IF(HLOOKUP(N671,Summary!$I$2:$AM$7,3,0)=0,"",HLOOKUP(N671,Summary!$I$2:$AM$7,3,0))</f>
        <v/>
      </c>
      <c r="O674" s="71" t="str">
        <f ca="1">IFERROR(VLOOKUP(N674,fixed_expenses[],2,0),"")</f>
        <v/>
      </c>
      <c r="P674" s="22"/>
    </row>
    <row r="675" spans="1:16" ht="11.25" customHeight="1" x14ac:dyDescent="0.2">
      <c r="B675" s="17" t="str">
        <f ca="1">IF(HLOOKUP(B671,Summary!$I$2:$AM$7,4,0)=0,"",HLOOKUP(B671,Summary!$I$2:$AM$7,4,0))</f>
        <v/>
      </c>
      <c r="C675" s="71" t="str">
        <f ca="1">IFERROR(VLOOKUP(B675,fixed_expenses[],2,0),"")</f>
        <v/>
      </c>
      <c r="D675" s="17" t="str">
        <f ca="1">IF(HLOOKUP(D671,Summary!$I$2:$AM$7,4,0)=0,"",HLOOKUP(D671,Summary!$I$2:$AM$7,4,0))</f>
        <v/>
      </c>
      <c r="E675" s="71" t="str">
        <f ca="1">IFERROR(VLOOKUP(D675,fixed_expenses[],2,0),"")</f>
        <v/>
      </c>
      <c r="F675" s="17" t="str">
        <f ca="1">IF(HLOOKUP(F671,Summary!$I$2:$AM$7,4,0)=0,"",HLOOKUP(F671,Summary!$I$2:$AM$7,4,0))</f>
        <v/>
      </c>
      <c r="G675" s="71" t="str">
        <f ca="1">IFERROR(VLOOKUP(F675,fixed_expenses[],2,0),"")</f>
        <v/>
      </c>
      <c r="H675" s="17" t="str">
        <f ca="1">IF(HLOOKUP(H671,Summary!$I$2:$AM$7,4,0)=0,"",HLOOKUP(H671,Summary!$I$2:$AM$7,4,0))</f>
        <v/>
      </c>
      <c r="I675" s="71" t="str">
        <f ca="1">IFERROR(VLOOKUP(H675,fixed_expenses[],2,0),"")</f>
        <v/>
      </c>
      <c r="J675" s="17" t="str">
        <f ca="1">IF(HLOOKUP(J671,Summary!$I$2:$AM$7,4,0)=0,"",HLOOKUP(J671,Summary!$I$2:$AM$7,4,0))</f>
        <v/>
      </c>
      <c r="K675" s="71" t="str">
        <f ca="1">IFERROR(VLOOKUP(J675,fixed_expenses[],2,0),"")</f>
        <v/>
      </c>
      <c r="L675" s="17" t="str">
        <f ca="1">IF(HLOOKUP(L671,Summary!$I$2:$AM$7,4,0)=0,"",HLOOKUP(L671,Summary!$I$2:$AM$7,4,0))</f>
        <v/>
      </c>
      <c r="M675" s="71" t="str">
        <f ca="1">IFERROR(VLOOKUP(L675,fixed_expenses[],2,0),"")</f>
        <v/>
      </c>
      <c r="N675" s="17" t="str">
        <f ca="1">IF(HLOOKUP(N671,Summary!$I$2:$AM$7,4,0)=0,"",HLOOKUP(N671,Summary!$I$2:$AM$7,4,0))</f>
        <v/>
      </c>
      <c r="O675" s="71" t="str">
        <f ca="1">IFERROR(VLOOKUP(N675,fixed_expenses[],2,0),"")</f>
        <v/>
      </c>
      <c r="P675" s="22"/>
    </row>
    <row r="676" spans="1:16" ht="11.25" customHeight="1" x14ac:dyDescent="0.2">
      <c r="B676" s="17" t="str">
        <f ca="1">IF(HLOOKUP(B671,Summary!$I$2:$AM$7,5,0)=0,"",HLOOKUP(B671,Summary!$I$2:$AM$7,5,0))</f>
        <v/>
      </c>
      <c r="C676" s="71" t="str">
        <f ca="1">IFERROR(VLOOKUP(B676,fixed_expenses[],2,0),"")</f>
        <v/>
      </c>
      <c r="D676" s="17" t="str">
        <f ca="1">IF(HLOOKUP(D671,Summary!$I$2:$AM$7,5,0)=0,"",HLOOKUP(D671,Summary!$I$2:$AM$7,5,0))</f>
        <v/>
      </c>
      <c r="E676" s="71" t="str">
        <f ca="1">IFERROR(VLOOKUP(D676,fixed_expenses[],2,0),"")</f>
        <v/>
      </c>
      <c r="F676" s="17" t="str">
        <f ca="1">IF(HLOOKUP(F671,Summary!$I$2:$AM$7,5,0)=0,"",HLOOKUP(F671,Summary!$I$2:$AM$7,5,0))</f>
        <v/>
      </c>
      <c r="G676" s="71" t="str">
        <f ca="1">IFERROR(VLOOKUP(F676,fixed_expenses[],2,0),"")</f>
        <v/>
      </c>
      <c r="H676" s="17" t="str">
        <f ca="1">IF(HLOOKUP(H671,Summary!$I$2:$AM$7,5,0)=0,"",HLOOKUP(H671,Summary!$I$2:$AM$7,5,0))</f>
        <v/>
      </c>
      <c r="I676" s="71" t="str">
        <f ca="1">IFERROR(VLOOKUP(H676,fixed_expenses[],2,0),"")</f>
        <v/>
      </c>
      <c r="J676" s="17" t="str">
        <f ca="1">IF(HLOOKUP(J671,Summary!$I$2:$AM$7,5,0)=0,"",HLOOKUP(J671,Summary!$I$2:$AM$7,5,0))</f>
        <v/>
      </c>
      <c r="K676" s="71" t="str">
        <f ca="1">IFERROR(VLOOKUP(J676,fixed_expenses[],2,0),"")</f>
        <v/>
      </c>
      <c r="L676" s="17" t="str">
        <f ca="1">IF(HLOOKUP(L671,Summary!$I$2:$AM$7,5,0)=0,"",HLOOKUP(L671,Summary!$I$2:$AM$7,5,0))</f>
        <v/>
      </c>
      <c r="M676" s="71" t="str">
        <f ca="1">IFERROR(VLOOKUP(L676,fixed_expenses[],2,0),"")</f>
        <v/>
      </c>
      <c r="N676" s="17" t="str">
        <f ca="1">IF(HLOOKUP(N671,Summary!$I$2:$AM$7,5,0)=0,"",HLOOKUP(N671,Summary!$I$2:$AM$7,5,0))</f>
        <v/>
      </c>
      <c r="O676" s="71" t="str">
        <f ca="1">IFERROR(VLOOKUP(N676,fixed_expenses[],2,0),"")</f>
        <v/>
      </c>
      <c r="P676" s="22"/>
    </row>
    <row r="677" spans="1:16" ht="11.25" customHeight="1" x14ac:dyDescent="0.2">
      <c r="B677" s="17" t="str">
        <f ca="1">IF(HLOOKUP(B671,Summary!$I$2:$AM$7,6,0)=0,"",HLOOKUP(B671,Summary!$I$2:$AM$7,6,0))</f>
        <v/>
      </c>
      <c r="C677" s="71" t="str">
        <f ca="1">IFERROR(VLOOKUP(B677,fixed_expenses[],2,0),"")</f>
        <v/>
      </c>
      <c r="D677" s="17" t="str">
        <f ca="1">IF(HLOOKUP(D671,Summary!$I$2:$AM$7,6,0)=0,"",HLOOKUP(D671,Summary!$I$2:$AM$7,6,0))</f>
        <v/>
      </c>
      <c r="E677" s="71" t="str">
        <f ca="1">IFERROR(VLOOKUP(D677,fixed_expenses[],2,0),"")</f>
        <v/>
      </c>
      <c r="F677" s="17" t="str">
        <f ca="1">IF(HLOOKUP(F671,Summary!$I$2:$AM$7,6,0)=0,"",HLOOKUP(F671,Summary!$I$2:$AM$7,6,0))</f>
        <v/>
      </c>
      <c r="G677" s="71" t="str">
        <f ca="1">IFERROR(VLOOKUP(F677,fixed_expenses[],2,0),"")</f>
        <v/>
      </c>
      <c r="H677" s="17" t="str">
        <f ca="1">IF(HLOOKUP(H671,Summary!$I$2:$AM$7,6,0)=0,"",HLOOKUP(H671,Summary!$I$2:$AM$7,6,0))</f>
        <v/>
      </c>
      <c r="I677" s="71" t="str">
        <f ca="1">IFERROR(VLOOKUP(H677,fixed_expenses[],2,0),"")</f>
        <v/>
      </c>
      <c r="J677" s="17" t="str">
        <f ca="1">IF(HLOOKUP(J671,Summary!$I$2:$AM$7,6,0)=0,"",HLOOKUP(J671,Summary!$I$2:$AM$7,6,0))</f>
        <v/>
      </c>
      <c r="K677" s="71" t="str">
        <f ca="1">IFERROR(VLOOKUP(J677,fixed_expenses[],2,0),"")</f>
        <v/>
      </c>
      <c r="L677" s="17" t="str">
        <f ca="1">IF(HLOOKUP(L671,Summary!$I$2:$AM$7,6,0)=0,"",HLOOKUP(L671,Summary!$I$2:$AM$7,6,0))</f>
        <v/>
      </c>
      <c r="M677" s="71" t="str">
        <f ca="1">IFERROR(VLOOKUP(L677,fixed_expenses[],2,0),"")</f>
        <v/>
      </c>
      <c r="N677" s="17" t="str">
        <f ca="1">IF(HLOOKUP(N671,Summary!$I$2:$AM$7,6,0)=0,"",HLOOKUP(N671,Summary!$I$2:$AM$7,6,0))</f>
        <v/>
      </c>
      <c r="O677" s="71" t="str">
        <f ca="1">IFERROR(VLOOKUP(N677,fixed_expenses[],2,0),"")</f>
        <v/>
      </c>
      <c r="P677" s="22"/>
    </row>
    <row r="678" spans="1:16" ht="11.25" customHeight="1" x14ac:dyDescent="0.2">
      <c r="A678" s="43" t="s">
        <v>287</v>
      </c>
      <c r="B678" s="26" t="s">
        <v>8</v>
      </c>
      <c r="C678" s="27">
        <f ca="1">SUM(C673:C677)</f>
        <v>0</v>
      </c>
      <c r="D678" s="26"/>
      <c r="E678" s="27">
        <f ca="1">SUM(E673:E677)</f>
        <v>0</v>
      </c>
      <c r="F678" s="26"/>
      <c r="G678" s="27">
        <f ca="1">SUM(G673:G677)</f>
        <v>0</v>
      </c>
      <c r="H678" s="26"/>
      <c r="I678" s="27">
        <f ca="1">SUM(I673:I677)</f>
        <v>0</v>
      </c>
      <c r="J678" s="26"/>
      <c r="K678" s="27">
        <f ca="1">SUM(K673:K677)</f>
        <v>0</v>
      </c>
      <c r="L678" s="26"/>
      <c r="M678" s="27">
        <f ca="1">SUM(M673:M677)</f>
        <v>232</v>
      </c>
      <c r="N678" s="26"/>
      <c r="O678" s="28">
        <f ca="1">SUM(O673:O677)</f>
        <v>0</v>
      </c>
      <c r="P678" s="29">
        <f ca="1">SUM(C678,E678,G678,I678,K678,M678,O678)</f>
        <v>232</v>
      </c>
    </row>
    <row r="679" spans="1:16" x14ac:dyDescent="0.2">
      <c r="B679" s="6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6"/>
    </row>
    <row r="680" spans="1:16" ht="15" customHeight="1" x14ac:dyDescent="0.2">
      <c r="A680" s="43" t="s">
        <v>283</v>
      </c>
      <c r="B680" s="12">
        <f ca="1">DAY(IF(DAY(DecSun1)=1,DecSun1+22,DecSun1+29))</f>
        <v>26</v>
      </c>
      <c r="C680" s="13"/>
      <c r="D680" s="12">
        <f ca="1">DAY(IF(DAY(DecSun1)=1,DecSun1+23,DecSun1+30))</f>
        <v>27</v>
      </c>
      <c r="E680" s="13"/>
      <c r="F680" s="12">
        <f ca="1">DAY(IF(DAY(DecSun1)=1,DecSun1+24,DecSun1+31))</f>
        <v>28</v>
      </c>
      <c r="G680" s="13"/>
      <c r="H680" s="12">
        <f ca="1">DAY(IF(DAY(DecSun1)=1,DecSun1+25,DecSun1+32))</f>
        <v>29</v>
      </c>
      <c r="I680" s="13"/>
      <c r="J680" s="12">
        <f ca="1">DAY(IF(DAY(DecSun1)=1,DecSun1+26,DecSun1+33))</f>
        <v>30</v>
      </c>
      <c r="K680" s="13"/>
      <c r="L680" s="12">
        <f ca="1">DAY(IF(DAY(DecSun1)=1,DecSun1+27,DecSun1+34))</f>
        <v>31</v>
      </c>
      <c r="M680" s="13"/>
      <c r="N680" s="12">
        <f ca="1">DAY(IF(DAY(DecSun1)=1,DecSun1+28,DecSun1+35))</f>
        <v>1</v>
      </c>
      <c r="O680" s="13"/>
      <c r="P680" s="25"/>
    </row>
    <row r="681" spans="1:16" ht="11.25" customHeight="1" x14ac:dyDescent="0.2">
      <c r="A681" s="43" t="s">
        <v>119</v>
      </c>
      <c r="B681" s="37" t="s">
        <v>9</v>
      </c>
      <c r="C681" s="39" t="s">
        <v>10</v>
      </c>
      <c r="D681" s="37" t="s">
        <v>9</v>
      </c>
      <c r="E681" s="39" t="s">
        <v>10</v>
      </c>
      <c r="F681" s="37" t="s">
        <v>9</v>
      </c>
      <c r="G681" s="39" t="s">
        <v>10</v>
      </c>
      <c r="H681" s="37" t="s">
        <v>9</v>
      </c>
      <c r="I681" s="39" t="s">
        <v>10</v>
      </c>
      <c r="J681" s="37" t="s">
        <v>9</v>
      </c>
      <c r="K681" s="39" t="s">
        <v>10</v>
      </c>
      <c r="L681" s="37" t="s">
        <v>9</v>
      </c>
      <c r="M681" s="39" t="s">
        <v>10</v>
      </c>
      <c r="N681" s="37" t="s">
        <v>9</v>
      </c>
      <c r="O681" s="40" t="s">
        <v>10</v>
      </c>
      <c r="P681" s="22"/>
    </row>
    <row r="682" spans="1:16" ht="11.25" customHeight="1" x14ac:dyDescent="0.2">
      <c r="A682" s="43" t="s">
        <v>233</v>
      </c>
      <c r="B682" s="17" t="str">
        <f ca="1">IF(HLOOKUP(B680,Summary!$I$2:$AM$7,2,0)=0,"",HLOOKUP(B680,Summary!$I$2:$AM$7,2,0))</f>
        <v/>
      </c>
      <c r="C682" s="71" t="str">
        <f ca="1">IFERROR(VLOOKUP(B682,fixed_expenses[],2,0),"")</f>
        <v/>
      </c>
      <c r="D682" s="17" t="str">
        <f ca="1">IF(HLOOKUP(D680,Summary!$I$2:$AM$7,2,0)=0,"",HLOOKUP(D680,Summary!$I$2:$AM$7,2,0))</f>
        <v/>
      </c>
      <c r="E682" s="71" t="str">
        <f ca="1">IFERROR(VLOOKUP(D682,fixed_expenses[],2,0),"")</f>
        <v/>
      </c>
      <c r="F682" s="17" t="str">
        <f ca="1">IF(HLOOKUP(F680,Summary!$I$2:$AM$7,2,0)=0,"",HLOOKUP(F680,Summary!$I$2:$AM$7,2,0))</f>
        <v/>
      </c>
      <c r="G682" s="71" t="str">
        <f ca="1">IFERROR(VLOOKUP(F682,fixed_expenses[],2,0),"")</f>
        <v/>
      </c>
      <c r="H682" s="17" t="str">
        <f ca="1">IF(HLOOKUP(H680,Summary!$I$2:$AM$7,2,0)=0,"",HLOOKUP(H680,Summary!$I$2:$AM$7,2,0))</f>
        <v/>
      </c>
      <c r="I682" s="71" t="str">
        <f ca="1">IFERROR(VLOOKUP(H682,fixed_expenses[],2,0),"")</f>
        <v/>
      </c>
      <c r="J682" s="17" t="str">
        <f ca="1">IF(HLOOKUP(J680,Summary!$I$2:$AM$7,2,0)=0,"",HLOOKUP(J680,Summary!$I$2:$AM$7,2,0))</f>
        <v/>
      </c>
      <c r="K682" s="71" t="str">
        <f ca="1">IFERROR(VLOOKUP(J682,fixed_expenses[],2,0),"")</f>
        <v/>
      </c>
      <c r="L682" s="17" t="str">
        <f ca="1">IF(HLOOKUP(L680,Summary!$I$2:$AM$7,2,0)=0,"",HLOOKUP(L680,Summary!$I$2:$AM$7,2,0))</f>
        <v/>
      </c>
      <c r="M682" s="71" t="str">
        <f ca="1">IFERROR(VLOOKUP(L682,fixed_expenses[],2,0),"")</f>
        <v/>
      </c>
      <c r="N682" s="17" t="str">
        <f ca="1">IF(HLOOKUP(N680,Summary!$I$2:$AM$7,2,0)=0,"",HLOOKUP(N680,Summary!$I$2:$AM$7,2,0))</f>
        <v/>
      </c>
      <c r="O682" s="71" t="str">
        <f ca="1">IFERROR(VLOOKUP(N682,fixed_expenses[],2,0),"")</f>
        <v/>
      </c>
      <c r="P682" s="22"/>
    </row>
    <row r="683" spans="1:16" ht="11.25" customHeight="1" x14ac:dyDescent="0.2">
      <c r="B683" s="17" t="str">
        <f ca="1">IF(HLOOKUP(B680,Summary!$I$2:$AM$7,3,0)=0,"",HLOOKUP(B680,Summary!$I$2:$AM$7,3,0))</f>
        <v/>
      </c>
      <c r="C683" s="71" t="str">
        <f ca="1">IFERROR(VLOOKUP(B683,fixed_expenses[],2,0),"")</f>
        <v/>
      </c>
      <c r="D683" s="17" t="str">
        <f ca="1">IF(HLOOKUP(D680,Summary!$I$2:$AM$7,3,0)=0,"",HLOOKUP(D680,Summary!$I$2:$AM$7,3,0))</f>
        <v/>
      </c>
      <c r="E683" s="71" t="str">
        <f ca="1">IFERROR(VLOOKUP(D683,fixed_expenses[],2,0),"")</f>
        <v/>
      </c>
      <c r="F683" s="17" t="str">
        <f ca="1">IF(HLOOKUP(F680,Summary!$I$2:$AM$7,3,0)=0,"",HLOOKUP(F680,Summary!$I$2:$AM$7,3,0))</f>
        <v/>
      </c>
      <c r="G683" s="71" t="str">
        <f ca="1">IFERROR(VLOOKUP(F683,fixed_expenses[],2,0),"")</f>
        <v/>
      </c>
      <c r="H683" s="17" t="str">
        <f ca="1">IF(HLOOKUP(H680,Summary!$I$2:$AM$7,3,0)=0,"",HLOOKUP(H680,Summary!$I$2:$AM$7,3,0))</f>
        <v/>
      </c>
      <c r="I683" s="71" t="str">
        <f ca="1">IFERROR(VLOOKUP(H683,fixed_expenses[],2,0),"")</f>
        <v/>
      </c>
      <c r="J683" s="17" t="str">
        <f ca="1">IF(HLOOKUP(J680,Summary!$I$2:$AM$7,3,0)=0,"",HLOOKUP(J680,Summary!$I$2:$AM$7,3,0))</f>
        <v/>
      </c>
      <c r="K683" s="71" t="str">
        <f ca="1">IFERROR(VLOOKUP(J683,fixed_expenses[],2,0),"")</f>
        <v/>
      </c>
      <c r="L683" s="17" t="str">
        <f ca="1">IF(HLOOKUP(L680,Summary!$I$2:$AM$7,3,0)=0,"",HLOOKUP(L680,Summary!$I$2:$AM$7,3,0))</f>
        <v/>
      </c>
      <c r="M683" s="71" t="str">
        <f ca="1">IFERROR(VLOOKUP(L683,fixed_expenses[],2,0),"")</f>
        <v/>
      </c>
      <c r="N683" s="17" t="str">
        <f ca="1">IF(HLOOKUP(N680,Summary!$I$2:$AM$7,3,0)=0,"",HLOOKUP(N680,Summary!$I$2:$AM$7,3,0))</f>
        <v/>
      </c>
      <c r="O683" s="71" t="str">
        <f ca="1">IFERROR(VLOOKUP(N683,fixed_expenses[],2,0),"")</f>
        <v/>
      </c>
      <c r="P683" s="22"/>
    </row>
    <row r="684" spans="1:16" ht="11.25" customHeight="1" x14ac:dyDescent="0.2">
      <c r="B684" s="17" t="str">
        <f ca="1">IF(HLOOKUP(B680,Summary!$I$2:$AM$7,4,0)=0,"",HLOOKUP(B680,Summary!$I$2:$AM$7,4,0))</f>
        <v/>
      </c>
      <c r="C684" s="71" t="str">
        <f ca="1">IFERROR(VLOOKUP(B684,fixed_expenses[],2,0),"")</f>
        <v/>
      </c>
      <c r="D684" s="17" t="str">
        <f ca="1">IF(HLOOKUP(D680,Summary!$I$2:$AM$7,4,0)=0,"",HLOOKUP(D680,Summary!$I$2:$AM$7,4,0))</f>
        <v/>
      </c>
      <c r="E684" s="71" t="str">
        <f ca="1">IFERROR(VLOOKUP(D684,fixed_expenses[],2,0),"")</f>
        <v/>
      </c>
      <c r="F684" s="17" t="str">
        <f ca="1">IF(HLOOKUP(F680,Summary!$I$2:$AM$7,4,0)=0,"",HLOOKUP(F680,Summary!$I$2:$AM$7,4,0))</f>
        <v/>
      </c>
      <c r="G684" s="71" t="str">
        <f ca="1">IFERROR(VLOOKUP(F684,fixed_expenses[],2,0),"")</f>
        <v/>
      </c>
      <c r="H684" s="17" t="str">
        <f ca="1">IF(HLOOKUP(H680,Summary!$I$2:$AM$7,4,0)=0,"",HLOOKUP(H680,Summary!$I$2:$AM$7,4,0))</f>
        <v/>
      </c>
      <c r="I684" s="71" t="str">
        <f ca="1">IFERROR(VLOOKUP(H684,fixed_expenses[],2,0),"")</f>
        <v/>
      </c>
      <c r="J684" s="17" t="str">
        <f ca="1">IF(HLOOKUP(J680,Summary!$I$2:$AM$7,4,0)=0,"",HLOOKUP(J680,Summary!$I$2:$AM$7,4,0))</f>
        <v/>
      </c>
      <c r="K684" s="71" t="str">
        <f ca="1">IFERROR(VLOOKUP(J684,fixed_expenses[],2,0),"")</f>
        <v/>
      </c>
      <c r="L684" s="17" t="str">
        <f ca="1">IF(HLOOKUP(L680,Summary!$I$2:$AM$7,4,0)=0,"",HLOOKUP(L680,Summary!$I$2:$AM$7,4,0))</f>
        <v/>
      </c>
      <c r="M684" s="71" t="str">
        <f ca="1">IFERROR(VLOOKUP(L684,fixed_expenses[],2,0),"")</f>
        <v/>
      </c>
      <c r="N684" s="17" t="str">
        <f ca="1">IF(HLOOKUP(N680,Summary!$I$2:$AM$7,4,0)=0,"",HLOOKUP(N680,Summary!$I$2:$AM$7,4,0))</f>
        <v/>
      </c>
      <c r="O684" s="71" t="str">
        <f ca="1">IFERROR(VLOOKUP(N684,fixed_expenses[],2,0),"")</f>
        <v/>
      </c>
      <c r="P684" s="22"/>
    </row>
    <row r="685" spans="1:16" ht="11.25" customHeight="1" x14ac:dyDescent="0.2">
      <c r="B685" s="17" t="str">
        <f ca="1">IF(HLOOKUP(B680,Summary!$I$2:$AM$7,5,0)=0,"",HLOOKUP(B680,Summary!$I$2:$AM$7,5,0))</f>
        <v/>
      </c>
      <c r="C685" s="71" t="str">
        <f ca="1">IFERROR(VLOOKUP(B685,fixed_expenses[],2,0),"")</f>
        <v/>
      </c>
      <c r="D685" s="17" t="str">
        <f ca="1">IF(HLOOKUP(D680,Summary!$I$2:$AM$7,5,0)=0,"",HLOOKUP(D680,Summary!$I$2:$AM$7,5,0))</f>
        <v/>
      </c>
      <c r="E685" s="71" t="str">
        <f ca="1">IFERROR(VLOOKUP(D685,fixed_expenses[],2,0),"")</f>
        <v/>
      </c>
      <c r="F685" s="17" t="str">
        <f ca="1">IF(HLOOKUP(F680,Summary!$I$2:$AM$7,5,0)=0,"",HLOOKUP(F680,Summary!$I$2:$AM$7,5,0))</f>
        <v/>
      </c>
      <c r="G685" s="71" t="str">
        <f ca="1">IFERROR(VLOOKUP(F685,fixed_expenses[],2,0),"")</f>
        <v/>
      </c>
      <c r="H685" s="17" t="str">
        <f ca="1">IF(HLOOKUP(H680,Summary!$I$2:$AM$7,5,0)=0,"",HLOOKUP(H680,Summary!$I$2:$AM$7,5,0))</f>
        <v/>
      </c>
      <c r="I685" s="71" t="str">
        <f ca="1">IFERROR(VLOOKUP(H685,fixed_expenses[],2,0),"")</f>
        <v/>
      </c>
      <c r="J685" s="17" t="str">
        <f ca="1">IF(HLOOKUP(J680,Summary!$I$2:$AM$7,5,0)=0,"",HLOOKUP(J680,Summary!$I$2:$AM$7,5,0))</f>
        <v/>
      </c>
      <c r="K685" s="71" t="str">
        <f ca="1">IFERROR(VLOOKUP(J685,fixed_expenses[],2,0),"")</f>
        <v/>
      </c>
      <c r="L685" s="17" t="str">
        <f ca="1">IF(HLOOKUP(L680,Summary!$I$2:$AM$7,5,0)=0,"",HLOOKUP(L680,Summary!$I$2:$AM$7,5,0))</f>
        <v/>
      </c>
      <c r="M685" s="71" t="str">
        <f ca="1">IFERROR(VLOOKUP(L685,fixed_expenses[],2,0),"")</f>
        <v/>
      </c>
      <c r="N685" s="17" t="str">
        <f ca="1">IF(HLOOKUP(N680,Summary!$I$2:$AM$7,5,0)=0,"",HLOOKUP(N680,Summary!$I$2:$AM$7,5,0))</f>
        <v/>
      </c>
      <c r="O685" s="71" t="str">
        <f ca="1">IFERROR(VLOOKUP(N685,fixed_expenses[],2,0),"")</f>
        <v/>
      </c>
      <c r="P685" s="22"/>
    </row>
    <row r="686" spans="1:16" ht="11.25" customHeight="1" x14ac:dyDescent="0.2">
      <c r="B686" s="17" t="str">
        <f ca="1">IF(HLOOKUP(B680,Summary!$I$2:$AM$7,6,0)=0,"",HLOOKUP(B680,Summary!$I$2:$AM$7,6,0))</f>
        <v/>
      </c>
      <c r="C686" s="71" t="str">
        <f ca="1">IFERROR(VLOOKUP(B686,fixed_expenses[],2,0),"")</f>
        <v/>
      </c>
      <c r="D686" s="17" t="str">
        <f ca="1">IF(HLOOKUP(D680,Summary!$I$2:$AM$7,6,0)=0,"",HLOOKUP(D680,Summary!$I$2:$AM$7,6,0))</f>
        <v/>
      </c>
      <c r="E686" s="71" t="str">
        <f ca="1">IFERROR(VLOOKUP(D686,fixed_expenses[],2,0),"")</f>
        <v/>
      </c>
      <c r="F686" s="17" t="str">
        <f ca="1">IF(HLOOKUP(F680,Summary!$I$2:$AM$7,6,0)=0,"",HLOOKUP(F680,Summary!$I$2:$AM$7,6,0))</f>
        <v/>
      </c>
      <c r="G686" s="71" t="str">
        <f ca="1">IFERROR(VLOOKUP(F686,fixed_expenses[],2,0),"")</f>
        <v/>
      </c>
      <c r="H686" s="17" t="str">
        <f ca="1">IF(HLOOKUP(H680,Summary!$I$2:$AM$7,6,0)=0,"",HLOOKUP(H680,Summary!$I$2:$AM$7,6,0))</f>
        <v/>
      </c>
      <c r="I686" s="71" t="str">
        <f ca="1">IFERROR(VLOOKUP(H686,fixed_expenses[],2,0),"")</f>
        <v/>
      </c>
      <c r="J686" s="17" t="str">
        <f ca="1">IF(HLOOKUP(J680,Summary!$I$2:$AM$7,6,0)=0,"",HLOOKUP(J680,Summary!$I$2:$AM$7,6,0))</f>
        <v/>
      </c>
      <c r="K686" s="71" t="str">
        <f ca="1">IFERROR(VLOOKUP(J686,fixed_expenses[],2,0),"")</f>
        <v/>
      </c>
      <c r="L686" s="17" t="str">
        <f ca="1">IF(HLOOKUP(L680,Summary!$I$2:$AM$7,6,0)=0,"",HLOOKUP(L680,Summary!$I$2:$AM$7,6,0))</f>
        <v/>
      </c>
      <c r="M686" s="71" t="str">
        <f ca="1">IFERROR(VLOOKUP(L686,fixed_expenses[],2,0),"")</f>
        <v/>
      </c>
      <c r="N686" s="17" t="str">
        <f ca="1">IF(HLOOKUP(N680,Summary!$I$2:$AM$7,6,0)=0,"",HLOOKUP(N680,Summary!$I$2:$AM$7,6,0))</f>
        <v/>
      </c>
      <c r="O686" s="71" t="str">
        <f ca="1">IFERROR(VLOOKUP(N686,fixed_expenses[],2,0),"")</f>
        <v/>
      </c>
      <c r="P686" s="22"/>
    </row>
    <row r="687" spans="1:16" ht="11.25" customHeight="1" x14ac:dyDescent="0.2">
      <c r="A687" s="43" t="s">
        <v>286</v>
      </c>
      <c r="B687" s="26" t="s">
        <v>8</v>
      </c>
      <c r="C687" s="27">
        <f ca="1">SUM(C682:C686)</f>
        <v>0</v>
      </c>
      <c r="D687" s="26"/>
      <c r="E687" s="27">
        <f ca="1">SUM(E682:E686)</f>
        <v>0</v>
      </c>
      <c r="F687" s="26"/>
      <c r="G687" s="27">
        <f ca="1">SUM(G682:G686)</f>
        <v>0</v>
      </c>
      <c r="H687" s="26"/>
      <c r="I687" s="27">
        <f ca="1">SUM(I682:I686)</f>
        <v>0</v>
      </c>
      <c r="J687" s="26"/>
      <c r="K687" s="27">
        <f ca="1">SUM(K682:K686)</f>
        <v>0</v>
      </c>
      <c r="L687" s="26"/>
      <c r="M687" s="27">
        <f ca="1">SUM(M682:M686)</f>
        <v>0</v>
      </c>
      <c r="N687" s="26"/>
      <c r="O687" s="28">
        <f ca="1">SUM(O682:O686)</f>
        <v>0</v>
      </c>
      <c r="P687" s="29">
        <f ca="1">SUMIF(B680:N680,"&gt;="&amp;15,C687:O687)</f>
        <v>0</v>
      </c>
    </row>
    <row r="688" spans="1:16" x14ac:dyDescent="0.2">
      <c r="B688" s="6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6"/>
    </row>
    <row r="689" spans="1:16" ht="15" customHeight="1" x14ac:dyDescent="0.2">
      <c r="A689" s="43" t="s">
        <v>284</v>
      </c>
      <c r="B689" s="12">
        <f ca="1">DAY(IF(DAY(DecSun1)=1,DecSun1+29,DecSun1+36))</f>
        <v>2</v>
      </c>
      <c r="C689" s="11"/>
      <c r="D689" s="12">
        <f ca="1">DAY(IF(DAY(DecSun1)=1,DecSun1+30,DecSun1+37))</f>
        <v>3</v>
      </c>
      <c r="E689" s="13"/>
      <c r="F689" s="10">
        <f ca="1">DAY(IF(DAY(DecSun1)=1,DecSun1+31,DecSun1+38))</f>
        <v>4</v>
      </c>
      <c r="G689" s="13"/>
      <c r="H689" s="12">
        <f ca="1">DAY(IF(DAY(DecSun1)=1,DecSun1+32,DecSun1+39))</f>
        <v>5</v>
      </c>
      <c r="I689" s="13"/>
      <c r="J689" s="12">
        <f ca="1">DAY(IF(DAY(DecSun1)=1,DecSun1+33,DecSun1+40))</f>
        <v>6</v>
      </c>
      <c r="K689" s="13"/>
      <c r="L689" s="12">
        <f ca="1">DAY(IF(DAY(DecSun1)=1,DecSun1+34,DecSun1+41))</f>
        <v>7</v>
      </c>
      <c r="M689" s="13"/>
      <c r="N689" s="12">
        <f ca="1">DAY(IF(DAY(DecSun1)=1,DecSun1+35,DecSun1+42))</f>
        <v>8</v>
      </c>
      <c r="O689" s="13"/>
      <c r="P689" s="25"/>
    </row>
    <row r="690" spans="1:16" ht="11.25" customHeight="1" x14ac:dyDescent="0.2">
      <c r="A690" s="43" t="s">
        <v>118</v>
      </c>
      <c r="B690" s="37" t="s">
        <v>9</v>
      </c>
      <c r="C690" s="39" t="s">
        <v>10</v>
      </c>
      <c r="D690" s="37" t="s">
        <v>9</v>
      </c>
      <c r="E690" s="39" t="s">
        <v>10</v>
      </c>
      <c r="F690" s="37" t="s">
        <v>9</v>
      </c>
      <c r="G690" s="39" t="s">
        <v>10</v>
      </c>
      <c r="H690" s="37" t="s">
        <v>9</v>
      </c>
      <c r="I690" s="39" t="s">
        <v>10</v>
      </c>
      <c r="J690" s="37" t="s">
        <v>9</v>
      </c>
      <c r="K690" s="39" t="s">
        <v>10</v>
      </c>
      <c r="L690" s="37" t="s">
        <v>9</v>
      </c>
      <c r="M690" s="39" t="s">
        <v>10</v>
      </c>
      <c r="N690" s="37" t="s">
        <v>9</v>
      </c>
      <c r="O690" s="40" t="s">
        <v>10</v>
      </c>
      <c r="P690" s="22"/>
    </row>
    <row r="691" spans="1:16" ht="11.25" customHeight="1" x14ac:dyDescent="0.2">
      <c r="A691" s="43" t="s">
        <v>234</v>
      </c>
      <c r="B691" s="17" t="str">
        <f ca="1">IF(HLOOKUP(B689,Summary!$I$2:$AM$7,2,0)=0,"",HLOOKUP(B689,Summary!$I$2:$AM$7,2,0))</f>
        <v/>
      </c>
      <c r="C691" s="71" t="str">
        <f ca="1">IFERROR(VLOOKUP(B691,fixed_expenses[],2,0),"")</f>
        <v/>
      </c>
      <c r="D691" s="17" t="str">
        <f ca="1">IF(HLOOKUP(D689,Summary!$I$2:$AM$7,2,0)=0,"",HLOOKUP(D689,Summary!$I$2:$AM$7,2,0))</f>
        <v>Rent</v>
      </c>
      <c r="E691" s="71">
        <f ca="1">IFERROR(VLOOKUP(D691,fixed_expenses[],2,0),"")</f>
        <v>1200</v>
      </c>
      <c r="F691" s="17" t="str">
        <f ca="1">IF(HLOOKUP(F689,Summary!$I$2:$AM$7,2,0)=0,"",HLOOKUP(F689,Summary!$I$2:$AM$7,2,0))</f>
        <v/>
      </c>
      <c r="G691" s="71" t="str">
        <f ca="1">IFERROR(VLOOKUP(F691,fixed_expenses[],2,0),"")</f>
        <v/>
      </c>
      <c r="H691" s="17" t="str">
        <f ca="1">IF(HLOOKUP(H689,Summary!$I$2:$AM$7,2,0)=0,"",HLOOKUP(H689,Summary!$I$2:$AM$7,2,0))</f>
        <v/>
      </c>
      <c r="I691" s="71" t="str">
        <f ca="1">IFERROR(VLOOKUP(H691,fixed_expenses[],2,0),"")</f>
        <v/>
      </c>
      <c r="J691" s="17" t="str">
        <f ca="1">IF(HLOOKUP(J689,Summary!$I$2:$AM$7,2,0)=0,"",HLOOKUP(J689,Summary!$I$2:$AM$7,2,0))</f>
        <v/>
      </c>
      <c r="K691" s="71" t="str">
        <f ca="1">IFERROR(VLOOKUP(J691,fixed_expenses[],2,0),"")</f>
        <v/>
      </c>
      <c r="L691" s="17" t="str">
        <f ca="1">IF(HLOOKUP(L689,Summary!$I$2:$AM$7,2,0)=0,"",HLOOKUP(L689,Summary!$I$2:$AM$7,2,0))</f>
        <v/>
      </c>
      <c r="M691" s="71" t="str">
        <f ca="1">IFERROR(VLOOKUP(L691,fixed_expenses[],2,0),"")</f>
        <v/>
      </c>
      <c r="N691" s="17" t="str">
        <f ca="1">IF(HLOOKUP(N689,Summary!$I$2:$AM$7,2,0)=0,"",HLOOKUP(N689,Summary!$I$2:$AM$7,2,0))</f>
        <v/>
      </c>
      <c r="O691" s="71" t="str">
        <f ca="1">IFERROR(VLOOKUP(N691,fixed_expenses[],2,0),"")</f>
        <v/>
      </c>
      <c r="P691" s="22"/>
    </row>
    <row r="692" spans="1:16" ht="11.25" customHeight="1" x14ac:dyDescent="0.2">
      <c r="B692" s="17" t="str">
        <f ca="1">IF(HLOOKUP(B689,Summary!$I$2:$AM$7,3,0)=0,"",HLOOKUP(B689,Summary!$I$2:$AM$7,3,0))</f>
        <v/>
      </c>
      <c r="C692" s="71" t="str">
        <f ca="1">IFERROR(VLOOKUP(B692,fixed_expenses[],2,0),"")</f>
        <v/>
      </c>
      <c r="D692" s="17" t="str">
        <f ca="1">IF(HLOOKUP(D689,Summary!$I$2:$AM$7,3,0)=0,"",HLOOKUP(D689,Summary!$I$2:$AM$7,3,0))</f>
        <v/>
      </c>
      <c r="E692" s="71" t="str">
        <f ca="1">IFERROR(VLOOKUP(D692,fixed_expenses[],2,0),"")</f>
        <v/>
      </c>
      <c r="F692" s="17" t="str">
        <f ca="1">IF(HLOOKUP(F689,Summary!$I$2:$AM$7,3,0)=0,"",HLOOKUP(F689,Summary!$I$2:$AM$7,3,0))</f>
        <v/>
      </c>
      <c r="G692" s="71" t="str">
        <f ca="1">IFERROR(VLOOKUP(F692,fixed_expenses[],2,0),"")</f>
        <v/>
      </c>
      <c r="H692" s="17" t="str">
        <f ca="1">IF(HLOOKUP(H689,Summary!$I$2:$AM$7,3,0)=0,"",HLOOKUP(H689,Summary!$I$2:$AM$7,3,0))</f>
        <v/>
      </c>
      <c r="I692" s="71" t="str">
        <f ca="1">IFERROR(VLOOKUP(H692,fixed_expenses[],2,0),"")</f>
        <v/>
      </c>
      <c r="J692" s="17" t="str">
        <f ca="1">IF(HLOOKUP(J689,Summary!$I$2:$AM$7,3,0)=0,"",HLOOKUP(J689,Summary!$I$2:$AM$7,3,0))</f>
        <v/>
      </c>
      <c r="K692" s="71" t="str">
        <f ca="1">IFERROR(VLOOKUP(J692,fixed_expenses[],2,0),"")</f>
        <v/>
      </c>
      <c r="L692" s="17" t="str">
        <f ca="1">IF(HLOOKUP(L689,Summary!$I$2:$AM$7,3,0)=0,"",HLOOKUP(L689,Summary!$I$2:$AM$7,3,0))</f>
        <v/>
      </c>
      <c r="M692" s="71" t="str">
        <f ca="1">IFERROR(VLOOKUP(L692,fixed_expenses[],2,0),"")</f>
        <v/>
      </c>
      <c r="N692" s="17" t="str">
        <f ca="1">IF(HLOOKUP(N689,Summary!$I$2:$AM$7,3,0)=0,"",HLOOKUP(N689,Summary!$I$2:$AM$7,3,0))</f>
        <v/>
      </c>
      <c r="O692" s="71" t="str">
        <f ca="1">IFERROR(VLOOKUP(N692,fixed_expenses[],2,0),"")</f>
        <v/>
      </c>
      <c r="P692" s="22"/>
    </row>
    <row r="693" spans="1:16" ht="11.25" customHeight="1" x14ac:dyDescent="0.2">
      <c r="B693" s="17" t="str">
        <f ca="1">IF(HLOOKUP(B689,Summary!$I$2:$AM$7,4,0)=0,"",HLOOKUP(B689,Summary!$I$2:$AM$7,4,0))</f>
        <v/>
      </c>
      <c r="C693" s="71" t="str">
        <f ca="1">IFERROR(VLOOKUP(B693,fixed_expenses[],2,0),"")</f>
        <v/>
      </c>
      <c r="D693" s="17" t="str">
        <f ca="1">IF(HLOOKUP(D689,Summary!$I$2:$AM$7,4,0)=0,"",HLOOKUP(D689,Summary!$I$2:$AM$7,4,0))</f>
        <v/>
      </c>
      <c r="E693" s="71" t="str">
        <f ca="1">IFERROR(VLOOKUP(D693,fixed_expenses[],2,0),"")</f>
        <v/>
      </c>
      <c r="F693" s="17" t="str">
        <f ca="1">IF(HLOOKUP(F689,Summary!$I$2:$AM$7,4,0)=0,"",HLOOKUP(F689,Summary!$I$2:$AM$7,4,0))</f>
        <v/>
      </c>
      <c r="G693" s="71" t="str">
        <f ca="1">IFERROR(VLOOKUP(F693,fixed_expenses[],2,0),"")</f>
        <v/>
      </c>
      <c r="H693" s="17" t="str">
        <f ca="1">IF(HLOOKUP(H689,Summary!$I$2:$AM$7,4,0)=0,"",HLOOKUP(H689,Summary!$I$2:$AM$7,4,0))</f>
        <v/>
      </c>
      <c r="I693" s="71" t="str">
        <f ca="1">IFERROR(VLOOKUP(H693,fixed_expenses[],2,0),"")</f>
        <v/>
      </c>
      <c r="J693" s="17" t="str">
        <f ca="1">IF(HLOOKUP(J689,Summary!$I$2:$AM$7,4,0)=0,"",HLOOKUP(J689,Summary!$I$2:$AM$7,4,0))</f>
        <v/>
      </c>
      <c r="K693" s="71" t="str">
        <f ca="1">IFERROR(VLOOKUP(J693,fixed_expenses[],2,0),"")</f>
        <v/>
      </c>
      <c r="L693" s="17" t="str">
        <f ca="1">IF(HLOOKUP(L689,Summary!$I$2:$AM$7,4,0)=0,"",HLOOKUP(L689,Summary!$I$2:$AM$7,4,0))</f>
        <v/>
      </c>
      <c r="M693" s="71" t="str">
        <f ca="1">IFERROR(VLOOKUP(L693,fixed_expenses[],2,0),"")</f>
        <v/>
      </c>
      <c r="N693" s="17" t="str">
        <f ca="1">IF(HLOOKUP(N689,Summary!$I$2:$AM$7,4,0)=0,"",HLOOKUP(N689,Summary!$I$2:$AM$7,4,0))</f>
        <v/>
      </c>
      <c r="O693" s="71" t="str">
        <f ca="1">IFERROR(VLOOKUP(N693,fixed_expenses[],2,0),"")</f>
        <v/>
      </c>
      <c r="P693" s="22"/>
    </row>
    <row r="694" spans="1:16" ht="11.25" customHeight="1" x14ac:dyDescent="0.2">
      <c r="B694" s="17" t="str">
        <f ca="1">IF(HLOOKUP(B689,Summary!$I$2:$AM$7,5,0)=0,"",HLOOKUP(B689,Summary!$I$2:$AM$7,5,0))</f>
        <v/>
      </c>
      <c r="C694" s="71" t="str">
        <f ca="1">IFERROR(VLOOKUP(B694,fixed_expenses[],2,0),"")</f>
        <v/>
      </c>
      <c r="D694" s="17" t="str">
        <f ca="1">IF(HLOOKUP(D689,Summary!$I$2:$AM$7,5,0)=0,"",HLOOKUP(D689,Summary!$I$2:$AM$7,5,0))</f>
        <v/>
      </c>
      <c r="E694" s="71" t="str">
        <f ca="1">IFERROR(VLOOKUP(D694,fixed_expenses[],2,0),"")</f>
        <v/>
      </c>
      <c r="F694" s="17" t="str">
        <f ca="1">IF(HLOOKUP(F689,Summary!$I$2:$AM$7,5,0)=0,"",HLOOKUP(F689,Summary!$I$2:$AM$7,5,0))</f>
        <v/>
      </c>
      <c r="G694" s="71" t="str">
        <f ca="1">IFERROR(VLOOKUP(F694,fixed_expenses[],2,0),"")</f>
        <v/>
      </c>
      <c r="H694" s="17" t="str">
        <f ca="1">IF(HLOOKUP(H689,Summary!$I$2:$AM$7,5,0)=0,"",HLOOKUP(H689,Summary!$I$2:$AM$7,5,0))</f>
        <v/>
      </c>
      <c r="I694" s="71" t="str">
        <f ca="1">IFERROR(VLOOKUP(H694,fixed_expenses[],2,0),"")</f>
        <v/>
      </c>
      <c r="J694" s="17" t="str">
        <f ca="1">IF(HLOOKUP(J689,Summary!$I$2:$AM$7,5,0)=0,"",HLOOKUP(J689,Summary!$I$2:$AM$7,5,0))</f>
        <v/>
      </c>
      <c r="K694" s="71" t="str">
        <f ca="1">IFERROR(VLOOKUP(J694,fixed_expenses[],2,0),"")</f>
        <v/>
      </c>
      <c r="L694" s="17" t="str">
        <f ca="1">IF(HLOOKUP(L689,Summary!$I$2:$AM$7,5,0)=0,"",HLOOKUP(L689,Summary!$I$2:$AM$7,5,0))</f>
        <v/>
      </c>
      <c r="M694" s="71" t="str">
        <f ca="1">IFERROR(VLOOKUP(L694,fixed_expenses[],2,0),"")</f>
        <v/>
      </c>
      <c r="N694" s="17" t="str">
        <f ca="1">IF(HLOOKUP(N689,Summary!$I$2:$AM$7,5,0)=0,"",HLOOKUP(N689,Summary!$I$2:$AM$7,5,0))</f>
        <v/>
      </c>
      <c r="O694" s="71" t="str">
        <f ca="1">IFERROR(VLOOKUP(N694,fixed_expenses[],2,0),"")</f>
        <v/>
      </c>
      <c r="P694" s="22"/>
    </row>
    <row r="695" spans="1:16" ht="11.25" customHeight="1" x14ac:dyDescent="0.2">
      <c r="B695" s="17" t="str">
        <f ca="1">IF(HLOOKUP(B689,Summary!$I$2:$AM$7,6,0)=0,"",HLOOKUP(B689,Summary!$I$2:$AM$7,6,0))</f>
        <v/>
      </c>
      <c r="C695" s="71" t="str">
        <f ca="1">IFERROR(VLOOKUP(B695,fixed_expenses[],2,0),"")</f>
        <v/>
      </c>
      <c r="D695" s="17" t="str">
        <f ca="1">IF(HLOOKUP(D689,Summary!$I$2:$AM$7,6,0)=0,"",HLOOKUP(D689,Summary!$I$2:$AM$7,6,0))</f>
        <v/>
      </c>
      <c r="E695" s="71" t="str">
        <f ca="1">IFERROR(VLOOKUP(D695,fixed_expenses[],2,0),"")</f>
        <v/>
      </c>
      <c r="F695" s="17" t="str">
        <f ca="1">IF(HLOOKUP(F689,Summary!$I$2:$AM$7,6,0)=0,"",HLOOKUP(F689,Summary!$I$2:$AM$7,6,0))</f>
        <v/>
      </c>
      <c r="G695" s="71" t="str">
        <f ca="1">IFERROR(VLOOKUP(F695,fixed_expenses[],2,0),"")</f>
        <v/>
      </c>
      <c r="H695" s="17" t="str">
        <f ca="1">IF(HLOOKUP(H689,Summary!$I$2:$AM$7,6,0)=0,"",HLOOKUP(H689,Summary!$I$2:$AM$7,6,0))</f>
        <v/>
      </c>
      <c r="I695" s="71" t="str">
        <f ca="1">IFERROR(VLOOKUP(H695,fixed_expenses[],2,0),"")</f>
        <v/>
      </c>
      <c r="J695" s="17" t="str">
        <f ca="1">IF(HLOOKUP(J689,Summary!$I$2:$AM$7,6,0)=0,"",HLOOKUP(J689,Summary!$I$2:$AM$7,6,0))</f>
        <v/>
      </c>
      <c r="K695" s="71" t="str">
        <f ca="1">IFERROR(VLOOKUP(J695,fixed_expenses[],2,0),"")</f>
        <v/>
      </c>
      <c r="L695" s="17" t="str">
        <f ca="1">IF(HLOOKUP(L689,Summary!$I$2:$AM$7,6,0)=0,"",HLOOKUP(L689,Summary!$I$2:$AM$7,6,0))</f>
        <v/>
      </c>
      <c r="M695" s="71" t="str">
        <f ca="1">IFERROR(VLOOKUP(L695,fixed_expenses[],2,0),"")</f>
        <v/>
      </c>
      <c r="N695" s="17" t="str">
        <f ca="1">IF(HLOOKUP(N689,Summary!$I$2:$AM$7,6,0)=0,"",HLOOKUP(N689,Summary!$I$2:$AM$7,6,0))</f>
        <v/>
      </c>
      <c r="O695" s="71" t="str">
        <f ca="1">IFERROR(VLOOKUP(N695,fixed_expenses[],2,0),"")</f>
        <v/>
      </c>
      <c r="P695" s="22"/>
    </row>
    <row r="696" spans="1:16" ht="11.25" customHeight="1" x14ac:dyDescent="0.2">
      <c r="A696" s="43" t="s">
        <v>285</v>
      </c>
      <c r="B696" s="26" t="s">
        <v>8</v>
      </c>
      <c r="C696" s="27">
        <f ca="1">SUM(C691:C695)</f>
        <v>0</v>
      </c>
      <c r="D696" s="26"/>
      <c r="E696" s="27">
        <f ca="1">SUM(E691:E695)</f>
        <v>1200</v>
      </c>
      <c r="F696" s="18"/>
      <c r="G696" s="27">
        <f ca="1">SUM(G691:G695)</f>
        <v>0</v>
      </c>
      <c r="H696" s="18"/>
      <c r="I696" s="27">
        <f ca="1">SUM(I691:I695)</f>
        <v>0</v>
      </c>
      <c r="J696" s="18"/>
      <c r="K696" s="27">
        <f ca="1">SUM(K691:K695)</f>
        <v>0</v>
      </c>
      <c r="L696" s="18"/>
      <c r="M696" s="27">
        <f ca="1">SUM(M691:M695)</f>
        <v>0</v>
      </c>
      <c r="N696" s="18"/>
      <c r="O696" s="28">
        <f ca="1">SUM(O691:O695)</f>
        <v>0</v>
      </c>
      <c r="P696" s="29">
        <f ca="1">SUMIF(B689:N689,"&gt;="&amp;15,C696:O696)</f>
        <v>0</v>
      </c>
    </row>
  </sheetData>
  <mergeCells count="229">
    <mergeCell ref="G2:H3"/>
    <mergeCell ref="L642:M642"/>
    <mergeCell ref="N642:O642"/>
    <mergeCell ref="B643:C643"/>
    <mergeCell ref="D643:E643"/>
    <mergeCell ref="F643:G643"/>
    <mergeCell ref="H643:I643"/>
    <mergeCell ref="J643:K643"/>
    <mergeCell ref="L643:M643"/>
    <mergeCell ref="N643:O643"/>
    <mergeCell ref="B642:C642"/>
    <mergeCell ref="D642:E642"/>
    <mergeCell ref="F642:G642"/>
    <mergeCell ref="H642:I642"/>
    <mergeCell ref="J642:K642"/>
    <mergeCell ref="B640:E641"/>
    <mergeCell ref="L640:M640"/>
    <mergeCell ref="N640:O640"/>
    <mergeCell ref="L641:M641"/>
    <mergeCell ref="N641:O641"/>
    <mergeCell ref="L584:M584"/>
    <mergeCell ref="N584:O584"/>
    <mergeCell ref="B585:C585"/>
    <mergeCell ref="D585:E585"/>
    <mergeCell ref="F585:G585"/>
    <mergeCell ref="H585:I585"/>
    <mergeCell ref="J585:K585"/>
    <mergeCell ref="L585:M585"/>
    <mergeCell ref="N585:O585"/>
    <mergeCell ref="B584:C584"/>
    <mergeCell ref="D584:E584"/>
    <mergeCell ref="F584:G584"/>
    <mergeCell ref="H584:I584"/>
    <mergeCell ref="J584:K584"/>
    <mergeCell ref="B582:E583"/>
    <mergeCell ref="L582:M582"/>
    <mergeCell ref="N582:O582"/>
    <mergeCell ref="L583:M583"/>
    <mergeCell ref="N583:O583"/>
    <mergeCell ref="L526:M526"/>
    <mergeCell ref="N526:O526"/>
    <mergeCell ref="B527:C527"/>
    <mergeCell ref="D527:E527"/>
    <mergeCell ref="F527:G527"/>
    <mergeCell ref="H527:I527"/>
    <mergeCell ref="J527:K527"/>
    <mergeCell ref="L527:M527"/>
    <mergeCell ref="N527:O527"/>
    <mergeCell ref="B526:C526"/>
    <mergeCell ref="D526:E526"/>
    <mergeCell ref="F526:G526"/>
    <mergeCell ref="H526:I526"/>
    <mergeCell ref="J526:K526"/>
    <mergeCell ref="B524:E525"/>
    <mergeCell ref="L524:M524"/>
    <mergeCell ref="N524:O524"/>
    <mergeCell ref="L525:M525"/>
    <mergeCell ref="N525:O525"/>
    <mergeCell ref="L468:M468"/>
    <mergeCell ref="N468:O468"/>
    <mergeCell ref="B469:C469"/>
    <mergeCell ref="D469:E469"/>
    <mergeCell ref="F469:G469"/>
    <mergeCell ref="H469:I469"/>
    <mergeCell ref="J469:K469"/>
    <mergeCell ref="L469:M469"/>
    <mergeCell ref="N469:O469"/>
    <mergeCell ref="B468:C468"/>
    <mergeCell ref="D468:E468"/>
    <mergeCell ref="F468:G468"/>
    <mergeCell ref="H468:I468"/>
    <mergeCell ref="J468:K468"/>
    <mergeCell ref="B466:E467"/>
    <mergeCell ref="L466:M466"/>
    <mergeCell ref="N466:O466"/>
    <mergeCell ref="L467:M467"/>
    <mergeCell ref="N467:O467"/>
    <mergeCell ref="L410:M410"/>
    <mergeCell ref="N410:O410"/>
    <mergeCell ref="B411:C411"/>
    <mergeCell ref="D411:E411"/>
    <mergeCell ref="F411:G411"/>
    <mergeCell ref="H411:I411"/>
    <mergeCell ref="J411:K411"/>
    <mergeCell ref="L411:M411"/>
    <mergeCell ref="N411:O411"/>
    <mergeCell ref="B410:C410"/>
    <mergeCell ref="D410:E410"/>
    <mergeCell ref="F410:G410"/>
    <mergeCell ref="H410:I410"/>
    <mergeCell ref="J410:K410"/>
    <mergeCell ref="B408:E409"/>
    <mergeCell ref="L408:M408"/>
    <mergeCell ref="N408:O408"/>
    <mergeCell ref="L409:M409"/>
    <mergeCell ref="N409:O409"/>
    <mergeCell ref="L352:M352"/>
    <mergeCell ref="N352:O352"/>
    <mergeCell ref="B353:C353"/>
    <mergeCell ref="D353:E353"/>
    <mergeCell ref="F353:G353"/>
    <mergeCell ref="H353:I353"/>
    <mergeCell ref="J353:K353"/>
    <mergeCell ref="L353:M353"/>
    <mergeCell ref="N353:O353"/>
    <mergeCell ref="B352:C352"/>
    <mergeCell ref="D352:E352"/>
    <mergeCell ref="F352:G352"/>
    <mergeCell ref="H352:I352"/>
    <mergeCell ref="J352:K352"/>
    <mergeCell ref="B350:E351"/>
    <mergeCell ref="L350:M350"/>
    <mergeCell ref="N350:O350"/>
    <mergeCell ref="L351:M351"/>
    <mergeCell ref="N351:O351"/>
    <mergeCell ref="L294:M294"/>
    <mergeCell ref="N294:O294"/>
    <mergeCell ref="B295:C295"/>
    <mergeCell ref="D295:E295"/>
    <mergeCell ref="F295:G295"/>
    <mergeCell ref="H295:I295"/>
    <mergeCell ref="J295:K295"/>
    <mergeCell ref="L295:M295"/>
    <mergeCell ref="N295:O295"/>
    <mergeCell ref="B294:C294"/>
    <mergeCell ref="D294:E294"/>
    <mergeCell ref="F294:G294"/>
    <mergeCell ref="H294:I294"/>
    <mergeCell ref="J294:K294"/>
    <mergeCell ref="B292:E293"/>
    <mergeCell ref="L292:M292"/>
    <mergeCell ref="N292:O292"/>
    <mergeCell ref="L293:M293"/>
    <mergeCell ref="N293:O293"/>
    <mergeCell ref="L236:M236"/>
    <mergeCell ref="N236:O236"/>
    <mergeCell ref="B237:C237"/>
    <mergeCell ref="D237:E237"/>
    <mergeCell ref="F237:G237"/>
    <mergeCell ref="H237:I237"/>
    <mergeCell ref="J237:K237"/>
    <mergeCell ref="L237:M237"/>
    <mergeCell ref="N237:O237"/>
    <mergeCell ref="B236:C236"/>
    <mergeCell ref="D236:E236"/>
    <mergeCell ref="F236:G236"/>
    <mergeCell ref="H236:I236"/>
    <mergeCell ref="J236:K236"/>
    <mergeCell ref="B234:E235"/>
    <mergeCell ref="L234:M234"/>
    <mergeCell ref="N234:O234"/>
    <mergeCell ref="L235:M235"/>
    <mergeCell ref="N235:O235"/>
    <mergeCell ref="L178:M178"/>
    <mergeCell ref="N178:O178"/>
    <mergeCell ref="B179:C179"/>
    <mergeCell ref="D179:E179"/>
    <mergeCell ref="F179:G179"/>
    <mergeCell ref="H179:I179"/>
    <mergeCell ref="J179:K179"/>
    <mergeCell ref="L179:M179"/>
    <mergeCell ref="N179:O179"/>
    <mergeCell ref="B178:C178"/>
    <mergeCell ref="D178:E178"/>
    <mergeCell ref="F178:G178"/>
    <mergeCell ref="H178:I178"/>
    <mergeCell ref="J178:K178"/>
    <mergeCell ref="B176:E177"/>
    <mergeCell ref="L176:M176"/>
    <mergeCell ref="N176:O176"/>
    <mergeCell ref="L177:M177"/>
    <mergeCell ref="N177:O177"/>
    <mergeCell ref="L120:M120"/>
    <mergeCell ref="N120:O120"/>
    <mergeCell ref="B121:C121"/>
    <mergeCell ref="D121:E121"/>
    <mergeCell ref="F121:G121"/>
    <mergeCell ref="H121:I121"/>
    <mergeCell ref="J121:K121"/>
    <mergeCell ref="L121:M121"/>
    <mergeCell ref="N121:O121"/>
    <mergeCell ref="B120:C120"/>
    <mergeCell ref="D120:E120"/>
    <mergeCell ref="F120:G120"/>
    <mergeCell ref="H120:I120"/>
    <mergeCell ref="J120:K120"/>
    <mergeCell ref="B118:E119"/>
    <mergeCell ref="L118:M118"/>
    <mergeCell ref="N118:O118"/>
    <mergeCell ref="L119:M119"/>
    <mergeCell ref="N119:O119"/>
    <mergeCell ref="L62:M62"/>
    <mergeCell ref="N62:O62"/>
    <mergeCell ref="B63:C63"/>
    <mergeCell ref="D63:E63"/>
    <mergeCell ref="F63:G63"/>
    <mergeCell ref="H63:I63"/>
    <mergeCell ref="J63:K63"/>
    <mergeCell ref="L63:M63"/>
    <mergeCell ref="N63:O63"/>
    <mergeCell ref="B62:C62"/>
    <mergeCell ref="D62:E62"/>
    <mergeCell ref="F62:G62"/>
    <mergeCell ref="H62:I62"/>
    <mergeCell ref="J62:K62"/>
    <mergeCell ref="L2:M2"/>
    <mergeCell ref="N2:O2"/>
    <mergeCell ref="L3:M3"/>
    <mergeCell ref="N3:O3"/>
    <mergeCell ref="B2:E3"/>
    <mergeCell ref="B60:E61"/>
    <mergeCell ref="L60:M60"/>
    <mergeCell ref="N60:O60"/>
    <mergeCell ref="L61:M61"/>
    <mergeCell ref="N61:O61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</mergeCells>
  <conditionalFormatting sqref="B13 D13 F13 H13 J13 L13 N13">
    <cfRule type="expression" dxfId="431" priority="3604">
      <formula>B6&gt;15</formula>
    </cfRule>
  </conditionalFormatting>
  <conditionalFormatting sqref="B6:O6">
    <cfRule type="expression" dxfId="430" priority="788">
      <formula>B6&gt;15</formula>
    </cfRule>
  </conditionalFormatting>
  <conditionalFormatting sqref="C13 E13 G13 I13 K13 M13 O13">
    <cfRule type="expression" dxfId="429" priority="3605">
      <formula>B6&gt;15</formula>
    </cfRule>
  </conditionalFormatting>
  <conditionalFormatting sqref="P13">
    <cfRule type="expression" dxfId="428" priority="3607">
      <formula>N6&gt;15</formula>
    </cfRule>
  </conditionalFormatting>
  <conditionalFormatting sqref="B7 D7 F7 H7 J7 L7 N7">
    <cfRule type="expression" dxfId="427" priority="789">
      <formula>B6&gt;15</formula>
    </cfRule>
  </conditionalFormatting>
  <conditionalFormatting sqref="C7 E7 G7 I7 K7 M7 O7">
    <cfRule type="expression" dxfId="426" priority="790">
      <formula>B6&gt;15</formula>
    </cfRule>
  </conditionalFormatting>
  <conditionalFormatting sqref="B49 D49 F49 H49 J49 L49 N49">
    <cfRule type="expression" dxfId="425" priority="785">
      <formula>B42&lt;15</formula>
    </cfRule>
  </conditionalFormatting>
  <conditionalFormatting sqref="B42:O42">
    <cfRule type="expression" dxfId="424" priority="772">
      <formula>B42&lt;15</formula>
    </cfRule>
  </conditionalFormatting>
  <conditionalFormatting sqref="C49 E49 G49 I49 K49 M49 O49">
    <cfRule type="expression" dxfId="423" priority="786">
      <formula>B42&lt;15</formula>
    </cfRule>
  </conditionalFormatting>
  <conditionalFormatting sqref="P49">
    <cfRule type="expression" dxfId="422" priority="787">
      <formula>N42&lt;15</formula>
    </cfRule>
  </conditionalFormatting>
  <conditionalFormatting sqref="B43 D43 F43 H43 J43 L43 N43">
    <cfRule type="expression" dxfId="421" priority="773">
      <formula>B42&lt;15</formula>
    </cfRule>
  </conditionalFormatting>
  <conditionalFormatting sqref="C43 E43 G43 I43 K43 M43 O43">
    <cfRule type="expression" dxfId="420" priority="774">
      <formula>B42&lt;15</formula>
    </cfRule>
  </conditionalFormatting>
  <conditionalFormatting sqref="B58 D58 F58 H58 J58 L58 N58">
    <cfRule type="expression" dxfId="419" priority="769">
      <formula>B51&lt;15</formula>
    </cfRule>
  </conditionalFormatting>
  <conditionalFormatting sqref="B51:O51">
    <cfRule type="expression" dxfId="418" priority="756">
      <formula>B51&lt;15</formula>
    </cfRule>
  </conditionalFormatting>
  <conditionalFormatting sqref="C58 E58 G58 I58 K58 M58 O58">
    <cfRule type="expression" dxfId="417" priority="770">
      <formula>B51&lt;15</formula>
    </cfRule>
  </conditionalFormatting>
  <conditionalFormatting sqref="P58">
    <cfRule type="expression" dxfId="416" priority="771">
      <formula>N51&lt;15</formula>
    </cfRule>
  </conditionalFormatting>
  <conditionalFormatting sqref="B52 D52 F52 H52 J52 L52 N52">
    <cfRule type="expression" dxfId="415" priority="757">
      <formula>B51&lt;15</formula>
    </cfRule>
  </conditionalFormatting>
  <conditionalFormatting sqref="C52 E52 G52 I52 K52 M52 O52">
    <cfRule type="expression" dxfId="414" priority="758">
      <formula>B51&lt;15</formula>
    </cfRule>
  </conditionalFormatting>
  <conditionalFormatting sqref="B71 D71 F71 H71 J71 L71 N71">
    <cfRule type="expression" dxfId="413" priority="753">
      <formula>B64&gt;15</formula>
    </cfRule>
  </conditionalFormatting>
  <conditionalFormatting sqref="B64:O64">
    <cfRule type="expression" dxfId="412" priority="740">
      <formula>B64&gt;15</formula>
    </cfRule>
  </conditionalFormatting>
  <conditionalFormatting sqref="C71 E71 G71 I71 K71 M71 O71">
    <cfRule type="expression" dxfId="411" priority="754">
      <formula>B64&gt;15</formula>
    </cfRule>
  </conditionalFormatting>
  <conditionalFormatting sqref="P71">
    <cfRule type="expression" dxfId="410" priority="755">
      <formula>N64&gt;15</formula>
    </cfRule>
  </conditionalFormatting>
  <conditionalFormatting sqref="B65 D65 F65 H65 J65 L65 N65">
    <cfRule type="expression" dxfId="409" priority="741">
      <formula>B64&gt;15</formula>
    </cfRule>
  </conditionalFormatting>
  <conditionalFormatting sqref="C65 E65 G65 I65 K65 M65 O65">
    <cfRule type="expression" dxfId="408" priority="742">
      <formula>B64&gt;15</formula>
    </cfRule>
  </conditionalFormatting>
  <conditionalFormatting sqref="B107 D107 F107 H107 J107 L107 N107">
    <cfRule type="expression" dxfId="407" priority="737">
      <formula>B100&lt;15</formula>
    </cfRule>
  </conditionalFormatting>
  <conditionalFormatting sqref="B100:O100">
    <cfRule type="expression" dxfId="406" priority="724">
      <formula>B100&lt;15</formula>
    </cfRule>
  </conditionalFormatting>
  <conditionalFormatting sqref="C107 E107 G107 I107 K107 M107 O107">
    <cfRule type="expression" dxfId="405" priority="738">
      <formula>B100&lt;15</formula>
    </cfRule>
  </conditionalFormatting>
  <conditionalFormatting sqref="P107">
    <cfRule type="expression" dxfId="404" priority="739">
      <formula>N100&lt;15</formula>
    </cfRule>
  </conditionalFormatting>
  <conditionalFormatting sqref="B101 D101 F101 H101 J101 L101 N101">
    <cfRule type="expression" dxfId="403" priority="725">
      <formula>B100&lt;15</formula>
    </cfRule>
  </conditionalFormatting>
  <conditionalFormatting sqref="C101 E101 G101 I101 K101 M101 O101">
    <cfRule type="expression" dxfId="402" priority="726">
      <formula>B100&lt;15</formula>
    </cfRule>
  </conditionalFormatting>
  <conditionalFormatting sqref="B116 D116 F116 H116 J116 L116 N116">
    <cfRule type="expression" dxfId="401" priority="721">
      <formula>B109&lt;15</formula>
    </cfRule>
  </conditionalFormatting>
  <conditionalFormatting sqref="B109:O109">
    <cfRule type="expression" dxfId="400" priority="708">
      <formula>B109&lt;15</formula>
    </cfRule>
  </conditionalFormatting>
  <conditionalFormatting sqref="C116 E116 G116 I116 K116 M116 O116">
    <cfRule type="expression" dxfId="399" priority="722">
      <formula>B109&lt;15</formula>
    </cfRule>
  </conditionalFormatting>
  <conditionalFormatting sqref="P116">
    <cfRule type="expression" dxfId="398" priority="723">
      <formula>N109&lt;15</formula>
    </cfRule>
  </conditionalFormatting>
  <conditionalFormatting sqref="B110 D110 F110 H110 J110 L110 N110">
    <cfRule type="expression" dxfId="397" priority="709">
      <formula>B109&lt;15</formula>
    </cfRule>
  </conditionalFormatting>
  <conditionalFormatting sqref="C110 E110 G110 I110 K110 M110 O110">
    <cfRule type="expression" dxfId="396" priority="710">
      <formula>B109&lt;15</formula>
    </cfRule>
  </conditionalFormatting>
  <conditionalFormatting sqref="B129 D129 F129 H129 J129 L129 N129">
    <cfRule type="expression" dxfId="395" priority="705">
      <formula>B122&gt;15</formula>
    </cfRule>
  </conditionalFormatting>
  <conditionalFormatting sqref="B122:O122">
    <cfRule type="expression" dxfId="394" priority="692">
      <formula>B122&gt;15</formula>
    </cfRule>
  </conditionalFormatting>
  <conditionalFormatting sqref="C129 E129 G129 I129 K129 M129 O129">
    <cfRule type="expression" dxfId="393" priority="706">
      <formula>B122&gt;15</formula>
    </cfRule>
  </conditionalFormatting>
  <conditionalFormatting sqref="P129">
    <cfRule type="expression" dxfId="392" priority="707">
      <formula>N122&gt;15</formula>
    </cfRule>
  </conditionalFormatting>
  <conditionalFormatting sqref="B123 D123 F123 H123 J123 L123 N123">
    <cfRule type="expression" dxfId="391" priority="693">
      <formula>B122&gt;15</formula>
    </cfRule>
  </conditionalFormatting>
  <conditionalFormatting sqref="C123 E123 G123 I123 K123 M123 O123">
    <cfRule type="expression" dxfId="390" priority="694">
      <formula>B122&gt;15</formula>
    </cfRule>
  </conditionalFormatting>
  <conditionalFormatting sqref="B165 D165 F165 H165 J165 L165 N165">
    <cfRule type="expression" dxfId="389" priority="689">
      <formula>B158&lt;15</formula>
    </cfRule>
  </conditionalFormatting>
  <conditionalFormatting sqref="B158:O158">
    <cfRule type="expression" dxfId="388" priority="676">
      <formula>B158&lt;15</formula>
    </cfRule>
  </conditionalFormatting>
  <conditionalFormatting sqref="C165 E165 G165 I165 K165 M165 O165">
    <cfRule type="expression" dxfId="387" priority="690">
      <formula>B158&lt;15</formula>
    </cfRule>
  </conditionalFormatting>
  <conditionalFormatting sqref="P165">
    <cfRule type="expression" dxfId="386" priority="691">
      <formula>N158&lt;15</formula>
    </cfRule>
  </conditionalFormatting>
  <conditionalFormatting sqref="B159 D159 F159 H159 J159 L159 N159">
    <cfRule type="expression" dxfId="385" priority="677">
      <formula>B158&lt;15</formula>
    </cfRule>
  </conditionalFormatting>
  <conditionalFormatting sqref="C159 E159 G159 I159 K159 M159 O159">
    <cfRule type="expression" dxfId="384" priority="678">
      <formula>B158&lt;15</formula>
    </cfRule>
  </conditionalFormatting>
  <conditionalFormatting sqref="B174 D174 F174 H174 J174 L174 N174">
    <cfRule type="expression" dxfId="383" priority="673">
      <formula>B167&lt;15</formula>
    </cfRule>
  </conditionalFormatting>
  <conditionalFormatting sqref="B167:O167">
    <cfRule type="expression" dxfId="382" priority="660">
      <formula>B167&lt;15</formula>
    </cfRule>
  </conditionalFormatting>
  <conditionalFormatting sqref="C174 E174 G174 I174 K174 M174 O174">
    <cfRule type="expression" dxfId="381" priority="674">
      <formula>B167&lt;15</formula>
    </cfRule>
  </conditionalFormatting>
  <conditionalFormatting sqref="P174">
    <cfRule type="expression" dxfId="380" priority="675">
      <formula>N167&lt;15</formula>
    </cfRule>
  </conditionalFormatting>
  <conditionalFormatting sqref="B168 D168 F168 H168 J168 L168 N168">
    <cfRule type="expression" dxfId="379" priority="661">
      <formula>B167&lt;15</formula>
    </cfRule>
  </conditionalFormatting>
  <conditionalFormatting sqref="C168 E168 G168 I168 K168 M168 O168">
    <cfRule type="expression" dxfId="378" priority="662">
      <formula>B167&lt;15</formula>
    </cfRule>
  </conditionalFormatting>
  <conditionalFormatting sqref="B187 D187 F187 H187 J187 L187 N187">
    <cfRule type="expression" dxfId="377" priority="657">
      <formula>B180&gt;15</formula>
    </cfRule>
  </conditionalFormatting>
  <conditionalFormatting sqref="B180:O180">
    <cfRule type="expression" dxfId="376" priority="644">
      <formula>B180&gt;15</formula>
    </cfRule>
  </conditionalFormatting>
  <conditionalFormatting sqref="C187 E187 G187 I187 K187 M187 O187">
    <cfRule type="expression" dxfId="375" priority="658">
      <formula>B180&gt;15</formula>
    </cfRule>
  </conditionalFormatting>
  <conditionalFormatting sqref="P187">
    <cfRule type="expression" dxfId="374" priority="659">
      <formula>N180&gt;15</formula>
    </cfRule>
  </conditionalFormatting>
  <conditionalFormatting sqref="B181 D181 F181 H181 J181 L181 N181">
    <cfRule type="expression" dxfId="373" priority="645">
      <formula>B180&gt;15</formula>
    </cfRule>
  </conditionalFormatting>
  <conditionalFormatting sqref="C181 E181 G181 I181 K181 M181 O181">
    <cfRule type="expression" dxfId="372" priority="646">
      <formula>B180&gt;15</formula>
    </cfRule>
  </conditionalFormatting>
  <conditionalFormatting sqref="B223 D223 F223 H223 J223 L223 N223">
    <cfRule type="expression" dxfId="371" priority="641">
      <formula>B216&lt;15</formula>
    </cfRule>
  </conditionalFormatting>
  <conditionalFormatting sqref="B216:O216">
    <cfRule type="expression" dxfId="370" priority="628">
      <formula>B216&lt;15</formula>
    </cfRule>
  </conditionalFormatting>
  <conditionalFormatting sqref="C223 E223 G223 I223 K223 M223 O223">
    <cfRule type="expression" dxfId="369" priority="642">
      <formula>B216&lt;15</formula>
    </cfRule>
  </conditionalFormatting>
  <conditionalFormatting sqref="P223">
    <cfRule type="expression" dxfId="368" priority="643">
      <formula>N216&lt;15</formula>
    </cfRule>
  </conditionalFormatting>
  <conditionalFormatting sqref="B217 D217 F217 H217 J217 L217 N217">
    <cfRule type="expression" dxfId="367" priority="629">
      <formula>B216&lt;15</formula>
    </cfRule>
  </conditionalFormatting>
  <conditionalFormatting sqref="C217 E217 G217 I217 K217 M217 O217">
    <cfRule type="expression" dxfId="366" priority="630">
      <formula>B216&lt;15</formula>
    </cfRule>
  </conditionalFormatting>
  <conditionalFormatting sqref="B232 D232 F232 H232 J232 L232 N232">
    <cfRule type="expression" dxfId="365" priority="625">
      <formula>B225&lt;15</formula>
    </cfRule>
  </conditionalFormatting>
  <conditionalFormatting sqref="B225:O225">
    <cfRule type="expression" dxfId="364" priority="612">
      <formula>B225&lt;15</formula>
    </cfRule>
  </conditionalFormatting>
  <conditionalFormatting sqref="C232 E232 G232 I232 K232 M232 O232">
    <cfRule type="expression" dxfId="363" priority="626">
      <formula>B225&lt;15</formula>
    </cfRule>
  </conditionalFormatting>
  <conditionalFormatting sqref="P232">
    <cfRule type="expression" dxfId="362" priority="627">
      <formula>N225&lt;15</formula>
    </cfRule>
  </conditionalFormatting>
  <conditionalFormatting sqref="B226 D226 F226 H226 J226 L226 N226">
    <cfRule type="expression" dxfId="361" priority="613">
      <formula>B225&lt;15</formula>
    </cfRule>
  </conditionalFormatting>
  <conditionalFormatting sqref="C226 E226 G226 I226 K226 M226 O226">
    <cfRule type="expression" dxfId="360" priority="614">
      <formula>B225&lt;15</formula>
    </cfRule>
  </conditionalFormatting>
  <conditionalFormatting sqref="B245 D245 F245 H245 J245 L245 N245">
    <cfRule type="expression" dxfId="359" priority="609">
      <formula>B238&gt;15</formula>
    </cfRule>
  </conditionalFormatting>
  <conditionalFormatting sqref="B238:O238">
    <cfRule type="expression" dxfId="358" priority="596">
      <formula>B238&gt;15</formula>
    </cfRule>
  </conditionalFormatting>
  <conditionalFormatting sqref="C245 E245 G245 I245 K245 M245 O245">
    <cfRule type="expression" dxfId="357" priority="610">
      <formula>B238&gt;15</formula>
    </cfRule>
  </conditionalFormatting>
  <conditionalFormatting sqref="P245">
    <cfRule type="expression" dxfId="356" priority="611">
      <formula>N238&gt;15</formula>
    </cfRule>
  </conditionalFormatting>
  <conditionalFormatting sqref="B239 D239 F239 H239 J239 L239 N239">
    <cfRule type="expression" dxfId="355" priority="597">
      <formula>B238&gt;15</formula>
    </cfRule>
  </conditionalFormatting>
  <conditionalFormatting sqref="C239 E239 G239 I239 K239 M239 O239">
    <cfRule type="expression" dxfId="354" priority="598">
      <formula>B238&gt;15</formula>
    </cfRule>
  </conditionalFormatting>
  <conditionalFormatting sqref="B281 D281 F281 H281 J281 L281 N281">
    <cfRule type="expression" dxfId="353" priority="593">
      <formula>B274&lt;15</formula>
    </cfRule>
  </conditionalFormatting>
  <conditionalFormatting sqref="B274:O274">
    <cfRule type="expression" dxfId="352" priority="580">
      <formula>B274&lt;15</formula>
    </cfRule>
  </conditionalFormatting>
  <conditionalFormatting sqref="C281 E281 G281 I281 K281 M281 O281">
    <cfRule type="expression" dxfId="351" priority="594">
      <formula>B274&lt;15</formula>
    </cfRule>
  </conditionalFormatting>
  <conditionalFormatting sqref="P281">
    <cfRule type="expression" dxfId="350" priority="595">
      <formula>N274&lt;15</formula>
    </cfRule>
  </conditionalFormatting>
  <conditionalFormatting sqref="B275 D275 F275 H275 J275 L275 N275">
    <cfRule type="expression" dxfId="349" priority="581">
      <formula>B274&lt;15</formula>
    </cfRule>
  </conditionalFormatting>
  <conditionalFormatting sqref="C275 E275 G275 I275 K275 M275 O275">
    <cfRule type="expression" dxfId="348" priority="582">
      <formula>B274&lt;15</formula>
    </cfRule>
  </conditionalFormatting>
  <conditionalFormatting sqref="B290 D290 F290 H290 J290 L290 N290">
    <cfRule type="expression" dxfId="347" priority="577">
      <formula>B283&lt;15</formula>
    </cfRule>
  </conditionalFormatting>
  <conditionalFormatting sqref="B283:O283">
    <cfRule type="expression" dxfId="346" priority="564">
      <formula>B283&lt;15</formula>
    </cfRule>
  </conditionalFormatting>
  <conditionalFormatting sqref="C290 E290 G290 I290 K290 M290 O290">
    <cfRule type="expression" dxfId="345" priority="578">
      <formula>B283&lt;15</formula>
    </cfRule>
  </conditionalFormatting>
  <conditionalFormatting sqref="P290">
    <cfRule type="expression" dxfId="344" priority="579">
      <formula>N283&lt;15</formula>
    </cfRule>
  </conditionalFormatting>
  <conditionalFormatting sqref="B284 D284 F284 H284 J284 L284 N284">
    <cfRule type="expression" dxfId="343" priority="565">
      <formula>B283&lt;15</formula>
    </cfRule>
  </conditionalFormatting>
  <conditionalFormatting sqref="C284 E284 G284 I284 K284 M284 O284">
    <cfRule type="expression" dxfId="342" priority="566">
      <formula>B283&lt;15</formula>
    </cfRule>
  </conditionalFormatting>
  <conditionalFormatting sqref="B303 D303 F303 H303 J303 L303 N303">
    <cfRule type="expression" dxfId="341" priority="561">
      <formula>B296&gt;15</formula>
    </cfRule>
  </conditionalFormatting>
  <conditionalFormatting sqref="B296:O296">
    <cfRule type="expression" dxfId="340" priority="548">
      <formula>B296&gt;15</formula>
    </cfRule>
  </conditionalFormatting>
  <conditionalFormatting sqref="C303 E303 G303 I303 K303 M303 O303">
    <cfRule type="expression" dxfId="339" priority="562">
      <formula>B296&gt;15</formula>
    </cfRule>
  </conditionalFormatting>
  <conditionalFormatting sqref="P303">
    <cfRule type="expression" dxfId="338" priority="563">
      <formula>N296&gt;15</formula>
    </cfRule>
  </conditionalFormatting>
  <conditionalFormatting sqref="B297 D297 F297 H297 J297 L297 N297">
    <cfRule type="expression" dxfId="337" priority="549">
      <formula>B296&gt;15</formula>
    </cfRule>
  </conditionalFormatting>
  <conditionalFormatting sqref="C297 E297 G297 I297 K297 M297 O297">
    <cfRule type="expression" dxfId="336" priority="550">
      <formula>B296&gt;15</formula>
    </cfRule>
  </conditionalFormatting>
  <conditionalFormatting sqref="B339 D339 F339 H339 J339 L339 N339">
    <cfRule type="expression" dxfId="335" priority="545">
      <formula>B332&lt;15</formula>
    </cfRule>
  </conditionalFormatting>
  <conditionalFormatting sqref="B332:O332">
    <cfRule type="expression" dxfId="334" priority="532">
      <formula>B332&lt;15</formula>
    </cfRule>
  </conditionalFormatting>
  <conditionalFormatting sqref="C339 E339 G339 I339 K339 M339 O339">
    <cfRule type="expression" dxfId="333" priority="546">
      <formula>B332&lt;15</formula>
    </cfRule>
  </conditionalFormatting>
  <conditionalFormatting sqref="P339">
    <cfRule type="expression" dxfId="332" priority="547">
      <formula>N332&lt;15</formula>
    </cfRule>
  </conditionalFormatting>
  <conditionalFormatting sqref="B333 D333 F333 H333 J333 L333 N333">
    <cfRule type="expression" dxfId="331" priority="533">
      <formula>B332&lt;15</formula>
    </cfRule>
  </conditionalFormatting>
  <conditionalFormatting sqref="C333 E333 G333 I333 K333 M333 O333">
    <cfRule type="expression" dxfId="330" priority="534">
      <formula>B332&lt;15</formula>
    </cfRule>
  </conditionalFormatting>
  <conditionalFormatting sqref="B348 D348 F348 H348 J348 L348 N348">
    <cfRule type="expression" dxfId="329" priority="529">
      <formula>B341&lt;15</formula>
    </cfRule>
  </conditionalFormatting>
  <conditionalFormatting sqref="B341:O341">
    <cfRule type="expression" dxfId="328" priority="516">
      <formula>B341&lt;15</formula>
    </cfRule>
  </conditionalFormatting>
  <conditionalFormatting sqref="C348 E348 G348 I348 K348 M348 O348">
    <cfRule type="expression" dxfId="327" priority="530">
      <formula>B341&lt;15</formula>
    </cfRule>
  </conditionalFormatting>
  <conditionalFormatting sqref="P348">
    <cfRule type="expression" dxfId="326" priority="531">
      <formula>N341&lt;15</formula>
    </cfRule>
  </conditionalFormatting>
  <conditionalFormatting sqref="B342 D342 F342 H342 J342 L342 N342">
    <cfRule type="expression" dxfId="325" priority="517">
      <formula>B341&lt;15</formula>
    </cfRule>
  </conditionalFormatting>
  <conditionalFormatting sqref="C342 E342 G342 I342 K342 M342 O342">
    <cfRule type="expression" dxfId="324" priority="518">
      <formula>B341&lt;15</formula>
    </cfRule>
  </conditionalFormatting>
  <conditionalFormatting sqref="B361 D361 F361 H361 J361 L361 N361">
    <cfRule type="expression" dxfId="323" priority="513">
      <formula>B354&gt;15</formula>
    </cfRule>
  </conditionalFormatting>
  <conditionalFormatting sqref="B354:O354">
    <cfRule type="expression" dxfId="322" priority="500">
      <formula>B354&gt;15</formula>
    </cfRule>
  </conditionalFormatting>
  <conditionalFormatting sqref="C361 E361 G361 I361 K361 M361 O361">
    <cfRule type="expression" dxfId="321" priority="514">
      <formula>B354&gt;15</formula>
    </cfRule>
  </conditionalFormatting>
  <conditionalFormatting sqref="P361">
    <cfRule type="expression" dxfId="320" priority="515">
      <formula>N354&gt;15</formula>
    </cfRule>
  </conditionalFormatting>
  <conditionalFormatting sqref="B355 D355 F355 H355 J355 L355 N355">
    <cfRule type="expression" dxfId="319" priority="501">
      <formula>B354&gt;15</formula>
    </cfRule>
  </conditionalFormatting>
  <conditionalFormatting sqref="C355 E355 G355 I355 K355 M355 O355">
    <cfRule type="expression" dxfId="318" priority="502">
      <formula>B354&gt;15</formula>
    </cfRule>
  </conditionalFormatting>
  <conditionalFormatting sqref="B397 D397 F397 H397 J397 L397 N397">
    <cfRule type="expression" dxfId="317" priority="497">
      <formula>B390&lt;15</formula>
    </cfRule>
  </conditionalFormatting>
  <conditionalFormatting sqref="B390:O390">
    <cfRule type="expression" dxfId="316" priority="484">
      <formula>B390&lt;15</formula>
    </cfRule>
  </conditionalFormatting>
  <conditionalFormatting sqref="C397 E397 G397 I397 K397 M397 O397">
    <cfRule type="expression" dxfId="315" priority="498">
      <formula>B390&lt;15</formula>
    </cfRule>
  </conditionalFormatting>
  <conditionalFormatting sqref="P397">
    <cfRule type="expression" dxfId="314" priority="499">
      <formula>N390&lt;15</formula>
    </cfRule>
  </conditionalFormatting>
  <conditionalFormatting sqref="B391 D391 F391 H391 J391 L391 N391">
    <cfRule type="expression" dxfId="313" priority="485">
      <formula>B390&lt;15</formula>
    </cfRule>
  </conditionalFormatting>
  <conditionalFormatting sqref="C391 E391 G391 I391 K391 M391 O391">
    <cfRule type="expression" dxfId="312" priority="486">
      <formula>B390&lt;15</formula>
    </cfRule>
  </conditionalFormatting>
  <conditionalFormatting sqref="B406 D406 F406 H406 J406 L406 N406">
    <cfRule type="expression" dxfId="311" priority="481">
      <formula>B399&lt;15</formula>
    </cfRule>
  </conditionalFormatting>
  <conditionalFormatting sqref="B399:O399">
    <cfRule type="expression" dxfId="310" priority="468">
      <formula>B399&lt;15</formula>
    </cfRule>
  </conditionalFormatting>
  <conditionalFormatting sqref="C406 E406 G406 I406 K406 M406 O406">
    <cfRule type="expression" dxfId="309" priority="482">
      <formula>B399&lt;15</formula>
    </cfRule>
  </conditionalFormatting>
  <conditionalFormatting sqref="P406">
    <cfRule type="expression" dxfId="308" priority="483">
      <formula>N399&lt;15</formula>
    </cfRule>
  </conditionalFormatting>
  <conditionalFormatting sqref="B400 D400 F400 H400 J400 L400 N400">
    <cfRule type="expression" dxfId="307" priority="469">
      <formula>B399&lt;15</formula>
    </cfRule>
  </conditionalFormatting>
  <conditionalFormatting sqref="C400 E400 G400 I400 K400 M400 O400">
    <cfRule type="expression" dxfId="306" priority="470">
      <formula>B399&lt;15</formula>
    </cfRule>
  </conditionalFormatting>
  <conditionalFormatting sqref="B419 D419 F419 H419 J419 L419 N419">
    <cfRule type="expression" dxfId="305" priority="465">
      <formula>B412&gt;15</formula>
    </cfRule>
  </conditionalFormatting>
  <conditionalFormatting sqref="B412:O412">
    <cfRule type="expression" dxfId="304" priority="452">
      <formula>B412&gt;15</formula>
    </cfRule>
  </conditionalFormatting>
  <conditionalFormatting sqref="C419 E419 G419 I419 K419 M419 O419">
    <cfRule type="expression" dxfId="303" priority="466">
      <formula>B412&gt;15</formula>
    </cfRule>
  </conditionalFormatting>
  <conditionalFormatting sqref="P419">
    <cfRule type="expression" dxfId="302" priority="467">
      <formula>N412&gt;15</formula>
    </cfRule>
  </conditionalFormatting>
  <conditionalFormatting sqref="B413 D413 F413 H413 J413 L413 N413">
    <cfRule type="expression" dxfId="301" priority="453">
      <formula>B412&gt;15</formula>
    </cfRule>
  </conditionalFormatting>
  <conditionalFormatting sqref="C413 E413 G413 I413 K413 M413 O413">
    <cfRule type="expression" dxfId="300" priority="454">
      <formula>B412&gt;15</formula>
    </cfRule>
  </conditionalFormatting>
  <conditionalFormatting sqref="B455 D455 F455 H455 J455 L455 N455">
    <cfRule type="expression" dxfId="299" priority="449">
      <formula>B448&lt;15</formula>
    </cfRule>
  </conditionalFormatting>
  <conditionalFormatting sqref="B448:O448">
    <cfRule type="expression" dxfId="298" priority="436">
      <formula>B448&lt;15</formula>
    </cfRule>
  </conditionalFormatting>
  <conditionalFormatting sqref="C455 E455 G455 I455 K455 M455 O455">
    <cfRule type="expression" dxfId="297" priority="450">
      <formula>B448&lt;15</formula>
    </cfRule>
  </conditionalFormatting>
  <conditionalFormatting sqref="P455">
    <cfRule type="expression" dxfId="296" priority="451">
      <formula>N448&lt;15</formula>
    </cfRule>
  </conditionalFormatting>
  <conditionalFormatting sqref="B449 D449 F449 H449 J449 L449 N449">
    <cfRule type="expression" dxfId="295" priority="437">
      <formula>B448&lt;15</formula>
    </cfRule>
  </conditionalFormatting>
  <conditionalFormatting sqref="C449 E449 G449 I449 K449 M449 O449">
    <cfRule type="expression" dxfId="294" priority="438">
      <formula>B448&lt;15</formula>
    </cfRule>
  </conditionalFormatting>
  <conditionalFormatting sqref="B464 D464 F464 H464 J464 L464 N464">
    <cfRule type="expression" dxfId="293" priority="433">
      <formula>B457&lt;15</formula>
    </cfRule>
  </conditionalFormatting>
  <conditionalFormatting sqref="B457:O457">
    <cfRule type="expression" dxfId="292" priority="420">
      <formula>B457&lt;15</formula>
    </cfRule>
  </conditionalFormatting>
  <conditionalFormatting sqref="C464 E464 G464 I464 K464 M464 O464">
    <cfRule type="expression" dxfId="291" priority="434">
      <formula>B457&lt;15</formula>
    </cfRule>
  </conditionalFormatting>
  <conditionalFormatting sqref="P464">
    <cfRule type="expression" dxfId="290" priority="435">
      <formula>N457&lt;15</formula>
    </cfRule>
  </conditionalFormatting>
  <conditionalFormatting sqref="B458 D458 F458 H458 J458 L458 N458">
    <cfRule type="expression" dxfId="289" priority="421">
      <formula>B457&lt;15</formula>
    </cfRule>
  </conditionalFormatting>
  <conditionalFormatting sqref="C458 E458 G458 I458 K458 M458 O458">
    <cfRule type="expression" dxfId="288" priority="422">
      <formula>B457&lt;15</formula>
    </cfRule>
  </conditionalFormatting>
  <conditionalFormatting sqref="B477 D477 F477 H477 J477 L477 N477">
    <cfRule type="expression" dxfId="287" priority="417">
      <formula>B470&gt;15</formula>
    </cfRule>
  </conditionalFormatting>
  <conditionalFormatting sqref="B470:O470">
    <cfRule type="expression" dxfId="286" priority="404">
      <formula>B470&gt;15</formula>
    </cfRule>
  </conditionalFormatting>
  <conditionalFormatting sqref="C477 E477 G477 I477 K477 M477 O477">
    <cfRule type="expression" dxfId="285" priority="418">
      <formula>B470&gt;15</formula>
    </cfRule>
  </conditionalFormatting>
  <conditionalFormatting sqref="P477">
    <cfRule type="expression" dxfId="284" priority="419">
      <formula>N470&gt;15</formula>
    </cfRule>
  </conditionalFormatting>
  <conditionalFormatting sqref="B471 D471 F471 H471 J471 L471 N471">
    <cfRule type="expression" dxfId="283" priority="405">
      <formula>B470&gt;15</formula>
    </cfRule>
  </conditionalFormatting>
  <conditionalFormatting sqref="C471 E471 G471 I471 K471 M471 O471">
    <cfRule type="expression" dxfId="282" priority="406">
      <formula>B470&gt;15</formula>
    </cfRule>
  </conditionalFormatting>
  <conditionalFormatting sqref="B513 D513 F513 H513 J513 L513 N513">
    <cfRule type="expression" dxfId="281" priority="401">
      <formula>B506&lt;15</formula>
    </cfRule>
  </conditionalFormatting>
  <conditionalFormatting sqref="B506:O506">
    <cfRule type="expression" dxfId="280" priority="388">
      <formula>B506&lt;15</formula>
    </cfRule>
  </conditionalFormatting>
  <conditionalFormatting sqref="C513 E513 G513 I513 K513 M513 O513">
    <cfRule type="expression" dxfId="279" priority="402">
      <formula>B506&lt;15</formula>
    </cfRule>
  </conditionalFormatting>
  <conditionalFormatting sqref="P513">
    <cfRule type="expression" dxfId="278" priority="403">
      <formula>N506&lt;15</formula>
    </cfRule>
  </conditionalFormatting>
  <conditionalFormatting sqref="B507 D507 F507 H507 J507 L507 N507">
    <cfRule type="expression" dxfId="277" priority="389">
      <formula>B506&lt;15</formula>
    </cfRule>
  </conditionalFormatting>
  <conditionalFormatting sqref="C507 E507 G507 I507 K507 M507 O507">
    <cfRule type="expression" dxfId="276" priority="390">
      <formula>B506&lt;15</formula>
    </cfRule>
  </conditionalFormatting>
  <conditionalFormatting sqref="B522 D522 F522 H522 J522 L522 N522">
    <cfRule type="expression" dxfId="275" priority="385">
      <formula>B515&lt;15</formula>
    </cfRule>
  </conditionalFormatting>
  <conditionalFormatting sqref="B515:O515">
    <cfRule type="expression" dxfId="274" priority="372">
      <formula>B515&lt;15</formula>
    </cfRule>
  </conditionalFormatting>
  <conditionalFormatting sqref="C522 E522 G522 I522 K522 M522 O522">
    <cfRule type="expression" dxfId="273" priority="386">
      <formula>B515&lt;15</formula>
    </cfRule>
  </conditionalFormatting>
  <conditionalFormatting sqref="P522">
    <cfRule type="expression" dxfId="272" priority="387">
      <formula>N515&lt;15</formula>
    </cfRule>
  </conditionalFormatting>
  <conditionalFormatting sqref="B516 D516 F516 H516 J516 L516 N516">
    <cfRule type="expression" dxfId="271" priority="373">
      <formula>B515&lt;15</formula>
    </cfRule>
  </conditionalFormatting>
  <conditionalFormatting sqref="C516 E516 G516 I516 K516 M516 O516">
    <cfRule type="expression" dxfId="270" priority="374">
      <formula>B515&lt;15</formula>
    </cfRule>
  </conditionalFormatting>
  <conditionalFormatting sqref="B535 D535 F535 H535 J535 L535 N535">
    <cfRule type="expression" dxfId="269" priority="369">
      <formula>B528&gt;15</formula>
    </cfRule>
  </conditionalFormatting>
  <conditionalFormatting sqref="B528:O528">
    <cfRule type="expression" dxfId="268" priority="356">
      <formula>B528&gt;15</formula>
    </cfRule>
  </conditionalFormatting>
  <conditionalFormatting sqref="C535 E535 G535 I535 K535 M535 O535">
    <cfRule type="expression" dxfId="267" priority="370">
      <formula>B528&gt;15</formula>
    </cfRule>
  </conditionalFormatting>
  <conditionalFormatting sqref="P535">
    <cfRule type="expression" dxfId="266" priority="371">
      <formula>N528&gt;15</formula>
    </cfRule>
  </conditionalFormatting>
  <conditionalFormatting sqref="B529 D529 F529 H529 J529 L529 N529">
    <cfRule type="expression" dxfId="265" priority="357">
      <formula>B528&gt;15</formula>
    </cfRule>
  </conditionalFormatting>
  <conditionalFormatting sqref="C529 E529 G529 I529 K529 M529 O529">
    <cfRule type="expression" dxfId="264" priority="358">
      <formula>B528&gt;15</formula>
    </cfRule>
  </conditionalFormatting>
  <conditionalFormatting sqref="B571 D571 F571 H571 J571 L571 N571">
    <cfRule type="expression" dxfId="263" priority="353">
      <formula>B564&lt;15</formula>
    </cfRule>
  </conditionalFormatting>
  <conditionalFormatting sqref="B564:O564">
    <cfRule type="expression" dxfId="262" priority="340">
      <formula>B564&lt;15</formula>
    </cfRule>
  </conditionalFormatting>
  <conditionalFormatting sqref="C571 E571 G571 I571 K571 M571 O571">
    <cfRule type="expression" dxfId="261" priority="354">
      <formula>B564&lt;15</formula>
    </cfRule>
  </conditionalFormatting>
  <conditionalFormatting sqref="P571">
    <cfRule type="expression" dxfId="260" priority="355">
      <formula>N564&lt;15</formula>
    </cfRule>
  </conditionalFormatting>
  <conditionalFormatting sqref="B565 D565 F565 H565 J565 L565 N565">
    <cfRule type="expression" dxfId="259" priority="341">
      <formula>B564&lt;15</formula>
    </cfRule>
  </conditionalFormatting>
  <conditionalFormatting sqref="C565 E565 G565 I565 K565 M565 O565">
    <cfRule type="expression" dxfId="258" priority="342">
      <formula>B564&lt;15</formula>
    </cfRule>
  </conditionalFormatting>
  <conditionalFormatting sqref="B580 D580 F580 H580 J580 L580 N580">
    <cfRule type="expression" dxfId="257" priority="337">
      <formula>B573&lt;15</formula>
    </cfRule>
  </conditionalFormatting>
  <conditionalFormatting sqref="B573:O573">
    <cfRule type="expression" dxfId="256" priority="324">
      <formula>B573&lt;15</formula>
    </cfRule>
  </conditionalFormatting>
  <conditionalFormatting sqref="C580 E580 G580 I580 K580 M580 O580">
    <cfRule type="expression" dxfId="255" priority="338">
      <formula>B573&lt;15</formula>
    </cfRule>
  </conditionalFormatting>
  <conditionalFormatting sqref="P580">
    <cfRule type="expression" dxfId="254" priority="339">
      <formula>N573&lt;15</formula>
    </cfRule>
  </conditionalFormatting>
  <conditionalFormatting sqref="B574 D574 F574 H574 J574 L574 N574">
    <cfRule type="expression" dxfId="253" priority="325">
      <formula>B573&lt;15</formula>
    </cfRule>
  </conditionalFormatting>
  <conditionalFormatting sqref="C574 E574 G574 I574 K574 M574 O574">
    <cfRule type="expression" dxfId="252" priority="326">
      <formula>B573&lt;15</formula>
    </cfRule>
  </conditionalFormatting>
  <conditionalFormatting sqref="B593 D593 F593 H593 J593 L593 N593">
    <cfRule type="expression" dxfId="251" priority="321">
      <formula>B586&gt;15</formula>
    </cfRule>
  </conditionalFormatting>
  <conditionalFormatting sqref="B586:O586">
    <cfRule type="expression" dxfId="250" priority="308">
      <formula>B586&gt;15</formula>
    </cfRule>
  </conditionalFormatting>
  <conditionalFormatting sqref="C593 E593 G593 I593 K593 M593 O593">
    <cfRule type="expression" dxfId="249" priority="322">
      <formula>B586&gt;15</formula>
    </cfRule>
  </conditionalFormatting>
  <conditionalFormatting sqref="P593">
    <cfRule type="expression" dxfId="248" priority="323">
      <formula>N586&gt;15</formula>
    </cfRule>
  </conditionalFormatting>
  <conditionalFormatting sqref="B587 D587 F587 H587 J587 L587 N587">
    <cfRule type="expression" dxfId="247" priority="309">
      <formula>B586&gt;15</formula>
    </cfRule>
  </conditionalFormatting>
  <conditionalFormatting sqref="C587 E587 G587 I587 K587 M587 O587">
    <cfRule type="expression" dxfId="246" priority="310">
      <formula>B586&gt;15</formula>
    </cfRule>
  </conditionalFormatting>
  <conditionalFormatting sqref="B629 D629 F629 H629 J629 L629 N629">
    <cfRule type="expression" dxfId="245" priority="305">
      <formula>B622&lt;15</formula>
    </cfRule>
  </conditionalFormatting>
  <conditionalFormatting sqref="B622:O622">
    <cfRule type="expression" dxfId="244" priority="292">
      <formula>B622&lt;15</formula>
    </cfRule>
  </conditionalFormatting>
  <conditionalFormatting sqref="C629 E629 G629 I629 K629 M629 O629">
    <cfRule type="expression" dxfId="243" priority="306">
      <formula>B622&lt;15</formula>
    </cfRule>
  </conditionalFormatting>
  <conditionalFormatting sqref="P629">
    <cfRule type="expression" dxfId="242" priority="307">
      <formula>N622&lt;15</formula>
    </cfRule>
  </conditionalFormatting>
  <conditionalFormatting sqref="B623 D623 F623 H623 J623 L623 N623">
    <cfRule type="expression" dxfId="241" priority="293">
      <formula>B622&lt;15</formula>
    </cfRule>
  </conditionalFormatting>
  <conditionalFormatting sqref="C623 E623 G623 I623 K623 M623 O623">
    <cfRule type="expression" dxfId="240" priority="294">
      <formula>B622&lt;15</formula>
    </cfRule>
  </conditionalFormatting>
  <conditionalFormatting sqref="B638 D638 F638 H638 J638 L638 N638">
    <cfRule type="expression" dxfId="239" priority="289">
      <formula>B631&lt;15</formula>
    </cfRule>
  </conditionalFormatting>
  <conditionalFormatting sqref="B631:O631">
    <cfRule type="expression" dxfId="238" priority="276">
      <formula>B631&lt;15</formula>
    </cfRule>
  </conditionalFormatting>
  <conditionalFormatting sqref="C638 E638 G638 I638 K638 M638 O638">
    <cfRule type="expression" dxfId="237" priority="290">
      <formula>B631&lt;15</formula>
    </cfRule>
  </conditionalFormatting>
  <conditionalFormatting sqref="P638">
    <cfRule type="expression" dxfId="236" priority="291">
      <formula>N631&lt;15</formula>
    </cfRule>
  </conditionalFormatting>
  <conditionalFormatting sqref="B632 D632 F632 H632 J632 L632 N632">
    <cfRule type="expression" dxfId="235" priority="277">
      <formula>B631&lt;15</formula>
    </cfRule>
  </conditionalFormatting>
  <conditionalFormatting sqref="C632 E632 G632 I632 K632 M632 O632">
    <cfRule type="expression" dxfId="234" priority="278">
      <formula>B631&lt;15</formula>
    </cfRule>
  </conditionalFormatting>
  <conditionalFormatting sqref="B651 D651 F651 H651 J651 L651 N651">
    <cfRule type="expression" dxfId="233" priority="273">
      <formula>B644&gt;15</formula>
    </cfRule>
  </conditionalFormatting>
  <conditionalFormatting sqref="B644:O644">
    <cfRule type="expression" dxfId="232" priority="260">
      <formula>B644&gt;15</formula>
    </cfRule>
  </conditionalFormatting>
  <conditionalFormatting sqref="C651 E651 G651 I651 K651 M651 O651">
    <cfRule type="expression" dxfId="231" priority="274">
      <formula>B644&gt;15</formula>
    </cfRule>
  </conditionalFormatting>
  <conditionalFormatting sqref="P651">
    <cfRule type="expression" dxfId="230" priority="275">
      <formula>N644&gt;15</formula>
    </cfRule>
  </conditionalFormatting>
  <conditionalFormatting sqref="B645 D645 F645 H645 J645 L645 N645">
    <cfRule type="expression" dxfId="229" priority="261">
      <formula>B644&gt;15</formula>
    </cfRule>
  </conditionalFormatting>
  <conditionalFormatting sqref="C645 E645 G645 I645 K645 M645 O645">
    <cfRule type="expression" dxfId="228" priority="262">
      <formula>B644&gt;15</formula>
    </cfRule>
  </conditionalFormatting>
  <conditionalFormatting sqref="B687 D687 F687 H687 J687 L687 N687">
    <cfRule type="expression" dxfId="227" priority="257">
      <formula>B680&lt;15</formula>
    </cfRule>
  </conditionalFormatting>
  <conditionalFormatting sqref="B680:O680">
    <cfRule type="expression" dxfId="226" priority="244">
      <formula>B680&lt;15</formula>
    </cfRule>
  </conditionalFormatting>
  <conditionalFormatting sqref="C687 E687 G687 I687 K687 M687 O687">
    <cfRule type="expression" dxfId="225" priority="258">
      <formula>B680&lt;15</formula>
    </cfRule>
  </conditionalFormatting>
  <conditionalFormatting sqref="P687">
    <cfRule type="expression" dxfId="224" priority="259">
      <formula>N680&lt;15</formula>
    </cfRule>
  </conditionalFormatting>
  <conditionalFormatting sqref="B681 D681 F681 H681 J681 L681 N681">
    <cfRule type="expression" dxfId="223" priority="245">
      <formula>B680&lt;15</formula>
    </cfRule>
  </conditionalFormatting>
  <conditionalFormatting sqref="C681 E681 G681 I681 K681 M681 O681">
    <cfRule type="expression" dxfId="222" priority="246">
      <formula>B680&lt;15</formula>
    </cfRule>
  </conditionalFormatting>
  <conditionalFormatting sqref="B696 D696 F696 H696 J696 L696 N696">
    <cfRule type="expression" dxfId="221" priority="241">
      <formula>B689&lt;15</formula>
    </cfRule>
  </conditionalFormatting>
  <conditionalFormatting sqref="B689:O689">
    <cfRule type="expression" dxfId="220" priority="228">
      <formula>B689&lt;15</formula>
    </cfRule>
  </conditionalFormatting>
  <conditionalFormatting sqref="C696 E696 G696 I696 K696 M696 O696">
    <cfRule type="expression" dxfId="219" priority="242">
      <formula>B689&lt;15</formula>
    </cfRule>
  </conditionalFormatting>
  <conditionalFormatting sqref="P696">
    <cfRule type="expression" dxfId="218" priority="243">
      <formula>N689&lt;15</formula>
    </cfRule>
  </conditionalFormatting>
  <conditionalFormatting sqref="B690 D690 F690 H690 J690 L690 N690">
    <cfRule type="expression" dxfId="217" priority="229">
      <formula>B689&lt;15</formula>
    </cfRule>
  </conditionalFormatting>
  <conditionalFormatting sqref="C690 E690 G690 I690 K690 M690 O690">
    <cfRule type="expression" dxfId="216" priority="230">
      <formula>B689&lt;15</formula>
    </cfRule>
  </conditionalFormatting>
  <printOptions horizontalCentered="1" verticalCentered="1"/>
  <pageMargins left="0.5" right="0.5" top="0.7" bottom="0.75" header="0.3" footer="0.3"/>
  <pageSetup scale="80" fitToHeight="12" orientation="landscape" r:id="rId1"/>
  <rowBreaks count="11" manualBreakCount="11">
    <brk id="58" min="1" max="15" man="1"/>
    <brk id="116" min="1" max="15" man="1"/>
    <brk id="174" min="1" max="15" man="1"/>
    <brk id="232" min="1" max="15" man="1"/>
    <brk id="290" min="1" max="15" man="1"/>
    <brk id="348" min="1" max="15" man="1"/>
    <brk id="406" min="1" max="15" man="1"/>
    <brk id="464" min="1" max="15" man="1"/>
    <brk id="522" min="1" max="15" man="1"/>
    <brk id="580" min="1" max="15" man="1"/>
    <brk id="638" min="1" max="15" man="1"/>
  </rowBreaks>
  <ignoredErrors>
    <ignoredError sqref="N3" emptyCellReference="1"/>
    <ignoredError sqref="H8 H9:H12 J8:J12 N8:N12 L8:L12" formula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4542-D3EA-4916-AE41-FF7DCED7F8A2}">
  <sheetPr>
    <tabColor theme="4"/>
    <pageSetUpPr autoPageBreaks="0"/>
  </sheetPr>
  <dimension ref="A1:U696"/>
  <sheetViews>
    <sheetView showGridLines="0" topLeftCell="A508" zoomScaleNormal="100" workbookViewId="0">
      <selection activeCell="O530" sqref="O530"/>
    </sheetView>
  </sheetViews>
  <sheetFormatPr defaultRowHeight="11.25" x14ac:dyDescent="0.2"/>
  <cols>
    <col min="1" max="1" width="2.83203125" style="43" customWidth="1"/>
    <col min="2" max="2" width="13.1640625" style="1" customWidth="1"/>
    <col min="3" max="3" width="13.1640625" style="5" customWidth="1"/>
    <col min="4" max="4" width="13.1640625" style="1" customWidth="1"/>
    <col min="5" max="5" width="13.1640625" style="5" customWidth="1"/>
    <col min="6" max="6" width="13.1640625" style="1" customWidth="1"/>
    <col min="7" max="7" width="13.1640625" style="5" customWidth="1"/>
    <col min="8" max="8" width="13.1640625" style="1" customWidth="1"/>
    <col min="9" max="9" width="13.1640625" style="5" customWidth="1"/>
    <col min="10" max="10" width="13.1640625" style="1" customWidth="1"/>
    <col min="11" max="11" width="13.1640625" style="5" customWidth="1"/>
    <col min="12" max="12" width="13.1640625" style="1" customWidth="1"/>
    <col min="13" max="13" width="13.1640625" style="5" customWidth="1"/>
    <col min="14" max="14" width="13.1640625" style="1" customWidth="1"/>
    <col min="15" max="15" width="13.1640625" style="5" customWidth="1"/>
    <col min="16" max="16" width="16.6640625" style="1" customWidth="1"/>
    <col min="17" max="17" width="2.83203125" customWidth="1"/>
    <col min="20" max="20" width="17.5" bestFit="1" customWidth="1"/>
    <col min="21" max="21" width="10.33203125" customWidth="1"/>
  </cols>
  <sheetData>
    <row r="1" spans="1:21" ht="18" customHeight="1" x14ac:dyDescent="0.25">
      <c r="B1" s="32">
        <f ca="1">YEAR(TODAY())</f>
        <v>2021</v>
      </c>
      <c r="C1" s="32" t="s">
        <v>26</v>
      </c>
      <c r="D1" s="32"/>
      <c r="E1" s="32"/>
      <c r="F1" s="32"/>
      <c r="G1" s="33"/>
      <c r="H1" s="31"/>
      <c r="I1" s="33"/>
      <c r="J1" s="31"/>
      <c r="K1" s="33"/>
      <c r="L1" s="31"/>
      <c r="M1" s="33"/>
      <c r="N1" s="31"/>
      <c r="O1" s="33"/>
      <c r="P1" s="31"/>
    </row>
    <row r="2" spans="1:21" ht="30" customHeight="1" x14ac:dyDescent="0.2">
      <c r="A2" s="43" t="s">
        <v>363</v>
      </c>
      <c r="B2" s="49" t="s">
        <v>11</v>
      </c>
      <c r="C2" s="49"/>
      <c r="D2" s="49"/>
      <c r="E2" s="49"/>
      <c r="F2"/>
      <c r="G2" s="68" t="s">
        <v>345</v>
      </c>
      <c r="H2" s="68"/>
      <c r="I2" s="4"/>
      <c r="J2"/>
      <c r="K2" s="4"/>
      <c r="L2" s="45" t="s">
        <v>12</v>
      </c>
      <c r="M2" s="45"/>
      <c r="N2" s="45" t="s">
        <v>13</v>
      </c>
      <c r="O2" s="45"/>
      <c r="P2"/>
    </row>
    <row r="3" spans="1:21" ht="25.5" customHeight="1" x14ac:dyDescent="0.2">
      <c r="A3" s="43" t="s">
        <v>27</v>
      </c>
      <c r="B3" s="49"/>
      <c r="C3" s="49"/>
      <c r="D3" s="49"/>
      <c r="E3" s="49"/>
      <c r="F3" s="3">
        <f ca="1">IFERROR(WEEKDAY(DATEVALUE(B2&amp;" 1, "&amp;Year1)),"")</f>
        <v>6</v>
      </c>
      <c r="G3" s="68"/>
      <c r="H3" s="68"/>
      <c r="I3" s="7"/>
      <c r="J3" s="8"/>
      <c r="K3" s="4"/>
      <c r="L3" s="46">
        <f ca="1">SUM(P13,P22,P31,P40,P49,P58)</f>
        <v>4770</v>
      </c>
      <c r="M3" s="47"/>
      <c r="N3" s="46">
        <f ca="1">SUM(P:P)</f>
        <v>62420</v>
      </c>
      <c r="O3" s="48"/>
      <c r="P3"/>
    </row>
    <row r="4" spans="1:21" ht="9" customHeight="1" x14ac:dyDescent="0.2">
      <c r="A4" s="43" t="s">
        <v>346</v>
      </c>
      <c r="B4" s="50">
        <v>1</v>
      </c>
      <c r="C4" s="50"/>
      <c r="D4" s="50">
        <v>2</v>
      </c>
      <c r="E4" s="50"/>
      <c r="F4" s="50">
        <v>3</v>
      </c>
      <c r="G4" s="50"/>
      <c r="H4" s="50">
        <v>4</v>
      </c>
      <c r="I4" s="50"/>
      <c r="J4" s="50">
        <v>5</v>
      </c>
      <c r="K4" s="50"/>
      <c r="L4" s="50">
        <v>6</v>
      </c>
      <c r="M4" s="50"/>
      <c r="N4" s="50">
        <v>7</v>
      </c>
      <c r="O4" s="50"/>
      <c r="P4" s="2"/>
    </row>
    <row r="5" spans="1:21" ht="15" customHeight="1" x14ac:dyDescent="0.2">
      <c r="A5" s="43" t="s">
        <v>28</v>
      </c>
      <c r="B5" s="51" t="s">
        <v>0</v>
      </c>
      <c r="C5" s="52"/>
      <c r="D5" s="53" t="s">
        <v>1</v>
      </c>
      <c r="E5" s="54" t="e">
        <f ca="1">IF(WEEKDAY(DATEVALUE(Month1&amp;" 1, "&amp;Year1))=COLUMN(#REF!),1,IF(LEN(C5)&gt;0,C5+1,""))</f>
        <v>#VALUE!</v>
      </c>
      <c r="F5" s="52" t="s">
        <v>2</v>
      </c>
      <c r="G5" s="52" t="e">
        <f ca="1">IF(WEEKDAY(DATEVALUE(Month1&amp;" 1, "&amp;Year1))=COLUMN(#REF!),1,IF(LEN(E5)&gt;0,E5+1,""))</f>
        <v>#VALUE!</v>
      </c>
      <c r="H5" s="53" t="s">
        <v>3</v>
      </c>
      <c r="I5" s="54" t="e">
        <f ca="1">IF(WEEKDAY(DATEVALUE(Month1&amp;" 1, "&amp;Year1))=COLUMN(#REF!),1,IF(LEN(G5)&gt;0,G5+1,""))</f>
        <v>#VALUE!</v>
      </c>
      <c r="J5" s="55" t="s">
        <v>4</v>
      </c>
      <c r="K5" s="56" t="e">
        <f ca="1">IF(WEEKDAY(DATEVALUE(Month1&amp;" 1, "&amp;Year1))=COLUMN(#REF!),1,IF(LEN(I5)&gt;0,I5+1,""))</f>
        <v>#VALUE!</v>
      </c>
      <c r="L5" s="57" t="s">
        <v>5</v>
      </c>
      <c r="M5" s="58" t="e">
        <f ca="1">IF(WEEKDAY(DATEVALUE(Month1&amp;" 1, "&amp;Year1))=COLUMN(#REF!),1,IF(LEN(K5)&gt;0,K5+1,""))</f>
        <v>#VALUE!</v>
      </c>
      <c r="N5" s="57" t="s">
        <v>6</v>
      </c>
      <c r="O5" s="58" t="e">
        <f ca="1">IF(WEEKDAY(DATEVALUE(Month1&amp;" 1, "&amp;Year1))=COLUMN(#REF!),1,IF(LEN(M5)&gt;0,M5+1,""))</f>
        <v>#VALUE!</v>
      </c>
      <c r="P5" s="34" t="s">
        <v>7</v>
      </c>
      <c r="T5" t="s">
        <v>365</v>
      </c>
      <c r="U5" t="s">
        <v>366</v>
      </c>
    </row>
    <row r="6" spans="1:21" ht="15" customHeight="1" x14ac:dyDescent="0.2">
      <c r="A6" s="43" t="s">
        <v>29</v>
      </c>
      <c r="B6" s="14">
        <f ca="1">DAY(IF(DAY(JanSun1)=1,JanSun1-6,JanSun1+1))</f>
        <v>27</v>
      </c>
      <c r="C6" s="16"/>
      <c r="D6" s="19">
        <f ca="1">DAY(IF(DAY(JanSun1)=1,JanSun1-5,JanSun1+2))</f>
        <v>28</v>
      </c>
      <c r="E6" s="16"/>
      <c r="F6" s="19">
        <f ca="1">DAY(IF(DAY(JanSun1)=1,JanSun1-4,JanSun1+3))</f>
        <v>29</v>
      </c>
      <c r="G6" s="16"/>
      <c r="H6" s="19">
        <f ca="1">DAY(IF(DAY(JanSun1)=1,JanSun1-3,JanSun1+4))</f>
        <v>30</v>
      </c>
      <c r="I6" s="16"/>
      <c r="J6" s="19">
        <f ca="1">DAY(IF(DAY(JanSun1)=1,JanSun1-2,JanSun1+5))</f>
        <v>31</v>
      </c>
      <c r="K6" s="16"/>
      <c r="L6" s="19">
        <f ca="1">DAY(IF(DAY(JanSun1)=1,JanSun1-1,JanSun1+6))</f>
        <v>1</v>
      </c>
      <c r="M6" s="16"/>
      <c r="N6" s="20">
        <f ca="1">DAY(IF(DAY(JanSun1)=1,JanSun1,JanSun1+7))</f>
        <v>2</v>
      </c>
      <c r="O6" s="15"/>
      <c r="P6" s="21"/>
      <c r="T6" s="69" t="s">
        <v>387</v>
      </c>
      <c r="U6" s="70">
        <v>800</v>
      </c>
    </row>
    <row r="7" spans="1:21" ht="11.25" customHeight="1" x14ac:dyDescent="0.2">
      <c r="A7" s="43" t="s">
        <v>30</v>
      </c>
      <c r="B7" s="41" t="s">
        <v>9</v>
      </c>
      <c r="C7" s="36" t="s">
        <v>10</v>
      </c>
      <c r="D7" s="35" t="s">
        <v>9</v>
      </c>
      <c r="E7" s="36" t="s">
        <v>10</v>
      </c>
      <c r="F7" s="35" t="s">
        <v>9</v>
      </c>
      <c r="G7" s="36" t="s">
        <v>10</v>
      </c>
      <c r="H7" s="35" t="s">
        <v>9</v>
      </c>
      <c r="I7" s="36" t="s">
        <v>10</v>
      </c>
      <c r="J7" s="35" t="s">
        <v>9</v>
      </c>
      <c r="K7" s="36" t="s">
        <v>10</v>
      </c>
      <c r="L7" s="35" t="s">
        <v>9</v>
      </c>
      <c r="M7" s="36" t="s">
        <v>10</v>
      </c>
      <c r="N7" s="37" t="s">
        <v>9</v>
      </c>
      <c r="O7" s="38" t="s">
        <v>10</v>
      </c>
      <c r="P7" s="22"/>
      <c r="T7" s="69" t="s">
        <v>388</v>
      </c>
      <c r="U7" s="70">
        <v>770</v>
      </c>
    </row>
    <row r="8" spans="1:21" ht="11.25" customHeight="1" x14ac:dyDescent="0.2">
      <c r="A8" s="43" t="s">
        <v>31</v>
      </c>
      <c r="B8" s="17"/>
      <c r="C8" s="71" t="str">
        <f>IFERROR(VLOOKUP(B8,fixed_expenses4[],2,0),"")</f>
        <v/>
      </c>
      <c r="D8" s="17"/>
      <c r="E8" s="71" t="str">
        <f>IFERROR(VLOOKUP(D8,fixed_expenses4[],2,0),"")</f>
        <v/>
      </c>
      <c r="F8" s="17"/>
      <c r="G8" s="71" t="str">
        <f>IFERROR(VLOOKUP(F8,fixed_expenses4[],2,0),"")</f>
        <v/>
      </c>
      <c r="H8" s="17"/>
      <c r="I8" s="71" t="str">
        <f>IFERROR(VLOOKUP(H8,fixed_expenses4[],2,0),"")</f>
        <v/>
      </c>
      <c r="J8" s="17"/>
      <c r="K8" s="71" t="str">
        <f>IFERROR(VLOOKUP(J8,fixed_expenses4[],2,0),"")</f>
        <v/>
      </c>
      <c r="L8" s="17" t="s">
        <v>387</v>
      </c>
      <c r="M8" s="71">
        <f>IFERROR(VLOOKUP(L8,fixed_expenses4[],2,0),"")</f>
        <v>800</v>
      </c>
      <c r="N8" s="17"/>
      <c r="O8" s="71" t="str">
        <f>IFERROR(VLOOKUP(N8,fixed_expenses4[],2,0),"")</f>
        <v/>
      </c>
      <c r="P8" s="22"/>
    </row>
    <row r="9" spans="1:21" ht="11.25" customHeight="1" x14ac:dyDescent="0.2">
      <c r="B9" s="17"/>
      <c r="C9" s="71" t="str">
        <f>IFERROR(VLOOKUP(B9,fixed_expenses4[],2,0),"")</f>
        <v/>
      </c>
      <c r="D9" s="17"/>
      <c r="E9" s="71" t="str">
        <f>IFERROR(VLOOKUP(D9,fixed_expenses4[],2,0),"")</f>
        <v/>
      </c>
      <c r="F9" s="17"/>
      <c r="G9" s="71" t="str">
        <f>IFERROR(VLOOKUP(F9,fixed_expenses4[],2,0),"")</f>
        <v/>
      </c>
      <c r="H9" s="17"/>
      <c r="I9" s="71" t="str">
        <f>IFERROR(VLOOKUP(H9,fixed_expenses4[],2,0),"")</f>
        <v/>
      </c>
      <c r="J9" s="17"/>
      <c r="K9" s="71" t="str">
        <f>IFERROR(VLOOKUP(J9,fixed_expenses4[],2,0),"")</f>
        <v/>
      </c>
      <c r="L9" s="17"/>
      <c r="M9" s="71" t="str">
        <f>IFERROR(VLOOKUP(L9,fixed_expenses4[],2,0),"")</f>
        <v/>
      </c>
      <c r="N9" s="17"/>
      <c r="O9" s="71" t="str">
        <f>IFERROR(VLOOKUP(N9,fixed_expenses4[],2,0),"")</f>
        <v/>
      </c>
      <c r="P9" s="22"/>
    </row>
    <row r="10" spans="1:21" ht="11.25" customHeight="1" x14ac:dyDescent="0.2">
      <c r="B10" s="17"/>
      <c r="C10" s="71" t="str">
        <f>IFERROR(VLOOKUP(B10,fixed_expenses4[],2,0),"")</f>
        <v/>
      </c>
      <c r="D10" s="17"/>
      <c r="E10" s="71" t="str">
        <f>IFERROR(VLOOKUP(D10,fixed_expenses4[],2,0),"")</f>
        <v/>
      </c>
      <c r="F10" s="17"/>
      <c r="G10" s="71" t="str">
        <f>IFERROR(VLOOKUP(F10,fixed_expenses4[],2,0),"")</f>
        <v/>
      </c>
      <c r="H10" s="17"/>
      <c r="I10" s="71" t="str">
        <f>IFERROR(VLOOKUP(H10,fixed_expenses4[],2,0),"")</f>
        <v/>
      </c>
      <c r="J10" s="17"/>
      <c r="K10" s="71" t="str">
        <f>IFERROR(VLOOKUP(J10,fixed_expenses4[],2,0),"")</f>
        <v/>
      </c>
      <c r="L10" s="17"/>
      <c r="M10" s="71" t="str">
        <f>IFERROR(VLOOKUP(L10,fixed_expenses4[],2,0),"")</f>
        <v/>
      </c>
      <c r="N10" s="17"/>
      <c r="O10" s="71" t="str">
        <f>IFERROR(VLOOKUP(N10,fixed_expenses4[],2,0),"")</f>
        <v/>
      </c>
      <c r="P10" s="22"/>
    </row>
    <row r="11" spans="1:21" ht="11.25" customHeight="1" x14ac:dyDescent="0.2">
      <c r="B11" s="17"/>
      <c r="C11" s="71" t="str">
        <f>IFERROR(VLOOKUP(B11,fixed_expenses4[],2,0),"")</f>
        <v/>
      </c>
      <c r="D11" s="17"/>
      <c r="E11" s="71" t="str">
        <f>IFERROR(VLOOKUP(D11,fixed_expenses4[],2,0),"")</f>
        <v/>
      </c>
      <c r="F11" s="17"/>
      <c r="G11" s="71" t="str">
        <f>IFERROR(VLOOKUP(F11,fixed_expenses4[],2,0),"")</f>
        <v/>
      </c>
      <c r="H11" s="17"/>
      <c r="I11" s="71" t="str">
        <f>IFERROR(VLOOKUP(H11,fixed_expenses4[],2,0),"")</f>
        <v/>
      </c>
      <c r="J11" s="17"/>
      <c r="K11" s="71" t="str">
        <f>IFERROR(VLOOKUP(J11,fixed_expenses4[],2,0),"")</f>
        <v/>
      </c>
      <c r="L11" s="17"/>
      <c r="M11" s="71" t="str">
        <f>IFERROR(VLOOKUP(L11,fixed_expenses4[],2,0),"")</f>
        <v/>
      </c>
      <c r="N11" s="17"/>
      <c r="O11" s="71" t="str">
        <f>IFERROR(VLOOKUP(N11,fixed_expenses4[],2,0),"")</f>
        <v/>
      </c>
      <c r="P11" s="22"/>
    </row>
    <row r="12" spans="1:21" ht="11.25" customHeight="1" x14ac:dyDescent="0.2">
      <c r="B12" s="17"/>
      <c r="C12" s="71" t="str">
        <f>IFERROR(VLOOKUP(B12,fixed_expenses4[],2,0),"")</f>
        <v/>
      </c>
      <c r="D12" s="17"/>
      <c r="E12" s="71" t="str">
        <f>IFERROR(VLOOKUP(D12,fixed_expenses4[],2,0),"")</f>
        <v/>
      </c>
      <c r="F12" s="17"/>
      <c r="G12" s="71" t="str">
        <f>IFERROR(VLOOKUP(F12,fixed_expenses4[],2,0),"")</f>
        <v/>
      </c>
      <c r="H12" s="17"/>
      <c r="I12" s="71" t="str">
        <f>IFERROR(VLOOKUP(H12,fixed_expenses4[],2,0),"")</f>
        <v/>
      </c>
      <c r="J12" s="17"/>
      <c r="K12" s="71" t="str">
        <f>IFERROR(VLOOKUP(J12,fixed_expenses4[],2,0),"")</f>
        <v/>
      </c>
      <c r="L12" s="17"/>
      <c r="M12" s="71" t="str">
        <f>IFERROR(VLOOKUP(L12,fixed_expenses4[],2,0),"")</f>
        <v/>
      </c>
      <c r="N12" s="17"/>
      <c r="O12" s="71" t="str">
        <f>IFERROR(VLOOKUP(N12,fixed_expenses4[],2,0),"")</f>
        <v/>
      </c>
      <c r="P12" s="22"/>
    </row>
    <row r="13" spans="1:21" ht="11.25" customHeight="1" x14ac:dyDescent="0.2">
      <c r="A13" s="43" t="s">
        <v>32</v>
      </c>
      <c r="B13" s="26" t="s">
        <v>8</v>
      </c>
      <c r="C13" s="27">
        <f>SUM(C8:C12)</f>
        <v>0</v>
      </c>
      <c r="D13" s="26"/>
      <c r="E13" s="27">
        <f>SUM(E8:E12)</f>
        <v>0</v>
      </c>
      <c r="F13" s="26"/>
      <c r="G13" s="27">
        <f>SUM(G8:G12)</f>
        <v>0</v>
      </c>
      <c r="H13" s="26"/>
      <c r="I13" s="27">
        <f>SUM(I8:I12)</f>
        <v>0</v>
      </c>
      <c r="J13" s="26"/>
      <c r="K13" s="27">
        <f>SUM(K8:K12)</f>
        <v>0</v>
      </c>
      <c r="L13" s="26"/>
      <c r="M13" s="27">
        <f>SUM(M8:M12)</f>
        <v>800</v>
      </c>
      <c r="N13" s="26"/>
      <c r="O13" s="28">
        <f>SUM(O8:O12)</f>
        <v>0</v>
      </c>
      <c r="P13" s="29">
        <f ca="1">SUMIF(B6:N6,"&lt;8",C13:O13)</f>
        <v>800</v>
      </c>
    </row>
    <row r="14" spans="1:21" ht="11.25" customHeight="1" x14ac:dyDescent="0.2">
      <c r="B14" s="6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6"/>
    </row>
    <row r="15" spans="1:21" ht="15" customHeight="1" x14ac:dyDescent="0.2">
      <c r="A15" s="43" t="s">
        <v>33</v>
      </c>
      <c r="B15" s="12">
        <f ca="1">N6+1</f>
        <v>3</v>
      </c>
      <c r="C15" s="13"/>
      <c r="D15" s="12">
        <f ca="1">B15+1</f>
        <v>4</v>
      </c>
      <c r="E15" s="13"/>
      <c r="F15" s="12">
        <f ca="1">D15+1</f>
        <v>5</v>
      </c>
      <c r="G15" s="13"/>
      <c r="H15" s="12">
        <f ca="1">F15+1</f>
        <v>6</v>
      </c>
      <c r="I15" s="13"/>
      <c r="J15" s="12">
        <f ca="1">H15+1</f>
        <v>7</v>
      </c>
      <c r="K15" s="13"/>
      <c r="L15" s="12">
        <f ca="1">J15+1</f>
        <v>8</v>
      </c>
      <c r="M15" s="13"/>
      <c r="N15" s="12">
        <f ca="1">L15+1</f>
        <v>9</v>
      </c>
      <c r="O15" s="13"/>
      <c r="P15" s="23"/>
    </row>
    <row r="16" spans="1:21" ht="11.25" customHeight="1" x14ac:dyDescent="0.2">
      <c r="A16" s="43" t="s">
        <v>34</v>
      </c>
      <c r="B16" s="37" t="s">
        <v>9</v>
      </c>
      <c r="C16" s="39" t="s">
        <v>10</v>
      </c>
      <c r="D16" s="37" t="s">
        <v>9</v>
      </c>
      <c r="E16" s="39" t="s">
        <v>10</v>
      </c>
      <c r="F16" s="37" t="s">
        <v>9</v>
      </c>
      <c r="G16" s="39" t="s">
        <v>10</v>
      </c>
      <c r="H16" s="37" t="s">
        <v>9</v>
      </c>
      <c r="I16" s="39" t="s">
        <v>10</v>
      </c>
      <c r="J16" s="37" t="s">
        <v>9</v>
      </c>
      <c r="K16" s="39" t="s">
        <v>10</v>
      </c>
      <c r="L16" s="37" t="s">
        <v>9</v>
      </c>
      <c r="M16" s="39" t="s">
        <v>10</v>
      </c>
      <c r="N16" s="37" t="s">
        <v>9</v>
      </c>
      <c r="O16" s="40" t="s">
        <v>10</v>
      </c>
      <c r="P16" s="22"/>
    </row>
    <row r="17" spans="1:16" ht="11.25" customHeight="1" x14ac:dyDescent="0.2">
      <c r="A17" s="43" t="s">
        <v>35</v>
      </c>
      <c r="B17" s="17"/>
      <c r="C17" s="71" t="str">
        <f>IFERROR(VLOOKUP(B17,fixed_expenses4[],2,0),"")</f>
        <v/>
      </c>
      <c r="D17" s="17"/>
      <c r="E17" s="71" t="str">
        <f>IFERROR(VLOOKUP(D17,fixed_expenses4[],2,0),"")</f>
        <v/>
      </c>
      <c r="F17" s="17"/>
      <c r="G17" s="71" t="str">
        <f>IFERROR(VLOOKUP(F17,fixed_expenses4[],2,0),"")</f>
        <v/>
      </c>
      <c r="H17" s="17"/>
      <c r="I17" s="71" t="str">
        <f>IFERROR(VLOOKUP(H17,fixed_expenses4[],2,0),"")</f>
        <v/>
      </c>
      <c r="J17" s="17"/>
      <c r="K17" s="71" t="str">
        <f>IFERROR(VLOOKUP(J17,fixed_expenses4[],2,0),"")</f>
        <v/>
      </c>
      <c r="L17" s="17" t="s">
        <v>387</v>
      </c>
      <c r="M17" s="71">
        <f>IFERROR(VLOOKUP(L17,fixed_expenses4[],2,0),"")</f>
        <v>800</v>
      </c>
      <c r="N17" s="17"/>
      <c r="O17" s="71" t="str">
        <f>IFERROR(VLOOKUP(N17,fixed_expenses4[],2,0),"")</f>
        <v/>
      </c>
      <c r="P17" s="22"/>
    </row>
    <row r="18" spans="1:16" ht="11.25" customHeight="1" x14ac:dyDescent="0.2">
      <c r="B18" s="17"/>
      <c r="C18" s="71" t="str">
        <f>IFERROR(VLOOKUP(B18,fixed_expenses4[],2,0),"")</f>
        <v/>
      </c>
      <c r="D18" s="17"/>
      <c r="E18" s="71" t="str">
        <f>IFERROR(VLOOKUP(D18,fixed_expenses4[],2,0),"")</f>
        <v/>
      </c>
      <c r="F18" s="17"/>
      <c r="G18" s="71" t="str">
        <f>IFERROR(VLOOKUP(F18,fixed_expenses4[],2,0),"")</f>
        <v/>
      </c>
      <c r="H18" s="17"/>
      <c r="I18" s="71" t="str">
        <f>IFERROR(VLOOKUP(H18,fixed_expenses4[],2,0),"")</f>
        <v/>
      </c>
      <c r="J18" s="17"/>
      <c r="K18" s="71" t="str">
        <f>IFERROR(VLOOKUP(J18,fixed_expenses4[],2,0),"")</f>
        <v/>
      </c>
      <c r="L18" s="17"/>
      <c r="M18" s="71" t="str">
        <f>IFERROR(VLOOKUP(L18,fixed_expenses4[],2,0),"")</f>
        <v/>
      </c>
      <c r="N18" s="17"/>
      <c r="O18" s="71" t="str">
        <f>IFERROR(VLOOKUP(N18,fixed_expenses4[],2,0),"")</f>
        <v/>
      </c>
      <c r="P18" s="22"/>
    </row>
    <row r="19" spans="1:16" ht="11.25" customHeight="1" x14ac:dyDescent="0.2">
      <c r="B19" s="17"/>
      <c r="C19" s="71" t="str">
        <f>IFERROR(VLOOKUP(B19,fixed_expenses4[],2,0),"")</f>
        <v/>
      </c>
      <c r="D19" s="17"/>
      <c r="E19" s="71" t="str">
        <f>IFERROR(VLOOKUP(D19,fixed_expenses4[],2,0),"")</f>
        <v/>
      </c>
      <c r="F19" s="17"/>
      <c r="G19" s="71" t="str">
        <f>IFERROR(VLOOKUP(F19,fixed_expenses4[],2,0),"")</f>
        <v/>
      </c>
      <c r="H19" s="17"/>
      <c r="I19" s="71" t="str">
        <f>IFERROR(VLOOKUP(H19,fixed_expenses4[],2,0),"")</f>
        <v/>
      </c>
      <c r="J19" s="17"/>
      <c r="K19" s="71" t="str">
        <f>IFERROR(VLOOKUP(J19,fixed_expenses4[],2,0),"")</f>
        <v/>
      </c>
      <c r="L19" s="17"/>
      <c r="M19" s="71" t="str">
        <f>IFERROR(VLOOKUP(L19,fixed_expenses4[],2,0),"")</f>
        <v/>
      </c>
      <c r="N19" s="17"/>
      <c r="O19" s="71" t="str">
        <f>IFERROR(VLOOKUP(N19,fixed_expenses4[],2,0),"")</f>
        <v/>
      </c>
      <c r="P19" s="22"/>
    </row>
    <row r="20" spans="1:16" ht="11.25" customHeight="1" x14ac:dyDescent="0.2">
      <c r="B20" s="17"/>
      <c r="C20" s="71" t="str">
        <f>IFERROR(VLOOKUP(B20,fixed_expenses4[],2,0),"")</f>
        <v/>
      </c>
      <c r="D20" s="17"/>
      <c r="E20" s="71" t="str">
        <f>IFERROR(VLOOKUP(D20,fixed_expenses4[],2,0),"")</f>
        <v/>
      </c>
      <c r="F20" s="17"/>
      <c r="G20" s="71" t="str">
        <f>IFERROR(VLOOKUP(F20,fixed_expenses4[],2,0),"")</f>
        <v/>
      </c>
      <c r="H20" s="17"/>
      <c r="I20" s="71" t="str">
        <f>IFERROR(VLOOKUP(H20,fixed_expenses4[],2,0),"")</f>
        <v/>
      </c>
      <c r="J20" s="17"/>
      <c r="K20" s="71" t="str">
        <f>IFERROR(VLOOKUP(J20,fixed_expenses4[],2,0),"")</f>
        <v/>
      </c>
      <c r="L20" s="17"/>
      <c r="M20" s="71" t="str">
        <f>IFERROR(VLOOKUP(L20,fixed_expenses4[],2,0),"")</f>
        <v/>
      </c>
      <c r="N20" s="17"/>
      <c r="O20" s="71" t="str">
        <f>IFERROR(VLOOKUP(N20,fixed_expenses4[],2,0),"")</f>
        <v/>
      </c>
      <c r="P20" s="22"/>
    </row>
    <row r="21" spans="1:16" ht="11.25" customHeight="1" x14ac:dyDescent="0.2">
      <c r="B21" s="17"/>
      <c r="C21" s="71" t="str">
        <f>IFERROR(VLOOKUP(B21,fixed_expenses4[],2,0),"")</f>
        <v/>
      </c>
      <c r="D21" s="17"/>
      <c r="E21" s="71" t="str">
        <f>IFERROR(VLOOKUP(D21,fixed_expenses4[],2,0),"")</f>
        <v/>
      </c>
      <c r="F21" s="17"/>
      <c r="G21" s="71" t="str">
        <f>IFERROR(VLOOKUP(F21,fixed_expenses4[],2,0),"")</f>
        <v/>
      </c>
      <c r="H21" s="17"/>
      <c r="I21" s="71" t="str">
        <f>IFERROR(VLOOKUP(H21,fixed_expenses4[],2,0),"")</f>
        <v/>
      </c>
      <c r="J21" s="17"/>
      <c r="K21" s="71" t="str">
        <f>IFERROR(VLOOKUP(J21,fixed_expenses4[],2,0),"")</f>
        <v/>
      </c>
      <c r="L21" s="17"/>
      <c r="M21" s="71" t="str">
        <f>IFERROR(VLOOKUP(L21,fixed_expenses4[],2,0),"")</f>
        <v/>
      </c>
      <c r="N21" s="17"/>
      <c r="O21" s="71" t="str">
        <f>IFERROR(VLOOKUP(N21,fixed_expenses4[],2,0),"")</f>
        <v/>
      </c>
      <c r="P21" s="22"/>
    </row>
    <row r="22" spans="1:16" ht="11.25" customHeight="1" x14ac:dyDescent="0.2">
      <c r="A22" s="43" t="s">
        <v>36</v>
      </c>
      <c r="B22" s="26" t="s">
        <v>8</v>
      </c>
      <c r="C22" s="27">
        <f>SUM(C17:C21)</f>
        <v>0</v>
      </c>
      <c r="D22" s="26"/>
      <c r="E22" s="27">
        <f>SUM(E17:E21)</f>
        <v>0</v>
      </c>
      <c r="F22" s="26"/>
      <c r="G22" s="27">
        <f>SUM(G17:G21)</f>
        <v>0</v>
      </c>
      <c r="H22" s="26"/>
      <c r="I22" s="27">
        <f>SUM(I17:I21)</f>
        <v>0</v>
      </c>
      <c r="J22" s="26"/>
      <c r="K22" s="27">
        <f>SUM(K17:K21)</f>
        <v>0</v>
      </c>
      <c r="L22" s="26"/>
      <c r="M22" s="27">
        <f>SUM(M17:M21)</f>
        <v>800</v>
      </c>
      <c r="N22" s="26"/>
      <c r="O22" s="28">
        <f>SUM(O17:O21)</f>
        <v>0</v>
      </c>
      <c r="P22" s="29">
        <f>SUM(C22,E22,G22,I22,K22,M22,O22)</f>
        <v>800</v>
      </c>
    </row>
    <row r="23" spans="1:16" ht="11.25" customHeight="1" x14ac:dyDescent="0.2">
      <c r="B23" s="6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6"/>
    </row>
    <row r="24" spans="1:16" ht="15" customHeight="1" x14ac:dyDescent="0.2">
      <c r="A24" s="43" t="s">
        <v>37</v>
      </c>
      <c r="B24" s="12">
        <f ca="1">N15+1</f>
        <v>10</v>
      </c>
      <c r="C24" s="13"/>
      <c r="D24" s="12">
        <f ca="1">B24+1</f>
        <v>11</v>
      </c>
      <c r="E24" s="13"/>
      <c r="F24" s="12">
        <f ca="1">D24+1</f>
        <v>12</v>
      </c>
      <c r="G24" s="13"/>
      <c r="H24" s="12">
        <f ca="1">F24+1</f>
        <v>13</v>
      </c>
      <c r="I24" s="13"/>
      <c r="J24" s="12">
        <f ca="1">H24+1</f>
        <v>14</v>
      </c>
      <c r="K24" s="13"/>
      <c r="L24" s="12">
        <f ca="1">J24+1</f>
        <v>15</v>
      </c>
      <c r="M24" s="13"/>
      <c r="N24" s="12">
        <f ca="1">L24+1</f>
        <v>16</v>
      </c>
      <c r="O24" s="13"/>
      <c r="P24" s="24"/>
    </row>
    <row r="25" spans="1:16" ht="11.25" customHeight="1" x14ac:dyDescent="0.2">
      <c r="A25" s="43" t="s">
        <v>38</v>
      </c>
      <c r="B25" s="37" t="s">
        <v>9</v>
      </c>
      <c r="C25" s="39" t="s">
        <v>10</v>
      </c>
      <c r="D25" s="37" t="s">
        <v>9</v>
      </c>
      <c r="E25" s="39" t="s">
        <v>10</v>
      </c>
      <c r="F25" s="37" t="s">
        <v>9</v>
      </c>
      <c r="G25" s="39" t="s">
        <v>10</v>
      </c>
      <c r="H25" s="37" t="s">
        <v>9</v>
      </c>
      <c r="I25" s="39" t="s">
        <v>10</v>
      </c>
      <c r="J25" s="37" t="s">
        <v>9</v>
      </c>
      <c r="K25" s="39" t="s">
        <v>10</v>
      </c>
      <c r="L25" s="37" t="s">
        <v>9</v>
      </c>
      <c r="M25" s="39" t="s">
        <v>10</v>
      </c>
      <c r="N25" s="37" t="s">
        <v>9</v>
      </c>
      <c r="O25" s="40" t="s">
        <v>10</v>
      </c>
      <c r="P25" s="22"/>
    </row>
    <row r="26" spans="1:16" ht="11.25" customHeight="1" x14ac:dyDescent="0.2">
      <c r="A26" s="43" t="s">
        <v>39</v>
      </c>
      <c r="B26" s="17"/>
      <c r="C26" s="71" t="str">
        <f>IFERROR(VLOOKUP(B26,fixed_expenses4[],2,0),"")</f>
        <v/>
      </c>
      <c r="D26" s="17"/>
      <c r="E26" s="71" t="str">
        <f>IFERROR(VLOOKUP(D26,fixed_expenses4[],2,0),"")</f>
        <v/>
      </c>
      <c r="F26" s="17"/>
      <c r="G26" s="71" t="str">
        <f>IFERROR(VLOOKUP(F26,fixed_expenses4[],2,0),"")</f>
        <v/>
      </c>
      <c r="H26" s="17"/>
      <c r="I26" s="71" t="str">
        <f>IFERROR(VLOOKUP(H26,fixed_expenses4[],2,0),"")</f>
        <v/>
      </c>
      <c r="J26" s="17"/>
      <c r="K26" s="71" t="str">
        <f>IFERROR(VLOOKUP(J26,fixed_expenses4[],2,0),"")</f>
        <v/>
      </c>
      <c r="L26" s="17" t="s">
        <v>387</v>
      </c>
      <c r="M26" s="71">
        <f>IFERROR(VLOOKUP(L26,fixed_expenses4[],2,0),"")</f>
        <v>800</v>
      </c>
      <c r="N26" s="17"/>
      <c r="O26" s="71" t="str">
        <f>IFERROR(VLOOKUP(N26,fixed_expenses4[],2,0),"")</f>
        <v/>
      </c>
      <c r="P26" s="22"/>
    </row>
    <row r="27" spans="1:16" ht="11.25" customHeight="1" x14ac:dyDescent="0.2">
      <c r="B27" s="17"/>
      <c r="C27" s="71" t="str">
        <f>IFERROR(VLOOKUP(B27,fixed_expenses4[],2,0),"")</f>
        <v/>
      </c>
      <c r="D27" s="17"/>
      <c r="E27" s="71" t="str">
        <f>IFERROR(VLOOKUP(D27,fixed_expenses4[],2,0),"")</f>
        <v/>
      </c>
      <c r="F27" s="17"/>
      <c r="G27" s="71" t="str">
        <f>IFERROR(VLOOKUP(F27,fixed_expenses4[],2,0),"")</f>
        <v/>
      </c>
      <c r="H27" s="17"/>
      <c r="I27" s="71" t="str">
        <f>IFERROR(VLOOKUP(H27,fixed_expenses4[],2,0),"")</f>
        <v/>
      </c>
      <c r="J27" s="17"/>
      <c r="K27" s="71" t="str">
        <f>IFERROR(VLOOKUP(J27,fixed_expenses4[],2,0),"")</f>
        <v/>
      </c>
      <c r="L27" s="17"/>
      <c r="M27" s="71" t="str">
        <f>IFERROR(VLOOKUP(L27,fixed_expenses4[],2,0),"")</f>
        <v/>
      </c>
      <c r="N27" s="17"/>
      <c r="O27" s="71" t="str">
        <f>IFERROR(VLOOKUP(N27,fixed_expenses4[],2,0),"")</f>
        <v/>
      </c>
      <c r="P27" s="22"/>
    </row>
    <row r="28" spans="1:16" ht="11.25" customHeight="1" x14ac:dyDescent="0.2">
      <c r="B28" s="17"/>
      <c r="C28" s="71" t="str">
        <f>IFERROR(VLOOKUP(B28,fixed_expenses4[],2,0),"")</f>
        <v/>
      </c>
      <c r="D28" s="17"/>
      <c r="E28" s="71" t="str">
        <f>IFERROR(VLOOKUP(D28,fixed_expenses4[],2,0),"")</f>
        <v/>
      </c>
      <c r="F28" s="17"/>
      <c r="G28" s="71" t="str">
        <f>IFERROR(VLOOKUP(F28,fixed_expenses4[],2,0),"")</f>
        <v/>
      </c>
      <c r="H28" s="17"/>
      <c r="I28" s="71" t="str">
        <f>IFERROR(VLOOKUP(H28,fixed_expenses4[],2,0),"")</f>
        <v/>
      </c>
      <c r="J28" s="17"/>
      <c r="K28" s="71" t="str">
        <f>IFERROR(VLOOKUP(J28,fixed_expenses4[],2,0),"")</f>
        <v/>
      </c>
      <c r="L28" s="17"/>
      <c r="M28" s="71" t="str">
        <f>IFERROR(VLOOKUP(L28,fixed_expenses4[],2,0),"")</f>
        <v/>
      </c>
      <c r="N28" s="17"/>
      <c r="O28" s="71" t="str">
        <f>IFERROR(VLOOKUP(N28,fixed_expenses4[],2,0),"")</f>
        <v/>
      </c>
      <c r="P28" s="22"/>
    </row>
    <row r="29" spans="1:16" ht="11.25" customHeight="1" x14ac:dyDescent="0.2">
      <c r="B29" s="17"/>
      <c r="C29" s="71" t="str">
        <f>IFERROR(VLOOKUP(B29,fixed_expenses4[],2,0),"")</f>
        <v/>
      </c>
      <c r="D29" s="17"/>
      <c r="E29" s="71" t="str">
        <f>IFERROR(VLOOKUP(D29,fixed_expenses4[],2,0),"")</f>
        <v/>
      </c>
      <c r="F29" s="17"/>
      <c r="G29" s="71" t="str">
        <f>IFERROR(VLOOKUP(F29,fixed_expenses4[],2,0),"")</f>
        <v/>
      </c>
      <c r="H29" s="17"/>
      <c r="I29" s="71" t="str">
        <f>IFERROR(VLOOKUP(H29,fixed_expenses4[],2,0),"")</f>
        <v/>
      </c>
      <c r="J29" s="17"/>
      <c r="K29" s="71" t="str">
        <f>IFERROR(VLOOKUP(J29,fixed_expenses4[],2,0),"")</f>
        <v/>
      </c>
      <c r="L29" s="17"/>
      <c r="M29" s="71" t="str">
        <f>IFERROR(VLOOKUP(L29,fixed_expenses4[],2,0),"")</f>
        <v/>
      </c>
      <c r="N29" s="17"/>
      <c r="O29" s="71" t="str">
        <f>IFERROR(VLOOKUP(N29,fixed_expenses4[],2,0),"")</f>
        <v/>
      </c>
      <c r="P29" s="22"/>
    </row>
    <row r="30" spans="1:16" ht="11.25" customHeight="1" x14ac:dyDescent="0.2">
      <c r="B30" s="17"/>
      <c r="C30" s="71" t="str">
        <f>IFERROR(VLOOKUP(B30,fixed_expenses4[],2,0),"")</f>
        <v/>
      </c>
      <c r="D30" s="17"/>
      <c r="E30" s="71" t="str">
        <f>IFERROR(VLOOKUP(D30,fixed_expenses4[],2,0),"")</f>
        <v/>
      </c>
      <c r="F30" s="17"/>
      <c r="G30" s="71" t="str">
        <f>IFERROR(VLOOKUP(F30,fixed_expenses4[],2,0),"")</f>
        <v/>
      </c>
      <c r="H30" s="17"/>
      <c r="I30" s="71" t="str">
        <f>IFERROR(VLOOKUP(H30,fixed_expenses4[],2,0),"")</f>
        <v/>
      </c>
      <c r="J30" s="17"/>
      <c r="K30" s="71" t="str">
        <f>IFERROR(VLOOKUP(J30,fixed_expenses4[],2,0),"")</f>
        <v/>
      </c>
      <c r="L30" s="17"/>
      <c r="M30" s="71" t="str">
        <f>IFERROR(VLOOKUP(L30,fixed_expenses4[],2,0),"")</f>
        <v/>
      </c>
      <c r="N30" s="17"/>
      <c r="O30" s="71" t="str">
        <f>IFERROR(VLOOKUP(N30,fixed_expenses4[],2,0),"")</f>
        <v/>
      </c>
      <c r="P30" s="22"/>
    </row>
    <row r="31" spans="1:16" ht="11.25" customHeight="1" x14ac:dyDescent="0.2">
      <c r="A31" s="43" t="s">
        <v>40</v>
      </c>
      <c r="B31" s="30" t="s">
        <v>8</v>
      </c>
      <c r="C31" s="27">
        <f>SUM(C26:C30)</f>
        <v>0</v>
      </c>
      <c r="D31" s="26"/>
      <c r="E31" s="27">
        <f>SUM(E26:E30)</f>
        <v>0</v>
      </c>
      <c r="F31" s="26"/>
      <c r="G31" s="27">
        <f>SUM(G26:G30)</f>
        <v>0</v>
      </c>
      <c r="H31" s="26"/>
      <c r="I31" s="27">
        <f>SUM(I26:I30)</f>
        <v>0</v>
      </c>
      <c r="J31" s="26"/>
      <c r="K31" s="27">
        <f>SUM(K26:K30)</f>
        <v>0</v>
      </c>
      <c r="L31" s="26"/>
      <c r="M31" s="27">
        <f>SUM(M26:M30)</f>
        <v>800</v>
      </c>
      <c r="N31" s="26"/>
      <c r="O31" s="28">
        <f>SUM(O26:O30)</f>
        <v>0</v>
      </c>
      <c r="P31" s="29">
        <f>SUM(C31,E31,G31,I31,K31,M31,O31)</f>
        <v>800</v>
      </c>
    </row>
    <row r="32" spans="1:16" ht="11.25" customHeight="1" x14ac:dyDescent="0.2">
      <c r="B32" s="6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6"/>
    </row>
    <row r="33" spans="1:16" ht="15" customHeight="1" x14ac:dyDescent="0.2">
      <c r="A33" s="43" t="s">
        <v>41</v>
      </c>
      <c r="B33" s="12">
        <f ca="1">N24+1</f>
        <v>17</v>
      </c>
      <c r="C33" s="13"/>
      <c r="D33" s="12">
        <f ca="1">B33+1</f>
        <v>18</v>
      </c>
      <c r="E33" s="13"/>
      <c r="F33" s="12">
        <f ca="1">D33+1</f>
        <v>19</v>
      </c>
      <c r="G33" s="13"/>
      <c r="H33" s="12">
        <f ca="1">F33+1</f>
        <v>20</v>
      </c>
      <c r="I33" s="13"/>
      <c r="J33" s="12">
        <f ca="1">H33+1</f>
        <v>21</v>
      </c>
      <c r="K33" s="13"/>
      <c r="L33" s="12">
        <f ca="1">J33+1</f>
        <v>22</v>
      </c>
      <c r="M33" s="13"/>
      <c r="N33" s="12">
        <f ca="1">L33+1</f>
        <v>23</v>
      </c>
      <c r="O33" s="13"/>
      <c r="P33" s="24"/>
    </row>
    <row r="34" spans="1:16" ht="11.25" customHeight="1" x14ac:dyDescent="0.2">
      <c r="A34" s="43" t="s">
        <v>42</v>
      </c>
      <c r="B34" s="37" t="s">
        <v>9</v>
      </c>
      <c r="C34" s="39" t="s">
        <v>10</v>
      </c>
      <c r="D34" s="37" t="s">
        <v>9</v>
      </c>
      <c r="E34" s="39" t="s">
        <v>10</v>
      </c>
      <c r="F34" s="37" t="s">
        <v>9</v>
      </c>
      <c r="G34" s="39" t="s">
        <v>10</v>
      </c>
      <c r="H34" s="37" t="s">
        <v>9</v>
      </c>
      <c r="I34" s="39" t="s">
        <v>10</v>
      </c>
      <c r="J34" s="37" t="s">
        <v>9</v>
      </c>
      <c r="K34" s="39" t="s">
        <v>10</v>
      </c>
      <c r="L34" s="37" t="s">
        <v>9</v>
      </c>
      <c r="M34" s="39" t="s">
        <v>10</v>
      </c>
      <c r="N34" s="37" t="s">
        <v>9</v>
      </c>
      <c r="O34" s="40" t="s">
        <v>10</v>
      </c>
      <c r="P34" s="22"/>
    </row>
    <row r="35" spans="1:16" ht="11.25" customHeight="1" x14ac:dyDescent="0.2">
      <c r="A35" s="43" t="s">
        <v>43</v>
      </c>
      <c r="B35" s="17"/>
      <c r="C35" s="71" t="str">
        <f>IFERROR(VLOOKUP(B35,fixed_expenses4[],2,0),"")</f>
        <v/>
      </c>
      <c r="D35" s="17"/>
      <c r="E35" s="71" t="str">
        <f>IFERROR(VLOOKUP(D35,fixed_expenses4[],2,0),"")</f>
        <v/>
      </c>
      <c r="F35" s="17"/>
      <c r="G35" s="71" t="str">
        <f>IFERROR(VLOOKUP(F35,fixed_expenses4[],2,0),"")</f>
        <v/>
      </c>
      <c r="H35" s="17"/>
      <c r="I35" s="71" t="str">
        <f>IFERROR(VLOOKUP(H35,fixed_expenses4[],2,0),"")</f>
        <v/>
      </c>
      <c r="J35" s="17"/>
      <c r="K35" s="71" t="str">
        <f>IFERROR(VLOOKUP(J35,fixed_expenses4[],2,0),"")</f>
        <v/>
      </c>
      <c r="L35" s="17" t="s">
        <v>387</v>
      </c>
      <c r="M35" s="71">
        <f>IFERROR(VLOOKUP(L35,fixed_expenses4[],2,0),"")</f>
        <v>800</v>
      </c>
      <c r="N35" s="17"/>
      <c r="O35" s="71" t="str">
        <f>IFERROR(VLOOKUP(N35,fixed_expenses4[],2,0),"")</f>
        <v/>
      </c>
      <c r="P35" s="22"/>
    </row>
    <row r="36" spans="1:16" ht="11.25" customHeight="1" x14ac:dyDescent="0.2">
      <c r="B36" s="17"/>
      <c r="C36" s="71" t="str">
        <f>IFERROR(VLOOKUP(B36,fixed_expenses4[],2,0),"")</f>
        <v/>
      </c>
      <c r="D36" s="17"/>
      <c r="E36" s="71" t="str">
        <f>IFERROR(VLOOKUP(D36,fixed_expenses4[],2,0),"")</f>
        <v/>
      </c>
      <c r="F36" s="17"/>
      <c r="G36" s="71" t="str">
        <f>IFERROR(VLOOKUP(F36,fixed_expenses4[],2,0),"")</f>
        <v/>
      </c>
      <c r="H36" s="17"/>
      <c r="I36" s="71" t="str">
        <f>IFERROR(VLOOKUP(H36,fixed_expenses4[],2,0),"")</f>
        <v/>
      </c>
      <c r="J36" s="17"/>
      <c r="K36" s="71" t="str">
        <f>IFERROR(VLOOKUP(J36,fixed_expenses4[],2,0),"")</f>
        <v/>
      </c>
      <c r="L36" s="80" t="s">
        <v>388</v>
      </c>
      <c r="M36" s="71">
        <f>IFERROR(VLOOKUP(L36,fixed_expenses4[],2,0),"")</f>
        <v>770</v>
      </c>
      <c r="N36" s="17"/>
      <c r="O36" s="71" t="str">
        <f>IFERROR(VLOOKUP(N36,fixed_expenses4[],2,0),"")</f>
        <v/>
      </c>
      <c r="P36" s="22"/>
    </row>
    <row r="37" spans="1:16" ht="11.25" customHeight="1" x14ac:dyDescent="0.2">
      <c r="B37" s="17"/>
      <c r="C37" s="71" t="str">
        <f>IFERROR(VLOOKUP(B37,fixed_expenses4[],2,0),"")</f>
        <v/>
      </c>
      <c r="D37" s="17"/>
      <c r="E37" s="71" t="str">
        <f>IFERROR(VLOOKUP(D37,fixed_expenses4[],2,0),"")</f>
        <v/>
      </c>
      <c r="F37" s="17"/>
      <c r="G37" s="71" t="str">
        <f>IFERROR(VLOOKUP(F37,fixed_expenses4[],2,0),"")</f>
        <v/>
      </c>
      <c r="H37" s="17"/>
      <c r="I37" s="71" t="str">
        <f>IFERROR(VLOOKUP(H37,fixed_expenses4[],2,0),"")</f>
        <v/>
      </c>
      <c r="J37" s="17"/>
      <c r="K37" s="71" t="str">
        <f>IFERROR(VLOOKUP(J37,fixed_expenses4[],2,0),"")</f>
        <v/>
      </c>
      <c r="L37" s="17"/>
      <c r="M37" s="71" t="str">
        <f>IFERROR(VLOOKUP(L37,fixed_expenses4[],2,0),"")</f>
        <v/>
      </c>
      <c r="N37" s="17"/>
      <c r="O37" s="71" t="str">
        <f>IFERROR(VLOOKUP(N37,fixed_expenses4[],2,0),"")</f>
        <v/>
      </c>
      <c r="P37" s="22"/>
    </row>
    <row r="38" spans="1:16" ht="11.25" customHeight="1" x14ac:dyDescent="0.2">
      <c r="B38" s="17"/>
      <c r="C38" s="71" t="str">
        <f>IFERROR(VLOOKUP(B38,fixed_expenses4[],2,0),"")</f>
        <v/>
      </c>
      <c r="D38" s="17"/>
      <c r="E38" s="71" t="str">
        <f>IFERROR(VLOOKUP(D38,fixed_expenses4[],2,0),"")</f>
        <v/>
      </c>
      <c r="F38" s="17"/>
      <c r="G38" s="71" t="str">
        <f>IFERROR(VLOOKUP(F38,fixed_expenses4[],2,0),"")</f>
        <v/>
      </c>
      <c r="H38" s="17"/>
      <c r="I38" s="71" t="str">
        <f>IFERROR(VLOOKUP(H38,fixed_expenses4[],2,0),"")</f>
        <v/>
      </c>
      <c r="J38" s="17"/>
      <c r="K38" s="71" t="str">
        <f>IFERROR(VLOOKUP(J38,fixed_expenses4[],2,0),"")</f>
        <v/>
      </c>
      <c r="L38" s="17"/>
      <c r="M38" s="71" t="str">
        <f>IFERROR(VLOOKUP(L38,fixed_expenses4[],2,0),"")</f>
        <v/>
      </c>
      <c r="N38" s="17"/>
      <c r="O38" s="71" t="str">
        <f>IFERROR(VLOOKUP(N38,fixed_expenses4[],2,0),"")</f>
        <v/>
      </c>
      <c r="P38" s="22"/>
    </row>
    <row r="39" spans="1:16" ht="11.25" customHeight="1" x14ac:dyDescent="0.2">
      <c r="B39" s="17"/>
      <c r="C39" s="71" t="str">
        <f>IFERROR(VLOOKUP(B39,fixed_expenses4[],2,0),"")</f>
        <v/>
      </c>
      <c r="D39" s="17"/>
      <c r="E39" s="71" t="str">
        <f>IFERROR(VLOOKUP(D39,fixed_expenses4[],2,0),"")</f>
        <v/>
      </c>
      <c r="F39" s="17"/>
      <c r="G39" s="71" t="str">
        <f>IFERROR(VLOOKUP(F39,fixed_expenses4[],2,0),"")</f>
        <v/>
      </c>
      <c r="H39" s="17"/>
      <c r="I39" s="71" t="str">
        <f>IFERROR(VLOOKUP(H39,fixed_expenses4[],2,0),"")</f>
        <v/>
      </c>
      <c r="J39" s="17"/>
      <c r="K39" s="71" t="str">
        <f>IFERROR(VLOOKUP(J39,fixed_expenses4[],2,0),"")</f>
        <v/>
      </c>
      <c r="L39" s="17"/>
      <c r="M39" s="71" t="str">
        <f>IFERROR(VLOOKUP(L39,fixed_expenses4[],2,0),"")</f>
        <v/>
      </c>
      <c r="N39" s="17"/>
      <c r="O39" s="71" t="str">
        <f>IFERROR(VLOOKUP(N39,fixed_expenses4[],2,0),"")</f>
        <v/>
      </c>
      <c r="P39" s="22"/>
    </row>
    <row r="40" spans="1:16" ht="11.25" customHeight="1" x14ac:dyDescent="0.2">
      <c r="A40" s="43" t="s">
        <v>44</v>
      </c>
      <c r="B40" s="26" t="s">
        <v>8</v>
      </c>
      <c r="C40" s="27">
        <f>SUM(C35:C39)</f>
        <v>0</v>
      </c>
      <c r="D40" s="26"/>
      <c r="E40" s="27">
        <f>SUM(E35:E39)</f>
        <v>0</v>
      </c>
      <c r="F40" s="26"/>
      <c r="G40" s="27">
        <f>SUM(G35:G39)</f>
        <v>0</v>
      </c>
      <c r="H40" s="26"/>
      <c r="I40" s="27">
        <f>SUM(I35:I39)</f>
        <v>0</v>
      </c>
      <c r="J40" s="26"/>
      <c r="K40" s="27">
        <f>SUM(K35:K39)</f>
        <v>0</v>
      </c>
      <c r="L40" s="26"/>
      <c r="M40" s="27">
        <f>SUM(M35:M39)</f>
        <v>1570</v>
      </c>
      <c r="N40" s="26"/>
      <c r="O40" s="28">
        <f>SUM(O35:O39)</f>
        <v>0</v>
      </c>
      <c r="P40" s="29">
        <f>SUM(C40,E40,G40,I40,K40,M40,O40)</f>
        <v>1570</v>
      </c>
    </row>
    <row r="41" spans="1:16" ht="11.25" customHeight="1" x14ac:dyDescent="0.2">
      <c r="B41" s="6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6"/>
    </row>
    <row r="42" spans="1:16" ht="15" customHeight="1" x14ac:dyDescent="0.2">
      <c r="A42" s="43" t="s">
        <v>45</v>
      </c>
      <c r="B42" s="12">
        <f ca="1">DAY(IF(DAY(JanSun1)=1,JanSun1+22,JanSun1+29))</f>
        <v>24</v>
      </c>
      <c r="C42" s="13"/>
      <c r="D42" s="12">
        <f ca="1">DAY(IF(DAY(JanSun1)=1,JanSun1+23,JanSun1+30))</f>
        <v>25</v>
      </c>
      <c r="E42" s="13"/>
      <c r="F42" s="12">
        <f ca="1">DAY(IF(DAY(JanSun1)=1,JanSun1+24,JanSun1+31))</f>
        <v>26</v>
      </c>
      <c r="G42" s="13"/>
      <c r="H42" s="12">
        <f ca="1">DAY(IF(DAY(JanSun1)=1,JanSun1+25,JanSun1+32))</f>
        <v>27</v>
      </c>
      <c r="I42" s="13"/>
      <c r="J42" s="12">
        <f ca="1">DAY(IF(DAY(JanSun1)=1,JanSun1+26,JanSun1+33))</f>
        <v>28</v>
      </c>
      <c r="K42" s="13"/>
      <c r="L42" s="12">
        <f ca="1">DAY(IF(DAY(JanSun1)=1,JanSun1+27,JanSun1+34))</f>
        <v>29</v>
      </c>
      <c r="M42" s="13"/>
      <c r="N42" s="12">
        <f ca="1">DAY(IF(DAY(JanSun1)=1,JanSun1+28,JanSun1+35))</f>
        <v>30</v>
      </c>
      <c r="O42" s="13"/>
      <c r="P42" s="25"/>
    </row>
    <row r="43" spans="1:16" ht="11.25" customHeight="1" x14ac:dyDescent="0.2">
      <c r="A43" s="43" t="s">
        <v>46</v>
      </c>
      <c r="B43" s="37" t="s">
        <v>9</v>
      </c>
      <c r="C43" s="39" t="s">
        <v>10</v>
      </c>
      <c r="D43" s="37" t="s">
        <v>9</v>
      </c>
      <c r="E43" s="39" t="s">
        <v>10</v>
      </c>
      <c r="F43" s="37" t="s">
        <v>9</v>
      </c>
      <c r="G43" s="39" t="s">
        <v>10</v>
      </c>
      <c r="H43" s="37" t="s">
        <v>9</v>
      </c>
      <c r="I43" s="39" t="s">
        <v>10</v>
      </c>
      <c r="J43" s="37" t="s">
        <v>9</v>
      </c>
      <c r="K43" s="39" t="s">
        <v>10</v>
      </c>
      <c r="L43" s="37" t="s">
        <v>9</v>
      </c>
      <c r="M43" s="39" t="s">
        <v>10</v>
      </c>
      <c r="N43" s="37" t="s">
        <v>9</v>
      </c>
      <c r="O43" s="40" t="s">
        <v>10</v>
      </c>
      <c r="P43" s="22"/>
    </row>
    <row r="44" spans="1:16" ht="11.25" customHeight="1" x14ac:dyDescent="0.2">
      <c r="A44" s="43" t="s">
        <v>47</v>
      </c>
      <c r="B44" s="17"/>
      <c r="C44" s="71" t="str">
        <f>IFERROR(VLOOKUP(B44,fixed_expenses4[],2,0),"")</f>
        <v/>
      </c>
      <c r="D44" s="17"/>
      <c r="E44" s="71" t="str">
        <f>IFERROR(VLOOKUP(D44,fixed_expenses4[],2,0),"")</f>
        <v/>
      </c>
      <c r="F44" s="17"/>
      <c r="G44" s="71" t="str">
        <f>IFERROR(VLOOKUP(F44,fixed_expenses4[],2,0),"")</f>
        <v/>
      </c>
      <c r="H44" s="17"/>
      <c r="I44" s="71" t="str">
        <f>IFERROR(VLOOKUP(H44,fixed_expenses4[],2,0),"")</f>
        <v/>
      </c>
      <c r="J44" s="17"/>
      <c r="K44" s="71" t="str">
        <f>IFERROR(VLOOKUP(J44,fixed_expenses4[],2,0),"")</f>
        <v/>
      </c>
      <c r="L44" s="17" t="s">
        <v>387</v>
      </c>
      <c r="M44" s="71">
        <f>IFERROR(VLOOKUP(L44,fixed_expenses4[],2,0),"")</f>
        <v>800</v>
      </c>
      <c r="N44" s="17"/>
      <c r="O44" s="71" t="str">
        <f>IFERROR(VLOOKUP(N44,fixed_expenses4[],2,0),"")</f>
        <v/>
      </c>
      <c r="P44" s="22"/>
    </row>
    <row r="45" spans="1:16" ht="11.25" customHeight="1" x14ac:dyDescent="0.2">
      <c r="B45" s="17"/>
      <c r="C45" s="71" t="str">
        <f>IFERROR(VLOOKUP(B45,fixed_expenses4[],2,0),"")</f>
        <v/>
      </c>
      <c r="D45" s="17"/>
      <c r="E45" s="71" t="str">
        <f>IFERROR(VLOOKUP(D45,fixed_expenses4[],2,0),"")</f>
        <v/>
      </c>
      <c r="F45" s="17"/>
      <c r="G45" s="71" t="str">
        <f>IFERROR(VLOOKUP(F45,fixed_expenses4[],2,0),"")</f>
        <v/>
      </c>
      <c r="H45" s="17"/>
      <c r="I45" s="71" t="str">
        <f>IFERROR(VLOOKUP(H45,fixed_expenses4[],2,0),"")</f>
        <v/>
      </c>
      <c r="J45" s="17"/>
      <c r="K45" s="71" t="str">
        <f>IFERROR(VLOOKUP(J45,fixed_expenses4[],2,0),"")</f>
        <v/>
      </c>
      <c r="L45" s="17"/>
      <c r="M45" s="71" t="str">
        <f>IFERROR(VLOOKUP(L45,fixed_expenses4[],2,0),"")</f>
        <v/>
      </c>
      <c r="N45" s="17"/>
      <c r="O45" s="71" t="str">
        <f>IFERROR(VLOOKUP(N45,fixed_expenses4[],2,0),"")</f>
        <v/>
      </c>
      <c r="P45" s="22"/>
    </row>
    <row r="46" spans="1:16" ht="11.25" customHeight="1" x14ac:dyDescent="0.2">
      <c r="B46" s="17"/>
      <c r="C46" s="71" t="str">
        <f>IFERROR(VLOOKUP(B46,fixed_expenses4[],2,0),"")</f>
        <v/>
      </c>
      <c r="D46" s="17"/>
      <c r="E46" s="71" t="str">
        <f>IFERROR(VLOOKUP(D46,fixed_expenses4[],2,0),"")</f>
        <v/>
      </c>
      <c r="F46" s="17"/>
      <c r="G46" s="71" t="str">
        <f>IFERROR(VLOOKUP(F46,fixed_expenses4[],2,0),"")</f>
        <v/>
      </c>
      <c r="H46" s="17"/>
      <c r="I46" s="71" t="str">
        <f>IFERROR(VLOOKUP(H46,fixed_expenses4[],2,0),"")</f>
        <v/>
      </c>
      <c r="J46" s="17"/>
      <c r="K46" s="71" t="str">
        <f>IFERROR(VLOOKUP(J46,fixed_expenses4[],2,0),"")</f>
        <v/>
      </c>
      <c r="L46" s="17"/>
      <c r="M46" s="71" t="str">
        <f>IFERROR(VLOOKUP(L46,fixed_expenses4[],2,0),"")</f>
        <v/>
      </c>
      <c r="N46" s="17"/>
      <c r="O46" s="71" t="str">
        <f>IFERROR(VLOOKUP(N46,fixed_expenses4[],2,0),"")</f>
        <v/>
      </c>
      <c r="P46" s="22"/>
    </row>
    <row r="47" spans="1:16" ht="11.25" customHeight="1" x14ac:dyDescent="0.2">
      <c r="B47" s="17"/>
      <c r="C47" s="71" t="str">
        <f>IFERROR(VLOOKUP(B47,fixed_expenses4[],2,0),"")</f>
        <v/>
      </c>
      <c r="D47" s="17"/>
      <c r="E47" s="71" t="str">
        <f>IFERROR(VLOOKUP(D47,fixed_expenses4[],2,0),"")</f>
        <v/>
      </c>
      <c r="F47" s="17"/>
      <c r="G47" s="71" t="str">
        <f>IFERROR(VLOOKUP(F47,fixed_expenses4[],2,0),"")</f>
        <v/>
      </c>
      <c r="H47" s="17"/>
      <c r="I47" s="71" t="str">
        <f>IFERROR(VLOOKUP(H47,fixed_expenses4[],2,0),"")</f>
        <v/>
      </c>
      <c r="J47" s="17"/>
      <c r="K47" s="71" t="str">
        <f>IFERROR(VLOOKUP(J47,fixed_expenses4[],2,0),"")</f>
        <v/>
      </c>
      <c r="L47" s="17"/>
      <c r="M47" s="71" t="str">
        <f>IFERROR(VLOOKUP(L47,fixed_expenses4[],2,0),"")</f>
        <v/>
      </c>
      <c r="N47" s="17"/>
      <c r="O47" s="71" t="str">
        <f>IFERROR(VLOOKUP(N47,fixed_expenses4[],2,0),"")</f>
        <v/>
      </c>
      <c r="P47" s="22"/>
    </row>
    <row r="48" spans="1:16" ht="11.25" customHeight="1" x14ac:dyDescent="0.2">
      <c r="B48" s="17"/>
      <c r="C48" s="71" t="str">
        <f>IFERROR(VLOOKUP(B48,fixed_expenses4[],2,0),"")</f>
        <v/>
      </c>
      <c r="D48" s="17"/>
      <c r="E48" s="71" t="str">
        <f>IFERROR(VLOOKUP(D48,fixed_expenses4[],2,0),"")</f>
        <v/>
      </c>
      <c r="F48" s="17"/>
      <c r="G48" s="71" t="str">
        <f>IFERROR(VLOOKUP(F48,fixed_expenses4[],2,0),"")</f>
        <v/>
      </c>
      <c r="H48" s="17"/>
      <c r="I48" s="71" t="str">
        <f>IFERROR(VLOOKUP(H48,fixed_expenses4[],2,0),"")</f>
        <v/>
      </c>
      <c r="J48" s="17"/>
      <c r="K48" s="71" t="str">
        <f>IFERROR(VLOOKUP(J48,fixed_expenses4[],2,0),"")</f>
        <v/>
      </c>
      <c r="L48" s="17"/>
      <c r="M48" s="71" t="str">
        <f>IFERROR(VLOOKUP(L48,fixed_expenses4[],2,0),"")</f>
        <v/>
      </c>
      <c r="N48" s="17"/>
      <c r="O48" s="71" t="str">
        <f>IFERROR(VLOOKUP(N48,fixed_expenses4[],2,0),"")</f>
        <v/>
      </c>
      <c r="P48" s="22"/>
    </row>
    <row r="49" spans="1:16" ht="11.25" customHeight="1" x14ac:dyDescent="0.2">
      <c r="A49" s="43" t="s">
        <v>48</v>
      </c>
      <c r="B49" s="26" t="s">
        <v>8</v>
      </c>
      <c r="C49" s="27">
        <f>SUM(C44:C48)</f>
        <v>0</v>
      </c>
      <c r="D49" s="26"/>
      <c r="E49" s="27">
        <f>SUM(E44:E48)</f>
        <v>0</v>
      </c>
      <c r="F49" s="26"/>
      <c r="G49" s="27">
        <f>SUM(G44:G48)</f>
        <v>0</v>
      </c>
      <c r="H49" s="26"/>
      <c r="I49" s="27">
        <f>SUM(I44:I48)</f>
        <v>0</v>
      </c>
      <c r="J49" s="18"/>
      <c r="K49" s="27">
        <f>SUM(K44:K48)</f>
        <v>0</v>
      </c>
      <c r="L49" s="18"/>
      <c r="M49" s="27">
        <f>SUM(M44:M48)</f>
        <v>800</v>
      </c>
      <c r="N49" s="18"/>
      <c r="O49" s="28">
        <f>SUM(O44:O48)</f>
        <v>0</v>
      </c>
      <c r="P49" s="29">
        <f ca="1">SUMIF(B42:N42,"&gt;="&amp;15,C49:O49)</f>
        <v>800</v>
      </c>
    </row>
    <row r="50" spans="1:16" ht="11.25" customHeight="1" x14ac:dyDescent="0.2">
      <c r="B50" s="6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6"/>
    </row>
    <row r="51" spans="1:16" ht="15" customHeight="1" x14ac:dyDescent="0.2">
      <c r="A51" s="43" t="s">
        <v>49</v>
      </c>
      <c r="B51" s="12">
        <f ca="1">DAY(IF(DAY(JanSun1)=1,JanSun1+29,JanSun1+36))</f>
        <v>31</v>
      </c>
      <c r="C51" s="11"/>
      <c r="D51" s="12">
        <f ca="1">DAY(IF(DAY(JanSun1)=1,JanSun1+30,JanSun1+37))</f>
        <v>1</v>
      </c>
      <c r="E51" s="13"/>
      <c r="F51" s="10">
        <f ca="1">DAY(IF(DAY(JanSun1)=1,JanSun1+31,JanSun1+38))</f>
        <v>2</v>
      </c>
      <c r="G51" s="13"/>
      <c r="H51" s="12">
        <f ca="1">DAY(IF(DAY(JanSun1)=1,JanSun1+32,JanSun1+39))</f>
        <v>3</v>
      </c>
      <c r="I51" s="13"/>
      <c r="J51" s="12">
        <f ca="1">DAY(IF(DAY(JanSun1)=1,JanSun1+33,JanSun1+40))</f>
        <v>4</v>
      </c>
      <c r="K51" s="13"/>
      <c r="L51" s="12">
        <f ca="1">DAY(IF(DAY(JanSun1)=1,JanSun1+34,JanSun1+41))</f>
        <v>5</v>
      </c>
      <c r="M51" s="13"/>
      <c r="N51" s="12">
        <f ca="1">DAY(IF(DAY(JanSun1)=1,JanSun1+35,JanSun1+42))</f>
        <v>6</v>
      </c>
      <c r="O51" s="13"/>
      <c r="P51" s="25"/>
    </row>
    <row r="52" spans="1:16" ht="11.25" customHeight="1" x14ac:dyDescent="0.2">
      <c r="A52" s="43" t="s">
        <v>50</v>
      </c>
      <c r="B52" s="37" t="s">
        <v>9</v>
      </c>
      <c r="C52" s="39" t="s">
        <v>10</v>
      </c>
      <c r="D52" s="37" t="s">
        <v>9</v>
      </c>
      <c r="E52" s="39" t="s">
        <v>10</v>
      </c>
      <c r="F52" s="37" t="s">
        <v>9</v>
      </c>
      <c r="G52" s="39" t="s">
        <v>10</v>
      </c>
      <c r="H52" s="37" t="s">
        <v>9</v>
      </c>
      <c r="I52" s="39" t="s">
        <v>10</v>
      </c>
      <c r="J52" s="37" t="s">
        <v>9</v>
      </c>
      <c r="K52" s="39" t="s">
        <v>10</v>
      </c>
      <c r="L52" s="37" t="s">
        <v>9</v>
      </c>
      <c r="M52" s="39" t="s">
        <v>10</v>
      </c>
      <c r="N52" s="37" t="s">
        <v>9</v>
      </c>
      <c r="O52" s="40" t="s">
        <v>10</v>
      </c>
      <c r="P52" s="22"/>
    </row>
    <row r="53" spans="1:16" ht="11.25" customHeight="1" x14ac:dyDescent="0.2">
      <c r="A53" s="43" t="s">
        <v>51</v>
      </c>
      <c r="B53" s="17"/>
      <c r="C53" s="71" t="str">
        <f>IFERROR(VLOOKUP(B53,fixed_expenses4[],2,0),"")</f>
        <v/>
      </c>
      <c r="D53" s="17"/>
      <c r="E53" s="71" t="str">
        <f>IFERROR(VLOOKUP(D53,fixed_expenses4[],2,0),"")</f>
        <v/>
      </c>
      <c r="F53" s="17"/>
      <c r="G53" s="71" t="str">
        <f>IFERROR(VLOOKUP(F53,fixed_expenses4[],2,0),"")</f>
        <v/>
      </c>
      <c r="H53" s="17"/>
      <c r="I53" s="71" t="str">
        <f>IFERROR(VLOOKUP(H53,fixed_expenses4[],2,0),"")</f>
        <v/>
      </c>
      <c r="J53" s="17"/>
      <c r="K53" s="71" t="str">
        <f>IFERROR(VLOOKUP(J53,fixed_expenses4[],2,0),"")</f>
        <v/>
      </c>
      <c r="L53" s="17"/>
      <c r="M53" s="71" t="str">
        <f>IFERROR(VLOOKUP(L53,fixed_expenses4[],2,0),"")</f>
        <v/>
      </c>
      <c r="N53" s="17"/>
      <c r="O53" s="71" t="str">
        <f>IFERROR(VLOOKUP(N53,fixed_expenses4[],2,0),"")</f>
        <v/>
      </c>
      <c r="P53" s="22"/>
    </row>
    <row r="54" spans="1:16" ht="11.25" customHeight="1" x14ac:dyDescent="0.2">
      <c r="B54" s="17"/>
      <c r="C54" s="71" t="str">
        <f>IFERROR(VLOOKUP(B54,fixed_expenses4[],2,0),"")</f>
        <v/>
      </c>
      <c r="D54" s="17"/>
      <c r="E54" s="71" t="str">
        <f>IFERROR(VLOOKUP(D54,fixed_expenses4[],2,0),"")</f>
        <v/>
      </c>
      <c r="F54" s="17"/>
      <c r="G54" s="71" t="str">
        <f>IFERROR(VLOOKUP(F54,fixed_expenses4[],2,0),"")</f>
        <v/>
      </c>
      <c r="H54" s="17"/>
      <c r="I54" s="71" t="str">
        <f>IFERROR(VLOOKUP(H54,fixed_expenses4[],2,0),"")</f>
        <v/>
      </c>
      <c r="J54" s="17"/>
      <c r="K54" s="71" t="str">
        <f>IFERROR(VLOOKUP(J54,fixed_expenses4[],2,0),"")</f>
        <v/>
      </c>
      <c r="L54" s="17"/>
      <c r="M54" s="71" t="str">
        <f>IFERROR(VLOOKUP(L54,fixed_expenses4[],2,0),"")</f>
        <v/>
      </c>
      <c r="N54" s="17"/>
      <c r="O54" s="71" t="str">
        <f>IFERROR(VLOOKUP(N54,fixed_expenses4[],2,0),"")</f>
        <v/>
      </c>
      <c r="P54" s="22"/>
    </row>
    <row r="55" spans="1:16" ht="11.25" customHeight="1" x14ac:dyDescent="0.2">
      <c r="B55" s="17"/>
      <c r="C55" s="71" t="str">
        <f>IFERROR(VLOOKUP(B55,fixed_expenses4[],2,0),"")</f>
        <v/>
      </c>
      <c r="D55" s="17"/>
      <c r="E55" s="71" t="str">
        <f>IFERROR(VLOOKUP(D55,fixed_expenses4[],2,0),"")</f>
        <v/>
      </c>
      <c r="F55" s="17"/>
      <c r="G55" s="71" t="str">
        <f>IFERROR(VLOOKUP(F55,fixed_expenses4[],2,0),"")</f>
        <v/>
      </c>
      <c r="H55" s="17"/>
      <c r="I55" s="71" t="str">
        <f>IFERROR(VLOOKUP(H55,fixed_expenses4[],2,0),"")</f>
        <v/>
      </c>
      <c r="J55" s="17"/>
      <c r="K55" s="71" t="str">
        <f>IFERROR(VLOOKUP(J55,fixed_expenses4[],2,0),"")</f>
        <v/>
      </c>
      <c r="L55" s="17"/>
      <c r="M55" s="71" t="str">
        <f>IFERROR(VLOOKUP(L55,fixed_expenses4[],2,0),"")</f>
        <v/>
      </c>
      <c r="N55" s="17"/>
      <c r="O55" s="71" t="str">
        <f>IFERROR(VLOOKUP(N55,fixed_expenses4[],2,0),"")</f>
        <v/>
      </c>
      <c r="P55" s="22"/>
    </row>
    <row r="56" spans="1:16" ht="11.25" customHeight="1" x14ac:dyDescent="0.2">
      <c r="B56" s="17"/>
      <c r="C56" s="71" t="str">
        <f>IFERROR(VLOOKUP(B56,fixed_expenses4[],2,0),"")</f>
        <v/>
      </c>
      <c r="D56" s="17"/>
      <c r="E56" s="71" t="str">
        <f>IFERROR(VLOOKUP(D56,fixed_expenses4[],2,0),"")</f>
        <v/>
      </c>
      <c r="F56" s="17"/>
      <c r="G56" s="71" t="str">
        <f>IFERROR(VLOOKUP(F56,fixed_expenses4[],2,0),"")</f>
        <v/>
      </c>
      <c r="H56" s="17"/>
      <c r="I56" s="71" t="str">
        <f>IFERROR(VLOOKUP(H56,fixed_expenses4[],2,0),"")</f>
        <v/>
      </c>
      <c r="J56" s="17"/>
      <c r="K56" s="71" t="str">
        <f>IFERROR(VLOOKUP(J56,fixed_expenses4[],2,0),"")</f>
        <v/>
      </c>
      <c r="L56" s="17"/>
      <c r="M56" s="71" t="str">
        <f>IFERROR(VLOOKUP(L56,fixed_expenses4[],2,0),"")</f>
        <v/>
      </c>
      <c r="N56" s="17"/>
      <c r="O56" s="71" t="str">
        <f>IFERROR(VLOOKUP(N56,fixed_expenses4[],2,0),"")</f>
        <v/>
      </c>
      <c r="P56" s="22"/>
    </row>
    <row r="57" spans="1:16" ht="11.25" customHeight="1" x14ac:dyDescent="0.2">
      <c r="B57" s="17"/>
      <c r="C57" s="71" t="str">
        <f>IFERROR(VLOOKUP(B57,fixed_expenses4[],2,0),"")</f>
        <v/>
      </c>
      <c r="D57" s="17"/>
      <c r="E57" s="71" t="str">
        <f>IFERROR(VLOOKUP(D57,fixed_expenses4[],2,0),"")</f>
        <v/>
      </c>
      <c r="F57" s="17"/>
      <c r="G57" s="71" t="str">
        <f>IFERROR(VLOOKUP(F57,fixed_expenses4[],2,0),"")</f>
        <v/>
      </c>
      <c r="H57" s="17"/>
      <c r="I57" s="71" t="str">
        <f>IFERROR(VLOOKUP(H57,fixed_expenses4[],2,0),"")</f>
        <v/>
      </c>
      <c r="J57" s="17"/>
      <c r="K57" s="71" t="str">
        <f>IFERROR(VLOOKUP(J57,fixed_expenses4[],2,0),"")</f>
        <v/>
      </c>
      <c r="L57" s="17"/>
      <c r="M57" s="71" t="str">
        <f>IFERROR(VLOOKUP(L57,fixed_expenses4[],2,0),"")</f>
        <v/>
      </c>
      <c r="N57" s="17"/>
      <c r="O57" s="71" t="str">
        <f>IFERROR(VLOOKUP(N57,fixed_expenses4[],2,0),"")</f>
        <v/>
      </c>
      <c r="P57" s="22"/>
    </row>
    <row r="58" spans="1:16" ht="11.25" customHeight="1" x14ac:dyDescent="0.2">
      <c r="A58" s="43" t="s">
        <v>52</v>
      </c>
      <c r="B58" s="26" t="s">
        <v>8</v>
      </c>
      <c r="C58" s="27">
        <f>SUM(C53:C57)</f>
        <v>0</v>
      </c>
      <c r="D58" s="18"/>
      <c r="E58" s="27">
        <f>SUM(E53:E57)</f>
        <v>0</v>
      </c>
      <c r="F58" s="18"/>
      <c r="G58" s="27">
        <f>SUM(G53:G57)</f>
        <v>0</v>
      </c>
      <c r="H58" s="18"/>
      <c r="I58" s="27">
        <f>SUM(I53:I57)</f>
        <v>0</v>
      </c>
      <c r="J58" s="18"/>
      <c r="K58" s="27">
        <f>SUM(K53:K57)</f>
        <v>0</v>
      </c>
      <c r="L58" s="18"/>
      <c r="M58" s="27">
        <f>SUM(M53:M57)</f>
        <v>0</v>
      </c>
      <c r="N58" s="18"/>
      <c r="O58" s="28">
        <f>SUM(O53:O57)</f>
        <v>0</v>
      </c>
      <c r="P58" s="29">
        <f ca="1">SUMIF(B51:N51,"&gt;="&amp;15,C58:O58)</f>
        <v>0</v>
      </c>
    </row>
    <row r="59" spans="1:16" ht="18" customHeight="1" x14ac:dyDescent="0.2">
      <c r="B59" s="6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6"/>
    </row>
    <row r="60" spans="1:16" ht="12" customHeight="1" x14ac:dyDescent="0.2">
      <c r="A60" s="43" t="s">
        <v>53</v>
      </c>
      <c r="B60" s="49" t="s">
        <v>14</v>
      </c>
      <c r="C60" s="49"/>
      <c r="D60" s="49"/>
      <c r="E60" s="49"/>
      <c r="F60"/>
      <c r="G60" s="4"/>
      <c r="H60"/>
      <c r="I60" s="4"/>
      <c r="J60"/>
      <c r="K60" s="4"/>
      <c r="L60" s="45" t="s">
        <v>12</v>
      </c>
      <c r="M60" s="45"/>
      <c r="N60" s="45" t="s">
        <v>13</v>
      </c>
      <c r="O60" s="45"/>
      <c r="P60"/>
    </row>
    <row r="61" spans="1:16" ht="25.5" customHeight="1" x14ac:dyDescent="0.2">
      <c r="A61" s="43" t="s">
        <v>54</v>
      </c>
      <c r="B61" s="49"/>
      <c r="C61" s="49"/>
      <c r="D61" s="49"/>
      <c r="E61" s="49"/>
      <c r="F61" s="3">
        <f ca="1">IFERROR(WEEKDAY(DATEVALUE(B60&amp;" 1, "&amp;Year1)),"")</f>
        <v>2</v>
      </c>
      <c r="G61" s="4"/>
      <c r="H61"/>
      <c r="I61" s="7"/>
      <c r="J61" s="8"/>
      <c r="K61" s="4"/>
      <c r="L61" s="46">
        <f ca="1">SUM(P71,P80,P89,P98,P107,P116)</f>
        <v>4740</v>
      </c>
      <c r="M61" s="47"/>
      <c r="N61" s="46">
        <f ca="1">SUM(P:P)</f>
        <v>62420</v>
      </c>
      <c r="O61" s="48"/>
      <c r="P61"/>
    </row>
    <row r="62" spans="1:16" ht="9" customHeight="1" x14ac:dyDescent="0.2">
      <c r="A62" s="43" t="s">
        <v>347</v>
      </c>
      <c r="B62" s="50">
        <v>1</v>
      </c>
      <c r="C62" s="50"/>
      <c r="D62" s="50">
        <v>2</v>
      </c>
      <c r="E62" s="50"/>
      <c r="F62" s="50">
        <v>3</v>
      </c>
      <c r="G62" s="50"/>
      <c r="H62" s="50">
        <v>4</v>
      </c>
      <c r="I62" s="50"/>
      <c r="J62" s="50">
        <v>5</v>
      </c>
      <c r="K62" s="50"/>
      <c r="L62" s="50">
        <v>6</v>
      </c>
      <c r="M62" s="50"/>
      <c r="N62" s="50">
        <v>7</v>
      </c>
      <c r="O62" s="50"/>
      <c r="P62" s="2"/>
    </row>
    <row r="63" spans="1:16" ht="15" customHeight="1" x14ac:dyDescent="0.2">
      <c r="A63" s="43" t="s">
        <v>55</v>
      </c>
      <c r="B63" s="51" t="s">
        <v>0</v>
      </c>
      <c r="C63" s="52"/>
      <c r="D63" s="53" t="s">
        <v>1</v>
      </c>
      <c r="E63" s="54" t="e">
        <f ca="1">IF(WEEKDAY(DATEVALUE(Month1&amp;" 1, "&amp;Year1))=COLUMN(#REF!),1,IF(LEN(C63)&gt;0,C63+1,""))</f>
        <v>#VALUE!</v>
      </c>
      <c r="F63" s="52" t="s">
        <v>2</v>
      </c>
      <c r="G63" s="52" t="e">
        <f ca="1">IF(WEEKDAY(DATEVALUE(Month1&amp;" 1, "&amp;Year1))=COLUMN(#REF!),1,IF(LEN(E63)&gt;0,E63+1,""))</f>
        <v>#VALUE!</v>
      </c>
      <c r="H63" s="53" t="s">
        <v>3</v>
      </c>
      <c r="I63" s="54" t="e">
        <f ca="1">IF(WEEKDAY(DATEVALUE(Month1&amp;" 1, "&amp;Year1))=COLUMN(#REF!),1,IF(LEN(G63)&gt;0,G63+1,""))</f>
        <v>#VALUE!</v>
      </c>
      <c r="J63" s="55" t="s">
        <v>4</v>
      </c>
      <c r="K63" s="56" t="e">
        <f ca="1">IF(WEEKDAY(DATEVALUE(Month1&amp;" 1, "&amp;Year1))=COLUMN(#REF!),1,IF(LEN(I63)&gt;0,I63+1,""))</f>
        <v>#VALUE!</v>
      </c>
      <c r="L63" s="57" t="s">
        <v>5</v>
      </c>
      <c r="M63" s="58" t="e">
        <f ca="1">IF(WEEKDAY(DATEVALUE(Month1&amp;" 1, "&amp;Year1))=COLUMN(#REF!),1,IF(LEN(K63)&gt;0,K63+1,""))</f>
        <v>#VALUE!</v>
      </c>
      <c r="N63" s="57" t="s">
        <v>6</v>
      </c>
      <c r="O63" s="58" t="e">
        <f ca="1">IF(WEEKDAY(DATEVALUE(Month1&amp;" 1, "&amp;Year1))=COLUMN(#REF!),1,IF(LEN(M63)&gt;0,M63+1,""))</f>
        <v>#VALUE!</v>
      </c>
      <c r="P63" s="34" t="s">
        <v>7</v>
      </c>
    </row>
    <row r="64" spans="1:16" ht="15" customHeight="1" x14ac:dyDescent="0.2">
      <c r="A64" s="43" t="s">
        <v>56</v>
      </c>
      <c r="B64" s="14">
        <f ca="1">DAY(IF(DAY(FebSun1)=1,FebSun1-6,FebSun1+1))</f>
        <v>31</v>
      </c>
      <c r="C64" s="16"/>
      <c r="D64" s="19">
        <f ca="1">DAY(IF(DAY(FebSun1)=1,FebSun1-5,FebSun1+2))</f>
        <v>1</v>
      </c>
      <c r="E64" s="16"/>
      <c r="F64" s="19">
        <f ca="1">DAY(IF(DAY(FebSun1)=1,FebSun1-4,FebSun1+3))</f>
        <v>2</v>
      </c>
      <c r="G64" s="16"/>
      <c r="H64" s="19">
        <f ca="1">DAY(IF(DAY(FebSun1)=1,FebSun1-3,FebSun1+4))</f>
        <v>3</v>
      </c>
      <c r="I64" s="16"/>
      <c r="J64" s="19">
        <f ca="1">DAY(IF(DAY(FebSun1)=1,FebSun1-2,FebSun1+5))</f>
        <v>4</v>
      </c>
      <c r="K64" s="16"/>
      <c r="L64" s="19">
        <f ca="1">DAY(IF(DAY(FebSun1)=1,FebSun1-1,FebSun1+6))</f>
        <v>5</v>
      </c>
      <c r="M64" s="16"/>
      <c r="N64" s="20">
        <f ca="1">DAY(IF(DAY(FebSun1)=1,FebSun1,FebSun1+7))</f>
        <v>6</v>
      </c>
      <c r="O64" s="15"/>
      <c r="P64" s="21"/>
    </row>
    <row r="65" spans="1:16" ht="11.25" customHeight="1" x14ac:dyDescent="0.2">
      <c r="A65" s="43" t="s">
        <v>57</v>
      </c>
      <c r="B65" s="41" t="s">
        <v>9</v>
      </c>
      <c r="C65" s="36" t="s">
        <v>10</v>
      </c>
      <c r="D65" s="35" t="s">
        <v>9</v>
      </c>
      <c r="E65" s="36" t="s">
        <v>10</v>
      </c>
      <c r="F65" s="35" t="s">
        <v>9</v>
      </c>
      <c r="G65" s="36" t="s">
        <v>10</v>
      </c>
      <c r="H65" s="35" t="s">
        <v>9</v>
      </c>
      <c r="I65" s="36" t="s">
        <v>10</v>
      </c>
      <c r="J65" s="35" t="s">
        <v>9</v>
      </c>
      <c r="K65" s="36" t="s">
        <v>10</v>
      </c>
      <c r="L65" s="35" t="s">
        <v>9</v>
      </c>
      <c r="M65" s="36" t="s">
        <v>10</v>
      </c>
      <c r="N65" s="37" t="s">
        <v>9</v>
      </c>
      <c r="O65" s="38" t="s">
        <v>10</v>
      </c>
      <c r="P65" s="22"/>
    </row>
    <row r="66" spans="1:16" ht="11.25" customHeight="1" x14ac:dyDescent="0.2">
      <c r="A66" s="43" t="s">
        <v>58</v>
      </c>
      <c r="B66" s="17"/>
      <c r="C66" s="71" t="str">
        <f>IFERROR(VLOOKUP(B66,fixed_expenses4[],2,0),"")</f>
        <v/>
      </c>
      <c r="D66" s="17"/>
      <c r="E66" s="71" t="str">
        <f>IFERROR(VLOOKUP(D66,fixed_expenses4[],2,0),"")</f>
        <v/>
      </c>
      <c r="F66" s="17"/>
      <c r="G66" s="71" t="str">
        <f>IFERROR(VLOOKUP(F66,fixed_expenses4[],2,0),"")</f>
        <v/>
      </c>
      <c r="H66" s="17"/>
      <c r="I66" s="71" t="str">
        <f>IFERROR(VLOOKUP(H66,fixed_expenses4[],2,0),"")</f>
        <v/>
      </c>
      <c r="J66" s="17"/>
      <c r="K66" s="71" t="str">
        <f>IFERROR(VLOOKUP(J66,fixed_expenses4[],2,0),"")</f>
        <v/>
      </c>
      <c r="L66" s="17" t="s">
        <v>387</v>
      </c>
      <c r="M66" s="71">
        <f>IFERROR(VLOOKUP(L66,fixed_expenses4[],2,0),"")</f>
        <v>800</v>
      </c>
      <c r="N66" s="17"/>
      <c r="O66" s="71" t="str">
        <f>IFERROR(VLOOKUP(N66,fixed_expenses4[],2,0),"")</f>
        <v/>
      </c>
      <c r="P66" s="22"/>
    </row>
    <row r="67" spans="1:16" x14ac:dyDescent="0.2">
      <c r="B67" s="17"/>
      <c r="C67" s="71" t="str">
        <f>IFERROR(VLOOKUP(B67,fixed_expenses4[],2,0),"")</f>
        <v/>
      </c>
      <c r="D67" s="17"/>
      <c r="E67" s="71" t="str">
        <f>IFERROR(VLOOKUP(D67,fixed_expenses4[],2,0),"")</f>
        <v/>
      </c>
      <c r="F67" s="17"/>
      <c r="G67" s="71" t="str">
        <f>IFERROR(VLOOKUP(F67,fixed_expenses4[],2,0),"")</f>
        <v/>
      </c>
      <c r="H67" s="17"/>
      <c r="I67" s="71" t="str">
        <f>IFERROR(VLOOKUP(H67,fixed_expenses4[],2,0),"")</f>
        <v/>
      </c>
      <c r="J67" s="17"/>
      <c r="K67" s="71" t="str">
        <f>IFERROR(VLOOKUP(J67,fixed_expenses4[],2,0),"")</f>
        <v/>
      </c>
      <c r="L67" s="80" t="s">
        <v>388</v>
      </c>
      <c r="M67" s="71">
        <f>IFERROR(VLOOKUP(L67,fixed_expenses4[],2,0),"")</f>
        <v>770</v>
      </c>
      <c r="N67" s="17"/>
      <c r="O67" s="71" t="str">
        <f>IFERROR(VLOOKUP(N67,fixed_expenses4[],2,0),"")</f>
        <v/>
      </c>
      <c r="P67" s="22"/>
    </row>
    <row r="68" spans="1:16" x14ac:dyDescent="0.2">
      <c r="B68" s="17"/>
      <c r="C68" s="71" t="str">
        <f>IFERROR(VLOOKUP(B68,fixed_expenses4[],2,0),"")</f>
        <v/>
      </c>
      <c r="D68" s="17"/>
      <c r="E68" s="71" t="str">
        <f>IFERROR(VLOOKUP(D68,fixed_expenses4[],2,0),"")</f>
        <v/>
      </c>
      <c r="F68" s="17"/>
      <c r="G68" s="71" t="str">
        <f>IFERROR(VLOOKUP(F68,fixed_expenses4[],2,0),"")</f>
        <v/>
      </c>
      <c r="H68" s="17"/>
      <c r="I68" s="71" t="str">
        <f>IFERROR(VLOOKUP(H68,fixed_expenses4[],2,0),"")</f>
        <v/>
      </c>
      <c r="J68" s="17"/>
      <c r="K68" s="71" t="str">
        <f>IFERROR(VLOOKUP(J68,fixed_expenses4[],2,0),"")</f>
        <v/>
      </c>
      <c r="L68" s="17"/>
      <c r="M68" s="71" t="str">
        <f>IFERROR(VLOOKUP(L68,fixed_expenses4[],2,0),"")</f>
        <v/>
      </c>
      <c r="N68" s="17"/>
      <c r="O68" s="71" t="str">
        <f>IFERROR(VLOOKUP(N68,fixed_expenses4[],2,0),"")</f>
        <v/>
      </c>
      <c r="P68" s="22"/>
    </row>
    <row r="69" spans="1:16" x14ac:dyDescent="0.2">
      <c r="B69" s="17"/>
      <c r="C69" s="71" t="str">
        <f>IFERROR(VLOOKUP(B69,fixed_expenses4[],2,0),"")</f>
        <v/>
      </c>
      <c r="D69" s="17"/>
      <c r="E69" s="71" t="str">
        <f>IFERROR(VLOOKUP(D69,fixed_expenses4[],2,0),"")</f>
        <v/>
      </c>
      <c r="F69" s="17"/>
      <c r="G69" s="71" t="str">
        <f>IFERROR(VLOOKUP(F69,fixed_expenses4[],2,0),"")</f>
        <v/>
      </c>
      <c r="H69" s="17"/>
      <c r="I69" s="71" t="str">
        <f>IFERROR(VLOOKUP(H69,fixed_expenses4[],2,0),"")</f>
        <v/>
      </c>
      <c r="J69" s="17"/>
      <c r="K69" s="71" t="str">
        <f>IFERROR(VLOOKUP(J69,fixed_expenses4[],2,0),"")</f>
        <v/>
      </c>
      <c r="L69" s="17"/>
      <c r="M69" s="71" t="str">
        <f>IFERROR(VLOOKUP(L69,fixed_expenses4[],2,0),"")</f>
        <v/>
      </c>
      <c r="N69" s="17"/>
      <c r="O69" s="71" t="str">
        <f>IFERROR(VLOOKUP(N69,fixed_expenses4[],2,0),"")</f>
        <v/>
      </c>
      <c r="P69" s="22"/>
    </row>
    <row r="70" spans="1:16" x14ac:dyDescent="0.2">
      <c r="B70" s="17"/>
      <c r="C70" s="71" t="str">
        <f>IFERROR(VLOOKUP(B70,fixed_expenses4[],2,0),"")</f>
        <v/>
      </c>
      <c r="D70" s="17"/>
      <c r="E70" s="71" t="str">
        <f>IFERROR(VLOOKUP(D70,fixed_expenses4[],2,0),"")</f>
        <v/>
      </c>
      <c r="F70" s="17"/>
      <c r="G70" s="71" t="str">
        <f>IFERROR(VLOOKUP(F70,fixed_expenses4[],2,0),"")</f>
        <v/>
      </c>
      <c r="H70" s="17"/>
      <c r="I70" s="71" t="str">
        <f>IFERROR(VLOOKUP(H70,fixed_expenses4[],2,0),"")</f>
        <v/>
      </c>
      <c r="J70" s="17"/>
      <c r="K70" s="71" t="str">
        <f>IFERROR(VLOOKUP(J70,fixed_expenses4[],2,0),"")</f>
        <v/>
      </c>
      <c r="L70" s="17"/>
      <c r="M70" s="71" t="str">
        <f>IFERROR(VLOOKUP(L70,fixed_expenses4[],2,0),"")</f>
        <v/>
      </c>
      <c r="N70" s="17"/>
      <c r="O70" s="71" t="str">
        <f>IFERROR(VLOOKUP(N70,fixed_expenses4[],2,0),"")</f>
        <v/>
      </c>
      <c r="P70" s="22"/>
    </row>
    <row r="71" spans="1:16" ht="11.25" customHeight="1" x14ac:dyDescent="0.2">
      <c r="A71" s="43" t="s">
        <v>59</v>
      </c>
      <c r="B71" s="26" t="s">
        <v>8</v>
      </c>
      <c r="C71" s="27">
        <f>SUM(C66:C70)</f>
        <v>0</v>
      </c>
      <c r="D71" s="18"/>
      <c r="E71" s="27">
        <f>SUM(E66:E70)</f>
        <v>0</v>
      </c>
      <c r="F71" s="18"/>
      <c r="G71" s="27">
        <f>SUM(G66:G70)</f>
        <v>0</v>
      </c>
      <c r="H71" s="18"/>
      <c r="I71" s="27">
        <f>SUM(I66:I70)</f>
        <v>0</v>
      </c>
      <c r="J71" s="26"/>
      <c r="K71" s="27">
        <f>SUM(K66:K70)</f>
        <v>0</v>
      </c>
      <c r="L71" s="26"/>
      <c r="M71" s="27">
        <f>SUM(M66:M70)</f>
        <v>1570</v>
      </c>
      <c r="N71" s="26"/>
      <c r="O71" s="28">
        <f>SUM(O66:O70)</f>
        <v>0</v>
      </c>
      <c r="P71" s="29">
        <f ca="1">SUMIF(B64:N64,"&lt;8",C71:O71)</f>
        <v>1570</v>
      </c>
    </row>
    <row r="72" spans="1:16" x14ac:dyDescent="0.2">
      <c r="B72" s="6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6"/>
    </row>
    <row r="73" spans="1:16" ht="15" customHeight="1" x14ac:dyDescent="0.2">
      <c r="A73" s="43" t="s">
        <v>60</v>
      </c>
      <c r="B73" s="12">
        <f ca="1">N64+1</f>
        <v>7</v>
      </c>
      <c r="C73" s="13"/>
      <c r="D73" s="12">
        <f ca="1">B73+1</f>
        <v>8</v>
      </c>
      <c r="E73" s="13"/>
      <c r="F73" s="12">
        <f ca="1">D73+1</f>
        <v>9</v>
      </c>
      <c r="G73" s="13"/>
      <c r="H73" s="12">
        <f ca="1">F73+1</f>
        <v>10</v>
      </c>
      <c r="I73" s="13"/>
      <c r="J73" s="12">
        <f ca="1">H73+1</f>
        <v>11</v>
      </c>
      <c r="K73" s="13"/>
      <c r="L73" s="12">
        <f ca="1">J73+1</f>
        <v>12</v>
      </c>
      <c r="M73" s="13"/>
      <c r="N73" s="12">
        <f ca="1">L73+1</f>
        <v>13</v>
      </c>
      <c r="O73" s="13"/>
      <c r="P73" s="23"/>
    </row>
    <row r="74" spans="1:16" ht="11.25" customHeight="1" x14ac:dyDescent="0.2">
      <c r="A74" s="43" t="s">
        <v>61</v>
      </c>
      <c r="B74" s="37" t="s">
        <v>9</v>
      </c>
      <c r="C74" s="39" t="s">
        <v>10</v>
      </c>
      <c r="D74" s="37" t="s">
        <v>9</v>
      </c>
      <c r="E74" s="39" t="s">
        <v>10</v>
      </c>
      <c r="F74" s="37" t="s">
        <v>9</v>
      </c>
      <c r="G74" s="39" t="s">
        <v>10</v>
      </c>
      <c r="H74" s="37" t="s">
        <v>9</v>
      </c>
      <c r="I74" s="39" t="s">
        <v>10</v>
      </c>
      <c r="J74" s="37" t="s">
        <v>9</v>
      </c>
      <c r="K74" s="39" t="s">
        <v>10</v>
      </c>
      <c r="L74" s="37" t="s">
        <v>9</v>
      </c>
      <c r="M74" s="39" t="s">
        <v>10</v>
      </c>
      <c r="N74" s="37" t="s">
        <v>9</v>
      </c>
      <c r="O74" s="40" t="s">
        <v>10</v>
      </c>
      <c r="P74" s="22"/>
    </row>
    <row r="75" spans="1:16" ht="11.25" customHeight="1" x14ac:dyDescent="0.2">
      <c r="A75" s="43" t="s">
        <v>62</v>
      </c>
      <c r="B75" s="17"/>
      <c r="C75" s="71" t="str">
        <f>IFERROR(VLOOKUP(B75,fixed_expenses4[],2,0),"")</f>
        <v/>
      </c>
      <c r="D75" s="17"/>
      <c r="E75" s="71" t="str">
        <f>IFERROR(VLOOKUP(D75,fixed_expenses4[],2,0),"")</f>
        <v/>
      </c>
      <c r="F75" s="17"/>
      <c r="G75" s="71" t="str">
        <f>IFERROR(VLOOKUP(F75,fixed_expenses4[],2,0),"")</f>
        <v/>
      </c>
      <c r="H75" s="17"/>
      <c r="I75" s="71" t="str">
        <f>IFERROR(VLOOKUP(H75,fixed_expenses4[],2,0),"")</f>
        <v/>
      </c>
      <c r="J75" s="17"/>
      <c r="K75" s="71" t="str">
        <f>IFERROR(VLOOKUP(J75,fixed_expenses4[],2,0),"")</f>
        <v/>
      </c>
      <c r="L75" s="17" t="s">
        <v>387</v>
      </c>
      <c r="M75" s="71">
        <f>IFERROR(VLOOKUP(L75,fixed_expenses4[],2,0),"")</f>
        <v>800</v>
      </c>
      <c r="N75" s="17"/>
      <c r="O75" s="71" t="str">
        <f>IFERROR(VLOOKUP(N75,fixed_expenses4[],2,0),"")</f>
        <v/>
      </c>
      <c r="P75" s="22"/>
    </row>
    <row r="76" spans="1:16" x14ac:dyDescent="0.2">
      <c r="B76" s="17"/>
      <c r="C76" s="71" t="str">
        <f>IFERROR(VLOOKUP(B76,fixed_expenses4[],2,0),"")</f>
        <v/>
      </c>
      <c r="D76" s="17"/>
      <c r="E76" s="71" t="str">
        <f>IFERROR(VLOOKUP(D76,fixed_expenses4[],2,0),"")</f>
        <v/>
      </c>
      <c r="F76" s="17"/>
      <c r="G76" s="71" t="str">
        <f>IFERROR(VLOOKUP(F76,fixed_expenses4[],2,0),"")</f>
        <v/>
      </c>
      <c r="H76" s="17"/>
      <c r="I76" s="71" t="str">
        <f>IFERROR(VLOOKUP(H76,fixed_expenses4[],2,0),"")</f>
        <v/>
      </c>
      <c r="J76" s="17"/>
      <c r="K76" s="71" t="str">
        <f>IFERROR(VLOOKUP(J76,fixed_expenses4[],2,0),"")</f>
        <v/>
      </c>
      <c r="L76" s="17"/>
      <c r="M76" s="71" t="str">
        <f>IFERROR(VLOOKUP(L76,fixed_expenses4[],2,0),"")</f>
        <v/>
      </c>
      <c r="N76" s="17"/>
      <c r="O76" s="71" t="str">
        <f>IFERROR(VLOOKUP(N76,fixed_expenses4[],2,0),"")</f>
        <v/>
      </c>
      <c r="P76" s="22"/>
    </row>
    <row r="77" spans="1:16" x14ac:dyDescent="0.2">
      <c r="B77" s="17"/>
      <c r="C77" s="71" t="str">
        <f>IFERROR(VLOOKUP(B77,fixed_expenses4[],2,0),"")</f>
        <v/>
      </c>
      <c r="D77" s="17"/>
      <c r="E77" s="71" t="str">
        <f>IFERROR(VLOOKUP(D77,fixed_expenses4[],2,0),"")</f>
        <v/>
      </c>
      <c r="F77" s="17"/>
      <c r="G77" s="71" t="str">
        <f>IFERROR(VLOOKUP(F77,fixed_expenses4[],2,0),"")</f>
        <v/>
      </c>
      <c r="H77" s="17"/>
      <c r="I77" s="71" t="str">
        <f>IFERROR(VLOOKUP(H77,fixed_expenses4[],2,0),"")</f>
        <v/>
      </c>
      <c r="J77" s="17"/>
      <c r="K77" s="71" t="str">
        <f>IFERROR(VLOOKUP(J77,fixed_expenses4[],2,0),"")</f>
        <v/>
      </c>
      <c r="L77" s="17"/>
      <c r="M77" s="71" t="str">
        <f>IFERROR(VLOOKUP(L77,fixed_expenses4[],2,0),"")</f>
        <v/>
      </c>
      <c r="N77" s="17"/>
      <c r="O77" s="71" t="str">
        <f>IFERROR(VLOOKUP(N77,fixed_expenses4[],2,0),"")</f>
        <v/>
      </c>
      <c r="P77" s="22"/>
    </row>
    <row r="78" spans="1:16" x14ac:dyDescent="0.2">
      <c r="B78" s="17"/>
      <c r="C78" s="71" t="str">
        <f>IFERROR(VLOOKUP(B78,fixed_expenses4[],2,0),"")</f>
        <v/>
      </c>
      <c r="D78" s="17"/>
      <c r="E78" s="71" t="str">
        <f>IFERROR(VLOOKUP(D78,fixed_expenses4[],2,0),"")</f>
        <v/>
      </c>
      <c r="F78" s="17"/>
      <c r="G78" s="71" t="str">
        <f>IFERROR(VLOOKUP(F78,fixed_expenses4[],2,0),"")</f>
        <v/>
      </c>
      <c r="H78" s="17"/>
      <c r="I78" s="71" t="str">
        <f>IFERROR(VLOOKUP(H78,fixed_expenses4[],2,0),"")</f>
        <v/>
      </c>
      <c r="J78" s="17"/>
      <c r="K78" s="71" t="str">
        <f>IFERROR(VLOOKUP(J78,fixed_expenses4[],2,0),"")</f>
        <v/>
      </c>
      <c r="L78" s="17"/>
      <c r="M78" s="71" t="str">
        <f>IFERROR(VLOOKUP(L78,fixed_expenses4[],2,0),"")</f>
        <v/>
      </c>
      <c r="N78" s="17"/>
      <c r="O78" s="71" t="str">
        <f>IFERROR(VLOOKUP(N78,fixed_expenses4[],2,0),"")</f>
        <v/>
      </c>
      <c r="P78" s="22"/>
    </row>
    <row r="79" spans="1:16" x14ac:dyDescent="0.2">
      <c r="B79" s="17"/>
      <c r="C79" s="71" t="str">
        <f>IFERROR(VLOOKUP(B79,fixed_expenses4[],2,0),"")</f>
        <v/>
      </c>
      <c r="D79" s="17"/>
      <c r="E79" s="71" t="str">
        <f>IFERROR(VLOOKUP(D79,fixed_expenses4[],2,0),"")</f>
        <v/>
      </c>
      <c r="F79" s="17"/>
      <c r="G79" s="71" t="str">
        <f>IFERROR(VLOOKUP(F79,fixed_expenses4[],2,0),"")</f>
        <v/>
      </c>
      <c r="H79" s="17"/>
      <c r="I79" s="71" t="str">
        <f>IFERROR(VLOOKUP(H79,fixed_expenses4[],2,0),"")</f>
        <v/>
      </c>
      <c r="J79" s="17"/>
      <c r="K79" s="71" t="str">
        <f>IFERROR(VLOOKUP(J79,fixed_expenses4[],2,0),"")</f>
        <v/>
      </c>
      <c r="L79" s="17"/>
      <c r="M79" s="71" t="str">
        <f>IFERROR(VLOOKUP(L79,fixed_expenses4[],2,0),"")</f>
        <v/>
      </c>
      <c r="N79" s="17"/>
      <c r="O79" s="71" t="str">
        <f>IFERROR(VLOOKUP(N79,fixed_expenses4[],2,0),"")</f>
        <v/>
      </c>
      <c r="P79" s="22"/>
    </row>
    <row r="80" spans="1:16" ht="11.25" customHeight="1" x14ac:dyDescent="0.2">
      <c r="A80" s="43" t="s">
        <v>63</v>
      </c>
      <c r="B80" s="26" t="s">
        <v>8</v>
      </c>
      <c r="C80" s="27">
        <f>SUM(C75:C79)</f>
        <v>0</v>
      </c>
      <c r="D80" s="26"/>
      <c r="E80" s="27">
        <f>SUM(E75:E79)</f>
        <v>0</v>
      </c>
      <c r="F80" s="26"/>
      <c r="G80" s="27">
        <f>SUM(G75:G79)</f>
        <v>0</v>
      </c>
      <c r="H80" s="26"/>
      <c r="I80" s="27">
        <f>SUM(I75:I79)</f>
        <v>0</v>
      </c>
      <c r="J80" s="26"/>
      <c r="K80" s="27">
        <f>SUM(K75:K79)</f>
        <v>0</v>
      </c>
      <c r="L80" s="26"/>
      <c r="M80" s="27">
        <f>SUM(M75:M79)</f>
        <v>800</v>
      </c>
      <c r="N80" s="26"/>
      <c r="O80" s="28">
        <f>SUM(O75:O79)</f>
        <v>0</v>
      </c>
      <c r="P80" s="29">
        <f>SUM(C80,E80,G80,I80,K80,M80,O80)</f>
        <v>800</v>
      </c>
    </row>
    <row r="81" spans="1:16" x14ac:dyDescent="0.2">
      <c r="B81" s="6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6"/>
    </row>
    <row r="82" spans="1:16" ht="15" customHeight="1" x14ac:dyDescent="0.2">
      <c r="A82" s="43" t="s">
        <v>64</v>
      </c>
      <c r="B82" s="12">
        <f ca="1">N73+1</f>
        <v>14</v>
      </c>
      <c r="C82" s="13"/>
      <c r="D82" s="12">
        <f ca="1">B82+1</f>
        <v>15</v>
      </c>
      <c r="E82" s="13"/>
      <c r="F82" s="12">
        <f ca="1">D82+1</f>
        <v>16</v>
      </c>
      <c r="G82" s="13"/>
      <c r="H82" s="12">
        <f ca="1">F82+1</f>
        <v>17</v>
      </c>
      <c r="I82" s="13"/>
      <c r="J82" s="12">
        <f ca="1">H82+1</f>
        <v>18</v>
      </c>
      <c r="K82" s="13"/>
      <c r="L82" s="12">
        <f ca="1">J82+1</f>
        <v>19</v>
      </c>
      <c r="M82" s="13"/>
      <c r="N82" s="12">
        <f ca="1">L82+1</f>
        <v>20</v>
      </c>
      <c r="O82" s="13"/>
      <c r="P82" s="24"/>
    </row>
    <row r="83" spans="1:16" ht="11.25" customHeight="1" x14ac:dyDescent="0.2">
      <c r="A83" s="43" t="s">
        <v>65</v>
      </c>
      <c r="B83" s="37" t="s">
        <v>9</v>
      </c>
      <c r="C83" s="39" t="s">
        <v>10</v>
      </c>
      <c r="D83" s="37" t="s">
        <v>9</v>
      </c>
      <c r="E83" s="39" t="s">
        <v>10</v>
      </c>
      <c r="F83" s="37" t="s">
        <v>9</v>
      </c>
      <c r="G83" s="39" t="s">
        <v>10</v>
      </c>
      <c r="H83" s="37" t="s">
        <v>9</v>
      </c>
      <c r="I83" s="39" t="s">
        <v>10</v>
      </c>
      <c r="J83" s="37" t="s">
        <v>9</v>
      </c>
      <c r="K83" s="39" t="s">
        <v>10</v>
      </c>
      <c r="L83" s="37" t="s">
        <v>9</v>
      </c>
      <c r="M83" s="39" t="s">
        <v>10</v>
      </c>
      <c r="N83" s="37" t="s">
        <v>9</v>
      </c>
      <c r="O83" s="40" t="s">
        <v>10</v>
      </c>
      <c r="P83" s="22"/>
    </row>
    <row r="84" spans="1:16" ht="11.25" customHeight="1" x14ac:dyDescent="0.2">
      <c r="A84" s="43" t="s">
        <v>66</v>
      </c>
      <c r="B84" s="17"/>
      <c r="C84" s="71" t="str">
        <f>IFERROR(VLOOKUP(B84,fixed_expenses4[],2,0),"")</f>
        <v/>
      </c>
      <c r="D84" s="17"/>
      <c r="E84" s="71" t="str">
        <f>IFERROR(VLOOKUP(D84,fixed_expenses4[],2,0),"")</f>
        <v/>
      </c>
      <c r="F84" s="17"/>
      <c r="G84" s="71" t="str">
        <f>IFERROR(VLOOKUP(F84,fixed_expenses4[],2,0),"")</f>
        <v/>
      </c>
      <c r="H84" s="17"/>
      <c r="I84" s="71" t="str">
        <f>IFERROR(VLOOKUP(H84,fixed_expenses4[],2,0),"")</f>
        <v/>
      </c>
      <c r="J84" s="17"/>
      <c r="K84" s="71" t="str">
        <f>IFERROR(VLOOKUP(J84,fixed_expenses4[],2,0),"")</f>
        <v/>
      </c>
      <c r="L84" s="17" t="s">
        <v>387</v>
      </c>
      <c r="M84" s="71">
        <f>IFERROR(VLOOKUP(L84,fixed_expenses4[],2,0),"")</f>
        <v>800</v>
      </c>
      <c r="N84" s="17"/>
      <c r="O84" s="71" t="str">
        <f>IFERROR(VLOOKUP(N84,fixed_expenses4[],2,0),"")</f>
        <v/>
      </c>
      <c r="P84" s="22"/>
    </row>
    <row r="85" spans="1:16" ht="11.25" customHeight="1" x14ac:dyDescent="0.2">
      <c r="B85" s="17"/>
      <c r="C85" s="71" t="str">
        <f>IFERROR(VLOOKUP(B85,fixed_expenses4[],2,0),"")</f>
        <v/>
      </c>
      <c r="D85" s="17"/>
      <c r="E85" s="71" t="str">
        <f>IFERROR(VLOOKUP(D85,fixed_expenses4[],2,0),"")</f>
        <v/>
      </c>
      <c r="F85" s="17"/>
      <c r="G85" s="71" t="str">
        <f>IFERROR(VLOOKUP(F85,fixed_expenses4[],2,0),"")</f>
        <v/>
      </c>
      <c r="H85" s="17"/>
      <c r="I85" s="71" t="str">
        <f>IFERROR(VLOOKUP(H85,fixed_expenses4[],2,0),"")</f>
        <v/>
      </c>
      <c r="J85" s="17"/>
      <c r="K85" s="71" t="str">
        <f>IFERROR(VLOOKUP(J85,fixed_expenses4[],2,0),"")</f>
        <v/>
      </c>
      <c r="L85" s="80" t="s">
        <v>388</v>
      </c>
      <c r="M85" s="71">
        <f>IFERROR(VLOOKUP(L85,fixed_expenses4[],2,0),"")</f>
        <v>770</v>
      </c>
      <c r="N85" s="17"/>
      <c r="O85" s="71" t="str">
        <f>IFERROR(VLOOKUP(N85,fixed_expenses4[],2,0),"")</f>
        <v/>
      </c>
      <c r="P85" s="22"/>
    </row>
    <row r="86" spans="1:16" ht="11.25" customHeight="1" x14ac:dyDescent="0.2">
      <c r="B86" s="17"/>
      <c r="C86" s="71" t="str">
        <f>IFERROR(VLOOKUP(B86,fixed_expenses4[],2,0),"")</f>
        <v/>
      </c>
      <c r="D86" s="17"/>
      <c r="E86" s="71" t="str">
        <f>IFERROR(VLOOKUP(D86,fixed_expenses4[],2,0),"")</f>
        <v/>
      </c>
      <c r="F86" s="17"/>
      <c r="G86" s="71" t="str">
        <f>IFERROR(VLOOKUP(F86,fixed_expenses4[],2,0),"")</f>
        <v/>
      </c>
      <c r="H86" s="17"/>
      <c r="I86" s="71" t="str">
        <f>IFERROR(VLOOKUP(H86,fixed_expenses4[],2,0),"")</f>
        <v/>
      </c>
      <c r="J86" s="17"/>
      <c r="K86" s="71" t="str">
        <f>IFERROR(VLOOKUP(J86,fixed_expenses4[],2,0),"")</f>
        <v/>
      </c>
      <c r="L86" s="17"/>
      <c r="M86" s="71" t="str">
        <f>IFERROR(VLOOKUP(L86,fixed_expenses4[],2,0),"")</f>
        <v/>
      </c>
      <c r="N86" s="17"/>
      <c r="O86" s="71" t="str">
        <f>IFERROR(VLOOKUP(N86,fixed_expenses4[],2,0),"")</f>
        <v/>
      </c>
      <c r="P86" s="22"/>
    </row>
    <row r="87" spans="1:16" ht="11.25" customHeight="1" x14ac:dyDescent="0.2">
      <c r="B87" s="17"/>
      <c r="C87" s="71" t="str">
        <f>IFERROR(VLOOKUP(B87,fixed_expenses4[],2,0),"")</f>
        <v/>
      </c>
      <c r="D87" s="17"/>
      <c r="E87" s="71" t="str">
        <f>IFERROR(VLOOKUP(D87,fixed_expenses4[],2,0),"")</f>
        <v/>
      </c>
      <c r="F87" s="17"/>
      <c r="G87" s="71" t="str">
        <f>IFERROR(VLOOKUP(F87,fixed_expenses4[],2,0),"")</f>
        <v/>
      </c>
      <c r="H87" s="17"/>
      <c r="I87" s="71" t="str">
        <f>IFERROR(VLOOKUP(H87,fixed_expenses4[],2,0),"")</f>
        <v/>
      </c>
      <c r="J87" s="17"/>
      <c r="K87" s="71" t="str">
        <f>IFERROR(VLOOKUP(J87,fixed_expenses4[],2,0),"")</f>
        <v/>
      </c>
      <c r="L87" s="17"/>
      <c r="M87" s="71" t="str">
        <f>IFERROR(VLOOKUP(L87,fixed_expenses4[],2,0),"")</f>
        <v/>
      </c>
      <c r="N87" s="17"/>
      <c r="O87" s="71" t="str">
        <f>IFERROR(VLOOKUP(N87,fixed_expenses4[],2,0),"")</f>
        <v/>
      </c>
      <c r="P87" s="22"/>
    </row>
    <row r="88" spans="1:16" ht="11.25" customHeight="1" x14ac:dyDescent="0.2">
      <c r="B88" s="17"/>
      <c r="C88" s="71" t="str">
        <f>IFERROR(VLOOKUP(B88,fixed_expenses4[],2,0),"")</f>
        <v/>
      </c>
      <c r="D88" s="17"/>
      <c r="E88" s="71" t="str">
        <f>IFERROR(VLOOKUP(D88,fixed_expenses4[],2,0),"")</f>
        <v/>
      </c>
      <c r="F88" s="17"/>
      <c r="G88" s="71" t="str">
        <f>IFERROR(VLOOKUP(F88,fixed_expenses4[],2,0),"")</f>
        <v/>
      </c>
      <c r="H88" s="17"/>
      <c r="I88" s="71" t="str">
        <f>IFERROR(VLOOKUP(H88,fixed_expenses4[],2,0),"")</f>
        <v/>
      </c>
      <c r="J88" s="17"/>
      <c r="K88" s="71" t="str">
        <f>IFERROR(VLOOKUP(J88,fixed_expenses4[],2,0),"")</f>
        <v/>
      </c>
      <c r="L88" s="17"/>
      <c r="M88" s="71" t="str">
        <f>IFERROR(VLOOKUP(L88,fixed_expenses4[],2,0),"")</f>
        <v/>
      </c>
      <c r="N88" s="17"/>
      <c r="O88" s="71" t="str">
        <f>IFERROR(VLOOKUP(N88,fixed_expenses4[],2,0),"")</f>
        <v/>
      </c>
      <c r="P88" s="22"/>
    </row>
    <row r="89" spans="1:16" ht="11.25" customHeight="1" x14ac:dyDescent="0.2">
      <c r="A89" s="43" t="s">
        <v>67</v>
      </c>
      <c r="B89" s="30" t="s">
        <v>8</v>
      </c>
      <c r="C89" s="27">
        <f>SUM(C84:C88)</f>
        <v>0</v>
      </c>
      <c r="D89" s="26"/>
      <c r="E89" s="27">
        <f>SUM(E84:E88)</f>
        <v>0</v>
      </c>
      <c r="F89" s="26"/>
      <c r="G89" s="27">
        <f>SUM(G84:G88)</f>
        <v>0</v>
      </c>
      <c r="H89" s="26"/>
      <c r="I89" s="27">
        <f>SUM(I84:I88)</f>
        <v>0</v>
      </c>
      <c r="J89" s="26"/>
      <c r="K89" s="27">
        <f>SUM(K84:K88)</f>
        <v>0</v>
      </c>
      <c r="L89" s="26"/>
      <c r="M89" s="27">
        <f>SUM(M84:M88)</f>
        <v>1570</v>
      </c>
      <c r="N89" s="26"/>
      <c r="O89" s="28">
        <f>SUM(O84:O88)</f>
        <v>0</v>
      </c>
      <c r="P89" s="29">
        <f>SUM(C89,E89,G89,I89,K89,M89,O89)</f>
        <v>1570</v>
      </c>
    </row>
    <row r="90" spans="1:16" x14ac:dyDescent="0.2">
      <c r="B90" s="6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6"/>
    </row>
    <row r="91" spans="1:16" ht="15" customHeight="1" x14ac:dyDescent="0.2">
      <c r="A91" s="43" t="s">
        <v>68</v>
      </c>
      <c r="B91" s="12">
        <f ca="1">N82+1</f>
        <v>21</v>
      </c>
      <c r="C91" s="13"/>
      <c r="D91" s="12">
        <f ca="1">B91+1</f>
        <v>22</v>
      </c>
      <c r="E91" s="13"/>
      <c r="F91" s="12">
        <f ca="1">D91+1</f>
        <v>23</v>
      </c>
      <c r="G91" s="13"/>
      <c r="H91" s="12">
        <f ca="1">F91+1</f>
        <v>24</v>
      </c>
      <c r="I91" s="13"/>
      <c r="J91" s="12">
        <f ca="1">H91+1</f>
        <v>25</v>
      </c>
      <c r="K91" s="13"/>
      <c r="L91" s="12">
        <f ca="1">J91+1</f>
        <v>26</v>
      </c>
      <c r="M91" s="13"/>
      <c r="N91" s="12">
        <f ca="1">L91+1</f>
        <v>27</v>
      </c>
      <c r="O91" s="13"/>
      <c r="P91" s="24"/>
    </row>
    <row r="92" spans="1:16" ht="11.25" customHeight="1" x14ac:dyDescent="0.2">
      <c r="A92" s="43" t="s">
        <v>69</v>
      </c>
      <c r="B92" s="37" t="s">
        <v>9</v>
      </c>
      <c r="C92" s="39" t="s">
        <v>10</v>
      </c>
      <c r="D92" s="37" t="s">
        <v>9</v>
      </c>
      <c r="E92" s="39" t="s">
        <v>10</v>
      </c>
      <c r="F92" s="37" t="s">
        <v>9</v>
      </c>
      <c r="G92" s="39" t="s">
        <v>10</v>
      </c>
      <c r="H92" s="37" t="s">
        <v>9</v>
      </c>
      <c r="I92" s="39" t="s">
        <v>10</v>
      </c>
      <c r="J92" s="37" t="s">
        <v>9</v>
      </c>
      <c r="K92" s="39" t="s">
        <v>10</v>
      </c>
      <c r="L92" s="37" t="s">
        <v>9</v>
      </c>
      <c r="M92" s="39" t="s">
        <v>10</v>
      </c>
      <c r="N92" s="37" t="s">
        <v>9</v>
      </c>
      <c r="O92" s="40" t="s">
        <v>10</v>
      </c>
      <c r="P92" s="22"/>
    </row>
    <row r="93" spans="1:16" ht="11.25" customHeight="1" x14ac:dyDescent="0.2">
      <c r="A93" s="43" t="s">
        <v>70</v>
      </c>
      <c r="B93" s="17"/>
      <c r="C93" s="71" t="str">
        <f>IFERROR(VLOOKUP(B93,fixed_expenses4[],2,0),"")</f>
        <v/>
      </c>
      <c r="D93" s="17"/>
      <c r="E93" s="71" t="str">
        <f>IFERROR(VLOOKUP(D93,fixed_expenses4[],2,0),"")</f>
        <v/>
      </c>
      <c r="F93" s="17"/>
      <c r="G93" s="71" t="str">
        <f>IFERROR(VLOOKUP(F93,fixed_expenses4[],2,0),"")</f>
        <v/>
      </c>
      <c r="H93" s="17"/>
      <c r="I93" s="71" t="str">
        <f>IFERROR(VLOOKUP(H93,fixed_expenses4[],2,0),"")</f>
        <v/>
      </c>
      <c r="J93" s="17"/>
      <c r="K93" s="71" t="str">
        <f>IFERROR(VLOOKUP(J93,fixed_expenses4[],2,0),"")</f>
        <v/>
      </c>
      <c r="L93" s="17" t="s">
        <v>387</v>
      </c>
      <c r="M93" s="71">
        <f>IFERROR(VLOOKUP(L93,fixed_expenses4[],2,0),"")</f>
        <v>800</v>
      </c>
      <c r="N93" s="17"/>
      <c r="O93" s="71" t="str">
        <f>IFERROR(VLOOKUP(N93,fixed_expenses4[],2,0),"")</f>
        <v/>
      </c>
      <c r="P93" s="22"/>
    </row>
    <row r="94" spans="1:16" ht="11.25" customHeight="1" x14ac:dyDescent="0.2">
      <c r="B94" s="17"/>
      <c r="C94" s="71" t="str">
        <f>IFERROR(VLOOKUP(B94,fixed_expenses4[],2,0),"")</f>
        <v/>
      </c>
      <c r="D94" s="17"/>
      <c r="E94" s="71" t="str">
        <f>IFERROR(VLOOKUP(D94,fixed_expenses4[],2,0),"")</f>
        <v/>
      </c>
      <c r="F94" s="17"/>
      <c r="G94" s="71" t="str">
        <f>IFERROR(VLOOKUP(F94,fixed_expenses4[],2,0),"")</f>
        <v/>
      </c>
      <c r="H94" s="17"/>
      <c r="I94" s="71" t="str">
        <f>IFERROR(VLOOKUP(H94,fixed_expenses4[],2,0),"")</f>
        <v/>
      </c>
      <c r="J94" s="17"/>
      <c r="K94" s="71" t="str">
        <f>IFERROR(VLOOKUP(J94,fixed_expenses4[],2,0),"")</f>
        <v/>
      </c>
      <c r="L94" s="17"/>
      <c r="M94" s="71" t="str">
        <f>IFERROR(VLOOKUP(L94,fixed_expenses4[],2,0),"")</f>
        <v/>
      </c>
      <c r="N94" s="17"/>
      <c r="O94" s="71" t="str">
        <f>IFERROR(VLOOKUP(N94,fixed_expenses4[],2,0),"")</f>
        <v/>
      </c>
      <c r="P94" s="22"/>
    </row>
    <row r="95" spans="1:16" ht="11.25" customHeight="1" x14ac:dyDescent="0.2">
      <c r="B95" s="17"/>
      <c r="C95" s="71" t="str">
        <f>IFERROR(VLOOKUP(B95,fixed_expenses4[],2,0),"")</f>
        <v/>
      </c>
      <c r="D95" s="17"/>
      <c r="E95" s="71" t="str">
        <f>IFERROR(VLOOKUP(D95,fixed_expenses4[],2,0),"")</f>
        <v/>
      </c>
      <c r="F95" s="17"/>
      <c r="G95" s="71" t="str">
        <f>IFERROR(VLOOKUP(F95,fixed_expenses4[],2,0),"")</f>
        <v/>
      </c>
      <c r="H95" s="17"/>
      <c r="I95" s="71" t="str">
        <f>IFERROR(VLOOKUP(H95,fixed_expenses4[],2,0),"")</f>
        <v/>
      </c>
      <c r="J95" s="17"/>
      <c r="K95" s="71" t="str">
        <f>IFERROR(VLOOKUP(J95,fixed_expenses4[],2,0),"")</f>
        <v/>
      </c>
      <c r="L95" s="17"/>
      <c r="M95" s="71" t="str">
        <f>IFERROR(VLOOKUP(L95,fixed_expenses4[],2,0),"")</f>
        <v/>
      </c>
      <c r="N95" s="17"/>
      <c r="O95" s="71" t="str">
        <f>IFERROR(VLOOKUP(N95,fixed_expenses4[],2,0),"")</f>
        <v/>
      </c>
      <c r="P95" s="22"/>
    </row>
    <row r="96" spans="1:16" ht="11.25" customHeight="1" x14ac:dyDescent="0.2">
      <c r="B96" s="17"/>
      <c r="C96" s="71" t="str">
        <f>IFERROR(VLOOKUP(B96,fixed_expenses4[],2,0),"")</f>
        <v/>
      </c>
      <c r="D96" s="17"/>
      <c r="E96" s="71" t="str">
        <f>IFERROR(VLOOKUP(D96,fixed_expenses4[],2,0),"")</f>
        <v/>
      </c>
      <c r="F96" s="17"/>
      <c r="G96" s="71" t="str">
        <f>IFERROR(VLOOKUP(F96,fixed_expenses4[],2,0),"")</f>
        <v/>
      </c>
      <c r="H96" s="17"/>
      <c r="I96" s="71" t="str">
        <f>IFERROR(VLOOKUP(H96,fixed_expenses4[],2,0),"")</f>
        <v/>
      </c>
      <c r="J96" s="17"/>
      <c r="K96" s="71" t="str">
        <f>IFERROR(VLOOKUP(J96,fixed_expenses4[],2,0),"")</f>
        <v/>
      </c>
      <c r="L96" s="17"/>
      <c r="M96" s="71" t="str">
        <f>IFERROR(VLOOKUP(L96,fixed_expenses4[],2,0),"")</f>
        <v/>
      </c>
      <c r="N96" s="17"/>
      <c r="O96" s="71" t="str">
        <f>IFERROR(VLOOKUP(N96,fixed_expenses4[],2,0),"")</f>
        <v/>
      </c>
      <c r="P96" s="22"/>
    </row>
    <row r="97" spans="1:16" ht="11.25" customHeight="1" x14ac:dyDescent="0.2">
      <c r="B97" s="17"/>
      <c r="C97" s="71" t="str">
        <f>IFERROR(VLOOKUP(B97,fixed_expenses4[],2,0),"")</f>
        <v/>
      </c>
      <c r="D97" s="17"/>
      <c r="E97" s="71" t="str">
        <f>IFERROR(VLOOKUP(D97,fixed_expenses4[],2,0),"")</f>
        <v/>
      </c>
      <c r="F97" s="17"/>
      <c r="G97" s="71" t="str">
        <f>IFERROR(VLOOKUP(F97,fixed_expenses4[],2,0),"")</f>
        <v/>
      </c>
      <c r="H97" s="17"/>
      <c r="I97" s="71" t="str">
        <f>IFERROR(VLOOKUP(H97,fixed_expenses4[],2,0),"")</f>
        <v/>
      </c>
      <c r="J97" s="17"/>
      <c r="K97" s="71" t="str">
        <f>IFERROR(VLOOKUP(J97,fixed_expenses4[],2,0),"")</f>
        <v/>
      </c>
      <c r="L97" s="17"/>
      <c r="M97" s="71" t="str">
        <f>IFERROR(VLOOKUP(L97,fixed_expenses4[],2,0),"")</f>
        <v/>
      </c>
      <c r="N97" s="17"/>
      <c r="O97" s="71" t="str">
        <f>IFERROR(VLOOKUP(N97,fixed_expenses4[],2,0),"")</f>
        <v/>
      </c>
      <c r="P97" s="22"/>
    </row>
    <row r="98" spans="1:16" ht="11.25" customHeight="1" x14ac:dyDescent="0.2">
      <c r="A98" s="43" t="s">
        <v>71</v>
      </c>
      <c r="B98" s="26" t="s">
        <v>8</v>
      </c>
      <c r="C98" s="27">
        <f>SUM(C93:C97)</f>
        <v>0</v>
      </c>
      <c r="D98" s="26"/>
      <c r="E98" s="27">
        <f>SUM(E93:E97)</f>
        <v>0</v>
      </c>
      <c r="F98" s="26"/>
      <c r="G98" s="27">
        <f>SUM(G93:G97)</f>
        <v>0</v>
      </c>
      <c r="H98" s="26"/>
      <c r="I98" s="27">
        <f>SUM(I93:I97)</f>
        <v>0</v>
      </c>
      <c r="J98" s="26"/>
      <c r="K98" s="27">
        <f>SUM(K93:K97)</f>
        <v>0</v>
      </c>
      <c r="L98" s="26"/>
      <c r="M98" s="27">
        <f>SUM(M93:M97)</f>
        <v>800</v>
      </c>
      <c r="N98" s="26"/>
      <c r="O98" s="28">
        <f>SUM(O93:O97)</f>
        <v>0</v>
      </c>
      <c r="P98" s="29">
        <f>SUM(C98,E98,G98,I98,K98,M98,O98)</f>
        <v>800</v>
      </c>
    </row>
    <row r="99" spans="1:16" x14ac:dyDescent="0.2">
      <c r="B99" s="6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6"/>
    </row>
    <row r="100" spans="1:16" ht="15" customHeight="1" x14ac:dyDescent="0.2">
      <c r="A100" s="43" t="s">
        <v>72</v>
      </c>
      <c r="B100" s="12">
        <f ca="1">DAY(IF(DAY(FebSun1)=1,FebSun1+22,FebSun1+29))</f>
        <v>28</v>
      </c>
      <c r="C100" s="13"/>
      <c r="D100" s="12">
        <f ca="1">DAY(IF(DAY(FebSun1)=1,FebSun1+23,FebSun1+30))</f>
        <v>1</v>
      </c>
      <c r="E100" s="13"/>
      <c r="F100" s="12">
        <f ca="1">DAY(IF(DAY(FebSun1)=1,FebSun1+24,FebSun1+31))</f>
        <v>2</v>
      </c>
      <c r="G100" s="13"/>
      <c r="H100" s="12">
        <f ca="1">DAY(IF(DAY(FebSun1)=1,FebSun1+25,FebSun1+32))</f>
        <v>3</v>
      </c>
      <c r="I100" s="13"/>
      <c r="J100" s="12">
        <f ca="1">DAY(IF(DAY(FebSun1)=1,FebSun1+26,FebSun1+33))</f>
        <v>4</v>
      </c>
      <c r="K100" s="13"/>
      <c r="L100" s="12">
        <f ca="1">DAY(IF(DAY(FebSun1)=1,FebSun1+27,FebSun1+34))</f>
        <v>5</v>
      </c>
      <c r="M100" s="13"/>
      <c r="N100" s="12">
        <f ca="1">DAY(IF(DAY(FebSun1)=1,FebSun1+28,FebSun1+35))</f>
        <v>6</v>
      </c>
      <c r="O100" s="13"/>
      <c r="P100" s="25"/>
    </row>
    <row r="101" spans="1:16" ht="11.25" customHeight="1" x14ac:dyDescent="0.2">
      <c r="A101" s="43" t="s">
        <v>73</v>
      </c>
      <c r="B101" s="37" t="s">
        <v>9</v>
      </c>
      <c r="C101" s="39" t="s">
        <v>10</v>
      </c>
      <c r="D101" s="37" t="s">
        <v>9</v>
      </c>
      <c r="E101" s="39" t="s">
        <v>10</v>
      </c>
      <c r="F101" s="37" t="s">
        <v>9</v>
      </c>
      <c r="G101" s="39" t="s">
        <v>10</v>
      </c>
      <c r="H101" s="37" t="s">
        <v>9</v>
      </c>
      <c r="I101" s="39" t="s">
        <v>10</v>
      </c>
      <c r="J101" s="37" t="s">
        <v>9</v>
      </c>
      <c r="K101" s="39" t="s">
        <v>10</v>
      </c>
      <c r="L101" s="37" t="s">
        <v>9</v>
      </c>
      <c r="M101" s="39" t="s">
        <v>10</v>
      </c>
      <c r="N101" s="37" t="s">
        <v>9</v>
      </c>
      <c r="O101" s="40" t="s">
        <v>10</v>
      </c>
      <c r="P101" s="22"/>
    </row>
    <row r="102" spans="1:16" ht="11.25" customHeight="1" x14ac:dyDescent="0.2">
      <c r="A102" s="43" t="s">
        <v>74</v>
      </c>
      <c r="B102" s="17"/>
      <c r="C102" s="71" t="str">
        <f>IFERROR(VLOOKUP(B102,fixed_expenses4[],2,0),"")</f>
        <v/>
      </c>
      <c r="D102" s="17"/>
      <c r="E102" s="71" t="str">
        <f>IFERROR(VLOOKUP(D102,fixed_expenses4[],2,0),"")</f>
        <v/>
      </c>
      <c r="F102" s="17"/>
      <c r="G102" s="71" t="str">
        <f>IFERROR(VLOOKUP(F102,fixed_expenses4[],2,0),"")</f>
        <v/>
      </c>
      <c r="H102" s="17"/>
      <c r="I102" s="71" t="str">
        <f>IFERROR(VLOOKUP(H102,fixed_expenses4[],2,0),"")</f>
        <v/>
      </c>
      <c r="J102" s="17"/>
      <c r="K102" s="71" t="str">
        <f>IFERROR(VLOOKUP(J102,fixed_expenses4[],2,0),"")</f>
        <v/>
      </c>
      <c r="L102" s="17"/>
      <c r="M102" s="71" t="str">
        <f>IFERROR(VLOOKUP(L102,fixed_expenses4[],2,0),"")</f>
        <v/>
      </c>
      <c r="N102" s="17"/>
      <c r="O102" s="71" t="str">
        <f>IFERROR(VLOOKUP(N102,fixed_expenses4[],2,0),"")</f>
        <v/>
      </c>
      <c r="P102" s="22"/>
    </row>
    <row r="103" spans="1:16" ht="11.25" customHeight="1" x14ac:dyDescent="0.2">
      <c r="B103" s="17"/>
      <c r="C103" s="71" t="str">
        <f>IFERROR(VLOOKUP(B103,fixed_expenses4[],2,0),"")</f>
        <v/>
      </c>
      <c r="D103" s="17"/>
      <c r="E103" s="71" t="str">
        <f>IFERROR(VLOOKUP(D103,fixed_expenses4[],2,0),"")</f>
        <v/>
      </c>
      <c r="F103" s="17"/>
      <c r="G103" s="71" t="str">
        <f>IFERROR(VLOOKUP(F103,fixed_expenses4[],2,0),"")</f>
        <v/>
      </c>
      <c r="H103" s="17"/>
      <c r="I103" s="71" t="str">
        <f>IFERROR(VLOOKUP(H103,fixed_expenses4[],2,0),"")</f>
        <v/>
      </c>
      <c r="J103" s="17"/>
      <c r="K103" s="71" t="str">
        <f>IFERROR(VLOOKUP(J103,fixed_expenses4[],2,0),"")</f>
        <v/>
      </c>
      <c r="L103" s="17"/>
      <c r="M103" s="71" t="str">
        <f>IFERROR(VLOOKUP(L103,fixed_expenses4[],2,0),"")</f>
        <v/>
      </c>
      <c r="N103" s="17"/>
      <c r="O103" s="71" t="str">
        <f>IFERROR(VLOOKUP(N103,fixed_expenses4[],2,0),"")</f>
        <v/>
      </c>
      <c r="P103" s="22"/>
    </row>
    <row r="104" spans="1:16" ht="11.25" customHeight="1" x14ac:dyDescent="0.2">
      <c r="B104" s="17"/>
      <c r="C104" s="71" t="str">
        <f>IFERROR(VLOOKUP(B104,fixed_expenses4[],2,0),"")</f>
        <v/>
      </c>
      <c r="D104" s="17"/>
      <c r="E104" s="71" t="str">
        <f>IFERROR(VLOOKUP(D104,fixed_expenses4[],2,0),"")</f>
        <v/>
      </c>
      <c r="F104" s="17"/>
      <c r="G104" s="71" t="str">
        <f>IFERROR(VLOOKUP(F104,fixed_expenses4[],2,0),"")</f>
        <v/>
      </c>
      <c r="H104" s="17"/>
      <c r="I104" s="71" t="str">
        <f>IFERROR(VLOOKUP(H104,fixed_expenses4[],2,0),"")</f>
        <v/>
      </c>
      <c r="J104" s="17"/>
      <c r="K104" s="71" t="str">
        <f>IFERROR(VLOOKUP(J104,fixed_expenses4[],2,0),"")</f>
        <v/>
      </c>
      <c r="L104" s="17"/>
      <c r="M104" s="71" t="str">
        <f>IFERROR(VLOOKUP(L104,fixed_expenses4[],2,0),"")</f>
        <v/>
      </c>
      <c r="N104" s="17"/>
      <c r="O104" s="71" t="str">
        <f>IFERROR(VLOOKUP(N104,fixed_expenses4[],2,0),"")</f>
        <v/>
      </c>
      <c r="P104" s="22"/>
    </row>
    <row r="105" spans="1:16" ht="11.25" customHeight="1" x14ac:dyDescent="0.2">
      <c r="B105" s="17"/>
      <c r="C105" s="71" t="str">
        <f>IFERROR(VLOOKUP(B105,fixed_expenses4[],2,0),"")</f>
        <v/>
      </c>
      <c r="D105" s="17"/>
      <c r="E105" s="71" t="str">
        <f>IFERROR(VLOOKUP(D105,fixed_expenses4[],2,0),"")</f>
        <v/>
      </c>
      <c r="F105" s="17"/>
      <c r="G105" s="71" t="str">
        <f>IFERROR(VLOOKUP(F105,fixed_expenses4[],2,0),"")</f>
        <v/>
      </c>
      <c r="H105" s="17"/>
      <c r="I105" s="71" t="str">
        <f>IFERROR(VLOOKUP(H105,fixed_expenses4[],2,0),"")</f>
        <v/>
      </c>
      <c r="J105" s="17"/>
      <c r="K105" s="71" t="str">
        <f>IFERROR(VLOOKUP(J105,fixed_expenses4[],2,0),"")</f>
        <v/>
      </c>
      <c r="L105" s="17"/>
      <c r="M105" s="71" t="str">
        <f>IFERROR(VLOOKUP(L105,fixed_expenses4[],2,0),"")</f>
        <v/>
      </c>
      <c r="N105" s="17"/>
      <c r="O105" s="71" t="str">
        <f>IFERROR(VLOOKUP(N105,fixed_expenses4[],2,0),"")</f>
        <v/>
      </c>
      <c r="P105" s="22"/>
    </row>
    <row r="106" spans="1:16" ht="11.25" customHeight="1" x14ac:dyDescent="0.2">
      <c r="B106" s="17"/>
      <c r="C106" s="71" t="str">
        <f>IFERROR(VLOOKUP(B106,fixed_expenses4[],2,0),"")</f>
        <v/>
      </c>
      <c r="D106" s="17"/>
      <c r="E106" s="71" t="str">
        <f>IFERROR(VLOOKUP(D106,fixed_expenses4[],2,0),"")</f>
        <v/>
      </c>
      <c r="F106" s="17"/>
      <c r="G106" s="71" t="str">
        <f>IFERROR(VLOOKUP(F106,fixed_expenses4[],2,0),"")</f>
        <v/>
      </c>
      <c r="H106" s="17"/>
      <c r="I106" s="71" t="str">
        <f>IFERROR(VLOOKUP(H106,fixed_expenses4[],2,0),"")</f>
        <v/>
      </c>
      <c r="J106" s="17"/>
      <c r="K106" s="71" t="str">
        <f>IFERROR(VLOOKUP(J106,fixed_expenses4[],2,0),"")</f>
        <v/>
      </c>
      <c r="L106" s="17"/>
      <c r="M106" s="71" t="str">
        <f>IFERROR(VLOOKUP(L106,fixed_expenses4[],2,0),"")</f>
        <v/>
      </c>
      <c r="N106" s="17"/>
      <c r="O106" s="71" t="str">
        <f>IFERROR(VLOOKUP(N106,fixed_expenses4[],2,0),"")</f>
        <v/>
      </c>
      <c r="P106" s="22"/>
    </row>
    <row r="107" spans="1:16" ht="11.25" customHeight="1" x14ac:dyDescent="0.2">
      <c r="A107" s="43" t="s">
        <v>75</v>
      </c>
      <c r="B107" s="26" t="s">
        <v>8</v>
      </c>
      <c r="C107" s="27">
        <f>SUM(C102:C106)</f>
        <v>0</v>
      </c>
      <c r="D107" s="26"/>
      <c r="E107" s="27">
        <f>SUM(E102:E106)</f>
        <v>0</v>
      </c>
      <c r="F107" s="26"/>
      <c r="G107" s="27">
        <f>SUM(G102:G106)</f>
        <v>0</v>
      </c>
      <c r="H107" s="26"/>
      <c r="I107" s="27">
        <f>SUM(I102:I106)</f>
        <v>0</v>
      </c>
      <c r="J107" s="18"/>
      <c r="K107" s="27">
        <f>SUM(K102:K106)</f>
        <v>0</v>
      </c>
      <c r="L107" s="18"/>
      <c r="M107" s="27">
        <f>SUM(M102:M106)</f>
        <v>0</v>
      </c>
      <c r="N107" s="18"/>
      <c r="O107" s="28">
        <f>SUM(O102:O106)</f>
        <v>0</v>
      </c>
      <c r="P107" s="29">
        <f ca="1">SUMIF(B100:N100,"&gt;="&amp;15,C107:O107)</f>
        <v>0</v>
      </c>
    </row>
    <row r="108" spans="1:16" x14ac:dyDescent="0.2">
      <c r="B108" s="6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6"/>
    </row>
    <row r="109" spans="1:16" ht="15" customHeight="1" x14ac:dyDescent="0.2">
      <c r="A109" s="43" t="s">
        <v>76</v>
      </c>
      <c r="B109" s="12">
        <f ca="1">DAY(IF(DAY(FebSun1)=1,FebSun1+29,FebSun1+36))</f>
        <v>7</v>
      </c>
      <c r="C109" s="11"/>
      <c r="D109" s="12">
        <f ca="1">DAY(IF(DAY(FebSun1)=1,FebSun1+30,FebSun1+37))</f>
        <v>8</v>
      </c>
      <c r="E109" s="13"/>
      <c r="F109" s="10">
        <f ca="1">DAY(IF(DAY(FebSun1)=1,FebSun1+31,FebSun1+38))</f>
        <v>9</v>
      </c>
      <c r="G109" s="13"/>
      <c r="H109" s="12">
        <f ca="1">DAY(IF(DAY(FebSun1)=1,FebSun1+32,FebSun1+39))</f>
        <v>10</v>
      </c>
      <c r="I109" s="13"/>
      <c r="J109" s="12">
        <f ca="1">DAY(IF(DAY(FebSun1)=1,FebSun1+33,FebSun1+40))</f>
        <v>11</v>
      </c>
      <c r="K109" s="13"/>
      <c r="L109" s="12">
        <f ca="1">DAY(IF(DAY(FebSun1)=1,FebSun1+34,FebSun1+41))</f>
        <v>12</v>
      </c>
      <c r="M109" s="13"/>
      <c r="N109" s="12">
        <f ca="1">DAY(IF(DAY(FebSun1)=1,FebSun1+35,FebSun1+42))</f>
        <v>13</v>
      </c>
      <c r="O109" s="13"/>
      <c r="P109" s="25"/>
    </row>
    <row r="110" spans="1:16" ht="11.25" customHeight="1" x14ac:dyDescent="0.2">
      <c r="A110" s="43" t="s">
        <v>77</v>
      </c>
      <c r="B110" s="37" t="s">
        <v>9</v>
      </c>
      <c r="C110" s="39" t="s">
        <v>10</v>
      </c>
      <c r="D110" s="37" t="s">
        <v>9</v>
      </c>
      <c r="E110" s="39" t="s">
        <v>10</v>
      </c>
      <c r="F110" s="37" t="s">
        <v>9</v>
      </c>
      <c r="G110" s="39" t="s">
        <v>10</v>
      </c>
      <c r="H110" s="37" t="s">
        <v>9</v>
      </c>
      <c r="I110" s="39" t="s">
        <v>10</v>
      </c>
      <c r="J110" s="37" t="s">
        <v>9</v>
      </c>
      <c r="K110" s="39" t="s">
        <v>10</v>
      </c>
      <c r="L110" s="37" t="s">
        <v>9</v>
      </c>
      <c r="M110" s="39" t="s">
        <v>10</v>
      </c>
      <c r="N110" s="37" t="s">
        <v>9</v>
      </c>
      <c r="O110" s="40" t="s">
        <v>10</v>
      </c>
      <c r="P110" s="22"/>
    </row>
    <row r="111" spans="1:16" ht="11.25" customHeight="1" x14ac:dyDescent="0.2">
      <c r="A111" s="43" t="s">
        <v>78</v>
      </c>
      <c r="B111" s="17"/>
      <c r="C111" s="71" t="str">
        <f>IFERROR(VLOOKUP(B111,fixed_expenses4[],2,0),"")</f>
        <v/>
      </c>
      <c r="D111" s="17"/>
      <c r="E111" s="71" t="str">
        <f>IFERROR(VLOOKUP(D111,fixed_expenses4[],2,0),"")</f>
        <v/>
      </c>
      <c r="F111" s="17"/>
      <c r="G111" s="71" t="str">
        <f>IFERROR(VLOOKUP(F111,fixed_expenses4[],2,0),"")</f>
        <v/>
      </c>
      <c r="H111" s="17"/>
      <c r="I111" s="71" t="str">
        <f>IFERROR(VLOOKUP(H111,fixed_expenses4[],2,0),"")</f>
        <v/>
      </c>
      <c r="J111" s="17"/>
      <c r="K111" s="71" t="str">
        <f>IFERROR(VLOOKUP(J111,fixed_expenses4[],2,0),"")</f>
        <v/>
      </c>
      <c r="L111" s="17"/>
      <c r="M111" s="71" t="str">
        <f>IFERROR(VLOOKUP(L111,fixed_expenses4[],2,0),"")</f>
        <v/>
      </c>
      <c r="N111" s="17"/>
      <c r="O111" s="71" t="str">
        <f>IFERROR(VLOOKUP(N111,fixed_expenses4[],2,0),"")</f>
        <v/>
      </c>
      <c r="P111" s="22"/>
    </row>
    <row r="112" spans="1:16" ht="11.25" customHeight="1" x14ac:dyDescent="0.2">
      <c r="B112" s="17"/>
      <c r="C112" s="71" t="str">
        <f>IFERROR(VLOOKUP(B112,fixed_expenses4[],2,0),"")</f>
        <v/>
      </c>
      <c r="D112" s="17"/>
      <c r="E112" s="71" t="str">
        <f>IFERROR(VLOOKUP(D112,fixed_expenses4[],2,0),"")</f>
        <v/>
      </c>
      <c r="F112" s="17"/>
      <c r="G112" s="71" t="str">
        <f>IFERROR(VLOOKUP(F112,fixed_expenses4[],2,0),"")</f>
        <v/>
      </c>
      <c r="H112" s="17"/>
      <c r="I112" s="71" t="str">
        <f>IFERROR(VLOOKUP(H112,fixed_expenses4[],2,0),"")</f>
        <v/>
      </c>
      <c r="J112" s="17"/>
      <c r="K112" s="71" t="str">
        <f>IFERROR(VLOOKUP(J112,fixed_expenses4[],2,0),"")</f>
        <v/>
      </c>
      <c r="L112" s="17"/>
      <c r="M112" s="71" t="str">
        <f>IFERROR(VLOOKUP(L112,fixed_expenses4[],2,0),"")</f>
        <v/>
      </c>
      <c r="N112" s="17"/>
      <c r="O112" s="71" t="str">
        <f>IFERROR(VLOOKUP(N112,fixed_expenses4[],2,0),"")</f>
        <v/>
      </c>
      <c r="P112" s="22"/>
    </row>
    <row r="113" spans="1:16" ht="11.25" customHeight="1" x14ac:dyDescent="0.2">
      <c r="B113" s="17"/>
      <c r="C113" s="71" t="str">
        <f>IFERROR(VLOOKUP(B113,fixed_expenses4[],2,0),"")</f>
        <v/>
      </c>
      <c r="D113" s="17"/>
      <c r="E113" s="71" t="str">
        <f>IFERROR(VLOOKUP(D113,fixed_expenses4[],2,0),"")</f>
        <v/>
      </c>
      <c r="F113" s="17"/>
      <c r="G113" s="71" t="str">
        <f>IFERROR(VLOOKUP(F113,fixed_expenses4[],2,0),"")</f>
        <v/>
      </c>
      <c r="H113" s="17"/>
      <c r="I113" s="71" t="str">
        <f>IFERROR(VLOOKUP(H113,fixed_expenses4[],2,0),"")</f>
        <v/>
      </c>
      <c r="J113" s="17"/>
      <c r="K113" s="71" t="str">
        <f>IFERROR(VLOOKUP(J113,fixed_expenses4[],2,0),"")</f>
        <v/>
      </c>
      <c r="L113" s="17"/>
      <c r="M113" s="71" t="str">
        <f>IFERROR(VLOOKUP(L113,fixed_expenses4[],2,0),"")</f>
        <v/>
      </c>
      <c r="N113" s="17"/>
      <c r="O113" s="71" t="str">
        <f>IFERROR(VLOOKUP(N113,fixed_expenses4[],2,0),"")</f>
        <v/>
      </c>
      <c r="P113" s="22"/>
    </row>
    <row r="114" spans="1:16" ht="11.25" customHeight="1" x14ac:dyDescent="0.2">
      <c r="B114" s="17"/>
      <c r="C114" s="71" t="str">
        <f>IFERROR(VLOOKUP(B114,fixed_expenses4[],2,0),"")</f>
        <v/>
      </c>
      <c r="D114" s="17"/>
      <c r="E114" s="71" t="str">
        <f>IFERROR(VLOOKUP(D114,fixed_expenses4[],2,0),"")</f>
        <v/>
      </c>
      <c r="F114" s="17"/>
      <c r="G114" s="71" t="str">
        <f>IFERROR(VLOOKUP(F114,fixed_expenses4[],2,0),"")</f>
        <v/>
      </c>
      <c r="H114" s="17"/>
      <c r="I114" s="71" t="str">
        <f>IFERROR(VLOOKUP(H114,fixed_expenses4[],2,0),"")</f>
        <v/>
      </c>
      <c r="J114" s="17"/>
      <c r="K114" s="71" t="str">
        <f>IFERROR(VLOOKUP(J114,fixed_expenses4[],2,0),"")</f>
        <v/>
      </c>
      <c r="L114" s="17"/>
      <c r="M114" s="71" t="str">
        <f>IFERROR(VLOOKUP(L114,fixed_expenses4[],2,0),"")</f>
        <v/>
      </c>
      <c r="N114" s="17"/>
      <c r="O114" s="71" t="str">
        <f>IFERROR(VLOOKUP(N114,fixed_expenses4[],2,0),"")</f>
        <v/>
      </c>
      <c r="P114" s="22"/>
    </row>
    <row r="115" spans="1:16" ht="11.25" customHeight="1" x14ac:dyDescent="0.2">
      <c r="B115" s="17"/>
      <c r="C115" s="71" t="str">
        <f>IFERROR(VLOOKUP(B115,fixed_expenses4[],2,0),"")</f>
        <v/>
      </c>
      <c r="D115" s="17"/>
      <c r="E115" s="71" t="str">
        <f>IFERROR(VLOOKUP(D115,fixed_expenses4[],2,0),"")</f>
        <v/>
      </c>
      <c r="F115" s="17"/>
      <c r="G115" s="71" t="str">
        <f>IFERROR(VLOOKUP(F115,fixed_expenses4[],2,0),"")</f>
        <v/>
      </c>
      <c r="H115" s="17"/>
      <c r="I115" s="71" t="str">
        <f>IFERROR(VLOOKUP(H115,fixed_expenses4[],2,0),"")</f>
        <v/>
      </c>
      <c r="J115" s="17"/>
      <c r="K115" s="71" t="str">
        <f>IFERROR(VLOOKUP(J115,fixed_expenses4[],2,0),"")</f>
        <v/>
      </c>
      <c r="L115" s="17"/>
      <c r="M115" s="71" t="str">
        <f>IFERROR(VLOOKUP(L115,fixed_expenses4[],2,0),"")</f>
        <v/>
      </c>
      <c r="N115" s="17"/>
      <c r="O115" s="71" t="str">
        <f>IFERROR(VLOOKUP(N115,fixed_expenses4[],2,0),"")</f>
        <v/>
      </c>
      <c r="P115" s="22"/>
    </row>
    <row r="116" spans="1:16" ht="11.25" customHeight="1" x14ac:dyDescent="0.2">
      <c r="A116" s="43" t="s">
        <v>79</v>
      </c>
      <c r="B116" s="26" t="s">
        <v>8</v>
      </c>
      <c r="C116" s="27">
        <f>SUM(C111:C115)</f>
        <v>0</v>
      </c>
      <c r="D116" s="18"/>
      <c r="E116" s="27">
        <f>SUM(E111:E115)</f>
        <v>0</v>
      </c>
      <c r="F116" s="18"/>
      <c r="G116" s="27">
        <f>SUM(G111:G115)</f>
        <v>0</v>
      </c>
      <c r="H116" s="18"/>
      <c r="I116" s="27">
        <f>SUM(I111:I115)</f>
        <v>0</v>
      </c>
      <c r="J116" s="18"/>
      <c r="K116" s="27">
        <f>SUM(K111:K115)</f>
        <v>0</v>
      </c>
      <c r="L116" s="18"/>
      <c r="M116" s="27">
        <f>SUM(M111:M115)</f>
        <v>0</v>
      </c>
      <c r="N116" s="18"/>
      <c r="O116" s="28">
        <f>SUM(O111:O115)</f>
        <v>0</v>
      </c>
      <c r="P116" s="29">
        <f ca="1">SUMIF(B109:N109,"&gt;="&amp;15,C116:O116)</f>
        <v>0</v>
      </c>
    </row>
    <row r="117" spans="1:16" ht="17.25" customHeight="1" x14ac:dyDescent="0.2"/>
    <row r="118" spans="1:16" ht="12" customHeight="1" x14ac:dyDescent="0.2">
      <c r="A118" s="43" t="s">
        <v>89</v>
      </c>
      <c r="B118" s="59" t="s">
        <v>15</v>
      </c>
      <c r="C118" s="59"/>
      <c r="D118" s="59"/>
      <c r="E118" s="59"/>
      <c r="F118"/>
      <c r="G118" s="4"/>
      <c r="H118"/>
      <c r="I118" s="4"/>
      <c r="J118"/>
      <c r="K118" s="4"/>
      <c r="L118" s="45" t="s">
        <v>12</v>
      </c>
      <c r="M118" s="45"/>
      <c r="N118" s="45" t="s">
        <v>13</v>
      </c>
      <c r="O118" s="45"/>
      <c r="P118"/>
    </row>
    <row r="119" spans="1:16" ht="25.5" customHeight="1" x14ac:dyDescent="0.2">
      <c r="A119" s="43" t="s">
        <v>90</v>
      </c>
      <c r="B119" s="59"/>
      <c r="C119" s="59"/>
      <c r="D119" s="59"/>
      <c r="E119" s="59"/>
      <c r="F119" s="3">
        <f ca="1">IFERROR(WEEKDAY(DATEVALUE(B118&amp;" 1, "&amp;Year1)),"")</f>
        <v>2</v>
      </c>
      <c r="G119" s="4"/>
      <c r="H119"/>
      <c r="I119" s="7"/>
      <c r="J119" s="8"/>
      <c r="K119" s="4"/>
      <c r="L119" s="46">
        <f ca="1">SUM(P129,P138,P147,P156,P165,P174)</f>
        <v>4740</v>
      </c>
      <c r="M119" s="47"/>
      <c r="N119" s="46">
        <f ca="1">SUM(P:P)</f>
        <v>62420</v>
      </c>
      <c r="O119" s="48"/>
      <c r="P119"/>
    </row>
    <row r="120" spans="1:16" ht="9" customHeight="1" x14ac:dyDescent="0.2">
      <c r="A120" s="43" t="s">
        <v>348</v>
      </c>
      <c r="B120" s="50">
        <v>1</v>
      </c>
      <c r="C120" s="50"/>
      <c r="D120" s="50">
        <v>2</v>
      </c>
      <c r="E120" s="50"/>
      <c r="F120" s="50">
        <v>3</v>
      </c>
      <c r="G120" s="50"/>
      <c r="H120" s="50">
        <v>4</v>
      </c>
      <c r="I120" s="50"/>
      <c r="J120" s="50">
        <v>5</v>
      </c>
      <c r="K120" s="50"/>
      <c r="L120" s="50">
        <v>6</v>
      </c>
      <c r="M120" s="50"/>
      <c r="N120" s="50">
        <v>7</v>
      </c>
      <c r="O120" s="50"/>
      <c r="P120" s="2"/>
    </row>
    <row r="121" spans="1:16" ht="15" customHeight="1" x14ac:dyDescent="0.2">
      <c r="A121" s="43" t="s">
        <v>111</v>
      </c>
      <c r="B121" s="60" t="s">
        <v>0</v>
      </c>
      <c r="C121" s="61"/>
      <c r="D121" s="62" t="s">
        <v>1</v>
      </c>
      <c r="E121" s="63" t="e">
        <f ca="1">IF(WEEKDAY(DATEVALUE(Month1&amp;" 1, "&amp;Year1))=COLUMN(#REF!),1,IF(LEN(C121)&gt;0,C121+1,""))</f>
        <v>#VALUE!</v>
      </c>
      <c r="F121" s="61" t="s">
        <v>2</v>
      </c>
      <c r="G121" s="61" t="e">
        <f ca="1">IF(WEEKDAY(DATEVALUE(Month1&amp;" 1, "&amp;Year1))=COLUMN(#REF!),1,IF(LEN(E121)&gt;0,E121+1,""))</f>
        <v>#VALUE!</v>
      </c>
      <c r="H121" s="62" t="s">
        <v>3</v>
      </c>
      <c r="I121" s="63" t="e">
        <f ca="1">IF(WEEKDAY(DATEVALUE(Month1&amp;" 1, "&amp;Year1))=COLUMN(#REF!),1,IF(LEN(G121)&gt;0,G121+1,""))</f>
        <v>#VALUE!</v>
      </c>
      <c r="J121" s="64" t="s">
        <v>4</v>
      </c>
      <c r="K121" s="65" t="e">
        <f ca="1">IF(WEEKDAY(DATEVALUE(Month1&amp;" 1, "&amp;Year1))=COLUMN(#REF!),1,IF(LEN(I121)&gt;0,I121+1,""))</f>
        <v>#VALUE!</v>
      </c>
      <c r="L121" s="66" t="s">
        <v>5</v>
      </c>
      <c r="M121" s="67" t="e">
        <f ca="1">IF(WEEKDAY(DATEVALUE(Month1&amp;" 1, "&amp;Year1))=COLUMN(#REF!),1,IF(LEN(K121)&gt;0,K121+1,""))</f>
        <v>#VALUE!</v>
      </c>
      <c r="N121" s="66" t="s">
        <v>6</v>
      </c>
      <c r="O121" s="67" t="e">
        <f ca="1">IF(WEEKDAY(DATEVALUE(Month1&amp;" 1, "&amp;Year1))=COLUMN(#REF!),1,IF(LEN(M121)&gt;0,M121+1,""))</f>
        <v>#VALUE!</v>
      </c>
      <c r="P121" s="42" t="s">
        <v>7</v>
      </c>
    </row>
    <row r="122" spans="1:16" ht="15" customHeight="1" x14ac:dyDescent="0.2">
      <c r="A122" s="43" t="s">
        <v>109</v>
      </c>
      <c r="B122" s="14">
        <f ca="1">DAY(IF(DAY(MarSun1)=1,MarSun1-6,MarSun1+1))</f>
        <v>28</v>
      </c>
      <c r="C122" s="16"/>
      <c r="D122" s="19">
        <f ca="1">DAY(IF(DAY(MarSun1)=1,MarSun1-5,MarSun1+2))</f>
        <v>1</v>
      </c>
      <c r="E122" s="16"/>
      <c r="F122" s="19">
        <f ca="1">DAY(IF(DAY(MarSun1)=1,MarSun1-4,MarSun1+3))</f>
        <v>2</v>
      </c>
      <c r="G122" s="16"/>
      <c r="H122" s="19">
        <f ca="1">DAY(IF(DAY(MarSun1)=1,MarSun1-3,MarSun1+4))</f>
        <v>3</v>
      </c>
      <c r="I122" s="16"/>
      <c r="J122" s="19">
        <f ca="1">DAY(IF(DAY(MarSun1)=1,MarSun1-2,MarSun1+5))</f>
        <v>4</v>
      </c>
      <c r="K122" s="16"/>
      <c r="L122" s="19">
        <f ca="1">DAY(IF(DAY(MarSun1)=1,MarSun1-1,MarSun1+6))</f>
        <v>5</v>
      </c>
      <c r="M122" s="16"/>
      <c r="N122" s="20">
        <f ca="1">DAY(IF(DAY(MarSun1)=1,MarSun1,MarSun1+7))</f>
        <v>6</v>
      </c>
      <c r="O122" s="15"/>
      <c r="P122" s="21"/>
    </row>
    <row r="123" spans="1:16" ht="11.25" customHeight="1" x14ac:dyDescent="0.2">
      <c r="A123" s="43" t="s">
        <v>177</v>
      </c>
      <c r="B123" s="41" t="s">
        <v>9</v>
      </c>
      <c r="C123" s="36" t="s">
        <v>10</v>
      </c>
      <c r="D123" s="35" t="s">
        <v>9</v>
      </c>
      <c r="E123" s="36" t="s">
        <v>10</v>
      </c>
      <c r="F123" s="35" t="s">
        <v>9</v>
      </c>
      <c r="G123" s="36" t="s">
        <v>10</v>
      </c>
      <c r="H123" s="35" t="s">
        <v>9</v>
      </c>
      <c r="I123" s="36" t="s">
        <v>10</v>
      </c>
      <c r="J123" s="35" t="s">
        <v>9</v>
      </c>
      <c r="K123" s="36" t="s">
        <v>10</v>
      </c>
      <c r="L123" s="35" t="s">
        <v>9</v>
      </c>
      <c r="M123" s="36" t="s">
        <v>10</v>
      </c>
      <c r="N123" s="37" t="s">
        <v>9</v>
      </c>
      <c r="O123" s="38" t="s">
        <v>10</v>
      </c>
      <c r="P123" s="22"/>
    </row>
    <row r="124" spans="1:16" ht="11.25" customHeight="1" x14ac:dyDescent="0.2">
      <c r="A124" s="43" t="s">
        <v>178</v>
      </c>
      <c r="B124" s="17"/>
      <c r="C124" s="71" t="str">
        <f>IFERROR(VLOOKUP(B124,fixed_expenses4[],2,0),"")</f>
        <v/>
      </c>
      <c r="D124" s="17"/>
      <c r="E124" s="71" t="str">
        <f>IFERROR(VLOOKUP(D124,fixed_expenses4[],2,0),"")</f>
        <v/>
      </c>
      <c r="F124" s="17"/>
      <c r="G124" s="71" t="str">
        <f>IFERROR(VLOOKUP(F124,fixed_expenses4[],2,0),"")</f>
        <v/>
      </c>
      <c r="H124" s="17"/>
      <c r="I124" s="71" t="str">
        <f>IFERROR(VLOOKUP(H124,fixed_expenses4[],2,0),"")</f>
        <v/>
      </c>
      <c r="J124" s="17"/>
      <c r="K124" s="71" t="str">
        <f>IFERROR(VLOOKUP(J124,fixed_expenses4[],2,0),"")</f>
        <v/>
      </c>
      <c r="L124" s="17" t="s">
        <v>387</v>
      </c>
      <c r="M124" s="71">
        <f>IFERROR(VLOOKUP(L124,fixed_expenses4[],2,0),"")</f>
        <v>800</v>
      </c>
      <c r="N124" s="17"/>
      <c r="O124" s="71" t="str">
        <f>IFERROR(VLOOKUP(N124,fixed_expenses4[],2,0),"")</f>
        <v/>
      </c>
      <c r="P124" s="22"/>
    </row>
    <row r="125" spans="1:16" ht="11.25" customHeight="1" x14ac:dyDescent="0.2">
      <c r="B125" s="17"/>
      <c r="C125" s="71" t="str">
        <f>IFERROR(VLOOKUP(B125,fixed_expenses4[],2,0),"")</f>
        <v/>
      </c>
      <c r="D125" s="17"/>
      <c r="E125" s="71" t="str">
        <f>IFERROR(VLOOKUP(D125,fixed_expenses4[],2,0),"")</f>
        <v/>
      </c>
      <c r="F125" s="17"/>
      <c r="G125" s="71" t="str">
        <f>IFERROR(VLOOKUP(F125,fixed_expenses4[],2,0),"")</f>
        <v/>
      </c>
      <c r="H125" s="17"/>
      <c r="I125" s="71" t="str">
        <f>IFERROR(VLOOKUP(H125,fixed_expenses4[],2,0),"")</f>
        <v/>
      </c>
      <c r="J125" s="17"/>
      <c r="K125" s="71" t="str">
        <f>IFERROR(VLOOKUP(J125,fixed_expenses4[],2,0),"")</f>
        <v/>
      </c>
      <c r="L125" s="80" t="s">
        <v>388</v>
      </c>
      <c r="M125" s="71">
        <f>IFERROR(VLOOKUP(L125,fixed_expenses4[],2,0),"")</f>
        <v>770</v>
      </c>
      <c r="N125" s="17"/>
      <c r="O125" s="71" t="str">
        <f>IFERROR(VLOOKUP(N125,fixed_expenses4[],2,0),"")</f>
        <v/>
      </c>
      <c r="P125" s="22"/>
    </row>
    <row r="126" spans="1:16" ht="11.25" customHeight="1" x14ac:dyDescent="0.2">
      <c r="B126" s="17"/>
      <c r="C126" s="71" t="str">
        <f>IFERROR(VLOOKUP(B126,fixed_expenses4[],2,0),"")</f>
        <v/>
      </c>
      <c r="D126" s="17"/>
      <c r="E126" s="71" t="str">
        <f>IFERROR(VLOOKUP(D126,fixed_expenses4[],2,0),"")</f>
        <v/>
      </c>
      <c r="F126" s="17"/>
      <c r="G126" s="71" t="str">
        <f>IFERROR(VLOOKUP(F126,fixed_expenses4[],2,0),"")</f>
        <v/>
      </c>
      <c r="H126" s="17"/>
      <c r="I126" s="71" t="str">
        <f>IFERROR(VLOOKUP(H126,fixed_expenses4[],2,0),"")</f>
        <v/>
      </c>
      <c r="J126" s="17"/>
      <c r="K126" s="71" t="str">
        <f>IFERROR(VLOOKUP(J126,fixed_expenses4[],2,0),"")</f>
        <v/>
      </c>
      <c r="L126" s="17"/>
      <c r="M126" s="71" t="str">
        <f>IFERROR(VLOOKUP(L126,fixed_expenses4[],2,0),"")</f>
        <v/>
      </c>
      <c r="N126" s="17"/>
      <c r="O126" s="71" t="str">
        <f>IFERROR(VLOOKUP(N126,fixed_expenses4[],2,0),"")</f>
        <v/>
      </c>
      <c r="P126" s="22"/>
    </row>
    <row r="127" spans="1:16" ht="11.25" customHeight="1" x14ac:dyDescent="0.2">
      <c r="B127" s="17"/>
      <c r="C127" s="71" t="str">
        <f>IFERROR(VLOOKUP(B127,fixed_expenses4[],2,0),"")</f>
        <v/>
      </c>
      <c r="D127" s="17"/>
      <c r="E127" s="71" t="str">
        <f>IFERROR(VLOOKUP(D127,fixed_expenses4[],2,0),"")</f>
        <v/>
      </c>
      <c r="F127" s="17"/>
      <c r="G127" s="71" t="str">
        <f>IFERROR(VLOOKUP(F127,fixed_expenses4[],2,0),"")</f>
        <v/>
      </c>
      <c r="H127" s="17"/>
      <c r="I127" s="71" t="str">
        <f>IFERROR(VLOOKUP(H127,fixed_expenses4[],2,0),"")</f>
        <v/>
      </c>
      <c r="J127" s="17"/>
      <c r="K127" s="71" t="str">
        <f>IFERROR(VLOOKUP(J127,fixed_expenses4[],2,0),"")</f>
        <v/>
      </c>
      <c r="L127" s="17"/>
      <c r="M127" s="71" t="str">
        <f>IFERROR(VLOOKUP(L127,fixed_expenses4[],2,0),"")</f>
        <v/>
      </c>
      <c r="N127" s="17"/>
      <c r="O127" s="71" t="str">
        <f>IFERROR(VLOOKUP(N127,fixed_expenses4[],2,0),"")</f>
        <v/>
      </c>
      <c r="P127" s="22"/>
    </row>
    <row r="128" spans="1:16" ht="11.25" customHeight="1" x14ac:dyDescent="0.2">
      <c r="B128" s="17"/>
      <c r="C128" s="71" t="str">
        <f>IFERROR(VLOOKUP(B128,fixed_expenses4[],2,0),"")</f>
        <v/>
      </c>
      <c r="D128" s="17"/>
      <c r="E128" s="71" t="str">
        <f>IFERROR(VLOOKUP(D128,fixed_expenses4[],2,0),"")</f>
        <v/>
      </c>
      <c r="F128" s="17"/>
      <c r="G128" s="71" t="str">
        <f>IFERROR(VLOOKUP(F128,fixed_expenses4[],2,0),"")</f>
        <v/>
      </c>
      <c r="H128" s="17"/>
      <c r="I128" s="71" t="str">
        <f>IFERROR(VLOOKUP(H128,fixed_expenses4[],2,0),"")</f>
        <v/>
      </c>
      <c r="J128" s="17"/>
      <c r="K128" s="71" t="str">
        <f>IFERROR(VLOOKUP(J128,fixed_expenses4[],2,0),"")</f>
        <v/>
      </c>
      <c r="L128" s="17"/>
      <c r="M128" s="71" t="str">
        <f>IFERROR(VLOOKUP(L128,fixed_expenses4[],2,0),"")</f>
        <v/>
      </c>
      <c r="N128" s="17"/>
      <c r="O128" s="71" t="str">
        <f>IFERROR(VLOOKUP(N128,fixed_expenses4[],2,0),"")</f>
        <v/>
      </c>
      <c r="P128" s="22"/>
    </row>
    <row r="129" spans="1:16" ht="11.25" customHeight="1" x14ac:dyDescent="0.2">
      <c r="A129" s="43" t="s">
        <v>344</v>
      </c>
      <c r="B129" s="26" t="s">
        <v>8</v>
      </c>
      <c r="C129" s="27">
        <f>SUM(C124:C128)</f>
        <v>0</v>
      </c>
      <c r="D129" s="18"/>
      <c r="E129" s="27">
        <f>SUM(E124:E128)</f>
        <v>0</v>
      </c>
      <c r="F129" s="18"/>
      <c r="G129" s="27">
        <f>SUM(G124:G128)</f>
        <v>0</v>
      </c>
      <c r="H129" s="18"/>
      <c r="I129" s="27">
        <f>SUM(I124:I128)</f>
        <v>0</v>
      </c>
      <c r="J129" s="26"/>
      <c r="K129" s="27">
        <f>SUM(K124:K128)</f>
        <v>0</v>
      </c>
      <c r="L129" s="26"/>
      <c r="M129" s="27">
        <f>SUM(M124:M128)</f>
        <v>1570</v>
      </c>
      <c r="N129" s="26"/>
      <c r="O129" s="28">
        <f>SUM(O124:O128)</f>
        <v>0</v>
      </c>
      <c r="P129" s="29">
        <f ca="1">SUMIF(B122:N122,"&lt;8",C129:O129)</f>
        <v>1570</v>
      </c>
    </row>
    <row r="130" spans="1:16" x14ac:dyDescent="0.2">
      <c r="B130" s="6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6"/>
    </row>
    <row r="131" spans="1:16" ht="15" customHeight="1" x14ac:dyDescent="0.2">
      <c r="A131" s="44" t="s">
        <v>235</v>
      </c>
      <c r="B131" s="12">
        <f ca="1">N122+1</f>
        <v>7</v>
      </c>
      <c r="C131" s="13"/>
      <c r="D131" s="12">
        <f ca="1">B131+1</f>
        <v>8</v>
      </c>
      <c r="E131" s="13"/>
      <c r="F131" s="12">
        <f ca="1">D131+1</f>
        <v>9</v>
      </c>
      <c r="G131" s="13"/>
      <c r="H131" s="12">
        <f ca="1">F131+1</f>
        <v>10</v>
      </c>
      <c r="I131" s="13"/>
      <c r="J131" s="12">
        <f ca="1">H131+1</f>
        <v>11</v>
      </c>
      <c r="K131" s="13"/>
      <c r="L131" s="12">
        <f ca="1">J131+1</f>
        <v>12</v>
      </c>
      <c r="M131" s="13"/>
      <c r="N131" s="12">
        <f ca="1">L131+1</f>
        <v>13</v>
      </c>
      <c r="O131" s="13"/>
      <c r="P131" s="23"/>
    </row>
    <row r="132" spans="1:16" ht="11.25" customHeight="1" x14ac:dyDescent="0.2">
      <c r="A132" s="43" t="s">
        <v>176</v>
      </c>
      <c r="B132" s="37" t="s">
        <v>9</v>
      </c>
      <c r="C132" s="39" t="s">
        <v>10</v>
      </c>
      <c r="D132" s="37" t="s">
        <v>9</v>
      </c>
      <c r="E132" s="39" t="s">
        <v>10</v>
      </c>
      <c r="F132" s="37" t="s">
        <v>9</v>
      </c>
      <c r="G132" s="39" t="s">
        <v>10</v>
      </c>
      <c r="H132" s="37" t="s">
        <v>9</v>
      </c>
      <c r="I132" s="39" t="s">
        <v>10</v>
      </c>
      <c r="J132" s="37" t="s">
        <v>9</v>
      </c>
      <c r="K132" s="39" t="s">
        <v>10</v>
      </c>
      <c r="L132" s="37" t="s">
        <v>9</v>
      </c>
      <c r="M132" s="39" t="s">
        <v>10</v>
      </c>
      <c r="N132" s="37" t="s">
        <v>9</v>
      </c>
      <c r="O132" s="40" t="s">
        <v>10</v>
      </c>
      <c r="P132" s="22"/>
    </row>
    <row r="133" spans="1:16" ht="11.25" customHeight="1" x14ac:dyDescent="0.2">
      <c r="A133" s="43" t="s">
        <v>179</v>
      </c>
      <c r="B133" s="17"/>
      <c r="C133" s="71" t="str">
        <f>IFERROR(VLOOKUP(B133,fixed_expenses4[],2,0),"")</f>
        <v/>
      </c>
      <c r="D133" s="17"/>
      <c r="E133" s="71" t="str">
        <f>IFERROR(VLOOKUP(D133,fixed_expenses4[],2,0),"")</f>
        <v/>
      </c>
      <c r="F133" s="17"/>
      <c r="G133" s="71" t="str">
        <f>IFERROR(VLOOKUP(F133,fixed_expenses4[],2,0),"")</f>
        <v/>
      </c>
      <c r="H133" s="17"/>
      <c r="I133" s="71" t="str">
        <f>IFERROR(VLOOKUP(H133,fixed_expenses4[],2,0),"")</f>
        <v/>
      </c>
      <c r="J133" s="17"/>
      <c r="K133" s="71" t="str">
        <f>IFERROR(VLOOKUP(J133,fixed_expenses4[],2,0),"")</f>
        <v/>
      </c>
      <c r="L133" s="17" t="s">
        <v>387</v>
      </c>
      <c r="M133" s="71">
        <f>IFERROR(VLOOKUP(L133,fixed_expenses4[],2,0),"")</f>
        <v>800</v>
      </c>
      <c r="N133" s="17"/>
      <c r="O133" s="71" t="str">
        <f>IFERROR(VLOOKUP(N133,fixed_expenses4[],2,0),"")</f>
        <v/>
      </c>
      <c r="P133" s="22"/>
    </row>
    <row r="134" spans="1:16" ht="11.25" customHeight="1" x14ac:dyDescent="0.2">
      <c r="B134" s="17"/>
      <c r="C134" s="71" t="str">
        <f>IFERROR(VLOOKUP(B134,fixed_expenses4[],2,0),"")</f>
        <v/>
      </c>
      <c r="D134" s="17"/>
      <c r="E134" s="71" t="str">
        <f>IFERROR(VLOOKUP(D134,fixed_expenses4[],2,0),"")</f>
        <v/>
      </c>
      <c r="F134" s="17"/>
      <c r="G134" s="71" t="str">
        <f>IFERROR(VLOOKUP(F134,fixed_expenses4[],2,0),"")</f>
        <v/>
      </c>
      <c r="H134" s="17"/>
      <c r="I134" s="71" t="str">
        <f>IFERROR(VLOOKUP(H134,fixed_expenses4[],2,0),"")</f>
        <v/>
      </c>
      <c r="J134" s="17"/>
      <c r="K134" s="71" t="str">
        <f>IFERROR(VLOOKUP(J134,fixed_expenses4[],2,0),"")</f>
        <v/>
      </c>
      <c r="L134" s="17"/>
      <c r="M134" s="71" t="str">
        <f>IFERROR(VLOOKUP(L134,fixed_expenses4[],2,0),"")</f>
        <v/>
      </c>
      <c r="N134" s="17"/>
      <c r="O134" s="71" t="str">
        <f>IFERROR(VLOOKUP(N134,fixed_expenses4[],2,0),"")</f>
        <v/>
      </c>
      <c r="P134" s="22"/>
    </row>
    <row r="135" spans="1:16" ht="11.25" customHeight="1" x14ac:dyDescent="0.2">
      <c r="B135" s="17"/>
      <c r="C135" s="71" t="str">
        <f>IFERROR(VLOOKUP(B135,fixed_expenses4[],2,0),"")</f>
        <v/>
      </c>
      <c r="D135" s="17"/>
      <c r="E135" s="71" t="str">
        <f>IFERROR(VLOOKUP(D135,fixed_expenses4[],2,0),"")</f>
        <v/>
      </c>
      <c r="F135" s="17"/>
      <c r="G135" s="71" t="str">
        <f>IFERROR(VLOOKUP(F135,fixed_expenses4[],2,0),"")</f>
        <v/>
      </c>
      <c r="H135" s="17"/>
      <c r="I135" s="71" t="str">
        <f>IFERROR(VLOOKUP(H135,fixed_expenses4[],2,0),"")</f>
        <v/>
      </c>
      <c r="J135" s="17"/>
      <c r="K135" s="71" t="str">
        <f>IFERROR(VLOOKUP(J135,fixed_expenses4[],2,0),"")</f>
        <v/>
      </c>
      <c r="L135" s="17"/>
      <c r="M135" s="71" t="str">
        <f>IFERROR(VLOOKUP(L135,fixed_expenses4[],2,0),"")</f>
        <v/>
      </c>
      <c r="N135" s="17"/>
      <c r="O135" s="71" t="str">
        <f>IFERROR(VLOOKUP(N135,fixed_expenses4[],2,0),"")</f>
        <v/>
      </c>
      <c r="P135" s="22"/>
    </row>
    <row r="136" spans="1:16" ht="11.25" customHeight="1" x14ac:dyDescent="0.2">
      <c r="B136" s="17"/>
      <c r="C136" s="71" t="str">
        <f>IFERROR(VLOOKUP(B136,fixed_expenses4[],2,0),"")</f>
        <v/>
      </c>
      <c r="D136" s="17"/>
      <c r="E136" s="71" t="str">
        <f>IFERROR(VLOOKUP(D136,fixed_expenses4[],2,0),"")</f>
        <v/>
      </c>
      <c r="F136" s="17"/>
      <c r="G136" s="71" t="str">
        <f>IFERROR(VLOOKUP(F136,fixed_expenses4[],2,0),"")</f>
        <v/>
      </c>
      <c r="H136" s="17"/>
      <c r="I136" s="71" t="str">
        <f>IFERROR(VLOOKUP(H136,fixed_expenses4[],2,0),"")</f>
        <v/>
      </c>
      <c r="J136" s="17"/>
      <c r="K136" s="71" t="str">
        <f>IFERROR(VLOOKUP(J136,fixed_expenses4[],2,0),"")</f>
        <v/>
      </c>
      <c r="L136" s="17"/>
      <c r="M136" s="71" t="str">
        <f>IFERROR(VLOOKUP(L136,fixed_expenses4[],2,0),"")</f>
        <v/>
      </c>
      <c r="N136" s="17"/>
      <c r="O136" s="71" t="str">
        <f>IFERROR(VLOOKUP(N136,fixed_expenses4[],2,0),"")</f>
        <v/>
      </c>
      <c r="P136" s="22"/>
    </row>
    <row r="137" spans="1:16" ht="11.25" customHeight="1" x14ac:dyDescent="0.2">
      <c r="B137" s="17"/>
      <c r="C137" s="71" t="str">
        <f>IFERROR(VLOOKUP(B137,fixed_expenses4[],2,0),"")</f>
        <v/>
      </c>
      <c r="D137" s="17"/>
      <c r="E137" s="71" t="str">
        <f>IFERROR(VLOOKUP(D137,fixed_expenses4[],2,0),"")</f>
        <v/>
      </c>
      <c r="F137" s="17"/>
      <c r="G137" s="71" t="str">
        <f>IFERROR(VLOOKUP(F137,fixed_expenses4[],2,0),"")</f>
        <v/>
      </c>
      <c r="H137" s="17"/>
      <c r="I137" s="71" t="str">
        <f>IFERROR(VLOOKUP(H137,fixed_expenses4[],2,0),"")</f>
        <v/>
      </c>
      <c r="J137" s="17"/>
      <c r="K137" s="71" t="str">
        <f>IFERROR(VLOOKUP(J137,fixed_expenses4[],2,0),"")</f>
        <v/>
      </c>
      <c r="L137" s="17"/>
      <c r="M137" s="71" t="str">
        <f>IFERROR(VLOOKUP(L137,fixed_expenses4[],2,0),"")</f>
        <v/>
      </c>
      <c r="N137" s="17"/>
      <c r="O137" s="71" t="str">
        <f>IFERROR(VLOOKUP(N137,fixed_expenses4[],2,0),"")</f>
        <v/>
      </c>
      <c r="P137" s="22"/>
    </row>
    <row r="138" spans="1:16" ht="11.25" customHeight="1" x14ac:dyDescent="0.2">
      <c r="A138" s="43" t="s">
        <v>343</v>
      </c>
      <c r="B138" s="26" t="s">
        <v>8</v>
      </c>
      <c r="C138" s="27">
        <f>SUM(C133:C137)</f>
        <v>0</v>
      </c>
      <c r="D138" s="26"/>
      <c r="E138" s="27">
        <f>SUM(E133:E137)</f>
        <v>0</v>
      </c>
      <c r="F138" s="26"/>
      <c r="G138" s="27">
        <f>SUM(G133:G137)</f>
        <v>0</v>
      </c>
      <c r="H138" s="26"/>
      <c r="I138" s="27">
        <f>SUM(I133:I137)</f>
        <v>0</v>
      </c>
      <c r="J138" s="26"/>
      <c r="K138" s="27">
        <f>SUM(K133:K137)</f>
        <v>0</v>
      </c>
      <c r="L138" s="26"/>
      <c r="M138" s="27">
        <f>SUM(M133:M137)</f>
        <v>800</v>
      </c>
      <c r="N138" s="26"/>
      <c r="O138" s="28">
        <f>SUM(O133:O137)</f>
        <v>0</v>
      </c>
      <c r="P138" s="29">
        <f>SUM(C138,E138,G138,I138,K138,M138,O138)</f>
        <v>800</v>
      </c>
    </row>
    <row r="139" spans="1:16" x14ac:dyDescent="0.2">
      <c r="B139" s="6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6"/>
    </row>
    <row r="140" spans="1:16" ht="15" customHeight="1" x14ac:dyDescent="0.2">
      <c r="A140" s="43" t="s">
        <v>236</v>
      </c>
      <c r="B140" s="12">
        <f ca="1">N131+1</f>
        <v>14</v>
      </c>
      <c r="C140" s="13"/>
      <c r="D140" s="12">
        <f ca="1">B140+1</f>
        <v>15</v>
      </c>
      <c r="E140" s="13"/>
      <c r="F140" s="12">
        <f ca="1">D140+1</f>
        <v>16</v>
      </c>
      <c r="G140" s="13"/>
      <c r="H140" s="12">
        <f ca="1">F140+1</f>
        <v>17</v>
      </c>
      <c r="I140" s="13"/>
      <c r="J140" s="12">
        <f ca="1">H140+1</f>
        <v>18</v>
      </c>
      <c r="K140" s="13"/>
      <c r="L140" s="12">
        <f ca="1">J140+1</f>
        <v>19</v>
      </c>
      <c r="M140" s="13"/>
      <c r="N140" s="12">
        <f ca="1">L140+1</f>
        <v>20</v>
      </c>
      <c r="O140" s="13"/>
      <c r="P140" s="24"/>
    </row>
    <row r="141" spans="1:16" ht="11.25" customHeight="1" x14ac:dyDescent="0.2">
      <c r="A141" s="43" t="s">
        <v>175</v>
      </c>
      <c r="B141" s="37" t="s">
        <v>9</v>
      </c>
      <c r="C141" s="39" t="s">
        <v>10</v>
      </c>
      <c r="D141" s="37" t="s">
        <v>9</v>
      </c>
      <c r="E141" s="39" t="s">
        <v>10</v>
      </c>
      <c r="F141" s="37" t="s">
        <v>9</v>
      </c>
      <c r="G141" s="39" t="s">
        <v>10</v>
      </c>
      <c r="H141" s="37" t="s">
        <v>9</v>
      </c>
      <c r="I141" s="39" t="s">
        <v>10</v>
      </c>
      <c r="J141" s="37" t="s">
        <v>9</v>
      </c>
      <c r="K141" s="39" t="s">
        <v>10</v>
      </c>
      <c r="L141" s="37" t="s">
        <v>9</v>
      </c>
      <c r="M141" s="39" t="s">
        <v>10</v>
      </c>
      <c r="N141" s="37" t="s">
        <v>9</v>
      </c>
      <c r="O141" s="40" t="s">
        <v>10</v>
      </c>
      <c r="P141" s="22"/>
    </row>
    <row r="142" spans="1:16" ht="11.25" customHeight="1" x14ac:dyDescent="0.2">
      <c r="A142" s="43" t="s">
        <v>180</v>
      </c>
      <c r="B142" s="17"/>
      <c r="C142" s="71" t="str">
        <f>IFERROR(VLOOKUP(B142,fixed_expenses4[],2,0),"")</f>
        <v/>
      </c>
      <c r="D142" s="17"/>
      <c r="E142" s="71" t="str">
        <f>IFERROR(VLOOKUP(D142,fixed_expenses4[],2,0),"")</f>
        <v/>
      </c>
      <c r="F142" s="17"/>
      <c r="G142" s="71" t="str">
        <f>IFERROR(VLOOKUP(F142,fixed_expenses4[],2,0),"")</f>
        <v/>
      </c>
      <c r="H142" s="17"/>
      <c r="I142" s="71" t="str">
        <f>IFERROR(VLOOKUP(H142,fixed_expenses4[],2,0),"")</f>
        <v/>
      </c>
      <c r="J142" s="17"/>
      <c r="K142" s="71" t="str">
        <f>IFERROR(VLOOKUP(J142,fixed_expenses4[],2,0),"")</f>
        <v/>
      </c>
      <c r="L142" s="17" t="s">
        <v>387</v>
      </c>
      <c r="M142" s="71">
        <f>IFERROR(VLOOKUP(L142,fixed_expenses4[],2,0),"")</f>
        <v>800</v>
      </c>
      <c r="N142" s="17"/>
      <c r="O142" s="71" t="str">
        <f>IFERROR(VLOOKUP(N142,fixed_expenses4[],2,0),"")</f>
        <v/>
      </c>
      <c r="P142" s="22"/>
    </row>
    <row r="143" spans="1:16" ht="11.25" customHeight="1" x14ac:dyDescent="0.2">
      <c r="B143" s="17"/>
      <c r="C143" s="71" t="str">
        <f>IFERROR(VLOOKUP(B143,fixed_expenses4[],2,0),"")</f>
        <v/>
      </c>
      <c r="D143" s="17"/>
      <c r="E143" s="71" t="str">
        <f>IFERROR(VLOOKUP(D143,fixed_expenses4[],2,0),"")</f>
        <v/>
      </c>
      <c r="F143" s="17"/>
      <c r="G143" s="71" t="str">
        <f>IFERROR(VLOOKUP(F143,fixed_expenses4[],2,0),"")</f>
        <v/>
      </c>
      <c r="H143" s="17"/>
      <c r="I143" s="71" t="str">
        <f>IFERROR(VLOOKUP(H143,fixed_expenses4[],2,0),"")</f>
        <v/>
      </c>
      <c r="J143" s="17"/>
      <c r="K143" s="71" t="str">
        <f>IFERROR(VLOOKUP(J143,fixed_expenses4[],2,0),"")</f>
        <v/>
      </c>
      <c r="L143" s="80" t="s">
        <v>388</v>
      </c>
      <c r="M143" s="71">
        <f>IFERROR(VLOOKUP(L143,fixed_expenses4[],2,0),"")</f>
        <v>770</v>
      </c>
      <c r="N143" s="17"/>
      <c r="O143" s="71" t="str">
        <f>IFERROR(VLOOKUP(N143,fixed_expenses4[],2,0),"")</f>
        <v/>
      </c>
      <c r="P143" s="22"/>
    </row>
    <row r="144" spans="1:16" ht="11.25" customHeight="1" x14ac:dyDescent="0.2">
      <c r="B144" s="17"/>
      <c r="C144" s="71" t="str">
        <f>IFERROR(VLOOKUP(B144,fixed_expenses4[],2,0),"")</f>
        <v/>
      </c>
      <c r="D144" s="17"/>
      <c r="E144" s="71" t="str">
        <f>IFERROR(VLOOKUP(D144,fixed_expenses4[],2,0),"")</f>
        <v/>
      </c>
      <c r="F144" s="17"/>
      <c r="G144" s="71" t="str">
        <f>IFERROR(VLOOKUP(F144,fixed_expenses4[],2,0),"")</f>
        <v/>
      </c>
      <c r="H144" s="17"/>
      <c r="I144" s="71" t="str">
        <f>IFERROR(VLOOKUP(H144,fixed_expenses4[],2,0),"")</f>
        <v/>
      </c>
      <c r="J144" s="17"/>
      <c r="K144" s="71" t="str">
        <f>IFERROR(VLOOKUP(J144,fixed_expenses4[],2,0),"")</f>
        <v/>
      </c>
      <c r="L144" s="17"/>
      <c r="M144" s="71" t="str">
        <f>IFERROR(VLOOKUP(L144,fixed_expenses4[],2,0),"")</f>
        <v/>
      </c>
      <c r="N144" s="17"/>
      <c r="O144" s="71" t="str">
        <f>IFERROR(VLOOKUP(N144,fixed_expenses4[],2,0),"")</f>
        <v/>
      </c>
      <c r="P144" s="22"/>
    </row>
    <row r="145" spans="1:16" ht="11.25" customHeight="1" x14ac:dyDescent="0.2">
      <c r="B145" s="17"/>
      <c r="C145" s="71" t="str">
        <f>IFERROR(VLOOKUP(B145,fixed_expenses4[],2,0),"")</f>
        <v/>
      </c>
      <c r="D145" s="17"/>
      <c r="E145" s="71" t="str">
        <f>IFERROR(VLOOKUP(D145,fixed_expenses4[],2,0),"")</f>
        <v/>
      </c>
      <c r="F145" s="17"/>
      <c r="G145" s="71" t="str">
        <f>IFERROR(VLOOKUP(F145,fixed_expenses4[],2,0),"")</f>
        <v/>
      </c>
      <c r="H145" s="17"/>
      <c r="I145" s="71" t="str">
        <f>IFERROR(VLOOKUP(H145,fixed_expenses4[],2,0),"")</f>
        <v/>
      </c>
      <c r="J145" s="17"/>
      <c r="K145" s="71" t="str">
        <f>IFERROR(VLOOKUP(J145,fixed_expenses4[],2,0),"")</f>
        <v/>
      </c>
      <c r="L145" s="17"/>
      <c r="M145" s="71" t="str">
        <f>IFERROR(VLOOKUP(L145,fixed_expenses4[],2,0),"")</f>
        <v/>
      </c>
      <c r="N145" s="17"/>
      <c r="O145" s="71" t="str">
        <f>IFERROR(VLOOKUP(N145,fixed_expenses4[],2,0),"")</f>
        <v/>
      </c>
      <c r="P145" s="22"/>
    </row>
    <row r="146" spans="1:16" ht="11.25" customHeight="1" x14ac:dyDescent="0.2">
      <c r="B146" s="17"/>
      <c r="C146" s="71" t="str">
        <f>IFERROR(VLOOKUP(B146,fixed_expenses4[],2,0),"")</f>
        <v/>
      </c>
      <c r="D146" s="17"/>
      <c r="E146" s="71" t="str">
        <f>IFERROR(VLOOKUP(D146,fixed_expenses4[],2,0),"")</f>
        <v/>
      </c>
      <c r="F146" s="17"/>
      <c r="G146" s="71" t="str">
        <f>IFERROR(VLOOKUP(F146,fixed_expenses4[],2,0),"")</f>
        <v/>
      </c>
      <c r="H146" s="17"/>
      <c r="I146" s="71" t="str">
        <f>IFERROR(VLOOKUP(H146,fixed_expenses4[],2,0),"")</f>
        <v/>
      </c>
      <c r="J146" s="17"/>
      <c r="K146" s="71" t="str">
        <f>IFERROR(VLOOKUP(J146,fixed_expenses4[],2,0),"")</f>
        <v/>
      </c>
      <c r="L146" s="17"/>
      <c r="M146" s="71" t="str">
        <f>IFERROR(VLOOKUP(L146,fixed_expenses4[],2,0),"")</f>
        <v/>
      </c>
      <c r="N146" s="17"/>
      <c r="O146" s="71" t="str">
        <f>IFERROR(VLOOKUP(N146,fixed_expenses4[],2,0),"")</f>
        <v/>
      </c>
      <c r="P146" s="22"/>
    </row>
    <row r="147" spans="1:16" ht="11.25" customHeight="1" x14ac:dyDescent="0.2">
      <c r="A147" s="43" t="s">
        <v>342</v>
      </c>
      <c r="B147" s="30" t="s">
        <v>8</v>
      </c>
      <c r="C147" s="27">
        <f>SUM(C142:C146)</f>
        <v>0</v>
      </c>
      <c r="D147" s="26"/>
      <c r="E147" s="27">
        <f>SUM(E142:E146)</f>
        <v>0</v>
      </c>
      <c r="F147" s="26"/>
      <c r="G147" s="27">
        <f>SUM(G142:G146)</f>
        <v>0</v>
      </c>
      <c r="H147" s="26"/>
      <c r="I147" s="27">
        <f>SUM(I142:I146)</f>
        <v>0</v>
      </c>
      <c r="J147" s="26"/>
      <c r="K147" s="27">
        <f>SUM(K142:K146)</f>
        <v>0</v>
      </c>
      <c r="L147" s="26"/>
      <c r="M147" s="27">
        <f>SUM(M142:M146)</f>
        <v>1570</v>
      </c>
      <c r="N147" s="26"/>
      <c r="O147" s="28">
        <f>SUM(O142:O146)</f>
        <v>0</v>
      </c>
      <c r="P147" s="29">
        <f>SUM(C147,E147,G147,I147,K147,M147,O147)</f>
        <v>1570</v>
      </c>
    </row>
    <row r="148" spans="1:16" x14ac:dyDescent="0.2">
      <c r="B148" s="6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6"/>
    </row>
    <row r="149" spans="1:16" ht="15" customHeight="1" x14ac:dyDescent="0.2">
      <c r="A149" s="43" t="s">
        <v>237</v>
      </c>
      <c r="B149" s="12">
        <f ca="1">N140+1</f>
        <v>21</v>
      </c>
      <c r="C149" s="13"/>
      <c r="D149" s="12">
        <f ca="1">B149+1</f>
        <v>22</v>
      </c>
      <c r="E149" s="13"/>
      <c r="F149" s="12">
        <f ca="1">D149+1</f>
        <v>23</v>
      </c>
      <c r="G149" s="13"/>
      <c r="H149" s="12">
        <f ca="1">F149+1</f>
        <v>24</v>
      </c>
      <c r="I149" s="13"/>
      <c r="J149" s="12">
        <f ca="1">H149+1</f>
        <v>25</v>
      </c>
      <c r="K149" s="13"/>
      <c r="L149" s="12">
        <f ca="1">J149+1</f>
        <v>26</v>
      </c>
      <c r="M149" s="13"/>
      <c r="N149" s="12">
        <f ca="1">L149+1</f>
        <v>27</v>
      </c>
      <c r="O149" s="13"/>
      <c r="P149" s="24"/>
    </row>
    <row r="150" spans="1:16" ht="11.25" customHeight="1" x14ac:dyDescent="0.2">
      <c r="A150" s="43" t="s">
        <v>174</v>
      </c>
      <c r="B150" s="37" t="s">
        <v>9</v>
      </c>
      <c r="C150" s="39" t="s">
        <v>10</v>
      </c>
      <c r="D150" s="37" t="s">
        <v>9</v>
      </c>
      <c r="E150" s="39" t="s">
        <v>10</v>
      </c>
      <c r="F150" s="37" t="s">
        <v>9</v>
      </c>
      <c r="G150" s="39" t="s">
        <v>10</v>
      </c>
      <c r="H150" s="37" t="s">
        <v>9</v>
      </c>
      <c r="I150" s="39" t="s">
        <v>10</v>
      </c>
      <c r="J150" s="37" t="s">
        <v>9</v>
      </c>
      <c r="K150" s="39" t="s">
        <v>10</v>
      </c>
      <c r="L150" s="37" t="s">
        <v>9</v>
      </c>
      <c r="M150" s="39" t="s">
        <v>10</v>
      </c>
      <c r="N150" s="37" t="s">
        <v>9</v>
      </c>
      <c r="O150" s="40" t="s">
        <v>10</v>
      </c>
      <c r="P150" s="22"/>
    </row>
    <row r="151" spans="1:16" ht="11.25" customHeight="1" x14ac:dyDescent="0.2">
      <c r="A151" s="43" t="s">
        <v>181</v>
      </c>
      <c r="B151" s="17"/>
      <c r="C151" s="71" t="str">
        <f>IFERROR(VLOOKUP(B151,fixed_expenses4[],2,0),"")</f>
        <v/>
      </c>
      <c r="D151" s="17"/>
      <c r="E151" s="71" t="str">
        <f>IFERROR(VLOOKUP(D151,fixed_expenses4[],2,0),"")</f>
        <v/>
      </c>
      <c r="F151" s="17"/>
      <c r="G151" s="71" t="str">
        <f>IFERROR(VLOOKUP(F151,fixed_expenses4[],2,0),"")</f>
        <v/>
      </c>
      <c r="H151" s="17"/>
      <c r="I151" s="71" t="str">
        <f>IFERROR(VLOOKUP(H151,fixed_expenses4[],2,0),"")</f>
        <v/>
      </c>
      <c r="J151" s="17"/>
      <c r="K151" s="71" t="str">
        <f>IFERROR(VLOOKUP(J151,fixed_expenses4[],2,0),"")</f>
        <v/>
      </c>
      <c r="L151" s="17" t="s">
        <v>387</v>
      </c>
      <c r="M151" s="71">
        <f>IFERROR(VLOOKUP(L151,fixed_expenses4[],2,0),"")</f>
        <v>800</v>
      </c>
      <c r="N151" s="17"/>
      <c r="O151" s="71" t="str">
        <f>IFERROR(VLOOKUP(N151,fixed_expenses4[],2,0),"")</f>
        <v/>
      </c>
      <c r="P151" s="22"/>
    </row>
    <row r="152" spans="1:16" ht="11.25" customHeight="1" x14ac:dyDescent="0.2">
      <c r="B152" s="17"/>
      <c r="C152" s="71" t="str">
        <f>IFERROR(VLOOKUP(B152,fixed_expenses4[],2,0),"")</f>
        <v/>
      </c>
      <c r="D152" s="17"/>
      <c r="E152" s="71" t="str">
        <f>IFERROR(VLOOKUP(D152,fixed_expenses4[],2,0),"")</f>
        <v/>
      </c>
      <c r="F152" s="17"/>
      <c r="G152" s="71" t="str">
        <f>IFERROR(VLOOKUP(F152,fixed_expenses4[],2,0),"")</f>
        <v/>
      </c>
      <c r="H152" s="17"/>
      <c r="I152" s="71" t="str">
        <f>IFERROR(VLOOKUP(H152,fixed_expenses4[],2,0),"")</f>
        <v/>
      </c>
      <c r="J152" s="17"/>
      <c r="K152" s="71" t="str">
        <f>IFERROR(VLOOKUP(J152,fixed_expenses4[],2,0),"")</f>
        <v/>
      </c>
      <c r="L152" s="17"/>
      <c r="M152" s="71" t="str">
        <f>IFERROR(VLOOKUP(L152,fixed_expenses4[],2,0),"")</f>
        <v/>
      </c>
      <c r="N152" s="17"/>
      <c r="O152" s="71" t="str">
        <f>IFERROR(VLOOKUP(N152,fixed_expenses4[],2,0),"")</f>
        <v/>
      </c>
      <c r="P152" s="22"/>
    </row>
    <row r="153" spans="1:16" ht="11.25" customHeight="1" x14ac:dyDescent="0.2">
      <c r="B153" s="17"/>
      <c r="C153" s="71" t="str">
        <f>IFERROR(VLOOKUP(B153,fixed_expenses4[],2,0),"")</f>
        <v/>
      </c>
      <c r="D153" s="17"/>
      <c r="E153" s="71" t="str">
        <f>IFERROR(VLOOKUP(D153,fixed_expenses4[],2,0),"")</f>
        <v/>
      </c>
      <c r="F153" s="17"/>
      <c r="G153" s="71" t="str">
        <f>IFERROR(VLOOKUP(F153,fixed_expenses4[],2,0),"")</f>
        <v/>
      </c>
      <c r="H153" s="17"/>
      <c r="I153" s="71" t="str">
        <f>IFERROR(VLOOKUP(H153,fixed_expenses4[],2,0),"")</f>
        <v/>
      </c>
      <c r="J153" s="17"/>
      <c r="K153" s="71" t="str">
        <f>IFERROR(VLOOKUP(J153,fixed_expenses4[],2,0),"")</f>
        <v/>
      </c>
      <c r="L153" s="17"/>
      <c r="M153" s="71" t="str">
        <f>IFERROR(VLOOKUP(L153,fixed_expenses4[],2,0),"")</f>
        <v/>
      </c>
      <c r="N153" s="17"/>
      <c r="O153" s="71" t="str">
        <f>IFERROR(VLOOKUP(N153,fixed_expenses4[],2,0),"")</f>
        <v/>
      </c>
      <c r="P153" s="22"/>
    </row>
    <row r="154" spans="1:16" ht="11.25" customHeight="1" x14ac:dyDescent="0.2">
      <c r="B154" s="17"/>
      <c r="C154" s="71" t="str">
        <f>IFERROR(VLOOKUP(B154,fixed_expenses4[],2,0),"")</f>
        <v/>
      </c>
      <c r="D154" s="17"/>
      <c r="E154" s="71" t="str">
        <f>IFERROR(VLOOKUP(D154,fixed_expenses4[],2,0),"")</f>
        <v/>
      </c>
      <c r="F154" s="17"/>
      <c r="G154" s="71" t="str">
        <f>IFERROR(VLOOKUP(F154,fixed_expenses4[],2,0),"")</f>
        <v/>
      </c>
      <c r="H154" s="17"/>
      <c r="I154" s="71" t="str">
        <f>IFERROR(VLOOKUP(H154,fixed_expenses4[],2,0),"")</f>
        <v/>
      </c>
      <c r="J154" s="17"/>
      <c r="K154" s="71" t="str">
        <f>IFERROR(VLOOKUP(J154,fixed_expenses4[],2,0),"")</f>
        <v/>
      </c>
      <c r="L154" s="17"/>
      <c r="M154" s="71" t="str">
        <f>IFERROR(VLOOKUP(L154,fixed_expenses4[],2,0),"")</f>
        <v/>
      </c>
      <c r="N154" s="17"/>
      <c r="O154" s="71" t="str">
        <f>IFERROR(VLOOKUP(N154,fixed_expenses4[],2,0),"")</f>
        <v/>
      </c>
      <c r="P154" s="22"/>
    </row>
    <row r="155" spans="1:16" ht="11.25" customHeight="1" x14ac:dyDescent="0.2">
      <c r="B155" s="17"/>
      <c r="C155" s="71" t="str">
        <f>IFERROR(VLOOKUP(B155,fixed_expenses4[],2,0),"")</f>
        <v/>
      </c>
      <c r="D155" s="17"/>
      <c r="E155" s="71" t="str">
        <f>IFERROR(VLOOKUP(D155,fixed_expenses4[],2,0),"")</f>
        <v/>
      </c>
      <c r="F155" s="17"/>
      <c r="G155" s="71" t="str">
        <f>IFERROR(VLOOKUP(F155,fixed_expenses4[],2,0),"")</f>
        <v/>
      </c>
      <c r="H155" s="17"/>
      <c r="I155" s="71" t="str">
        <f>IFERROR(VLOOKUP(H155,fixed_expenses4[],2,0),"")</f>
        <v/>
      </c>
      <c r="J155" s="17"/>
      <c r="K155" s="71" t="str">
        <f>IFERROR(VLOOKUP(J155,fixed_expenses4[],2,0),"")</f>
        <v/>
      </c>
      <c r="L155" s="17"/>
      <c r="M155" s="71" t="str">
        <f>IFERROR(VLOOKUP(L155,fixed_expenses4[],2,0),"")</f>
        <v/>
      </c>
      <c r="N155" s="17"/>
      <c r="O155" s="71" t="str">
        <f>IFERROR(VLOOKUP(N155,fixed_expenses4[],2,0),"")</f>
        <v/>
      </c>
      <c r="P155" s="22"/>
    </row>
    <row r="156" spans="1:16" ht="11.25" customHeight="1" x14ac:dyDescent="0.2">
      <c r="A156" s="43" t="s">
        <v>341</v>
      </c>
      <c r="B156" s="26" t="s">
        <v>8</v>
      </c>
      <c r="C156" s="27">
        <f>SUM(C151:C155)</f>
        <v>0</v>
      </c>
      <c r="D156" s="26"/>
      <c r="E156" s="27">
        <f>SUM(E151:E155)</f>
        <v>0</v>
      </c>
      <c r="F156" s="26"/>
      <c r="G156" s="27">
        <f>SUM(G151:G155)</f>
        <v>0</v>
      </c>
      <c r="H156" s="26"/>
      <c r="I156" s="27">
        <f>SUM(I151:I155)</f>
        <v>0</v>
      </c>
      <c r="J156" s="26"/>
      <c r="K156" s="27">
        <f>SUM(K151:K155)</f>
        <v>0</v>
      </c>
      <c r="L156" s="26"/>
      <c r="M156" s="27">
        <f>SUM(M151:M155)</f>
        <v>800</v>
      </c>
      <c r="N156" s="26"/>
      <c r="O156" s="28">
        <f>SUM(O151:O155)</f>
        <v>0</v>
      </c>
      <c r="P156" s="29">
        <f>SUM(C156,E156,G156,I156,K156,M156,O156)</f>
        <v>800</v>
      </c>
    </row>
    <row r="157" spans="1:16" x14ac:dyDescent="0.2">
      <c r="B157" s="6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6"/>
    </row>
    <row r="158" spans="1:16" ht="15" customHeight="1" x14ac:dyDescent="0.2">
      <c r="A158" s="43" t="s">
        <v>238</v>
      </c>
      <c r="B158" s="12">
        <f ca="1">DAY(IF(DAY(MarSun1)=1,MarSun1+22,MarSun1+29))</f>
        <v>28</v>
      </c>
      <c r="C158" s="13"/>
      <c r="D158" s="12">
        <f ca="1">DAY(IF(DAY(MarSun1)=1,MarSun1+23,MarSun1+30))</f>
        <v>29</v>
      </c>
      <c r="E158" s="13"/>
      <c r="F158" s="12">
        <f ca="1">DAY(IF(DAY(MarSun1)=1,MarSun1+24,MarSun1+31))</f>
        <v>30</v>
      </c>
      <c r="G158" s="13"/>
      <c r="H158" s="12">
        <f ca="1">DAY(IF(DAY(MarSun1)=1,MarSun1+25,MarSun1+32))</f>
        <v>31</v>
      </c>
      <c r="I158" s="13"/>
      <c r="J158" s="12">
        <f ca="1">DAY(IF(DAY(MarSun1)=1,MarSun1+26,MarSun1+33))</f>
        <v>1</v>
      </c>
      <c r="K158" s="13"/>
      <c r="L158" s="12">
        <f ca="1">DAY(IF(DAY(MarSun1)=1,MarSun1+27,MarSun1+34))</f>
        <v>2</v>
      </c>
      <c r="M158" s="13"/>
      <c r="N158" s="12">
        <f ca="1">DAY(IF(DAY(MarSun1)=1,MarSun1+28,MarSun1+35))</f>
        <v>3</v>
      </c>
      <c r="O158" s="13"/>
      <c r="P158" s="25"/>
    </row>
    <row r="159" spans="1:16" ht="11.25" customHeight="1" x14ac:dyDescent="0.2">
      <c r="A159" s="43" t="s">
        <v>173</v>
      </c>
      <c r="B159" s="37" t="s">
        <v>9</v>
      </c>
      <c r="C159" s="39" t="s">
        <v>10</v>
      </c>
      <c r="D159" s="37" t="s">
        <v>9</v>
      </c>
      <c r="E159" s="39" t="s">
        <v>10</v>
      </c>
      <c r="F159" s="37" t="s">
        <v>9</v>
      </c>
      <c r="G159" s="39" t="s">
        <v>10</v>
      </c>
      <c r="H159" s="37" t="s">
        <v>9</v>
      </c>
      <c r="I159" s="39" t="s">
        <v>10</v>
      </c>
      <c r="J159" s="37" t="s">
        <v>9</v>
      </c>
      <c r="K159" s="39" t="s">
        <v>10</v>
      </c>
      <c r="L159" s="37" t="s">
        <v>9</v>
      </c>
      <c r="M159" s="39" t="s">
        <v>10</v>
      </c>
      <c r="N159" s="37" t="s">
        <v>9</v>
      </c>
      <c r="O159" s="40" t="s">
        <v>10</v>
      </c>
      <c r="P159" s="22"/>
    </row>
    <row r="160" spans="1:16" ht="11.25" customHeight="1" x14ac:dyDescent="0.2">
      <c r="A160" s="43" t="s">
        <v>182</v>
      </c>
      <c r="B160" s="17"/>
      <c r="C160" s="71" t="str">
        <f>IFERROR(VLOOKUP(B160,fixed_expenses4[],2,0),"")</f>
        <v/>
      </c>
      <c r="D160" s="17"/>
      <c r="E160" s="71" t="str">
        <f>IFERROR(VLOOKUP(D160,fixed_expenses4[],2,0),"")</f>
        <v/>
      </c>
      <c r="F160" s="17"/>
      <c r="G160" s="71" t="str">
        <f>IFERROR(VLOOKUP(F160,fixed_expenses4[],2,0),"")</f>
        <v/>
      </c>
      <c r="H160" s="17"/>
      <c r="I160" s="71" t="str">
        <f>IFERROR(VLOOKUP(H160,fixed_expenses4[],2,0),"")</f>
        <v/>
      </c>
      <c r="J160" s="17"/>
      <c r="K160" s="71" t="str">
        <f>IFERROR(VLOOKUP(J160,fixed_expenses4[],2,0),"")</f>
        <v/>
      </c>
      <c r="L160" s="17"/>
      <c r="M160" s="71" t="str">
        <f>IFERROR(VLOOKUP(L160,fixed_expenses4[],2,0),"")</f>
        <v/>
      </c>
      <c r="N160" s="17"/>
      <c r="O160" s="71" t="str">
        <f>IFERROR(VLOOKUP(N160,fixed_expenses4[],2,0),"")</f>
        <v/>
      </c>
      <c r="P160" s="22"/>
    </row>
    <row r="161" spans="1:16" ht="11.25" customHeight="1" x14ac:dyDescent="0.2">
      <c r="B161" s="17"/>
      <c r="C161" s="71" t="str">
        <f>IFERROR(VLOOKUP(B161,fixed_expenses4[],2,0),"")</f>
        <v/>
      </c>
      <c r="D161" s="17"/>
      <c r="E161" s="71" t="str">
        <f>IFERROR(VLOOKUP(D161,fixed_expenses4[],2,0),"")</f>
        <v/>
      </c>
      <c r="F161" s="17"/>
      <c r="G161" s="71" t="str">
        <f>IFERROR(VLOOKUP(F161,fixed_expenses4[],2,0),"")</f>
        <v/>
      </c>
      <c r="H161" s="17"/>
      <c r="I161" s="71" t="str">
        <f>IFERROR(VLOOKUP(H161,fixed_expenses4[],2,0),"")</f>
        <v/>
      </c>
      <c r="J161" s="17"/>
      <c r="K161" s="71" t="str">
        <f>IFERROR(VLOOKUP(J161,fixed_expenses4[],2,0),"")</f>
        <v/>
      </c>
      <c r="L161" s="17"/>
      <c r="M161" s="71" t="str">
        <f>IFERROR(VLOOKUP(L161,fixed_expenses4[],2,0),"")</f>
        <v/>
      </c>
      <c r="N161" s="17"/>
      <c r="O161" s="71" t="str">
        <f>IFERROR(VLOOKUP(N161,fixed_expenses4[],2,0),"")</f>
        <v/>
      </c>
      <c r="P161" s="22"/>
    </row>
    <row r="162" spans="1:16" ht="11.25" customHeight="1" x14ac:dyDescent="0.2">
      <c r="B162" s="17"/>
      <c r="C162" s="71" t="str">
        <f>IFERROR(VLOOKUP(B162,fixed_expenses4[],2,0),"")</f>
        <v/>
      </c>
      <c r="D162" s="17"/>
      <c r="E162" s="71" t="str">
        <f>IFERROR(VLOOKUP(D162,fixed_expenses4[],2,0),"")</f>
        <v/>
      </c>
      <c r="F162" s="17"/>
      <c r="G162" s="71" t="str">
        <f>IFERROR(VLOOKUP(F162,fixed_expenses4[],2,0),"")</f>
        <v/>
      </c>
      <c r="H162" s="17"/>
      <c r="I162" s="71" t="str">
        <f>IFERROR(VLOOKUP(H162,fixed_expenses4[],2,0),"")</f>
        <v/>
      </c>
      <c r="J162" s="17"/>
      <c r="K162" s="71" t="str">
        <f>IFERROR(VLOOKUP(J162,fixed_expenses4[],2,0),"")</f>
        <v/>
      </c>
      <c r="L162" s="17"/>
      <c r="M162" s="71" t="str">
        <f>IFERROR(VLOOKUP(L162,fixed_expenses4[],2,0),"")</f>
        <v/>
      </c>
      <c r="N162" s="17"/>
      <c r="O162" s="71" t="str">
        <f>IFERROR(VLOOKUP(N162,fixed_expenses4[],2,0),"")</f>
        <v/>
      </c>
      <c r="P162" s="22"/>
    </row>
    <row r="163" spans="1:16" ht="11.25" customHeight="1" x14ac:dyDescent="0.2">
      <c r="B163" s="17"/>
      <c r="C163" s="71" t="str">
        <f>IFERROR(VLOOKUP(B163,fixed_expenses4[],2,0),"")</f>
        <v/>
      </c>
      <c r="D163" s="17"/>
      <c r="E163" s="71" t="str">
        <f>IFERROR(VLOOKUP(D163,fixed_expenses4[],2,0),"")</f>
        <v/>
      </c>
      <c r="F163" s="17"/>
      <c r="G163" s="71" t="str">
        <f>IFERROR(VLOOKUP(F163,fixed_expenses4[],2,0),"")</f>
        <v/>
      </c>
      <c r="H163" s="17"/>
      <c r="I163" s="71" t="str">
        <f>IFERROR(VLOOKUP(H163,fixed_expenses4[],2,0),"")</f>
        <v/>
      </c>
      <c r="J163" s="17"/>
      <c r="K163" s="71" t="str">
        <f>IFERROR(VLOOKUP(J163,fixed_expenses4[],2,0),"")</f>
        <v/>
      </c>
      <c r="L163" s="17"/>
      <c r="M163" s="71" t="str">
        <f>IFERROR(VLOOKUP(L163,fixed_expenses4[],2,0),"")</f>
        <v/>
      </c>
      <c r="N163" s="17"/>
      <c r="O163" s="71" t="str">
        <f>IFERROR(VLOOKUP(N163,fixed_expenses4[],2,0),"")</f>
        <v/>
      </c>
      <c r="P163" s="22"/>
    </row>
    <row r="164" spans="1:16" ht="11.25" customHeight="1" x14ac:dyDescent="0.2">
      <c r="B164" s="17"/>
      <c r="C164" s="71" t="str">
        <f>IFERROR(VLOOKUP(B164,fixed_expenses4[],2,0),"")</f>
        <v/>
      </c>
      <c r="D164" s="17"/>
      <c r="E164" s="71" t="str">
        <f>IFERROR(VLOOKUP(D164,fixed_expenses4[],2,0),"")</f>
        <v/>
      </c>
      <c r="F164" s="17"/>
      <c r="G164" s="71" t="str">
        <f>IFERROR(VLOOKUP(F164,fixed_expenses4[],2,0),"")</f>
        <v/>
      </c>
      <c r="H164" s="17"/>
      <c r="I164" s="71" t="str">
        <f>IFERROR(VLOOKUP(H164,fixed_expenses4[],2,0),"")</f>
        <v/>
      </c>
      <c r="J164" s="17"/>
      <c r="K164" s="71" t="str">
        <f>IFERROR(VLOOKUP(J164,fixed_expenses4[],2,0),"")</f>
        <v/>
      </c>
      <c r="L164" s="17"/>
      <c r="M164" s="71" t="str">
        <f>IFERROR(VLOOKUP(L164,fixed_expenses4[],2,0),"")</f>
        <v/>
      </c>
      <c r="N164" s="17"/>
      <c r="O164" s="71" t="str">
        <f>IFERROR(VLOOKUP(N164,fixed_expenses4[],2,0),"")</f>
        <v/>
      </c>
      <c r="P164" s="22"/>
    </row>
    <row r="165" spans="1:16" ht="11.25" customHeight="1" x14ac:dyDescent="0.2">
      <c r="A165" s="43" t="s">
        <v>340</v>
      </c>
      <c r="B165" s="26" t="s">
        <v>8</v>
      </c>
      <c r="C165" s="27">
        <f>SUM(C160:C164)</f>
        <v>0</v>
      </c>
      <c r="D165" s="26"/>
      <c r="E165" s="27">
        <f>SUM(E160:E164)</f>
        <v>0</v>
      </c>
      <c r="F165" s="26"/>
      <c r="G165" s="27">
        <f>SUM(G160:G164)</f>
        <v>0</v>
      </c>
      <c r="H165" s="26"/>
      <c r="I165" s="27">
        <f>SUM(I160:I164)</f>
        <v>0</v>
      </c>
      <c r="J165" s="26"/>
      <c r="K165" s="27">
        <f>SUM(K160:K164)</f>
        <v>0</v>
      </c>
      <c r="L165" s="26"/>
      <c r="M165" s="27">
        <f>SUM(M160:M164)</f>
        <v>0</v>
      </c>
      <c r="N165" s="26"/>
      <c r="O165" s="28">
        <f>SUM(O160:O164)</f>
        <v>0</v>
      </c>
      <c r="P165" s="29">
        <f ca="1">SUMIF(B158:N158,"&gt;="&amp;15,C165:O165)</f>
        <v>0</v>
      </c>
    </row>
    <row r="166" spans="1:16" x14ac:dyDescent="0.2">
      <c r="B166" s="6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6"/>
    </row>
    <row r="167" spans="1:16" ht="15" customHeight="1" x14ac:dyDescent="0.2">
      <c r="A167" s="43" t="s">
        <v>239</v>
      </c>
      <c r="B167" s="12">
        <f ca="1">DAY(IF(DAY(MarSun1)=1,MarSun1+29,MarSun1+36))</f>
        <v>4</v>
      </c>
      <c r="C167" s="11"/>
      <c r="D167" s="12">
        <f ca="1">DAY(IF(DAY(MarSun1)=1,MarSun1+30,MarSun1+37))</f>
        <v>5</v>
      </c>
      <c r="E167" s="13"/>
      <c r="F167" s="10">
        <f ca="1">DAY(IF(DAY(MarSun1)=1,MarSun1+31,MarSun1+38))</f>
        <v>6</v>
      </c>
      <c r="G167" s="13"/>
      <c r="H167" s="12">
        <f ca="1">DAY(IF(DAY(MarSun1)=1,MarSun1+32,MarSun1+39))</f>
        <v>7</v>
      </c>
      <c r="I167" s="13"/>
      <c r="J167" s="12">
        <f ca="1">DAY(IF(DAY(MarSun1)=1,MarSun1+33,MarSun1+40))</f>
        <v>8</v>
      </c>
      <c r="K167" s="13"/>
      <c r="L167" s="12">
        <f ca="1">DAY(IF(DAY(MarSun1)=1,MarSun1+34,MarSun1+41))</f>
        <v>9</v>
      </c>
      <c r="M167" s="13"/>
      <c r="N167" s="12">
        <f ca="1">DAY(IF(DAY(MarSun1)=1,MarSun1+35,MarSun1+42))</f>
        <v>10</v>
      </c>
      <c r="O167" s="13"/>
      <c r="P167" s="25"/>
    </row>
    <row r="168" spans="1:16" ht="11.25" customHeight="1" x14ac:dyDescent="0.2">
      <c r="A168" s="43" t="s">
        <v>172</v>
      </c>
      <c r="B168" s="37" t="s">
        <v>9</v>
      </c>
      <c r="C168" s="39" t="s">
        <v>10</v>
      </c>
      <c r="D168" s="37" t="s">
        <v>9</v>
      </c>
      <c r="E168" s="39" t="s">
        <v>10</v>
      </c>
      <c r="F168" s="37" t="s">
        <v>9</v>
      </c>
      <c r="G168" s="39" t="s">
        <v>10</v>
      </c>
      <c r="H168" s="37" t="s">
        <v>9</v>
      </c>
      <c r="I168" s="39" t="s">
        <v>10</v>
      </c>
      <c r="J168" s="37" t="s">
        <v>9</v>
      </c>
      <c r="K168" s="39" t="s">
        <v>10</v>
      </c>
      <c r="L168" s="37" t="s">
        <v>9</v>
      </c>
      <c r="M168" s="39" t="s">
        <v>10</v>
      </c>
      <c r="N168" s="37" t="s">
        <v>9</v>
      </c>
      <c r="O168" s="40" t="s">
        <v>10</v>
      </c>
      <c r="P168" s="22"/>
    </row>
    <row r="169" spans="1:16" ht="11.25" customHeight="1" x14ac:dyDescent="0.2">
      <c r="A169" s="43" t="s">
        <v>183</v>
      </c>
      <c r="B169" s="17"/>
      <c r="C169" s="71" t="str">
        <f>IFERROR(VLOOKUP(B169,fixed_expenses4[],2,0),"")</f>
        <v/>
      </c>
      <c r="D169" s="17"/>
      <c r="E169" s="71" t="str">
        <f>IFERROR(VLOOKUP(D169,fixed_expenses4[],2,0),"")</f>
        <v/>
      </c>
      <c r="F169" s="17"/>
      <c r="G169" s="71" t="str">
        <f>IFERROR(VLOOKUP(F169,fixed_expenses4[],2,0),"")</f>
        <v/>
      </c>
      <c r="H169" s="17"/>
      <c r="I169" s="71" t="str">
        <f>IFERROR(VLOOKUP(H169,fixed_expenses4[],2,0),"")</f>
        <v/>
      </c>
      <c r="J169" s="17"/>
      <c r="K169" s="71" t="str">
        <f>IFERROR(VLOOKUP(J169,fixed_expenses4[],2,0),"")</f>
        <v/>
      </c>
      <c r="L169" s="17"/>
      <c r="M169" s="71" t="str">
        <f>IFERROR(VLOOKUP(L169,fixed_expenses4[],2,0),"")</f>
        <v/>
      </c>
      <c r="N169" s="17"/>
      <c r="O169" s="71" t="str">
        <f>IFERROR(VLOOKUP(N169,fixed_expenses4[],2,0),"")</f>
        <v/>
      </c>
      <c r="P169" s="22"/>
    </row>
    <row r="170" spans="1:16" ht="11.25" customHeight="1" x14ac:dyDescent="0.2">
      <c r="B170" s="17"/>
      <c r="C170" s="71" t="str">
        <f>IFERROR(VLOOKUP(B170,fixed_expenses4[],2,0),"")</f>
        <v/>
      </c>
      <c r="D170" s="17"/>
      <c r="E170" s="71" t="str">
        <f>IFERROR(VLOOKUP(D170,fixed_expenses4[],2,0),"")</f>
        <v/>
      </c>
      <c r="F170" s="17"/>
      <c r="G170" s="71" t="str">
        <f>IFERROR(VLOOKUP(F170,fixed_expenses4[],2,0),"")</f>
        <v/>
      </c>
      <c r="H170" s="17"/>
      <c r="I170" s="71" t="str">
        <f>IFERROR(VLOOKUP(H170,fixed_expenses4[],2,0),"")</f>
        <v/>
      </c>
      <c r="J170" s="17"/>
      <c r="K170" s="71" t="str">
        <f>IFERROR(VLOOKUP(J170,fixed_expenses4[],2,0),"")</f>
        <v/>
      </c>
      <c r="L170" s="17"/>
      <c r="M170" s="71" t="str">
        <f>IFERROR(VLOOKUP(L170,fixed_expenses4[],2,0),"")</f>
        <v/>
      </c>
      <c r="N170" s="17"/>
      <c r="O170" s="71" t="str">
        <f>IFERROR(VLOOKUP(N170,fixed_expenses4[],2,0),"")</f>
        <v/>
      </c>
      <c r="P170" s="22"/>
    </row>
    <row r="171" spans="1:16" ht="11.25" customHeight="1" x14ac:dyDescent="0.2">
      <c r="B171" s="17"/>
      <c r="C171" s="71" t="str">
        <f>IFERROR(VLOOKUP(B171,fixed_expenses4[],2,0),"")</f>
        <v/>
      </c>
      <c r="D171" s="17"/>
      <c r="E171" s="71" t="str">
        <f>IFERROR(VLOOKUP(D171,fixed_expenses4[],2,0),"")</f>
        <v/>
      </c>
      <c r="F171" s="17"/>
      <c r="G171" s="71" t="str">
        <f>IFERROR(VLOOKUP(F171,fixed_expenses4[],2,0),"")</f>
        <v/>
      </c>
      <c r="H171" s="17"/>
      <c r="I171" s="71" t="str">
        <f>IFERROR(VLOOKUP(H171,fixed_expenses4[],2,0),"")</f>
        <v/>
      </c>
      <c r="J171" s="17"/>
      <c r="K171" s="71" t="str">
        <f>IFERROR(VLOOKUP(J171,fixed_expenses4[],2,0),"")</f>
        <v/>
      </c>
      <c r="L171" s="17"/>
      <c r="M171" s="71" t="str">
        <f>IFERROR(VLOOKUP(L171,fixed_expenses4[],2,0),"")</f>
        <v/>
      </c>
      <c r="N171" s="17"/>
      <c r="O171" s="71" t="str">
        <f>IFERROR(VLOOKUP(N171,fixed_expenses4[],2,0),"")</f>
        <v/>
      </c>
      <c r="P171" s="22"/>
    </row>
    <row r="172" spans="1:16" ht="11.25" customHeight="1" x14ac:dyDescent="0.2">
      <c r="B172" s="17"/>
      <c r="C172" s="71" t="str">
        <f>IFERROR(VLOOKUP(B172,fixed_expenses4[],2,0),"")</f>
        <v/>
      </c>
      <c r="D172" s="17"/>
      <c r="E172" s="71" t="str">
        <f>IFERROR(VLOOKUP(D172,fixed_expenses4[],2,0),"")</f>
        <v/>
      </c>
      <c r="F172" s="17"/>
      <c r="G172" s="71" t="str">
        <f>IFERROR(VLOOKUP(F172,fixed_expenses4[],2,0),"")</f>
        <v/>
      </c>
      <c r="H172" s="17"/>
      <c r="I172" s="71" t="str">
        <f>IFERROR(VLOOKUP(H172,fixed_expenses4[],2,0),"")</f>
        <v/>
      </c>
      <c r="J172" s="17"/>
      <c r="K172" s="71" t="str">
        <f>IFERROR(VLOOKUP(J172,fixed_expenses4[],2,0),"")</f>
        <v/>
      </c>
      <c r="L172" s="17"/>
      <c r="M172" s="71" t="str">
        <f>IFERROR(VLOOKUP(L172,fixed_expenses4[],2,0),"")</f>
        <v/>
      </c>
      <c r="N172" s="17"/>
      <c r="O172" s="71" t="str">
        <f>IFERROR(VLOOKUP(N172,fixed_expenses4[],2,0),"")</f>
        <v/>
      </c>
      <c r="P172" s="22"/>
    </row>
    <row r="173" spans="1:16" ht="11.25" customHeight="1" x14ac:dyDescent="0.2">
      <c r="B173" s="17"/>
      <c r="C173" s="71" t="str">
        <f>IFERROR(VLOOKUP(B173,fixed_expenses4[],2,0),"")</f>
        <v/>
      </c>
      <c r="D173" s="17"/>
      <c r="E173" s="71" t="str">
        <f>IFERROR(VLOOKUP(D173,fixed_expenses4[],2,0),"")</f>
        <v/>
      </c>
      <c r="F173" s="17"/>
      <c r="G173" s="71" t="str">
        <f>IFERROR(VLOOKUP(F173,fixed_expenses4[],2,0),"")</f>
        <v/>
      </c>
      <c r="H173" s="17"/>
      <c r="I173" s="71" t="str">
        <f>IFERROR(VLOOKUP(H173,fixed_expenses4[],2,0),"")</f>
        <v/>
      </c>
      <c r="J173" s="17"/>
      <c r="K173" s="71" t="str">
        <f>IFERROR(VLOOKUP(J173,fixed_expenses4[],2,0),"")</f>
        <v/>
      </c>
      <c r="L173" s="17"/>
      <c r="M173" s="71" t="str">
        <f>IFERROR(VLOOKUP(L173,fixed_expenses4[],2,0),"")</f>
        <v/>
      </c>
      <c r="N173" s="17"/>
      <c r="O173" s="71" t="str">
        <f>IFERROR(VLOOKUP(N173,fixed_expenses4[],2,0),"")</f>
        <v/>
      </c>
      <c r="P173" s="22"/>
    </row>
    <row r="174" spans="1:16" ht="11.25" customHeight="1" x14ac:dyDescent="0.2">
      <c r="A174" s="43" t="s">
        <v>339</v>
      </c>
      <c r="B174" s="26" t="s">
        <v>8</v>
      </c>
      <c r="C174" s="27">
        <f>SUM(C169:C173)</f>
        <v>0</v>
      </c>
      <c r="D174" s="18"/>
      <c r="E174" s="27">
        <f>SUM(E169:E173)</f>
        <v>0</v>
      </c>
      <c r="F174" s="18"/>
      <c r="G174" s="27">
        <f>SUM(G169:G173)</f>
        <v>0</v>
      </c>
      <c r="H174" s="18"/>
      <c r="I174" s="27">
        <f>SUM(I169:I173)</f>
        <v>0</v>
      </c>
      <c r="J174" s="18"/>
      <c r="K174" s="27">
        <f>SUM(K169:K173)</f>
        <v>0</v>
      </c>
      <c r="L174" s="18"/>
      <c r="M174" s="27">
        <f>SUM(M169:M173)</f>
        <v>0</v>
      </c>
      <c r="N174" s="18"/>
      <c r="O174" s="28">
        <f>SUM(O169:O173)</f>
        <v>0</v>
      </c>
      <c r="P174" s="29">
        <f ca="1">SUMIF(B167:N167,"&gt;="&amp;15,C174:O174)</f>
        <v>0</v>
      </c>
    </row>
    <row r="175" spans="1:16" ht="17.25" customHeight="1" x14ac:dyDescent="0.2"/>
    <row r="176" spans="1:16" ht="12" customHeight="1" x14ac:dyDescent="0.2">
      <c r="A176" s="43" t="s">
        <v>88</v>
      </c>
      <c r="B176" s="59" t="s">
        <v>16</v>
      </c>
      <c r="C176" s="59"/>
      <c r="D176" s="59"/>
      <c r="E176" s="59"/>
      <c r="F176"/>
      <c r="G176" s="4"/>
      <c r="H176"/>
      <c r="I176" s="4"/>
      <c r="J176"/>
      <c r="K176" s="4"/>
      <c r="L176" s="45" t="s">
        <v>12</v>
      </c>
      <c r="M176" s="45"/>
      <c r="N176" s="45" t="s">
        <v>13</v>
      </c>
      <c r="O176" s="45"/>
      <c r="P176"/>
    </row>
    <row r="177" spans="1:16" ht="25.5" customHeight="1" x14ac:dyDescent="0.2">
      <c r="A177" s="43" t="s">
        <v>91</v>
      </c>
      <c r="B177" s="59"/>
      <c r="C177" s="59"/>
      <c r="D177" s="59"/>
      <c r="E177" s="59"/>
      <c r="F177" s="3">
        <f ca="1">IFERROR(WEEKDAY(DATEVALUE(B176&amp;" 1, "&amp;Year1)),"")</f>
        <v>5</v>
      </c>
      <c r="G177" s="4"/>
      <c r="H177"/>
      <c r="I177" s="7"/>
      <c r="J177" s="8"/>
      <c r="K177" s="4"/>
      <c r="L177" s="46">
        <f ca="1">SUM(P187,P196,P205,P214,P223,P232)</f>
        <v>6310</v>
      </c>
      <c r="M177" s="47"/>
      <c r="N177" s="46">
        <f ca="1">SUM(P:P)</f>
        <v>62420</v>
      </c>
      <c r="O177" s="48"/>
      <c r="P177"/>
    </row>
    <row r="178" spans="1:16" ht="9" customHeight="1" x14ac:dyDescent="0.2">
      <c r="A178" s="43" t="s">
        <v>349</v>
      </c>
      <c r="B178" s="50">
        <v>1</v>
      </c>
      <c r="C178" s="50"/>
      <c r="D178" s="50">
        <v>2</v>
      </c>
      <c r="E178" s="50"/>
      <c r="F178" s="50">
        <v>3</v>
      </c>
      <c r="G178" s="50"/>
      <c r="H178" s="50">
        <v>4</v>
      </c>
      <c r="I178" s="50"/>
      <c r="J178" s="50">
        <v>5</v>
      </c>
      <c r="K178" s="50"/>
      <c r="L178" s="50">
        <v>6</v>
      </c>
      <c r="M178" s="50"/>
      <c r="N178" s="50">
        <v>7</v>
      </c>
      <c r="O178" s="50"/>
      <c r="P178" s="2"/>
    </row>
    <row r="179" spans="1:16" ht="15" customHeight="1" x14ac:dyDescent="0.2">
      <c r="A179" s="43" t="s">
        <v>110</v>
      </c>
      <c r="B179" s="60" t="s">
        <v>0</v>
      </c>
      <c r="C179" s="61"/>
      <c r="D179" s="62" t="s">
        <v>1</v>
      </c>
      <c r="E179" s="63" t="e">
        <f ca="1">IF(WEEKDAY(DATEVALUE(Month1&amp;" 1, "&amp;Year1))=COLUMN(#REF!),1,IF(LEN(C179)&gt;0,C179+1,""))</f>
        <v>#VALUE!</v>
      </c>
      <c r="F179" s="61" t="s">
        <v>2</v>
      </c>
      <c r="G179" s="61" t="e">
        <f ca="1">IF(WEEKDAY(DATEVALUE(Month1&amp;" 1, "&amp;Year1))=COLUMN(#REF!),1,IF(LEN(E179)&gt;0,E179+1,""))</f>
        <v>#VALUE!</v>
      </c>
      <c r="H179" s="62" t="s">
        <v>3</v>
      </c>
      <c r="I179" s="63" t="e">
        <f ca="1">IF(WEEKDAY(DATEVALUE(Month1&amp;" 1, "&amp;Year1))=COLUMN(#REF!),1,IF(LEN(G179)&gt;0,G179+1,""))</f>
        <v>#VALUE!</v>
      </c>
      <c r="J179" s="64" t="s">
        <v>4</v>
      </c>
      <c r="K179" s="65" t="e">
        <f ca="1">IF(WEEKDAY(DATEVALUE(Month1&amp;" 1, "&amp;Year1))=COLUMN(#REF!),1,IF(LEN(I179)&gt;0,I179+1,""))</f>
        <v>#VALUE!</v>
      </c>
      <c r="L179" s="66" t="s">
        <v>5</v>
      </c>
      <c r="M179" s="67" t="e">
        <f ca="1">IF(WEEKDAY(DATEVALUE(Month1&amp;" 1, "&amp;Year1))=COLUMN(#REF!),1,IF(LEN(K179)&gt;0,K179+1,""))</f>
        <v>#VALUE!</v>
      </c>
      <c r="N179" s="66" t="s">
        <v>6</v>
      </c>
      <c r="O179" s="67" t="e">
        <f ca="1">IF(WEEKDAY(DATEVALUE(Month1&amp;" 1, "&amp;Year1))=COLUMN(#REF!),1,IF(LEN(M179)&gt;0,M179+1,""))</f>
        <v>#VALUE!</v>
      </c>
      <c r="P179" s="42" t="s">
        <v>7</v>
      </c>
    </row>
    <row r="180" spans="1:16" ht="15" customHeight="1" x14ac:dyDescent="0.2">
      <c r="A180" s="43" t="s">
        <v>350</v>
      </c>
      <c r="B180" s="14">
        <f ca="1">DAY(IF(DAY(AprSun1)=1,AprSun1-6,AprSun1+1))</f>
        <v>28</v>
      </c>
      <c r="C180" s="16"/>
      <c r="D180" s="19">
        <f ca="1">DAY(IF(DAY(AprSun1)=1,AprSun1-5,AprSun1+2))</f>
        <v>29</v>
      </c>
      <c r="E180" s="16"/>
      <c r="F180" s="19">
        <f ca="1">DAY(IF(DAY(AprSun1)=1,AprSun1-4,AprSun1+3))</f>
        <v>30</v>
      </c>
      <c r="G180" s="16"/>
      <c r="H180" s="19">
        <f ca="1">DAY(IF(DAY(AprSun1)=1,AprSun1-3,AprSun1+4))</f>
        <v>31</v>
      </c>
      <c r="I180" s="16"/>
      <c r="J180" s="19">
        <f ca="1">DAY(IF(DAY(AprSun1)=1,AprSun1-2,AprSun1+5))</f>
        <v>1</v>
      </c>
      <c r="K180" s="16"/>
      <c r="L180" s="19">
        <f ca="1">DAY(IF(DAY(AprSun1)=1,AprSun1-1,AprSun1+6))</f>
        <v>2</v>
      </c>
      <c r="M180" s="16"/>
      <c r="N180" s="20">
        <f ca="1">DAY(IF(DAY(AprSun1)=1,AprSun1,AprSun1+7))</f>
        <v>3</v>
      </c>
      <c r="O180" s="15"/>
      <c r="P180" s="21"/>
    </row>
    <row r="181" spans="1:16" ht="11.25" customHeight="1" x14ac:dyDescent="0.2">
      <c r="A181" s="43" t="s">
        <v>171</v>
      </c>
      <c r="B181" s="41" t="s">
        <v>9</v>
      </c>
      <c r="C181" s="36" t="s">
        <v>10</v>
      </c>
      <c r="D181" s="35" t="s">
        <v>9</v>
      </c>
      <c r="E181" s="36" t="s">
        <v>10</v>
      </c>
      <c r="F181" s="35" t="s">
        <v>9</v>
      </c>
      <c r="G181" s="36" t="s">
        <v>10</v>
      </c>
      <c r="H181" s="35" t="s">
        <v>9</v>
      </c>
      <c r="I181" s="36" t="s">
        <v>10</v>
      </c>
      <c r="J181" s="35" t="s">
        <v>9</v>
      </c>
      <c r="K181" s="36" t="s">
        <v>10</v>
      </c>
      <c r="L181" s="35" t="s">
        <v>9</v>
      </c>
      <c r="M181" s="36" t="s">
        <v>10</v>
      </c>
      <c r="N181" s="37" t="s">
        <v>9</v>
      </c>
      <c r="O181" s="38" t="s">
        <v>10</v>
      </c>
      <c r="P181" s="22"/>
    </row>
    <row r="182" spans="1:16" ht="11.25" customHeight="1" x14ac:dyDescent="0.2">
      <c r="A182" s="43" t="s">
        <v>184</v>
      </c>
      <c r="B182" s="17"/>
      <c r="C182" s="71" t="str">
        <f>IFERROR(VLOOKUP(B182,fixed_expenses4[],2,0),"")</f>
        <v/>
      </c>
      <c r="D182" s="17"/>
      <c r="E182" s="71" t="str">
        <f>IFERROR(VLOOKUP(D182,fixed_expenses4[],2,0),"")</f>
        <v/>
      </c>
      <c r="F182" s="17"/>
      <c r="G182" s="71" t="str">
        <f>IFERROR(VLOOKUP(F182,fixed_expenses4[],2,0),"")</f>
        <v/>
      </c>
      <c r="H182" s="17"/>
      <c r="I182" s="71" t="str">
        <f>IFERROR(VLOOKUP(H182,fixed_expenses4[],2,0),"")</f>
        <v/>
      </c>
      <c r="J182" s="17"/>
      <c r="K182" s="71" t="str">
        <f>IFERROR(VLOOKUP(J182,fixed_expenses4[],2,0),"")</f>
        <v/>
      </c>
      <c r="L182" s="17" t="s">
        <v>387</v>
      </c>
      <c r="M182" s="71">
        <f>IFERROR(VLOOKUP(L182,fixed_expenses4[],2,0),"")</f>
        <v>800</v>
      </c>
      <c r="N182" s="17"/>
      <c r="O182" s="71" t="str">
        <f>IFERROR(VLOOKUP(N182,fixed_expenses4[],2,0),"")</f>
        <v/>
      </c>
      <c r="P182" s="22"/>
    </row>
    <row r="183" spans="1:16" ht="11.25" customHeight="1" x14ac:dyDescent="0.2">
      <c r="B183" s="17"/>
      <c r="C183" s="71" t="str">
        <f>IFERROR(VLOOKUP(B183,fixed_expenses4[],2,0),"")</f>
        <v/>
      </c>
      <c r="D183" s="17"/>
      <c r="E183" s="71" t="str">
        <f>IFERROR(VLOOKUP(D183,fixed_expenses4[],2,0),"")</f>
        <v/>
      </c>
      <c r="F183" s="17"/>
      <c r="G183" s="71" t="str">
        <f>IFERROR(VLOOKUP(F183,fixed_expenses4[],2,0),"")</f>
        <v/>
      </c>
      <c r="H183" s="17"/>
      <c r="I183" s="71" t="str">
        <f>IFERROR(VLOOKUP(H183,fixed_expenses4[],2,0),"")</f>
        <v/>
      </c>
      <c r="J183" s="17"/>
      <c r="K183" s="71" t="str">
        <f>IFERROR(VLOOKUP(J183,fixed_expenses4[],2,0),"")</f>
        <v/>
      </c>
      <c r="L183" s="80" t="s">
        <v>388</v>
      </c>
      <c r="M183" s="71">
        <f>IFERROR(VLOOKUP(L183,fixed_expenses4[],2,0),"")</f>
        <v>770</v>
      </c>
      <c r="N183" s="17"/>
      <c r="O183" s="71" t="str">
        <f>IFERROR(VLOOKUP(N183,fixed_expenses4[],2,0),"")</f>
        <v/>
      </c>
      <c r="P183" s="22"/>
    </row>
    <row r="184" spans="1:16" ht="11.25" customHeight="1" x14ac:dyDescent="0.2">
      <c r="B184" s="17"/>
      <c r="C184" s="71" t="str">
        <f>IFERROR(VLOOKUP(B184,fixed_expenses4[],2,0),"")</f>
        <v/>
      </c>
      <c r="D184" s="17"/>
      <c r="E184" s="71" t="str">
        <f>IFERROR(VLOOKUP(D184,fixed_expenses4[],2,0),"")</f>
        <v/>
      </c>
      <c r="F184" s="17"/>
      <c r="G184" s="71" t="str">
        <f>IFERROR(VLOOKUP(F184,fixed_expenses4[],2,0),"")</f>
        <v/>
      </c>
      <c r="H184" s="17"/>
      <c r="I184" s="71" t="str">
        <f>IFERROR(VLOOKUP(H184,fixed_expenses4[],2,0),"")</f>
        <v/>
      </c>
      <c r="J184" s="17"/>
      <c r="K184" s="71" t="str">
        <f>IFERROR(VLOOKUP(J184,fixed_expenses4[],2,0),"")</f>
        <v/>
      </c>
      <c r="L184" s="17"/>
      <c r="M184" s="71" t="str">
        <f>IFERROR(VLOOKUP(L184,fixed_expenses4[],2,0),"")</f>
        <v/>
      </c>
      <c r="N184" s="17"/>
      <c r="O184" s="71" t="str">
        <f>IFERROR(VLOOKUP(N184,fixed_expenses4[],2,0),"")</f>
        <v/>
      </c>
      <c r="P184" s="22"/>
    </row>
    <row r="185" spans="1:16" ht="11.25" customHeight="1" x14ac:dyDescent="0.2">
      <c r="B185" s="17"/>
      <c r="C185" s="71" t="str">
        <f>IFERROR(VLOOKUP(B185,fixed_expenses4[],2,0),"")</f>
        <v/>
      </c>
      <c r="D185" s="17"/>
      <c r="E185" s="71" t="str">
        <f>IFERROR(VLOOKUP(D185,fixed_expenses4[],2,0),"")</f>
        <v/>
      </c>
      <c r="F185" s="17"/>
      <c r="G185" s="71" t="str">
        <f>IFERROR(VLOOKUP(F185,fixed_expenses4[],2,0),"")</f>
        <v/>
      </c>
      <c r="H185" s="17"/>
      <c r="I185" s="71" t="str">
        <f>IFERROR(VLOOKUP(H185,fixed_expenses4[],2,0),"")</f>
        <v/>
      </c>
      <c r="J185" s="17"/>
      <c r="K185" s="71" t="str">
        <f>IFERROR(VLOOKUP(J185,fixed_expenses4[],2,0),"")</f>
        <v/>
      </c>
      <c r="L185" s="17"/>
      <c r="M185" s="71" t="str">
        <f>IFERROR(VLOOKUP(L185,fixed_expenses4[],2,0),"")</f>
        <v/>
      </c>
      <c r="N185" s="17"/>
      <c r="O185" s="71" t="str">
        <f>IFERROR(VLOOKUP(N185,fixed_expenses4[],2,0),"")</f>
        <v/>
      </c>
      <c r="P185" s="22"/>
    </row>
    <row r="186" spans="1:16" ht="11.25" customHeight="1" x14ac:dyDescent="0.2">
      <c r="B186" s="17"/>
      <c r="C186" s="71" t="str">
        <f>IFERROR(VLOOKUP(B186,fixed_expenses4[],2,0),"")</f>
        <v/>
      </c>
      <c r="D186" s="17"/>
      <c r="E186" s="71" t="str">
        <f>IFERROR(VLOOKUP(D186,fixed_expenses4[],2,0),"")</f>
        <v/>
      </c>
      <c r="F186" s="17"/>
      <c r="G186" s="71" t="str">
        <f>IFERROR(VLOOKUP(F186,fixed_expenses4[],2,0),"")</f>
        <v/>
      </c>
      <c r="H186" s="17"/>
      <c r="I186" s="71" t="str">
        <f>IFERROR(VLOOKUP(H186,fixed_expenses4[],2,0),"")</f>
        <v/>
      </c>
      <c r="J186" s="17"/>
      <c r="K186" s="71" t="str">
        <f>IFERROR(VLOOKUP(J186,fixed_expenses4[],2,0),"")</f>
        <v/>
      </c>
      <c r="L186" s="17"/>
      <c r="M186" s="71" t="str">
        <f>IFERROR(VLOOKUP(L186,fixed_expenses4[],2,0),"")</f>
        <v/>
      </c>
      <c r="N186" s="17"/>
      <c r="O186" s="71" t="str">
        <f>IFERROR(VLOOKUP(N186,fixed_expenses4[],2,0),"")</f>
        <v/>
      </c>
      <c r="P186" s="22"/>
    </row>
    <row r="187" spans="1:16" ht="11.25" customHeight="1" x14ac:dyDescent="0.2">
      <c r="A187" s="43" t="s">
        <v>338</v>
      </c>
      <c r="B187" s="26" t="s">
        <v>8</v>
      </c>
      <c r="C187" s="27">
        <f>SUM(C182:C186)</f>
        <v>0</v>
      </c>
      <c r="D187" s="26"/>
      <c r="E187" s="27">
        <f>SUM(E182:E186)</f>
        <v>0</v>
      </c>
      <c r="F187" s="26"/>
      <c r="G187" s="27">
        <f>SUM(G182:G186)</f>
        <v>0</v>
      </c>
      <c r="H187" s="26"/>
      <c r="I187" s="27">
        <f>SUM(I182:I186)</f>
        <v>0</v>
      </c>
      <c r="J187" s="26"/>
      <c r="K187" s="27">
        <f>SUM(K182:K186)</f>
        <v>0</v>
      </c>
      <c r="L187" s="26"/>
      <c r="M187" s="27">
        <f>SUM(M182:M186)</f>
        <v>1570</v>
      </c>
      <c r="N187" s="26"/>
      <c r="O187" s="28">
        <f>SUM(O182:O186)</f>
        <v>0</v>
      </c>
      <c r="P187" s="29">
        <f ca="1">SUMIF(B180:N180,"&lt;8",C187:O187)</f>
        <v>1570</v>
      </c>
    </row>
    <row r="188" spans="1:16" x14ac:dyDescent="0.2">
      <c r="B188" s="6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6"/>
    </row>
    <row r="189" spans="1:16" ht="15" customHeight="1" x14ac:dyDescent="0.2">
      <c r="A189" s="43" t="s">
        <v>240</v>
      </c>
      <c r="B189" s="12">
        <f ca="1">N180+1</f>
        <v>4</v>
      </c>
      <c r="C189" s="13"/>
      <c r="D189" s="12">
        <f ca="1">B189+1</f>
        <v>5</v>
      </c>
      <c r="E189" s="13"/>
      <c r="F189" s="12">
        <f ca="1">D189+1</f>
        <v>6</v>
      </c>
      <c r="G189" s="13"/>
      <c r="H189" s="12">
        <f ca="1">F189+1</f>
        <v>7</v>
      </c>
      <c r="I189" s="13"/>
      <c r="J189" s="12">
        <f ca="1">H189+1</f>
        <v>8</v>
      </c>
      <c r="K189" s="13"/>
      <c r="L189" s="12">
        <f ca="1">J189+1</f>
        <v>9</v>
      </c>
      <c r="M189" s="13"/>
      <c r="N189" s="12">
        <f ca="1">L189+1</f>
        <v>10</v>
      </c>
      <c r="O189" s="13"/>
      <c r="P189" s="23"/>
    </row>
    <row r="190" spans="1:16" ht="11.25" customHeight="1" x14ac:dyDescent="0.2">
      <c r="A190" s="43" t="s">
        <v>170</v>
      </c>
      <c r="B190" s="37" t="s">
        <v>9</v>
      </c>
      <c r="C190" s="39" t="s">
        <v>10</v>
      </c>
      <c r="D190" s="37" t="s">
        <v>9</v>
      </c>
      <c r="E190" s="39" t="s">
        <v>10</v>
      </c>
      <c r="F190" s="37" t="s">
        <v>9</v>
      </c>
      <c r="G190" s="39" t="s">
        <v>10</v>
      </c>
      <c r="H190" s="37" t="s">
        <v>9</v>
      </c>
      <c r="I190" s="39" t="s">
        <v>10</v>
      </c>
      <c r="J190" s="37" t="s">
        <v>9</v>
      </c>
      <c r="K190" s="39" t="s">
        <v>10</v>
      </c>
      <c r="L190" s="37" t="s">
        <v>9</v>
      </c>
      <c r="M190" s="39" t="s">
        <v>10</v>
      </c>
      <c r="N190" s="37" t="s">
        <v>9</v>
      </c>
      <c r="O190" s="40" t="s">
        <v>10</v>
      </c>
      <c r="P190" s="22"/>
    </row>
    <row r="191" spans="1:16" ht="11.25" customHeight="1" x14ac:dyDescent="0.2">
      <c r="A191" s="43" t="s">
        <v>185</v>
      </c>
      <c r="B191" s="17"/>
      <c r="C191" s="71" t="str">
        <f>IFERROR(VLOOKUP(B191,fixed_expenses4[],2,0),"")</f>
        <v/>
      </c>
      <c r="D191" s="17"/>
      <c r="E191" s="71" t="str">
        <f>IFERROR(VLOOKUP(D191,fixed_expenses4[],2,0),"")</f>
        <v/>
      </c>
      <c r="F191" s="17"/>
      <c r="G191" s="71" t="str">
        <f>IFERROR(VLOOKUP(F191,fixed_expenses4[],2,0),"")</f>
        <v/>
      </c>
      <c r="H191" s="17"/>
      <c r="I191" s="71" t="str">
        <f>IFERROR(VLOOKUP(H191,fixed_expenses4[],2,0),"")</f>
        <v/>
      </c>
      <c r="J191" s="17"/>
      <c r="K191" s="71" t="str">
        <f>IFERROR(VLOOKUP(J191,fixed_expenses4[],2,0),"")</f>
        <v/>
      </c>
      <c r="L191" s="17" t="s">
        <v>387</v>
      </c>
      <c r="M191" s="71">
        <f>IFERROR(VLOOKUP(L191,fixed_expenses4[],2,0),"")</f>
        <v>800</v>
      </c>
      <c r="N191" s="17"/>
      <c r="O191" s="71" t="str">
        <f>IFERROR(VLOOKUP(N191,fixed_expenses4[],2,0),"")</f>
        <v/>
      </c>
      <c r="P191" s="22"/>
    </row>
    <row r="192" spans="1:16" ht="11.25" customHeight="1" x14ac:dyDescent="0.2">
      <c r="B192" s="17"/>
      <c r="C192" s="71" t="str">
        <f>IFERROR(VLOOKUP(B192,fixed_expenses4[],2,0),"")</f>
        <v/>
      </c>
      <c r="D192" s="17"/>
      <c r="E192" s="71" t="str">
        <f>IFERROR(VLOOKUP(D192,fixed_expenses4[],2,0),"")</f>
        <v/>
      </c>
      <c r="F192" s="17"/>
      <c r="G192" s="71" t="str">
        <f>IFERROR(VLOOKUP(F192,fixed_expenses4[],2,0),"")</f>
        <v/>
      </c>
      <c r="H192" s="17"/>
      <c r="I192" s="71" t="str">
        <f>IFERROR(VLOOKUP(H192,fixed_expenses4[],2,0),"")</f>
        <v/>
      </c>
      <c r="J192" s="17"/>
      <c r="K192" s="71" t="str">
        <f>IFERROR(VLOOKUP(J192,fixed_expenses4[],2,0),"")</f>
        <v/>
      </c>
      <c r="L192" s="17"/>
      <c r="M192" s="71" t="str">
        <f>IFERROR(VLOOKUP(L192,fixed_expenses4[],2,0),"")</f>
        <v/>
      </c>
      <c r="N192" s="17"/>
      <c r="O192" s="71" t="str">
        <f>IFERROR(VLOOKUP(N192,fixed_expenses4[],2,0),"")</f>
        <v/>
      </c>
      <c r="P192" s="22"/>
    </row>
    <row r="193" spans="1:16" ht="11.25" customHeight="1" x14ac:dyDescent="0.2">
      <c r="B193" s="17"/>
      <c r="C193" s="71" t="str">
        <f>IFERROR(VLOOKUP(B193,fixed_expenses4[],2,0),"")</f>
        <v/>
      </c>
      <c r="D193" s="17"/>
      <c r="E193" s="71" t="str">
        <f>IFERROR(VLOOKUP(D193,fixed_expenses4[],2,0),"")</f>
        <v/>
      </c>
      <c r="F193" s="17"/>
      <c r="G193" s="71" t="str">
        <f>IFERROR(VLOOKUP(F193,fixed_expenses4[],2,0),"")</f>
        <v/>
      </c>
      <c r="H193" s="17"/>
      <c r="I193" s="71" t="str">
        <f>IFERROR(VLOOKUP(H193,fixed_expenses4[],2,0),"")</f>
        <v/>
      </c>
      <c r="J193" s="17"/>
      <c r="K193" s="71" t="str">
        <f>IFERROR(VLOOKUP(J193,fixed_expenses4[],2,0),"")</f>
        <v/>
      </c>
      <c r="L193" s="17"/>
      <c r="M193" s="71" t="str">
        <f>IFERROR(VLOOKUP(L193,fixed_expenses4[],2,0),"")</f>
        <v/>
      </c>
      <c r="N193" s="17"/>
      <c r="O193" s="71" t="str">
        <f>IFERROR(VLOOKUP(N193,fixed_expenses4[],2,0),"")</f>
        <v/>
      </c>
      <c r="P193" s="22"/>
    </row>
    <row r="194" spans="1:16" ht="11.25" customHeight="1" x14ac:dyDescent="0.2">
      <c r="B194" s="17"/>
      <c r="C194" s="71" t="str">
        <f>IFERROR(VLOOKUP(B194,fixed_expenses4[],2,0),"")</f>
        <v/>
      </c>
      <c r="D194" s="17"/>
      <c r="E194" s="71" t="str">
        <f>IFERROR(VLOOKUP(D194,fixed_expenses4[],2,0),"")</f>
        <v/>
      </c>
      <c r="F194" s="17"/>
      <c r="G194" s="71" t="str">
        <f>IFERROR(VLOOKUP(F194,fixed_expenses4[],2,0),"")</f>
        <v/>
      </c>
      <c r="H194" s="17"/>
      <c r="I194" s="71" t="str">
        <f>IFERROR(VLOOKUP(H194,fixed_expenses4[],2,0),"")</f>
        <v/>
      </c>
      <c r="J194" s="17"/>
      <c r="K194" s="71" t="str">
        <f>IFERROR(VLOOKUP(J194,fixed_expenses4[],2,0),"")</f>
        <v/>
      </c>
      <c r="L194" s="17"/>
      <c r="M194" s="71" t="str">
        <f>IFERROR(VLOOKUP(L194,fixed_expenses4[],2,0),"")</f>
        <v/>
      </c>
      <c r="N194" s="17"/>
      <c r="O194" s="71" t="str">
        <f>IFERROR(VLOOKUP(N194,fixed_expenses4[],2,0),"")</f>
        <v/>
      </c>
      <c r="P194" s="22"/>
    </row>
    <row r="195" spans="1:16" ht="11.25" customHeight="1" x14ac:dyDescent="0.2">
      <c r="B195" s="17"/>
      <c r="C195" s="71" t="str">
        <f>IFERROR(VLOOKUP(B195,fixed_expenses4[],2,0),"")</f>
        <v/>
      </c>
      <c r="D195" s="17"/>
      <c r="E195" s="71" t="str">
        <f>IFERROR(VLOOKUP(D195,fixed_expenses4[],2,0),"")</f>
        <v/>
      </c>
      <c r="F195" s="17"/>
      <c r="G195" s="71" t="str">
        <f>IFERROR(VLOOKUP(F195,fixed_expenses4[],2,0),"")</f>
        <v/>
      </c>
      <c r="H195" s="17"/>
      <c r="I195" s="71" t="str">
        <f>IFERROR(VLOOKUP(H195,fixed_expenses4[],2,0),"")</f>
        <v/>
      </c>
      <c r="J195" s="17"/>
      <c r="K195" s="71" t="str">
        <f>IFERROR(VLOOKUP(J195,fixed_expenses4[],2,0),"")</f>
        <v/>
      </c>
      <c r="L195" s="17"/>
      <c r="M195" s="71" t="str">
        <f>IFERROR(VLOOKUP(L195,fixed_expenses4[],2,0),"")</f>
        <v/>
      </c>
      <c r="N195" s="17"/>
      <c r="O195" s="71" t="str">
        <f>IFERROR(VLOOKUP(N195,fixed_expenses4[],2,0),"")</f>
        <v/>
      </c>
      <c r="P195" s="22"/>
    </row>
    <row r="196" spans="1:16" ht="11.25" customHeight="1" x14ac:dyDescent="0.2">
      <c r="A196" s="43" t="s">
        <v>337</v>
      </c>
      <c r="B196" s="26" t="s">
        <v>8</v>
      </c>
      <c r="C196" s="27">
        <f>SUM(C191:C195)</f>
        <v>0</v>
      </c>
      <c r="D196" s="26"/>
      <c r="E196" s="27">
        <f>SUM(E191:E195)</f>
        <v>0</v>
      </c>
      <c r="F196" s="26"/>
      <c r="G196" s="27">
        <f>SUM(G191:G195)</f>
        <v>0</v>
      </c>
      <c r="H196" s="26"/>
      <c r="I196" s="27">
        <f>SUM(I191:I195)</f>
        <v>0</v>
      </c>
      <c r="J196" s="26"/>
      <c r="K196" s="27">
        <f>SUM(K191:K195)</f>
        <v>0</v>
      </c>
      <c r="L196" s="26"/>
      <c r="M196" s="27">
        <f>SUM(M191:M195)</f>
        <v>800</v>
      </c>
      <c r="N196" s="26"/>
      <c r="O196" s="28">
        <f>SUM(O191:O195)</f>
        <v>0</v>
      </c>
      <c r="P196" s="29">
        <f>SUM(C196,E196,G196,I196,K196,M196,O196)</f>
        <v>800</v>
      </c>
    </row>
    <row r="197" spans="1:16" x14ac:dyDescent="0.2">
      <c r="B197" s="6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6"/>
    </row>
    <row r="198" spans="1:16" ht="15" customHeight="1" x14ac:dyDescent="0.2">
      <c r="A198" s="43" t="s">
        <v>241</v>
      </c>
      <c r="B198" s="12">
        <f ca="1">N189+1</f>
        <v>11</v>
      </c>
      <c r="C198" s="13"/>
      <c r="D198" s="12">
        <f ca="1">B198+1</f>
        <v>12</v>
      </c>
      <c r="E198" s="13"/>
      <c r="F198" s="12">
        <f ca="1">D198+1</f>
        <v>13</v>
      </c>
      <c r="G198" s="13"/>
      <c r="H198" s="12">
        <f ca="1">F198+1</f>
        <v>14</v>
      </c>
      <c r="I198" s="13"/>
      <c r="J198" s="12">
        <f ca="1">H198+1</f>
        <v>15</v>
      </c>
      <c r="K198" s="13"/>
      <c r="L198" s="12">
        <f ca="1">J198+1</f>
        <v>16</v>
      </c>
      <c r="M198" s="13"/>
      <c r="N198" s="12">
        <f ca="1">L198+1</f>
        <v>17</v>
      </c>
      <c r="O198" s="13"/>
      <c r="P198" s="24"/>
    </row>
    <row r="199" spans="1:16" ht="11.25" customHeight="1" x14ac:dyDescent="0.2">
      <c r="A199" s="43" t="s">
        <v>169</v>
      </c>
      <c r="B199" s="37" t="s">
        <v>9</v>
      </c>
      <c r="C199" s="39" t="s">
        <v>10</v>
      </c>
      <c r="D199" s="37" t="s">
        <v>9</v>
      </c>
      <c r="E199" s="39" t="s">
        <v>10</v>
      </c>
      <c r="F199" s="37" t="s">
        <v>9</v>
      </c>
      <c r="G199" s="39" t="s">
        <v>10</v>
      </c>
      <c r="H199" s="37" t="s">
        <v>9</v>
      </c>
      <c r="I199" s="39" t="s">
        <v>10</v>
      </c>
      <c r="J199" s="37" t="s">
        <v>9</v>
      </c>
      <c r="K199" s="39" t="s">
        <v>10</v>
      </c>
      <c r="L199" s="37" t="s">
        <v>9</v>
      </c>
      <c r="M199" s="39" t="s">
        <v>10</v>
      </c>
      <c r="N199" s="37" t="s">
        <v>9</v>
      </c>
      <c r="O199" s="40" t="s">
        <v>10</v>
      </c>
      <c r="P199" s="22"/>
    </row>
    <row r="200" spans="1:16" ht="11.25" customHeight="1" x14ac:dyDescent="0.2">
      <c r="A200" s="43" t="s">
        <v>186</v>
      </c>
      <c r="B200" s="17"/>
      <c r="C200" s="71" t="str">
        <f>IFERROR(VLOOKUP(B200,fixed_expenses4[],2,0),"")</f>
        <v/>
      </c>
      <c r="D200" s="17"/>
      <c r="E200" s="71" t="str">
        <f>IFERROR(VLOOKUP(D200,fixed_expenses4[],2,0),"")</f>
        <v/>
      </c>
      <c r="F200" s="17"/>
      <c r="G200" s="71" t="str">
        <f>IFERROR(VLOOKUP(F200,fixed_expenses4[],2,0),"")</f>
        <v/>
      </c>
      <c r="H200" s="17"/>
      <c r="I200" s="71" t="str">
        <f>IFERROR(VLOOKUP(H200,fixed_expenses4[],2,0),"")</f>
        <v/>
      </c>
      <c r="J200" s="17"/>
      <c r="K200" s="71" t="str">
        <f>IFERROR(VLOOKUP(J200,fixed_expenses4[],2,0),"")</f>
        <v/>
      </c>
      <c r="L200" s="17" t="s">
        <v>387</v>
      </c>
      <c r="M200" s="71">
        <f>IFERROR(VLOOKUP(L200,fixed_expenses4[],2,0),"")</f>
        <v>800</v>
      </c>
      <c r="N200" s="17"/>
      <c r="O200" s="71" t="str">
        <f>IFERROR(VLOOKUP(N200,fixed_expenses4[],2,0),"")</f>
        <v/>
      </c>
      <c r="P200" s="22"/>
    </row>
    <row r="201" spans="1:16" ht="11.25" customHeight="1" x14ac:dyDescent="0.2">
      <c r="B201" s="17"/>
      <c r="C201" s="71" t="str">
        <f>IFERROR(VLOOKUP(B201,fixed_expenses4[],2,0),"")</f>
        <v/>
      </c>
      <c r="D201" s="17"/>
      <c r="E201" s="71" t="str">
        <f>IFERROR(VLOOKUP(D201,fixed_expenses4[],2,0),"")</f>
        <v/>
      </c>
      <c r="F201" s="17"/>
      <c r="G201" s="71" t="str">
        <f>IFERROR(VLOOKUP(F201,fixed_expenses4[],2,0),"")</f>
        <v/>
      </c>
      <c r="H201" s="17"/>
      <c r="I201" s="71" t="str">
        <f>IFERROR(VLOOKUP(H201,fixed_expenses4[],2,0),"")</f>
        <v/>
      </c>
      <c r="J201" s="17"/>
      <c r="K201" s="71" t="str">
        <f>IFERROR(VLOOKUP(J201,fixed_expenses4[],2,0),"")</f>
        <v/>
      </c>
      <c r="L201" s="80" t="s">
        <v>388</v>
      </c>
      <c r="M201" s="71">
        <f>IFERROR(VLOOKUP(L201,fixed_expenses4[],2,0),"")</f>
        <v>770</v>
      </c>
      <c r="N201" s="17"/>
      <c r="O201" s="71" t="str">
        <f>IFERROR(VLOOKUP(N201,fixed_expenses4[],2,0),"")</f>
        <v/>
      </c>
      <c r="P201" s="22"/>
    </row>
    <row r="202" spans="1:16" ht="11.25" customHeight="1" x14ac:dyDescent="0.2">
      <c r="B202" s="17"/>
      <c r="C202" s="71" t="str">
        <f>IFERROR(VLOOKUP(B202,fixed_expenses4[],2,0),"")</f>
        <v/>
      </c>
      <c r="D202" s="17"/>
      <c r="E202" s="71" t="str">
        <f>IFERROR(VLOOKUP(D202,fixed_expenses4[],2,0),"")</f>
        <v/>
      </c>
      <c r="F202" s="17"/>
      <c r="G202" s="71" t="str">
        <f>IFERROR(VLOOKUP(F202,fixed_expenses4[],2,0),"")</f>
        <v/>
      </c>
      <c r="H202" s="17"/>
      <c r="I202" s="71" t="str">
        <f>IFERROR(VLOOKUP(H202,fixed_expenses4[],2,0),"")</f>
        <v/>
      </c>
      <c r="J202" s="17"/>
      <c r="K202" s="71" t="str">
        <f>IFERROR(VLOOKUP(J202,fixed_expenses4[],2,0),"")</f>
        <v/>
      </c>
      <c r="L202" s="17"/>
      <c r="M202" s="71" t="str">
        <f>IFERROR(VLOOKUP(L202,fixed_expenses4[],2,0),"")</f>
        <v/>
      </c>
      <c r="N202" s="17"/>
      <c r="O202" s="71" t="str">
        <f>IFERROR(VLOOKUP(N202,fixed_expenses4[],2,0),"")</f>
        <v/>
      </c>
      <c r="P202" s="22"/>
    </row>
    <row r="203" spans="1:16" ht="11.25" customHeight="1" x14ac:dyDescent="0.2">
      <c r="B203" s="17"/>
      <c r="C203" s="71" t="str">
        <f>IFERROR(VLOOKUP(B203,fixed_expenses4[],2,0),"")</f>
        <v/>
      </c>
      <c r="D203" s="17"/>
      <c r="E203" s="71" t="str">
        <f>IFERROR(VLOOKUP(D203,fixed_expenses4[],2,0),"")</f>
        <v/>
      </c>
      <c r="F203" s="17"/>
      <c r="G203" s="71" t="str">
        <f>IFERROR(VLOOKUP(F203,fixed_expenses4[],2,0),"")</f>
        <v/>
      </c>
      <c r="H203" s="17"/>
      <c r="I203" s="71" t="str">
        <f>IFERROR(VLOOKUP(H203,fixed_expenses4[],2,0),"")</f>
        <v/>
      </c>
      <c r="J203" s="17"/>
      <c r="K203" s="71" t="str">
        <f>IFERROR(VLOOKUP(J203,fixed_expenses4[],2,0),"")</f>
        <v/>
      </c>
      <c r="L203" s="17"/>
      <c r="M203" s="71" t="str">
        <f>IFERROR(VLOOKUP(L203,fixed_expenses4[],2,0),"")</f>
        <v/>
      </c>
      <c r="N203" s="17"/>
      <c r="O203" s="71" t="str">
        <f>IFERROR(VLOOKUP(N203,fixed_expenses4[],2,0),"")</f>
        <v/>
      </c>
      <c r="P203" s="22"/>
    </row>
    <row r="204" spans="1:16" ht="11.25" customHeight="1" x14ac:dyDescent="0.2">
      <c r="B204" s="17"/>
      <c r="C204" s="71" t="str">
        <f>IFERROR(VLOOKUP(B204,fixed_expenses4[],2,0),"")</f>
        <v/>
      </c>
      <c r="D204" s="17"/>
      <c r="E204" s="71" t="str">
        <f>IFERROR(VLOOKUP(D204,fixed_expenses4[],2,0),"")</f>
        <v/>
      </c>
      <c r="F204" s="17"/>
      <c r="G204" s="71" t="str">
        <f>IFERROR(VLOOKUP(F204,fixed_expenses4[],2,0),"")</f>
        <v/>
      </c>
      <c r="H204" s="17"/>
      <c r="I204" s="71" t="str">
        <f>IFERROR(VLOOKUP(H204,fixed_expenses4[],2,0),"")</f>
        <v/>
      </c>
      <c r="J204" s="17"/>
      <c r="K204" s="71" t="str">
        <f>IFERROR(VLOOKUP(J204,fixed_expenses4[],2,0),"")</f>
        <v/>
      </c>
      <c r="L204" s="17"/>
      <c r="M204" s="71" t="str">
        <f>IFERROR(VLOOKUP(L204,fixed_expenses4[],2,0),"")</f>
        <v/>
      </c>
      <c r="N204" s="17"/>
      <c r="O204" s="71" t="str">
        <f>IFERROR(VLOOKUP(N204,fixed_expenses4[],2,0),"")</f>
        <v/>
      </c>
      <c r="P204" s="22"/>
    </row>
    <row r="205" spans="1:16" ht="11.25" customHeight="1" x14ac:dyDescent="0.2">
      <c r="A205" s="43" t="s">
        <v>336</v>
      </c>
      <c r="B205" s="30" t="s">
        <v>8</v>
      </c>
      <c r="C205" s="27">
        <f>SUM(C200:C204)</f>
        <v>0</v>
      </c>
      <c r="D205" s="26"/>
      <c r="E205" s="27">
        <f>SUM(E200:E204)</f>
        <v>0</v>
      </c>
      <c r="F205" s="26"/>
      <c r="G205" s="27">
        <f>SUM(G200:G204)</f>
        <v>0</v>
      </c>
      <c r="H205" s="26"/>
      <c r="I205" s="27">
        <f>SUM(I200:I204)</f>
        <v>0</v>
      </c>
      <c r="J205" s="26"/>
      <c r="K205" s="27">
        <f>SUM(K200:K204)</f>
        <v>0</v>
      </c>
      <c r="L205" s="26"/>
      <c r="M205" s="27">
        <f>SUM(M200:M204)</f>
        <v>1570</v>
      </c>
      <c r="N205" s="26"/>
      <c r="O205" s="28">
        <f>SUM(O200:O204)</f>
        <v>0</v>
      </c>
      <c r="P205" s="29">
        <f>SUM(C205,E205,G205,I205,K205,M205,O205)</f>
        <v>1570</v>
      </c>
    </row>
    <row r="206" spans="1:16" x14ac:dyDescent="0.2">
      <c r="B206" s="6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6"/>
    </row>
    <row r="207" spans="1:16" ht="15" customHeight="1" x14ac:dyDescent="0.2">
      <c r="A207" s="43" t="s">
        <v>242</v>
      </c>
      <c r="B207" s="12">
        <f ca="1">N198+1</f>
        <v>18</v>
      </c>
      <c r="C207" s="13"/>
      <c r="D207" s="12">
        <f ca="1">B207+1</f>
        <v>19</v>
      </c>
      <c r="E207" s="13"/>
      <c r="F207" s="12">
        <f ca="1">D207+1</f>
        <v>20</v>
      </c>
      <c r="G207" s="13"/>
      <c r="H207" s="12">
        <f ca="1">F207+1</f>
        <v>21</v>
      </c>
      <c r="I207" s="13"/>
      <c r="J207" s="12">
        <f ca="1">H207+1</f>
        <v>22</v>
      </c>
      <c r="K207" s="13"/>
      <c r="L207" s="12">
        <f ca="1">J207+1</f>
        <v>23</v>
      </c>
      <c r="M207" s="13"/>
      <c r="N207" s="12">
        <f ca="1">L207+1</f>
        <v>24</v>
      </c>
      <c r="O207" s="13"/>
      <c r="P207" s="24"/>
    </row>
    <row r="208" spans="1:16" ht="11.25" customHeight="1" x14ac:dyDescent="0.2">
      <c r="A208" s="43" t="s">
        <v>168</v>
      </c>
      <c r="B208" s="37" t="s">
        <v>9</v>
      </c>
      <c r="C208" s="39" t="s">
        <v>10</v>
      </c>
      <c r="D208" s="37" t="s">
        <v>9</v>
      </c>
      <c r="E208" s="39" t="s">
        <v>10</v>
      </c>
      <c r="F208" s="37" t="s">
        <v>9</v>
      </c>
      <c r="G208" s="39" t="s">
        <v>10</v>
      </c>
      <c r="H208" s="37" t="s">
        <v>9</v>
      </c>
      <c r="I208" s="39" t="s">
        <v>10</v>
      </c>
      <c r="J208" s="37" t="s">
        <v>9</v>
      </c>
      <c r="K208" s="39" t="s">
        <v>10</v>
      </c>
      <c r="L208" s="37" t="s">
        <v>9</v>
      </c>
      <c r="M208" s="39" t="s">
        <v>10</v>
      </c>
      <c r="N208" s="37" t="s">
        <v>9</v>
      </c>
      <c r="O208" s="40" t="s">
        <v>10</v>
      </c>
      <c r="P208" s="22"/>
    </row>
    <row r="209" spans="1:16" ht="11.25" customHeight="1" x14ac:dyDescent="0.2">
      <c r="A209" s="43" t="s">
        <v>187</v>
      </c>
      <c r="B209" s="17"/>
      <c r="C209" s="71" t="str">
        <f>IFERROR(VLOOKUP(B209,fixed_expenses4[],2,0),"")</f>
        <v/>
      </c>
      <c r="D209" s="17"/>
      <c r="E209" s="71" t="str">
        <f>IFERROR(VLOOKUP(D209,fixed_expenses4[],2,0),"")</f>
        <v/>
      </c>
      <c r="F209" s="17"/>
      <c r="G209" s="71" t="str">
        <f>IFERROR(VLOOKUP(F209,fixed_expenses4[],2,0),"")</f>
        <v/>
      </c>
      <c r="H209" s="17"/>
      <c r="I209" s="71" t="str">
        <f>IFERROR(VLOOKUP(H209,fixed_expenses4[],2,0),"")</f>
        <v/>
      </c>
      <c r="J209" s="17"/>
      <c r="K209" s="71" t="str">
        <f>IFERROR(VLOOKUP(J209,fixed_expenses4[],2,0),"")</f>
        <v/>
      </c>
      <c r="L209" s="17" t="s">
        <v>387</v>
      </c>
      <c r="M209" s="71">
        <f>IFERROR(VLOOKUP(L209,fixed_expenses4[],2,0),"")</f>
        <v>800</v>
      </c>
      <c r="N209" s="17"/>
      <c r="O209" s="71" t="str">
        <f>IFERROR(VLOOKUP(N209,fixed_expenses4[],2,0),"")</f>
        <v/>
      </c>
      <c r="P209" s="22"/>
    </row>
    <row r="210" spans="1:16" ht="11.25" customHeight="1" x14ac:dyDescent="0.2">
      <c r="B210" s="17"/>
      <c r="C210" s="71" t="str">
        <f>IFERROR(VLOOKUP(B210,fixed_expenses4[],2,0),"")</f>
        <v/>
      </c>
      <c r="D210" s="17"/>
      <c r="E210" s="71" t="str">
        <f>IFERROR(VLOOKUP(D210,fixed_expenses4[],2,0),"")</f>
        <v/>
      </c>
      <c r="F210" s="17"/>
      <c r="G210" s="71" t="str">
        <f>IFERROR(VLOOKUP(F210,fixed_expenses4[],2,0),"")</f>
        <v/>
      </c>
      <c r="H210" s="17"/>
      <c r="I210" s="71" t="str">
        <f>IFERROR(VLOOKUP(H210,fixed_expenses4[],2,0),"")</f>
        <v/>
      </c>
      <c r="J210" s="17"/>
      <c r="K210" s="71" t="str">
        <f>IFERROR(VLOOKUP(J210,fixed_expenses4[],2,0),"")</f>
        <v/>
      </c>
      <c r="L210" s="17"/>
      <c r="M210" s="71" t="str">
        <f>IFERROR(VLOOKUP(L210,fixed_expenses4[],2,0),"")</f>
        <v/>
      </c>
      <c r="N210" s="17"/>
      <c r="O210" s="71" t="str">
        <f>IFERROR(VLOOKUP(N210,fixed_expenses4[],2,0),"")</f>
        <v/>
      </c>
      <c r="P210" s="22"/>
    </row>
    <row r="211" spans="1:16" ht="11.25" customHeight="1" x14ac:dyDescent="0.2">
      <c r="B211" s="17"/>
      <c r="C211" s="71" t="str">
        <f>IFERROR(VLOOKUP(B211,fixed_expenses4[],2,0),"")</f>
        <v/>
      </c>
      <c r="D211" s="17"/>
      <c r="E211" s="71" t="str">
        <f>IFERROR(VLOOKUP(D211,fixed_expenses4[],2,0),"")</f>
        <v/>
      </c>
      <c r="F211" s="17"/>
      <c r="G211" s="71" t="str">
        <f>IFERROR(VLOOKUP(F211,fixed_expenses4[],2,0),"")</f>
        <v/>
      </c>
      <c r="H211" s="17"/>
      <c r="I211" s="71" t="str">
        <f>IFERROR(VLOOKUP(H211,fixed_expenses4[],2,0),"")</f>
        <v/>
      </c>
      <c r="J211" s="17"/>
      <c r="K211" s="71" t="str">
        <f>IFERROR(VLOOKUP(J211,fixed_expenses4[],2,0),"")</f>
        <v/>
      </c>
      <c r="L211" s="17"/>
      <c r="M211" s="71" t="str">
        <f>IFERROR(VLOOKUP(L211,fixed_expenses4[],2,0),"")</f>
        <v/>
      </c>
      <c r="N211" s="17"/>
      <c r="O211" s="71" t="str">
        <f>IFERROR(VLOOKUP(N211,fixed_expenses4[],2,0),"")</f>
        <v/>
      </c>
      <c r="P211" s="22"/>
    </row>
    <row r="212" spans="1:16" ht="11.25" customHeight="1" x14ac:dyDescent="0.2">
      <c r="B212" s="17"/>
      <c r="C212" s="71" t="str">
        <f>IFERROR(VLOOKUP(B212,fixed_expenses4[],2,0),"")</f>
        <v/>
      </c>
      <c r="D212" s="17"/>
      <c r="E212" s="71" t="str">
        <f>IFERROR(VLOOKUP(D212,fixed_expenses4[],2,0),"")</f>
        <v/>
      </c>
      <c r="F212" s="17"/>
      <c r="G212" s="71" t="str">
        <f>IFERROR(VLOOKUP(F212,fixed_expenses4[],2,0),"")</f>
        <v/>
      </c>
      <c r="H212" s="17"/>
      <c r="I212" s="71" t="str">
        <f>IFERROR(VLOOKUP(H212,fixed_expenses4[],2,0),"")</f>
        <v/>
      </c>
      <c r="J212" s="17"/>
      <c r="K212" s="71" t="str">
        <f>IFERROR(VLOOKUP(J212,fixed_expenses4[],2,0),"")</f>
        <v/>
      </c>
      <c r="L212" s="17"/>
      <c r="M212" s="71" t="str">
        <f>IFERROR(VLOOKUP(L212,fixed_expenses4[],2,0),"")</f>
        <v/>
      </c>
      <c r="N212" s="17"/>
      <c r="O212" s="71" t="str">
        <f>IFERROR(VLOOKUP(N212,fixed_expenses4[],2,0),"")</f>
        <v/>
      </c>
      <c r="P212" s="22"/>
    </row>
    <row r="213" spans="1:16" ht="11.25" customHeight="1" x14ac:dyDescent="0.2">
      <c r="B213" s="17"/>
      <c r="C213" s="71" t="str">
        <f>IFERROR(VLOOKUP(B213,fixed_expenses4[],2,0),"")</f>
        <v/>
      </c>
      <c r="D213" s="17"/>
      <c r="E213" s="71" t="str">
        <f>IFERROR(VLOOKUP(D213,fixed_expenses4[],2,0),"")</f>
        <v/>
      </c>
      <c r="F213" s="17"/>
      <c r="G213" s="71" t="str">
        <f>IFERROR(VLOOKUP(F213,fixed_expenses4[],2,0),"")</f>
        <v/>
      </c>
      <c r="H213" s="17"/>
      <c r="I213" s="71" t="str">
        <f>IFERROR(VLOOKUP(H213,fixed_expenses4[],2,0),"")</f>
        <v/>
      </c>
      <c r="J213" s="17"/>
      <c r="K213" s="71" t="str">
        <f>IFERROR(VLOOKUP(J213,fixed_expenses4[],2,0),"")</f>
        <v/>
      </c>
      <c r="L213" s="17"/>
      <c r="M213" s="71" t="str">
        <f>IFERROR(VLOOKUP(L213,fixed_expenses4[],2,0),"")</f>
        <v/>
      </c>
      <c r="N213" s="17"/>
      <c r="O213" s="71" t="str">
        <f>IFERROR(VLOOKUP(N213,fixed_expenses4[],2,0),"")</f>
        <v/>
      </c>
      <c r="P213" s="22"/>
    </row>
    <row r="214" spans="1:16" ht="11.25" customHeight="1" x14ac:dyDescent="0.2">
      <c r="A214" s="43" t="s">
        <v>335</v>
      </c>
      <c r="B214" s="26" t="s">
        <v>8</v>
      </c>
      <c r="C214" s="27">
        <f>SUM(C209:C213)</f>
        <v>0</v>
      </c>
      <c r="D214" s="26"/>
      <c r="E214" s="27">
        <f>SUM(E209:E213)</f>
        <v>0</v>
      </c>
      <c r="F214" s="26"/>
      <c r="G214" s="27">
        <f>SUM(G209:G213)</f>
        <v>0</v>
      </c>
      <c r="H214" s="26"/>
      <c r="I214" s="27">
        <f>SUM(I209:I213)</f>
        <v>0</v>
      </c>
      <c r="J214" s="26"/>
      <c r="K214" s="27">
        <f>SUM(K209:K213)</f>
        <v>0</v>
      </c>
      <c r="L214" s="26"/>
      <c r="M214" s="27">
        <f>SUM(M209:M213)</f>
        <v>800</v>
      </c>
      <c r="N214" s="26"/>
      <c r="O214" s="28">
        <f>SUM(O209:O213)</f>
        <v>0</v>
      </c>
      <c r="P214" s="29">
        <f>SUM(C214,E214,G214,I214,K214,M214,O214)</f>
        <v>800</v>
      </c>
    </row>
    <row r="215" spans="1:16" x14ac:dyDescent="0.2">
      <c r="B215" s="6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6"/>
    </row>
    <row r="216" spans="1:16" ht="15" customHeight="1" x14ac:dyDescent="0.2">
      <c r="A216" s="43" t="s">
        <v>243</v>
      </c>
      <c r="B216" s="12">
        <f ca="1">DAY(IF(DAY(AprSun1)=1,AprSun1+22,AprSun1+29))</f>
        <v>25</v>
      </c>
      <c r="C216" s="13"/>
      <c r="D216" s="12">
        <f ca="1">DAY(IF(DAY(AprSun1)=1,AprSun1+23,AprSun1+30))</f>
        <v>26</v>
      </c>
      <c r="E216" s="13"/>
      <c r="F216" s="12">
        <f ca="1">DAY(IF(DAY(AprSun1)=1,AprSun1+24,AprSun1+31))</f>
        <v>27</v>
      </c>
      <c r="G216" s="13"/>
      <c r="H216" s="12">
        <f ca="1">DAY(IF(DAY(AprSun1)=1,AprSun1+25,AprSun1+32))</f>
        <v>28</v>
      </c>
      <c r="I216" s="13"/>
      <c r="J216" s="12">
        <f ca="1">DAY(IF(DAY(AprSun1)=1,AprSun1+26,AprSun1+33))</f>
        <v>29</v>
      </c>
      <c r="K216" s="13"/>
      <c r="L216" s="12">
        <f ca="1">DAY(IF(DAY(AprSun1)=1,AprSun1+27,AprSun1+34))</f>
        <v>30</v>
      </c>
      <c r="M216" s="13"/>
      <c r="N216" s="12">
        <f ca="1">DAY(IF(DAY(AprSun1)=1,AprSun1+28,AprSun1+35))</f>
        <v>1</v>
      </c>
      <c r="O216" s="13"/>
      <c r="P216" s="25"/>
    </row>
    <row r="217" spans="1:16" ht="11.25" customHeight="1" x14ac:dyDescent="0.2">
      <c r="A217" s="43" t="s">
        <v>167</v>
      </c>
      <c r="B217" s="37" t="s">
        <v>9</v>
      </c>
      <c r="C217" s="39" t="s">
        <v>10</v>
      </c>
      <c r="D217" s="37" t="s">
        <v>9</v>
      </c>
      <c r="E217" s="39" t="s">
        <v>10</v>
      </c>
      <c r="F217" s="37" t="s">
        <v>9</v>
      </c>
      <c r="G217" s="39" t="s">
        <v>10</v>
      </c>
      <c r="H217" s="37" t="s">
        <v>9</v>
      </c>
      <c r="I217" s="39" t="s">
        <v>10</v>
      </c>
      <c r="J217" s="37" t="s">
        <v>9</v>
      </c>
      <c r="K217" s="39" t="s">
        <v>10</v>
      </c>
      <c r="L217" s="37" t="s">
        <v>9</v>
      </c>
      <c r="M217" s="39" t="s">
        <v>10</v>
      </c>
      <c r="N217" s="37" t="s">
        <v>9</v>
      </c>
      <c r="O217" s="40" t="s">
        <v>10</v>
      </c>
      <c r="P217" s="22"/>
    </row>
    <row r="218" spans="1:16" ht="11.25" customHeight="1" x14ac:dyDescent="0.2">
      <c r="A218" s="43" t="s">
        <v>351</v>
      </c>
      <c r="B218" s="17"/>
      <c r="C218" s="71" t="str">
        <f>IFERROR(VLOOKUP(B218,fixed_expenses4[],2,0),"")</f>
        <v/>
      </c>
      <c r="D218" s="17"/>
      <c r="E218" s="71" t="str">
        <f>IFERROR(VLOOKUP(D218,fixed_expenses4[],2,0),"")</f>
        <v/>
      </c>
      <c r="F218" s="17"/>
      <c r="G218" s="71" t="str">
        <f>IFERROR(VLOOKUP(F218,fixed_expenses4[],2,0),"")</f>
        <v/>
      </c>
      <c r="H218" s="17"/>
      <c r="I218" s="71" t="str">
        <f>IFERROR(VLOOKUP(H218,fixed_expenses4[],2,0),"")</f>
        <v/>
      </c>
      <c r="J218" s="17"/>
      <c r="K218" s="71" t="str">
        <f>IFERROR(VLOOKUP(J218,fixed_expenses4[],2,0),"")</f>
        <v/>
      </c>
      <c r="L218" s="17" t="s">
        <v>387</v>
      </c>
      <c r="M218" s="71">
        <f>IFERROR(VLOOKUP(L218,fixed_expenses4[],2,0),"")</f>
        <v>800</v>
      </c>
      <c r="N218" s="17"/>
      <c r="O218" s="71" t="str">
        <f>IFERROR(VLOOKUP(N218,fixed_expenses4[],2,0),"")</f>
        <v/>
      </c>
      <c r="P218" s="22"/>
    </row>
    <row r="219" spans="1:16" ht="11.25" customHeight="1" x14ac:dyDescent="0.2">
      <c r="B219" s="17"/>
      <c r="C219" s="71" t="str">
        <f>IFERROR(VLOOKUP(B219,fixed_expenses4[],2,0),"")</f>
        <v/>
      </c>
      <c r="D219" s="17"/>
      <c r="E219" s="71" t="str">
        <f>IFERROR(VLOOKUP(D219,fixed_expenses4[],2,0),"")</f>
        <v/>
      </c>
      <c r="F219" s="17"/>
      <c r="G219" s="71" t="str">
        <f>IFERROR(VLOOKUP(F219,fixed_expenses4[],2,0),"")</f>
        <v/>
      </c>
      <c r="H219" s="17"/>
      <c r="I219" s="71" t="str">
        <f>IFERROR(VLOOKUP(H219,fixed_expenses4[],2,0),"")</f>
        <v/>
      </c>
      <c r="J219" s="17"/>
      <c r="K219" s="71" t="str">
        <f>IFERROR(VLOOKUP(J219,fixed_expenses4[],2,0),"")</f>
        <v/>
      </c>
      <c r="L219" s="80" t="s">
        <v>388</v>
      </c>
      <c r="M219" s="71">
        <f>IFERROR(VLOOKUP(L219,fixed_expenses4[],2,0),"")</f>
        <v>770</v>
      </c>
      <c r="N219" s="17"/>
      <c r="O219" s="71" t="str">
        <f>IFERROR(VLOOKUP(N219,fixed_expenses4[],2,0),"")</f>
        <v/>
      </c>
      <c r="P219" s="22"/>
    </row>
    <row r="220" spans="1:16" ht="11.25" customHeight="1" x14ac:dyDescent="0.2">
      <c r="B220" s="17"/>
      <c r="C220" s="71" t="str">
        <f>IFERROR(VLOOKUP(B220,fixed_expenses4[],2,0),"")</f>
        <v/>
      </c>
      <c r="D220" s="17"/>
      <c r="E220" s="71" t="str">
        <f>IFERROR(VLOOKUP(D220,fixed_expenses4[],2,0),"")</f>
        <v/>
      </c>
      <c r="F220" s="17"/>
      <c r="G220" s="71" t="str">
        <f>IFERROR(VLOOKUP(F220,fixed_expenses4[],2,0),"")</f>
        <v/>
      </c>
      <c r="H220" s="17"/>
      <c r="I220" s="71" t="str">
        <f>IFERROR(VLOOKUP(H220,fixed_expenses4[],2,0),"")</f>
        <v/>
      </c>
      <c r="J220" s="17"/>
      <c r="K220" s="71" t="str">
        <f>IFERROR(VLOOKUP(J220,fixed_expenses4[],2,0),"")</f>
        <v/>
      </c>
      <c r="L220" s="17"/>
      <c r="M220" s="71" t="str">
        <f>IFERROR(VLOOKUP(L220,fixed_expenses4[],2,0),"")</f>
        <v/>
      </c>
      <c r="N220" s="17"/>
      <c r="O220" s="71" t="str">
        <f>IFERROR(VLOOKUP(N220,fixed_expenses4[],2,0),"")</f>
        <v/>
      </c>
      <c r="P220" s="22"/>
    </row>
    <row r="221" spans="1:16" ht="11.25" customHeight="1" x14ac:dyDescent="0.2">
      <c r="B221" s="17"/>
      <c r="C221" s="71" t="str">
        <f>IFERROR(VLOOKUP(B221,fixed_expenses4[],2,0),"")</f>
        <v/>
      </c>
      <c r="D221" s="17"/>
      <c r="E221" s="71" t="str">
        <f>IFERROR(VLOOKUP(D221,fixed_expenses4[],2,0),"")</f>
        <v/>
      </c>
      <c r="F221" s="17"/>
      <c r="G221" s="71" t="str">
        <f>IFERROR(VLOOKUP(F221,fixed_expenses4[],2,0),"")</f>
        <v/>
      </c>
      <c r="H221" s="17"/>
      <c r="I221" s="71" t="str">
        <f>IFERROR(VLOOKUP(H221,fixed_expenses4[],2,0),"")</f>
        <v/>
      </c>
      <c r="J221" s="17"/>
      <c r="K221" s="71" t="str">
        <f>IFERROR(VLOOKUP(J221,fixed_expenses4[],2,0),"")</f>
        <v/>
      </c>
      <c r="L221" s="17"/>
      <c r="M221" s="71" t="str">
        <f>IFERROR(VLOOKUP(L221,fixed_expenses4[],2,0),"")</f>
        <v/>
      </c>
      <c r="N221" s="17"/>
      <c r="O221" s="71" t="str">
        <f>IFERROR(VLOOKUP(N221,fixed_expenses4[],2,0),"")</f>
        <v/>
      </c>
      <c r="P221" s="22"/>
    </row>
    <row r="222" spans="1:16" ht="11.25" customHeight="1" x14ac:dyDescent="0.2">
      <c r="B222" s="17"/>
      <c r="C222" s="71" t="str">
        <f>IFERROR(VLOOKUP(B222,fixed_expenses4[],2,0),"")</f>
        <v/>
      </c>
      <c r="D222" s="17"/>
      <c r="E222" s="71" t="str">
        <f>IFERROR(VLOOKUP(D222,fixed_expenses4[],2,0),"")</f>
        <v/>
      </c>
      <c r="F222" s="17"/>
      <c r="G222" s="71" t="str">
        <f>IFERROR(VLOOKUP(F222,fixed_expenses4[],2,0),"")</f>
        <v/>
      </c>
      <c r="H222" s="17"/>
      <c r="I222" s="71" t="str">
        <f>IFERROR(VLOOKUP(H222,fixed_expenses4[],2,0),"")</f>
        <v/>
      </c>
      <c r="J222" s="17"/>
      <c r="K222" s="71" t="str">
        <f>IFERROR(VLOOKUP(J222,fixed_expenses4[],2,0),"")</f>
        <v/>
      </c>
      <c r="L222" s="17"/>
      <c r="M222" s="71" t="str">
        <f>IFERROR(VLOOKUP(L222,fixed_expenses4[],2,0),"")</f>
        <v/>
      </c>
      <c r="N222" s="17"/>
      <c r="O222" s="71" t="str">
        <f>IFERROR(VLOOKUP(N222,fixed_expenses4[],2,0),"")</f>
        <v/>
      </c>
      <c r="P222" s="22"/>
    </row>
    <row r="223" spans="1:16" ht="11.25" customHeight="1" x14ac:dyDescent="0.2">
      <c r="A223" s="43" t="s">
        <v>334</v>
      </c>
      <c r="B223" s="26" t="s">
        <v>8</v>
      </c>
      <c r="C223" s="27">
        <f>SUM(C218:C222)</f>
        <v>0</v>
      </c>
      <c r="D223" s="26"/>
      <c r="E223" s="27">
        <f>SUM(E218:E222)</f>
        <v>0</v>
      </c>
      <c r="F223" s="18"/>
      <c r="G223" s="27">
        <f>SUM(G218:G222)</f>
        <v>0</v>
      </c>
      <c r="H223" s="18"/>
      <c r="I223" s="27">
        <f>SUM(I218:I222)</f>
        <v>0</v>
      </c>
      <c r="J223" s="18"/>
      <c r="K223" s="27">
        <f>SUM(K218:K222)</f>
        <v>0</v>
      </c>
      <c r="L223" s="18"/>
      <c r="M223" s="27">
        <f>SUM(M218:M222)</f>
        <v>1570</v>
      </c>
      <c r="N223" s="18"/>
      <c r="O223" s="28">
        <f>SUM(O218:O222)</f>
        <v>0</v>
      </c>
      <c r="P223" s="29">
        <f ca="1">SUMIF(B216:N216,"&gt;="&amp;15,C223:O223)</f>
        <v>1570</v>
      </c>
    </row>
    <row r="224" spans="1:16" x14ac:dyDescent="0.2">
      <c r="B224" s="6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6"/>
    </row>
    <row r="225" spans="1:16" ht="15" customHeight="1" x14ac:dyDescent="0.2">
      <c r="A225" s="43" t="s">
        <v>244</v>
      </c>
      <c r="B225" s="12">
        <f ca="1">DAY(IF(DAY(AprSun1)=1,AprSun1+29,AprSun1+36))</f>
        <v>2</v>
      </c>
      <c r="C225" s="11"/>
      <c r="D225" s="12">
        <f ca="1">DAY(IF(DAY(AprSun1)=1,AprSun1+30,AprSun1+37))</f>
        <v>3</v>
      </c>
      <c r="E225" s="13"/>
      <c r="F225" s="10">
        <f ca="1">DAY(IF(DAY(AprSun1)=1,AprSun1+31,AprSun1+38))</f>
        <v>4</v>
      </c>
      <c r="G225" s="13"/>
      <c r="H225" s="12">
        <f ca="1">DAY(IF(DAY(AprSun1)=1,AprSun1+32,AprSun1+39))</f>
        <v>5</v>
      </c>
      <c r="I225" s="13"/>
      <c r="J225" s="12">
        <f ca="1">DAY(IF(DAY(AprSun1)=1,AprSun1+33,AprSun1+40))</f>
        <v>6</v>
      </c>
      <c r="K225" s="13"/>
      <c r="L225" s="12">
        <f ca="1">DAY(IF(DAY(AprSun1)=1,AprSun1+34,AprSun1+41))</f>
        <v>7</v>
      </c>
      <c r="M225" s="13"/>
      <c r="N225" s="12">
        <f ca="1">DAY(IF(DAY(AprSun1)=1,AprSun1+35,AprSun1+42))</f>
        <v>8</v>
      </c>
      <c r="O225" s="13"/>
      <c r="P225" s="25"/>
    </row>
    <row r="226" spans="1:16" ht="11.25" customHeight="1" x14ac:dyDescent="0.2">
      <c r="A226" s="43" t="s">
        <v>166</v>
      </c>
      <c r="B226" s="37" t="s">
        <v>9</v>
      </c>
      <c r="C226" s="39" t="s">
        <v>10</v>
      </c>
      <c r="D226" s="37" t="s">
        <v>9</v>
      </c>
      <c r="E226" s="39" t="s">
        <v>10</v>
      </c>
      <c r="F226" s="37" t="s">
        <v>9</v>
      </c>
      <c r="G226" s="39" t="s">
        <v>10</v>
      </c>
      <c r="H226" s="37" t="s">
        <v>9</v>
      </c>
      <c r="I226" s="39" t="s">
        <v>10</v>
      </c>
      <c r="J226" s="37" t="s">
        <v>9</v>
      </c>
      <c r="K226" s="39" t="s">
        <v>10</v>
      </c>
      <c r="L226" s="37" t="s">
        <v>9</v>
      </c>
      <c r="M226" s="39" t="s">
        <v>10</v>
      </c>
      <c r="N226" s="37" t="s">
        <v>9</v>
      </c>
      <c r="O226" s="40" t="s">
        <v>10</v>
      </c>
      <c r="P226" s="22"/>
    </row>
    <row r="227" spans="1:16" ht="11.25" customHeight="1" x14ac:dyDescent="0.2">
      <c r="A227" s="43" t="s">
        <v>188</v>
      </c>
      <c r="B227" s="17"/>
      <c r="C227" s="71" t="str">
        <f>IFERROR(VLOOKUP(B227,fixed_expenses4[],2,0),"")</f>
        <v/>
      </c>
      <c r="D227" s="17"/>
      <c r="E227" s="71" t="str">
        <f>IFERROR(VLOOKUP(D227,fixed_expenses4[],2,0),"")</f>
        <v/>
      </c>
      <c r="F227" s="17"/>
      <c r="G227" s="71" t="str">
        <f>IFERROR(VLOOKUP(F227,fixed_expenses4[],2,0),"")</f>
        <v/>
      </c>
      <c r="H227" s="17"/>
      <c r="I227" s="71" t="str">
        <f>IFERROR(VLOOKUP(H227,fixed_expenses4[],2,0),"")</f>
        <v/>
      </c>
      <c r="J227" s="17"/>
      <c r="K227" s="71" t="str">
        <f>IFERROR(VLOOKUP(J227,fixed_expenses4[],2,0),"")</f>
        <v/>
      </c>
      <c r="L227" s="17"/>
      <c r="M227" s="71" t="str">
        <f>IFERROR(VLOOKUP(L227,fixed_expenses4[],2,0),"")</f>
        <v/>
      </c>
      <c r="N227" s="17"/>
      <c r="O227" s="71" t="str">
        <f>IFERROR(VLOOKUP(N227,fixed_expenses4[],2,0),"")</f>
        <v/>
      </c>
      <c r="P227" s="22"/>
    </row>
    <row r="228" spans="1:16" ht="11.25" customHeight="1" x14ac:dyDescent="0.2">
      <c r="B228" s="17"/>
      <c r="C228" s="71" t="str">
        <f>IFERROR(VLOOKUP(B228,fixed_expenses4[],2,0),"")</f>
        <v/>
      </c>
      <c r="D228" s="17"/>
      <c r="E228" s="71" t="str">
        <f>IFERROR(VLOOKUP(D228,fixed_expenses4[],2,0),"")</f>
        <v/>
      </c>
      <c r="F228" s="17"/>
      <c r="G228" s="71" t="str">
        <f>IFERROR(VLOOKUP(F228,fixed_expenses4[],2,0),"")</f>
        <v/>
      </c>
      <c r="H228" s="17"/>
      <c r="I228" s="71" t="str">
        <f>IFERROR(VLOOKUP(H228,fixed_expenses4[],2,0),"")</f>
        <v/>
      </c>
      <c r="J228" s="17"/>
      <c r="K228" s="71" t="str">
        <f>IFERROR(VLOOKUP(J228,fixed_expenses4[],2,0),"")</f>
        <v/>
      </c>
      <c r="L228" s="17"/>
      <c r="M228" s="71" t="str">
        <f>IFERROR(VLOOKUP(L228,fixed_expenses4[],2,0),"")</f>
        <v/>
      </c>
      <c r="N228" s="17"/>
      <c r="O228" s="71" t="str">
        <f>IFERROR(VLOOKUP(N228,fixed_expenses4[],2,0),"")</f>
        <v/>
      </c>
      <c r="P228" s="22"/>
    </row>
    <row r="229" spans="1:16" ht="11.25" customHeight="1" x14ac:dyDescent="0.2">
      <c r="B229" s="17"/>
      <c r="C229" s="71" t="str">
        <f>IFERROR(VLOOKUP(B229,fixed_expenses4[],2,0),"")</f>
        <v/>
      </c>
      <c r="D229" s="17"/>
      <c r="E229" s="71" t="str">
        <f>IFERROR(VLOOKUP(D229,fixed_expenses4[],2,0),"")</f>
        <v/>
      </c>
      <c r="F229" s="17"/>
      <c r="G229" s="71" t="str">
        <f>IFERROR(VLOOKUP(F229,fixed_expenses4[],2,0),"")</f>
        <v/>
      </c>
      <c r="H229" s="17"/>
      <c r="I229" s="71" t="str">
        <f>IFERROR(VLOOKUP(H229,fixed_expenses4[],2,0),"")</f>
        <v/>
      </c>
      <c r="J229" s="17"/>
      <c r="K229" s="71" t="str">
        <f>IFERROR(VLOOKUP(J229,fixed_expenses4[],2,0),"")</f>
        <v/>
      </c>
      <c r="L229" s="17"/>
      <c r="M229" s="71" t="str">
        <f>IFERROR(VLOOKUP(L229,fixed_expenses4[],2,0),"")</f>
        <v/>
      </c>
      <c r="N229" s="17"/>
      <c r="O229" s="71" t="str">
        <f>IFERROR(VLOOKUP(N229,fixed_expenses4[],2,0),"")</f>
        <v/>
      </c>
      <c r="P229" s="22"/>
    </row>
    <row r="230" spans="1:16" ht="11.25" customHeight="1" x14ac:dyDescent="0.2">
      <c r="B230" s="17"/>
      <c r="C230" s="71" t="str">
        <f>IFERROR(VLOOKUP(B230,fixed_expenses4[],2,0),"")</f>
        <v/>
      </c>
      <c r="D230" s="17"/>
      <c r="E230" s="71" t="str">
        <f>IFERROR(VLOOKUP(D230,fixed_expenses4[],2,0),"")</f>
        <v/>
      </c>
      <c r="F230" s="17"/>
      <c r="G230" s="71" t="str">
        <f>IFERROR(VLOOKUP(F230,fixed_expenses4[],2,0),"")</f>
        <v/>
      </c>
      <c r="H230" s="17"/>
      <c r="I230" s="71" t="str">
        <f>IFERROR(VLOOKUP(H230,fixed_expenses4[],2,0),"")</f>
        <v/>
      </c>
      <c r="J230" s="17"/>
      <c r="K230" s="71" t="str">
        <f>IFERROR(VLOOKUP(J230,fixed_expenses4[],2,0),"")</f>
        <v/>
      </c>
      <c r="L230" s="17"/>
      <c r="M230" s="71" t="str">
        <f>IFERROR(VLOOKUP(L230,fixed_expenses4[],2,0),"")</f>
        <v/>
      </c>
      <c r="N230" s="17"/>
      <c r="O230" s="71" t="str">
        <f>IFERROR(VLOOKUP(N230,fixed_expenses4[],2,0),"")</f>
        <v/>
      </c>
      <c r="P230" s="22"/>
    </row>
    <row r="231" spans="1:16" ht="11.25" customHeight="1" x14ac:dyDescent="0.2">
      <c r="B231" s="17"/>
      <c r="C231" s="71" t="str">
        <f>IFERROR(VLOOKUP(B231,fixed_expenses4[],2,0),"")</f>
        <v/>
      </c>
      <c r="D231" s="17"/>
      <c r="E231" s="71" t="str">
        <f>IFERROR(VLOOKUP(D231,fixed_expenses4[],2,0),"")</f>
        <v/>
      </c>
      <c r="F231" s="17"/>
      <c r="G231" s="71" t="str">
        <f>IFERROR(VLOOKUP(F231,fixed_expenses4[],2,0),"")</f>
        <v/>
      </c>
      <c r="H231" s="17"/>
      <c r="I231" s="71" t="str">
        <f>IFERROR(VLOOKUP(H231,fixed_expenses4[],2,0),"")</f>
        <v/>
      </c>
      <c r="J231" s="17"/>
      <c r="K231" s="71" t="str">
        <f>IFERROR(VLOOKUP(J231,fixed_expenses4[],2,0),"")</f>
        <v/>
      </c>
      <c r="L231" s="17"/>
      <c r="M231" s="71" t="str">
        <f>IFERROR(VLOOKUP(L231,fixed_expenses4[],2,0),"")</f>
        <v/>
      </c>
      <c r="N231" s="17"/>
      <c r="O231" s="71" t="str">
        <f>IFERROR(VLOOKUP(N231,fixed_expenses4[],2,0),"")</f>
        <v/>
      </c>
      <c r="P231" s="22"/>
    </row>
    <row r="232" spans="1:16" ht="11.25" customHeight="1" x14ac:dyDescent="0.2">
      <c r="A232" s="43" t="s">
        <v>333</v>
      </c>
      <c r="B232" s="26" t="s">
        <v>8</v>
      </c>
      <c r="C232" s="27">
        <f>SUM(C227:C231)</f>
        <v>0</v>
      </c>
      <c r="D232" s="18"/>
      <c r="E232" s="27">
        <f>SUM(E227:E231)</f>
        <v>0</v>
      </c>
      <c r="F232" s="18"/>
      <c r="G232" s="27">
        <f>SUM(G227:G231)</f>
        <v>0</v>
      </c>
      <c r="H232" s="18"/>
      <c r="I232" s="27">
        <f>SUM(I227:I231)</f>
        <v>0</v>
      </c>
      <c r="J232" s="18"/>
      <c r="K232" s="27">
        <f>SUM(K227:K231)</f>
        <v>0</v>
      </c>
      <c r="L232" s="18"/>
      <c r="M232" s="27">
        <f>SUM(M227:M231)</f>
        <v>0</v>
      </c>
      <c r="N232" s="18"/>
      <c r="O232" s="28">
        <f>SUM(O227:O231)</f>
        <v>0</v>
      </c>
      <c r="P232" s="29">
        <f ca="1">SUMIF(B225:N225,"&gt;="&amp;15,C232:O232)</f>
        <v>0</v>
      </c>
    </row>
    <row r="233" spans="1:16" ht="17.25" customHeight="1" x14ac:dyDescent="0.2"/>
    <row r="234" spans="1:16" ht="12" customHeight="1" x14ac:dyDescent="0.2">
      <c r="A234" s="43" t="s">
        <v>87</v>
      </c>
      <c r="B234" s="59" t="s">
        <v>17</v>
      </c>
      <c r="C234" s="59"/>
      <c r="D234" s="59"/>
      <c r="E234" s="59"/>
      <c r="F234"/>
      <c r="G234" s="4"/>
      <c r="H234"/>
      <c r="I234" s="4"/>
      <c r="J234"/>
      <c r="K234" s="4"/>
      <c r="L234" s="45" t="s">
        <v>12</v>
      </c>
      <c r="M234" s="45"/>
      <c r="N234" s="45" t="s">
        <v>13</v>
      </c>
      <c r="O234" s="45"/>
      <c r="P234"/>
    </row>
    <row r="235" spans="1:16" ht="25.5" customHeight="1" x14ac:dyDescent="0.2">
      <c r="A235" s="43" t="s">
        <v>92</v>
      </c>
      <c r="B235" s="59"/>
      <c r="C235" s="59"/>
      <c r="D235" s="59"/>
      <c r="E235" s="59"/>
      <c r="F235" s="3">
        <f ca="1">IFERROR(WEEKDAY(DATEVALUE(B234&amp;" 1, "&amp;Year1)),"")</f>
        <v>7</v>
      </c>
      <c r="G235" s="4"/>
      <c r="H235"/>
      <c r="I235" s="7"/>
      <c r="J235" s="8"/>
      <c r="K235" s="4"/>
      <c r="L235" s="46">
        <f ca="1">SUM(P245,P254,P263,P272,P281,P290)</f>
        <v>4740</v>
      </c>
      <c r="M235" s="47"/>
      <c r="N235" s="46">
        <f ca="1">SUM(P:P)</f>
        <v>62420</v>
      </c>
      <c r="O235" s="48"/>
      <c r="P235"/>
    </row>
    <row r="236" spans="1:16" ht="9" customHeight="1" x14ac:dyDescent="0.2">
      <c r="A236" s="43" t="s">
        <v>352</v>
      </c>
      <c r="B236" s="50">
        <v>1</v>
      </c>
      <c r="C236" s="50"/>
      <c r="D236" s="50">
        <v>2</v>
      </c>
      <c r="E236" s="50"/>
      <c r="F236" s="50">
        <v>3</v>
      </c>
      <c r="G236" s="50"/>
      <c r="H236" s="50">
        <v>4</v>
      </c>
      <c r="I236" s="50"/>
      <c r="J236" s="50">
        <v>5</v>
      </c>
      <c r="K236" s="50"/>
      <c r="L236" s="50">
        <v>6</v>
      </c>
      <c r="M236" s="50"/>
      <c r="N236" s="50">
        <v>7</v>
      </c>
      <c r="O236" s="50"/>
      <c r="P236" s="2"/>
    </row>
    <row r="237" spans="1:16" ht="15" customHeight="1" x14ac:dyDescent="0.2">
      <c r="A237" s="43" t="s">
        <v>107</v>
      </c>
      <c r="B237" s="60" t="s">
        <v>0</v>
      </c>
      <c r="C237" s="61"/>
      <c r="D237" s="62" t="s">
        <v>1</v>
      </c>
      <c r="E237" s="63" t="e">
        <f ca="1">IF(WEEKDAY(DATEVALUE(Month1&amp;" 1, "&amp;Year1))=COLUMN(#REF!),1,IF(LEN(C237)&gt;0,C237+1,""))</f>
        <v>#VALUE!</v>
      </c>
      <c r="F237" s="61" t="s">
        <v>2</v>
      </c>
      <c r="G237" s="61" t="e">
        <f ca="1">IF(WEEKDAY(DATEVALUE(Month1&amp;" 1, "&amp;Year1))=COLUMN(#REF!),1,IF(LEN(E237)&gt;0,E237+1,""))</f>
        <v>#VALUE!</v>
      </c>
      <c r="H237" s="62" t="s">
        <v>3</v>
      </c>
      <c r="I237" s="63" t="e">
        <f ca="1">IF(WEEKDAY(DATEVALUE(Month1&amp;" 1, "&amp;Year1))=COLUMN(#REF!),1,IF(LEN(G237)&gt;0,G237+1,""))</f>
        <v>#VALUE!</v>
      </c>
      <c r="J237" s="64" t="s">
        <v>4</v>
      </c>
      <c r="K237" s="65" t="e">
        <f ca="1">IF(WEEKDAY(DATEVALUE(Month1&amp;" 1, "&amp;Year1))=COLUMN(#REF!),1,IF(LEN(I237)&gt;0,I237+1,""))</f>
        <v>#VALUE!</v>
      </c>
      <c r="L237" s="66" t="s">
        <v>5</v>
      </c>
      <c r="M237" s="67" t="e">
        <f ca="1">IF(WEEKDAY(DATEVALUE(Month1&amp;" 1, "&amp;Year1))=COLUMN(#REF!),1,IF(LEN(K237)&gt;0,K237+1,""))</f>
        <v>#VALUE!</v>
      </c>
      <c r="N237" s="66" t="s">
        <v>6</v>
      </c>
      <c r="O237" s="67" t="e">
        <f ca="1">IF(WEEKDAY(DATEVALUE(Month1&amp;" 1, "&amp;Year1))=COLUMN(#REF!),1,IF(LEN(M237)&gt;0,M237+1,""))</f>
        <v>#VALUE!</v>
      </c>
      <c r="P237" s="42" t="s">
        <v>7</v>
      </c>
    </row>
    <row r="238" spans="1:16" ht="15" customHeight="1" x14ac:dyDescent="0.2">
      <c r="A238" s="43" t="s">
        <v>353</v>
      </c>
      <c r="B238" s="14">
        <f ca="1">DAY(IF(DAY(MaySun1)=1,MaySun1-6,MaySun1+1))</f>
        <v>25</v>
      </c>
      <c r="C238" s="16"/>
      <c r="D238" s="19">
        <f ca="1">DAY(IF(DAY(MaySun1)=1,MaySun1-5,MaySun1+2))</f>
        <v>26</v>
      </c>
      <c r="E238" s="16"/>
      <c r="F238" s="19">
        <f ca="1">DAY(IF(DAY(MaySun1)=1,MaySun1-4,MaySun1+3))</f>
        <v>27</v>
      </c>
      <c r="G238" s="16"/>
      <c r="H238" s="19">
        <f ca="1">DAY(IF(DAY(MaySun1)=1,MaySun1-3,MaySun1+4))</f>
        <v>28</v>
      </c>
      <c r="I238" s="16"/>
      <c r="J238" s="19">
        <f ca="1">DAY(IF(DAY(MaySun1)=1,MaySun1-2,MaySun1+5))</f>
        <v>29</v>
      </c>
      <c r="K238" s="16"/>
      <c r="L238" s="19">
        <f ca="1">DAY(IF(DAY(MaySun1)=1,MaySun1-1,MaySun1+6))</f>
        <v>30</v>
      </c>
      <c r="M238" s="16"/>
      <c r="N238" s="20">
        <f ca="1">DAY(IF(DAY(MaySun1)=1,MaySun1,MaySun1+7))</f>
        <v>1</v>
      </c>
      <c r="O238" s="15"/>
      <c r="P238" s="21"/>
    </row>
    <row r="239" spans="1:16" ht="11.25" customHeight="1" x14ac:dyDescent="0.2">
      <c r="A239" s="43" t="s">
        <v>165</v>
      </c>
      <c r="B239" s="41" t="s">
        <v>9</v>
      </c>
      <c r="C239" s="36" t="s">
        <v>10</v>
      </c>
      <c r="D239" s="35" t="s">
        <v>9</v>
      </c>
      <c r="E239" s="36" t="s">
        <v>10</v>
      </c>
      <c r="F239" s="35" t="s">
        <v>9</v>
      </c>
      <c r="G239" s="36" t="s">
        <v>10</v>
      </c>
      <c r="H239" s="35" t="s">
        <v>9</v>
      </c>
      <c r="I239" s="36" t="s">
        <v>10</v>
      </c>
      <c r="J239" s="35" t="s">
        <v>9</v>
      </c>
      <c r="K239" s="36" t="s">
        <v>10</v>
      </c>
      <c r="L239" s="35" t="s">
        <v>9</v>
      </c>
      <c r="M239" s="36" t="s">
        <v>10</v>
      </c>
      <c r="N239" s="37" t="s">
        <v>9</v>
      </c>
      <c r="O239" s="38" t="s">
        <v>10</v>
      </c>
      <c r="P239" s="22"/>
    </row>
    <row r="240" spans="1:16" ht="11.25" customHeight="1" x14ac:dyDescent="0.2">
      <c r="A240" s="43" t="s">
        <v>189</v>
      </c>
      <c r="B240" s="17"/>
      <c r="C240" s="71" t="str">
        <f>IFERROR(VLOOKUP(B240,fixed_expenses4[],2,0),"")</f>
        <v/>
      </c>
      <c r="D240" s="17"/>
      <c r="E240" s="71" t="str">
        <f>IFERROR(VLOOKUP(D240,fixed_expenses4[],2,0),"")</f>
        <v/>
      </c>
      <c r="F240" s="17"/>
      <c r="G240" s="71" t="str">
        <f>IFERROR(VLOOKUP(F240,fixed_expenses4[],2,0),"")</f>
        <v/>
      </c>
      <c r="H240" s="17"/>
      <c r="I240" s="71" t="str">
        <f>IFERROR(VLOOKUP(H240,fixed_expenses4[],2,0),"")</f>
        <v/>
      </c>
      <c r="J240" s="17"/>
      <c r="K240" s="71" t="str">
        <f>IFERROR(VLOOKUP(J240,fixed_expenses4[],2,0),"")</f>
        <v/>
      </c>
      <c r="L240" s="17"/>
      <c r="M240" s="71" t="str">
        <f>IFERROR(VLOOKUP(L240,fixed_expenses4[],2,0),"")</f>
        <v/>
      </c>
      <c r="N240" s="17"/>
      <c r="O240" s="71" t="str">
        <f>IFERROR(VLOOKUP(N240,fixed_expenses4[],2,0),"")</f>
        <v/>
      </c>
      <c r="P240" s="22"/>
    </row>
    <row r="241" spans="1:16" ht="11.25" customHeight="1" x14ac:dyDescent="0.2">
      <c r="B241" s="17"/>
      <c r="C241" s="71" t="str">
        <f>IFERROR(VLOOKUP(B241,fixed_expenses4[],2,0),"")</f>
        <v/>
      </c>
      <c r="D241" s="17"/>
      <c r="E241" s="71" t="str">
        <f>IFERROR(VLOOKUP(D241,fixed_expenses4[],2,0),"")</f>
        <v/>
      </c>
      <c r="F241" s="17"/>
      <c r="G241" s="71" t="str">
        <f>IFERROR(VLOOKUP(F241,fixed_expenses4[],2,0),"")</f>
        <v/>
      </c>
      <c r="H241" s="17"/>
      <c r="I241" s="71" t="str">
        <f>IFERROR(VLOOKUP(H241,fixed_expenses4[],2,0),"")</f>
        <v/>
      </c>
      <c r="J241" s="17"/>
      <c r="K241" s="71" t="str">
        <f>IFERROR(VLOOKUP(J241,fixed_expenses4[],2,0),"")</f>
        <v/>
      </c>
      <c r="L241" s="17"/>
      <c r="M241" s="71" t="str">
        <f>IFERROR(VLOOKUP(L241,fixed_expenses4[],2,0),"")</f>
        <v/>
      </c>
      <c r="N241" s="17"/>
      <c r="O241" s="71" t="str">
        <f>IFERROR(VLOOKUP(N241,fixed_expenses4[],2,0),"")</f>
        <v/>
      </c>
      <c r="P241" s="22"/>
    </row>
    <row r="242" spans="1:16" ht="11.25" customHeight="1" x14ac:dyDescent="0.2">
      <c r="B242" s="17"/>
      <c r="C242" s="71" t="str">
        <f>IFERROR(VLOOKUP(B242,fixed_expenses4[],2,0),"")</f>
        <v/>
      </c>
      <c r="D242" s="17"/>
      <c r="E242" s="71" t="str">
        <f>IFERROR(VLOOKUP(D242,fixed_expenses4[],2,0),"")</f>
        <v/>
      </c>
      <c r="F242" s="17"/>
      <c r="G242" s="71" t="str">
        <f>IFERROR(VLOOKUP(F242,fixed_expenses4[],2,0),"")</f>
        <v/>
      </c>
      <c r="H242" s="17"/>
      <c r="I242" s="71" t="str">
        <f>IFERROR(VLOOKUP(H242,fixed_expenses4[],2,0),"")</f>
        <v/>
      </c>
      <c r="J242" s="17"/>
      <c r="K242" s="71" t="str">
        <f>IFERROR(VLOOKUP(J242,fixed_expenses4[],2,0),"")</f>
        <v/>
      </c>
      <c r="L242" s="17"/>
      <c r="M242" s="71" t="str">
        <f>IFERROR(VLOOKUP(L242,fixed_expenses4[],2,0),"")</f>
        <v/>
      </c>
      <c r="N242" s="17"/>
      <c r="O242" s="71" t="str">
        <f>IFERROR(VLOOKUP(N242,fixed_expenses4[],2,0),"")</f>
        <v/>
      </c>
      <c r="P242" s="22"/>
    </row>
    <row r="243" spans="1:16" ht="11.25" customHeight="1" x14ac:dyDescent="0.2">
      <c r="B243" s="17"/>
      <c r="C243" s="71" t="str">
        <f>IFERROR(VLOOKUP(B243,fixed_expenses4[],2,0),"")</f>
        <v/>
      </c>
      <c r="D243" s="17"/>
      <c r="E243" s="71" t="str">
        <f>IFERROR(VLOOKUP(D243,fixed_expenses4[],2,0),"")</f>
        <v/>
      </c>
      <c r="F243" s="17"/>
      <c r="G243" s="71" t="str">
        <f>IFERROR(VLOOKUP(F243,fixed_expenses4[],2,0),"")</f>
        <v/>
      </c>
      <c r="H243" s="17"/>
      <c r="I243" s="71" t="str">
        <f>IFERROR(VLOOKUP(H243,fixed_expenses4[],2,0),"")</f>
        <v/>
      </c>
      <c r="J243" s="17"/>
      <c r="K243" s="71" t="str">
        <f>IFERROR(VLOOKUP(J243,fixed_expenses4[],2,0),"")</f>
        <v/>
      </c>
      <c r="L243" s="17"/>
      <c r="M243" s="71" t="str">
        <f>IFERROR(VLOOKUP(L243,fixed_expenses4[],2,0),"")</f>
        <v/>
      </c>
      <c r="N243" s="17"/>
      <c r="O243" s="71" t="str">
        <f>IFERROR(VLOOKUP(N243,fixed_expenses4[],2,0),"")</f>
        <v/>
      </c>
      <c r="P243" s="22"/>
    </row>
    <row r="244" spans="1:16" ht="11.25" customHeight="1" x14ac:dyDescent="0.2">
      <c r="B244" s="17"/>
      <c r="C244" s="71" t="str">
        <f>IFERROR(VLOOKUP(B244,fixed_expenses4[],2,0),"")</f>
        <v/>
      </c>
      <c r="D244" s="17"/>
      <c r="E244" s="71" t="str">
        <f>IFERROR(VLOOKUP(D244,fixed_expenses4[],2,0),"")</f>
        <v/>
      </c>
      <c r="F244" s="17"/>
      <c r="G244" s="71" t="str">
        <f>IFERROR(VLOOKUP(F244,fixed_expenses4[],2,0),"")</f>
        <v/>
      </c>
      <c r="H244" s="17"/>
      <c r="I244" s="71" t="str">
        <f>IFERROR(VLOOKUP(H244,fixed_expenses4[],2,0),"")</f>
        <v/>
      </c>
      <c r="J244" s="17"/>
      <c r="K244" s="71" t="str">
        <f>IFERROR(VLOOKUP(J244,fixed_expenses4[],2,0),"")</f>
        <v/>
      </c>
      <c r="L244" s="17"/>
      <c r="M244" s="71" t="str">
        <f>IFERROR(VLOOKUP(L244,fixed_expenses4[],2,0),"")</f>
        <v/>
      </c>
      <c r="N244" s="17"/>
      <c r="O244" s="71" t="str">
        <f>IFERROR(VLOOKUP(N244,fixed_expenses4[],2,0),"")</f>
        <v/>
      </c>
      <c r="P244" s="22"/>
    </row>
    <row r="245" spans="1:16" ht="11.25" customHeight="1" x14ac:dyDescent="0.2">
      <c r="A245" s="43" t="s">
        <v>332</v>
      </c>
      <c r="B245" s="26" t="s">
        <v>8</v>
      </c>
      <c r="C245" s="27">
        <f>SUM(C240:C244)</f>
        <v>0</v>
      </c>
      <c r="D245" s="18"/>
      <c r="E245" s="27">
        <f>SUM(E240:E244)</f>
        <v>0</v>
      </c>
      <c r="F245" s="26"/>
      <c r="G245" s="27">
        <f>SUM(G240:G244)</f>
        <v>0</v>
      </c>
      <c r="H245" s="26"/>
      <c r="I245" s="27">
        <f>SUM(I240:I244)</f>
        <v>0</v>
      </c>
      <c r="J245" s="26"/>
      <c r="K245" s="27">
        <f>SUM(K240:K244)</f>
        <v>0</v>
      </c>
      <c r="L245" s="26"/>
      <c r="M245" s="27">
        <f>SUM(M240:M244)</f>
        <v>0</v>
      </c>
      <c r="N245" s="26"/>
      <c r="O245" s="28">
        <f>SUM(O240:O244)</f>
        <v>0</v>
      </c>
      <c r="P245" s="29">
        <f ca="1">SUMIF(B238:N238,"&lt;8",C245:O245)</f>
        <v>0</v>
      </c>
    </row>
    <row r="246" spans="1:16" x14ac:dyDescent="0.2">
      <c r="B246" s="6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6"/>
    </row>
    <row r="247" spans="1:16" ht="15" customHeight="1" x14ac:dyDescent="0.2">
      <c r="A247" s="43" t="s">
        <v>245</v>
      </c>
      <c r="B247" s="12">
        <f ca="1">N238+1</f>
        <v>2</v>
      </c>
      <c r="C247" s="13"/>
      <c r="D247" s="12">
        <f ca="1">B247+1</f>
        <v>3</v>
      </c>
      <c r="E247" s="13"/>
      <c r="F247" s="12">
        <f ca="1">D247+1</f>
        <v>4</v>
      </c>
      <c r="G247" s="13"/>
      <c r="H247" s="12">
        <f ca="1">F247+1</f>
        <v>5</v>
      </c>
      <c r="I247" s="13"/>
      <c r="J247" s="12">
        <f ca="1">H247+1</f>
        <v>6</v>
      </c>
      <c r="K247" s="13"/>
      <c r="L247" s="12">
        <f ca="1">J247+1</f>
        <v>7</v>
      </c>
      <c r="M247" s="13"/>
      <c r="N247" s="12">
        <f ca="1">L247+1</f>
        <v>8</v>
      </c>
      <c r="O247" s="13"/>
      <c r="P247" s="23"/>
    </row>
    <row r="248" spans="1:16" ht="11.25" customHeight="1" x14ac:dyDescent="0.2">
      <c r="A248" s="43" t="s">
        <v>164</v>
      </c>
      <c r="B248" s="37" t="s">
        <v>9</v>
      </c>
      <c r="C248" s="39" t="s">
        <v>10</v>
      </c>
      <c r="D248" s="37" t="s">
        <v>9</v>
      </c>
      <c r="E248" s="39" t="s">
        <v>10</v>
      </c>
      <c r="F248" s="37" t="s">
        <v>9</v>
      </c>
      <c r="G248" s="39" t="s">
        <v>10</v>
      </c>
      <c r="H248" s="37" t="s">
        <v>9</v>
      </c>
      <c r="I248" s="39" t="s">
        <v>10</v>
      </c>
      <c r="J248" s="37" t="s">
        <v>9</v>
      </c>
      <c r="K248" s="39" t="s">
        <v>10</v>
      </c>
      <c r="L248" s="37" t="s">
        <v>9</v>
      </c>
      <c r="M248" s="39" t="s">
        <v>10</v>
      </c>
      <c r="N248" s="37" t="s">
        <v>9</v>
      </c>
      <c r="O248" s="40" t="s">
        <v>10</v>
      </c>
      <c r="P248" s="22"/>
    </row>
    <row r="249" spans="1:16" ht="11.25" customHeight="1" x14ac:dyDescent="0.2">
      <c r="A249" s="43" t="s">
        <v>190</v>
      </c>
      <c r="B249" s="17"/>
      <c r="C249" s="71" t="str">
        <f>IFERROR(VLOOKUP(B249,fixed_expenses4[],2,0),"")</f>
        <v/>
      </c>
      <c r="D249" s="17"/>
      <c r="E249" s="71" t="str">
        <f>IFERROR(VLOOKUP(D249,fixed_expenses4[],2,0),"")</f>
        <v/>
      </c>
      <c r="F249" s="17"/>
      <c r="G249" s="71" t="str">
        <f>IFERROR(VLOOKUP(F249,fixed_expenses4[],2,0),"")</f>
        <v/>
      </c>
      <c r="H249" s="17"/>
      <c r="I249" s="71" t="str">
        <f>IFERROR(VLOOKUP(H249,fixed_expenses4[],2,0),"")</f>
        <v/>
      </c>
      <c r="J249" s="17"/>
      <c r="K249" s="71" t="str">
        <f>IFERROR(VLOOKUP(J249,fixed_expenses4[],2,0),"")</f>
        <v/>
      </c>
      <c r="L249" s="17" t="s">
        <v>387</v>
      </c>
      <c r="M249" s="71">
        <f>IFERROR(VLOOKUP(L249,fixed_expenses4[],2,0),"")</f>
        <v>800</v>
      </c>
      <c r="N249" s="17"/>
      <c r="O249" s="71" t="str">
        <f>IFERROR(VLOOKUP(N249,fixed_expenses4[],2,0),"")</f>
        <v/>
      </c>
      <c r="P249" s="22"/>
    </row>
    <row r="250" spans="1:16" ht="11.25" customHeight="1" x14ac:dyDescent="0.2">
      <c r="B250" s="17"/>
      <c r="C250" s="71" t="str">
        <f>IFERROR(VLOOKUP(B250,fixed_expenses4[],2,0),"")</f>
        <v/>
      </c>
      <c r="D250" s="17"/>
      <c r="E250" s="71" t="str">
        <f>IFERROR(VLOOKUP(D250,fixed_expenses4[],2,0),"")</f>
        <v/>
      </c>
      <c r="F250" s="17"/>
      <c r="G250" s="71" t="str">
        <f>IFERROR(VLOOKUP(F250,fixed_expenses4[],2,0),"")</f>
        <v/>
      </c>
      <c r="H250" s="17"/>
      <c r="I250" s="71" t="str">
        <f>IFERROR(VLOOKUP(H250,fixed_expenses4[],2,0),"")</f>
        <v/>
      </c>
      <c r="J250" s="17"/>
      <c r="K250" s="71" t="str">
        <f>IFERROR(VLOOKUP(J250,fixed_expenses4[],2,0),"")</f>
        <v/>
      </c>
      <c r="L250" s="80" t="s">
        <v>388</v>
      </c>
      <c r="M250" s="71">
        <f>IFERROR(VLOOKUP(L250,fixed_expenses4[],2,0),"")</f>
        <v>770</v>
      </c>
      <c r="N250" s="17"/>
      <c r="O250" s="71" t="str">
        <f>IFERROR(VLOOKUP(N250,fixed_expenses4[],2,0),"")</f>
        <v/>
      </c>
      <c r="P250" s="22"/>
    </row>
    <row r="251" spans="1:16" ht="11.25" customHeight="1" x14ac:dyDescent="0.2">
      <c r="B251" s="17"/>
      <c r="C251" s="71" t="str">
        <f>IFERROR(VLOOKUP(B251,fixed_expenses4[],2,0),"")</f>
        <v/>
      </c>
      <c r="D251" s="17"/>
      <c r="E251" s="71" t="str">
        <f>IFERROR(VLOOKUP(D251,fixed_expenses4[],2,0),"")</f>
        <v/>
      </c>
      <c r="F251" s="17"/>
      <c r="G251" s="71" t="str">
        <f>IFERROR(VLOOKUP(F251,fixed_expenses4[],2,0),"")</f>
        <v/>
      </c>
      <c r="H251" s="17"/>
      <c r="I251" s="71" t="str">
        <f>IFERROR(VLOOKUP(H251,fixed_expenses4[],2,0),"")</f>
        <v/>
      </c>
      <c r="J251" s="17"/>
      <c r="K251" s="71" t="str">
        <f>IFERROR(VLOOKUP(J251,fixed_expenses4[],2,0),"")</f>
        <v/>
      </c>
      <c r="L251" s="17"/>
      <c r="M251" s="71" t="str">
        <f>IFERROR(VLOOKUP(L251,fixed_expenses4[],2,0),"")</f>
        <v/>
      </c>
      <c r="N251" s="17"/>
      <c r="O251" s="71" t="str">
        <f>IFERROR(VLOOKUP(N251,fixed_expenses4[],2,0),"")</f>
        <v/>
      </c>
      <c r="P251" s="22"/>
    </row>
    <row r="252" spans="1:16" ht="11.25" customHeight="1" x14ac:dyDescent="0.2">
      <c r="B252" s="17"/>
      <c r="C252" s="71" t="str">
        <f>IFERROR(VLOOKUP(B252,fixed_expenses4[],2,0),"")</f>
        <v/>
      </c>
      <c r="D252" s="17"/>
      <c r="E252" s="71" t="str">
        <f>IFERROR(VLOOKUP(D252,fixed_expenses4[],2,0),"")</f>
        <v/>
      </c>
      <c r="F252" s="17"/>
      <c r="G252" s="71" t="str">
        <f>IFERROR(VLOOKUP(F252,fixed_expenses4[],2,0),"")</f>
        <v/>
      </c>
      <c r="H252" s="17"/>
      <c r="I252" s="71" t="str">
        <f>IFERROR(VLOOKUP(H252,fixed_expenses4[],2,0),"")</f>
        <v/>
      </c>
      <c r="J252" s="17"/>
      <c r="K252" s="71" t="str">
        <f>IFERROR(VLOOKUP(J252,fixed_expenses4[],2,0),"")</f>
        <v/>
      </c>
      <c r="L252" s="17"/>
      <c r="M252" s="71" t="str">
        <f>IFERROR(VLOOKUP(L252,fixed_expenses4[],2,0),"")</f>
        <v/>
      </c>
      <c r="N252" s="17"/>
      <c r="O252" s="71" t="str">
        <f>IFERROR(VLOOKUP(N252,fixed_expenses4[],2,0),"")</f>
        <v/>
      </c>
      <c r="P252" s="22"/>
    </row>
    <row r="253" spans="1:16" ht="11.25" customHeight="1" x14ac:dyDescent="0.2">
      <c r="B253" s="17"/>
      <c r="C253" s="71" t="str">
        <f>IFERROR(VLOOKUP(B253,fixed_expenses4[],2,0),"")</f>
        <v/>
      </c>
      <c r="D253" s="17"/>
      <c r="E253" s="71" t="str">
        <f>IFERROR(VLOOKUP(D253,fixed_expenses4[],2,0),"")</f>
        <v/>
      </c>
      <c r="F253" s="17"/>
      <c r="G253" s="71" t="str">
        <f>IFERROR(VLOOKUP(F253,fixed_expenses4[],2,0),"")</f>
        <v/>
      </c>
      <c r="H253" s="17"/>
      <c r="I253" s="71" t="str">
        <f>IFERROR(VLOOKUP(H253,fixed_expenses4[],2,0),"")</f>
        <v/>
      </c>
      <c r="J253" s="17"/>
      <c r="K253" s="71" t="str">
        <f>IFERROR(VLOOKUP(J253,fixed_expenses4[],2,0),"")</f>
        <v/>
      </c>
      <c r="L253" s="17"/>
      <c r="M253" s="71" t="str">
        <f>IFERROR(VLOOKUP(L253,fixed_expenses4[],2,0),"")</f>
        <v/>
      </c>
      <c r="N253" s="17"/>
      <c r="O253" s="71" t="str">
        <f>IFERROR(VLOOKUP(N253,fixed_expenses4[],2,0),"")</f>
        <v/>
      </c>
      <c r="P253" s="22"/>
    </row>
    <row r="254" spans="1:16" ht="11.25" customHeight="1" x14ac:dyDescent="0.2">
      <c r="A254" s="43" t="s">
        <v>331</v>
      </c>
      <c r="B254" s="26" t="s">
        <v>8</v>
      </c>
      <c r="C254" s="27">
        <f>SUM(C249:C253)</f>
        <v>0</v>
      </c>
      <c r="D254" s="26"/>
      <c r="E254" s="27">
        <f>SUM(E249:E253)</f>
        <v>0</v>
      </c>
      <c r="F254" s="26"/>
      <c r="G254" s="27">
        <f>SUM(G249:G253)</f>
        <v>0</v>
      </c>
      <c r="H254" s="26"/>
      <c r="I254" s="27">
        <f>SUM(I249:I253)</f>
        <v>0</v>
      </c>
      <c r="J254" s="26"/>
      <c r="K254" s="27">
        <f>SUM(K249:K253)</f>
        <v>0</v>
      </c>
      <c r="L254" s="26"/>
      <c r="M254" s="27">
        <f>SUM(M249:M253)</f>
        <v>1570</v>
      </c>
      <c r="N254" s="26"/>
      <c r="O254" s="28">
        <f>SUM(O249:O253)</f>
        <v>0</v>
      </c>
      <c r="P254" s="29">
        <f>SUM(C254,E254,G254,I254,K254,M254,O254)</f>
        <v>1570</v>
      </c>
    </row>
    <row r="255" spans="1:16" x14ac:dyDescent="0.2">
      <c r="B255" s="6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6"/>
    </row>
    <row r="256" spans="1:16" ht="15" customHeight="1" x14ac:dyDescent="0.2">
      <c r="A256" s="43" t="s">
        <v>246</v>
      </c>
      <c r="B256" s="12">
        <f ca="1">N247+1</f>
        <v>9</v>
      </c>
      <c r="C256" s="13"/>
      <c r="D256" s="12">
        <f ca="1">B256+1</f>
        <v>10</v>
      </c>
      <c r="E256" s="13"/>
      <c r="F256" s="12">
        <f ca="1">D256+1</f>
        <v>11</v>
      </c>
      <c r="G256" s="13"/>
      <c r="H256" s="12">
        <f ca="1">F256+1</f>
        <v>12</v>
      </c>
      <c r="I256" s="13"/>
      <c r="J256" s="12">
        <f ca="1">H256+1</f>
        <v>13</v>
      </c>
      <c r="K256" s="13"/>
      <c r="L256" s="12">
        <f ca="1">J256+1</f>
        <v>14</v>
      </c>
      <c r="M256" s="13"/>
      <c r="N256" s="12">
        <f ca="1">L256+1</f>
        <v>15</v>
      </c>
      <c r="O256" s="13"/>
      <c r="P256" s="24"/>
    </row>
    <row r="257" spans="1:16" ht="11.25" customHeight="1" x14ac:dyDescent="0.2">
      <c r="A257" s="43" t="s">
        <v>163</v>
      </c>
      <c r="B257" s="37" t="s">
        <v>9</v>
      </c>
      <c r="C257" s="39" t="s">
        <v>10</v>
      </c>
      <c r="D257" s="37" t="s">
        <v>9</v>
      </c>
      <c r="E257" s="39" t="s">
        <v>10</v>
      </c>
      <c r="F257" s="37" t="s">
        <v>9</v>
      </c>
      <c r="G257" s="39" t="s">
        <v>10</v>
      </c>
      <c r="H257" s="37" t="s">
        <v>9</v>
      </c>
      <c r="I257" s="39" t="s">
        <v>10</v>
      </c>
      <c r="J257" s="37" t="s">
        <v>9</v>
      </c>
      <c r="K257" s="39" t="s">
        <v>10</v>
      </c>
      <c r="L257" s="37" t="s">
        <v>9</v>
      </c>
      <c r="M257" s="39" t="s">
        <v>10</v>
      </c>
      <c r="N257" s="37" t="s">
        <v>9</v>
      </c>
      <c r="O257" s="40" t="s">
        <v>10</v>
      </c>
      <c r="P257" s="22"/>
    </row>
    <row r="258" spans="1:16" ht="11.25" customHeight="1" x14ac:dyDescent="0.2">
      <c r="A258" s="43" t="s">
        <v>191</v>
      </c>
      <c r="B258" s="17"/>
      <c r="C258" s="71" t="str">
        <f>IFERROR(VLOOKUP(B258,fixed_expenses4[],2,0),"")</f>
        <v/>
      </c>
      <c r="D258" s="17"/>
      <c r="E258" s="71" t="str">
        <f>IFERROR(VLOOKUP(D258,fixed_expenses4[],2,0),"")</f>
        <v/>
      </c>
      <c r="F258" s="17"/>
      <c r="G258" s="71" t="str">
        <f>IFERROR(VLOOKUP(F258,fixed_expenses4[],2,0),"")</f>
        <v/>
      </c>
      <c r="H258" s="17"/>
      <c r="I258" s="71" t="str">
        <f>IFERROR(VLOOKUP(H258,fixed_expenses4[],2,0),"")</f>
        <v/>
      </c>
      <c r="J258" s="17"/>
      <c r="K258" s="71" t="str">
        <f>IFERROR(VLOOKUP(J258,fixed_expenses4[],2,0),"")</f>
        <v/>
      </c>
      <c r="L258" s="17" t="s">
        <v>387</v>
      </c>
      <c r="M258" s="71">
        <f>IFERROR(VLOOKUP(L258,fixed_expenses4[],2,0),"")</f>
        <v>800</v>
      </c>
      <c r="N258" s="17"/>
      <c r="O258" s="71" t="str">
        <f>IFERROR(VLOOKUP(N258,fixed_expenses4[],2,0),"")</f>
        <v/>
      </c>
      <c r="P258" s="22"/>
    </row>
    <row r="259" spans="1:16" ht="11.25" customHeight="1" x14ac:dyDescent="0.2">
      <c r="B259" s="17"/>
      <c r="C259" s="71" t="str">
        <f>IFERROR(VLOOKUP(B259,fixed_expenses4[],2,0),"")</f>
        <v/>
      </c>
      <c r="D259" s="17"/>
      <c r="E259" s="71" t="str">
        <f>IFERROR(VLOOKUP(D259,fixed_expenses4[],2,0),"")</f>
        <v/>
      </c>
      <c r="F259" s="17"/>
      <c r="G259" s="71" t="str">
        <f>IFERROR(VLOOKUP(F259,fixed_expenses4[],2,0),"")</f>
        <v/>
      </c>
      <c r="H259" s="17"/>
      <c r="I259" s="71" t="str">
        <f>IFERROR(VLOOKUP(H259,fixed_expenses4[],2,0),"")</f>
        <v/>
      </c>
      <c r="J259" s="17"/>
      <c r="K259" s="71" t="str">
        <f>IFERROR(VLOOKUP(J259,fixed_expenses4[],2,0),"")</f>
        <v/>
      </c>
      <c r="L259" s="17"/>
      <c r="M259" s="71" t="str">
        <f>IFERROR(VLOOKUP(L259,fixed_expenses4[],2,0),"")</f>
        <v/>
      </c>
      <c r="N259" s="17"/>
      <c r="O259" s="71" t="str">
        <f>IFERROR(VLOOKUP(N259,fixed_expenses4[],2,0),"")</f>
        <v/>
      </c>
      <c r="P259" s="22"/>
    </row>
    <row r="260" spans="1:16" ht="11.25" customHeight="1" x14ac:dyDescent="0.2">
      <c r="B260" s="17"/>
      <c r="C260" s="71" t="str">
        <f>IFERROR(VLOOKUP(B260,fixed_expenses4[],2,0),"")</f>
        <v/>
      </c>
      <c r="D260" s="17"/>
      <c r="E260" s="71" t="str">
        <f>IFERROR(VLOOKUP(D260,fixed_expenses4[],2,0),"")</f>
        <v/>
      </c>
      <c r="F260" s="17"/>
      <c r="G260" s="71" t="str">
        <f>IFERROR(VLOOKUP(F260,fixed_expenses4[],2,0),"")</f>
        <v/>
      </c>
      <c r="H260" s="17"/>
      <c r="I260" s="71" t="str">
        <f>IFERROR(VLOOKUP(H260,fixed_expenses4[],2,0),"")</f>
        <v/>
      </c>
      <c r="J260" s="17"/>
      <c r="K260" s="71" t="str">
        <f>IFERROR(VLOOKUP(J260,fixed_expenses4[],2,0),"")</f>
        <v/>
      </c>
      <c r="L260" s="17"/>
      <c r="M260" s="71" t="str">
        <f>IFERROR(VLOOKUP(L260,fixed_expenses4[],2,0),"")</f>
        <v/>
      </c>
      <c r="N260" s="17"/>
      <c r="O260" s="71" t="str">
        <f>IFERROR(VLOOKUP(N260,fixed_expenses4[],2,0),"")</f>
        <v/>
      </c>
      <c r="P260" s="22"/>
    </row>
    <row r="261" spans="1:16" ht="11.25" customHeight="1" x14ac:dyDescent="0.2">
      <c r="B261" s="17"/>
      <c r="C261" s="71" t="str">
        <f>IFERROR(VLOOKUP(B261,fixed_expenses4[],2,0),"")</f>
        <v/>
      </c>
      <c r="D261" s="17"/>
      <c r="E261" s="71" t="str">
        <f>IFERROR(VLOOKUP(D261,fixed_expenses4[],2,0),"")</f>
        <v/>
      </c>
      <c r="F261" s="17"/>
      <c r="G261" s="71" t="str">
        <f>IFERROR(VLOOKUP(F261,fixed_expenses4[],2,0),"")</f>
        <v/>
      </c>
      <c r="H261" s="17"/>
      <c r="I261" s="71" t="str">
        <f>IFERROR(VLOOKUP(H261,fixed_expenses4[],2,0),"")</f>
        <v/>
      </c>
      <c r="J261" s="17"/>
      <c r="K261" s="71" t="str">
        <f>IFERROR(VLOOKUP(J261,fixed_expenses4[],2,0),"")</f>
        <v/>
      </c>
      <c r="L261" s="17"/>
      <c r="M261" s="71" t="str">
        <f>IFERROR(VLOOKUP(L261,fixed_expenses4[],2,0),"")</f>
        <v/>
      </c>
      <c r="N261" s="17"/>
      <c r="O261" s="71" t="str">
        <f>IFERROR(VLOOKUP(N261,fixed_expenses4[],2,0),"")</f>
        <v/>
      </c>
      <c r="P261" s="22"/>
    </row>
    <row r="262" spans="1:16" ht="11.25" customHeight="1" x14ac:dyDescent="0.2">
      <c r="B262" s="17"/>
      <c r="C262" s="71" t="str">
        <f>IFERROR(VLOOKUP(B262,fixed_expenses4[],2,0),"")</f>
        <v/>
      </c>
      <c r="D262" s="17"/>
      <c r="E262" s="71" t="str">
        <f>IFERROR(VLOOKUP(D262,fixed_expenses4[],2,0),"")</f>
        <v/>
      </c>
      <c r="F262" s="17"/>
      <c r="G262" s="71" t="str">
        <f>IFERROR(VLOOKUP(F262,fixed_expenses4[],2,0),"")</f>
        <v/>
      </c>
      <c r="H262" s="17"/>
      <c r="I262" s="71" t="str">
        <f>IFERROR(VLOOKUP(H262,fixed_expenses4[],2,0),"")</f>
        <v/>
      </c>
      <c r="J262" s="17"/>
      <c r="K262" s="71" t="str">
        <f>IFERROR(VLOOKUP(J262,fixed_expenses4[],2,0),"")</f>
        <v/>
      </c>
      <c r="L262" s="17"/>
      <c r="M262" s="71" t="str">
        <f>IFERROR(VLOOKUP(L262,fixed_expenses4[],2,0),"")</f>
        <v/>
      </c>
      <c r="N262" s="17"/>
      <c r="O262" s="71" t="str">
        <f>IFERROR(VLOOKUP(N262,fixed_expenses4[],2,0),"")</f>
        <v/>
      </c>
      <c r="P262" s="22"/>
    </row>
    <row r="263" spans="1:16" ht="11.25" customHeight="1" x14ac:dyDescent="0.2">
      <c r="A263" s="43" t="s">
        <v>330</v>
      </c>
      <c r="B263" s="30" t="s">
        <v>8</v>
      </c>
      <c r="C263" s="27">
        <f>SUM(C258:C262)</f>
        <v>0</v>
      </c>
      <c r="D263" s="26"/>
      <c r="E263" s="27">
        <f>SUM(E258:E262)</f>
        <v>0</v>
      </c>
      <c r="F263" s="26"/>
      <c r="G263" s="27">
        <f>SUM(G258:G262)</f>
        <v>0</v>
      </c>
      <c r="H263" s="26"/>
      <c r="I263" s="27">
        <f>SUM(I258:I262)</f>
        <v>0</v>
      </c>
      <c r="J263" s="26"/>
      <c r="K263" s="27">
        <f>SUM(K258:K262)</f>
        <v>0</v>
      </c>
      <c r="L263" s="26"/>
      <c r="M263" s="27">
        <f>SUM(M258:M262)</f>
        <v>800</v>
      </c>
      <c r="N263" s="26"/>
      <c r="O263" s="28">
        <f>SUM(O258:O262)</f>
        <v>0</v>
      </c>
      <c r="P263" s="29">
        <f>SUM(C263,E263,G263,I263,K263,M263,O263)</f>
        <v>800</v>
      </c>
    </row>
    <row r="264" spans="1:16" x14ac:dyDescent="0.2">
      <c r="B264" s="6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6"/>
    </row>
    <row r="265" spans="1:16" ht="15" customHeight="1" x14ac:dyDescent="0.2">
      <c r="A265" s="43" t="s">
        <v>247</v>
      </c>
      <c r="B265" s="12">
        <f ca="1">N256+1</f>
        <v>16</v>
      </c>
      <c r="C265" s="13"/>
      <c r="D265" s="12">
        <f ca="1">B265+1</f>
        <v>17</v>
      </c>
      <c r="E265" s="13"/>
      <c r="F265" s="12">
        <f ca="1">D265+1</f>
        <v>18</v>
      </c>
      <c r="G265" s="13"/>
      <c r="H265" s="12">
        <f ca="1">F265+1</f>
        <v>19</v>
      </c>
      <c r="I265" s="13"/>
      <c r="J265" s="12">
        <f ca="1">H265+1</f>
        <v>20</v>
      </c>
      <c r="K265" s="13"/>
      <c r="L265" s="12">
        <f ca="1">J265+1</f>
        <v>21</v>
      </c>
      <c r="M265" s="13"/>
      <c r="N265" s="12">
        <f ca="1">L265+1</f>
        <v>22</v>
      </c>
      <c r="O265" s="13"/>
      <c r="P265" s="24"/>
    </row>
    <row r="266" spans="1:16" ht="11.25" customHeight="1" x14ac:dyDescent="0.2">
      <c r="A266" s="43" t="s">
        <v>162</v>
      </c>
      <c r="B266" s="37" t="s">
        <v>9</v>
      </c>
      <c r="C266" s="39" t="s">
        <v>10</v>
      </c>
      <c r="D266" s="37" t="s">
        <v>9</v>
      </c>
      <c r="E266" s="39" t="s">
        <v>10</v>
      </c>
      <c r="F266" s="37" t="s">
        <v>9</v>
      </c>
      <c r="G266" s="39" t="s">
        <v>10</v>
      </c>
      <c r="H266" s="37" t="s">
        <v>9</v>
      </c>
      <c r="I266" s="39" t="s">
        <v>10</v>
      </c>
      <c r="J266" s="37" t="s">
        <v>9</v>
      </c>
      <c r="K266" s="39" t="s">
        <v>10</v>
      </c>
      <c r="L266" s="37" t="s">
        <v>9</v>
      </c>
      <c r="M266" s="39" t="s">
        <v>10</v>
      </c>
      <c r="N266" s="37" t="s">
        <v>9</v>
      </c>
      <c r="O266" s="40" t="s">
        <v>10</v>
      </c>
      <c r="P266" s="22"/>
    </row>
    <row r="267" spans="1:16" ht="11.25" customHeight="1" x14ac:dyDescent="0.2">
      <c r="A267" s="43" t="s">
        <v>192</v>
      </c>
      <c r="B267" s="17"/>
      <c r="C267" s="71" t="str">
        <f>IFERROR(VLOOKUP(B267,fixed_expenses4[],2,0),"")</f>
        <v/>
      </c>
      <c r="D267" s="17"/>
      <c r="E267" s="71" t="str">
        <f>IFERROR(VLOOKUP(D267,fixed_expenses4[],2,0),"")</f>
        <v/>
      </c>
      <c r="F267" s="17"/>
      <c r="G267" s="71" t="str">
        <f>IFERROR(VLOOKUP(F267,fixed_expenses4[],2,0),"")</f>
        <v/>
      </c>
      <c r="H267" s="17"/>
      <c r="I267" s="71" t="str">
        <f>IFERROR(VLOOKUP(H267,fixed_expenses4[],2,0),"")</f>
        <v/>
      </c>
      <c r="J267" s="17"/>
      <c r="K267" s="71" t="str">
        <f>IFERROR(VLOOKUP(J267,fixed_expenses4[],2,0),"")</f>
        <v/>
      </c>
      <c r="L267" s="17" t="s">
        <v>387</v>
      </c>
      <c r="M267" s="71">
        <f>IFERROR(VLOOKUP(L267,fixed_expenses4[],2,0),"")</f>
        <v>800</v>
      </c>
      <c r="N267" s="17"/>
      <c r="O267" s="71" t="str">
        <f>IFERROR(VLOOKUP(N267,fixed_expenses4[],2,0),"")</f>
        <v/>
      </c>
      <c r="P267" s="22"/>
    </row>
    <row r="268" spans="1:16" ht="11.25" customHeight="1" x14ac:dyDescent="0.2">
      <c r="B268" s="17"/>
      <c r="C268" s="71" t="str">
        <f>IFERROR(VLOOKUP(B268,fixed_expenses4[],2,0),"")</f>
        <v/>
      </c>
      <c r="D268" s="17"/>
      <c r="E268" s="71" t="str">
        <f>IFERROR(VLOOKUP(D268,fixed_expenses4[],2,0),"")</f>
        <v/>
      </c>
      <c r="F268" s="17"/>
      <c r="G268" s="71" t="str">
        <f>IFERROR(VLOOKUP(F268,fixed_expenses4[],2,0),"")</f>
        <v/>
      </c>
      <c r="H268" s="17"/>
      <c r="I268" s="71" t="str">
        <f>IFERROR(VLOOKUP(H268,fixed_expenses4[],2,0),"")</f>
        <v/>
      </c>
      <c r="J268" s="17"/>
      <c r="K268" s="71" t="str">
        <f>IFERROR(VLOOKUP(J268,fixed_expenses4[],2,0),"")</f>
        <v/>
      </c>
      <c r="L268" s="80" t="s">
        <v>388</v>
      </c>
      <c r="M268" s="71">
        <f>IFERROR(VLOOKUP(L268,fixed_expenses4[],2,0),"")</f>
        <v>770</v>
      </c>
      <c r="N268" s="17"/>
      <c r="O268" s="71" t="str">
        <f>IFERROR(VLOOKUP(N268,fixed_expenses4[],2,0),"")</f>
        <v/>
      </c>
      <c r="P268" s="22"/>
    </row>
    <row r="269" spans="1:16" ht="11.25" customHeight="1" x14ac:dyDescent="0.2">
      <c r="B269" s="17"/>
      <c r="C269" s="71" t="str">
        <f>IFERROR(VLOOKUP(B269,fixed_expenses4[],2,0),"")</f>
        <v/>
      </c>
      <c r="D269" s="17"/>
      <c r="E269" s="71" t="str">
        <f>IFERROR(VLOOKUP(D269,fixed_expenses4[],2,0),"")</f>
        <v/>
      </c>
      <c r="F269" s="17"/>
      <c r="G269" s="71" t="str">
        <f>IFERROR(VLOOKUP(F269,fixed_expenses4[],2,0),"")</f>
        <v/>
      </c>
      <c r="H269" s="17"/>
      <c r="I269" s="71" t="str">
        <f>IFERROR(VLOOKUP(H269,fixed_expenses4[],2,0),"")</f>
        <v/>
      </c>
      <c r="J269" s="17"/>
      <c r="K269" s="71" t="str">
        <f>IFERROR(VLOOKUP(J269,fixed_expenses4[],2,0),"")</f>
        <v/>
      </c>
      <c r="L269" s="17"/>
      <c r="M269" s="71" t="str">
        <f>IFERROR(VLOOKUP(L269,fixed_expenses4[],2,0),"")</f>
        <v/>
      </c>
      <c r="N269" s="17"/>
      <c r="O269" s="71" t="str">
        <f>IFERROR(VLOOKUP(N269,fixed_expenses4[],2,0),"")</f>
        <v/>
      </c>
      <c r="P269" s="22"/>
    </row>
    <row r="270" spans="1:16" ht="11.25" customHeight="1" x14ac:dyDescent="0.2">
      <c r="B270" s="17"/>
      <c r="C270" s="71" t="str">
        <f>IFERROR(VLOOKUP(B270,fixed_expenses4[],2,0),"")</f>
        <v/>
      </c>
      <c r="D270" s="17"/>
      <c r="E270" s="71" t="str">
        <f>IFERROR(VLOOKUP(D270,fixed_expenses4[],2,0),"")</f>
        <v/>
      </c>
      <c r="F270" s="17"/>
      <c r="G270" s="71" t="str">
        <f>IFERROR(VLOOKUP(F270,fixed_expenses4[],2,0),"")</f>
        <v/>
      </c>
      <c r="H270" s="17"/>
      <c r="I270" s="71" t="str">
        <f>IFERROR(VLOOKUP(H270,fixed_expenses4[],2,0),"")</f>
        <v/>
      </c>
      <c r="J270" s="17"/>
      <c r="K270" s="71" t="str">
        <f>IFERROR(VLOOKUP(J270,fixed_expenses4[],2,0),"")</f>
        <v/>
      </c>
      <c r="L270" s="17"/>
      <c r="M270" s="71" t="str">
        <f>IFERROR(VLOOKUP(L270,fixed_expenses4[],2,0),"")</f>
        <v/>
      </c>
      <c r="N270" s="17"/>
      <c r="O270" s="71" t="str">
        <f>IFERROR(VLOOKUP(N270,fixed_expenses4[],2,0),"")</f>
        <v/>
      </c>
      <c r="P270" s="22"/>
    </row>
    <row r="271" spans="1:16" ht="11.25" customHeight="1" x14ac:dyDescent="0.2">
      <c r="B271" s="17"/>
      <c r="C271" s="71" t="str">
        <f>IFERROR(VLOOKUP(B271,fixed_expenses4[],2,0),"")</f>
        <v/>
      </c>
      <c r="D271" s="17"/>
      <c r="E271" s="71" t="str">
        <f>IFERROR(VLOOKUP(D271,fixed_expenses4[],2,0),"")</f>
        <v/>
      </c>
      <c r="F271" s="17"/>
      <c r="G271" s="71" t="str">
        <f>IFERROR(VLOOKUP(F271,fixed_expenses4[],2,0),"")</f>
        <v/>
      </c>
      <c r="H271" s="17"/>
      <c r="I271" s="71" t="str">
        <f>IFERROR(VLOOKUP(H271,fixed_expenses4[],2,0),"")</f>
        <v/>
      </c>
      <c r="J271" s="17"/>
      <c r="K271" s="71" t="str">
        <f>IFERROR(VLOOKUP(J271,fixed_expenses4[],2,0),"")</f>
        <v/>
      </c>
      <c r="L271" s="17"/>
      <c r="M271" s="71" t="str">
        <f>IFERROR(VLOOKUP(L271,fixed_expenses4[],2,0),"")</f>
        <v/>
      </c>
      <c r="N271" s="17"/>
      <c r="O271" s="71" t="str">
        <f>IFERROR(VLOOKUP(N271,fixed_expenses4[],2,0),"")</f>
        <v/>
      </c>
      <c r="P271" s="22"/>
    </row>
    <row r="272" spans="1:16" ht="11.25" customHeight="1" x14ac:dyDescent="0.2">
      <c r="A272" s="43" t="s">
        <v>329</v>
      </c>
      <c r="B272" s="26" t="s">
        <v>8</v>
      </c>
      <c r="C272" s="27">
        <f>SUM(C267:C271)</f>
        <v>0</v>
      </c>
      <c r="D272" s="26"/>
      <c r="E272" s="27">
        <f>SUM(E267:E271)</f>
        <v>0</v>
      </c>
      <c r="F272" s="26"/>
      <c r="G272" s="27">
        <f>SUM(G267:G271)</f>
        <v>0</v>
      </c>
      <c r="H272" s="26"/>
      <c r="I272" s="27">
        <f>SUM(I267:I271)</f>
        <v>0</v>
      </c>
      <c r="J272" s="26"/>
      <c r="K272" s="27">
        <f>SUM(K267:K271)</f>
        <v>0</v>
      </c>
      <c r="L272" s="26"/>
      <c r="M272" s="27">
        <f>SUM(M267:M271)</f>
        <v>1570</v>
      </c>
      <c r="N272" s="26"/>
      <c r="O272" s="28">
        <f>SUM(O267:O271)</f>
        <v>0</v>
      </c>
      <c r="P272" s="29">
        <f>SUM(C272,E272,G272,I272,K272,M272,O272)</f>
        <v>1570</v>
      </c>
    </row>
    <row r="273" spans="1:16" x14ac:dyDescent="0.2">
      <c r="B273" s="6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6"/>
    </row>
    <row r="274" spans="1:16" ht="15" customHeight="1" x14ac:dyDescent="0.2">
      <c r="A274" s="43" t="s">
        <v>248</v>
      </c>
      <c r="B274" s="12">
        <f ca="1">DAY(IF(DAY(MaySun1)=1,MaySun1+22,MaySun1+29))</f>
        <v>23</v>
      </c>
      <c r="C274" s="13"/>
      <c r="D274" s="12">
        <f ca="1">DAY(IF(DAY(MaySun1)=1,MaySun1+23,MaySun1+30))</f>
        <v>24</v>
      </c>
      <c r="E274" s="13"/>
      <c r="F274" s="12">
        <f ca="1">DAY(IF(DAY(MaySun1)=1,MaySun1+24,MaySun1+31))</f>
        <v>25</v>
      </c>
      <c r="G274" s="13"/>
      <c r="H274" s="12">
        <f ca="1">DAY(IF(DAY(MaySun1)=1,MaySun1+25,MaySun1+32))</f>
        <v>26</v>
      </c>
      <c r="I274" s="13"/>
      <c r="J274" s="12">
        <f ca="1">DAY(IF(DAY(MaySun1)=1,MaySun1+26,MaySun1+33))</f>
        <v>27</v>
      </c>
      <c r="K274" s="13"/>
      <c r="L274" s="12">
        <f ca="1">DAY(IF(DAY(MaySun1)=1,MaySun1+27,MaySun1+34))</f>
        <v>28</v>
      </c>
      <c r="M274" s="13"/>
      <c r="N274" s="12">
        <f ca="1">DAY(IF(DAY(MaySun1)=1,MaySun1+28,MaySun1+35))</f>
        <v>29</v>
      </c>
      <c r="O274" s="13"/>
      <c r="P274" s="25"/>
    </row>
    <row r="275" spans="1:16" ht="11.25" customHeight="1" x14ac:dyDescent="0.2">
      <c r="A275" s="43" t="s">
        <v>161</v>
      </c>
      <c r="B275" s="37" t="s">
        <v>9</v>
      </c>
      <c r="C275" s="39" t="s">
        <v>10</v>
      </c>
      <c r="D275" s="37" t="s">
        <v>9</v>
      </c>
      <c r="E275" s="39" t="s">
        <v>10</v>
      </c>
      <c r="F275" s="37" t="s">
        <v>9</v>
      </c>
      <c r="G275" s="39" t="s">
        <v>10</v>
      </c>
      <c r="H275" s="37" t="s">
        <v>9</v>
      </c>
      <c r="I275" s="39" t="s">
        <v>10</v>
      </c>
      <c r="J275" s="37" t="s">
        <v>9</v>
      </c>
      <c r="K275" s="39" t="s">
        <v>10</v>
      </c>
      <c r="L275" s="37" t="s">
        <v>9</v>
      </c>
      <c r="M275" s="39" t="s">
        <v>10</v>
      </c>
      <c r="N275" s="37" t="s">
        <v>9</v>
      </c>
      <c r="O275" s="40" t="s">
        <v>10</v>
      </c>
      <c r="P275" s="22"/>
    </row>
    <row r="276" spans="1:16" ht="11.25" customHeight="1" x14ac:dyDescent="0.2">
      <c r="A276" s="43" t="s">
        <v>193</v>
      </c>
      <c r="B276" s="17"/>
      <c r="C276" s="71" t="str">
        <f>IFERROR(VLOOKUP(B276,fixed_expenses4[],2,0),"")</f>
        <v/>
      </c>
      <c r="D276" s="17"/>
      <c r="E276" s="71" t="str">
        <f>IFERROR(VLOOKUP(D276,fixed_expenses4[],2,0),"")</f>
        <v/>
      </c>
      <c r="F276" s="17"/>
      <c r="G276" s="71" t="str">
        <f>IFERROR(VLOOKUP(F276,fixed_expenses4[],2,0),"")</f>
        <v/>
      </c>
      <c r="H276" s="17"/>
      <c r="I276" s="71" t="str">
        <f>IFERROR(VLOOKUP(H276,fixed_expenses4[],2,0),"")</f>
        <v/>
      </c>
      <c r="J276" s="17"/>
      <c r="K276" s="71" t="str">
        <f>IFERROR(VLOOKUP(J276,fixed_expenses4[],2,0),"")</f>
        <v/>
      </c>
      <c r="L276" s="17" t="s">
        <v>387</v>
      </c>
      <c r="M276" s="71">
        <f>IFERROR(VLOOKUP(L276,fixed_expenses4[],2,0),"")</f>
        <v>800</v>
      </c>
      <c r="N276" s="17"/>
      <c r="O276" s="71" t="str">
        <f>IFERROR(VLOOKUP(N276,fixed_expenses4[],2,0),"")</f>
        <v/>
      </c>
      <c r="P276" s="22"/>
    </row>
    <row r="277" spans="1:16" ht="11.25" customHeight="1" x14ac:dyDescent="0.2">
      <c r="B277" s="17"/>
      <c r="C277" s="71" t="str">
        <f>IFERROR(VLOOKUP(B277,fixed_expenses4[],2,0),"")</f>
        <v/>
      </c>
      <c r="D277" s="17"/>
      <c r="E277" s="71" t="str">
        <f>IFERROR(VLOOKUP(D277,fixed_expenses4[],2,0),"")</f>
        <v/>
      </c>
      <c r="F277" s="17"/>
      <c r="G277" s="71" t="str">
        <f>IFERROR(VLOOKUP(F277,fixed_expenses4[],2,0),"")</f>
        <v/>
      </c>
      <c r="H277" s="17"/>
      <c r="I277" s="71" t="str">
        <f>IFERROR(VLOOKUP(H277,fixed_expenses4[],2,0),"")</f>
        <v/>
      </c>
      <c r="J277" s="17"/>
      <c r="K277" s="71" t="str">
        <f>IFERROR(VLOOKUP(J277,fixed_expenses4[],2,0),"")</f>
        <v/>
      </c>
      <c r="L277" s="17"/>
      <c r="M277" s="71" t="str">
        <f>IFERROR(VLOOKUP(L277,fixed_expenses4[],2,0),"")</f>
        <v/>
      </c>
      <c r="N277" s="17"/>
      <c r="O277" s="71" t="str">
        <f>IFERROR(VLOOKUP(N277,fixed_expenses4[],2,0),"")</f>
        <v/>
      </c>
      <c r="P277" s="22"/>
    </row>
    <row r="278" spans="1:16" ht="11.25" customHeight="1" x14ac:dyDescent="0.2">
      <c r="B278" s="17"/>
      <c r="C278" s="71" t="str">
        <f>IFERROR(VLOOKUP(B278,fixed_expenses4[],2,0),"")</f>
        <v/>
      </c>
      <c r="D278" s="17"/>
      <c r="E278" s="71" t="str">
        <f>IFERROR(VLOOKUP(D278,fixed_expenses4[],2,0),"")</f>
        <v/>
      </c>
      <c r="F278" s="17"/>
      <c r="G278" s="71" t="str">
        <f>IFERROR(VLOOKUP(F278,fixed_expenses4[],2,0),"")</f>
        <v/>
      </c>
      <c r="H278" s="17"/>
      <c r="I278" s="71" t="str">
        <f>IFERROR(VLOOKUP(H278,fixed_expenses4[],2,0),"")</f>
        <v/>
      </c>
      <c r="J278" s="17"/>
      <c r="K278" s="71" t="str">
        <f>IFERROR(VLOOKUP(J278,fixed_expenses4[],2,0),"")</f>
        <v/>
      </c>
      <c r="L278" s="17"/>
      <c r="M278" s="71" t="str">
        <f>IFERROR(VLOOKUP(L278,fixed_expenses4[],2,0),"")</f>
        <v/>
      </c>
      <c r="N278" s="17"/>
      <c r="O278" s="71" t="str">
        <f>IFERROR(VLOOKUP(N278,fixed_expenses4[],2,0),"")</f>
        <v/>
      </c>
      <c r="P278" s="22"/>
    </row>
    <row r="279" spans="1:16" ht="11.25" customHeight="1" x14ac:dyDescent="0.2">
      <c r="B279" s="17"/>
      <c r="C279" s="71" t="str">
        <f>IFERROR(VLOOKUP(B279,fixed_expenses4[],2,0),"")</f>
        <v/>
      </c>
      <c r="D279" s="17"/>
      <c r="E279" s="71" t="str">
        <f>IFERROR(VLOOKUP(D279,fixed_expenses4[],2,0),"")</f>
        <v/>
      </c>
      <c r="F279" s="17"/>
      <c r="G279" s="71" t="str">
        <f>IFERROR(VLOOKUP(F279,fixed_expenses4[],2,0),"")</f>
        <v/>
      </c>
      <c r="H279" s="17"/>
      <c r="I279" s="71" t="str">
        <f>IFERROR(VLOOKUP(H279,fixed_expenses4[],2,0),"")</f>
        <v/>
      </c>
      <c r="J279" s="17"/>
      <c r="K279" s="71" t="str">
        <f>IFERROR(VLOOKUP(J279,fixed_expenses4[],2,0),"")</f>
        <v/>
      </c>
      <c r="L279" s="17"/>
      <c r="M279" s="71" t="str">
        <f>IFERROR(VLOOKUP(L279,fixed_expenses4[],2,0),"")</f>
        <v/>
      </c>
      <c r="N279" s="17"/>
      <c r="O279" s="71" t="str">
        <f>IFERROR(VLOOKUP(N279,fixed_expenses4[],2,0),"")</f>
        <v/>
      </c>
      <c r="P279" s="22"/>
    </row>
    <row r="280" spans="1:16" ht="11.25" customHeight="1" x14ac:dyDescent="0.2">
      <c r="B280" s="17"/>
      <c r="C280" s="71" t="str">
        <f>IFERROR(VLOOKUP(B280,fixed_expenses4[],2,0),"")</f>
        <v/>
      </c>
      <c r="D280" s="17"/>
      <c r="E280" s="71" t="str">
        <f>IFERROR(VLOOKUP(D280,fixed_expenses4[],2,0),"")</f>
        <v/>
      </c>
      <c r="F280" s="17"/>
      <c r="G280" s="71" t="str">
        <f>IFERROR(VLOOKUP(F280,fixed_expenses4[],2,0),"")</f>
        <v/>
      </c>
      <c r="H280" s="17"/>
      <c r="I280" s="71" t="str">
        <f>IFERROR(VLOOKUP(H280,fixed_expenses4[],2,0),"")</f>
        <v/>
      </c>
      <c r="J280" s="17"/>
      <c r="K280" s="71" t="str">
        <f>IFERROR(VLOOKUP(J280,fixed_expenses4[],2,0),"")</f>
        <v/>
      </c>
      <c r="L280" s="17"/>
      <c r="M280" s="71" t="str">
        <f>IFERROR(VLOOKUP(L280,fixed_expenses4[],2,0),"")</f>
        <v/>
      </c>
      <c r="N280" s="17"/>
      <c r="O280" s="71" t="str">
        <f>IFERROR(VLOOKUP(N280,fixed_expenses4[],2,0),"")</f>
        <v/>
      </c>
      <c r="P280" s="22"/>
    </row>
    <row r="281" spans="1:16" ht="11.25" customHeight="1" x14ac:dyDescent="0.2">
      <c r="A281" s="43" t="s">
        <v>328</v>
      </c>
      <c r="B281" s="26" t="s">
        <v>8</v>
      </c>
      <c r="C281" s="27">
        <f>SUM(C276:C280)</f>
        <v>0</v>
      </c>
      <c r="D281" s="26"/>
      <c r="E281" s="27">
        <f>SUM(E276:E280)</f>
        <v>0</v>
      </c>
      <c r="F281" s="26"/>
      <c r="G281" s="27">
        <f>SUM(G276:G280)</f>
        <v>0</v>
      </c>
      <c r="H281" s="26"/>
      <c r="I281" s="27">
        <f>SUM(I276:I280)</f>
        <v>0</v>
      </c>
      <c r="J281" s="26"/>
      <c r="K281" s="27">
        <f>SUM(K276:K280)</f>
        <v>0</v>
      </c>
      <c r="L281" s="18"/>
      <c r="M281" s="27">
        <f>SUM(M276:M280)</f>
        <v>800</v>
      </c>
      <c r="N281" s="18"/>
      <c r="O281" s="28">
        <f>SUM(O276:O280)</f>
        <v>0</v>
      </c>
      <c r="P281" s="29">
        <f ca="1">SUMIF(B274:N274,"&gt;="&amp;15,C281:O281)</f>
        <v>800</v>
      </c>
    </row>
    <row r="282" spans="1:16" x14ac:dyDescent="0.2">
      <c r="B282" s="6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6"/>
    </row>
    <row r="283" spans="1:16" ht="15" customHeight="1" x14ac:dyDescent="0.2">
      <c r="A283" s="43" t="s">
        <v>249</v>
      </c>
      <c r="B283" s="12">
        <f ca="1">DAY(IF(DAY(MaySun1)=1,MaySun1+29,MaySun1+36))</f>
        <v>30</v>
      </c>
      <c r="C283" s="11"/>
      <c r="D283" s="12">
        <f ca="1">DAY(IF(DAY(MaySun1)=1,MaySun1+30,MaySun1+37))</f>
        <v>31</v>
      </c>
      <c r="E283" s="13"/>
      <c r="F283" s="10">
        <f ca="1">DAY(IF(DAY(MaySun1)=1,MaySun1+31,MaySun1+38))</f>
        <v>1</v>
      </c>
      <c r="G283" s="13"/>
      <c r="H283" s="12">
        <f ca="1">DAY(IF(DAY(MaySun1)=1,MaySun1+32,MaySun1+39))</f>
        <v>2</v>
      </c>
      <c r="I283" s="13"/>
      <c r="J283" s="12">
        <f ca="1">DAY(IF(DAY(MaySun1)=1,MaySun1+33,MaySun1+40))</f>
        <v>3</v>
      </c>
      <c r="K283" s="13"/>
      <c r="L283" s="12">
        <f ca="1">DAY(IF(DAY(MaySun1)=1,MaySun1+34,MaySun1+41))</f>
        <v>4</v>
      </c>
      <c r="M283" s="13"/>
      <c r="N283" s="12">
        <f ca="1">DAY(IF(DAY(MaySun1)=1,MaySun1+35,MaySun1+42))</f>
        <v>5</v>
      </c>
      <c r="O283" s="13"/>
      <c r="P283" s="25"/>
    </row>
    <row r="284" spans="1:16" ht="11.25" customHeight="1" x14ac:dyDescent="0.2">
      <c r="A284" s="43" t="s">
        <v>160</v>
      </c>
      <c r="B284" s="37" t="s">
        <v>9</v>
      </c>
      <c r="C284" s="39" t="s">
        <v>10</v>
      </c>
      <c r="D284" s="37" t="s">
        <v>9</v>
      </c>
      <c r="E284" s="39" t="s">
        <v>10</v>
      </c>
      <c r="F284" s="37" t="s">
        <v>9</v>
      </c>
      <c r="G284" s="39" t="s">
        <v>10</v>
      </c>
      <c r="H284" s="37" t="s">
        <v>9</v>
      </c>
      <c r="I284" s="39" t="s">
        <v>10</v>
      </c>
      <c r="J284" s="37" t="s">
        <v>9</v>
      </c>
      <c r="K284" s="39" t="s">
        <v>10</v>
      </c>
      <c r="L284" s="37" t="s">
        <v>9</v>
      </c>
      <c r="M284" s="39" t="s">
        <v>10</v>
      </c>
      <c r="N284" s="37" t="s">
        <v>9</v>
      </c>
      <c r="O284" s="40" t="s">
        <v>10</v>
      </c>
      <c r="P284" s="22"/>
    </row>
    <row r="285" spans="1:16" ht="11.25" customHeight="1" x14ac:dyDescent="0.2">
      <c r="A285" s="43" t="s">
        <v>194</v>
      </c>
      <c r="B285" s="17"/>
      <c r="C285" s="71" t="str">
        <f>IFERROR(VLOOKUP(B285,fixed_expenses4[],2,0),"")</f>
        <v/>
      </c>
      <c r="D285" s="17"/>
      <c r="E285" s="71" t="str">
        <f>IFERROR(VLOOKUP(D285,fixed_expenses4[],2,0),"")</f>
        <v/>
      </c>
      <c r="F285" s="17"/>
      <c r="G285" s="71" t="str">
        <f>IFERROR(VLOOKUP(F285,fixed_expenses4[],2,0),"")</f>
        <v/>
      </c>
      <c r="H285" s="17"/>
      <c r="I285" s="71" t="str">
        <f>IFERROR(VLOOKUP(H285,fixed_expenses4[],2,0),"")</f>
        <v/>
      </c>
      <c r="J285" s="17"/>
      <c r="K285" s="71" t="str">
        <f>IFERROR(VLOOKUP(J285,fixed_expenses4[],2,0),"")</f>
        <v/>
      </c>
      <c r="L285" s="17"/>
      <c r="M285" s="71" t="str">
        <f>IFERROR(VLOOKUP(L285,fixed_expenses4[],2,0),"")</f>
        <v/>
      </c>
      <c r="N285" s="17"/>
      <c r="O285" s="71" t="str">
        <f>IFERROR(VLOOKUP(N285,fixed_expenses4[],2,0),"")</f>
        <v/>
      </c>
      <c r="P285" s="22"/>
    </row>
    <row r="286" spans="1:16" ht="11.25" customHeight="1" x14ac:dyDescent="0.2">
      <c r="B286" s="17"/>
      <c r="C286" s="71" t="str">
        <f>IFERROR(VLOOKUP(B286,fixed_expenses4[],2,0),"")</f>
        <v/>
      </c>
      <c r="D286" s="17"/>
      <c r="E286" s="71" t="str">
        <f>IFERROR(VLOOKUP(D286,fixed_expenses4[],2,0),"")</f>
        <v/>
      </c>
      <c r="F286" s="17"/>
      <c r="G286" s="71" t="str">
        <f>IFERROR(VLOOKUP(F286,fixed_expenses4[],2,0),"")</f>
        <v/>
      </c>
      <c r="H286" s="17"/>
      <c r="I286" s="71" t="str">
        <f>IFERROR(VLOOKUP(H286,fixed_expenses4[],2,0),"")</f>
        <v/>
      </c>
      <c r="J286" s="17"/>
      <c r="K286" s="71" t="str">
        <f>IFERROR(VLOOKUP(J286,fixed_expenses4[],2,0),"")</f>
        <v/>
      </c>
      <c r="L286" s="17"/>
      <c r="M286" s="71" t="str">
        <f>IFERROR(VLOOKUP(L286,fixed_expenses4[],2,0),"")</f>
        <v/>
      </c>
      <c r="N286" s="17"/>
      <c r="O286" s="71" t="str">
        <f>IFERROR(VLOOKUP(N286,fixed_expenses4[],2,0),"")</f>
        <v/>
      </c>
      <c r="P286" s="22"/>
    </row>
    <row r="287" spans="1:16" ht="11.25" customHeight="1" x14ac:dyDescent="0.2">
      <c r="B287" s="17"/>
      <c r="C287" s="71" t="str">
        <f>IFERROR(VLOOKUP(B287,fixed_expenses4[],2,0),"")</f>
        <v/>
      </c>
      <c r="D287" s="17"/>
      <c r="E287" s="71" t="str">
        <f>IFERROR(VLOOKUP(D287,fixed_expenses4[],2,0),"")</f>
        <v/>
      </c>
      <c r="F287" s="17"/>
      <c r="G287" s="71" t="str">
        <f>IFERROR(VLOOKUP(F287,fixed_expenses4[],2,0),"")</f>
        <v/>
      </c>
      <c r="H287" s="17"/>
      <c r="I287" s="71" t="str">
        <f>IFERROR(VLOOKUP(H287,fixed_expenses4[],2,0),"")</f>
        <v/>
      </c>
      <c r="J287" s="17"/>
      <c r="K287" s="71" t="str">
        <f>IFERROR(VLOOKUP(J287,fixed_expenses4[],2,0),"")</f>
        <v/>
      </c>
      <c r="L287" s="17"/>
      <c r="M287" s="71" t="str">
        <f>IFERROR(VLOOKUP(L287,fixed_expenses4[],2,0),"")</f>
        <v/>
      </c>
      <c r="N287" s="17"/>
      <c r="O287" s="71" t="str">
        <f>IFERROR(VLOOKUP(N287,fixed_expenses4[],2,0),"")</f>
        <v/>
      </c>
      <c r="P287" s="22"/>
    </row>
    <row r="288" spans="1:16" ht="11.25" customHeight="1" x14ac:dyDescent="0.2">
      <c r="B288" s="17"/>
      <c r="C288" s="71" t="str">
        <f>IFERROR(VLOOKUP(B288,fixed_expenses4[],2,0),"")</f>
        <v/>
      </c>
      <c r="D288" s="17"/>
      <c r="E288" s="71" t="str">
        <f>IFERROR(VLOOKUP(D288,fixed_expenses4[],2,0),"")</f>
        <v/>
      </c>
      <c r="F288" s="17"/>
      <c r="G288" s="71" t="str">
        <f>IFERROR(VLOOKUP(F288,fixed_expenses4[],2,0),"")</f>
        <v/>
      </c>
      <c r="H288" s="17"/>
      <c r="I288" s="71" t="str">
        <f>IFERROR(VLOOKUP(H288,fixed_expenses4[],2,0),"")</f>
        <v/>
      </c>
      <c r="J288" s="17"/>
      <c r="K288" s="71" t="str">
        <f>IFERROR(VLOOKUP(J288,fixed_expenses4[],2,0),"")</f>
        <v/>
      </c>
      <c r="L288" s="17"/>
      <c r="M288" s="71" t="str">
        <f>IFERROR(VLOOKUP(L288,fixed_expenses4[],2,0),"")</f>
        <v/>
      </c>
      <c r="N288" s="17"/>
      <c r="O288" s="71" t="str">
        <f>IFERROR(VLOOKUP(N288,fixed_expenses4[],2,0),"")</f>
        <v/>
      </c>
      <c r="P288" s="22"/>
    </row>
    <row r="289" spans="1:16" ht="11.25" customHeight="1" x14ac:dyDescent="0.2">
      <c r="B289" s="17"/>
      <c r="C289" s="71" t="str">
        <f>IFERROR(VLOOKUP(B289,fixed_expenses4[],2,0),"")</f>
        <v/>
      </c>
      <c r="D289" s="17"/>
      <c r="E289" s="71" t="str">
        <f>IFERROR(VLOOKUP(D289,fixed_expenses4[],2,0),"")</f>
        <v/>
      </c>
      <c r="F289" s="17"/>
      <c r="G289" s="71" t="str">
        <f>IFERROR(VLOOKUP(F289,fixed_expenses4[],2,0),"")</f>
        <v/>
      </c>
      <c r="H289" s="17"/>
      <c r="I289" s="71" t="str">
        <f>IFERROR(VLOOKUP(H289,fixed_expenses4[],2,0),"")</f>
        <v/>
      </c>
      <c r="J289" s="17"/>
      <c r="K289" s="71" t="str">
        <f>IFERROR(VLOOKUP(J289,fixed_expenses4[],2,0),"")</f>
        <v/>
      </c>
      <c r="L289" s="17"/>
      <c r="M289" s="71" t="str">
        <f>IFERROR(VLOOKUP(L289,fixed_expenses4[],2,0),"")</f>
        <v/>
      </c>
      <c r="N289" s="17"/>
      <c r="O289" s="71" t="str">
        <f>IFERROR(VLOOKUP(N289,fixed_expenses4[],2,0),"")</f>
        <v/>
      </c>
      <c r="P289" s="22"/>
    </row>
    <row r="290" spans="1:16" ht="11.25" customHeight="1" x14ac:dyDescent="0.2">
      <c r="A290" s="43" t="s">
        <v>327</v>
      </c>
      <c r="B290" s="26" t="s">
        <v>8</v>
      </c>
      <c r="C290" s="27">
        <f>SUM(C285:C289)</f>
        <v>0</v>
      </c>
      <c r="D290" s="18"/>
      <c r="E290" s="27">
        <f>SUM(E285:E289)</f>
        <v>0</v>
      </c>
      <c r="F290" s="18"/>
      <c r="G290" s="27">
        <f>SUM(G285:G289)</f>
        <v>0</v>
      </c>
      <c r="H290" s="18"/>
      <c r="I290" s="27">
        <f>SUM(I285:I289)</f>
        <v>0</v>
      </c>
      <c r="J290" s="18"/>
      <c r="K290" s="27">
        <f>SUM(K285:K289)</f>
        <v>0</v>
      </c>
      <c r="L290" s="18"/>
      <c r="M290" s="27">
        <f>SUM(M285:M289)</f>
        <v>0</v>
      </c>
      <c r="N290" s="18"/>
      <c r="O290" s="28">
        <f>SUM(O285:O289)</f>
        <v>0</v>
      </c>
      <c r="P290" s="29">
        <f ca="1">SUMIF(B283:N283,"&gt;="&amp;15,C290:O290)</f>
        <v>0</v>
      </c>
    </row>
    <row r="291" spans="1:16" ht="17.25" customHeight="1" x14ac:dyDescent="0.2"/>
    <row r="292" spans="1:16" ht="12" customHeight="1" x14ac:dyDescent="0.2">
      <c r="A292" s="43" t="s">
        <v>86</v>
      </c>
      <c r="B292" s="59" t="s">
        <v>18</v>
      </c>
      <c r="C292" s="59"/>
      <c r="D292" s="59"/>
      <c r="E292" s="59"/>
      <c r="F292"/>
      <c r="G292" s="4"/>
      <c r="H292"/>
      <c r="I292" s="4"/>
      <c r="J292"/>
      <c r="K292" s="4"/>
      <c r="L292" s="45" t="s">
        <v>12</v>
      </c>
      <c r="M292" s="45"/>
      <c r="N292" s="45" t="s">
        <v>13</v>
      </c>
      <c r="O292" s="45"/>
      <c r="P292"/>
    </row>
    <row r="293" spans="1:16" ht="25.5" customHeight="1" x14ac:dyDescent="0.2">
      <c r="A293" s="43" t="s">
        <v>93</v>
      </c>
      <c r="B293" s="59"/>
      <c r="C293" s="59"/>
      <c r="D293" s="59"/>
      <c r="E293" s="59"/>
      <c r="F293" s="3">
        <f ca="1">IFERROR(WEEKDAY(DATEVALUE(B292&amp;" 1, "&amp;Year1)),"")</f>
        <v>3</v>
      </c>
      <c r="G293" s="4"/>
      <c r="H293"/>
      <c r="I293" s="7"/>
      <c r="J293" s="8"/>
      <c r="K293" s="4"/>
      <c r="L293" s="46">
        <f ca="1">SUM(P303,P312,P321,P330,P339,P348)</f>
        <v>4740</v>
      </c>
      <c r="M293" s="47"/>
      <c r="N293" s="46">
        <f ca="1">SUM(P:P)</f>
        <v>62420</v>
      </c>
      <c r="O293" s="48"/>
      <c r="P293"/>
    </row>
    <row r="294" spans="1:16" ht="9" customHeight="1" x14ac:dyDescent="0.2">
      <c r="A294" s="43" t="s">
        <v>354</v>
      </c>
      <c r="B294" s="50">
        <v>1</v>
      </c>
      <c r="C294" s="50"/>
      <c r="D294" s="50">
        <v>2</v>
      </c>
      <c r="E294" s="50"/>
      <c r="F294" s="50">
        <v>3</v>
      </c>
      <c r="G294" s="50"/>
      <c r="H294" s="50">
        <v>4</v>
      </c>
      <c r="I294" s="50"/>
      <c r="J294" s="50">
        <v>5</v>
      </c>
      <c r="K294" s="50"/>
      <c r="L294" s="50">
        <v>6</v>
      </c>
      <c r="M294" s="50"/>
      <c r="N294" s="50">
        <v>7</v>
      </c>
      <c r="O294" s="50"/>
      <c r="P294" s="2"/>
    </row>
    <row r="295" spans="1:16" ht="15" customHeight="1" x14ac:dyDescent="0.2">
      <c r="A295" s="43" t="s">
        <v>106</v>
      </c>
      <c r="B295" s="60" t="s">
        <v>0</v>
      </c>
      <c r="C295" s="61"/>
      <c r="D295" s="62" t="s">
        <v>1</v>
      </c>
      <c r="E295" s="63" t="e">
        <f ca="1">IF(WEEKDAY(DATEVALUE(Month1&amp;" 1, "&amp;Year1))=COLUMN(#REF!),1,IF(LEN(C295)&gt;0,C295+1,""))</f>
        <v>#VALUE!</v>
      </c>
      <c r="F295" s="61" t="s">
        <v>2</v>
      </c>
      <c r="G295" s="61" t="e">
        <f ca="1">IF(WEEKDAY(DATEVALUE(Month1&amp;" 1, "&amp;Year1))=COLUMN(#REF!),1,IF(LEN(E295)&gt;0,E295+1,""))</f>
        <v>#VALUE!</v>
      </c>
      <c r="H295" s="62" t="s">
        <v>3</v>
      </c>
      <c r="I295" s="63" t="e">
        <f ca="1">IF(WEEKDAY(DATEVALUE(Month1&amp;" 1, "&amp;Year1))=COLUMN(#REF!),1,IF(LEN(G295)&gt;0,G295+1,""))</f>
        <v>#VALUE!</v>
      </c>
      <c r="J295" s="64" t="s">
        <v>4</v>
      </c>
      <c r="K295" s="65" t="e">
        <f ca="1">IF(WEEKDAY(DATEVALUE(Month1&amp;" 1, "&amp;Year1))=COLUMN(#REF!),1,IF(LEN(I295)&gt;0,I295+1,""))</f>
        <v>#VALUE!</v>
      </c>
      <c r="L295" s="66" t="s">
        <v>5</v>
      </c>
      <c r="M295" s="67" t="e">
        <f ca="1">IF(WEEKDAY(DATEVALUE(Month1&amp;" 1, "&amp;Year1))=COLUMN(#REF!),1,IF(LEN(K295)&gt;0,K295+1,""))</f>
        <v>#VALUE!</v>
      </c>
      <c r="N295" s="66" t="s">
        <v>6</v>
      </c>
      <c r="O295" s="67" t="e">
        <f ca="1">IF(WEEKDAY(DATEVALUE(Month1&amp;" 1, "&amp;Year1))=COLUMN(#REF!),1,IF(LEN(M295)&gt;0,M295+1,""))</f>
        <v>#VALUE!</v>
      </c>
      <c r="P295" s="42" t="s">
        <v>7</v>
      </c>
    </row>
    <row r="296" spans="1:16" ht="15" customHeight="1" x14ac:dyDescent="0.2">
      <c r="A296" s="43" t="s">
        <v>108</v>
      </c>
      <c r="B296" s="14">
        <f ca="1">DAY(IF(DAY(JunSun1)=1,JunSun1-6,JunSun1+1))</f>
        <v>30</v>
      </c>
      <c r="C296" s="16"/>
      <c r="D296" s="19">
        <f ca="1">DAY(IF(DAY(JunSun1)=1,JunSun1-5,JunSun1+2))</f>
        <v>31</v>
      </c>
      <c r="E296" s="16"/>
      <c r="F296" s="19">
        <f ca="1">DAY(IF(DAY(JunSun1)=1,JunSun1-4,JunSun1+3))</f>
        <v>1</v>
      </c>
      <c r="G296" s="16"/>
      <c r="H296" s="19">
        <f ca="1">DAY(IF(DAY(JunSun1)=1,JunSun1-3,JunSun1+4))</f>
        <v>2</v>
      </c>
      <c r="I296" s="16"/>
      <c r="J296" s="19">
        <f ca="1">DAY(IF(DAY(JunSun1)=1,JunSun1-2,JunSun1+5))</f>
        <v>3</v>
      </c>
      <c r="K296" s="16"/>
      <c r="L296" s="19">
        <f ca="1">DAY(IF(DAY(JunSun1)=1,JunSun1-1,JunSun1+6))</f>
        <v>4</v>
      </c>
      <c r="M296" s="16"/>
      <c r="N296" s="20">
        <f ca="1">DAY(IF(DAY(JunSun1)=1,JunSun1,JunSun1+7))</f>
        <v>5</v>
      </c>
      <c r="O296" s="15"/>
      <c r="P296" s="21"/>
    </row>
    <row r="297" spans="1:16" ht="11.25" customHeight="1" x14ac:dyDescent="0.2">
      <c r="A297" s="43" t="s">
        <v>159</v>
      </c>
      <c r="B297" s="41" t="s">
        <v>9</v>
      </c>
      <c r="C297" s="36" t="s">
        <v>10</v>
      </c>
      <c r="D297" s="35" t="s">
        <v>9</v>
      </c>
      <c r="E297" s="36" t="s">
        <v>10</v>
      </c>
      <c r="F297" s="35" t="s">
        <v>9</v>
      </c>
      <c r="G297" s="36" t="s">
        <v>10</v>
      </c>
      <c r="H297" s="35" t="s">
        <v>9</v>
      </c>
      <c r="I297" s="36" t="s">
        <v>10</v>
      </c>
      <c r="J297" s="35" t="s">
        <v>9</v>
      </c>
      <c r="K297" s="36" t="s">
        <v>10</v>
      </c>
      <c r="L297" s="35" t="s">
        <v>9</v>
      </c>
      <c r="M297" s="36" t="s">
        <v>10</v>
      </c>
      <c r="N297" s="37" t="s">
        <v>9</v>
      </c>
      <c r="O297" s="38" t="s">
        <v>10</v>
      </c>
      <c r="P297" s="22"/>
    </row>
    <row r="298" spans="1:16" ht="11.25" customHeight="1" x14ac:dyDescent="0.2">
      <c r="A298" s="43" t="s">
        <v>195</v>
      </c>
      <c r="B298" s="17"/>
      <c r="C298" s="71" t="str">
        <f>IFERROR(VLOOKUP(B298,fixed_expenses4[],2,0),"")</f>
        <v/>
      </c>
      <c r="D298" s="17"/>
      <c r="E298" s="71" t="str">
        <f>IFERROR(VLOOKUP(D298,fixed_expenses4[],2,0),"")</f>
        <v/>
      </c>
      <c r="F298" s="17"/>
      <c r="G298" s="71" t="str">
        <f>IFERROR(VLOOKUP(F298,fixed_expenses4[],2,0),"")</f>
        <v/>
      </c>
      <c r="H298" s="17"/>
      <c r="I298" s="71" t="str">
        <f>IFERROR(VLOOKUP(H298,fixed_expenses4[],2,0),"")</f>
        <v/>
      </c>
      <c r="J298" s="17"/>
      <c r="K298" s="71" t="str">
        <f>IFERROR(VLOOKUP(J298,fixed_expenses4[],2,0),"")</f>
        <v/>
      </c>
      <c r="L298" s="17" t="s">
        <v>387</v>
      </c>
      <c r="M298" s="71">
        <f>IFERROR(VLOOKUP(L298,fixed_expenses4[],2,0),"")</f>
        <v>800</v>
      </c>
      <c r="N298" s="17"/>
      <c r="O298" s="71" t="str">
        <f>IFERROR(VLOOKUP(N298,fixed_expenses4[],2,0),"")</f>
        <v/>
      </c>
      <c r="P298" s="22"/>
    </row>
    <row r="299" spans="1:16" ht="11.25" customHeight="1" x14ac:dyDescent="0.2">
      <c r="B299" s="17"/>
      <c r="C299" s="71" t="str">
        <f>IFERROR(VLOOKUP(B299,fixed_expenses4[],2,0),"")</f>
        <v/>
      </c>
      <c r="D299" s="17"/>
      <c r="E299" s="71" t="str">
        <f>IFERROR(VLOOKUP(D299,fixed_expenses4[],2,0),"")</f>
        <v/>
      </c>
      <c r="F299" s="17"/>
      <c r="G299" s="71" t="str">
        <f>IFERROR(VLOOKUP(F299,fixed_expenses4[],2,0),"")</f>
        <v/>
      </c>
      <c r="H299" s="17"/>
      <c r="I299" s="71" t="str">
        <f>IFERROR(VLOOKUP(H299,fixed_expenses4[],2,0),"")</f>
        <v/>
      </c>
      <c r="J299" s="17"/>
      <c r="K299" s="71" t="str">
        <f>IFERROR(VLOOKUP(J299,fixed_expenses4[],2,0),"")</f>
        <v/>
      </c>
      <c r="L299" s="80" t="s">
        <v>388</v>
      </c>
      <c r="M299" s="71">
        <f>IFERROR(VLOOKUP(L299,fixed_expenses4[],2,0),"")</f>
        <v>770</v>
      </c>
      <c r="N299" s="17"/>
      <c r="O299" s="71" t="str">
        <f>IFERROR(VLOOKUP(N299,fixed_expenses4[],2,0),"")</f>
        <v/>
      </c>
      <c r="P299" s="22"/>
    </row>
    <row r="300" spans="1:16" ht="11.25" customHeight="1" x14ac:dyDescent="0.2">
      <c r="B300" s="17"/>
      <c r="C300" s="71" t="str">
        <f>IFERROR(VLOOKUP(B300,fixed_expenses4[],2,0),"")</f>
        <v/>
      </c>
      <c r="D300" s="17"/>
      <c r="E300" s="71" t="str">
        <f>IFERROR(VLOOKUP(D300,fixed_expenses4[],2,0),"")</f>
        <v/>
      </c>
      <c r="F300" s="17"/>
      <c r="G300" s="71" t="str">
        <f>IFERROR(VLOOKUP(F300,fixed_expenses4[],2,0),"")</f>
        <v/>
      </c>
      <c r="H300" s="17"/>
      <c r="I300" s="71" t="str">
        <f>IFERROR(VLOOKUP(H300,fixed_expenses4[],2,0),"")</f>
        <v/>
      </c>
      <c r="J300" s="17"/>
      <c r="K300" s="71" t="str">
        <f>IFERROR(VLOOKUP(J300,fixed_expenses4[],2,0),"")</f>
        <v/>
      </c>
      <c r="L300" s="17"/>
      <c r="M300" s="71" t="str">
        <f>IFERROR(VLOOKUP(L300,fixed_expenses4[],2,0),"")</f>
        <v/>
      </c>
      <c r="N300" s="17"/>
      <c r="O300" s="71" t="str">
        <f>IFERROR(VLOOKUP(N300,fixed_expenses4[],2,0),"")</f>
        <v/>
      </c>
      <c r="P300" s="22"/>
    </row>
    <row r="301" spans="1:16" ht="11.25" customHeight="1" x14ac:dyDescent="0.2">
      <c r="B301" s="17"/>
      <c r="C301" s="71" t="str">
        <f>IFERROR(VLOOKUP(B301,fixed_expenses4[],2,0),"")</f>
        <v/>
      </c>
      <c r="D301" s="17"/>
      <c r="E301" s="71" t="str">
        <f>IFERROR(VLOOKUP(D301,fixed_expenses4[],2,0),"")</f>
        <v/>
      </c>
      <c r="F301" s="17"/>
      <c r="G301" s="71" t="str">
        <f>IFERROR(VLOOKUP(F301,fixed_expenses4[],2,0),"")</f>
        <v/>
      </c>
      <c r="H301" s="17"/>
      <c r="I301" s="71" t="str">
        <f>IFERROR(VLOOKUP(H301,fixed_expenses4[],2,0),"")</f>
        <v/>
      </c>
      <c r="J301" s="17"/>
      <c r="K301" s="71" t="str">
        <f>IFERROR(VLOOKUP(J301,fixed_expenses4[],2,0),"")</f>
        <v/>
      </c>
      <c r="L301" s="17"/>
      <c r="M301" s="71" t="str">
        <f>IFERROR(VLOOKUP(L301,fixed_expenses4[],2,0),"")</f>
        <v/>
      </c>
      <c r="N301" s="17"/>
      <c r="O301" s="71" t="str">
        <f>IFERROR(VLOOKUP(N301,fixed_expenses4[],2,0),"")</f>
        <v/>
      </c>
      <c r="P301" s="22"/>
    </row>
    <row r="302" spans="1:16" ht="11.25" customHeight="1" x14ac:dyDescent="0.2">
      <c r="B302" s="17"/>
      <c r="C302" s="71" t="str">
        <f>IFERROR(VLOOKUP(B302,fixed_expenses4[],2,0),"")</f>
        <v/>
      </c>
      <c r="D302" s="17"/>
      <c r="E302" s="71" t="str">
        <f>IFERROR(VLOOKUP(D302,fixed_expenses4[],2,0),"")</f>
        <v/>
      </c>
      <c r="F302" s="17"/>
      <c r="G302" s="71" t="str">
        <f>IFERROR(VLOOKUP(F302,fixed_expenses4[],2,0),"")</f>
        <v/>
      </c>
      <c r="H302" s="17"/>
      <c r="I302" s="71" t="str">
        <f>IFERROR(VLOOKUP(H302,fixed_expenses4[],2,0),"")</f>
        <v/>
      </c>
      <c r="J302" s="17"/>
      <c r="K302" s="71" t="str">
        <f>IFERROR(VLOOKUP(J302,fixed_expenses4[],2,0),"")</f>
        <v/>
      </c>
      <c r="L302" s="17"/>
      <c r="M302" s="71" t="str">
        <f>IFERROR(VLOOKUP(L302,fixed_expenses4[],2,0),"")</f>
        <v/>
      </c>
      <c r="N302" s="17"/>
      <c r="O302" s="71" t="str">
        <f>IFERROR(VLOOKUP(N302,fixed_expenses4[],2,0),"")</f>
        <v/>
      </c>
      <c r="P302" s="22"/>
    </row>
    <row r="303" spans="1:16" ht="11.25" customHeight="1" x14ac:dyDescent="0.2">
      <c r="A303" s="43" t="s">
        <v>326</v>
      </c>
      <c r="B303" s="26" t="s">
        <v>8</v>
      </c>
      <c r="C303" s="27">
        <f>SUM(C298:C302)</f>
        <v>0</v>
      </c>
      <c r="D303" s="18"/>
      <c r="E303" s="27">
        <f>SUM(E298:E302)</f>
        <v>0</v>
      </c>
      <c r="F303" s="18"/>
      <c r="G303" s="27">
        <f>SUM(G298:G302)</f>
        <v>0</v>
      </c>
      <c r="H303" s="18"/>
      <c r="I303" s="27">
        <f>SUM(I298:I302)</f>
        <v>0</v>
      </c>
      <c r="J303" s="18"/>
      <c r="K303" s="27">
        <f>SUM(K298:K302)</f>
        <v>0</v>
      </c>
      <c r="L303" s="26"/>
      <c r="M303" s="27">
        <f>SUM(M298:M302)</f>
        <v>1570</v>
      </c>
      <c r="N303" s="26"/>
      <c r="O303" s="28">
        <f>SUM(O298:O302)</f>
        <v>0</v>
      </c>
      <c r="P303" s="29">
        <f ca="1">SUMIF(B296:N296,"&lt;8",C303:O303)</f>
        <v>1570</v>
      </c>
    </row>
    <row r="304" spans="1:16" x14ac:dyDescent="0.2">
      <c r="B304" s="6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6"/>
    </row>
    <row r="305" spans="1:16" ht="15" customHeight="1" x14ac:dyDescent="0.2">
      <c r="A305" s="43" t="s">
        <v>250</v>
      </c>
      <c r="B305" s="12">
        <f ca="1">N296+1</f>
        <v>6</v>
      </c>
      <c r="C305" s="13"/>
      <c r="D305" s="12">
        <f ca="1">B305+1</f>
        <v>7</v>
      </c>
      <c r="E305" s="13"/>
      <c r="F305" s="12">
        <f ca="1">D305+1</f>
        <v>8</v>
      </c>
      <c r="G305" s="13"/>
      <c r="H305" s="12">
        <f ca="1">F305+1</f>
        <v>9</v>
      </c>
      <c r="I305" s="13"/>
      <c r="J305" s="12">
        <f ca="1">H305+1</f>
        <v>10</v>
      </c>
      <c r="K305" s="13"/>
      <c r="L305" s="12">
        <f ca="1">J305+1</f>
        <v>11</v>
      </c>
      <c r="M305" s="13"/>
      <c r="N305" s="12">
        <f ca="1">L305+1</f>
        <v>12</v>
      </c>
      <c r="O305" s="13"/>
      <c r="P305" s="23"/>
    </row>
    <row r="306" spans="1:16" ht="11.25" customHeight="1" x14ac:dyDescent="0.2">
      <c r="A306" s="43" t="s">
        <v>158</v>
      </c>
      <c r="B306" s="37" t="s">
        <v>9</v>
      </c>
      <c r="C306" s="39" t="s">
        <v>10</v>
      </c>
      <c r="D306" s="37" t="s">
        <v>9</v>
      </c>
      <c r="E306" s="39" t="s">
        <v>10</v>
      </c>
      <c r="F306" s="37" t="s">
        <v>9</v>
      </c>
      <c r="G306" s="39" t="s">
        <v>10</v>
      </c>
      <c r="H306" s="37" t="s">
        <v>9</v>
      </c>
      <c r="I306" s="39" t="s">
        <v>10</v>
      </c>
      <c r="J306" s="37" t="s">
        <v>9</v>
      </c>
      <c r="K306" s="39" t="s">
        <v>10</v>
      </c>
      <c r="L306" s="37" t="s">
        <v>9</v>
      </c>
      <c r="M306" s="39" t="s">
        <v>10</v>
      </c>
      <c r="N306" s="37" t="s">
        <v>9</v>
      </c>
      <c r="O306" s="40" t="s">
        <v>10</v>
      </c>
      <c r="P306" s="22"/>
    </row>
    <row r="307" spans="1:16" ht="11.25" customHeight="1" x14ac:dyDescent="0.2">
      <c r="A307" s="43" t="s">
        <v>196</v>
      </c>
      <c r="B307" s="17"/>
      <c r="C307" s="71" t="str">
        <f>IFERROR(VLOOKUP(B307,fixed_expenses4[],2,0),"")</f>
        <v/>
      </c>
      <c r="D307" s="17"/>
      <c r="E307" s="71" t="str">
        <f>IFERROR(VLOOKUP(D307,fixed_expenses4[],2,0),"")</f>
        <v/>
      </c>
      <c r="F307" s="17"/>
      <c r="G307" s="71" t="str">
        <f>IFERROR(VLOOKUP(F307,fixed_expenses4[],2,0),"")</f>
        <v/>
      </c>
      <c r="H307" s="17"/>
      <c r="I307" s="71" t="str">
        <f>IFERROR(VLOOKUP(H307,fixed_expenses4[],2,0),"")</f>
        <v/>
      </c>
      <c r="J307" s="17"/>
      <c r="K307" s="71" t="str">
        <f>IFERROR(VLOOKUP(J307,fixed_expenses4[],2,0),"")</f>
        <v/>
      </c>
      <c r="L307" s="17" t="s">
        <v>387</v>
      </c>
      <c r="M307" s="71">
        <f>IFERROR(VLOOKUP(L307,fixed_expenses4[],2,0),"")</f>
        <v>800</v>
      </c>
      <c r="N307" s="17"/>
      <c r="O307" s="71" t="str">
        <f>IFERROR(VLOOKUP(N307,fixed_expenses4[],2,0),"")</f>
        <v/>
      </c>
      <c r="P307" s="22"/>
    </row>
    <row r="308" spans="1:16" ht="11.25" customHeight="1" x14ac:dyDescent="0.2">
      <c r="B308" s="17"/>
      <c r="C308" s="71" t="str">
        <f>IFERROR(VLOOKUP(B308,fixed_expenses4[],2,0),"")</f>
        <v/>
      </c>
      <c r="D308" s="17"/>
      <c r="E308" s="71" t="str">
        <f>IFERROR(VLOOKUP(D308,fixed_expenses4[],2,0),"")</f>
        <v/>
      </c>
      <c r="F308" s="17"/>
      <c r="G308" s="71" t="str">
        <f>IFERROR(VLOOKUP(F308,fixed_expenses4[],2,0),"")</f>
        <v/>
      </c>
      <c r="H308" s="17"/>
      <c r="I308" s="71" t="str">
        <f>IFERROR(VLOOKUP(H308,fixed_expenses4[],2,0),"")</f>
        <v/>
      </c>
      <c r="J308" s="17"/>
      <c r="K308" s="71" t="str">
        <f>IFERROR(VLOOKUP(J308,fixed_expenses4[],2,0),"")</f>
        <v/>
      </c>
      <c r="L308" s="17"/>
      <c r="M308" s="71" t="str">
        <f>IFERROR(VLOOKUP(L308,fixed_expenses4[],2,0),"")</f>
        <v/>
      </c>
      <c r="N308" s="17"/>
      <c r="O308" s="71" t="str">
        <f>IFERROR(VLOOKUP(N308,fixed_expenses4[],2,0),"")</f>
        <v/>
      </c>
      <c r="P308" s="22"/>
    </row>
    <row r="309" spans="1:16" ht="11.25" customHeight="1" x14ac:dyDescent="0.2">
      <c r="B309" s="17"/>
      <c r="C309" s="71" t="str">
        <f>IFERROR(VLOOKUP(B309,fixed_expenses4[],2,0),"")</f>
        <v/>
      </c>
      <c r="D309" s="17"/>
      <c r="E309" s="71" t="str">
        <f>IFERROR(VLOOKUP(D309,fixed_expenses4[],2,0),"")</f>
        <v/>
      </c>
      <c r="F309" s="17"/>
      <c r="G309" s="71" t="str">
        <f>IFERROR(VLOOKUP(F309,fixed_expenses4[],2,0),"")</f>
        <v/>
      </c>
      <c r="H309" s="17"/>
      <c r="I309" s="71" t="str">
        <f>IFERROR(VLOOKUP(H309,fixed_expenses4[],2,0),"")</f>
        <v/>
      </c>
      <c r="J309" s="17"/>
      <c r="K309" s="71" t="str">
        <f>IFERROR(VLOOKUP(J309,fixed_expenses4[],2,0),"")</f>
        <v/>
      </c>
      <c r="L309" s="17"/>
      <c r="M309" s="71" t="str">
        <f>IFERROR(VLOOKUP(L309,fixed_expenses4[],2,0),"")</f>
        <v/>
      </c>
      <c r="N309" s="17"/>
      <c r="O309" s="71" t="str">
        <f>IFERROR(VLOOKUP(N309,fixed_expenses4[],2,0),"")</f>
        <v/>
      </c>
      <c r="P309" s="22"/>
    </row>
    <row r="310" spans="1:16" ht="11.25" customHeight="1" x14ac:dyDescent="0.2">
      <c r="B310" s="17"/>
      <c r="C310" s="71" t="str">
        <f>IFERROR(VLOOKUP(B310,fixed_expenses4[],2,0),"")</f>
        <v/>
      </c>
      <c r="D310" s="17"/>
      <c r="E310" s="71" t="str">
        <f>IFERROR(VLOOKUP(D310,fixed_expenses4[],2,0),"")</f>
        <v/>
      </c>
      <c r="F310" s="17"/>
      <c r="G310" s="71" t="str">
        <f>IFERROR(VLOOKUP(F310,fixed_expenses4[],2,0),"")</f>
        <v/>
      </c>
      <c r="H310" s="17"/>
      <c r="I310" s="71" t="str">
        <f>IFERROR(VLOOKUP(H310,fixed_expenses4[],2,0),"")</f>
        <v/>
      </c>
      <c r="J310" s="17"/>
      <c r="K310" s="71" t="str">
        <f>IFERROR(VLOOKUP(J310,fixed_expenses4[],2,0),"")</f>
        <v/>
      </c>
      <c r="L310" s="17"/>
      <c r="M310" s="71" t="str">
        <f>IFERROR(VLOOKUP(L310,fixed_expenses4[],2,0),"")</f>
        <v/>
      </c>
      <c r="N310" s="17"/>
      <c r="O310" s="71" t="str">
        <f>IFERROR(VLOOKUP(N310,fixed_expenses4[],2,0),"")</f>
        <v/>
      </c>
      <c r="P310" s="22"/>
    </row>
    <row r="311" spans="1:16" ht="11.25" customHeight="1" x14ac:dyDescent="0.2">
      <c r="B311" s="17"/>
      <c r="C311" s="71" t="str">
        <f>IFERROR(VLOOKUP(B311,fixed_expenses4[],2,0),"")</f>
        <v/>
      </c>
      <c r="D311" s="17"/>
      <c r="E311" s="71" t="str">
        <f>IFERROR(VLOOKUP(D311,fixed_expenses4[],2,0),"")</f>
        <v/>
      </c>
      <c r="F311" s="17"/>
      <c r="G311" s="71" t="str">
        <f>IFERROR(VLOOKUP(F311,fixed_expenses4[],2,0),"")</f>
        <v/>
      </c>
      <c r="H311" s="17"/>
      <c r="I311" s="71" t="str">
        <f>IFERROR(VLOOKUP(H311,fixed_expenses4[],2,0),"")</f>
        <v/>
      </c>
      <c r="J311" s="17"/>
      <c r="K311" s="71" t="str">
        <f>IFERROR(VLOOKUP(J311,fixed_expenses4[],2,0),"")</f>
        <v/>
      </c>
      <c r="L311" s="17"/>
      <c r="M311" s="71" t="str">
        <f>IFERROR(VLOOKUP(L311,fixed_expenses4[],2,0),"")</f>
        <v/>
      </c>
      <c r="N311" s="17"/>
      <c r="O311" s="71" t="str">
        <f>IFERROR(VLOOKUP(N311,fixed_expenses4[],2,0),"")</f>
        <v/>
      </c>
      <c r="P311" s="22"/>
    </row>
    <row r="312" spans="1:16" ht="11.25" customHeight="1" x14ac:dyDescent="0.2">
      <c r="A312" s="43" t="s">
        <v>325</v>
      </c>
      <c r="B312" s="26" t="s">
        <v>8</v>
      </c>
      <c r="C312" s="27">
        <f>SUM(C307:C311)</f>
        <v>0</v>
      </c>
      <c r="D312" s="26"/>
      <c r="E312" s="27">
        <f>SUM(E307:E311)</f>
        <v>0</v>
      </c>
      <c r="F312" s="26"/>
      <c r="G312" s="27">
        <f>SUM(G307:G311)</f>
        <v>0</v>
      </c>
      <c r="H312" s="26"/>
      <c r="I312" s="27">
        <f>SUM(I307:I311)</f>
        <v>0</v>
      </c>
      <c r="J312" s="26"/>
      <c r="K312" s="27">
        <f>SUM(K307:K311)</f>
        <v>0</v>
      </c>
      <c r="L312" s="26"/>
      <c r="M312" s="27">
        <f>SUM(M307:M311)</f>
        <v>800</v>
      </c>
      <c r="N312" s="26"/>
      <c r="O312" s="28">
        <f>SUM(O307:O311)</f>
        <v>0</v>
      </c>
      <c r="P312" s="29">
        <f>SUM(C312,E312,G312,I312,K312,M312,O312)</f>
        <v>800</v>
      </c>
    </row>
    <row r="313" spans="1:16" x14ac:dyDescent="0.2">
      <c r="B313" s="6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6"/>
    </row>
    <row r="314" spans="1:16" ht="15" customHeight="1" x14ac:dyDescent="0.2">
      <c r="A314" s="43" t="s">
        <v>251</v>
      </c>
      <c r="B314" s="12">
        <f ca="1">N305+1</f>
        <v>13</v>
      </c>
      <c r="C314" s="13"/>
      <c r="D314" s="12">
        <f ca="1">B314+1</f>
        <v>14</v>
      </c>
      <c r="E314" s="13"/>
      <c r="F314" s="12">
        <f ca="1">D314+1</f>
        <v>15</v>
      </c>
      <c r="G314" s="13"/>
      <c r="H314" s="12">
        <f ca="1">F314+1</f>
        <v>16</v>
      </c>
      <c r="I314" s="13"/>
      <c r="J314" s="12">
        <f ca="1">H314+1</f>
        <v>17</v>
      </c>
      <c r="K314" s="13"/>
      <c r="L314" s="12">
        <f ca="1">J314+1</f>
        <v>18</v>
      </c>
      <c r="M314" s="13"/>
      <c r="N314" s="12">
        <f ca="1">L314+1</f>
        <v>19</v>
      </c>
      <c r="O314" s="13"/>
      <c r="P314" s="24"/>
    </row>
    <row r="315" spans="1:16" ht="11.25" customHeight="1" x14ac:dyDescent="0.2">
      <c r="A315" s="43" t="s">
        <v>157</v>
      </c>
      <c r="B315" s="37" t="s">
        <v>9</v>
      </c>
      <c r="C315" s="39" t="s">
        <v>10</v>
      </c>
      <c r="D315" s="37" t="s">
        <v>9</v>
      </c>
      <c r="E315" s="39" t="s">
        <v>10</v>
      </c>
      <c r="F315" s="37" t="s">
        <v>9</v>
      </c>
      <c r="G315" s="39" t="s">
        <v>10</v>
      </c>
      <c r="H315" s="37" t="s">
        <v>9</v>
      </c>
      <c r="I315" s="39" t="s">
        <v>10</v>
      </c>
      <c r="J315" s="37" t="s">
        <v>9</v>
      </c>
      <c r="K315" s="39" t="s">
        <v>10</v>
      </c>
      <c r="L315" s="37" t="s">
        <v>9</v>
      </c>
      <c r="M315" s="39" t="s">
        <v>10</v>
      </c>
      <c r="N315" s="37" t="s">
        <v>9</v>
      </c>
      <c r="O315" s="40" t="s">
        <v>10</v>
      </c>
      <c r="P315" s="22"/>
    </row>
    <row r="316" spans="1:16" ht="11.25" customHeight="1" x14ac:dyDescent="0.2">
      <c r="A316" s="43" t="s">
        <v>197</v>
      </c>
      <c r="B316" s="17"/>
      <c r="C316" s="71" t="str">
        <f>IFERROR(VLOOKUP(B316,fixed_expenses4[],2,0),"")</f>
        <v/>
      </c>
      <c r="D316" s="17"/>
      <c r="E316" s="71" t="str">
        <f>IFERROR(VLOOKUP(D316,fixed_expenses4[],2,0),"")</f>
        <v/>
      </c>
      <c r="F316" s="17"/>
      <c r="G316" s="71" t="str">
        <f>IFERROR(VLOOKUP(F316,fixed_expenses4[],2,0),"")</f>
        <v/>
      </c>
      <c r="H316" s="17"/>
      <c r="I316" s="71" t="str">
        <f>IFERROR(VLOOKUP(H316,fixed_expenses4[],2,0),"")</f>
        <v/>
      </c>
      <c r="J316" s="17"/>
      <c r="K316" s="71" t="str">
        <f>IFERROR(VLOOKUP(J316,fixed_expenses4[],2,0),"")</f>
        <v/>
      </c>
      <c r="L316" s="17" t="s">
        <v>387</v>
      </c>
      <c r="M316" s="71">
        <f>IFERROR(VLOOKUP(L316,fixed_expenses4[],2,0),"")</f>
        <v>800</v>
      </c>
      <c r="N316" s="17"/>
      <c r="O316" s="71" t="str">
        <f>IFERROR(VLOOKUP(N316,fixed_expenses4[],2,0),"")</f>
        <v/>
      </c>
      <c r="P316" s="22"/>
    </row>
    <row r="317" spans="1:16" ht="11.25" customHeight="1" x14ac:dyDescent="0.2">
      <c r="B317" s="17"/>
      <c r="C317" s="71" t="str">
        <f>IFERROR(VLOOKUP(B317,fixed_expenses4[],2,0),"")</f>
        <v/>
      </c>
      <c r="D317" s="17"/>
      <c r="E317" s="71" t="str">
        <f>IFERROR(VLOOKUP(D317,fixed_expenses4[],2,0),"")</f>
        <v/>
      </c>
      <c r="F317" s="17"/>
      <c r="G317" s="71" t="str">
        <f>IFERROR(VLOOKUP(F317,fixed_expenses4[],2,0),"")</f>
        <v/>
      </c>
      <c r="H317" s="17"/>
      <c r="I317" s="71" t="str">
        <f>IFERROR(VLOOKUP(H317,fixed_expenses4[],2,0),"")</f>
        <v/>
      </c>
      <c r="J317" s="17"/>
      <c r="K317" s="71" t="str">
        <f>IFERROR(VLOOKUP(J317,fixed_expenses4[],2,0),"")</f>
        <v/>
      </c>
      <c r="L317" s="80" t="s">
        <v>388</v>
      </c>
      <c r="M317" s="71">
        <f>IFERROR(VLOOKUP(L317,fixed_expenses4[],2,0),"")</f>
        <v>770</v>
      </c>
      <c r="N317" s="17"/>
      <c r="O317" s="71" t="str">
        <f>IFERROR(VLOOKUP(N317,fixed_expenses4[],2,0),"")</f>
        <v/>
      </c>
      <c r="P317" s="22"/>
    </row>
    <row r="318" spans="1:16" ht="11.25" customHeight="1" x14ac:dyDescent="0.2">
      <c r="B318" s="17"/>
      <c r="C318" s="71" t="str">
        <f>IFERROR(VLOOKUP(B318,fixed_expenses4[],2,0),"")</f>
        <v/>
      </c>
      <c r="D318" s="17"/>
      <c r="E318" s="71" t="str">
        <f>IFERROR(VLOOKUP(D318,fixed_expenses4[],2,0),"")</f>
        <v/>
      </c>
      <c r="F318" s="17"/>
      <c r="G318" s="71" t="str">
        <f>IFERROR(VLOOKUP(F318,fixed_expenses4[],2,0),"")</f>
        <v/>
      </c>
      <c r="H318" s="17"/>
      <c r="I318" s="71" t="str">
        <f>IFERROR(VLOOKUP(H318,fixed_expenses4[],2,0),"")</f>
        <v/>
      </c>
      <c r="J318" s="17"/>
      <c r="K318" s="71" t="str">
        <f>IFERROR(VLOOKUP(J318,fixed_expenses4[],2,0),"")</f>
        <v/>
      </c>
      <c r="L318" s="17"/>
      <c r="M318" s="71" t="str">
        <f>IFERROR(VLOOKUP(L318,fixed_expenses4[],2,0),"")</f>
        <v/>
      </c>
      <c r="N318" s="17"/>
      <c r="O318" s="71" t="str">
        <f>IFERROR(VLOOKUP(N318,fixed_expenses4[],2,0),"")</f>
        <v/>
      </c>
      <c r="P318" s="22"/>
    </row>
    <row r="319" spans="1:16" ht="11.25" customHeight="1" x14ac:dyDescent="0.2">
      <c r="B319" s="17"/>
      <c r="C319" s="71" t="str">
        <f>IFERROR(VLOOKUP(B319,fixed_expenses4[],2,0),"")</f>
        <v/>
      </c>
      <c r="D319" s="17"/>
      <c r="E319" s="71" t="str">
        <f>IFERROR(VLOOKUP(D319,fixed_expenses4[],2,0),"")</f>
        <v/>
      </c>
      <c r="F319" s="17"/>
      <c r="G319" s="71" t="str">
        <f>IFERROR(VLOOKUP(F319,fixed_expenses4[],2,0),"")</f>
        <v/>
      </c>
      <c r="H319" s="17"/>
      <c r="I319" s="71" t="str">
        <f>IFERROR(VLOOKUP(H319,fixed_expenses4[],2,0),"")</f>
        <v/>
      </c>
      <c r="J319" s="17"/>
      <c r="K319" s="71" t="str">
        <f>IFERROR(VLOOKUP(J319,fixed_expenses4[],2,0),"")</f>
        <v/>
      </c>
      <c r="L319" s="17"/>
      <c r="M319" s="71" t="str">
        <f>IFERROR(VLOOKUP(L319,fixed_expenses4[],2,0),"")</f>
        <v/>
      </c>
      <c r="N319" s="17"/>
      <c r="O319" s="71" t="str">
        <f>IFERROR(VLOOKUP(N319,fixed_expenses4[],2,0),"")</f>
        <v/>
      </c>
      <c r="P319" s="22"/>
    </row>
    <row r="320" spans="1:16" ht="11.25" customHeight="1" x14ac:dyDescent="0.2">
      <c r="B320" s="17"/>
      <c r="C320" s="71" t="str">
        <f>IFERROR(VLOOKUP(B320,fixed_expenses4[],2,0),"")</f>
        <v/>
      </c>
      <c r="D320" s="17"/>
      <c r="E320" s="71" t="str">
        <f>IFERROR(VLOOKUP(D320,fixed_expenses4[],2,0),"")</f>
        <v/>
      </c>
      <c r="F320" s="17"/>
      <c r="G320" s="71" t="str">
        <f>IFERROR(VLOOKUP(F320,fixed_expenses4[],2,0),"")</f>
        <v/>
      </c>
      <c r="H320" s="17"/>
      <c r="I320" s="71" t="str">
        <f>IFERROR(VLOOKUP(H320,fixed_expenses4[],2,0),"")</f>
        <v/>
      </c>
      <c r="J320" s="17"/>
      <c r="K320" s="71" t="str">
        <f>IFERROR(VLOOKUP(J320,fixed_expenses4[],2,0),"")</f>
        <v/>
      </c>
      <c r="L320" s="17"/>
      <c r="M320" s="71" t="str">
        <f>IFERROR(VLOOKUP(L320,fixed_expenses4[],2,0),"")</f>
        <v/>
      </c>
      <c r="N320" s="17"/>
      <c r="O320" s="71" t="str">
        <f>IFERROR(VLOOKUP(N320,fixed_expenses4[],2,0),"")</f>
        <v/>
      </c>
      <c r="P320" s="22"/>
    </row>
    <row r="321" spans="1:16" ht="11.25" customHeight="1" x14ac:dyDescent="0.2">
      <c r="A321" s="43" t="s">
        <v>324</v>
      </c>
      <c r="B321" s="30" t="s">
        <v>8</v>
      </c>
      <c r="C321" s="27">
        <f>SUM(C316:C320)</f>
        <v>0</v>
      </c>
      <c r="D321" s="26"/>
      <c r="E321" s="27">
        <f>SUM(E316:E320)</f>
        <v>0</v>
      </c>
      <c r="F321" s="26"/>
      <c r="G321" s="27">
        <f>SUM(G316:G320)</f>
        <v>0</v>
      </c>
      <c r="H321" s="26"/>
      <c r="I321" s="27">
        <f>SUM(I316:I320)</f>
        <v>0</v>
      </c>
      <c r="J321" s="26"/>
      <c r="K321" s="27">
        <f>SUM(K316:K320)</f>
        <v>0</v>
      </c>
      <c r="L321" s="26"/>
      <c r="M321" s="27">
        <f>SUM(M316:M320)</f>
        <v>1570</v>
      </c>
      <c r="N321" s="26"/>
      <c r="O321" s="28">
        <f>SUM(O316:O320)</f>
        <v>0</v>
      </c>
      <c r="P321" s="29">
        <f>SUM(C321,E321,G321,I321,K321,M321,O321)</f>
        <v>1570</v>
      </c>
    </row>
    <row r="322" spans="1:16" x14ac:dyDescent="0.2">
      <c r="B322" s="6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6"/>
    </row>
    <row r="323" spans="1:16" ht="15" customHeight="1" x14ac:dyDescent="0.2">
      <c r="A323" s="43" t="s">
        <v>252</v>
      </c>
      <c r="B323" s="12">
        <f ca="1">N314+1</f>
        <v>20</v>
      </c>
      <c r="C323" s="13"/>
      <c r="D323" s="12">
        <f ca="1">B323+1</f>
        <v>21</v>
      </c>
      <c r="E323" s="13"/>
      <c r="F323" s="12">
        <f ca="1">D323+1</f>
        <v>22</v>
      </c>
      <c r="G323" s="13"/>
      <c r="H323" s="12">
        <f ca="1">F323+1</f>
        <v>23</v>
      </c>
      <c r="I323" s="13"/>
      <c r="J323" s="12">
        <f ca="1">H323+1</f>
        <v>24</v>
      </c>
      <c r="K323" s="13"/>
      <c r="L323" s="12">
        <f ca="1">J323+1</f>
        <v>25</v>
      </c>
      <c r="M323" s="13"/>
      <c r="N323" s="12">
        <f ca="1">L323+1</f>
        <v>26</v>
      </c>
      <c r="O323" s="13"/>
      <c r="P323" s="24"/>
    </row>
    <row r="324" spans="1:16" ht="11.25" customHeight="1" x14ac:dyDescent="0.2">
      <c r="A324" s="43" t="s">
        <v>156</v>
      </c>
      <c r="B324" s="37" t="s">
        <v>9</v>
      </c>
      <c r="C324" s="39" t="s">
        <v>10</v>
      </c>
      <c r="D324" s="37" t="s">
        <v>9</v>
      </c>
      <c r="E324" s="39" t="s">
        <v>10</v>
      </c>
      <c r="F324" s="37" t="s">
        <v>9</v>
      </c>
      <c r="G324" s="39" t="s">
        <v>10</v>
      </c>
      <c r="H324" s="37" t="s">
        <v>9</v>
      </c>
      <c r="I324" s="39" t="s">
        <v>10</v>
      </c>
      <c r="J324" s="37" t="s">
        <v>9</v>
      </c>
      <c r="K324" s="39" t="s">
        <v>10</v>
      </c>
      <c r="L324" s="37" t="s">
        <v>9</v>
      </c>
      <c r="M324" s="39" t="s">
        <v>10</v>
      </c>
      <c r="N324" s="37" t="s">
        <v>9</v>
      </c>
      <c r="O324" s="40" t="s">
        <v>10</v>
      </c>
      <c r="P324" s="22"/>
    </row>
    <row r="325" spans="1:16" ht="11.25" customHeight="1" x14ac:dyDescent="0.2">
      <c r="A325" s="43" t="s">
        <v>198</v>
      </c>
      <c r="B325" s="17"/>
      <c r="C325" s="71" t="str">
        <f>IFERROR(VLOOKUP(B325,fixed_expenses4[],2,0),"")</f>
        <v/>
      </c>
      <c r="D325" s="17"/>
      <c r="E325" s="71" t="str">
        <f>IFERROR(VLOOKUP(D325,fixed_expenses4[],2,0),"")</f>
        <v/>
      </c>
      <c r="F325" s="17"/>
      <c r="G325" s="71" t="str">
        <f>IFERROR(VLOOKUP(F325,fixed_expenses4[],2,0),"")</f>
        <v/>
      </c>
      <c r="H325" s="17"/>
      <c r="I325" s="71" t="str">
        <f>IFERROR(VLOOKUP(H325,fixed_expenses4[],2,0),"")</f>
        <v/>
      </c>
      <c r="J325" s="17"/>
      <c r="K325" s="71" t="str">
        <f>IFERROR(VLOOKUP(J325,fixed_expenses4[],2,0),"")</f>
        <v/>
      </c>
      <c r="L325" s="17" t="s">
        <v>387</v>
      </c>
      <c r="M325" s="71">
        <f>IFERROR(VLOOKUP(L325,fixed_expenses4[],2,0),"")</f>
        <v>800</v>
      </c>
      <c r="N325" s="17"/>
      <c r="O325" s="71" t="str">
        <f>IFERROR(VLOOKUP(N325,fixed_expenses4[],2,0),"")</f>
        <v/>
      </c>
      <c r="P325" s="22"/>
    </row>
    <row r="326" spans="1:16" ht="11.25" customHeight="1" x14ac:dyDescent="0.2">
      <c r="B326" s="17"/>
      <c r="C326" s="71" t="str">
        <f>IFERROR(VLOOKUP(B326,fixed_expenses4[],2,0),"")</f>
        <v/>
      </c>
      <c r="D326" s="17"/>
      <c r="E326" s="71" t="str">
        <f>IFERROR(VLOOKUP(D326,fixed_expenses4[],2,0),"")</f>
        <v/>
      </c>
      <c r="F326" s="17"/>
      <c r="G326" s="71" t="str">
        <f>IFERROR(VLOOKUP(F326,fixed_expenses4[],2,0),"")</f>
        <v/>
      </c>
      <c r="H326" s="17"/>
      <c r="I326" s="71" t="str">
        <f>IFERROR(VLOOKUP(H326,fixed_expenses4[],2,0),"")</f>
        <v/>
      </c>
      <c r="J326" s="17"/>
      <c r="K326" s="71" t="str">
        <f>IFERROR(VLOOKUP(J326,fixed_expenses4[],2,0),"")</f>
        <v/>
      </c>
      <c r="L326" s="17"/>
      <c r="M326" s="71" t="str">
        <f>IFERROR(VLOOKUP(L326,fixed_expenses4[],2,0),"")</f>
        <v/>
      </c>
      <c r="N326" s="17"/>
      <c r="O326" s="71" t="str">
        <f>IFERROR(VLOOKUP(N326,fixed_expenses4[],2,0),"")</f>
        <v/>
      </c>
      <c r="P326" s="22"/>
    </row>
    <row r="327" spans="1:16" ht="11.25" customHeight="1" x14ac:dyDescent="0.2">
      <c r="B327" s="17"/>
      <c r="C327" s="71" t="str">
        <f>IFERROR(VLOOKUP(B327,fixed_expenses4[],2,0),"")</f>
        <v/>
      </c>
      <c r="D327" s="17"/>
      <c r="E327" s="71" t="str">
        <f>IFERROR(VLOOKUP(D327,fixed_expenses4[],2,0),"")</f>
        <v/>
      </c>
      <c r="F327" s="17"/>
      <c r="G327" s="71" t="str">
        <f>IFERROR(VLOOKUP(F327,fixed_expenses4[],2,0),"")</f>
        <v/>
      </c>
      <c r="H327" s="17"/>
      <c r="I327" s="71" t="str">
        <f>IFERROR(VLOOKUP(H327,fixed_expenses4[],2,0),"")</f>
        <v/>
      </c>
      <c r="J327" s="17"/>
      <c r="K327" s="71" t="str">
        <f>IFERROR(VLOOKUP(J327,fixed_expenses4[],2,0),"")</f>
        <v/>
      </c>
      <c r="L327" s="17"/>
      <c r="M327" s="71" t="str">
        <f>IFERROR(VLOOKUP(L327,fixed_expenses4[],2,0),"")</f>
        <v/>
      </c>
      <c r="N327" s="17"/>
      <c r="O327" s="71" t="str">
        <f>IFERROR(VLOOKUP(N327,fixed_expenses4[],2,0),"")</f>
        <v/>
      </c>
      <c r="P327" s="22"/>
    </row>
    <row r="328" spans="1:16" ht="11.25" customHeight="1" x14ac:dyDescent="0.2">
      <c r="B328" s="17"/>
      <c r="C328" s="71" t="str">
        <f>IFERROR(VLOOKUP(B328,fixed_expenses4[],2,0),"")</f>
        <v/>
      </c>
      <c r="D328" s="17"/>
      <c r="E328" s="71" t="str">
        <f>IFERROR(VLOOKUP(D328,fixed_expenses4[],2,0),"")</f>
        <v/>
      </c>
      <c r="F328" s="17"/>
      <c r="G328" s="71" t="str">
        <f>IFERROR(VLOOKUP(F328,fixed_expenses4[],2,0),"")</f>
        <v/>
      </c>
      <c r="H328" s="17"/>
      <c r="I328" s="71" t="str">
        <f>IFERROR(VLOOKUP(H328,fixed_expenses4[],2,0),"")</f>
        <v/>
      </c>
      <c r="J328" s="17"/>
      <c r="K328" s="71" t="str">
        <f>IFERROR(VLOOKUP(J328,fixed_expenses4[],2,0),"")</f>
        <v/>
      </c>
      <c r="L328" s="17"/>
      <c r="M328" s="71" t="str">
        <f>IFERROR(VLOOKUP(L328,fixed_expenses4[],2,0),"")</f>
        <v/>
      </c>
      <c r="N328" s="17"/>
      <c r="O328" s="71" t="str">
        <f>IFERROR(VLOOKUP(N328,fixed_expenses4[],2,0),"")</f>
        <v/>
      </c>
      <c r="P328" s="22"/>
    </row>
    <row r="329" spans="1:16" ht="11.25" customHeight="1" x14ac:dyDescent="0.2">
      <c r="B329" s="17"/>
      <c r="C329" s="71" t="str">
        <f>IFERROR(VLOOKUP(B329,fixed_expenses4[],2,0),"")</f>
        <v/>
      </c>
      <c r="D329" s="17"/>
      <c r="E329" s="71" t="str">
        <f>IFERROR(VLOOKUP(D329,fixed_expenses4[],2,0),"")</f>
        <v/>
      </c>
      <c r="F329" s="17"/>
      <c r="G329" s="71" t="str">
        <f>IFERROR(VLOOKUP(F329,fixed_expenses4[],2,0),"")</f>
        <v/>
      </c>
      <c r="H329" s="17"/>
      <c r="I329" s="71" t="str">
        <f>IFERROR(VLOOKUP(H329,fixed_expenses4[],2,0),"")</f>
        <v/>
      </c>
      <c r="J329" s="17"/>
      <c r="K329" s="71" t="str">
        <f>IFERROR(VLOOKUP(J329,fixed_expenses4[],2,0),"")</f>
        <v/>
      </c>
      <c r="L329" s="17"/>
      <c r="M329" s="71" t="str">
        <f>IFERROR(VLOOKUP(L329,fixed_expenses4[],2,0),"")</f>
        <v/>
      </c>
      <c r="N329" s="17"/>
      <c r="O329" s="71" t="str">
        <f>IFERROR(VLOOKUP(N329,fixed_expenses4[],2,0),"")</f>
        <v/>
      </c>
      <c r="P329" s="22"/>
    </row>
    <row r="330" spans="1:16" ht="11.25" customHeight="1" x14ac:dyDescent="0.2">
      <c r="A330" s="43" t="s">
        <v>323</v>
      </c>
      <c r="B330" s="26" t="s">
        <v>8</v>
      </c>
      <c r="C330" s="27">
        <f>SUM(C325:C329)</f>
        <v>0</v>
      </c>
      <c r="D330" s="26"/>
      <c r="E330" s="27">
        <f>SUM(E325:E329)</f>
        <v>0</v>
      </c>
      <c r="F330" s="26"/>
      <c r="G330" s="27">
        <f>SUM(G325:G329)</f>
        <v>0</v>
      </c>
      <c r="H330" s="26"/>
      <c r="I330" s="27">
        <f>SUM(I325:I329)</f>
        <v>0</v>
      </c>
      <c r="J330" s="26"/>
      <c r="K330" s="27">
        <f>SUM(K325:K329)</f>
        <v>0</v>
      </c>
      <c r="L330" s="26"/>
      <c r="M330" s="27">
        <f>SUM(M325:M329)</f>
        <v>800</v>
      </c>
      <c r="N330" s="26"/>
      <c r="O330" s="28">
        <f>SUM(O325:O329)</f>
        <v>0</v>
      </c>
      <c r="P330" s="29">
        <f>SUM(C330,E330,G330,I330,K330,M330,O330)</f>
        <v>800</v>
      </c>
    </row>
    <row r="331" spans="1:16" x14ac:dyDescent="0.2">
      <c r="B331" s="6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6"/>
    </row>
    <row r="332" spans="1:16" ht="15" customHeight="1" x14ac:dyDescent="0.2">
      <c r="A332" s="43" t="s">
        <v>253</v>
      </c>
      <c r="B332" s="12">
        <f ca="1">DAY(IF(DAY(JunSun1)=1,JunSun1+22,JunSun1+29))</f>
        <v>27</v>
      </c>
      <c r="C332" s="13"/>
      <c r="D332" s="12">
        <f ca="1">DAY(IF(DAY(JunSun1)=1,JunSun1+23,JunSun1+30))</f>
        <v>28</v>
      </c>
      <c r="E332" s="13"/>
      <c r="F332" s="12">
        <f ca="1">DAY(IF(DAY(JunSun1)=1,JunSun1+24,JunSun1+31))</f>
        <v>29</v>
      </c>
      <c r="G332" s="13"/>
      <c r="H332" s="12">
        <f ca="1">DAY(IF(DAY(JunSun1)=1,JunSun1+25,JunSun1+32))</f>
        <v>30</v>
      </c>
      <c r="I332" s="13"/>
      <c r="J332" s="12">
        <f ca="1">DAY(IF(DAY(JunSun1)=1,JunSun1+26,JunSun1+33))</f>
        <v>1</v>
      </c>
      <c r="K332" s="13"/>
      <c r="L332" s="12">
        <f ca="1">DAY(IF(DAY(JunSun1)=1,JunSun1+27,JunSun1+34))</f>
        <v>2</v>
      </c>
      <c r="M332" s="13"/>
      <c r="N332" s="12">
        <f ca="1">DAY(IF(DAY(JunSun1)=1,JunSun1+28,JunSun1+35))</f>
        <v>3</v>
      </c>
      <c r="O332" s="13"/>
      <c r="P332" s="25"/>
    </row>
    <row r="333" spans="1:16" ht="11.25" customHeight="1" x14ac:dyDescent="0.2">
      <c r="A333" s="43" t="s">
        <v>155</v>
      </c>
      <c r="B333" s="37" t="s">
        <v>9</v>
      </c>
      <c r="C333" s="39" t="s">
        <v>10</v>
      </c>
      <c r="D333" s="37" t="s">
        <v>9</v>
      </c>
      <c r="E333" s="39" t="s">
        <v>10</v>
      </c>
      <c r="F333" s="37" t="s">
        <v>9</v>
      </c>
      <c r="G333" s="39" t="s">
        <v>10</v>
      </c>
      <c r="H333" s="37" t="s">
        <v>9</v>
      </c>
      <c r="I333" s="39" t="s">
        <v>10</v>
      </c>
      <c r="J333" s="37" t="s">
        <v>9</v>
      </c>
      <c r="K333" s="39" t="s">
        <v>10</v>
      </c>
      <c r="L333" s="37" t="s">
        <v>9</v>
      </c>
      <c r="M333" s="39" t="s">
        <v>10</v>
      </c>
      <c r="N333" s="37" t="s">
        <v>9</v>
      </c>
      <c r="O333" s="40" t="s">
        <v>10</v>
      </c>
      <c r="P333" s="22"/>
    </row>
    <row r="334" spans="1:16" ht="11.25" customHeight="1" x14ac:dyDescent="0.2">
      <c r="A334" s="43" t="s">
        <v>199</v>
      </c>
      <c r="B334" s="17"/>
      <c r="C334" s="71" t="str">
        <f>IFERROR(VLOOKUP(B334,fixed_expenses4[],2,0),"")</f>
        <v/>
      </c>
      <c r="D334" s="17"/>
      <c r="E334" s="71" t="str">
        <f>IFERROR(VLOOKUP(D334,fixed_expenses4[],2,0),"")</f>
        <v/>
      </c>
      <c r="F334" s="17"/>
      <c r="G334" s="71" t="str">
        <f>IFERROR(VLOOKUP(F334,fixed_expenses4[],2,0),"")</f>
        <v/>
      </c>
      <c r="H334" s="17"/>
      <c r="I334" s="71" t="str">
        <f>IFERROR(VLOOKUP(H334,fixed_expenses4[],2,0),"")</f>
        <v/>
      </c>
      <c r="J334" s="17"/>
      <c r="K334" s="71" t="str">
        <f>IFERROR(VLOOKUP(J334,fixed_expenses4[],2,0),"")</f>
        <v/>
      </c>
      <c r="L334" s="17"/>
      <c r="M334" s="71" t="str">
        <f>IFERROR(VLOOKUP(L334,fixed_expenses4[],2,0),"")</f>
        <v/>
      </c>
      <c r="N334" s="17"/>
      <c r="O334" s="71" t="str">
        <f>IFERROR(VLOOKUP(N334,fixed_expenses4[],2,0),"")</f>
        <v/>
      </c>
      <c r="P334" s="22"/>
    </row>
    <row r="335" spans="1:16" ht="11.25" customHeight="1" x14ac:dyDescent="0.2">
      <c r="B335" s="17"/>
      <c r="C335" s="71" t="str">
        <f>IFERROR(VLOOKUP(B335,fixed_expenses4[],2,0),"")</f>
        <v/>
      </c>
      <c r="D335" s="17"/>
      <c r="E335" s="71" t="str">
        <f>IFERROR(VLOOKUP(D335,fixed_expenses4[],2,0),"")</f>
        <v/>
      </c>
      <c r="F335" s="17"/>
      <c r="G335" s="71" t="str">
        <f>IFERROR(VLOOKUP(F335,fixed_expenses4[],2,0),"")</f>
        <v/>
      </c>
      <c r="H335" s="17"/>
      <c r="I335" s="71" t="str">
        <f>IFERROR(VLOOKUP(H335,fixed_expenses4[],2,0),"")</f>
        <v/>
      </c>
      <c r="J335" s="17"/>
      <c r="K335" s="71" t="str">
        <f>IFERROR(VLOOKUP(J335,fixed_expenses4[],2,0),"")</f>
        <v/>
      </c>
      <c r="L335" s="17"/>
      <c r="M335" s="71" t="str">
        <f>IFERROR(VLOOKUP(L335,fixed_expenses4[],2,0),"")</f>
        <v/>
      </c>
      <c r="N335" s="17"/>
      <c r="O335" s="71" t="str">
        <f>IFERROR(VLOOKUP(N335,fixed_expenses4[],2,0),"")</f>
        <v/>
      </c>
      <c r="P335" s="22"/>
    </row>
    <row r="336" spans="1:16" ht="11.25" customHeight="1" x14ac:dyDescent="0.2">
      <c r="B336" s="17"/>
      <c r="C336" s="71" t="str">
        <f>IFERROR(VLOOKUP(B336,fixed_expenses4[],2,0),"")</f>
        <v/>
      </c>
      <c r="D336" s="17"/>
      <c r="E336" s="71" t="str">
        <f>IFERROR(VLOOKUP(D336,fixed_expenses4[],2,0),"")</f>
        <v/>
      </c>
      <c r="F336" s="17"/>
      <c r="G336" s="71" t="str">
        <f>IFERROR(VLOOKUP(F336,fixed_expenses4[],2,0),"")</f>
        <v/>
      </c>
      <c r="H336" s="17"/>
      <c r="I336" s="71" t="str">
        <f>IFERROR(VLOOKUP(H336,fixed_expenses4[],2,0),"")</f>
        <v/>
      </c>
      <c r="J336" s="17"/>
      <c r="K336" s="71" t="str">
        <f>IFERROR(VLOOKUP(J336,fixed_expenses4[],2,0),"")</f>
        <v/>
      </c>
      <c r="L336" s="17"/>
      <c r="M336" s="71" t="str">
        <f>IFERROR(VLOOKUP(L336,fixed_expenses4[],2,0),"")</f>
        <v/>
      </c>
      <c r="N336" s="17"/>
      <c r="O336" s="71" t="str">
        <f>IFERROR(VLOOKUP(N336,fixed_expenses4[],2,0),"")</f>
        <v/>
      </c>
      <c r="P336" s="22"/>
    </row>
    <row r="337" spans="1:16" ht="11.25" customHeight="1" x14ac:dyDescent="0.2">
      <c r="B337" s="17"/>
      <c r="C337" s="71" t="str">
        <f>IFERROR(VLOOKUP(B337,fixed_expenses4[],2,0),"")</f>
        <v/>
      </c>
      <c r="D337" s="17"/>
      <c r="E337" s="71" t="str">
        <f>IFERROR(VLOOKUP(D337,fixed_expenses4[],2,0),"")</f>
        <v/>
      </c>
      <c r="F337" s="17"/>
      <c r="G337" s="71" t="str">
        <f>IFERROR(VLOOKUP(F337,fixed_expenses4[],2,0),"")</f>
        <v/>
      </c>
      <c r="H337" s="17"/>
      <c r="I337" s="71" t="str">
        <f>IFERROR(VLOOKUP(H337,fixed_expenses4[],2,0),"")</f>
        <v/>
      </c>
      <c r="J337" s="17"/>
      <c r="K337" s="71" t="str">
        <f>IFERROR(VLOOKUP(J337,fixed_expenses4[],2,0),"")</f>
        <v/>
      </c>
      <c r="L337" s="17"/>
      <c r="M337" s="71" t="str">
        <f>IFERROR(VLOOKUP(L337,fixed_expenses4[],2,0),"")</f>
        <v/>
      </c>
      <c r="N337" s="17"/>
      <c r="O337" s="71" t="str">
        <f>IFERROR(VLOOKUP(N337,fixed_expenses4[],2,0),"")</f>
        <v/>
      </c>
      <c r="P337" s="22"/>
    </row>
    <row r="338" spans="1:16" ht="11.25" customHeight="1" x14ac:dyDescent="0.2">
      <c r="B338" s="17"/>
      <c r="C338" s="71" t="str">
        <f>IFERROR(VLOOKUP(B338,fixed_expenses4[],2,0),"")</f>
        <v/>
      </c>
      <c r="D338" s="17"/>
      <c r="E338" s="71" t="str">
        <f>IFERROR(VLOOKUP(D338,fixed_expenses4[],2,0),"")</f>
        <v/>
      </c>
      <c r="F338" s="17"/>
      <c r="G338" s="71" t="str">
        <f>IFERROR(VLOOKUP(F338,fixed_expenses4[],2,0),"")</f>
        <v/>
      </c>
      <c r="H338" s="17"/>
      <c r="I338" s="71" t="str">
        <f>IFERROR(VLOOKUP(H338,fixed_expenses4[],2,0),"")</f>
        <v/>
      </c>
      <c r="J338" s="17"/>
      <c r="K338" s="71" t="str">
        <f>IFERROR(VLOOKUP(J338,fixed_expenses4[],2,0),"")</f>
        <v/>
      </c>
      <c r="L338" s="17"/>
      <c r="M338" s="71" t="str">
        <f>IFERROR(VLOOKUP(L338,fixed_expenses4[],2,0),"")</f>
        <v/>
      </c>
      <c r="N338" s="17"/>
      <c r="O338" s="71" t="str">
        <f>IFERROR(VLOOKUP(N338,fixed_expenses4[],2,0),"")</f>
        <v/>
      </c>
      <c r="P338" s="22"/>
    </row>
    <row r="339" spans="1:16" ht="11.25" customHeight="1" x14ac:dyDescent="0.2">
      <c r="A339" s="43" t="s">
        <v>322</v>
      </c>
      <c r="B339" s="26" t="s">
        <v>8</v>
      </c>
      <c r="C339" s="27">
        <f>SUM(C334:C338)</f>
        <v>0</v>
      </c>
      <c r="D339" s="26"/>
      <c r="E339" s="27">
        <f>SUM(E334:E338)</f>
        <v>0</v>
      </c>
      <c r="F339" s="26"/>
      <c r="G339" s="27">
        <f>SUM(G334:G338)</f>
        <v>0</v>
      </c>
      <c r="H339" s="26"/>
      <c r="I339" s="27">
        <f>SUM(I334:I338)</f>
        <v>0</v>
      </c>
      <c r="J339" s="26"/>
      <c r="K339" s="27">
        <f>SUM(K334:K338)</f>
        <v>0</v>
      </c>
      <c r="L339" s="26"/>
      <c r="M339" s="27">
        <f>SUM(M334:M338)</f>
        <v>0</v>
      </c>
      <c r="N339" s="26"/>
      <c r="O339" s="28">
        <f>SUM(O334:O338)</f>
        <v>0</v>
      </c>
      <c r="P339" s="29">
        <f ca="1">SUMIF(B332:N332,"&gt;="&amp;15,C339:O339)</f>
        <v>0</v>
      </c>
    </row>
    <row r="340" spans="1:16" x14ac:dyDescent="0.2">
      <c r="B340" s="6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6"/>
    </row>
    <row r="341" spans="1:16" ht="15" customHeight="1" x14ac:dyDescent="0.2">
      <c r="A341" s="43" t="s">
        <v>254</v>
      </c>
      <c r="B341" s="12">
        <f ca="1">DAY(IF(DAY(JunSun1)=1,JunSun1+29,JunSun1+36))</f>
        <v>4</v>
      </c>
      <c r="C341" s="11"/>
      <c r="D341" s="12">
        <f ca="1">DAY(IF(DAY(JunSun1)=1,JunSun1+30,JunSun1+37))</f>
        <v>5</v>
      </c>
      <c r="E341" s="13"/>
      <c r="F341" s="10">
        <f ca="1">DAY(IF(DAY(JunSun1)=1,JunSun1+31,JunSun1+38))</f>
        <v>6</v>
      </c>
      <c r="G341" s="13"/>
      <c r="H341" s="12">
        <f ca="1">DAY(IF(DAY(JunSun1)=1,JunSun1+32,JunSun1+39))</f>
        <v>7</v>
      </c>
      <c r="I341" s="13"/>
      <c r="J341" s="12">
        <f ca="1">DAY(IF(DAY(JunSun1)=1,JunSun1+33,JunSun1+40))</f>
        <v>8</v>
      </c>
      <c r="K341" s="13"/>
      <c r="L341" s="12">
        <f ca="1">DAY(IF(DAY(JunSun1)=1,JunSun1+34,JunSun1+41))</f>
        <v>9</v>
      </c>
      <c r="M341" s="13"/>
      <c r="N341" s="12">
        <f ca="1">DAY(IF(DAY(JunSun1)=1,JunSun1+35,JunSun1+42))</f>
        <v>10</v>
      </c>
      <c r="O341" s="13"/>
      <c r="P341" s="25"/>
    </row>
    <row r="342" spans="1:16" ht="11.25" customHeight="1" x14ac:dyDescent="0.2">
      <c r="A342" s="43" t="s">
        <v>154</v>
      </c>
      <c r="B342" s="37" t="s">
        <v>9</v>
      </c>
      <c r="C342" s="39" t="s">
        <v>10</v>
      </c>
      <c r="D342" s="37" t="s">
        <v>9</v>
      </c>
      <c r="E342" s="39" t="s">
        <v>10</v>
      </c>
      <c r="F342" s="37" t="s">
        <v>9</v>
      </c>
      <c r="G342" s="39" t="s">
        <v>10</v>
      </c>
      <c r="H342" s="37" t="s">
        <v>9</v>
      </c>
      <c r="I342" s="39" t="s">
        <v>10</v>
      </c>
      <c r="J342" s="37" t="s">
        <v>9</v>
      </c>
      <c r="K342" s="39" t="s">
        <v>10</v>
      </c>
      <c r="L342" s="37" t="s">
        <v>9</v>
      </c>
      <c r="M342" s="39" t="s">
        <v>10</v>
      </c>
      <c r="N342" s="37" t="s">
        <v>9</v>
      </c>
      <c r="O342" s="40" t="s">
        <v>10</v>
      </c>
      <c r="P342" s="22"/>
    </row>
    <row r="343" spans="1:16" ht="11.25" customHeight="1" x14ac:dyDescent="0.2">
      <c r="A343" s="43" t="s">
        <v>200</v>
      </c>
      <c r="B343" s="17"/>
      <c r="C343" s="71" t="str">
        <f>IFERROR(VLOOKUP(B343,fixed_expenses4[],2,0),"")</f>
        <v/>
      </c>
      <c r="D343" s="17"/>
      <c r="E343" s="71" t="str">
        <f>IFERROR(VLOOKUP(D343,fixed_expenses4[],2,0),"")</f>
        <v/>
      </c>
      <c r="F343" s="17"/>
      <c r="G343" s="71" t="str">
        <f>IFERROR(VLOOKUP(F343,fixed_expenses4[],2,0),"")</f>
        <v/>
      </c>
      <c r="H343" s="17"/>
      <c r="I343" s="71" t="str">
        <f>IFERROR(VLOOKUP(H343,fixed_expenses4[],2,0),"")</f>
        <v/>
      </c>
      <c r="J343" s="17"/>
      <c r="K343" s="71" t="str">
        <f>IFERROR(VLOOKUP(J343,fixed_expenses4[],2,0),"")</f>
        <v/>
      </c>
      <c r="L343" s="17"/>
      <c r="M343" s="71" t="str">
        <f>IFERROR(VLOOKUP(L343,fixed_expenses4[],2,0),"")</f>
        <v/>
      </c>
      <c r="N343" s="17"/>
      <c r="O343" s="71" t="str">
        <f>IFERROR(VLOOKUP(N343,fixed_expenses4[],2,0),"")</f>
        <v/>
      </c>
      <c r="P343" s="22"/>
    </row>
    <row r="344" spans="1:16" ht="11.25" customHeight="1" x14ac:dyDescent="0.2">
      <c r="B344" s="17"/>
      <c r="C344" s="71" t="str">
        <f>IFERROR(VLOOKUP(B344,fixed_expenses4[],2,0),"")</f>
        <v/>
      </c>
      <c r="D344" s="17"/>
      <c r="E344" s="71" t="str">
        <f>IFERROR(VLOOKUP(D344,fixed_expenses4[],2,0),"")</f>
        <v/>
      </c>
      <c r="F344" s="17"/>
      <c r="G344" s="71" t="str">
        <f>IFERROR(VLOOKUP(F344,fixed_expenses4[],2,0),"")</f>
        <v/>
      </c>
      <c r="H344" s="17"/>
      <c r="I344" s="71" t="str">
        <f>IFERROR(VLOOKUP(H344,fixed_expenses4[],2,0),"")</f>
        <v/>
      </c>
      <c r="J344" s="17"/>
      <c r="K344" s="71" t="str">
        <f>IFERROR(VLOOKUP(J344,fixed_expenses4[],2,0),"")</f>
        <v/>
      </c>
      <c r="L344" s="17"/>
      <c r="M344" s="71" t="str">
        <f>IFERROR(VLOOKUP(L344,fixed_expenses4[],2,0),"")</f>
        <v/>
      </c>
      <c r="N344" s="17"/>
      <c r="O344" s="71" t="str">
        <f>IFERROR(VLOOKUP(N344,fixed_expenses4[],2,0),"")</f>
        <v/>
      </c>
      <c r="P344" s="22"/>
    </row>
    <row r="345" spans="1:16" ht="11.25" customHeight="1" x14ac:dyDescent="0.2">
      <c r="B345" s="17"/>
      <c r="C345" s="71" t="str">
        <f>IFERROR(VLOOKUP(B345,fixed_expenses4[],2,0),"")</f>
        <v/>
      </c>
      <c r="D345" s="17"/>
      <c r="E345" s="71" t="str">
        <f>IFERROR(VLOOKUP(D345,fixed_expenses4[],2,0),"")</f>
        <v/>
      </c>
      <c r="F345" s="17"/>
      <c r="G345" s="71" t="str">
        <f>IFERROR(VLOOKUP(F345,fixed_expenses4[],2,0),"")</f>
        <v/>
      </c>
      <c r="H345" s="17"/>
      <c r="I345" s="71" t="str">
        <f>IFERROR(VLOOKUP(H345,fixed_expenses4[],2,0),"")</f>
        <v/>
      </c>
      <c r="J345" s="17"/>
      <c r="K345" s="71" t="str">
        <f>IFERROR(VLOOKUP(J345,fixed_expenses4[],2,0),"")</f>
        <v/>
      </c>
      <c r="L345" s="17"/>
      <c r="M345" s="71" t="str">
        <f>IFERROR(VLOOKUP(L345,fixed_expenses4[],2,0),"")</f>
        <v/>
      </c>
      <c r="N345" s="17"/>
      <c r="O345" s="71" t="str">
        <f>IFERROR(VLOOKUP(N345,fixed_expenses4[],2,0),"")</f>
        <v/>
      </c>
      <c r="P345" s="22"/>
    </row>
    <row r="346" spans="1:16" ht="11.25" customHeight="1" x14ac:dyDescent="0.2">
      <c r="B346" s="17"/>
      <c r="C346" s="71" t="str">
        <f>IFERROR(VLOOKUP(B346,fixed_expenses4[],2,0),"")</f>
        <v/>
      </c>
      <c r="D346" s="17"/>
      <c r="E346" s="71" t="str">
        <f>IFERROR(VLOOKUP(D346,fixed_expenses4[],2,0),"")</f>
        <v/>
      </c>
      <c r="F346" s="17"/>
      <c r="G346" s="71" t="str">
        <f>IFERROR(VLOOKUP(F346,fixed_expenses4[],2,0),"")</f>
        <v/>
      </c>
      <c r="H346" s="17"/>
      <c r="I346" s="71" t="str">
        <f>IFERROR(VLOOKUP(H346,fixed_expenses4[],2,0),"")</f>
        <v/>
      </c>
      <c r="J346" s="17"/>
      <c r="K346" s="71" t="str">
        <f>IFERROR(VLOOKUP(J346,fixed_expenses4[],2,0),"")</f>
        <v/>
      </c>
      <c r="L346" s="17"/>
      <c r="M346" s="71" t="str">
        <f>IFERROR(VLOOKUP(L346,fixed_expenses4[],2,0),"")</f>
        <v/>
      </c>
      <c r="N346" s="17"/>
      <c r="O346" s="71" t="str">
        <f>IFERROR(VLOOKUP(N346,fixed_expenses4[],2,0),"")</f>
        <v/>
      </c>
      <c r="P346" s="22"/>
    </row>
    <row r="347" spans="1:16" ht="11.25" customHeight="1" x14ac:dyDescent="0.2">
      <c r="B347" s="17"/>
      <c r="C347" s="71" t="str">
        <f>IFERROR(VLOOKUP(B347,fixed_expenses4[],2,0),"")</f>
        <v/>
      </c>
      <c r="D347" s="17"/>
      <c r="E347" s="71" t="str">
        <f>IFERROR(VLOOKUP(D347,fixed_expenses4[],2,0),"")</f>
        <v/>
      </c>
      <c r="F347" s="17"/>
      <c r="G347" s="71" t="str">
        <f>IFERROR(VLOOKUP(F347,fixed_expenses4[],2,0),"")</f>
        <v/>
      </c>
      <c r="H347" s="17"/>
      <c r="I347" s="71" t="str">
        <f>IFERROR(VLOOKUP(H347,fixed_expenses4[],2,0),"")</f>
        <v/>
      </c>
      <c r="J347" s="17"/>
      <c r="K347" s="71" t="str">
        <f>IFERROR(VLOOKUP(J347,fixed_expenses4[],2,0),"")</f>
        <v/>
      </c>
      <c r="L347" s="17"/>
      <c r="M347" s="71" t="str">
        <f>IFERROR(VLOOKUP(L347,fixed_expenses4[],2,0),"")</f>
        <v/>
      </c>
      <c r="N347" s="17"/>
      <c r="O347" s="71" t="str">
        <f>IFERROR(VLOOKUP(N347,fixed_expenses4[],2,0),"")</f>
        <v/>
      </c>
      <c r="P347" s="22"/>
    </row>
    <row r="348" spans="1:16" ht="11.25" customHeight="1" x14ac:dyDescent="0.2">
      <c r="A348" s="43" t="s">
        <v>321</v>
      </c>
      <c r="B348" s="26" t="s">
        <v>8</v>
      </c>
      <c r="C348" s="27">
        <f>SUM(C343:C347)</f>
        <v>0</v>
      </c>
      <c r="D348" s="18"/>
      <c r="E348" s="27">
        <f>SUM(E343:E347)</f>
        <v>0</v>
      </c>
      <c r="F348" s="18"/>
      <c r="G348" s="27">
        <f>SUM(G343:G347)</f>
        <v>0</v>
      </c>
      <c r="H348" s="18"/>
      <c r="I348" s="27">
        <f>SUM(I343:I347)</f>
        <v>0</v>
      </c>
      <c r="J348" s="18"/>
      <c r="K348" s="27">
        <f>SUM(K343:K347)</f>
        <v>0</v>
      </c>
      <c r="L348" s="18"/>
      <c r="M348" s="27">
        <f>SUM(M343:M347)</f>
        <v>0</v>
      </c>
      <c r="N348" s="18"/>
      <c r="O348" s="28">
        <f>SUM(O343:O347)</f>
        <v>0</v>
      </c>
      <c r="P348" s="29">
        <f ca="1">SUMIF(B341:N341,"&gt;="&amp;15,C348:O348)</f>
        <v>0</v>
      </c>
    </row>
    <row r="349" spans="1:16" ht="17.25" customHeight="1" x14ac:dyDescent="0.2"/>
    <row r="350" spans="1:16" ht="12" customHeight="1" x14ac:dyDescent="0.2">
      <c r="A350" s="43" t="s">
        <v>85</v>
      </c>
      <c r="B350" s="59" t="s">
        <v>19</v>
      </c>
      <c r="C350" s="59"/>
      <c r="D350" s="59"/>
      <c r="E350" s="59"/>
      <c r="F350"/>
      <c r="G350" s="4"/>
      <c r="H350"/>
      <c r="I350" s="4"/>
      <c r="J350"/>
      <c r="K350" s="4"/>
      <c r="L350" s="45" t="s">
        <v>12</v>
      </c>
      <c r="M350" s="45"/>
      <c r="N350" s="45" t="s">
        <v>13</v>
      </c>
      <c r="O350" s="45"/>
      <c r="P350"/>
    </row>
    <row r="351" spans="1:16" ht="25.5" customHeight="1" x14ac:dyDescent="0.2">
      <c r="A351" s="43" t="s">
        <v>94</v>
      </c>
      <c r="B351" s="59"/>
      <c r="C351" s="59"/>
      <c r="D351" s="59"/>
      <c r="E351" s="59"/>
      <c r="F351" s="3">
        <f ca="1">IFERROR(WEEKDAY(DATEVALUE(B350&amp;" 1, "&amp;Year1)),"")</f>
        <v>5</v>
      </c>
      <c r="G351" s="4"/>
      <c r="H351"/>
      <c r="I351" s="7"/>
      <c r="J351" s="8"/>
      <c r="K351" s="4"/>
      <c r="L351" s="46">
        <f ca="1">SUM(P361,P370,P379,P388,P397,P406)</f>
        <v>6310</v>
      </c>
      <c r="M351" s="47"/>
      <c r="N351" s="46">
        <f ca="1">SUM(P:P)</f>
        <v>62420</v>
      </c>
      <c r="O351" s="48"/>
      <c r="P351"/>
    </row>
    <row r="352" spans="1:16" ht="9" customHeight="1" x14ac:dyDescent="0.2">
      <c r="A352" s="43" t="s">
        <v>355</v>
      </c>
      <c r="B352" s="50">
        <v>1</v>
      </c>
      <c r="C352" s="50"/>
      <c r="D352" s="50">
        <v>2</v>
      </c>
      <c r="E352" s="50"/>
      <c r="F352" s="50">
        <v>3</v>
      </c>
      <c r="G352" s="50"/>
      <c r="H352" s="50">
        <v>4</v>
      </c>
      <c r="I352" s="50"/>
      <c r="J352" s="50">
        <v>5</v>
      </c>
      <c r="K352" s="50"/>
      <c r="L352" s="50">
        <v>6</v>
      </c>
      <c r="M352" s="50"/>
      <c r="N352" s="50">
        <v>7</v>
      </c>
      <c r="O352" s="50"/>
      <c r="P352" s="2"/>
    </row>
    <row r="353" spans="1:16" ht="15" customHeight="1" x14ac:dyDescent="0.2">
      <c r="A353" s="43" t="s">
        <v>105</v>
      </c>
      <c r="B353" s="60" t="s">
        <v>0</v>
      </c>
      <c r="C353" s="61"/>
      <c r="D353" s="62" t="s">
        <v>1</v>
      </c>
      <c r="E353" s="63" t="e">
        <f ca="1">IF(WEEKDAY(DATEVALUE(Month1&amp;" 1, "&amp;Year1))=COLUMN(#REF!),1,IF(LEN(C353)&gt;0,C353+1,""))</f>
        <v>#VALUE!</v>
      </c>
      <c r="F353" s="61" t="s">
        <v>2</v>
      </c>
      <c r="G353" s="61" t="e">
        <f ca="1">IF(WEEKDAY(DATEVALUE(Month1&amp;" 1, "&amp;Year1))=COLUMN(#REF!),1,IF(LEN(E353)&gt;0,E353+1,""))</f>
        <v>#VALUE!</v>
      </c>
      <c r="H353" s="62" t="s">
        <v>3</v>
      </c>
      <c r="I353" s="63" t="e">
        <f ca="1">IF(WEEKDAY(DATEVALUE(Month1&amp;" 1, "&amp;Year1))=COLUMN(#REF!),1,IF(LEN(G353)&gt;0,G353+1,""))</f>
        <v>#VALUE!</v>
      </c>
      <c r="J353" s="64" t="s">
        <v>4</v>
      </c>
      <c r="K353" s="65" t="e">
        <f ca="1">IF(WEEKDAY(DATEVALUE(Month1&amp;" 1, "&amp;Year1))=COLUMN(#REF!),1,IF(LEN(I353)&gt;0,I353+1,""))</f>
        <v>#VALUE!</v>
      </c>
      <c r="L353" s="66" t="s">
        <v>5</v>
      </c>
      <c r="M353" s="67" t="e">
        <f ca="1">IF(WEEKDAY(DATEVALUE(Month1&amp;" 1, "&amp;Year1))=COLUMN(#REF!),1,IF(LEN(K353)&gt;0,K353+1,""))</f>
        <v>#VALUE!</v>
      </c>
      <c r="N353" s="66" t="s">
        <v>6</v>
      </c>
      <c r="O353" s="67" t="e">
        <f ca="1">IF(WEEKDAY(DATEVALUE(Month1&amp;" 1, "&amp;Year1))=COLUMN(#REF!),1,IF(LEN(M353)&gt;0,M353+1,""))</f>
        <v>#VALUE!</v>
      </c>
      <c r="P353" s="42" t="s">
        <v>7</v>
      </c>
    </row>
    <row r="354" spans="1:16" ht="15" customHeight="1" x14ac:dyDescent="0.2">
      <c r="A354" s="43" t="s">
        <v>112</v>
      </c>
      <c r="B354" s="14">
        <f ca="1">DAY(IF(DAY(JulSun1)=1,JulSun1-6,JulSun1+1))</f>
        <v>27</v>
      </c>
      <c r="C354" s="16"/>
      <c r="D354" s="19">
        <f ca="1">DAY(IF(DAY(JulSun1)=1,JulSun1-5,JulSun1+2))</f>
        <v>28</v>
      </c>
      <c r="E354" s="16"/>
      <c r="F354" s="19">
        <f ca="1">DAY(IF(DAY(JulSun1)=1,JulSun1-4,JulSun1+3))</f>
        <v>29</v>
      </c>
      <c r="G354" s="16"/>
      <c r="H354" s="19">
        <f ca="1">DAY(IF(DAY(JulSun1)=1,JulSun1-3,JulSun1+4))</f>
        <v>30</v>
      </c>
      <c r="I354" s="16"/>
      <c r="J354" s="19">
        <f ca="1">DAY(IF(DAY(JulSun1)=1,JulSun1-2,JulSun1+5))</f>
        <v>1</v>
      </c>
      <c r="K354" s="16"/>
      <c r="L354" s="19">
        <f ca="1">DAY(IF(DAY(JulSun1)=1,JulSun1-1,JulSun1+6))</f>
        <v>2</v>
      </c>
      <c r="M354" s="16"/>
      <c r="N354" s="20">
        <f ca="1">DAY(IF(DAY(JulSun1)=1,JulSun1,JulSun1+7))</f>
        <v>3</v>
      </c>
      <c r="O354" s="15"/>
      <c r="P354" s="21"/>
    </row>
    <row r="355" spans="1:16" ht="11.25" customHeight="1" x14ac:dyDescent="0.2">
      <c r="A355" s="43" t="s">
        <v>153</v>
      </c>
      <c r="B355" s="41" t="s">
        <v>9</v>
      </c>
      <c r="C355" s="36" t="s">
        <v>10</v>
      </c>
      <c r="D355" s="35" t="s">
        <v>9</v>
      </c>
      <c r="E355" s="36" t="s">
        <v>10</v>
      </c>
      <c r="F355" s="35" t="s">
        <v>9</v>
      </c>
      <c r="G355" s="36" t="s">
        <v>10</v>
      </c>
      <c r="H355" s="35" t="s">
        <v>9</v>
      </c>
      <c r="I355" s="36" t="s">
        <v>10</v>
      </c>
      <c r="J355" s="35" t="s">
        <v>9</v>
      </c>
      <c r="K355" s="36" t="s">
        <v>10</v>
      </c>
      <c r="L355" s="35" t="s">
        <v>9</v>
      </c>
      <c r="M355" s="36" t="s">
        <v>10</v>
      </c>
      <c r="N355" s="37" t="s">
        <v>9</v>
      </c>
      <c r="O355" s="38" t="s">
        <v>10</v>
      </c>
      <c r="P355" s="22"/>
    </row>
    <row r="356" spans="1:16" ht="11.25" customHeight="1" x14ac:dyDescent="0.2">
      <c r="A356" s="43" t="s">
        <v>201</v>
      </c>
      <c r="B356" s="17"/>
      <c r="C356" s="71" t="str">
        <f>IFERROR(VLOOKUP(B356,fixed_expenses4[],2,0),"")</f>
        <v/>
      </c>
      <c r="D356" s="17"/>
      <c r="E356" s="71" t="str">
        <f>IFERROR(VLOOKUP(D356,fixed_expenses4[],2,0),"")</f>
        <v/>
      </c>
      <c r="F356" s="17"/>
      <c r="G356" s="71" t="str">
        <f>IFERROR(VLOOKUP(F356,fixed_expenses4[],2,0),"")</f>
        <v/>
      </c>
      <c r="H356" s="17"/>
      <c r="I356" s="71" t="str">
        <f>IFERROR(VLOOKUP(H356,fixed_expenses4[],2,0),"")</f>
        <v/>
      </c>
      <c r="J356" s="17"/>
      <c r="K356" s="71" t="str">
        <f>IFERROR(VLOOKUP(J356,fixed_expenses4[],2,0),"")</f>
        <v/>
      </c>
      <c r="L356" s="17" t="s">
        <v>387</v>
      </c>
      <c r="M356" s="71">
        <f>IFERROR(VLOOKUP(L356,fixed_expenses4[],2,0),"")</f>
        <v>800</v>
      </c>
      <c r="N356" s="17"/>
      <c r="O356" s="71" t="str">
        <f>IFERROR(VLOOKUP(N356,fixed_expenses4[],2,0),"")</f>
        <v/>
      </c>
      <c r="P356" s="22"/>
    </row>
    <row r="357" spans="1:16" ht="11.25" customHeight="1" x14ac:dyDescent="0.2">
      <c r="B357" s="17"/>
      <c r="C357" s="71" t="str">
        <f>IFERROR(VLOOKUP(B357,fixed_expenses4[],2,0),"")</f>
        <v/>
      </c>
      <c r="D357" s="17"/>
      <c r="E357" s="71" t="str">
        <f>IFERROR(VLOOKUP(D357,fixed_expenses4[],2,0),"")</f>
        <v/>
      </c>
      <c r="F357" s="17"/>
      <c r="G357" s="71" t="str">
        <f>IFERROR(VLOOKUP(F357,fixed_expenses4[],2,0),"")</f>
        <v/>
      </c>
      <c r="H357" s="17"/>
      <c r="I357" s="71" t="str">
        <f>IFERROR(VLOOKUP(H357,fixed_expenses4[],2,0),"")</f>
        <v/>
      </c>
      <c r="J357" s="17"/>
      <c r="K357" s="71" t="str">
        <f>IFERROR(VLOOKUP(J357,fixed_expenses4[],2,0),"")</f>
        <v/>
      </c>
      <c r="L357" s="80" t="s">
        <v>388</v>
      </c>
      <c r="M357" s="71">
        <f>IFERROR(VLOOKUP(L357,fixed_expenses4[],2,0),"")</f>
        <v>770</v>
      </c>
      <c r="N357" s="17"/>
      <c r="O357" s="71" t="str">
        <f>IFERROR(VLOOKUP(N357,fixed_expenses4[],2,0),"")</f>
        <v/>
      </c>
      <c r="P357" s="22"/>
    </row>
    <row r="358" spans="1:16" ht="11.25" customHeight="1" x14ac:dyDescent="0.2">
      <c r="B358" s="17"/>
      <c r="C358" s="71" t="str">
        <f>IFERROR(VLOOKUP(B358,fixed_expenses4[],2,0),"")</f>
        <v/>
      </c>
      <c r="D358" s="17"/>
      <c r="E358" s="71" t="str">
        <f>IFERROR(VLOOKUP(D358,fixed_expenses4[],2,0),"")</f>
        <v/>
      </c>
      <c r="F358" s="17"/>
      <c r="G358" s="71" t="str">
        <f>IFERROR(VLOOKUP(F358,fixed_expenses4[],2,0),"")</f>
        <v/>
      </c>
      <c r="H358" s="17"/>
      <c r="I358" s="71" t="str">
        <f>IFERROR(VLOOKUP(H358,fixed_expenses4[],2,0),"")</f>
        <v/>
      </c>
      <c r="J358" s="17"/>
      <c r="K358" s="71" t="str">
        <f>IFERROR(VLOOKUP(J358,fixed_expenses4[],2,0),"")</f>
        <v/>
      </c>
      <c r="L358" s="17"/>
      <c r="M358" s="71" t="str">
        <f>IFERROR(VLOOKUP(L358,fixed_expenses4[],2,0),"")</f>
        <v/>
      </c>
      <c r="N358" s="17"/>
      <c r="O358" s="71" t="str">
        <f>IFERROR(VLOOKUP(N358,fixed_expenses4[],2,0),"")</f>
        <v/>
      </c>
      <c r="P358" s="22"/>
    </row>
    <row r="359" spans="1:16" ht="11.25" customHeight="1" x14ac:dyDescent="0.2">
      <c r="B359" s="17"/>
      <c r="C359" s="71" t="str">
        <f>IFERROR(VLOOKUP(B359,fixed_expenses4[],2,0),"")</f>
        <v/>
      </c>
      <c r="D359" s="17"/>
      <c r="E359" s="71" t="str">
        <f>IFERROR(VLOOKUP(D359,fixed_expenses4[],2,0),"")</f>
        <v/>
      </c>
      <c r="F359" s="17"/>
      <c r="G359" s="71" t="str">
        <f>IFERROR(VLOOKUP(F359,fixed_expenses4[],2,0),"")</f>
        <v/>
      </c>
      <c r="H359" s="17"/>
      <c r="I359" s="71" t="str">
        <f>IFERROR(VLOOKUP(H359,fixed_expenses4[],2,0),"")</f>
        <v/>
      </c>
      <c r="J359" s="17"/>
      <c r="K359" s="71" t="str">
        <f>IFERROR(VLOOKUP(J359,fixed_expenses4[],2,0),"")</f>
        <v/>
      </c>
      <c r="L359" s="17"/>
      <c r="M359" s="71" t="str">
        <f>IFERROR(VLOOKUP(L359,fixed_expenses4[],2,0),"")</f>
        <v/>
      </c>
      <c r="N359" s="17"/>
      <c r="O359" s="71" t="str">
        <f>IFERROR(VLOOKUP(N359,fixed_expenses4[],2,0),"")</f>
        <v/>
      </c>
      <c r="P359" s="22"/>
    </row>
    <row r="360" spans="1:16" ht="11.25" customHeight="1" x14ac:dyDescent="0.2">
      <c r="B360" s="17"/>
      <c r="C360" s="71" t="str">
        <f>IFERROR(VLOOKUP(B360,fixed_expenses4[],2,0),"")</f>
        <v/>
      </c>
      <c r="D360" s="17"/>
      <c r="E360" s="71" t="str">
        <f>IFERROR(VLOOKUP(D360,fixed_expenses4[],2,0),"")</f>
        <v/>
      </c>
      <c r="F360" s="17"/>
      <c r="G360" s="71" t="str">
        <f>IFERROR(VLOOKUP(F360,fixed_expenses4[],2,0),"")</f>
        <v/>
      </c>
      <c r="H360" s="17"/>
      <c r="I360" s="71" t="str">
        <f>IFERROR(VLOOKUP(H360,fixed_expenses4[],2,0),"")</f>
        <v/>
      </c>
      <c r="J360" s="17"/>
      <c r="K360" s="71" t="str">
        <f>IFERROR(VLOOKUP(J360,fixed_expenses4[],2,0),"")</f>
        <v/>
      </c>
      <c r="L360" s="17"/>
      <c r="M360" s="71" t="str">
        <f>IFERROR(VLOOKUP(L360,fixed_expenses4[],2,0),"")</f>
        <v/>
      </c>
      <c r="N360" s="17"/>
      <c r="O360" s="71" t="str">
        <f>IFERROR(VLOOKUP(N360,fixed_expenses4[],2,0),"")</f>
        <v/>
      </c>
      <c r="P360" s="22"/>
    </row>
    <row r="361" spans="1:16" ht="11.25" customHeight="1" x14ac:dyDescent="0.2">
      <c r="A361" s="43" t="s">
        <v>320</v>
      </c>
      <c r="B361" s="26" t="s">
        <v>8</v>
      </c>
      <c r="C361" s="27">
        <f>SUM(C356:C360)</f>
        <v>0</v>
      </c>
      <c r="D361" s="26"/>
      <c r="E361" s="27">
        <f>SUM(E356:E360)</f>
        <v>0</v>
      </c>
      <c r="F361" s="26"/>
      <c r="G361" s="27">
        <f>SUM(G356:G360)</f>
        <v>0</v>
      </c>
      <c r="H361" s="26"/>
      <c r="I361" s="27">
        <f>SUM(I356:I360)</f>
        <v>0</v>
      </c>
      <c r="J361" s="26"/>
      <c r="K361" s="27">
        <f>SUM(K356:K360)</f>
        <v>0</v>
      </c>
      <c r="L361" s="26"/>
      <c r="M361" s="27">
        <f>SUM(M356:M360)</f>
        <v>1570</v>
      </c>
      <c r="N361" s="26"/>
      <c r="O361" s="28">
        <f>SUM(O356:O360)</f>
        <v>0</v>
      </c>
      <c r="P361" s="29">
        <f ca="1">SUMIF(B354:N354,"&lt;8",C361:O361)</f>
        <v>1570</v>
      </c>
    </row>
    <row r="362" spans="1:16" x14ac:dyDescent="0.2">
      <c r="B362" s="6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6"/>
    </row>
    <row r="363" spans="1:16" ht="15" customHeight="1" x14ac:dyDescent="0.2">
      <c r="A363" s="43" t="s">
        <v>255</v>
      </c>
      <c r="B363" s="12">
        <f ca="1">N354+1</f>
        <v>4</v>
      </c>
      <c r="C363" s="13"/>
      <c r="D363" s="12">
        <f ca="1">B363+1</f>
        <v>5</v>
      </c>
      <c r="E363" s="13"/>
      <c r="F363" s="12">
        <f ca="1">D363+1</f>
        <v>6</v>
      </c>
      <c r="G363" s="13"/>
      <c r="H363" s="12">
        <f ca="1">F363+1</f>
        <v>7</v>
      </c>
      <c r="I363" s="13"/>
      <c r="J363" s="12">
        <f ca="1">H363+1</f>
        <v>8</v>
      </c>
      <c r="K363" s="13"/>
      <c r="L363" s="12">
        <f ca="1">J363+1</f>
        <v>9</v>
      </c>
      <c r="M363" s="13"/>
      <c r="N363" s="12">
        <f ca="1">L363+1</f>
        <v>10</v>
      </c>
      <c r="O363" s="13"/>
      <c r="P363" s="23"/>
    </row>
    <row r="364" spans="1:16" ht="11.25" customHeight="1" x14ac:dyDescent="0.2">
      <c r="A364" s="43" t="s">
        <v>152</v>
      </c>
      <c r="B364" s="37" t="s">
        <v>9</v>
      </c>
      <c r="C364" s="39" t="s">
        <v>10</v>
      </c>
      <c r="D364" s="37" t="s">
        <v>9</v>
      </c>
      <c r="E364" s="39" t="s">
        <v>10</v>
      </c>
      <c r="F364" s="37" t="s">
        <v>9</v>
      </c>
      <c r="G364" s="39" t="s">
        <v>10</v>
      </c>
      <c r="H364" s="37" t="s">
        <v>9</v>
      </c>
      <c r="I364" s="39" t="s">
        <v>10</v>
      </c>
      <c r="J364" s="37" t="s">
        <v>9</v>
      </c>
      <c r="K364" s="39" t="s">
        <v>10</v>
      </c>
      <c r="L364" s="37" t="s">
        <v>9</v>
      </c>
      <c r="M364" s="39" t="s">
        <v>10</v>
      </c>
      <c r="N364" s="37" t="s">
        <v>9</v>
      </c>
      <c r="O364" s="40" t="s">
        <v>10</v>
      </c>
      <c r="P364" s="22"/>
    </row>
    <row r="365" spans="1:16" ht="11.25" customHeight="1" x14ac:dyDescent="0.2">
      <c r="A365" s="43" t="s">
        <v>202</v>
      </c>
      <c r="B365" s="17"/>
      <c r="C365" s="71" t="str">
        <f>IFERROR(VLOOKUP(B365,fixed_expenses4[],2,0),"")</f>
        <v/>
      </c>
      <c r="D365" s="17"/>
      <c r="E365" s="71" t="str">
        <f>IFERROR(VLOOKUP(D365,fixed_expenses4[],2,0),"")</f>
        <v/>
      </c>
      <c r="F365" s="17"/>
      <c r="G365" s="71" t="str">
        <f>IFERROR(VLOOKUP(F365,fixed_expenses4[],2,0),"")</f>
        <v/>
      </c>
      <c r="H365" s="17"/>
      <c r="I365" s="71" t="str">
        <f>IFERROR(VLOOKUP(H365,fixed_expenses4[],2,0),"")</f>
        <v/>
      </c>
      <c r="J365" s="17"/>
      <c r="K365" s="71" t="str">
        <f>IFERROR(VLOOKUP(J365,fixed_expenses4[],2,0),"")</f>
        <v/>
      </c>
      <c r="L365" s="17" t="s">
        <v>387</v>
      </c>
      <c r="M365" s="71">
        <f>IFERROR(VLOOKUP(L365,fixed_expenses4[],2,0),"")</f>
        <v>800</v>
      </c>
      <c r="N365" s="17"/>
      <c r="O365" s="71" t="str">
        <f>IFERROR(VLOOKUP(N365,fixed_expenses4[],2,0),"")</f>
        <v/>
      </c>
      <c r="P365" s="22"/>
    </row>
    <row r="366" spans="1:16" ht="11.25" customHeight="1" x14ac:dyDescent="0.2">
      <c r="B366" s="17"/>
      <c r="C366" s="71" t="str">
        <f>IFERROR(VLOOKUP(B366,fixed_expenses4[],2,0),"")</f>
        <v/>
      </c>
      <c r="D366" s="17"/>
      <c r="E366" s="71" t="str">
        <f>IFERROR(VLOOKUP(D366,fixed_expenses4[],2,0),"")</f>
        <v/>
      </c>
      <c r="F366" s="17"/>
      <c r="G366" s="71" t="str">
        <f>IFERROR(VLOOKUP(F366,fixed_expenses4[],2,0),"")</f>
        <v/>
      </c>
      <c r="H366" s="17"/>
      <c r="I366" s="71" t="str">
        <f>IFERROR(VLOOKUP(H366,fixed_expenses4[],2,0),"")</f>
        <v/>
      </c>
      <c r="J366" s="17"/>
      <c r="K366" s="71" t="str">
        <f>IFERROR(VLOOKUP(J366,fixed_expenses4[],2,0),"")</f>
        <v/>
      </c>
      <c r="L366" s="17"/>
      <c r="M366" s="71" t="str">
        <f>IFERROR(VLOOKUP(L366,fixed_expenses4[],2,0),"")</f>
        <v/>
      </c>
      <c r="N366" s="17"/>
      <c r="O366" s="71" t="str">
        <f>IFERROR(VLOOKUP(N366,fixed_expenses4[],2,0),"")</f>
        <v/>
      </c>
      <c r="P366" s="22"/>
    </row>
    <row r="367" spans="1:16" ht="11.25" customHeight="1" x14ac:dyDescent="0.2">
      <c r="B367" s="17"/>
      <c r="C367" s="71" t="str">
        <f>IFERROR(VLOOKUP(B367,fixed_expenses4[],2,0),"")</f>
        <v/>
      </c>
      <c r="D367" s="17"/>
      <c r="E367" s="71" t="str">
        <f>IFERROR(VLOOKUP(D367,fixed_expenses4[],2,0),"")</f>
        <v/>
      </c>
      <c r="F367" s="17"/>
      <c r="G367" s="71" t="str">
        <f>IFERROR(VLOOKUP(F367,fixed_expenses4[],2,0),"")</f>
        <v/>
      </c>
      <c r="H367" s="17"/>
      <c r="I367" s="71" t="str">
        <f>IFERROR(VLOOKUP(H367,fixed_expenses4[],2,0),"")</f>
        <v/>
      </c>
      <c r="J367" s="17"/>
      <c r="K367" s="71" t="str">
        <f>IFERROR(VLOOKUP(J367,fixed_expenses4[],2,0),"")</f>
        <v/>
      </c>
      <c r="L367" s="17"/>
      <c r="M367" s="71" t="str">
        <f>IFERROR(VLOOKUP(L367,fixed_expenses4[],2,0),"")</f>
        <v/>
      </c>
      <c r="N367" s="17"/>
      <c r="O367" s="71" t="str">
        <f>IFERROR(VLOOKUP(N367,fixed_expenses4[],2,0),"")</f>
        <v/>
      </c>
      <c r="P367" s="22"/>
    </row>
    <row r="368" spans="1:16" ht="11.25" customHeight="1" x14ac:dyDescent="0.2">
      <c r="B368" s="17"/>
      <c r="C368" s="71" t="str">
        <f>IFERROR(VLOOKUP(B368,fixed_expenses4[],2,0),"")</f>
        <v/>
      </c>
      <c r="D368" s="17"/>
      <c r="E368" s="71" t="str">
        <f>IFERROR(VLOOKUP(D368,fixed_expenses4[],2,0),"")</f>
        <v/>
      </c>
      <c r="F368" s="17"/>
      <c r="G368" s="71" t="str">
        <f>IFERROR(VLOOKUP(F368,fixed_expenses4[],2,0),"")</f>
        <v/>
      </c>
      <c r="H368" s="17"/>
      <c r="I368" s="71" t="str">
        <f>IFERROR(VLOOKUP(H368,fixed_expenses4[],2,0),"")</f>
        <v/>
      </c>
      <c r="J368" s="17"/>
      <c r="K368" s="71" t="str">
        <f>IFERROR(VLOOKUP(J368,fixed_expenses4[],2,0),"")</f>
        <v/>
      </c>
      <c r="L368" s="17"/>
      <c r="M368" s="71" t="str">
        <f>IFERROR(VLOOKUP(L368,fixed_expenses4[],2,0),"")</f>
        <v/>
      </c>
      <c r="N368" s="17"/>
      <c r="O368" s="71" t="str">
        <f>IFERROR(VLOOKUP(N368,fixed_expenses4[],2,0),"")</f>
        <v/>
      </c>
      <c r="P368" s="22"/>
    </row>
    <row r="369" spans="1:16" ht="11.25" customHeight="1" x14ac:dyDescent="0.2">
      <c r="B369" s="17"/>
      <c r="C369" s="71" t="str">
        <f>IFERROR(VLOOKUP(B369,fixed_expenses4[],2,0),"")</f>
        <v/>
      </c>
      <c r="D369" s="17"/>
      <c r="E369" s="71" t="str">
        <f>IFERROR(VLOOKUP(D369,fixed_expenses4[],2,0),"")</f>
        <v/>
      </c>
      <c r="F369" s="17"/>
      <c r="G369" s="71" t="str">
        <f>IFERROR(VLOOKUP(F369,fixed_expenses4[],2,0),"")</f>
        <v/>
      </c>
      <c r="H369" s="17"/>
      <c r="I369" s="71" t="str">
        <f>IFERROR(VLOOKUP(H369,fixed_expenses4[],2,0),"")</f>
        <v/>
      </c>
      <c r="J369" s="17"/>
      <c r="K369" s="71" t="str">
        <f>IFERROR(VLOOKUP(J369,fixed_expenses4[],2,0),"")</f>
        <v/>
      </c>
      <c r="L369" s="17"/>
      <c r="M369" s="71" t="str">
        <f>IFERROR(VLOOKUP(L369,fixed_expenses4[],2,0),"")</f>
        <v/>
      </c>
      <c r="N369" s="17"/>
      <c r="O369" s="71" t="str">
        <f>IFERROR(VLOOKUP(N369,fixed_expenses4[],2,0),"")</f>
        <v/>
      </c>
      <c r="P369" s="22"/>
    </row>
    <row r="370" spans="1:16" ht="11.25" customHeight="1" x14ac:dyDescent="0.2">
      <c r="A370" s="43" t="s">
        <v>319</v>
      </c>
      <c r="B370" s="26" t="s">
        <v>8</v>
      </c>
      <c r="C370" s="27">
        <f>SUM(C365:C369)</f>
        <v>0</v>
      </c>
      <c r="D370" s="26"/>
      <c r="E370" s="27">
        <f>SUM(E365:E369)</f>
        <v>0</v>
      </c>
      <c r="F370" s="26"/>
      <c r="G370" s="27">
        <f>SUM(G365:G369)</f>
        <v>0</v>
      </c>
      <c r="H370" s="26"/>
      <c r="I370" s="27">
        <f>SUM(I365:I369)</f>
        <v>0</v>
      </c>
      <c r="J370" s="26"/>
      <c r="K370" s="27">
        <f>SUM(K365:K369)</f>
        <v>0</v>
      </c>
      <c r="L370" s="26"/>
      <c r="M370" s="27">
        <f>SUM(M365:M369)</f>
        <v>800</v>
      </c>
      <c r="N370" s="26"/>
      <c r="O370" s="28">
        <f>SUM(O365:O369)</f>
        <v>0</v>
      </c>
      <c r="P370" s="29">
        <f>SUM(C370,E370,G370,I370,K370,M370,O370)</f>
        <v>800</v>
      </c>
    </row>
    <row r="371" spans="1:16" x14ac:dyDescent="0.2">
      <c r="B371" s="6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6"/>
    </row>
    <row r="372" spans="1:16" ht="15" customHeight="1" x14ac:dyDescent="0.2">
      <c r="A372" s="43" t="s">
        <v>256</v>
      </c>
      <c r="B372" s="12">
        <f ca="1">N363+1</f>
        <v>11</v>
      </c>
      <c r="C372" s="13"/>
      <c r="D372" s="12">
        <f ca="1">B372+1</f>
        <v>12</v>
      </c>
      <c r="E372" s="13"/>
      <c r="F372" s="12">
        <f ca="1">D372+1</f>
        <v>13</v>
      </c>
      <c r="G372" s="13"/>
      <c r="H372" s="12">
        <f ca="1">F372+1</f>
        <v>14</v>
      </c>
      <c r="I372" s="13"/>
      <c r="J372" s="12">
        <f ca="1">H372+1</f>
        <v>15</v>
      </c>
      <c r="K372" s="13"/>
      <c r="L372" s="12">
        <f ca="1">J372+1</f>
        <v>16</v>
      </c>
      <c r="M372" s="13"/>
      <c r="N372" s="12">
        <f ca="1">L372+1</f>
        <v>17</v>
      </c>
      <c r="O372" s="13"/>
      <c r="P372" s="24"/>
    </row>
    <row r="373" spans="1:16" ht="11.25" customHeight="1" x14ac:dyDescent="0.2">
      <c r="A373" s="43" t="s">
        <v>151</v>
      </c>
      <c r="B373" s="37" t="s">
        <v>9</v>
      </c>
      <c r="C373" s="39" t="s">
        <v>10</v>
      </c>
      <c r="D373" s="37" t="s">
        <v>9</v>
      </c>
      <c r="E373" s="39" t="s">
        <v>10</v>
      </c>
      <c r="F373" s="37" t="s">
        <v>9</v>
      </c>
      <c r="G373" s="39" t="s">
        <v>10</v>
      </c>
      <c r="H373" s="37" t="s">
        <v>9</v>
      </c>
      <c r="I373" s="39" t="s">
        <v>10</v>
      </c>
      <c r="J373" s="37" t="s">
        <v>9</v>
      </c>
      <c r="K373" s="39" t="s">
        <v>10</v>
      </c>
      <c r="L373" s="37" t="s">
        <v>9</v>
      </c>
      <c r="M373" s="39" t="s">
        <v>10</v>
      </c>
      <c r="N373" s="37" t="s">
        <v>9</v>
      </c>
      <c r="O373" s="40" t="s">
        <v>10</v>
      </c>
      <c r="P373" s="22"/>
    </row>
    <row r="374" spans="1:16" ht="11.25" customHeight="1" x14ac:dyDescent="0.2">
      <c r="A374" s="43" t="s">
        <v>203</v>
      </c>
      <c r="B374" s="17"/>
      <c r="C374" s="71" t="str">
        <f>IFERROR(VLOOKUP(B374,fixed_expenses4[],2,0),"")</f>
        <v/>
      </c>
      <c r="D374" s="17"/>
      <c r="E374" s="71" t="str">
        <f>IFERROR(VLOOKUP(D374,fixed_expenses4[],2,0),"")</f>
        <v/>
      </c>
      <c r="F374" s="17"/>
      <c r="G374" s="71" t="str">
        <f>IFERROR(VLOOKUP(F374,fixed_expenses4[],2,0),"")</f>
        <v/>
      </c>
      <c r="H374" s="17"/>
      <c r="I374" s="71" t="str">
        <f>IFERROR(VLOOKUP(H374,fixed_expenses4[],2,0),"")</f>
        <v/>
      </c>
      <c r="J374" s="17"/>
      <c r="K374" s="71" t="str">
        <f>IFERROR(VLOOKUP(J374,fixed_expenses4[],2,0),"")</f>
        <v/>
      </c>
      <c r="L374" s="17" t="s">
        <v>387</v>
      </c>
      <c r="M374" s="71">
        <f>IFERROR(VLOOKUP(L374,fixed_expenses4[],2,0),"")</f>
        <v>800</v>
      </c>
      <c r="N374" s="17"/>
      <c r="O374" s="71" t="str">
        <f>IFERROR(VLOOKUP(N374,fixed_expenses4[],2,0),"")</f>
        <v/>
      </c>
      <c r="P374" s="22"/>
    </row>
    <row r="375" spans="1:16" ht="11.25" customHeight="1" x14ac:dyDescent="0.2">
      <c r="B375" s="17"/>
      <c r="C375" s="71" t="str">
        <f>IFERROR(VLOOKUP(B375,fixed_expenses4[],2,0),"")</f>
        <v/>
      </c>
      <c r="D375" s="17"/>
      <c r="E375" s="71" t="str">
        <f>IFERROR(VLOOKUP(D375,fixed_expenses4[],2,0),"")</f>
        <v/>
      </c>
      <c r="F375" s="17"/>
      <c r="G375" s="71" t="str">
        <f>IFERROR(VLOOKUP(F375,fixed_expenses4[],2,0),"")</f>
        <v/>
      </c>
      <c r="H375" s="17"/>
      <c r="I375" s="71" t="str">
        <f>IFERROR(VLOOKUP(H375,fixed_expenses4[],2,0),"")</f>
        <v/>
      </c>
      <c r="J375" s="17"/>
      <c r="K375" s="71" t="str">
        <f>IFERROR(VLOOKUP(J375,fixed_expenses4[],2,0),"")</f>
        <v/>
      </c>
      <c r="L375" s="80" t="s">
        <v>388</v>
      </c>
      <c r="M375" s="71">
        <f>IFERROR(VLOOKUP(L375,fixed_expenses4[],2,0),"")</f>
        <v>770</v>
      </c>
      <c r="N375" s="17"/>
      <c r="O375" s="71" t="str">
        <f>IFERROR(VLOOKUP(N375,fixed_expenses4[],2,0),"")</f>
        <v/>
      </c>
      <c r="P375" s="22"/>
    </row>
    <row r="376" spans="1:16" ht="11.25" customHeight="1" x14ac:dyDescent="0.2">
      <c r="B376" s="17"/>
      <c r="C376" s="71" t="str">
        <f>IFERROR(VLOOKUP(B376,fixed_expenses4[],2,0),"")</f>
        <v/>
      </c>
      <c r="D376" s="17"/>
      <c r="E376" s="71" t="str">
        <f>IFERROR(VLOOKUP(D376,fixed_expenses4[],2,0),"")</f>
        <v/>
      </c>
      <c r="F376" s="17"/>
      <c r="G376" s="71" t="str">
        <f>IFERROR(VLOOKUP(F376,fixed_expenses4[],2,0),"")</f>
        <v/>
      </c>
      <c r="H376" s="17"/>
      <c r="I376" s="71" t="str">
        <f>IFERROR(VLOOKUP(H376,fixed_expenses4[],2,0),"")</f>
        <v/>
      </c>
      <c r="J376" s="17"/>
      <c r="K376" s="71" t="str">
        <f>IFERROR(VLOOKUP(J376,fixed_expenses4[],2,0),"")</f>
        <v/>
      </c>
      <c r="L376" s="17"/>
      <c r="M376" s="71" t="str">
        <f>IFERROR(VLOOKUP(L376,fixed_expenses4[],2,0),"")</f>
        <v/>
      </c>
      <c r="N376" s="17"/>
      <c r="O376" s="71" t="str">
        <f>IFERROR(VLOOKUP(N376,fixed_expenses4[],2,0),"")</f>
        <v/>
      </c>
      <c r="P376" s="22"/>
    </row>
    <row r="377" spans="1:16" ht="11.25" customHeight="1" x14ac:dyDescent="0.2">
      <c r="B377" s="17"/>
      <c r="C377" s="71" t="str">
        <f>IFERROR(VLOOKUP(B377,fixed_expenses4[],2,0),"")</f>
        <v/>
      </c>
      <c r="D377" s="17"/>
      <c r="E377" s="71" t="str">
        <f>IFERROR(VLOOKUP(D377,fixed_expenses4[],2,0),"")</f>
        <v/>
      </c>
      <c r="F377" s="17"/>
      <c r="G377" s="71" t="str">
        <f>IFERROR(VLOOKUP(F377,fixed_expenses4[],2,0),"")</f>
        <v/>
      </c>
      <c r="H377" s="17"/>
      <c r="I377" s="71" t="str">
        <f>IFERROR(VLOOKUP(H377,fixed_expenses4[],2,0),"")</f>
        <v/>
      </c>
      <c r="J377" s="17"/>
      <c r="K377" s="71" t="str">
        <f>IFERROR(VLOOKUP(J377,fixed_expenses4[],2,0),"")</f>
        <v/>
      </c>
      <c r="L377" s="17"/>
      <c r="M377" s="71" t="str">
        <f>IFERROR(VLOOKUP(L377,fixed_expenses4[],2,0),"")</f>
        <v/>
      </c>
      <c r="N377" s="17"/>
      <c r="O377" s="71" t="str">
        <f>IFERROR(VLOOKUP(N377,fixed_expenses4[],2,0),"")</f>
        <v/>
      </c>
      <c r="P377" s="22"/>
    </row>
    <row r="378" spans="1:16" ht="11.25" customHeight="1" x14ac:dyDescent="0.2">
      <c r="B378" s="17"/>
      <c r="C378" s="71" t="str">
        <f>IFERROR(VLOOKUP(B378,fixed_expenses4[],2,0),"")</f>
        <v/>
      </c>
      <c r="D378" s="17"/>
      <c r="E378" s="71" t="str">
        <f>IFERROR(VLOOKUP(D378,fixed_expenses4[],2,0),"")</f>
        <v/>
      </c>
      <c r="F378" s="17"/>
      <c r="G378" s="71" t="str">
        <f>IFERROR(VLOOKUP(F378,fixed_expenses4[],2,0),"")</f>
        <v/>
      </c>
      <c r="H378" s="17"/>
      <c r="I378" s="71" t="str">
        <f>IFERROR(VLOOKUP(H378,fixed_expenses4[],2,0),"")</f>
        <v/>
      </c>
      <c r="J378" s="17"/>
      <c r="K378" s="71" t="str">
        <f>IFERROR(VLOOKUP(J378,fixed_expenses4[],2,0),"")</f>
        <v/>
      </c>
      <c r="L378" s="17"/>
      <c r="M378" s="71" t="str">
        <f>IFERROR(VLOOKUP(L378,fixed_expenses4[],2,0),"")</f>
        <v/>
      </c>
      <c r="N378" s="17"/>
      <c r="O378" s="71" t="str">
        <f>IFERROR(VLOOKUP(N378,fixed_expenses4[],2,0),"")</f>
        <v/>
      </c>
      <c r="P378" s="22"/>
    </row>
    <row r="379" spans="1:16" ht="11.25" customHeight="1" x14ac:dyDescent="0.2">
      <c r="A379" s="43" t="s">
        <v>318</v>
      </c>
      <c r="B379" s="30" t="s">
        <v>8</v>
      </c>
      <c r="C379" s="27">
        <f>SUM(C374:C378)</f>
        <v>0</v>
      </c>
      <c r="D379" s="26"/>
      <c r="E379" s="27">
        <f>SUM(E374:E378)</f>
        <v>0</v>
      </c>
      <c r="F379" s="26"/>
      <c r="G379" s="27">
        <f>SUM(G374:G378)</f>
        <v>0</v>
      </c>
      <c r="H379" s="26"/>
      <c r="I379" s="27">
        <f>SUM(I374:I378)</f>
        <v>0</v>
      </c>
      <c r="J379" s="26"/>
      <c r="K379" s="27">
        <f>SUM(K374:K378)</f>
        <v>0</v>
      </c>
      <c r="L379" s="26"/>
      <c r="M379" s="27">
        <f>SUM(M374:M378)</f>
        <v>1570</v>
      </c>
      <c r="N379" s="26"/>
      <c r="O379" s="28">
        <f>SUM(O374:O378)</f>
        <v>0</v>
      </c>
      <c r="P379" s="29">
        <f>SUM(C379,E379,G379,I379,K379,M379,O379)</f>
        <v>1570</v>
      </c>
    </row>
    <row r="380" spans="1:16" x14ac:dyDescent="0.2">
      <c r="B380" s="6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6"/>
    </row>
    <row r="381" spans="1:16" ht="15" customHeight="1" x14ac:dyDescent="0.2">
      <c r="A381" s="43" t="s">
        <v>257</v>
      </c>
      <c r="B381" s="12">
        <f ca="1">N372+1</f>
        <v>18</v>
      </c>
      <c r="C381" s="13"/>
      <c r="D381" s="12">
        <f ca="1">B381+1</f>
        <v>19</v>
      </c>
      <c r="E381" s="13"/>
      <c r="F381" s="12">
        <f ca="1">D381+1</f>
        <v>20</v>
      </c>
      <c r="G381" s="13"/>
      <c r="H381" s="12">
        <f ca="1">F381+1</f>
        <v>21</v>
      </c>
      <c r="I381" s="13"/>
      <c r="J381" s="12">
        <f ca="1">H381+1</f>
        <v>22</v>
      </c>
      <c r="K381" s="13"/>
      <c r="L381" s="12">
        <f ca="1">J381+1</f>
        <v>23</v>
      </c>
      <c r="M381" s="13"/>
      <c r="N381" s="12">
        <f ca="1">L381+1</f>
        <v>24</v>
      </c>
      <c r="O381" s="13"/>
      <c r="P381" s="24"/>
    </row>
    <row r="382" spans="1:16" ht="11.25" customHeight="1" x14ac:dyDescent="0.2">
      <c r="A382" s="43" t="s">
        <v>150</v>
      </c>
      <c r="B382" s="37" t="s">
        <v>9</v>
      </c>
      <c r="C382" s="39" t="s">
        <v>10</v>
      </c>
      <c r="D382" s="37" t="s">
        <v>9</v>
      </c>
      <c r="E382" s="39" t="s">
        <v>10</v>
      </c>
      <c r="F382" s="37" t="s">
        <v>9</v>
      </c>
      <c r="G382" s="39" t="s">
        <v>10</v>
      </c>
      <c r="H382" s="37" t="s">
        <v>9</v>
      </c>
      <c r="I382" s="39" t="s">
        <v>10</v>
      </c>
      <c r="J382" s="37" t="s">
        <v>9</v>
      </c>
      <c r="K382" s="39" t="s">
        <v>10</v>
      </c>
      <c r="L382" s="37" t="s">
        <v>9</v>
      </c>
      <c r="M382" s="39" t="s">
        <v>10</v>
      </c>
      <c r="N382" s="37" t="s">
        <v>9</v>
      </c>
      <c r="O382" s="40" t="s">
        <v>10</v>
      </c>
      <c r="P382" s="22"/>
    </row>
    <row r="383" spans="1:16" ht="11.25" customHeight="1" x14ac:dyDescent="0.2">
      <c r="A383" s="43" t="s">
        <v>204</v>
      </c>
      <c r="B383" s="17"/>
      <c r="C383" s="71" t="str">
        <f>IFERROR(VLOOKUP(B383,fixed_expenses4[],2,0),"")</f>
        <v/>
      </c>
      <c r="D383" s="17"/>
      <c r="E383" s="71" t="str">
        <f>IFERROR(VLOOKUP(D383,fixed_expenses4[],2,0),"")</f>
        <v/>
      </c>
      <c r="F383" s="17"/>
      <c r="G383" s="71" t="str">
        <f>IFERROR(VLOOKUP(F383,fixed_expenses4[],2,0),"")</f>
        <v/>
      </c>
      <c r="H383" s="17"/>
      <c r="I383" s="71" t="str">
        <f>IFERROR(VLOOKUP(H383,fixed_expenses4[],2,0),"")</f>
        <v/>
      </c>
      <c r="J383" s="17"/>
      <c r="K383" s="71" t="str">
        <f>IFERROR(VLOOKUP(J383,fixed_expenses4[],2,0),"")</f>
        <v/>
      </c>
      <c r="L383" s="17" t="s">
        <v>387</v>
      </c>
      <c r="M383" s="71">
        <f>IFERROR(VLOOKUP(L383,fixed_expenses4[],2,0),"")</f>
        <v>800</v>
      </c>
      <c r="N383" s="17"/>
      <c r="O383" s="71" t="str">
        <f>IFERROR(VLOOKUP(N383,fixed_expenses4[],2,0),"")</f>
        <v/>
      </c>
      <c r="P383" s="22"/>
    </row>
    <row r="384" spans="1:16" ht="11.25" customHeight="1" x14ac:dyDescent="0.2">
      <c r="B384" s="17"/>
      <c r="C384" s="71" t="str">
        <f>IFERROR(VLOOKUP(B384,fixed_expenses4[],2,0),"")</f>
        <v/>
      </c>
      <c r="D384" s="17"/>
      <c r="E384" s="71" t="str">
        <f>IFERROR(VLOOKUP(D384,fixed_expenses4[],2,0),"")</f>
        <v/>
      </c>
      <c r="F384" s="17"/>
      <c r="G384" s="71" t="str">
        <f>IFERROR(VLOOKUP(F384,fixed_expenses4[],2,0),"")</f>
        <v/>
      </c>
      <c r="H384" s="17"/>
      <c r="I384" s="71" t="str">
        <f>IFERROR(VLOOKUP(H384,fixed_expenses4[],2,0),"")</f>
        <v/>
      </c>
      <c r="J384" s="17"/>
      <c r="K384" s="71" t="str">
        <f>IFERROR(VLOOKUP(J384,fixed_expenses4[],2,0),"")</f>
        <v/>
      </c>
      <c r="L384" s="17"/>
      <c r="M384" s="71" t="str">
        <f>IFERROR(VLOOKUP(L384,fixed_expenses4[],2,0),"")</f>
        <v/>
      </c>
      <c r="N384" s="17"/>
      <c r="O384" s="71" t="str">
        <f>IFERROR(VLOOKUP(N384,fixed_expenses4[],2,0),"")</f>
        <v/>
      </c>
      <c r="P384" s="22"/>
    </row>
    <row r="385" spans="1:16" ht="11.25" customHeight="1" x14ac:dyDescent="0.2">
      <c r="B385" s="17"/>
      <c r="C385" s="71" t="str">
        <f>IFERROR(VLOOKUP(B385,fixed_expenses4[],2,0),"")</f>
        <v/>
      </c>
      <c r="D385" s="17"/>
      <c r="E385" s="71" t="str">
        <f>IFERROR(VLOOKUP(D385,fixed_expenses4[],2,0),"")</f>
        <v/>
      </c>
      <c r="F385" s="17"/>
      <c r="G385" s="71" t="str">
        <f>IFERROR(VLOOKUP(F385,fixed_expenses4[],2,0),"")</f>
        <v/>
      </c>
      <c r="H385" s="17"/>
      <c r="I385" s="71" t="str">
        <f>IFERROR(VLOOKUP(H385,fixed_expenses4[],2,0),"")</f>
        <v/>
      </c>
      <c r="J385" s="17"/>
      <c r="K385" s="71" t="str">
        <f>IFERROR(VLOOKUP(J385,fixed_expenses4[],2,0),"")</f>
        <v/>
      </c>
      <c r="L385" s="17"/>
      <c r="M385" s="71" t="str">
        <f>IFERROR(VLOOKUP(L385,fixed_expenses4[],2,0),"")</f>
        <v/>
      </c>
      <c r="N385" s="17"/>
      <c r="O385" s="71" t="str">
        <f>IFERROR(VLOOKUP(N385,fixed_expenses4[],2,0),"")</f>
        <v/>
      </c>
      <c r="P385" s="22"/>
    </row>
    <row r="386" spans="1:16" ht="11.25" customHeight="1" x14ac:dyDescent="0.2">
      <c r="B386" s="17"/>
      <c r="C386" s="71" t="str">
        <f>IFERROR(VLOOKUP(B386,fixed_expenses4[],2,0),"")</f>
        <v/>
      </c>
      <c r="D386" s="17"/>
      <c r="E386" s="71" t="str">
        <f>IFERROR(VLOOKUP(D386,fixed_expenses4[],2,0),"")</f>
        <v/>
      </c>
      <c r="F386" s="17"/>
      <c r="G386" s="71" t="str">
        <f>IFERROR(VLOOKUP(F386,fixed_expenses4[],2,0),"")</f>
        <v/>
      </c>
      <c r="H386" s="17"/>
      <c r="I386" s="71" t="str">
        <f>IFERROR(VLOOKUP(H386,fixed_expenses4[],2,0),"")</f>
        <v/>
      </c>
      <c r="J386" s="17"/>
      <c r="K386" s="71" t="str">
        <f>IFERROR(VLOOKUP(J386,fixed_expenses4[],2,0),"")</f>
        <v/>
      </c>
      <c r="L386" s="17"/>
      <c r="M386" s="71" t="str">
        <f>IFERROR(VLOOKUP(L386,fixed_expenses4[],2,0),"")</f>
        <v/>
      </c>
      <c r="N386" s="17"/>
      <c r="O386" s="71" t="str">
        <f>IFERROR(VLOOKUP(N386,fixed_expenses4[],2,0),"")</f>
        <v/>
      </c>
      <c r="P386" s="22"/>
    </row>
    <row r="387" spans="1:16" ht="11.25" customHeight="1" x14ac:dyDescent="0.2">
      <c r="B387" s="17"/>
      <c r="C387" s="71" t="str">
        <f>IFERROR(VLOOKUP(B387,fixed_expenses4[],2,0),"")</f>
        <v/>
      </c>
      <c r="D387" s="17"/>
      <c r="E387" s="71" t="str">
        <f>IFERROR(VLOOKUP(D387,fixed_expenses4[],2,0),"")</f>
        <v/>
      </c>
      <c r="F387" s="17"/>
      <c r="G387" s="71" t="str">
        <f>IFERROR(VLOOKUP(F387,fixed_expenses4[],2,0),"")</f>
        <v/>
      </c>
      <c r="H387" s="17"/>
      <c r="I387" s="71" t="str">
        <f>IFERROR(VLOOKUP(H387,fixed_expenses4[],2,0),"")</f>
        <v/>
      </c>
      <c r="J387" s="17"/>
      <c r="K387" s="71" t="str">
        <f>IFERROR(VLOOKUP(J387,fixed_expenses4[],2,0),"")</f>
        <v/>
      </c>
      <c r="L387" s="17"/>
      <c r="M387" s="71" t="str">
        <f>IFERROR(VLOOKUP(L387,fixed_expenses4[],2,0),"")</f>
        <v/>
      </c>
      <c r="N387" s="17"/>
      <c r="O387" s="71" t="str">
        <f>IFERROR(VLOOKUP(N387,fixed_expenses4[],2,0),"")</f>
        <v/>
      </c>
      <c r="P387" s="22"/>
    </row>
    <row r="388" spans="1:16" ht="11.25" customHeight="1" x14ac:dyDescent="0.2">
      <c r="A388" s="43" t="s">
        <v>317</v>
      </c>
      <c r="B388" s="26" t="s">
        <v>8</v>
      </c>
      <c r="C388" s="27">
        <f>SUM(C383:C387)</f>
        <v>0</v>
      </c>
      <c r="D388" s="26"/>
      <c r="E388" s="27">
        <f>SUM(E383:E387)</f>
        <v>0</v>
      </c>
      <c r="F388" s="26"/>
      <c r="G388" s="27">
        <f>SUM(G383:G387)</f>
        <v>0</v>
      </c>
      <c r="H388" s="26"/>
      <c r="I388" s="27">
        <f>SUM(I383:I387)</f>
        <v>0</v>
      </c>
      <c r="J388" s="26"/>
      <c r="K388" s="27">
        <f>SUM(K383:K387)</f>
        <v>0</v>
      </c>
      <c r="L388" s="26"/>
      <c r="M388" s="27">
        <f>SUM(M383:M387)</f>
        <v>800</v>
      </c>
      <c r="N388" s="26"/>
      <c r="O388" s="28">
        <f>SUM(O383:O387)</f>
        <v>0</v>
      </c>
      <c r="P388" s="29">
        <f>SUM(C388,E388,G388,I388,K388,M388,O388)</f>
        <v>800</v>
      </c>
    </row>
    <row r="389" spans="1:16" x14ac:dyDescent="0.2">
      <c r="B389" s="6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6"/>
    </row>
    <row r="390" spans="1:16" ht="15" customHeight="1" x14ac:dyDescent="0.2">
      <c r="A390" s="43" t="s">
        <v>258</v>
      </c>
      <c r="B390" s="12">
        <f ca="1">DAY(IF(DAY(JulSun1)=1,JulSun1+22,JulSun1+29))</f>
        <v>25</v>
      </c>
      <c r="C390" s="13"/>
      <c r="D390" s="12">
        <f ca="1">DAY(IF(DAY(JulSun1)=1,JulSun1+23,JulSun1+30))</f>
        <v>26</v>
      </c>
      <c r="E390" s="13"/>
      <c r="F390" s="12">
        <f ca="1">DAY(IF(DAY(JulSun1)=1,JulSun1+24,JulSun1+31))</f>
        <v>27</v>
      </c>
      <c r="G390" s="13"/>
      <c r="H390" s="12">
        <f ca="1">DAY(IF(DAY(JulSun1)=1,JulSun1+25,JulSun1+32))</f>
        <v>28</v>
      </c>
      <c r="I390" s="13"/>
      <c r="J390" s="12">
        <f ca="1">DAY(IF(DAY(JulSun1)=1,JulSun1+26,JulSun1+33))</f>
        <v>29</v>
      </c>
      <c r="K390" s="13"/>
      <c r="L390" s="12">
        <f ca="1">DAY(IF(DAY(JulSun1)=1,JulSun1+27,JulSun1+34))</f>
        <v>30</v>
      </c>
      <c r="M390" s="13"/>
      <c r="N390" s="12">
        <f ca="1">DAY(IF(DAY(JulSun1)=1,JulSun1+28,JulSun1+35))</f>
        <v>31</v>
      </c>
      <c r="O390" s="13"/>
      <c r="P390" s="25"/>
    </row>
    <row r="391" spans="1:16" ht="11.25" customHeight="1" x14ac:dyDescent="0.2">
      <c r="A391" s="43" t="s">
        <v>149</v>
      </c>
      <c r="B391" s="37" t="s">
        <v>9</v>
      </c>
      <c r="C391" s="39" t="s">
        <v>10</v>
      </c>
      <c r="D391" s="37" t="s">
        <v>9</v>
      </c>
      <c r="E391" s="39" t="s">
        <v>10</v>
      </c>
      <c r="F391" s="37" t="s">
        <v>9</v>
      </c>
      <c r="G391" s="39" t="s">
        <v>10</v>
      </c>
      <c r="H391" s="37" t="s">
        <v>9</v>
      </c>
      <c r="I391" s="39" t="s">
        <v>10</v>
      </c>
      <c r="J391" s="37" t="s">
        <v>9</v>
      </c>
      <c r="K391" s="39" t="s">
        <v>10</v>
      </c>
      <c r="L391" s="37" t="s">
        <v>9</v>
      </c>
      <c r="M391" s="39" t="s">
        <v>10</v>
      </c>
      <c r="N391" s="37" t="s">
        <v>9</v>
      </c>
      <c r="O391" s="40" t="s">
        <v>10</v>
      </c>
      <c r="P391" s="22"/>
    </row>
    <row r="392" spans="1:16" ht="11.25" customHeight="1" x14ac:dyDescent="0.2">
      <c r="A392" s="43" t="s">
        <v>205</v>
      </c>
      <c r="B392" s="17"/>
      <c r="C392" s="71" t="str">
        <f>IFERROR(VLOOKUP(B392,fixed_expenses4[],2,0),"")</f>
        <v/>
      </c>
      <c r="D392" s="17"/>
      <c r="E392" s="71" t="str">
        <f>IFERROR(VLOOKUP(D392,fixed_expenses4[],2,0),"")</f>
        <v/>
      </c>
      <c r="F392" s="17"/>
      <c r="G392" s="71" t="str">
        <f>IFERROR(VLOOKUP(F392,fixed_expenses4[],2,0),"")</f>
        <v/>
      </c>
      <c r="H392" s="17"/>
      <c r="I392" s="71" t="str">
        <f>IFERROR(VLOOKUP(H392,fixed_expenses4[],2,0),"")</f>
        <v/>
      </c>
      <c r="J392" s="17"/>
      <c r="K392" s="71" t="str">
        <f>IFERROR(VLOOKUP(J392,fixed_expenses4[],2,0),"")</f>
        <v/>
      </c>
      <c r="L392" s="17" t="s">
        <v>387</v>
      </c>
      <c r="M392" s="71">
        <f>IFERROR(VLOOKUP(L392,fixed_expenses4[],2,0),"")</f>
        <v>800</v>
      </c>
      <c r="N392" s="17"/>
      <c r="O392" s="71" t="str">
        <f>IFERROR(VLOOKUP(N392,fixed_expenses4[],2,0),"")</f>
        <v/>
      </c>
      <c r="P392" s="22"/>
    </row>
    <row r="393" spans="1:16" ht="11.25" customHeight="1" x14ac:dyDescent="0.2">
      <c r="B393" s="17"/>
      <c r="C393" s="71" t="str">
        <f>IFERROR(VLOOKUP(B393,fixed_expenses4[],2,0),"")</f>
        <v/>
      </c>
      <c r="D393" s="17"/>
      <c r="E393" s="71" t="str">
        <f>IFERROR(VLOOKUP(D393,fixed_expenses4[],2,0),"")</f>
        <v/>
      </c>
      <c r="F393" s="17"/>
      <c r="G393" s="71" t="str">
        <f>IFERROR(VLOOKUP(F393,fixed_expenses4[],2,0),"")</f>
        <v/>
      </c>
      <c r="H393" s="17"/>
      <c r="I393" s="71" t="str">
        <f>IFERROR(VLOOKUP(H393,fixed_expenses4[],2,0),"")</f>
        <v/>
      </c>
      <c r="J393" s="17"/>
      <c r="K393" s="71" t="str">
        <f>IFERROR(VLOOKUP(J393,fixed_expenses4[],2,0),"")</f>
        <v/>
      </c>
      <c r="L393" s="80" t="s">
        <v>388</v>
      </c>
      <c r="M393" s="71">
        <f>IFERROR(VLOOKUP(L393,fixed_expenses4[],2,0),"")</f>
        <v>770</v>
      </c>
      <c r="N393" s="17"/>
      <c r="O393" s="71" t="str">
        <f>IFERROR(VLOOKUP(N393,fixed_expenses4[],2,0),"")</f>
        <v/>
      </c>
      <c r="P393" s="22"/>
    </row>
    <row r="394" spans="1:16" ht="11.25" customHeight="1" x14ac:dyDescent="0.2">
      <c r="B394" s="17"/>
      <c r="C394" s="71" t="str">
        <f>IFERROR(VLOOKUP(B394,fixed_expenses4[],2,0),"")</f>
        <v/>
      </c>
      <c r="D394" s="17"/>
      <c r="E394" s="71" t="str">
        <f>IFERROR(VLOOKUP(D394,fixed_expenses4[],2,0),"")</f>
        <v/>
      </c>
      <c r="F394" s="17"/>
      <c r="G394" s="71" t="str">
        <f>IFERROR(VLOOKUP(F394,fixed_expenses4[],2,0),"")</f>
        <v/>
      </c>
      <c r="H394" s="17"/>
      <c r="I394" s="71" t="str">
        <f>IFERROR(VLOOKUP(H394,fixed_expenses4[],2,0),"")</f>
        <v/>
      </c>
      <c r="J394" s="17"/>
      <c r="K394" s="71" t="str">
        <f>IFERROR(VLOOKUP(J394,fixed_expenses4[],2,0),"")</f>
        <v/>
      </c>
      <c r="L394" s="17"/>
      <c r="M394" s="71" t="str">
        <f>IFERROR(VLOOKUP(L394,fixed_expenses4[],2,0),"")</f>
        <v/>
      </c>
      <c r="N394" s="17"/>
      <c r="O394" s="71" t="str">
        <f>IFERROR(VLOOKUP(N394,fixed_expenses4[],2,0),"")</f>
        <v/>
      </c>
      <c r="P394" s="22"/>
    </row>
    <row r="395" spans="1:16" ht="11.25" customHeight="1" x14ac:dyDescent="0.2">
      <c r="B395" s="17"/>
      <c r="C395" s="71" t="str">
        <f>IFERROR(VLOOKUP(B395,fixed_expenses4[],2,0),"")</f>
        <v/>
      </c>
      <c r="D395" s="17"/>
      <c r="E395" s="71" t="str">
        <f>IFERROR(VLOOKUP(D395,fixed_expenses4[],2,0),"")</f>
        <v/>
      </c>
      <c r="F395" s="17"/>
      <c r="G395" s="71" t="str">
        <f>IFERROR(VLOOKUP(F395,fixed_expenses4[],2,0),"")</f>
        <v/>
      </c>
      <c r="H395" s="17"/>
      <c r="I395" s="71" t="str">
        <f>IFERROR(VLOOKUP(H395,fixed_expenses4[],2,0),"")</f>
        <v/>
      </c>
      <c r="J395" s="17"/>
      <c r="K395" s="71" t="str">
        <f>IFERROR(VLOOKUP(J395,fixed_expenses4[],2,0),"")</f>
        <v/>
      </c>
      <c r="L395" s="17"/>
      <c r="M395" s="71" t="str">
        <f>IFERROR(VLOOKUP(L395,fixed_expenses4[],2,0),"")</f>
        <v/>
      </c>
      <c r="N395" s="17"/>
      <c r="O395" s="71" t="str">
        <f>IFERROR(VLOOKUP(N395,fixed_expenses4[],2,0),"")</f>
        <v/>
      </c>
      <c r="P395" s="22"/>
    </row>
    <row r="396" spans="1:16" ht="11.25" customHeight="1" x14ac:dyDescent="0.2">
      <c r="B396" s="17"/>
      <c r="C396" s="71" t="str">
        <f>IFERROR(VLOOKUP(B396,fixed_expenses4[],2,0),"")</f>
        <v/>
      </c>
      <c r="D396" s="17"/>
      <c r="E396" s="71" t="str">
        <f>IFERROR(VLOOKUP(D396,fixed_expenses4[],2,0),"")</f>
        <v/>
      </c>
      <c r="F396" s="17"/>
      <c r="G396" s="71" t="str">
        <f>IFERROR(VLOOKUP(F396,fixed_expenses4[],2,0),"")</f>
        <v/>
      </c>
      <c r="H396" s="17"/>
      <c r="I396" s="71" t="str">
        <f>IFERROR(VLOOKUP(H396,fixed_expenses4[],2,0),"")</f>
        <v/>
      </c>
      <c r="J396" s="17"/>
      <c r="K396" s="71" t="str">
        <f>IFERROR(VLOOKUP(J396,fixed_expenses4[],2,0),"")</f>
        <v/>
      </c>
      <c r="L396" s="17"/>
      <c r="M396" s="71" t="str">
        <f>IFERROR(VLOOKUP(L396,fixed_expenses4[],2,0),"")</f>
        <v/>
      </c>
      <c r="N396" s="17"/>
      <c r="O396" s="71" t="str">
        <f>IFERROR(VLOOKUP(N396,fixed_expenses4[],2,0),"")</f>
        <v/>
      </c>
      <c r="P396" s="22"/>
    </row>
    <row r="397" spans="1:16" ht="11.25" customHeight="1" x14ac:dyDescent="0.2">
      <c r="A397" s="43" t="s">
        <v>316</v>
      </c>
      <c r="B397" s="26" t="s">
        <v>8</v>
      </c>
      <c r="C397" s="27">
        <f>SUM(C392:C396)</f>
        <v>0</v>
      </c>
      <c r="D397" s="26"/>
      <c r="E397" s="27">
        <f>SUM(E392:E396)</f>
        <v>0</v>
      </c>
      <c r="F397" s="26"/>
      <c r="G397" s="27">
        <f>SUM(G392:G396)</f>
        <v>0</v>
      </c>
      <c r="H397" s="18"/>
      <c r="I397" s="27">
        <f>SUM(I392:I396)</f>
        <v>0</v>
      </c>
      <c r="J397" s="18"/>
      <c r="K397" s="27">
        <f>SUM(K392:K396)</f>
        <v>0</v>
      </c>
      <c r="L397" s="18"/>
      <c r="M397" s="27">
        <f>SUM(M392:M396)</f>
        <v>1570</v>
      </c>
      <c r="N397" s="18"/>
      <c r="O397" s="28">
        <f>SUM(O392:O396)</f>
        <v>0</v>
      </c>
      <c r="P397" s="29">
        <f ca="1">SUMIF(B390:N390,"&gt;="&amp;15,C397:O397)</f>
        <v>1570</v>
      </c>
    </row>
    <row r="398" spans="1:16" x14ac:dyDescent="0.2">
      <c r="B398" s="6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6"/>
    </row>
    <row r="399" spans="1:16" ht="15" customHeight="1" x14ac:dyDescent="0.2">
      <c r="A399" s="43" t="s">
        <v>259</v>
      </c>
      <c r="B399" s="12">
        <f ca="1">DAY(IF(DAY(JulSun1)=1,JulSun1+29,JulSun1+36))</f>
        <v>1</v>
      </c>
      <c r="C399" s="11"/>
      <c r="D399" s="12">
        <f ca="1">DAY(IF(DAY(JulSun1)=1,JulSun1+30,JulSun1+37))</f>
        <v>2</v>
      </c>
      <c r="E399" s="13"/>
      <c r="F399" s="10">
        <f ca="1">DAY(IF(DAY(JulSun1)=1,JulSun1+31,JulSun1+38))</f>
        <v>3</v>
      </c>
      <c r="G399" s="13"/>
      <c r="H399" s="12">
        <f ca="1">DAY(IF(DAY(JulSun1)=1,JulSun1+32,JulSun1+39))</f>
        <v>4</v>
      </c>
      <c r="I399" s="13"/>
      <c r="J399" s="12">
        <f ca="1">DAY(IF(DAY(JulSun1)=1,JulSun1+33,JulSun1+40))</f>
        <v>5</v>
      </c>
      <c r="K399" s="13"/>
      <c r="L399" s="12">
        <f ca="1">DAY(IF(DAY(JulSun1)=1,JulSun1+34,JulSun1+41))</f>
        <v>6</v>
      </c>
      <c r="M399" s="13"/>
      <c r="N399" s="12">
        <f ca="1">DAY(IF(DAY(JulSun1)=1,JulSun1+35,JulSun1+42))</f>
        <v>7</v>
      </c>
      <c r="O399" s="13"/>
      <c r="P399" s="25"/>
    </row>
    <row r="400" spans="1:16" ht="11.25" customHeight="1" x14ac:dyDescent="0.2">
      <c r="A400" s="43" t="s">
        <v>148</v>
      </c>
      <c r="B400" s="37" t="s">
        <v>9</v>
      </c>
      <c r="C400" s="39" t="s">
        <v>10</v>
      </c>
      <c r="D400" s="37" t="s">
        <v>9</v>
      </c>
      <c r="E400" s="39" t="s">
        <v>10</v>
      </c>
      <c r="F400" s="37" t="s">
        <v>9</v>
      </c>
      <c r="G400" s="39" t="s">
        <v>10</v>
      </c>
      <c r="H400" s="37" t="s">
        <v>9</v>
      </c>
      <c r="I400" s="39" t="s">
        <v>10</v>
      </c>
      <c r="J400" s="37" t="s">
        <v>9</v>
      </c>
      <c r="K400" s="39" t="s">
        <v>10</v>
      </c>
      <c r="L400" s="37" t="s">
        <v>9</v>
      </c>
      <c r="M400" s="39" t="s">
        <v>10</v>
      </c>
      <c r="N400" s="37" t="s">
        <v>9</v>
      </c>
      <c r="O400" s="40" t="s">
        <v>10</v>
      </c>
      <c r="P400" s="22"/>
    </row>
    <row r="401" spans="1:16" ht="11.25" customHeight="1" x14ac:dyDescent="0.2">
      <c r="A401" s="43" t="s">
        <v>206</v>
      </c>
      <c r="B401" s="17"/>
      <c r="C401" s="71" t="str">
        <f>IFERROR(VLOOKUP(B401,fixed_expenses4[],2,0),"")</f>
        <v/>
      </c>
      <c r="D401" s="17"/>
      <c r="E401" s="71" t="str">
        <f>IFERROR(VLOOKUP(D401,fixed_expenses4[],2,0),"")</f>
        <v/>
      </c>
      <c r="F401" s="17"/>
      <c r="G401" s="71" t="str">
        <f>IFERROR(VLOOKUP(F401,fixed_expenses4[],2,0),"")</f>
        <v/>
      </c>
      <c r="H401" s="17"/>
      <c r="I401" s="71" t="str">
        <f>IFERROR(VLOOKUP(H401,fixed_expenses4[],2,0),"")</f>
        <v/>
      </c>
      <c r="J401" s="17"/>
      <c r="K401" s="71" t="str">
        <f>IFERROR(VLOOKUP(J401,fixed_expenses4[],2,0),"")</f>
        <v/>
      </c>
      <c r="L401" s="17"/>
      <c r="M401" s="71" t="str">
        <f>IFERROR(VLOOKUP(L401,fixed_expenses4[],2,0),"")</f>
        <v/>
      </c>
      <c r="N401" s="17"/>
      <c r="O401" s="71" t="str">
        <f>IFERROR(VLOOKUP(N401,fixed_expenses4[],2,0),"")</f>
        <v/>
      </c>
      <c r="P401" s="22"/>
    </row>
    <row r="402" spans="1:16" ht="11.25" customHeight="1" x14ac:dyDescent="0.2">
      <c r="B402" s="17"/>
      <c r="C402" s="71" t="str">
        <f>IFERROR(VLOOKUP(B402,fixed_expenses4[],2,0),"")</f>
        <v/>
      </c>
      <c r="D402" s="17"/>
      <c r="E402" s="71" t="str">
        <f>IFERROR(VLOOKUP(D402,fixed_expenses4[],2,0),"")</f>
        <v/>
      </c>
      <c r="F402" s="17"/>
      <c r="G402" s="71" t="str">
        <f>IFERROR(VLOOKUP(F402,fixed_expenses4[],2,0),"")</f>
        <v/>
      </c>
      <c r="H402" s="17"/>
      <c r="I402" s="71" t="str">
        <f>IFERROR(VLOOKUP(H402,fixed_expenses4[],2,0),"")</f>
        <v/>
      </c>
      <c r="J402" s="17"/>
      <c r="K402" s="71" t="str">
        <f>IFERROR(VLOOKUP(J402,fixed_expenses4[],2,0),"")</f>
        <v/>
      </c>
      <c r="L402" s="17"/>
      <c r="M402" s="71" t="str">
        <f>IFERROR(VLOOKUP(L402,fixed_expenses4[],2,0),"")</f>
        <v/>
      </c>
      <c r="N402" s="17"/>
      <c r="O402" s="71" t="str">
        <f>IFERROR(VLOOKUP(N402,fixed_expenses4[],2,0),"")</f>
        <v/>
      </c>
      <c r="P402" s="22"/>
    </row>
    <row r="403" spans="1:16" ht="11.25" customHeight="1" x14ac:dyDescent="0.2">
      <c r="B403" s="17"/>
      <c r="C403" s="71" t="str">
        <f>IFERROR(VLOOKUP(B403,fixed_expenses4[],2,0),"")</f>
        <v/>
      </c>
      <c r="D403" s="17"/>
      <c r="E403" s="71" t="str">
        <f>IFERROR(VLOOKUP(D403,fixed_expenses4[],2,0),"")</f>
        <v/>
      </c>
      <c r="F403" s="17"/>
      <c r="G403" s="71" t="str">
        <f>IFERROR(VLOOKUP(F403,fixed_expenses4[],2,0),"")</f>
        <v/>
      </c>
      <c r="H403" s="17"/>
      <c r="I403" s="71" t="str">
        <f>IFERROR(VLOOKUP(H403,fixed_expenses4[],2,0),"")</f>
        <v/>
      </c>
      <c r="J403" s="17"/>
      <c r="K403" s="71" t="str">
        <f>IFERROR(VLOOKUP(J403,fixed_expenses4[],2,0),"")</f>
        <v/>
      </c>
      <c r="L403" s="17"/>
      <c r="M403" s="71" t="str">
        <f>IFERROR(VLOOKUP(L403,fixed_expenses4[],2,0),"")</f>
        <v/>
      </c>
      <c r="N403" s="17"/>
      <c r="O403" s="71" t="str">
        <f>IFERROR(VLOOKUP(N403,fixed_expenses4[],2,0),"")</f>
        <v/>
      </c>
      <c r="P403" s="22"/>
    </row>
    <row r="404" spans="1:16" ht="11.25" customHeight="1" x14ac:dyDescent="0.2">
      <c r="B404" s="17"/>
      <c r="C404" s="71" t="str">
        <f>IFERROR(VLOOKUP(B404,fixed_expenses4[],2,0),"")</f>
        <v/>
      </c>
      <c r="D404" s="17"/>
      <c r="E404" s="71" t="str">
        <f>IFERROR(VLOOKUP(D404,fixed_expenses4[],2,0),"")</f>
        <v/>
      </c>
      <c r="F404" s="17"/>
      <c r="G404" s="71" t="str">
        <f>IFERROR(VLOOKUP(F404,fixed_expenses4[],2,0),"")</f>
        <v/>
      </c>
      <c r="H404" s="17"/>
      <c r="I404" s="71" t="str">
        <f>IFERROR(VLOOKUP(H404,fixed_expenses4[],2,0),"")</f>
        <v/>
      </c>
      <c r="J404" s="17"/>
      <c r="K404" s="71" t="str">
        <f>IFERROR(VLOOKUP(J404,fixed_expenses4[],2,0),"")</f>
        <v/>
      </c>
      <c r="L404" s="17"/>
      <c r="M404" s="71" t="str">
        <f>IFERROR(VLOOKUP(L404,fixed_expenses4[],2,0),"")</f>
        <v/>
      </c>
      <c r="N404" s="17"/>
      <c r="O404" s="71" t="str">
        <f>IFERROR(VLOOKUP(N404,fixed_expenses4[],2,0),"")</f>
        <v/>
      </c>
      <c r="P404" s="22"/>
    </row>
    <row r="405" spans="1:16" ht="11.25" customHeight="1" x14ac:dyDescent="0.2">
      <c r="B405" s="17"/>
      <c r="C405" s="71" t="str">
        <f>IFERROR(VLOOKUP(B405,fixed_expenses4[],2,0),"")</f>
        <v/>
      </c>
      <c r="D405" s="17"/>
      <c r="E405" s="71" t="str">
        <f>IFERROR(VLOOKUP(D405,fixed_expenses4[],2,0),"")</f>
        <v/>
      </c>
      <c r="F405" s="17"/>
      <c r="G405" s="71" t="str">
        <f>IFERROR(VLOOKUP(F405,fixed_expenses4[],2,0),"")</f>
        <v/>
      </c>
      <c r="H405" s="17"/>
      <c r="I405" s="71" t="str">
        <f>IFERROR(VLOOKUP(H405,fixed_expenses4[],2,0),"")</f>
        <v/>
      </c>
      <c r="J405" s="17"/>
      <c r="K405" s="71" t="str">
        <f>IFERROR(VLOOKUP(J405,fixed_expenses4[],2,0),"")</f>
        <v/>
      </c>
      <c r="L405" s="17"/>
      <c r="M405" s="71" t="str">
        <f>IFERROR(VLOOKUP(L405,fixed_expenses4[],2,0),"")</f>
        <v/>
      </c>
      <c r="N405" s="17"/>
      <c r="O405" s="71" t="str">
        <f>IFERROR(VLOOKUP(N405,fixed_expenses4[],2,0),"")</f>
        <v/>
      </c>
      <c r="P405" s="22"/>
    </row>
    <row r="406" spans="1:16" ht="11.25" customHeight="1" x14ac:dyDescent="0.2">
      <c r="A406" s="43" t="s">
        <v>315</v>
      </c>
      <c r="B406" s="26" t="s">
        <v>8</v>
      </c>
      <c r="C406" s="27">
        <f>SUM(C401:C405)</f>
        <v>0</v>
      </c>
      <c r="D406" s="18"/>
      <c r="E406" s="27">
        <f>SUM(E401:E405)</f>
        <v>0</v>
      </c>
      <c r="F406" s="18"/>
      <c r="G406" s="27">
        <f>SUM(G401:G405)</f>
        <v>0</v>
      </c>
      <c r="H406" s="18"/>
      <c r="I406" s="27">
        <f>SUM(I401:I405)</f>
        <v>0</v>
      </c>
      <c r="J406" s="18"/>
      <c r="K406" s="27">
        <f>SUM(K401:K405)</f>
        <v>0</v>
      </c>
      <c r="L406" s="18"/>
      <c r="M406" s="27">
        <f>SUM(M401:M405)</f>
        <v>0</v>
      </c>
      <c r="N406" s="18"/>
      <c r="O406" s="28">
        <f>SUM(O401:O405)</f>
        <v>0</v>
      </c>
      <c r="P406" s="29">
        <f ca="1">SUMIF(B399:N399,"&gt;="&amp;15,C406:O406)</f>
        <v>0</v>
      </c>
    </row>
    <row r="407" spans="1:16" ht="17.25" customHeight="1" x14ac:dyDescent="0.2"/>
    <row r="408" spans="1:16" ht="12" customHeight="1" x14ac:dyDescent="0.2">
      <c r="A408" s="43" t="s">
        <v>84</v>
      </c>
      <c r="B408" s="59" t="s">
        <v>20</v>
      </c>
      <c r="C408" s="59"/>
      <c r="D408" s="59"/>
      <c r="E408" s="59"/>
      <c r="F408"/>
      <c r="G408" s="4"/>
      <c r="H408"/>
      <c r="I408" s="4"/>
      <c r="J408"/>
      <c r="K408" s="4"/>
      <c r="L408" s="45" t="s">
        <v>12</v>
      </c>
      <c r="M408" s="45"/>
      <c r="N408" s="45" t="s">
        <v>13</v>
      </c>
      <c r="O408" s="45"/>
      <c r="P408"/>
    </row>
    <row r="409" spans="1:16" ht="25.5" customHeight="1" x14ac:dyDescent="0.2">
      <c r="A409" s="43" t="s">
        <v>95</v>
      </c>
      <c r="B409" s="59"/>
      <c r="C409" s="59"/>
      <c r="D409" s="59"/>
      <c r="E409" s="59"/>
      <c r="F409" s="3">
        <f ca="1">IFERROR(WEEKDAY(DATEVALUE(B408&amp;" 1, "&amp;Year1)),"")</f>
        <v>1</v>
      </c>
      <c r="G409" s="4"/>
      <c r="H409"/>
      <c r="I409" s="7"/>
      <c r="J409" s="8"/>
      <c r="K409" s="4"/>
      <c r="L409" s="46">
        <f ca="1">SUM(P419,P428,P437,P446,P455,P464)</f>
        <v>4740</v>
      </c>
      <c r="M409" s="47"/>
      <c r="N409" s="46">
        <f ca="1">SUM(P:P)</f>
        <v>62420</v>
      </c>
      <c r="O409" s="48"/>
      <c r="P409"/>
    </row>
    <row r="410" spans="1:16" ht="9" customHeight="1" x14ac:dyDescent="0.2">
      <c r="A410" s="43" t="s">
        <v>356</v>
      </c>
      <c r="B410" s="50">
        <v>1</v>
      </c>
      <c r="C410" s="50"/>
      <c r="D410" s="50">
        <v>2</v>
      </c>
      <c r="E410" s="50"/>
      <c r="F410" s="50">
        <v>3</v>
      </c>
      <c r="G410" s="50"/>
      <c r="H410" s="50">
        <v>4</v>
      </c>
      <c r="I410" s="50"/>
      <c r="J410" s="50">
        <v>5</v>
      </c>
      <c r="K410" s="50"/>
      <c r="L410" s="50">
        <v>6</v>
      </c>
      <c r="M410" s="50"/>
      <c r="N410" s="50">
        <v>7</v>
      </c>
      <c r="O410" s="50"/>
      <c r="P410" s="2"/>
    </row>
    <row r="411" spans="1:16" ht="15" customHeight="1" x14ac:dyDescent="0.2">
      <c r="A411" s="43" t="s">
        <v>104</v>
      </c>
      <c r="B411" s="60" t="s">
        <v>0</v>
      </c>
      <c r="C411" s="61"/>
      <c r="D411" s="62" t="s">
        <v>1</v>
      </c>
      <c r="E411" s="63" t="e">
        <f ca="1">IF(WEEKDAY(DATEVALUE(Month1&amp;" 1, "&amp;Year1))=COLUMN(#REF!),1,IF(LEN(C411)&gt;0,C411+1,""))</f>
        <v>#VALUE!</v>
      </c>
      <c r="F411" s="61" t="s">
        <v>2</v>
      </c>
      <c r="G411" s="61" t="e">
        <f ca="1">IF(WEEKDAY(DATEVALUE(Month1&amp;" 1, "&amp;Year1))=COLUMN(#REF!),1,IF(LEN(E411)&gt;0,E411+1,""))</f>
        <v>#VALUE!</v>
      </c>
      <c r="H411" s="62" t="s">
        <v>3</v>
      </c>
      <c r="I411" s="63" t="e">
        <f ca="1">IF(WEEKDAY(DATEVALUE(Month1&amp;" 1, "&amp;Year1))=COLUMN(#REF!),1,IF(LEN(G411)&gt;0,G411+1,""))</f>
        <v>#VALUE!</v>
      </c>
      <c r="J411" s="64" t="s">
        <v>4</v>
      </c>
      <c r="K411" s="65" t="e">
        <f ca="1">IF(WEEKDAY(DATEVALUE(Month1&amp;" 1, "&amp;Year1))=COLUMN(#REF!),1,IF(LEN(I411)&gt;0,I411+1,""))</f>
        <v>#VALUE!</v>
      </c>
      <c r="L411" s="66" t="s">
        <v>5</v>
      </c>
      <c r="M411" s="67" t="e">
        <f ca="1">IF(WEEKDAY(DATEVALUE(Month1&amp;" 1, "&amp;Year1))=COLUMN(#REF!),1,IF(LEN(K411)&gt;0,K411+1,""))</f>
        <v>#VALUE!</v>
      </c>
      <c r="N411" s="66" t="s">
        <v>6</v>
      </c>
      <c r="O411" s="67" t="e">
        <f ca="1">IF(WEEKDAY(DATEVALUE(Month1&amp;" 1, "&amp;Year1))=COLUMN(#REF!),1,IF(LEN(M411)&gt;0,M411+1,""))</f>
        <v>#VALUE!</v>
      </c>
      <c r="P411" s="42" t="s">
        <v>7</v>
      </c>
    </row>
    <row r="412" spans="1:16" ht="15" customHeight="1" x14ac:dyDescent="0.2">
      <c r="A412" s="43" t="s">
        <v>113</v>
      </c>
      <c r="B412" s="14">
        <f ca="1">DAY(IF(DAY(AugSun1)=1,AugSun1-6,AugSun1+1))</f>
        <v>1</v>
      </c>
      <c r="C412" s="16"/>
      <c r="D412" s="19">
        <f ca="1">DAY(IF(DAY(AugSun1)=1,AugSun1-5,AugSun1+2))</f>
        <v>2</v>
      </c>
      <c r="E412" s="16"/>
      <c r="F412" s="19">
        <f ca="1">DAY(IF(DAY(AugSun1)=1,AugSun1-4,AugSun1+3))</f>
        <v>3</v>
      </c>
      <c r="G412" s="16"/>
      <c r="H412" s="19">
        <f ca="1">DAY(IF(DAY(AugSun1)=1,AugSun1-3,AugSun1+4))</f>
        <v>4</v>
      </c>
      <c r="I412" s="16"/>
      <c r="J412" s="19">
        <f ca="1">DAY(IF(DAY(AugSun1)=1,AugSun1-2,AugSun1+5))</f>
        <v>5</v>
      </c>
      <c r="K412" s="16"/>
      <c r="L412" s="19">
        <f ca="1">DAY(IF(DAY(AugSun1)=1,AugSun1-1,AugSun1+6))</f>
        <v>6</v>
      </c>
      <c r="M412" s="16"/>
      <c r="N412" s="20">
        <f ca="1">DAY(IF(DAY(AugSun1)=1,AugSun1,AugSun1+7))</f>
        <v>7</v>
      </c>
      <c r="O412" s="15"/>
      <c r="P412" s="21"/>
    </row>
    <row r="413" spans="1:16" ht="11.25" customHeight="1" x14ac:dyDescent="0.2">
      <c r="A413" s="43" t="s">
        <v>147</v>
      </c>
      <c r="B413" s="41" t="s">
        <v>9</v>
      </c>
      <c r="C413" s="36" t="s">
        <v>10</v>
      </c>
      <c r="D413" s="35" t="s">
        <v>9</v>
      </c>
      <c r="E413" s="36" t="s">
        <v>10</v>
      </c>
      <c r="F413" s="35" t="s">
        <v>9</v>
      </c>
      <c r="G413" s="36" t="s">
        <v>10</v>
      </c>
      <c r="H413" s="35" t="s">
        <v>9</v>
      </c>
      <c r="I413" s="36" t="s">
        <v>10</v>
      </c>
      <c r="J413" s="35" t="s">
        <v>9</v>
      </c>
      <c r="K413" s="36" t="s">
        <v>10</v>
      </c>
      <c r="L413" s="35" t="s">
        <v>9</v>
      </c>
      <c r="M413" s="36" t="s">
        <v>10</v>
      </c>
      <c r="N413" s="37" t="s">
        <v>9</v>
      </c>
      <c r="O413" s="38" t="s">
        <v>10</v>
      </c>
      <c r="P413" s="22"/>
    </row>
    <row r="414" spans="1:16" ht="11.25" customHeight="1" x14ac:dyDescent="0.2">
      <c r="A414" s="43" t="s">
        <v>207</v>
      </c>
      <c r="B414" s="17"/>
      <c r="C414" s="71" t="str">
        <f>IFERROR(VLOOKUP(B414,fixed_expenses4[],2,0),"")</f>
        <v/>
      </c>
      <c r="D414" s="17"/>
      <c r="E414" s="71" t="str">
        <f>IFERROR(VLOOKUP(D414,fixed_expenses4[],2,0),"")</f>
        <v/>
      </c>
      <c r="F414" s="17"/>
      <c r="G414" s="71" t="str">
        <f>IFERROR(VLOOKUP(F414,fixed_expenses4[],2,0),"")</f>
        <v/>
      </c>
      <c r="H414" s="17"/>
      <c r="I414" s="71" t="str">
        <f>IFERROR(VLOOKUP(H414,fixed_expenses4[],2,0),"")</f>
        <v/>
      </c>
      <c r="J414" s="17"/>
      <c r="K414" s="71" t="str">
        <f>IFERROR(VLOOKUP(J414,fixed_expenses4[],2,0),"")</f>
        <v/>
      </c>
      <c r="L414" s="17" t="s">
        <v>387</v>
      </c>
      <c r="M414" s="71">
        <f>IFERROR(VLOOKUP(L414,fixed_expenses4[],2,0),"")</f>
        <v>800</v>
      </c>
      <c r="N414" s="17"/>
      <c r="O414" s="71" t="str">
        <f>IFERROR(VLOOKUP(N414,fixed_expenses4[],2,0),"")</f>
        <v/>
      </c>
      <c r="P414" s="22"/>
    </row>
    <row r="415" spans="1:16" ht="11.25" customHeight="1" x14ac:dyDescent="0.2">
      <c r="B415" s="17"/>
      <c r="C415" s="71" t="str">
        <f>IFERROR(VLOOKUP(B415,fixed_expenses4[],2,0),"")</f>
        <v/>
      </c>
      <c r="D415" s="17"/>
      <c r="E415" s="71" t="str">
        <f>IFERROR(VLOOKUP(D415,fixed_expenses4[],2,0),"")</f>
        <v/>
      </c>
      <c r="F415" s="17"/>
      <c r="G415" s="71" t="str">
        <f>IFERROR(VLOOKUP(F415,fixed_expenses4[],2,0),"")</f>
        <v/>
      </c>
      <c r="H415" s="17"/>
      <c r="I415" s="71" t="str">
        <f>IFERROR(VLOOKUP(H415,fixed_expenses4[],2,0),"")</f>
        <v/>
      </c>
      <c r="J415" s="17"/>
      <c r="K415" s="71" t="str">
        <f>IFERROR(VLOOKUP(J415,fixed_expenses4[],2,0),"")</f>
        <v/>
      </c>
      <c r="L415" s="17"/>
      <c r="M415" s="71" t="str">
        <f>IFERROR(VLOOKUP(L415,fixed_expenses4[],2,0),"")</f>
        <v/>
      </c>
      <c r="N415" s="17"/>
      <c r="O415" s="71" t="str">
        <f>IFERROR(VLOOKUP(N415,fixed_expenses4[],2,0),"")</f>
        <v/>
      </c>
      <c r="P415" s="22"/>
    </row>
    <row r="416" spans="1:16" ht="11.25" customHeight="1" x14ac:dyDescent="0.2">
      <c r="B416" s="17"/>
      <c r="C416" s="71" t="str">
        <f>IFERROR(VLOOKUP(B416,fixed_expenses4[],2,0),"")</f>
        <v/>
      </c>
      <c r="D416" s="17"/>
      <c r="E416" s="71" t="str">
        <f>IFERROR(VLOOKUP(D416,fixed_expenses4[],2,0),"")</f>
        <v/>
      </c>
      <c r="F416" s="17"/>
      <c r="G416" s="71" t="str">
        <f>IFERROR(VLOOKUP(F416,fixed_expenses4[],2,0),"")</f>
        <v/>
      </c>
      <c r="H416" s="17"/>
      <c r="I416" s="71" t="str">
        <f>IFERROR(VLOOKUP(H416,fixed_expenses4[],2,0),"")</f>
        <v/>
      </c>
      <c r="J416" s="17"/>
      <c r="K416" s="71" t="str">
        <f>IFERROR(VLOOKUP(J416,fixed_expenses4[],2,0),"")</f>
        <v/>
      </c>
      <c r="L416" s="17"/>
      <c r="M416" s="71" t="str">
        <f>IFERROR(VLOOKUP(L416,fixed_expenses4[],2,0),"")</f>
        <v/>
      </c>
      <c r="N416" s="17"/>
      <c r="O416" s="71" t="str">
        <f>IFERROR(VLOOKUP(N416,fixed_expenses4[],2,0),"")</f>
        <v/>
      </c>
      <c r="P416" s="22"/>
    </row>
    <row r="417" spans="1:16" ht="11.25" customHeight="1" x14ac:dyDescent="0.2">
      <c r="B417" s="17"/>
      <c r="C417" s="71" t="str">
        <f>IFERROR(VLOOKUP(B417,fixed_expenses4[],2,0),"")</f>
        <v/>
      </c>
      <c r="D417" s="17"/>
      <c r="E417" s="71" t="str">
        <f>IFERROR(VLOOKUP(D417,fixed_expenses4[],2,0),"")</f>
        <v/>
      </c>
      <c r="F417" s="17"/>
      <c r="G417" s="71" t="str">
        <f>IFERROR(VLOOKUP(F417,fixed_expenses4[],2,0),"")</f>
        <v/>
      </c>
      <c r="H417" s="17"/>
      <c r="I417" s="71" t="str">
        <f>IFERROR(VLOOKUP(H417,fixed_expenses4[],2,0),"")</f>
        <v/>
      </c>
      <c r="J417" s="17"/>
      <c r="K417" s="71" t="str">
        <f>IFERROR(VLOOKUP(J417,fixed_expenses4[],2,0),"")</f>
        <v/>
      </c>
      <c r="L417" s="17"/>
      <c r="M417" s="71" t="str">
        <f>IFERROR(VLOOKUP(L417,fixed_expenses4[],2,0),"")</f>
        <v/>
      </c>
      <c r="N417" s="17"/>
      <c r="O417" s="71" t="str">
        <f>IFERROR(VLOOKUP(N417,fixed_expenses4[],2,0),"")</f>
        <v/>
      </c>
      <c r="P417" s="22"/>
    </row>
    <row r="418" spans="1:16" ht="11.25" customHeight="1" x14ac:dyDescent="0.2">
      <c r="B418" s="17"/>
      <c r="C418" s="71" t="str">
        <f>IFERROR(VLOOKUP(B418,fixed_expenses4[],2,0),"")</f>
        <v/>
      </c>
      <c r="D418" s="17"/>
      <c r="E418" s="71" t="str">
        <f>IFERROR(VLOOKUP(D418,fixed_expenses4[],2,0),"")</f>
        <v/>
      </c>
      <c r="F418" s="17"/>
      <c r="G418" s="71" t="str">
        <f>IFERROR(VLOOKUP(F418,fixed_expenses4[],2,0),"")</f>
        <v/>
      </c>
      <c r="H418" s="17"/>
      <c r="I418" s="71" t="str">
        <f>IFERROR(VLOOKUP(H418,fixed_expenses4[],2,0),"")</f>
        <v/>
      </c>
      <c r="J418" s="17"/>
      <c r="K418" s="71" t="str">
        <f>IFERROR(VLOOKUP(J418,fixed_expenses4[],2,0),"")</f>
        <v/>
      </c>
      <c r="L418" s="17"/>
      <c r="M418" s="71" t="str">
        <f>IFERROR(VLOOKUP(L418,fixed_expenses4[],2,0),"")</f>
        <v/>
      </c>
      <c r="N418" s="17"/>
      <c r="O418" s="71" t="str">
        <f>IFERROR(VLOOKUP(N418,fixed_expenses4[],2,0),"")</f>
        <v/>
      </c>
      <c r="P418" s="22"/>
    </row>
    <row r="419" spans="1:16" ht="11.25" customHeight="1" x14ac:dyDescent="0.2">
      <c r="A419" s="43" t="s">
        <v>314</v>
      </c>
      <c r="B419" s="26" t="s">
        <v>8</v>
      </c>
      <c r="C419" s="27">
        <f>SUM(C414:C418)</f>
        <v>0</v>
      </c>
      <c r="D419" s="18"/>
      <c r="E419" s="27">
        <f>SUM(E414:E418)</f>
        <v>0</v>
      </c>
      <c r="F419" s="18"/>
      <c r="G419" s="27">
        <f>SUM(G414:G418)</f>
        <v>0</v>
      </c>
      <c r="H419" s="26"/>
      <c r="I419" s="27">
        <f>SUM(I414:I418)</f>
        <v>0</v>
      </c>
      <c r="J419" s="26"/>
      <c r="K419" s="27">
        <f>SUM(K414:K418)</f>
        <v>0</v>
      </c>
      <c r="L419" s="26"/>
      <c r="M419" s="27">
        <f>SUM(M414:M418)</f>
        <v>800</v>
      </c>
      <c r="N419" s="26"/>
      <c r="O419" s="28">
        <f>SUM(O414:O418)</f>
        <v>0</v>
      </c>
      <c r="P419" s="29">
        <f ca="1">SUMIF(B412:N412,"&lt;8",C419:O419)</f>
        <v>800</v>
      </c>
    </row>
    <row r="420" spans="1:16" x14ac:dyDescent="0.2">
      <c r="B420" s="6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6"/>
    </row>
    <row r="421" spans="1:16" ht="15" customHeight="1" x14ac:dyDescent="0.2">
      <c r="A421" s="43" t="s">
        <v>260</v>
      </c>
      <c r="B421" s="12">
        <f ca="1">N412+1</f>
        <v>8</v>
      </c>
      <c r="C421" s="13"/>
      <c r="D421" s="12">
        <f ca="1">B421+1</f>
        <v>9</v>
      </c>
      <c r="E421" s="13"/>
      <c r="F421" s="12">
        <f ca="1">D421+1</f>
        <v>10</v>
      </c>
      <c r="G421" s="13"/>
      <c r="H421" s="12">
        <f ca="1">F421+1</f>
        <v>11</v>
      </c>
      <c r="I421" s="13"/>
      <c r="J421" s="12">
        <f ca="1">H421+1</f>
        <v>12</v>
      </c>
      <c r="K421" s="13"/>
      <c r="L421" s="12">
        <f ca="1">J421+1</f>
        <v>13</v>
      </c>
      <c r="M421" s="13"/>
      <c r="N421" s="12">
        <f ca="1">L421+1</f>
        <v>14</v>
      </c>
      <c r="O421" s="13"/>
      <c r="P421" s="23"/>
    </row>
    <row r="422" spans="1:16" ht="11.25" customHeight="1" x14ac:dyDescent="0.2">
      <c r="A422" s="43" t="s">
        <v>146</v>
      </c>
      <c r="B422" s="37" t="s">
        <v>9</v>
      </c>
      <c r="C422" s="39" t="s">
        <v>10</v>
      </c>
      <c r="D422" s="37" t="s">
        <v>9</v>
      </c>
      <c r="E422" s="39" t="s">
        <v>10</v>
      </c>
      <c r="F422" s="37" t="s">
        <v>9</v>
      </c>
      <c r="G422" s="39" t="s">
        <v>10</v>
      </c>
      <c r="H422" s="37" t="s">
        <v>9</v>
      </c>
      <c r="I422" s="39" t="s">
        <v>10</v>
      </c>
      <c r="J422" s="37" t="s">
        <v>9</v>
      </c>
      <c r="K422" s="39" t="s">
        <v>10</v>
      </c>
      <c r="L422" s="37" t="s">
        <v>9</v>
      </c>
      <c r="M422" s="39" t="s">
        <v>10</v>
      </c>
      <c r="N422" s="37" t="s">
        <v>9</v>
      </c>
      <c r="O422" s="40" t="s">
        <v>10</v>
      </c>
      <c r="P422" s="22"/>
    </row>
    <row r="423" spans="1:16" ht="11.25" customHeight="1" x14ac:dyDescent="0.2">
      <c r="A423" s="43" t="s">
        <v>208</v>
      </c>
      <c r="B423" s="17"/>
      <c r="C423" s="71" t="str">
        <f>IFERROR(VLOOKUP(B423,fixed_expenses4[],2,0),"")</f>
        <v/>
      </c>
      <c r="D423" s="17"/>
      <c r="E423" s="71" t="str">
        <f>IFERROR(VLOOKUP(D423,fixed_expenses4[],2,0),"")</f>
        <v/>
      </c>
      <c r="F423" s="17"/>
      <c r="G423" s="71" t="str">
        <f>IFERROR(VLOOKUP(F423,fixed_expenses4[],2,0),"")</f>
        <v/>
      </c>
      <c r="H423" s="17"/>
      <c r="I423" s="71" t="str">
        <f>IFERROR(VLOOKUP(H423,fixed_expenses4[],2,0),"")</f>
        <v/>
      </c>
      <c r="J423" s="17"/>
      <c r="K423" s="71" t="str">
        <f>IFERROR(VLOOKUP(J423,fixed_expenses4[],2,0),"")</f>
        <v/>
      </c>
      <c r="L423" s="17" t="s">
        <v>387</v>
      </c>
      <c r="M423" s="71">
        <f>IFERROR(VLOOKUP(L423,fixed_expenses4[],2,0),"")</f>
        <v>800</v>
      </c>
      <c r="N423" s="17"/>
      <c r="O423" s="71" t="str">
        <f>IFERROR(VLOOKUP(N423,fixed_expenses4[],2,0),"")</f>
        <v/>
      </c>
      <c r="P423" s="22"/>
    </row>
    <row r="424" spans="1:16" ht="11.25" customHeight="1" x14ac:dyDescent="0.2">
      <c r="B424" s="17"/>
      <c r="C424" s="71" t="str">
        <f>IFERROR(VLOOKUP(B424,fixed_expenses4[],2,0),"")</f>
        <v/>
      </c>
      <c r="D424" s="17"/>
      <c r="E424" s="71" t="str">
        <f>IFERROR(VLOOKUP(D424,fixed_expenses4[],2,0),"")</f>
        <v/>
      </c>
      <c r="F424" s="17"/>
      <c r="G424" s="71" t="str">
        <f>IFERROR(VLOOKUP(F424,fixed_expenses4[],2,0),"")</f>
        <v/>
      </c>
      <c r="H424" s="17"/>
      <c r="I424" s="71" t="str">
        <f>IFERROR(VLOOKUP(H424,fixed_expenses4[],2,0),"")</f>
        <v/>
      </c>
      <c r="J424" s="17"/>
      <c r="K424" s="71" t="str">
        <f>IFERROR(VLOOKUP(J424,fixed_expenses4[],2,0),"")</f>
        <v/>
      </c>
      <c r="L424" s="80" t="s">
        <v>388</v>
      </c>
      <c r="M424" s="71">
        <f>IFERROR(VLOOKUP(L424,fixed_expenses4[],2,0),"")</f>
        <v>770</v>
      </c>
      <c r="N424" s="17"/>
      <c r="O424" s="71" t="str">
        <f>IFERROR(VLOOKUP(N424,fixed_expenses4[],2,0),"")</f>
        <v/>
      </c>
      <c r="P424" s="22"/>
    </row>
    <row r="425" spans="1:16" ht="11.25" customHeight="1" x14ac:dyDescent="0.2">
      <c r="B425" s="17"/>
      <c r="C425" s="71" t="str">
        <f>IFERROR(VLOOKUP(B425,fixed_expenses4[],2,0),"")</f>
        <v/>
      </c>
      <c r="D425" s="17"/>
      <c r="E425" s="71" t="str">
        <f>IFERROR(VLOOKUP(D425,fixed_expenses4[],2,0),"")</f>
        <v/>
      </c>
      <c r="F425" s="17"/>
      <c r="G425" s="71" t="str">
        <f>IFERROR(VLOOKUP(F425,fixed_expenses4[],2,0),"")</f>
        <v/>
      </c>
      <c r="H425" s="17"/>
      <c r="I425" s="71" t="str">
        <f>IFERROR(VLOOKUP(H425,fixed_expenses4[],2,0),"")</f>
        <v/>
      </c>
      <c r="J425" s="17"/>
      <c r="K425" s="71" t="str">
        <f>IFERROR(VLOOKUP(J425,fixed_expenses4[],2,0),"")</f>
        <v/>
      </c>
      <c r="L425" s="17"/>
      <c r="M425" s="71" t="str">
        <f>IFERROR(VLOOKUP(L425,fixed_expenses4[],2,0),"")</f>
        <v/>
      </c>
      <c r="N425" s="17"/>
      <c r="O425" s="71" t="str">
        <f>IFERROR(VLOOKUP(N425,fixed_expenses4[],2,0),"")</f>
        <v/>
      </c>
      <c r="P425" s="22"/>
    </row>
    <row r="426" spans="1:16" ht="11.25" customHeight="1" x14ac:dyDescent="0.2">
      <c r="B426" s="17"/>
      <c r="C426" s="71" t="str">
        <f>IFERROR(VLOOKUP(B426,fixed_expenses4[],2,0),"")</f>
        <v/>
      </c>
      <c r="D426" s="17"/>
      <c r="E426" s="71" t="str">
        <f>IFERROR(VLOOKUP(D426,fixed_expenses4[],2,0),"")</f>
        <v/>
      </c>
      <c r="F426" s="17"/>
      <c r="G426" s="71" t="str">
        <f>IFERROR(VLOOKUP(F426,fixed_expenses4[],2,0),"")</f>
        <v/>
      </c>
      <c r="H426" s="17"/>
      <c r="I426" s="71" t="str">
        <f>IFERROR(VLOOKUP(H426,fixed_expenses4[],2,0),"")</f>
        <v/>
      </c>
      <c r="J426" s="17"/>
      <c r="K426" s="71" t="str">
        <f>IFERROR(VLOOKUP(J426,fixed_expenses4[],2,0),"")</f>
        <v/>
      </c>
      <c r="L426" s="17"/>
      <c r="M426" s="71" t="str">
        <f>IFERROR(VLOOKUP(L426,fixed_expenses4[],2,0),"")</f>
        <v/>
      </c>
      <c r="N426" s="17"/>
      <c r="O426" s="71" t="str">
        <f>IFERROR(VLOOKUP(N426,fixed_expenses4[],2,0),"")</f>
        <v/>
      </c>
      <c r="P426" s="22"/>
    </row>
    <row r="427" spans="1:16" ht="11.25" customHeight="1" x14ac:dyDescent="0.2">
      <c r="B427" s="17"/>
      <c r="C427" s="71" t="str">
        <f>IFERROR(VLOOKUP(B427,fixed_expenses4[],2,0),"")</f>
        <v/>
      </c>
      <c r="D427" s="17"/>
      <c r="E427" s="71" t="str">
        <f>IFERROR(VLOOKUP(D427,fixed_expenses4[],2,0),"")</f>
        <v/>
      </c>
      <c r="F427" s="17"/>
      <c r="G427" s="71" t="str">
        <f>IFERROR(VLOOKUP(F427,fixed_expenses4[],2,0),"")</f>
        <v/>
      </c>
      <c r="H427" s="17"/>
      <c r="I427" s="71" t="str">
        <f>IFERROR(VLOOKUP(H427,fixed_expenses4[],2,0),"")</f>
        <v/>
      </c>
      <c r="J427" s="17"/>
      <c r="K427" s="71" t="str">
        <f>IFERROR(VLOOKUP(J427,fixed_expenses4[],2,0),"")</f>
        <v/>
      </c>
      <c r="L427" s="17"/>
      <c r="M427" s="71" t="str">
        <f>IFERROR(VLOOKUP(L427,fixed_expenses4[],2,0),"")</f>
        <v/>
      </c>
      <c r="N427" s="17"/>
      <c r="O427" s="71" t="str">
        <f>IFERROR(VLOOKUP(N427,fixed_expenses4[],2,0),"")</f>
        <v/>
      </c>
      <c r="P427" s="22"/>
    </row>
    <row r="428" spans="1:16" ht="11.25" customHeight="1" x14ac:dyDescent="0.2">
      <c r="A428" s="43" t="s">
        <v>313</v>
      </c>
      <c r="B428" s="26" t="s">
        <v>8</v>
      </c>
      <c r="C428" s="27">
        <f>SUM(C423:C427)</f>
        <v>0</v>
      </c>
      <c r="D428" s="26"/>
      <c r="E428" s="27">
        <f>SUM(E423:E427)</f>
        <v>0</v>
      </c>
      <c r="F428" s="26"/>
      <c r="G428" s="27">
        <f>SUM(G423:G427)</f>
        <v>0</v>
      </c>
      <c r="H428" s="26"/>
      <c r="I428" s="27">
        <f>SUM(I423:I427)</f>
        <v>0</v>
      </c>
      <c r="J428" s="26"/>
      <c r="K428" s="27">
        <f>SUM(K423:K427)</f>
        <v>0</v>
      </c>
      <c r="L428" s="26"/>
      <c r="M428" s="27">
        <f>SUM(M423:M427)</f>
        <v>1570</v>
      </c>
      <c r="N428" s="26"/>
      <c r="O428" s="28">
        <f>SUM(O423:O427)</f>
        <v>0</v>
      </c>
      <c r="P428" s="29">
        <f>SUM(C428,E428,G428,I428,K428,M428,O428)</f>
        <v>1570</v>
      </c>
    </row>
    <row r="429" spans="1:16" x14ac:dyDescent="0.2">
      <c r="B429" s="6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6"/>
    </row>
    <row r="430" spans="1:16" ht="15" customHeight="1" x14ac:dyDescent="0.2">
      <c r="A430" s="43" t="s">
        <v>261</v>
      </c>
      <c r="B430" s="12">
        <f ca="1">N421+1</f>
        <v>15</v>
      </c>
      <c r="C430" s="13"/>
      <c r="D430" s="12">
        <f ca="1">B430+1</f>
        <v>16</v>
      </c>
      <c r="E430" s="13"/>
      <c r="F430" s="12">
        <f ca="1">D430+1</f>
        <v>17</v>
      </c>
      <c r="G430" s="13"/>
      <c r="H430" s="12">
        <f ca="1">F430+1</f>
        <v>18</v>
      </c>
      <c r="I430" s="13"/>
      <c r="J430" s="12">
        <f ca="1">H430+1</f>
        <v>19</v>
      </c>
      <c r="K430" s="13"/>
      <c r="L430" s="12">
        <f ca="1">J430+1</f>
        <v>20</v>
      </c>
      <c r="M430" s="13"/>
      <c r="N430" s="12">
        <f ca="1">L430+1</f>
        <v>21</v>
      </c>
      <c r="O430" s="13"/>
      <c r="P430" s="24"/>
    </row>
    <row r="431" spans="1:16" ht="11.25" customHeight="1" x14ac:dyDescent="0.2">
      <c r="A431" s="43" t="s">
        <v>145</v>
      </c>
      <c r="B431" s="37" t="s">
        <v>9</v>
      </c>
      <c r="C431" s="39" t="s">
        <v>10</v>
      </c>
      <c r="D431" s="37" t="s">
        <v>9</v>
      </c>
      <c r="E431" s="39" t="s">
        <v>10</v>
      </c>
      <c r="F431" s="37" t="s">
        <v>9</v>
      </c>
      <c r="G431" s="39" t="s">
        <v>10</v>
      </c>
      <c r="H431" s="37" t="s">
        <v>9</v>
      </c>
      <c r="I431" s="39" t="s">
        <v>10</v>
      </c>
      <c r="J431" s="37" t="s">
        <v>9</v>
      </c>
      <c r="K431" s="39" t="s">
        <v>10</v>
      </c>
      <c r="L431" s="37" t="s">
        <v>9</v>
      </c>
      <c r="M431" s="39" t="s">
        <v>10</v>
      </c>
      <c r="N431" s="37" t="s">
        <v>9</v>
      </c>
      <c r="O431" s="40" t="s">
        <v>10</v>
      </c>
      <c r="P431" s="22"/>
    </row>
    <row r="432" spans="1:16" ht="11.25" customHeight="1" x14ac:dyDescent="0.2">
      <c r="A432" s="43" t="s">
        <v>209</v>
      </c>
      <c r="B432" s="17"/>
      <c r="C432" s="71" t="str">
        <f>IFERROR(VLOOKUP(B432,fixed_expenses4[],2,0),"")</f>
        <v/>
      </c>
      <c r="D432" s="17"/>
      <c r="E432" s="71" t="str">
        <f>IFERROR(VLOOKUP(D432,fixed_expenses4[],2,0),"")</f>
        <v/>
      </c>
      <c r="F432" s="17"/>
      <c r="G432" s="71" t="str">
        <f>IFERROR(VLOOKUP(F432,fixed_expenses4[],2,0),"")</f>
        <v/>
      </c>
      <c r="H432" s="17"/>
      <c r="I432" s="71" t="str">
        <f>IFERROR(VLOOKUP(H432,fixed_expenses4[],2,0),"")</f>
        <v/>
      </c>
      <c r="J432" s="17"/>
      <c r="K432" s="71" t="str">
        <f>IFERROR(VLOOKUP(J432,fixed_expenses4[],2,0),"")</f>
        <v/>
      </c>
      <c r="L432" s="17" t="s">
        <v>387</v>
      </c>
      <c r="M432" s="71">
        <f>IFERROR(VLOOKUP(L432,fixed_expenses4[],2,0),"")</f>
        <v>800</v>
      </c>
      <c r="N432" s="17"/>
      <c r="O432" s="71" t="str">
        <f>IFERROR(VLOOKUP(N432,fixed_expenses4[],2,0),"")</f>
        <v/>
      </c>
      <c r="P432" s="22"/>
    </row>
    <row r="433" spans="1:16" ht="11.25" customHeight="1" x14ac:dyDescent="0.2">
      <c r="B433" s="17"/>
      <c r="C433" s="71" t="str">
        <f>IFERROR(VLOOKUP(B433,fixed_expenses4[],2,0),"")</f>
        <v/>
      </c>
      <c r="D433" s="17"/>
      <c r="E433" s="71" t="str">
        <f>IFERROR(VLOOKUP(D433,fixed_expenses4[],2,0),"")</f>
        <v/>
      </c>
      <c r="F433" s="17"/>
      <c r="G433" s="71" t="str">
        <f>IFERROR(VLOOKUP(F433,fixed_expenses4[],2,0),"")</f>
        <v/>
      </c>
      <c r="H433" s="17"/>
      <c r="I433" s="71" t="str">
        <f>IFERROR(VLOOKUP(H433,fixed_expenses4[],2,0),"")</f>
        <v/>
      </c>
      <c r="J433" s="17"/>
      <c r="K433" s="71" t="str">
        <f>IFERROR(VLOOKUP(J433,fixed_expenses4[],2,0),"")</f>
        <v/>
      </c>
      <c r="L433" s="17"/>
      <c r="M433" s="71" t="str">
        <f>IFERROR(VLOOKUP(L433,fixed_expenses4[],2,0),"")</f>
        <v/>
      </c>
      <c r="N433" s="17"/>
      <c r="O433" s="71" t="str">
        <f>IFERROR(VLOOKUP(N433,fixed_expenses4[],2,0),"")</f>
        <v/>
      </c>
      <c r="P433" s="22"/>
    </row>
    <row r="434" spans="1:16" ht="11.25" customHeight="1" x14ac:dyDescent="0.2">
      <c r="B434" s="17"/>
      <c r="C434" s="71" t="str">
        <f>IFERROR(VLOOKUP(B434,fixed_expenses4[],2,0),"")</f>
        <v/>
      </c>
      <c r="D434" s="17"/>
      <c r="E434" s="71" t="str">
        <f>IFERROR(VLOOKUP(D434,fixed_expenses4[],2,0),"")</f>
        <v/>
      </c>
      <c r="F434" s="17"/>
      <c r="G434" s="71" t="str">
        <f>IFERROR(VLOOKUP(F434,fixed_expenses4[],2,0),"")</f>
        <v/>
      </c>
      <c r="H434" s="17"/>
      <c r="I434" s="71" t="str">
        <f>IFERROR(VLOOKUP(H434,fixed_expenses4[],2,0),"")</f>
        <v/>
      </c>
      <c r="J434" s="17"/>
      <c r="K434" s="71" t="str">
        <f>IFERROR(VLOOKUP(J434,fixed_expenses4[],2,0),"")</f>
        <v/>
      </c>
      <c r="L434" s="17"/>
      <c r="M434" s="71" t="str">
        <f>IFERROR(VLOOKUP(L434,fixed_expenses4[],2,0),"")</f>
        <v/>
      </c>
      <c r="N434" s="17"/>
      <c r="O434" s="71" t="str">
        <f>IFERROR(VLOOKUP(N434,fixed_expenses4[],2,0),"")</f>
        <v/>
      </c>
      <c r="P434" s="22"/>
    </row>
    <row r="435" spans="1:16" ht="11.25" customHeight="1" x14ac:dyDescent="0.2">
      <c r="B435" s="17"/>
      <c r="C435" s="71" t="str">
        <f>IFERROR(VLOOKUP(B435,fixed_expenses4[],2,0),"")</f>
        <v/>
      </c>
      <c r="D435" s="17"/>
      <c r="E435" s="71" t="str">
        <f>IFERROR(VLOOKUP(D435,fixed_expenses4[],2,0),"")</f>
        <v/>
      </c>
      <c r="F435" s="17"/>
      <c r="G435" s="71" t="str">
        <f>IFERROR(VLOOKUP(F435,fixed_expenses4[],2,0),"")</f>
        <v/>
      </c>
      <c r="H435" s="17"/>
      <c r="I435" s="71" t="str">
        <f>IFERROR(VLOOKUP(H435,fixed_expenses4[],2,0),"")</f>
        <v/>
      </c>
      <c r="J435" s="17"/>
      <c r="K435" s="71" t="str">
        <f>IFERROR(VLOOKUP(J435,fixed_expenses4[],2,0),"")</f>
        <v/>
      </c>
      <c r="L435" s="17"/>
      <c r="M435" s="71" t="str">
        <f>IFERROR(VLOOKUP(L435,fixed_expenses4[],2,0),"")</f>
        <v/>
      </c>
      <c r="N435" s="17"/>
      <c r="O435" s="71" t="str">
        <f>IFERROR(VLOOKUP(N435,fixed_expenses4[],2,0),"")</f>
        <v/>
      </c>
      <c r="P435" s="22"/>
    </row>
    <row r="436" spans="1:16" ht="11.25" customHeight="1" x14ac:dyDescent="0.2">
      <c r="B436" s="17"/>
      <c r="C436" s="71" t="str">
        <f>IFERROR(VLOOKUP(B436,fixed_expenses4[],2,0),"")</f>
        <v/>
      </c>
      <c r="D436" s="17"/>
      <c r="E436" s="71" t="str">
        <f>IFERROR(VLOOKUP(D436,fixed_expenses4[],2,0),"")</f>
        <v/>
      </c>
      <c r="F436" s="17"/>
      <c r="G436" s="71" t="str">
        <f>IFERROR(VLOOKUP(F436,fixed_expenses4[],2,0),"")</f>
        <v/>
      </c>
      <c r="H436" s="17"/>
      <c r="I436" s="71" t="str">
        <f>IFERROR(VLOOKUP(H436,fixed_expenses4[],2,0),"")</f>
        <v/>
      </c>
      <c r="J436" s="17"/>
      <c r="K436" s="71" t="str">
        <f>IFERROR(VLOOKUP(J436,fixed_expenses4[],2,0),"")</f>
        <v/>
      </c>
      <c r="L436" s="17"/>
      <c r="M436" s="71" t="str">
        <f>IFERROR(VLOOKUP(L436,fixed_expenses4[],2,0),"")</f>
        <v/>
      </c>
      <c r="N436" s="17"/>
      <c r="O436" s="71" t="str">
        <f>IFERROR(VLOOKUP(N436,fixed_expenses4[],2,0),"")</f>
        <v/>
      </c>
      <c r="P436" s="22"/>
    </row>
    <row r="437" spans="1:16" ht="11.25" customHeight="1" x14ac:dyDescent="0.2">
      <c r="A437" s="43" t="s">
        <v>312</v>
      </c>
      <c r="B437" s="30" t="s">
        <v>8</v>
      </c>
      <c r="C437" s="27">
        <f>SUM(C432:C436)</f>
        <v>0</v>
      </c>
      <c r="D437" s="26"/>
      <c r="E437" s="27">
        <f>SUM(E432:E436)</f>
        <v>0</v>
      </c>
      <c r="F437" s="26"/>
      <c r="G437" s="27">
        <f>SUM(G432:G436)</f>
        <v>0</v>
      </c>
      <c r="H437" s="26"/>
      <c r="I437" s="27">
        <f>SUM(I432:I436)</f>
        <v>0</v>
      </c>
      <c r="J437" s="26"/>
      <c r="K437" s="27">
        <f>SUM(K432:K436)</f>
        <v>0</v>
      </c>
      <c r="L437" s="26"/>
      <c r="M437" s="27">
        <f>SUM(M432:M436)</f>
        <v>800</v>
      </c>
      <c r="N437" s="26"/>
      <c r="O437" s="28">
        <f>SUM(O432:O436)</f>
        <v>0</v>
      </c>
      <c r="P437" s="29">
        <f>SUM(C437,E437,G437,I437,K437,M437,O437)</f>
        <v>800</v>
      </c>
    </row>
    <row r="438" spans="1:16" x14ac:dyDescent="0.2">
      <c r="B438" s="6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6"/>
    </row>
    <row r="439" spans="1:16" ht="15" customHeight="1" x14ac:dyDescent="0.2">
      <c r="A439" s="43" t="s">
        <v>262</v>
      </c>
      <c r="B439" s="12">
        <f ca="1">N430+1</f>
        <v>22</v>
      </c>
      <c r="C439" s="13"/>
      <c r="D439" s="12">
        <f ca="1">B439+1</f>
        <v>23</v>
      </c>
      <c r="E439" s="13"/>
      <c r="F439" s="12">
        <f ca="1">D439+1</f>
        <v>24</v>
      </c>
      <c r="G439" s="13"/>
      <c r="H439" s="12">
        <f ca="1">F439+1</f>
        <v>25</v>
      </c>
      <c r="I439" s="13"/>
      <c r="J439" s="12">
        <f ca="1">H439+1</f>
        <v>26</v>
      </c>
      <c r="K439" s="13"/>
      <c r="L439" s="12">
        <f ca="1">J439+1</f>
        <v>27</v>
      </c>
      <c r="M439" s="13"/>
      <c r="N439" s="12">
        <f ca="1">L439+1</f>
        <v>28</v>
      </c>
      <c r="O439" s="13"/>
      <c r="P439" s="24"/>
    </row>
    <row r="440" spans="1:16" ht="11.25" customHeight="1" x14ac:dyDescent="0.2">
      <c r="A440" s="43" t="s">
        <v>144</v>
      </c>
      <c r="B440" s="37" t="s">
        <v>9</v>
      </c>
      <c r="C440" s="39" t="s">
        <v>10</v>
      </c>
      <c r="D440" s="37" t="s">
        <v>9</v>
      </c>
      <c r="E440" s="39" t="s">
        <v>10</v>
      </c>
      <c r="F440" s="37" t="s">
        <v>9</v>
      </c>
      <c r="G440" s="39" t="s">
        <v>10</v>
      </c>
      <c r="H440" s="37" t="s">
        <v>9</v>
      </c>
      <c r="I440" s="39" t="s">
        <v>10</v>
      </c>
      <c r="J440" s="37" t="s">
        <v>9</v>
      </c>
      <c r="K440" s="39" t="s">
        <v>10</v>
      </c>
      <c r="L440" s="37" t="s">
        <v>9</v>
      </c>
      <c r="M440" s="39" t="s">
        <v>10</v>
      </c>
      <c r="N440" s="37" t="s">
        <v>9</v>
      </c>
      <c r="O440" s="40" t="s">
        <v>10</v>
      </c>
      <c r="P440" s="22"/>
    </row>
    <row r="441" spans="1:16" ht="11.25" customHeight="1" x14ac:dyDescent="0.2">
      <c r="A441" s="43" t="s">
        <v>210</v>
      </c>
      <c r="B441" s="17"/>
      <c r="C441" s="71" t="str">
        <f>IFERROR(VLOOKUP(B441,fixed_expenses4[],2,0),"")</f>
        <v/>
      </c>
      <c r="D441" s="17"/>
      <c r="E441" s="71" t="str">
        <f>IFERROR(VLOOKUP(D441,fixed_expenses4[],2,0),"")</f>
        <v/>
      </c>
      <c r="F441" s="17"/>
      <c r="G441" s="71" t="str">
        <f>IFERROR(VLOOKUP(F441,fixed_expenses4[],2,0),"")</f>
        <v/>
      </c>
      <c r="H441" s="17"/>
      <c r="I441" s="71" t="str">
        <f>IFERROR(VLOOKUP(H441,fixed_expenses4[],2,0),"")</f>
        <v/>
      </c>
      <c r="J441" s="17"/>
      <c r="K441" s="71" t="str">
        <f>IFERROR(VLOOKUP(J441,fixed_expenses4[],2,0),"")</f>
        <v/>
      </c>
      <c r="L441" s="17" t="s">
        <v>387</v>
      </c>
      <c r="M441" s="71">
        <f>IFERROR(VLOOKUP(L441,fixed_expenses4[],2,0),"")</f>
        <v>800</v>
      </c>
      <c r="N441" s="17"/>
      <c r="O441" s="71" t="str">
        <f>IFERROR(VLOOKUP(N441,fixed_expenses4[],2,0),"")</f>
        <v/>
      </c>
      <c r="P441" s="22"/>
    </row>
    <row r="442" spans="1:16" ht="11.25" customHeight="1" x14ac:dyDescent="0.2">
      <c r="B442" s="17"/>
      <c r="C442" s="71" t="str">
        <f>IFERROR(VLOOKUP(B442,fixed_expenses4[],2,0),"")</f>
        <v/>
      </c>
      <c r="D442" s="17"/>
      <c r="E442" s="71" t="str">
        <f>IFERROR(VLOOKUP(D442,fixed_expenses4[],2,0),"")</f>
        <v/>
      </c>
      <c r="F442" s="17"/>
      <c r="G442" s="71" t="str">
        <f>IFERROR(VLOOKUP(F442,fixed_expenses4[],2,0),"")</f>
        <v/>
      </c>
      <c r="H442" s="17"/>
      <c r="I442" s="71" t="str">
        <f>IFERROR(VLOOKUP(H442,fixed_expenses4[],2,0),"")</f>
        <v/>
      </c>
      <c r="J442" s="17"/>
      <c r="K442" s="71" t="str">
        <f>IFERROR(VLOOKUP(J442,fixed_expenses4[],2,0),"")</f>
        <v/>
      </c>
      <c r="L442" s="80" t="s">
        <v>388</v>
      </c>
      <c r="M442" s="71">
        <f>IFERROR(VLOOKUP(L442,fixed_expenses4[],2,0),"")</f>
        <v>770</v>
      </c>
      <c r="N442" s="17"/>
      <c r="O442" s="71" t="str">
        <f>IFERROR(VLOOKUP(N442,fixed_expenses4[],2,0),"")</f>
        <v/>
      </c>
      <c r="P442" s="22"/>
    </row>
    <row r="443" spans="1:16" ht="11.25" customHeight="1" x14ac:dyDescent="0.2">
      <c r="B443" s="17"/>
      <c r="C443" s="71" t="str">
        <f>IFERROR(VLOOKUP(B443,fixed_expenses4[],2,0),"")</f>
        <v/>
      </c>
      <c r="D443" s="17"/>
      <c r="E443" s="71" t="str">
        <f>IFERROR(VLOOKUP(D443,fixed_expenses4[],2,0),"")</f>
        <v/>
      </c>
      <c r="F443" s="17"/>
      <c r="G443" s="71" t="str">
        <f>IFERROR(VLOOKUP(F443,fixed_expenses4[],2,0),"")</f>
        <v/>
      </c>
      <c r="H443" s="17"/>
      <c r="I443" s="71" t="str">
        <f>IFERROR(VLOOKUP(H443,fixed_expenses4[],2,0),"")</f>
        <v/>
      </c>
      <c r="J443" s="17"/>
      <c r="K443" s="71" t="str">
        <f>IFERROR(VLOOKUP(J443,fixed_expenses4[],2,0),"")</f>
        <v/>
      </c>
      <c r="L443" s="17"/>
      <c r="M443" s="71" t="str">
        <f>IFERROR(VLOOKUP(L443,fixed_expenses4[],2,0),"")</f>
        <v/>
      </c>
      <c r="N443" s="17"/>
      <c r="O443" s="71" t="str">
        <f>IFERROR(VLOOKUP(N443,fixed_expenses4[],2,0),"")</f>
        <v/>
      </c>
      <c r="P443" s="22"/>
    </row>
    <row r="444" spans="1:16" ht="11.25" customHeight="1" x14ac:dyDescent="0.2">
      <c r="B444" s="17"/>
      <c r="C444" s="71" t="str">
        <f>IFERROR(VLOOKUP(B444,fixed_expenses4[],2,0),"")</f>
        <v/>
      </c>
      <c r="D444" s="17"/>
      <c r="E444" s="71" t="str">
        <f>IFERROR(VLOOKUP(D444,fixed_expenses4[],2,0),"")</f>
        <v/>
      </c>
      <c r="F444" s="17"/>
      <c r="G444" s="71" t="str">
        <f>IFERROR(VLOOKUP(F444,fixed_expenses4[],2,0),"")</f>
        <v/>
      </c>
      <c r="H444" s="17"/>
      <c r="I444" s="71" t="str">
        <f>IFERROR(VLOOKUP(H444,fixed_expenses4[],2,0),"")</f>
        <v/>
      </c>
      <c r="J444" s="17"/>
      <c r="K444" s="71" t="str">
        <f>IFERROR(VLOOKUP(J444,fixed_expenses4[],2,0),"")</f>
        <v/>
      </c>
      <c r="L444" s="17"/>
      <c r="M444" s="71" t="str">
        <f>IFERROR(VLOOKUP(L444,fixed_expenses4[],2,0),"")</f>
        <v/>
      </c>
      <c r="N444" s="17"/>
      <c r="O444" s="71" t="str">
        <f>IFERROR(VLOOKUP(N444,fixed_expenses4[],2,0),"")</f>
        <v/>
      </c>
      <c r="P444" s="22"/>
    </row>
    <row r="445" spans="1:16" ht="11.25" customHeight="1" x14ac:dyDescent="0.2">
      <c r="B445" s="17"/>
      <c r="C445" s="71" t="str">
        <f>IFERROR(VLOOKUP(B445,fixed_expenses4[],2,0),"")</f>
        <v/>
      </c>
      <c r="D445" s="17"/>
      <c r="E445" s="71" t="str">
        <f>IFERROR(VLOOKUP(D445,fixed_expenses4[],2,0),"")</f>
        <v/>
      </c>
      <c r="F445" s="17"/>
      <c r="G445" s="71" t="str">
        <f>IFERROR(VLOOKUP(F445,fixed_expenses4[],2,0),"")</f>
        <v/>
      </c>
      <c r="H445" s="17"/>
      <c r="I445" s="71" t="str">
        <f>IFERROR(VLOOKUP(H445,fixed_expenses4[],2,0),"")</f>
        <v/>
      </c>
      <c r="J445" s="17"/>
      <c r="K445" s="71" t="str">
        <f>IFERROR(VLOOKUP(J445,fixed_expenses4[],2,0),"")</f>
        <v/>
      </c>
      <c r="L445" s="17"/>
      <c r="M445" s="71" t="str">
        <f>IFERROR(VLOOKUP(L445,fixed_expenses4[],2,0),"")</f>
        <v/>
      </c>
      <c r="N445" s="17"/>
      <c r="O445" s="71" t="str">
        <f>IFERROR(VLOOKUP(N445,fixed_expenses4[],2,0),"")</f>
        <v/>
      </c>
      <c r="P445" s="22"/>
    </row>
    <row r="446" spans="1:16" ht="11.25" customHeight="1" x14ac:dyDescent="0.2">
      <c r="A446" s="43" t="s">
        <v>311</v>
      </c>
      <c r="B446" s="26" t="s">
        <v>8</v>
      </c>
      <c r="C446" s="27">
        <f>SUM(C441:C445)</f>
        <v>0</v>
      </c>
      <c r="D446" s="26"/>
      <c r="E446" s="27">
        <f>SUM(E441:E445)</f>
        <v>0</v>
      </c>
      <c r="F446" s="26"/>
      <c r="G446" s="27">
        <f>SUM(G441:G445)</f>
        <v>0</v>
      </c>
      <c r="H446" s="26"/>
      <c r="I446" s="27">
        <f>SUM(I441:I445)</f>
        <v>0</v>
      </c>
      <c r="J446" s="26"/>
      <c r="K446" s="27">
        <f>SUM(K441:K445)</f>
        <v>0</v>
      </c>
      <c r="L446" s="26"/>
      <c r="M446" s="27">
        <f>SUM(M441:M445)</f>
        <v>1570</v>
      </c>
      <c r="N446" s="26"/>
      <c r="O446" s="28">
        <f>SUM(O441:O445)</f>
        <v>0</v>
      </c>
      <c r="P446" s="29">
        <f>SUM(C446,E446,G446,I446,K446,M446,O446)</f>
        <v>1570</v>
      </c>
    </row>
    <row r="447" spans="1:16" x14ac:dyDescent="0.2">
      <c r="B447" s="6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6"/>
    </row>
    <row r="448" spans="1:16" ht="15" customHeight="1" x14ac:dyDescent="0.2">
      <c r="A448" s="43" t="s">
        <v>263</v>
      </c>
      <c r="B448" s="12">
        <f ca="1">DAY(IF(DAY(AugSun1)=1,AugSun1+22,AugSun1+29))</f>
        <v>29</v>
      </c>
      <c r="C448" s="13"/>
      <c r="D448" s="12">
        <f ca="1">DAY(IF(DAY(AugSun1)=1,AugSun1+23,AugSun1+30))</f>
        <v>30</v>
      </c>
      <c r="E448" s="13"/>
      <c r="F448" s="12">
        <f ca="1">DAY(IF(DAY(AugSun1)=1,AugSun1+24,AugSun1+31))</f>
        <v>31</v>
      </c>
      <c r="G448" s="13"/>
      <c r="H448" s="12">
        <f ca="1">DAY(IF(DAY(AugSun1)=1,AugSun1+25,AugSun1+32))</f>
        <v>1</v>
      </c>
      <c r="I448" s="13"/>
      <c r="J448" s="12">
        <f ca="1">DAY(IF(DAY(AugSun1)=1,AugSun1+26,AugSun1+33))</f>
        <v>2</v>
      </c>
      <c r="K448" s="13"/>
      <c r="L448" s="12">
        <f ca="1">DAY(IF(DAY(AugSun1)=1,AugSun1+27,AugSun1+34))</f>
        <v>3</v>
      </c>
      <c r="M448" s="13"/>
      <c r="N448" s="12">
        <f ca="1">DAY(IF(DAY(AugSun1)=1,AugSun1+28,AugSun1+35))</f>
        <v>4</v>
      </c>
      <c r="O448" s="13"/>
      <c r="P448" s="25"/>
    </row>
    <row r="449" spans="1:16" ht="11.25" customHeight="1" x14ac:dyDescent="0.2">
      <c r="A449" s="43" t="s">
        <v>143</v>
      </c>
      <c r="B449" s="37" t="s">
        <v>9</v>
      </c>
      <c r="C449" s="39" t="s">
        <v>10</v>
      </c>
      <c r="D449" s="37" t="s">
        <v>9</v>
      </c>
      <c r="E449" s="39" t="s">
        <v>10</v>
      </c>
      <c r="F449" s="37" t="s">
        <v>9</v>
      </c>
      <c r="G449" s="39" t="s">
        <v>10</v>
      </c>
      <c r="H449" s="37" t="s">
        <v>9</v>
      </c>
      <c r="I449" s="39" t="s">
        <v>10</v>
      </c>
      <c r="J449" s="37" t="s">
        <v>9</v>
      </c>
      <c r="K449" s="39" t="s">
        <v>10</v>
      </c>
      <c r="L449" s="37" t="s">
        <v>9</v>
      </c>
      <c r="M449" s="39" t="s">
        <v>10</v>
      </c>
      <c r="N449" s="37" t="s">
        <v>9</v>
      </c>
      <c r="O449" s="40" t="s">
        <v>10</v>
      </c>
      <c r="P449" s="22"/>
    </row>
    <row r="450" spans="1:16" ht="11.25" customHeight="1" x14ac:dyDescent="0.2">
      <c r="A450" s="43" t="s">
        <v>211</v>
      </c>
      <c r="B450" s="17"/>
      <c r="C450" s="71" t="str">
        <f>IFERROR(VLOOKUP(B450,fixed_expenses4[],2,0),"")</f>
        <v/>
      </c>
      <c r="D450" s="17"/>
      <c r="E450" s="71" t="str">
        <f>IFERROR(VLOOKUP(D450,fixed_expenses4[],2,0),"")</f>
        <v/>
      </c>
      <c r="F450" s="17"/>
      <c r="G450" s="71" t="str">
        <f>IFERROR(VLOOKUP(F450,fixed_expenses4[],2,0),"")</f>
        <v/>
      </c>
      <c r="H450" s="17"/>
      <c r="I450" s="71" t="str">
        <f>IFERROR(VLOOKUP(H450,fixed_expenses4[],2,0),"")</f>
        <v/>
      </c>
      <c r="J450" s="17"/>
      <c r="K450" s="71" t="str">
        <f>IFERROR(VLOOKUP(J450,fixed_expenses4[],2,0),"")</f>
        <v/>
      </c>
      <c r="L450" s="17"/>
      <c r="M450" s="71" t="str">
        <f>IFERROR(VLOOKUP(L450,fixed_expenses4[],2,0),"")</f>
        <v/>
      </c>
      <c r="N450" s="17"/>
      <c r="O450" s="71" t="str">
        <f>IFERROR(VLOOKUP(N450,fixed_expenses4[],2,0),"")</f>
        <v/>
      </c>
      <c r="P450" s="22"/>
    </row>
    <row r="451" spans="1:16" ht="11.25" customHeight="1" x14ac:dyDescent="0.2">
      <c r="B451" s="17"/>
      <c r="C451" s="71" t="str">
        <f>IFERROR(VLOOKUP(B451,fixed_expenses4[],2,0),"")</f>
        <v/>
      </c>
      <c r="D451" s="17"/>
      <c r="E451" s="71" t="str">
        <f>IFERROR(VLOOKUP(D451,fixed_expenses4[],2,0),"")</f>
        <v/>
      </c>
      <c r="F451" s="17"/>
      <c r="G451" s="71" t="str">
        <f>IFERROR(VLOOKUP(F451,fixed_expenses4[],2,0),"")</f>
        <v/>
      </c>
      <c r="H451" s="17"/>
      <c r="I451" s="71" t="str">
        <f>IFERROR(VLOOKUP(H451,fixed_expenses4[],2,0),"")</f>
        <v/>
      </c>
      <c r="J451" s="17"/>
      <c r="K451" s="71" t="str">
        <f>IFERROR(VLOOKUP(J451,fixed_expenses4[],2,0),"")</f>
        <v/>
      </c>
      <c r="L451" s="17"/>
      <c r="M451" s="71" t="str">
        <f>IFERROR(VLOOKUP(L451,fixed_expenses4[],2,0),"")</f>
        <v/>
      </c>
      <c r="N451" s="17"/>
      <c r="O451" s="71" t="str">
        <f>IFERROR(VLOOKUP(N451,fixed_expenses4[],2,0),"")</f>
        <v/>
      </c>
      <c r="P451" s="22"/>
    </row>
    <row r="452" spans="1:16" ht="11.25" customHeight="1" x14ac:dyDescent="0.2">
      <c r="B452" s="17"/>
      <c r="C452" s="71" t="str">
        <f>IFERROR(VLOOKUP(B452,fixed_expenses4[],2,0),"")</f>
        <v/>
      </c>
      <c r="D452" s="17"/>
      <c r="E452" s="71" t="str">
        <f>IFERROR(VLOOKUP(D452,fixed_expenses4[],2,0),"")</f>
        <v/>
      </c>
      <c r="F452" s="17"/>
      <c r="G452" s="71" t="str">
        <f>IFERROR(VLOOKUP(F452,fixed_expenses4[],2,0),"")</f>
        <v/>
      </c>
      <c r="H452" s="17"/>
      <c r="I452" s="71" t="str">
        <f>IFERROR(VLOOKUP(H452,fixed_expenses4[],2,0),"")</f>
        <v/>
      </c>
      <c r="J452" s="17"/>
      <c r="K452" s="71" t="str">
        <f>IFERROR(VLOOKUP(J452,fixed_expenses4[],2,0),"")</f>
        <v/>
      </c>
      <c r="L452" s="17"/>
      <c r="M452" s="71" t="str">
        <f>IFERROR(VLOOKUP(L452,fixed_expenses4[],2,0),"")</f>
        <v/>
      </c>
      <c r="N452" s="17"/>
      <c r="O452" s="71" t="str">
        <f>IFERROR(VLOOKUP(N452,fixed_expenses4[],2,0),"")</f>
        <v/>
      </c>
      <c r="P452" s="22"/>
    </row>
    <row r="453" spans="1:16" ht="11.25" customHeight="1" x14ac:dyDescent="0.2">
      <c r="B453" s="17"/>
      <c r="C453" s="71" t="str">
        <f>IFERROR(VLOOKUP(B453,fixed_expenses4[],2,0),"")</f>
        <v/>
      </c>
      <c r="D453" s="17"/>
      <c r="E453" s="71" t="str">
        <f>IFERROR(VLOOKUP(D453,fixed_expenses4[],2,0),"")</f>
        <v/>
      </c>
      <c r="F453" s="17"/>
      <c r="G453" s="71" t="str">
        <f>IFERROR(VLOOKUP(F453,fixed_expenses4[],2,0),"")</f>
        <v/>
      </c>
      <c r="H453" s="17"/>
      <c r="I453" s="71" t="str">
        <f>IFERROR(VLOOKUP(H453,fixed_expenses4[],2,0),"")</f>
        <v/>
      </c>
      <c r="J453" s="17"/>
      <c r="K453" s="71" t="str">
        <f>IFERROR(VLOOKUP(J453,fixed_expenses4[],2,0),"")</f>
        <v/>
      </c>
      <c r="L453" s="17"/>
      <c r="M453" s="71" t="str">
        <f>IFERROR(VLOOKUP(L453,fixed_expenses4[],2,0),"")</f>
        <v/>
      </c>
      <c r="N453" s="17"/>
      <c r="O453" s="71" t="str">
        <f>IFERROR(VLOOKUP(N453,fixed_expenses4[],2,0),"")</f>
        <v/>
      </c>
      <c r="P453" s="22"/>
    </row>
    <row r="454" spans="1:16" ht="11.25" customHeight="1" x14ac:dyDescent="0.2">
      <c r="B454" s="17"/>
      <c r="C454" s="71" t="str">
        <f>IFERROR(VLOOKUP(B454,fixed_expenses4[],2,0),"")</f>
        <v/>
      </c>
      <c r="D454" s="17"/>
      <c r="E454" s="71" t="str">
        <f>IFERROR(VLOOKUP(D454,fixed_expenses4[],2,0),"")</f>
        <v/>
      </c>
      <c r="F454" s="17"/>
      <c r="G454" s="71" t="str">
        <f>IFERROR(VLOOKUP(F454,fixed_expenses4[],2,0),"")</f>
        <v/>
      </c>
      <c r="H454" s="17"/>
      <c r="I454" s="71" t="str">
        <f>IFERROR(VLOOKUP(H454,fixed_expenses4[],2,0),"")</f>
        <v/>
      </c>
      <c r="J454" s="17"/>
      <c r="K454" s="71" t="str">
        <f>IFERROR(VLOOKUP(J454,fixed_expenses4[],2,0),"")</f>
        <v/>
      </c>
      <c r="L454" s="17"/>
      <c r="M454" s="71" t="str">
        <f>IFERROR(VLOOKUP(L454,fixed_expenses4[],2,0),"")</f>
        <v/>
      </c>
      <c r="N454" s="17"/>
      <c r="O454" s="71" t="str">
        <f>IFERROR(VLOOKUP(N454,fixed_expenses4[],2,0),"")</f>
        <v/>
      </c>
      <c r="P454" s="22"/>
    </row>
    <row r="455" spans="1:16" ht="11.25" customHeight="1" x14ac:dyDescent="0.2">
      <c r="A455" s="43" t="s">
        <v>310</v>
      </c>
      <c r="B455" s="26" t="s">
        <v>8</v>
      </c>
      <c r="C455" s="27">
        <f>SUM(C450:C454)</f>
        <v>0</v>
      </c>
      <c r="D455" s="26"/>
      <c r="E455" s="27">
        <f>SUM(E450:E454)</f>
        <v>0</v>
      </c>
      <c r="F455" s="26"/>
      <c r="G455" s="27">
        <f>SUM(G450:G454)</f>
        <v>0</v>
      </c>
      <c r="H455" s="26"/>
      <c r="I455" s="27">
        <f>SUM(I450:I454)</f>
        <v>0</v>
      </c>
      <c r="J455" s="26"/>
      <c r="K455" s="27">
        <f>SUM(K450:K454)</f>
        <v>0</v>
      </c>
      <c r="L455" s="26"/>
      <c r="M455" s="27">
        <f>SUM(M450:M454)</f>
        <v>0</v>
      </c>
      <c r="N455" s="18"/>
      <c r="O455" s="28">
        <f>SUM(O450:O454)</f>
        <v>0</v>
      </c>
      <c r="P455" s="29">
        <f ca="1">SUMIF(B448:N448,"&gt;="&amp;15,C455:O455)</f>
        <v>0</v>
      </c>
    </row>
    <row r="456" spans="1:16" x14ac:dyDescent="0.2">
      <c r="B456" s="6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6"/>
    </row>
    <row r="457" spans="1:16" ht="15" customHeight="1" x14ac:dyDescent="0.2">
      <c r="A457" s="43" t="s">
        <v>264</v>
      </c>
      <c r="B457" s="12">
        <f ca="1">DAY(IF(DAY(AugSun1)=1,AugSun1+29,AugSun1+36))</f>
        <v>5</v>
      </c>
      <c r="C457" s="11"/>
      <c r="D457" s="12">
        <f ca="1">DAY(IF(DAY(AugSun1)=1,AugSun1+30,AugSun1+37))</f>
        <v>6</v>
      </c>
      <c r="E457" s="13"/>
      <c r="F457" s="10">
        <f ca="1">DAY(IF(DAY(AugSun1)=1,AugSun1+31,AugSun1+38))</f>
        <v>7</v>
      </c>
      <c r="G457" s="13"/>
      <c r="H457" s="12">
        <f ca="1">DAY(IF(DAY(AugSun1)=1,AugSun1+32,AugSun1+39))</f>
        <v>8</v>
      </c>
      <c r="I457" s="13"/>
      <c r="J457" s="12">
        <f ca="1">DAY(IF(DAY(AugSun1)=1,AugSun1+33,AugSun1+40))</f>
        <v>9</v>
      </c>
      <c r="K457" s="13"/>
      <c r="L457" s="12">
        <f ca="1">DAY(IF(DAY(AugSun1)=1,AugSun1+34,AugSun1+41))</f>
        <v>10</v>
      </c>
      <c r="M457" s="13"/>
      <c r="N457" s="12">
        <f ca="1">DAY(IF(DAY(AugSun1)=1,AugSun1+35,AugSun1+42))</f>
        <v>11</v>
      </c>
      <c r="O457" s="13"/>
      <c r="P457" s="25"/>
    </row>
    <row r="458" spans="1:16" ht="11.25" customHeight="1" x14ac:dyDescent="0.2">
      <c r="A458" s="43" t="s">
        <v>142</v>
      </c>
      <c r="B458" s="37" t="s">
        <v>9</v>
      </c>
      <c r="C458" s="39" t="s">
        <v>10</v>
      </c>
      <c r="D458" s="37" t="s">
        <v>9</v>
      </c>
      <c r="E458" s="39" t="s">
        <v>10</v>
      </c>
      <c r="F458" s="37" t="s">
        <v>9</v>
      </c>
      <c r="G458" s="39" t="s">
        <v>10</v>
      </c>
      <c r="H458" s="37" t="s">
        <v>9</v>
      </c>
      <c r="I458" s="39" t="s">
        <v>10</v>
      </c>
      <c r="J458" s="37" t="s">
        <v>9</v>
      </c>
      <c r="K458" s="39" t="s">
        <v>10</v>
      </c>
      <c r="L458" s="37" t="s">
        <v>9</v>
      </c>
      <c r="M458" s="39" t="s">
        <v>10</v>
      </c>
      <c r="N458" s="37" t="s">
        <v>9</v>
      </c>
      <c r="O458" s="40" t="s">
        <v>10</v>
      </c>
      <c r="P458" s="22"/>
    </row>
    <row r="459" spans="1:16" ht="11.25" customHeight="1" x14ac:dyDescent="0.2">
      <c r="A459" s="43" t="s">
        <v>212</v>
      </c>
      <c r="B459" s="17"/>
      <c r="C459" s="71" t="str">
        <f>IFERROR(VLOOKUP(B459,fixed_expenses4[],2,0),"")</f>
        <v/>
      </c>
      <c r="D459" s="17"/>
      <c r="E459" s="71" t="str">
        <f>IFERROR(VLOOKUP(D459,fixed_expenses4[],2,0),"")</f>
        <v/>
      </c>
      <c r="F459" s="17"/>
      <c r="G459" s="71" t="str">
        <f>IFERROR(VLOOKUP(F459,fixed_expenses4[],2,0),"")</f>
        <v/>
      </c>
      <c r="H459" s="17"/>
      <c r="I459" s="71" t="str">
        <f>IFERROR(VLOOKUP(H459,fixed_expenses4[],2,0),"")</f>
        <v/>
      </c>
      <c r="J459" s="17"/>
      <c r="K459" s="71" t="str">
        <f>IFERROR(VLOOKUP(J459,fixed_expenses4[],2,0),"")</f>
        <v/>
      </c>
      <c r="L459" s="17"/>
      <c r="M459" s="71" t="str">
        <f>IFERROR(VLOOKUP(L459,fixed_expenses4[],2,0),"")</f>
        <v/>
      </c>
      <c r="N459" s="17"/>
      <c r="O459" s="71" t="str">
        <f>IFERROR(VLOOKUP(N459,fixed_expenses4[],2,0),"")</f>
        <v/>
      </c>
      <c r="P459" s="22"/>
    </row>
    <row r="460" spans="1:16" ht="11.25" customHeight="1" x14ac:dyDescent="0.2">
      <c r="B460" s="17"/>
      <c r="C460" s="71" t="str">
        <f>IFERROR(VLOOKUP(B460,fixed_expenses4[],2,0),"")</f>
        <v/>
      </c>
      <c r="D460" s="17"/>
      <c r="E460" s="71" t="str">
        <f>IFERROR(VLOOKUP(D460,fixed_expenses4[],2,0),"")</f>
        <v/>
      </c>
      <c r="F460" s="17"/>
      <c r="G460" s="71" t="str">
        <f>IFERROR(VLOOKUP(F460,fixed_expenses4[],2,0),"")</f>
        <v/>
      </c>
      <c r="H460" s="17"/>
      <c r="I460" s="71" t="str">
        <f>IFERROR(VLOOKUP(H460,fixed_expenses4[],2,0),"")</f>
        <v/>
      </c>
      <c r="J460" s="17"/>
      <c r="K460" s="71" t="str">
        <f>IFERROR(VLOOKUP(J460,fixed_expenses4[],2,0),"")</f>
        <v/>
      </c>
      <c r="L460" s="17"/>
      <c r="M460" s="71" t="str">
        <f>IFERROR(VLOOKUP(L460,fixed_expenses4[],2,0),"")</f>
        <v/>
      </c>
      <c r="N460" s="17"/>
      <c r="O460" s="71" t="str">
        <f>IFERROR(VLOOKUP(N460,fixed_expenses4[],2,0),"")</f>
        <v/>
      </c>
      <c r="P460" s="22"/>
    </row>
    <row r="461" spans="1:16" ht="11.25" customHeight="1" x14ac:dyDescent="0.2">
      <c r="B461" s="17"/>
      <c r="C461" s="71" t="str">
        <f>IFERROR(VLOOKUP(B461,fixed_expenses4[],2,0),"")</f>
        <v/>
      </c>
      <c r="D461" s="17"/>
      <c r="E461" s="71" t="str">
        <f>IFERROR(VLOOKUP(D461,fixed_expenses4[],2,0),"")</f>
        <v/>
      </c>
      <c r="F461" s="17"/>
      <c r="G461" s="71" t="str">
        <f>IFERROR(VLOOKUP(F461,fixed_expenses4[],2,0),"")</f>
        <v/>
      </c>
      <c r="H461" s="17"/>
      <c r="I461" s="71" t="str">
        <f>IFERROR(VLOOKUP(H461,fixed_expenses4[],2,0),"")</f>
        <v/>
      </c>
      <c r="J461" s="17"/>
      <c r="K461" s="71" t="str">
        <f>IFERROR(VLOOKUP(J461,fixed_expenses4[],2,0),"")</f>
        <v/>
      </c>
      <c r="L461" s="17"/>
      <c r="M461" s="71" t="str">
        <f>IFERROR(VLOOKUP(L461,fixed_expenses4[],2,0),"")</f>
        <v/>
      </c>
      <c r="N461" s="17"/>
      <c r="O461" s="71" t="str">
        <f>IFERROR(VLOOKUP(N461,fixed_expenses4[],2,0),"")</f>
        <v/>
      </c>
      <c r="P461" s="22"/>
    </row>
    <row r="462" spans="1:16" ht="11.25" customHeight="1" x14ac:dyDescent="0.2">
      <c r="B462" s="17"/>
      <c r="C462" s="71" t="str">
        <f>IFERROR(VLOOKUP(B462,fixed_expenses4[],2,0),"")</f>
        <v/>
      </c>
      <c r="D462" s="17"/>
      <c r="E462" s="71" t="str">
        <f>IFERROR(VLOOKUP(D462,fixed_expenses4[],2,0),"")</f>
        <v/>
      </c>
      <c r="F462" s="17"/>
      <c r="G462" s="71" t="str">
        <f>IFERROR(VLOOKUP(F462,fixed_expenses4[],2,0),"")</f>
        <v/>
      </c>
      <c r="H462" s="17"/>
      <c r="I462" s="71" t="str">
        <f>IFERROR(VLOOKUP(H462,fixed_expenses4[],2,0),"")</f>
        <v/>
      </c>
      <c r="J462" s="17"/>
      <c r="K462" s="71" t="str">
        <f>IFERROR(VLOOKUP(J462,fixed_expenses4[],2,0),"")</f>
        <v/>
      </c>
      <c r="L462" s="17"/>
      <c r="M462" s="71" t="str">
        <f>IFERROR(VLOOKUP(L462,fixed_expenses4[],2,0),"")</f>
        <v/>
      </c>
      <c r="N462" s="17"/>
      <c r="O462" s="71" t="str">
        <f>IFERROR(VLOOKUP(N462,fixed_expenses4[],2,0),"")</f>
        <v/>
      </c>
      <c r="P462" s="22"/>
    </row>
    <row r="463" spans="1:16" ht="11.25" customHeight="1" x14ac:dyDescent="0.2">
      <c r="B463" s="17"/>
      <c r="C463" s="71" t="str">
        <f>IFERROR(VLOOKUP(B463,fixed_expenses4[],2,0),"")</f>
        <v/>
      </c>
      <c r="D463" s="17"/>
      <c r="E463" s="71" t="str">
        <f>IFERROR(VLOOKUP(D463,fixed_expenses4[],2,0),"")</f>
        <v/>
      </c>
      <c r="F463" s="17"/>
      <c r="G463" s="71" t="str">
        <f>IFERROR(VLOOKUP(F463,fixed_expenses4[],2,0),"")</f>
        <v/>
      </c>
      <c r="H463" s="17"/>
      <c r="I463" s="71" t="str">
        <f>IFERROR(VLOOKUP(H463,fixed_expenses4[],2,0),"")</f>
        <v/>
      </c>
      <c r="J463" s="17"/>
      <c r="K463" s="71" t="str">
        <f>IFERROR(VLOOKUP(J463,fixed_expenses4[],2,0),"")</f>
        <v/>
      </c>
      <c r="L463" s="17"/>
      <c r="M463" s="71" t="str">
        <f>IFERROR(VLOOKUP(L463,fixed_expenses4[],2,0),"")</f>
        <v/>
      </c>
      <c r="N463" s="17"/>
      <c r="O463" s="71" t="str">
        <f>IFERROR(VLOOKUP(N463,fixed_expenses4[],2,0),"")</f>
        <v/>
      </c>
      <c r="P463" s="22"/>
    </row>
    <row r="464" spans="1:16" ht="11.25" customHeight="1" x14ac:dyDescent="0.2">
      <c r="A464" s="43" t="s">
        <v>309</v>
      </c>
      <c r="B464" s="26" t="s">
        <v>8</v>
      </c>
      <c r="C464" s="27">
        <f>SUM(C459:C463)</f>
        <v>0</v>
      </c>
      <c r="D464" s="18"/>
      <c r="E464" s="27">
        <f>SUM(E459:E463)</f>
        <v>0</v>
      </c>
      <c r="F464" s="18"/>
      <c r="G464" s="27">
        <f>SUM(G459:G463)</f>
        <v>0</v>
      </c>
      <c r="H464" s="18"/>
      <c r="I464" s="27">
        <f>SUM(I459:I463)</f>
        <v>0</v>
      </c>
      <c r="J464" s="18"/>
      <c r="K464" s="27">
        <f>SUM(K459:K463)</f>
        <v>0</v>
      </c>
      <c r="L464" s="18"/>
      <c r="M464" s="27">
        <f>SUM(M459:M463)</f>
        <v>0</v>
      </c>
      <c r="N464" s="18"/>
      <c r="O464" s="28">
        <f>SUM(O459:O463)</f>
        <v>0</v>
      </c>
      <c r="P464" s="29">
        <f ca="1">SUMIF(B457:N457,"&gt;="&amp;15,C464:O464)</f>
        <v>0</v>
      </c>
    </row>
    <row r="465" spans="1:16" ht="17.25" customHeight="1" x14ac:dyDescent="0.2"/>
    <row r="466" spans="1:16" ht="12" customHeight="1" x14ac:dyDescent="0.2">
      <c r="A466" s="43" t="s">
        <v>83</v>
      </c>
      <c r="B466" s="59" t="s">
        <v>21</v>
      </c>
      <c r="C466" s="59"/>
      <c r="D466" s="59"/>
      <c r="E466" s="59"/>
      <c r="F466"/>
      <c r="G466" s="4"/>
      <c r="H466"/>
      <c r="I466" s="4"/>
      <c r="J466"/>
      <c r="K466" s="4"/>
      <c r="L466" s="45" t="s">
        <v>12</v>
      </c>
      <c r="M466" s="45"/>
      <c r="N466" s="45" t="s">
        <v>13</v>
      </c>
      <c r="O466" s="45"/>
      <c r="P466"/>
    </row>
    <row r="467" spans="1:16" ht="25.5" customHeight="1" x14ac:dyDescent="0.2">
      <c r="A467" s="43" t="s">
        <v>96</v>
      </c>
      <c r="B467" s="59"/>
      <c r="C467" s="59"/>
      <c r="D467" s="59"/>
      <c r="E467" s="59"/>
      <c r="F467" s="3">
        <f ca="1">IFERROR(WEEKDAY(DATEVALUE(B466&amp;" 1, "&amp;Year1)),"")</f>
        <v>4</v>
      </c>
      <c r="G467" s="4"/>
      <c r="H467"/>
      <c r="I467" s="7"/>
      <c r="J467" s="8"/>
      <c r="K467" s="4"/>
      <c r="L467" s="46">
        <f ca="1">SUM(P477,P486,P495,P504,P513,P522)</f>
        <v>4740</v>
      </c>
      <c r="M467" s="47"/>
      <c r="N467" s="46">
        <f ca="1">SUM(P:P)</f>
        <v>62420</v>
      </c>
      <c r="O467" s="48"/>
      <c r="P467"/>
    </row>
    <row r="468" spans="1:16" ht="9" customHeight="1" x14ac:dyDescent="0.2">
      <c r="A468" s="43" t="s">
        <v>357</v>
      </c>
      <c r="B468" s="50">
        <v>1</v>
      </c>
      <c r="C468" s="50"/>
      <c r="D468" s="50">
        <v>2</v>
      </c>
      <c r="E468" s="50"/>
      <c r="F468" s="50">
        <v>3</v>
      </c>
      <c r="G468" s="50"/>
      <c r="H468" s="50">
        <v>4</v>
      </c>
      <c r="I468" s="50"/>
      <c r="J468" s="50">
        <v>5</v>
      </c>
      <c r="K468" s="50"/>
      <c r="L468" s="50">
        <v>6</v>
      </c>
      <c r="M468" s="50"/>
      <c r="N468" s="50">
        <v>7</v>
      </c>
      <c r="O468" s="50"/>
      <c r="P468" s="2"/>
    </row>
    <row r="469" spans="1:16" ht="15" customHeight="1" x14ac:dyDescent="0.2">
      <c r="A469" s="43" t="s">
        <v>103</v>
      </c>
      <c r="B469" s="60" t="s">
        <v>0</v>
      </c>
      <c r="C469" s="61"/>
      <c r="D469" s="62" t="s">
        <v>1</v>
      </c>
      <c r="E469" s="63" t="e">
        <f ca="1">IF(WEEKDAY(DATEVALUE(Month1&amp;" 1, "&amp;Year1))=COLUMN(#REF!),1,IF(LEN(C469)&gt;0,C469+1,""))</f>
        <v>#VALUE!</v>
      </c>
      <c r="F469" s="61" t="s">
        <v>2</v>
      </c>
      <c r="G469" s="61" t="e">
        <f ca="1">IF(WEEKDAY(DATEVALUE(Month1&amp;" 1, "&amp;Year1))=COLUMN(#REF!),1,IF(LEN(E469)&gt;0,E469+1,""))</f>
        <v>#VALUE!</v>
      </c>
      <c r="H469" s="62" t="s">
        <v>3</v>
      </c>
      <c r="I469" s="63" t="e">
        <f ca="1">IF(WEEKDAY(DATEVALUE(Month1&amp;" 1, "&amp;Year1))=COLUMN(#REF!),1,IF(LEN(G469)&gt;0,G469+1,""))</f>
        <v>#VALUE!</v>
      </c>
      <c r="J469" s="64" t="s">
        <v>4</v>
      </c>
      <c r="K469" s="65" t="e">
        <f ca="1">IF(WEEKDAY(DATEVALUE(Month1&amp;" 1, "&amp;Year1))=COLUMN(#REF!),1,IF(LEN(I469)&gt;0,I469+1,""))</f>
        <v>#VALUE!</v>
      </c>
      <c r="L469" s="66" t="s">
        <v>5</v>
      </c>
      <c r="M469" s="67" t="e">
        <f ca="1">IF(WEEKDAY(DATEVALUE(Month1&amp;" 1, "&amp;Year1))=COLUMN(#REF!),1,IF(LEN(K469)&gt;0,K469+1,""))</f>
        <v>#VALUE!</v>
      </c>
      <c r="N469" s="66" t="s">
        <v>6</v>
      </c>
      <c r="O469" s="67" t="e">
        <f ca="1">IF(WEEKDAY(DATEVALUE(Month1&amp;" 1, "&amp;Year1))=COLUMN(#REF!),1,IF(LEN(M469)&gt;0,M469+1,""))</f>
        <v>#VALUE!</v>
      </c>
      <c r="P469" s="42" t="s">
        <v>7</v>
      </c>
    </row>
    <row r="470" spans="1:16" ht="15" customHeight="1" x14ac:dyDescent="0.2">
      <c r="A470" s="43" t="s">
        <v>114</v>
      </c>
      <c r="B470" s="14">
        <f ca="1">DAY(IF(DAY(SepSun1)=1,SepSun1-6,SepSun1+1))</f>
        <v>29</v>
      </c>
      <c r="C470" s="16"/>
      <c r="D470" s="19">
        <f ca="1">DAY(IF(DAY(SepSun1)=1,SepSun1-5,SepSun1+2))</f>
        <v>30</v>
      </c>
      <c r="E470" s="16"/>
      <c r="F470" s="19">
        <f ca="1">DAY(IF(DAY(SepSun1)=1,SepSun1-4,SepSun1+3))</f>
        <v>31</v>
      </c>
      <c r="G470" s="16"/>
      <c r="H470" s="19">
        <f ca="1">DAY(IF(DAY(SepSun1)=1,SepSun1-3,SepSun1+4))</f>
        <v>1</v>
      </c>
      <c r="I470" s="16"/>
      <c r="J470" s="19">
        <f ca="1">DAY(IF(DAY(SepSun1)=1,SepSun1-2,SepSun1+5))</f>
        <v>2</v>
      </c>
      <c r="K470" s="16"/>
      <c r="L470" s="19">
        <f ca="1">DAY(IF(DAY(SepSun1)=1,SepSun1-1,SepSun1+6))</f>
        <v>3</v>
      </c>
      <c r="M470" s="16"/>
      <c r="N470" s="20">
        <f ca="1">DAY(IF(DAY(SepSun1)=1,SepSun1,SepSun1+7))</f>
        <v>4</v>
      </c>
      <c r="O470" s="15"/>
      <c r="P470" s="21"/>
    </row>
    <row r="471" spans="1:16" ht="11.25" customHeight="1" x14ac:dyDescent="0.2">
      <c r="A471" s="43" t="s">
        <v>141</v>
      </c>
      <c r="B471" s="41" t="s">
        <v>9</v>
      </c>
      <c r="C471" s="36" t="s">
        <v>10</v>
      </c>
      <c r="D471" s="35" t="s">
        <v>9</v>
      </c>
      <c r="E471" s="36" t="s">
        <v>10</v>
      </c>
      <c r="F471" s="35" t="s">
        <v>9</v>
      </c>
      <c r="G471" s="36" t="s">
        <v>10</v>
      </c>
      <c r="H471" s="35" t="s">
        <v>9</v>
      </c>
      <c r="I471" s="36" t="s">
        <v>10</v>
      </c>
      <c r="J471" s="35" t="s">
        <v>9</v>
      </c>
      <c r="K471" s="36" t="s">
        <v>10</v>
      </c>
      <c r="L471" s="35" t="s">
        <v>9</v>
      </c>
      <c r="M471" s="36" t="s">
        <v>10</v>
      </c>
      <c r="N471" s="37" t="s">
        <v>9</v>
      </c>
      <c r="O471" s="38" t="s">
        <v>10</v>
      </c>
      <c r="P471" s="22"/>
    </row>
    <row r="472" spans="1:16" ht="11.25" customHeight="1" x14ac:dyDescent="0.2">
      <c r="A472" s="43" t="s">
        <v>358</v>
      </c>
      <c r="B472" s="17"/>
      <c r="C472" s="71" t="str">
        <f>IFERROR(VLOOKUP(B472,fixed_expenses4[],2,0),"")</f>
        <v/>
      </c>
      <c r="D472" s="17"/>
      <c r="E472" s="71" t="str">
        <f>IFERROR(VLOOKUP(D472,fixed_expenses4[],2,0),"")</f>
        <v/>
      </c>
      <c r="F472" s="17"/>
      <c r="G472" s="71" t="str">
        <f>IFERROR(VLOOKUP(F472,fixed_expenses4[],2,0),"")</f>
        <v/>
      </c>
      <c r="H472" s="17"/>
      <c r="I472" s="71" t="str">
        <f>IFERROR(VLOOKUP(H472,fixed_expenses4[],2,0),"")</f>
        <v/>
      </c>
      <c r="J472" s="17"/>
      <c r="K472" s="71" t="str">
        <f>IFERROR(VLOOKUP(J472,fixed_expenses4[],2,0),"")</f>
        <v/>
      </c>
      <c r="L472" s="17" t="s">
        <v>387</v>
      </c>
      <c r="M472" s="71">
        <f>IFERROR(VLOOKUP(L472,fixed_expenses4[],2,0),"")</f>
        <v>800</v>
      </c>
      <c r="N472" s="17"/>
      <c r="O472" s="71" t="str">
        <f>IFERROR(VLOOKUP(N472,fixed_expenses4[],2,0),"")</f>
        <v/>
      </c>
      <c r="P472" s="22"/>
    </row>
    <row r="473" spans="1:16" ht="11.25" customHeight="1" x14ac:dyDescent="0.2">
      <c r="B473" s="17"/>
      <c r="C473" s="71" t="str">
        <f>IFERROR(VLOOKUP(B473,fixed_expenses4[],2,0),"")</f>
        <v/>
      </c>
      <c r="D473" s="17"/>
      <c r="E473" s="71" t="str">
        <f>IFERROR(VLOOKUP(D473,fixed_expenses4[],2,0),"")</f>
        <v/>
      </c>
      <c r="F473" s="17"/>
      <c r="G473" s="71" t="str">
        <f>IFERROR(VLOOKUP(F473,fixed_expenses4[],2,0),"")</f>
        <v/>
      </c>
      <c r="H473" s="17"/>
      <c r="I473" s="71" t="str">
        <f>IFERROR(VLOOKUP(H473,fixed_expenses4[],2,0),"")</f>
        <v/>
      </c>
      <c r="J473" s="17"/>
      <c r="K473" s="71" t="str">
        <f>IFERROR(VLOOKUP(J473,fixed_expenses4[],2,0),"")</f>
        <v/>
      </c>
      <c r="L473" s="17"/>
      <c r="M473" s="71" t="str">
        <f>IFERROR(VLOOKUP(L473,fixed_expenses4[],2,0),"")</f>
        <v/>
      </c>
      <c r="N473" s="17"/>
      <c r="O473" s="71" t="str">
        <f>IFERROR(VLOOKUP(N473,fixed_expenses4[],2,0),"")</f>
        <v/>
      </c>
      <c r="P473" s="22"/>
    </row>
    <row r="474" spans="1:16" ht="11.25" customHeight="1" x14ac:dyDescent="0.2">
      <c r="B474" s="17"/>
      <c r="C474" s="71" t="str">
        <f>IFERROR(VLOOKUP(B474,fixed_expenses4[],2,0),"")</f>
        <v/>
      </c>
      <c r="D474" s="17"/>
      <c r="E474" s="71" t="str">
        <f>IFERROR(VLOOKUP(D474,fixed_expenses4[],2,0),"")</f>
        <v/>
      </c>
      <c r="F474" s="17"/>
      <c r="G474" s="71" t="str">
        <f>IFERROR(VLOOKUP(F474,fixed_expenses4[],2,0),"")</f>
        <v/>
      </c>
      <c r="H474" s="17"/>
      <c r="I474" s="71" t="str">
        <f>IFERROR(VLOOKUP(H474,fixed_expenses4[],2,0),"")</f>
        <v/>
      </c>
      <c r="J474" s="17"/>
      <c r="K474" s="71" t="str">
        <f>IFERROR(VLOOKUP(J474,fixed_expenses4[],2,0),"")</f>
        <v/>
      </c>
      <c r="L474" s="17"/>
      <c r="M474" s="71" t="str">
        <f>IFERROR(VLOOKUP(L474,fixed_expenses4[],2,0),"")</f>
        <v/>
      </c>
      <c r="N474" s="17"/>
      <c r="O474" s="71" t="str">
        <f>IFERROR(VLOOKUP(N474,fixed_expenses4[],2,0),"")</f>
        <v/>
      </c>
      <c r="P474" s="22"/>
    </row>
    <row r="475" spans="1:16" ht="11.25" customHeight="1" x14ac:dyDescent="0.2">
      <c r="B475" s="17"/>
      <c r="C475" s="71" t="str">
        <f>IFERROR(VLOOKUP(B475,fixed_expenses4[],2,0),"")</f>
        <v/>
      </c>
      <c r="D475" s="17"/>
      <c r="E475" s="71" t="str">
        <f>IFERROR(VLOOKUP(D475,fixed_expenses4[],2,0),"")</f>
        <v/>
      </c>
      <c r="F475" s="17"/>
      <c r="G475" s="71" t="str">
        <f>IFERROR(VLOOKUP(F475,fixed_expenses4[],2,0),"")</f>
        <v/>
      </c>
      <c r="H475" s="17"/>
      <c r="I475" s="71" t="str">
        <f>IFERROR(VLOOKUP(H475,fixed_expenses4[],2,0),"")</f>
        <v/>
      </c>
      <c r="J475" s="17"/>
      <c r="K475" s="71" t="str">
        <f>IFERROR(VLOOKUP(J475,fixed_expenses4[],2,0),"")</f>
        <v/>
      </c>
      <c r="L475" s="17"/>
      <c r="M475" s="71" t="str">
        <f>IFERROR(VLOOKUP(L475,fixed_expenses4[],2,0),"")</f>
        <v/>
      </c>
      <c r="N475" s="17"/>
      <c r="O475" s="71" t="str">
        <f>IFERROR(VLOOKUP(N475,fixed_expenses4[],2,0),"")</f>
        <v/>
      </c>
      <c r="P475" s="22"/>
    </row>
    <row r="476" spans="1:16" ht="11.25" customHeight="1" x14ac:dyDescent="0.2">
      <c r="B476" s="17"/>
      <c r="C476" s="71" t="str">
        <f>IFERROR(VLOOKUP(B476,fixed_expenses4[],2,0),"")</f>
        <v/>
      </c>
      <c r="D476" s="17"/>
      <c r="E476" s="71" t="str">
        <f>IFERROR(VLOOKUP(D476,fixed_expenses4[],2,0),"")</f>
        <v/>
      </c>
      <c r="F476" s="17"/>
      <c r="G476" s="71" t="str">
        <f>IFERROR(VLOOKUP(F476,fixed_expenses4[],2,0),"")</f>
        <v/>
      </c>
      <c r="H476" s="17"/>
      <c r="I476" s="71" t="str">
        <f>IFERROR(VLOOKUP(H476,fixed_expenses4[],2,0),"")</f>
        <v/>
      </c>
      <c r="J476" s="17"/>
      <c r="K476" s="71" t="str">
        <f>IFERROR(VLOOKUP(J476,fixed_expenses4[],2,0),"")</f>
        <v/>
      </c>
      <c r="L476" s="17"/>
      <c r="M476" s="71" t="str">
        <f>IFERROR(VLOOKUP(L476,fixed_expenses4[],2,0),"")</f>
        <v/>
      </c>
      <c r="N476" s="17"/>
      <c r="O476" s="71" t="str">
        <f>IFERROR(VLOOKUP(N476,fixed_expenses4[],2,0),"")</f>
        <v/>
      </c>
      <c r="P476" s="22"/>
    </row>
    <row r="477" spans="1:16" ht="11.25" customHeight="1" x14ac:dyDescent="0.2">
      <c r="A477" s="43" t="s">
        <v>308</v>
      </c>
      <c r="B477" s="26" t="s">
        <v>8</v>
      </c>
      <c r="C477" s="27">
        <f>SUM(C472:C476)</f>
        <v>0</v>
      </c>
      <c r="D477" s="18"/>
      <c r="E477" s="27">
        <f>SUM(E472:E476)</f>
        <v>0</v>
      </c>
      <c r="F477" s="18"/>
      <c r="G477" s="27">
        <f>SUM(G472:G476)</f>
        <v>0</v>
      </c>
      <c r="H477" s="18"/>
      <c r="I477" s="27">
        <f>SUM(I472:I476)</f>
        <v>0</v>
      </c>
      <c r="J477" s="18"/>
      <c r="K477" s="27">
        <f>SUM(K472:K476)</f>
        <v>0</v>
      </c>
      <c r="L477" s="18"/>
      <c r="M477" s="27">
        <f>SUM(M472:M476)</f>
        <v>800</v>
      </c>
      <c r="N477" s="26"/>
      <c r="O477" s="28">
        <f>SUM(O472:O476)</f>
        <v>0</v>
      </c>
      <c r="P477" s="29">
        <f ca="1">SUMIF(B470:N470,"&lt;8",C477:O477)</f>
        <v>800</v>
      </c>
    </row>
    <row r="478" spans="1:16" x14ac:dyDescent="0.2">
      <c r="B478" s="6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6"/>
    </row>
    <row r="479" spans="1:16" ht="15" customHeight="1" x14ac:dyDescent="0.2">
      <c r="A479" s="43" t="s">
        <v>265</v>
      </c>
      <c r="B479" s="12">
        <f ca="1">N470+1</f>
        <v>5</v>
      </c>
      <c r="C479" s="13"/>
      <c r="D479" s="12">
        <f ca="1">B479+1</f>
        <v>6</v>
      </c>
      <c r="E479" s="13"/>
      <c r="F479" s="12">
        <f ca="1">D479+1</f>
        <v>7</v>
      </c>
      <c r="G479" s="13"/>
      <c r="H479" s="12">
        <f ca="1">F479+1</f>
        <v>8</v>
      </c>
      <c r="I479" s="13"/>
      <c r="J479" s="12">
        <f ca="1">H479+1</f>
        <v>9</v>
      </c>
      <c r="K479" s="13"/>
      <c r="L479" s="12">
        <f ca="1">J479+1</f>
        <v>10</v>
      </c>
      <c r="M479" s="13"/>
      <c r="N479" s="12">
        <f ca="1">L479+1</f>
        <v>11</v>
      </c>
      <c r="O479" s="13"/>
      <c r="P479" s="23"/>
    </row>
    <row r="480" spans="1:16" ht="11.25" customHeight="1" x14ac:dyDescent="0.2">
      <c r="A480" s="43" t="s">
        <v>140</v>
      </c>
      <c r="B480" s="37" t="s">
        <v>9</v>
      </c>
      <c r="C480" s="39" t="s">
        <v>10</v>
      </c>
      <c r="D480" s="37" t="s">
        <v>9</v>
      </c>
      <c r="E480" s="39" t="s">
        <v>10</v>
      </c>
      <c r="F480" s="37" t="s">
        <v>9</v>
      </c>
      <c r="G480" s="39" t="s">
        <v>10</v>
      </c>
      <c r="H480" s="37" t="s">
        <v>9</v>
      </c>
      <c r="I480" s="39" t="s">
        <v>10</v>
      </c>
      <c r="J480" s="37" t="s">
        <v>9</v>
      </c>
      <c r="K480" s="39" t="s">
        <v>10</v>
      </c>
      <c r="L480" s="37" t="s">
        <v>9</v>
      </c>
      <c r="M480" s="39" t="s">
        <v>10</v>
      </c>
      <c r="N480" s="37" t="s">
        <v>9</v>
      </c>
      <c r="O480" s="40" t="s">
        <v>10</v>
      </c>
      <c r="P480" s="22"/>
    </row>
    <row r="481" spans="1:16" ht="11.25" customHeight="1" x14ac:dyDescent="0.2">
      <c r="A481" s="43" t="s">
        <v>213</v>
      </c>
      <c r="B481" s="17"/>
      <c r="C481" s="71" t="str">
        <f>IFERROR(VLOOKUP(B481,fixed_expenses4[],2,0),"")</f>
        <v/>
      </c>
      <c r="D481" s="17"/>
      <c r="E481" s="71" t="str">
        <f>IFERROR(VLOOKUP(D481,fixed_expenses4[],2,0),"")</f>
        <v/>
      </c>
      <c r="F481" s="17"/>
      <c r="G481" s="71" t="str">
        <f>IFERROR(VLOOKUP(F481,fixed_expenses4[],2,0),"")</f>
        <v/>
      </c>
      <c r="H481" s="17"/>
      <c r="I481" s="71" t="str">
        <f>IFERROR(VLOOKUP(H481,fixed_expenses4[],2,0),"")</f>
        <v/>
      </c>
      <c r="J481" s="17"/>
      <c r="K481" s="71" t="str">
        <f>IFERROR(VLOOKUP(J481,fixed_expenses4[],2,0),"")</f>
        <v/>
      </c>
      <c r="L481" s="17" t="s">
        <v>387</v>
      </c>
      <c r="M481" s="71">
        <f>IFERROR(VLOOKUP(L481,fixed_expenses4[],2,0),"")</f>
        <v>800</v>
      </c>
      <c r="N481" s="17"/>
      <c r="O481" s="71" t="str">
        <f>IFERROR(VLOOKUP(N481,fixed_expenses4[],2,0),"")</f>
        <v/>
      </c>
      <c r="P481" s="22"/>
    </row>
    <row r="482" spans="1:16" ht="11.25" customHeight="1" x14ac:dyDescent="0.2">
      <c r="B482" s="17"/>
      <c r="C482" s="71" t="str">
        <f>IFERROR(VLOOKUP(B482,fixed_expenses4[],2,0),"")</f>
        <v/>
      </c>
      <c r="D482" s="17"/>
      <c r="E482" s="71" t="str">
        <f>IFERROR(VLOOKUP(D482,fixed_expenses4[],2,0),"")</f>
        <v/>
      </c>
      <c r="F482" s="17"/>
      <c r="G482" s="71" t="str">
        <f>IFERROR(VLOOKUP(F482,fixed_expenses4[],2,0),"")</f>
        <v/>
      </c>
      <c r="H482" s="17"/>
      <c r="I482" s="71" t="str">
        <f>IFERROR(VLOOKUP(H482,fixed_expenses4[],2,0),"")</f>
        <v/>
      </c>
      <c r="J482" s="17"/>
      <c r="K482" s="71" t="str">
        <f>IFERROR(VLOOKUP(J482,fixed_expenses4[],2,0),"")</f>
        <v/>
      </c>
      <c r="L482" s="80" t="s">
        <v>388</v>
      </c>
      <c r="M482" s="71">
        <f>IFERROR(VLOOKUP(L482,fixed_expenses4[],2,0),"")</f>
        <v>770</v>
      </c>
      <c r="N482" s="17"/>
      <c r="O482" s="71" t="str">
        <f>IFERROR(VLOOKUP(N482,fixed_expenses4[],2,0),"")</f>
        <v/>
      </c>
      <c r="P482" s="22"/>
    </row>
    <row r="483" spans="1:16" ht="11.25" customHeight="1" x14ac:dyDescent="0.2">
      <c r="B483" s="17"/>
      <c r="C483" s="71" t="str">
        <f>IFERROR(VLOOKUP(B483,fixed_expenses4[],2,0),"")</f>
        <v/>
      </c>
      <c r="D483" s="17"/>
      <c r="E483" s="71" t="str">
        <f>IFERROR(VLOOKUP(D483,fixed_expenses4[],2,0),"")</f>
        <v/>
      </c>
      <c r="F483" s="17"/>
      <c r="G483" s="71" t="str">
        <f>IFERROR(VLOOKUP(F483,fixed_expenses4[],2,0),"")</f>
        <v/>
      </c>
      <c r="H483" s="17"/>
      <c r="I483" s="71" t="str">
        <f>IFERROR(VLOOKUP(H483,fixed_expenses4[],2,0),"")</f>
        <v/>
      </c>
      <c r="J483" s="17"/>
      <c r="K483" s="71" t="str">
        <f>IFERROR(VLOOKUP(J483,fixed_expenses4[],2,0),"")</f>
        <v/>
      </c>
      <c r="L483" s="17"/>
      <c r="M483" s="71" t="str">
        <f>IFERROR(VLOOKUP(L483,fixed_expenses4[],2,0),"")</f>
        <v/>
      </c>
      <c r="N483" s="17"/>
      <c r="O483" s="71" t="str">
        <f>IFERROR(VLOOKUP(N483,fixed_expenses4[],2,0),"")</f>
        <v/>
      </c>
      <c r="P483" s="22"/>
    </row>
    <row r="484" spans="1:16" ht="11.25" customHeight="1" x14ac:dyDescent="0.2">
      <c r="B484" s="17"/>
      <c r="C484" s="71" t="str">
        <f>IFERROR(VLOOKUP(B484,fixed_expenses4[],2,0),"")</f>
        <v/>
      </c>
      <c r="D484" s="17"/>
      <c r="E484" s="71" t="str">
        <f>IFERROR(VLOOKUP(D484,fixed_expenses4[],2,0),"")</f>
        <v/>
      </c>
      <c r="F484" s="17"/>
      <c r="G484" s="71" t="str">
        <f>IFERROR(VLOOKUP(F484,fixed_expenses4[],2,0),"")</f>
        <v/>
      </c>
      <c r="H484" s="17"/>
      <c r="I484" s="71" t="str">
        <f>IFERROR(VLOOKUP(H484,fixed_expenses4[],2,0),"")</f>
        <v/>
      </c>
      <c r="J484" s="17"/>
      <c r="K484" s="71" t="str">
        <f>IFERROR(VLOOKUP(J484,fixed_expenses4[],2,0),"")</f>
        <v/>
      </c>
      <c r="L484" s="17"/>
      <c r="M484" s="71" t="str">
        <f>IFERROR(VLOOKUP(L484,fixed_expenses4[],2,0),"")</f>
        <v/>
      </c>
      <c r="N484" s="17"/>
      <c r="O484" s="71" t="str">
        <f>IFERROR(VLOOKUP(N484,fixed_expenses4[],2,0),"")</f>
        <v/>
      </c>
      <c r="P484" s="22"/>
    </row>
    <row r="485" spans="1:16" ht="11.25" customHeight="1" x14ac:dyDescent="0.2">
      <c r="B485" s="17"/>
      <c r="C485" s="71" t="str">
        <f>IFERROR(VLOOKUP(B485,fixed_expenses4[],2,0),"")</f>
        <v/>
      </c>
      <c r="D485" s="17"/>
      <c r="E485" s="71" t="str">
        <f>IFERROR(VLOOKUP(D485,fixed_expenses4[],2,0),"")</f>
        <v/>
      </c>
      <c r="F485" s="17"/>
      <c r="G485" s="71" t="str">
        <f>IFERROR(VLOOKUP(F485,fixed_expenses4[],2,0),"")</f>
        <v/>
      </c>
      <c r="H485" s="17"/>
      <c r="I485" s="71" t="str">
        <f>IFERROR(VLOOKUP(H485,fixed_expenses4[],2,0),"")</f>
        <v/>
      </c>
      <c r="J485" s="17"/>
      <c r="K485" s="71" t="str">
        <f>IFERROR(VLOOKUP(J485,fixed_expenses4[],2,0),"")</f>
        <v/>
      </c>
      <c r="L485" s="17"/>
      <c r="M485" s="71" t="str">
        <f>IFERROR(VLOOKUP(L485,fixed_expenses4[],2,0),"")</f>
        <v/>
      </c>
      <c r="N485" s="17"/>
      <c r="O485" s="71" t="str">
        <f>IFERROR(VLOOKUP(N485,fixed_expenses4[],2,0),"")</f>
        <v/>
      </c>
      <c r="P485" s="22"/>
    </row>
    <row r="486" spans="1:16" ht="11.25" customHeight="1" x14ac:dyDescent="0.2">
      <c r="A486" s="43" t="s">
        <v>307</v>
      </c>
      <c r="B486" s="26" t="s">
        <v>8</v>
      </c>
      <c r="C486" s="27">
        <f>SUM(C481:C485)</f>
        <v>0</v>
      </c>
      <c r="D486" s="26"/>
      <c r="E486" s="27">
        <f>SUM(E481:E485)</f>
        <v>0</v>
      </c>
      <c r="F486" s="26"/>
      <c r="G486" s="27">
        <f>SUM(G481:G485)</f>
        <v>0</v>
      </c>
      <c r="H486" s="26"/>
      <c r="I486" s="27">
        <f>SUM(I481:I485)</f>
        <v>0</v>
      </c>
      <c r="J486" s="26"/>
      <c r="K486" s="27">
        <f>SUM(K481:K485)</f>
        <v>0</v>
      </c>
      <c r="L486" s="26"/>
      <c r="M486" s="27">
        <f>SUM(M481:M485)</f>
        <v>1570</v>
      </c>
      <c r="N486" s="26"/>
      <c r="O486" s="28">
        <f>SUM(O481:O485)</f>
        <v>0</v>
      </c>
      <c r="P486" s="29">
        <f>SUM(C486,E486,G486,I486,K486,M486,O486)</f>
        <v>1570</v>
      </c>
    </row>
    <row r="487" spans="1:16" x14ac:dyDescent="0.2">
      <c r="B487" s="6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6"/>
    </row>
    <row r="488" spans="1:16" ht="15" customHeight="1" x14ac:dyDescent="0.2">
      <c r="A488" s="43" t="s">
        <v>266</v>
      </c>
      <c r="B488" s="12">
        <f ca="1">N479+1</f>
        <v>12</v>
      </c>
      <c r="C488" s="13"/>
      <c r="D488" s="12">
        <f ca="1">B488+1</f>
        <v>13</v>
      </c>
      <c r="E488" s="13"/>
      <c r="F488" s="12">
        <f ca="1">D488+1</f>
        <v>14</v>
      </c>
      <c r="G488" s="13"/>
      <c r="H488" s="12">
        <f ca="1">F488+1</f>
        <v>15</v>
      </c>
      <c r="I488" s="13"/>
      <c r="J488" s="12">
        <f ca="1">H488+1</f>
        <v>16</v>
      </c>
      <c r="K488" s="13"/>
      <c r="L488" s="12">
        <f ca="1">J488+1</f>
        <v>17</v>
      </c>
      <c r="M488" s="13"/>
      <c r="N488" s="12">
        <f ca="1">L488+1</f>
        <v>18</v>
      </c>
      <c r="O488" s="13"/>
      <c r="P488" s="24"/>
    </row>
    <row r="489" spans="1:16" ht="11.25" customHeight="1" x14ac:dyDescent="0.2">
      <c r="A489" s="43" t="s">
        <v>139</v>
      </c>
      <c r="B489" s="37" t="s">
        <v>9</v>
      </c>
      <c r="C489" s="39" t="s">
        <v>10</v>
      </c>
      <c r="D489" s="37" t="s">
        <v>9</v>
      </c>
      <c r="E489" s="39" t="s">
        <v>10</v>
      </c>
      <c r="F489" s="37" t="s">
        <v>9</v>
      </c>
      <c r="G489" s="39" t="s">
        <v>10</v>
      </c>
      <c r="H489" s="37" t="s">
        <v>9</v>
      </c>
      <c r="I489" s="39" t="s">
        <v>10</v>
      </c>
      <c r="J489" s="37" t="s">
        <v>9</v>
      </c>
      <c r="K489" s="39" t="s">
        <v>10</v>
      </c>
      <c r="L489" s="37" t="s">
        <v>9</v>
      </c>
      <c r="M489" s="39" t="s">
        <v>10</v>
      </c>
      <c r="N489" s="37" t="s">
        <v>9</v>
      </c>
      <c r="O489" s="40" t="s">
        <v>10</v>
      </c>
      <c r="P489" s="22"/>
    </row>
    <row r="490" spans="1:16" ht="11.25" customHeight="1" x14ac:dyDescent="0.2">
      <c r="A490" s="43" t="s">
        <v>214</v>
      </c>
      <c r="B490" s="17"/>
      <c r="C490" s="71" t="str">
        <f>IFERROR(VLOOKUP(B490,fixed_expenses4[],2,0),"")</f>
        <v/>
      </c>
      <c r="D490" s="17"/>
      <c r="E490" s="71" t="str">
        <f>IFERROR(VLOOKUP(D490,fixed_expenses4[],2,0),"")</f>
        <v/>
      </c>
      <c r="F490" s="17"/>
      <c r="G490" s="71" t="str">
        <f>IFERROR(VLOOKUP(F490,fixed_expenses4[],2,0),"")</f>
        <v/>
      </c>
      <c r="H490" s="17"/>
      <c r="I490" s="71" t="str">
        <f>IFERROR(VLOOKUP(H490,fixed_expenses4[],2,0),"")</f>
        <v/>
      </c>
      <c r="J490" s="17"/>
      <c r="K490" s="71" t="str">
        <f>IFERROR(VLOOKUP(J490,fixed_expenses4[],2,0),"")</f>
        <v/>
      </c>
      <c r="L490" s="17" t="s">
        <v>387</v>
      </c>
      <c r="M490" s="71">
        <f>IFERROR(VLOOKUP(L490,fixed_expenses4[],2,0),"")</f>
        <v>800</v>
      </c>
      <c r="N490" s="17"/>
      <c r="O490" s="71" t="str">
        <f>IFERROR(VLOOKUP(N490,fixed_expenses4[],2,0),"")</f>
        <v/>
      </c>
      <c r="P490" s="22"/>
    </row>
    <row r="491" spans="1:16" ht="11.25" customHeight="1" x14ac:dyDescent="0.2">
      <c r="B491" s="17"/>
      <c r="C491" s="71" t="str">
        <f>IFERROR(VLOOKUP(B491,fixed_expenses4[],2,0),"")</f>
        <v/>
      </c>
      <c r="D491" s="17"/>
      <c r="E491" s="71" t="str">
        <f>IFERROR(VLOOKUP(D491,fixed_expenses4[],2,0),"")</f>
        <v/>
      </c>
      <c r="F491" s="17"/>
      <c r="G491" s="71" t="str">
        <f>IFERROR(VLOOKUP(F491,fixed_expenses4[],2,0),"")</f>
        <v/>
      </c>
      <c r="H491" s="17"/>
      <c r="I491" s="71" t="str">
        <f>IFERROR(VLOOKUP(H491,fixed_expenses4[],2,0),"")</f>
        <v/>
      </c>
      <c r="J491" s="17"/>
      <c r="K491" s="71" t="str">
        <f>IFERROR(VLOOKUP(J491,fixed_expenses4[],2,0),"")</f>
        <v/>
      </c>
      <c r="L491" s="17"/>
      <c r="M491" s="71" t="str">
        <f>IFERROR(VLOOKUP(L491,fixed_expenses4[],2,0),"")</f>
        <v/>
      </c>
      <c r="N491" s="17"/>
      <c r="O491" s="71" t="str">
        <f>IFERROR(VLOOKUP(N491,fixed_expenses4[],2,0),"")</f>
        <v/>
      </c>
      <c r="P491" s="22"/>
    </row>
    <row r="492" spans="1:16" ht="11.25" customHeight="1" x14ac:dyDescent="0.2">
      <c r="B492" s="17"/>
      <c r="C492" s="71" t="str">
        <f>IFERROR(VLOOKUP(B492,fixed_expenses4[],2,0),"")</f>
        <v/>
      </c>
      <c r="D492" s="17"/>
      <c r="E492" s="71" t="str">
        <f>IFERROR(VLOOKUP(D492,fixed_expenses4[],2,0),"")</f>
        <v/>
      </c>
      <c r="F492" s="17"/>
      <c r="G492" s="71" t="str">
        <f>IFERROR(VLOOKUP(F492,fixed_expenses4[],2,0),"")</f>
        <v/>
      </c>
      <c r="H492" s="17"/>
      <c r="I492" s="71" t="str">
        <f>IFERROR(VLOOKUP(H492,fixed_expenses4[],2,0),"")</f>
        <v/>
      </c>
      <c r="J492" s="17"/>
      <c r="K492" s="71" t="str">
        <f>IFERROR(VLOOKUP(J492,fixed_expenses4[],2,0),"")</f>
        <v/>
      </c>
      <c r="L492" s="17"/>
      <c r="M492" s="71" t="str">
        <f>IFERROR(VLOOKUP(L492,fixed_expenses4[],2,0),"")</f>
        <v/>
      </c>
      <c r="N492" s="17"/>
      <c r="O492" s="71" t="str">
        <f>IFERROR(VLOOKUP(N492,fixed_expenses4[],2,0),"")</f>
        <v/>
      </c>
      <c r="P492" s="22"/>
    </row>
    <row r="493" spans="1:16" ht="11.25" customHeight="1" x14ac:dyDescent="0.2">
      <c r="B493" s="17"/>
      <c r="C493" s="71" t="str">
        <f>IFERROR(VLOOKUP(B493,fixed_expenses4[],2,0),"")</f>
        <v/>
      </c>
      <c r="D493" s="17"/>
      <c r="E493" s="71" t="str">
        <f>IFERROR(VLOOKUP(D493,fixed_expenses4[],2,0),"")</f>
        <v/>
      </c>
      <c r="F493" s="17"/>
      <c r="G493" s="71" t="str">
        <f>IFERROR(VLOOKUP(F493,fixed_expenses4[],2,0),"")</f>
        <v/>
      </c>
      <c r="H493" s="17"/>
      <c r="I493" s="71" t="str">
        <f>IFERROR(VLOOKUP(H493,fixed_expenses4[],2,0),"")</f>
        <v/>
      </c>
      <c r="J493" s="17"/>
      <c r="K493" s="71" t="str">
        <f>IFERROR(VLOOKUP(J493,fixed_expenses4[],2,0),"")</f>
        <v/>
      </c>
      <c r="L493" s="17"/>
      <c r="M493" s="71" t="str">
        <f>IFERROR(VLOOKUP(L493,fixed_expenses4[],2,0),"")</f>
        <v/>
      </c>
      <c r="N493" s="17"/>
      <c r="O493" s="71" t="str">
        <f>IFERROR(VLOOKUP(N493,fixed_expenses4[],2,0),"")</f>
        <v/>
      </c>
      <c r="P493" s="22"/>
    </row>
    <row r="494" spans="1:16" ht="11.25" customHeight="1" x14ac:dyDescent="0.2">
      <c r="B494" s="17"/>
      <c r="C494" s="71" t="str">
        <f>IFERROR(VLOOKUP(B494,fixed_expenses4[],2,0),"")</f>
        <v/>
      </c>
      <c r="D494" s="17"/>
      <c r="E494" s="71" t="str">
        <f>IFERROR(VLOOKUP(D494,fixed_expenses4[],2,0),"")</f>
        <v/>
      </c>
      <c r="F494" s="17"/>
      <c r="G494" s="71" t="str">
        <f>IFERROR(VLOOKUP(F494,fixed_expenses4[],2,0),"")</f>
        <v/>
      </c>
      <c r="H494" s="17"/>
      <c r="I494" s="71" t="str">
        <f>IFERROR(VLOOKUP(H494,fixed_expenses4[],2,0),"")</f>
        <v/>
      </c>
      <c r="J494" s="17"/>
      <c r="K494" s="71" t="str">
        <f>IFERROR(VLOOKUP(J494,fixed_expenses4[],2,0),"")</f>
        <v/>
      </c>
      <c r="L494" s="17"/>
      <c r="M494" s="71" t="str">
        <f>IFERROR(VLOOKUP(L494,fixed_expenses4[],2,0),"")</f>
        <v/>
      </c>
      <c r="N494" s="17"/>
      <c r="O494" s="71" t="str">
        <f>IFERROR(VLOOKUP(N494,fixed_expenses4[],2,0),"")</f>
        <v/>
      </c>
      <c r="P494" s="22"/>
    </row>
    <row r="495" spans="1:16" ht="11.25" customHeight="1" x14ac:dyDescent="0.2">
      <c r="A495" s="43" t="s">
        <v>306</v>
      </c>
      <c r="B495" s="30" t="s">
        <v>8</v>
      </c>
      <c r="C495" s="27">
        <f>SUM(C490:C494)</f>
        <v>0</v>
      </c>
      <c r="D495" s="26"/>
      <c r="E495" s="27">
        <f>SUM(E490:E494)</f>
        <v>0</v>
      </c>
      <c r="F495" s="26"/>
      <c r="G495" s="27">
        <f>SUM(G490:G494)</f>
        <v>0</v>
      </c>
      <c r="H495" s="26"/>
      <c r="I495" s="27">
        <f>SUM(I490:I494)</f>
        <v>0</v>
      </c>
      <c r="J495" s="26"/>
      <c r="K495" s="27">
        <f>SUM(K490:K494)</f>
        <v>0</v>
      </c>
      <c r="L495" s="26"/>
      <c r="M495" s="27">
        <f>SUM(M490:M494)</f>
        <v>800</v>
      </c>
      <c r="N495" s="26"/>
      <c r="O495" s="28">
        <f>SUM(O490:O494)</f>
        <v>0</v>
      </c>
      <c r="P495" s="29">
        <f>SUM(C495,E495,G495,I495,K495,M495,O495)</f>
        <v>800</v>
      </c>
    </row>
    <row r="496" spans="1:16" x14ac:dyDescent="0.2">
      <c r="B496" s="6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6"/>
    </row>
    <row r="497" spans="1:16" ht="15" customHeight="1" x14ac:dyDescent="0.2">
      <c r="A497" s="43" t="s">
        <v>267</v>
      </c>
      <c r="B497" s="12">
        <f ca="1">N488+1</f>
        <v>19</v>
      </c>
      <c r="C497" s="13"/>
      <c r="D497" s="12">
        <f ca="1">B497+1</f>
        <v>20</v>
      </c>
      <c r="E497" s="13"/>
      <c r="F497" s="12">
        <f ca="1">D497+1</f>
        <v>21</v>
      </c>
      <c r="G497" s="13"/>
      <c r="H497" s="12">
        <f ca="1">F497+1</f>
        <v>22</v>
      </c>
      <c r="I497" s="13"/>
      <c r="J497" s="12">
        <f ca="1">H497+1</f>
        <v>23</v>
      </c>
      <c r="K497" s="13"/>
      <c r="L497" s="12">
        <f ca="1">J497+1</f>
        <v>24</v>
      </c>
      <c r="M497" s="13"/>
      <c r="N497" s="12">
        <f ca="1">L497+1</f>
        <v>25</v>
      </c>
      <c r="O497" s="13"/>
      <c r="P497" s="24"/>
    </row>
    <row r="498" spans="1:16" ht="11.25" customHeight="1" x14ac:dyDescent="0.2">
      <c r="A498" s="43" t="s">
        <v>138</v>
      </c>
      <c r="B498" s="37" t="s">
        <v>9</v>
      </c>
      <c r="C498" s="39" t="s">
        <v>10</v>
      </c>
      <c r="D498" s="37" t="s">
        <v>9</v>
      </c>
      <c r="E498" s="39" t="s">
        <v>10</v>
      </c>
      <c r="F498" s="37" t="s">
        <v>9</v>
      </c>
      <c r="G498" s="39" t="s">
        <v>10</v>
      </c>
      <c r="H498" s="37" t="s">
        <v>9</v>
      </c>
      <c r="I498" s="39" t="s">
        <v>10</v>
      </c>
      <c r="J498" s="37" t="s">
        <v>9</v>
      </c>
      <c r="K498" s="39" t="s">
        <v>10</v>
      </c>
      <c r="L498" s="37" t="s">
        <v>9</v>
      </c>
      <c r="M498" s="39" t="s">
        <v>10</v>
      </c>
      <c r="N498" s="37" t="s">
        <v>9</v>
      </c>
      <c r="O498" s="40" t="s">
        <v>10</v>
      </c>
      <c r="P498" s="22"/>
    </row>
    <row r="499" spans="1:16" ht="11.25" customHeight="1" x14ac:dyDescent="0.2">
      <c r="A499" s="43" t="s">
        <v>215</v>
      </c>
      <c r="B499" s="17"/>
      <c r="C499" s="71" t="str">
        <f>IFERROR(VLOOKUP(B499,fixed_expenses4[],2,0),"")</f>
        <v/>
      </c>
      <c r="D499" s="17"/>
      <c r="E499" s="71" t="str">
        <f>IFERROR(VLOOKUP(D499,fixed_expenses4[],2,0),"")</f>
        <v/>
      </c>
      <c r="F499" s="17"/>
      <c r="G499" s="71" t="str">
        <f>IFERROR(VLOOKUP(F499,fixed_expenses4[],2,0),"")</f>
        <v/>
      </c>
      <c r="H499" s="17"/>
      <c r="I499" s="71" t="str">
        <f>IFERROR(VLOOKUP(H499,fixed_expenses4[],2,0),"")</f>
        <v/>
      </c>
      <c r="J499" s="17"/>
      <c r="K499" s="71" t="str">
        <f>IFERROR(VLOOKUP(J499,fixed_expenses4[],2,0),"")</f>
        <v/>
      </c>
      <c r="L499" s="17" t="s">
        <v>387</v>
      </c>
      <c r="M499" s="71">
        <f>IFERROR(VLOOKUP(L499,fixed_expenses4[],2,0),"")</f>
        <v>800</v>
      </c>
      <c r="N499" s="17"/>
      <c r="O499" s="71" t="str">
        <f>IFERROR(VLOOKUP(N499,fixed_expenses4[],2,0),"")</f>
        <v/>
      </c>
      <c r="P499" s="22"/>
    </row>
    <row r="500" spans="1:16" ht="11.25" customHeight="1" x14ac:dyDescent="0.2">
      <c r="B500" s="17"/>
      <c r="C500" s="71" t="str">
        <f>IFERROR(VLOOKUP(B500,fixed_expenses4[],2,0),"")</f>
        <v/>
      </c>
      <c r="D500" s="17"/>
      <c r="E500" s="71" t="str">
        <f>IFERROR(VLOOKUP(D500,fixed_expenses4[],2,0),"")</f>
        <v/>
      </c>
      <c r="F500" s="17"/>
      <c r="G500" s="71" t="str">
        <f>IFERROR(VLOOKUP(F500,fixed_expenses4[],2,0),"")</f>
        <v/>
      </c>
      <c r="H500" s="17"/>
      <c r="I500" s="71" t="str">
        <f>IFERROR(VLOOKUP(H500,fixed_expenses4[],2,0),"")</f>
        <v/>
      </c>
      <c r="J500" s="17"/>
      <c r="K500" s="71" t="str">
        <f>IFERROR(VLOOKUP(J500,fixed_expenses4[],2,0),"")</f>
        <v/>
      </c>
      <c r="L500" s="80" t="s">
        <v>388</v>
      </c>
      <c r="M500" s="71">
        <f>IFERROR(VLOOKUP(L500,fixed_expenses4[],2,0),"")</f>
        <v>770</v>
      </c>
      <c r="N500" s="17"/>
      <c r="O500" s="71" t="str">
        <f>IFERROR(VLOOKUP(N500,fixed_expenses4[],2,0),"")</f>
        <v/>
      </c>
      <c r="P500" s="22"/>
    </row>
    <row r="501" spans="1:16" ht="11.25" customHeight="1" x14ac:dyDescent="0.2">
      <c r="B501" s="17"/>
      <c r="C501" s="71" t="str">
        <f>IFERROR(VLOOKUP(B501,fixed_expenses4[],2,0),"")</f>
        <v/>
      </c>
      <c r="D501" s="17"/>
      <c r="E501" s="71" t="str">
        <f>IFERROR(VLOOKUP(D501,fixed_expenses4[],2,0),"")</f>
        <v/>
      </c>
      <c r="F501" s="17"/>
      <c r="G501" s="71" t="str">
        <f>IFERROR(VLOOKUP(F501,fixed_expenses4[],2,0),"")</f>
        <v/>
      </c>
      <c r="H501" s="17"/>
      <c r="I501" s="71" t="str">
        <f>IFERROR(VLOOKUP(H501,fixed_expenses4[],2,0),"")</f>
        <v/>
      </c>
      <c r="J501" s="17"/>
      <c r="K501" s="71" t="str">
        <f>IFERROR(VLOOKUP(J501,fixed_expenses4[],2,0),"")</f>
        <v/>
      </c>
      <c r="L501" s="17"/>
      <c r="M501" s="71" t="str">
        <f>IFERROR(VLOOKUP(L501,fixed_expenses4[],2,0),"")</f>
        <v/>
      </c>
      <c r="N501" s="17"/>
      <c r="O501" s="71" t="str">
        <f>IFERROR(VLOOKUP(N501,fixed_expenses4[],2,0),"")</f>
        <v/>
      </c>
      <c r="P501" s="22"/>
    </row>
    <row r="502" spans="1:16" ht="11.25" customHeight="1" x14ac:dyDescent="0.2">
      <c r="B502" s="17"/>
      <c r="C502" s="71" t="str">
        <f>IFERROR(VLOOKUP(B502,fixed_expenses4[],2,0),"")</f>
        <v/>
      </c>
      <c r="D502" s="17"/>
      <c r="E502" s="71" t="str">
        <f>IFERROR(VLOOKUP(D502,fixed_expenses4[],2,0),"")</f>
        <v/>
      </c>
      <c r="F502" s="17"/>
      <c r="G502" s="71" t="str">
        <f>IFERROR(VLOOKUP(F502,fixed_expenses4[],2,0),"")</f>
        <v/>
      </c>
      <c r="H502" s="17"/>
      <c r="I502" s="71" t="str">
        <f>IFERROR(VLOOKUP(H502,fixed_expenses4[],2,0),"")</f>
        <v/>
      </c>
      <c r="J502" s="17"/>
      <c r="K502" s="71" t="str">
        <f>IFERROR(VLOOKUP(J502,fixed_expenses4[],2,0),"")</f>
        <v/>
      </c>
      <c r="L502" s="17"/>
      <c r="M502" s="71" t="str">
        <f>IFERROR(VLOOKUP(L502,fixed_expenses4[],2,0),"")</f>
        <v/>
      </c>
      <c r="N502" s="17"/>
      <c r="O502" s="71" t="str">
        <f>IFERROR(VLOOKUP(N502,fixed_expenses4[],2,0),"")</f>
        <v/>
      </c>
      <c r="P502" s="22"/>
    </row>
    <row r="503" spans="1:16" ht="11.25" customHeight="1" x14ac:dyDescent="0.2">
      <c r="B503" s="17"/>
      <c r="C503" s="71" t="str">
        <f>IFERROR(VLOOKUP(B503,fixed_expenses4[],2,0),"")</f>
        <v/>
      </c>
      <c r="D503" s="17"/>
      <c r="E503" s="71" t="str">
        <f>IFERROR(VLOOKUP(D503,fixed_expenses4[],2,0),"")</f>
        <v/>
      </c>
      <c r="F503" s="17"/>
      <c r="G503" s="71" t="str">
        <f>IFERROR(VLOOKUP(F503,fixed_expenses4[],2,0),"")</f>
        <v/>
      </c>
      <c r="H503" s="17"/>
      <c r="I503" s="71" t="str">
        <f>IFERROR(VLOOKUP(H503,fixed_expenses4[],2,0),"")</f>
        <v/>
      </c>
      <c r="J503" s="17"/>
      <c r="K503" s="71" t="str">
        <f>IFERROR(VLOOKUP(J503,fixed_expenses4[],2,0),"")</f>
        <v/>
      </c>
      <c r="L503" s="17"/>
      <c r="M503" s="71" t="str">
        <f>IFERROR(VLOOKUP(L503,fixed_expenses4[],2,0),"")</f>
        <v/>
      </c>
      <c r="N503" s="17"/>
      <c r="O503" s="71" t="str">
        <f>IFERROR(VLOOKUP(N503,fixed_expenses4[],2,0),"")</f>
        <v/>
      </c>
      <c r="P503" s="22"/>
    </row>
    <row r="504" spans="1:16" ht="11.25" customHeight="1" x14ac:dyDescent="0.2">
      <c r="A504" s="43" t="s">
        <v>305</v>
      </c>
      <c r="B504" s="26" t="s">
        <v>8</v>
      </c>
      <c r="C504" s="27">
        <f>SUM(C499:C503)</f>
        <v>0</v>
      </c>
      <c r="D504" s="26"/>
      <c r="E504" s="27">
        <f>SUM(E499:E503)</f>
        <v>0</v>
      </c>
      <c r="F504" s="26"/>
      <c r="G504" s="27">
        <f>SUM(G499:G503)</f>
        <v>0</v>
      </c>
      <c r="H504" s="26"/>
      <c r="I504" s="27">
        <f>SUM(I499:I503)</f>
        <v>0</v>
      </c>
      <c r="J504" s="26"/>
      <c r="K504" s="27">
        <f>SUM(K499:K503)</f>
        <v>0</v>
      </c>
      <c r="L504" s="26"/>
      <c r="M504" s="27">
        <f>SUM(M499:M503)</f>
        <v>1570</v>
      </c>
      <c r="N504" s="26"/>
      <c r="O504" s="28">
        <f>SUM(O499:O503)</f>
        <v>0</v>
      </c>
      <c r="P504" s="29">
        <f>SUM(C504,E504,G504,I504,K504,M504,O504)</f>
        <v>1570</v>
      </c>
    </row>
    <row r="505" spans="1:16" x14ac:dyDescent="0.2">
      <c r="B505" s="6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6"/>
    </row>
    <row r="506" spans="1:16" ht="15" customHeight="1" x14ac:dyDescent="0.2">
      <c r="A506" s="43" t="s">
        <v>268</v>
      </c>
      <c r="B506" s="12">
        <f ca="1">DAY(IF(DAY(SepSun1)=1,SepSun1+22,SepSun1+29))</f>
        <v>26</v>
      </c>
      <c r="C506" s="13"/>
      <c r="D506" s="12">
        <f ca="1">DAY(IF(DAY(SepSun1)=1,SepSun1+23,SepSun1+30))</f>
        <v>27</v>
      </c>
      <c r="E506" s="13"/>
      <c r="F506" s="12">
        <f ca="1">DAY(IF(DAY(SepSun1)=1,SepSun1+24,SepSun1+31))</f>
        <v>28</v>
      </c>
      <c r="G506" s="13"/>
      <c r="H506" s="12">
        <f ca="1">DAY(IF(DAY(SepSun1)=1,SepSun1+25,SepSun1+32))</f>
        <v>29</v>
      </c>
      <c r="I506" s="13"/>
      <c r="J506" s="12">
        <f ca="1">DAY(IF(DAY(SepSun1)=1,SepSun1+26,SepSun1+33))</f>
        <v>30</v>
      </c>
      <c r="K506" s="13"/>
      <c r="L506" s="12">
        <f ca="1">DAY(IF(DAY(SepSun1)=1,SepSun1+27,SepSun1+34))</f>
        <v>1</v>
      </c>
      <c r="M506" s="13"/>
      <c r="N506" s="12">
        <f ca="1">DAY(IF(DAY(SepSun1)=1,SepSun1+28,SepSun1+35))</f>
        <v>2</v>
      </c>
      <c r="O506" s="13"/>
      <c r="P506" s="25"/>
    </row>
    <row r="507" spans="1:16" ht="11.25" customHeight="1" x14ac:dyDescent="0.2">
      <c r="A507" s="43" t="s">
        <v>137</v>
      </c>
      <c r="B507" s="37" t="s">
        <v>9</v>
      </c>
      <c r="C507" s="39" t="s">
        <v>10</v>
      </c>
      <c r="D507" s="37" t="s">
        <v>9</v>
      </c>
      <c r="E507" s="39" t="s">
        <v>10</v>
      </c>
      <c r="F507" s="37" t="s">
        <v>9</v>
      </c>
      <c r="G507" s="39" t="s">
        <v>10</v>
      </c>
      <c r="H507" s="37" t="s">
        <v>9</v>
      </c>
      <c r="I507" s="39" t="s">
        <v>10</v>
      </c>
      <c r="J507" s="37" t="s">
        <v>9</v>
      </c>
      <c r="K507" s="39" t="s">
        <v>10</v>
      </c>
      <c r="L507" s="37" t="s">
        <v>9</v>
      </c>
      <c r="M507" s="39" t="s">
        <v>10</v>
      </c>
      <c r="N507" s="37" t="s">
        <v>9</v>
      </c>
      <c r="O507" s="40" t="s">
        <v>10</v>
      </c>
      <c r="P507" s="22"/>
    </row>
    <row r="508" spans="1:16" ht="11.25" customHeight="1" x14ac:dyDescent="0.2">
      <c r="A508" s="43" t="s">
        <v>216</v>
      </c>
      <c r="B508" s="17"/>
      <c r="C508" s="71" t="str">
        <f>IFERROR(VLOOKUP(B508,fixed_expenses4[],2,0),"")</f>
        <v/>
      </c>
      <c r="D508" s="17"/>
      <c r="E508" s="71" t="str">
        <f>IFERROR(VLOOKUP(D508,fixed_expenses4[],2,0),"")</f>
        <v/>
      </c>
      <c r="F508" s="17"/>
      <c r="G508" s="71" t="str">
        <f>IFERROR(VLOOKUP(F508,fixed_expenses4[],2,0),"")</f>
        <v/>
      </c>
      <c r="H508" s="17"/>
      <c r="I508" s="71" t="str">
        <f>IFERROR(VLOOKUP(H508,fixed_expenses4[],2,0),"")</f>
        <v/>
      </c>
      <c r="J508" s="17"/>
      <c r="K508" s="71" t="str">
        <f>IFERROR(VLOOKUP(J508,fixed_expenses4[],2,0),"")</f>
        <v/>
      </c>
      <c r="L508" s="17"/>
      <c r="M508" s="71" t="str">
        <f>IFERROR(VLOOKUP(L508,fixed_expenses4[],2,0),"")</f>
        <v/>
      </c>
      <c r="N508" s="17"/>
      <c r="O508" s="71" t="str">
        <f>IFERROR(VLOOKUP(N508,fixed_expenses4[],2,0),"")</f>
        <v/>
      </c>
      <c r="P508" s="22"/>
    </row>
    <row r="509" spans="1:16" ht="11.25" customHeight="1" x14ac:dyDescent="0.2">
      <c r="B509" s="17"/>
      <c r="C509" s="71" t="str">
        <f>IFERROR(VLOOKUP(B509,fixed_expenses4[],2,0),"")</f>
        <v/>
      </c>
      <c r="D509" s="17"/>
      <c r="E509" s="71" t="str">
        <f>IFERROR(VLOOKUP(D509,fixed_expenses4[],2,0),"")</f>
        <v/>
      </c>
      <c r="F509" s="17"/>
      <c r="G509" s="71" t="str">
        <f>IFERROR(VLOOKUP(F509,fixed_expenses4[],2,0),"")</f>
        <v/>
      </c>
      <c r="H509" s="17"/>
      <c r="I509" s="71" t="str">
        <f>IFERROR(VLOOKUP(H509,fixed_expenses4[],2,0),"")</f>
        <v/>
      </c>
      <c r="J509" s="17"/>
      <c r="K509" s="71" t="str">
        <f>IFERROR(VLOOKUP(J509,fixed_expenses4[],2,0),"")</f>
        <v/>
      </c>
      <c r="L509" s="17"/>
      <c r="M509" s="71" t="str">
        <f>IFERROR(VLOOKUP(L509,fixed_expenses4[],2,0),"")</f>
        <v/>
      </c>
      <c r="N509" s="17"/>
      <c r="O509" s="71" t="str">
        <f>IFERROR(VLOOKUP(N509,fixed_expenses4[],2,0),"")</f>
        <v/>
      </c>
      <c r="P509" s="22"/>
    </row>
    <row r="510" spans="1:16" ht="11.25" customHeight="1" x14ac:dyDescent="0.2">
      <c r="B510" s="17"/>
      <c r="C510" s="71" t="str">
        <f>IFERROR(VLOOKUP(B510,fixed_expenses4[],2,0),"")</f>
        <v/>
      </c>
      <c r="D510" s="17"/>
      <c r="E510" s="71" t="str">
        <f>IFERROR(VLOOKUP(D510,fixed_expenses4[],2,0),"")</f>
        <v/>
      </c>
      <c r="F510" s="17"/>
      <c r="G510" s="71" t="str">
        <f>IFERROR(VLOOKUP(F510,fixed_expenses4[],2,0),"")</f>
        <v/>
      </c>
      <c r="H510" s="17"/>
      <c r="I510" s="71" t="str">
        <f>IFERROR(VLOOKUP(H510,fixed_expenses4[],2,0),"")</f>
        <v/>
      </c>
      <c r="J510" s="17"/>
      <c r="K510" s="71" t="str">
        <f>IFERROR(VLOOKUP(J510,fixed_expenses4[],2,0),"")</f>
        <v/>
      </c>
      <c r="L510" s="17"/>
      <c r="M510" s="71" t="str">
        <f>IFERROR(VLOOKUP(L510,fixed_expenses4[],2,0),"")</f>
        <v/>
      </c>
      <c r="N510" s="17"/>
      <c r="O510" s="71" t="str">
        <f>IFERROR(VLOOKUP(N510,fixed_expenses4[],2,0),"")</f>
        <v/>
      </c>
      <c r="P510" s="22"/>
    </row>
    <row r="511" spans="1:16" ht="11.25" customHeight="1" x14ac:dyDescent="0.2">
      <c r="B511" s="17"/>
      <c r="C511" s="71" t="str">
        <f>IFERROR(VLOOKUP(B511,fixed_expenses4[],2,0),"")</f>
        <v/>
      </c>
      <c r="D511" s="17"/>
      <c r="E511" s="71" t="str">
        <f>IFERROR(VLOOKUP(D511,fixed_expenses4[],2,0),"")</f>
        <v/>
      </c>
      <c r="F511" s="17"/>
      <c r="G511" s="71" t="str">
        <f>IFERROR(VLOOKUP(F511,fixed_expenses4[],2,0),"")</f>
        <v/>
      </c>
      <c r="H511" s="17"/>
      <c r="I511" s="71" t="str">
        <f>IFERROR(VLOOKUP(H511,fixed_expenses4[],2,0),"")</f>
        <v/>
      </c>
      <c r="J511" s="17"/>
      <c r="K511" s="71" t="str">
        <f>IFERROR(VLOOKUP(J511,fixed_expenses4[],2,0),"")</f>
        <v/>
      </c>
      <c r="L511" s="17"/>
      <c r="M511" s="71" t="str">
        <f>IFERROR(VLOOKUP(L511,fixed_expenses4[],2,0),"")</f>
        <v/>
      </c>
      <c r="N511" s="17"/>
      <c r="O511" s="71" t="str">
        <f>IFERROR(VLOOKUP(N511,fixed_expenses4[],2,0),"")</f>
        <v/>
      </c>
      <c r="P511" s="22"/>
    </row>
    <row r="512" spans="1:16" ht="11.25" customHeight="1" x14ac:dyDescent="0.2">
      <c r="B512" s="17"/>
      <c r="C512" s="71" t="str">
        <f>IFERROR(VLOOKUP(B512,fixed_expenses4[],2,0),"")</f>
        <v/>
      </c>
      <c r="D512" s="17"/>
      <c r="E512" s="71" t="str">
        <f>IFERROR(VLOOKUP(D512,fixed_expenses4[],2,0),"")</f>
        <v/>
      </c>
      <c r="F512" s="17"/>
      <c r="G512" s="71" t="str">
        <f>IFERROR(VLOOKUP(F512,fixed_expenses4[],2,0),"")</f>
        <v/>
      </c>
      <c r="H512" s="17"/>
      <c r="I512" s="71" t="str">
        <f>IFERROR(VLOOKUP(H512,fixed_expenses4[],2,0),"")</f>
        <v/>
      </c>
      <c r="J512" s="17"/>
      <c r="K512" s="71" t="str">
        <f>IFERROR(VLOOKUP(J512,fixed_expenses4[],2,0),"")</f>
        <v/>
      </c>
      <c r="L512" s="17"/>
      <c r="M512" s="71" t="str">
        <f>IFERROR(VLOOKUP(L512,fixed_expenses4[],2,0),"")</f>
        <v/>
      </c>
      <c r="N512" s="17"/>
      <c r="O512" s="71" t="str">
        <f>IFERROR(VLOOKUP(N512,fixed_expenses4[],2,0),"")</f>
        <v/>
      </c>
      <c r="P512" s="22"/>
    </row>
    <row r="513" spans="1:16" ht="11.25" customHeight="1" x14ac:dyDescent="0.2">
      <c r="A513" s="43" t="s">
        <v>304</v>
      </c>
      <c r="B513" s="26" t="s">
        <v>8</v>
      </c>
      <c r="C513" s="27">
        <f>SUM(C508:C512)</f>
        <v>0</v>
      </c>
      <c r="D513" s="26"/>
      <c r="E513" s="27">
        <f>SUM(E508:E512)</f>
        <v>0</v>
      </c>
      <c r="F513" s="26"/>
      <c r="G513" s="27">
        <f>SUM(G508:G512)</f>
        <v>0</v>
      </c>
      <c r="H513" s="26"/>
      <c r="I513" s="27">
        <f>SUM(I508:I512)</f>
        <v>0</v>
      </c>
      <c r="J513" s="26"/>
      <c r="K513" s="27">
        <f>SUM(K508:K512)</f>
        <v>0</v>
      </c>
      <c r="L513" s="26"/>
      <c r="M513" s="27">
        <f>SUM(M508:M512)</f>
        <v>0</v>
      </c>
      <c r="N513" s="26"/>
      <c r="O513" s="28">
        <f>SUM(O508:O512)</f>
        <v>0</v>
      </c>
      <c r="P513" s="29">
        <f ca="1">SUMIF(B506:N506,"&gt;="&amp;15,C513:O513)</f>
        <v>0</v>
      </c>
    </row>
    <row r="514" spans="1:16" x14ac:dyDescent="0.2">
      <c r="B514" s="6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6"/>
    </row>
    <row r="515" spans="1:16" ht="15" customHeight="1" x14ac:dyDescent="0.2">
      <c r="A515" s="43" t="s">
        <v>269</v>
      </c>
      <c r="B515" s="12">
        <f ca="1">DAY(IF(DAY(SepSun1)=1,SepSun1+29,SepSun1+36))</f>
        <v>3</v>
      </c>
      <c r="C515" s="11"/>
      <c r="D515" s="12">
        <f ca="1">DAY(IF(DAY(SepSun1)=1,SepSun1+30,SepSun1+37))</f>
        <v>4</v>
      </c>
      <c r="E515" s="13"/>
      <c r="F515" s="10">
        <f ca="1">DAY(IF(DAY(SepSun1)=1,SepSun1+31,SepSun1+38))</f>
        <v>5</v>
      </c>
      <c r="G515" s="13"/>
      <c r="H515" s="12">
        <f ca="1">DAY(IF(DAY(SepSun1)=1,SepSun1+32,SepSun1+39))</f>
        <v>6</v>
      </c>
      <c r="I515" s="13"/>
      <c r="J515" s="12">
        <f ca="1">DAY(IF(DAY(SepSun1)=1,SepSun1+33,SepSun1+40))</f>
        <v>7</v>
      </c>
      <c r="K515" s="13"/>
      <c r="L515" s="12">
        <f ca="1">DAY(IF(DAY(SepSun1)=1,SepSun1+34,SepSun1+41))</f>
        <v>8</v>
      </c>
      <c r="M515" s="13"/>
      <c r="N515" s="12">
        <f ca="1">DAY(IF(DAY(SepSun1)=1,SepSun1+35,SepSun1+42))</f>
        <v>9</v>
      </c>
      <c r="O515" s="13"/>
      <c r="P515" s="25"/>
    </row>
    <row r="516" spans="1:16" ht="11.25" customHeight="1" x14ac:dyDescent="0.2">
      <c r="A516" s="43" t="s">
        <v>136</v>
      </c>
      <c r="B516" s="37" t="s">
        <v>9</v>
      </c>
      <c r="C516" s="39" t="s">
        <v>10</v>
      </c>
      <c r="D516" s="37" t="s">
        <v>9</v>
      </c>
      <c r="E516" s="39" t="s">
        <v>10</v>
      </c>
      <c r="F516" s="37" t="s">
        <v>9</v>
      </c>
      <c r="G516" s="39" t="s">
        <v>10</v>
      </c>
      <c r="H516" s="37" t="s">
        <v>9</v>
      </c>
      <c r="I516" s="39" t="s">
        <v>10</v>
      </c>
      <c r="J516" s="37" t="s">
        <v>9</v>
      </c>
      <c r="K516" s="39" t="s">
        <v>10</v>
      </c>
      <c r="L516" s="37" t="s">
        <v>9</v>
      </c>
      <c r="M516" s="39" t="s">
        <v>10</v>
      </c>
      <c r="N516" s="37" t="s">
        <v>9</v>
      </c>
      <c r="O516" s="40" t="s">
        <v>10</v>
      </c>
      <c r="P516" s="22"/>
    </row>
    <row r="517" spans="1:16" ht="11.25" customHeight="1" x14ac:dyDescent="0.2">
      <c r="A517" s="43" t="s">
        <v>217</v>
      </c>
      <c r="B517" s="17"/>
      <c r="C517" s="71" t="str">
        <f>IFERROR(VLOOKUP(B517,fixed_expenses4[],2,0),"")</f>
        <v/>
      </c>
      <c r="D517" s="17"/>
      <c r="E517" s="71" t="str">
        <f>IFERROR(VLOOKUP(D517,fixed_expenses4[],2,0),"")</f>
        <v/>
      </c>
      <c r="F517" s="17"/>
      <c r="G517" s="71" t="str">
        <f>IFERROR(VLOOKUP(F517,fixed_expenses4[],2,0),"")</f>
        <v/>
      </c>
      <c r="H517" s="17"/>
      <c r="I517" s="71" t="str">
        <f>IFERROR(VLOOKUP(H517,fixed_expenses4[],2,0),"")</f>
        <v/>
      </c>
      <c r="J517" s="17"/>
      <c r="K517" s="71" t="str">
        <f>IFERROR(VLOOKUP(J517,fixed_expenses4[],2,0),"")</f>
        <v/>
      </c>
      <c r="L517" s="17"/>
      <c r="M517" s="71" t="str">
        <f>IFERROR(VLOOKUP(L517,fixed_expenses4[],2,0),"")</f>
        <v/>
      </c>
      <c r="N517" s="17"/>
      <c r="O517" s="71" t="str">
        <f>IFERROR(VLOOKUP(N517,fixed_expenses4[],2,0),"")</f>
        <v/>
      </c>
      <c r="P517" s="22"/>
    </row>
    <row r="518" spans="1:16" ht="11.25" customHeight="1" x14ac:dyDescent="0.2">
      <c r="B518" s="17"/>
      <c r="C518" s="71" t="str">
        <f>IFERROR(VLOOKUP(B518,fixed_expenses4[],2,0),"")</f>
        <v/>
      </c>
      <c r="D518" s="17"/>
      <c r="E518" s="71" t="str">
        <f>IFERROR(VLOOKUP(D518,fixed_expenses4[],2,0),"")</f>
        <v/>
      </c>
      <c r="F518" s="17"/>
      <c r="G518" s="71" t="str">
        <f>IFERROR(VLOOKUP(F518,fixed_expenses4[],2,0),"")</f>
        <v/>
      </c>
      <c r="H518" s="17"/>
      <c r="I518" s="71" t="str">
        <f>IFERROR(VLOOKUP(H518,fixed_expenses4[],2,0),"")</f>
        <v/>
      </c>
      <c r="J518" s="17"/>
      <c r="K518" s="71" t="str">
        <f>IFERROR(VLOOKUP(J518,fixed_expenses4[],2,0),"")</f>
        <v/>
      </c>
      <c r="L518" s="17"/>
      <c r="M518" s="71" t="str">
        <f>IFERROR(VLOOKUP(L518,fixed_expenses4[],2,0),"")</f>
        <v/>
      </c>
      <c r="N518" s="17"/>
      <c r="O518" s="71" t="str">
        <f>IFERROR(VLOOKUP(N518,fixed_expenses4[],2,0),"")</f>
        <v/>
      </c>
      <c r="P518" s="22"/>
    </row>
    <row r="519" spans="1:16" ht="11.25" customHeight="1" x14ac:dyDescent="0.2">
      <c r="B519" s="17"/>
      <c r="C519" s="71" t="str">
        <f>IFERROR(VLOOKUP(B519,fixed_expenses4[],2,0),"")</f>
        <v/>
      </c>
      <c r="D519" s="17"/>
      <c r="E519" s="71" t="str">
        <f>IFERROR(VLOOKUP(D519,fixed_expenses4[],2,0),"")</f>
        <v/>
      </c>
      <c r="F519" s="17"/>
      <c r="G519" s="71" t="str">
        <f>IFERROR(VLOOKUP(F519,fixed_expenses4[],2,0),"")</f>
        <v/>
      </c>
      <c r="H519" s="17"/>
      <c r="I519" s="71" t="str">
        <f>IFERROR(VLOOKUP(H519,fixed_expenses4[],2,0),"")</f>
        <v/>
      </c>
      <c r="J519" s="17"/>
      <c r="K519" s="71" t="str">
        <f>IFERROR(VLOOKUP(J519,fixed_expenses4[],2,0),"")</f>
        <v/>
      </c>
      <c r="L519" s="17"/>
      <c r="M519" s="71" t="str">
        <f>IFERROR(VLOOKUP(L519,fixed_expenses4[],2,0),"")</f>
        <v/>
      </c>
      <c r="N519" s="17"/>
      <c r="O519" s="71" t="str">
        <f>IFERROR(VLOOKUP(N519,fixed_expenses4[],2,0),"")</f>
        <v/>
      </c>
      <c r="P519" s="22"/>
    </row>
    <row r="520" spans="1:16" ht="11.25" customHeight="1" x14ac:dyDescent="0.2">
      <c r="B520" s="17"/>
      <c r="C520" s="71" t="str">
        <f>IFERROR(VLOOKUP(B520,fixed_expenses4[],2,0),"")</f>
        <v/>
      </c>
      <c r="D520" s="17"/>
      <c r="E520" s="71" t="str">
        <f>IFERROR(VLOOKUP(D520,fixed_expenses4[],2,0),"")</f>
        <v/>
      </c>
      <c r="F520" s="17"/>
      <c r="G520" s="71" t="str">
        <f>IFERROR(VLOOKUP(F520,fixed_expenses4[],2,0),"")</f>
        <v/>
      </c>
      <c r="H520" s="17"/>
      <c r="I520" s="71" t="str">
        <f>IFERROR(VLOOKUP(H520,fixed_expenses4[],2,0),"")</f>
        <v/>
      </c>
      <c r="J520" s="17"/>
      <c r="K520" s="71" t="str">
        <f>IFERROR(VLOOKUP(J520,fixed_expenses4[],2,0),"")</f>
        <v/>
      </c>
      <c r="L520" s="17"/>
      <c r="M520" s="71" t="str">
        <f>IFERROR(VLOOKUP(L520,fixed_expenses4[],2,0),"")</f>
        <v/>
      </c>
      <c r="N520" s="17"/>
      <c r="O520" s="71" t="str">
        <f>IFERROR(VLOOKUP(N520,fixed_expenses4[],2,0),"")</f>
        <v/>
      </c>
      <c r="P520" s="22"/>
    </row>
    <row r="521" spans="1:16" ht="11.25" customHeight="1" x14ac:dyDescent="0.2">
      <c r="B521" s="17"/>
      <c r="C521" s="71" t="str">
        <f>IFERROR(VLOOKUP(B521,fixed_expenses4[],2,0),"")</f>
        <v/>
      </c>
      <c r="D521" s="17"/>
      <c r="E521" s="71" t="str">
        <f>IFERROR(VLOOKUP(D521,fixed_expenses4[],2,0),"")</f>
        <v/>
      </c>
      <c r="F521" s="17"/>
      <c r="G521" s="71" t="str">
        <f>IFERROR(VLOOKUP(F521,fixed_expenses4[],2,0),"")</f>
        <v/>
      </c>
      <c r="H521" s="17"/>
      <c r="I521" s="71" t="str">
        <f>IFERROR(VLOOKUP(H521,fixed_expenses4[],2,0),"")</f>
        <v/>
      </c>
      <c r="J521" s="17"/>
      <c r="K521" s="71" t="str">
        <f>IFERROR(VLOOKUP(J521,fixed_expenses4[],2,0),"")</f>
        <v/>
      </c>
      <c r="L521" s="17"/>
      <c r="M521" s="71" t="str">
        <f>IFERROR(VLOOKUP(L521,fixed_expenses4[],2,0),"")</f>
        <v/>
      </c>
      <c r="N521" s="17"/>
      <c r="O521" s="71" t="str">
        <f>IFERROR(VLOOKUP(N521,fixed_expenses4[],2,0),"")</f>
        <v/>
      </c>
      <c r="P521" s="22"/>
    </row>
    <row r="522" spans="1:16" ht="11.25" customHeight="1" x14ac:dyDescent="0.2">
      <c r="A522" s="43" t="s">
        <v>303</v>
      </c>
      <c r="B522" s="26" t="s">
        <v>8</v>
      </c>
      <c r="C522" s="27">
        <f>SUM(C517:C521)</f>
        <v>0</v>
      </c>
      <c r="D522" s="18"/>
      <c r="E522" s="27">
        <f>SUM(E517:E521)</f>
        <v>0</v>
      </c>
      <c r="F522" s="18"/>
      <c r="G522" s="27">
        <f>SUM(G517:G521)</f>
        <v>0</v>
      </c>
      <c r="H522" s="18"/>
      <c r="I522" s="27">
        <f>SUM(I517:I521)</f>
        <v>0</v>
      </c>
      <c r="J522" s="18"/>
      <c r="K522" s="27">
        <f>SUM(K517:K521)</f>
        <v>0</v>
      </c>
      <c r="L522" s="18"/>
      <c r="M522" s="27">
        <f>SUM(M517:M521)</f>
        <v>0</v>
      </c>
      <c r="N522" s="18"/>
      <c r="O522" s="28">
        <f>SUM(O517:O521)</f>
        <v>0</v>
      </c>
      <c r="P522" s="29">
        <f ca="1">SUMIF(B515:N515,"&gt;="&amp;15,C522:O522)</f>
        <v>0</v>
      </c>
    </row>
    <row r="523" spans="1:16" ht="17.25" customHeight="1" x14ac:dyDescent="0.2"/>
    <row r="524" spans="1:16" ht="12" customHeight="1" x14ac:dyDescent="0.2">
      <c r="A524" s="43" t="s">
        <v>82</v>
      </c>
      <c r="B524" s="59" t="s">
        <v>22</v>
      </c>
      <c r="C524" s="59"/>
      <c r="D524" s="59"/>
      <c r="E524" s="59"/>
      <c r="F524"/>
      <c r="G524" s="4"/>
      <c r="H524"/>
      <c r="I524" s="4"/>
      <c r="J524"/>
      <c r="K524" s="4"/>
      <c r="L524" s="45" t="s">
        <v>12</v>
      </c>
      <c r="M524" s="45"/>
      <c r="N524" s="45" t="s">
        <v>13</v>
      </c>
      <c r="O524" s="45"/>
      <c r="P524"/>
    </row>
    <row r="525" spans="1:16" ht="25.5" customHeight="1" x14ac:dyDescent="0.2">
      <c r="A525" s="43" t="s">
        <v>97</v>
      </c>
      <c r="B525" s="59"/>
      <c r="C525" s="59"/>
      <c r="D525" s="59"/>
      <c r="E525" s="59"/>
      <c r="F525" s="3">
        <f ca="1">IFERROR(WEEKDAY(DATEVALUE(B524&amp;" 1, "&amp;Year1)),"")</f>
        <v>6</v>
      </c>
      <c r="G525" s="4"/>
      <c r="H525"/>
      <c r="I525" s="7"/>
      <c r="J525" s="8"/>
      <c r="K525" s="4"/>
      <c r="L525" s="46">
        <f ca="1">SUM(P535,P544,P553,P562,P571,P580)</f>
        <v>5540</v>
      </c>
      <c r="M525" s="47"/>
      <c r="N525" s="46">
        <f ca="1">SUM(P:P)</f>
        <v>62420</v>
      </c>
      <c r="O525" s="48"/>
      <c r="P525"/>
    </row>
    <row r="526" spans="1:16" ht="9" customHeight="1" x14ac:dyDescent="0.2">
      <c r="A526" s="43" t="s">
        <v>359</v>
      </c>
      <c r="B526" s="50">
        <v>1</v>
      </c>
      <c r="C526" s="50"/>
      <c r="D526" s="50">
        <v>2</v>
      </c>
      <c r="E526" s="50"/>
      <c r="F526" s="50">
        <v>3</v>
      </c>
      <c r="G526" s="50"/>
      <c r="H526" s="50">
        <v>4</v>
      </c>
      <c r="I526" s="50"/>
      <c r="J526" s="50">
        <v>5</v>
      </c>
      <c r="K526" s="50"/>
      <c r="L526" s="50">
        <v>6</v>
      </c>
      <c r="M526" s="50"/>
      <c r="N526" s="50">
        <v>7</v>
      </c>
      <c r="O526" s="50"/>
      <c r="P526" s="2"/>
    </row>
    <row r="527" spans="1:16" ht="15" customHeight="1" x14ac:dyDescent="0.2">
      <c r="A527" s="43" t="s">
        <v>102</v>
      </c>
      <c r="B527" s="60" t="s">
        <v>0</v>
      </c>
      <c r="C527" s="61"/>
      <c r="D527" s="62" t="s">
        <v>1</v>
      </c>
      <c r="E527" s="63" t="e">
        <f ca="1">IF(WEEKDAY(DATEVALUE(Month1&amp;" 1, "&amp;Year1))=COLUMN(#REF!),1,IF(LEN(C527)&gt;0,C527+1,""))</f>
        <v>#VALUE!</v>
      </c>
      <c r="F527" s="61" t="s">
        <v>2</v>
      </c>
      <c r="G527" s="61" t="e">
        <f ca="1">IF(WEEKDAY(DATEVALUE(Month1&amp;" 1, "&amp;Year1))=COLUMN(#REF!),1,IF(LEN(E527)&gt;0,E527+1,""))</f>
        <v>#VALUE!</v>
      </c>
      <c r="H527" s="62" t="s">
        <v>3</v>
      </c>
      <c r="I527" s="63" t="e">
        <f ca="1">IF(WEEKDAY(DATEVALUE(Month1&amp;" 1, "&amp;Year1))=COLUMN(#REF!),1,IF(LEN(G527)&gt;0,G527+1,""))</f>
        <v>#VALUE!</v>
      </c>
      <c r="J527" s="64" t="s">
        <v>4</v>
      </c>
      <c r="K527" s="65" t="e">
        <f ca="1">IF(WEEKDAY(DATEVALUE(Month1&amp;" 1, "&amp;Year1))=COLUMN(#REF!),1,IF(LEN(I527)&gt;0,I527+1,""))</f>
        <v>#VALUE!</v>
      </c>
      <c r="L527" s="66" t="s">
        <v>5</v>
      </c>
      <c r="M527" s="67" t="e">
        <f ca="1">IF(WEEKDAY(DATEVALUE(Month1&amp;" 1, "&amp;Year1))=COLUMN(#REF!),1,IF(LEN(K527)&gt;0,K527+1,""))</f>
        <v>#VALUE!</v>
      </c>
      <c r="N527" s="66" t="s">
        <v>6</v>
      </c>
      <c r="O527" s="67" t="e">
        <f ca="1">IF(WEEKDAY(DATEVALUE(Month1&amp;" 1, "&amp;Year1))=COLUMN(#REF!),1,IF(LEN(M527)&gt;0,M527+1,""))</f>
        <v>#VALUE!</v>
      </c>
      <c r="P527" s="42" t="s">
        <v>7</v>
      </c>
    </row>
    <row r="528" spans="1:16" ht="15" customHeight="1" x14ac:dyDescent="0.2">
      <c r="A528" s="43" t="s">
        <v>115</v>
      </c>
      <c r="B528" s="14">
        <f ca="1">DAY(IF(DAY(OctSun1)=1,OctSun1-6,OctSun1+1))</f>
        <v>26</v>
      </c>
      <c r="C528" s="16"/>
      <c r="D528" s="19">
        <f ca="1">DAY(IF(DAY(OctSun1)=1,OctSun1-5,OctSun1+2))</f>
        <v>27</v>
      </c>
      <c r="E528" s="16"/>
      <c r="F528" s="19">
        <f ca="1">DAY(IF(DAY(OctSun1)=1,OctSun1-4,OctSun1+3))</f>
        <v>28</v>
      </c>
      <c r="G528" s="16"/>
      <c r="H528" s="19">
        <f ca="1">DAY(IF(DAY(OctSun1)=1,OctSun1-3,OctSun1+4))</f>
        <v>29</v>
      </c>
      <c r="I528" s="16"/>
      <c r="J528" s="19">
        <f ca="1">DAY(IF(DAY(OctSun1)=1,OctSun1-2,OctSun1+5))</f>
        <v>30</v>
      </c>
      <c r="K528" s="16"/>
      <c r="L528" s="19">
        <f ca="1">DAY(IF(DAY(OctSun1)=1,OctSun1-1,OctSun1+6))</f>
        <v>1</v>
      </c>
      <c r="M528" s="16"/>
      <c r="N528" s="20">
        <f ca="1">DAY(IF(DAY(OctSun1)=1,OctSun1,OctSun1+7))</f>
        <v>2</v>
      </c>
      <c r="O528" s="15"/>
      <c r="P528" s="21"/>
    </row>
    <row r="529" spans="1:16" ht="11.25" customHeight="1" x14ac:dyDescent="0.2">
      <c r="A529" s="43" t="s">
        <v>135</v>
      </c>
      <c r="B529" s="41" t="s">
        <v>9</v>
      </c>
      <c r="C529" s="36" t="s">
        <v>10</v>
      </c>
      <c r="D529" s="35" t="s">
        <v>9</v>
      </c>
      <c r="E529" s="36" t="s">
        <v>10</v>
      </c>
      <c r="F529" s="35" t="s">
        <v>9</v>
      </c>
      <c r="G529" s="36" t="s">
        <v>10</v>
      </c>
      <c r="H529" s="35" t="s">
        <v>9</v>
      </c>
      <c r="I529" s="36" t="s">
        <v>10</v>
      </c>
      <c r="J529" s="35" t="s">
        <v>9</v>
      </c>
      <c r="K529" s="36" t="s">
        <v>10</v>
      </c>
      <c r="L529" s="35" t="s">
        <v>9</v>
      </c>
      <c r="M529" s="36" t="s">
        <v>10</v>
      </c>
      <c r="N529" s="37" t="s">
        <v>9</v>
      </c>
      <c r="O529" s="38" t="s">
        <v>10</v>
      </c>
      <c r="P529" s="22"/>
    </row>
    <row r="530" spans="1:16" ht="11.25" customHeight="1" x14ac:dyDescent="0.2">
      <c r="A530" s="43" t="s">
        <v>218</v>
      </c>
      <c r="B530" s="17"/>
      <c r="C530" s="71" t="str">
        <f>IFERROR(VLOOKUP(B530,fixed_expenses4[],2,0),"")</f>
        <v/>
      </c>
      <c r="D530" s="17"/>
      <c r="E530" s="71" t="str">
        <f>IFERROR(VLOOKUP(D530,fixed_expenses4[],2,0),"")</f>
        <v/>
      </c>
      <c r="F530" s="17"/>
      <c r="G530" s="71" t="str">
        <f>IFERROR(VLOOKUP(F530,fixed_expenses4[],2,0),"")</f>
        <v/>
      </c>
      <c r="H530" s="17"/>
      <c r="I530" s="71" t="str">
        <f>IFERROR(VLOOKUP(H530,fixed_expenses4[],2,0),"")</f>
        <v/>
      </c>
      <c r="J530" s="17"/>
      <c r="K530" s="71" t="str">
        <f>IFERROR(VLOOKUP(J530,fixed_expenses4[],2,0),"")</f>
        <v/>
      </c>
      <c r="L530" s="17" t="s">
        <v>387</v>
      </c>
      <c r="M530" s="71">
        <f>IFERROR(VLOOKUP(L530,fixed_expenses4[],2,0),"")</f>
        <v>800</v>
      </c>
      <c r="N530" s="17"/>
      <c r="O530" s="71" t="str">
        <f>IFERROR(VLOOKUP(N530,fixed_expenses4[],2,0),"")</f>
        <v/>
      </c>
      <c r="P530" s="22"/>
    </row>
    <row r="531" spans="1:16" ht="11.25" customHeight="1" x14ac:dyDescent="0.2">
      <c r="B531" s="17"/>
      <c r="C531" s="71" t="str">
        <f>IFERROR(VLOOKUP(B531,fixed_expenses4[],2,0),"")</f>
        <v/>
      </c>
      <c r="D531" s="17"/>
      <c r="E531" s="71" t="str">
        <f>IFERROR(VLOOKUP(D531,fixed_expenses4[],2,0),"")</f>
        <v/>
      </c>
      <c r="F531" s="17"/>
      <c r="G531" s="71" t="str">
        <f>IFERROR(VLOOKUP(F531,fixed_expenses4[],2,0),"")</f>
        <v/>
      </c>
      <c r="H531" s="17"/>
      <c r="I531" s="71" t="str">
        <f>IFERROR(VLOOKUP(H531,fixed_expenses4[],2,0),"")</f>
        <v/>
      </c>
      <c r="J531" s="17"/>
      <c r="K531" s="71" t="str">
        <f>IFERROR(VLOOKUP(J531,fixed_expenses4[],2,0),"")</f>
        <v/>
      </c>
      <c r="L531" s="17"/>
      <c r="M531" s="71" t="str">
        <f>IFERROR(VLOOKUP(L531,fixed_expenses4[],2,0),"")</f>
        <v/>
      </c>
      <c r="N531" s="17"/>
      <c r="O531" s="71" t="str">
        <f>IFERROR(VLOOKUP(N531,fixed_expenses4[],2,0),"")</f>
        <v/>
      </c>
      <c r="P531" s="22"/>
    </row>
    <row r="532" spans="1:16" ht="11.25" customHeight="1" x14ac:dyDescent="0.2">
      <c r="B532" s="17"/>
      <c r="C532" s="71" t="str">
        <f>IFERROR(VLOOKUP(B532,fixed_expenses4[],2,0),"")</f>
        <v/>
      </c>
      <c r="D532" s="17"/>
      <c r="E532" s="71" t="str">
        <f>IFERROR(VLOOKUP(D532,fixed_expenses4[],2,0),"")</f>
        <v/>
      </c>
      <c r="F532" s="17"/>
      <c r="G532" s="71" t="str">
        <f>IFERROR(VLOOKUP(F532,fixed_expenses4[],2,0),"")</f>
        <v/>
      </c>
      <c r="H532" s="17"/>
      <c r="I532" s="71" t="str">
        <f>IFERROR(VLOOKUP(H532,fixed_expenses4[],2,0),"")</f>
        <v/>
      </c>
      <c r="J532" s="17"/>
      <c r="K532" s="71" t="str">
        <f>IFERROR(VLOOKUP(J532,fixed_expenses4[],2,0),"")</f>
        <v/>
      </c>
      <c r="L532" s="17"/>
      <c r="M532" s="71" t="str">
        <f>IFERROR(VLOOKUP(L532,fixed_expenses4[],2,0),"")</f>
        <v/>
      </c>
      <c r="N532" s="17"/>
      <c r="O532" s="71" t="str">
        <f>IFERROR(VLOOKUP(N532,fixed_expenses4[],2,0),"")</f>
        <v/>
      </c>
      <c r="P532" s="22"/>
    </row>
    <row r="533" spans="1:16" ht="11.25" customHeight="1" x14ac:dyDescent="0.2">
      <c r="B533" s="17"/>
      <c r="C533" s="71" t="str">
        <f>IFERROR(VLOOKUP(B533,fixed_expenses4[],2,0),"")</f>
        <v/>
      </c>
      <c r="D533" s="17"/>
      <c r="E533" s="71" t="str">
        <f>IFERROR(VLOOKUP(D533,fixed_expenses4[],2,0),"")</f>
        <v/>
      </c>
      <c r="F533" s="17"/>
      <c r="G533" s="71" t="str">
        <f>IFERROR(VLOOKUP(F533,fixed_expenses4[],2,0),"")</f>
        <v/>
      </c>
      <c r="H533" s="17"/>
      <c r="I533" s="71" t="str">
        <f>IFERROR(VLOOKUP(H533,fixed_expenses4[],2,0),"")</f>
        <v/>
      </c>
      <c r="J533" s="17"/>
      <c r="K533" s="71" t="str">
        <f>IFERROR(VLOOKUP(J533,fixed_expenses4[],2,0),"")</f>
        <v/>
      </c>
      <c r="L533" s="17"/>
      <c r="M533" s="71" t="str">
        <f>IFERROR(VLOOKUP(L533,fixed_expenses4[],2,0),"")</f>
        <v/>
      </c>
      <c r="N533" s="17"/>
      <c r="O533" s="71" t="str">
        <f>IFERROR(VLOOKUP(N533,fixed_expenses4[],2,0),"")</f>
        <v/>
      </c>
      <c r="P533" s="22"/>
    </row>
    <row r="534" spans="1:16" ht="11.25" customHeight="1" x14ac:dyDescent="0.2">
      <c r="B534" s="17"/>
      <c r="C534" s="71" t="str">
        <f>IFERROR(VLOOKUP(B534,fixed_expenses4[],2,0),"")</f>
        <v/>
      </c>
      <c r="D534" s="17"/>
      <c r="E534" s="71" t="str">
        <f>IFERROR(VLOOKUP(D534,fixed_expenses4[],2,0),"")</f>
        <v/>
      </c>
      <c r="F534" s="17"/>
      <c r="G534" s="71" t="str">
        <f>IFERROR(VLOOKUP(F534,fixed_expenses4[],2,0),"")</f>
        <v/>
      </c>
      <c r="H534" s="17"/>
      <c r="I534" s="71" t="str">
        <f>IFERROR(VLOOKUP(H534,fixed_expenses4[],2,0),"")</f>
        <v/>
      </c>
      <c r="J534" s="17"/>
      <c r="K534" s="71" t="str">
        <f>IFERROR(VLOOKUP(J534,fixed_expenses4[],2,0),"")</f>
        <v/>
      </c>
      <c r="L534" s="17"/>
      <c r="M534" s="71" t="str">
        <f>IFERROR(VLOOKUP(L534,fixed_expenses4[],2,0),"")</f>
        <v/>
      </c>
      <c r="N534" s="17"/>
      <c r="O534" s="71" t="str">
        <f>IFERROR(VLOOKUP(N534,fixed_expenses4[],2,0),"")</f>
        <v/>
      </c>
      <c r="P534" s="22"/>
    </row>
    <row r="535" spans="1:16" ht="11.25" customHeight="1" x14ac:dyDescent="0.2">
      <c r="A535" s="43" t="s">
        <v>302</v>
      </c>
      <c r="B535" s="26" t="s">
        <v>8</v>
      </c>
      <c r="C535" s="27">
        <f>SUM(C530:C534)</f>
        <v>0</v>
      </c>
      <c r="D535" s="26"/>
      <c r="E535" s="27">
        <f>SUM(E530:E534)</f>
        <v>0</v>
      </c>
      <c r="F535" s="26"/>
      <c r="G535" s="27">
        <f>SUM(G530:G534)</f>
        <v>0</v>
      </c>
      <c r="H535" s="26"/>
      <c r="I535" s="27">
        <f>SUM(I530:I534)</f>
        <v>0</v>
      </c>
      <c r="J535" s="26"/>
      <c r="K535" s="27">
        <f>SUM(K530:K534)</f>
        <v>0</v>
      </c>
      <c r="L535" s="26"/>
      <c r="M535" s="27">
        <f>SUM(M530:M534)</f>
        <v>800</v>
      </c>
      <c r="N535" s="26"/>
      <c r="O535" s="28">
        <f>SUM(O530:O534)</f>
        <v>0</v>
      </c>
      <c r="P535" s="29">
        <f ca="1">SUMIF(B528:N528,"&lt;8",C535:O535)</f>
        <v>800</v>
      </c>
    </row>
    <row r="536" spans="1:16" x14ac:dyDescent="0.2">
      <c r="B536" s="6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6"/>
    </row>
    <row r="537" spans="1:16" ht="15" customHeight="1" x14ac:dyDescent="0.2">
      <c r="A537" s="43" t="s">
        <v>270</v>
      </c>
      <c r="B537" s="12">
        <f ca="1">N528+1</f>
        <v>3</v>
      </c>
      <c r="C537" s="13"/>
      <c r="D537" s="12">
        <f ca="1">B537+1</f>
        <v>4</v>
      </c>
      <c r="E537" s="13"/>
      <c r="F537" s="12">
        <f ca="1">D537+1</f>
        <v>5</v>
      </c>
      <c r="G537" s="13"/>
      <c r="H537" s="12">
        <f ca="1">F537+1</f>
        <v>6</v>
      </c>
      <c r="I537" s="13"/>
      <c r="J537" s="12">
        <f ca="1">H537+1</f>
        <v>7</v>
      </c>
      <c r="K537" s="13"/>
      <c r="L537" s="12">
        <f ca="1">J537+1</f>
        <v>8</v>
      </c>
      <c r="M537" s="13"/>
      <c r="N537" s="12">
        <f ca="1">L537+1</f>
        <v>9</v>
      </c>
      <c r="O537" s="13"/>
      <c r="P537" s="23"/>
    </row>
    <row r="538" spans="1:16" ht="11.25" customHeight="1" x14ac:dyDescent="0.2">
      <c r="A538" s="43" t="s">
        <v>134</v>
      </c>
      <c r="B538" s="37" t="s">
        <v>9</v>
      </c>
      <c r="C538" s="39" t="s">
        <v>10</v>
      </c>
      <c r="D538" s="37" t="s">
        <v>9</v>
      </c>
      <c r="E538" s="39" t="s">
        <v>10</v>
      </c>
      <c r="F538" s="37" t="s">
        <v>9</v>
      </c>
      <c r="G538" s="39" t="s">
        <v>10</v>
      </c>
      <c r="H538" s="37" t="s">
        <v>9</v>
      </c>
      <c r="I538" s="39" t="s">
        <v>10</v>
      </c>
      <c r="J538" s="37" t="s">
        <v>9</v>
      </c>
      <c r="K538" s="39" t="s">
        <v>10</v>
      </c>
      <c r="L538" s="37" t="s">
        <v>9</v>
      </c>
      <c r="M538" s="39" t="s">
        <v>10</v>
      </c>
      <c r="N538" s="37" t="s">
        <v>9</v>
      </c>
      <c r="O538" s="40" t="s">
        <v>10</v>
      </c>
      <c r="P538" s="22"/>
    </row>
    <row r="539" spans="1:16" ht="11.25" customHeight="1" x14ac:dyDescent="0.2">
      <c r="A539" s="43" t="s">
        <v>219</v>
      </c>
      <c r="B539" s="17"/>
      <c r="C539" s="71" t="str">
        <f>IFERROR(VLOOKUP(B539,fixed_expenses4[],2,0),"")</f>
        <v/>
      </c>
      <c r="D539" s="17"/>
      <c r="E539" s="71" t="str">
        <f>IFERROR(VLOOKUP(D539,fixed_expenses4[],2,0),"")</f>
        <v/>
      </c>
      <c r="F539" s="17"/>
      <c r="G539" s="71" t="str">
        <f>IFERROR(VLOOKUP(F539,fixed_expenses4[],2,0),"")</f>
        <v/>
      </c>
      <c r="H539" s="17"/>
      <c r="I539" s="71" t="str">
        <f>IFERROR(VLOOKUP(H539,fixed_expenses4[],2,0),"")</f>
        <v/>
      </c>
      <c r="J539" s="17"/>
      <c r="K539" s="71" t="str">
        <f>IFERROR(VLOOKUP(J539,fixed_expenses4[],2,0),"")</f>
        <v/>
      </c>
      <c r="L539" s="17" t="s">
        <v>387</v>
      </c>
      <c r="M539" s="71">
        <f>IFERROR(VLOOKUP(L539,fixed_expenses4[],2,0),"")</f>
        <v>800</v>
      </c>
      <c r="N539" s="17"/>
      <c r="O539" s="71" t="str">
        <f>IFERROR(VLOOKUP(N539,fixed_expenses4[],2,0),"")</f>
        <v/>
      </c>
      <c r="P539" s="22"/>
    </row>
    <row r="540" spans="1:16" ht="11.25" customHeight="1" x14ac:dyDescent="0.2">
      <c r="B540" s="17"/>
      <c r="C540" s="71" t="str">
        <f>IFERROR(VLOOKUP(B540,fixed_expenses4[],2,0),"")</f>
        <v/>
      </c>
      <c r="D540" s="17"/>
      <c r="E540" s="71" t="str">
        <f>IFERROR(VLOOKUP(D540,fixed_expenses4[],2,0),"")</f>
        <v/>
      </c>
      <c r="F540" s="17"/>
      <c r="G540" s="71" t="str">
        <f>IFERROR(VLOOKUP(F540,fixed_expenses4[],2,0),"")</f>
        <v/>
      </c>
      <c r="H540" s="17"/>
      <c r="I540" s="71" t="str">
        <f>IFERROR(VLOOKUP(H540,fixed_expenses4[],2,0),"")</f>
        <v/>
      </c>
      <c r="J540" s="17"/>
      <c r="K540" s="71" t="str">
        <f>IFERROR(VLOOKUP(J540,fixed_expenses4[],2,0),"")</f>
        <v/>
      </c>
      <c r="L540" s="80" t="s">
        <v>388</v>
      </c>
      <c r="M540" s="71">
        <f>IFERROR(VLOOKUP(L540,fixed_expenses4[],2,0),"")</f>
        <v>770</v>
      </c>
      <c r="N540" s="17"/>
      <c r="O540" s="71" t="str">
        <f>IFERROR(VLOOKUP(N540,fixed_expenses4[],2,0),"")</f>
        <v/>
      </c>
      <c r="P540" s="22"/>
    </row>
    <row r="541" spans="1:16" ht="11.25" customHeight="1" x14ac:dyDescent="0.2">
      <c r="B541" s="17"/>
      <c r="C541" s="71" t="str">
        <f>IFERROR(VLOOKUP(B541,fixed_expenses4[],2,0),"")</f>
        <v/>
      </c>
      <c r="D541" s="17"/>
      <c r="E541" s="71" t="str">
        <f>IFERROR(VLOOKUP(D541,fixed_expenses4[],2,0),"")</f>
        <v/>
      </c>
      <c r="F541" s="17"/>
      <c r="G541" s="71" t="str">
        <f>IFERROR(VLOOKUP(F541,fixed_expenses4[],2,0),"")</f>
        <v/>
      </c>
      <c r="H541" s="17"/>
      <c r="I541" s="71" t="str">
        <f>IFERROR(VLOOKUP(H541,fixed_expenses4[],2,0),"")</f>
        <v/>
      </c>
      <c r="J541" s="17"/>
      <c r="K541" s="71" t="str">
        <f>IFERROR(VLOOKUP(J541,fixed_expenses4[],2,0),"")</f>
        <v/>
      </c>
      <c r="L541" s="17"/>
      <c r="M541" s="71" t="str">
        <f>IFERROR(VLOOKUP(L541,fixed_expenses4[],2,0),"")</f>
        <v/>
      </c>
      <c r="N541" s="17"/>
      <c r="O541" s="71" t="str">
        <f>IFERROR(VLOOKUP(N541,fixed_expenses4[],2,0),"")</f>
        <v/>
      </c>
      <c r="P541" s="22"/>
    </row>
    <row r="542" spans="1:16" ht="11.25" customHeight="1" x14ac:dyDescent="0.2">
      <c r="B542" s="17"/>
      <c r="C542" s="71" t="str">
        <f>IFERROR(VLOOKUP(B542,fixed_expenses4[],2,0),"")</f>
        <v/>
      </c>
      <c r="D542" s="17"/>
      <c r="E542" s="71" t="str">
        <f>IFERROR(VLOOKUP(D542,fixed_expenses4[],2,0),"")</f>
        <v/>
      </c>
      <c r="F542" s="17"/>
      <c r="G542" s="71" t="str">
        <f>IFERROR(VLOOKUP(F542,fixed_expenses4[],2,0),"")</f>
        <v/>
      </c>
      <c r="H542" s="17"/>
      <c r="I542" s="71" t="str">
        <f>IFERROR(VLOOKUP(H542,fixed_expenses4[],2,0),"")</f>
        <v/>
      </c>
      <c r="J542" s="17"/>
      <c r="K542" s="71" t="str">
        <f>IFERROR(VLOOKUP(J542,fixed_expenses4[],2,0),"")</f>
        <v/>
      </c>
      <c r="L542" s="17"/>
      <c r="M542" s="71" t="str">
        <f>IFERROR(VLOOKUP(L542,fixed_expenses4[],2,0),"")</f>
        <v/>
      </c>
      <c r="N542" s="17"/>
      <c r="O542" s="71" t="str">
        <f>IFERROR(VLOOKUP(N542,fixed_expenses4[],2,0),"")</f>
        <v/>
      </c>
      <c r="P542" s="22"/>
    </row>
    <row r="543" spans="1:16" ht="11.25" customHeight="1" x14ac:dyDescent="0.2">
      <c r="B543" s="17"/>
      <c r="C543" s="71" t="str">
        <f>IFERROR(VLOOKUP(B543,fixed_expenses4[],2,0),"")</f>
        <v/>
      </c>
      <c r="D543" s="17"/>
      <c r="E543" s="71" t="str">
        <f>IFERROR(VLOOKUP(D543,fixed_expenses4[],2,0),"")</f>
        <v/>
      </c>
      <c r="F543" s="17"/>
      <c r="G543" s="71" t="str">
        <f>IFERROR(VLOOKUP(F543,fixed_expenses4[],2,0),"")</f>
        <v/>
      </c>
      <c r="H543" s="17"/>
      <c r="I543" s="71" t="str">
        <f>IFERROR(VLOOKUP(H543,fixed_expenses4[],2,0),"")</f>
        <v/>
      </c>
      <c r="J543" s="17"/>
      <c r="K543" s="71" t="str">
        <f>IFERROR(VLOOKUP(J543,fixed_expenses4[],2,0),"")</f>
        <v/>
      </c>
      <c r="L543" s="17"/>
      <c r="M543" s="71" t="str">
        <f>IFERROR(VLOOKUP(L543,fixed_expenses4[],2,0),"")</f>
        <v/>
      </c>
      <c r="N543" s="17"/>
      <c r="O543" s="71" t="str">
        <f>IFERROR(VLOOKUP(N543,fixed_expenses4[],2,0),"")</f>
        <v/>
      </c>
      <c r="P543" s="22"/>
    </row>
    <row r="544" spans="1:16" ht="11.25" customHeight="1" x14ac:dyDescent="0.2">
      <c r="A544" s="43" t="s">
        <v>301</v>
      </c>
      <c r="B544" s="26" t="s">
        <v>8</v>
      </c>
      <c r="C544" s="27">
        <f>SUM(C539:C543)</f>
        <v>0</v>
      </c>
      <c r="D544" s="26"/>
      <c r="E544" s="27">
        <f>SUM(E539:E543)</f>
        <v>0</v>
      </c>
      <c r="F544" s="26"/>
      <c r="G544" s="27">
        <f>SUM(G539:G543)</f>
        <v>0</v>
      </c>
      <c r="H544" s="26"/>
      <c r="I544" s="27">
        <f>SUM(I539:I543)</f>
        <v>0</v>
      </c>
      <c r="J544" s="26"/>
      <c r="K544" s="27">
        <f>SUM(K539:K543)</f>
        <v>0</v>
      </c>
      <c r="L544" s="26"/>
      <c r="M544" s="27">
        <f>SUM(M539:M543)</f>
        <v>1570</v>
      </c>
      <c r="N544" s="26"/>
      <c r="O544" s="28">
        <f>SUM(O539:O543)</f>
        <v>0</v>
      </c>
      <c r="P544" s="29">
        <f>SUM(C544,E544,G544,I544,K544,M544,O544)</f>
        <v>1570</v>
      </c>
    </row>
    <row r="545" spans="1:16" x14ac:dyDescent="0.2">
      <c r="B545" s="6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6"/>
    </row>
    <row r="546" spans="1:16" ht="15" customHeight="1" x14ac:dyDescent="0.2">
      <c r="A546" s="43" t="s">
        <v>271</v>
      </c>
      <c r="B546" s="12">
        <f ca="1">N537+1</f>
        <v>10</v>
      </c>
      <c r="C546" s="13"/>
      <c r="D546" s="12">
        <f ca="1">B546+1</f>
        <v>11</v>
      </c>
      <c r="E546" s="13"/>
      <c r="F546" s="12">
        <f ca="1">D546+1</f>
        <v>12</v>
      </c>
      <c r="G546" s="13"/>
      <c r="H546" s="12">
        <f ca="1">F546+1</f>
        <v>13</v>
      </c>
      <c r="I546" s="13"/>
      <c r="J546" s="12">
        <f ca="1">H546+1</f>
        <v>14</v>
      </c>
      <c r="K546" s="13"/>
      <c r="L546" s="12">
        <f ca="1">J546+1</f>
        <v>15</v>
      </c>
      <c r="M546" s="13"/>
      <c r="N546" s="12">
        <f ca="1">L546+1</f>
        <v>16</v>
      </c>
      <c r="O546" s="13"/>
      <c r="P546" s="24"/>
    </row>
    <row r="547" spans="1:16" ht="11.25" customHeight="1" x14ac:dyDescent="0.2">
      <c r="A547" s="43" t="s">
        <v>133</v>
      </c>
      <c r="B547" s="37" t="s">
        <v>9</v>
      </c>
      <c r="C547" s="39" t="s">
        <v>10</v>
      </c>
      <c r="D547" s="37" t="s">
        <v>9</v>
      </c>
      <c r="E547" s="39" t="s">
        <v>10</v>
      </c>
      <c r="F547" s="37" t="s">
        <v>9</v>
      </c>
      <c r="G547" s="39" t="s">
        <v>10</v>
      </c>
      <c r="H547" s="37" t="s">
        <v>9</v>
      </c>
      <c r="I547" s="39" t="s">
        <v>10</v>
      </c>
      <c r="J547" s="37" t="s">
        <v>9</v>
      </c>
      <c r="K547" s="39" t="s">
        <v>10</v>
      </c>
      <c r="L547" s="37" t="s">
        <v>9</v>
      </c>
      <c r="M547" s="39" t="s">
        <v>10</v>
      </c>
      <c r="N547" s="37" t="s">
        <v>9</v>
      </c>
      <c r="O547" s="40" t="s">
        <v>10</v>
      </c>
      <c r="P547" s="22"/>
    </row>
    <row r="548" spans="1:16" ht="11.25" customHeight="1" x14ac:dyDescent="0.2">
      <c r="A548" s="43" t="s">
        <v>220</v>
      </c>
      <c r="B548" s="17"/>
      <c r="C548" s="71" t="str">
        <f>IFERROR(VLOOKUP(B548,fixed_expenses4[],2,0),"")</f>
        <v/>
      </c>
      <c r="D548" s="17"/>
      <c r="E548" s="71" t="str">
        <f>IFERROR(VLOOKUP(D548,fixed_expenses4[],2,0),"")</f>
        <v/>
      </c>
      <c r="F548" s="17"/>
      <c r="G548" s="71" t="str">
        <f>IFERROR(VLOOKUP(F548,fixed_expenses4[],2,0),"")</f>
        <v/>
      </c>
      <c r="H548" s="17"/>
      <c r="I548" s="71" t="str">
        <f>IFERROR(VLOOKUP(H548,fixed_expenses4[],2,0),"")</f>
        <v/>
      </c>
      <c r="J548" s="17"/>
      <c r="K548" s="71" t="str">
        <f>IFERROR(VLOOKUP(J548,fixed_expenses4[],2,0),"")</f>
        <v/>
      </c>
      <c r="L548" s="17" t="s">
        <v>387</v>
      </c>
      <c r="M548" s="71">
        <f>IFERROR(VLOOKUP(L548,fixed_expenses4[],2,0),"")</f>
        <v>800</v>
      </c>
      <c r="N548" s="17"/>
      <c r="O548" s="71" t="str">
        <f>IFERROR(VLOOKUP(N548,fixed_expenses4[],2,0),"")</f>
        <v/>
      </c>
      <c r="P548" s="22"/>
    </row>
    <row r="549" spans="1:16" ht="11.25" customHeight="1" x14ac:dyDescent="0.2">
      <c r="B549" s="17"/>
      <c r="C549" s="71" t="str">
        <f>IFERROR(VLOOKUP(B549,fixed_expenses4[],2,0),"")</f>
        <v/>
      </c>
      <c r="D549" s="17"/>
      <c r="E549" s="71" t="str">
        <f>IFERROR(VLOOKUP(D549,fixed_expenses4[],2,0),"")</f>
        <v/>
      </c>
      <c r="F549" s="17"/>
      <c r="G549" s="71" t="str">
        <f>IFERROR(VLOOKUP(F549,fixed_expenses4[],2,0),"")</f>
        <v/>
      </c>
      <c r="H549" s="17"/>
      <c r="I549" s="71" t="str">
        <f>IFERROR(VLOOKUP(H549,fixed_expenses4[],2,0),"")</f>
        <v/>
      </c>
      <c r="J549" s="17"/>
      <c r="K549" s="71" t="str">
        <f>IFERROR(VLOOKUP(J549,fixed_expenses4[],2,0),"")</f>
        <v/>
      </c>
      <c r="L549" s="17"/>
      <c r="M549" s="71" t="str">
        <f>IFERROR(VLOOKUP(L549,fixed_expenses4[],2,0),"")</f>
        <v/>
      </c>
      <c r="N549" s="17"/>
      <c r="O549" s="71" t="str">
        <f>IFERROR(VLOOKUP(N549,fixed_expenses4[],2,0),"")</f>
        <v/>
      </c>
      <c r="P549" s="22"/>
    </row>
    <row r="550" spans="1:16" ht="11.25" customHeight="1" x14ac:dyDescent="0.2">
      <c r="B550" s="17"/>
      <c r="C550" s="71" t="str">
        <f>IFERROR(VLOOKUP(B550,fixed_expenses4[],2,0),"")</f>
        <v/>
      </c>
      <c r="D550" s="17"/>
      <c r="E550" s="71" t="str">
        <f>IFERROR(VLOOKUP(D550,fixed_expenses4[],2,0),"")</f>
        <v/>
      </c>
      <c r="F550" s="17"/>
      <c r="G550" s="71" t="str">
        <f>IFERROR(VLOOKUP(F550,fixed_expenses4[],2,0),"")</f>
        <v/>
      </c>
      <c r="H550" s="17"/>
      <c r="I550" s="71" t="str">
        <f>IFERROR(VLOOKUP(H550,fixed_expenses4[],2,0),"")</f>
        <v/>
      </c>
      <c r="J550" s="17"/>
      <c r="K550" s="71" t="str">
        <f>IFERROR(VLOOKUP(J550,fixed_expenses4[],2,0),"")</f>
        <v/>
      </c>
      <c r="L550" s="17"/>
      <c r="M550" s="71" t="str">
        <f>IFERROR(VLOOKUP(L550,fixed_expenses4[],2,0),"")</f>
        <v/>
      </c>
      <c r="N550" s="17"/>
      <c r="O550" s="71" t="str">
        <f>IFERROR(VLOOKUP(N550,fixed_expenses4[],2,0),"")</f>
        <v/>
      </c>
      <c r="P550" s="22"/>
    </row>
    <row r="551" spans="1:16" ht="11.25" customHeight="1" x14ac:dyDescent="0.2">
      <c r="B551" s="17"/>
      <c r="C551" s="71" t="str">
        <f>IFERROR(VLOOKUP(B551,fixed_expenses4[],2,0),"")</f>
        <v/>
      </c>
      <c r="D551" s="17"/>
      <c r="E551" s="71" t="str">
        <f>IFERROR(VLOOKUP(D551,fixed_expenses4[],2,0),"")</f>
        <v/>
      </c>
      <c r="F551" s="17"/>
      <c r="G551" s="71" t="str">
        <f>IFERROR(VLOOKUP(F551,fixed_expenses4[],2,0),"")</f>
        <v/>
      </c>
      <c r="H551" s="17"/>
      <c r="I551" s="71" t="str">
        <f>IFERROR(VLOOKUP(H551,fixed_expenses4[],2,0),"")</f>
        <v/>
      </c>
      <c r="J551" s="17"/>
      <c r="K551" s="71" t="str">
        <f>IFERROR(VLOOKUP(J551,fixed_expenses4[],2,0),"")</f>
        <v/>
      </c>
      <c r="L551" s="17"/>
      <c r="M551" s="71" t="str">
        <f>IFERROR(VLOOKUP(L551,fixed_expenses4[],2,0),"")</f>
        <v/>
      </c>
      <c r="N551" s="17"/>
      <c r="O551" s="71" t="str">
        <f>IFERROR(VLOOKUP(N551,fixed_expenses4[],2,0),"")</f>
        <v/>
      </c>
      <c r="P551" s="22"/>
    </row>
    <row r="552" spans="1:16" ht="11.25" customHeight="1" x14ac:dyDescent="0.2">
      <c r="B552" s="17"/>
      <c r="C552" s="71" t="str">
        <f>IFERROR(VLOOKUP(B552,fixed_expenses4[],2,0),"")</f>
        <v/>
      </c>
      <c r="D552" s="17"/>
      <c r="E552" s="71" t="str">
        <f>IFERROR(VLOOKUP(D552,fixed_expenses4[],2,0),"")</f>
        <v/>
      </c>
      <c r="F552" s="17"/>
      <c r="G552" s="71" t="str">
        <f>IFERROR(VLOOKUP(F552,fixed_expenses4[],2,0),"")</f>
        <v/>
      </c>
      <c r="H552" s="17"/>
      <c r="I552" s="71" t="str">
        <f>IFERROR(VLOOKUP(H552,fixed_expenses4[],2,0),"")</f>
        <v/>
      </c>
      <c r="J552" s="17"/>
      <c r="K552" s="71" t="str">
        <f>IFERROR(VLOOKUP(J552,fixed_expenses4[],2,0),"")</f>
        <v/>
      </c>
      <c r="L552" s="17"/>
      <c r="M552" s="71" t="str">
        <f>IFERROR(VLOOKUP(L552,fixed_expenses4[],2,0),"")</f>
        <v/>
      </c>
      <c r="N552" s="17"/>
      <c r="O552" s="71" t="str">
        <f>IFERROR(VLOOKUP(N552,fixed_expenses4[],2,0),"")</f>
        <v/>
      </c>
      <c r="P552" s="22"/>
    </row>
    <row r="553" spans="1:16" ht="11.25" customHeight="1" x14ac:dyDescent="0.2">
      <c r="A553" s="43" t="s">
        <v>300</v>
      </c>
      <c r="B553" s="30" t="s">
        <v>8</v>
      </c>
      <c r="C553" s="27">
        <f>SUM(C548:C552)</f>
        <v>0</v>
      </c>
      <c r="D553" s="26"/>
      <c r="E553" s="27">
        <f>SUM(E548:E552)</f>
        <v>0</v>
      </c>
      <c r="F553" s="26"/>
      <c r="G553" s="27">
        <f>SUM(G548:G552)</f>
        <v>0</v>
      </c>
      <c r="H553" s="26"/>
      <c r="I553" s="27">
        <f>SUM(I548:I552)</f>
        <v>0</v>
      </c>
      <c r="J553" s="26"/>
      <c r="K553" s="27">
        <f>SUM(K548:K552)</f>
        <v>0</v>
      </c>
      <c r="L553" s="26"/>
      <c r="M553" s="27">
        <f>SUM(M548:M552)</f>
        <v>800</v>
      </c>
      <c r="N553" s="26"/>
      <c r="O553" s="28">
        <f>SUM(O548:O552)</f>
        <v>0</v>
      </c>
      <c r="P553" s="29">
        <f>SUM(C553,E553,G553,I553,K553,M553,O553)</f>
        <v>800</v>
      </c>
    </row>
    <row r="554" spans="1:16" x14ac:dyDescent="0.2">
      <c r="B554" s="6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6"/>
    </row>
    <row r="555" spans="1:16" ht="15" customHeight="1" x14ac:dyDescent="0.2">
      <c r="A555" s="43" t="s">
        <v>272</v>
      </c>
      <c r="B555" s="12">
        <f ca="1">N546+1</f>
        <v>17</v>
      </c>
      <c r="C555" s="13"/>
      <c r="D555" s="12">
        <f ca="1">B555+1</f>
        <v>18</v>
      </c>
      <c r="E555" s="13"/>
      <c r="F555" s="12">
        <f ca="1">D555+1</f>
        <v>19</v>
      </c>
      <c r="G555" s="13"/>
      <c r="H555" s="12">
        <f ca="1">F555+1</f>
        <v>20</v>
      </c>
      <c r="I555" s="13"/>
      <c r="J555" s="12">
        <f ca="1">H555+1</f>
        <v>21</v>
      </c>
      <c r="K555" s="13"/>
      <c r="L555" s="12">
        <f ca="1">J555+1</f>
        <v>22</v>
      </c>
      <c r="M555" s="13"/>
      <c r="N555" s="12">
        <f ca="1">L555+1</f>
        <v>23</v>
      </c>
      <c r="O555" s="13"/>
      <c r="P555" s="24"/>
    </row>
    <row r="556" spans="1:16" ht="11.25" customHeight="1" x14ac:dyDescent="0.2">
      <c r="A556" s="43" t="s">
        <v>132</v>
      </c>
      <c r="B556" s="37" t="s">
        <v>9</v>
      </c>
      <c r="C556" s="39" t="s">
        <v>10</v>
      </c>
      <c r="D556" s="37" t="s">
        <v>9</v>
      </c>
      <c r="E556" s="39" t="s">
        <v>10</v>
      </c>
      <c r="F556" s="37" t="s">
        <v>9</v>
      </c>
      <c r="G556" s="39" t="s">
        <v>10</v>
      </c>
      <c r="H556" s="37" t="s">
        <v>9</v>
      </c>
      <c r="I556" s="39" t="s">
        <v>10</v>
      </c>
      <c r="J556" s="37" t="s">
        <v>9</v>
      </c>
      <c r="K556" s="39" t="s">
        <v>10</v>
      </c>
      <c r="L556" s="37" t="s">
        <v>9</v>
      </c>
      <c r="M556" s="39" t="s">
        <v>10</v>
      </c>
      <c r="N556" s="37" t="s">
        <v>9</v>
      </c>
      <c r="O556" s="40" t="s">
        <v>10</v>
      </c>
      <c r="P556" s="22"/>
    </row>
    <row r="557" spans="1:16" ht="11.25" customHeight="1" x14ac:dyDescent="0.2">
      <c r="A557" s="43" t="s">
        <v>221</v>
      </c>
      <c r="B557" s="17"/>
      <c r="C557" s="71" t="str">
        <f>IFERROR(VLOOKUP(B557,fixed_expenses4[],2,0),"")</f>
        <v/>
      </c>
      <c r="D557" s="17"/>
      <c r="E557" s="71" t="str">
        <f>IFERROR(VLOOKUP(D557,fixed_expenses4[],2,0),"")</f>
        <v/>
      </c>
      <c r="F557" s="17"/>
      <c r="G557" s="71" t="str">
        <f>IFERROR(VLOOKUP(F557,fixed_expenses4[],2,0),"")</f>
        <v/>
      </c>
      <c r="H557" s="17"/>
      <c r="I557" s="71" t="str">
        <f>IFERROR(VLOOKUP(H557,fixed_expenses4[],2,0),"")</f>
        <v/>
      </c>
      <c r="J557" s="17"/>
      <c r="K557" s="71" t="str">
        <f>IFERROR(VLOOKUP(J557,fixed_expenses4[],2,0),"")</f>
        <v/>
      </c>
      <c r="L557" s="17" t="s">
        <v>387</v>
      </c>
      <c r="M557" s="71">
        <f>IFERROR(VLOOKUP(L557,fixed_expenses4[],2,0),"")</f>
        <v>800</v>
      </c>
      <c r="N557" s="17"/>
      <c r="O557" s="71" t="str">
        <f>IFERROR(VLOOKUP(N557,fixed_expenses4[],2,0),"")</f>
        <v/>
      </c>
      <c r="P557" s="22"/>
    </row>
    <row r="558" spans="1:16" ht="11.25" customHeight="1" x14ac:dyDescent="0.2">
      <c r="B558" s="17"/>
      <c r="C558" s="71" t="str">
        <f>IFERROR(VLOOKUP(B558,fixed_expenses4[],2,0),"")</f>
        <v/>
      </c>
      <c r="D558" s="17"/>
      <c r="E558" s="71" t="str">
        <f>IFERROR(VLOOKUP(D558,fixed_expenses4[],2,0),"")</f>
        <v/>
      </c>
      <c r="F558" s="17"/>
      <c r="G558" s="71" t="str">
        <f>IFERROR(VLOOKUP(F558,fixed_expenses4[],2,0),"")</f>
        <v/>
      </c>
      <c r="H558" s="17"/>
      <c r="I558" s="71" t="str">
        <f>IFERROR(VLOOKUP(H558,fixed_expenses4[],2,0),"")</f>
        <v/>
      </c>
      <c r="J558" s="17"/>
      <c r="K558" s="71" t="str">
        <f>IFERROR(VLOOKUP(J558,fixed_expenses4[],2,0),"")</f>
        <v/>
      </c>
      <c r="L558" s="80" t="s">
        <v>388</v>
      </c>
      <c r="M558" s="71">
        <f>IFERROR(VLOOKUP(L558,fixed_expenses4[],2,0),"")</f>
        <v>770</v>
      </c>
      <c r="N558" s="17"/>
      <c r="O558" s="71" t="str">
        <f>IFERROR(VLOOKUP(N558,fixed_expenses4[],2,0),"")</f>
        <v/>
      </c>
      <c r="P558" s="22"/>
    </row>
    <row r="559" spans="1:16" ht="11.25" customHeight="1" x14ac:dyDescent="0.2">
      <c r="B559" s="17"/>
      <c r="C559" s="71" t="str">
        <f>IFERROR(VLOOKUP(B559,fixed_expenses4[],2,0),"")</f>
        <v/>
      </c>
      <c r="D559" s="17"/>
      <c r="E559" s="71" t="str">
        <f>IFERROR(VLOOKUP(D559,fixed_expenses4[],2,0),"")</f>
        <v/>
      </c>
      <c r="F559" s="17"/>
      <c r="G559" s="71" t="str">
        <f>IFERROR(VLOOKUP(F559,fixed_expenses4[],2,0),"")</f>
        <v/>
      </c>
      <c r="H559" s="17"/>
      <c r="I559" s="71" t="str">
        <f>IFERROR(VLOOKUP(H559,fixed_expenses4[],2,0),"")</f>
        <v/>
      </c>
      <c r="J559" s="17"/>
      <c r="K559" s="71" t="str">
        <f>IFERROR(VLOOKUP(J559,fixed_expenses4[],2,0),"")</f>
        <v/>
      </c>
      <c r="L559" s="17"/>
      <c r="M559" s="71" t="str">
        <f>IFERROR(VLOOKUP(L559,fixed_expenses4[],2,0),"")</f>
        <v/>
      </c>
      <c r="N559" s="17"/>
      <c r="O559" s="71" t="str">
        <f>IFERROR(VLOOKUP(N559,fixed_expenses4[],2,0),"")</f>
        <v/>
      </c>
      <c r="P559" s="22"/>
    </row>
    <row r="560" spans="1:16" ht="11.25" customHeight="1" x14ac:dyDescent="0.2">
      <c r="B560" s="17"/>
      <c r="C560" s="71" t="str">
        <f>IFERROR(VLOOKUP(B560,fixed_expenses4[],2,0),"")</f>
        <v/>
      </c>
      <c r="D560" s="17"/>
      <c r="E560" s="71" t="str">
        <f>IFERROR(VLOOKUP(D560,fixed_expenses4[],2,0),"")</f>
        <v/>
      </c>
      <c r="F560" s="17"/>
      <c r="G560" s="71" t="str">
        <f>IFERROR(VLOOKUP(F560,fixed_expenses4[],2,0),"")</f>
        <v/>
      </c>
      <c r="H560" s="17"/>
      <c r="I560" s="71" t="str">
        <f>IFERROR(VLOOKUP(H560,fixed_expenses4[],2,0),"")</f>
        <v/>
      </c>
      <c r="J560" s="17"/>
      <c r="K560" s="71" t="str">
        <f>IFERROR(VLOOKUP(J560,fixed_expenses4[],2,0),"")</f>
        <v/>
      </c>
      <c r="L560" s="17"/>
      <c r="M560" s="71" t="str">
        <f>IFERROR(VLOOKUP(L560,fixed_expenses4[],2,0),"")</f>
        <v/>
      </c>
      <c r="N560" s="17"/>
      <c r="O560" s="71" t="str">
        <f>IFERROR(VLOOKUP(N560,fixed_expenses4[],2,0),"")</f>
        <v/>
      </c>
      <c r="P560" s="22"/>
    </row>
    <row r="561" spans="1:16" ht="11.25" customHeight="1" x14ac:dyDescent="0.2">
      <c r="B561" s="17"/>
      <c r="C561" s="71" t="str">
        <f>IFERROR(VLOOKUP(B561,fixed_expenses4[],2,0),"")</f>
        <v/>
      </c>
      <c r="D561" s="17"/>
      <c r="E561" s="71" t="str">
        <f>IFERROR(VLOOKUP(D561,fixed_expenses4[],2,0),"")</f>
        <v/>
      </c>
      <c r="F561" s="17"/>
      <c r="G561" s="71" t="str">
        <f>IFERROR(VLOOKUP(F561,fixed_expenses4[],2,0),"")</f>
        <v/>
      </c>
      <c r="H561" s="17"/>
      <c r="I561" s="71" t="str">
        <f>IFERROR(VLOOKUP(H561,fixed_expenses4[],2,0),"")</f>
        <v/>
      </c>
      <c r="J561" s="17"/>
      <c r="K561" s="71" t="str">
        <f>IFERROR(VLOOKUP(J561,fixed_expenses4[],2,0),"")</f>
        <v/>
      </c>
      <c r="L561" s="17"/>
      <c r="M561" s="71" t="str">
        <f>IFERROR(VLOOKUP(L561,fixed_expenses4[],2,0),"")</f>
        <v/>
      </c>
      <c r="N561" s="17"/>
      <c r="O561" s="71" t="str">
        <f>IFERROR(VLOOKUP(N561,fixed_expenses4[],2,0),"")</f>
        <v/>
      </c>
      <c r="P561" s="22"/>
    </row>
    <row r="562" spans="1:16" ht="11.25" customHeight="1" x14ac:dyDescent="0.2">
      <c r="A562" s="43" t="s">
        <v>299</v>
      </c>
      <c r="B562" s="26" t="s">
        <v>8</v>
      </c>
      <c r="C562" s="27">
        <f>SUM(C557:C561)</f>
        <v>0</v>
      </c>
      <c r="D562" s="26"/>
      <c r="E562" s="27">
        <f>SUM(E557:E561)</f>
        <v>0</v>
      </c>
      <c r="F562" s="26"/>
      <c r="G562" s="27">
        <f>SUM(G557:G561)</f>
        <v>0</v>
      </c>
      <c r="H562" s="26"/>
      <c r="I562" s="27">
        <f>SUM(I557:I561)</f>
        <v>0</v>
      </c>
      <c r="J562" s="26"/>
      <c r="K562" s="27">
        <f>SUM(K557:K561)</f>
        <v>0</v>
      </c>
      <c r="L562" s="26"/>
      <c r="M562" s="27">
        <f>SUM(M557:M561)</f>
        <v>1570</v>
      </c>
      <c r="N562" s="26"/>
      <c r="O562" s="28">
        <f>SUM(O557:O561)</f>
        <v>0</v>
      </c>
      <c r="P562" s="29">
        <f>SUM(C562,E562,G562,I562,K562,M562,O562)</f>
        <v>1570</v>
      </c>
    </row>
    <row r="563" spans="1:16" x14ac:dyDescent="0.2">
      <c r="B563" s="6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6"/>
    </row>
    <row r="564" spans="1:16" ht="15" customHeight="1" x14ac:dyDescent="0.2">
      <c r="A564" s="43" t="s">
        <v>273</v>
      </c>
      <c r="B564" s="12">
        <f ca="1">DAY(IF(DAY(OctSun1)=1,OctSun1+22,OctSun1+29))</f>
        <v>24</v>
      </c>
      <c r="C564" s="13"/>
      <c r="D564" s="12">
        <f ca="1">DAY(IF(DAY(OctSun1)=1,OctSun1+23,OctSun1+30))</f>
        <v>25</v>
      </c>
      <c r="E564" s="13"/>
      <c r="F564" s="12">
        <f ca="1">DAY(IF(DAY(OctSun1)=1,OctSun1+24,OctSun1+31))</f>
        <v>26</v>
      </c>
      <c r="G564" s="13"/>
      <c r="H564" s="12">
        <f ca="1">DAY(IF(DAY(OctSun1)=1,OctSun1+25,OctSun1+32))</f>
        <v>27</v>
      </c>
      <c r="I564" s="13"/>
      <c r="J564" s="12">
        <f ca="1">DAY(IF(DAY(OctSun1)=1,OctSun1+26,OctSun1+33))</f>
        <v>28</v>
      </c>
      <c r="K564" s="13"/>
      <c r="L564" s="12">
        <f ca="1">DAY(IF(DAY(OctSun1)=1,OctSun1+27,OctSun1+34))</f>
        <v>29</v>
      </c>
      <c r="M564" s="13"/>
      <c r="N564" s="12">
        <f ca="1">DAY(IF(DAY(OctSun1)=1,OctSun1+28,OctSun1+35))</f>
        <v>30</v>
      </c>
      <c r="O564" s="13"/>
      <c r="P564" s="25"/>
    </row>
    <row r="565" spans="1:16" ht="11.25" customHeight="1" x14ac:dyDescent="0.2">
      <c r="A565" s="43" t="s">
        <v>131</v>
      </c>
      <c r="B565" s="37" t="s">
        <v>9</v>
      </c>
      <c r="C565" s="39" t="s">
        <v>10</v>
      </c>
      <c r="D565" s="37" t="s">
        <v>9</v>
      </c>
      <c r="E565" s="39" t="s">
        <v>10</v>
      </c>
      <c r="F565" s="37" t="s">
        <v>9</v>
      </c>
      <c r="G565" s="39" t="s">
        <v>10</v>
      </c>
      <c r="H565" s="37" t="s">
        <v>9</v>
      </c>
      <c r="I565" s="39" t="s">
        <v>10</v>
      </c>
      <c r="J565" s="37" t="s">
        <v>9</v>
      </c>
      <c r="K565" s="39" t="s">
        <v>10</v>
      </c>
      <c r="L565" s="37" t="s">
        <v>9</v>
      </c>
      <c r="M565" s="39" t="s">
        <v>10</v>
      </c>
      <c r="N565" s="37" t="s">
        <v>9</v>
      </c>
      <c r="O565" s="40" t="s">
        <v>10</v>
      </c>
      <c r="P565" s="22"/>
    </row>
    <row r="566" spans="1:16" ht="11.25" customHeight="1" x14ac:dyDescent="0.2">
      <c r="A566" s="43" t="s">
        <v>222</v>
      </c>
      <c r="B566" s="17"/>
      <c r="C566" s="71" t="str">
        <f>IFERROR(VLOOKUP(B566,fixed_expenses4[],2,0),"")</f>
        <v/>
      </c>
      <c r="D566" s="17"/>
      <c r="E566" s="71" t="str">
        <f>IFERROR(VLOOKUP(D566,fixed_expenses4[],2,0),"")</f>
        <v/>
      </c>
      <c r="F566" s="17"/>
      <c r="G566" s="71" t="str">
        <f>IFERROR(VLOOKUP(F566,fixed_expenses4[],2,0),"")</f>
        <v/>
      </c>
      <c r="H566" s="17"/>
      <c r="I566" s="71" t="str">
        <f>IFERROR(VLOOKUP(H566,fixed_expenses4[],2,0),"")</f>
        <v/>
      </c>
      <c r="J566" s="17"/>
      <c r="K566" s="71" t="str">
        <f>IFERROR(VLOOKUP(J566,fixed_expenses4[],2,0),"")</f>
        <v/>
      </c>
      <c r="L566" s="17" t="s">
        <v>387</v>
      </c>
      <c r="M566" s="71">
        <f>IFERROR(VLOOKUP(L566,fixed_expenses4[],2,0),"")</f>
        <v>800</v>
      </c>
      <c r="N566" s="17"/>
      <c r="O566" s="71" t="str">
        <f>IFERROR(VLOOKUP(N566,fixed_expenses4[],2,0),"")</f>
        <v/>
      </c>
      <c r="P566" s="22"/>
    </row>
    <row r="567" spans="1:16" ht="11.25" customHeight="1" x14ac:dyDescent="0.2">
      <c r="B567" s="17"/>
      <c r="C567" s="71" t="str">
        <f>IFERROR(VLOOKUP(B567,fixed_expenses4[],2,0),"")</f>
        <v/>
      </c>
      <c r="D567" s="17"/>
      <c r="E567" s="71" t="str">
        <f>IFERROR(VLOOKUP(D567,fixed_expenses4[],2,0),"")</f>
        <v/>
      </c>
      <c r="F567" s="17"/>
      <c r="G567" s="71" t="str">
        <f>IFERROR(VLOOKUP(F567,fixed_expenses4[],2,0),"")</f>
        <v/>
      </c>
      <c r="H567" s="17"/>
      <c r="I567" s="71" t="str">
        <f>IFERROR(VLOOKUP(H567,fixed_expenses4[],2,0),"")</f>
        <v/>
      </c>
      <c r="J567" s="17"/>
      <c r="K567" s="71" t="str">
        <f>IFERROR(VLOOKUP(J567,fixed_expenses4[],2,0),"")</f>
        <v/>
      </c>
      <c r="L567" s="17"/>
      <c r="M567" s="71" t="str">
        <f>IFERROR(VLOOKUP(L567,fixed_expenses4[],2,0),"")</f>
        <v/>
      </c>
      <c r="N567" s="17"/>
      <c r="O567" s="71" t="str">
        <f>IFERROR(VLOOKUP(N567,fixed_expenses4[],2,0),"")</f>
        <v/>
      </c>
      <c r="P567" s="22"/>
    </row>
    <row r="568" spans="1:16" ht="11.25" customHeight="1" x14ac:dyDescent="0.2">
      <c r="B568" s="17"/>
      <c r="C568" s="71" t="str">
        <f>IFERROR(VLOOKUP(B568,fixed_expenses4[],2,0),"")</f>
        <v/>
      </c>
      <c r="D568" s="17"/>
      <c r="E568" s="71" t="str">
        <f>IFERROR(VLOOKUP(D568,fixed_expenses4[],2,0),"")</f>
        <v/>
      </c>
      <c r="F568" s="17"/>
      <c r="G568" s="71" t="str">
        <f>IFERROR(VLOOKUP(F568,fixed_expenses4[],2,0),"")</f>
        <v/>
      </c>
      <c r="H568" s="17"/>
      <c r="I568" s="71" t="str">
        <f>IFERROR(VLOOKUP(H568,fixed_expenses4[],2,0),"")</f>
        <v/>
      </c>
      <c r="J568" s="17"/>
      <c r="K568" s="71" t="str">
        <f>IFERROR(VLOOKUP(J568,fixed_expenses4[],2,0),"")</f>
        <v/>
      </c>
      <c r="L568" s="17"/>
      <c r="M568" s="71" t="str">
        <f>IFERROR(VLOOKUP(L568,fixed_expenses4[],2,0),"")</f>
        <v/>
      </c>
      <c r="N568" s="17"/>
      <c r="O568" s="71" t="str">
        <f>IFERROR(VLOOKUP(N568,fixed_expenses4[],2,0),"")</f>
        <v/>
      </c>
      <c r="P568" s="22"/>
    </row>
    <row r="569" spans="1:16" ht="11.25" customHeight="1" x14ac:dyDescent="0.2">
      <c r="B569" s="17"/>
      <c r="C569" s="71" t="str">
        <f>IFERROR(VLOOKUP(B569,fixed_expenses4[],2,0),"")</f>
        <v/>
      </c>
      <c r="D569" s="17"/>
      <c r="E569" s="71" t="str">
        <f>IFERROR(VLOOKUP(D569,fixed_expenses4[],2,0),"")</f>
        <v/>
      </c>
      <c r="F569" s="17"/>
      <c r="G569" s="71" t="str">
        <f>IFERROR(VLOOKUP(F569,fixed_expenses4[],2,0),"")</f>
        <v/>
      </c>
      <c r="H569" s="17"/>
      <c r="I569" s="71" t="str">
        <f>IFERROR(VLOOKUP(H569,fixed_expenses4[],2,0),"")</f>
        <v/>
      </c>
      <c r="J569" s="17"/>
      <c r="K569" s="71" t="str">
        <f>IFERROR(VLOOKUP(J569,fixed_expenses4[],2,0),"")</f>
        <v/>
      </c>
      <c r="L569" s="17"/>
      <c r="M569" s="71" t="str">
        <f>IFERROR(VLOOKUP(L569,fixed_expenses4[],2,0),"")</f>
        <v/>
      </c>
      <c r="N569" s="17"/>
      <c r="O569" s="71" t="str">
        <f>IFERROR(VLOOKUP(N569,fixed_expenses4[],2,0),"")</f>
        <v/>
      </c>
      <c r="P569" s="22"/>
    </row>
    <row r="570" spans="1:16" ht="11.25" customHeight="1" x14ac:dyDescent="0.2">
      <c r="B570" s="17"/>
      <c r="C570" s="71" t="str">
        <f>IFERROR(VLOOKUP(B570,fixed_expenses4[],2,0),"")</f>
        <v/>
      </c>
      <c r="D570" s="17"/>
      <c r="E570" s="71" t="str">
        <f>IFERROR(VLOOKUP(D570,fixed_expenses4[],2,0),"")</f>
        <v/>
      </c>
      <c r="F570" s="17"/>
      <c r="G570" s="71" t="str">
        <f>IFERROR(VLOOKUP(F570,fixed_expenses4[],2,0),"")</f>
        <v/>
      </c>
      <c r="H570" s="17"/>
      <c r="I570" s="71" t="str">
        <f>IFERROR(VLOOKUP(H570,fixed_expenses4[],2,0),"")</f>
        <v/>
      </c>
      <c r="J570" s="17"/>
      <c r="K570" s="71" t="str">
        <f>IFERROR(VLOOKUP(J570,fixed_expenses4[],2,0),"")</f>
        <v/>
      </c>
      <c r="L570" s="17"/>
      <c r="M570" s="71" t="str">
        <f>IFERROR(VLOOKUP(L570,fixed_expenses4[],2,0),"")</f>
        <v/>
      </c>
      <c r="N570" s="17"/>
      <c r="O570" s="71" t="str">
        <f>IFERROR(VLOOKUP(N570,fixed_expenses4[],2,0),"")</f>
        <v/>
      </c>
      <c r="P570" s="22"/>
    </row>
    <row r="571" spans="1:16" ht="11.25" customHeight="1" x14ac:dyDescent="0.2">
      <c r="A571" s="43" t="s">
        <v>298</v>
      </c>
      <c r="B571" s="26" t="s">
        <v>8</v>
      </c>
      <c r="C571" s="27">
        <f>SUM(C566:C570)</f>
        <v>0</v>
      </c>
      <c r="D571" s="26"/>
      <c r="E571" s="27">
        <f>SUM(E566:E570)</f>
        <v>0</v>
      </c>
      <c r="F571" s="26"/>
      <c r="G571" s="27">
        <f>SUM(G566:G570)</f>
        <v>0</v>
      </c>
      <c r="H571" s="26"/>
      <c r="I571" s="27">
        <f>SUM(I566:I570)</f>
        <v>0</v>
      </c>
      <c r="J571" s="18"/>
      <c r="K571" s="27">
        <f>SUM(K566:K570)</f>
        <v>0</v>
      </c>
      <c r="L571" s="18"/>
      <c r="M571" s="27">
        <f>SUM(M566:M570)</f>
        <v>800</v>
      </c>
      <c r="N571" s="18"/>
      <c r="O571" s="28">
        <f>SUM(O566:O570)</f>
        <v>0</v>
      </c>
      <c r="P571" s="29">
        <f ca="1">SUMIF(B564:N564,"&gt;="&amp;15,C571:O571)</f>
        <v>800</v>
      </c>
    </row>
    <row r="572" spans="1:16" x14ac:dyDescent="0.2">
      <c r="B572" s="6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6"/>
    </row>
    <row r="573" spans="1:16" ht="15" customHeight="1" x14ac:dyDescent="0.2">
      <c r="A573" s="43" t="s">
        <v>274</v>
      </c>
      <c r="B573" s="12">
        <f ca="1">DAY(IF(DAY(OctSun1)=1,OctSun1+29,OctSun1+36))</f>
        <v>31</v>
      </c>
      <c r="C573" s="11"/>
      <c r="D573" s="12">
        <f ca="1">DAY(IF(DAY(OctSun1)=1,OctSun1+30,OctSun1+37))</f>
        <v>1</v>
      </c>
      <c r="E573" s="13"/>
      <c r="F573" s="10">
        <f ca="1">DAY(IF(DAY(OctSun1)=1,OctSun1+31,OctSun1+38))</f>
        <v>2</v>
      </c>
      <c r="G573" s="13"/>
      <c r="H573" s="12">
        <f ca="1">DAY(IF(DAY(OctSun1)=1,OctSun1+32,OctSun1+39))</f>
        <v>3</v>
      </c>
      <c r="I573" s="13"/>
      <c r="J573" s="12">
        <f ca="1">DAY(IF(DAY(OctSun1)=1,OctSun1+33,OctSun1+40))</f>
        <v>4</v>
      </c>
      <c r="K573" s="13"/>
      <c r="L573" s="12">
        <f ca="1">DAY(IF(DAY(OctSun1)=1,OctSun1+34,OctSun1+41))</f>
        <v>5</v>
      </c>
      <c r="M573" s="13"/>
      <c r="N573" s="12">
        <f ca="1">DAY(IF(DAY(OctSun1)=1,OctSun1+35,OctSun1+42))</f>
        <v>6</v>
      </c>
      <c r="O573" s="13"/>
      <c r="P573" s="25"/>
    </row>
    <row r="574" spans="1:16" ht="11.25" customHeight="1" x14ac:dyDescent="0.2">
      <c r="A574" s="43" t="s">
        <v>130</v>
      </c>
      <c r="B574" s="37" t="s">
        <v>9</v>
      </c>
      <c r="C574" s="39" t="s">
        <v>10</v>
      </c>
      <c r="D574" s="37" t="s">
        <v>9</v>
      </c>
      <c r="E574" s="39" t="s">
        <v>10</v>
      </c>
      <c r="F574" s="37" t="s">
        <v>9</v>
      </c>
      <c r="G574" s="39" t="s">
        <v>10</v>
      </c>
      <c r="H574" s="37" t="s">
        <v>9</v>
      </c>
      <c r="I574" s="39" t="s">
        <v>10</v>
      </c>
      <c r="J574" s="37" t="s">
        <v>9</v>
      </c>
      <c r="K574" s="39" t="s">
        <v>10</v>
      </c>
      <c r="L574" s="37" t="s">
        <v>9</v>
      </c>
      <c r="M574" s="39" t="s">
        <v>10</v>
      </c>
      <c r="N574" s="37" t="s">
        <v>9</v>
      </c>
      <c r="O574" s="40" t="s">
        <v>10</v>
      </c>
      <c r="P574" s="22"/>
    </row>
    <row r="575" spans="1:16" ht="11.25" customHeight="1" x14ac:dyDescent="0.2">
      <c r="A575" s="43" t="s">
        <v>223</v>
      </c>
      <c r="B575" s="17"/>
      <c r="C575" s="71" t="str">
        <f>IFERROR(VLOOKUP(B575,fixed_expenses4[],2,0),"")</f>
        <v/>
      </c>
      <c r="D575" s="17"/>
      <c r="E575" s="71" t="str">
        <f>IFERROR(VLOOKUP(D575,fixed_expenses4[],2,0),"")</f>
        <v/>
      </c>
      <c r="F575" s="17"/>
      <c r="G575" s="71" t="str">
        <f>IFERROR(VLOOKUP(F575,fixed_expenses4[],2,0),"")</f>
        <v/>
      </c>
      <c r="H575" s="17"/>
      <c r="I575" s="71" t="str">
        <f>IFERROR(VLOOKUP(H575,fixed_expenses4[],2,0),"")</f>
        <v/>
      </c>
      <c r="J575" s="17"/>
      <c r="K575" s="71" t="str">
        <f>IFERROR(VLOOKUP(J575,fixed_expenses4[],2,0),"")</f>
        <v/>
      </c>
      <c r="L575" s="17"/>
      <c r="M575" s="71" t="str">
        <f>IFERROR(VLOOKUP(L575,fixed_expenses4[],2,0),"")</f>
        <v/>
      </c>
      <c r="N575" s="17"/>
      <c r="O575" s="71" t="str">
        <f>IFERROR(VLOOKUP(N575,fixed_expenses4[],2,0),"")</f>
        <v/>
      </c>
      <c r="P575" s="22"/>
    </row>
    <row r="576" spans="1:16" ht="11.25" customHeight="1" x14ac:dyDescent="0.2">
      <c r="B576" s="17"/>
      <c r="C576" s="71" t="str">
        <f>IFERROR(VLOOKUP(B576,fixed_expenses4[],2,0),"")</f>
        <v/>
      </c>
      <c r="D576" s="17"/>
      <c r="E576" s="71" t="str">
        <f>IFERROR(VLOOKUP(D576,fixed_expenses4[],2,0),"")</f>
        <v/>
      </c>
      <c r="F576" s="17"/>
      <c r="G576" s="71" t="str">
        <f>IFERROR(VLOOKUP(F576,fixed_expenses4[],2,0),"")</f>
        <v/>
      </c>
      <c r="H576" s="17"/>
      <c r="I576" s="71" t="str">
        <f>IFERROR(VLOOKUP(H576,fixed_expenses4[],2,0),"")</f>
        <v/>
      </c>
      <c r="J576" s="17"/>
      <c r="K576" s="71" t="str">
        <f>IFERROR(VLOOKUP(J576,fixed_expenses4[],2,0),"")</f>
        <v/>
      </c>
      <c r="L576" s="17"/>
      <c r="M576" s="71" t="str">
        <f>IFERROR(VLOOKUP(L576,fixed_expenses4[],2,0),"")</f>
        <v/>
      </c>
      <c r="N576" s="17"/>
      <c r="O576" s="71" t="str">
        <f>IFERROR(VLOOKUP(N576,fixed_expenses4[],2,0),"")</f>
        <v/>
      </c>
      <c r="P576" s="22"/>
    </row>
    <row r="577" spans="1:16" ht="11.25" customHeight="1" x14ac:dyDescent="0.2">
      <c r="B577" s="17"/>
      <c r="C577" s="71" t="str">
        <f>IFERROR(VLOOKUP(B577,fixed_expenses4[],2,0),"")</f>
        <v/>
      </c>
      <c r="D577" s="17"/>
      <c r="E577" s="71" t="str">
        <f>IFERROR(VLOOKUP(D577,fixed_expenses4[],2,0),"")</f>
        <v/>
      </c>
      <c r="F577" s="17"/>
      <c r="G577" s="71" t="str">
        <f>IFERROR(VLOOKUP(F577,fixed_expenses4[],2,0),"")</f>
        <v/>
      </c>
      <c r="H577" s="17"/>
      <c r="I577" s="71" t="str">
        <f>IFERROR(VLOOKUP(H577,fixed_expenses4[],2,0),"")</f>
        <v/>
      </c>
      <c r="J577" s="17"/>
      <c r="K577" s="71" t="str">
        <f>IFERROR(VLOOKUP(J577,fixed_expenses4[],2,0),"")</f>
        <v/>
      </c>
      <c r="L577" s="17"/>
      <c r="M577" s="71" t="str">
        <f>IFERROR(VLOOKUP(L577,fixed_expenses4[],2,0),"")</f>
        <v/>
      </c>
      <c r="N577" s="17"/>
      <c r="O577" s="71" t="str">
        <f>IFERROR(VLOOKUP(N577,fixed_expenses4[],2,0),"")</f>
        <v/>
      </c>
      <c r="P577" s="22"/>
    </row>
    <row r="578" spans="1:16" ht="11.25" customHeight="1" x14ac:dyDescent="0.2">
      <c r="B578" s="17"/>
      <c r="C578" s="71" t="str">
        <f>IFERROR(VLOOKUP(B578,fixed_expenses4[],2,0),"")</f>
        <v/>
      </c>
      <c r="D578" s="17"/>
      <c r="E578" s="71" t="str">
        <f>IFERROR(VLOOKUP(D578,fixed_expenses4[],2,0),"")</f>
        <v/>
      </c>
      <c r="F578" s="17"/>
      <c r="G578" s="71" t="str">
        <f>IFERROR(VLOOKUP(F578,fixed_expenses4[],2,0),"")</f>
        <v/>
      </c>
      <c r="H578" s="17"/>
      <c r="I578" s="71" t="str">
        <f>IFERROR(VLOOKUP(H578,fixed_expenses4[],2,0),"")</f>
        <v/>
      </c>
      <c r="J578" s="17"/>
      <c r="K578" s="71" t="str">
        <f>IFERROR(VLOOKUP(J578,fixed_expenses4[],2,0),"")</f>
        <v/>
      </c>
      <c r="L578" s="17"/>
      <c r="M578" s="71" t="str">
        <f>IFERROR(VLOOKUP(L578,fixed_expenses4[],2,0),"")</f>
        <v/>
      </c>
      <c r="N578" s="17"/>
      <c r="O578" s="71" t="str">
        <f>IFERROR(VLOOKUP(N578,fixed_expenses4[],2,0),"")</f>
        <v/>
      </c>
      <c r="P578" s="22"/>
    </row>
    <row r="579" spans="1:16" ht="11.25" customHeight="1" x14ac:dyDescent="0.2">
      <c r="B579" s="17"/>
      <c r="C579" s="71" t="str">
        <f>IFERROR(VLOOKUP(B579,fixed_expenses4[],2,0),"")</f>
        <v/>
      </c>
      <c r="D579" s="17"/>
      <c r="E579" s="71" t="str">
        <f>IFERROR(VLOOKUP(D579,fixed_expenses4[],2,0),"")</f>
        <v/>
      </c>
      <c r="F579" s="17"/>
      <c r="G579" s="71" t="str">
        <f>IFERROR(VLOOKUP(F579,fixed_expenses4[],2,0),"")</f>
        <v/>
      </c>
      <c r="H579" s="17"/>
      <c r="I579" s="71" t="str">
        <f>IFERROR(VLOOKUP(H579,fixed_expenses4[],2,0),"")</f>
        <v/>
      </c>
      <c r="J579" s="17"/>
      <c r="K579" s="71" t="str">
        <f>IFERROR(VLOOKUP(J579,fixed_expenses4[],2,0),"")</f>
        <v/>
      </c>
      <c r="L579" s="17"/>
      <c r="M579" s="71" t="str">
        <f>IFERROR(VLOOKUP(L579,fixed_expenses4[],2,0),"")</f>
        <v/>
      </c>
      <c r="N579" s="17"/>
      <c r="O579" s="71" t="str">
        <f>IFERROR(VLOOKUP(N579,fixed_expenses4[],2,0),"")</f>
        <v/>
      </c>
      <c r="P579" s="22"/>
    </row>
    <row r="580" spans="1:16" ht="11.25" customHeight="1" x14ac:dyDescent="0.2">
      <c r="A580" s="43" t="s">
        <v>297</v>
      </c>
      <c r="B580" s="26" t="s">
        <v>8</v>
      </c>
      <c r="C580" s="27">
        <f>SUM(C575:C579)</f>
        <v>0</v>
      </c>
      <c r="D580" s="18"/>
      <c r="E580" s="27">
        <f>SUM(E575:E579)</f>
        <v>0</v>
      </c>
      <c r="F580" s="18"/>
      <c r="G580" s="27">
        <f>SUM(G575:G579)</f>
        <v>0</v>
      </c>
      <c r="H580" s="18"/>
      <c r="I580" s="27">
        <f>SUM(I575:I579)</f>
        <v>0</v>
      </c>
      <c r="J580" s="18"/>
      <c r="K580" s="27">
        <f>SUM(K575:K579)</f>
        <v>0</v>
      </c>
      <c r="L580" s="18"/>
      <c r="M580" s="27">
        <f>SUM(M575:M579)</f>
        <v>0</v>
      </c>
      <c r="N580" s="18"/>
      <c r="O580" s="28">
        <f>SUM(O575:O579)</f>
        <v>0</v>
      </c>
      <c r="P580" s="29">
        <f ca="1">SUMIF(B573:N573,"&gt;="&amp;15,C580:O580)</f>
        <v>0</v>
      </c>
    </row>
    <row r="581" spans="1:16" ht="17.25" customHeight="1" x14ac:dyDescent="0.2"/>
    <row r="582" spans="1:16" ht="12" customHeight="1" x14ac:dyDescent="0.2">
      <c r="A582" s="43" t="s">
        <v>81</v>
      </c>
      <c r="B582" s="59" t="s">
        <v>23</v>
      </c>
      <c r="C582" s="59"/>
      <c r="D582" s="59"/>
      <c r="E582" s="59"/>
      <c r="F582"/>
      <c r="G582" s="4"/>
      <c r="H582"/>
      <c r="I582" s="4"/>
      <c r="J582"/>
      <c r="K582" s="4"/>
      <c r="L582" s="45" t="s">
        <v>12</v>
      </c>
      <c r="M582" s="45"/>
      <c r="N582" s="45" t="s">
        <v>13</v>
      </c>
      <c r="O582" s="45"/>
      <c r="P582"/>
    </row>
    <row r="583" spans="1:16" ht="25.5" customHeight="1" x14ac:dyDescent="0.2">
      <c r="A583" s="43" t="s">
        <v>98</v>
      </c>
      <c r="B583" s="59"/>
      <c r="C583" s="59"/>
      <c r="D583" s="59"/>
      <c r="E583" s="59"/>
      <c r="F583" s="3">
        <f ca="1">IFERROR(WEEKDAY(DATEVALUE(B582&amp;" 1, "&amp;Year1)),"")</f>
        <v>2</v>
      </c>
      <c r="G583" s="4"/>
      <c r="H583"/>
      <c r="I583" s="7"/>
      <c r="J583" s="8"/>
      <c r="K583" s="4"/>
      <c r="L583" s="46">
        <f ca="1">SUM(P593,P602,P611,P620,P629,P638)</f>
        <v>4740</v>
      </c>
      <c r="M583" s="47"/>
      <c r="N583" s="46">
        <f ca="1">SUM(P:P)</f>
        <v>62420</v>
      </c>
      <c r="O583" s="48"/>
      <c r="P583"/>
    </row>
    <row r="584" spans="1:16" ht="9" customHeight="1" x14ac:dyDescent="0.2">
      <c r="A584" s="43" t="s">
        <v>360</v>
      </c>
      <c r="B584" s="50">
        <v>1</v>
      </c>
      <c r="C584" s="50"/>
      <c r="D584" s="50">
        <v>2</v>
      </c>
      <c r="E584" s="50"/>
      <c r="F584" s="50">
        <v>3</v>
      </c>
      <c r="G584" s="50"/>
      <c r="H584" s="50">
        <v>4</v>
      </c>
      <c r="I584" s="50"/>
      <c r="J584" s="50">
        <v>5</v>
      </c>
      <c r="K584" s="50"/>
      <c r="L584" s="50">
        <v>6</v>
      </c>
      <c r="M584" s="50"/>
      <c r="N584" s="50">
        <v>7</v>
      </c>
      <c r="O584" s="50"/>
      <c r="P584" s="2"/>
    </row>
    <row r="585" spans="1:16" ht="15" customHeight="1" x14ac:dyDescent="0.2">
      <c r="A585" s="43" t="s">
        <v>101</v>
      </c>
      <c r="B585" s="60" t="s">
        <v>0</v>
      </c>
      <c r="C585" s="61"/>
      <c r="D585" s="62" t="s">
        <v>1</v>
      </c>
      <c r="E585" s="63" t="e">
        <f ca="1">IF(WEEKDAY(DATEVALUE(Month1&amp;" 1, "&amp;Year1))=COLUMN(#REF!),1,IF(LEN(C585)&gt;0,C585+1,""))</f>
        <v>#VALUE!</v>
      </c>
      <c r="F585" s="61" t="s">
        <v>2</v>
      </c>
      <c r="G585" s="61" t="e">
        <f ca="1">IF(WEEKDAY(DATEVALUE(Month1&amp;" 1, "&amp;Year1))=COLUMN(#REF!),1,IF(LEN(E585)&gt;0,E585+1,""))</f>
        <v>#VALUE!</v>
      </c>
      <c r="H585" s="62" t="s">
        <v>3</v>
      </c>
      <c r="I585" s="63" t="e">
        <f ca="1">IF(WEEKDAY(DATEVALUE(Month1&amp;" 1, "&amp;Year1))=COLUMN(#REF!),1,IF(LEN(G585)&gt;0,G585+1,""))</f>
        <v>#VALUE!</v>
      </c>
      <c r="J585" s="64" t="s">
        <v>4</v>
      </c>
      <c r="K585" s="65" t="e">
        <f ca="1">IF(WEEKDAY(DATEVALUE(Month1&amp;" 1, "&amp;Year1))=COLUMN(#REF!),1,IF(LEN(I585)&gt;0,I585+1,""))</f>
        <v>#VALUE!</v>
      </c>
      <c r="L585" s="66" t="s">
        <v>5</v>
      </c>
      <c r="M585" s="67" t="e">
        <f ca="1">IF(WEEKDAY(DATEVALUE(Month1&amp;" 1, "&amp;Year1))=COLUMN(#REF!),1,IF(LEN(K585)&gt;0,K585+1,""))</f>
        <v>#VALUE!</v>
      </c>
      <c r="N585" s="66" t="s">
        <v>6</v>
      </c>
      <c r="O585" s="67" t="e">
        <f ca="1">IF(WEEKDAY(DATEVALUE(Month1&amp;" 1, "&amp;Year1))=COLUMN(#REF!),1,IF(LEN(M585)&gt;0,M585+1,""))</f>
        <v>#VALUE!</v>
      </c>
      <c r="P585" s="42" t="s">
        <v>7</v>
      </c>
    </row>
    <row r="586" spans="1:16" ht="15" customHeight="1" x14ac:dyDescent="0.2">
      <c r="A586" s="43" t="s">
        <v>116</v>
      </c>
      <c r="B586" s="14">
        <f ca="1">DAY(IF(DAY(NovSun1)=1,NovSun1-6,NovSun1+1))</f>
        <v>31</v>
      </c>
      <c r="C586" s="16"/>
      <c r="D586" s="19">
        <f ca="1">DAY(IF(DAY(NovSun1)=1,NovSun1-5,NovSun1+2))</f>
        <v>1</v>
      </c>
      <c r="E586" s="16"/>
      <c r="F586" s="19">
        <f ca="1">DAY(IF(DAY(NovSun1)=1,NovSun1-4,NovSun1+3))</f>
        <v>2</v>
      </c>
      <c r="G586" s="16"/>
      <c r="H586" s="19">
        <f ca="1">DAY(IF(DAY(NovSun1)=1,NovSun1-3,NovSun1+4))</f>
        <v>3</v>
      </c>
      <c r="I586" s="16"/>
      <c r="J586" s="19">
        <f ca="1">DAY(IF(DAY(NovSun1)=1,NovSun1-2,NovSun1+5))</f>
        <v>4</v>
      </c>
      <c r="K586" s="16"/>
      <c r="L586" s="19">
        <f ca="1">DAY(IF(DAY(NovSun1)=1,NovSun1-1,NovSun1+6))</f>
        <v>5</v>
      </c>
      <c r="M586" s="16"/>
      <c r="N586" s="20">
        <f ca="1">DAY(IF(DAY(NovSun1)=1,NovSun1,NovSun1+7))</f>
        <v>6</v>
      </c>
      <c r="O586" s="15"/>
      <c r="P586" s="21"/>
    </row>
    <row r="587" spans="1:16" ht="11.25" customHeight="1" x14ac:dyDescent="0.2">
      <c r="A587" s="43" t="s">
        <v>129</v>
      </c>
      <c r="B587" s="41" t="s">
        <v>9</v>
      </c>
      <c r="C587" s="36" t="s">
        <v>10</v>
      </c>
      <c r="D587" s="35" t="s">
        <v>9</v>
      </c>
      <c r="E587" s="36" t="s">
        <v>10</v>
      </c>
      <c r="F587" s="35" t="s">
        <v>9</v>
      </c>
      <c r="G587" s="36" t="s">
        <v>10</v>
      </c>
      <c r="H587" s="35" t="s">
        <v>9</v>
      </c>
      <c r="I587" s="36" t="s">
        <v>10</v>
      </c>
      <c r="J587" s="35" t="s">
        <v>9</v>
      </c>
      <c r="K587" s="36" t="s">
        <v>10</v>
      </c>
      <c r="L587" s="35" t="s">
        <v>9</v>
      </c>
      <c r="M587" s="36" t="s">
        <v>10</v>
      </c>
      <c r="N587" s="37" t="s">
        <v>9</v>
      </c>
      <c r="O587" s="38" t="s">
        <v>10</v>
      </c>
      <c r="P587" s="22"/>
    </row>
    <row r="588" spans="1:16" ht="11.25" customHeight="1" x14ac:dyDescent="0.2">
      <c r="A588" s="43" t="s">
        <v>224</v>
      </c>
      <c r="B588" s="17"/>
      <c r="C588" s="71" t="str">
        <f>IFERROR(VLOOKUP(B588,fixed_expenses4[],2,0),"")</f>
        <v/>
      </c>
      <c r="D588" s="17"/>
      <c r="E588" s="71" t="str">
        <f>IFERROR(VLOOKUP(D588,fixed_expenses4[],2,0),"")</f>
        <v/>
      </c>
      <c r="F588" s="17"/>
      <c r="G588" s="71" t="str">
        <f>IFERROR(VLOOKUP(F588,fixed_expenses4[],2,0),"")</f>
        <v/>
      </c>
      <c r="H588" s="17"/>
      <c r="I588" s="71" t="str">
        <f>IFERROR(VLOOKUP(H588,fixed_expenses4[],2,0),"")</f>
        <v/>
      </c>
      <c r="J588" s="17"/>
      <c r="K588" s="71" t="str">
        <f>IFERROR(VLOOKUP(J588,fixed_expenses4[],2,0),"")</f>
        <v/>
      </c>
      <c r="L588" s="17" t="s">
        <v>387</v>
      </c>
      <c r="M588" s="71">
        <f>IFERROR(VLOOKUP(L588,fixed_expenses4[],2,0),"")</f>
        <v>800</v>
      </c>
      <c r="N588" s="17"/>
      <c r="O588" s="71" t="str">
        <f>IFERROR(VLOOKUP(N588,fixed_expenses4[],2,0),"")</f>
        <v/>
      </c>
      <c r="P588" s="22"/>
    </row>
    <row r="589" spans="1:16" ht="11.25" customHeight="1" x14ac:dyDescent="0.2">
      <c r="B589" s="17"/>
      <c r="C589" s="71" t="str">
        <f>IFERROR(VLOOKUP(B589,fixed_expenses4[],2,0),"")</f>
        <v/>
      </c>
      <c r="D589" s="17"/>
      <c r="E589" s="71" t="str">
        <f>IFERROR(VLOOKUP(D589,fixed_expenses4[],2,0),"")</f>
        <v/>
      </c>
      <c r="F589" s="17"/>
      <c r="G589" s="71" t="str">
        <f>IFERROR(VLOOKUP(F589,fixed_expenses4[],2,0),"")</f>
        <v/>
      </c>
      <c r="H589" s="17"/>
      <c r="I589" s="71" t="str">
        <f>IFERROR(VLOOKUP(H589,fixed_expenses4[],2,0),"")</f>
        <v/>
      </c>
      <c r="J589" s="17"/>
      <c r="K589" s="71" t="str">
        <f>IFERROR(VLOOKUP(J589,fixed_expenses4[],2,0),"")</f>
        <v/>
      </c>
      <c r="L589" s="80" t="s">
        <v>388</v>
      </c>
      <c r="M589" s="71">
        <f>IFERROR(VLOOKUP(L589,fixed_expenses4[],2,0),"")</f>
        <v>770</v>
      </c>
      <c r="N589" s="17"/>
      <c r="O589" s="71" t="str">
        <f>IFERROR(VLOOKUP(N589,fixed_expenses4[],2,0),"")</f>
        <v/>
      </c>
      <c r="P589" s="22"/>
    </row>
    <row r="590" spans="1:16" ht="11.25" customHeight="1" x14ac:dyDescent="0.2">
      <c r="B590" s="17"/>
      <c r="C590" s="71" t="str">
        <f>IFERROR(VLOOKUP(B590,fixed_expenses4[],2,0),"")</f>
        <v/>
      </c>
      <c r="D590" s="17"/>
      <c r="E590" s="71" t="str">
        <f>IFERROR(VLOOKUP(D590,fixed_expenses4[],2,0),"")</f>
        <v/>
      </c>
      <c r="F590" s="17"/>
      <c r="G590" s="71" t="str">
        <f>IFERROR(VLOOKUP(F590,fixed_expenses4[],2,0),"")</f>
        <v/>
      </c>
      <c r="H590" s="17"/>
      <c r="I590" s="71" t="str">
        <f>IFERROR(VLOOKUP(H590,fixed_expenses4[],2,0),"")</f>
        <v/>
      </c>
      <c r="J590" s="17"/>
      <c r="K590" s="71" t="str">
        <f>IFERROR(VLOOKUP(J590,fixed_expenses4[],2,0),"")</f>
        <v/>
      </c>
      <c r="L590" s="17"/>
      <c r="M590" s="71" t="str">
        <f>IFERROR(VLOOKUP(L590,fixed_expenses4[],2,0),"")</f>
        <v/>
      </c>
      <c r="N590" s="17"/>
      <c r="O590" s="71" t="str">
        <f>IFERROR(VLOOKUP(N590,fixed_expenses4[],2,0),"")</f>
        <v/>
      </c>
      <c r="P590" s="22"/>
    </row>
    <row r="591" spans="1:16" ht="11.25" customHeight="1" x14ac:dyDescent="0.2">
      <c r="B591" s="17"/>
      <c r="C591" s="71" t="str">
        <f>IFERROR(VLOOKUP(B591,fixed_expenses4[],2,0),"")</f>
        <v/>
      </c>
      <c r="D591" s="17"/>
      <c r="E591" s="71" t="str">
        <f>IFERROR(VLOOKUP(D591,fixed_expenses4[],2,0),"")</f>
        <v/>
      </c>
      <c r="F591" s="17"/>
      <c r="G591" s="71" t="str">
        <f>IFERROR(VLOOKUP(F591,fixed_expenses4[],2,0),"")</f>
        <v/>
      </c>
      <c r="H591" s="17"/>
      <c r="I591" s="71" t="str">
        <f>IFERROR(VLOOKUP(H591,fixed_expenses4[],2,0),"")</f>
        <v/>
      </c>
      <c r="J591" s="17"/>
      <c r="K591" s="71" t="str">
        <f>IFERROR(VLOOKUP(J591,fixed_expenses4[],2,0),"")</f>
        <v/>
      </c>
      <c r="L591" s="17"/>
      <c r="M591" s="71" t="str">
        <f>IFERROR(VLOOKUP(L591,fixed_expenses4[],2,0),"")</f>
        <v/>
      </c>
      <c r="N591" s="17"/>
      <c r="O591" s="71" t="str">
        <f>IFERROR(VLOOKUP(N591,fixed_expenses4[],2,0),"")</f>
        <v/>
      </c>
      <c r="P591" s="22"/>
    </row>
    <row r="592" spans="1:16" ht="11.25" customHeight="1" x14ac:dyDescent="0.2">
      <c r="B592" s="17"/>
      <c r="C592" s="71" t="str">
        <f>IFERROR(VLOOKUP(B592,fixed_expenses4[],2,0),"")</f>
        <v/>
      </c>
      <c r="D592" s="17"/>
      <c r="E592" s="71" t="str">
        <f>IFERROR(VLOOKUP(D592,fixed_expenses4[],2,0),"")</f>
        <v/>
      </c>
      <c r="F592" s="17"/>
      <c r="G592" s="71" t="str">
        <f>IFERROR(VLOOKUP(F592,fixed_expenses4[],2,0),"")</f>
        <v/>
      </c>
      <c r="H592" s="17"/>
      <c r="I592" s="71" t="str">
        <f>IFERROR(VLOOKUP(H592,fixed_expenses4[],2,0),"")</f>
        <v/>
      </c>
      <c r="J592" s="17"/>
      <c r="K592" s="71" t="str">
        <f>IFERROR(VLOOKUP(J592,fixed_expenses4[],2,0),"")</f>
        <v/>
      </c>
      <c r="L592" s="17"/>
      <c r="M592" s="71" t="str">
        <f>IFERROR(VLOOKUP(L592,fixed_expenses4[],2,0),"")</f>
        <v/>
      </c>
      <c r="N592" s="17"/>
      <c r="O592" s="71" t="str">
        <f>IFERROR(VLOOKUP(N592,fixed_expenses4[],2,0),"")</f>
        <v/>
      </c>
      <c r="P592" s="22"/>
    </row>
    <row r="593" spans="1:16" ht="11.25" customHeight="1" x14ac:dyDescent="0.2">
      <c r="A593" s="43" t="s">
        <v>296</v>
      </c>
      <c r="B593" s="26" t="s">
        <v>8</v>
      </c>
      <c r="C593" s="27">
        <f>SUM(C588:C592)</f>
        <v>0</v>
      </c>
      <c r="D593" s="18"/>
      <c r="E593" s="27">
        <f>SUM(E588:E592)</f>
        <v>0</v>
      </c>
      <c r="F593" s="18"/>
      <c r="G593" s="27">
        <f>SUM(G588:G592)</f>
        <v>0</v>
      </c>
      <c r="H593" s="18"/>
      <c r="I593" s="27">
        <f>SUM(I588:I592)</f>
        <v>0</v>
      </c>
      <c r="J593" s="26"/>
      <c r="K593" s="27">
        <f>SUM(K588:K592)</f>
        <v>0</v>
      </c>
      <c r="L593" s="26"/>
      <c r="M593" s="27">
        <f>SUM(M588:M592)</f>
        <v>1570</v>
      </c>
      <c r="N593" s="26"/>
      <c r="O593" s="28">
        <f>SUM(O588:O592)</f>
        <v>0</v>
      </c>
      <c r="P593" s="29">
        <f ca="1">SUMIF(B586:N586,"&lt;8",C593:O593)</f>
        <v>1570</v>
      </c>
    </row>
    <row r="594" spans="1:16" x14ac:dyDescent="0.2">
      <c r="B594" s="6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6"/>
    </row>
    <row r="595" spans="1:16" ht="15" customHeight="1" x14ac:dyDescent="0.2">
      <c r="A595" s="43" t="s">
        <v>275</v>
      </c>
      <c r="B595" s="12">
        <f ca="1">N586+1</f>
        <v>7</v>
      </c>
      <c r="C595" s="13"/>
      <c r="D595" s="12">
        <f ca="1">B595+1</f>
        <v>8</v>
      </c>
      <c r="E595" s="13"/>
      <c r="F595" s="12">
        <f ca="1">D595+1</f>
        <v>9</v>
      </c>
      <c r="G595" s="13"/>
      <c r="H595" s="12">
        <f ca="1">F595+1</f>
        <v>10</v>
      </c>
      <c r="I595" s="13"/>
      <c r="J595" s="12">
        <f ca="1">H595+1</f>
        <v>11</v>
      </c>
      <c r="K595" s="13"/>
      <c r="L595" s="12">
        <f ca="1">J595+1</f>
        <v>12</v>
      </c>
      <c r="M595" s="13"/>
      <c r="N595" s="12">
        <f ca="1">L595+1</f>
        <v>13</v>
      </c>
      <c r="O595" s="13"/>
      <c r="P595" s="23"/>
    </row>
    <row r="596" spans="1:16" ht="11.25" customHeight="1" x14ac:dyDescent="0.2">
      <c r="A596" s="43" t="s">
        <v>128</v>
      </c>
      <c r="B596" s="37" t="s">
        <v>9</v>
      </c>
      <c r="C596" s="39" t="s">
        <v>10</v>
      </c>
      <c r="D596" s="37" t="s">
        <v>9</v>
      </c>
      <c r="E596" s="39" t="s">
        <v>10</v>
      </c>
      <c r="F596" s="37" t="s">
        <v>9</v>
      </c>
      <c r="G596" s="39" t="s">
        <v>10</v>
      </c>
      <c r="H596" s="37" t="s">
        <v>9</v>
      </c>
      <c r="I596" s="39" t="s">
        <v>10</v>
      </c>
      <c r="J596" s="37" t="s">
        <v>9</v>
      </c>
      <c r="K596" s="39" t="s">
        <v>10</v>
      </c>
      <c r="L596" s="37" t="s">
        <v>9</v>
      </c>
      <c r="M596" s="39" t="s">
        <v>10</v>
      </c>
      <c r="N596" s="37" t="s">
        <v>9</v>
      </c>
      <c r="O596" s="40" t="s">
        <v>10</v>
      </c>
      <c r="P596" s="22"/>
    </row>
    <row r="597" spans="1:16" ht="11.25" customHeight="1" x14ac:dyDescent="0.2">
      <c r="A597" s="43" t="s">
        <v>225</v>
      </c>
      <c r="B597" s="17"/>
      <c r="C597" s="71" t="str">
        <f>IFERROR(VLOOKUP(B597,fixed_expenses4[],2,0),"")</f>
        <v/>
      </c>
      <c r="D597" s="17"/>
      <c r="E597" s="71" t="str">
        <f>IFERROR(VLOOKUP(D597,fixed_expenses4[],2,0),"")</f>
        <v/>
      </c>
      <c r="F597" s="17"/>
      <c r="G597" s="71" t="str">
        <f>IFERROR(VLOOKUP(F597,fixed_expenses4[],2,0),"")</f>
        <v/>
      </c>
      <c r="H597" s="17"/>
      <c r="I597" s="71" t="str">
        <f>IFERROR(VLOOKUP(H597,fixed_expenses4[],2,0),"")</f>
        <v/>
      </c>
      <c r="J597" s="17"/>
      <c r="K597" s="71" t="str">
        <f>IFERROR(VLOOKUP(J597,fixed_expenses4[],2,0),"")</f>
        <v/>
      </c>
      <c r="L597" s="17" t="s">
        <v>387</v>
      </c>
      <c r="M597" s="71">
        <f>IFERROR(VLOOKUP(L597,fixed_expenses4[],2,0),"")</f>
        <v>800</v>
      </c>
      <c r="N597" s="17"/>
      <c r="O597" s="71" t="str">
        <f>IFERROR(VLOOKUP(N597,fixed_expenses4[],2,0),"")</f>
        <v/>
      </c>
      <c r="P597" s="22"/>
    </row>
    <row r="598" spans="1:16" ht="11.25" customHeight="1" x14ac:dyDescent="0.2">
      <c r="B598" s="17"/>
      <c r="C598" s="71" t="str">
        <f>IFERROR(VLOOKUP(B598,fixed_expenses4[],2,0),"")</f>
        <v/>
      </c>
      <c r="D598" s="17"/>
      <c r="E598" s="71" t="str">
        <f>IFERROR(VLOOKUP(D598,fixed_expenses4[],2,0),"")</f>
        <v/>
      </c>
      <c r="F598" s="17"/>
      <c r="G598" s="71" t="str">
        <f>IFERROR(VLOOKUP(F598,fixed_expenses4[],2,0),"")</f>
        <v/>
      </c>
      <c r="H598" s="17"/>
      <c r="I598" s="71" t="str">
        <f>IFERROR(VLOOKUP(H598,fixed_expenses4[],2,0),"")</f>
        <v/>
      </c>
      <c r="J598" s="17"/>
      <c r="K598" s="71" t="str">
        <f>IFERROR(VLOOKUP(J598,fixed_expenses4[],2,0),"")</f>
        <v/>
      </c>
      <c r="L598" s="17"/>
      <c r="M598" s="71" t="str">
        <f>IFERROR(VLOOKUP(L598,fixed_expenses4[],2,0),"")</f>
        <v/>
      </c>
      <c r="N598" s="17"/>
      <c r="O598" s="71" t="str">
        <f>IFERROR(VLOOKUP(N598,fixed_expenses4[],2,0),"")</f>
        <v/>
      </c>
      <c r="P598" s="22"/>
    </row>
    <row r="599" spans="1:16" ht="11.25" customHeight="1" x14ac:dyDescent="0.2">
      <c r="B599" s="17"/>
      <c r="C599" s="71" t="str">
        <f>IFERROR(VLOOKUP(B599,fixed_expenses4[],2,0),"")</f>
        <v/>
      </c>
      <c r="D599" s="17"/>
      <c r="E599" s="71" t="str">
        <f>IFERROR(VLOOKUP(D599,fixed_expenses4[],2,0),"")</f>
        <v/>
      </c>
      <c r="F599" s="17"/>
      <c r="G599" s="71" t="str">
        <f>IFERROR(VLOOKUP(F599,fixed_expenses4[],2,0),"")</f>
        <v/>
      </c>
      <c r="H599" s="17"/>
      <c r="I599" s="71" t="str">
        <f>IFERROR(VLOOKUP(H599,fixed_expenses4[],2,0),"")</f>
        <v/>
      </c>
      <c r="J599" s="17"/>
      <c r="K599" s="71" t="str">
        <f>IFERROR(VLOOKUP(J599,fixed_expenses4[],2,0),"")</f>
        <v/>
      </c>
      <c r="L599" s="17"/>
      <c r="M599" s="71" t="str">
        <f>IFERROR(VLOOKUP(L599,fixed_expenses4[],2,0),"")</f>
        <v/>
      </c>
      <c r="N599" s="17"/>
      <c r="O599" s="71" t="str">
        <f>IFERROR(VLOOKUP(N599,fixed_expenses4[],2,0),"")</f>
        <v/>
      </c>
      <c r="P599" s="22"/>
    </row>
    <row r="600" spans="1:16" ht="11.25" customHeight="1" x14ac:dyDescent="0.2">
      <c r="B600" s="17"/>
      <c r="C600" s="71" t="str">
        <f>IFERROR(VLOOKUP(B600,fixed_expenses4[],2,0),"")</f>
        <v/>
      </c>
      <c r="D600" s="17"/>
      <c r="E600" s="71" t="str">
        <f>IFERROR(VLOOKUP(D600,fixed_expenses4[],2,0),"")</f>
        <v/>
      </c>
      <c r="F600" s="17"/>
      <c r="G600" s="71" t="str">
        <f>IFERROR(VLOOKUP(F600,fixed_expenses4[],2,0),"")</f>
        <v/>
      </c>
      <c r="H600" s="17"/>
      <c r="I600" s="71" t="str">
        <f>IFERROR(VLOOKUP(H600,fixed_expenses4[],2,0),"")</f>
        <v/>
      </c>
      <c r="J600" s="17"/>
      <c r="K600" s="71" t="str">
        <f>IFERROR(VLOOKUP(J600,fixed_expenses4[],2,0),"")</f>
        <v/>
      </c>
      <c r="L600" s="17"/>
      <c r="M600" s="71" t="str">
        <f>IFERROR(VLOOKUP(L600,fixed_expenses4[],2,0),"")</f>
        <v/>
      </c>
      <c r="N600" s="17"/>
      <c r="O600" s="71" t="str">
        <f>IFERROR(VLOOKUP(N600,fixed_expenses4[],2,0),"")</f>
        <v/>
      </c>
      <c r="P600" s="22"/>
    </row>
    <row r="601" spans="1:16" ht="11.25" customHeight="1" x14ac:dyDescent="0.2">
      <c r="B601" s="17"/>
      <c r="C601" s="71" t="str">
        <f>IFERROR(VLOOKUP(B601,fixed_expenses4[],2,0),"")</f>
        <v/>
      </c>
      <c r="D601" s="17"/>
      <c r="E601" s="71" t="str">
        <f>IFERROR(VLOOKUP(D601,fixed_expenses4[],2,0),"")</f>
        <v/>
      </c>
      <c r="F601" s="17"/>
      <c r="G601" s="71" t="str">
        <f>IFERROR(VLOOKUP(F601,fixed_expenses4[],2,0),"")</f>
        <v/>
      </c>
      <c r="H601" s="17"/>
      <c r="I601" s="71" t="str">
        <f>IFERROR(VLOOKUP(H601,fixed_expenses4[],2,0),"")</f>
        <v/>
      </c>
      <c r="J601" s="17"/>
      <c r="K601" s="71" t="str">
        <f>IFERROR(VLOOKUP(J601,fixed_expenses4[],2,0),"")</f>
        <v/>
      </c>
      <c r="L601" s="17"/>
      <c r="M601" s="71" t="str">
        <f>IFERROR(VLOOKUP(L601,fixed_expenses4[],2,0),"")</f>
        <v/>
      </c>
      <c r="N601" s="17"/>
      <c r="O601" s="71" t="str">
        <f>IFERROR(VLOOKUP(N601,fixed_expenses4[],2,0),"")</f>
        <v/>
      </c>
      <c r="P601" s="22"/>
    </row>
    <row r="602" spans="1:16" ht="11.25" customHeight="1" x14ac:dyDescent="0.2">
      <c r="A602" s="43" t="s">
        <v>295</v>
      </c>
      <c r="B602" s="26" t="s">
        <v>8</v>
      </c>
      <c r="C602" s="27">
        <f>SUM(C597:C601)</f>
        <v>0</v>
      </c>
      <c r="D602" s="26"/>
      <c r="E602" s="27">
        <f>SUM(E597:E601)</f>
        <v>0</v>
      </c>
      <c r="F602" s="26"/>
      <c r="G602" s="27">
        <f>SUM(G597:G601)</f>
        <v>0</v>
      </c>
      <c r="H602" s="26"/>
      <c r="I602" s="27">
        <f>SUM(I597:I601)</f>
        <v>0</v>
      </c>
      <c r="J602" s="26"/>
      <c r="K602" s="27">
        <f>SUM(K597:K601)</f>
        <v>0</v>
      </c>
      <c r="L602" s="26"/>
      <c r="M602" s="27">
        <f>SUM(M597:M601)</f>
        <v>800</v>
      </c>
      <c r="N602" s="26"/>
      <c r="O602" s="28">
        <f>SUM(O597:O601)</f>
        <v>0</v>
      </c>
      <c r="P602" s="29">
        <f>SUM(C602,E602,G602,I602,K602,M602,O602)</f>
        <v>800</v>
      </c>
    </row>
    <row r="603" spans="1:16" x14ac:dyDescent="0.2">
      <c r="B603" s="6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6"/>
    </row>
    <row r="604" spans="1:16" ht="15" customHeight="1" x14ac:dyDescent="0.2">
      <c r="A604" s="43" t="s">
        <v>276</v>
      </c>
      <c r="B604" s="12">
        <f ca="1">N595+1</f>
        <v>14</v>
      </c>
      <c r="C604" s="13"/>
      <c r="D604" s="12">
        <f ca="1">B604+1</f>
        <v>15</v>
      </c>
      <c r="E604" s="13"/>
      <c r="F604" s="12">
        <f ca="1">D604+1</f>
        <v>16</v>
      </c>
      <c r="G604" s="13"/>
      <c r="H604" s="12">
        <f ca="1">F604+1</f>
        <v>17</v>
      </c>
      <c r="I604" s="13"/>
      <c r="J604" s="12">
        <f ca="1">H604+1</f>
        <v>18</v>
      </c>
      <c r="K604" s="13"/>
      <c r="L604" s="12">
        <f ca="1">J604+1</f>
        <v>19</v>
      </c>
      <c r="M604" s="13"/>
      <c r="N604" s="12">
        <f ca="1">L604+1</f>
        <v>20</v>
      </c>
      <c r="O604" s="13"/>
      <c r="P604" s="24"/>
    </row>
    <row r="605" spans="1:16" ht="11.25" customHeight="1" x14ac:dyDescent="0.2">
      <c r="A605" s="43" t="s">
        <v>127</v>
      </c>
      <c r="B605" s="37" t="s">
        <v>9</v>
      </c>
      <c r="C605" s="39" t="s">
        <v>10</v>
      </c>
      <c r="D605" s="37" t="s">
        <v>9</v>
      </c>
      <c r="E605" s="39" t="s">
        <v>10</v>
      </c>
      <c r="F605" s="37" t="s">
        <v>9</v>
      </c>
      <c r="G605" s="39" t="s">
        <v>10</v>
      </c>
      <c r="H605" s="37" t="s">
        <v>9</v>
      </c>
      <c r="I605" s="39" t="s">
        <v>10</v>
      </c>
      <c r="J605" s="37" t="s">
        <v>9</v>
      </c>
      <c r="K605" s="39" t="s">
        <v>10</v>
      </c>
      <c r="L605" s="37" t="s">
        <v>9</v>
      </c>
      <c r="M605" s="39" t="s">
        <v>10</v>
      </c>
      <c r="N605" s="37" t="s">
        <v>9</v>
      </c>
      <c r="O605" s="40" t="s">
        <v>10</v>
      </c>
      <c r="P605" s="22"/>
    </row>
    <row r="606" spans="1:16" ht="11.25" customHeight="1" x14ac:dyDescent="0.2">
      <c r="A606" s="43" t="s">
        <v>226</v>
      </c>
      <c r="B606" s="17"/>
      <c r="C606" s="71" t="str">
        <f>IFERROR(VLOOKUP(B606,fixed_expenses4[],2,0),"")</f>
        <v/>
      </c>
      <c r="D606" s="17"/>
      <c r="E606" s="71" t="str">
        <f>IFERROR(VLOOKUP(D606,fixed_expenses4[],2,0),"")</f>
        <v/>
      </c>
      <c r="F606" s="17"/>
      <c r="G606" s="71" t="str">
        <f>IFERROR(VLOOKUP(F606,fixed_expenses4[],2,0),"")</f>
        <v/>
      </c>
      <c r="H606" s="17"/>
      <c r="I606" s="71" t="str">
        <f>IFERROR(VLOOKUP(H606,fixed_expenses4[],2,0),"")</f>
        <v/>
      </c>
      <c r="J606" s="17"/>
      <c r="K606" s="71" t="str">
        <f>IFERROR(VLOOKUP(J606,fixed_expenses4[],2,0),"")</f>
        <v/>
      </c>
      <c r="L606" s="17" t="s">
        <v>387</v>
      </c>
      <c r="M606" s="71">
        <f>IFERROR(VLOOKUP(L606,fixed_expenses4[],2,0),"")</f>
        <v>800</v>
      </c>
      <c r="N606" s="17"/>
      <c r="O606" s="71" t="str">
        <f>IFERROR(VLOOKUP(N606,fixed_expenses4[],2,0),"")</f>
        <v/>
      </c>
      <c r="P606" s="22"/>
    </row>
    <row r="607" spans="1:16" ht="11.25" customHeight="1" x14ac:dyDescent="0.2">
      <c r="B607" s="17"/>
      <c r="C607" s="71" t="str">
        <f>IFERROR(VLOOKUP(B607,fixed_expenses4[],2,0),"")</f>
        <v/>
      </c>
      <c r="D607" s="17"/>
      <c r="E607" s="71" t="str">
        <f>IFERROR(VLOOKUP(D607,fixed_expenses4[],2,0),"")</f>
        <v/>
      </c>
      <c r="F607" s="17"/>
      <c r="G607" s="71" t="str">
        <f>IFERROR(VLOOKUP(F607,fixed_expenses4[],2,0),"")</f>
        <v/>
      </c>
      <c r="H607" s="17"/>
      <c r="I607" s="71" t="str">
        <f>IFERROR(VLOOKUP(H607,fixed_expenses4[],2,0),"")</f>
        <v/>
      </c>
      <c r="J607" s="17"/>
      <c r="K607" s="71" t="str">
        <f>IFERROR(VLOOKUP(J607,fixed_expenses4[],2,0),"")</f>
        <v/>
      </c>
      <c r="L607" s="80" t="s">
        <v>388</v>
      </c>
      <c r="M607" s="71">
        <f>IFERROR(VLOOKUP(L607,fixed_expenses4[],2,0),"")</f>
        <v>770</v>
      </c>
      <c r="N607" s="17"/>
      <c r="O607" s="71" t="str">
        <f>IFERROR(VLOOKUP(N607,fixed_expenses4[],2,0),"")</f>
        <v/>
      </c>
      <c r="P607" s="22"/>
    </row>
    <row r="608" spans="1:16" ht="11.25" customHeight="1" x14ac:dyDescent="0.2">
      <c r="B608" s="17"/>
      <c r="C608" s="71" t="str">
        <f>IFERROR(VLOOKUP(B608,fixed_expenses4[],2,0),"")</f>
        <v/>
      </c>
      <c r="D608" s="17"/>
      <c r="E608" s="71" t="str">
        <f>IFERROR(VLOOKUP(D608,fixed_expenses4[],2,0),"")</f>
        <v/>
      </c>
      <c r="F608" s="17"/>
      <c r="G608" s="71" t="str">
        <f>IFERROR(VLOOKUP(F608,fixed_expenses4[],2,0),"")</f>
        <v/>
      </c>
      <c r="H608" s="17"/>
      <c r="I608" s="71" t="str">
        <f>IFERROR(VLOOKUP(H608,fixed_expenses4[],2,0),"")</f>
        <v/>
      </c>
      <c r="J608" s="17"/>
      <c r="K608" s="71" t="str">
        <f>IFERROR(VLOOKUP(J608,fixed_expenses4[],2,0),"")</f>
        <v/>
      </c>
      <c r="L608" s="17"/>
      <c r="M608" s="71" t="str">
        <f>IFERROR(VLOOKUP(L608,fixed_expenses4[],2,0),"")</f>
        <v/>
      </c>
      <c r="N608" s="17"/>
      <c r="O608" s="71" t="str">
        <f>IFERROR(VLOOKUP(N608,fixed_expenses4[],2,0),"")</f>
        <v/>
      </c>
      <c r="P608" s="22"/>
    </row>
    <row r="609" spans="1:16" ht="11.25" customHeight="1" x14ac:dyDescent="0.2">
      <c r="B609" s="17"/>
      <c r="C609" s="71" t="str">
        <f>IFERROR(VLOOKUP(B609,fixed_expenses4[],2,0),"")</f>
        <v/>
      </c>
      <c r="D609" s="17"/>
      <c r="E609" s="71" t="str">
        <f>IFERROR(VLOOKUP(D609,fixed_expenses4[],2,0),"")</f>
        <v/>
      </c>
      <c r="F609" s="17"/>
      <c r="G609" s="71" t="str">
        <f>IFERROR(VLOOKUP(F609,fixed_expenses4[],2,0),"")</f>
        <v/>
      </c>
      <c r="H609" s="17"/>
      <c r="I609" s="71" t="str">
        <f>IFERROR(VLOOKUP(H609,fixed_expenses4[],2,0),"")</f>
        <v/>
      </c>
      <c r="J609" s="17"/>
      <c r="K609" s="71" t="str">
        <f>IFERROR(VLOOKUP(J609,fixed_expenses4[],2,0),"")</f>
        <v/>
      </c>
      <c r="L609" s="17"/>
      <c r="M609" s="71" t="str">
        <f>IFERROR(VLOOKUP(L609,fixed_expenses4[],2,0),"")</f>
        <v/>
      </c>
      <c r="N609" s="17"/>
      <c r="O609" s="71" t="str">
        <f>IFERROR(VLOOKUP(N609,fixed_expenses4[],2,0),"")</f>
        <v/>
      </c>
      <c r="P609" s="22"/>
    </row>
    <row r="610" spans="1:16" ht="11.25" customHeight="1" x14ac:dyDescent="0.2">
      <c r="B610" s="17"/>
      <c r="C610" s="71" t="str">
        <f>IFERROR(VLOOKUP(B610,fixed_expenses4[],2,0),"")</f>
        <v/>
      </c>
      <c r="D610" s="17"/>
      <c r="E610" s="71" t="str">
        <f>IFERROR(VLOOKUP(D610,fixed_expenses4[],2,0),"")</f>
        <v/>
      </c>
      <c r="F610" s="17"/>
      <c r="G610" s="71" t="str">
        <f>IFERROR(VLOOKUP(F610,fixed_expenses4[],2,0),"")</f>
        <v/>
      </c>
      <c r="H610" s="17"/>
      <c r="I610" s="71" t="str">
        <f>IFERROR(VLOOKUP(H610,fixed_expenses4[],2,0),"")</f>
        <v/>
      </c>
      <c r="J610" s="17"/>
      <c r="K610" s="71" t="str">
        <f>IFERROR(VLOOKUP(J610,fixed_expenses4[],2,0),"")</f>
        <v/>
      </c>
      <c r="L610" s="17"/>
      <c r="M610" s="71" t="str">
        <f>IFERROR(VLOOKUP(L610,fixed_expenses4[],2,0),"")</f>
        <v/>
      </c>
      <c r="N610" s="17"/>
      <c r="O610" s="71" t="str">
        <f>IFERROR(VLOOKUP(N610,fixed_expenses4[],2,0),"")</f>
        <v/>
      </c>
      <c r="P610" s="22"/>
    </row>
    <row r="611" spans="1:16" ht="11.25" customHeight="1" x14ac:dyDescent="0.2">
      <c r="A611" s="43" t="s">
        <v>294</v>
      </c>
      <c r="B611" s="30" t="s">
        <v>8</v>
      </c>
      <c r="C611" s="27">
        <f>SUM(C606:C610)</f>
        <v>0</v>
      </c>
      <c r="D611" s="26"/>
      <c r="E611" s="27">
        <f>SUM(E606:E610)</f>
        <v>0</v>
      </c>
      <c r="F611" s="26"/>
      <c r="G611" s="27">
        <f>SUM(G606:G610)</f>
        <v>0</v>
      </c>
      <c r="H611" s="26"/>
      <c r="I611" s="27">
        <f>SUM(I606:I610)</f>
        <v>0</v>
      </c>
      <c r="J611" s="26"/>
      <c r="K611" s="27">
        <f>SUM(K606:K610)</f>
        <v>0</v>
      </c>
      <c r="L611" s="26"/>
      <c r="M611" s="27">
        <f>SUM(M606:M610)</f>
        <v>1570</v>
      </c>
      <c r="N611" s="26"/>
      <c r="O611" s="28">
        <f>SUM(O606:O610)</f>
        <v>0</v>
      </c>
      <c r="P611" s="29">
        <f>SUM(C611,E611,G611,I611,K611,M611,O611)</f>
        <v>1570</v>
      </c>
    </row>
    <row r="612" spans="1:16" x14ac:dyDescent="0.2">
      <c r="B612" s="6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6"/>
    </row>
    <row r="613" spans="1:16" ht="15" customHeight="1" x14ac:dyDescent="0.2">
      <c r="A613" s="43" t="s">
        <v>277</v>
      </c>
      <c r="B613" s="12">
        <f ca="1">N604+1</f>
        <v>21</v>
      </c>
      <c r="C613" s="13"/>
      <c r="D613" s="12">
        <f ca="1">B613+1</f>
        <v>22</v>
      </c>
      <c r="E613" s="13"/>
      <c r="F613" s="12">
        <f ca="1">D613+1</f>
        <v>23</v>
      </c>
      <c r="G613" s="13"/>
      <c r="H613" s="12">
        <f ca="1">F613+1</f>
        <v>24</v>
      </c>
      <c r="I613" s="13"/>
      <c r="J613" s="12">
        <f ca="1">H613+1</f>
        <v>25</v>
      </c>
      <c r="K613" s="13"/>
      <c r="L613" s="12">
        <f ca="1">J613+1</f>
        <v>26</v>
      </c>
      <c r="M613" s="13"/>
      <c r="N613" s="12">
        <f ca="1">L613+1</f>
        <v>27</v>
      </c>
      <c r="O613" s="13"/>
      <c r="P613" s="24"/>
    </row>
    <row r="614" spans="1:16" ht="11.25" customHeight="1" x14ac:dyDescent="0.2">
      <c r="A614" s="43" t="s">
        <v>126</v>
      </c>
      <c r="B614" s="37" t="s">
        <v>9</v>
      </c>
      <c r="C614" s="39" t="s">
        <v>10</v>
      </c>
      <c r="D614" s="37" t="s">
        <v>9</v>
      </c>
      <c r="E614" s="39" t="s">
        <v>10</v>
      </c>
      <c r="F614" s="37" t="s">
        <v>9</v>
      </c>
      <c r="G614" s="39" t="s">
        <v>10</v>
      </c>
      <c r="H614" s="37" t="s">
        <v>9</v>
      </c>
      <c r="I614" s="39" t="s">
        <v>10</v>
      </c>
      <c r="J614" s="37" t="s">
        <v>9</v>
      </c>
      <c r="K614" s="39" t="s">
        <v>10</v>
      </c>
      <c r="L614" s="37" t="s">
        <v>9</v>
      </c>
      <c r="M614" s="39" t="s">
        <v>10</v>
      </c>
      <c r="N614" s="37" t="s">
        <v>9</v>
      </c>
      <c r="O614" s="40" t="s">
        <v>10</v>
      </c>
      <c r="P614" s="22"/>
    </row>
    <row r="615" spans="1:16" ht="11.25" customHeight="1" x14ac:dyDescent="0.2">
      <c r="A615" s="43" t="s">
        <v>227</v>
      </c>
      <c r="B615" s="17"/>
      <c r="C615" s="71" t="str">
        <f>IFERROR(VLOOKUP(B615,fixed_expenses4[],2,0),"")</f>
        <v/>
      </c>
      <c r="D615" s="17"/>
      <c r="E615" s="71" t="str">
        <f>IFERROR(VLOOKUP(D615,fixed_expenses4[],2,0),"")</f>
        <v/>
      </c>
      <c r="F615" s="17"/>
      <c r="G615" s="71" t="str">
        <f>IFERROR(VLOOKUP(F615,fixed_expenses4[],2,0),"")</f>
        <v/>
      </c>
      <c r="H615" s="17"/>
      <c r="I615" s="71" t="str">
        <f>IFERROR(VLOOKUP(H615,fixed_expenses4[],2,0),"")</f>
        <v/>
      </c>
      <c r="J615" s="17"/>
      <c r="K615" s="71" t="str">
        <f>IFERROR(VLOOKUP(J615,fixed_expenses4[],2,0),"")</f>
        <v/>
      </c>
      <c r="L615" s="17" t="s">
        <v>387</v>
      </c>
      <c r="M615" s="71">
        <f>IFERROR(VLOOKUP(L615,fixed_expenses4[],2,0),"")</f>
        <v>800</v>
      </c>
      <c r="N615" s="17"/>
      <c r="O615" s="71" t="str">
        <f>IFERROR(VLOOKUP(N615,fixed_expenses4[],2,0),"")</f>
        <v/>
      </c>
      <c r="P615" s="22"/>
    </row>
    <row r="616" spans="1:16" ht="11.25" customHeight="1" x14ac:dyDescent="0.2">
      <c r="B616" s="17"/>
      <c r="C616" s="71" t="str">
        <f>IFERROR(VLOOKUP(B616,fixed_expenses4[],2,0),"")</f>
        <v/>
      </c>
      <c r="D616" s="17"/>
      <c r="E616" s="71" t="str">
        <f>IFERROR(VLOOKUP(D616,fixed_expenses4[],2,0),"")</f>
        <v/>
      </c>
      <c r="F616" s="17"/>
      <c r="G616" s="71" t="str">
        <f>IFERROR(VLOOKUP(F616,fixed_expenses4[],2,0),"")</f>
        <v/>
      </c>
      <c r="H616" s="17"/>
      <c r="I616" s="71" t="str">
        <f>IFERROR(VLOOKUP(H616,fixed_expenses4[],2,0),"")</f>
        <v/>
      </c>
      <c r="J616" s="17"/>
      <c r="K616" s="71" t="str">
        <f>IFERROR(VLOOKUP(J616,fixed_expenses4[],2,0),"")</f>
        <v/>
      </c>
      <c r="L616" s="17"/>
      <c r="M616" s="71" t="str">
        <f>IFERROR(VLOOKUP(L616,fixed_expenses4[],2,0),"")</f>
        <v/>
      </c>
      <c r="N616" s="17"/>
      <c r="O616" s="71" t="str">
        <f>IFERROR(VLOOKUP(N616,fixed_expenses4[],2,0),"")</f>
        <v/>
      </c>
      <c r="P616" s="22"/>
    </row>
    <row r="617" spans="1:16" ht="11.25" customHeight="1" x14ac:dyDescent="0.2">
      <c r="B617" s="17"/>
      <c r="C617" s="71" t="str">
        <f>IFERROR(VLOOKUP(B617,fixed_expenses4[],2,0),"")</f>
        <v/>
      </c>
      <c r="D617" s="17"/>
      <c r="E617" s="71" t="str">
        <f>IFERROR(VLOOKUP(D617,fixed_expenses4[],2,0),"")</f>
        <v/>
      </c>
      <c r="F617" s="17"/>
      <c r="G617" s="71" t="str">
        <f>IFERROR(VLOOKUP(F617,fixed_expenses4[],2,0),"")</f>
        <v/>
      </c>
      <c r="H617" s="17"/>
      <c r="I617" s="71" t="str">
        <f>IFERROR(VLOOKUP(H617,fixed_expenses4[],2,0),"")</f>
        <v/>
      </c>
      <c r="J617" s="17"/>
      <c r="K617" s="71" t="str">
        <f>IFERROR(VLOOKUP(J617,fixed_expenses4[],2,0),"")</f>
        <v/>
      </c>
      <c r="L617" s="17"/>
      <c r="M617" s="71" t="str">
        <f>IFERROR(VLOOKUP(L617,fixed_expenses4[],2,0),"")</f>
        <v/>
      </c>
      <c r="N617" s="17"/>
      <c r="O617" s="71" t="str">
        <f>IFERROR(VLOOKUP(N617,fixed_expenses4[],2,0),"")</f>
        <v/>
      </c>
      <c r="P617" s="22"/>
    </row>
    <row r="618" spans="1:16" ht="11.25" customHeight="1" x14ac:dyDescent="0.2">
      <c r="B618" s="17"/>
      <c r="C618" s="71" t="str">
        <f>IFERROR(VLOOKUP(B618,fixed_expenses4[],2,0),"")</f>
        <v/>
      </c>
      <c r="D618" s="17"/>
      <c r="E618" s="71" t="str">
        <f>IFERROR(VLOOKUP(D618,fixed_expenses4[],2,0),"")</f>
        <v/>
      </c>
      <c r="F618" s="17"/>
      <c r="G618" s="71" t="str">
        <f>IFERROR(VLOOKUP(F618,fixed_expenses4[],2,0),"")</f>
        <v/>
      </c>
      <c r="H618" s="17"/>
      <c r="I618" s="71" t="str">
        <f>IFERROR(VLOOKUP(H618,fixed_expenses4[],2,0),"")</f>
        <v/>
      </c>
      <c r="J618" s="17"/>
      <c r="K618" s="71" t="str">
        <f>IFERROR(VLOOKUP(J618,fixed_expenses4[],2,0),"")</f>
        <v/>
      </c>
      <c r="L618" s="17"/>
      <c r="M618" s="71" t="str">
        <f>IFERROR(VLOOKUP(L618,fixed_expenses4[],2,0),"")</f>
        <v/>
      </c>
      <c r="N618" s="17"/>
      <c r="O618" s="71" t="str">
        <f>IFERROR(VLOOKUP(N618,fixed_expenses4[],2,0),"")</f>
        <v/>
      </c>
      <c r="P618" s="22"/>
    </row>
    <row r="619" spans="1:16" ht="11.25" customHeight="1" x14ac:dyDescent="0.2">
      <c r="B619" s="17"/>
      <c r="C619" s="71" t="str">
        <f>IFERROR(VLOOKUP(B619,fixed_expenses4[],2,0),"")</f>
        <v/>
      </c>
      <c r="D619" s="17"/>
      <c r="E619" s="71" t="str">
        <f>IFERROR(VLOOKUP(D619,fixed_expenses4[],2,0),"")</f>
        <v/>
      </c>
      <c r="F619" s="17"/>
      <c r="G619" s="71" t="str">
        <f>IFERROR(VLOOKUP(F619,fixed_expenses4[],2,0),"")</f>
        <v/>
      </c>
      <c r="H619" s="17"/>
      <c r="I619" s="71" t="str">
        <f>IFERROR(VLOOKUP(H619,fixed_expenses4[],2,0),"")</f>
        <v/>
      </c>
      <c r="J619" s="17"/>
      <c r="K619" s="71" t="str">
        <f>IFERROR(VLOOKUP(J619,fixed_expenses4[],2,0),"")</f>
        <v/>
      </c>
      <c r="L619" s="17"/>
      <c r="M619" s="71" t="str">
        <f>IFERROR(VLOOKUP(L619,fixed_expenses4[],2,0),"")</f>
        <v/>
      </c>
      <c r="N619" s="17"/>
      <c r="O619" s="71" t="str">
        <f>IFERROR(VLOOKUP(N619,fixed_expenses4[],2,0),"")</f>
        <v/>
      </c>
      <c r="P619" s="22"/>
    </row>
    <row r="620" spans="1:16" ht="11.25" customHeight="1" x14ac:dyDescent="0.2">
      <c r="A620" s="43" t="s">
        <v>293</v>
      </c>
      <c r="B620" s="26" t="s">
        <v>8</v>
      </c>
      <c r="C620" s="27">
        <f>SUM(C615:C619)</f>
        <v>0</v>
      </c>
      <c r="D620" s="26"/>
      <c r="E620" s="27">
        <f>SUM(E615:E619)</f>
        <v>0</v>
      </c>
      <c r="F620" s="26"/>
      <c r="G620" s="27">
        <f>SUM(G615:G619)</f>
        <v>0</v>
      </c>
      <c r="H620" s="26"/>
      <c r="I620" s="27">
        <f>SUM(I615:I619)</f>
        <v>0</v>
      </c>
      <c r="J620" s="26"/>
      <c r="K620" s="27">
        <f>SUM(K615:K619)</f>
        <v>0</v>
      </c>
      <c r="L620" s="26"/>
      <c r="M620" s="27">
        <f>SUM(M615:M619)</f>
        <v>800</v>
      </c>
      <c r="N620" s="26"/>
      <c r="O620" s="28">
        <f>SUM(O615:O619)</f>
        <v>0</v>
      </c>
      <c r="P620" s="29">
        <f>SUM(C620,E620,G620,I620,K620,M620,O620)</f>
        <v>800</v>
      </c>
    </row>
    <row r="621" spans="1:16" x14ac:dyDescent="0.2">
      <c r="B621" s="6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6"/>
    </row>
    <row r="622" spans="1:16" ht="15" customHeight="1" x14ac:dyDescent="0.2">
      <c r="A622" s="43" t="s">
        <v>278</v>
      </c>
      <c r="B622" s="12">
        <f ca="1">DAY(IF(DAY(NovSun1)=1,NovSun1+22,NovSun1+29))</f>
        <v>28</v>
      </c>
      <c r="C622" s="13"/>
      <c r="D622" s="12">
        <f ca="1">DAY(IF(DAY(NovSun1)=1,NovSun1+23,NovSun1+30))</f>
        <v>29</v>
      </c>
      <c r="E622" s="13"/>
      <c r="F622" s="12">
        <f ca="1">DAY(IF(DAY(NovSun1)=1,NovSun1+24,NovSun1+31))</f>
        <v>30</v>
      </c>
      <c r="G622" s="13"/>
      <c r="H622" s="12">
        <f ca="1">DAY(IF(DAY(NovSun1)=1,NovSun1+25,NovSun1+32))</f>
        <v>1</v>
      </c>
      <c r="I622" s="13"/>
      <c r="J622" s="12">
        <f ca="1">DAY(IF(DAY(NovSun1)=1,NovSun1+26,NovSun1+33))</f>
        <v>2</v>
      </c>
      <c r="K622" s="13"/>
      <c r="L622" s="12">
        <f ca="1">DAY(IF(DAY(NovSun1)=1,NovSun1+27,NovSun1+34))</f>
        <v>3</v>
      </c>
      <c r="M622" s="13"/>
      <c r="N622" s="12">
        <f ca="1">DAY(IF(DAY(NovSun1)=1,NovSun1+28,NovSun1+35))</f>
        <v>4</v>
      </c>
      <c r="O622" s="13"/>
      <c r="P622" s="25"/>
    </row>
    <row r="623" spans="1:16" ht="11.25" customHeight="1" x14ac:dyDescent="0.2">
      <c r="A623" s="43" t="s">
        <v>125</v>
      </c>
      <c r="B623" s="37" t="s">
        <v>9</v>
      </c>
      <c r="C623" s="39" t="s">
        <v>10</v>
      </c>
      <c r="D623" s="37" t="s">
        <v>9</v>
      </c>
      <c r="E623" s="39" t="s">
        <v>10</v>
      </c>
      <c r="F623" s="37" t="s">
        <v>9</v>
      </c>
      <c r="G623" s="39" t="s">
        <v>10</v>
      </c>
      <c r="H623" s="37" t="s">
        <v>9</v>
      </c>
      <c r="I623" s="39" t="s">
        <v>10</v>
      </c>
      <c r="J623" s="37" t="s">
        <v>9</v>
      </c>
      <c r="K623" s="39" t="s">
        <v>10</v>
      </c>
      <c r="L623" s="37" t="s">
        <v>9</v>
      </c>
      <c r="M623" s="39" t="s">
        <v>10</v>
      </c>
      <c r="N623" s="37" t="s">
        <v>9</v>
      </c>
      <c r="O623" s="40" t="s">
        <v>10</v>
      </c>
      <c r="P623" s="22"/>
    </row>
    <row r="624" spans="1:16" ht="11.25" customHeight="1" x14ac:dyDescent="0.2">
      <c r="A624" s="43" t="s">
        <v>228</v>
      </c>
      <c r="B624" s="17"/>
      <c r="C624" s="71" t="str">
        <f>IFERROR(VLOOKUP(B624,fixed_expenses4[],2,0),"")</f>
        <v/>
      </c>
      <c r="D624" s="17"/>
      <c r="E624" s="71" t="str">
        <f>IFERROR(VLOOKUP(D624,fixed_expenses4[],2,0),"")</f>
        <v/>
      </c>
      <c r="F624" s="17"/>
      <c r="G624" s="71" t="str">
        <f>IFERROR(VLOOKUP(F624,fixed_expenses4[],2,0),"")</f>
        <v/>
      </c>
      <c r="H624" s="17"/>
      <c r="I624" s="71" t="str">
        <f>IFERROR(VLOOKUP(H624,fixed_expenses4[],2,0),"")</f>
        <v/>
      </c>
      <c r="J624" s="17"/>
      <c r="K624" s="71" t="str">
        <f>IFERROR(VLOOKUP(J624,fixed_expenses4[],2,0),"")</f>
        <v/>
      </c>
      <c r="L624" s="17"/>
      <c r="M624" s="71" t="str">
        <f>IFERROR(VLOOKUP(L624,fixed_expenses4[],2,0),"")</f>
        <v/>
      </c>
      <c r="N624" s="17"/>
      <c r="O624" s="71" t="str">
        <f>IFERROR(VLOOKUP(N624,fixed_expenses4[],2,0),"")</f>
        <v/>
      </c>
      <c r="P624" s="22"/>
    </row>
    <row r="625" spans="1:16" ht="11.25" customHeight="1" x14ac:dyDescent="0.2">
      <c r="B625" s="17"/>
      <c r="C625" s="71" t="str">
        <f>IFERROR(VLOOKUP(B625,fixed_expenses4[],2,0),"")</f>
        <v/>
      </c>
      <c r="D625" s="17"/>
      <c r="E625" s="71" t="str">
        <f>IFERROR(VLOOKUP(D625,fixed_expenses4[],2,0),"")</f>
        <v/>
      </c>
      <c r="F625" s="17"/>
      <c r="G625" s="71" t="str">
        <f>IFERROR(VLOOKUP(F625,fixed_expenses4[],2,0),"")</f>
        <v/>
      </c>
      <c r="H625" s="17"/>
      <c r="I625" s="71" t="str">
        <f>IFERROR(VLOOKUP(H625,fixed_expenses4[],2,0),"")</f>
        <v/>
      </c>
      <c r="J625" s="17"/>
      <c r="K625" s="71" t="str">
        <f>IFERROR(VLOOKUP(J625,fixed_expenses4[],2,0),"")</f>
        <v/>
      </c>
      <c r="L625" s="17"/>
      <c r="M625" s="71" t="str">
        <f>IFERROR(VLOOKUP(L625,fixed_expenses4[],2,0),"")</f>
        <v/>
      </c>
      <c r="N625" s="17"/>
      <c r="O625" s="71" t="str">
        <f>IFERROR(VLOOKUP(N625,fixed_expenses4[],2,0),"")</f>
        <v/>
      </c>
      <c r="P625" s="22"/>
    </row>
    <row r="626" spans="1:16" ht="11.25" customHeight="1" x14ac:dyDescent="0.2">
      <c r="B626" s="17"/>
      <c r="C626" s="71" t="str">
        <f>IFERROR(VLOOKUP(B626,fixed_expenses4[],2,0),"")</f>
        <v/>
      </c>
      <c r="D626" s="17"/>
      <c r="E626" s="71" t="str">
        <f>IFERROR(VLOOKUP(D626,fixed_expenses4[],2,0),"")</f>
        <v/>
      </c>
      <c r="F626" s="17"/>
      <c r="G626" s="71" t="str">
        <f>IFERROR(VLOOKUP(F626,fixed_expenses4[],2,0),"")</f>
        <v/>
      </c>
      <c r="H626" s="17"/>
      <c r="I626" s="71" t="str">
        <f>IFERROR(VLOOKUP(H626,fixed_expenses4[],2,0),"")</f>
        <v/>
      </c>
      <c r="J626" s="17"/>
      <c r="K626" s="71" t="str">
        <f>IFERROR(VLOOKUP(J626,fixed_expenses4[],2,0),"")</f>
        <v/>
      </c>
      <c r="L626" s="17"/>
      <c r="M626" s="71" t="str">
        <f>IFERROR(VLOOKUP(L626,fixed_expenses4[],2,0),"")</f>
        <v/>
      </c>
      <c r="N626" s="17"/>
      <c r="O626" s="71" t="str">
        <f>IFERROR(VLOOKUP(N626,fixed_expenses4[],2,0),"")</f>
        <v/>
      </c>
      <c r="P626" s="22"/>
    </row>
    <row r="627" spans="1:16" ht="11.25" customHeight="1" x14ac:dyDescent="0.2">
      <c r="B627" s="17"/>
      <c r="C627" s="71" t="str">
        <f>IFERROR(VLOOKUP(B627,fixed_expenses4[],2,0),"")</f>
        <v/>
      </c>
      <c r="D627" s="17"/>
      <c r="E627" s="71" t="str">
        <f>IFERROR(VLOOKUP(D627,fixed_expenses4[],2,0),"")</f>
        <v/>
      </c>
      <c r="F627" s="17"/>
      <c r="G627" s="71" t="str">
        <f>IFERROR(VLOOKUP(F627,fixed_expenses4[],2,0),"")</f>
        <v/>
      </c>
      <c r="H627" s="17"/>
      <c r="I627" s="71" t="str">
        <f>IFERROR(VLOOKUP(H627,fixed_expenses4[],2,0),"")</f>
        <v/>
      </c>
      <c r="J627" s="17"/>
      <c r="K627" s="71" t="str">
        <f>IFERROR(VLOOKUP(J627,fixed_expenses4[],2,0),"")</f>
        <v/>
      </c>
      <c r="L627" s="17"/>
      <c r="M627" s="71" t="str">
        <f>IFERROR(VLOOKUP(L627,fixed_expenses4[],2,0),"")</f>
        <v/>
      </c>
      <c r="N627" s="17"/>
      <c r="O627" s="71" t="str">
        <f>IFERROR(VLOOKUP(N627,fixed_expenses4[],2,0),"")</f>
        <v/>
      </c>
      <c r="P627" s="22"/>
    </row>
    <row r="628" spans="1:16" ht="11.25" customHeight="1" x14ac:dyDescent="0.2">
      <c r="B628" s="17"/>
      <c r="C628" s="71" t="str">
        <f>IFERROR(VLOOKUP(B628,fixed_expenses4[],2,0),"")</f>
        <v/>
      </c>
      <c r="D628" s="17"/>
      <c r="E628" s="71" t="str">
        <f>IFERROR(VLOOKUP(D628,fixed_expenses4[],2,0),"")</f>
        <v/>
      </c>
      <c r="F628" s="17"/>
      <c r="G628" s="71" t="str">
        <f>IFERROR(VLOOKUP(F628,fixed_expenses4[],2,0),"")</f>
        <v/>
      </c>
      <c r="H628" s="17"/>
      <c r="I628" s="71" t="str">
        <f>IFERROR(VLOOKUP(H628,fixed_expenses4[],2,0),"")</f>
        <v/>
      </c>
      <c r="J628" s="17"/>
      <c r="K628" s="71" t="str">
        <f>IFERROR(VLOOKUP(J628,fixed_expenses4[],2,0),"")</f>
        <v/>
      </c>
      <c r="L628" s="17"/>
      <c r="M628" s="71" t="str">
        <f>IFERROR(VLOOKUP(L628,fixed_expenses4[],2,0),"")</f>
        <v/>
      </c>
      <c r="N628" s="17"/>
      <c r="O628" s="71" t="str">
        <f>IFERROR(VLOOKUP(N628,fixed_expenses4[],2,0),"")</f>
        <v/>
      </c>
      <c r="P628" s="22"/>
    </row>
    <row r="629" spans="1:16" ht="11.25" customHeight="1" x14ac:dyDescent="0.2">
      <c r="A629" s="43" t="s">
        <v>292</v>
      </c>
      <c r="B629" s="26" t="s">
        <v>8</v>
      </c>
      <c r="C629" s="27">
        <f>SUM(C624:C628)</f>
        <v>0</v>
      </c>
      <c r="D629" s="26"/>
      <c r="E629" s="27">
        <f>SUM(E624:E628)</f>
        <v>0</v>
      </c>
      <c r="F629" s="26"/>
      <c r="G629" s="27">
        <f>SUM(G624:G628)</f>
        <v>0</v>
      </c>
      <c r="H629" s="26"/>
      <c r="I629" s="27">
        <f>SUM(I624:I628)</f>
        <v>0</v>
      </c>
      <c r="J629" s="26"/>
      <c r="K629" s="27">
        <f>SUM(K624:K628)</f>
        <v>0</v>
      </c>
      <c r="L629" s="26"/>
      <c r="M629" s="27">
        <f>SUM(M624:M628)</f>
        <v>0</v>
      </c>
      <c r="N629" s="18"/>
      <c r="O629" s="28">
        <f>SUM(O624:O628)</f>
        <v>0</v>
      </c>
      <c r="P629" s="29">
        <f ca="1">SUMIF(B622:N622,"&gt;="&amp;15,C629:O629)</f>
        <v>0</v>
      </c>
    </row>
    <row r="630" spans="1:16" x14ac:dyDescent="0.2">
      <c r="B630" s="6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6"/>
    </row>
    <row r="631" spans="1:16" ht="15" customHeight="1" x14ac:dyDescent="0.2">
      <c r="A631" s="43" t="s">
        <v>279</v>
      </c>
      <c r="B631" s="12">
        <f ca="1">DAY(IF(DAY(NovSun1)=1,NovSun1+29,NovSun1+36))</f>
        <v>5</v>
      </c>
      <c r="C631" s="11"/>
      <c r="D631" s="12">
        <f ca="1">DAY(IF(DAY(NovSun1)=1,NovSun1+30,NovSun1+37))</f>
        <v>6</v>
      </c>
      <c r="E631" s="13"/>
      <c r="F631" s="10">
        <f ca="1">DAY(IF(DAY(NovSun1)=1,NovSun1+31,NovSun1+38))</f>
        <v>7</v>
      </c>
      <c r="G631" s="13"/>
      <c r="H631" s="12">
        <f ca="1">DAY(IF(DAY(NovSun1)=1,NovSun1+32,NovSun1+39))</f>
        <v>8</v>
      </c>
      <c r="I631" s="13"/>
      <c r="J631" s="12">
        <f ca="1">DAY(IF(DAY(NovSun1)=1,NovSun1+33,NovSun1+40))</f>
        <v>9</v>
      </c>
      <c r="K631" s="13"/>
      <c r="L631" s="12">
        <f ca="1">DAY(IF(DAY(NovSun1)=1,NovSun1+34,NovSun1+41))</f>
        <v>10</v>
      </c>
      <c r="M631" s="13"/>
      <c r="N631" s="12">
        <f ca="1">DAY(IF(DAY(NovSun1)=1,NovSun1+35,NovSun1+42))</f>
        <v>11</v>
      </c>
      <c r="O631" s="13"/>
      <c r="P631" s="25"/>
    </row>
    <row r="632" spans="1:16" ht="11.25" customHeight="1" x14ac:dyDescent="0.2">
      <c r="A632" s="43" t="s">
        <v>124</v>
      </c>
      <c r="B632" s="37" t="s">
        <v>9</v>
      </c>
      <c r="C632" s="39" t="s">
        <v>10</v>
      </c>
      <c r="D632" s="37" t="s">
        <v>9</v>
      </c>
      <c r="E632" s="39" t="s">
        <v>10</v>
      </c>
      <c r="F632" s="37" t="s">
        <v>9</v>
      </c>
      <c r="G632" s="39" t="s">
        <v>10</v>
      </c>
      <c r="H632" s="37" t="s">
        <v>9</v>
      </c>
      <c r="I632" s="39" t="s">
        <v>10</v>
      </c>
      <c r="J632" s="37" t="s">
        <v>9</v>
      </c>
      <c r="K632" s="39" t="s">
        <v>10</v>
      </c>
      <c r="L632" s="37" t="s">
        <v>9</v>
      </c>
      <c r="M632" s="39" t="s">
        <v>10</v>
      </c>
      <c r="N632" s="37" t="s">
        <v>9</v>
      </c>
      <c r="O632" s="40" t="s">
        <v>10</v>
      </c>
      <c r="P632" s="22"/>
    </row>
    <row r="633" spans="1:16" ht="11.25" customHeight="1" x14ac:dyDescent="0.2">
      <c r="A633" s="43" t="s">
        <v>229</v>
      </c>
      <c r="B633" s="17"/>
      <c r="C633" s="71" t="str">
        <f>IFERROR(VLOOKUP(B633,fixed_expenses4[],2,0),"")</f>
        <v/>
      </c>
      <c r="D633" s="17"/>
      <c r="E633" s="71" t="str">
        <f>IFERROR(VLOOKUP(D633,fixed_expenses4[],2,0),"")</f>
        <v/>
      </c>
      <c r="F633" s="17"/>
      <c r="G633" s="71" t="str">
        <f>IFERROR(VLOOKUP(F633,fixed_expenses4[],2,0),"")</f>
        <v/>
      </c>
      <c r="H633" s="17"/>
      <c r="I633" s="71" t="str">
        <f>IFERROR(VLOOKUP(H633,fixed_expenses4[],2,0),"")</f>
        <v/>
      </c>
      <c r="J633" s="17"/>
      <c r="K633" s="71" t="str">
        <f>IFERROR(VLOOKUP(J633,fixed_expenses4[],2,0),"")</f>
        <v/>
      </c>
      <c r="L633" s="17"/>
      <c r="M633" s="71" t="str">
        <f>IFERROR(VLOOKUP(L633,fixed_expenses4[],2,0),"")</f>
        <v/>
      </c>
      <c r="N633" s="17"/>
      <c r="O633" s="71" t="str">
        <f>IFERROR(VLOOKUP(N633,fixed_expenses4[],2,0),"")</f>
        <v/>
      </c>
      <c r="P633" s="22"/>
    </row>
    <row r="634" spans="1:16" ht="11.25" customHeight="1" x14ac:dyDescent="0.2">
      <c r="B634" s="17"/>
      <c r="C634" s="71" t="str">
        <f>IFERROR(VLOOKUP(B634,fixed_expenses4[],2,0),"")</f>
        <v/>
      </c>
      <c r="D634" s="17"/>
      <c r="E634" s="71" t="str">
        <f>IFERROR(VLOOKUP(D634,fixed_expenses4[],2,0),"")</f>
        <v/>
      </c>
      <c r="F634" s="17"/>
      <c r="G634" s="71" t="str">
        <f>IFERROR(VLOOKUP(F634,fixed_expenses4[],2,0),"")</f>
        <v/>
      </c>
      <c r="H634" s="17"/>
      <c r="I634" s="71" t="str">
        <f>IFERROR(VLOOKUP(H634,fixed_expenses4[],2,0),"")</f>
        <v/>
      </c>
      <c r="J634" s="17"/>
      <c r="K634" s="71" t="str">
        <f>IFERROR(VLOOKUP(J634,fixed_expenses4[],2,0),"")</f>
        <v/>
      </c>
      <c r="L634" s="17"/>
      <c r="M634" s="71" t="str">
        <f>IFERROR(VLOOKUP(L634,fixed_expenses4[],2,0),"")</f>
        <v/>
      </c>
      <c r="N634" s="17"/>
      <c r="O634" s="71" t="str">
        <f>IFERROR(VLOOKUP(N634,fixed_expenses4[],2,0),"")</f>
        <v/>
      </c>
      <c r="P634" s="22"/>
    </row>
    <row r="635" spans="1:16" ht="11.25" customHeight="1" x14ac:dyDescent="0.2">
      <c r="B635" s="17"/>
      <c r="C635" s="71" t="str">
        <f>IFERROR(VLOOKUP(B635,fixed_expenses4[],2,0),"")</f>
        <v/>
      </c>
      <c r="D635" s="17"/>
      <c r="E635" s="71" t="str">
        <f>IFERROR(VLOOKUP(D635,fixed_expenses4[],2,0),"")</f>
        <v/>
      </c>
      <c r="F635" s="17"/>
      <c r="G635" s="71" t="str">
        <f>IFERROR(VLOOKUP(F635,fixed_expenses4[],2,0),"")</f>
        <v/>
      </c>
      <c r="H635" s="17"/>
      <c r="I635" s="71" t="str">
        <f>IFERROR(VLOOKUP(H635,fixed_expenses4[],2,0),"")</f>
        <v/>
      </c>
      <c r="J635" s="17"/>
      <c r="K635" s="71" t="str">
        <f>IFERROR(VLOOKUP(J635,fixed_expenses4[],2,0),"")</f>
        <v/>
      </c>
      <c r="L635" s="17"/>
      <c r="M635" s="71" t="str">
        <f>IFERROR(VLOOKUP(L635,fixed_expenses4[],2,0),"")</f>
        <v/>
      </c>
      <c r="N635" s="17"/>
      <c r="O635" s="71" t="str">
        <f>IFERROR(VLOOKUP(N635,fixed_expenses4[],2,0),"")</f>
        <v/>
      </c>
      <c r="P635" s="22"/>
    </row>
    <row r="636" spans="1:16" ht="11.25" customHeight="1" x14ac:dyDescent="0.2">
      <c r="B636" s="17"/>
      <c r="C636" s="71" t="str">
        <f>IFERROR(VLOOKUP(B636,fixed_expenses4[],2,0),"")</f>
        <v/>
      </c>
      <c r="D636" s="17"/>
      <c r="E636" s="71" t="str">
        <f>IFERROR(VLOOKUP(D636,fixed_expenses4[],2,0),"")</f>
        <v/>
      </c>
      <c r="F636" s="17"/>
      <c r="G636" s="71" t="str">
        <f>IFERROR(VLOOKUP(F636,fixed_expenses4[],2,0),"")</f>
        <v/>
      </c>
      <c r="H636" s="17"/>
      <c r="I636" s="71" t="str">
        <f>IFERROR(VLOOKUP(H636,fixed_expenses4[],2,0),"")</f>
        <v/>
      </c>
      <c r="J636" s="17"/>
      <c r="K636" s="71" t="str">
        <f>IFERROR(VLOOKUP(J636,fixed_expenses4[],2,0),"")</f>
        <v/>
      </c>
      <c r="L636" s="17"/>
      <c r="M636" s="71" t="str">
        <f>IFERROR(VLOOKUP(L636,fixed_expenses4[],2,0),"")</f>
        <v/>
      </c>
      <c r="N636" s="17"/>
      <c r="O636" s="71" t="str">
        <f>IFERROR(VLOOKUP(N636,fixed_expenses4[],2,0),"")</f>
        <v/>
      </c>
      <c r="P636" s="22"/>
    </row>
    <row r="637" spans="1:16" ht="11.25" customHeight="1" x14ac:dyDescent="0.2">
      <c r="B637" s="17"/>
      <c r="C637" s="71" t="str">
        <f>IFERROR(VLOOKUP(B637,fixed_expenses4[],2,0),"")</f>
        <v/>
      </c>
      <c r="D637" s="17"/>
      <c r="E637" s="71" t="str">
        <f>IFERROR(VLOOKUP(D637,fixed_expenses4[],2,0),"")</f>
        <v/>
      </c>
      <c r="F637" s="17"/>
      <c r="G637" s="71" t="str">
        <f>IFERROR(VLOOKUP(F637,fixed_expenses4[],2,0),"")</f>
        <v/>
      </c>
      <c r="H637" s="17"/>
      <c r="I637" s="71" t="str">
        <f>IFERROR(VLOOKUP(H637,fixed_expenses4[],2,0),"")</f>
        <v/>
      </c>
      <c r="J637" s="17"/>
      <c r="K637" s="71" t="str">
        <f>IFERROR(VLOOKUP(J637,fixed_expenses4[],2,0),"")</f>
        <v/>
      </c>
      <c r="L637" s="17"/>
      <c r="M637" s="71" t="str">
        <f>IFERROR(VLOOKUP(L637,fixed_expenses4[],2,0),"")</f>
        <v/>
      </c>
      <c r="N637" s="17"/>
      <c r="O637" s="71" t="str">
        <f>IFERROR(VLOOKUP(N637,fixed_expenses4[],2,0),"")</f>
        <v/>
      </c>
      <c r="P637" s="22"/>
    </row>
    <row r="638" spans="1:16" ht="11.25" customHeight="1" x14ac:dyDescent="0.2">
      <c r="A638" s="43" t="s">
        <v>291</v>
      </c>
      <c r="B638" s="26" t="s">
        <v>8</v>
      </c>
      <c r="C638" s="27">
        <f>SUM(C633:C637)</f>
        <v>0</v>
      </c>
      <c r="D638" s="18"/>
      <c r="E638" s="27">
        <f>SUM(E633:E637)</f>
        <v>0</v>
      </c>
      <c r="F638" s="18"/>
      <c r="G638" s="27">
        <f>SUM(G633:G637)</f>
        <v>0</v>
      </c>
      <c r="H638" s="18"/>
      <c r="I638" s="27">
        <f>SUM(I633:I637)</f>
        <v>0</v>
      </c>
      <c r="J638" s="18"/>
      <c r="K638" s="27">
        <f>SUM(K633:K637)</f>
        <v>0</v>
      </c>
      <c r="L638" s="18"/>
      <c r="M638" s="27">
        <f>SUM(M633:M637)</f>
        <v>0</v>
      </c>
      <c r="N638" s="18"/>
      <c r="O638" s="28">
        <f>SUM(O633:O637)</f>
        <v>0</v>
      </c>
      <c r="P638" s="29">
        <f ca="1">SUMIF(B631:N631,"&gt;="&amp;15,C638:O638)</f>
        <v>0</v>
      </c>
    </row>
    <row r="639" spans="1:16" ht="17.25" customHeight="1" x14ac:dyDescent="0.2"/>
    <row r="640" spans="1:16" ht="12" customHeight="1" x14ac:dyDescent="0.2">
      <c r="A640" s="43" t="s">
        <v>80</v>
      </c>
      <c r="B640" s="59" t="s">
        <v>24</v>
      </c>
      <c r="C640" s="59"/>
      <c r="D640" s="59"/>
      <c r="E640" s="59"/>
      <c r="F640"/>
      <c r="G640" s="4"/>
      <c r="H640"/>
      <c r="I640" s="4"/>
      <c r="J640"/>
      <c r="K640" s="4"/>
      <c r="L640" s="45" t="s">
        <v>12</v>
      </c>
      <c r="M640" s="45"/>
      <c r="N640" s="45" t="s">
        <v>13</v>
      </c>
      <c r="O640" s="45"/>
      <c r="P640"/>
    </row>
    <row r="641" spans="1:16" ht="25.5" customHeight="1" x14ac:dyDescent="0.2">
      <c r="A641" s="43" t="s">
        <v>99</v>
      </c>
      <c r="B641" s="59"/>
      <c r="C641" s="59"/>
      <c r="D641" s="59"/>
      <c r="E641" s="59"/>
      <c r="F641" s="3">
        <f ca="1">IFERROR(WEEKDAY(DATEVALUE(B640&amp;" 1, "&amp;Year1)),"")</f>
        <v>4</v>
      </c>
      <c r="G641" s="4"/>
      <c r="H641"/>
      <c r="I641" s="7"/>
      <c r="J641" s="8"/>
      <c r="K641" s="4"/>
      <c r="L641" s="46">
        <f ca="1">SUM(P651,P660,P669,P678,P687,P696)</f>
        <v>6310</v>
      </c>
      <c r="M641" s="47"/>
      <c r="N641" s="46">
        <f ca="1">SUM(P:P)</f>
        <v>62420</v>
      </c>
      <c r="O641" s="48"/>
      <c r="P641"/>
    </row>
    <row r="642" spans="1:16" ht="9" customHeight="1" x14ac:dyDescent="0.2">
      <c r="A642" s="43" t="s">
        <v>361</v>
      </c>
      <c r="B642" s="50">
        <v>1</v>
      </c>
      <c r="C642" s="50"/>
      <c r="D642" s="50">
        <v>2</v>
      </c>
      <c r="E642" s="50"/>
      <c r="F642" s="50">
        <v>3</v>
      </c>
      <c r="G642" s="50"/>
      <c r="H642" s="50">
        <v>4</v>
      </c>
      <c r="I642" s="50"/>
      <c r="J642" s="50">
        <v>5</v>
      </c>
      <c r="K642" s="50"/>
      <c r="L642" s="50">
        <v>6</v>
      </c>
      <c r="M642" s="50"/>
      <c r="N642" s="50">
        <v>7</v>
      </c>
      <c r="O642" s="50"/>
      <c r="P642" s="2"/>
    </row>
    <row r="643" spans="1:16" ht="15" customHeight="1" x14ac:dyDescent="0.2">
      <c r="A643" s="43" t="s">
        <v>100</v>
      </c>
      <c r="B643" s="60" t="s">
        <v>0</v>
      </c>
      <c r="C643" s="61"/>
      <c r="D643" s="62" t="s">
        <v>1</v>
      </c>
      <c r="E643" s="63" t="e">
        <f ca="1">IF(WEEKDAY(DATEVALUE(Month1&amp;" 1, "&amp;Year1))=COLUMN(#REF!),1,IF(LEN(C643)&gt;0,C643+1,""))</f>
        <v>#VALUE!</v>
      </c>
      <c r="F643" s="61" t="s">
        <v>2</v>
      </c>
      <c r="G643" s="61" t="e">
        <f ca="1">IF(WEEKDAY(DATEVALUE(Month1&amp;" 1, "&amp;Year1))=COLUMN(#REF!),1,IF(LEN(E643)&gt;0,E643+1,""))</f>
        <v>#VALUE!</v>
      </c>
      <c r="H643" s="62" t="s">
        <v>3</v>
      </c>
      <c r="I643" s="63" t="e">
        <f ca="1">IF(WEEKDAY(DATEVALUE(Month1&amp;" 1, "&amp;Year1))=COLUMN(#REF!),1,IF(LEN(G643)&gt;0,G643+1,""))</f>
        <v>#VALUE!</v>
      </c>
      <c r="J643" s="64" t="s">
        <v>4</v>
      </c>
      <c r="K643" s="65" t="e">
        <f ca="1">IF(WEEKDAY(DATEVALUE(Month1&amp;" 1, "&amp;Year1))=COLUMN(#REF!),1,IF(LEN(I643)&gt;0,I643+1,""))</f>
        <v>#VALUE!</v>
      </c>
      <c r="L643" s="66" t="s">
        <v>5</v>
      </c>
      <c r="M643" s="67" t="e">
        <f ca="1">IF(WEEKDAY(DATEVALUE(Month1&amp;" 1, "&amp;Year1))=COLUMN(#REF!),1,IF(LEN(K643)&gt;0,K643+1,""))</f>
        <v>#VALUE!</v>
      </c>
      <c r="N643" s="66" t="s">
        <v>6</v>
      </c>
      <c r="O643" s="67" t="e">
        <f ca="1">IF(WEEKDAY(DATEVALUE(Month1&amp;" 1, "&amp;Year1))=COLUMN(#REF!),1,IF(LEN(M643)&gt;0,M643+1,""))</f>
        <v>#VALUE!</v>
      </c>
      <c r="P643" s="42" t="s">
        <v>7</v>
      </c>
    </row>
    <row r="644" spans="1:16" ht="15" customHeight="1" x14ac:dyDescent="0.2">
      <c r="A644" s="43" t="s">
        <v>117</v>
      </c>
      <c r="B644" s="14">
        <f ca="1">DAY(IF(DAY(DecSun1)=1,DecSun1-6,DecSun1+1))</f>
        <v>28</v>
      </c>
      <c r="C644" s="16"/>
      <c r="D644" s="19">
        <f ca="1">DAY(IF(DAY(DecSun1)=1,DecSun1-5,DecSun1+2))</f>
        <v>29</v>
      </c>
      <c r="E644" s="16"/>
      <c r="F644" s="19">
        <f ca="1">DAY(IF(DAY(DecSun1)=1,DecSun1-4,DecSun1+3))</f>
        <v>30</v>
      </c>
      <c r="G644" s="16"/>
      <c r="H644" s="19">
        <f ca="1">DAY(IF(DAY(DecSun1)=1,DecSun1-3,DecSun1+4))</f>
        <v>1</v>
      </c>
      <c r="I644" s="16"/>
      <c r="J644" s="19">
        <f ca="1">DAY(IF(DAY(DecSun1)=1,DecSun1-2,DecSun1+5))</f>
        <v>2</v>
      </c>
      <c r="K644" s="16"/>
      <c r="L644" s="19">
        <f ca="1">DAY(IF(DAY(DecSun1)=1,DecSun1-1,DecSun1+6))</f>
        <v>3</v>
      </c>
      <c r="M644" s="16"/>
      <c r="N644" s="20">
        <f ca="1">DAY(IF(DAY(DecSun1)=1,DecSun1,DecSun1+7))</f>
        <v>4</v>
      </c>
      <c r="O644" s="15"/>
      <c r="P644" s="21"/>
    </row>
    <row r="645" spans="1:16" ht="11.25" customHeight="1" x14ac:dyDescent="0.2">
      <c r="A645" s="43" t="s">
        <v>123</v>
      </c>
      <c r="B645" s="41" t="s">
        <v>9</v>
      </c>
      <c r="C645" s="36" t="s">
        <v>10</v>
      </c>
      <c r="D645" s="35" t="s">
        <v>9</v>
      </c>
      <c r="E645" s="36" t="s">
        <v>10</v>
      </c>
      <c r="F645" s="35" t="s">
        <v>9</v>
      </c>
      <c r="G645" s="36" t="s">
        <v>10</v>
      </c>
      <c r="H645" s="35" t="s">
        <v>9</v>
      </c>
      <c r="I645" s="36" t="s">
        <v>10</v>
      </c>
      <c r="J645" s="35" t="s">
        <v>9</v>
      </c>
      <c r="K645" s="36" t="s">
        <v>10</v>
      </c>
      <c r="L645" s="35" t="s">
        <v>9</v>
      </c>
      <c r="M645" s="36" t="s">
        <v>10</v>
      </c>
      <c r="N645" s="37" t="s">
        <v>9</v>
      </c>
      <c r="O645" s="38" t="s">
        <v>10</v>
      </c>
      <c r="P645" s="22"/>
    </row>
    <row r="646" spans="1:16" ht="11.25" customHeight="1" x14ac:dyDescent="0.2">
      <c r="A646" s="43" t="s">
        <v>362</v>
      </c>
      <c r="B646" s="17"/>
      <c r="C646" s="71" t="str">
        <f>IFERROR(VLOOKUP(B646,fixed_expenses4[],2,0),"")</f>
        <v/>
      </c>
      <c r="D646" s="17"/>
      <c r="E646" s="71" t="str">
        <f>IFERROR(VLOOKUP(D646,fixed_expenses4[],2,0),"")</f>
        <v/>
      </c>
      <c r="F646" s="17"/>
      <c r="G646" s="71" t="str">
        <f>IFERROR(VLOOKUP(F646,fixed_expenses4[],2,0),"")</f>
        <v/>
      </c>
      <c r="H646" s="17"/>
      <c r="I646" s="71" t="str">
        <f>IFERROR(VLOOKUP(H646,fixed_expenses4[],2,0),"")</f>
        <v/>
      </c>
      <c r="J646" s="17"/>
      <c r="K646" s="71" t="str">
        <f>IFERROR(VLOOKUP(J646,fixed_expenses4[],2,0),"")</f>
        <v/>
      </c>
      <c r="L646" s="17" t="s">
        <v>387</v>
      </c>
      <c r="M646" s="71">
        <f>IFERROR(VLOOKUP(L646,fixed_expenses4[],2,0),"")</f>
        <v>800</v>
      </c>
      <c r="N646" s="17"/>
      <c r="O646" s="71" t="str">
        <f>IFERROR(VLOOKUP(N646,fixed_expenses4[],2,0),"")</f>
        <v/>
      </c>
      <c r="P646" s="22"/>
    </row>
    <row r="647" spans="1:16" ht="11.25" customHeight="1" x14ac:dyDescent="0.2">
      <c r="B647" s="17"/>
      <c r="C647" s="71" t="str">
        <f>IFERROR(VLOOKUP(B647,fixed_expenses4[],2,0),"")</f>
        <v/>
      </c>
      <c r="D647" s="17"/>
      <c r="E647" s="71" t="str">
        <f>IFERROR(VLOOKUP(D647,fixed_expenses4[],2,0),"")</f>
        <v/>
      </c>
      <c r="F647" s="17"/>
      <c r="G647" s="71" t="str">
        <f>IFERROR(VLOOKUP(F647,fixed_expenses4[],2,0),"")</f>
        <v/>
      </c>
      <c r="H647" s="17"/>
      <c r="I647" s="71" t="str">
        <f>IFERROR(VLOOKUP(H647,fixed_expenses4[],2,0),"")</f>
        <v/>
      </c>
      <c r="J647" s="17"/>
      <c r="K647" s="71" t="str">
        <f>IFERROR(VLOOKUP(J647,fixed_expenses4[],2,0),"")</f>
        <v/>
      </c>
      <c r="L647" s="80" t="s">
        <v>388</v>
      </c>
      <c r="M647" s="71">
        <f>IFERROR(VLOOKUP(L647,fixed_expenses4[],2,0),"")</f>
        <v>770</v>
      </c>
      <c r="N647" s="17"/>
      <c r="O647" s="71" t="str">
        <f>IFERROR(VLOOKUP(N647,fixed_expenses4[],2,0),"")</f>
        <v/>
      </c>
      <c r="P647" s="22"/>
    </row>
    <row r="648" spans="1:16" ht="11.25" customHeight="1" x14ac:dyDescent="0.2">
      <c r="B648" s="17"/>
      <c r="C648" s="71" t="str">
        <f>IFERROR(VLOOKUP(B648,fixed_expenses4[],2,0),"")</f>
        <v/>
      </c>
      <c r="D648" s="17"/>
      <c r="E648" s="71" t="str">
        <f>IFERROR(VLOOKUP(D648,fixed_expenses4[],2,0),"")</f>
        <v/>
      </c>
      <c r="F648" s="17"/>
      <c r="G648" s="71" t="str">
        <f>IFERROR(VLOOKUP(F648,fixed_expenses4[],2,0),"")</f>
        <v/>
      </c>
      <c r="H648" s="17"/>
      <c r="I648" s="71" t="str">
        <f>IFERROR(VLOOKUP(H648,fixed_expenses4[],2,0),"")</f>
        <v/>
      </c>
      <c r="J648" s="17"/>
      <c r="K648" s="71" t="str">
        <f>IFERROR(VLOOKUP(J648,fixed_expenses4[],2,0),"")</f>
        <v/>
      </c>
      <c r="L648" s="17"/>
      <c r="M648" s="71" t="str">
        <f>IFERROR(VLOOKUP(L648,fixed_expenses4[],2,0),"")</f>
        <v/>
      </c>
      <c r="N648" s="17"/>
      <c r="O648" s="71" t="str">
        <f>IFERROR(VLOOKUP(N648,fixed_expenses4[],2,0),"")</f>
        <v/>
      </c>
      <c r="P648" s="22"/>
    </row>
    <row r="649" spans="1:16" ht="11.25" customHeight="1" x14ac:dyDescent="0.2">
      <c r="B649" s="17"/>
      <c r="C649" s="71" t="str">
        <f>IFERROR(VLOOKUP(B649,fixed_expenses4[],2,0),"")</f>
        <v/>
      </c>
      <c r="D649" s="17"/>
      <c r="E649" s="71" t="str">
        <f>IFERROR(VLOOKUP(D649,fixed_expenses4[],2,0),"")</f>
        <v/>
      </c>
      <c r="F649" s="17"/>
      <c r="G649" s="71" t="str">
        <f>IFERROR(VLOOKUP(F649,fixed_expenses4[],2,0),"")</f>
        <v/>
      </c>
      <c r="H649" s="17"/>
      <c r="I649" s="71" t="str">
        <f>IFERROR(VLOOKUP(H649,fixed_expenses4[],2,0),"")</f>
        <v/>
      </c>
      <c r="J649" s="17"/>
      <c r="K649" s="71" t="str">
        <f>IFERROR(VLOOKUP(J649,fixed_expenses4[],2,0),"")</f>
        <v/>
      </c>
      <c r="L649" s="17"/>
      <c r="M649" s="71" t="str">
        <f>IFERROR(VLOOKUP(L649,fixed_expenses4[],2,0),"")</f>
        <v/>
      </c>
      <c r="N649" s="17"/>
      <c r="O649" s="71" t="str">
        <f>IFERROR(VLOOKUP(N649,fixed_expenses4[],2,0),"")</f>
        <v/>
      </c>
      <c r="P649" s="22"/>
    </row>
    <row r="650" spans="1:16" ht="11.25" customHeight="1" x14ac:dyDescent="0.2">
      <c r="B650" s="17"/>
      <c r="C650" s="71" t="str">
        <f>IFERROR(VLOOKUP(B650,fixed_expenses4[],2,0),"")</f>
        <v/>
      </c>
      <c r="D650" s="17"/>
      <c r="E650" s="71" t="str">
        <f>IFERROR(VLOOKUP(D650,fixed_expenses4[],2,0),"")</f>
        <v/>
      </c>
      <c r="F650" s="17"/>
      <c r="G650" s="71" t="str">
        <f>IFERROR(VLOOKUP(F650,fixed_expenses4[],2,0),"")</f>
        <v/>
      </c>
      <c r="H650" s="17"/>
      <c r="I650" s="71" t="str">
        <f>IFERROR(VLOOKUP(H650,fixed_expenses4[],2,0),"")</f>
        <v/>
      </c>
      <c r="J650" s="17"/>
      <c r="K650" s="71" t="str">
        <f>IFERROR(VLOOKUP(J650,fixed_expenses4[],2,0),"")</f>
        <v/>
      </c>
      <c r="L650" s="17"/>
      <c r="M650" s="71" t="str">
        <f>IFERROR(VLOOKUP(L650,fixed_expenses4[],2,0),"")</f>
        <v/>
      </c>
      <c r="N650" s="17"/>
      <c r="O650" s="71" t="str">
        <f>IFERROR(VLOOKUP(N650,fixed_expenses4[],2,0),"")</f>
        <v/>
      </c>
      <c r="P650" s="22"/>
    </row>
    <row r="651" spans="1:16" ht="11.25" customHeight="1" x14ac:dyDescent="0.2">
      <c r="A651" s="43" t="s">
        <v>290</v>
      </c>
      <c r="B651" s="26" t="s">
        <v>8</v>
      </c>
      <c r="C651" s="27">
        <f>SUM(C646:C650)</f>
        <v>0</v>
      </c>
      <c r="D651" s="26"/>
      <c r="E651" s="27">
        <f>SUM(E646:E650)</f>
        <v>0</v>
      </c>
      <c r="F651" s="26"/>
      <c r="G651" s="27">
        <f>SUM(G646:G650)</f>
        <v>0</v>
      </c>
      <c r="H651" s="26"/>
      <c r="I651" s="27">
        <f>SUM(I646:I650)</f>
        <v>0</v>
      </c>
      <c r="J651" s="26"/>
      <c r="K651" s="27">
        <f>SUM(K646:K650)</f>
        <v>0</v>
      </c>
      <c r="L651" s="26"/>
      <c r="M651" s="27">
        <f>SUM(M646:M650)</f>
        <v>1570</v>
      </c>
      <c r="N651" s="26"/>
      <c r="O651" s="28">
        <f>SUM(O646:O650)</f>
        <v>0</v>
      </c>
      <c r="P651" s="29">
        <f ca="1">SUMIF(B644:N644,"&lt;8",C651:O651)</f>
        <v>1570</v>
      </c>
    </row>
    <row r="652" spans="1:16" x14ac:dyDescent="0.2">
      <c r="B652" s="6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6"/>
    </row>
    <row r="653" spans="1:16" ht="15" customHeight="1" x14ac:dyDescent="0.2">
      <c r="A653" s="43" t="s">
        <v>280</v>
      </c>
      <c r="B653" s="12">
        <f ca="1">N644+1</f>
        <v>5</v>
      </c>
      <c r="C653" s="13"/>
      <c r="D653" s="12">
        <f ca="1">B653+1</f>
        <v>6</v>
      </c>
      <c r="E653" s="13"/>
      <c r="F653" s="12">
        <f ca="1">D653+1</f>
        <v>7</v>
      </c>
      <c r="G653" s="13"/>
      <c r="H653" s="12">
        <f ca="1">F653+1</f>
        <v>8</v>
      </c>
      <c r="I653" s="13"/>
      <c r="J653" s="12">
        <f ca="1">H653+1</f>
        <v>9</v>
      </c>
      <c r="K653" s="13"/>
      <c r="L653" s="12">
        <f ca="1">J653+1</f>
        <v>10</v>
      </c>
      <c r="M653" s="13"/>
      <c r="N653" s="12">
        <f ca="1">L653+1</f>
        <v>11</v>
      </c>
      <c r="O653" s="13"/>
      <c r="P653" s="23"/>
    </row>
    <row r="654" spans="1:16" ht="11.25" customHeight="1" x14ac:dyDescent="0.2">
      <c r="A654" s="43" t="s">
        <v>122</v>
      </c>
      <c r="B654" s="37" t="s">
        <v>9</v>
      </c>
      <c r="C654" s="39" t="s">
        <v>10</v>
      </c>
      <c r="D654" s="37" t="s">
        <v>9</v>
      </c>
      <c r="E654" s="39" t="s">
        <v>10</v>
      </c>
      <c r="F654" s="37" t="s">
        <v>9</v>
      </c>
      <c r="G654" s="39" t="s">
        <v>10</v>
      </c>
      <c r="H654" s="37" t="s">
        <v>9</v>
      </c>
      <c r="I654" s="39" t="s">
        <v>10</v>
      </c>
      <c r="J654" s="37" t="s">
        <v>9</v>
      </c>
      <c r="K654" s="39" t="s">
        <v>10</v>
      </c>
      <c r="L654" s="37" t="s">
        <v>9</v>
      </c>
      <c r="M654" s="39" t="s">
        <v>10</v>
      </c>
      <c r="N654" s="37" t="s">
        <v>9</v>
      </c>
      <c r="O654" s="40" t="s">
        <v>10</v>
      </c>
      <c r="P654" s="22"/>
    </row>
    <row r="655" spans="1:16" ht="11.25" customHeight="1" x14ac:dyDescent="0.2">
      <c r="A655" s="43" t="s">
        <v>230</v>
      </c>
      <c r="B655" s="17"/>
      <c r="C655" s="71" t="str">
        <f>IFERROR(VLOOKUP(B655,fixed_expenses4[],2,0),"")</f>
        <v/>
      </c>
      <c r="D655" s="17"/>
      <c r="E655" s="71" t="str">
        <f>IFERROR(VLOOKUP(D655,fixed_expenses4[],2,0),"")</f>
        <v/>
      </c>
      <c r="F655" s="17"/>
      <c r="G655" s="71" t="str">
        <f>IFERROR(VLOOKUP(F655,fixed_expenses4[],2,0),"")</f>
        <v/>
      </c>
      <c r="H655" s="17"/>
      <c r="I655" s="71" t="str">
        <f>IFERROR(VLOOKUP(H655,fixed_expenses4[],2,0),"")</f>
        <v/>
      </c>
      <c r="J655" s="17"/>
      <c r="K655" s="71" t="str">
        <f>IFERROR(VLOOKUP(J655,fixed_expenses4[],2,0),"")</f>
        <v/>
      </c>
      <c r="L655" s="17" t="s">
        <v>387</v>
      </c>
      <c r="M655" s="71">
        <f>IFERROR(VLOOKUP(L655,fixed_expenses4[],2,0),"")</f>
        <v>800</v>
      </c>
      <c r="N655" s="17"/>
      <c r="O655" s="71" t="str">
        <f>IFERROR(VLOOKUP(N655,fixed_expenses4[],2,0),"")</f>
        <v/>
      </c>
      <c r="P655" s="22"/>
    </row>
    <row r="656" spans="1:16" ht="11.25" customHeight="1" x14ac:dyDescent="0.2">
      <c r="B656" s="17"/>
      <c r="C656" s="71" t="str">
        <f>IFERROR(VLOOKUP(B656,fixed_expenses4[],2,0),"")</f>
        <v/>
      </c>
      <c r="D656" s="17"/>
      <c r="E656" s="71" t="str">
        <f>IFERROR(VLOOKUP(D656,fixed_expenses4[],2,0),"")</f>
        <v/>
      </c>
      <c r="F656" s="17"/>
      <c r="G656" s="71" t="str">
        <f>IFERROR(VLOOKUP(F656,fixed_expenses4[],2,0),"")</f>
        <v/>
      </c>
      <c r="H656" s="17"/>
      <c r="I656" s="71" t="str">
        <f>IFERROR(VLOOKUP(H656,fixed_expenses4[],2,0),"")</f>
        <v/>
      </c>
      <c r="J656" s="17"/>
      <c r="K656" s="71" t="str">
        <f>IFERROR(VLOOKUP(J656,fixed_expenses4[],2,0),"")</f>
        <v/>
      </c>
      <c r="L656" s="17"/>
      <c r="M656" s="71" t="str">
        <f>IFERROR(VLOOKUP(L656,fixed_expenses4[],2,0),"")</f>
        <v/>
      </c>
      <c r="N656" s="17"/>
      <c r="O656" s="71" t="str">
        <f>IFERROR(VLOOKUP(N656,fixed_expenses4[],2,0),"")</f>
        <v/>
      </c>
      <c r="P656" s="22"/>
    </row>
    <row r="657" spans="1:16" ht="11.25" customHeight="1" x14ac:dyDescent="0.2">
      <c r="B657" s="17"/>
      <c r="C657" s="71" t="str">
        <f>IFERROR(VLOOKUP(B657,fixed_expenses4[],2,0),"")</f>
        <v/>
      </c>
      <c r="D657" s="17"/>
      <c r="E657" s="71" t="str">
        <f>IFERROR(VLOOKUP(D657,fixed_expenses4[],2,0),"")</f>
        <v/>
      </c>
      <c r="F657" s="17"/>
      <c r="G657" s="71" t="str">
        <f>IFERROR(VLOOKUP(F657,fixed_expenses4[],2,0),"")</f>
        <v/>
      </c>
      <c r="H657" s="17"/>
      <c r="I657" s="71" t="str">
        <f>IFERROR(VLOOKUP(H657,fixed_expenses4[],2,0),"")</f>
        <v/>
      </c>
      <c r="J657" s="17"/>
      <c r="K657" s="71" t="str">
        <f>IFERROR(VLOOKUP(J657,fixed_expenses4[],2,0),"")</f>
        <v/>
      </c>
      <c r="L657" s="17"/>
      <c r="M657" s="71" t="str">
        <f>IFERROR(VLOOKUP(L657,fixed_expenses4[],2,0),"")</f>
        <v/>
      </c>
      <c r="N657" s="17"/>
      <c r="O657" s="71" t="str">
        <f>IFERROR(VLOOKUP(N657,fixed_expenses4[],2,0),"")</f>
        <v/>
      </c>
      <c r="P657" s="22"/>
    </row>
    <row r="658" spans="1:16" ht="11.25" customHeight="1" x14ac:dyDescent="0.2">
      <c r="B658" s="17"/>
      <c r="C658" s="71" t="str">
        <f>IFERROR(VLOOKUP(B658,fixed_expenses4[],2,0),"")</f>
        <v/>
      </c>
      <c r="D658" s="17"/>
      <c r="E658" s="71" t="str">
        <f>IFERROR(VLOOKUP(D658,fixed_expenses4[],2,0),"")</f>
        <v/>
      </c>
      <c r="F658" s="17"/>
      <c r="G658" s="71" t="str">
        <f>IFERROR(VLOOKUP(F658,fixed_expenses4[],2,0),"")</f>
        <v/>
      </c>
      <c r="H658" s="17"/>
      <c r="I658" s="71" t="str">
        <f>IFERROR(VLOOKUP(H658,fixed_expenses4[],2,0),"")</f>
        <v/>
      </c>
      <c r="J658" s="17"/>
      <c r="K658" s="71" t="str">
        <f>IFERROR(VLOOKUP(J658,fixed_expenses4[],2,0),"")</f>
        <v/>
      </c>
      <c r="L658" s="17"/>
      <c r="M658" s="71" t="str">
        <f>IFERROR(VLOOKUP(L658,fixed_expenses4[],2,0),"")</f>
        <v/>
      </c>
      <c r="N658" s="17"/>
      <c r="O658" s="71" t="str">
        <f>IFERROR(VLOOKUP(N658,fixed_expenses4[],2,0),"")</f>
        <v/>
      </c>
      <c r="P658" s="22"/>
    </row>
    <row r="659" spans="1:16" ht="11.25" customHeight="1" x14ac:dyDescent="0.2">
      <c r="B659" s="17"/>
      <c r="C659" s="71" t="str">
        <f>IFERROR(VLOOKUP(B659,fixed_expenses4[],2,0),"")</f>
        <v/>
      </c>
      <c r="D659" s="17"/>
      <c r="E659" s="71" t="str">
        <f>IFERROR(VLOOKUP(D659,fixed_expenses4[],2,0),"")</f>
        <v/>
      </c>
      <c r="F659" s="17"/>
      <c r="G659" s="71" t="str">
        <f>IFERROR(VLOOKUP(F659,fixed_expenses4[],2,0),"")</f>
        <v/>
      </c>
      <c r="H659" s="17"/>
      <c r="I659" s="71" t="str">
        <f>IFERROR(VLOOKUP(H659,fixed_expenses4[],2,0),"")</f>
        <v/>
      </c>
      <c r="J659" s="17"/>
      <c r="K659" s="71" t="str">
        <f>IFERROR(VLOOKUP(J659,fixed_expenses4[],2,0),"")</f>
        <v/>
      </c>
      <c r="L659" s="17"/>
      <c r="M659" s="71" t="str">
        <f>IFERROR(VLOOKUP(L659,fixed_expenses4[],2,0),"")</f>
        <v/>
      </c>
      <c r="N659" s="17"/>
      <c r="O659" s="71" t="str">
        <f>IFERROR(VLOOKUP(N659,fixed_expenses4[],2,0),"")</f>
        <v/>
      </c>
      <c r="P659" s="22"/>
    </row>
    <row r="660" spans="1:16" ht="11.25" customHeight="1" x14ac:dyDescent="0.2">
      <c r="A660" s="43" t="s">
        <v>289</v>
      </c>
      <c r="B660" s="26" t="s">
        <v>8</v>
      </c>
      <c r="C660" s="27">
        <f>SUM(C655:C659)</f>
        <v>0</v>
      </c>
      <c r="D660" s="26"/>
      <c r="E660" s="27">
        <f>SUM(E655:E659)</f>
        <v>0</v>
      </c>
      <c r="F660" s="26"/>
      <c r="G660" s="27">
        <f>SUM(G655:G659)</f>
        <v>0</v>
      </c>
      <c r="H660" s="26"/>
      <c r="I660" s="27">
        <f>SUM(I655:I659)</f>
        <v>0</v>
      </c>
      <c r="J660" s="26"/>
      <c r="K660" s="27">
        <f>SUM(K655:K659)</f>
        <v>0</v>
      </c>
      <c r="L660" s="26"/>
      <c r="M660" s="27">
        <f>SUM(M655:M659)</f>
        <v>800</v>
      </c>
      <c r="N660" s="26"/>
      <c r="O660" s="28">
        <f>SUM(O655:O659)</f>
        <v>0</v>
      </c>
      <c r="P660" s="29">
        <f>SUM(C660,E660,G660,I660,K660,M660,O660)</f>
        <v>800</v>
      </c>
    </row>
    <row r="661" spans="1:16" x14ac:dyDescent="0.2">
      <c r="B661" s="6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6"/>
    </row>
    <row r="662" spans="1:16" ht="15" customHeight="1" x14ac:dyDescent="0.2">
      <c r="A662" s="43" t="s">
        <v>281</v>
      </c>
      <c r="B662" s="12">
        <f ca="1">N653+1</f>
        <v>12</v>
      </c>
      <c r="C662" s="13"/>
      <c r="D662" s="12">
        <f ca="1">B662+1</f>
        <v>13</v>
      </c>
      <c r="E662" s="13"/>
      <c r="F662" s="12">
        <f ca="1">D662+1</f>
        <v>14</v>
      </c>
      <c r="G662" s="13"/>
      <c r="H662" s="12">
        <f ca="1">F662+1</f>
        <v>15</v>
      </c>
      <c r="I662" s="13"/>
      <c r="J662" s="12">
        <f ca="1">H662+1</f>
        <v>16</v>
      </c>
      <c r="K662" s="13"/>
      <c r="L662" s="12">
        <f ca="1">J662+1</f>
        <v>17</v>
      </c>
      <c r="M662" s="13"/>
      <c r="N662" s="12">
        <f ca="1">L662+1</f>
        <v>18</v>
      </c>
      <c r="O662" s="13"/>
      <c r="P662" s="24"/>
    </row>
    <row r="663" spans="1:16" ht="11.25" customHeight="1" x14ac:dyDescent="0.2">
      <c r="A663" s="43" t="s">
        <v>121</v>
      </c>
      <c r="B663" s="37" t="s">
        <v>9</v>
      </c>
      <c r="C663" s="39" t="s">
        <v>10</v>
      </c>
      <c r="D663" s="37" t="s">
        <v>9</v>
      </c>
      <c r="E663" s="39" t="s">
        <v>10</v>
      </c>
      <c r="F663" s="37" t="s">
        <v>9</v>
      </c>
      <c r="G663" s="39" t="s">
        <v>10</v>
      </c>
      <c r="H663" s="37" t="s">
        <v>9</v>
      </c>
      <c r="I663" s="39" t="s">
        <v>10</v>
      </c>
      <c r="J663" s="37" t="s">
        <v>9</v>
      </c>
      <c r="K663" s="39" t="s">
        <v>10</v>
      </c>
      <c r="L663" s="37" t="s">
        <v>9</v>
      </c>
      <c r="M663" s="39" t="s">
        <v>10</v>
      </c>
      <c r="N663" s="37" t="s">
        <v>9</v>
      </c>
      <c r="O663" s="40" t="s">
        <v>10</v>
      </c>
      <c r="P663" s="22"/>
    </row>
    <row r="664" spans="1:16" ht="11.25" customHeight="1" x14ac:dyDescent="0.2">
      <c r="A664" s="43" t="s">
        <v>231</v>
      </c>
      <c r="B664" s="17"/>
      <c r="C664" s="71" t="str">
        <f>IFERROR(VLOOKUP(B664,fixed_expenses4[],2,0),"")</f>
        <v/>
      </c>
      <c r="D664" s="17"/>
      <c r="E664" s="71" t="str">
        <f>IFERROR(VLOOKUP(D664,fixed_expenses4[],2,0),"")</f>
        <v/>
      </c>
      <c r="F664" s="17"/>
      <c r="G664" s="71" t="str">
        <f>IFERROR(VLOOKUP(F664,fixed_expenses4[],2,0),"")</f>
        <v/>
      </c>
      <c r="H664" s="17"/>
      <c r="I664" s="71" t="str">
        <f>IFERROR(VLOOKUP(H664,fixed_expenses4[],2,0),"")</f>
        <v/>
      </c>
      <c r="J664" s="17"/>
      <c r="K664" s="71" t="str">
        <f>IFERROR(VLOOKUP(J664,fixed_expenses4[],2,0),"")</f>
        <v/>
      </c>
      <c r="L664" s="17" t="s">
        <v>387</v>
      </c>
      <c r="M664" s="71">
        <f>IFERROR(VLOOKUP(L664,fixed_expenses4[],2,0),"")</f>
        <v>800</v>
      </c>
      <c r="N664" s="17"/>
      <c r="O664" s="71" t="str">
        <f>IFERROR(VLOOKUP(N664,fixed_expenses4[],2,0),"")</f>
        <v/>
      </c>
      <c r="P664" s="22"/>
    </row>
    <row r="665" spans="1:16" ht="11.25" customHeight="1" x14ac:dyDescent="0.2">
      <c r="B665" s="17"/>
      <c r="C665" s="71" t="str">
        <f>IFERROR(VLOOKUP(B665,fixed_expenses4[],2,0),"")</f>
        <v/>
      </c>
      <c r="D665" s="17"/>
      <c r="E665" s="71" t="str">
        <f>IFERROR(VLOOKUP(D665,fixed_expenses4[],2,0),"")</f>
        <v/>
      </c>
      <c r="F665" s="17"/>
      <c r="G665" s="71" t="str">
        <f>IFERROR(VLOOKUP(F665,fixed_expenses4[],2,0),"")</f>
        <v/>
      </c>
      <c r="H665" s="17"/>
      <c r="I665" s="71" t="str">
        <f>IFERROR(VLOOKUP(H665,fixed_expenses4[],2,0),"")</f>
        <v/>
      </c>
      <c r="J665" s="17"/>
      <c r="K665" s="71" t="str">
        <f>IFERROR(VLOOKUP(J665,fixed_expenses4[],2,0),"")</f>
        <v/>
      </c>
      <c r="L665" s="80" t="s">
        <v>388</v>
      </c>
      <c r="M665" s="71">
        <f>IFERROR(VLOOKUP(L665,fixed_expenses4[],2,0),"")</f>
        <v>770</v>
      </c>
      <c r="N665" s="17"/>
      <c r="O665" s="71" t="str">
        <f>IFERROR(VLOOKUP(N665,fixed_expenses4[],2,0),"")</f>
        <v/>
      </c>
      <c r="P665" s="22"/>
    </row>
    <row r="666" spans="1:16" ht="11.25" customHeight="1" x14ac:dyDescent="0.2">
      <c r="B666" s="17"/>
      <c r="C666" s="71" t="str">
        <f>IFERROR(VLOOKUP(B666,fixed_expenses4[],2,0),"")</f>
        <v/>
      </c>
      <c r="D666" s="17"/>
      <c r="E666" s="71" t="str">
        <f>IFERROR(VLOOKUP(D666,fixed_expenses4[],2,0),"")</f>
        <v/>
      </c>
      <c r="F666" s="17"/>
      <c r="G666" s="71" t="str">
        <f>IFERROR(VLOOKUP(F666,fixed_expenses4[],2,0),"")</f>
        <v/>
      </c>
      <c r="H666" s="17"/>
      <c r="I666" s="71" t="str">
        <f>IFERROR(VLOOKUP(H666,fixed_expenses4[],2,0),"")</f>
        <v/>
      </c>
      <c r="J666" s="17"/>
      <c r="K666" s="71" t="str">
        <f>IFERROR(VLOOKUP(J666,fixed_expenses4[],2,0),"")</f>
        <v/>
      </c>
      <c r="L666" s="17"/>
      <c r="M666" s="71" t="str">
        <f>IFERROR(VLOOKUP(L666,fixed_expenses4[],2,0),"")</f>
        <v/>
      </c>
      <c r="N666" s="17"/>
      <c r="O666" s="71" t="str">
        <f>IFERROR(VLOOKUP(N666,fixed_expenses4[],2,0),"")</f>
        <v/>
      </c>
      <c r="P666" s="22"/>
    </row>
    <row r="667" spans="1:16" ht="11.25" customHeight="1" x14ac:dyDescent="0.2">
      <c r="B667" s="17"/>
      <c r="C667" s="71" t="str">
        <f>IFERROR(VLOOKUP(B667,fixed_expenses4[],2,0),"")</f>
        <v/>
      </c>
      <c r="D667" s="17"/>
      <c r="E667" s="71" t="str">
        <f>IFERROR(VLOOKUP(D667,fixed_expenses4[],2,0),"")</f>
        <v/>
      </c>
      <c r="F667" s="17"/>
      <c r="G667" s="71" t="str">
        <f>IFERROR(VLOOKUP(F667,fixed_expenses4[],2,0),"")</f>
        <v/>
      </c>
      <c r="H667" s="17"/>
      <c r="I667" s="71" t="str">
        <f>IFERROR(VLOOKUP(H667,fixed_expenses4[],2,0),"")</f>
        <v/>
      </c>
      <c r="J667" s="17"/>
      <c r="K667" s="71" t="str">
        <f>IFERROR(VLOOKUP(J667,fixed_expenses4[],2,0),"")</f>
        <v/>
      </c>
      <c r="L667" s="17"/>
      <c r="M667" s="71" t="str">
        <f>IFERROR(VLOOKUP(L667,fixed_expenses4[],2,0),"")</f>
        <v/>
      </c>
      <c r="N667" s="17"/>
      <c r="O667" s="71" t="str">
        <f>IFERROR(VLOOKUP(N667,fixed_expenses4[],2,0),"")</f>
        <v/>
      </c>
      <c r="P667" s="22"/>
    </row>
    <row r="668" spans="1:16" ht="11.25" customHeight="1" x14ac:dyDescent="0.2">
      <c r="B668" s="17"/>
      <c r="C668" s="71" t="str">
        <f>IFERROR(VLOOKUP(B668,fixed_expenses4[],2,0),"")</f>
        <v/>
      </c>
      <c r="D668" s="17"/>
      <c r="E668" s="71" t="str">
        <f>IFERROR(VLOOKUP(D668,fixed_expenses4[],2,0),"")</f>
        <v/>
      </c>
      <c r="F668" s="17"/>
      <c r="G668" s="71" t="str">
        <f>IFERROR(VLOOKUP(F668,fixed_expenses4[],2,0),"")</f>
        <v/>
      </c>
      <c r="H668" s="17"/>
      <c r="I668" s="71" t="str">
        <f>IFERROR(VLOOKUP(H668,fixed_expenses4[],2,0),"")</f>
        <v/>
      </c>
      <c r="J668" s="17"/>
      <c r="K668" s="71" t="str">
        <f>IFERROR(VLOOKUP(J668,fixed_expenses4[],2,0),"")</f>
        <v/>
      </c>
      <c r="L668" s="17"/>
      <c r="M668" s="71" t="str">
        <f>IFERROR(VLOOKUP(L668,fixed_expenses4[],2,0),"")</f>
        <v/>
      </c>
      <c r="N668" s="17"/>
      <c r="O668" s="71" t="str">
        <f>IFERROR(VLOOKUP(N668,fixed_expenses4[],2,0),"")</f>
        <v/>
      </c>
      <c r="P668" s="22"/>
    </row>
    <row r="669" spans="1:16" ht="11.25" customHeight="1" x14ac:dyDescent="0.2">
      <c r="A669" s="43" t="s">
        <v>288</v>
      </c>
      <c r="B669" s="30" t="s">
        <v>8</v>
      </c>
      <c r="C669" s="27">
        <f>SUM(C664:C668)</f>
        <v>0</v>
      </c>
      <c r="D669" s="26"/>
      <c r="E669" s="27">
        <f>SUM(E664:E668)</f>
        <v>0</v>
      </c>
      <c r="F669" s="26"/>
      <c r="G669" s="27">
        <f>SUM(G664:G668)</f>
        <v>0</v>
      </c>
      <c r="H669" s="26"/>
      <c r="I669" s="27">
        <f>SUM(I664:I668)</f>
        <v>0</v>
      </c>
      <c r="J669" s="26"/>
      <c r="K669" s="27">
        <f>SUM(K664:K668)</f>
        <v>0</v>
      </c>
      <c r="L669" s="26"/>
      <c r="M669" s="27">
        <f>SUM(M664:M668)</f>
        <v>1570</v>
      </c>
      <c r="N669" s="26"/>
      <c r="O669" s="28">
        <f>SUM(O664:O668)</f>
        <v>0</v>
      </c>
      <c r="P669" s="29">
        <f>SUM(C669,E669,G669,I669,K669,M669,O669)</f>
        <v>1570</v>
      </c>
    </row>
    <row r="670" spans="1:16" x14ac:dyDescent="0.2">
      <c r="B670" s="6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6"/>
    </row>
    <row r="671" spans="1:16" ht="15" customHeight="1" x14ac:dyDescent="0.2">
      <c r="A671" s="43" t="s">
        <v>282</v>
      </c>
      <c r="B671" s="12">
        <f ca="1">N662+1</f>
        <v>19</v>
      </c>
      <c r="C671" s="13"/>
      <c r="D671" s="12">
        <f ca="1">B671+1</f>
        <v>20</v>
      </c>
      <c r="E671" s="13"/>
      <c r="F671" s="12">
        <f ca="1">D671+1</f>
        <v>21</v>
      </c>
      <c r="G671" s="13"/>
      <c r="H671" s="12">
        <f ca="1">F671+1</f>
        <v>22</v>
      </c>
      <c r="I671" s="13"/>
      <c r="J671" s="12">
        <f ca="1">H671+1</f>
        <v>23</v>
      </c>
      <c r="K671" s="13"/>
      <c r="L671" s="12">
        <f ca="1">J671+1</f>
        <v>24</v>
      </c>
      <c r="M671" s="13"/>
      <c r="N671" s="12">
        <f ca="1">L671+1</f>
        <v>25</v>
      </c>
      <c r="O671" s="13"/>
      <c r="P671" s="24"/>
    </row>
    <row r="672" spans="1:16" ht="11.25" customHeight="1" x14ac:dyDescent="0.2">
      <c r="A672" s="43" t="s">
        <v>120</v>
      </c>
      <c r="B672" s="37" t="s">
        <v>9</v>
      </c>
      <c r="C672" s="39" t="s">
        <v>10</v>
      </c>
      <c r="D672" s="37" t="s">
        <v>9</v>
      </c>
      <c r="E672" s="39" t="s">
        <v>10</v>
      </c>
      <c r="F672" s="37" t="s">
        <v>9</v>
      </c>
      <c r="G672" s="39" t="s">
        <v>10</v>
      </c>
      <c r="H672" s="37" t="s">
        <v>9</v>
      </c>
      <c r="I672" s="39" t="s">
        <v>10</v>
      </c>
      <c r="J672" s="37" t="s">
        <v>9</v>
      </c>
      <c r="K672" s="39" t="s">
        <v>10</v>
      </c>
      <c r="L672" s="37" t="s">
        <v>9</v>
      </c>
      <c r="M672" s="39" t="s">
        <v>10</v>
      </c>
      <c r="N672" s="37" t="s">
        <v>9</v>
      </c>
      <c r="O672" s="40" t="s">
        <v>10</v>
      </c>
      <c r="P672" s="22"/>
    </row>
    <row r="673" spans="1:16" ht="11.25" customHeight="1" x14ac:dyDescent="0.2">
      <c r="A673" s="43" t="s">
        <v>232</v>
      </c>
      <c r="B673" s="17"/>
      <c r="C673" s="71" t="str">
        <f>IFERROR(VLOOKUP(B673,fixed_expenses4[],2,0),"")</f>
        <v/>
      </c>
      <c r="D673" s="17"/>
      <c r="E673" s="71" t="str">
        <f>IFERROR(VLOOKUP(D673,fixed_expenses4[],2,0),"")</f>
        <v/>
      </c>
      <c r="F673" s="17"/>
      <c r="G673" s="71" t="str">
        <f>IFERROR(VLOOKUP(F673,fixed_expenses4[],2,0),"")</f>
        <v/>
      </c>
      <c r="H673" s="17"/>
      <c r="I673" s="71" t="str">
        <f>IFERROR(VLOOKUP(H673,fixed_expenses4[],2,0),"")</f>
        <v/>
      </c>
      <c r="J673" s="17"/>
      <c r="K673" s="71" t="str">
        <f>IFERROR(VLOOKUP(J673,fixed_expenses4[],2,0),"")</f>
        <v/>
      </c>
      <c r="L673" s="17" t="s">
        <v>387</v>
      </c>
      <c r="M673" s="71">
        <f>IFERROR(VLOOKUP(L673,fixed_expenses4[],2,0),"")</f>
        <v>800</v>
      </c>
      <c r="N673" s="17"/>
      <c r="O673" s="71" t="str">
        <f>IFERROR(VLOOKUP(N673,fixed_expenses4[],2,0),"")</f>
        <v/>
      </c>
      <c r="P673" s="22"/>
    </row>
    <row r="674" spans="1:16" ht="11.25" customHeight="1" x14ac:dyDescent="0.2">
      <c r="B674" s="17"/>
      <c r="C674" s="71" t="str">
        <f>IFERROR(VLOOKUP(B674,fixed_expenses4[],2,0),"")</f>
        <v/>
      </c>
      <c r="D674" s="17"/>
      <c r="E674" s="71" t="str">
        <f>IFERROR(VLOOKUP(D674,fixed_expenses4[],2,0),"")</f>
        <v/>
      </c>
      <c r="F674" s="17"/>
      <c r="G674" s="71" t="str">
        <f>IFERROR(VLOOKUP(F674,fixed_expenses4[],2,0),"")</f>
        <v/>
      </c>
      <c r="H674" s="17"/>
      <c r="I674" s="71" t="str">
        <f>IFERROR(VLOOKUP(H674,fixed_expenses4[],2,0),"")</f>
        <v/>
      </c>
      <c r="J674" s="17"/>
      <c r="K674" s="71" t="str">
        <f>IFERROR(VLOOKUP(J674,fixed_expenses4[],2,0),"")</f>
        <v/>
      </c>
      <c r="L674" s="17"/>
      <c r="M674" s="71" t="str">
        <f>IFERROR(VLOOKUP(L674,fixed_expenses4[],2,0),"")</f>
        <v/>
      </c>
      <c r="N674" s="17"/>
      <c r="O674" s="71" t="str">
        <f>IFERROR(VLOOKUP(N674,fixed_expenses4[],2,0),"")</f>
        <v/>
      </c>
      <c r="P674" s="22"/>
    </row>
    <row r="675" spans="1:16" ht="11.25" customHeight="1" x14ac:dyDescent="0.2">
      <c r="B675" s="17"/>
      <c r="C675" s="71" t="str">
        <f>IFERROR(VLOOKUP(B675,fixed_expenses4[],2,0),"")</f>
        <v/>
      </c>
      <c r="D675" s="17"/>
      <c r="E675" s="71" t="str">
        <f>IFERROR(VLOOKUP(D675,fixed_expenses4[],2,0),"")</f>
        <v/>
      </c>
      <c r="F675" s="17"/>
      <c r="G675" s="71" t="str">
        <f>IFERROR(VLOOKUP(F675,fixed_expenses4[],2,0),"")</f>
        <v/>
      </c>
      <c r="H675" s="17"/>
      <c r="I675" s="71" t="str">
        <f>IFERROR(VLOOKUP(H675,fixed_expenses4[],2,0),"")</f>
        <v/>
      </c>
      <c r="J675" s="17"/>
      <c r="K675" s="71" t="str">
        <f>IFERROR(VLOOKUP(J675,fixed_expenses4[],2,0),"")</f>
        <v/>
      </c>
      <c r="L675" s="17"/>
      <c r="M675" s="71" t="str">
        <f>IFERROR(VLOOKUP(L675,fixed_expenses4[],2,0),"")</f>
        <v/>
      </c>
      <c r="N675" s="17"/>
      <c r="O675" s="71" t="str">
        <f>IFERROR(VLOOKUP(N675,fixed_expenses4[],2,0),"")</f>
        <v/>
      </c>
      <c r="P675" s="22"/>
    </row>
    <row r="676" spans="1:16" ht="11.25" customHeight="1" x14ac:dyDescent="0.2">
      <c r="B676" s="17"/>
      <c r="C676" s="71" t="str">
        <f>IFERROR(VLOOKUP(B676,fixed_expenses4[],2,0),"")</f>
        <v/>
      </c>
      <c r="D676" s="17"/>
      <c r="E676" s="71" t="str">
        <f>IFERROR(VLOOKUP(D676,fixed_expenses4[],2,0),"")</f>
        <v/>
      </c>
      <c r="F676" s="17"/>
      <c r="G676" s="71" t="str">
        <f>IFERROR(VLOOKUP(F676,fixed_expenses4[],2,0),"")</f>
        <v/>
      </c>
      <c r="H676" s="17"/>
      <c r="I676" s="71" t="str">
        <f>IFERROR(VLOOKUP(H676,fixed_expenses4[],2,0),"")</f>
        <v/>
      </c>
      <c r="J676" s="17"/>
      <c r="K676" s="71" t="str">
        <f>IFERROR(VLOOKUP(J676,fixed_expenses4[],2,0),"")</f>
        <v/>
      </c>
      <c r="L676" s="17"/>
      <c r="M676" s="71" t="str">
        <f>IFERROR(VLOOKUP(L676,fixed_expenses4[],2,0),"")</f>
        <v/>
      </c>
      <c r="N676" s="17"/>
      <c r="O676" s="71" t="str">
        <f>IFERROR(VLOOKUP(N676,fixed_expenses4[],2,0),"")</f>
        <v/>
      </c>
      <c r="P676" s="22"/>
    </row>
    <row r="677" spans="1:16" ht="11.25" customHeight="1" x14ac:dyDescent="0.2">
      <c r="B677" s="17"/>
      <c r="C677" s="71" t="str">
        <f>IFERROR(VLOOKUP(B677,fixed_expenses4[],2,0),"")</f>
        <v/>
      </c>
      <c r="D677" s="17"/>
      <c r="E677" s="71" t="str">
        <f>IFERROR(VLOOKUP(D677,fixed_expenses4[],2,0),"")</f>
        <v/>
      </c>
      <c r="F677" s="17"/>
      <c r="G677" s="71" t="str">
        <f>IFERROR(VLOOKUP(F677,fixed_expenses4[],2,0),"")</f>
        <v/>
      </c>
      <c r="H677" s="17"/>
      <c r="I677" s="71" t="str">
        <f>IFERROR(VLOOKUP(H677,fixed_expenses4[],2,0),"")</f>
        <v/>
      </c>
      <c r="J677" s="17"/>
      <c r="K677" s="71" t="str">
        <f>IFERROR(VLOOKUP(J677,fixed_expenses4[],2,0),"")</f>
        <v/>
      </c>
      <c r="L677" s="17"/>
      <c r="M677" s="71" t="str">
        <f>IFERROR(VLOOKUP(L677,fixed_expenses4[],2,0),"")</f>
        <v/>
      </c>
      <c r="N677" s="17"/>
      <c r="O677" s="71" t="str">
        <f>IFERROR(VLOOKUP(N677,fixed_expenses4[],2,0),"")</f>
        <v/>
      </c>
      <c r="P677" s="22"/>
    </row>
    <row r="678" spans="1:16" ht="11.25" customHeight="1" x14ac:dyDescent="0.2">
      <c r="A678" s="43" t="s">
        <v>287</v>
      </c>
      <c r="B678" s="26" t="s">
        <v>8</v>
      </c>
      <c r="C678" s="27">
        <f>SUM(C673:C677)</f>
        <v>0</v>
      </c>
      <c r="D678" s="26"/>
      <c r="E678" s="27">
        <f>SUM(E673:E677)</f>
        <v>0</v>
      </c>
      <c r="F678" s="26"/>
      <c r="G678" s="27">
        <f>SUM(G673:G677)</f>
        <v>0</v>
      </c>
      <c r="H678" s="26"/>
      <c r="I678" s="27">
        <f>SUM(I673:I677)</f>
        <v>0</v>
      </c>
      <c r="J678" s="26"/>
      <c r="K678" s="27">
        <f>SUM(K673:K677)</f>
        <v>0</v>
      </c>
      <c r="L678" s="26"/>
      <c r="M678" s="27">
        <f>SUM(M673:M677)</f>
        <v>800</v>
      </c>
      <c r="N678" s="26"/>
      <c r="O678" s="28">
        <f>SUM(O673:O677)</f>
        <v>0</v>
      </c>
      <c r="P678" s="29">
        <f>SUM(C678,E678,G678,I678,K678,M678,O678)</f>
        <v>800</v>
      </c>
    </row>
    <row r="679" spans="1:16" x14ac:dyDescent="0.2">
      <c r="B679" s="6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6"/>
    </row>
    <row r="680" spans="1:16" ht="15" customHeight="1" x14ac:dyDescent="0.2">
      <c r="A680" s="43" t="s">
        <v>283</v>
      </c>
      <c r="B680" s="12">
        <f ca="1">DAY(IF(DAY(DecSun1)=1,DecSun1+22,DecSun1+29))</f>
        <v>26</v>
      </c>
      <c r="C680" s="13"/>
      <c r="D680" s="12">
        <f ca="1">DAY(IF(DAY(DecSun1)=1,DecSun1+23,DecSun1+30))</f>
        <v>27</v>
      </c>
      <c r="E680" s="13"/>
      <c r="F680" s="12">
        <f ca="1">DAY(IF(DAY(DecSun1)=1,DecSun1+24,DecSun1+31))</f>
        <v>28</v>
      </c>
      <c r="G680" s="13"/>
      <c r="H680" s="12">
        <f ca="1">DAY(IF(DAY(DecSun1)=1,DecSun1+25,DecSun1+32))</f>
        <v>29</v>
      </c>
      <c r="I680" s="13"/>
      <c r="J680" s="12">
        <f ca="1">DAY(IF(DAY(DecSun1)=1,DecSun1+26,DecSun1+33))</f>
        <v>30</v>
      </c>
      <c r="K680" s="13"/>
      <c r="L680" s="12">
        <f ca="1">DAY(IF(DAY(DecSun1)=1,DecSun1+27,DecSun1+34))</f>
        <v>31</v>
      </c>
      <c r="M680" s="13"/>
      <c r="N680" s="12">
        <f ca="1">DAY(IF(DAY(DecSun1)=1,DecSun1+28,DecSun1+35))</f>
        <v>1</v>
      </c>
      <c r="O680" s="13"/>
      <c r="P680" s="25"/>
    </row>
    <row r="681" spans="1:16" ht="11.25" customHeight="1" x14ac:dyDescent="0.2">
      <c r="A681" s="43" t="s">
        <v>119</v>
      </c>
      <c r="B681" s="37" t="s">
        <v>9</v>
      </c>
      <c r="C681" s="39" t="s">
        <v>10</v>
      </c>
      <c r="D681" s="37" t="s">
        <v>9</v>
      </c>
      <c r="E681" s="39" t="s">
        <v>10</v>
      </c>
      <c r="F681" s="37" t="s">
        <v>9</v>
      </c>
      <c r="G681" s="39" t="s">
        <v>10</v>
      </c>
      <c r="H681" s="37" t="s">
        <v>9</v>
      </c>
      <c r="I681" s="39" t="s">
        <v>10</v>
      </c>
      <c r="J681" s="37" t="s">
        <v>9</v>
      </c>
      <c r="K681" s="39" t="s">
        <v>10</v>
      </c>
      <c r="L681" s="37" t="s">
        <v>9</v>
      </c>
      <c r="M681" s="39" t="s">
        <v>10</v>
      </c>
      <c r="N681" s="37" t="s">
        <v>9</v>
      </c>
      <c r="O681" s="40" t="s">
        <v>10</v>
      </c>
      <c r="P681" s="22"/>
    </row>
    <row r="682" spans="1:16" ht="11.25" customHeight="1" x14ac:dyDescent="0.2">
      <c r="A682" s="43" t="s">
        <v>233</v>
      </c>
      <c r="B682" s="17"/>
      <c r="C682" s="71" t="str">
        <f>IFERROR(VLOOKUP(B682,fixed_expenses4[],2,0),"")</f>
        <v/>
      </c>
      <c r="D682" s="17"/>
      <c r="E682" s="71" t="str">
        <f>IFERROR(VLOOKUP(D682,fixed_expenses4[],2,0),"")</f>
        <v/>
      </c>
      <c r="F682" s="17"/>
      <c r="G682" s="71" t="str">
        <f>IFERROR(VLOOKUP(F682,fixed_expenses4[],2,0),"")</f>
        <v/>
      </c>
      <c r="H682" s="17"/>
      <c r="I682" s="71" t="str">
        <f>IFERROR(VLOOKUP(H682,fixed_expenses4[],2,0),"")</f>
        <v/>
      </c>
      <c r="J682" s="17"/>
      <c r="K682" s="71" t="str">
        <f>IFERROR(VLOOKUP(J682,fixed_expenses4[],2,0),"")</f>
        <v/>
      </c>
      <c r="L682" s="17" t="s">
        <v>387</v>
      </c>
      <c r="M682" s="71">
        <f>IFERROR(VLOOKUP(L682,fixed_expenses4[],2,0),"")</f>
        <v>800</v>
      </c>
      <c r="N682" s="17"/>
      <c r="O682" s="71" t="str">
        <f>IFERROR(VLOOKUP(N682,fixed_expenses4[],2,0),"")</f>
        <v/>
      </c>
      <c r="P682" s="22"/>
    </row>
    <row r="683" spans="1:16" ht="11.25" customHeight="1" x14ac:dyDescent="0.2">
      <c r="B683" s="17"/>
      <c r="C683" s="71" t="str">
        <f>IFERROR(VLOOKUP(B683,fixed_expenses4[],2,0),"")</f>
        <v/>
      </c>
      <c r="D683" s="17"/>
      <c r="E683" s="71" t="str">
        <f>IFERROR(VLOOKUP(D683,fixed_expenses4[],2,0),"")</f>
        <v/>
      </c>
      <c r="F683" s="17"/>
      <c r="G683" s="71" t="str">
        <f>IFERROR(VLOOKUP(F683,fixed_expenses4[],2,0),"")</f>
        <v/>
      </c>
      <c r="H683" s="17"/>
      <c r="I683" s="71" t="str">
        <f>IFERROR(VLOOKUP(H683,fixed_expenses4[],2,0),"")</f>
        <v/>
      </c>
      <c r="J683" s="17"/>
      <c r="K683" s="71" t="str">
        <f>IFERROR(VLOOKUP(J683,fixed_expenses4[],2,0),"")</f>
        <v/>
      </c>
      <c r="L683" s="80" t="s">
        <v>388</v>
      </c>
      <c r="M683" s="71">
        <f>IFERROR(VLOOKUP(L683,fixed_expenses4[],2,0),"")</f>
        <v>770</v>
      </c>
      <c r="N683" s="17"/>
      <c r="O683" s="71" t="str">
        <f>IFERROR(VLOOKUP(N683,fixed_expenses4[],2,0),"")</f>
        <v/>
      </c>
      <c r="P683" s="22"/>
    </row>
    <row r="684" spans="1:16" ht="11.25" customHeight="1" x14ac:dyDescent="0.2">
      <c r="B684" s="17"/>
      <c r="C684" s="71" t="str">
        <f>IFERROR(VLOOKUP(B684,fixed_expenses4[],2,0),"")</f>
        <v/>
      </c>
      <c r="D684" s="17"/>
      <c r="E684" s="71" t="str">
        <f>IFERROR(VLOOKUP(D684,fixed_expenses4[],2,0),"")</f>
        <v/>
      </c>
      <c r="F684" s="17"/>
      <c r="G684" s="71" t="str">
        <f>IFERROR(VLOOKUP(F684,fixed_expenses4[],2,0),"")</f>
        <v/>
      </c>
      <c r="H684" s="17"/>
      <c r="I684" s="71" t="str">
        <f>IFERROR(VLOOKUP(H684,fixed_expenses4[],2,0),"")</f>
        <v/>
      </c>
      <c r="J684" s="17"/>
      <c r="K684" s="71" t="str">
        <f>IFERROR(VLOOKUP(J684,fixed_expenses4[],2,0),"")</f>
        <v/>
      </c>
      <c r="L684" s="17"/>
      <c r="M684" s="71" t="str">
        <f>IFERROR(VLOOKUP(L684,fixed_expenses4[],2,0),"")</f>
        <v/>
      </c>
      <c r="N684" s="17"/>
      <c r="O684" s="71" t="str">
        <f>IFERROR(VLOOKUP(N684,fixed_expenses4[],2,0),"")</f>
        <v/>
      </c>
      <c r="P684" s="22"/>
    </row>
    <row r="685" spans="1:16" ht="11.25" customHeight="1" x14ac:dyDescent="0.2">
      <c r="B685" s="17"/>
      <c r="C685" s="71" t="str">
        <f>IFERROR(VLOOKUP(B685,fixed_expenses4[],2,0),"")</f>
        <v/>
      </c>
      <c r="D685" s="17"/>
      <c r="E685" s="71" t="str">
        <f>IFERROR(VLOOKUP(D685,fixed_expenses4[],2,0),"")</f>
        <v/>
      </c>
      <c r="F685" s="17"/>
      <c r="G685" s="71" t="str">
        <f>IFERROR(VLOOKUP(F685,fixed_expenses4[],2,0),"")</f>
        <v/>
      </c>
      <c r="H685" s="17"/>
      <c r="I685" s="71" t="str">
        <f>IFERROR(VLOOKUP(H685,fixed_expenses4[],2,0),"")</f>
        <v/>
      </c>
      <c r="J685" s="17"/>
      <c r="K685" s="71" t="str">
        <f>IFERROR(VLOOKUP(J685,fixed_expenses4[],2,0),"")</f>
        <v/>
      </c>
      <c r="L685" s="17"/>
      <c r="M685" s="71" t="str">
        <f>IFERROR(VLOOKUP(L685,fixed_expenses4[],2,0),"")</f>
        <v/>
      </c>
      <c r="N685" s="17"/>
      <c r="O685" s="71" t="str">
        <f>IFERROR(VLOOKUP(N685,fixed_expenses4[],2,0),"")</f>
        <v/>
      </c>
      <c r="P685" s="22"/>
    </row>
    <row r="686" spans="1:16" ht="11.25" customHeight="1" x14ac:dyDescent="0.2">
      <c r="B686" s="17"/>
      <c r="C686" s="71" t="str">
        <f>IFERROR(VLOOKUP(B686,fixed_expenses4[],2,0),"")</f>
        <v/>
      </c>
      <c r="D686" s="17"/>
      <c r="E686" s="71" t="str">
        <f>IFERROR(VLOOKUP(D686,fixed_expenses4[],2,0),"")</f>
        <v/>
      </c>
      <c r="F686" s="17"/>
      <c r="G686" s="71" t="str">
        <f>IFERROR(VLOOKUP(F686,fixed_expenses4[],2,0),"")</f>
        <v/>
      </c>
      <c r="H686" s="17"/>
      <c r="I686" s="71" t="str">
        <f>IFERROR(VLOOKUP(H686,fixed_expenses4[],2,0),"")</f>
        <v/>
      </c>
      <c r="J686" s="17"/>
      <c r="K686" s="71" t="str">
        <f>IFERROR(VLOOKUP(J686,fixed_expenses4[],2,0),"")</f>
        <v/>
      </c>
      <c r="L686" s="17"/>
      <c r="M686" s="71" t="str">
        <f>IFERROR(VLOOKUP(L686,fixed_expenses4[],2,0),"")</f>
        <v/>
      </c>
      <c r="N686" s="17"/>
      <c r="O686" s="71" t="str">
        <f>IFERROR(VLOOKUP(N686,fixed_expenses4[],2,0),"")</f>
        <v/>
      </c>
      <c r="P686" s="22"/>
    </row>
    <row r="687" spans="1:16" ht="11.25" customHeight="1" x14ac:dyDescent="0.2">
      <c r="A687" s="43" t="s">
        <v>286</v>
      </c>
      <c r="B687" s="26" t="s">
        <v>8</v>
      </c>
      <c r="C687" s="27">
        <f>SUM(C682:C686)</f>
        <v>0</v>
      </c>
      <c r="D687" s="26"/>
      <c r="E687" s="27">
        <f>SUM(E682:E686)</f>
        <v>0</v>
      </c>
      <c r="F687" s="26"/>
      <c r="G687" s="27">
        <f>SUM(G682:G686)</f>
        <v>0</v>
      </c>
      <c r="H687" s="26"/>
      <c r="I687" s="27">
        <f>SUM(I682:I686)</f>
        <v>0</v>
      </c>
      <c r="J687" s="26"/>
      <c r="K687" s="27">
        <f>SUM(K682:K686)</f>
        <v>0</v>
      </c>
      <c r="L687" s="26"/>
      <c r="M687" s="27">
        <f>SUM(M682:M686)</f>
        <v>1570</v>
      </c>
      <c r="N687" s="26"/>
      <c r="O687" s="28">
        <f>SUM(O682:O686)</f>
        <v>0</v>
      </c>
      <c r="P687" s="29">
        <f ca="1">SUMIF(B680:N680,"&gt;="&amp;15,C687:O687)</f>
        <v>1570</v>
      </c>
    </row>
    <row r="688" spans="1:16" x14ac:dyDescent="0.2">
      <c r="B688" s="6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6"/>
    </row>
    <row r="689" spans="1:16" ht="15" customHeight="1" x14ac:dyDescent="0.2">
      <c r="A689" s="43" t="s">
        <v>284</v>
      </c>
      <c r="B689" s="12">
        <f ca="1">DAY(IF(DAY(DecSun1)=1,DecSun1+29,DecSun1+36))</f>
        <v>2</v>
      </c>
      <c r="C689" s="11"/>
      <c r="D689" s="12">
        <f ca="1">DAY(IF(DAY(DecSun1)=1,DecSun1+30,DecSun1+37))</f>
        <v>3</v>
      </c>
      <c r="E689" s="13"/>
      <c r="F689" s="10">
        <f ca="1">DAY(IF(DAY(DecSun1)=1,DecSun1+31,DecSun1+38))</f>
        <v>4</v>
      </c>
      <c r="G689" s="13"/>
      <c r="H689" s="12">
        <f ca="1">DAY(IF(DAY(DecSun1)=1,DecSun1+32,DecSun1+39))</f>
        <v>5</v>
      </c>
      <c r="I689" s="13"/>
      <c r="J689" s="12">
        <f ca="1">DAY(IF(DAY(DecSun1)=1,DecSun1+33,DecSun1+40))</f>
        <v>6</v>
      </c>
      <c r="K689" s="13"/>
      <c r="L689" s="12">
        <f ca="1">DAY(IF(DAY(DecSun1)=1,DecSun1+34,DecSun1+41))</f>
        <v>7</v>
      </c>
      <c r="M689" s="13"/>
      <c r="N689" s="12">
        <f ca="1">DAY(IF(DAY(DecSun1)=1,DecSun1+35,DecSun1+42))</f>
        <v>8</v>
      </c>
      <c r="O689" s="13"/>
      <c r="P689" s="25"/>
    </row>
    <row r="690" spans="1:16" ht="11.25" customHeight="1" x14ac:dyDescent="0.2">
      <c r="A690" s="43" t="s">
        <v>118</v>
      </c>
      <c r="B690" s="37" t="s">
        <v>9</v>
      </c>
      <c r="C690" s="39" t="s">
        <v>10</v>
      </c>
      <c r="D690" s="37" t="s">
        <v>9</v>
      </c>
      <c r="E690" s="39" t="s">
        <v>10</v>
      </c>
      <c r="F690" s="37" t="s">
        <v>9</v>
      </c>
      <c r="G690" s="39" t="s">
        <v>10</v>
      </c>
      <c r="H690" s="37" t="s">
        <v>9</v>
      </c>
      <c r="I690" s="39" t="s">
        <v>10</v>
      </c>
      <c r="J690" s="37" t="s">
        <v>9</v>
      </c>
      <c r="K690" s="39" t="s">
        <v>10</v>
      </c>
      <c r="L690" s="37" t="s">
        <v>9</v>
      </c>
      <c r="M690" s="39" t="s">
        <v>10</v>
      </c>
      <c r="N690" s="37" t="s">
        <v>9</v>
      </c>
      <c r="O690" s="40" t="s">
        <v>10</v>
      </c>
      <c r="P690" s="22"/>
    </row>
    <row r="691" spans="1:16" ht="11.25" customHeight="1" x14ac:dyDescent="0.2">
      <c r="A691" s="43" t="s">
        <v>234</v>
      </c>
      <c r="B691" s="17"/>
      <c r="C691" s="71" t="str">
        <f>IFERROR(VLOOKUP(B691,fixed_expenses4[],2,0),"")</f>
        <v/>
      </c>
      <c r="D691" s="17"/>
      <c r="E691" s="71" t="str">
        <f>IFERROR(VLOOKUP(D691,fixed_expenses4[],2,0),"")</f>
        <v/>
      </c>
      <c r="F691" s="17"/>
      <c r="G691" s="71" t="str">
        <f>IFERROR(VLOOKUP(F691,fixed_expenses4[],2,0),"")</f>
        <v/>
      </c>
      <c r="H691" s="17"/>
      <c r="I691" s="71" t="str">
        <f>IFERROR(VLOOKUP(H691,fixed_expenses4[],2,0),"")</f>
        <v/>
      </c>
      <c r="J691" s="17"/>
      <c r="K691" s="71" t="str">
        <f>IFERROR(VLOOKUP(J691,fixed_expenses4[],2,0),"")</f>
        <v/>
      </c>
      <c r="L691" s="17"/>
      <c r="M691" s="71" t="str">
        <f>IFERROR(VLOOKUP(L691,fixed_expenses4[],2,0),"")</f>
        <v/>
      </c>
      <c r="N691" s="17"/>
      <c r="O691" s="71" t="str">
        <f>IFERROR(VLOOKUP(N691,fixed_expenses4[],2,0),"")</f>
        <v/>
      </c>
      <c r="P691" s="22"/>
    </row>
    <row r="692" spans="1:16" ht="11.25" customHeight="1" x14ac:dyDescent="0.2">
      <c r="B692" s="17"/>
      <c r="C692" s="71" t="str">
        <f>IFERROR(VLOOKUP(B692,fixed_expenses4[],2,0),"")</f>
        <v/>
      </c>
      <c r="D692" s="17"/>
      <c r="E692" s="71" t="str">
        <f>IFERROR(VLOOKUP(D692,fixed_expenses4[],2,0),"")</f>
        <v/>
      </c>
      <c r="F692" s="17"/>
      <c r="G692" s="71" t="str">
        <f>IFERROR(VLOOKUP(F692,fixed_expenses4[],2,0),"")</f>
        <v/>
      </c>
      <c r="H692" s="17"/>
      <c r="I692" s="71" t="str">
        <f>IFERROR(VLOOKUP(H692,fixed_expenses4[],2,0),"")</f>
        <v/>
      </c>
      <c r="J692" s="17"/>
      <c r="K692" s="71" t="str">
        <f>IFERROR(VLOOKUP(J692,fixed_expenses4[],2,0),"")</f>
        <v/>
      </c>
      <c r="L692" s="17"/>
      <c r="M692" s="71" t="str">
        <f>IFERROR(VLOOKUP(L692,fixed_expenses4[],2,0),"")</f>
        <v/>
      </c>
      <c r="N692" s="17"/>
      <c r="O692" s="71" t="str">
        <f>IFERROR(VLOOKUP(N692,fixed_expenses4[],2,0),"")</f>
        <v/>
      </c>
      <c r="P692" s="22"/>
    </row>
    <row r="693" spans="1:16" ht="11.25" customHeight="1" x14ac:dyDescent="0.2">
      <c r="B693" s="17"/>
      <c r="C693" s="71" t="str">
        <f>IFERROR(VLOOKUP(B693,fixed_expenses4[],2,0),"")</f>
        <v/>
      </c>
      <c r="D693" s="17"/>
      <c r="E693" s="71" t="str">
        <f>IFERROR(VLOOKUP(D693,fixed_expenses4[],2,0),"")</f>
        <v/>
      </c>
      <c r="F693" s="17"/>
      <c r="G693" s="71" t="str">
        <f>IFERROR(VLOOKUP(F693,fixed_expenses4[],2,0),"")</f>
        <v/>
      </c>
      <c r="H693" s="17"/>
      <c r="I693" s="71" t="str">
        <f>IFERROR(VLOOKUP(H693,fixed_expenses4[],2,0),"")</f>
        <v/>
      </c>
      <c r="J693" s="17"/>
      <c r="K693" s="71" t="str">
        <f>IFERROR(VLOOKUP(J693,fixed_expenses4[],2,0),"")</f>
        <v/>
      </c>
      <c r="L693" s="17"/>
      <c r="M693" s="71" t="str">
        <f>IFERROR(VLOOKUP(L693,fixed_expenses4[],2,0),"")</f>
        <v/>
      </c>
      <c r="N693" s="17"/>
      <c r="O693" s="71" t="str">
        <f>IFERROR(VLOOKUP(N693,fixed_expenses4[],2,0),"")</f>
        <v/>
      </c>
      <c r="P693" s="22"/>
    </row>
    <row r="694" spans="1:16" ht="11.25" customHeight="1" x14ac:dyDescent="0.2">
      <c r="B694" s="17"/>
      <c r="C694" s="71" t="str">
        <f>IFERROR(VLOOKUP(B694,fixed_expenses4[],2,0),"")</f>
        <v/>
      </c>
      <c r="D694" s="17"/>
      <c r="E694" s="71" t="str">
        <f>IFERROR(VLOOKUP(D694,fixed_expenses4[],2,0),"")</f>
        <v/>
      </c>
      <c r="F694" s="17"/>
      <c r="G694" s="71" t="str">
        <f>IFERROR(VLOOKUP(F694,fixed_expenses4[],2,0),"")</f>
        <v/>
      </c>
      <c r="H694" s="17"/>
      <c r="I694" s="71" t="str">
        <f>IFERROR(VLOOKUP(H694,fixed_expenses4[],2,0),"")</f>
        <v/>
      </c>
      <c r="J694" s="17"/>
      <c r="K694" s="71" t="str">
        <f>IFERROR(VLOOKUP(J694,fixed_expenses4[],2,0),"")</f>
        <v/>
      </c>
      <c r="L694" s="17"/>
      <c r="M694" s="71" t="str">
        <f>IFERROR(VLOOKUP(L694,fixed_expenses4[],2,0),"")</f>
        <v/>
      </c>
      <c r="N694" s="17"/>
      <c r="O694" s="71" t="str">
        <f>IFERROR(VLOOKUP(N694,fixed_expenses4[],2,0),"")</f>
        <v/>
      </c>
      <c r="P694" s="22"/>
    </row>
    <row r="695" spans="1:16" ht="11.25" customHeight="1" x14ac:dyDescent="0.2">
      <c r="B695" s="17"/>
      <c r="C695" s="71" t="str">
        <f>IFERROR(VLOOKUP(B695,fixed_expenses4[],2,0),"")</f>
        <v/>
      </c>
      <c r="D695" s="17"/>
      <c r="E695" s="71" t="str">
        <f>IFERROR(VLOOKUP(D695,fixed_expenses4[],2,0),"")</f>
        <v/>
      </c>
      <c r="F695" s="17"/>
      <c r="G695" s="71" t="str">
        <f>IFERROR(VLOOKUP(F695,fixed_expenses4[],2,0),"")</f>
        <v/>
      </c>
      <c r="H695" s="17"/>
      <c r="I695" s="71" t="str">
        <f>IFERROR(VLOOKUP(H695,fixed_expenses4[],2,0),"")</f>
        <v/>
      </c>
      <c r="J695" s="17"/>
      <c r="K695" s="71" t="str">
        <f>IFERROR(VLOOKUP(J695,fixed_expenses4[],2,0),"")</f>
        <v/>
      </c>
      <c r="L695" s="17"/>
      <c r="M695" s="71" t="str">
        <f>IFERROR(VLOOKUP(L695,fixed_expenses4[],2,0),"")</f>
        <v/>
      </c>
      <c r="N695" s="17"/>
      <c r="O695" s="71" t="str">
        <f>IFERROR(VLOOKUP(N695,fixed_expenses4[],2,0),"")</f>
        <v/>
      </c>
      <c r="P695" s="22"/>
    </row>
    <row r="696" spans="1:16" ht="11.25" customHeight="1" x14ac:dyDescent="0.2">
      <c r="A696" s="43" t="s">
        <v>285</v>
      </c>
      <c r="B696" s="26" t="s">
        <v>8</v>
      </c>
      <c r="C696" s="27">
        <f>SUM(C691:C695)</f>
        <v>0</v>
      </c>
      <c r="D696" s="26"/>
      <c r="E696" s="27">
        <f>SUM(E691:E695)</f>
        <v>0</v>
      </c>
      <c r="F696" s="18"/>
      <c r="G696" s="27">
        <f>SUM(G691:G695)</f>
        <v>0</v>
      </c>
      <c r="H696" s="18"/>
      <c r="I696" s="27">
        <f>SUM(I691:I695)</f>
        <v>0</v>
      </c>
      <c r="J696" s="18"/>
      <c r="K696" s="27">
        <f>SUM(K691:K695)</f>
        <v>0</v>
      </c>
      <c r="L696" s="18"/>
      <c r="M696" s="27">
        <f>SUM(M691:M695)</f>
        <v>0</v>
      </c>
      <c r="N696" s="18"/>
      <c r="O696" s="28">
        <f>SUM(O691:O695)</f>
        <v>0</v>
      </c>
      <c r="P696" s="29">
        <f ca="1">SUMIF(B689:N689,"&gt;="&amp;15,C696:O696)</f>
        <v>0</v>
      </c>
    </row>
  </sheetData>
  <mergeCells count="229">
    <mergeCell ref="L642:M642"/>
    <mergeCell ref="N642:O642"/>
    <mergeCell ref="B643:C643"/>
    <mergeCell ref="D643:E643"/>
    <mergeCell ref="F643:G643"/>
    <mergeCell ref="H643:I643"/>
    <mergeCell ref="J643:K643"/>
    <mergeCell ref="L643:M643"/>
    <mergeCell ref="N643:O643"/>
    <mergeCell ref="B640:E641"/>
    <mergeCell ref="L640:M640"/>
    <mergeCell ref="N640:O640"/>
    <mergeCell ref="L641:M641"/>
    <mergeCell ref="N641:O641"/>
    <mergeCell ref="B642:C642"/>
    <mergeCell ref="D642:E642"/>
    <mergeCell ref="F642:G642"/>
    <mergeCell ref="H642:I642"/>
    <mergeCell ref="J642:K642"/>
    <mergeCell ref="L584:M584"/>
    <mergeCell ref="N584:O584"/>
    <mergeCell ref="B585:C585"/>
    <mergeCell ref="D585:E585"/>
    <mergeCell ref="F585:G585"/>
    <mergeCell ref="H585:I585"/>
    <mergeCell ref="J585:K585"/>
    <mergeCell ref="L585:M585"/>
    <mergeCell ref="N585:O585"/>
    <mergeCell ref="B582:E583"/>
    <mergeCell ref="L582:M582"/>
    <mergeCell ref="N582:O582"/>
    <mergeCell ref="L583:M583"/>
    <mergeCell ref="N583:O583"/>
    <mergeCell ref="B584:C584"/>
    <mergeCell ref="D584:E584"/>
    <mergeCell ref="F584:G584"/>
    <mergeCell ref="H584:I584"/>
    <mergeCell ref="J584:K584"/>
    <mergeCell ref="L526:M526"/>
    <mergeCell ref="N526:O526"/>
    <mergeCell ref="B527:C527"/>
    <mergeCell ref="D527:E527"/>
    <mergeCell ref="F527:G527"/>
    <mergeCell ref="H527:I527"/>
    <mergeCell ref="J527:K527"/>
    <mergeCell ref="L527:M527"/>
    <mergeCell ref="N527:O527"/>
    <mergeCell ref="B524:E525"/>
    <mergeCell ref="L524:M524"/>
    <mergeCell ref="N524:O524"/>
    <mergeCell ref="L525:M525"/>
    <mergeCell ref="N525:O525"/>
    <mergeCell ref="B526:C526"/>
    <mergeCell ref="D526:E526"/>
    <mergeCell ref="F526:G526"/>
    <mergeCell ref="H526:I526"/>
    <mergeCell ref="J526:K526"/>
    <mergeCell ref="L468:M468"/>
    <mergeCell ref="N468:O468"/>
    <mergeCell ref="B469:C469"/>
    <mergeCell ref="D469:E469"/>
    <mergeCell ref="F469:G469"/>
    <mergeCell ref="H469:I469"/>
    <mergeCell ref="J469:K469"/>
    <mergeCell ref="L469:M469"/>
    <mergeCell ref="N469:O469"/>
    <mergeCell ref="B466:E467"/>
    <mergeCell ref="L466:M466"/>
    <mergeCell ref="N466:O466"/>
    <mergeCell ref="L467:M467"/>
    <mergeCell ref="N467:O467"/>
    <mergeCell ref="B468:C468"/>
    <mergeCell ref="D468:E468"/>
    <mergeCell ref="F468:G468"/>
    <mergeCell ref="H468:I468"/>
    <mergeCell ref="J468:K468"/>
    <mergeCell ref="L410:M410"/>
    <mergeCell ref="N410:O410"/>
    <mergeCell ref="B411:C411"/>
    <mergeCell ref="D411:E411"/>
    <mergeCell ref="F411:G411"/>
    <mergeCell ref="H411:I411"/>
    <mergeCell ref="J411:K411"/>
    <mergeCell ref="L411:M411"/>
    <mergeCell ref="N411:O411"/>
    <mergeCell ref="B408:E409"/>
    <mergeCell ref="L408:M408"/>
    <mergeCell ref="N408:O408"/>
    <mergeCell ref="L409:M409"/>
    <mergeCell ref="N409:O409"/>
    <mergeCell ref="B410:C410"/>
    <mergeCell ref="D410:E410"/>
    <mergeCell ref="F410:G410"/>
    <mergeCell ref="H410:I410"/>
    <mergeCell ref="J410:K410"/>
    <mergeCell ref="L352:M352"/>
    <mergeCell ref="N352:O352"/>
    <mergeCell ref="B353:C353"/>
    <mergeCell ref="D353:E353"/>
    <mergeCell ref="F353:G353"/>
    <mergeCell ref="H353:I353"/>
    <mergeCell ref="J353:K353"/>
    <mergeCell ref="L353:M353"/>
    <mergeCell ref="N353:O353"/>
    <mergeCell ref="B350:E351"/>
    <mergeCell ref="L350:M350"/>
    <mergeCell ref="N350:O350"/>
    <mergeCell ref="L351:M351"/>
    <mergeCell ref="N351:O351"/>
    <mergeCell ref="B352:C352"/>
    <mergeCell ref="D352:E352"/>
    <mergeCell ref="F352:G352"/>
    <mergeCell ref="H352:I352"/>
    <mergeCell ref="J352:K352"/>
    <mergeCell ref="L294:M294"/>
    <mergeCell ref="N294:O294"/>
    <mergeCell ref="B295:C295"/>
    <mergeCell ref="D295:E295"/>
    <mergeCell ref="F295:G295"/>
    <mergeCell ref="H295:I295"/>
    <mergeCell ref="J295:K295"/>
    <mergeCell ref="L295:M295"/>
    <mergeCell ref="N295:O295"/>
    <mergeCell ref="B292:E293"/>
    <mergeCell ref="L292:M292"/>
    <mergeCell ref="N292:O292"/>
    <mergeCell ref="L293:M293"/>
    <mergeCell ref="N293:O293"/>
    <mergeCell ref="B294:C294"/>
    <mergeCell ref="D294:E294"/>
    <mergeCell ref="F294:G294"/>
    <mergeCell ref="H294:I294"/>
    <mergeCell ref="J294:K294"/>
    <mergeCell ref="L236:M236"/>
    <mergeCell ref="N236:O236"/>
    <mergeCell ref="B237:C237"/>
    <mergeCell ref="D237:E237"/>
    <mergeCell ref="F237:G237"/>
    <mergeCell ref="H237:I237"/>
    <mergeCell ref="J237:K237"/>
    <mergeCell ref="L237:M237"/>
    <mergeCell ref="N237:O237"/>
    <mergeCell ref="B234:E235"/>
    <mergeCell ref="L234:M234"/>
    <mergeCell ref="N234:O234"/>
    <mergeCell ref="L235:M235"/>
    <mergeCell ref="N235:O235"/>
    <mergeCell ref="B236:C236"/>
    <mergeCell ref="D236:E236"/>
    <mergeCell ref="F236:G236"/>
    <mergeCell ref="H236:I236"/>
    <mergeCell ref="J236:K236"/>
    <mergeCell ref="L178:M178"/>
    <mergeCell ref="N178:O178"/>
    <mergeCell ref="B179:C179"/>
    <mergeCell ref="D179:E179"/>
    <mergeCell ref="F179:G179"/>
    <mergeCell ref="H179:I179"/>
    <mergeCell ref="J179:K179"/>
    <mergeCell ref="L179:M179"/>
    <mergeCell ref="N179:O179"/>
    <mergeCell ref="B176:E177"/>
    <mergeCell ref="L176:M176"/>
    <mergeCell ref="N176:O176"/>
    <mergeCell ref="L177:M177"/>
    <mergeCell ref="N177:O177"/>
    <mergeCell ref="B178:C178"/>
    <mergeCell ref="D178:E178"/>
    <mergeCell ref="F178:G178"/>
    <mergeCell ref="H178:I178"/>
    <mergeCell ref="J178:K178"/>
    <mergeCell ref="L120:M120"/>
    <mergeCell ref="N120:O120"/>
    <mergeCell ref="B121:C121"/>
    <mergeCell ref="D121:E121"/>
    <mergeCell ref="F121:G121"/>
    <mergeCell ref="H121:I121"/>
    <mergeCell ref="J121:K121"/>
    <mergeCell ref="L121:M121"/>
    <mergeCell ref="N121:O121"/>
    <mergeCell ref="B118:E119"/>
    <mergeCell ref="L118:M118"/>
    <mergeCell ref="N118:O118"/>
    <mergeCell ref="L119:M119"/>
    <mergeCell ref="N119:O119"/>
    <mergeCell ref="B120:C120"/>
    <mergeCell ref="D120:E120"/>
    <mergeCell ref="F120:G120"/>
    <mergeCell ref="H120:I120"/>
    <mergeCell ref="J120:K120"/>
    <mergeCell ref="L62:M62"/>
    <mergeCell ref="N62:O62"/>
    <mergeCell ref="B63:C63"/>
    <mergeCell ref="D63:E63"/>
    <mergeCell ref="F63:G63"/>
    <mergeCell ref="H63:I63"/>
    <mergeCell ref="J63:K63"/>
    <mergeCell ref="L63:M63"/>
    <mergeCell ref="N63:O63"/>
    <mergeCell ref="B60:E61"/>
    <mergeCell ref="L60:M60"/>
    <mergeCell ref="N60:O60"/>
    <mergeCell ref="L61:M61"/>
    <mergeCell ref="N61:O61"/>
    <mergeCell ref="B62:C62"/>
    <mergeCell ref="D62:E62"/>
    <mergeCell ref="F62:G62"/>
    <mergeCell ref="H62:I62"/>
    <mergeCell ref="J62:K62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2:E3"/>
    <mergeCell ref="G2:H3"/>
    <mergeCell ref="L2:M2"/>
    <mergeCell ref="N2:O2"/>
    <mergeCell ref="L3:M3"/>
    <mergeCell ref="N3:O3"/>
  </mergeCells>
  <conditionalFormatting sqref="B13 D13 F13 H13 J13 L13 N13">
    <cfRule type="expression" dxfId="215" priority="214">
      <formula>B6&gt;15</formula>
    </cfRule>
  </conditionalFormatting>
  <conditionalFormatting sqref="B6:O6">
    <cfRule type="expression" dxfId="214" priority="211">
      <formula>B6&gt;15</formula>
    </cfRule>
  </conditionalFormatting>
  <conditionalFormatting sqref="C13 E13 G13 I13 K13 M13 O13">
    <cfRule type="expression" dxfId="213" priority="215">
      <formula>B6&gt;15</formula>
    </cfRule>
  </conditionalFormatting>
  <conditionalFormatting sqref="P13">
    <cfRule type="expression" dxfId="212" priority="216">
      <formula>N6&gt;15</formula>
    </cfRule>
  </conditionalFormatting>
  <conditionalFormatting sqref="B7 D7 F7 H7 J7 L7 N7">
    <cfRule type="expression" dxfId="211" priority="212">
      <formula>B6&gt;15</formula>
    </cfRule>
  </conditionalFormatting>
  <conditionalFormatting sqref="C7 E7 G7 I7 K7 M7 O7">
    <cfRule type="expression" dxfId="210" priority="213">
      <formula>B6&gt;15</formula>
    </cfRule>
  </conditionalFormatting>
  <conditionalFormatting sqref="B49 D49 F49 H49 J49 L49 N49">
    <cfRule type="expression" dxfId="209" priority="208">
      <formula>B42&lt;15</formula>
    </cfRule>
  </conditionalFormatting>
  <conditionalFormatting sqref="B42:O42">
    <cfRule type="expression" dxfId="208" priority="205">
      <formula>B42&lt;15</formula>
    </cfRule>
  </conditionalFormatting>
  <conditionalFormatting sqref="C49 E49 G49 I49 K49 M49 O49">
    <cfRule type="expression" dxfId="207" priority="209">
      <formula>B42&lt;15</formula>
    </cfRule>
  </conditionalFormatting>
  <conditionalFormatting sqref="P49">
    <cfRule type="expression" dxfId="206" priority="210">
      <formula>N42&lt;15</formula>
    </cfRule>
  </conditionalFormatting>
  <conditionalFormatting sqref="B43 D43 F43 H43 J43 L43 N43">
    <cfRule type="expression" dxfId="205" priority="206">
      <formula>B42&lt;15</formula>
    </cfRule>
  </conditionalFormatting>
  <conditionalFormatting sqref="C43 E43 G43 I43 K43 M43 O43">
    <cfRule type="expression" dxfId="204" priority="207">
      <formula>B42&lt;15</formula>
    </cfRule>
  </conditionalFormatting>
  <conditionalFormatting sqref="B58 D58 F58 H58 J58 L58 N58">
    <cfRule type="expression" dxfId="203" priority="202">
      <formula>B51&lt;15</formula>
    </cfRule>
  </conditionalFormatting>
  <conditionalFormatting sqref="B51:O51">
    <cfRule type="expression" dxfId="202" priority="199">
      <formula>B51&lt;15</formula>
    </cfRule>
  </conditionalFormatting>
  <conditionalFormatting sqref="C58 E58 G58 I58 K58 M58 O58">
    <cfRule type="expression" dxfId="201" priority="203">
      <formula>B51&lt;15</formula>
    </cfRule>
  </conditionalFormatting>
  <conditionalFormatting sqref="P58">
    <cfRule type="expression" dxfId="200" priority="204">
      <formula>N51&lt;15</formula>
    </cfRule>
  </conditionalFormatting>
  <conditionalFormatting sqref="B52 D52 F52 H52 J52 L52 N52">
    <cfRule type="expression" dxfId="199" priority="200">
      <formula>B51&lt;15</formula>
    </cfRule>
  </conditionalFormatting>
  <conditionalFormatting sqref="C52 E52 G52 I52 K52 M52 O52">
    <cfRule type="expression" dxfId="198" priority="201">
      <formula>B51&lt;15</formula>
    </cfRule>
  </conditionalFormatting>
  <conditionalFormatting sqref="B71 D71 F71 H71 J71 L71 N71">
    <cfRule type="expression" dxfId="197" priority="196">
      <formula>B64&gt;15</formula>
    </cfRule>
  </conditionalFormatting>
  <conditionalFormatting sqref="B64:O64">
    <cfRule type="expression" dxfId="196" priority="193">
      <formula>B64&gt;15</formula>
    </cfRule>
  </conditionalFormatting>
  <conditionalFormatting sqref="C71 E71 G71 I71 K71 M71 O71">
    <cfRule type="expression" dxfId="195" priority="197">
      <formula>B64&gt;15</formula>
    </cfRule>
  </conditionalFormatting>
  <conditionalFormatting sqref="P71">
    <cfRule type="expression" dxfId="194" priority="198">
      <formula>N64&gt;15</formula>
    </cfRule>
  </conditionalFormatting>
  <conditionalFormatting sqref="B65 D65 F65 H65 J65 L65 N65">
    <cfRule type="expression" dxfId="193" priority="194">
      <formula>B64&gt;15</formula>
    </cfRule>
  </conditionalFormatting>
  <conditionalFormatting sqref="C65 E65 G65 I65 K65 M65 O65">
    <cfRule type="expression" dxfId="192" priority="195">
      <formula>B64&gt;15</formula>
    </cfRule>
  </conditionalFormatting>
  <conditionalFormatting sqref="B107 D107 F107 H107 J107 L107 N107">
    <cfRule type="expression" dxfId="191" priority="190">
      <formula>B100&lt;15</formula>
    </cfRule>
  </conditionalFormatting>
  <conditionalFormatting sqref="B100:O100">
    <cfRule type="expression" dxfId="190" priority="187">
      <formula>B100&lt;15</formula>
    </cfRule>
  </conditionalFormatting>
  <conditionalFormatting sqref="C107 E107 G107 I107 K107 M107 O107">
    <cfRule type="expression" dxfId="189" priority="191">
      <formula>B100&lt;15</formula>
    </cfRule>
  </conditionalFormatting>
  <conditionalFormatting sqref="P107">
    <cfRule type="expression" dxfId="188" priority="192">
      <formula>N100&lt;15</formula>
    </cfRule>
  </conditionalFormatting>
  <conditionalFormatting sqref="B101 D101 F101 H101 J101 L101 N101">
    <cfRule type="expression" dxfId="187" priority="188">
      <formula>B100&lt;15</formula>
    </cfRule>
  </conditionalFormatting>
  <conditionalFormatting sqref="C101 E101 G101 I101 K101 M101 O101">
    <cfRule type="expression" dxfId="186" priority="189">
      <formula>B100&lt;15</formula>
    </cfRule>
  </conditionalFormatting>
  <conditionalFormatting sqref="B116 D116 F116 H116 J116 L116 N116">
    <cfRule type="expression" dxfId="185" priority="184">
      <formula>B109&lt;15</formula>
    </cfRule>
  </conditionalFormatting>
  <conditionalFormatting sqref="B109:O109">
    <cfRule type="expression" dxfId="184" priority="181">
      <formula>B109&lt;15</formula>
    </cfRule>
  </conditionalFormatting>
  <conditionalFormatting sqref="C116 E116 G116 I116 K116 M116 O116">
    <cfRule type="expression" dxfId="183" priority="185">
      <formula>B109&lt;15</formula>
    </cfRule>
  </conditionalFormatting>
  <conditionalFormatting sqref="P116">
    <cfRule type="expression" dxfId="182" priority="186">
      <formula>N109&lt;15</formula>
    </cfRule>
  </conditionalFormatting>
  <conditionalFormatting sqref="B110 D110 F110 H110 J110 L110 N110">
    <cfRule type="expression" dxfId="181" priority="182">
      <formula>B109&lt;15</formula>
    </cfRule>
  </conditionalFormatting>
  <conditionalFormatting sqref="C110 E110 G110 I110 K110 M110 O110">
    <cfRule type="expression" dxfId="180" priority="183">
      <formula>B109&lt;15</formula>
    </cfRule>
  </conditionalFormatting>
  <conditionalFormatting sqref="B129 D129 F129 H129 J129 L129 N129">
    <cfRule type="expression" dxfId="179" priority="178">
      <formula>B122&gt;15</formula>
    </cfRule>
  </conditionalFormatting>
  <conditionalFormatting sqref="B122:O122">
    <cfRule type="expression" dxfId="178" priority="175">
      <formula>B122&gt;15</formula>
    </cfRule>
  </conditionalFormatting>
  <conditionalFormatting sqref="C129 E129 G129 I129 K129 M129 O129">
    <cfRule type="expression" dxfId="177" priority="179">
      <formula>B122&gt;15</formula>
    </cfRule>
  </conditionalFormatting>
  <conditionalFormatting sqref="P129">
    <cfRule type="expression" dxfId="176" priority="180">
      <formula>N122&gt;15</formula>
    </cfRule>
  </conditionalFormatting>
  <conditionalFormatting sqref="B123 D123 F123 H123 J123 L123 N123">
    <cfRule type="expression" dxfId="175" priority="176">
      <formula>B122&gt;15</formula>
    </cfRule>
  </conditionalFormatting>
  <conditionalFormatting sqref="C123 E123 G123 I123 K123 M123 O123">
    <cfRule type="expression" dxfId="174" priority="177">
      <formula>B122&gt;15</formula>
    </cfRule>
  </conditionalFormatting>
  <conditionalFormatting sqref="B165 D165 F165 H165 J165 L165 N165">
    <cfRule type="expression" dxfId="173" priority="172">
      <formula>B158&lt;15</formula>
    </cfRule>
  </conditionalFormatting>
  <conditionalFormatting sqref="B158:O158">
    <cfRule type="expression" dxfId="172" priority="169">
      <formula>B158&lt;15</formula>
    </cfRule>
  </conditionalFormatting>
  <conditionalFormatting sqref="C165 E165 G165 I165 K165 M165 O165">
    <cfRule type="expression" dxfId="171" priority="173">
      <formula>B158&lt;15</formula>
    </cfRule>
  </conditionalFormatting>
  <conditionalFormatting sqref="P165">
    <cfRule type="expression" dxfId="170" priority="174">
      <formula>N158&lt;15</formula>
    </cfRule>
  </conditionalFormatting>
  <conditionalFormatting sqref="B159 D159 F159 H159 J159 L159 N159">
    <cfRule type="expression" dxfId="169" priority="170">
      <formula>B158&lt;15</formula>
    </cfRule>
  </conditionalFormatting>
  <conditionalFormatting sqref="C159 E159 G159 I159 K159 M159 O159">
    <cfRule type="expression" dxfId="168" priority="171">
      <formula>B158&lt;15</formula>
    </cfRule>
  </conditionalFormatting>
  <conditionalFormatting sqref="B174 D174 F174 H174 J174 L174 N174">
    <cfRule type="expression" dxfId="167" priority="166">
      <formula>B167&lt;15</formula>
    </cfRule>
  </conditionalFormatting>
  <conditionalFormatting sqref="B167:O167">
    <cfRule type="expression" dxfId="166" priority="163">
      <formula>B167&lt;15</formula>
    </cfRule>
  </conditionalFormatting>
  <conditionalFormatting sqref="C174 E174 G174 I174 K174 M174 O174">
    <cfRule type="expression" dxfId="165" priority="167">
      <formula>B167&lt;15</formula>
    </cfRule>
  </conditionalFormatting>
  <conditionalFormatting sqref="P174">
    <cfRule type="expression" dxfId="164" priority="168">
      <formula>N167&lt;15</formula>
    </cfRule>
  </conditionalFormatting>
  <conditionalFormatting sqref="B168 D168 F168 H168 J168 L168 N168">
    <cfRule type="expression" dxfId="163" priority="164">
      <formula>B167&lt;15</formula>
    </cfRule>
  </conditionalFormatting>
  <conditionalFormatting sqref="C168 E168 G168 I168 K168 M168 O168">
    <cfRule type="expression" dxfId="162" priority="165">
      <formula>B167&lt;15</formula>
    </cfRule>
  </conditionalFormatting>
  <conditionalFormatting sqref="B187 D187 F187 H187 J187 L187 N187">
    <cfRule type="expression" dxfId="161" priority="160">
      <formula>B180&gt;15</formula>
    </cfRule>
  </conditionalFormatting>
  <conditionalFormatting sqref="B180:O180">
    <cfRule type="expression" dxfId="160" priority="157">
      <formula>B180&gt;15</formula>
    </cfRule>
  </conditionalFormatting>
  <conditionalFormatting sqref="C187 E187 G187 I187 K187 M187 O187">
    <cfRule type="expression" dxfId="159" priority="161">
      <formula>B180&gt;15</formula>
    </cfRule>
  </conditionalFormatting>
  <conditionalFormatting sqref="P187">
    <cfRule type="expression" dxfId="158" priority="162">
      <formula>N180&gt;15</formula>
    </cfRule>
  </conditionalFormatting>
  <conditionalFormatting sqref="B181 D181 F181 H181 J181 L181 N181">
    <cfRule type="expression" dxfId="157" priority="158">
      <formula>B180&gt;15</formula>
    </cfRule>
  </conditionalFormatting>
  <conditionalFormatting sqref="C181 E181 G181 I181 K181 M181 O181">
    <cfRule type="expression" dxfId="156" priority="159">
      <formula>B180&gt;15</formula>
    </cfRule>
  </conditionalFormatting>
  <conditionalFormatting sqref="B223 D223 F223 H223 J223 L223 N223">
    <cfRule type="expression" dxfId="155" priority="154">
      <formula>B216&lt;15</formula>
    </cfRule>
  </conditionalFormatting>
  <conditionalFormatting sqref="B216:O216">
    <cfRule type="expression" dxfId="154" priority="151">
      <formula>B216&lt;15</formula>
    </cfRule>
  </conditionalFormatting>
  <conditionalFormatting sqref="C223 E223 G223 I223 K223 M223 O223">
    <cfRule type="expression" dxfId="153" priority="155">
      <formula>B216&lt;15</formula>
    </cfRule>
  </conditionalFormatting>
  <conditionalFormatting sqref="P223">
    <cfRule type="expression" dxfId="152" priority="156">
      <formula>N216&lt;15</formula>
    </cfRule>
  </conditionalFormatting>
  <conditionalFormatting sqref="B217 D217 F217 H217 J217 L217 N217">
    <cfRule type="expression" dxfId="151" priority="152">
      <formula>B216&lt;15</formula>
    </cfRule>
  </conditionalFormatting>
  <conditionalFormatting sqref="C217 E217 G217 I217 K217 M217 O217">
    <cfRule type="expression" dxfId="150" priority="153">
      <formula>B216&lt;15</formula>
    </cfRule>
  </conditionalFormatting>
  <conditionalFormatting sqref="B232 D232 F232 H232 J232 L232 N232">
    <cfRule type="expression" dxfId="149" priority="148">
      <formula>B225&lt;15</formula>
    </cfRule>
  </conditionalFormatting>
  <conditionalFormatting sqref="B225:O225">
    <cfRule type="expression" dxfId="148" priority="145">
      <formula>B225&lt;15</formula>
    </cfRule>
  </conditionalFormatting>
  <conditionalFormatting sqref="C232 E232 G232 I232 K232 M232 O232">
    <cfRule type="expression" dxfId="147" priority="149">
      <formula>B225&lt;15</formula>
    </cfRule>
  </conditionalFormatting>
  <conditionalFormatting sqref="P232">
    <cfRule type="expression" dxfId="146" priority="150">
      <formula>N225&lt;15</formula>
    </cfRule>
  </conditionalFormatting>
  <conditionalFormatting sqref="B226 D226 F226 H226 J226 L226 N226">
    <cfRule type="expression" dxfId="145" priority="146">
      <formula>B225&lt;15</formula>
    </cfRule>
  </conditionalFormatting>
  <conditionalFormatting sqref="C226 E226 G226 I226 K226 M226 O226">
    <cfRule type="expression" dxfId="144" priority="147">
      <formula>B225&lt;15</formula>
    </cfRule>
  </conditionalFormatting>
  <conditionalFormatting sqref="B245 D245 F245 H245 J245 L245 N245">
    <cfRule type="expression" dxfId="143" priority="142">
      <formula>B238&gt;15</formula>
    </cfRule>
  </conditionalFormatting>
  <conditionalFormatting sqref="B238:O238">
    <cfRule type="expression" dxfId="142" priority="139">
      <formula>B238&gt;15</formula>
    </cfRule>
  </conditionalFormatting>
  <conditionalFormatting sqref="C245 E245 G245 I245 K245 M245 O245">
    <cfRule type="expression" dxfId="141" priority="143">
      <formula>B238&gt;15</formula>
    </cfRule>
  </conditionalFormatting>
  <conditionalFormatting sqref="P245">
    <cfRule type="expression" dxfId="140" priority="144">
      <formula>N238&gt;15</formula>
    </cfRule>
  </conditionalFormatting>
  <conditionalFormatting sqref="B239 D239 F239 H239 J239 L239 N239">
    <cfRule type="expression" dxfId="139" priority="140">
      <formula>B238&gt;15</formula>
    </cfRule>
  </conditionalFormatting>
  <conditionalFormatting sqref="C239 E239 G239 I239 K239 M239 O239">
    <cfRule type="expression" dxfId="138" priority="141">
      <formula>B238&gt;15</formula>
    </cfRule>
  </conditionalFormatting>
  <conditionalFormatting sqref="B281 D281 F281 H281 J281 L281 N281">
    <cfRule type="expression" dxfId="137" priority="136">
      <formula>B274&lt;15</formula>
    </cfRule>
  </conditionalFormatting>
  <conditionalFormatting sqref="B274:O274">
    <cfRule type="expression" dxfId="136" priority="133">
      <formula>B274&lt;15</formula>
    </cfRule>
  </conditionalFormatting>
  <conditionalFormatting sqref="C281 E281 G281 I281 K281 M281 O281">
    <cfRule type="expression" dxfId="135" priority="137">
      <formula>B274&lt;15</formula>
    </cfRule>
  </conditionalFormatting>
  <conditionalFormatting sqref="P281">
    <cfRule type="expression" dxfId="134" priority="138">
      <formula>N274&lt;15</formula>
    </cfRule>
  </conditionalFormatting>
  <conditionalFormatting sqref="B275 D275 F275 H275 J275 L275 N275">
    <cfRule type="expression" dxfId="133" priority="134">
      <formula>B274&lt;15</formula>
    </cfRule>
  </conditionalFormatting>
  <conditionalFormatting sqref="C275 E275 G275 I275 K275 M275 O275">
    <cfRule type="expression" dxfId="132" priority="135">
      <formula>B274&lt;15</formula>
    </cfRule>
  </conditionalFormatting>
  <conditionalFormatting sqref="B290 D290 F290 H290 J290 L290 N290">
    <cfRule type="expression" dxfId="131" priority="130">
      <formula>B283&lt;15</formula>
    </cfRule>
  </conditionalFormatting>
  <conditionalFormatting sqref="B283:O283">
    <cfRule type="expression" dxfId="130" priority="127">
      <formula>B283&lt;15</formula>
    </cfRule>
  </conditionalFormatting>
  <conditionalFormatting sqref="C290 E290 G290 I290 K290 M290 O290">
    <cfRule type="expression" dxfId="129" priority="131">
      <formula>B283&lt;15</formula>
    </cfRule>
  </conditionalFormatting>
  <conditionalFormatting sqref="P290">
    <cfRule type="expression" dxfId="128" priority="132">
      <formula>N283&lt;15</formula>
    </cfRule>
  </conditionalFormatting>
  <conditionalFormatting sqref="B284 D284 F284 H284 J284 L284 N284">
    <cfRule type="expression" dxfId="127" priority="128">
      <formula>B283&lt;15</formula>
    </cfRule>
  </conditionalFormatting>
  <conditionalFormatting sqref="C284 E284 G284 I284 K284 M284 O284">
    <cfRule type="expression" dxfId="126" priority="129">
      <formula>B283&lt;15</formula>
    </cfRule>
  </conditionalFormatting>
  <conditionalFormatting sqref="B303 D303 F303 H303 J303 L303 N303">
    <cfRule type="expression" dxfId="125" priority="124">
      <formula>B296&gt;15</formula>
    </cfRule>
  </conditionalFormatting>
  <conditionalFormatting sqref="B296:O296">
    <cfRule type="expression" dxfId="124" priority="121">
      <formula>B296&gt;15</formula>
    </cfRule>
  </conditionalFormatting>
  <conditionalFormatting sqref="C303 E303 G303 I303 K303 M303 O303">
    <cfRule type="expression" dxfId="123" priority="125">
      <formula>B296&gt;15</formula>
    </cfRule>
  </conditionalFormatting>
  <conditionalFormatting sqref="P303">
    <cfRule type="expression" dxfId="122" priority="126">
      <formula>N296&gt;15</formula>
    </cfRule>
  </conditionalFormatting>
  <conditionalFormatting sqref="B297 D297 F297 H297 J297 L297 N297">
    <cfRule type="expression" dxfId="121" priority="122">
      <formula>B296&gt;15</formula>
    </cfRule>
  </conditionalFormatting>
  <conditionalFormatting sqref="C297 E297 G297 I297 K297 M297 O297">
    <cfRule type="expression" dxfId="120" priority="123">
      <formula>B296&gt;15</formula>
    </cfRule>
  </conditionalFormatting>
  <conditionalFormatting sqref="B339 D339 F339 H339 J339 L339 N339">
    <cfRule type="expression" dxfId="119" priority="118">
      <formula>B332&lt;15</formula>
    </cfRule>
  </conditionalFormatting>
  <conditionalFormatting sqref="B332:O332">
    <cfRule type="expression" dxfId="118" priority="115">
      <formula>B332&lt;15</formula>
    </cfRule>
  </conditionalFormatting>
  <conditionalFormatting sqref="C339 E339 G339 I339 K339 M339 O339">
    <cfRule type="expression" dxfId="117" priority="119">
      <formula>B332&lt;15</formula>
    </cfRule>
  </conditionalFormatting>
  <conditionalFormatting sqref="P339">
    <cfRule type="expression" dxfId="116" priority="120">
      <formula>N332&lt;15</formula>
    </cfRule>
  </conditionalFormatting>
  <conditionalFormatting sqref="B333 D333 F333 H333 J333 L333 N333">
    <cfRule type="expression" dxfId="115" priority="116">
      <formula>B332&lt;15</formula>
    </cfRule>
  </conditionalFormatting>
  <conditionalFormatting sqref="C333 E333 G333 I333 K333 M333 O333">
    <cfRule type="expression" dxfId="114" priority="117">
      <formula>B332&lt;15</formula>
    </cfRule>
  </conditionalFormatting>
  <conditionalFormatting sqref="B348 D348 F348 H348 J348 L348 N348">
    <cfRule type="expression" dxfId="113" priority="112">
      <formula>B341&lt;15</formula>
    </cfRule>
  </conditionalFormatting>
  <conditionalFormatting sqref="B341:O341">
    <cfRule type="expression" dxfId="112" priority="109">
      <formula>B341&lt;15</formula>
    </cfRule>
  </conditionalFormatting>
  <conditionalFormatting sqref="C348 E348 G348 I348 K348 M348 O348">
    <cfRule type="expression" dxfId="111" priority="113">
      <formula>B341&lt;15</formula>
    </cfRule>
  </conditionalFormatting>
  <conditionalFormatting sqref="P348">
    <cfRule type="expression" dxfId="110" priority="114">
      <formula>N341&lt;15</formula>
    </cfRule>
  </conditionalFormatting>
  <conditionalFormatting sqref="B342 D342 F342 H342 J342 L342 N342">
    <cfRule type="expression" dxfId="109" priority="110">
      <formula>B341&lt;15</formula>
    </cfRule>
  </conditionalFormatting>
  <conditionalFormatting sqref="C342 E342 G342 I342 K342 M342 O342">
    <cfRule type="expression" dxfId="108" priority="111">
      <formula>B341&lt;15</formula>
    </cfRule>
  </conditionalFormatting>
  <conditionalFormatting sqref="B361 D361 F361 H361 J361 L361 N361">
    <cfRule type="expression" dxfId="107" priority="106">
      <formula>B354&gt;15</formula>
    </cfRule>
  </conditionalFormatting>
  <conditionalFormatting sqref="B354:O354">
    <cfRule type="expression" dxfId="106" priority="103">
      <formula>B354&gt;15</formula>
    </cfRule>
  </conditionalFormatting>
  <conditionalFormatting sqref="C361 E361 G361 I361 K361 M361 O361">
    <cfRule type="expression" dxfId="105" priority="107">
      <formula>B354&gt;15</formula>
    </cfRule>
  </conditionalFormatting>
  <conditionalFormatting sqref="P361">
    <cfRule type="expression" dxfId="104" priority="108">
      <formula>N354&gt;15</formula>
    </cfRule>
  </conditionalFormatting>
  <conditionalFormatting sqref="B355 D355 F355 H355 J355 L355 N355">
    <cfRule type="expression" dxfId="103" priority="104">
      <formula>B354&gt;15</formula>
    </cfRule>
  </conditionalFormatting>
  <conditionalFormatting sqref="C355 E355 G355 I355 K355 M355 O355">
    <cfRule type="expression" dxfId="102" priority="105">
      <formula>B354&gt;15</formula>
    </cfRule>
  </conditionalFormatting>
  <conditionalFormatting sqref="B397 D397 F397 H397 J397 L397 N397">
    <cfRule type="expression" dxfId="101" priority="100">
      <formula>B390&lt;15</formula>
    </cfRule>
  </conditionalFormatting>
  <conditionalFormatting sqref="B390:O390">
    <cfRule type="expression" dxfId="100" priority="97">
      <formula>B390&lt;15</formula>
    </cfRule>
  </conditionalFormatting>
  <conditionalFormatting sqref="C397 E397 G397 I397 K397 M397 O397">
    <cfRule type="expression" dxfId="99" priority="101">
      <formula>B390&lt;15</formula>
    </cfRule>
  </conditionalFormatting>
  <conditionalFormatting sqref="P397">
    <cfRule type="expression" dxfId="98" priority="102">
      <formula>N390&lt;15</formula>
    </cfRule>
  </conditionalFormatting>
  <conditionalFormatting sqref="B391 D391 F391 H391 J391 L391 N391">
    <cfRule type="expression" dxfId="97" priority="98">
      <formula>B390&lt;15</formula>
    </cfRule>
  </conditionalFormatting>
  <conditionalFormatting sqref="C391 E391 G391 I391 K391 M391 O391">
    <cfRule type="expression" dxfId="96" priority="99">
      <formula>B390&lt;15</formula>
    </cfRule>
  </conditionalFormatting>
  <conditionalFormatting sqref="B406 D406 F406 H406 J406 L406 N406">
    <cfRule type="expression" dxfId="95" priority="94">
      <formula>B399&lt;15</formula>
    </cfRule>
  </conditionalFormatting>
  <conditionalFormatting sqref="B399:O399">
    <cfRule type="expression" dxfId="94" priority="91">
      <formula>B399&lt;15</formula>
    </cfRule>
  </conditionalFormatting>
  <conditionalFormatting sqref="C406 E406 G406 I406 K406 M406 O406">
    <cfRule type="expression" dxfId="93" priority="95">
      <formula>B399&lt;15</formula>
    </cfRule>
  </conditionalFormatting>
  <conditionalFormatting sqref="P406">
    <cfRule type="expression" dxfId="92" priority="96">
      <formula>N399&lt;15</formula>
    </cfRule>
  </conditionalFormatting>
  <conditionalFormatting sqref="B400 D400 F400 H400 J400 L400 N400">
    <cfRule type="expression" dxfId="91" priority="92">
      <formula>B399&lt;15</formula>
    </cfRule>
  </conditionalFormatting>
  <conditionalFormatting sqref="C400 E400 G400 I400 K400 M400 O400">
    <cfRule type="expression" dxfId="90" priority="93">
      <formula>B399&lt;15</formula>
    </cfRule>
  </conditionalFormatting>
  <conditionalFormatting sqref="B419 D419 F419 H419 J419 L419 N419">
    <cfRule type="expression" dxfId="89" priority="88">
      <formula>B412&gt;15</formula>
    </cfRule>
  </conditionalFormatting>
  <conditionalFormatting sqref="B412:O412">
    <cfRule type="expression" dxfId="88" priority="85">
      <formula>B412&gt;15</formula>
    </cfRule>
  </conditionalFormatting>
  <conditionalFormatting sqref="C419 E419 G419 I419 K419 M419 O419">
    <cfRule type="expression" dxfId="87" priority="89">
      <formula>B412&gt;15</formula>
    </cfRule>
  </conditionalFormatting>
  <conditionalFormatting sqref="P419">
    <cfRule type="expression" dxfId="86" priority="90">
      <formula>N412&gt;15</formula>
    </cfRule>
  </conditionalFormatting>
  <conditionalFormatting sqref="B413 D413 F413 H413 J413 L413 N413">
    <cfRule type="expression" dxfId="85" priority="86">
      <formula>B412&gt;15</formula>
    </cfRule>
  </conditionalFormatting>
  <conditionalFormatting sqref="C413 E413 G413 I413 K413 M413 O413">
    <cfRule type="expression" dxfId="84" priority="87">
      <formula>B412&gt;15</formula>
    </cfRule>
  </conditionalFormatting>
  <conditionalFormatting sqref="B455 D455 F455 H455 J455 L455 N455">
    <cfRule type="expression" dxfId="83" priority="82">
      <formula>B448&lt;15</formula>
    </cfRule>
  </conditionalFormatting>
  <conditionalFormatting sqref="B448:O448">
    <cfRule type="expression" dxfId="82" priority="79">
      <formula>B448&lt;15</formula>
    </cfRule>
  </conditionalFormatting>
  <conditionalFormatting sqref="C455 E455 G455 I455 K455 M455 O455">
    <cfRule type="expression" dxfId="81" priority="83">
      <formula>B448&lt;15</formula>
    </cfRule>
  </conditionalFormatting>
  <conditionalFormatting sqref="P455">
    <cfRule type="expression" dxfId="80" priority="84">
      <formula>N448&lt;15</formula>
    </cfRule>
  </conditionalFormatting>
  <conditionalFormatting sqref="B449 D449 F449 H449 J449 L449 N449">
    <cfRule type="expression" dxfId="79" priority="80">
      <formula>B448&lt;15</formula>
    </cfRule>
  </conditionalFormatting>
  <conditionalFormatting sqref="C449 E449 G449 I449 K449 M449 O449">
    <cfRule type="expression" dxfId="78" priority="81">
      <formula>B448&lt;15</formula>
    </cfRule>
  </conditionalFormatting>
  <conditionalFormatting sqref="B464 D464 F464 H464 J464 L464 N464">
    <cfRule type="expression" dxfId="77" priority="76">
      <formula>B457&lt;15</formula>
    </cfRule>
  </conditionalFormatting>
  <conditionalFormatting sqref="B457:O457">
    <cfRule type="expression" dxfId="76" priority="73">
      <formula>B457&lt;15</formula>
    </cfRule>
  </conditionalFormatting>
  <conditionalFormatting sqref="C464 E464 G464 I464 K464 M464 O464">
    <cfRule type="expression" dxfId="75" priority="77">
      <formula>B457&lt;15</formula>
    </cfRule>
  </conditionalFormatting>
  <conditionalFormatting sqref="P464">
    <cfRule type="expression" dxfId="74" priority="78">
      <formula>N457&lt;15</formula>
    </cfRule>
  </conditionalFormatting>
  <conditionalFormatting sqref="B458 D458 F458 H458 J458 L458 N458">
    <cfRule type="expression" dxfId="73" priority="74">
      <formula>B457&lt;15</formula>
    </cfRule>
  </conditionalFormatting>
  <conditionalFormatting sqref="C458 E458 G458 I458 K458 M458 O458">
    <cfRule type="expression" dxfId="72" priority="75">
      <formula>B457&lt;15</formula>
    </cfRule>
  </conditionalFormatting>
  <conditionalFormatting sqref="B477 D477 F477 H477 J477 L477 N477">
    <cfRule type="expression" dxfId="71" priority="70">
      <formula>B470&gt;15</formula>
    </cfRule>
  </conditionalFormatting>
  <conditionalFormatting sqref="B470:O470">
    <cfRule type="expression" dxfId="70" priority="67">
      <formula>B470&gt;15</formula>
    </cfRule>
  </conditionalFormatting>
  <conditionalFormatting sqref="C477 E477 G477 I477 K477 M477 O477">
    <cfRule type="expression" dxfId="69" priority="71">
      <formula>B470&gt;15</formula>
    </cfRule>
  </conditionalFormatting>
  <conditionalFormatting sqref="P477">
    <cfRule type="expression" dxfId="68" priority="72">
      <formula>N470&gt;15</formula>
    </cfRule>
  </conditionalFormatting>
  <conditionalFormatting sqref="B471 D471 F471 H471 J471 L471 N471">
    <cfRule type="expression" dxfId="67" priority="68">
      <formula>B470&gt;15</formula>
    </cfRule>
  </conditionalFormatting>
  <conditionalFormatting sqref="C471 E471 G471 I471 K471 M471 O471">
    <cfRule type="expression" dxfId="66" priority="69">
      <formula>B470&gt;15</formula>
    </cfRule>
  </conditionalFormatting>
  <conditionalFormatting sqref="B513 D513 F513 H513 J513 L513 N513">
    <cfRule type="expression" dxfId="65" priority="64">
      <formula>B506&lt;15</formula>
    </cfRule>
  </conditionalFormatting>
  <conditionalFormatting sqref="B506:O506">
    <cfRule type="expression" dxfId="64" priority="61">
      <formula>B506&lt;15</formula>
    </cfRule>
  </conditionalFormatting>
  <conditionalFormatting sqref="C513 E513 G513 I513 K513 M513 O513">
    <cfRule type="expression" dxfId="63" priority="65">
      <formula>B506&lt;15</formula>
    </cfRule>
  </conditionalFormatting>
  <conditionalFormatting sqref="P513">
    <cfRule type="expression" dxfId="62" priority="66">
      <formula>N506&lt;15</formula>
    </cfRule>
  </conditionalFormatting>
  <conditionalFormatting sqref="B507 D507 F507 H507 J507 L507 N507">
    <cfRule type="expression" dxfId="61" priority="62">
      <formula>B506&lt;15</formula>
    </cfRule>
  </conditionalFormatting>
  <conditionalFormatting sqref="C507 E507 G507 I507 K507 M507 O507">
    <cfRule type="expression" dxfId="60" priority="63">
      <formula>B506&lt;15</formula>
    </cfRule>
  </conditionalFormatting>
  <conditionalFormatting sqref="B522 D522 F522 H522 J522 L522 N522">
    <cfRule type="expression" dxfId="59" priority="58">
      <formula>B515&lt;15</formula>
    </cfRule>
  </conditionalFormatting>
  <conditionalFormatting sqref="B515:O515">
    <cfRule type="expression" dxfId="58" priority="55">
      <formula>B515&lt;15</formula>
    </cfRule>
  </conditionalFormatting>
  <conditionalFormatting sqref="C522 E522 G522 I522 K522 M522 O522">
    <cfRule type="expression" dxfId="57" priority="59">
      <formula>B515&lt;15</formula>
    </cfRule>
  </conditionalFormatting>
  <conditionalFormatting sqref="P522">
    <cfRule type="expression" dxfId="56" priority="60">
      <formula>N515&lt;15</formula>
    </cfRule>
  </conditionalFormatting>
  <conditionalFormatting sqref="B516 D516 F516 H516 J516 L516 N516">
    <cfRule type="expression" dxfId="55" priority="56">
      <formula>B515&lt;15</formula>
    </cfRule>
  </conditionalFormatting>
  <conditionalFormatting sqref="C516 E516 G516 I516 K516 M516 O516">
    <cfRule type="expression" dxfId="54" priority="57">
      <formula>B515&lt;15</formula>
    </cfRule>
  </conditionalFormatting>
  <conditionalFormatting sqref="B535 D535 F535 H535 J535 L535 N535">
    <cfRule type="expression" dxfId="53" priority="52">
      <formula>B528&gt;15</formula>
    </cfRule>
  </conditionalFormatting>
  <conditionalFormatting sqref="B528:O528">
    <cfRule type="expression" dxfId="52" priority="49">
      <formula>B528&gt;15</formula>
    </cfRule>
  </conditionalFormatting>
  <conditionalFormatting sqref="C535 E535 G535 I535 K535 M535 O535">
    <cfRule type="expression" dxfId="51" priority="53">
      <formula>B528&gt;15</formula>
    </cfRule>
  </conditionalFormatting>
  <conditionalFormatting sqref="P535">
    <cfRule type="expression" dxfId="50" priority="54">
      <formula>N528&gt;15</formula>
    </cfRule>
  </conditionalFormatting>
  <conditionalFormatting sqref="B529 D529 F529 H529 J529 L529 N529">
    <cfRule type="expression" dxfId="49" priority="50">
      <formula>B528&gt;15</formula>
    </cfRule>
  </conditionalFormatting>
  <conditionalFormatting sqref="C529 E529 G529 I529 K529 M529 O529">
    <cfRule type="expression" dxfId="48" priority="51">
      <formula>B528&gt;15</formula>
    </cfRule>
  </conditionalFormatting>
  <conditionalFormatting sqref="B571 D571 F571 H571 J571 L571 N571">
    <cfRule type="expression" dxfId="47" priority="46">
      <formula>B564&lt;15</formula>
    </cfRule>
  </conditionalFormatting>
  <conditionalFormatting sqref="B564:O564">
    <cfRule type="expression" dxfId="46" priority="43">
      <formula>B564&lt;15</formula>
    </cfRule>
  </conditionalFormatting>
  <conditionalFormatting sqref="C571 E571 G571 I571 K571 M571 O571">
    <cfRule type="expression" dxfId="45" priority="47">
      <formula>B564&lt;15</formula>
    </cfRule>
  </conditionalFormatting>
  <conditionalFormatting sqref="P571">
    <cfRule type="expression" dxfId="44" priority="48">
      <formula>N564&lt;15</formula>
    </cfRule>
  </conditionalFormatting>
  <conditionalFormatting sqref="B565 D565 F565 H565 J565 L565 N565">
    <cfRule type="expression" dxfId="43" priority="44">
      <formula>B564&lt;15</formula>
    </cfRule>
  </conditionalFormatting>
  <conditionalFormatting sqref="C565 E565 G565 I565 K565 M565 O565">
    <cfRule type="expression" dxfId="42" priority="45">
      <formula>B564&lt;15</formula>
    </cfRule>
  </conditionalFormatting>
  <conditionalFormatting sqref="B580 D580 F580 H580 J580 L580 N580">
    <cfRule type="expression" dxfId="41" priority="40">
      <formula>B573&lt;15</formula>
    </cfRule>
  </conditionalFormatting>
  <conditionalFormatting sqref="B573:O573">
    <cfRule type="expression" dxfId="40" priority="37">
      <formula>B573&lt;15</formula>
    </cfRule>
  </conditionalFormatting>
  <conditionalFormatting sqref="C580 E580 G580 I580 K580 M580 O580">
    <cfRule type="expression" dxfId="39" priority="41">
      <formula>B573&lt;15</formula>
    </cfRule>
  </conditionalFormatting>
  <conditionalFormatting sqref="P580">
    <cfRule type="expression" dxfId="38" priority="42">
      <formula>N573&lt;15</formula>
    </cfRule>
  </conditionalFormatting>
  <conditionalFormatting sqref="B574 D574 F574 H574 J574 L574 N574">
    <cfRule type="expression" dxfId="37" priority="38">
      <formula>B573&lt;15</formula>
    </cfRule>
  </conditionalFormatting>
  <conditionalFormatting sqref="C574 E574 G574 I574 K574 M574 O574">
    <cfRule type="expression" dxfId="36" priority="39">
      <formula>B573&lt;15</formula>
    </cfRule>
  </conditionalFormatting>
  <conditionalFormatting sqref="B593 D593 F593 H593 J593 L593 N593">
    <cfRule type="expression" dxfId="35" priority="34">
      <formula>B586&gt;15</formula>
    </cfRule>
  </conditionalFormatting>
  <conditionalFormatting sqref="B586:O586">
    <cfRule type="expression" dxfId="34" priority="31">
      <formula>B586&gt;15</formula>
    </cfRule>
  </conditionalFormatting>
  <conditionalFormatting sqref="C593 E593 G593 I593 K593 M593 O593">
    <cfRule type="expression" dxfId="33" priority="35">
      <formula>B586&gt;15</formula>
    </cfRule>
  </conditionalFormatting>
  <conditionalFormatting sqref="P593">
    <cfRule type="expression" dxfId="32" priority="36">
      <formula>N586&gt;15</formula>
    </cfRule>
  </conditionalFormatting>
  <conditionalFormatting sqref="B587 D587 F587 H587 J587 L587 N587">
    <cfRule type="expression" dxfId="31" priority="32">
      <formula>B586&gt;15</formula>
    </cfRule>
  </conditionalFormatting>
  <conditionalFormatting sqref="C587 E587 G587 I587 K587 M587 O587">
    <cfRule type="expression" dxfId="30" priority="33">
      <formula>B586&gt;15</formula>
    </cfRule>
  </conditionalFormatting>
  <conditionalFormatting sqref="B629 D629 F629 H629 J629 L629 N629">
    <cfRule type="expression" dxfId="29" priority="28">
      <formula>B622&lt;15</formula>
    </cfRule>
  </conditionalFormatting>
  <conditionalFormatting sqref="B622:O622">
    <cfRule type="expression" dxfId="28" priority="25">
      <formula>B622&lt;15</formula>
    </cfRule>
  </conditionalFormatting>
  <conditionalFormatting sqref="C629 E629 G629 I629 K629 M629 O629">
    <cfRule type="expression" dxfId="27" priority="29">
      <formula>B622&lt;15</formula>
    </cfRule>
  </conditionalFormatting>
  <conditionalFormatting sqref="P629">
    <cfRule type="expression" dxfId="26" priority="30">
      <formula>N622&lt;15</formula>
    </cfRule>
  </conditionalFormatting>
  <conditionalFormatting sqref="B623 D623 F623 H623 J623 L623 N623">
    <cfRule type="expression" dxfId="25" priority="26">
      <formula>B622&lt;15</formula>
    </cfRule>
  </conditionalFormatting>
  <conditionalFormatting sqref="C623 E623 G623 I623 K623 M623 O623">
    <cfRule type="expression" dxfId="24" priority="27">
      <formula>B622&lt;15</formula>
    </cfRule>
  </conditionalFormatting>
  <conditionalFormatting sqref="B638 D638 F638 H638 J638 L638 N638">
    <cfRule type="expression" dxfId="23" priority="22">
      <formula>B631&lt;15</formula>
    </cfRule>
  </conditionalFormatting>
  <conditionalFormatting sqref="B631:O631">
    <cfRule type="expression" dxfId="22" priority="19">
      <formula>B631&lt;15</formula>
    </cfRule>
  </conditionalFormatting>
  <conditionalFormatting sqref="C638 E638 G638 I638 K638 M638 O638">
    <cfRule type="expression" dxfId="21" priority="23">
      <formula>B631&lt;15</formula>
    </cfRule>
  </conditionalFormatting>
  <conditionalFormatting sqref="P638">
    <cfRule type="expression" dxfId="20" priority="24">
      <formula>N631&lt;15</formula>
    </cfRule>
  </conditionalFormatting>
  <conditionalFormatting sqref="B632 D632 F632 H632 J632 L632 N632">
    <cfRule type="expression" dxfId="19" priority="20">
      <formula>B631&lt;15</formula>
    </cfRule>
  </conditionalFormatting>
  <conditionalFormatting sqref="C632 E632 G632 I632 K632 M632 O632">
    <cfRule type="expression" dxfId="18" priority="21">
      <formula>B631&lt;15</formula>
    </cfRule>
  </conditionalFormatting>
  <conditionalFormatting sqref="B651 D651 F651 H651 J651 L651 N651">
    <cfRule type="expression" dxfId="17" priority="16">
      <formula>B644&gt;15</formula>
    </cfRule>
  </conditionalFormatting>
  <conditionalFormatting sqref="B644:O644">
    <cfRule type="expression" dxfId="16" priority="13">
      <formula>B644&gt;15</formula>
    </cfRule>
  </conditionalFormatting>
  <conditionalFormatting sqref="C651 E651 G651 I651 K651 M651 O651">
    <cfRule type="expression" dxfId="15" priority="17">
      <formula>B644&gt;15</formula>
    </cfRule>
  </conditionalFormatting>
  <conditionalFormatting sqref="P651">
    <cfRule type="expression" dxfId="14" priority="18">
      <formula>N644&gt;15</formula>
    </cfRule>
  </conditionalFormatting>
  <conditionalFormatting sqref="B645 D645 F645 H645 J645 L645 N645">
    <cfRule type="expression" dxfId="13" priority="14">
      <formula>B644&gt;15</formula>
    </cfRule>
  </conditionalFormatting>
  <conditionalFormatting sqref="C645 E645 G645 I645 K645 M645 O645">
    <cfRule type="expression" dxfId="12" priority="15">
      <formula>B644&gt;15</formula>
    </cfRule>
  </conditionalFormatting>
  <conditionalFormatting sqref="B687 D687 F687 H687 J687 L687 N687">
    <cfRule type="expression" dxfId="11" priority="10">
      <formula>B680&lt;15</formula>
    </cfRule>
  </conditionalFormatting>
  <conditionalFormatting sqref="B680:O680">
    <cfRule type="expression" dxfId="10" priority="7">
      <formula>B680&lt;15</formula>
    </cfRule>
  </conditionalFormatting>
  <conditionalFormatting sqref="C687 E687 G687 I687 K687 M687 O687">
    <cfRule type="expression" dxfId="9" priority="11">
      <formula>B680&lt;15</formula>
    </cfRule>
  </conditionalFormatting>
  <conditionalFormatting sqref="P687">
    <cfRule type="expression" dxfId="8" priority="12">
      <formula>N680&lt;15</formula>
    </cfRule>
  </conditionalFormatting>
  <conditionalFormatting sqref="B681 D681 F681 H681 J681 L681 N681">
    <cfRule type="expression" dxfId="7" priority="8">
      <formula>B680&lt;15</formula>
    </cfRule>
  </conditionalFormatting>
  <conditionalFormatting sqref="C681 E681 G681 I681 K681 M681 O681">
    <cfRule type="expression" dxfId="6" priority="9">
      <formula>B680&lt;15</formula>
    </cfRule>
  </conditionalFormatting>
  <conditionalFormatting sqref="B696 D696 F696 H696 J696 L696 N696">
    <cfRule type="expression" dxfId="5" priority="4">
      <formula>B689&lt;15</formula>
    </cfRule>
  </conditionalFormatting>
  <conditionalFormatting sqref="B689:O689">
    <cfRule type="expression" dxfId="4" priority="1">
      <formula>B689&lt;15</formula>
    </cfRule>
  </conditionalFormatting>
  <conditionalFormatting sqref="C696 E696 G696 I696 K696 M696 O696">
    <cfRule type="expression" dxfId="3" priority="5">
      <formula>B689&lt;15</formula>
    </cfRule>
  </conditionalFormatting>
  <conditionalFormatting sqref="P696">
    <cfRule type="expression" dxfId="2" priority="6">
      <formula>N689&lt;15</formula>
    </cfRule>
  </conditionalFormatting>
  <conditionalFormatting sqref="B690 D690 F690 H690 J690 L690 N690">
    <cfRule type="expression" dxfId="1" priority="2">
      <formula>B689&lt;15</formula>
    </cfRule>
  </conditionalFormatting>
  <conditionalFormatting sqref="C690 E690 G690 I690 K690 M690 O690">
    <cfRule type="expression" dxfId="0" priority="3">
      <formula>B689&lt;15</formula>
    </cfRule>
  </conditionalFormatting>
  <printOptions horizontalCentered="1" verticalCentered="1"/>
  <pageMargins left="0.5" right="0.5" top="0.7" bottom="0.75" header="0.3" footer="0.3"/>
  <pageSetup scale="80" fitToHeight="12" orientation="landscape" r:id="rId1"/>
  <rowBreaks count="11" manualBreakCount="11">
    <brk id="58" min="1" max="15" man="1"/>
    <brk id="116" min="1" max="15" man="1"/>
    <brk id="174" min="1" max="15" man="1"/>
    <brk id="232" min="1" max="15" man="1"/>
    <brk id="290" min="1" max="15" man="1"/>
    <brk id="348" min="1" max="15" man="1"/>
    <brk id="406" min="1" max="15" man="1"/>
    <brk id="464" min="1" max="15" man="1"/>
    <brk id="522" min="1" max="15" man="1"/>
    <brk id="580" min="1" max="15" man="1"/>
    <brk id="638" min="1" max="15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TM02930058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Summary</vt:lpstr>
      <vt:lpstr>Expense Calendar</vt:lpstr>
      <vt:lpstr>Income Calendar</vt:lpstr>
      <vt:lpstr>allowance</vt:lpstr>
      <vt:lpstr>Budget</vt:lpstr>
      <vt:lpstr>'Income Calendar'!fixed</vt:lpstr>
      <vt:lpstr>fixed</vt:lpstr>
      <vt:lpstr>income</vt:lpstr>
      <vt:lpstr>'Expense Calendar'!Month1</vt:lpstr>
      <vt:lpstr>'Income Calendar'!Month1</vt:lpstr>
      <vt:lpstr>'Expense Calendar'!Print_Area</vt:lpstr>
      <vt:lpstr>'Income Calendar'!Print_Area</vt:lpstr>
      <vt:lpstr>'Income Calendar'!StartMonth</vt:lpstr>
      <vt:lpstr>StartMonth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Sean</dc:creator>
  <cp:keywords/>
  <cp:lastModifiedBy>Sean</cp:lastModifiedBy>
  <dcterms:created xsi:type="dcterms:W3CDTF">2018-06-25T05:33:20Z</dcterms:created>
  <dcterms:modified xsi:type="dcterms:W3CDTF">2021-01-23T21:46:11Z</dcterms:modified>
  <cp:version/>
</cp:coreProperties>
</file>